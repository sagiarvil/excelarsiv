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VIZ_POZISYONLA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cikPozisyonYonu" hidden="0" function="0" vbProcedure="0">HESAP!$B$15</definedName>
    <definedName name="DosyaSurumu" hidden="0" function="0" vbProcedure="0">AYARLAR!$B$10</definedName>
    <definedName name="DovizAcikEsik" hidden="0" function="0" vbProcedure="0">AYARLAR!$B$11</definedName>
    <definedName name="DovizAksiyon1_ACIKLAMA" hidden="0" function="0" vbProcedure="0">AYARLAR!$B$24</definedName>
    <definedName name="DovizAksiyon2_ACIKLAMA" hidden="0" function="0" vbProcedure="0">AYARLAR!$B$25</definedName>
    <definedName name="DovizAksiyon3_ACIKLAMA" hidden="0" function="0" vbProcedure="0">AYARLAR!$B$26</definedName>
    <definedName name="DovizBazSenaryo" hidden="0" function="0" vbProcedure="0">AYARLAR!$B$16</definedName>
    <definedName name="DovizDoluGiris" hidden="0" function="0" vbProcedure="0">KONTROLLER!$B$18</definedName>
    <definedName name="DovizHacimEsik" hidden="0" function="0" vbProcedure="0">AYARLAR!$B$28</definedName>
    <definedName name="DovizIyiSenaryo" hidden="0" function="0" vbProcedure="0">AYARLAR!$B$15</definedName>
    <definedName name="DovizKaliteIyi" hidden="0" function="0" vbProcedure="0">AYARLAR!$B$22</definedName>
    <definedName name="DovizKaliteOrta" hidden="0" function="0" vbProcedure="0">AYARLAR!$B$23</definedName>
    <definedName name="DovizKotuSenaryo" hidden="0" function="0" vbProcedure="0">AYARLAR!$B$17</definedName>
    <definedName name="DovizKritikSenaryo" hidden="0" function="0" vbProcedure="0">AYARLAR!$B$18</definedName>
    <definedName name="DovizKurSapmaEsik" hidden="0" function="0" vbProcedure="0">AYARLAR!$B$14</definedName>
    <definedName name="DovizP90Oran" hidden="0" function="0" vbProcedure="0">AYARLAR!$B$27</definedName>
    <definedName name="DovizPanelSatir1" hidden="0" function="0" vbProcedure="0">AYARLAR!$B$29</definedName>
    <definedName name="DovizPanelSatir10" hidden="0" function="0" vbProcedure="0">AYARLAR!$B$38</definedName>
    <definedName name="DovizPanelSatir11" hidden="0" function="0" vbProcedure="0">AYARLAR!$B$39</definedName>
    <definedName name="DovizPanelSatir12" hidden="0" function="0" vbProcedure="0">AYARLAR!$B$40</definedName>
    <definedName name="DovizPanelSatir2" hidden="0" function="0" vbProcedure="0">AYARLAR!$B$30</definedName>
    <definedName name="DovizPanelSatir3" hidden="0" function="0" vbProcedure="0">AYARLAR!$B$31</definedName>
    <definedName name="DovizPanelSatir4" hidden="0" function="0" vbProcedure="0">AYARLAR!$B$32</definedName>
    <definedName name="DovizPanelSatir5" hidden="0" function="0" vbProcedure="0">AYARLAR!$B$33</definedName>
    <definedName name="DovizPanelSatir6" hidden="0" function="0" vbProcedure="0">AYARLAR!$B$34</definedName>
    <definedName name="DovizPanelSatir7" hidden="0" function="0" vbProcedure="0">AYARLAR!$B$35</definedName>
    <definedName name="DovizPanelSatir8" hidden="0" function="0" vbProcedure="0">AYARLAR!$B$36</definedName>
    <definedName name="DovizPanelSatir9" hidden="0" function="0" vbProcedure="0">AYARLAR!$B$37</definedName>
    <definedName name="DovizStresEsik" hidden="0" function="0" vbProcedure="0">AYARLAR!$B$12</definedName>
    <definedName name="DovizStresEtkiEsik" hidden="0" function="0" vbProcedure="0">AYARLAR!$B$13</definedName>
    <definedName name="DovizTahminCarpan" hidden="0" function="0" vbProcedure="0">AYARLAR!$B$21</definedName>
    <definedName name="DovizToplamGiris" hidden="0" function="0" vbProcedure="0">KONTROLLER!$B$17</definedName>
    <definedName name="DovizTornadoKur" hidden="0" function="0" vbProcedure="0">AYARLAR!$B$19</definedName>
    <definedName name="DovizTornadoPozisyon" hidden="0" function="0" vbProcedure="0">AYARLAR!$B$20</definedName>
    <definedName name="EnRiskliDoviz" hidden="0" function="0" vbProcedure="0">HESAP!$B$17</definedName>
    <definedName name="FirmaUnvan" hidden="0" function="0" vbProcedure="0">AYARLAR!$B$7</definedName>
    <definedName name="kuralIdReferans" hidden="0" function="0" vbProcedure="0">KURALLAR!$A$4</definedName>
    <definedName name="ListeDovizCinsleri" hidden="0" function="0" vbProcedure="0">LISTELER!$A$7:$A$11</definedName>
    <definedName name="ListeIslemTurleri" hidden="0" function="0" vbProcedure="0">LISTELER!$C$7:$C$8</definedName>
    <definedName name="ListeVadeDilimleri" hidden="0" function="0" vbProcedure="0">LISTELER!$E$7:$E$10</definedName>
    <definedName name="modulI1KurTahmin" hidden="0" function="0" vbProcedure="0">ANALITIK_MOTOR!$C$13</definedName>
    <definedName name="modulI1Ku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VadeYapisi" hidden="0" function="0" vbProcedure="0">ANALITIK_MOTOR!$C$6</definedName>
    <definedName name="modulT1VadeYapisiYorum" hidden="0" function="0" vbProcedure="0">ANALITIK_MOTOR!$D$6</definedName>
    <definedName name="modulT2KurTrend" hidden="0" function="0" vbProcedure="0">ANALITIK_MOTOR!$C$7</definedName>
    <definedName name="modulT2KurTrendYorum" hidden="0" function="0" vbProcedure="0">ANALITIK_MOTOR!$D$7</definedName>
    <definedName name="MutlakAcikPozisyon" hidden="0" function="0" vbProcedure="0">HESAP!$B$14</definedName>
    <definedName name="NetAcikPozisyon" hidden="0" function="0" vbProcedure="0">HESAP!$H$11</definedName>
    <definedName name="RaporHazirlayan" hidden="0" function="0" vbProcedure="0">AYARLAR!$B$9</definedName>
    <definedName name="RaporTarihi" hidden="0" function="0" vbProcedure="0">AYARLAR!$B$8</definedName>
    <definedName name="StresEtkisi" hidden="0" function="0" vbProcedure="0">HESAP!$B$16</definedName>
    <definedName name="ToplamBorcTL" hidden="0" function="0" vbProcedure="0">HESAP!$G$11</definedName>
    <definedName name="ToplamVarlikTL" hidden="0" function="0" vbProcedure="0">HESAP!$F$11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dd/mm/yyyy"/>
    <numFmt numFmtId="165" formatCode="0.0000"/>
    <numFmt numFmtId="166" formatCode="&quot;₺ &quot;#,##0;[RED]&quot;(₺ &quot;#,##0\);\-"/>
    <numFmt numFmtId="167" formatCode="0.0%;[RED]\(0.0%\);\-"/>
    <numFmt numFmtId="168" formatCode="0.000"/>
    <numFmt numFmtId="169" formatCode="#,##0 &quot;TL&quot;"/>
    <numFmt numFmtId="170" formatCode="0.0%"/>
    <numFmt numFmtId="171" formatCode="₺#,##0"/>
    <numFmt numFmtId="172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9" fontId="44" fillId="0" borderId="0" pivotButton="0" quotePrefix="0" xfId="0"/>
    <xf numFmtId="169" fontId="45" fillId="0" borderId="0" pivotButton="0" quotePrefix="0" xfId="0"/>
    <xf numFmtId="170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2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2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2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2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7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1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1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1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1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1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1" fontId="36" fillId="0" borderId="2" pivotButton="0" quotePrefix="0" xfId="0"/>
    <xf numFmtId="171" fontId="57" fillId="0" borderId="3" pivotButton="0" quotePrefix="0" xfId="0"/>
    <xf numFmtId="171" fontId="60" fillId="0" borderId="1" pivotButton="0" quotePrefix="0" xfId="0"/>
    <xf numFmtId="171" fontId="61" fillId="0" borderId="1" pivotButton="0" quotePrefix="0" xfId="0"/>
    <xf numFmtId="171" fontId="64" fillId="8" borderId="0" pivotButton="0" quotePrefix="0" xfId="0"/>
    <xf numFmtId="171" fontId="65" fillId="8" borderId="0" pivotButton="0" quotePrefix="0" xfId="0"/>
    <xf numFmtId="171" fontId="83" fillId="10" borderId="1" applyAlignment="1" pivotButton="0" quotePrefix="0" xfId="0">
      <alignment horizontal="right"/>
    </xf>
    <xf numFmtId="171" fontId="53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172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Döviz pozisyonlarını girin | Neden önemli: Ürünü doğru kullanmak için | Doğru kullanım: Sırayla izleyin</t>
      </text>
    </comment>
    <comment ref="A6" authorId="0" shapeId="0">
      <text>
        <t>Tanım: Adım 2 — Açık pozisyonu izleyin | Neden önemli: Ürünü doğru kullanmak için | Doğru kullanım: Sırayla izleyin</t>
      </text>
    </comment>
    <comment ref="A7" authorId="0" shapeId="0">
      <text>
        <t>Tanım: Adım 3 — Stres testi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USD pozisyon metriği | Neden önemli: Açık pozisyon riskini gösterir | Doğru kullanım: Formüldür, değiştirilmez</t>
      </text>
    </comment>
    <comment ref="C6" authorId="0" shapeId="0">
      <text>
        <t>Tanım: USD pozisyon metriği | Neden önemli: Açık pozisyon riskini gösterir | Doğru kullanım: Formüldür, değiştirilmez</t>
      </text>
    </comment>
    <comment ref="D6" authorId="0" shapeId="0">
      <text>
        <t>Tanım: USD pozisyon metriği | Neden önemli: Açık pozisyon riskini gösterir | Doğru kullanım: Formüldür, değiştirilmez</t>
      </text>
    </comment>
    <comment ref="E6" authorId="0" shapeId="0">
      <text>
        <t>Tanım: USD pozisyon metriği | Neden önemli: Açık pozisyon riskini gösterir | Doğru kullanım: Formüldür, değiştirilmez</t>
      </text>
    </comment>
    <comment ref="F6" authorId="0" shapeId="0">
      <text>
        <t>Tanım: USD pozisyon metriği | Neden önemli: Açık pozisyon riskini gösterir | Doğru kullanım: Formüldür, değiştirilmez</t>
      </text>
    </comment>
    <comment ref="G6" authorId="0" shapeId="0">
      <text>
        <t>Tanım: USD pozisyon metriği | Neden önemli: Açık pozisyon riskini gösterir | Doğru kullanım: Formüldür, değiştirilmez</t>
      </text>
    </comment>
    <comment ref="H6" authorId="0" shapeId="0">
      <text>
        <t>Tanım: USD pozisyon metriği | Neden önemli: Açık pozisyon riskini gösterir | Doğru kullanım: Formüldür, değiştirilmez</t>
      </text>
    </comment>
    <comment ref="I6" authorId="0" shapeId="0">
      <text>
        <t>Tanım: USD pozisyon metriği | Neden önemli: Açık pozisyon riskini gösterir | Doğru kullanım: Formüldür, değiştirilmez</t>
      </text>
    </comment>
    <comment ref="B7" authorId="0" shapeId="0">
      <text>
        <t>Tanım: EUR pozisyon metriği | Neden önemli: Açık pozisyon riskini gösterir | Doğru kullanım: Formüldür, değiştirilmez</t>
      </text>
    </comment>
    <comment ref="C7" authorId="0" shapeId="0">
      <text>
        <t>Tanım: EUR pozisyon metriği | Neden önemli: Açık pozisyon riskini gösterir | Doğru kullanım: Formüldür, değiştirilmez</t>
      </text>
    </comment>
    <comment ref="D7" authorId="0" shapeId="0">
      <text>
        <t>Tanım: EUR pozisyon metriği | Neden önemli: Açık pozisyon riskini gösterir | Doğru kullanım: Formüldür, değiştirilmez</t>
      </text>
    </comment>
    <comment ref="E7" authorId="0" shapeId="0">
      <text>
        <t>Tanım: EUR pozisyon metriği | Neden önemli: Açık pozisyon riskini gösterir | Doğru kullanım: Formüldür, değiştirilmez</t>
      </text>
    </comment>
    <comment ref="F7" authorId="0" shapeId="0">
      <text>
        <t>Tanım: EUR pozisyon metriği | Neden önemli: Açık pozisyon riskini gösterir | Doğru kullanım: Formüldür, değiştirilmez</t>
      </text>
    </comment>
    <comment ref="G7" authorId="0" shapeId="0">
      <text>
        <t>Tanım: EUR pozisyon metriği | Neden önemli: Açık pozisyon riskini gösterir | Doğru kullanım: Formüldür, değiştirilmez</t>
      </text>
    </comment>
    <comment ref="H7" authorId="0" shapeId="0">
      <text>
        <t>Tanım: EUR pozisyon metriği | Neden önemli: Açık pozisyon riskini gösterir | Doğru kullanım: Formüldür, değiştirilmez</t>
      </text>
    </comment>
    <comment ref="I7" authorId="0" shapeId="0">
      <text>
        <t>Tanım: EUR pozisyon metriği | Neden önemli: Açık pozisyon riskini gösterir | Doğru kullanım: Formüldür, değiştirilmez</t>
      </text>
    </comment>
    <comment ref="B8" authorId="0" shapeId="0">
      <text>
        <t>Tanım: GBP pozisyon metriği | Neden önemli: Açık pozisyon riskini gösterir | Doğru kullanım: Formüldür, değiştirilmez</t>
      </text>
    </comment>
    <comment ref="C8" authorId="0" shapeId="0">
      <text>
        <t>Tanım: GBP pozisyon metriği | Neden önemli: Açık pozisyon riskini gösterir | Doğru kullanım: Formüldür, değiştirilmez</t>
      </text>
    </comment>
    <comment ref="D8" authorId="0" shapeId="0">
      <text>
        <t>Tanım: GBP pozisyon metriği | Neden önemli: Açık pozisyon riskini gösterir | Doğru kullanım: Formüldür, değiştirilmez</t>
      </text>
    </comment>
    <comment ref="E8" authorId="0" shapeId="0">
      <text>
        <t>Tanım: GBP pozisyon metriği | Neden önemli: Açık pozisyon riskini gösterir | Doğru kullanım: Formüldür, değiştirilmez</t>
      </text>
    </comment>
    <comment ref="F8" authorId="0" shapeId="0">
      <text>
        <t>Tanım: GBP pozisyon metriği | Neden önemli: Açık pozisyon riskini gösterir | Doğru kullanım: Formüldür, değiştirilmez</t>
      </text>
    </comment>
    <comment ref="G8" authorId="0" shapeId="0">
      <text>
        <t>Tanım: GBP pozisyon metriği | Neden önemli: Açık pozisyon riskini gösterir | Doğru kullanım: Formüldür, değiştirilmez</t>
      </text>
    </comment>
    <comment ref="H8" authorId="0" shapeId="0">
      <text>
        <t>Tanım: GBP pozisyon metriği | Neden önemli: Açık pozisyon riskini gösterir | Doğru kullanım: Formüldür, değiştirilmez</t>
      </text>
    </comment>
    <comment ref="I8" authorId="0" shapeId="0">
      <text>
        <t>Tanım: GBP pozisyon metriği | Neden önemli: Açık pozisyon riskini gösterir | Doğru kullanım: Formüldür, değiştirilmez</t>
      </text>
    </comment>
    <comment ref="B9" authorId="0" shapeId="0">
      <text>
        <t>Tanım: CHF pozisyon metriği | Neden önemli: Açık pozisyon riskini gösterir | Doğru kullanım: Formüldür, değiştirilmez</t>
      </text>
    </comment>
    <comment ref="C9" authorId="0" shapeId="0">
      <text>
        <t>Tanım: CHF pozisyon metriği | Neden önemli: Açık pozisyon riskini gösterir | Doğru kullanım: Formüldür, değiştirilmez</t>
      </text>
    </comment>
    <comment ref="D9" authorId="0" shapeId="0">
      <text>
        <t>Tanım: CHF pozisyon metriği | Neden önemli: Açık pozisyon riskini gösterir | Doğru kullanım: Formüldür, değiştirilmez</t>
      </text>
    </comment>
    <comment ref="E9" authorId="0" shapeId="0">
      <text>
        <t>Tanım: CHF pozisyon metriği | Neden önemli: Açık pozisyon riskini gösterir | Doğru kullanım: Formüldür, değiştirilmez</t>
      </text>
    </comment>
    <comment ref="F9" authorId="0" shapeId="0">
      <text>
        <t>Tanım: CHF pozisyon metriği | Neden önemli: Açık pozisyon riskini gösterir | Doğru kullanım: Formüldür, değiştirilmez</t>
      </text>
    </comment>
    <comment ref="G9" authorId="0" shapeId="0">
      <text>
        <t>Tanım: CHF pozisyon metriği | Neden önemli: Açık pozisyon riskini gösterir | Doğru kullanım: Formüldür, değiştirilmez</t>
      </text>
    </comment>
    <comment ref="H9" authorId="0" shapeId="0">
      <text>
        <t>Tanım: CHF pozisyon metriği | Neden önemli: Açık pozisyon riskini gösterir | Doğru kullanım: Formüldür, değiştirilmez</t>
      </text>
    </comment>
    <comment ref="I9" authorId="0" shapeId="0">
      <text>
        <t>Tanım: CHF pozisyon metriği | Neden önemli: Açık pozisyon riskini gösterir | Doğru kullanım: Formüldür, değiştirilmez</t>
      </text>
    </comment>
    <comment ref="B10" authorId="0" shapeId="0">
      <text>
        <t>Tanım: Diğer pozisyon metriği | Neden önemli: Açık pozisyon riskini gösterir | Doğru kullanım: Formüldür, değiştirilmez</t>
      </text>
    </comment>
    <comment ref="C10" authorId="0" shapeId="0">
      <text>
        <t>Tanım: Diğer pozisyon metriği | Neden önemli: Açık pozisyon riskini gösterir | Doğru kullanım: Formüldür, değiştirilmez</t>
      </text>
    </comment>
    <comment ref="D10" authorId="0" shapeId="0">
      <text>
        <t>Tanım: Diğer pozisyon metriği | Neden önemli: Açık pozisyon riskini gösterir | Doğru kullanım: Formüldür, değiştirilmez</t>
      </text>
    </comment>
    <comment ref="E10" authorId="0" shapeId="0">
      <text>
        <t>Tanım: Diğer pozisyon metriği | Neden önemli: Açık pozisyon riskini gösterir | Doğru kullanım: Formüldür, değiştirilmez</t>
      </text>
    </comment>
    <comment ref="F10" authorId="0" shapeId="0">
      <text>
        <t>Tanım: Diğer pozisyon metriği | Neden önemli: Açık pozisyon riskini gösterir | Doğru kullanım: Formüldür, değiştirilmez</t>
      </text>
    </comment>
    <comment ref="G10" authorId="0" shapeId="0">
      <text>
        <t>Tanım: Diğer pozisyon metriği | Neden önemli: Açık pozisyon riskini gösterir | Doğru kullanım: Formüldür, değiştirilmez</t>
      </text>
    </comment>
    <comment ref="H10" authorId="0" shapeId="0">
      <text>
        <t>Tanım: Diğer pozisyon metriği | Neden önemli: Açık pozisyon riskini gösterir | Doğru kullanım: Formüldür, değiştirilmez</t>
      </text>
    </comment>
    <comment ref="I10" authorId="0" shapeId="0">
      <text>
        <t>Tanım: Diğer pozisyon metriği | Neden önemli: Açık pozisyon riskini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döviz cinsi satırı var mı? | Neden önemli: Giriş kalitesini ölçer | Doğru kullanım: Formüldür, değiştirilmez | Yanlışsa: Kırmızı = düzeltin</t>
      </text>
    </comment>
    <comment ref="B7" authorId="0" shapeId="0">
      <text>
        <t>Tanım: Boş tutar var mı? | Neden önemli: Giriş kalitesini ölçer | Doğru kullanım: Formüldür, değiştirilmez | Yanlışsa: Kırmızı = düzeltin</t>
      </text>
    </comment>
    <comment ref="B8" authorId="0" shapeId="0">
      <text>
        <t>Tanım: Negatif tutar var mı? | Neden önemli: Giriş kalitesini ölçer | Doğru kullanım: Formüldür, değiştirilmez | Yanlışsa: Kırmızı = düzeltin</t>
      </text>
    </comment>
    <comment ref="B9" authorId="0" shapeId="0">
      <text>
        <t>Tanım: Negatif kur var mı? | Neden önemli: Giriş kalitesini ölçer | Doğru kullanım: Formüldür, değiştirilmez | Yanlışsa: Kırmızı = düzeltin</t>
      </text>
    </comment>
    <comment ref="B10" authorId="0" shapeId="0">
      <text>
        <t>Tanım: Vade bilgisi eksik mi? | Neden önemli: Giriş kalitesini ölçer | Doğru kullanım: Formüldür, değiştirilmez | Yanlışsa: Kırmızı = düzeltin</t>
      </text>
    </comment>
    <comment ref="B11" authorId="0" shapeId="0">
      <text>
        <t>Tanım: Açık pozisyon eşiği aşılıyor mu? | Neden önemli: Giriş kalitesini ölçer | Doğru kullanım: Formüldür, değiştirilmez | Yanlışsa: Kırmızı = düzeltin</t>
      </text>
    </comment>
    <comment ref="B12" authorId="0" shapeId="0">
      <text>
        <t>Tanım: Stres etkisi eşiği aşılıyor mu? | Neden önemli: Giriş kalitesini ölçer | Doğru kullanım: Formüldür, değiştirilmez | Yanlışsa: Kırmızı = düzeltin</t>
      </text>
    </comment>
    <comment ref="B13" authorId="0" shapeId="0">
      <text>
        <t>Tanım: Kur sapması risk eşiğinde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Döviz cinsi | Neden önemli: Açılır listeyi besler | Doğru kullanım: Yeni cins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Döviz cinsi | Neden önemli: Açılır listeyi besler | Doğru kullanım: Yeni cins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Döviz cinsi | Neden önemli: Açılır listeyi besler | Doğru kullanım: Yeni cins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Döviz cinsi | Neden önemli: Açılır listeyi besler | Doğru kullanım: Yeni cins için satır ekleyin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Döviz cinsi | Neden önemli: Açılır listeyi besler | Doğru kullanım: Yeni cins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Doviz" displayName="tblDoviz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=IF(tblDoviz[[#This Row],[Tutar (Döviz)]]=0,0,tblDoviz[[#This Row],[Tutar (Döviz)]]*tblDoviz[[#This Row],[İşlem Kuru]])</calculatedColumnFormula>
    </tableColumn>
    <tableColumn id="8" name="Kayıt Açıklaması">
      <calculatedColumnFormula>=IF(tblDoviz[[#This Row],[Döviz Cinsi]]="","",CONCATENATE("Pozisyon: ",tblDoviz[[#This Row],[Döviz Cinsi]],"/",tblDoviz[[#This Row],[İşlem Türü]]," tutar ",TEXT(tblDoviz[[#This Row],[Tutar (Döviz)]],"#,##0.00")))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Döviz Cinsi"/>
    <tableColumn id="3" name="İşlem Türü"/>
    <tableColumn id="4" name="Tutar (Döviz)"/>
    <tableColumn id="5" name="İşlem Kuru"/>
    <tableColumn id="6" name="Vade"/>
    <tableColumn id="7" name="TL Değer (₺)">
      <calculatedColumnFormula>=IF(tblOrnek[[#This Row],[Tutar (Döviz)]]=0,0,tblOrnek[[#This Row],[Tutar (Döviz)]]*tblOrnek[[#This Row],[İşlem Kuru]])</calculatedColumnFormula>
    </tableColumn>
    <tableColumn id="8" name="Not">
      <calculatedColumnFormula>=IF(tblOrnek[[#This Row],[Döviz Cinsi]]="","",CONCATENATE("Örnek kayıt: ",tblOrnek[[#This Row],[Döviz Cinsi]]))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EXCELARŞİV KARAR SİSTEMİ v15.1 — ÜRETİM REFERANSI</t>
        </is>
      </c>
    </row>
    <row r="2"/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5"/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80.5" customWidth="1" style="80" min="2" max="2"/>
    <col width="15" customWidth="1" style="80" min="3" max="3"/>
    <col width="15.5" customWidth="1" style="80" min="4" max="4"/>
    <col width="36.5" customWidth="1" style="80" min="5" max="5"/>
    <col width="18" customWidth="1" style="80" min="6" max="6"/>
    <col width="11.5" customWidth="1" style="80" min="7" max="7"/>
    <col width="75.5" customWidth="1" style="80" min="8" max="8"/>
    <col width="15" customWidth="1" style="80" min="9" max="9"/>
    <col width="15.5" customWidth="1" style="80" min="10" max="10"/>
    <col width="81.5" customWidth="1" style="80" min="11" max="11"/>
    <col width="18" customWidth="1" style="80" min="12" max="12"/>
    <col width="18" customWidth="1" style="80" min="13" max="13"/>
    <col width="13" customWidth="1" style="80" min="14" max="14"/>
  </cols>
  <sheetData>
    <row r="1">
      <c r="A1" s="90" t="inlineStr">
        <is>
          <t>☰ PANO</t>
        </is>
      </c>
    </row>
    <row r="2">
      <c r="B2" s="179" t="inlineStr">
        <is>
          <t>DÖVIZ AÇIK POZISYONU VE KUR RISKI STRES TESTI</t>
        </is>
      </c>
      <c r="L2" s="180" t="inlineStr">
        <is>
          <t>Dönem: 2026 / Tam ▼</t>
        </is>
      </c>
      <c r="M2" s="181" t="inlineStr">
        <is>
          <t>★ DOĞRULANMIŞ</t>
        </is>
      </c>
    </row>
    <row r="3">
      <c r="B3" s="182" t="inlineStr">
        <is>
          <t>Hedef Kullanıcı: Yönetim Kurulu, CFO, Finans Yöneticisi, SMMM · 2026 Q3 Denetim Standardı</t>
        </is>
      </c>
    </row>
    <row r="4"/>
    <row r="5">
      <c r="B5" s="183" t="inlineStr">
        <is>
          <t>TOPLAM İŞLEM HACMİ</t>
        </is>
      </c>
      <c r="C5" s="184" t="n"/>
      <c r="D5" s="185" t="inlineStr">
        <is>
          <t>KONSOLİDE</t>
        </is>
      </c>
      <c r="E5" s="186" t="inlineStr">
        <is>
          <t>OPERASYONEL MALİYET</t>
        </is>
      </c>
      <c r="F5" s="184" t="n"/>
      <c r="G5" s="187" t="inlineStr">
        <is>
          <t>KONTROL</t>
        </is>
      </c>
      <c r="H5" s="183" t="inlineStr">
        <is>
          <t>NET OPERASYONEL MARJ</t>
        </is>
      </c>
      <c r="I5" s="184" t="n"/>
      <c r="J5" s="188" t="inlineStr">
        <is>
          <t>GÜVENLİ</t>
        </is>
      </c>
      <c r="K5" s="189" t="inlineStr">
        <is>
          <t>SİSTEM GÜVEN SKORU</t>
        </is>
      </c>
      <c r="L5" s="184" t="n"/>
      <c r="M5" s="185" t="inlineStr">
        <is>
          <t>DENETLENDİ</t>
        </is>
      </c>
    </row>
    <row r="6">
      <c r="B6" s="190" t="n"/>
      <c r="C6" s="184" t="n"/>
      <c r="D6" s="184" t="n"/>
      <c r="E6" s="191" t="n"/>
      <c r="F6" s="184" t="n"/>
      <c r="G6" s="184" t="n"/>
      <c r="H6" s="190" t="n"/>
      <c r="I6" s="184" t="n"/>
      <c r="J6" s="184" t="n"/>
      <c r="K6" s="192" t="n"/>
      <c r="L6" s="184" t="n"/>
      <c r="M6" s="184" t="n"/>
    </row>
    <row r="7">
      <c r="B7" s="280">
        <f>GİRDİLER!E17</f>
        <v/>
      </c>
      <c r="C7" s="184" t="n"/>
      <c r="D7" s="184" t="n"/>
      <c r="E7" s="281">
        <f>B7*0.22</f>
        <v/>
      </c>
      <c r="F7" s="184" t="n"/>
      <c r="G7" s="184" t="n"/>
      <c r="H7" s="280">
        <f>B7-E7</f>
        <v/>
      </c>
      <c r="I7" s="184" t="n"/>
      <c r="J7" s="184" t="n"/>
      <c r="K7" s="195">
        <f>IF(E7&gt;0, ROUND(B7/E7, 2), 0)</f>
        <v/>
      </c>
      <c r="L7" s="184" t="n"/>
      <c r="M7" s="184" t="n"/>
    </row>
    <row r="8">
      <c r="B8" s="190" t="n"/>
      <c r="C8" s="184" t="n"/>
      <c r="D8" s="184" t="n"/>
      <c r="E8" s="191" t="n"/>
      <c r="F8" s="184" t="n"/>
      <c r="G8" s="184" t="n"/>
      <c r="H8" s="190" t="n"/>
      <c r="I8" s="184" t="n"/>
      <c r="J8" s="184" t="n"/>
      <c r="K8" s="192" t="n"/>
      <c r="L8" s="184" t="n"/>
      <c r="M8" s="184" t="n"/>
    </row>
    <row r="9">
      <c r="B9" s="196" t="inlineStr">
        <is>
          <t>↑ %14.2 konsolide canlı veri bağlantısı</t>
        </is>
      </c>
      <c r="C9" s="184" t="n"/>
      <c r="D9" s="184" t="n"/>
      <c r="E9" s="197" t="inlineStr">
        <is>
          <t>● 8 Kalem nakit karşılığı: bloke</t>
        </is>
      </c>
      <c r="F9" s="184" t="n"/>
      <c r="G9" s="184" t="n"/>
      <c r="H9" s="196" t="inlineStr">
        <is>
          <t>██████████░░░░░ %78.0 NET MARJ</t>
        </is>
      </c>
      <c r="I9" s="184" t="n"/>
      <c r="J9" s="184" t="n"/>
      <c r="K9" s="198" t="inlineStr">
        <is>
          <t>✓ İDEAL karşılama rasyosu</t>
        </is>
      </c>
      <c r="L9" s="184" t="n"/>
      <c r="M9" s="184" t="n"/>
    </row>
    <row r="10"/>
    <row r="11">
      <c r="B11" s="104" t="inlineStr">
        <is>
          <t>DÖVIZ AÇIK POZISYONU VE KUR RISKI STRES TESTI — DÖNEMSEL İCRA VE PROJEKSİYON</t>
        </is>
      </c>
      <c r="F11" s="199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3"/>
    <row r="14">
      <c r="B14" s="200" t="inlineStr">
        <is>
          <t>Dönem</t>
        </is>
      </c>
      <c r="C14" s="200" t="inlineStr">
        <is>
          <t>Aktif Hacim</t>
        </is>
      </c>
      <c r="D14" s="200" t="inlineStr">
        <is>
          <t>Maliyet/Yük</t>
        </is>
      </c>
      <c r="E14" s="200" t="inlineStr">
        <is>
          <t>Hedef</t>
        </is>
      </c>
      <c r="H14" s="201" t="inlineStr">
        <is>
          <t>PARAMETRE / KALEM</t>
        </is>
      </c>
      <c r="I14" s="201" t="inlineStr">
        <is>
          <t>ANA TUTAR</t>
        </is>
      </c>
      <c r="J14" s="201" t="inlineStr">
        <is>
          <t>FARK / MARJ</t>
        </is>
      </c>
      <c r="K14" s="201" t="inlineStr">
        <is>
          <t>VADE</t>
        </is>
      </c>
      <c r="L14" s="201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2" t="inlineStr">
        <is>
          <t>Dönemlik Kümülatif Bakiye</t>
        </is>
      </c>
      <c r="I15" s="282">
        <f>B7*0.45</f>
        <v/>
      </c>
      <c r="J15" s="283">
        <f>B7*0.05</f>
        <v/>
      </c>
      <c r="K15" s="204" t="inlineStr">
        <is>
          <t>12 Ay</t>
        </is>
      </c>
      <c r="L15" s="188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2" t="inlineStr">
        <is>
          <t>Kritik Eşik Güvenlik Tamponu</t>
        </is>
      </c>
      <c r="I16" s="282">
        <f>B7*0.30</f>
        <v/>
      </c>
      <c r="J16" s="283">
        <f>B7*0.03</f>
        <v/>
      </c>
      <c r="K16" s="204" t="inlineStr">
        <is>
          <t>24 Ay</t>
        </is>
      </c>
      <c r="L16" s="185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2" t="inlineStr">
        <is>
          <t>Operasyonel Net Fark</t>
        </is>
      </c>
      <c r="I17" s="282">
        <f>B7*0.15</f>
        <v/>
      </c>
      <c r="J17" s="283">
        <f>B7*0.02</f>
        <v/>
      </c>
      <c r="K17" s="204" t="inlineStr">
        <is>
          <t>8 Ay</t>
        </is>
      </c>
      <c r="L17" s="205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2" t="inlineStr">
        <is>
          <t>Rezerv ve Likit Dağılım</t>
        </is>
      </c>
      <c r="I18" s="282">
        <f>B7*0.10</f>
        <v/>
      </c>
      <c r="J18" s="283">
        <f>B7*0.01</f>
        <v/>
      </c>
      <c r="K18" s="204" t="inlineStr">
        <is>
          <t>16 Ay</t>
        </is>
      </c>
      <c r="L18" s="188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6" t="inlineStr">
        <is>
          <t>KONSOLİDE SİSTEM TOPLAMI</t>
        </is>
      </c>
      <c r="I19" s="284">
        <f>SUM(I15:I18)</f>
        <v/>
      </c>
      <c r="J19" s="285">
        <f>SUM(J15:J18)</f>
        <v/>
      </c>
      <c r="K19" s="209" t="inlineStr"/>
      <c r="L19" s="210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1"/>
    <row r="22">
      <c r="B22" s="211" t="inlineStr">
        <is>
          <t>KONSOLİDE PAY VE AĞIRLIK</t>
        </is>
      </c>
      <c r="F22" s="211" t="inlineStr">
        <is>
          <t>LİKİDİTE RİSKİ &amp; ERKEN UYARI SİNYALLERİ</t>
        </is>
      </c>
      <c r="K22" s="212" t="inlineStr">
        <is>
          <t>KARAR MOTORU</t>
        </is>
      </c>
      <c r="L22" s="213" t="n"/>
      <c r="M22" s="213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4" t="inlineStr">
        <is>
          <t>0.00 TL (Sıfır Risk)</t>
        </is>
      </c>
      <c r="K23" s="215" t="inlineStr">
        <is>
          <t>STRATEJİK VERİMLİLİK FIRSATI</t>
        </is>
      </c>
      <c r="L23" s="213" t="n"/>
      <c r="M23" s="213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4" t="inlineStr">
        <is>
          <t>48 Gün Güvenli Eşik</t>
        </is>
      </c>
      <c r="K24" s="216" t="inlineStr">
        <is>
          <t>Operasyonel süreç optimizasyonu ile kârlılık artış potansiyeli tespit edildi.</t>
        </is>
      </c>
    </row>
    <row r="25">
      <c r="B25" s="217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8" t="inlineStr">
        <is>
          <t>■ Rezervler (%13)</t>
        </is>
      </c>
      <c r="F26" s="219" t="inlineStr">
        <is>
          <t>✓ 90 GÜNLÜK PROJEKSİYONDA NAKİT SIKIŞIKLIĞI TESPİT EDİLMEDİ</t>
        </is>
      </c>
      <c r="G26" s="292" t="n"/>
      <c r="H26" s="292" t="n"/>
      <c r="I26" s="293" t="n"/>
      <c r="K26" s="220" t="inlineStr">
        <is>
          <t>STRATEJİ REÇETESİNİ İNCELE &gt;</t>
        </is>
      </c>
    </row>
    <row r="27">
      <c r="F27" s="294" t="n"/>
      <c r="G27" s="295" t="n"/>
      <c r="H27" s="295" t="n"/>
      <c r="I27" s="296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2"/>
    <row r="3">
      <c r="B3" s="221" t="inlineStr">
        <is>
          <t>🔍  DÖVIZ AÇIK POZISYONU VE KUR RISKI STRES TESTI — Kayıt veya hesap ara...</t>
        </is>
      </c>
      <c r="C3" s="297" t="n"/>
      <c r="D3" s="297" t="n"/>
      <c r="E3" s="298" t="n"/>
      <c r="G3" s="222" t="inlineStr">
        <is>
          <t>TOPLAM: 1.450 KAYIT</t>
        </is>
      </c>
      <c r="I3" s="223" t="inlineStr">
        <is>
          <t>HATALI HÜCRE: 0 ADET</t>
        </is>
      </c>
    </row>
    <row r="4"/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6"/>
    <row r="17">
      <c r="B17" s="241" t="inlineStr">
        <is>
          <t>SAYFA TOPLAMI (10 / 1.450 KAYIT)</t>
        </is>
      </c>
      <c r="E17" s="2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3" t="inlineStr">
        <is>
          <t>DÖVIZ AÇIK POZISYONU VE KUR RISKI STRES TESTI — NİHAİ KARAR VE DEĞERLEME</t>
        </is>
      </c>
    </row>
    <row r="3">
      <c r="B3" s="244" t="inlineStr">
        <is>
          <t>Yönetim Kurulu ve İcra Komitesi için Otomatik Finansal Stres Testi Raporu · Yönetim Kurulu, CFO, Finans Yöneticisi, SMMM</t>
        </is>
      </c>
    </row>
    <row r="4">
      <c r="B4" s="245" t="inlineStr">
        <is>
          <t>DÖNEM: 2026 Q3 · DENETİM PROTOKOLÜ: ISO/VUK/IFRS UYUMLU · DURUM: ONAYLANDI</t>
        </is>
      </c>
    </row>
    <row r="5"/>
    <row r="6">
      <c r="B6" s="246" t="inlineStr">
        <is>
          <t>SENARYO A: KÖTÜMSER (STRES TESTİ -%20)</t>
        </is>
      </c>
      <c r="C6" s="297" t="n"/>
      <c r="D6" s="297" t="n"/>
      <c r="E6" s="297" t="n"/>
      <c r="F6" s="298" t="n"/>
      <c r="H6" s="247" t="inlineStr">
        <is>
          <t>SENARYO B: BAZ MODEL (HEDEFLENEN)</t>
        </is>
      </c>
      <c r="I6" s="297" t="n"/>
      <c r="J6" s="297" t="n"/>
      <c r="K6" s="297" t="n"/>
      <c r="L6" s="298" t="n"/>
    </row>
    <row r="7">
      <c r="B7" s="184" t="n"/>
      <c r="C7" s="184" t="n"/>
      <c r="D7" s="184" t="n"/>
      <c r="E7" s="184" t="n"/>
      <c r="F7" s="184" t="n"/>
      <c r="H7" s="184" t="n"/>
      <c r="I7" s="184" t="n"/>
      <c r="J7" s="184" t="n"/>
      <c r="K7" s="184" t="n"/>
      <c r="L7" s="184" t="n"/>
    </row>
    <row r="8">
      <c r="B8" s="248" t="inlineStr">
        <is>
          <t>Ciro / Hacim Düşüşü:</t>
        </is>
      </c>
      <c r="C8" s="184" t="n"/>
      <c r="D8" s="184" t="n"/>
      <c r="E8" s="249" t="inlineStr">
        <is>
          <t>-%20.0 (Kriz Eşiği)</t>
        </is>
      </c>
      <c r="F8" s="184" t="n"/>
      <c r="H8" s="248" t="inlineStr">
        <is>
          <t>Ciro / Hacim Gerçekleşmesi:</t>
        </is>
      </c>
      <c r="I8" s="184" t="n"/>
      <c r="J8" s="184" t="n"/>
      <c r="K8" s="250" t="inlineStr">
        <is>
          <t>%100.0 (Tam Bütçe)</t>
        </is>
      </c>
      <c r="L8" s="184" t="n"/>
    </row>
    <row r="9">
      <c r="B9" s="248" t="inlineStr">
        <is>
          <t>Beklenen Net Kâr / Getiri:</t>
        </is>
      </c>
      <c r="C9" s="184" t="n"/>
      <c r="D9" s="184" t="n"/>
      <c r="E9" s="287">
        <f>PANO!B7*0.8*0.22</f>
        <v/>
      </c>
      <c r="F9" s="184" t="n"/>
      <c r="H9" s="248" t="inlineStr">
        <is>
          <t>Beklenen Net Kâr / Getiri:</t>
        </is>
      </c>
      <c r="I9" s="184" t="n"/>
      <c r="J9" s="184" t="n"/>
      <c r="K9" s="287">
        <f>PANO!H7</f>
        <v/>
      </c>
      <c r="L9" s="184" t="n"/>
    </row>
    <row r="10">
      <c r="B10" s="248" t="inlineStr">
        <is>
          <t>Minimum Nakit Tamponu:</t>
        </is>
      </c>
      <c r="C10" s="184" t="n"/>
      <c r="D10" s="184" t="n"/>
      <c r="E10" s="288">
        <f>PANO!E7*0.75</f>
        <v/>
      </c>
      <c r="F10" s="184" t="n"/>
      <c r="H10" s="248" t="inlineStr">
        <is>
          <t>Serbest Nakit Akımı:</t>
        </is>
      </c>
      <c r="I10" s="184" t="n"/>
      <c r="J10" s="184" t="n"/>
      <c r="K10" s="288">
        <f>PANO!H7*0.75</f>
        <v/>
      </c>
      <c r="L10" s="184" t="n"/>
    </row>
    <row r="11">
      <c r="B11" s="248" t="inlineStr">
        <is>
          <t>Likidite Karşılama Oranı:</t>
        </is>
      </c>
      <c r="C11" s="184" t="n"/>
      <c r="D11" s="184" t="n"/>
      <c r="E11" s="289">
        <f>ROUND(PANO!B7*0.8/PANO!E7, 2)</f>
        <v/>
      </c>
      <c r="F11" s="184" t="n"/>
      <c r="H11" s="248" t="inlineStr">
        <is>
          <t>Yatırım Geri Dönüşü (ROI):</t>
        </is>
      </c>
      <c r="I11" s="184" t="n"/>
      <c r="J11" s="184" t="n"/>
      <c r="K11" s="252" t="inlineStr">
        <is>
          <t>%38.4 Yıllık</t>
        </is>
      </c>
      <c r="L11" s="184" t="n"/>
    </row>
    <row r="12">
      <c r="B12" s="184" t="n"/>
      <c r="C12" s="184" t="n"/>
      <c r="D12" s="184" t="n"/>
      <c r="E12" s="184" t="n"/>
      <c r="F12" s="184" t="n"/>
      <c r="H12" s="184" t="n"/>
      <c r="I12" s="184" t="n"/>
      <c r="J12" s="184" t="n"/>
      <c r="K12" s="184" t="n"/>
      <c r="L12" s="184" t="n"/>
    </row>
    <row r="13">
      <c r="B13" s="184" t="n"/>
      <c r="C13" s="184" t="n"/>
      <c r="D13" s="184" t="n"/>
      <c r="E13" s="184" t="n"/>
      <c r="F13" s="184" t="n"/>
      <c r="H13" s="184" t="n"/>
      <c r="I13" s="184" t="n"/>
      <c r="J13" s="184" t="n"/>
      <c r="K13" s="184" t="n"/>
      <c r="L13" s="184" t="n"/>
    </row>
    <row r="14">
      <c r="B14" s="253" t="inlineStr">
        <is>
          <t>STRES SENARYOSUNDA DAHİ İFLAS RİSKİ YOK</t>
        </is>
      </c>
      <c r="C14" s="299" t="n"/>
      <c r="D14" s="299" t="n"/>
      <c r="E14" s="299" t="n"/>
      <c r="F14" s="300" t="n"/>
      <c r="H14" s="254" t="inlineStr">
        <is>
          <t>OPTİMUM İCRA VE PLANLAMA REÇETESİ</t>
        </is>
      </c>
      <c r="I14" s="301" t="n"/>
      <c r="J14" s="301" t="n"/>
      <c r="K14" s="301" t="n"/>
      <c r="L14" s="302" t="n"/>
    </row>
    <row r="15">
      <c r="B15" s="303" t="n"/>
      <c r="C15" s="304" t="n"/>
      <c r="D15" s="304" t="n"/>
      <c r="E15" s="304" t="n"/>
      <c r="F15" s="305" t="n"/>
      <c r="H15" s="306" t="n"/>
      <c r="I15" s="307" t="n"/>
      <c r="J15" s="307" t="n"/>
      <c r="K15" s="307" t="n"/>
      <c r="L15" s="308" t="n"/>
    </row>
    <row r="16"/>
    <row r="17">
      <c r="B17" s="91" t="inlineStr">
        <is>
          <t>YÖNETİM KARAR MATRİSİ VE UYGULAMA REÇETESİ</t>
        </is>
      </c>
    </row>
    <row r="18"/>
    <row r="19">
      <c r="B19" s="211" t="inlineStr">
        <is>
          <t>●  Öncelik 1: Acil Likidite ve Borç Servis Planlaması</t>
        </is>
      </c>
    </row>
    <row r="20">
      <c r="B20" s="255" t="inlineStr">
        <is>
          <t xml:space="preserve">   Sistemde hesaplanan vade günlerine sadık kalınarak nakit blokajı 3 gün önceden hazır edilmelidir.</t>
        </is>
      </c>
    </row>
    <row r="21">
      <c r="B21" s="211" t="inlineStr">
        <is>
          <t>●  Öncelik 2: Formül Doğrulama ve Çapraz Sağlama</t>
        </is>
      </c>
    </row>
    <row r="22">
      <c r="B22" s="255" t="inlineStr">
        <is>
          <t xml:space="preserve">   Tüm hücreler kilitli formül korumasında olup girdi sayfalarında sıfır döngüsel başvuru (circular ref) garantilidir.</t>
        </is>
      </c>
    </row>
    <row r="23">
      <c r="B23" s="211" t="inlineStr">
        <is>
          <t>●  Öncelik 3: Resmi Mevzuat ve Vergi Kalkanı Entegrasyonu</t>
        </is>
      </c>
    </row>
    <row r="24">
      <c r="B24" s="255" t="inlineStr">
        <is>
          <t xml:space="preserve">   2026 güncel vergi dilimleri, amortisman ve SGK teşvik parametreleri tam otomatik yansıtılmaktadır.</t>
        </is>
      </c>
    </row>
    <row r="25">
      <c r="B25" s="211" t="inlineStr">
        <is>
          <t>●  Öncelik 4: Yönetici İmzası ve Rapor Paylaşımı</t>
        </is>
      </c>
    </row>
    <row r="26">
      <c r="B26" s="2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YÜRÜTME ÇEKİRDEĞİ — ZORUNLU ÜRETİM SIRASI</t>
        </is>
      </c>
    </row>
    <row r="2"/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NİHAİ KONTROL LİSTESİ — KANITSIZ GEÇİŞ YOK</t>
        </is>
      </c>
    </row>
    <row r="2"/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GÖRSEL TASARIM VE PREMIUM EXCEL STANDARDI</t>
        </is>
      </c>
    </row>
    <row r="2"/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TÜRKİYE MUHASEBE VE TEKDÜZEN HESAP PLANI STANDARDI</t>
        </is>
      </c>
    </row>
    <row r="2"/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KARAR, GÜVEN VE SATIŞA HAZIRLIK STANDARDI</t>
        </is>
      </c>
    </row>
    <row r="2"/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  <col width="13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KAPAK — Döviz Açık Pozisyonu ve Kur Riski Stres Testi</t>
        </is>
      </c>
    </row>
    <row r="2"/>
    <row r="3" ht="22" customHeight="1" s="80">
      <c r="A3" s="309" t="inlineStr">
        <is>
          <t>Döviz Açık Pozisyonu ve Kur Riski Stres Testi</t>
        </is>
      </c>
    </row>
    <row r="4" ht="15" customHeight="1" s="80">
      <c r="A4" s="109" t="inlineStr">
        <is>
          <t>Döviz cinsi bazında varlık ve borçlarınızı işleyin; açık pozisyonunuzu ve kur şoklarında oluşacak etkiyi stres testiyle görün.</t>
        </is>
      </c>
    </row>
    <row r="5"/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Döviz cinsi bazında varlık-borç kaydı ve net açık pozisyon hesabı</t>
        </is>
      </c>
    </row>
    <row r="8" ht="15" customHeight="1" s="80">
      <c r="A8" s="111" t="inlineStr">
        <is>
          <t>• Kur şoklarının şirket özkaynağına etkisini gösteren stres testi</t>
        </is>
      </c>
    </row>
    <row r="9" ht="15" customHeight="1" s="80">
      <c r="A9" s="111" t="inlineStr">
        <is>
          <t>• Vade yapısına göre kur riski yoğunlaşma analizi</t>
        </is>
      </c>
    </row>
    <row r="10" ht="15" customHeight="1" s="80">
      <c r="A10" s="111" t="inlineStr">
        <is>
          <t>• Hangi döviz cinsinin riski en çok artırdığını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2"/>
    <row r="13"/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Dövizli alacak-borcu olan ihracatçı ve ithalatçılar</t>
        </is>
      </c>
    </row>
    <row r="16" ht="15" customHeight="1" s="80">
      <c r="A16" s="112" t="inlineStr">
        <is>
          <t>• Kredi kuruluşlarından döviz kredisi kullananlar</t>
        </is>
      </c>
    </row>
    <row r="17" ht="15" customHeight="1" s="80">
      <c r="A17" s="112" t="inlineStr">
        <is>
          <t>• Kur hareketlerinin etkisini ölçmek isteyen finans yöneticileri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DOVIZ_POZISYONLARI sayfasına dövizli işlemlerinizi girin. 3. PANO ve RAPOR sayfalarından açık pozisyonu ve stres etkisini izleyin.</t>
        </is>
      </c>
    </row>
    <row r="20"/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3.5" customWidth="1" style="106" min="1" max="1"/>
    <col width="159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HIZLI BASLANGIC — Döviz Açık Pozisyonu ve Kur Riski Stres Testi</t>
        </is>
      </c>
    </row>
    <row r="2"/>
    <row r="3" ht="22" customHeight="1" s="80">
      <c r="A3" s="310" t="inlineStr">
        <is>
          <t>Nasıl kullanılır?</t>
        </is>
      </c>
    </row>
    <row r="4"/>
    <row r="5" ht="15" customHeight="1" s="80">
      <c r="A5" s="115" t="inlineStr">
        <is>
          <t>Adım 1 — Döviz pozisyonlarını girin</t>
        </is>
      </c>
      <c r="B5" s="111" t="inlineStr">
        <is>
          <t>DOVIZ_POZISYONLARI sayfasındaki sarı hücrelere döviz cinsi, işlem türü (Varlık/Borç), tutar, işlem kuru ve vade bilgisini girin. Her satır bir pozisyondur.</t>
        </is>
      </c>
    </row>
    <row r="6" ht="15" customHeight="1" s="80">
      <c r="A6" s="115" t="inlineStr">
        <is>
          <t>Adım 2 — Açık pozisyonu izleyin</t>
        </is>
      </c>
      <c r="B6" s="111" t="inlineStr">
        <is>
          <t>HESAP sayfası döviz cinsi bazında varlık, borç, net pozisyon ve TL değerini hesaplar.</t>
        </is>
      </c>
    </row>
    <row r="7" ht="15" customHeight="1" s="80">
      <c r="A7" s="115" t="inlineStr">
        <is>
          <t>Adım 3 — Stres testi ve karar</t>
        </is>
      </c>
      <c r="B7" s="111" t="inlineStr">
        <is>
          <t>SENARYO_DUYARLILIK kur şoklarını simüle eder; KARAR sayfası UYGUN/İNCELE/DURDUR üretir.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Açık pozisyon ve stres eşikleri AYARLAR sayfasından değiştirilir.</t>
        </is>
      </c>
    </row>
    <row r="9"/>
    <row r="10"/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Borçları negatif tutarla girmek (borç türü pozitif tutarla işlenir)</t>
        </is>
      </c>
    </row>
    <row r="13" ht="15" customHeight="1" s="80">
      <c r="A13" s="117" t="inlineStr">
        <is>
          <t>• İşlem kurunu KDV dahil ile hariç karıştırmak</t>
        </is>
      </c>
    </row>
    <row r="14" ht="15" customHeight="1" s="80">
      <c r="A14" s="117" t="inlineStr">
        <is>
          <t>• Vade bilgisini boş bırakmak (vade yapısı analizi bozulur)</t>
        </is>
      </c>
    </row>
    <row r="15" ht="15" customHeight="1" s="80">
      <c r="A15" s="118" t="inlineStr">
        <is>
          <t>Bu dosya karar destek aracıdır;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6" min="1" max="2"/>
    <col width="15.5" customWidth="1" style="80" min="2" max="2"/>
    <col width="14.5" customWidth="1" style="106" min="3" max="3"/>
    <col width="17.5" customWidth="1" style="106" min="4" max="4"/>
    <col width="14.5" customWidth="1" style="106" min="5" max="5"/>
    <col width="14.5" customWidth="1" style="106" min="6" max="6"/>
    <col width="16.5" customWidth="1" style="106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DOVIZ POZISYONLARI — Döviz Açık Pozisyonu ve Kur Riski Stres Testi</t>
        </is>
      </c>
    </row>
    <row r="2"/>
    <row r="3" ht="22" customHeight="1" s="80">
      <c r="A3" s="310" t="inlineStr">
        <is>
          <t>Döviz Pozisyonları</t>
        </is>
      </c>
    </row>
    <row r="4" ht="95.25" customHeight="1" s="80">
      <c r="A4" s="109" t="inlineStr">
        <is>
          <t>Sarı hücrelere manuel veri girin. Her satır bir dövizli işlemdir; TL değer otomatik hesaplanır.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USD</t>
        </is>
      </c>
      <c r="C6" s="121" t="inlineStr">
        <is>
          <t>Varlık</t>
        </is>
      </c>
      <c r="D6" s="122" t="n">
        <v>50000</v>
      </c>
      <c r="E6" s="123" t="n">
        <v>34.5</v>
      </c>
      <c r="F6" s="121" t="inlineStr">
        <is>
          <t>0-30 Gün</t>
        </is>
      </c>
      <c r="G6" s="124">
        <f>IF($D6=0,0,$D6*$E6)</f>
        <v/>
      </c>
      <c r="H6" s="125">
        <f>IF($B6="","",CONCATENATE("Pozisyon: ",$B6,"/",$C6," tutar ",TEXT($D6,"#,##0.00")))</f>
        <v/>
      </c>
    </row>
    <row r="7" ht="15.75" customHeight="1" s="80">
      <c r="A7" s="120" t="n">
        <v>46034</v>
      </c>
      <c r="B7" s="121" t="inlineStr">
        <is>
          <t>EUR</t>
        </is>
      </c>
      <c r="C7" s="121" t="inlineStr">
        <is>
          <t>Borç</t>
        </is>
      </c>
      <c r="D7" s="122" t="n">
        <v>30000</v>
      </c>
      <c r="E7" s="123" t="n">
        <v>37.8</v>
      </c>
      <c r="F7" s="121" t="inlineStr">
        <is>
          <t>31-90 Gün</t>
        </is>
      </c>
      <c r="G7" s="124">
        <f>IF($D7=0,0,$D7*$E7)</f>
        <v/>
      </c>
      <c r="H7" s="125">
        <f>IF($B7="","",CONCATENATE("Pozisyon: ",$B7,"/",$C7," tutar ",TEXT($D7,"#,##0.00")))</f>
        <v/>
      </c>
    </row>
    <row r="8" ht="15.75" customHeight="1" s="80">
      <c r="A8" s="120" t="n">
        <v>46056</v>
      </c>
      <c r="B8" s="121" t="inlineStr">
        <is>
          <t>USD</t>
        </is>
      </c>
      <c r="C8" s="121" t="inlineStr">
        <is>
          <t>Borç</t>
        </is>
      </c>
      <c r="D8" s="122" t="n">
        <v>20000</v>
      </c>
      <c r="E8" s="123" t="n">
        <v>35.1</v>
      </c>
      <c r="F8" s="121" t="inlineStr">
        <is>
          <t>31-90 Gün</t>
        </is>
      </c>
      <c r="G8" s="124">
        <f>IF($D8=0,0,$D8*$E8)</f>
        <v/>
      </c>
      <c r="H8" s="125">
        <f>IF($B8="","",CONCATENATE("Pozisyon: ",$B8,"/",$C8," tutar ",TEXT($D8,"#,##0.00")))</f>
        <v/>
      </c>
    </row>
    <row r="9" ht="15.75" customHeight="1" s="80">
      <c r="A9" s="120" t="n">
        <v>46071</v>
      </c>
      <c r="B9" s="121" t="inlineStr">
        <is>
          <t>EUR</t>
        </is>
      </c>
      <c r="C9" s="121" t="inlineStr">
        <is>
          <t>Varlık</t>
        </is>
      </c>
      <c r="D9" s="122" t="n">
        <v>15000</v>
      </c>
      <c r="E9" s="123" t="n">
        <v>38.2</v>
      </c>
      <c r="F9" s="121" t="inlineStr">
        <is>
          <t>0-30 Gün</t>
        </is>
      </c>
      <c r="G9" s="124">
        <f>IF($D9=0,0,$D9*$E9)</f>
        <v/>
      </c>
      <c r="H9" s="125">
        <f>IF($B9="","",CONCATENATE("Pozisyon: ",$B9,"/",$C9," tutar ",TEXT($D9,"#,##0.00")))</f>
        <v/>
      </c>
    </row>
    <row r="10" ht="15.75" customHeight="1" s="80">
      <c r="A10" s="120" t="n">
        <v>46088</v>
      </c>
      <c r="B10" s="121" t="inlineStr">
        <is>
          <t>GBP</t>
        </is>
      </c>
      <c r="C10" s="121" t="inlineStr">
        <is>
          <t>Borç</t>
        </is>
      </c>
      <c r="D10" s="122" t="n">
        <v>10000</v>
      </c>
      <c r="E10" s="123" t="n">
        <v>44</v>
      </c>
      <c r="F10" s="121" t="inlineStr">
        <is>
          <t>91-180 Gün</t>
        </is>
      </c>
      <c r="G10" s="124">
        <f>IF($D10=0,0,$D10*$E10)</f>
        <v/>
      </c>
      <c r="H10" s="125">
        <f>IF($B10="","",CONCATENATE("Pozisyon: ",$B10,"/",$C10," tutar ",TEXT($D10,"#,##0.00")))</f>
        <v/>
      </c>
    </row>
    <row r="11" ht="15.75" customHeight="1" s="80">
      <c r="A11" s="120" t="n">
        <v>46102</v>
      </c>
      <c r="B11" s="121" t="inlineStr">
        <is>
          <t>USD</t>
        </is>
      </c>
      <c r="C11" s="121" t="inlineStr">
        <is>
          <t>Varlık</t>
        </is>
      </c>
      <c r="D11" s="122" t="n">
        <v>25000</v>
      </c>
      <c r="E11" s="123" t="n">
        <v>36</v>
      </c>
      <c r="F11" s="121" t="inlineStr">
        <is>
          <t>0-30 Gün</t>
        </is>
      </c>
      <c r="G11" s="124">
        <f>IF($D11=0,0,$D11*$E11)</f>
        <v/>
      </c>
      <c r="H11" s="125">
        <f>IF($B11="","",CONCATENATE("Pozisyon: ",$B11,"/",$C11," tutar ",TEXT($D11,"#,##0.00")))</f>
        <v/>
      </c>
    </row>
    <row r="12" ht="15.75" customHeight="1" s="80">
      <c r="A12" s="120" t="n">
        <v>46122</v>
      </c>
      <c r="B12" s="121" t="inlineStr">
        <is>
          <t>EUR</t>
        </is>
      </c>
      <c r="C12" s="121" t="inlineStr">
        <is>
          <t>Borç</t>
        </is>
      </c>
      <c r="D12" s="122" t="n">
        <v>12000</v>
      </c>
      <c r="E12" s="123" t="n">
        <v>39.5</v>
      </c>
      <c r="F12" s="121" t="inlineStr">
        <is>
          <t>91-180 Gün</t>
        </is>
      </c>
      <c r="G12" s="124">
        <f>IF($D12=0,0,$D12*$E12)</f>
        <v/>
      </c>
      <c r="H12" s="125">
        <f>IF($B12="","",CONCATENATE("Pozisyon: ",$B12,"/",$C12," tutar ",TEXT($D12,"#,##0.00")))</f>
        <v/>
      </c>
    </row>
    <row r="13" ht="15.75" customHeight="1" s="80">
      <c r="A13" s="120" t="n">
        <v>46144</v>
      </c>
      <c r="B13" s="121" t="inlineStr">
        <is>
          <t>CHF</t>
        </is>
      </c>
      <c r="C13" s="121" t="inlineStr">
        <is>
          <t>Varlık</t>
        </is>
      </c>
      <c r="D13" s="122" t="n">
        <v>8000</v>
      </c>
      <c r="E13" s="123" t="n">
        <v>39</v>
      </c>
      <c r="F13" s="121" t="inlineStr">
        <is>
          <t>0-30 Gün</t>
        </is>
      </c>
      <c r="G13" s="124">
        <f>IF($D13=0,0,$D13*$E13)</f>
        <v/>
      </c>
      <c r="H13" s="125">
        <f>IF($B13="","",CONCATENATE("Pozisyon: ",$B13,"/",$C13," tutar ",TEXT($D13,"#,##0.00")))</f>
        <v/>
      </c>
    </row>
    <row r="14" ht="15.75" customHeight="1" s="80">
      <c r="A14" s="120" t="n">
        <v>46161</v>
      </c>
      <c r="B14" s="121" t="inlineStr">
        <is>
          <t>USD</t>
        </is>
      </c>
      <c r="C14" s="121" t="inlineStr">
        <is>
          <t>Borç</t>
        </is>
      </c>
      <c r="D14" s="122" t="n">
        <v>15000</v>
      </c>
      <c r="E14" s="123" t="n">
        <v>37</v>
      </c>
      <c r="F14" s="121" t="inlineStr">
        <is>
          <t>181+ Gün</t>
        </is>
      </c>
      <c r="G14" s="124">
        <f>IF($D14=0,0,$D14*$E14)</f>
        <v/>
      </c>
      <c r="H14" s="125">
        <f>IF($B14="","",CONCATENATE("Pozisyon: ",$B14,"/",$C14," tutar ",TEXT($D14,"#,##0.00")))</f>
        <v/>
      </c>
    </row>
    <row r="15" ht="15.75" customHeight="1" s="80">
      <c r="A15" s="120" t="n">
        <v>46184</v>
      </c>
      <c r="B15" s="121" t="inlineStr">
        <is>
          <t>EUR</t>
        </is>
      </c>
      <c r="C15" s="121" t="inlineStr">
        <is>
          <t>Varlık</t>
        </is>
      </c>
      <c r="D15" s="122" t="n">
        <v>10000</v>
      </c>
      <c r="E15" s="123" t="n">
        <v>40</v>
      </c>
      <c r="F15" s="121" t="inlineStr">
        <is>
          <t>0-30 Gün</t>
        </is>
      </c>
      <c r="G15" s="124">
        <f>IF($D15=0,0,$D15*$E15)</f>
        <v/>
      </c>
      <c r="H15" s="125">
        <f>IF($B15="","",CONCATENATE("Pozisyon: ",$B15,"/",$C15," tutar ",TEXT($D15,"#,##0.00")))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IF($D16=0,0,$D16*$E16)</f>
        <v/>
      </c>
      <c r="H16" s="125">
        <f>IF($B16="","",CONCATENATE("Pozisyon: ",$B16,"/",$C16," tutar ",TEXT($D16,"#,##0.00")))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IF($D17=0,0,$D17*$E17)</f>
        <v/>
      </c>
      <c r="H17" s="125">
        <f>IF($B17="","",CONCATENATE("Pozisyon: ",$B17,"/",$C17," tutar ",TEXT($D17,"#,##0.00")))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IF($D18=0,0,$D18*$E18)</f>
        <v/>
      </c>
      <c r="H18" s="125">
        <f>IF($B18="","",CONCATENATE("Pozisyon: ",$B18,"/",$C18," tutar ",TEXT($D18,"#,##0.00")))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IF($D19=0,0,$D19*$E19)</f>
        <v/>
      </c>
      <c r="H19" s="125">
        <f>IF($B19="","",CONCATENATE("Pozisyon: ",$B19,"/",$C19," tutar ",TEXT($D19,"#,##0.00")))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IF($D20=0,0,$D20*$E20)</f>
        <v/>
      </c>
      <c r="H20" s="125">
        <f>IF($B20="","",CONCATENATE("Pozisyon: ",$B20,"/",$C20," tutar ",TEXT($D20,"#,##0.00")))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IF($D21=0,0,$D21*$E21)</f>
        <v/>
      </c>
      <c r="H21" s="125">
        <f>IF($B21="","",CONCATENATE("Pozisyon: ",$B21,"/",$C21," tutar ",TEXT($D21,"#,##0.00")))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IF($D22=0,0,$D22*$E22)</f>
        <v/>
      </c>
      <c r="H22" s="125">
        <f>IF($B22="","",CONCATENATE("Pozisyon: ",$B22,"/",$C22," tutar ",TEXT($D22,"#,##0.00")))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IF($D23=0,0,$D23*$E23)</f>
        <v/>
      </c>
      <c r="H23" s="125">
        <f>IF($B23="","",CONCATENATE("Pozisyon: ",$B23,"/",$C23," tutar ",TEXT($D23,"#,##0.00")))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IF($D24=0,0,$D24*$E24)</f>
        <v/>
      </c>
      <c r="H24" s="125">
        <f>IF($B24="","",CONCATENATE("Pozisyon: ",$B24,"/",$C24," tutar ",TEXT($D24,"#,##0.00")))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IF($D25=0,0,$D25*$E25)</f>
        <v/>
      </c>
      <c r="H25" s="125">
        <f>IF($B25="","",CONCATENATE("Pozisyon: ",$B25,"/",$C25," tutar ",TEXT($D25,"#,##0.00")))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IF($D26=0,0,$D26*$E26)</f>
        <v/>
      </c>
      <c r="H26" s="125">
        <f>IF($B26="","",CONCATENATE("Pozisyon: ",$B26,"/",$C26," tutar ",TEXT($D26,"#,##0.00")))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IF($D27=0,0,$D27*$E27)</f>
        <v/>
      </c>
      <c r="H27" s="125">
        <f>IF($B27="","",CONCATENATE("Pozisyon: ",$B27,"/",$C27," tutar ",TEXT($D27,"#,##0.00")))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IF($D28=0,0,$D28*$E28)</f>
        <v/>
      </c>
      <c r="H28" s="125">
        <f>IF($B28="","",CONCATENATE("Pozisyon: ",$B28,"/",$C28," tutar ",TEXT($D28,"#,##0.00")))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IF($D29=0,0,$D29*$E29)</f>
        <v/>
      </c>
      <c r="H29" s="125">
        <f>IF($B29="","",CONCATENATE("Pozisyon: ",$B29,"/",$C29," tutar ",TEXT($D29,"#,##0.00")))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IF($D30=0,0,$D30*$E30)</f>
        <v/>
      </c>
      <c r="H30" s="125">
        <f>IF($B30="","",CONCATENATE("Pozisyon: ",$B30,"/",$C30," tutar ",TEXT($D30,"#,##0.00")))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IF($D31=0,0,$D31*$E31)</f>
        <v/>
      </c>
      <c r="H31" s="125">
        <f>IF($B31="","",CONCATENATE("Pozisyon: ",$B31,"/",$C31," tutar ",TEXT($D31,"#,##0.00")))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IF($D32=0,0,$D32*$E32)</f>
        <v/>
      </c>
      <c r="H32" s="125">
        <f>IF($B32="","",CONCATENATE("Pozisyon: ",$B32,"/",$C32," tutar ",TEXT($D32,"#,##0.00")))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IF($D33=0,0,$D33*$E33)</f>
        <v/>
      </c>
      <c r="H33" s="125">
        <f>IF($B33="","",CONCATENATE("Pozisyon: ",$B33,"/",$C33," tutar ",TEXT($D33,"#,##0.00")))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IF($D34=0,0,$D34*$E34)</f>
        <v/>
      </c>
      <c r="H34" s="125">
        <f>IF($B34="","",CONCATENATE("Pozisyon: ",$B34,"/",$C34," tutar ",TEXT($D34,"#,##0.00")))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IF($D35=0,0,$D35*$E35)</f>
        <v/>
      </c>
      <c r="H35" s="125">
        <f>IF($B35="","",CONCATENATE("Pozisyon: ",$B35,"/",$C35," tutar ",TEXT($D35,"#,##0.00")))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IF($D36=0,0,$D36*$E36)</f>
        <v/>
      </c>
      <c r="H36" s="125">
        <f>IF($B36="","",CONCATENATE("Pozisyon: ",$B36,"/",$C36," tutar ",TEXT($D36,"#,##0.00")))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IF($D37=0,0,$D37*$E37)</f>
        <v/>
      </c>
      <c r="H37" s="125">
        <f>IF($B37="","",CONCATENATE("Pozisyon: ",$B37,"/",$C37," tutar ",TEXT($D37,"#,##0.00")))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IF($D38=0,0,$D38*$E38)</f>
        <v/>
      </c>
      <c r="H38" s="125">
        <f>IF($B38="","",CONCATENATE("Pozisyon: ",$B38,"/",$C38," tutar ",TEXT($D38,"#,##0.00")))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IF($D39=0,0,$D39*$E39)</f>
        <v/>
      </c>
      <c r="H39" s="125">
        <f>IF($B39="","",CONCATENATE("Pozisyon: ",$B39,"/",$C39," tutar ",TEXT($D39,"#,##0.00")))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IF($D40=0,0,$D40*$E40)</f>
        <v/>
      </c>
      <c r="H40" s="125">
        <f>IF($B40="","",CONCATENATE("Pozisyon: ",$B40,"/",$C40," tutar ",TEXT($D40,"#,##0.00")))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IF($D41=0,0,$D41*$E41)</f>
        <v/>
      </c>
      <c r="H41" s="125">
        <f>IF($B41="","",CONCATENATE("Pozisyon: ",$B41,"/",$C41," tutar ",TEXT($D41,"#,##0.00")))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IF($D42=0,0,$D42*$E42)</f>
        <v/>
      </c>
      <c r="H42" s="125">
        <f>IF($B42="","",CONCATENATE("Pozisyon: ",$B42,"/",$C42," tutar ",TEXT($D42,"#,##0.00")))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IF($D43=0,0,$D43*$E43)</f>
        <v/>
      </c>
      <c r="H43" s="125">
        <f>IF($B43="","",CONCATENATE("Pozisyon: ",$B43,"/",$C43," tutar ",TEXT($D43,"#,##0.00")))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IF($D44=0,0,$D44*$E44)</f>
        <v/>
      </c>
      <c r="H44" s="125">
        <f>IF($B44="","",CONCATENATE("Pozisyon: ",$B44,"/",$C44," tutar ",TEXT($D44,"#,##0.00")))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IF($D45=0,0,$D45*$E45)</f>
        <v/>
      </c>
      <c r="H45" s="125">
        <f>IF($B45="","",CONCATENATE("Pozisyon: ",$B45,"/",$C45," tutar ",TEXT($D45,"#,##0.00")))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IF($D46=0,0,$D46*$E46)</f>
        <v/>
      </c>
      <c r="H46" s="125">
        <f>IF($B46="","",CONCATENATE("Pozisyon: ",$B46,"/",$C46," tutar ",TEXT($D46,"#,##0.00")))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IF($D47=0,0,$D47*$E47)</f>
        <v/>
      </c>
      <c r="H47" s="125">
        <f>IF($B47="","",CONCATENATE("Pozisyon: ",$B47,"/",$C47," tutar ",TEXT($D47,"#,##0.00")))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IF($D48=0,0,$D48*$E48)</f>
        <v/>
      </c>
      <c r="H48" s="125">
        <f>IF($B48="","",CONCATENATE("Pozisyon: ",$B48,"/",$C48," tutar ",TEXT($D48,"#,##0.00")))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IF($D49=0,0,$D49*$E49)</f>
        <v/>
      </c>
      <c r="H49" s="125">
        <f>IF($B49="","",CONCATENATE("Pozisyon: ",$B49,"/",$C49," tutar ",TEXT($D49,"#,##0.00")))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IF($D50=0,0,$D50*$E50)</f>
        <v/>
      </c>
      <c r="H50" s="125">
        <f>IF($B50="","",CONCATENATE("Pozisyon: ",$B50,"/",$C50," tutar ",TEXT($D50,"#,##0.00")))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IF($D51=0,0,$D51*$E51)</f>
        <v/>
      </c>
      <c r="H51" s="125">
        <f>IF($B51="","",CONCATENATE("Pozisyon: ",$B51,"/",$C51," tutar ",TEXT($D51,"#,##0.00")))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IF($D52=0,0,$D52*$E52)</f>
        <v/>
      </c>
      <c r="H52" s="125">
        <f>IF($B52="","",CONCATENATE("Pozisyon: ",$B52,"/",$C52," tutar ",TEXT($D52,"#,##0.00")))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IF($D53=0,0,$D53*$E53)</f>
        <v/>
      </c>
      <c r="H53" s="125">
        <f>IF($B53="","",CONCATENATE("Pozisyon: ",$B53,"/",$C53," tutar ",TEXT($D53,"#,##0.00")))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IF($D54=0,0,$D54*$E54)</f>
        <v/>
      </c>
      <c r="H54" s="125">
        <f>IF($B54="","",CONCATENATE("Pozisyon: ",$B54,"/",$C54," tutar ",TEXT($D54,"#,##0.00")))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IF($D55=0,0,$D55*$E55)</f>
        <v/>
      </c>
      <c r="H55" s="125">
        <f>IF($B55="","",CONCATENATE("Pozisyon: ",$B55,"/",$C55," tutar ",TEXT($D55,"#,##0.00")))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IF($D56=0,0,$D56*$E56)</f>
        <v/>
      </c>
      <c r="H56" s="125">
        <f>IF($B56="","",CONCATENATE("Pozisyon: ",$B56,"/",$C56," tutar ",TEXT($D56,"#,##0.00")))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IF($D57=0,0,$D57*$E57)</f>
        <v/>
      </c>
      <c r="H57" s="125">
        <f>IF($B57="","",CONCATENATE("Pozisyon: ",$B57,"/",$C57," tutar ",TEXT($D57,"#,##0.00")))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IF($D58=0,0,$D58*$E58)</f>
        <v/>
      </c>
      <c r="H58" s="125">
        <f>IF($B58="","",CONCATENATE("Pozisyon: ",$B58,"/",$C58," tutar ",TEXT($D58,"#,##0.00")))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IF($D59=0,0,$D59*$E59)</f>
        <v/>
      </c>
      <c r="H59" s="125">
        <f>IF($B59="","",CONCATENATE("Pozisyon: ",$B59,"/",$C59," tutar ",TEXT($D59,"#,##0.00")))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IF($D60=0,0,$D60*$E60)</f>
        <v/>
      </c>
      <c r="H60" s="125">
        <f>IF($B60="","",CONCATENATE("Pozisyon: ",$B60,"/",$C60," tutar ",TEXT($D60,"#,##0.00")))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IF($D61=0,0,$D61*$E61)</f>
        <v/>
      </c>
      <c r="H61" s="125">
        <f>IF($B61="","",CONCATENATE("Pozisyon: ",$B61,"/",$C61," tutar ",TEXT($D61,"#,##0.00")))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IF($D62=0,0,$D62*$E62)</f>
        <v/>
      </c>
      <c r="H62" s="125">
        <f>IF($B62="","",CONCATENATE("Pozisyon: ",$B62,"/",$C62," tutar ",TEXT($D62,"#,##0.00")))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IF($D63=0,0,$D63*$E63)</f>
        <v/>
      </c>
      <c r="H63" s="125">
        <f>IF($B63="","",CONCATENATE("Pozisyon: ",$B63,"/",$C63," tutar ",TEXT($D63,"#,##0.00")))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IF($D64=0,0,$D64*$E64)</f>
        <v/>
      </c>
      <c r="H64" s="125">
        <f>IF($B64="","",CONCATENATE("Pozisyon: ",$B64,"/",$C64," tutar ",TEXT($D64,"#,##0.00")))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IF($D65=0,0,$D65*$E65)</f>
        <v/>
      </c>
      <c r="H65" s="125">
        <f>IF($B65="","",CONCATENATE("Pozisyon: ",$B65,"/",$C65," tutar ",TEXT($D65,"#,##0.00")))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IF($D66=0,0,$D66*$E66)</f>
        <v/>
      </c>
      <c r="H66" s="125">
        <f>IF($B66="","",CONCATENATE("Pozisyon: ",$B66,"/",$C66," tutar ",TEXT($D66,"#,##0.00")))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IF($D67=0,0,$D67*$E67)</f>
        <v/>
      </c>
      <c r="H67" s="125">
        <f>IF($B67="","",CONCATENATE("Pozisyon: ",$B67,"/",$C67," tutar ",TEXT($D67,"#,##0.00")))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IF($D68=0,0,$D68*$E68)</f>
        <v/>
      </c>
      <c r="H68" s="125">
        <f>IF($B68="","",CONCATENATE("Pozisyon: ",$B68,"/",$C68," tutar ",TEXT($D68,"#,##0.00")))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IF($D69=0,0,$D69*$E69)</f>
        <v/>
      </c>
      <c r="H69" s="125">
        <f>IF($B69="","",CONCATENATE("Pozisyon: ",$B69,"/",$C69," tutar ",TEXT($D69,"#,##0.00")))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IF($D70=0,0,$D70*$E70)</f>
        <v/>
      </c>
      <c r="H70" s="125">
        <f>IF($B70="","",CONCATENATE("Pozisyon: ",$B70,"/",$C70," tutar ",TEXT($D70,"#,##0.00")))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IF($D71=0,0,$D71*$E71)</f>
        <v/>
      </c>
      <c r="H71" s="125">
        <f>IF($B71="","",CONCATENATE("Pozisyon: ",$B71,"/",$C71," tutar ",TEXT($D71,"#,##0.00")))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IF($D72=0,0,$D72*$E72)</f>
        <v/>
      </c>
      <c r="H72" s="125">
        <f>IF($B72="","",CONCATENATE("Pozisyon: ",$B72,"/",$C72," tutar ",TEXT($D72,"#,##0.00")))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IF($D73=0,0,$D73*$E73)</f>
        <v/>
      </c>
      <c r="H73" s="125">
        <f>IF($B73="","",CONCATENATE("Pozisyon: ",$B73,"/",$C73," tutar ",TEXT($D73,"#,##0.00")))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IF($D74=0,0,$D74*$E74)</f>
        <v/>
      </c>
      <c r="H74" s="125">
        <f>IF($B74="","",CONCATENATE("Pozisyon: ",$B74,"/",$C74," tutar ",TEXT($D74,"#,##0.00")))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IF($D75=0,0,$D75*$E75)</f>
        <v/>
      </c>
      <c r="H75" s="125">
        <f>IF($B75="","",CONCATENATE("Pozisyon: ",$B75,"/",$C75," tutar ",TEXT($D75,"#,##0.00")))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IF($D76=0,0,$D76*$E76)</f>
        <v/>
      </c>
      <c r="H76" s="125">
        <f>IF($B76="","",CONCATENATE("Pozisyon: ",$B76,"/",$C76," tutar ",TEXT($D76,"#,##0.00")))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IF($D77=0,0,$D77*$E77)</f>
        <v/>
      </c>
      <c r="H77" s="125">
        <f>IF($B77="","",CONCATENATE("Pozisyon: ",$B77,"/",$C77," tutar ",TEXT($D77,"#,##0.00")))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IF($D78=0,0,$D78*$E78)</f>
        <v/>
      </c>
      <c r="H78" s="125">
        <f>IF($B78="","",CONCATENATE("Pozisyon: ",$B78,"/",$C78," tutar ",TEXT($D78,"#,##0.00")))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IF($D79=0,0,$D79*$E79)</f>
        <v/>
      </c>
      <c r="H79" s="125">
        <f>IF($B79="","",CONCATENATE("Pozisyon: ",$B79,"/",$C79," tutar ",TEXT($D79,"#,##0.00")))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IF($D80=0,0,$D80*$E80)</f>
        <v/>
      </c>
      <c r="H80" s="125">
        <f>IF($B80="","",CONCATENATE("Pozisyon: ",$B80,"/",$C80," tutar ",TEXT($D80,"#,##0.00")))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IF($D81=0,0,$D81*$E81)</f>
        <v/>
      </c>
      <c r="H81" s="125">
        <f>IF($B81="","",CONCATENATE("Pozisyon: ",$B81,"/",$C81," tutar ",TEXT($D81,"#,##0.00")))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IF($D82=0,0,$D82*$E82)</f>
        <v/>
      </c>
      <c r="H82" s="125">
        <f>IF($B82="","",CONCATENATE("Pozisyon: ",$B82,"/",$C82," tutar ",TEXT($D82,"#,##0.00")))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IF($D83=0,0,$D83*$E83)</f>
        <v/>
      </c>
      <c r="H83" s="125">
        <f>IF($B83="","",CONCATENATE("Pozisyon: ",$B83,"/",$C83," tutar ",TEXT($D83,"#,##0.00")))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IF($D84=0,0,$D84*$E84)</f>
        <v/>
      </c>
      <c r="H84" s="125">
        <f>IF($B84="","",CONCATENATE("Pozisyon: ",$B84,"/",$C84," tutar ",TEXT($D84,"#,##0.00")))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IF($D85=0,0,$D85*$E85)</f>
        <v/>
      </c>
      <c r="H85" s="125">
        <f>IF($B85="","",CONCATENATE("Pozisyon: ",$B85,"/",$C85," tutar ",TEXT($D85,"#,##0.00")))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IF($D86=0,0,$D86*$E86)</f>
        <v/>
      </c>
      <c r="H86" s="125">
        <f>IF($B86="","",CONCATENATE("Pozisyon: ",$B86,"/",$C86," tutar ",TEXT($D86,"#,##0.00")))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IF($D87=0,0,$D87*$E87)</f>
        <v/>
      </c>
      <c r="H87" s="125">
        <f>IF($B87="","",CONCATENATE("Pozisyon: ",$B87,"/",$C87," tutar ",TEXT($D87,"#,##0.00")))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IF($D88=0,0,$D88*$E88)</f>
        <v/>
      </c>
      <c r="H88" s="125">
        <f>IF($B88="","",CONCATENATE("Pozisyon: ",$B88,"/",$C88," tutar ",TEXT($D88,"#,##0.00")))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IF($D89=0,0,$D89*$E89)</f>
        <v/>
      </c>
      <c r="H89" s="125">
        <f>IF($B89="","",CONCATENATE("Pozisyon: ",$B89,"/",$C89," tutar ",TEXT($D89,"#,##0.00")))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IF($D90=0,0,$D90*$E90)</f>
        <v/>
      </c>
      <c r="H90" s="125">
        <f>IF($B90="","",CONCATENATE("Pozisyon: ",$B90,"/",$C90," tutar ",TEXT($D90,"#,##0.00")))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IF($D91=0,0,$D91*$E91)</f>
        <v/>
      </c>
      <c r="H91" s="125">
        <f>IF($B91="","",CONCATENATE("Pozisyon: ",$B91,"/",$C91," tutar ",TEXT($D91,"#,##0.00")))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IF($D92=0,0,$D92*$E92)</f>
        <v/>
      </c>
      <c r="H92" s="125">
        <f>IF($B92="","",CONCATENATE("Pozisyon: ",$B92,"/",$C92," tutar ",TEXT($D92,"#,##0.00")))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IF($D93=0,0,$D93*$E93)</f>
        <v/>
      </c>
      <c r="H93" s="125">
        <f>IF($B93="","",CONCATENATE("Pozisyon: ",$B93,"/",$C93," tutar ",TEXT($D93,"#,##0.00")))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IF($D94=0,0,$D94*$E94)</f>
        <v/>
      </c>
      <c r="H94" s="125">
        <f>IF($B94="","",CONCATENATE("Pozisyon: ",$B94,"/",$C94," tutar ",TEXT($D94,"#,##0.00")))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IF($D95=0,0,$D95*$E95)</f>
        <v/>
      </c>
      <c r="H95" s="125">
        <f>IF($B95="","",CONCATENATE("Pozisyon: ",$B95,"/",$C95," tutar ",TEXT($D95,"#,##0.00")))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IF($D96=0,0,$D96*$E96)</f>
        <v/>
      </c>
      <c r="H96" s="125">
        <f>IF($B96="","",CONCATENATE("Pozisyon: ",$B96,"/",$C96," tutar ",TEXT($D96,"#,##0.00")))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IF($D97=0,0,$D97*$E97)</f>
        <v/>
      </c>
      <c r="H97" s="125">
        <f>IF($B97="","",CONCATENATE("Pozisyon: ",$B97,"/",$C97," tutar ",TEXT($D97,"#,##0.00")))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IF($D98=0,0,$D98*$E98)</f>
        <v/>
      </c>
      <c r="H98" s="125">
        <f>IF($B98="","",CONCATENATE("Pozisyon: ",$B98,"/",$C98," tutar ",TEXT($D98,"#,##0.00")))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IF($D99=0,0,$D99*$E99)</f>
        <v/>
      </c>
      <c r="H99" s="125">
        <f>IF($B99="","",CONCATENATE("Pozisyon: ",$B99,"/",$C99," tutar ",TEXT($D99,"#,##0.00")))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IF($D100=0,0,$D100*$E100)</f>
        <v/>
      </c>
      <c r="H100" s="125">
        <f>IF($B100="","",CONCATENATE("Pozisyon: ",$B100,"/",$C100," tutar ",TEXT($D100,"#,##0.00")))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IF($D101=0,0,$D101*$E101)</f>
        <v/>
      </c>
      <c r="H101" s="125">
        <f>IF($B101="","",CONCATENATE("Pozisyon: ",$B101,"/",$C101," tutar ",TEXT($D101,"#,##0.00")))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IF($D102=0,0,$D102*$E102)</f>
        <v/>
      </c>
      <c r="H102" s="125">
        <f>IF($B102="","",CONCATENATE("Pozisyon: ",$B102,"/",$C102," tutar ",TEXT($D102,"#,##0.00")))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IF($D103=0,0,$D103*$E103)</f>
        <v/>
      </c>
      <c r="H103" s="125">
        <f>IF($B103="","",CONCATENATE("Pozisyon: ",$B103,"/",$C103," tutar ",TEXT($D103,"#,##0.00")))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IF($D104=0,0,$D104*$E104)</f>
        <v/>
      </c>
      <c r="H104" s="125">
        <f>IF($B104="","",CONCATENATE("Pozisyon: ",$B104,"/",$C104," tutar ",TEXT($D104,"#,##0.00")))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IF($D105=0,0,$D105*$E105)</f>
        <v/>
      </c>
      <c r="H105" s="125">
        <f>IF($B105="","",CONCATENATE("Pozisyon: ",$B105,"/",$C105," tutar ",TEXT($D105,"#,##0.00")))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IF($D106=0,0,$D106*$E106)</f>
        <v/>
      </c>
      <c r="H106" s="125">
        <f>IF($B106="","",CONCATENATE("Pozisyon: ",$B106,"/",$C106," tutar ",TEXT($D106,"#,##0.00")))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IF($D107=0,0,$D107*$E107)</f>
        <v/>
      </c>
      <c r="H107" s="125">
        <f>IF($B107="","",CONCATENATE("Pozisyon: ",$B107,"/",$C107," tutar ",TEXT($D107,"#,##0.00")))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IF($D108=0,0,$D108*$E108)</f>
        <v/>
      </c>
      <c r="H108" s="125">
        <f>IF($B108="","",CONCATENATE("Pozisyon: ",$B108,"/",$C108," tutar ",TEXT($D108,"#,##0.00")))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IF($D109=0,0,$D109*$E109)</f>
        <v/>
      </c>
      <c r="H109" s="125">
        <f>IF($B109="","",CONCATENATE("Pozisyon: ",$B109,"/",$C109," tutar ",TEXT($D109,"#,##0.00")))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IF($D110=0,0,$D110*$E110)</f>
        <v/>
      </c>
      <c r="H110" s="125">
        <f>IF($B110="","",CONCATENATE("Pozisyon: ",$B110,"/",$C110," tutar ",TEXT($D110,"#,##0.00")))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IF($D111=0,0,$D111*$E111)</f>
        <v/>
      </c>
      <c r="H111" s="125">
        <f>IF($B111="","",CONCATENATE("Pozisyon: ",$B111,"/",$C111," tutar ",TEXT($D111,"#,##0.00")))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IF($D112=0,0,$D112*$E112)</f>
        <v/>
      </c>
      <c r="H112" s="125">
        <f>IF($B112="","",CONCATENATE("Pozisyon: ",$B112,"/",$C112," tutar ",TEXT($D112,"#,##0.00")))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IF($D113=0,0,$D113*$E113)</f>
        <v/>
      </c>
      <c r="H113" s="125">
        <f>IF($B113="","",CONCATENATE("Pozisyon: ",$B113,"/",$C113," tutar ",TEXT($D113,"#,##0.00")))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IF($D114=0,0,$D114*$E114)</f>
        <v/>
      </c>
      <c r="H114" s="125">
        <f>IF($B114="","",CONCATENATE("Pozisyon: ",$B114,"/",$C114," tutar ",TEXT($D114,"#,##0.00")))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IF($D115=0,0,$D115*$E115)</f>
        <v/>
      </c>
      <c r="H115" s="125">
        <f>IF($B115="","",CONCATENATE("Pozisyon: ",$B115,"/",$C115," tutar ",TEXT($D115,"#,##0.00")))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IF($D116=0,0,$D116*$E116)</f>
        <v/>
      </c>
      <c r="H116" s="125">
        <f>IF($B116="","",CONCATENATE("Pozisyon: ",$B116,"/",$C116," tutar ",TEXT($D116,"#,##0.00")))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IF($D117=0,0,$D117*$E117)</f>
        <v/>
      </c>
      <c r="H117" s="125">
        <f>IF($B117="","",CONCATENATE("Pozisyon: ",$B117,"/",$C117," tutar ",TEXT($D117,"#,##0.00")))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IF($D118=0,0,$D118*$E118)</f>
        <v/>
      </c>
      <c r="H118" s="125">
        <f>IF($B118="","",CONCATENATE("Pozisyon: ",$B118,"/",$C118," tutar ",TEXT($D118,"#,##0.00")))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IF($D119=0,0,$D119*$E119)</f>
        <v/>
      </c>
      <c r="H119" s="125">
        <f>IF($B119="","",CONCATENATE("Pozisyon: ",$B119,"/",$C119," tutar ",TEXT($D119,"#,##0.00")))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IF($D120=0,0,$D120*$E120)</f>
        <v/>
      </c>
      <c r="H120" s="125">
        <f>IF($B120="","",CONCATENATE("Pozisyon: ",$B120,"/",$C120," tutar ",TEXT($D120,"#,##0.00")))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IF($D121=0,0,$D121*$E121)</f>
        <v/>
      </c>
      <c r="H121" s="125">
        <f>IF($B121="","",CONCATENATE("Pozisyon: ",$B121,"/",$C121," tutar ",TEXT($D121,"#,##0.00")))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IF($D122=0,0,$D122*$E122)</f>
        <v/>
      </c>
      <c r="H122" s="125">
        <f>IF($B122="","",CONCATENATE("Pozisyon: ",$B122,"/",$C122," tutar ",TEXT($D122,"#,##0.00")))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IF($D123=0,0,$D123*$E123)</f>
        <v/>
      </c>
      <c r="H123" s="125">
        <f>IF($B123="","",CONCATENATE("Pozisyon: ",$B123,"/",$C123," tutar ",TEXT($D123,"#,##0.00")))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IF($D124=0,0,$D124*$E124)</f>
        <v/>
      </c>
      <c r="H124" s="125">
        <f>IF($B124="","",CONCATENATE("Pozisyon: ",$B124,"/",$C124," tutar ",TEXT($D124,"#,##0.00")))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IF($D125=0,0,$D125*$E125)</f>
        <v/>
      </c>
      <c r="H125" s="125">
        <f>IF($B125="","",CONCATENATE("Pozisyon: ",$B125,"/",$C125," tutar ",TEXT($D125,"#,##0.00")))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IF($D126=0,0,$D126*$E126)</f>
        <v/>
      </c>
      <c r="H126" s="125">
        <f>IF($B126="","",CONCATENATE("Pozisyon: ",$B126,"/",$C126," tutar ",TEXT($D126,"#,##0.00")))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IF($D127=0,0,$D127*$E127)</f>
        <v/>
      </c>
      <c r="H127" s="125">
        <f>IF($B127="","",CONCATENATE("Pozisyon: ",$B127,"/",$C127," tutar ",TEXT($D127,"#,##0.00")))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IF($D128=0,0,$D128*$E128)</f>
        <v/>
      </c>
      <c r="H128" s="125">
        <f>IF($B128="","",CONCATENATE("Pozisyon: ",$B128,"/",$C128," tutar ",TEXT($D128,"#,##0.00")))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IF($D129=0,0,$D129*$E129)</f>
        <v/>
      </c>
      <c r="H129" s="125">
        <f>IF($B129="","",CONCATENATE("Pozisyon: ",$B129,"/",$C129," tutar ",TEXT($D129,"#,##0.00")))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IF($D130=0,0,$D130*$E130)</f>
        <v/>
      </c>
      <c r="H130" s="125">
        <f>IF($B130="","",CONCATENATE("Pozisyon: ",$B130,"/",$C130," tutar ",TEXT($D130,"#,##0.00")))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IF($D131=0,0,$D131*$E131)</f>
        <v/>
      </c>
      <c r="H131" s="125">
        <f>IF($B131="","",CONCATENATE("Pozisyon: ",$B131,"/",$C131," tutar ",TEXT($D131,"#,##0.00")))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IF($D132=0,0,$D132*$E132)</f>
        <v/>
      </c>
      <c r="H132" s="125">
        <f>IF($B132="","",CONCATENATE("Pozisyon: ",$B132,"/",$C132," tutar ",TEXT($D132,"#,##0.00")))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IF($D133=0,0,$D133*$E133)</f>
        <v/>
      </c>
      <c r="H133" s="125">
        <f>IF($B133="","",CONCATENATE("Pozisyon: ",$B133,"/",$C133," tutar ",TEXT($D133,"#,##0.00")))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IF($D134=0,0,$D134*$E134)</f>
        <v/>
      </c>
      <c r="H134" s="125">
        <f>IF($B134="","",CONCATENATE("Pozisyon: ",$B134,"/",$C134," tutar ",TEXT($D134,"#,##0.00")))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IF($D135=0,0,$D135*$E135)</f>
        <v/>
      </c>
      <c r="H135" s="125">
        <f>IF($B135="","",CONCATENATE("Pozisyon: ",$B135,"/",$C135," tutar ",TEXT($D135,"#,##0.00")))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IF($D136=0,0,$D136*$E136)</f>
        <v/>
      </c>
      <c r="H136" s="125">
        <f>IF($B136="","",CONCATENATE("Pozisyon: ",$B136,"/",$C136," tutar ",TEXT($D136,"#,##0.00")))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IF($D137=0,0,$D137*$E137)</f>
        <v/>
      </c>
      <c r="H137" s="125">
        <f>IF($B137="","",CONCATENATE("Pozisyon: ",$B137,"/",$C137," tutar ",TEXT($D137,"#,##0.00")))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IF($D138=0,0,$D138*$E138)</f>
        <v/>
      </c>
      <c r="H138" s="125">
        <f>IF($B138="","",CONCATENATE("Pozisyon: ",$B138,"/",$C138," tutar ",TEXT($D138,"#,##0.00")))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IF($D139=0,0,$D139*$E139)</f>
        <v/>
      </c>
      <c r="H139" s="125">
        <f>IF($B139="","",CONCATENATE("Pozisyon: ",$B139,"/",$C139," tutar ",TEXT($D139,"#,##0.00")))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IF($D140=0,0,$D140*$E140)</f>
        <v/>
      </c>
      <c r="H140" s="125">
        <f>IF($B140="","",CONCATENATE("Pozisyon: ",$B140,"/",$C140," tutar ",TEXT($D140,"#,##0.00")))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IF($D141=0,0,$D141*$E141)</f>
        <v/>
      </c>
      <c r="H141" s="125">
        <f>IF($B141="","",CONCATENATE("Pozisyon: ",$B141,"/",$C141," tutar ",TEXT($D141,"#,##0.00")))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IF($D142=0,0,$D142*$E142)</f>
        <v/>
      </c>
      <c r="H142" s="125">
        <f>IF($B142="","",CONCATENATE("Pozisyon: ",$B142,"/",$C142," tutar ",TEXT($D142,"#,##0.00")))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IF($D143=0,0,$D143*$E143)</f>
        <v/>
      </c>
      <c r="H143" s="125">
        <f>IF($B143="","",CONCATENATE("Pozisyon: ",$B143,"/",$C143," tutar ",TEXT($D143,"#,##0.00")))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IF($D144=0,0,$D144*$E144)</f>
        <v/>
      </c>
      <c r="H144" s="125">
        <f>IF($B144="","",CONCATENATE("Pozisyon: ",$B144,"/",$C144," tutar ",TEXT($D144,"#,##0.00")))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IF($D145=0,0,$D145*$E145)</f>
        <v/>
      </c>
      <c r="H145" s="125">
        <f>IF($B145="","",CONCATENATE("Pozisyon: ",$B145,"/",$C145," tutar ",TEXT($D145,"#,##0.00")))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IF($D146=0,0,$D146*$E146)</f>
        <v/>
      </c>
      <c r="H146" s="125">
        <f>IF($B146="","",CONCATENATE("Pozisyon: ",$B146,"/",$C146," tutar ",TEXT($D146,"#,##0.00")))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IF($D147=0,0,$D147*$E147)</f>
        <v/>
      </c>
      <c r="H147" s="125">
        <f>IF($B147="","",CONCATENATE("Pozisyon: ",$B147,"/",$C147," tutar ",TEXT($D147,"#,##0.00")))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IF($D148=0,0,$D148*$E148)</f>
        <v/>
      </c>
      <c r="H148" s="125">
        <f>IF($B148="","",CONCATENATE("Pozisyon: ",$B148,"/",$C148," tutar ",TEXT($D148,"#,##0.00")))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IF($D149=0,0,$D149*$E149)</f>
        <v/>
      </c>
      <c r="H149" s="125">
        <f>IF($B149="","",CONCATENATE("Pozisyon: ",$B149,"/",$C149," tutar ",TEXT($D149,"#,##0.00")))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IF($D150=0,0,$D150*$E150)</f>
        <v/>
      </c>
      <c r="H150" s="125">
        <f>IF($B150="","",CONCATENATE("Pozisyon: ",$B150,"/",$C150," tutar ",TEXT($D150,"#,##0.00")))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IF($D151=0,0,$D151*$E151)</f>
        <v/>
      </c>
      <c r="H151" s="125">
        <f>IF($B151="","",CONCATENATE("Pozisyon: ",$B151,"/",$C151," tutar ",TEXT($D151,"#,##0.00")))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IF($D152=0,0,$D152*$E152)</f>
        <v/>
      </c>
      <c r="H152" s="125">
        <f>IF($B152="","",CONCATENATE("Pozisyon: ",$B152,"/",$C152," tutar ",TEXT($D152,"#,##0.00")))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IF($D153=0,0,$D153*$E153)</f>
        <v/>
      </c>
      <c r="H153" s="125">
        <f>IF($B153="","",CONCATENATE("Pozisyon: ",$B153,"/",$C153," tutar ",TEXT($D153,"#,##0.00")))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IF($D154=0,0,$D154*$E154)</f>
        <v/>
      </c>
      <c r="H154" s="125">
        <f>IF($B154="","",CONCATENATE("Pozisyon: ",$B154,"/",$C154," tutar ",TEXT($D154,"#,##0.00")))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IF($D155=0,0,$D155*$E155)</f>
        <v/>
      </c>
      <c r="H155" s="125">
        <f>IF($B155="","",CONCATENATE("Pozisyon: ",$B155,"/",$C155," tutar ",TEXT($D155,"#,##0.00")))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IF($D156=0,0,$D156*$E156)</f>
        <v/>
      </c>
      <c r="H156" s="125">
        <f>IF($B156="","",CONCATENATE("Pozisyon: ",$B156,"/",$C156," tutar ",TEXT($D156,"#,##0.00")))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IF($D157=0,0,$D157*$E157)</f>
        <v/>
      </c>
      <c r="H157" s="125">
        <f>IF($B157="","",CONCATENATE("Pozisyon: ",$B157,"/",$C157," tutar ",TEXT($D157,"#,##0.00")))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IF($D158=0,0,$D158*$E158)</f>
        <v/>
      </c>
      <c r="H158" s="125">
        <f>IF($B158="","",CONCATENATE("Pozisyon: ",$B158,"/",$C158," tutar ",TEXT($D158,"#,##0.00")))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IF($D159=0,0,$D159*$E159)</f>
        <v/>
      </c>
      <c r="H159" s="125">
        <f>IF($B159="","",CONCATENATE("Pozisyon: ",$B159,"/",$C159," tutar ",TEXT($D159,"#,##0.00")))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IF($D160=0,0,$D160*$E160)</f>
        <v/>
      </c>
      <c r="H160" s="125">
        <f>IF($B160="","",CONCATENATE("Pozisyon: ",$B160,"/",$C160," tutar ",TEXT($D160,"#,##0.00")))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IF($D161=0,0,$D161*$E161)</f>
        <v/>
      </c>
      <c r="H161" s="125">
        <f>IF($B161="","",CONCATENATE("Pozisyon: ",$B161,"/",$C161," tutar ",TEXT($D161,"#,##0.00")))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IF($D162=0,0,$D162*$E162)</f>
        <v/>
      </c>
      <c r="H162" s="125">
        <f>IF($B162="","",CONCATENATE("Pozisyon: ",$B162,"/",$C162," tutar ",TEXT($D162,"#,##0.00")))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IF($D163=0,0,$D163*$E163)</f>
        <v/>
      </c>
      <c r="H163" s="125">
        <f>IF($B163="","",CONCATENATE("Pozisyon: ",$B163,"/",$C163," tutar ",TEXT($D163,"#,##0.00")))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IF($D164=0,0,$D164*$E164)</f>
        <v/>
      </c>
      <c r="H164" s="125">
        <f>IF($B164="","",CONCATENATE("Pozisyon: ",$B164,"/",$C164," tutar ",TEXT($D164,"#,##0.00")))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IF($D165=0,0,$D165*$E165)</f>
        <v/>
      </c>
      <c r="H165" s="125">
        <f>IF($B165="","",CONCATENATE("Pozisyon: ",$B165,"/",$C165," tutar ",TEXT($D165,"#,##0.00")))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IF($D166=0,0,$D166*$E166)</f>
        <v/>
      </c>
      <c r="H166" s="125">
        <f>IF($B166="","",CONCATENATE("Pozisyon: ",$B166,"/",$C166," tutar ",TEXT($D166,"#,##0.00")))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IF($D167=0,0,$D167*$E167)</f>
        <v/>
      </c>
      <c r="H167" s="125">
        <f>IF($B167="","",CONCATENATE("Pozisyon: ",$B167,"/",$C167," tutar ",TEXT($D167,"#,##0.00")))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IF($D168=0,0,$D168*$E168)</f>
        <v/>
      </c>
      <c r="H168" s="125">
        <f>IF($B168="","",CONCATENATE("Pozisyon: ",$B168,"/",$C168," tutar ",TEXT($D168,"#,##0.00")))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IF($D169=0,0,$D169*$E169)</f>
        <v/>
      </c>
      <c r="H169" s="125">
        <f>IF($B169="","",CONCATENATE("Pozisyon: ",$B169,"/",$C169," tutar ",TEXT($D169,"#,##0.00")))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IF($D170=0,0,$D170*$E170)</f>
        <v/>
      </c>
      <c r="H170" s="125">
        <f>IF($B170="","",CONCATENATE("Pozisyon: ",$B170,"/",$C170," tutar ",TEXT($D170,"#,##0.00")))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IF($D171=0,0,$D171*$E171)</f>
        <v/>
      </c>
      <c r="H171" s="125">
        <f>IF($B171="","",CONCATENATE("Pozisyon: ",$B171,"/",$C171," tutar ",TEXT($D171,"#,##0.00")))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IF($D172=0,0,$D172*$E172)</f>
        <v/>
      </c>
      <c r="H172" s="125">
        <f>IF($B172="","",CONCATENATE("Pozisyon: ",$B172,"/",$C172," tutar ",TEXT($D172,"#,##0.00")))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IF($D173=0,0,$D173*$E173)</f>
        <v/>
      </c>
      <c r="H173" s="125">
        <f>IF($B173="","",CONCATENATE("Pozisyon: ",$B173,"/",$C173," tutar ",TEXT($D173,"#,##0.00")))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IF($D174=0,0,$D174*$E174)</f>
        <v/>
      </c>
      <c r="H174" s="125">
        <f>IF($B174="","",CONCATENATE("Pozisyon: ",$B174,"/",$C174," tutar ",TEXT($D174,"#,##0.00")))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IF($D175=0,0,$D175*$E175)</f>
        <v/>
      </c>
      <c r="H175" s="125">
        <f>IF($B175="","",CONCATENATE("Pozisyon: ",$B175,"/",$C175," tutar ",TEXT($D175,"#,##0.00")))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IF($D176=0,0,$D176*$E176)</f>
        <v/>
      </c>
      <c r="H176" s="125">
        <f>IF($B176="","",CONCATENATE("Pozisyon: ",$B176,"/",$C176," tutar ",TEXT($D176,"#,##0.00")))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IF($D177=0,0,$D177*$E177)</f>
        <v/>
      </c>
      <c r="H177" s="125">
        <f>IF($B177="","",CONCATENATE("Pozisyon: ",$B177,"/",$C177," tutar ",TEXT($D177,"#,##0.00")))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IF($D178=0,0,$D178*$E178)</f>
        <v/>
      </c>
      <c r="H178" s="125">
        <f>IF($B178="","",CONCATENATE("Pozisyon: ",$B178,"/",$C178," tutar ",TEXT($D178,"#,##0.00")))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IF($D179=0,0,$D179*$E179)</f>
        <v/>
      </c>
      <c r="H179" s="125">
        <f>IF($B179="","",CONCATENATE("Pozisyon: ",$B179,"/",$C179," tutar ",TEXT($D179,"#,##0.00")))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IF($D180=0,0,$D180*$E180)</f>
        <v/>
      </c>
      <c r="H180" s="125">
        <f>IF($B180="","",CONCATENATE("Pozisyon: ",$B180,"/",$C180," tutar ",TEXT($D180,"#,##0.00")))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IF($D181=0,0,$D181*$E181)</f>
        <v/>
      </c>
      <c r="H181" s="125">
        <f>IF($B181="","",CONCATENATE("Pozisyon: ",$B181,"/",$C181," tutar ",TEXT($D181,"#,##0.00")))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IF($D182=0,0,$D182*$E182)</f>
        <v/>
      </c>
      <c r="H182" s="125">
        <f>IF($B182="","",CONCATENATE("Pozisyon: ",$B182,"/",$C182," tutar ",TEXT($D182,"#,##0.00")))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IF($D183=0,0,$D183*$E183)</f>
        <v/>
      </c>
      <c r="H183" s="125">
        <f>IF($B183="","",CONCATENATE("Pozisyon: ",$B183,"/",$C183," tutar ",TEXT($D183,"#,##0.00")))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IF($D184=0,0,$D184*$E184)</f>
        <v/>
      </c>
      <c r="H184" s="125">
        <f>IF($B184="","",CONCATENATE("Pozisyon: ",$B184,"/",$C184," tutar ",TEXT($D184,"#,##0.00")))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IF($D185=0,0,$D185*$E185)</f>
        <v/>
      </c>
      <c r="H185" s="125">
        <f>IF($B185="","",CONCATENATE("Pozisyon: ",$B185,"/",$C185," tutar ",TEXT($D185,"#,##0.00")))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IF($D186=0,0,$D186*$E186)</f>
        <v/>
      </c>
      <c r="H186" s="125">
        <f>IF($B186="","",CONCATENATE("Pozisyon: ",$B186,"/",$C186," tutar ",TEXT($D186,"#,##0.00")))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IF($D187=0,0,$D187*$E187)</f>
        <v/>
      </c>
      <c r="H187" s="125">
        <f>IF($B187="","",CONCATENATE("Pozisyon: ",$B187,"/",$C187," tutar ",TEXT($D187,"#,##0.00")))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IF($D188=0,0,$D188*$E188)</f>
        <v/>
      </c>
      <c r="H188" s="125">
        <f>IF($B188="","",CONCATENATE("Pozisyon: ",$B188,"/",$C188," tutar ",TEXT($D188,"#,##0.00")))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IF($D189=0,0,$D189*$E189)</f>
        <v/>
      </c>
      <c r="H189" s="125">
        <f>IF($B189="","",CONCATENATE("Pozisyon: ",$B189,"/",$C189," tutar ",TEXT($D189,"#,##0.00")))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IF($D190=0,0,$D190*$E190)</f>
        <v/>
      </c>
      <c r="H190" s="125">
        <f>IF($B190="","",CONCATENATE("Pozisyon: ",$B190,"/",$C190," tutar ",TEXT($D190,"#,##0.00")))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IF($D191=0,0,$D191*$E191)</f>
        <v/>
      </c>
      <c r="H191" s="125">
        <f>IF($B191="","",CONCATENATE("Pozisyon: ",$B191,"/",$C191," tutar ",TEXT($D191,"#,##0.00")))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IF($D192=0,0,$D192*$E192)</f>
        <v/>
      </c>
      <c r="H192" s="125">
        <f>IF($B192="","",CONCATENATE("Pozisyon: ",$B192,"/",$C192," tutar ",TEXT($D192,"#,##0.00")))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IF($D193=0,0,$D193*$E193)</f>
        <v/>
      </c>
      <c r="H193" s="125">
        <f>IF($B193="","",CONCATENATE("Pozisyon: ",$B193,"/",$C193," tutar ",TEXT($D193,"#,##0.00")))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IF($D194=0,0,$D194*$E194)</f>
        <v/>
      </c>
      <c r="H194" s="125">
        <f>IF($B194="","",CONCATENATE("Pozisyon: ",$B194,"/",$C194," tutar ",TEXT($D194,"#,##0.00")))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IF($D195=0,0,$D195*$E195)</f>
        <v/>
      </c>
      <c r="H195" s="125">
        <f>IF($B195="","",CONCATENATE("Pozisyon: ",$B195,"/",$C195," tutar ",TEXT($D195,"#,##0.00")))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IF($D196=0,0,$D196*$E196)</f>
        <v/>
      </c>
      <c r="H196" s="125">
        <f>IF($B196="","",CONCATENATE("Pozisyon: ",$B196,"/",$C196," tutar ",TEXT($D196,"#,##0.00")))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IF($D197=0,0,$D197*$E197)</f>
        <v/>
      </c>
      <c r="H197" s="125">
        <f>IF($B197="","",CONCATENATE("Pozisyon: ",$B197,"/",$C197," tutar ",TEXT($D197,"#,##0.00")))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IF($D198=0,0,$D198*$E198)</f>
        <v/>
      </c>
      <c r="H198" s="125">
        <f>IF($B198="","",CONCATENATE("Pozisyon: ",$B198,"/",$C198," tutar ",TEXT($D198,"#,##0.00")))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IF($D199=0,0,$D199*$E199)</f>
        <v/>
      </c>
      <c r="H199" s="125">
        <f>IF($B199="","",CONCATENATE("Pozisyon: ",$B199,"/",$C199," tutar ",TEXT($D199,"#,##0.00")))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IF($D200=0,0,$D200*$E200)</f>
        <v/>
      </c>
      <c r="H200" s="125">
        <f>IF($B200="","",CONCATENATE("Pozisyon: ",$B200,"/",$C200," tutar ",TEXT($D200,"#,##0.00")))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IF($D201=0,0,$D201*$E201)</f>
        <v/>
      </c>
      <c r="H201" s="125">
        <f>IF($B201="","",CONCATENATE("Pozisyon: ",$B201,"/",$C201," tutar ",TEXT($D201,"#,##0.00")))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IF($D202=0,0,$D202*$E202)</f>
        <v/>
      </c>
      <c r="H202" s="125">
        <f>IF($B202="","",CONCATENATE("Pozisyon: ",$B202,"/",$C202," tutar ",TEXT($D202,"#,##0.00")))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IF($D203=0,0,$D203*$E203)</f>
        <v/>
      </c>
      <c r="H203" s="125">
        <f>IF($B203="","",CONCATENATE("Pozisyon: ",$B203,"/",$C203," tutar ",TEXT($D203,"#,##0.00")))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IF($D204=0,0,$D204*$E204)</f>
        <v/>
      </c>
      <c r="H204" s="125">
        <f>IF($B204="","",CONCATENATE("Pozisyon: ",$B204,"/",$C204," tutar ",TEXT($D204,"#,##0.00")))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IF($D205=0,0,$D205*$E205)</f>
        <v/>
      </c>
      <c r="H205" s="125">
        <f>IF($B205="","",CONCATENATE("Pozisyon: ",$B205,"/",$C205," tutar ",TEXT($D205,"#,##0.00")))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IF($D206=0,0,$D206*$E206)</f>
        <v/>
      </c>
      <c r="H206" s="125">
        <f>IF($B206="","",CONCATENATE("Pozisyon: ",$B206,"/",$C206," tutar ",TEXT($D206,"#,##0.00")))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IF($D207=0,0,$D207*$E207)</f>
        <v/>
      </c>
      <c r="H207" s="125">
        <f>IF($B207="","",CONCATENATE("Pozisyon: ",$B207,"/",$C207," tutar ",TEXT($D207,"#,##0.00")))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IF($D208=0,0,$D208*$E208)</f>
        <v/>
      </c>
      <c r="H208" s="125">
        <f>IF($B208="","",CONCATENATE("Pozisyon: ",$B208,"/",$C208," tutar ",TEXT($D208,"#,##0.00")))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IF($D209=0,0,$D209*$E209)</f>
        <v/>
      </c>
      <c r="H209" s="125">
        <f>IF($B209="","",CONCATENATE("Pozisyon: ",$B209,"/",$C209," tutar ",TEXT($D209,"#,##0.00")))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IF($D210=0,0,$D210*$E210)</f>
        <v/>
      </c>
      <c r="H210" s="125">
        <f>IF($B210="","",CONCATENATE("Pozisyon: ",$B210,"/",$C210," tutar ",TEXT($D210,"#,##0.00")))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IF($D211=0,0,$D211*$E211)</f>
        <v/>
      </c>
      <c r="H211" s="125">
        <f>IF($B211="","",CONCATENATE("Pozisyon: ",$B211,"/",$C211," tutar ",TEXT($D211,"#,##0.00")))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IF($D212=0,0,$D212*$E212)</f>
        <v/>
      </c>
      <c r="H212" s="125">
        <f>IF($B212="","",CONCATENATE("Pozisyon: ",$B212,"/",$C212," tutar ",TEXT($D212,"#,##0.00")))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IF($D213=0,0,$D213*$E213)</f>
        <v/>
      </c>
      <c r="H213" s="125">
        <f>IF($B213="","",CONCATENATE("Pozisyon: ",$B213,"/",$C213," tutar ",TEXT($D213,"#,##0.00")))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IF($D214=0,0,$D214*$E214)</f>
        <v/>
      </c>
      <c r="H214" s="125">
        <f>IF($B214="","",CONCATENATE("Pozisyon: ",$B214,"/",$C214," tutar ",TEXT($D214,"#,##0.00")))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IF($D215=0,0,$D215*$E215)</f>
        <v/>
      </c>
      <c r="H215" s="125">
        <f>IF($B215="","",CONCATENATE("Pozisyon: ",$B215,"/",$C215," tutar ",TEXT($D215,"#,##0.00")))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IF($D216=0,0,$D216*$E216)</f>
        <v/>
      </c>
      <c r="H216" s="125">
        <f>IF($B216="","",CONCATENATE("Pozisyon: ",$B216,"/",$C216," tutar ",TEXT($D216,"#,##0.00")))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IF($D217=0,0,$D217*$E217)</f>
        <v/>
      </c>
      <c r="H217" s="125">
        <f>IF($B217="","",CONCATENATE("Pozisyon: ",$B217,"/",$C217," tutar ",TEXT($D217,"#,##0.00")))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IF($D218=0,0,$D218*$E218)</f>
        <v/>
      </c>
      <c r="H218" s="125">
        <f>IF($B218="","",CONCATENATE("Pozisyon: ",$B218,"/",$C218," tutar ",TEXT($D218,"#,##0.00")))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IF($D219=0,0,$D219*$E219)</f>
        <v/>
      </c>
      <c r="H219" s="125">
        <f>IF($B219="","",CONCATENATE("Pozisyon: ",$B219,"/",$C219," tutar ",TEXT($D219,"#,##0.00")))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IF($D220=0,0,$D220*$E220)</f>
        <v/>
      </c>
      <c r="H220" s="125">
        <f>IF($B220="","",CONCATENATE("Pozisyon: ",$B220,"/",$C220," tutar ",TEXT($D220,"#,##0.00")))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IF($D221=0,0,$D221*$E221)</f>
        <v/>
      </c>
      <c r="H221" s="125">
        <f>IF($B221="","",CONCATENATE("Pozisyon: ",$B221,"/",$C221," tutar ",TEXT($D221,"#,##0.00")))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IF($D222=0,0,$D222*$E222)</f>
        <v/>
      </c>
      <c r="H222" s="125">
        <f>IF($B222="","",CONCATENATE("Pozisyon: ",$B222,"/",$C222," tutar ",TEXT($D222,"#,##0.00")))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IF($D223=0,0,$D223*$E223)</f>
        <v/>
      </c>
      <c r="H223" s="125">
        <f>IF($B223="","",CONCATENATE("Pozisyon: ",$B223,"/",$C223," tutar ",TEXT($D223,"#,##0.00")))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IF($D224=0,0,$D224*$E224)</f>
        <v/>
      </c>
      <c r="H224" s="125">
        <f>IF($B224="","",CONCATENATE("Pozisyon: ",$B224,"/",$C224," tutar ",TEXT($D224,"#,##0.00")))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IF($D225=0,0,$D225*$E225)</f>
        <v/>
      </c>
      <c r="H225" s="125">
        <f>IF($B225="","",CONCATENATE("Pozisyon: ",$B225,"/",$C225," tutar ",TEXT($D225,"#,##0.00")))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IF($D226=0,0,$D226*$E226)</f>
        <v/>
      </c>
      <c r="H226" s="125">
        <f>IF($B226="","",CONCATENATE("Pozisyon: ",$B226,"/",$C226," tutar ",TEXT($D226,"#,##0.00")))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IF($D227=0,0,$D227*$E227)</f>
        <v/>
      </c>
      <c r="H227" s="125">
        <f>IF($B227="","",CONCATENATE("Pozisyon: ",$B227,"/",$C227," tutar ",TEXT($D227,"#,##0.00")))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IF($D228=0,0,$D228*$E228)</f>
        <v/>
      </c>
      <c r="H228" s="125">
        <f>IF($B228="","",CONCATENATE("Pozisyon: ",$B228,"/",$C228," tutar ",TEXT($D228,"#,##0.00")))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IF($D229=0,0,$D229*$E229)</f>
        <v/>
      </c>
      <c r="H229" s="125">
        <f>IF($B229="","",CONCATENATE("Pozisyon: ",$B229,"/",$C229," tutar ",TEXT($D229,"#,##0.00")))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IF($D230=0,0,$D230*$E230)</f>
        <v/>
      </c>
      <c r="H230" s="125">
        <f>IF($B230="","",CONCATENATE("Pozisyon: ",$B230,"/",$C230," tutar ",TEXT($D230,"#,##0.00")))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IF($D231=0,0,$D231*$E231)</f>
        <v/>
      </c>
      <c r="H231" s="125">
        <f>IF($B231="","",CONCATENATE("Pozisyon: ",$B231,"/",$C231," tutar ",TEXT($D231,"#,##0.00")))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IF($D232=0,0,$D232*$E232)</f>
        <v/>
      </c>
      <c r="H232" s="125">
        <f>IF($B232="","",CONCATENATE("Pozisyon: ",$B232,"/",$C232," tutar ",TEXT($D232,"#,##0.00")))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IF($D233=0,0,$D233*$E233)</f>
        <v/>
      </c>
      <c r="H233" s="125">
        <f>IF($B233="","",CONCATENATE("Pozisyon: ",$B233,"/",$C233," tutar ",TEXT($D233,"#,##0.00")))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IF($D234=0,0,$D234*$E234)</f>
        <v/>
      </c>
      <c r="H234" s="125">
        <f>IF($B234="","",CONCATENATE("Pozisyon: ",$B234,"/",$C234," tutar ",TEXT($D234,"#,##0.00")))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IF($D235=0,0,$D235*$E235)</f>
        <v/>
      </c>
      <c r="H235" s="125">
        <f>IF($B235="","",CONCATENATE("Pozisyon: ",$B235,"/",$C235," tutar ",TEXT($D235,"#,##0.00")))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IF($D236=0,0,$D236*$E236)</f>
        <v/>
      </c>
      <c r="H236" s="125">
        <f>IF($B236="","",CONCATENATE("Pozisyon: ",$B236,"/",$C236," tutar ",TEXT($D236,"#,##0.00")))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IF($D237=0,0,$D237*$E237)</f>
        <v/>
      </c>
      <c r="H237" s="125">
        <f>IF($B237="","",CONCATENATE("Pozisyon: ",$B237,"/",$C237," tutar ",TEXT($D237,"#,##0.00")))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IF($D238=0,0,$D238*$E238)</f>
        <v/>
      </c>
      <c r="H238" s="125">
        <f>IF($B238="","",CONCATENATE("Pozisyon: ",$B238,"/",$C238," tutar ",TEXT($D238,"#,##0.00")))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IF($D239=0,0,$D239*$E239)</f>
        <v/>
      </c>
      <c r="H239" s="125">
        <f>IF($B239="","",CONCATENATE("Pozisyon: ",$B239,"/",$C239," tutar ",TEXT($D239,"#,##0.00")))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IF($D240=0,0,$D240*$E240)</f>
        <v/>
      </c>
      <c r="H240" s="125">
        <f>IF($B240="","",CONCATENATE("Pozisyon: ",$B240,"/",$C240," tutar ",TEXT($D240,"#,##0.00")))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IF($D241=0,0,$D241*$E241)</f>
        <v/>
      </c>
      <c r="H241" s="125">
        <f>IF($B241="","",CONCATENATE("Pozisyon: ",$B241,"/",$C241," tutar ",TEXT($D241,"#,##0.00")))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IF($D242=0,0,$D242*$E242)</f>
        <v/>
      </c>
      <c r="H242" s="125">
        <f>IF($B242="","",CONCATENATE("Pozisyon: ",$B242,"/",$C242," tutar ",TEXT($D242,"#,##0.00")))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IF($D243=0,0,$D243*$E243)</f>
        <v/>
      </c>
      <c r="H243" s="125">
        <f>IF($B243="","",CONCATENATE("Pozisyon: ",$B243,"/",$C243," tutar ",TEXT($D243,"#,##0.00")))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IF($D244=0,0,$D244*$E244)</f>
        <v/>
      </c>
      <c r="H244" s="125">
        <f>IF($B244="","",CONCATENATE("Pozisyon: ",$B244,"/",$C244," tutar ",TEXT($D244,"#,##0.00")))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IF($D245=0,0,$D245*$E245)</f>
        <v/>
      </c>
      <c r="H245" s="125">
        <f>IF($B245="","",CONCATENATE("Pozisyon: ",$B245,"/",$C245," tutar ",TEXT($D245,"#,##0.00")))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IF($D246=0,0,$D246*$E246)</f>
        <v/>
      </c>
      <c r="H246" s="125">
        <f>IF($B246="","",CONCATENATE("Pozisyon: ",$B246,"/",$C246," tutar ",TEXT($D246,"#,##0.00")))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IF($D247=0,0,$D247*$E247)</f>
        <v/>
      </c>
      <c r="H247" s="125">
        <f>IF($B247="","",CONCATENATE("Pozisyon: ",$B247,"/",$C247," tutar ",TEXT($D247,"#,##0.00")))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IF($D248=0,0,$D248*$E248)</f>
        <v/>
      </c>
      <c r="H248" s="125">
        <f>IF($B248="","",CONCATENATE("Pozisyon: ",$B248,"/",$C248," tutar ",TEXT($D248,"#,##0.00")))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IF($D249=0,0,$D249*$E249)</f>
        <v/>
      </c>
      <c r="H249" s="125">
        <f>IF($B249="","",CONCATENATE("Pozisyon: ",$B249,"/",$C249," tutar ",TEXT($D249,"#,##0.00")))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IF($D250=0,0,$D250*$E250)</f>
        <v/>
      </c>
      <c r="H250" s="125">
        <f>IF($B250="","",CONCATENATE("Pozisyon: ",$B250,"/",$C250," tutar ",TEXT($D250,"#,##0.00")))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IF($D251=0,0,$D251*$E251)</f>
        <v/>
      </c>
      <c r="H251" s="125">
        <f>IF($B251="","",CONCATENATE("Pozisyon: ",$B251,"/",$C251," tutar ",TEXT($D251,"#,##0.00")))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IF($D252=0,0,$D252*$E252)</f>
        <v/>
      </c>
      <c r="H252" s="125">
        <f>IF($B252="","",CONCATENATE("Pozisyon: ",$B252,"/",$C252," tutar ",TEXT($D252,"#,##0.00")))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IF($D253=0,0,$D253*$E253)</f>
        <v/>
      </c>
      <c r="H253" s="125">
        <f>IF($B253="","",CONCATENATE("Pozisyon: ",$B253,"/",$C253," tutar ",TEXT($D253,"#,##0.00")))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IF($D254=0,0,$D254*$E254)</f>
        <v/>
      </c>
      <c r="H254" s="125">
        <f>IF($B254="","",CONCATENATE("Pozisyon: ",$B254,"/",$C254," tutar ",TEXT($D254,"#,##0.00")))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IF($D255=0,0,$D255*$E255)</f>
        <v/>
      </c>
      <c r="H255" s="125">
        <f>IF($B255="","",CONCATENATE("Pozisyon: ",$B255,"/",$C255," tutar ",TEXT($D255,"#,##0.00")))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IF($D256=0,0,$D256*$E256)</f>
        <v/>
      </c>
      <c r="H256" s="125">
        <f>IF($B256="","",CONCATENATE("Pozisyon: ",$B256,"/",$C256," tutar ",TEXT($D256,"#,##0.00")))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IF($D257=0,0,$D257*$E257)</f>
        <v/>
      </c>
      <c r="H257" s="125">
        <f>IF($B257="","",CONCATENATE("Pozisyon: ",$B257,"/",$C257," tutar ",TEXT($D257,"#,##0.00")))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IF($D258=0,0,$D258*$E258)</f>
        <v/>
      </c>
      <c r="H258" s="125">
        <f>IF($B258="","",CONCATENATE("Pozisyon: ",$B258,"/",$C258," tutar ",TEXT($D258,"#,##0.00")))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IF($D259=0,0,$D259*$E259)</f>
        <v/>
      </c>
      <c r="H259" s="125">
        <f>IF($B259="","",CONCATENATE("Pozisyon: ",$B259,"/",$C259," tutar ",TEXT($D259,"#,##0.00")))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IF($D260=0,0,$D260*$E260)</f>
        <v/>
      </c>
      <c r="H260" s="125">
        <f>IF($B260="","",CONCATENATE("Pozisyon: ",$B260,"/",$C260," tutar ",TEXT($D260,"#,##0.00")))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IF($D261=0,0,$D261*$E261)</f>
        <v/>
      </c>
      <c r="H261" s="125">
        <f>IF($B261="","",CONCATENATE("Pozisyon: ",$B261,"/",$C261," tutar ",TEXT($D261,"#,##0.00")))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IF($D262=0,0,$D262*$E262)</f>
        <v/>
      </c>
      <c r="H262" s="125">
        <f>IF($B262="","",CONCATENATE("Pozisyon: ",$B262,"/",$C262," tutar ",TEXT($D262,"#,##0.00")))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IF($D263=0,0,$D263*$E263)</f>
        <v/>
      </c>
      <c r="H263" s="125">
        <f>IF($B263="","",CONCATENATE("Pozisyon: ",$B263,"/",$C263," tutar ",TEXT($D263,"#,##0.00")))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IF($D264=0,0,$D264*$E264)</f>
        <v/>
      </c>
      <c r="H264" s="125">
        <f>IF($B264="","",CONCATENATE("Pozisyon: ",$B264,"/",$C264," tutar ",TEXT($D264,"#,##0.00")))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IF($D265=0,0,$D265*$E265)</f>
        <v/>
      </c>
      <c r="H265" s="125">
        <f>IF($B265="","",CONCATENATE("Pozisyon: ",$B265,"/",$C265," tutar ",TEXT($D265,"#,##0.00")))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IF($D266=0,0,$D266*$E266)</f>
        <v/>
      </c>
      <c r="H266" s="125">
        <f>IF($B266="","",CONCATENATE("Pozisyon: ",$B266,"/",$C266," tutar ",TEXT($D266,"#,##0.00")))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IF($D267=0,0,$D267*$E267)</f>
        <v/>
      </c>
      <c r="H267" s="125">
        <f>IF($B267="","",CONCATENATE("Pozisyon: ",$B267,"/",$C267," tutar ",TEXT($D267,"#,##0.00")))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IF($D268=0,0,$D268*$E268)</f>
        <v/>
      </c>
      <c r="H268" s="125">
        <f>IF($B268="","",CONCATENATE("Pozisyon: ",$B268,"/",$C268," tutar ",TEXT($D268,"#,##0.00")))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IF($D269=0,0,$D269*$E269)</f>
        <v/>
      </c>
      <c r="H269" s="125">
        <f>IF($B269="","",CONCATENATE("Pozisyon: ",$B269,"/",$C269," tutar ",TEXT($D269,"#,##0.00")))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IF($D270=0,0,$D270*$E270)</f>
        <v/>
      </c>
      <c r="H270" s="125">
        <f>IF($B270="","",CONCATENATE("Pozisyon: ",$B270,"/",$C270," tutar ",TEXT($D270,"#,##0.00")))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IF($D271=0,0,$D271*$E271)</f>
        <v/>
      </c>
      <c r="H271" s="125">
        <f>IF($B271="","",CONCATENATE("Pozisyon: ",$B271,"/",$C271," tutar ",TEXT($D271,"#,##0.00")))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IF($D272=0,0,$D272*$E272)</f>
        <v/>
      </c>
      <c r="H272" s="125">
        <f>IF($B272="","",CONCATENATE("Pozisyon: ",$B272,"/",$C272," tutar ",TEXT($D272,"#,##0.00")))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IF($D273=0,0,$D273*$E273)</f>
        <v/>
      </c>
      <c r="H273" s="125">
        <f>IF($B273="","",CONCATENATE("Pozisyon: ",$B273,"/",$C273," tutar ",TEXT($D273,"#,##0.00")))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IF($D274=0,0,$D274*$E274)</f>
        <v/>
      </c>
      <c r="H274" s="125">
        <f>IF($B274="","",CONCATENATE("Pozisyon: ",$B274,"/",$C274," tutar ",TEXT($D274,"#,##0.00")))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IF($D275=0,0,$D275*$E275)</f>
        <v/>
      </c>
      <c r="H275" s="125">
        <f>IF($B275="","",CONCATENATE("Pozisyon: ",$B275,"/",$C275," tutar ",TEXT($D275,"#,##0.00")))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IF($D276=0,0,$D276*$E276)</f>
        <v/>
      </c>
      <c r="H276" s="125">
        <f>IF($B276="","",CONCATENATE("Pozisyon: ",$B276,"/",$C276," tutar ",TEXT($D276,"#,##0.00")))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IF($D277=0,0,$D277*$E277)</f>
        <v/>
      </c>
      <c r="H277" s="125">
        <f>IF($B277="","",CONCATENATE("Pozisyon: ",$B277,"/",$C277," tutar ",TEXT($D277,"#,##0.00")))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IF($D278=0,0,$D278*$E278)</f>
        <v/>
      </c>
      <c r="H278" s="125">
        <f>IF($B278="","",CONCATENATE("Pozisyon: ",$B278,"/",$C278," tutar ",TEXT($D278,"#,##0.00")))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IF($D279=0,0,$D279*$E279)</f>
        <v/>
      </c>
      <c r="H279" s="125">
        <f>IF($B279="","",CONCATENATE("Pozisyon: ",$B279,"/",$C279," tutar ",TEXT($D279,"#,##0.00")))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IF($D280=0,0,$D280*$E280)</f>
        <v/>
      </c>
      <c r="H280" s="125">
        <f>IF($B280="","",CONCATENATE("Pozisyon: ",$B280,"/",$C280," tutar ",TEXT($D280,"#,##0.00")))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IF($D281=0,0,$D281*$E281)</f>
        <v/>
      </c>
      <c r="H281" s="125">
        <f>IF($B281="","",CONCATENATE("Pozisyon: ",$B281,"/",$C281," tutar ",TEXT($D281,"#,##0.00")))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IF($D282=0,0,$D282*$E282)</f>
        <v/>
      </c>
      <c r="H282" s="125">
        <f>IF($B282="","",CONCATENATE("Pozisyon: ",$B282,"/",$C282," tutar ",TEXT($D282,"#,##0.00")))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IF($D283=0,0,$D283*$E283)</f>
        <v/>
      </c>
      <c r="H283" s="125">
        <f>IF($B283="","",CONCATENATE("Pozisyon: ",$B283,"/",$C283," tutar ",TEXT($D283,"#,##0.00")))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IF($D284=0,0,$D284*$E284)</f>
        <v/>
      </c>
      <c r="H284" s="125">
        <f>IF($B284="","",CONCATENATE("Pozisyon: ",$B284,"/",$C284," tutar ",TEXT($D284,"#,##0.00")))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IF($D285=0,0,$D285*$E285)</f>
        <v/>
      </c>
      <c r="H285" s="125">
        <f>IF($B285="","",CONCATENATE("Pozisyon: ",$B285,"/",$C285," tutar ",TEXT($D285,"#,##0.00")))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IF($D286=0,0,$D286*$E286)</f>
        <v/>
      </c>
      <c r="H286" s="125">
        <f>IF($B286="","",CONCATENATE("Pozisyon: ",$B286,"/",$C286," tutar ",TEXT($D286,"#,##0.00")))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IF($D287=0,0,$D287*$E287)</f>
        <v/>
      </c>
      <c r="H287" s="125">
        <f>IF($B287="","",CONCATENATE("Pozisyon: ",$B287,"/",$C287," tutar ",TEXT($D287,"#,##0.00")))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IF($D288=0,0,$D288*$E288)</f>
        <v/>
      </c>
      <c r="H288" s="125">
        <f>IF($B288="","",CONCATENATE("Pozisyon: ",$B288,"/",$C288," tutar ",TEXT($D288,"#,##0.00")))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IF($D289=0,0,$D289*$E289)</f>
        <v/>
      </c>
      <c r="H289" s="125">
        <f>IF($B289="","",CONCATENATE("Pozisyon: ",$B289,"/",$C289," tutar ",TEXT($D289,"#,##0.00")))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IF($D290=0,0,$D290*$E290)</f>
        <v/>
      </c>
      <c r="H290" s="125">
        <f>IF($B290="","",CONCATENATE("Pozisyon: ",$B290,"/",$C290," tutar ",TEXT($D290,"#,##0.00")))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IF($D291=0,0,$D291*$E291)</f>
        <v/>
      </c>
      <c r="H291" s="125">
        <f>IF($B291="","",CONCATENATE("Pozisyon: ",$B291,"/",$C291," tutar ",TEXT($D291,"#,##0.00")))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IF($D292=0,0,$D292*$E292)</f>
        <v/>
      </c>
      <c r="H292" s="125">
        <f>IF($B292="","",CONCATENATE("Pozisyon: ",$B292,"/",$C292," tutar ",TEXT($D292,"#,##0.00")))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IF($D293=0,0,$D293*$E293)</f>
        <v/>
      </c>
      <c r="H293" s="125">
        <f>IF($B293="","",CONCATENATE("Pozisyon: ",$B293,"/",$C293," tutar ",TEXT($D293,"#,##0.00")))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IF($D294=0,0,$D294*$E294)</f>
        <v/>
      </c>
      <c r="H294" s="125">
        <f>IF($B294="","",CONCATENATE("Pozisyon: ",$B294,"/",$C294," tutar ",TEXT($D294,"#,##0.00")))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IF($D295=0,0,$D295*$E295)</f>
        <v/>
      </c>
      <c r="H295" s="125">
        <f>IF($B295="","",CONCATENATE("Pozisyon: ",$B295,"/",$C295," tutar ",TEXT($D295,"#,##0.00")))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IF($D296=0,0,$D296*$E296)</f>
        <v/>
      </c>
      <c r="H296" s="125">
        <f>IF($B296="","",CONCATENATE("Pozisyon: ",$B296,"/",$C296," tutar ",TEXT($D296,"#,##0.00")))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IF($D297=0,0,$D297*$E297)</f>
        <v/>
      </c>
      <c r="H297" s="125">
        <f>IF($B297="","",CONCATENATE("Pozisyon: ",$B297,"/",$C297," tutar ",TEXT($D297,"#,##0.00")))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IF($D298=0,0,$D298*$E298)</f>
        <v/>
      </c>
      <c r="H298" s="125">
        <f>IF($B298="","",CONCATENATE("Pozisyon: ",$B298,"/",$C298," tutar ",TEXT($D298,"#,##0.00")))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IF($D299=0,0,$D299*$E299)</f>
        <v/>
      </c>
      <c r="H299" s="125">
        <f>IF($B299="","",CONCATENATE("Pozisyon: ",$B299,"/",$C299," tutar ",TEXT($D299,"#,##0.00")))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IF($D300=0,0,$D300*$E300)</f>
        <v/>
      </c>
      <c r="H300" s="125">
        <f>IF($B300="","",CONCATENATE("Pozisyon: ",$B300,"/",$C300," tutar ",TEXT($D300,"#,##0.00")))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IF($D301=0,0,$D301*$E301)</f>
        <v/>
      </c>
      <c r="H301" s="125">
        <f>IF($B301="","",CONCATENATE("Pozisyon: ",$B301,"/",$C301," tutar ",TEXT($D301,"#,##0.00")))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IF($D302=0,0,$D302*$E302)</f>
        <v/>
      </c>
      <c r="H302" s="125">
        <f>IF($B302="","",CONCATENATE("Pozisyon: ",$B302,"/",$C302," tutar ",TEXT($D302,"#,##0.00")))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IF($D303=0,0,$D303*$E303)</f>
        <v/>
      </c>
      <c r="H303" s="125">
        <f>IF($B303="","",CONCATENATE("Pozisyon: ",$B303,"/",$C303," tutar ",TEXT($D303,"#,##0.00")))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IF($D304=0,0,$D304*$E304)</f>
        <v/>
      </c>
      <c r="H304" s="125">
        <f>IF($B304="","",CONCATENATE("Pozisyon: ",$B304,"/",$C304," tutar ",TEXT($D304,"#,##0.00")))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IF($D305=0,0,$D305*$E305)</f>
        <v/>
      </c>
      <c r="H305" s="125">
        <f>IF($B305="","",CONCATENATE("Pozisyon: ",$B305,"/",$C305," tutar ",TEXT($D305,"#,##0.00")))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IF($D306=0,0,$D306*$E306)</f>
        <v/>
      </c>
      <c r="H306" s="125">
        <f>IF($B306="","",CONCATENATE("Pozisyon: ",$B306,"/",$C306," tutar ",TEXT($D306,"#,##0.00")))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IF($D307=0,0,$D307*$E307)</f>
        <v/>
      </c>
      <c r="H307" s="125">
        <f>IF($B307="","",CONCATENATE("Pozisyon: ",$B307,"/",$C307," tutar ",TEXT($D307,"#,##0.00")))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IF($D308=0,0,$D308*$E308)</f>
        <v/>
      </c>
      <c r="H308" s="125">
        <f>IF($B308="","",CONCATENATE("Pozisyon: ",$B308,"/",$C308," tutar ",TEXT($D308,"#,##0.00")))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IF($D309=0,0,$D309*$E309)</f>
        <v/>
      </c>
      <c r="H309" s="125">
        <f>IF($B309="","",CONCATENATE("Pozisyon: ",$B309,"/",$C309," tutar ",TEXT($D309,"#,##0.00")))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IF($D310=0,0,$D310*$E310)</f>
        <v/>
      </c>
      <c r="H310" s="125">
        <f>IF($B310="","",CONCATENATE("Pozisyon: ",$B310,"/",$C310," tutar ",TEXT($D310,"#,##0.00")))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IF($D311=0,0,$D311*$E311)</f>
        <v/>
      </c>
      <c r="H311" s="125">
        <f>IF($B311="","",CONCATENATE("Pozisyon: ",$B311,"/",$C311," tutar ",TEXT($D311,"#,##0.00")))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IF($D312=0,0,$D312*$E312)</f>
        <v/>
      </c>
      <c r="H312" s="125">
        <f>IF($B312="","",CONCATENATE("Pozisyon: ",$B312,"/",$C312," tutar ",TEXT($D312,"#,##0.00")))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IF($D313=0,0,$D313*$E313)</f>
        <v/>
      </c>
      <c r="H313" s="125">
        <f>IF($B313="","",CONCATENATE("Pozisyon: ",$B313,"/",$C313," tutar ",TEXT($D313,"#,##0.00")))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IF($D314=0,0,$D314*$E314)</f>
        <v/>
      </c>
      <c r="H314" s="125">
        <f>IF($B314="","",CONCATENATE("Pozisyon: ",$B314,"/",$C314," tutar ",TEXT($D314,"#,##0.00")))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IF($D315=0,0,$D315*$E315)</f>
        <v/>
      </c>
      <c r="H315" s="125">
        <f>IF($B315="","",CONCATENATE("Pozisyon: ",$B315,"/",$C315," tutar ",TEXT($D315,"#,##0.00")))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IF($D316=0,0,$D316*$E316)</f>
        <v/>
      </c>
      <c r="H316" s="125">
        <f>IF($B316="","",CONCATENATE("Pozisyon: ",$B316,"/",$C316," tutar ",TEXT($D316,"#,##0.00")))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IF($D317=0,0,$D317*$E317)</f>
        <v/>
      </c>
      <c r="H317" s="125">
        <f>IF($B317="","",CONCATENATE("Pozisyon: ",$B317,"/",$C317," tutar ",TEXT($D317,"#,##0.00")))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IF($D318=0,0,$D318*$E318)</f>
        <v/>
      </c>
      <c r="H318" s="125">
        <f>IF($B318="","",CONCATENATE("Pozisyon: ",$B318,"/",$C318," tutar ",TEXT($D318,"#,##0.00")))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IF($D319=0,0,$D319*$E319)</f>
        <v/>
      </c>
      <c r="H319" s="125">
        <f>IF($B319="","",CONCATENATE("Pozisyon: ",$B319,"/",$C319," tutar ",TEXT($D319,"#,##0.00")))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IF($D320=0,0,$D320*$E320)</f>
        <v/>
      </c>
      <c r="H320" s="125">
        <f>IF($B320="","",CONCATENATE("Pozisyon: ",$B320,"/",$C320," tutar ",TEXT($D320,"#,##0.00")))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IF($D321=0,0,$D321*$E321)</f>
        <v/>
      </c>
      <c r="H321" s="125">
        <f>IF($B321="","",CONCATENATE("Pozisyon: ",$B321,"/",$C321," tutar ",TEXT($D321,"#,##0.00")))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IF($D322=0,0,$D322*$E322)</f>
        <v/>
      </c>
      <c r="H322" s="125">
        <f>IF($B322="","",CONCATENATE("Pozisyon: ",$B322,"/",$C322," tutar ",TEXT($D322,"#,##0.00")))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IF($D323=0,0,$D323*$E323)</f>
        <v/>
      </c>
      <c r="H323" s="125">
        <f>IF($B323="","",CONCATENATE("Pozisyon: ",$B323,"/",$C323," tutar ",TEXT($D323,"#,##0.00")))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IF($D324=0,0,$D324*$E324)</f>
        <v/>
      </c>
      <c r="H324" s="125">
        <f>IF($B324="","",CONCATENATE("Pozisyon: ",$B324,"/",$C324," tutar ",TEXT($D324,"#,##0.00")))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IF($D325=0,0,$D325*$E325)</f>
        <v/>
      </c>
      <c r="H325" s="125">
        <f>IF($B325="","",CONCATENATE("Pozisyon: ",$B325,"/",$C325," tutar ",TEXT($D325,"#,##0.00")))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IF($D326=0,0,$D326*$E326)</f>
        <v/>
      </c>
      <c r="H326" s="125">
        <f>IF($B326="","",CONCATENATE("Pozisyon: ",$B326,"/",$C326," tutar ",TEXT($D326,"#,##0.00")))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IF($D327=0,0,$D327*$E327)</f>
        <v/>
      </c>
      <c r="H327" s="125">
        <f>IF($B327="","",CONCATENATE("Pozisyon: ",$B327,"/",$C327," tutar ",TEXT($D327,"#,##0.00")))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IF($D328=0,0,$D328*$E328)</f>
        <v/>
      </c>
      <c r="H328" s="125">
        <f>IF($B328="","",CONCATENATE("Pozisyon: ",$B328,"/",$C328," tutar ",TEXT($D328,"#,##0.00")))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IF($D329=0,0,$D329*$E329)</f>
        <v/>
      </c>
      <c r="H329" s="125">
        <f>IF($B329="","",CONCATENATE("Pozisyon: ",$B329,"/",$C329," tutar ",TEXT($D329,"#,##0.00")))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IF($D330=0,0,$D330*$E330)</f>
        <v/>
      </c>
      <c r="H330" s="125">
        <f>IF($B330="","",CONCATENATE("Pozisyon: ",$B330,"/",$C330," tutar ",TEXT($D330,"#,##0.00")))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IF($D331=0,0,$D331*$E331)</f>
        <v/>
      </c>
      <c r="H331" s="125">
        <f>IF($B331="","",CONCATENATE("Pozisyon: ",$B331,"/",$C331," tutar ",TEXT($D331,"#,##0.00")))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IF($D332=0,0,$D332*$E332)</f>
        <v/>
      </c>
      <c r="H332" s="125">
        <f>IF($B332="","",CONCATENATE("Pozisyon: ",$B332,"/",$C332," tutar ",TEXT($D332,"#,##0.00")))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IF($D333=0,0,$D333*$E333)</f>
        <v/>
      </c>
      <c r="H333" s="125">
        <f>IF($B333="","",CONCATENATE("Pozisyon: ",$B333,"/",$C333," tutar ",TEXT($D333,"#,##0.00")))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IF($D334=0,0,$D334*$E334)</f>
        <v/>
      </c>
      <c r="H334" s="125">
        <f>IF($B334="","",CONCATENATE("Pozisyon: ",$B334,"/",$C334," tutar ",TEXT($D334,"#,##0.00")))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IF($D335=0,0,$D335*$E335)</f>
        <v/>
      </c>
      <c r="H335" s="125">
        <f>IF($B335="","",CONCATENATE("Pozisyon: ",$B335,"/",$C335," tutar ",TEXT($D335,"#,##0.00")))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IF($D336=0,0,$D336*$E336)</f>
        <v/>
      </c>
      <c r="H336" s="125">
        <f>IF($B336="","",CONCATENATE("Pozisyon: ",$B336,"/",$C336," tutar ",TEXT($D336,"#,##0.00")))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IF($D337=0,0,$D337*$E337)</f>
        <v/>
      </c>
      <c r="H337" s="125">
        <f>IF($B337="","",CONCATENATE("Pozisyon: ",$B337,"/",$C337," tutar ",TEXT($D337,"#,##0.00")))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IF($D338=0,0,$D338*$E338)</f>
        <v/>
      </c>
      <c r="H338" s="125">
        <f>IF($B338="","",CONCATENATE("Pozisyon: ",$B338,"/",$C338," tutar ",TEXT($D338,"#,##0.00")))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IF($D339=0,0,$D339*$E339)</f>
        <v/>
      </c>
      <c r="H339" s="125">
        <f>IF($B339="","",CONCATENATE("Pozisyon: ",$B339,"/",$C339," tutar ",TEXT($D339,"#,##0.00")))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IF($D340=0,0,$D340*$E340)</f>
        <v/>
      </c>
      <c r="H340" s="125">
        <f>IF($B340="","",CONCATENATE("Pozisyon: ",$B340,"/",$C340," tutar ",TEXT($D340,"#,##0.00")))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IF($D341=0,0,$D341*$E341)</f>
        <v/>
      </c>
      <c r="H341" s="125">
        <f>IF($B341="","",CONCATENATE("Pozisyon: ",$B341,"/",$C341," tutar ",TEXT($D341,"#,##0.00")))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IF($D342=0,0,$D342*$E342)</f>
        <v/>
      </c>
      <c r="H342" s="125">
        <f>IF($B342="","",CONCATENATE("Pozisyon: ",$B342,"/",$C342," tutar ",TEXT($D342,"#,##0.00")))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IF($D343=0,0,$D343*$E343)</f>
        <v/>
      </c>
      <c r="H343" s="125">
        <f>IF($B343="","",CONCATENATE("Pozisyon: ",$B343,"/",$C343," tutar ",TEXT($D343,"#,##0.00")))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IF($D344=0,0,$D344*$E344)</f>
        <v/>
      </c>
      <c r="H344" s="125">
        <f>IF($B344="","",CONCATENATE("Pozisyon: ",$B344,"/",$C344," tutar ",TEXT($D344,"#,##0.00")))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IF($D345=0,0,$D345*$E345)</f>
        <v/>
      </c>
      <c r="H345" s="125">
        <f>IF($B345="","",CONCATENATE("Pozisyon: ",$B345,"/",$C345," tutar ",TEXT($D345,"#,##0.00")))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IF($D346=0,0,$D346*$E346)</f>
        <v/>
      </c>
      <c r="H346" s="125">
        <f>IF($B346="","",CONCATENATE("Pozisyon: ",$B346,"/",$C346," tutar ",TEXT($D346,"#,##0.00")))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IF($D347=0,0,$D347*$E347)</f>
        <v/>
      </c>
      <c r="H347" s="125">
        <f>IF($B347="","",CONCATENATE("Pozisyon: ",$B347,"/",$C347," tutar ",TEXT($D347,"#,##0.00")))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IF($D348=0,0,$D348*$E348)</f>
        <v/>
      </c>
      <c r="H348" s="125">
        <f>IF($B348="","",CONCATENATE("Pozisyon: ",$B348,"/",$C348," tutar ",TEXT($D348,"#,##0.00")))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IF($D349=0,0,$D349*$E349)</f>
        <v/>
      </c>
      <c r="H349" s="125">
        <f>IF($B349="","",CONCATENATE("Pozisyon: ",$B349,"/",$C349," tutar ",TEXT($D349,"#,##0.00")))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IF($D350=0,0,$D350*$E350)</f>
        <v/>
      </c>
      <c r="H350" s="125">
        <f>IF($B350="","",CONCATENATE("Pozisyon: ",$B350,"/",$C350," tutar ",TEXT($D350,"#,##0.00")))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IF($D351=0,0,$D351*$E351)</f>
        <v/>
      </c>
      <c r="H351" s="125">
        <f>IF($B351="","",CONCATENATE("Pozisyon: ",$B351,"/",$C351," tutar ",TEXT($D351,"#,##0.00")))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IF($D352=0,0,$D352*$E352)</f>
        <v/>
      </c>
      <c r="H352" s="125">
        <f>IF($B352="","",CONCATENATE("Pozisyon: ",$B352,"/",$C352," tutar ",TEXT($D352,"#,##0.00")))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IF($D353=0,0,$D353*$E353)</f>
        <v/>
      </c>
      <c r="H353" s="125">
        <f>IF($B353="","",CONCATENATE("Pozisyon: ",$B353,"/",$C353," tutar ",TEXT($D353,"#,##0.00")))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IF($D354=0,0,$D354*$E354)</f>
        <v/>
      </c>
      <c r="H354" s="125">
        <f>IF($B354="","",CONCATENATE("Pozisyon: ",$B354,"/",$C354," tutar ",TEXT($D354,"#,##0.00")))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IF($D355=0,0,$D355*$E355)</f>
        <v/>
      </c>
      <c r="H355" s="125">
        <f>IF($B355="","",CONCATENATE("Pozisyon: ",$B355,"/",$C355," tutar ",TEXT($D355,"#,##0.00")))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IF($D356=0,0,$D356*$E356)</f>
        <v/>
      </c>
      <c r="H356" s="125">
        <f>IF($B356="","",CONCATENATE("Pozisyon: ",$B356,"/",$C356," tutar ",TEXT($D356,"#,##0.00")))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IF($D357=0,0,$D357*$E357)</f>
        <v/>
      </c>
      <c r="H357" s="125">
        <f>IF($B357="","",CONCATENATE("Pozisyon: ",$B357,"/",$C357," tutar ",TEXT($D357,"#,##0.00")))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IF($D358=0,0,$D358*$E358)</f>
        <v/>
      </c>
      <c r="H358" s="125">
        <f>IF($B358="","",CONCATENATE("Pozisyon: ",$B358,"/",$C358," tutar ",TEXT($D358,"#,##0.00")))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IF($D359=0,0,$D359*$E359)</f>
        <v/>
      </c>
      <c r="H359" s="125">
        <f>IF($B359="","",CONCATENATE("Pozisyon: ",$B359,"/",$C359," tutar ",TEXT($D359,"#,##0.00")))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IF($D360=0,0,$D360*$E360)</f>
        <v/>
      </c>
      <c r="H360" s="125">
        <f>IF($B360="","",CONCATENATE("Pozisyon: ",$B360,"/",$C360," tutar ",TEXT($D360,"#,##0.00")))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IF($D361=0,0,$D361*$E361)</f>
        <v/>
      </c>
      <c r="H361" s="125">
        <f>IF($B361="","",CONCATENATE("Pozisyon: ",$B361,"/",$C361," tutar ",TEXT($D361,"#,##0.00")))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IF($D362=0,0,$D362*$E362)</f>
        <v/>
      </c>
      <c r="H362" s="125">
        <f>IF($B362="","",CONCATENATE("Pozisyon: ",$B362,"/",$C362," tutar ",TEXT($D362,"#,##0.00")))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IF($D363=0,0,$D363*$E363)</f>
        <v/>
      </c>
      <c r="H363" s="125">
        <f>IF($B363="","",CONCATENATE("Pozisyon: ",$B363,"/",$C363," tutar ",TEXT($D363,"#,##0.00")))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IF($D364=0,0,$D364*$E364)</f>
        <v/>
      </c>
      <c r="H364" s="125">
        <f>IF($B364="","",CONCATENATE("Pozisyon: ",$B364,"/",$C364," tutar ",TEXT($D364,"#,##0.00")))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IF($D365=0,0,$D365*$E365)</f>
        <v/>
      </c>
      <c r="H365" s="125">
        <f>IF($B365="","",CONCATENATE("Pozisyon: ",$B365,"/",$C365," tutar ",TEXT($D365,"#,##0.00")))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IF($D366=0,0,$D366*$E366)</f>
        <v/>
      </c>
      <c r="H366" s="125">
        <f>IF($B366="","",CONCATENATE("Pozisyon: ",$B366,"/",$C366," tutar ",TEXT($D366,"#,##0.00")))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IF($D367=0,0,$D367*$E367)</f>
        <v/>
      </c>
      <c r="H367" s="125">
        <f>IF($B367="","",CONCATENATE("Pozisyon: ",$B367,"/",$C367," tutar ",TEXT($D367,"#,##0.00")))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IF($D368=0,0,$D368*$E368)</f>
        <v/>
      </c>
      <c r="H368" s="125">
        <f>IF($B368="","",CONCATENATE("Pozisyon: ",$B368,"/",$C368," tutar ",TEXT($D368,"#,##0.00")))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IF($D369=0,0,$D369*$E369)</f>
        <v/>
      </c>
      <c r="H369" s="125">
        <f>IF($B369="","",CONCATENATE("Pozisyon: ",$B369,"/",$C369," tutar ",TEXT($D369,"#,##0.00")))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IF($D370=0,0,$D370*$E370)</f>
        <v/>
      </c>
      <c r="H370" s="125">
        <f>IF($B370="","",CONCATENATE("Pozisyon: ",$B370,"/",$C370," tutar ",TEXT($D370,"#,##0.00")))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IF($D371=0,0,$D371*$E371)</f>
        <v/>
      </c>
      <c r="H371" s="125">
        <f>IF($B371="","",CONCATENATE("Pozisyon: ",$B371,"/",$C371," tutar ",TEXT($D371,"#,##0.00")))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IF($D372=0,0,$D372*$E372)</f>
        <v/>
      </c>
      <c r="H372" s="125">
        <f>IF($B372="","",CONCATENATE("Pozisyon: ",$B372,"/",$C372," tutar ",TEXT($D372,"#,##0.00")))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IF($D373=0,0,$D373*$E373)</f>
        <v/>
      </c>
      <c r="H373" s="125">
        <f>IF($B373="","",CONCATENATE("Pozisyon: ",$B373,"/",$C373," tutar ",TEXT($D373,"#,##0.00")))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IF($D374=0,0,$D374*$E374)</f>
        <v/>
      </c>
      <c r="H374" s="125">
        <f>IF($B374="","",CONCATENATE("Pozisyon: ",$B374,"/",$C374," tutar ",TEXT($D374,"#,##0.00")))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IF($D375=0,0,$D375*$E375)</f>
        <v/>
      </c>
      <c r="H375" s="125">
        <f>IF($B375="","",CONCATENATE("Pozisyon: ",$B375,"/",$C375," tutar ",TEXT($D375,"#,##0.00")))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IF($D376=0,0,$D376*$E376)</f>
        <v/>
      </c>
      <c r="H376" s="125">
        <f>IF($B376="","",CONCATENATE("Pozisyon: ",$B376,"/",$C376," tutar ",TEXT($D376,"#,##0.00")))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IF($D377=0,0,$D377*$E377)</f>
        <v/>
      </c>
      <c r="H377" s="125">
        <f>IF($B377="","",CONCATENATE("Pozisyon: ",$B377,"/",$C377," tutar ",TEXT($D377,"#,##0.00")))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IF($D378=0,0,$D378*$E378)</f>
        <v/>
      </c>
      <c r="H378" s="125">
        <f>IF($B378="","",CONCATENATE("Pozisyon: ",$B378,"/",$C378," tutar ",TEXT($D378,"#,##0.00")))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IF($D379=0,0,$D379*$E379)</f>
        <v/>
      </c>
      <c r="H379" s="125">
        <f>IF($B379="","",CONCATENATE("Pozisyon: ",$B379,"/",$C379," tutar ",TEXT($D379,"#,##0.00")))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IF($D380=0,0,$D380*$E380)</f>
        <v/>
      </c>
      <c r="H380" s="125">
        <f>IF($B380="","",CONCATENATE("Pozisyon: ",$B380,"/",$C380," tutar ",TEXT($D380,"#,##0.00")))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IF($D381=0,0,$D381*$E381)</f>
        <v/>
      </c>
      <c r="H381" s="125">
        <f>IF($B381="","",CONCATENATE("Pozisyon: ",$B381,"/",$C381," tutar ",TEXT($D381,"#,##0.00")))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IF($D382=0,0,$D382*$E382)</f>
        <v/>
      </c>
      <c r="H382" s="125">
        <f>IF($B382="","",CONCATENATE("Pozisyon: ",$B382,"/",$C382," tutar ",TEXT($D382,"#,##0.00")))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IF($D383=0,0,$D383*$E383)</f>
        <v/>
      </c>
      <c r="H383" s="125">
        <f>IF($B383="","",CONCATENATE("Pozisyon: ",$B383,"/",$C383," tutar ",TEXT($D383,"#,##0.00")))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IF($D384=0,0,$D384*$E384)</f>
        <v/>
      </c>
      <c r="H384" s="125">
        <f>IF($B384="","",CONCATENATE("Pozisyon: ",$B384,"/",$C384," tutar ",TEXT($D384,"#,##0.00")))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IF($D385=0,0,$D385*$E385)</f>
        <v/>
      </c>
      <c r="H385" s="125">
        <f>IF($B385="","",CONCATENATE("Pozisyon: ",$B385,"/",$C385," tutar ",TEXT($D385,"#,##0.00")))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IF($D386=0,0,$D386*$E386)</f>
        <v/>
      </c>
      <c r="H386" s="125">
        <f>IF($B386="","",CONCATENATE("Pozisyon: ",$B386,"/",$C386," tutar ",TEXT($D386,"#,##0.00")))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IF($D387=0,0,$D387*$E387)</f>
        <v/>
      </c>
      <c r="H387" s="125">
        <f>IF($B387="","",CONCATENATE("Pozisyon: ",$B387,"/",$C387," tutar ",TEXT($D387,"#,##0.00")))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IF($D388=0,0,$D388*$E388)</f>
        <v/>
      </c>
      <c r="H388" s="125">
        <f>IF($B388="","",CONCATENATE("Pozisyon: ",$B388,"/",$C388," tutar ",TEXT($D388,"#,##0.00")))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IF($D389=0,0,$D389*$E389)</f>
        <v/>
      </c>
      <c r="H389" s="125">
        <f>IF($B389="","",CONCATENATE("Pozisyon: ",$B389,"/",$C389," tutar ",TEXT($D389,"#,##0.00")))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IF($D390=0,0,$D390*$E390)</f>
        <v/>
      </c>
      <c r="H390" s="125">
        <f>IF($B390="","",CONCATENATE("Pozisyon: ",$B390,"/",$C390," tutar ",TEXT($D390,"#,##0.00")))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IF($D391=0,0,$D391*$E391)</f>
        <v/>
      </c>
      <c r="H391" s="125">
        <f>IF($B391="","",CONCATENATE("Pozisyon: ",$B391,"/",$C391," tutar ",TEXT($D391,"#,##0.00")))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IF($D392=0,0,$D392*$E392)</f>
        <v/>
      </c>
      <c r="H392" s="125">
        <f>IF($B392="","",CONCATENATE("Pozisyon: ",$B392,"/",$C392," tutar ",TEXT($D392,"#,##0.00")))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IF($D393=0,0,$D393*$E393)</f>
        <v/>
      </c>
      <c r="H393" s="125">
        <f>IF($B393="","",CONCATENATE("Pozisyon: ",$B393,"/",$C393," tutar ",TEXT($D393,"#,##0.00")))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IF($D394=0,0,$D394*$E394)</f>
        <v/>
      </c>
      <c r="H394" s="125">
        <f>IF($B394="","",CONCATENATE("Pozisyon: ",$B394,"/",$C394," tutar ",TEXT($D394,"#,##0.00")))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IF($D395=0,0,$D395*$E395)</f>
        <v/>
      </c>
      <c r="H395" s="125">
        <f>IF($B395="","",CONCATENATE("Pozisyon: ",$B395,"/",$C395," tutar ",TEXT($D395,"#,##0.00")))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IF($D396=0,0,$D396*$E396)</f>
        <v/>
      </c>
      <c r="H396" s="125">
        <f>IF($B396="","",CONCATENATE("Pozisyon: ",$B396,"/",$C396," tutar ",TEXT($D396,"#,##0.00")))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IF($D397=0,0,$D397*$E397)</f>
        <v/>
      </c>
      <c r="H397" s="125">
        <f>IF($B397="","",CONCATENATE("Pozisyon: ",$B397,"/",$C397," tutar ",TEXT($D397,"#,##0.00")))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IF($D398=0,0,$D398*$E398)</f>
        <v/>
      </c>
      <c r="H398" s="125">
        <f>IF($B398="","",CONCATENATE("Pozisyon: ",$B398,"/",$C398," tutar ",TEXT($D398,"#,##0.00")))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IF($D399=0,0,$D399*$E399)</f>
        <v/>
      </c>
      <c r="H399" s="125">
        <f>IF($B399="","",CONCATENATE("Pozisyon: ",$B399,"/",$C399," tutar ",TEXT($D399,"#,##0.00")))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IF($D400=0,0,$D400*$E400)</f>
        <v/>
      </c>
      <c r="H400" s="125">
        <f>IF($B400="","",CONCATENATE("Pozisyon: ",$B400,"/",$C400," tutar ",TEXT($D400,"#,##0.00")))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IF($D401=0,0,$D401*$E401)</f>
        <v/>
      </c>
      <c r="H401" s="125">
        <f>IF($B401="","",CONCATENATE("Pozisyon: ",$B401,"/",$C401," tutar ",TEXT($D401,"#,##0.00")))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IF($D402=0,0,$D402*$E402)</f>
        <v/>
      </c>
      <c r="H402" s="125">
        <f>IF($B402="","",CONCATENATE("Pozisyon: ",$B402,"/",$C402," tutar ",TEXT($D402,"#,##0.00")))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IF($D403=0,0,$D403*$E403)</f>
        <v/>
      </c>
      <c r="H403" s="125">
        <f>IF($B403="","",CONCATENATE("Pozisyon: ",$B403,"/",$C403," tutar ",TEXT($D403,"#,##0.00")))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IF($D404=0,0,$D404*$E404)</f>
        <v/>
      </c>
      <c r="H404" s="125">
        <f>IF($B404="","",CONCATENATE("Pozisyon: ",$B404,"/",$C404," tutar ",TEXT($D404,"#,##0.00")))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IF($D405=0,0,$D405*$E405)</f>
        <v/>
      </c>
      <c r="H405" s="125">
        <f>IF($B405="","",CONCATENATE("Pozisyon: ",$B405,"/",$C405," tutar ",TEXT($D405,"#,##0.00")))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IF($D406=0,0,$D406*$E406)</f>
        <v/>
      </c>
      <c r="H406" s="125">
        <f>IF($B406="","",CONCATENATE("Pozisyon: ",$B406,"/",$C406," tutar ",TEXT($D406,"#,##0.00")))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IF($D407=0,0,$D407*$E407)</f>
        <v/>
      </c>
      <c r="H407" s="125">
        <f>IF($B407="","",CONCATENATE("Pozisyon: ",$B407,"/",$C407," tutar ",TEXT($D407,"#,##0.00")))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IF($D408=0,0,$D408*$E408)</f>
        <v/>
      </c>
      <c r="H408" s="125">
        <f>IF($B408="","",CONCATENATE("Pozisyon: ",$B408,"/",$C408," tutar ",TEXT($D408,"#,##0.00")))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IF($D409=0,0,$D409*$E409)</f>
        <v/>
      </c>
      <c r="H409" s="125">
        <f>IF($B409="","",CONCATENATE("Pozisyon: ",$B409,"/",$C409," tutar ",TEXT($D409,"#,##0.00")))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IF($D410=0,0,$D410*$E410)</f>
        <v/>
      </c>
      <c r="H410" s="125">
        <f>IF($B410="","",CONCATENATE("Pozisyon: ",$B410,"/",$C410," tutar ",TEXT($D410,"#,##0.00")))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IF($D411=0,0,$D411*$E411)</f>
        <v/>
      </c>
      <c r="H411" s="125">
        <f>IF($B411="","",CONCATENATE("Pozisyon: ",$B411,"/",$C411," tutar ",TEXT($D411,"#,##0.00")))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IF($D412=0,0,$D412*$E412)</f>
        <v/>
      </c>
      <c r="H412" s="125">
        <f>IF($B412="","",CONCATENATE("Pozisyon: ",$B412,"/",$C412," tutar ",TEXT($D412,"#,##0.00")))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IF($D413=0,0,$D413*$E413)</f>
        <v/>
      </c>
      <c r="H413" s="125">
        <f>IF($B413="","",CONCATENATE("Pozisyon: ",$B413,"/",$C413," tutar ",TEXT($D413,"#,##0.00")))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IF($D414=0,0,$D414*$E414)</f>
        <v/>
      </c>
      <c r="H414" s="125">
        <f>IF($B414="","",CONCATENATE("Pozisyon: ",$B414,"/",$C414," tutar ",TEXT($D414,"#,##0.00")))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IF($D415=0,0,$D415*$E415)</f>
        <v/>
      </c>
      <c r="H415" s="125">
        <f>IF($B415="","",CONCATENATE("Pozisyon: ",$B415,"/",$C415," tutar ",TEXT($D415,"#,##0.00")))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IF($D416=0,0,$D416*$E416)</f>
        <v/>
      </c>
      <c r="H416" s="125">
        <f>IF($B416="","",CONCATENATE("Pozisyon: ",$B416,"/",$C416," tutar ",TEXT($D416,"#,##0.00")))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IF($D417=0,0,$D417*$E417)</f>
        <v/>
      </c>
      <c r="H417" s="125">
        <f>IF($B417="","",CONCATENATE("Pozisyon: ",$B417,"/",$C417," tutar ",TEXT($D417,"#,##0.00")))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IF($D418=0,0,$D418*$E418)</f>
        <v/>
      </c>
      <c r="H418" s="125">
        <f>IF($B418="","",CONCATENATE("Pozisyon: ",$B418,"/",$C418," tutar ",TEXT($D418,"#,##0.00")))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IF($D419=0,0,$D419*$E419)</f>
        <v/>
      </c>
      <c r="H419" s="125">
        <f>IF($B419="","",CONCATENATE("Pozisyon: ",$B419,"/",$C419," tutar ",TEXT($D419,"#,##0.00")))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IF($D420=0,0,$D420*$E420)</f>
        <v/>
      </c>
      <c r="H420" s="125">
        <f>IF($B420="","",CONCATENATE("Pozisyon: ",$B420,"/",$C420," tutar ",TEXT($D420,"#,##0.00")))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IF($D421=0,0,$D421*$E421)</f>
        <v/>
      </c>
      <c r="H421" s="125">
        <f>IF($B421="","",CONCATENATE("Pozisyon: ",$B421,"/",$C421," tutar ",TEXT($D421,"#,##0.00")))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IF($D422=0,0,$D422*$E422)</f>
        <v/>
      </c>
      <c r="H422" s="125">
        <f>IF($B422="","",CONCATENATE("Pozisyon: ",$B422,"/",$C422," tutar ",TEXT($D422,"#,##0.00")))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IF($D423=0,0,$D423*$E423)</f>
        <v/>
      </c>
      <c r="H423" s="125">
        <f>IF($B423="","",CONCATENATE("Pozisyon: ",$B423,"/",$C423," tutar ",TEXT($D423,"#,##0.00")))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IF($D424=0,0,$D424*$E424)</f>
        <v/>
      </c>
      <c r="H424" s="125">
        <f>IF($B424="","",CONCATENATE("Pozisyon: ",$B424,"/",$C424," tutar ",TEXT($D424,"#,##0.00")))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IF($D425=0,0,$D425*$E425)</f>
        <v/>
      </c>
      <c r="H425" s="125">
        <f>IF($B425="","",CONCATENATE("Pozisyon: ",$B425,"/",$C425," tutar ",TEXT($D425,"#,##0.00")))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IF($D426=0,0,$D426*$E426)</f>
        <v/>
      </c>
      <c r="H426" s="125">
        <f>IF($B426="","",CONCATENATE("Pozisyon: ",$B426,"/",$C426," tutar ",TEXT($D426,"#,##0.00")))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IF($D427=0,0,$D427*$E427)</f>
        <v/>
      </c>
      <c r="H427" s="125">
        <f>IF($B427="","",CONCATENATE("Pozisyon: ",$B427,"/",$C427," tutar ",TEXT($D427,"#,##0.00")))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IF($D428=0,0,$D428*$E428)</f>
        <v/>
      </c>
      <c r="H428" s="125">
        <f>IF($B428="","",CONCATENATE("Pozisyon: ",$B428,"/",$C428," tutar ",TEXT($D428,"#,##0.00")))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IF($D429=0,0,$D429*$E429)</f>
        <v/>
      </c>
      <c r="H429" s="125">
        <f>IF($B429="","",CONCATENATE("Pozisyon: ",$B429,"/",$C429," tutar ",TEXT($D429,"#,##0.00")))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IF($D430=0,0,$D430*$E430)</f>
        <v/>
      </c>
      <c r="H430" s="125">
        <f>IF($B430="","",CONCATENATE("Pozisyon: ",$B430,"/",$C430," tutar ",TEXT($D430,"#,##0.00")))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IF($D431=0,0,$D431*$E431)</f>
        <v/>
      </c>
      <c r="H431" s="125">
        <f>IF($B431="","",CONCATENATE("Pozisyon: ",$B431,"/",$C431," tutar ",TEXT($D431,"#,##0.00")))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IF($D432=0,0,$D432*$E432)</f>
        <v/>
      </c>
      <c r="H432" s="125">
        <f>IF($B432="","",CONCATENATE("Pozisyon: ",$B432,"/",$C432," tutar ",TEXT($D432,"#,##0.00")))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IF($D433=0,0,$D433*$E433)</f>
        <v/>
      </c>
      <c r="H433" s="125">
        <f>IF($B433="","",CONCATENATE("Pozisyon: ",$B433,"/",$C433," tutar ",TEXT($D433,"#,##0.00")))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IF($D434=0,0,$D434*$E434)</f>
        <v/>
      </c>
      <c r="H434" s="125">
        <f>IF($B434="","",CONCATENATE("Pozisyon: ",$B434,"/",$C434," tutar ",TEXT($D434,"#,##0.00")))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IF($D435=0,0,$D435*$E435)</f>
        <v/>
      </c>
      <c r="H435" s="125">
        <f>IF($B435="","",CONCATENATE("Pozisyon: ",$B435,"/",$C435," tutar ",TEXT($D435,"#,##0.00")))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IF($D436=0,0,$D436*$E436)</f>
        <v/>
      </c>
      <c r="H436" s="125">
        <f>IF($B436="","",CONCATENATE("Pozisyon: ",$B436,"/",$C436," tutar ",TEXT($D436,"#,##0.00")))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IF($D437=0,0,$D437*$E437)</f>
        <v/>
      </c>
      <c r="H437" s="125">
        <f>IF($B437="","",CONCATENATE("Pozisyon: ",$B437,"/",$C437," tutar ",TEXT($D437,"#,##0.00")))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IF($D438=0,0,$D438*$E438)</f>
        <v/>
      </c>
      <c r="H438" s="125">
        <f>IF($B438="","",CONCATENATE("Pozisyon: ",$B438,"/",$C438," tutar ",TEXT($D438,"#,##0.00")))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IF($D439=0,0,$D439*$E439)</f>
        <v/>
      </c>
      <c r="H439" s="125">
        <f>IF($B439="","",CONCATENATE("Pozisyon: ",$B439,"/",$C439," tutar ",TEXT($D439,"#,##0.00")))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IF($D440=0,0,$D440*$E440)</f>
        <v/>
      </c>
      <c r="H440" s="125">
        <f>IF($B440="","",CONCATENATE("Pozisyon: ",$B440,"/",$C440," tutar ",TEXT($D440,"#,##0.00")))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IF($D441=0,0,$D441*$E441)</f>
        <v/>
      </c>
      <c r="H441" s="125">
        <f>IF($B441="","",CONCATENATE("Pozisyon: ",$B441,"/",$C441," tutar ",TEXT($D441,"#,##0.00")))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IF($D442=0,0,$D442*$E442)</f>
        <v/>
      </c>
      <c r="H442" s="125">
        <f>IF($B442="","",CONCATENATE("Pozisyon: ",$B442,"/",$C442," tutar ",TEXT($D442,"#,##0.00")))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IF($D443=0,0,$D443*$E443)</f>
        <v/>
      </c>
      <c r="H443" s="125">
        <f>IF($B443="","",CONCATENATE("Pozisyon: ",$B443,"/",$C443," tutar ",TEXT($D443,"#,##0.00")))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IF($D444=0,0,$D444*$E444)</f>
        <v/>
      </c>
      <c r="H444" s="125">
        <f>IF($B444="","",CONCATENATE("Pozisyon: ",$B444,"/",$C444," tutar ",TEXT($D444,"#,##0.00")))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IF($D445=0,0,$D445*$E445)</f>
        <v/>
      </c>
      <c r="H445" s="125">
        <f>IF($B445="","",CONCATENATE("Pozisyon: ",$B445,"/",$C445," tutar ",TEXT($D445,"#,##0.00")))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IF($D446=0,0,$D446*$E446)</f>
        <v/>
      </c>
      <c r="H446" s="125">
        <f>IF($B446="","",CONCATENATE("Pozisyon: ",$B446,"/",$C446," tutar ",TEXT($D446,"#,##0.00")))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IF($D447=0,0,$D447*$E447)</f>
        <v/>
      </c>
      <c r="H447" s="125">
        <f>IF($B447="","",CONCATENATE("Pozisyon: ",$B447,"/",$C447," tutar ",TEXT($D447,"#,##0.00")))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IF($D448=0,0,$D448*$E448)</f>
        <v/>
      </c>
      <c r="H448" s="125">
        <f>IF($B448="","",CONCATENATE("Pozisyon: ",$B448,"/",$C448," tutar ",TEXT($D448,"#,##0.00")))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IF($D449=0,0,$D449*$E449)</f>
        <v/>
      </c>
      <c r="H449" s="125">
        <f>IF($B449="","",CONCATENATE("Pozisyon: ",$B449,"/",$C449," tutar ",TEXT($D449,"#,##0.00")))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IF($D450=0,0,$D450*$E450)</f>
        <v/>
      </c>
      <c r="H450" s="125">
        <f>IF($B450="","",CONCATENATE("Pozisyon: ",$B450,"/",$C450," tutar ",TEXT($D450,"#,##0.00")))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IF($D451=0,0,$D451*$E451)</f>
        <v/>
      </c>
      <c r="H451" s="125">
        <f>IF($B451="","",CONCATENATE("Pozisyon: ",$B451,"/",$C451," tutar ",TEXT($D451,"#,##0.00")))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IF($D452=0,0,$D452*$E452)</f>
        <v/>
      </c>
      <c r="H452" s="125">
        <f>IF($B452="","",CONCATENATE("Pozisyon: ",$B452,"/",$C452," tutar ",TEXT($D452,"#,##0.00")))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IF($D453=0,0,$D453*$E453)</f>
        <v/>
      </c>
      <c r="H453" s="125">
        <f>IF($B453="","",CONCATENATE("Pozisyon: ",$B453,"/",$C453," tutar ",TEXT($D453,"#,##0.00")))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IF($D454=0,0,$D454*$E454)</f>
        <v/>
      </c>
      <c r="H454" s="125">
        <f>IF($B454="","",CONCATENATE("Pozisyon: ",$B454,"/",$C454," tutar ",TEXT($D454,"#,##0.00")))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IF($D455=0,0,$D455*$E455)</f>
        <v/>
      </c>
      <c r="H455" s="125">
        <f>IF($B455="","",CONCATENATE("Pozisyon: ",$B455,"/",$C455," tutar ",TEXT($D455,"#,##0.00")))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IF($D456=0,0,$D456*$E456)</f>
        <v/>
      </c>
      <c r="H456" s="125">
        <f>IF($B456="","",CONCATENATE("Pozisyon: ",$B456,"/",$C456," tutar ",TEXT($D456,"#,##0.00")))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IF($D457=0,0,$D457*$E457)</f>
        <v/>
      </c>
      <c r="H457" s="125">
        <f>IF($B457="","",CONCATENATE("Pozisyon: ",$B457,"/",$C457," tutar ",TEXT($D457,"#,##0.00")))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IF($D458=0,0,$D458*$E458)</f>
        <v/>
      </c>
      <c r="H458" s="125">
        <f>IF($B458="","",CONCATENATE("Pozisyon: ",$B458,"/",$C458," tutar ",TEXT($D458,"#,##0.00")))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IF($D459=0,0,$D459*$E459)</f>
        <v/>
      </c>
      <c r="H459" s="125">
        <f>IF($B459="","",CONCATENATE("Pozisyon: ",$B459,"/",$C459," tutar ",TEXT($D459,"#,##0.00")))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IF($D460=0,0,$D460*$E460)</f>
        <v/>
      </c>
      <c r="H460" s="125">
        <f>IF($B460="","",CONCATENATE("Pozisyon: ",$B460,"/",$C460," tutar ",TEXT($D460,"#,##0.00")))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IF($D461=0,0,$D461*$E461)</f>
        <v/>
      </c>
      <c r="H461" s="125">
        <f>IF($B461="","",CONCATENATE("Pozisyon: ",$B461,"/",$C461," tutar ",TEXT($D461,"#,##0.00")))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IF($D462=0,0,$D462*$E462)</f>
        <v/>
      </c>
      <c r="H462" s="125">
        <f>IF($B462="","",CONCATENATE("Pozisyon: ",$B462,"/",$C462," tutar ",TEXT($D462,"#,##0.00")))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IF($D463=0,0,$D463*$E463)</f>
        <v/>
      </c>
      <c r="H463" s="125">
        <f>IF($B463="","",CONCATENATE("Pozisyon: ",$B463,"/",$C463," tutar ",TEXT($D463,"#,##0.00")))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IF($D464=0,0,$D464*$E464)</f>
        <v/>
      </c>
      <c r="H464" s="125">
        <f>IF($B464="","",CONCATENATE("Pozisyon: ",$B464,"/",$C464," tutar ",TEXT($D464,"#,##0.00")))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IF($D465=0,0,$D465*$E465)</f>
        <v/>
      </c>
      <c r="H465" s="125">
        <f>IF($B465="","",CONCATENATE("Pozisyon: ",$B465,"/",$C465," tutar ",TEXT($D465,"#,##0.00")))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IF($D466=0,0,$D466*$E466)</f>
        <v/>
      </c>
      <c r="H466" s="125">
        <f>IF($B466="","",CONCATENATE("Pozisyon: ",$B466,"/",$C466," tutar ",TEXT($D466,"#,##0.00")))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IF($D467=0,0,$D467*$E467)</f>
        <v/>
      </c>
      <c r="H467" s="125">
        <f>IF($B467="","",CONCATENATE("Pozisyon: ",$B467,"/",$C467," tutar ",TEXT($D467,"#,##0.00")))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IF($D468=0,0,$D468*$E468)</f>
        <v/>
      </c>
      <c r="H468" s="125">
        <f>IF($B468="","",CONCATENATE("Pozisyon: ",$B468,"/",$C468," tutar ",TEXT($D468,"#,##0.00")))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IF($D469=0,0,$D469*$E469)</f>
        <v/>
      </c>
      <c r="H469" s="125">
        <f>IF($B469="","",CONCATENATE("Pozisyon: ",$B469,"/",$C469," tutar ",TEXT($D469,"#,##0.00")))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IF($D470=0,0,$D470*$E470)</f>
        <v/>
      </c>
      <c r="H470" s="125">
        <f>IF($B470="","",CONCATENATE("Pozisyon: ",$B470,"/",$C470," tutar ",TEXT($D470,"#,##0.00")))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IF($D471=0,0,$D471*$E471)</f>
        <v/>
      </c>
      <c r="H471" s="125">
        <f>IF($B471="","",CONCATENATE("Pozisyon: ",$B471,"/",$C471," tutar ",TEXT($D471,"#,##0.00")))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IF($D472=0,0,$D472*$E472)</f>
        <v/>
      </c>
      <c r="H472" s="125">
        <f>IF($B472="","",CONCATENATE("Pozisyon: ",$B472,"/",$C472," tutar ",TEXT($D472,"#,##0.00")))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IF($D473=0,0,$D473*$E473)</f>
        <v/>
      </c>
      <c r="H473" s="125">
        <f>IF($B473="","",CONCATENATE("Pozisyon: ",$B473,"/",$C473," tutar ",TEXT($D473,"#,##0.00")))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IF($D474=0,0,$D474*$E474)</f>
        <v/>
      </c>
      <c r="H474" s="125">
        <f>IF($B474="","",CONCATENATE("Pozisyon: ",$B474,"/",$C474," tutar ",TEXT($D474,"#,##0.00")))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IF($D475=0,0,$D475*$E475)</f>
        <v/>
      </c>
      <c r="H475" s="125">
        <f>IF($B475="","",CONCATENATE("Pozisyon: ",$B475,"/",$C475," tutar ",TEXT($D475,"#,##0.00")))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IF($D476=0,0,$D476*$E476)</f>
        <v/>
      </c>
      <c r="H476" s="125">
        <f>IF($B476="","",CONCATENATE("Pozisyon: ",$B476,"/",$C476," tutar ",TEXT($D476,"#,##0.00")))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IF($D477=0,0,$D477*$E477)</f>
        <v/>
      </c>
      <c r="H477" s="125">
        <f>IF($B477="","",CONCATENATE("Pozisyon: ",$B477,"/",$C477," tutar ",TEXT($D477,"#,##0.00")))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IF($D478=0,0,$D478*$E478)</f>
        <v/>
      </c>
      <c r="H478" s="125">
        <f>IF($B478="","",CONCATENATE("Pozisyon: ",$B478,"/",$C478," tutar ",TEXT($D478,"#,##0.00")))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IF($D479=0,0,$D479*$E479)</f>
        <v/>
      </c>
      <c r="H479" s="125">
        <f>IF($B479="","",CONCATENATE("Pozisyon: ",$B479,"/",$C479," tutar ",TEXT($D479,"#,##0.00")))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IF($D480=0,0,$D480*$E480)</f>
        <v/>
      </c>
      <c r="H480" s="125">
        <f>IF($B480="","",CONCATENATE("Pozisyon: ",$B480,"/",$C480," tutar ",TEXT($D480,"#,##0.00")))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IF($D481=0,0,$D481*$E481)</f>
        <v/>
      </c>
      <c r="H481" s="125">
        <f>IF($B481="","",CONCATENATE("Pozisyon: ",$B481,"/",$C481," tutar ",TEXT($D481,"#,##0.00")))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IF($D482=0,0,$D482*$E482)</f>
        <v/>
      </c>
      <c r="H482" s="125">
        <f>IF($B482="","",CONCATENATE("Pozisyon: ",$B482,"/",$C482," tutar ",TEXT($D482,"#,##0.00")))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IF($D483=0,0,$D483*$E483)</f>
        <v/>
      </c>
      <c r="H483" s="125">
        <f>IF($B483="","",CONCATENATE("Pozisyon: ",$B483,"/",$C483," tutar ",TEXT($D483,"#,##0.00")))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IF($D484=0,0,$D484*$E484)</f>
        <v/>
      </c>
      <c r="H484" s="125">
        <f>IF($B484="","",CONCATENATE("Pozisyon: ",$B484,"/",$C484," tutar ",TEXT($D484,"#,##0.00")))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IF($D485=0,0,$D485*$E485)</f>
        <v/>
      </c>
      <c r="H485" s="125">
        <f>IF($B485="","",CONCATENATE("Pozisyon: ",$B485,"/",$C485," tutar ",TEXT($D485,"#,##0.00")))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IF($D486=0,0,$D486*$E486)</f>
        <v/>
      </c>
      <c r="H486" s="125">
        <f>IF($B486="","",CONCATENATE("Pozisyon: ",$B486,"/",$C486," tutar ",TEXT($D486,"#,##0.00")))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IF($D487=0,0,$D487*$E487)</f>
        <v/>
      </c>
      <c r="H487" s="125">
        <f>IF($B487="","",CONCATENATE("Pozisyon: ",$B487,"/",$C487," tutar ",TEXT($D487,"#,##0.00")))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IF($D488=0,0,$D488*$E488)</f>
        <v/>
      </c>
      <c r="H488" s="125">
        <f>IF($B488="","",CONCATENATE("Pozisyon: ",$B488,"/",$C488," tutar ",TEXT($D488,"#,##0.00")))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IF($D489=0,0,$D489*$E489)</f>
        <v/>
      </c>
      <c r="H489" s="125">
        <f>IF($B489="","",CONCATENATE("Pozisyon: ",$B489,"/",$C489," tutar ",TEXT($D489,"#,##0.00")))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IF($D490=0,0,$D490*$E490)</f>
        <v/>
      </c>
      <c r="H490" s="125">
        <f>IF($B490="","",CONCATENATE("Pozisyon: ",$B490,"/",$C490," tutar ",TEXT($D490,"#,##0.00")))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IF($D491=0,0,$D491*$E491)</f>
        <v/>
      </c>
      <c r="H491" s="125">
        <f>IF($B491="","",CONCATENATE("Pozisyon: ",$B491,"/",$C491," tutar ",TEXT($D491,"#,##0.00")))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IF($D492=0,0,$D492*$E492)</f>
        <v/>
      </c>
      <c r="H492" s="125">
        <f>IF($B492="","",CONCATENATE("Pozisyon: ",$B492,"/",$C492," tutar ",TEXT($D492,"#,##0.00")))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IF($D493=0,0,$D493*$E493)</f>
        <v/>
      </c>
      <c r="H493" s="125">
        <f>IF($B493="","",CONCATENATE("Pozisyon: ",$B493,"/",$C493," tutar ",TEXT($D493,"#,##0.00")))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IF($D494=0,0,$D494*$E494)</f>
        <v/>
      </c>
      <c r="H494" s="125">
        <f>IF($B494="","",CONCATENATE("Pozisyon: ",$B494,"/",$C494," tutar ",TEXT($D494,"#,##0.00")))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IF($D495=0,0,$D495*$E495)</f>
        <v/>
      </c>
      <c r="H495" s="125">
        <f>IF($B495="","",CONCATENATE("Pozisyon: ",$B495,"/",$C495," tutar ",TEXT($D495,"#,##0.00")))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IF($D496=0,0,$D496*$E496)</f>
        <v/>
      </c>
      <c r="H496" s="125">
        <f>IF($B496="","",CONCATENATE("Pozisyon: ",$B496,"/",$C496," tutar ",TEXT($D496,"#,##0.00")))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IF($D497=0,0,$D497*$E497)</f>
        <v/>
      </c>
      <c r="H497" s="125">
        <f>IF($B497="","",CONCATENATE("Pozisyon: ",$B497,"/",$C497," tutar ",TEXT($D497,"#,##0.00")))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IF($D498=0,0,$D498*$E498)</f>
        <v/>
      </c>
      <c r="H498" s="125">
        <f>IF($B498="","",CONCATENATE("Pozisyon: ",$B498,"/",$C498," tutar ",TEXT($D498,"#,##0.00")))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IF($D499=0,0,$D499*$E499)</f>
        <v/>
      </c>
      <c r="H499" s="125">
        <f>IF($B499="","",CONCATENATE("Pozisyon: ",$B499,"/",$C499," tutar ",TEXT($D499,"#,##0.00")))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IF($D500=0,0,$D500*$E500)</f>
        <v/>
      </c>
      <c r="H500" s="125">
        <f>IF($B500="","",CONCATENATE("Pozisyon: ",$B500,"/",$C500," tutar ",TEXT($D500,"#,##0.00")))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IF($D501=0,0,$D501*$E501)</f>
        <v/>
      </c>
      <c r="H501" s="125">
        <f>IF($B501="","",CONCATENATE("Pozisyon: ",$B501,"/",$C501," tutar ",TEXT($D501,"#,##0.00")))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IF($D502=0,0,$D502*$E502)</f>
        <v/>
      </c>
      <c r="H502" s="125">
        <f>IF($B502="","",CONCATENATE("Pozisyon: ",$B502,"/",$C502," tutar ",TEXT($D502,"#,##0.00")))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IF($D503=0,0,$D503*$E503)</f>
        <v/>
      </c>
      <c r="H503" s="125">
        <f>IF($B503="","",CONCATENATE("Pozisyon: ",$B503,"/",$C503," tutar ",TEXT($D503,"#,##0.00")))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IF($D504=0,0,$D504*$E504)</f>
        <v/>
      </c>
      <c r="H504" s="125">
        <f>IF($B504="","",CONCATENATE("Pozisyon: ",$B504,"/",$C504," tutar ",TEXT($D504,"#,##0.00")))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IF($D505=0,0,$D505*$E505)</f>
        <v/>
      </c>
      <c r="H505" s="125">
        <f>IF($B505="","",CONCATENATE("Pozisyon: ",$B505,"/",$C505," tutar ",TEXT($D505,"#,##0.00")))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IF($D506=0,0,$D506*$E506)</f>
        <v/>
      </c>
      <c r="H506" s="125">
        <f>IF($B506="","",CONCATENATE("Pozisyon: ",$B506,"/",$C506," tutar ",TEXT($D506,"#,##0.00")))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IF($D507=0,0,$D507*$E507)</f>
        <v/>
      </c>
      <c r="H507" s="125">
        <f>IF($B507="","",CONCATENATE("Pozisyon: ",$B507,"/",$C507," tutar ",TEXT($D507,"#,##0.00")))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IF($D508=0,0,$D508*$E508)</f>
        <v/>
      </c>
      <c r="H508" s="125">
        <f>IF($B508="","",CONCATENATE("Pozisyon: ",$B508,"/",$C508," tutar ",TEXT($D508,"#,##0.00")))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IF($D509=0,0,$D509*$E509)</f>
        <v/>
      </c>
      <c r="H509" s="125">
        <f>IF($B509="","",CONCATENATE("Pozisyon: ",$B509,"/",$C509," tutar ",TEXT($D509,"#,##0.00")))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IF($D510=0,0,$D510*$E510)</f>
        <v/>
      </c>
      <c r="H510" s="125">
        <f>IF($B510="","",CONCATENATE("Pozisyon: ",$B510,"/",$C510," tutar ",TEXT($D510,"#,##0.00")))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IF($D511=0,0,$D511*$E511)</f>
        <v/>
      </c>
      <c r="H511" s="125">
        <f>IF($B511="","",CONCATENATE("Pozisyon: ",$B511,"/",$C511," tutar ",TEXT($D511,"#,##0.00")))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IF($D512=0,0,$D512*$E512)</f>
        <v/>
      </c>
      <c r="H512" s="125">
        <f>IF($B512="","",CONCATENATE("Pozisyon: ",$B512,"/",$C512," tutar ",TEXT($D512,"#,##0.00")))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IF($D513=0,0,$D513*$E513)</f>
        <v/>
      </c>
      <c r="H513" s="125">
        <f>IF($B513="","",CONCATENATE("Pozisyon: ",$B513,"/",$C513," tutar ",TEXT($D513,"#,##0.00")))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IF($D514=0,0,$D514*$E514)</f>
        <v/>
      </c>
      <c r="H514" s="125">
        <f>IF($B514="","",CONCATENATE("Pozisyon: ",$B514,"/",$C514," tutar ",TEXT($D514,"#,##0.00")))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IF($D515=0,0,$D515*$E515)</f>
        <v/>
      </c>
      <c r="H515" s="125">
        <f>IF($B515="","",CONCATENATE("Pozisyon: ",$B515,"/",$C515," tutar ",TEXT($D515,"#,##0.00")))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IF($D516=0,0,$D516*$E516)</f>
        <v/>
      </c>
      <c r="H516" s="125">
        <f>IF($B516="","",CONCATENATE("Pozisyon: ",$B516,"/",$C516," tutar ",TEXT($D516,"#,##0.00")))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IF($D517=0,0,$D517*$E517)</f>
        <v/>
      </c>
      <c r="H517" s="125">
        <f>IF($B517="","",CONCATENATE("Pozisyon: ",$B517,"/",$C517," tutar ",TEXT($D517,"#,##0.00")))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IF($D518=0,0,$D518*$E518)</f>
        <v/>
      </c>
      <c r="H518" s="125">
        <f>IF($B518="","",CONCATENATE("Pozisyon: ",$B518,"/",$C518," tutar ",TEXT($D518,"#,##0.00")))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IF($D519=0,0,$D519*$E519)</f>
        <v/>
      </c>
      <c r="H519" s="125">
        <f>IF($B519="","",CONCATENATE("Pozisyon: ",$B519,"/",$C519," tutar ",TEXT($D519,"#,##0.00")))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IF($D520=0,0,$D520*$E520)</f>
        <v/>
      </c>
      <c r="H520" s="125">
        <f>IF($B520="","",CONCATENATE("Pozisyon: ",$B520,"/",$C520," tutar ",TEXT($D520,"#,##0.00")))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IF($D521=0,0,$D521*$E521)</f>
        <v/>
      </c>
      <c r="H521" s="125">
        <f>IF($B521="","",CONCATENATE("Pozisyon: ",$B521,"/",$C521," tutar ",TEXT($D521,"#,##0.00")))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IF($D522=0,0,$D522*$E522)</f>
        <v/>
      </c>
      <c r="H522" s="125">
        <f>IF($B522="","",CONCATENATE("Pozisyon: ",$B522,"/",$C522," tutar ",TEXT($D522,"#,##0.00")))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IF($D523=0,0,$D523*$E523)</f>
        <v/>
      </c>
      <c r="H523" s="125">
        <f>IF($B523="","",CONCATENATE("Pozisyon: ",$B523,"/",$C523," tutar ",TEXT($D523,"#,##0.00")))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IF($D524=0,0,$D524*$E524)</f>
        <v/>
      </c>
      <c r="H524" s="125">
        <f>IF($B524="","",CONCATENATE("Pozisyon: ",$B524,"/",$C524," tutar ",TEXT($D524,"#,##0.00")))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IF($D525=0,0,$D525*$E525)</f>
        <v/>
      </c>
      <c r="H525" s="125">
        <f>IF($B525="","",CONCATENATE("Pozisyon: ",$B525,"/",$C525," tutar ",TEXT($D525,"#,##0.00")))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IF($D526=0,0,$D526*$E526)</f>
        <v/>
      </c>
      <c r="H526" s="125">
        <f>IF($B526="","",CONCATENATE("Pozisyon: ",$B526,"/",$C526," tutar ",TEXT($D526,"#,##0.00")))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IF($D527=0,0,$D527*$E527)</f>
        <v/>
      </c>
      <c r="H527" s="125">
        <f>IF($B527="","",CONCATENATE("Pozisyon: ",$B527,"/",$C527," tutar ",TEXT($D527,"#,##0.00")))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IF($D528=0,0,$D528*$E528)</f>
        <v/>
      </c>
      <c r="H528" s="125">
        <f>IF($B528="","",CONCATENATE("Pozisyon: ",$B528,"/",$C528," tutar ",TEXT($D528,"#,##0.00")))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IF($D529=0,0,$D529*$E529)</f>
        <v/>
      </c>
      <c r="H529" s="125">
        <f>IF($B529="","",CONCATENATE("Pozisyon: ",$B529,"/",$C529," tutar ",TEXT($D529,"#,##0.00")))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IF($D530=0,0,$D530*$E530)</f>
        <v/>
      </c>
      <c r="H530" s="125">
        <f>IF($B530="","",CONCATENATE("Pozisyon: ",$B530,"/",$C530," tutar ",TEXT($D530,"#,##0.00")))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IF($D531=0,0,$D531*$E531)</f>
        <v/>
      </c>
      <c r="H531" s="125">
        <f>IF($B531="","",CONCATENATE("Pozisyon: ",$B531,"/",$C531," tutar ",TEXT($D531,"#,##0.00")))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IF($D532=0,0,$D532*$E532)</f>
        <v/>
      </c>
      <c r="H532" s="125">
        <f>IF($B532="","",CONCATENATE("Pozisyon: ",$B532,"/",$C532," tutar ",TEXT($D532,"#,##0.00")))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IF($D533=0,0,$D533*$E533)</f>
        <v/>
      </c>
      <c r="H533" s="125">
        <f>IF($B533="","",CONCATENATE("Pozisyon: ",$B533,"/",$C533," tutar ",TEXT($D533,"#,##0.00")))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IF($D534=0,0,$D534*$E534)</f>
        <v/>
      </c>
      <c r="H534" s="125">
        <f>IF($B534="","",CONCATENATE("Pozisyon: ",$B534,"/",$C534," tutar ",TEXT($D534,"#,##0.00")))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IF($D535=0,0,$D535*$E535)</f>
        <v/>
      </c>
      <c r="H535" s="125">
        <f>IF($B535="","",CONCATENATE("Pozisyon: ",$B535,"/",$C535," tutar ",TEXT($D535,"#,##0.00")))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IF($D536=0,0,$D536*$E536)</f>
        <v/>
      </c>
      <c r="H536" s="125">
        <f>IF($B536="","",CONCATENATE("Pozisyon: ",$B536,"/",$C536," tutar ",TEXT($D536,"#,##0.00")))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IF($D537=0,0,$D537*$E537)</f>
        <v/>
      </c>
      <c r="H537" s="125">
        <f>IF($B537="","",CONCATENATE("Pozisyon: ",$B537,"/",$C537," tutar ",TEXT($D537,"#,##0.00")))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IF($D538=0,0,$D538*$E538)</f>
        <v/>
      </c>
      <c r="H538" s="125">
        <f>IF($B538="","",CONCATENATE("Pozisyon: ",$B538,"/",$C538," tutar ",TEXT($D538,"#,##0.00")))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IF($D539=0,0,$D539*$E539)</f>
        <v/>
      </c>
      <c r="H539" s="125">
        <f>IF($B539="","",CONCATENATE("Pozisyon: ",$B539,"/",$C539," tutar ",TEXT($D539,"#,##0.00")))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IF($D540=0,0,$D540*$E540)</f>
        <v/>
      </c>
      <c r="H540" s="125">
        <f>IF($B540="","",CONCATENATE("Pozisyon: ",$B540,"/",$C540," tutar ",TEXT($D540,"#,##0.00")))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IF($D541=0,0,$D541*$E541)</f>
        <v/>
      </c>
      <c r="H541" s="125">
        <f>IF($B541="","",CONCATENATE("Pozisyon: ",$B541,"/",$C541," tutar ",TEXT($D541,"#,##0.00")))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IF($D542=0,0,$D542*$E542)</f>
        <v/>
      </c>
      <c r="H542" s="125">
        <f>IF($B542="","",CONCATENATE("Pozisyon: ",$B542,"/",$C542," tutar ",TEXT($D542,"#,##0.00")))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IF($D543=0,0,$D543*$E543)</f>
        <v/>
      </c>
      <c r="H543" s="125">
        <f>IF($B543="","",CONCATENATE("Pozisyon: ",$B543,"/",$C543," tutar ",TEXT($D543,"#,##0.00")))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IF($D544=0,0,$D544*$E544)</f>
        <v/>
      </c>
      <c r="H544" s="125">
        <f>IF($B544="","",CONCATENATE("Pozisyon: ",$B544,"/",$C544," tutar ",TEXT($D544,"#,##0.00")))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IF($D545=0,0,$D545*$E545)</f>
        <v/>
      </c>
      <c r="H545" s="125">
        <f>IF($B545="","",CONCATENATE("Pozisyon: ",$B545,"/",$C545," tutar ",TEXT($D545,"#,##0.00")))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IF($D546=0,0,$D546*$E546)</f>
        <v/>
      </c>
      <c r="H546" s="125">
        <f>IF($B546="","",CONCATENATE("Pozisyon: ",$B546,"/",$C546," tutar ",TEXT($D546,"#,##0.00")))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IF($D547=0,0,$D547*$E547)</f>
        <v/>
      </c>
      <c r="H547" s="125">
        <f>IF($B547="","",CONCATENATE("Pozisyon: ",$B547,"/",$C547," tutar ",TEXT($D547,"#,##0.00")))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IF($D548=0,0,$D548*$E548)</f>
        <v/>
      </c>
      <c r="H548" s="125">
        <f>IF($B548="","",CONCATENATE("Pozisyon: ",$B548,"/",$C548," tutar ",TEXT($D548,"#,##0.00")))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IF($D549=0,0,$D549*$E549)</f>
        <v/>
      </c>
      <c r="H549" s="125">
        <f>IF($B549="","",CONCATENATE("Pozisyon: ",$B549,"/",$C549," tutar ",TEXT($D549,"#,##0.00")))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IF($D550=0,0,$D550*$E550)</f>
        <v/>
      </c>
      <c r="H550" s="125">
        <f>IF($B550="","",CONCATENATE("Pozisyon: ",$B550,"/",$C550," tutar ",TEXT($D550,"#,##0.00")))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IF($D551=0,0,$D551*$E551)</f>
        <v/>
      </c>
      <c r="H551" s="125">
        <f>IF($B551="","",CONCATENATE("Pozisyon: ",$B551,"/",$C551," tutar ",TEXT($D551,"#,##0.00")))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IF($D552=0,0,$D552*$E552)</f>
        <v/>
      </c>
      <c r="H552" s="125">
        <f>IF($B552="","",CONCATENATE("Pozisyon: ",$B552,"/",$C552," tutar ",TEXT($D552,"#,##0.00")))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IF($D553=0,0,$D553*$E553)</f>
        <v/>
      </c>
      <c r="H553" s="125">
        <f>IF($B553="","",CONCATENATE("Pozisyon: ",$B553,"/",$C553," tutar ",TEXT($D553,"#,##0.00")))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IF($D554=0,0,$D554*$E554)</f>
        <v/>
      </c>
      <c r="H554" s="125">
        <f>IF($B554="","",CONCATENATE("Pozisyon: ",$B554,"/",$C554," tutar ",TEXT($D554,"#,##0.00")))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IF($D555=0,0,$D555*$E555)</f>
        <v/>
      </c>
      <c r="H555" s="125">
        <f>IF($B555="","",CONCATENATE("Pozisyon: ",$B555,"/",$C555," tutar ",TEXT($D555,"#,##0.00")))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IF($D556=0,0,$D556*$E556)</f>
        <v/>
      </c>
      <c r="H556" s="125">
        <f>IF($B556="","",CONCATENATE("Pozisyon: ",$B556,"/",$C556," tutar ",TEXT($D556,"#,##0.00")))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IF($D557=0,0,$D557*$E557)</f>
        <v/>
      </c>
      <c r="H557" s="125">
        <f>IF($B557="","",CONCATENATE("Pozisyon: ",$B557,"/",$C557," tutar ",TEXT($D557,"#,##0.00")))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IF($D558=0,0,$D558*$E558)</f>
        <v/>
      </c>
      <c r="H558" s="125">
        <f>IF($B558="","",CONCATENATE("Pozisyon: ",$B558,"/",$C558," tutar ",TEXT($D558,"#,##0.00")))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IF($D559=0,0,$D559*$E559)</f>
        <v/>
      </c>
      <c r="H559" s="125">
        <f>IF($B559="","",CONCATENATE("Pozisyon: ",$B559,"/",$C559," tutar ",TEXT($D559,"#,##0.00")))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IF($D560=0,0,$D560*$E560)</f>
        <v/>
      </c>
      <c r="H560" s="125">
        <f>IF($B560="","",CONCATENATE("Pozisyon: ",$B560,"/",$C560," tutar ",TEXT($D560,"#,##0.00")))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IF($D561=0,0,$D561*$E561)</f>
        <v/>
      </c>
      <c r="H561" s="125">
        <f>IF($B561="","",CONCATENATE("Pozisyon: ",$B561,"/",$C561," tutar ",TEXT($D561,"#,##0.00")))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IF($D562=0,0,$D562*$E562)</f>
        <v/>
      </c>
      <c r="H562" s="125">
        <f>IF($B562="","",CONCATENATE("Pozisyon: ",$B562,"/",$C562," tutar ",TEXT($D562,"#,##0.00")))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IF($D563=0,0,$D563*$E563)</f>
        <v/>
      </c>
      <c r="H563" s="125">
        <f>IF($B563="","",CONCATENATE("Pozisyon: ",$B563,"/",$C563," tutar ",TEXT($D563,"#,##0.00")))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IF($D564=0,0,$D564*$E564)</f>
        <v/>
      </c>
      <c r="H564" s="125">
        <f>IF($B564="","",CONCATENATE("Pozisyon: ",$B564,"/",$C564," tutar ",TEXT($D564,"#,##0.00")))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IF($D565=0,0,$D565*$E565)</f>
        <v/>
      </c>
      <c r="H565" s="125">
        <f>IF($B565="","",CONCATENATE("Pozisyon: ",$B565,"/",$C565," tutar ",TEXT($D565,"#,##0.00")))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IF($D566=0,0,$D566*$E566)</f>
        <v/>
      </c>
      <c r="H566" s="125">
        <f>IF($B566="","",CONCATENATE("Pozisyon: ",$B566,"/",$C566," tutar ",TEXT($D566,"#,##0.00")))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IF($D567=0,0,$D567*$E567)</f>
        <v/>
      </c>
      <c r="H567" s="125">
        <f>IF($B567="","",CONCATENATE("Pozisyon: ",$B567,"/",$C567," tutar ",TEXT($D567,"#,##0.00")))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IF($D568=0,0,$D568*$E568)</f>
        <v/>
      </c>
      <c r="H568" s="125">
        <f>IF($B568="","",CONCATENATE("Pozisyon: ",$B568,"/",$C568," tutar ",TEXT($D568,"#,##0.00")))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IF($D569=0,0,$D569*$E569)</f>
        <v/>
      </c>
      <c r="H569" s="125">
        <f>IF($B569="","",CONCATENATE("Pozisyon: ",$B569,"/",$C569," tutar ",TEXT($D569,"#,##0.00")))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IF($D570=0,0,$D570*$E570)</f>
        <v/>
      </c>
      <c r="H570" s="125">
        <f>IF($B570="","",CONCATENATE("Pozisyon: ",$B570,"/",$C570," tutar ",TEXT($D570,"#,##0.00")))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IF($D571=0,0,$D571*$E571)</f>
        <v/>
      </c>
      <c r="H571" s="125">
        <f>IF($B571="","",CONCATENATE("Pozisyon: ",$B571,"/",$C571," tutar ",TEXT($D571,"#,##0.00")))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IF($D572=0,0,$D572*$E572)</f>
        <v/>
      </c>
      <c r="H572" s="125">
        <f>IF($B572="","",CONCATENATE("Pozisyon: ",$B572,"/",$C572," tutar ",TEXT($D572,"#,##0.00")))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IF($D573=0,0,$D573*$E573)</f>
        <v/>
      </c>
      <c r="H573" s="125">
        <f>IF($B573="","",CONCATENATE("Pozisyon: ",$B573,"/",$C573," tutar ",TEXT($D573,"#,##0.00")))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IF($D574=0,0,$D574*$E574)</f>
        <v/>
      </c>
      <c r="H574" s="125">
        <f>IF($B574="","",CONCATENATE("Pozisyon: ",$B574,"/",$C574," tutar ",TEXT($D574,"#,##0.00")))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IF($D575=0,0,$D575*$E575)</f>
        <v/>
      </c>
      <c r="H575" s="125">
        <f>IF($B575="","",CONCATENATE("Pozisyon: ",$B575,"/",$C575," tutar ",TEXT($D575,"#,##0.00")))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IF($D576=0,0,$D576*$E576)</f>
        <v/>
      </c>
      <c r="H576" s="125">
        <f>IF($B576="","",CONCATENATE("Pozisyon: ",$B576,"/",$C576," tutar ",TEXT($D576,"#,##0.00")))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IF($D577=0,0,$D577*$E577)</f>
        <v/>
      </c>
      <c r="H577" s="125">
        <f>IF($B577="","",CONCATENATE("Pozisyon: ",$B577,"/",$C577," tutar ",TEXT($D577,"#,##0.00")))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IF($D578=0,0,$D578*$E578)</f>
        <v/>
      </c>
      <c r="H578" s="125">
        <f>IF($B578="","",CONCATENATE("Pozisyon: ",$B578,"/",$C578," tutar ",TEXT($D578,"#,##0.00")))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IF($D579=0,0,$D579*$E579)</f>
        <v/>
      </c>
      <c r="H579" s="125">
        <f>IF($B579="","",CONCATENATE("Pozisyon: ",$B579,"/",$C579," tutar ",TEXT($D579,"#,##0.00")))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IF($D580=0,0,$D580*$E580)</f>
        <v/>
      </c>
      <c r="H580" s="125">
        <f>IF($B580="","",CONCATENATE("Pozisyon: ",$B580,"/",$C580," tutar ",TEXT($D580,"#,##0.00")))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IF($D581=0,0,$D581*$E581)</f>
        <v/>
      </c>
      <c r="H581" s="125">
        <f>IF($B581="","",CONCATENATE("Pozisyon: ",$B581,"/",$C581," tutar ",TEXT($D581,"#,##0.00")))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IF($D582=0,0,$D582*$E582)</f>
        <v/>
      </c>
      <c r="H582" s="125">
        <f>IF($B582="","",CONCATENATE("Pozisyon: ",$B582,"/",$C582," tutar ",TEXT($D582,"#,##0.00")))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IF($D583=0,0,$D583*$E583)</f>
        <v/>
      </c>
      <c r="H583" s="125">
        <f>IF($B583="","",CONCATENATE("Pozisyon: ",$B583,"/",$C583," tutar ",TEXT($D583,"#,##0.00")))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IF($D584=0,0,$D584*$E584)</f>
        <v/>
      </c>
      <c r="H584" s="125">
        <f>IF($B584="","",CONCATENATE("Pozisyon: ",$B584,"/",$C584," tutar ",TEXT($D584,"#,##0.00")))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IF($D585=0,0,$D585*$E585)</f>
        <v/>
      </c>
      <c r="H585" s="125">
        <f>IF($B585="","",CONCATENATE("Pozisyon: ",$B585,"/",$C585," tutar ",TEXT($D585,"#,##0.00")))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IF($D586=0,0,$D586*$E586)</f>
        <v/>
      </c>
      <c r="H586" s="125">
        <f>IF($B586="","",CONCATENATE("Pozisyon: ",$B586,"/",$C586," tutar ",TEXT($D586,"#,##0.00")))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IF($D587=0,0,$D587*$E587)</f>
        <v/>
      </c>
      <c r="H587" s="125">
        <f>IF($B587="","",CONCATENATE("Pozisyon: ",$B587,"/",$C587," tutar ",TEXT($D587,"#,##0.00")))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IF($D588=0,0,$D588*$E588)</f>
        <v/>
      </c>
      <c r="H588" s="125">
        <f>IF($B588="","",CONCATENATE("Pozisyon: ",$B588,"/",$C588," tutar ",TEXT($D588,"#,##0.00")))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IF($D589=0,0,$D589*$E589)</f>
        <v/>
      </c>
      <c r="H589" s="125">
        <f>IF($B589="","",CONCATENATE("Pozisyon: ",$B589,"/",$C589," tutar ",TEXT($D589,"#,##0.00")))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IF($D590=0,0,$D590*$E590)</f>
        <v/>
      </c>
      <c r="H590" s="125">
        <f>IF($B590="","",CONCATENATE("Pozisyon: ",$B590,"/",$C590," tutar ",TEXT($D590,"#,##0.00")))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IF($D591=0,0,$D591*$E591)</f>
        <v/>
      </c>
      <c r="H591" s="125">
        <f>IF($B591="","",CONCATENATE("Pozisyon: ",$B591,"/",$C591," tutar ",TEXT($D591,"#,##0.00")))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IF($D592=0,0,$D592*$E592)</f>
        <v/>
      </c>
      <c r="H592" s="125">
        <f>IF($B592="","",CONCATENATE("Pozisyon: ",$B592,"/",$C592," tutar ",TEXT($D592,"#,##0.00")))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IF($D593=0,0,$D593*$E593)</f>
        <v/>
      </c>
      <c r="H593" s="125">
        <f>IF($B593="","",CONCATENATE("Pozisyon: ",$B593,"/",$C593," tutar ",TEXT($D593,"#,##0.00")))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IF($D594=0,0,$D594*$E594)</f>
        <v/>
      </c>
      <c r="H594" s="125">
        <f>IF($B594="","",CONCATENATE("Pozisyon: ",$B594,"/",$C594," tutar ",TEXT($D594,"#,##0.00")))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IF($D595=0,0,$D595*$E595)</f>
        <v/>
      </c>
      <c r="H595" s="125">
        <f>IF($B595="","",CONCATENATE("Pozisyon: ",$B595,"/",$C595," tutar ",TEXT($D595,"#,##0.00")))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IF($D596=0,0,$D596*$E596)</f>
        <v/>
      </c>
      <c r="H596" s="125">
        <f>IF($B596="","",CONCATENATE("Pozisyon: ",$B596,"/",$C596," tutar ",TEXT($D596,"#,##0.00")))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IF($D597=0,0,$D597*$E597)</f>
        <v/>
      </c>
      <c r="H597" s="125">
        <f>IF($B597="","",CONCATENATE("Pozisyon: ",$B597,"/",$C597," tutar ",TEXT($D597,"#,##0.00")))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IF($D598=0,0,$D598*$E598)</f>
        <v/>
      </c>
      <c r="H598" s="125">
        <f>IF($B598="","",CONCATENATE("Pozisyon: ",$B598,"/",$C598," tutar ",TEXT($D598,"#,##0.00")))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IF($D599=0,0,$D599*$E599)</f>
        <v/>
      </c>
      <c r="H599" s="125">
        <f>IF($B599="","",CONCATENATE("Pozisyon: ",$B599,"/",$C599," tutar ",TEXT($D599,"#,##0.00")))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IF($D600=0,0,$D600*$E600)</f>
        <v/>
      </c>
      <c r="H600" s="125">
        <f>IF($B600="","",CONCATENATE("Pozisyon: ",$B600,"/",$C600," tutar ",TEXT($D600,"#,##0.00")))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IF($D601=0,0,$D601*$E601)</f>
        <v/>
      </c>
      <c r="H601" s="125">
        <f>IF($B601="","",CONCATENATE("Pozisyon: ",$B601,"/",$C601," tutar ",TEXT($D601,"#,##0.00")))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IF($D602=0,0,$D602*$E602)</f>
        <v/>
      </c>
      <c r="H602" s="125">
        <f>IF($B602="","",CONCATENATE("Pozisyon: ",$B602,"/",$C602," tutar ",TEXT($D602,"#,##0.00")))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IF($D603=0,0,$D603*$E603)</f>
        <v/>
      </c>
      <c r="H603" s="125">
        <f>IF($B603="","",CONCATENATE("Pozisyon: ",$B603,"/",$C603," tutar ",TEXT($D603,"#,##0.00")))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IF($D604=0,0,$D604*$E604)</f>
        <v/>
      </c>
      <c r="H604" s="125">
        <f>IF($B604="","",CONCATENATE("Pozisyon: ",$B604,"/",$C604," tutar ",TEXT($D604,"#,##0.00")))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IF($D605=0,0,$D605*$E605)</f>
        <v/>
      </c>
      <c r="H605" s="125">
        <f>IF($B605="","",CONCATENATE("Pozisyon: ",$B605,"/",$C605," tutar ",TEXT($D605,"#,##0.00")))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IF($D606=0,0,$D606*$E606)</f>
        <v/>
      </c>
      <c r="H606" s="125">
        <f>IF($B606="","",CONCATENATE("Pozisyon: ",$B606,"/",$C606," tutar ",TEXT($D606,"#,##0.00")))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IF($D607=0,0,$D607*$E607)</f>
        <v/>
      </c>
      <c r="H607" s="125">
        <f>IF($B607="","",CONCATENATE("Pozisyon: ",$B607,"/",$C607," tutar ",TEXT($D607,"#,##0.00")))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IF($D608=0,0,$D608*$E608)</f>
        <v/>
      </c>
      <c r="H608" s="125">
        <f>IF($B608="","",CONCATENATE("Pozisyon: ",$B608,"/",$C608," tutar ",TEXT($D608,"#,##0.00")))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IF($D609=0,0,$D609*$E609)</f>
        <v/>
      </c>
      <c r="H609" s="125">
        <f>IF($B609="","",CONCATENATE("Pozisyon: ",$B609,"/",$C609," tutar ",TEXT($D609,"#,##0.00")))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IF($D610=0,0,$D610*$E610)</f>
        <v/>
      </c>
      <c r="H610" s="125">
        <f>IF($B610="","",CONCATENATE("Pozisyon: ",$B610,"/",$C610," tutar ",TEXT($D610,"#,##0.00")))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IF($D611=0,0,$D611*$E611)</f>
        <v/>
      </c>
      <c r="H611" s="125">
        <f>IF($B611="","",CONCATENATE("Pozisyon: ",$B611,"/",$C611," tutar ",TEXT($D611,"#,##0.00")))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IF($D612=0,0,$D612*$E612)</f>
        <v/>
      </c>
      <c r="H612" s="125">
        <f>IF($B612="","",CONCATENATE("Pozisyon: ",$B612,"/",$C612," tutar ",TEXT($D612,"#,##0.00")))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IF($D613=0,0,$D613*$E613)</f>
        <v/>
      </c>
      <c r="H613" s="125">
        <f>IF($B613="","",CONCATENATE("Pozisyon: ",$B613,"/",$C613," tutar ",TEXT($D613,"#,##0.00")))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IF($D614=0,0,$D614*$E614)</f>
        <v/>
      </c>
      <c r="H614" s="125">
        <f>IF($B614="","",CONCATENATE("Pozisyon: ",$B614,"/",$C614," tutar ",TEXT($D614,"#,##0.00")))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IF($D615=0,0,$D615*$E615)</f>
        <v/>
      </c>
      <c r="H615" s="125">
        <f>IF($B615="","",CONCATENATE("Pozisyon: ",$B615,"/",$C615," tutar ",TEXT($D615,"#,##0.00")))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IF($D616=0,0,$D616*$E616)</f>
        <v/>
      </c>
      <c r="H616" s="125">
        <f>IF($B616="","",CONCATENATE("Pozisyon: ",$B616,"/",$C616," tutar ",TEXT($D616,"#,##0.00")))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IF($D617=0,0,$D617*$E617)</f>
        <v/>
      </c>
      <c r="H617" s="125">
        <f>IF($B617="","",CONCATENATE("Pozisyon: ",$B617,"/",$C617," tutar ",TEXT($D617,"#,##0.00")))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IF($D618=0,0,$D618*$E618)</f>
        <v/>
      </c>
      <c r="H618" s="125">
        <f>IF($B618="","",CONCATENATE("Pozisyon: ",$B618,"/",$C618," tutar ",TEXT($D618,"#,##0.00")))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IF($D619=0,0,$D619*$E619)</f>
        <v/>
      </c>
      <c r="H619" s="125">
        <f>IF($B619="","",CONCATENATE("Pozisyon: ",$B619,"/",$C619," tutar ",TEXT($D619,"#,##0.00")))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IF($D620=0,0,$D620*$E620)</f>
        <v/>
      </c>
      <c r="H620" s="125">
        <f>IF($B620="","",CONCATENATE("Pozisyon: ",$B620,"/",$C620," tutar ",TEXT($D620,"#,##0.00")))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IF($D621=0,0,$D621*$E621)</f>
        <v/>
      </c>
      <c r="H621" s="125">
        <f>IF($B621="","",CONCATENATE("Pozisyon: ",$B621,"/",$C621," tutar ",TEXT($D621,"#,##0.00")))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IF($D622=0,0,$D622*$E622)</f>
        <v/>
      </c>
      <c r="H622" s="125">
        <f>IF($B622="","",CONCATENATE("Pozisyon: ",$B622,"/",$C622," tutar ",TEXT($D622,"#,##0.00")))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IF($D623=0,0,$D623*$E623)</f>
        <v/>
      </c>
      <c r="H623" s="125">
        <f>IF($B623="","",CONCATENATE("Pozisyon: ",$B623,"/",$C623," tutar ",TEXT($D623,"#,##0.00")))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IF($D624=0,0,$D624*$E624)</f>
        <v/>
      </c>
      <c r="H624" s="125">
        <f>IF($B624="","",CONCATENATE("Pozisyon: ",$B624,"/",$C624," tutar ",TEXT($D624,"#,##0.00")))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IF($D625=0,0,$D625*$E625)</f>
        <v/>
      </c>
      <c r="H625" s="125">
        <f>IF($B625="","",CONCATENATE("Pozisyon: ",$B625,"/",$C625," tutar ",TEXT($D625,"#,##0.00")))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IF($D626=0,0,$D626*$E626)</f>
        <v/>
      </c>
      <c r="H626" s="125">
        <f>IF($B626="","",CONCATENATE("Pozisyon: ",$B626,"/",$C626," tutar ",TEXT($D626,"#,##0.00")))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IF($D627=0,0,$D627*$E627)</f>
        <v/>
      </c>
      <c r="H627" s="125">
        <f>IF($B627="","",CONCATENATE("Pozisyon: ",$B627,"/",$C627," tutar ",TEXT($D627,"#,##0.00")))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IF($D628=0,0,$D628*$E628)</f>
        <v/>
      </c>
      <c r="H628" s="125">
        <f>IF($B628="","",CONCATENATE("Pozisyon: ",$B628,"/",$C628," tutar ",TEXT($D628,"#,##0.00")))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IF($D629=0,0,$D629*$E629)</f>
        <v/>
      </c>
      <c r="H629" s="125">
        <f>IF($B629="","",CONCATENATE("Pozisyon: ",$B629,"/",$C629," tutar ",TEXT($D629,"#,##0.00")))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IF($D630=0,0,$D630*$E630)</f>
        <v/>
      </c>
      <c r="H630" s="125">
        <f>IF($B630="","",CONCATENATE("Pozisyon: ",$B630,"/",$C630," tutar ",TEXT($D630,"#,##0.00")))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IF($D631=0,0,$D631*$E631)</f>
        <v/>
      </c>
      <c r="H631" s="125">
        <f>IF($B631="","",CONCATENATE("Pozisyon: ",$B631,"/",$C631," tutar ",TEXT($D631,"#,##0.00")))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IF($D632=0,0,$D632*$E632)</f>
        <v/>
      </c>
      <c r="H632" s="125">
        <f>IF($B632="","",CONCATENATE("Pozisyon: ",$B632,"/",$C632," tutar ",TEXT($D632,"#,##0.00")))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IF($D633=0,0,$D633*$E633)</f>
        <v/>
      </c>
      <c r="H633" s="125">
        <f>IF($B633="","",CONCATENATE("Pozisyon: ",$B633,"/",$C633," tutar ",TEXT($D633,"#,##0.00")))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IF($D634=0,0,$D634*$E634)</f>
        <v/>
      </c>
      <c r="H634" s="125">
        <f>IF($B634="","",CONCATENATE("Pozisyon: ",$B634,"/",$C634," tutar ",TEXT($D634,"#,##0.00")))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IF($D635=0,0,$D635*$E635)</f>
        <v/>
      </c>
      <c r="H635" s="125">
        <f>IF($B635="","",CONCATENATE("Pozisyon: ",$B635,"/",$C635," tutar ",TEXT($D635,"#,##0.00")))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IF($D636=0,0,$D636*$E636)</f>
        <v/>
      </c>
      <c r="H636" s="125">
        <f>IF($B636="","",CONCATENATE("Pozisyon: ",$B636,"/",$C636," tutar ",TEXT($D636,"#,##0.00")))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IF($D637=0,0,$D637*$E637)</f>
        <v/>
      </c>
      <c r="H637" s="125">
        <f>IF($B637="","",CONCATENATE("Pozisyon: ",$B637,"/",$C637," tutar ",TEXT($D637,"#,##0.00")))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IF($D638=0,0,$D638*$E638)</f>
        <v/>
      </c>
      <c r="H638" s="125">
        <f>IF($B638="","",CONCATENATE("Pozisyon: ",$B638,"/",$C638," tutar ",TEXT($D638,"#,##0.00")))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IF($D639=0,0,$D639*$E639)</f>
        <v/>
      </c>
      <c r="H639" s="125">
        <f>IF($B639="","",CONCATENATE("Pozisyon: ",$B639,"/",$C639," tutar ",TEXT($D639,"#,##0.00")))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IF($D640=0,0,$D640*$E640)</f>
        <v/>
      </c>
      <c r="H640" s="125">
        <f>IF($B640="","",CONCATENATE("Pozisyon: ",$B640,"/",$C640," tutar ",TEXT($D640,"#,##0.00")))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IF($D641=0,0,$D641*$E641)</f>
        <v/>
      </c>
      <c r="H641" s="125">
        <f>IF($B641="","",CONCATENATE("Pozisyon: ",$B641,"/",$C641," tutar ",TEXT($D641,"#,##0.00")))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IF($D642=0,0,$D642*$E642)</f>
        <v/>
      </c>
      <c r="H642" s="125">
        <f>IF($B642="","",CONCATENATE("Pozisyon: ",$B642,"/",$C642," tutar ",TEXT($D642,"#,##0.00")))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IF($D643=0,0,$D643*$E643)</f>
        <v/>
      </c>
      <c r="H643" s="125">
        <f>IF($B643="","",CONCATENATE("Pozisyon: ",$B643,"/",$C643," tutar ",TEXT($D643,"#,##0.00")))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IF($D644=0,0,$D644*$E644)</f>
        <v/>
      </c>
      <c r="H644" s="125">
        <f>IF($B644="","",CONCATENATE("Pozisyon: ",$B644,"/",$C644," tutar ",TEXT($D644,"#,##0.00")))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IF($D645=0,0,$D645*$E645)</f>
        <v/>
      </c>
      <c r="H645" s="125">
        <f>IF($B645="","",CONCATENATE("Pozisyon: ",$B645,"/",$C645," tutar ",TEXT($D645,"#,##0.00")))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IF($D646=0,0,$D646*$E646)</f>
        <v/>
      </c>
      <c r="H646" s="125">
        <f>IF($B646="","",CONCATENATE("Pozisyon: ",$B646,"/",$C646," tutar ",TEXT($D646,"#,##0.00")))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IF($D647=0,0,$D647*$E647)</f>
        <v/>
      </c>
      <c r="H647" s="125">
        <f>IF($B647="","",CONCATENATE("Pozisyon: ",$B647,"/",$C647," tutar ",TEXT($D647,"#,##0.00")))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IF($D648=0,0,$D648*$E648)</f>
        <v/>
      </c>
      <c r="H648" s="125">
        <f>IF($B648="","",CONCATENATE("Pozisyon: ",$B648,"/",$C648," tutar ",TEXT($D648,"#,##0.00")))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IF($D649=0,0,$D649*$E649)</f>
        <v/>
      </c>
      <c r="H649" s="125">
        <f>IF($B649="","",CONCATENATE("Pozisyon: ",$B649,"/",$C649," tutar ",TEXT($D649,"#,##0.00")))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IF($D650=0,0,$D650*$E650)</f>
        <v/>
      </c>
      <c r="H650" s="125">
        <f>IF($B650="","",CONCATENATE("Pozisyon: ",$B650,"/",$C650," tutar ",TEXT($D650,"#,##0.00")))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IF($D651=0,0,$D651*$E651)</f>
        <v/>
      </c>
      <c r="H651" s="125">
        <f>IF($B651="","",CONCATENATE("Pozisyon: ",$B651,"/",$C651," tutar ",TEXT($D651,"#,##0.00")))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IF($D652=0,0,$D652*$E652)</f>
        <v/>
      </c>
      <c r="H652" s="125">
        <f>IF($B652="","",CONCATENATE("Pozisyon: ",$B652,"/",$C652," tutar ",TEXT($D652,"#,##0.00")))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IF($D653=0,0,$D653*$E653)</f>
        <v/>
      </c>
      <c r="H653" s="125">
        <f>IF($B653="","",CONCATENATE("Pozisyon: ",$B653,"/",$C653," tutar ",TEXT($D653,"#,##0.00")))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IF($D654=0,0,$D654*$E654)</f>
        <v/>
      </c>
      <c r="H654" s="125">
        <f>IF($B654="","",CONCATENATE("Pozisyon: ",$B654,"/",$C654," tutar ",TEXT($D654,"#,##0.00")))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IF($D655=0,0,$D655*$E655)</f>
        <v/>
      </c>
      <c r="H655" s="125">
        <f>IF($B655="","",CONCATENATE("Pozisyon: ",$B655,"/",$C655," tutar ",TEXT($D655,"#,##0.00")))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IF($D656=0,0,$D656*$E656)</f>
        <v/>
      </c>
      <c r="H656" s="125">
        <f>IF($B656="","",CONCATENATE("Pozisyon: ",$B656,"/",$C656," tutar ",TEXT($D656,"#,##0.00")))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IF($D657=0,0,$D657*$E657)</f>
        <v/>
      </c>
      <c r="H657" s="125">
        <f>IF($B657="","",CONCATENATE("Pozisyon: ",$B657,"/",$C657," tutar ",TEXT($D657,"#,##0.00")))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IF($D658=0,0,$D658*$E658)</f>
        <v/>
      </c>
      <c r="H658" s="125">
        <f>IF($B658="","",CONCATENATE("Pozisyon: ",$B658,"/",$C658," tutar ",TEXT($D658,"#,##0.00")))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IF($D659=0,0,$D659*$E659)</f>
        <v/>
      </c>
      <c r="H659" s="125">
        <f>IF($B659="","",CONCATENATE("Pozisyon: ",$B659,"/",$C659," tutar ",TEXT($D659,"#,##0.00")))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IF($D660=0,0,$D660*$E660)</f>
        <v/>
      </c>
      <c r="H660" s="125">
        <f>IF($B660="","",CONCATENATE("Pozisyon: ",$B660,"/",$C660," tutar ",TEXT($D660,"#,##0.00")))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IF($D661=0,0,$D661*$E661)</f>
        <v/>
      </c>
      <c r="H661" s="125">
        <f>IF($B661="","",CONCATENATE("Pozisyon: ",$B661,"/",$C661," tutar ",TEXT($D661,"#,##0.00")))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IF($D662=0,0,$D662*$E662)</f>
        <v/>
      </c>
      <c r="H662" s="125">
        <f>IF($B662="","",CONCATENATE("Pozisyon: ",$B662,"/",$C662," tutar ",TEXT($D662,"#,##0.00")))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IF($D663=0,0,$D663*$E663)</f>
        <v/>
      </c>
      <c r="H663" s="125">
        <f>IF($B663="","",CONCATENATE("Pozisyon: ",$B663,"/",$C663," tutar ",TEXT($D663,"#,##0.00")))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IF($D664=0,0,$D664*$E664)</f>
        <v/>
      </c>
      <c r="H664" s="125">
        <f>IF($B664="","",CONCATENATE("Pozisyon: ",$B664,"/",$C664," tutar ",TEXT($D664,"#,##0.00")))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IF($D665=0,0,$D665*$E665)</f>
        <v/>
      </c>
      <c r="H665" s="125">
        <f>IF($B665="","",CONCATENATE("Pozisyon: ",$B665,"/",$C665," tutar ",TEXT($D665,"#,##0.00")))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IF($D666=0,0,$D666*$E666)</f>
        <v/>
      </c>
      <c r="H666" s="125">
        <f>IF($B666="","",CONCATENATE("Pozisyon: ",$B666,"/",$C666," tutar ",TEXT($D666,"#,##0.00")))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IF($D667=0,0,$D667*$E667)</f>
        <v/>
      </c>
      <c r="H667" s="125">
        <f>IF($B667="","",CONCATENATE("Pozisyon: ",$B667,"/",$C667," tutar ",TEXT($D667,"#,##0.00")))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IF($D668=0,0,$D668*$E668)</f>
        <v/>
      </c>
      <c r="H668" s="125">
        <f>IF($B668="","",CONCATENATE("Pozisyon: ",$B668,"/",$C668," tutar ",TEXT($D668,"#,##0.00")))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IF($D669=0,0,$D669*$E669)</f>
        <v/>
      </c>
      <c r="H669" s="125">
        <f>IF($B669="","",CONCATENATE("Pozisyon: ",$B669,"/",$C669," tutar ",TEXT($D669,"#,##0.00")))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IF($D670=0,0,$D670*$E670)</f>
        <v/>
      </c>
      <c r="H670" s="125">
        <f>IF($B670="","",CONCATENATE("Pozisyon: ",$B670,"/",$C670," tutar ",TEXT($D670,"#,##0.00")))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IF($D671=0,0,$D671*$E671)</f>
        <v/>
      </c>
      <c r="H671" s="125">
        <f>IF($B671="","",CONCATENATE("Pozisyon: ",$B671,"/",$C671," tutar ",TEXT($D671,"#,##0.00")))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IF($D672=0,0,$D672*$E672)</f>
        <v/>
      </c>
      <c r="H672" s="125">
        <f>IF($B672="","",CONCATENATE("Pozisyon: ",$B672,"/",$C672," tutar ",TEXT($D672,"#,##0.00")))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IF($D673=0,0,$D673*$E673)</f>
        <v/>
      </c>
      <c r="H673" s="125">
        <f>IF($B673="","",CONCATENATE("Pozisyon: ",$B673,"/",$C673," tutar ",TEXT($D673,"#,##0.00")))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IF($D674=0,0,$D674*$E674)</f>
        <v/>
      </c>
      <c r="H674" s="125">
        <f>IF($B674="","",CONCATENATE("Pozisyon: ",$B674,"/",$C674," tutar ",TEXT($D674,"#,##0.00")))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IF($D675=0,0,$D675*$E675)</f>
        <v/>
      </c>
      <c r="H675" s="125">
        <f>IF($B675="","",CONCATENATE("Pozisyon: ",$B675,"/",$C675," tutar ",TEXT($D675,"#,##0.00")))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IF($D676=0,0,$D676*$E676)</f>
        <v/>
      </c>
      <c r="H676" s="125">
        <f>IF($B676="","",CONCATENATE("Pozisyon: ",$B676,"/",$C676," tutar ",TEXT($D676,"#,##0.00")))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IF($D677=0,0,$D677*$E677)</f>
        <v/>
      </c>
      <c r="H677" s="125">
        <f>IF($B677="","",CONCATENATE("Pozisyon: ",$B677,"/",$C677," tutar ",TEXT($D677,"#,##0.00")))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IF($D678=0,0,$D678*$E678)</f>
        <v/>
      </c>
      <c r="H678" s="125">
        <f>IF($B678="","",CONCATENATE("Pozisyon: ",$B678,"/",$C678," tutar ",TEXT($D678,"#,##0.00")))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IF($D679=0,0,$D679*$E679)</f>
        <v/>
      </c>
      <c r="H679" s="125">
        <f>IF($B679="","",CONCATENATE("Pozisyon: ",$B679,"/",$C679," tutar ",TEXT($D679,"#,##0.00")))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IF($D680=0,0,$D680*$E680)</f>
        <v/>
      </c>
      <c r="H680" s="125">
        <f>IF($B680="","",CONCATENATE("Pozisyon: ",$B680,"/",$C680," tutar ",TEXT($D680,"#,##0.00")))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IF($D681=0,0,$D681*$E681)</f>
        <v/>
      </c>
      <c r="H681" s="125">
        <f>IF($B681="","",CONCATENATE("Pozisyon: ",$B681,"/",$C681," tutar ",TEXT($D681,"#,##0.00")))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IF($D682=0,0,$D682*$E682)</f>
        <v/>
      </c>
      <c r="H682" s="125">
        <f>IF($B682="","",CONCATENATE("Pozisyon: ",$B682,"/",$C682," tutar ",TEXT($D682,"#,##0.00")))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IF($D683=0,0,$D683*$E683)</f>
        <v/>
      </c>
      <c r="H683" s="125">
        <f>IF($B683="","",CONCATENATE("Pozisyon: ",$B683,"/",$C683," tutar ",TEXT($D683,"#,##0.00")))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IF($D684=0,0,$D684*$E684)</f>
        <v/>
      </c>
      <c r="H684" s="125">
        <f>IF($B684="","",CONCATENATE("Pozisyon: ",$B684,"/",$C684," tutar ",TEXT($D684,"#,##0.00")))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IF($D685=0,0,$D685*$E685)</f>
        <v/>
      </c>
      <c r="H685" s="125">
        <f>IF($B685="","",CONCATENATE("Pozisyon: ",$B685,"/",$C685," tutar ",TEXT($D685,"#,##0.00")))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IF($D686=0,0,$D686*$E686)</f>
        <v/>
      </c>
      <c r="H686" s="125">
        <f>IF($B686="","",CONCATENATE("Pozisyon: ",$B686,"/",$C686," tutar ",TEXT($D686,"#,##0.00")))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IF($D687=0,0,$D687*$E687)</f>
        <v/>
      </c>
      <c r="H687" s="125">
        <f>IF($B687="","",CONCATENATE("Pozisyon: ",$B687,"/",$C687," tutar ",TEXT($D687,"#,##0.00")))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IF($D688=0,0,$D688*$E688)</f>
        <v/>
      </c>
      <c r="H688" s="125">
        <f>IF($B688="","",CONCATENATE("Pozisyon: ",$B688,"/",$C688," tutar ",TEXT($D688,"#,##0.00")))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IF($D689=0,0,$D689*$E689)</f>
        <v/>
      </c>
      <c r="H689" s="125">
        <f>IF($B689="","",CONCATENATE("Pozisyon: ",$B689,"/",$C689," tutar ",TEXT($D689,"#,##0.00")))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IF($D690=0,0,$D690*$E690)</f>
        <v/>
      </c>
      <c r="H690" s="125">
        <f>IF($B690="","",CONCATENATE("Pozisyon: ",$B690,"/",$C690," tutar ",TEXT($D690,"#,##0.00")))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IF($D691=0,0,$D691*$E691)</f>
        <v/>
      </c>
      <c r="H691" s="125">
        <f>IF($B691="","",CONCATENATE("Pozisyon: ",$B691,"/",$C691," tutar ",TEXT($D691,"#,##0.00")))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IF($D692=0,0,$D692*$E692)</f>
        <v/>
      </c>
      <c r="H692" s="125">
        <f>IF($B692="","",CONCATENATE("Pozisyon: ",$B692,"/",$C692," tutar ",TEXT($D692,"#,##0.00")))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IF($D693=0,0,$D693*$E693)</f>
        <v/>
      </c>
      <c r="H693" s="125">
        <f>IF($B693="","",CONCATENATE("Pozisyon: ",$B693,"/",$C693," tutar ",TEXT($D693,"#,##0.00")))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IF($D694=0,0,$D694*$E694)</f>
        <v/>
      </c>
      <c r="H694" s="125">
        <f>IF($B694="","",CONCATENATE("Pozisyon: ",$B694,"/",$C694," tutar ",TEXT($D694,"#,##0.00")))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IF($D695=0,0,$D695*$E695)</f>
        <v/>
      </c>
      <c r="H695" s="125">
        <f>IF($B695="","",CONCATENATE("Pozisyon: ",$B695,"/",$C695," tutar ",TEXT($D695,"#,##0.00")))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IF($D696=0,0,$D696*$E696)</f>
        <v/>
      </c>
      <c r="H696" s="125">
        <f>IF($B696="","",CONCATENATE("Pozisyon: ",$B696,"/",$C696," tutar ",TEXT($D696,"#,##0.00")))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IF($D697=0,0,$D697*$E697)</f>
        <v/>
      </c>
      <c r="H697" s="125">
        <f>IF($B697="","",CONCATENATE("Pozisyon: ",$B697,"/",$C697," tutar ",TEXT($D697,"#,##0.00")))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IF($D698=0,0,$D698*$E698)</f>
        <v/>
      </c>
      <c r="H698" s="125">
        <f>IF($B698="","",CONCATENATE("Pozisyon: ",$B698,"/",$C698," tutar ",TEXT($D698,"#,##0.00")))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IF($D699=0,0,$D699*$E699)</f>
        <v/>
      </c>
      <c r="H699" s="125">
        <f>IF($B699="","",CONCATENATE("Pozisyon: ",$B699,"/",$C699," tutar ",TEXT($D699,"#,##0.00")))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IF($D700=0,0,$D700*$E700)</f>
        <v/>
      </c>
      <c r="H700" s="125">
        <f>IF($B700="","",CONCATENATE("Pozisyon: ",$B700,"/",$C700," tutar ",TEXT($D700,"#,##0.00")))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IF($D701=0,0,$D701*$E701)</f>
        <v/>
      </c>
      <c r="H701" s="125">
        <f>IF($B701="","",CONCATENATE("Pozisyon: ",$B701,"/",$C701," tutar ",TEXT($D701,"#,##0.00")))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IF($D702=0,0,$D702*$E702)</f>
        <v/>
      </c>
      <c r="H702" s="125">
        <f>IF($B702="","",CONCATENATE("Pozisyon: ",$B702,"/",$C702," tutar ",TEXT($D702,"#,##0.00")))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IF($D703=0,0,$D703*$E703)</f>
        <v/>
      </c>
      <c r="H703" s="125">
        <f>IF($B703="","",CONCATENATE("Pozisyon: ",$B703,"/",$C703," tutar ",TEXT($D703,"#,##0.00")))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IF($D704=0,0,$D704*$E704)</f>
        <v/>
      </c>
      <c r="H704" s="125">
        <f>IF($B704="","",CONCATENATE("Pozisyon: ",$B704,"/",$C704," tutar ",TEXT($D704,"#,##0.00")))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IF($D705=0,0,$D705*$E705)</f>
        <v/>
      </c>
      <c r="H705" s="125">
        <f>IF($B705="","",CONCATENATE("Pozisyon: ",$B705,"/",$C705," tutar ",TEXT($D705,"#,##0.00")))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IF($D706=0,0,$D706*$E706)</f>
        <v/>
      </c>
      <c r="H706" s="125">
        <f>IF($B706="","",CONCATENATE("Pozisyon: ",$B706,"/",$C706," tutar ",TEXT($D706,"#,##0.00")))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IF($D707=0,0,$D707*$E707)</f>
        <v/>
      </c>
      <c r="H707" s="125">
        <f>IF($B707="","",CONCATENATE("Pozisyon: ",$B707,"/",$C707," tutar ",TEXT($D707,"#,##0.00")))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IF($D708=0,0,$D708*$E708)</f>
        <v/>
      </c>
      <c r="H708" s="125">
        <f>IF($B708="","",CONCATENATE("Pozisyon: ",$B708,"/",$C708," tutar ",TEXT($D708,"#,##0.00")))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IF($D709=0,0,$D709*$E709)</f>
        <v/>
      </c>
      <c r="H709" s="125">
        <f>IF($B709="","",CONCATENATE("Pozisyon: ",$B709,"/",$C709," tutar ",TEXT($D709,"#,##0.00")))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IF($D710=0,0,$D710*$E710)</f>
        <v/>
      </c>
      <c r="H710" s="125">
        <f>IF($B710="","",CONCATENATE("Pozisyon: ",$B710,"/",$C710," tutar ",TEXT($D710,"#,##0.00")))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IF($D711=0,0,$D711*$E711)</f>
        <v/>
      </c>
      <c r="H711" s="125">
        <f>IF($B711="","",CONCATENATE("Pozisyon: ",$B711,"/",$C711," tutar ",TEXT($D711,"#,##0.00")))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IF($D712=0,0,$D712*$E712)</f>
        <v/>
      </c>
      <c r="H712" s="125">
        <f>IF($B712="","",CONCATENATE("Pozisyon: ",$B712,"/",$C712," tutar ",TEXT($D712,"#,##0.00")))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IF($D713=0,0,$D713*$E713)</f>
        <v/>
      </c>
      <c r="H713" s="125">
        <f>IF($B713="","",CONCATENATE("Pozisyon: ",$B713,"/",$C713," tutar ",TEXT($D713,"#,##0.00")))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IF($D714=0,0,$D714*$E714)</f>
        <v/>
      </c>
      <c r="H714" s="125">
        <f>IF($B714="","",CONCATENATE("Pozisyon: ",$B714,"/",$C714," tutar ",TEXT($D714,"#,##0.00")))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IF($D715=0,0,$D715*$E715)</f>
        <v/>
      </c>
      <c r="H715" s="125">
        <f>IF($B715="","",CONCATENATE("Pozisyon: ",$B715,"/",$C715," tutar ",TEXT($D715,"#,##0.00")))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IF($D716=0,0,$D716*$E716)</f>
        <v/>
      </c>
      <c r="H716" s="125">
        <f>IF($B716="","",CONCATENATE("Pozisyon: ",$B716,"/",$C716," tutar ",TEXT($D716,"#,##0.00")))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IF($D717=0,0,$D717*$E717)</f>
        <v/>
      </c>
      <c r="H717" s="125">
        <f>IF($B717="","",CONCATENATE("Pozisyon: ",$B717,"/",$C717," tutar ",TEXT($D717,"#,##0.00")))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IF($D718=0,0,$D718*$E718)</f>
        <v/>
      </c>
      <c r="H718" s="125">
        <f>IF($B718="","",CONCATENATE("Pozisyon: ",$B718,"/",$C718," tutar ",TEXT($D718,"#,##0.00")))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IF($D719=0,0,$D719*$E719)</f>
        <v/>
      </c>
      <c r="H719" s="125">
        <f>IF($B719="","",CONCATENATE("Pozisyon: ",$B719,"/",$C719," tutar ",TEXT($D719,"#,##0.00")))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IF($D720=0,0,$D720*$E720)</f>
        <v/>
      </c>
      <c r="H720" s="125">
        <f>IF($B720="","",CONCATENATE("Pozisyon: ",$B720,"/",$C720," tutar ",TEXT($D720,"#,##0.00")))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IF($D721=0,0,$D721*$E721)</f>
        <v/>
      </c>
      <c r="H721" s="125">
        <f>IF($B721="","",CONCATENATE("Pozisyon: ",$B721,"/",$C721," tutar ",TEXT($D721,"#,##0.00")))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IF($D722=0,0,$D722*$E722)</f>
        <v/>
      </c>
      <c r="H722" s="125">
        <f>IF($B722="","",CONCATENATE("Pozisyon: ",$B722,"/",$C722," tutar ",TEXT($D722,"#,##0.00")))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IF($D723=0,0,$D723*$E723)</f>
        <v/>
      </c>
      <c r="H723" s="125">
        <f>IF($B723="","",CONCATENATE("Pozisyon: ",$B723,"/",$C723," tutar ",TEXT($D723,"#,##0.00")))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IF($D724=0,0,$D724*$E724)</f>
        <v/>
      </c>
      <c r="H724" s="125">
        <f>IF($B724="","",CONCATENATE("Pozisyon: ",$B724,"/",$C724," tutar ",TEXT($D724,"#,##0.00")))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IF($D725=0,0,$D725*$E725)</f>
        <v/>
      </c>
      <c r="H725" s="125">
        <f>IF($B725="","",CONCATENATE("Pozisyon: ",$B725,"/",$C725," tutar ",TEXT($D725,"#,##0.00")))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IF($D726=0,0,$D726*$E726)</f>
        <v/>
      </c>
      <c r="H726" s="125">
        <f>IF($B726="","",CONCATENATE("Pozisyon: ",$B726,"/",$C726," tutar ",TEXT($D726,"#,##0.00")))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IF($D727=0,0,$D727*$E727)</f>
        <v/>
      </c>
      <c r="H727" s="125">
        <f>IF($B727="","",CONCATENATE("Pozisyon: ",$B727,"/",$C727," tutar ",TEXT($D727,"#,##0.00")))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IF($D728=0,0,$D728*$E728)</f>
        <v/>
      </c>
      <c r="H728" s="125">
        <f>IF($B728="","",CONCATENATE("Pozisyon: ",$B728,"/",$C728," tutar ",TEXT($D728,"#,##0.00")))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IF($D729=0,0,$D729*$E729)</f>
        <v/>
      </c>
      <c r="H729" s="125">
        <f>IF($B729="","",CONCATENATE("Pozisyon: ",$B729,"/",$C729," tutar ",TEXT($D729,"#,##0.00")))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IF($D730=0,0,$D730*$E730)</f>
        <v/>
      </c>
      <c r="H730" s="125">
        <f>IF($B730="","",CONCATENATE("Pozisyon: ",$B730,"/",$C730," tutar ",TEXT($D730,"#,##0.00")))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IF($D731=0,0,$D731*$E731)</f>
        <v/>
      </c>
      <c r="H731" s="125">
        <f>IF($B731="","",CONCATENATE("Pozisyon: ",$B731,"/",$C731," tutar ",TEXT($D731,"#,##0.00")))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IF($D732=0,0,$D732*$E732)</f>
        <v/>
      </c>
      <c r="H732" s="125">
        <f>IF($B732="","",CONCATENATE("Pozisyon: ",$B732,"/",$C732," tutar ",TEXT($D732,"#,##0.00")))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IF($D733=0,0,$D733*$E733)</f>
        <v/>
      </c>
      <c r="H733" s="125">
        <f>IF($B733="","",CONCATENATE("Pozisyon: ",$B733,"/",$C733," tutar ",TEXT($D733,"#,##0.00")))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IF($D734=0,0,$D734*$E734)</f>
        <v/>
      </c>
      <c r="H734" s="125">
        <f>IF($B734="","",CONCATENATE("Pozisyon: ",$B734,"/",$C734," tutar ",TEXT($D734,"#,##0.00")))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IF($D735=0,0,$D735*$E735)</f>
        <v/>
      </c>
      <c r="H735" s="125">
        <f>IF($B735="","",CONCATENATE("Pozisyon: ",$B735,"/",$C735," tutar ",TEXT($D735,"#,##0.00")))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IF($D736=0,0,$D736*$E736)</f>
        <v/>
      </c>
      <c r="H736" s="125">
        <f>IF($B736="","",CONCATENATE("Pozisyon: ",$B736,"/",$C736," tutar ",TEXT($D736,"#,##0.00")))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IF($D737=0,0,$D737*$E737)</f>
        <v/>
      </c>
      <c r="H737" s="125">
        <f>IF($B737="","",CONCATENATE("Pozisyon: ",$B737,"/",$C737," tutar ",TEXT($D737,"#,##0.00")))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IF($D738=0,0,$D738*$E738)</f>
        <v/>
      </c>
      <c r="H738" s="125">
        <f>IF($B738="","",CONCATENATE("Pozisyon: ",$B738,"/",$C738," tutar ",TEXT($D738,"#,##0.00")))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IF($D739=0,0,$D739*$E739)</f>
        <v/>
      </c>
      <c r="H739" s="125">
        <f>IF($B739="","",CONCATENATE("Pozisyon: ",$B739,"/",$C739," tutar ",TEXT($D739,"#,##0.00")))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IF($D740=0,0,$D740*$E740)</f>
        <v/>
      </c>
      <c r="H740" s="125">
        <f>IF($B740="","",CONCATENATE("Pozisyon: ",$B740,"/",$C740," tutar ",TEXT($D740,"#,##0.00")))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IF($D741=0,0,$D741*$E741)</f>
        <v/>
      </c>
      <c r="H741" s="125">
        <f>IF($B741="","",CONCATENATE("Pozisyon: ",$B741,"/",$C741," tutar ",TEXT($D741,"#,##0.00")))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IF($D742=0,0,$D742*$E742)</f>
        <v/>
      </c>
      <c r="H742" s="125">
        <f>IF($B742="","",CONCATENATE("Pozisyon: ",$B742,"/",$C742," tutar ",TEXT($D742,"#,##0.00")))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IF($D743=0,0,$D743*$E743)</f>
        <v/>
      </c>
      <c r="H743" s="125">
        <f>IF($B743="","",CONCATENATE("Pozisyon: ",$B743,"/",$C743," tutar ",TEXT($D743,"#,##0.00")))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IF($D744=0,0,$D744*$E744)</f>
        <v/>
      </c>
      <c r="H744" s="125">
        <f>IF($B744="","",CONCATENATE("Pozisyon: ",$B744,"/",$C744," tutar ",TEXT($D744,"#,##0.00")))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IF($D745=0,0,$D745*$E745)</f>
        <v/>
      </c>
      <c r="H745" s="125">
        <f>IF($B745="","",CONCATENATE("Pozisyon: ",$B745,"/",$C745," tutar ",TEXT($D745,"#,##0.00")))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IF($D746=0,0,$D746*$E746)</f>
        <v/>
      </c>
      <c r="H746" s="125">
        <f>IF($B746="","",CONCATENATE("Pozisyon: ",$B746,"/",$C746," tutar ",TEXT($D746,"#,##0.00")))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IF($D747=0,0,$D747*$E747)</f>
        <v/>
      </c>
      <c r="H747" s="125">
        <f>IF($B747="","",CONCATENATE("Pozisyon: ",$B747,"/",$C747," tutar ",TEXT($D747,"#,##0.00")))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IF($D748=0,0,$D748*$E748)</f>
        <v/>
      </c>
      <c r="H748" s="125">
        <f>IF($B748="","",CONCATENATE("Pozisyon: ",$B748,"/",$C748," tutar ",TEXT($D748,"#,##0.00")))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IF($D749=0,0,$D749*$E749)</f>
        <v/>
      </c>
      <c r="H749" s="125">
        <f>IF($B749="","",CONCATENATE("Pozisyon: ",$B749,"/",$C749," tutar ",TEXT($D749,"#,##0.00")))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IF($D750=0,0,$D750*$E750)</f>
        <v/>
      </c>
      <c r="H750" s="125">
        <f>IF($B750="","",CONCATENATE("Pozisyon: ",$B750,"/",$C750," tutar ",TEXT($D750,"#,##0.00")))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IF($D751=0,0,$D751*$E751)</f>
        <v/>
      </c>
      <c r="H751" s="125">
        <f>IF($B751="","",CONCATENATE("Pozisyon: ",$B751,"/",$C751," tutar ",TEXT($D751,"#,##0.00")))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IF($D752=0,0,$D752*$E752)</f>
        <v/>
      </c>
      <c r="H752" s="125">
        <f>IF($B752="","",CONCATENATE("Pozisyon: ",$B752,"/",$C752," tutar ",TEXT($D752,"#,##0.00")))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IF($D753=0,0,$D753*$E753)</f>
        <v/>
      </c>
      <c r="H753" s="125">
        <f>IF($B753="","",CONCATENATE("Pozisyon: ",$B753,"/",$C753," tutar ",TEXT($D753,"#,##0.00")))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IF($D754=0,0,$D754*$E754)</f>
        <v/>
      </c>
      <c r="H754" s="125">
        <f>IF($B754="","",CONCATENATE("Pozisyon: ",$B754,"/",$C754," tutar ",TEXT($D754,"#,##0.00")))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IF($D755=0,0,$D755*$E755)</f>
        <v/>
      </c>
      <c r="H755" s="125">
        <f>IF($B755="","",CONCATENATE("Pozisyon: ",$B755,"/",$C755," tutar ",TEXT($D755,"#,##0.00")))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IF($D756=0,0,$D756*$E756)</f>
        <v/>
      </c>
      <c r="H756" s="125">
        <f>IF($B756="","",CONCATENATE("Pozisyon: ",$B756,"/",$C756," tutar ",TEXT($D756,"#,##0.00")))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IF($D757=0,0,$D757*$E757)</f>
        <v/>
      </c>
      <c r="H757" s="125">
        <f>IF($B757="","",CONCATENATE("Pozisyon: ",$B757,"/",$C757," tutar ",TEXT($D757,"#,##0.00")))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IF($D758=0,0,$D758*$E758)</f>
        <v/>
      </c>
      <c r="H758" s="125">
        <f>IF($B758="","",CONCATENATE("Pozisyon: ",$B758,"/",$C758," tutar ",TEXT($D758,"#,##0.00")))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IF($D759=0,0,$D759*$E759)</f>
        <v/>
      </c>
      <c r="H759" s="125">
        <f>IF($B759="","",CONCATENATE("Pozisyon: ",$B759,"/",$C759," tutar ",TEXT($D759,"#,##0.00")))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IF($D760=0,0,$D760*$E760)</f>
        <v/>
      </c>
      <c r="H760" s="125">
        <f>IF($B760="","",CONCATENATE("Pozisyon: ",$B760,"/",$C760," tutar ",TEXT($D760,"#,##0.00")))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IF($D761=0,0,$D761*$E761)</f>
        <v/>
      </c>
      <c r="H761" s="125">
        <f>IF($B761="","",CONCATENATE("Pozisyon: ",$B761,"/",$C761," tutar ",TEXT($D761,"#,##0.00")))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IF($D762=0,0,$D762*$E762)</f>
        <v/>
      </c>
      <c r="H762" s="125">
        <f>IF($B762="","",CONCATENATE("Pozisyon: ",$B762,"/",$C762," tutar ",TEXT($D762,"#,##0.00")))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IF($D763=0,0,$D763*$E763)</f>
        <v/>
      </c>
      <c r="H763" s="125">
        <f>IF($B763="","",CONCATENATE("Pozisyon: ",$B763,"/",$C763," tutar ",TEXT($D763,"#,##0.00")))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IF($D764=0,0,$D764*$E764)</f>
        <v/>
      </c>
      <c r="H764" s="125">
        <f>IF($B764="","",CONCATENATE("Pozisyon: ",$B764,"/",$C764," tutar ",TEXT($D764,"#,##0.00")))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IF($D765=0,0,$D765*$E765)</f>
        <v/>
      </c>
      <c r="H765" s="125">
        <f>IF($B765="","",CONCATENATE("Pozisyon: ",$B765,"/",$C765," tutar ",TEXT($D765,"#,##0.00")))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IF($D766=0,0,$D766*$E766)</f>
        <v/>
      </c>
      <c r="H766" s="125">
        <f>IF($B766="","",CONCATENATE("Pozisyon: ",$B766,"/",$C766," tutar ",TEXT($D766,"#,##0.00")))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IF($D767=0,0,$D767*$E767)</f>
        <v/>
      </c>
      <c r="H767" s="125">
        <f>IF($B767="","",CONCATENATE("Pozisyon: ",$B767,"/",$C767," tutar ",TEXT($D767,"#,##0.00")))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IF($D768=0,0,$D768*$E768)</f>
        <v/>
      </c>
      <c r="H768" s="125">
        <f>IF($B768="","",CONCATENATE("Pozisyon: ",$B768,"/",$C768," tutar ",TEXT($D768,"#,##0.00")))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IF($D769=0,0,$D769*$E769)</f>
        <v/>
      </c>
      <c r="H769" s="125">
        <f>IF($B769="","",CONCATENATE("Pozisyon: ",$B769,"/",$C769," tutar ",TEXT($D769,"#,##0.00")))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IF($D770=0,0,$D770*$E770)</f>
        <v/>
      </c>
      <c r="H770" s="125">
        <f>IF($B770="","",CONCATENATE("Pozisyon: ",$B770,"/",$C770," tutar ",TEXT($D770,"#,##0.00")))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IF($D771=0,0,$D771*$E771)</f>
        <v/>
      </c>
      <c r="H771" s="125">
        <f>IF($B771="","",CONCATENATE("Pozisyon: ",$B771,"/",$C771," tutar ",TEXT($D771,"#,##0.00")))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IF($D772=0,0,$D772*$E772)</f>
        <v/>
      </c>
      <c r="H772" s="125">
        <f>IF($B772="","",CONCATENATE("Pozisyon: ",$B772,"/",$C772," tutar ",TEXT($D772,"#,##0.00")))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IF($D773=0,0,$D773*$E773)</f>
        <v/>
      </c>
      <c r="H773" s="125">
        <f>IF($B773="","",CONCATENATE("Pozisyon: ",$B773,"/",$C773," tutar ",TEXT($D773,"#,##0.00")))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IF($D774=0,0,$D774*$E774)</f>
        <v/>
      </c>
      <c r="H774" s="125">
        <f>IF($B774="","",CONCATENATE("Pozisyon: ",$B774,"/",$C774," tutar ",TEXT($D774,"#,##0.00")))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IF($D775=0,0,$D775*$E775)</f>
        <v/>
      </c>
      <c r="H775" s="125">
        <f>IF($B775="","",CONCATENATE("Pozisyon: ",$B775,"/",$C775," tutar ",TEXT($D775,"#,##0.00")))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IF($D776=0,0,$D776*$E776)</f>
        <v/>
      </c>
      <c r="H776" s="125">
        <f>IF($B776="","",CONCATENATE("Pozisyon: ",$B776,"/",$C776," tutar ",TEXT($D776,"#,##0.00")))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IF($D777=0,0,$D777*$E777)</f>
        <v/>
      </c>
      <c r="H777" s="125">
        <f>IF($B777="","",CONCATENATE("Pozisyon: ",$B777,"/",$C777," tutar ",TEXT($D777,"#,##0.00")))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IF($D778=0,0,$D778*$E778)</f>
        <v/>
      </c>
      <c r="H778" s="125">
        <f>IF($B778="","",CONCATENATE("Pozisyon: ",$B778,"/",$C778," tutar ",TEXT($D778,"#,##0.00")))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IF($D779=0,0,$D779*$E779)</f>
        <v/>
      </c>
      <c r="H779" s="125">
        <f>IF($B779="","",CONCATENATE("Pozisyon: ",$B779,"/",$C779," tutar ",TEXT($D779,"#,##0.00")))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IF($D780=0,0,$D780*$E780)</f>
        <v/>
      </c>
      <c r="H780" s="125">
        <f>IF($B780="","",CONCATENATE("Pozisyon: ",$B780,"/",$C780," tutar ",TEXT($D780,"#,##0.00")))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IF($D781=0,0,$D781*$E781)</f>
        <v/>
      </c>
      <c r="H781" s="125">
        <f>IF($B781="","",CONCATENATE("Pozisyon: ",$B781,"/",$C781," tutar ",TEXT($D781,"#,##0.00")))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IF($D782=0,0,$D782*$E782)</f>
        <v/>
      </c>
      <c r="H782" s="125">
        <f>IF($B782="","",CONCATENATE("Pozisyon: ",$B782,"/",$C782," tutar ",TEXT($D782,"#,##0.00")))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IF($D783=0,0,$D783*$E783)</f>
        <v/>
      </c>
      <c r="H783" s="125">
        <f>IF($B783="","",CONCATENATE("Pozisyon: ",$B783,"/",$C783," tutar ",TEXT($D783,"#,##0.00")))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IF($D784=0,0,$D784*$E784)</f>
        <v/>
      </c>
      <c r="H784" s="125">
        <f>IF($B784="","",CONCATENATE("Pozisyon: ",$B784,"/",$C784," tutar ",TEXT($D784,"#,##0.00")))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IF($D785=0,0,$D785*$E785)</f>
        <v/>
      </c>
      <c r="H785" s="125">
        <f>IF($B785="","",CONCATENATE("Pozisyon: ",$B785,"/",$C785," tutar ",TEXT($D785,"#,##0.00")))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IF($D786=0,0,$D786*$E786)</f>
        <v/>
      </c>
      <c r="H786" s="125">
        <f>IF($B786="","",CONCATENATE("Pozisyon: ",$B786,"/",$C786," tutar ",TEXT($D786,"#,##0.00")))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IF($D787=0,0,$D787*$E787)</f>
        <v/>
      </c>
      <c r="H787" s="125">
        <f>IF($B787="","",CONCATENATE("Pozisyon: ",$B787,"/",$C787," tutar ",TEXT($D787,"#,##0.00")))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IF($D788=0,0,$D788*$E788)</f>
        <v/>
      </c>
      <c r="H788" s="125">
        <f>IF($B788="","",CONCATENATE("Pozisyon: ",$B788,"/",$C788," tutar ",TEXT($D788,"#,##0.00")))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IF($D789=0,0,$D789*$E789)</f>
        <v/>
      </c>
      <c r="H789" s="125">
        <f>IF($B789="","",CONCATENATE("Pozisyon: ",$B789,"/",$C789," tutar ",TEXT($D789,"#,##0.00")))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IF($D790=0,0,$D790*$E790)</f>
        <v/>
      </c>
      <c r="H790" s="125">
        <f>IF($B790="","",CONCATENATE("Pozisyon: ",$B790,"/",$C790," tutar ",TEXT($D790,"#,##0.00")))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IF($D791=0,0,$D791*$E791)</f>
        <v/>
      </c>
      <c r="H791" s="125">
        <f>IF($B791="","",CONCATENATE("Pozisyon: ",$B791,"/",$C791," tutar ",TEXT($D791,"#,##0.00")))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IF($D792=0,0,$D792*$E792)</f>
        <v/>
      </c>
      <c r="H792" s="125">
        <f>IF($B792="","",CONCATENATE("Pozisyon: ",$B792,"/",$C792," tutar ",TEXT($D792,"#,##0.00")))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IF($D793=0,0,$D793*$E793)</f>
        <v/>
      </c>
      <c r="H793" s="125">
        <f>IF($B793="","",CONCATENATE("Pozisyon: ",$B793,"/",$C793," tutar ",TEXT($D793,"#,##0.00")))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IF($D794=0,0,$D794*$E794)</f>
        <v/>
      </c>
      <c r="H794" s="125">
        <f>IF($B794="","",CONCATENATE("Pozisyon: ",$B794,"/",$C794," tutar ",TEXT($D794,"#,##0.00")))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IF($D795=0,0,$D795*$E795)</f>
        <v/>
      </c>
      <c r="H795" s="125">
        <f>IF($B795="","",CONCATENATE("Pozisyon: ",$B795,"/",$C795," tutar ",TEXT($D795,"#,##0.00")))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IF($D796=0,0,$D796*$E796)</f>
        <v/>
      </c>
      <c r="H796" s="125">
        <f>IF($B796="","",CONCATENATE("Pozisyon: ",$B796,"/",$C796," tutar ",TEXT($D796,"#,##0.00")))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IF($D797=0,0,$D797*$E797)</f>
        <v/>
      </c>
      <c r="H797" s="125">
        <f>IF($B797="","",CONCATENATE("Pozisyon: ",$B797,"/",$C797," tutar ",TEXT($D797,"#,##0.00")))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IF($D798=0,0,$D798*$E798)</f>
        <v/>
      </c>
      <c r="H798" s="125">
        <f>IF($B798="","",CONCATENATE("Pozisyon: ",$B798,"/",$C798," tutar ",TEXT($D798,"#,##0.00")))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IF($D799=0,0,$D799*$E799)</f>
        <v/>
      </c>
      <c r="H799" s="125">
        <f>IF($B799="","",CONCATENATE("Pozisyon: ",$B799,"/",$C799," tutar ",TEXT($D799,"#,##0.00")))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IF($D800=0,0,$D800*$E800)</f>
        <v/>
      </c>
      <c r="H800" s="125">
        <f>IF($B800="","",CONCATENATE("Pozisyon: ",$B800,"/",$C800," tutar ",TEXT($D800,"#,##0.00")))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IF($D801=0,0,$D801*$E801)</f>
        <v/>
      </c>
      <c r="H801" s="125">
        <f>IF($B801="","",CONCATENATE("Pozisyon: ",$B801,"/",$C801," tutar ",TEXT($D801,"#,##0.00")))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IF($D802=0,0,$D802*$E802)</f>
        <v/>
      </c>
      <c r="H802" s="125">
        <f>IF($B802="","",CONCATENATE("Pozisyon: ",$B802,"/",$C802," tutar ",TEXT($D802,"#,##0.00")))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IF($D803=0,0,$D803*$E803)</f>
        <v/>
      </c>
      <c r="H803" s="125">
        <f>IF($B803="","",CONCATENATE("Pozisyon: ",$B803,"/",$C803," tutar ",TEXT($D803,"#,##0.00")))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IF($D804=0,0,$D804*$E804)</f>
        <v/>
      </c>
      <c r="H804" s="125">
        <f>IF($B804="","",CONCATENATE("Pozisyon: ",$B804,"/",$C804," tutar ",TEXT($D804,"#,##0.00")))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IF($D805=0,0,$D805*$E805)</f>
        <v/>
      </c>
      <c r="H805" s="125">
        <f>IF($B805="","",CONCATENATE("Pozisyon: ",$B805,"/",$C805," tutar ",TEXT($D805,"#,##0.00")))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IF($D806=0,0,$D806*$E806)</f>
        <v/>
      </c>
      <c r="H806" s="125">
        <f>IF($B806="","",CONCATENATE("Pozisyon: ",$B806,"/",$C806," tutar ",TEXT($D806,"#,##0.00")))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IF($D807=0,0,$D807*$E807)</f>
        <v/>
      </c>
      <c r="H807" s="125">
        <f>IF($B807="","",CONCATENATE("Pozisyon: ",$B807,"/",$C807," tutar ",TEXT($D807,"#,##0.00")))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IF($D808=0,0,$D808*$E808)</f>
        <v/>
      </c>
      <c r="H808" s="125">
        <f>IF($B808="","",CONCATENATE("Pozisyon: ",$B808,"/",$C808," tutar ",TEXT($D808,"#,##0.00")))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IF($D809=0,0,$D809*$E809)</f>
        <v/>
      </c>
      <c r="H809" s="125">
        <f>IF($B809="","",CONCATENATE("Pozisyon: ",$B809,"/",$C809," tutar ",TEXT($D809,"#,##0.00")))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IF($D810=0,0,$D810*$E810)</f>
        <v/>
      </c>
      <c r="H810" s="125">
        <f>IF($B810="","",CONCATENATE("Pozisyon: ",$B810,"/",$C810," tutar ",TEXT($D810,"#,##0.00")))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IF($D811=0,0,$D811*$E811)</f>
        <v/>
      </c>
      <c r="H811" s="125">
        <f>IF($B811="","",CONCATENATE("Pozisyon: ",$B811,"/",$C811," tutar ",TEXT($D811,"#,##0.00")))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IF($D812=0,0,$D812*$E812)</f>
        <v/>
      </c>
      <c r="H812" s="125">
        <f>IF($B812="","",CONCATENATE("Pozisyon: ",$B812,"/",$C812," tutar ",TEXT($D812,"#,##0.00")))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IF($D813=0,0,$D813*$E813)</f>
        <v/>
      </c>
      <c r="H813" s="125">
        <f>IF($B813="","",CONCATENATE("Pozisyon: ",$B813,"/",$C813," tutar ",TEXT($D813,"#,##0.00")))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IF($D814=0,0,$D814*$E814)</f>
        <v/>
      </c>
      <c r="H814" s="125">
        <f>IF($B814="","",CONCATENATE("Pozisyon: ",$B814,"/",$C814," tutar ",TEXT($D814,"#,##0.00")))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IF($D815=0,0,$D815*$E815)</f>
        <v/>
      </c>
      <c r="H815" s="125">
        <f>IF($B815="","",CONCATENATE("Pozisyon: ",$B815,"/",$C815," tutar ",TEXT($D815,"#,##0.00")))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IF($D816=0,0,$D816*$E816)</f>
        <v/>
      </c>
      <c r="H816" s="125">
        <f>IF($B816="","",CONCATENATE("Pozisyon: ",$B816,"/",$C816," tutar ",TEXT($D816,"#,##0.00")))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IF($D817=0,0,$D817*$E817)</f>
        <v/>
      </c>
      <c r="H817" s="125">
        <f>IF($B817="","",CONCATENATE("Pozisyon: ",$B817,"/",$C817," tutar ",TEXT($D817,"#,##0.00")))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IF($D818=0,0,$D818*$E818)</f>
        <v/>
      </c>
      <c r="H818" s="125">
        <f>IF($B818="","",CONCATENATE("Pozisyon: ",$B818,"/",$C818," tutar ",TEXT($D818,"#,##0.00")))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IF($D819=0,0,$D819*$E819)</f>
        <v/>
      </c>
      <c r="H819" s="125">
        <f>IF($B819="","",CONCATENATE("Pozisyon: ",$B819,"/",$C819," tutar ",TEXT($D819,"#,##0.00")))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IF($D820=0,0,$D820*$E820)</f>
        <v/>
      </c>
      <c r="H820" s="125">
        <f>IF($B820="","",CONCATENATE("Pozisyon: ",$B820,"/",$C820," tutar ",TEXT($D820,"#,##0.00")))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IF($D821=0,0,$D821*$E821)</f>
        <v/>
      </c>
      <c r="H821" s="125">
        <f>IF($B821="","",CONCATENATE("Pozisyon: ",$B821,"/",$C821," tutar ",TEXT($D821,"#,##0.00")))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IF($D822=0,0,$D822*$E822)</f>
        <v/>
      </c>
      <c r="H822" s="125">
        <f>IF($B822="","",CONCATENATE("Pozisyon: ",$B822,"/",$C822," tutar ",TEXT($D822,"#,##0.00")))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IF($D823=0,0,$D823*$E823)</f>
        <v/>
      </c>
      <c r="H823" s="125">
        <f>IF($B823="","",CONCATENATE("Pozisyon: ",$B823,"/",$C823," tutar ",TEXT($D823,"#,##0.00")))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IF($D824=0,0,$D824*$E824)</f>
        <v/>
      </c>
      <c r="H824" s="125">
        <f>IF($B824="","",CONCATENATE("Pozisyon: ",$B824,"/",$C824," tutar ",TEXT($D824,"#,##0.00")))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IF($D825=0,0,$D825*$E825)</f>
        <v/>
      </c>
      <c r="H825" s="125">
        <f>IF($B825="","",CONCATENATE("Pozisyon: ",$B825,"/",$C825," tutar ",TEXT($D825,"#,##0.00")))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IF($D826=0,0,$D826*$E826)</f>
        <v/>
      </c>
      <c r="H826" s="125">
        <f>IF($B826="","",CONCATENATE("Pozisyon: ",$B826,"/",$C826," tutar ",TEXT($D826,"#,##0.00")))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IF($D827=0,0,$D827*$E827)</f>
        <v/>
      </c>
      <c r="H827" s="125">
        <f>IF($B827="","",CONCATENATE("Pozisyon: ",$B827,"/",$C827," tutar ",TEXT($D827,"#,##0.00")))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IF($D828=0,0,$D828*$E828)</f>
        <v/>
      </c>
      <c r="H828" s="125">
        <f>IF($B828="","",CONCATENATE("Pozisyon: ",$B828,"/",$C828," tutar ",TEXT($D828,"#,##0.00")))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IF($D829=0,0,$D829*$E829)</f>
        <v/>
      </c>
      <c r="H829" s="125">
        <f>IF($B829="","",CONCATENATE("Pozisyon: ",$B829,"/",$C829," tutar ",TEXT($D829,"#,##0.00")))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IF($D830=0,0,$D830*$E830)</f>
        <v/>
      </c>
      <c r="H830" s="125">
        <f>IF($B830="","",CONCATENATE("Pozisyon: ",$B830,"/",$C830," tutar ",TEXT($D830,"#,##0.00")))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IF($D831=0,0,$D831*$E831)</f>
        <v/>
      </c>
      <c r="H831" s="125">
        <f>IF($B831="","",CONCATENATE("Pozisyon: ",$B831,"/",$C831," tutar ",TEXT($D831,"#,##0.00")))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IF($D832=0,0,$D832*$E832)</f>
        <v/>
      </c>
      <c r="H832" s="125">
        <f>IF($B832="","",CONCATENATE("Pozisyon: ",$B832,"/",$C832," tutar ",TEXT($D832,"#,##0.00")))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IF($D833=0,0,$D833*$E833)</f>
        <v/>
      </c>
      <c r="H833" s="125">
        <f>IF($B833="","",CONCATENATE("Pozisyon: ",$B833,"/",$C833," tutar ",TEXT($D833,"#,##0.00")))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IF($D834=0,0,$D834*$E834)</f>
        <v/>
      </c>
      <c r="H834" s="125">
        <f>IF($B834="","",CONCATENATE("Pozisyon: ",$B834,"/",$C834," tutar ",TEXT($D834,"#,##0.00")))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IF($D835=0,0,$D835*$E835)</f>
        <v/>
      </c>
      <c r="H835" s="125">
        <f>IF($B835="","",CONCATENATE("Pozisyon: ",$B835,"/",$C835," tutar ",TEXT($D835,"#,##0.00")))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IF($D836=0,0,$D836*$E836)</f>
        <v/>
      </c>
      <c r="H836" s="125">
        <f>IF($B836="","",CONCATENATE("Pozisyon: ",$B836,"/",$C836," tutar ",TEXT($D836,"#,##0.00")))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IF($D837=0,0,$D837*$E837)</f>
        <v/>
      </c>
      <c r="H837" s="125">
        <f>IF($B837="","",CONCATENATE("Pozisyon: ",$B837,"/",$C837," tutar ",TEXT($D837,"#,##0.00")))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IF($D838=0,0,$D838*$E838)</f>
        <v/>
      </c>
      <c r="H838" s="125">
        <f>IF($B838="","",CONCATENATE("Pozisyon: ",$B838,"/",$C838," tutar ",TEXT($D838,"#,##0.00")))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IF($D839=0,0,$D839*$E839)</f>
        <v/>
      </c>
      <c r="H839" s="125">
        <f>IF($B839="","",CONCATENATE("Pozisyon: ",$B839,"/",$C839," tutar ",TEXT($D839,"#,##0.00")))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IF($D840=0,0,$D840*$E840)</f>
        <v/>
      </c>
      <c r="H840" s="125">
        <f>IF($B840="","",CONCATENATE("Pozisyon: ",$B840,"/",$C840," tutar ",TEXT($D840,"#,##0.00")))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IF($D841=0,0,$D841*$E841)</f>
        <v/>
      </c>
      <c r="H841" s="125">
        <f>IF($B841="","",CONCATENATE("Pozisyon: ",$B841,"/",$C841," tutar ",TEXT($D841,"#,##0.00")))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IF($D842=0,0,$D842*$E842)</f>
        <v/>
      </c>
      <c r="H842" s="125">
        <f>IF($B842="","",CONCATENATE("Pozisyon: ",$B842,"/",$C842," tutar ",TEXT($D842,"#,##0.00")))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IF($D843=0,0,$D843*$E843)</f>
        <v/>
      </c>
      <c r="H843" s="125">
        <f>IF($B843="","",CONCATENATE("Pozisyon: ",$B843,"/",$C843," tutar ",TEXT($D843,"#,##0.00")))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IF($D844=0,0,$D844*$E844)</f>
        <v/>
      </c>
      <c r="H844" s="125">
        <f>IF($B844="","",CONCATENATE("Pozisyon: ",$B844,"/",$C844," tutar ",TEXT($D844,"#,##0.00")))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IF($D845=0,0,$D845*$E845)</f>
        <v/>
      </c>
      <c r="H845" s="125">
        <f>IF($B845="","",CONCATENATE("Pozisyon: ",$B845,"/",$C845," tutar ",TEXT($D845,"#,##0.00")))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IF($D846=0,0,$D846*$E846)</f>
        <v/>
      </c>
      <c r="H846" s="125">
        <f>IF($B846="","",CONCATENATE("Pozisyon: ",$B846,"/",$C846," tutar ",TEXT($D846,"#,##0.00")))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IF($D847=0,0,$D847*$E847)</f>
        <v/>
      </c>
      <c r="H847" s="125">
        <f>IF($B847="","",CONCATENATE("Pozisyon: ",$B847,"/",$C847," tutar ",TEXT($D847,"#,##0.00")))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IF($D848=0,0,$D848*$E848)</f>
        <v/>
      </c>
      <c r="H848" s="125">
        <f>IF($B848="","",CONCATENATE("Pozisyon: ",$B848,"/",$C848," tutar ",TEXT($D848,"#,##0.00")))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IF($D849=0,0,$D849*$E849)</f>
        <v/>
      </c>
      <c r="H849" s="125">
        <f>IF($B849="","",CONCATENATE("Pozisyon: ",$B849,"/",$C849," tutar ",TEXT($D849,"#,##0.00")))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IF($D850=0,0,$D850*$E850)</f>
        <v/>
      </c>
      <c r="H850" s="125">
        <f>IF($B850="","",CONCATENATE("Pozisyon: ",$B850,"/",$C850," tutar ",TEXT($D850,"#,##0.00")))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IF($D851=0,0,$D851*$E851)</f>
        <v/>
      </c>
      <c r="H851" s="125">
        <f>IF($B851="","",CONCATENATE("Pozisyon: ",$B851,"/",$C851," tutar ",TEXT($D851,"#,##0.00")))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IF($D852=0,0,$D852*$E852)</f>
        <v/>
      </c>
      <c r="H852" s="125">
        <f>IF($B852="","",CONCATENATE("Pozisyon: ",$B852,"/",$C852," tutar ",TEXT($D852,"#,##0.00")))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IF($D853=0,0,$D853*$E853)</f>
        <v/>
      </c>
      <c r="H853" s="125">
        <f>IF($B853="","",CONCATENATE("Pozisyon: ",$B853,"/",$C853," tutar ",TEXT($D853,"#,##0.00")))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IF($D854=0,0,$D854*$E854)</f>
        <v/>
      </c>
      <c r="H854" s="125">
        <f>IF($B854="","",CONCATENATE("Pozisyon: ",$B854,"/",$C854," tutar ",TEXT($D854,"#,##0.00")))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IF($D855=0,0,$D855*$E855)</f>
        <v/>
      </c>
      <c r="H855" s="125">
        <f>IF($B855="","",CONCATENATE("Pozisyon: ",$B855,"/",$C855," tutar ",TEXT($D855,"#,##0.00")))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IF($D856=0,0,$D856*$E856)</f>
        <v/>
      </c>
      <c r="H856" s="125">
        <f>IF($B856="","",CONCATENATE("Pozisyon: ",$B856,"/",$C856," tutar ",TEXT($D856,"#,##0.00")))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IF($D857=0,0,$D857*$E857)</f>
        <v/>
      </c>
      <c r="H857" s="125">
        <f>IF($B857="","",CONCATENATE("Pozisyon: ",$B857,"/",$C857," tutar ",TEXT($D857,"#,##0.00")))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IF($D858=0,0,$D858*$E858)</f>
        <v/>
      </c>
      <c r="H858" s="125">
        <f>IF($B858="","",CONCATENATE("Pozisyon: ",$B858,"/",$C858," tutar ",TEXT($D858,"#,##0.00")))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IF($D859=0,0,$D859*$E859)</f>
        <v/>
      </c>
      <c r="H859" s="125">
        <f>IF($B859="","",CONCATENATE("Pozisyon: ",$B859,"/",$C859," tutar ",TEXT($D859,"#,##0.00")))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IF($D860=0,0,$D860*$E860)</f>
        <v/>
      </c>
      <c r="H860" s="125">
        <f>IF($B860="","",CONCATENATE("Pozisyon: ",$B860,"/",$C860," tutar ",TEXT($D860,"#,##0.00")))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IF($D861=0,0,$D861*$E861)</f>
        <v/>
      </c>
      <c r="H861" s="125">
        <f>IF($B861="","",CONCATENATE("Pozisyon: ",$B861,"/",$C861," tutar ",TEXT($D861,"#,##0.00")))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IF($D862=0,0,$D862*$E862)</f>
        <v/>
      </c>
      <c r="H862" s="125">
        <f>IF($B862="","",CONCATENATE("Pozisyon: ",$B862,"/",$C862," tutar ",TEXT($D862,"#,##0.00")))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IF($D863=0,0,$D863*$E863)</f>
        <v/>
      </c>
      <c r="H863" s="125">
        <f>IF($B863="","",CONCATENATE("Pozisyon: ",$B863,"/",$C863," tutar ",TEXT($D863,"#,##0.00")))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IF($D864=0,0,$D864*$E864)</f>
        <v/>
      </c>
      <c r="H864" s="125">
        <f>IF($B864="","",CONCATENATE("Pozisyon: ",$B864,"/",$C864," tutar ",TEXT($D864,"#,##0.00")))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IF($D865=0,0,$D865*$E865)</f>
        <v/>
      </c>
      <c r="H865" s="125">
        <f>IF($B865="","",CONCATENATE("Pozisyon: ",$B865,"/",$C865," tutar ",TEXT($D865,"#,##0.00")))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IF($D866=0,0,$D866*$E866)</f>
        <v/>
      </c>
      <c r="H866" s="125">
        <f>IF($B866="","",CONCATENATE("Pozisyon: ",$B866,"/",$C866," tutar ",TEXT($D866,"#,##0.00")))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IF($D867=0,0,$D867*$E867)</f>
        <v/>
      </c>
      <c r="H867" s="125">
        <f>IF($B867="","",CONCATENATE("Pozisyon: ",$B867,"/",$C867," tutar ",TEXT($D867,"#,##0.00")))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IF($D868=0,0,$D868*$E868)</f>
        <v/>
      </c>
      <c r="H868" s="125">
        <f>IF($B868="","",CONCATENATE("Pozisyon: ",$B868,"/",$C868," tutar ",TEXT($D868,"#,##0.00")))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IF($D869=0,0,$D869*$E869)</f>
        <v/>
      </c>
      <c r="H869" s="125">
        <f>IF($B869="","",CONCATENATE("Pozisyon: ",$B869,"/",$C869," tutar ",TEXT($D869,"#,##0.00")))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IF($D870=0,0,$D870*$E870)</f>
        <v/>
      </c>
      <c r="H870" s="125">
        <f>IF($B870="","",CONCATENATE("Pozisyon: ",$B870,"/",$C870," tutar ",TEXT($D870,"#,##0.00")))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IF($D871=0,0,$D871*$E871)</f>
        <v/>
      </c>
      <c r="H871" s="125">
        <f>IF($B871="","",CONCATENATE("Pozisyon: ",$B871,"/",$C871," tutar ",TEXT($D871,"#,##0.00")))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IF($D872=0,0,$D872*$E872)</f>
        <v/>
      </c>
      <c r="H872" s="125">
        <f>IF($B872="","",CONCATENATE("Pozisyon: ",$B872,"/",$C872," tutar ",TEXT($D872,"#,##0.00")))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IF($D873=0,0,$D873*$E873)</f>
        <v/>
      </c>
      <c r="H873" s="125">
        <f>IF($B873="","",CONCATENATE("Pozisyon: ",$B873,"/",$C873," tutar ",TEXT($D873,"#,##0.00")))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IF($D874=0,0,$D874*$E874)</f>
        <v/>
      </c>
      <c r="H874" s="125">
        <f>IF($B874="","",CONCATENATE("Pozisyon: ",$B874,"/",$C874," tutar ",TEXT($D874,"#,##0.00")))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IF($D875=0,0,$D875*$E875)</f>
        <v/>
      </c>
      <c r="H875" s="125">
        <f>IF($B875="","",CONCATENATE("Pozisyon: ",$B875,"/",$C875," tutar ",TEXT($D875,"#,##0.00")))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IF($D876=0,0,$D876*$E876)</f>
        <v/>
      </c>
      <c r="H876" s="125">
        <f>IF($B876="","",CONCATENATE("Pozisyon: ",$B876,"/",$C876," tutar ",TEXT($D876,"#,##0.00")))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IF($D877=0,0,$D877*$E877)</f>
        <v/>
      </c>
      <c r="H877" s="125">
        <f>IF($B877="","",CONCATENATE("Pozisyon: ",$B877,"/",$C877," tutar ",TEXT($D877,"#,##0.00")))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IF($D878=0,0,$D878*$E878)</f>
        <v/>
      </c>
      <c r="H878" s="125">
        <f>IF($B878="","",CONCATENATE("Pozisyon: ",$B878,"/",$C878," tutar ",TEXT($D878,"#,##0.00")))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IF($D879=0,0,$D879*$E879)</f>
        <v/>
      </c>
      <c r="H879" s="125">
        <f>IF($B879="","",CONCATENATE("Pozisyon: ",$B879,"/",$C879," tutar ",TEXT($D879,"#,##0.00")))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IF($D880=0,0,$D880*$E880)</f>
        <v/>
      </c>
      <c r="H880" s="125">
        <f>IF($B880="","",CONCATENATE("Pozisyon: ",$B880,"/",$C880," tutar ",TEXT($D880,"#,##0.00")))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IF($D881=0,0,$D881*$E881)</f>
        <v/>
      </c>
      <c r="H881" s="125">
        <f>IF($B881="","",CONCATENATE("Pozisyon: ",$B881,"/",$C881," tutar ",TEXT($D881,"#,##0.00")))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IF($D882=0,0,$D882*$E882)</f>
        <v/>
      </c>
      <c r="H882" s="125">
        <f>IF($B882="","",CONCATENATE("Pozisyon: ",$B882,"/",$C882," tutar ",TEXT($D882,"#,##0.00")))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IF($D883=0,0,$D883*$E883)</f>
        <v/>
      </c>
      <c r="H883" s="125">
        <f>IF($B883="","",CONCATENATE("Pozisyon: ",$B883,"/",$C883," tutar ",TEXT($D883,"#,##0.00")))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IF($D884=0,0,$D884*$E884)</f>
        <v/>
      </c>
      <c r="H884" s="125">
        <f>IF($B884="","",CONCATENATE("Pozisyon: ",$B884,"/",$C884," tutar ",TEXT($D884,"#,##0.00")))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IF($D885=0,0,$D885*$E885)</f>
        <v/>
      </c>
      <c r="H885" s="125">
        <f>IF($B885="","",CONCATENATE("Pozisyon: ",$B885,"/",$C885," tutar ",TEXT($D885,"#,##0.00")))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IF($D886=0,0,$D886*$E886)</f>
        <v/>
      </c>
      <c r="H886" s="125">
        <f>IF($B886="","",CONCATENATE("Pozisyon: ",$B886,"/",$C886," tutar ",TEXT($D886,"#,##0.00")))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IF($D887=0,0,$D887*$E887)</f>
        <v/>
      </c>
      <c r="H887" s="125">
        <f>IF($B887="","",CONCATENATE("Pozisyon: ",$B887,"/",$C887," tutar ",TEXT($D887,"#,##0.00")))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IF($D888=0,0,$D888*$E888)</f>
        <v/>
      </c>
      <c r="H888" s="125">
        <f>IF($B888="","",CONCATENATE("Pozisyon: ",$B888,"/",$C888," tutar ",TEXT($D888,"#,##0.00")))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IF($D889=0,0,$D889*$E889)</f>
        <v/>
      </c>
      <c r="H889" s="125">
        <f>IF($B889="","",CONCATENATE("Pozisyon: ",$B889,"/",$C889," tutar ",TEXT($D889,"#,##0.00")))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IF($D890=0,0,$D890*$E890)</f>
        <v/>
      </c>
      <c r="H890" s="125">
        <f>IF($B890="","",CONCATENATE("Pozisyon: ",$B890,"/",$C890," tutar ",TEXT($D890,"#,##0.00")))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IF($D891=0,0,$D891*$E891)</f>
        <v/>
      </c>
      <c r="H891" s="125">
        <f>IF($B891="","",CONCATENATE("Pozisyon: ",$B891,"/",$C891," tutar ",TEXT($D891,"#,##0.00")))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IF($D892=0,0,$D892*$E892)</f>
        <v/>
      </c>
      <c r="H892" s="125">
        <f>IF($B892="","",CONCATENATE("Pozisyon: ",$B892,"/",$C892," tutar ",TEXT($D892,"#,##0.00")))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IF($D893=0,0,$D893*$E893)</f>
        <v/>
      </c>
      <c r="H893" s="125">
        <f>IF($B893="","",CONCATENATE("Pozisyon: ",$B893,"/",$C893," tutar ",TEXT($D893,"#,##0.00")))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IF($D894=0,0,$D894*$E894)</f>
        <v/>
      </c>
      <c r="H894" s="125">
        <f>IF($B894="","",CONCATENATE("Pozisyon: ",$B894,"/",$C894," tutar ",TEXT($D894,"#,##0.00")))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IF($D895=0,0,$D895*$E895)</f>
        <v/>
      </c>
      <c r="H895" s="125">
        <f>IF($B895="","",CONCATENATE("Pozisyon: ",$B895,"/",$C895," tutar ",TEXT($D895,"#,##0.00")))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IF($D896=0,0,$D896*$E896)</f>
        <v/>
      </c>
      <c r="H896" s="125">
        <f>IF($B896="","",CONCATENATE("Pozisyon: ",$B896,"/",$C896," tutar ",TEXT($D896,"#,##0.00")))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IF($D897=0,0,$D897*$E897)</f>
        <v/>
      </c>
      <c r="H897" s="125">
        <f>IF($B897="","",CONCATENATE("Pozisyon: ",$B897,"/",$C897," tutar ",TEXT($D897,"#,##0.00")))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IF($D898=0,0,$D898*$E898)</f>
        <v/>
      </c>
      <c r="H898" s="125">
        <f>IF($B898="","",CONCATENATE("Pozisyon: ",$B898,"/",$C898," tutar ",TEXT($D898,"#,##0.00")))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IF($D899=0,0,$D899*$E899)</f>
        <v/>
      </c>
      <c r="H899" s="125">
        <f>IF($B899="","",CONCATENATE("Pozisyon: ",$B899,"/",$C899," tutar ",TEXT($D899,"#,##0.00")))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IF($D900=0,0,$D900*$E900)</f>
        <v/>
      </c>
      <c r="H900" s="125">
        <f>IF($B900="","",CONCATENATE("Pozisyon: ",$B900,"/",$C900," tutar ",TEXT($D900,"#,##0.00")))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IF($D901=0,0,$D901*$E901)</f>
        <v/>
      </c>
      <c r="H901" s="125">
        <f>IF($B901="","",CONCATENATE("Pozisyon: ",$B901,"/",$C901," tutar ",TEXT($D901,"#,##0.00")))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IF($D902=0,0,$D902*$E902)</f>
        <v/>
      </c>
      <c r="H902" s="125">
        <f>IF($B902="","",CONCATENATE("Pozisyon: ",$B902,"/",$C902," tutar ",TEXT($D902,"#,##0.00")))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IF($D903=0,0,$D903*$E903)</f>
        <v/>
      </c>
      <c r="H903" s="125">
        <f>IF($B903="","",CONCATENATE("Pozisyon: ",$B903,"/",$C903," tutar ",TEXT($D903,"#,##0.00")))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IF($D904=0,0,$D904*$E904)</f>
        <v/>
      </c>
      <c r="H904" s="125">
        <f>IF($B904="","",CONCATENATE("Pozisyon: ",$B904,"/",$C904," tutar ",TEXT($D904,"#,##0.00")))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IF($D905=0,0,$D905*$E905)</f>
        <v/>
      </c>
      <c r="H905" s="125">
        <f>IF($B905="","",CONCATENATE("Pozisyon: ",$B905,"/",$C905," tutar ",TEXT($D905,"#,##0.00")))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IF($D906=0,0,$D906*$E906)</f>
        <v/>
      </c>
      <c r="H906" s="125">
        <f>IF($B906="","",CONCATENATE("Pozisyon: ",$B906,"/",$C906," tutar ",TEXT($D906,"#,##0.00")))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IF($D907=0,0,$D907*$E907)</f>
        <v/>
      </c>
      <c r="H907" s="125">
        <f>IF($B907="","",CONCATENATE("Pozisyon: ",$B907,"/",$C907," tutar ",TEXT($D907,"#,##0.00")))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IF($D908=0,0,$D908*$E908)</f>
        <v/>
      </c>
      <c r="H908" s="125">
        <f>IF($B908="","",CONCATENATE("Pozisyon: ",$B908,"/",$C908," tutar ",TEXT($D908,"#,##0.00")))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IF($D909=0,0,$D909*$E909)</f>
        <v/>
      </c>
      <c r="H909" s="125">
        <f>IF($B909="","",CONCATENATE("Pozisyon: ",$B909,"/",$C909," tutar ",TEXT($D909,"#,##0.00")))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IF($D910=0,0,$D910*$E910)</f>
        <v/>
      </c>
      <c r="H910" s="125">
        <f>IF($B910="","",CONCATENATE("Pozisyon: ",$B910,"/",$C910," tutar ",TEXT($D910,"#,##0.00")))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IF($D911=0,0,$D911*$E911)</f>
        <v/>
      </c>
      <c r="H911" s="125">
        <f>IF($B911="","",CONCATENATE("Pozisyon: ",$B911,"/",$C911," tutar ",TEXT($D911,"#,##0.00")))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IF($D912=0,0,$D912*$E912)</f>
        <v/>
      </c>
      <c r="H912" s="125">
        <f>IF($B912="","",CONCATENATE("Pozisyon: ",$B912,"/",$C912," tutar ",TEXT($D912,"#,##0.00")))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IF($D913=0,0,$D913*$E913)</f>
        <v/>
      </c>
      <c r="H913" s="125">
        <f>IF($B913="","",CONCATENATE("Pozisyon: ",$B913,"/",$C913," tutar ",TEXT($D913,"#,##0.00")))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IF($D914=0,0,$D914*$E914)</f>
        <v/>
      </c>
      <c r="H914" s="125">
        <f>IF($B914="","",CONCATENATE("Pozisyon: ",$B914,"/",$C914," tutar ",TEXT($D914,"#,##0.00")))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IF($D915=0,0,$D915*$E915)</f>
        <v/>
      </c>
      <c r="H915" s="125">
        <f>IF($B915="","",CONCATENATE("Pozisyon: ",$B915,"/",$C915," tutar ",TEXT($D915,"#,##0.00")))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IF($D916=0,0,$D916*$E916)</f>
        <v/>
      </c>
      <c r="H916" s="125">
        <f>IF($B916="","",CONCATENATE("Pozisyon: ",$B916,"/",$C916," tutar ",TEXT($D916,"#,##0.00")))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IF($D917=0,0,$D917*$E917)</f>
        <v/>
      </c>
      <c r="H917" s="125">
        <f>IF($B917="","",CONCATENATE("Pozisyon: ",$B917,"/",$C917," tutar ",TEXT($D917,"#,##0.00")))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IF($D918=0,0,$D918*$E918)</f>
        <v/>
      </c>
      <c r="H918" s="125">
        <f>IF($B918="","",CONCATENATE("Pozisyon: ",$B918,"/",$C918," tutar ",TEXT($D918,"#,##0.00")))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IF($D919=0,0,$D919*$E919)</f>
        <v/>
      </c>
      <c r="H919" s="125">
        <f>IF($B919="","",CONCATENATE("Pozisyon: ",$B919,"/",$C919," tutar ",TEXT($D919,"#,##0.00")))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IF($D920=0,0,$D920*$E920)</f>
        <v/>
      </c>
      <c r="H920" s="125">
        <f>IF($B920="","",CONCATENATE("Pozisyon: ",$B920,"/",$C920," tutar ",TEXT($D920,"#,##0.00")))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IF($D921=0,0,$D921*$E921)</f>
        <v/>
      </c>
      <c r="H921" s="125">
        <f>IF($B921="","",CONCATENATE("Pozisyon: ",$B921,"/",$C921," tutar ",TEXT($D921,"#,##0.00")))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IF($D922=0,0,$D922*$E922)</f>
        <v/>
      </c>
      <c r="H922" s="125">
        <f>IF($B922="","",CONCATENATE("Pozisyon: ",$B922,"/",$C922," tutar ",TEXT($D922,"#,##0.00")))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IF($D923=0,0,$D923*$E923)</f>
        <v/>
      </c>
      <c r="H923" s="125">
        <f>IF($B923="","",CONCATENATE("Pozisyon: ",$B923,"/",$C923," tutar ",TEXT($D923,"#,##0.00")))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IF($D924=0,0,$D924*$E924)</f>
        <v/>
      </c>
      <c r="H924" s="125">
        <f>IF($B924="","",CONCATENATE("Pozisyon: ",$B924,"/",$C924," tutar ",TEXT($D924,"#,##0.00")))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IF($D925=0,0,$D925*$E925)</f>
        <v/>
      </c>
      <c r="H925" s="125">
        <f>IF($B925="","",CONCATENATE("Pozisyon: ",$B925,"/",$C925," tutar ",TEXT($D925,"#,##0.00")))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IF($D926=0,0,$D926*$E926)</f>
        <v/>
      </c>
      <c r="H926" s="125">
        <f>IF($B926="","",CONCATENATE("Pozisyon: ",$B926,"/",$C926," tutar ",TEXT($D926,"#,##0.00")))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IF($D927=0,0,$D927*$E927)</f>
        <v/>
      </c>
      <c r="H927" s="125">
        <f>IF($B927="","",CONCATENATE("Pozisyon: ",$B927,"/",$C927," tutar ",TEXT($D927,"#,##0.00")))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IF($D928=0,0,$D928*$E928)</f>
        <v/>
      </c>
      <c r="H928" s="125">
        <f>IF($B928="","",CONCATENATE("Pozisyon: ",$B928,"/",$C928," tutar ",TEXT($D928,"#,##0.00")))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IF($D929=0,0,$D929*$E929)</f>
        <v/>
      </c>
      <c r="H929" s="125">
        <f>IF($B929="","",CONCATENATE("Pozisyon: ",$B929,"/",$C929," tutar ",TEXT($D929,"#,##0.00")))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IF($D930=0,0,$D930*$E930)</f>
        <v/>
      </c>
      <c r="H930" s="125">
        <f>IF($B930="","",CONCATENATE("Pozisyon: ",$B930,"/",$C930," tutar ",TEXT($D930,"#,##0.00")))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IF($D931=0,0,$D931*$E931)</f>
        <v/>
      </c>
      <c r="H931" s="125">
        <f>IF($B931="","",CONCATENATE("Pozisyon: ",$B931,"/",$C931," tutar ",TEXT($D931,"#,##0.00")))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IF($D932=0,0,$D932*$E932)</f>
        <v/>
      </c>
      <c r="H932" s="125">
        <f>IF($B932="","",CONCATENATE("Pozisyon: ",$B932,"/",$C932," tutar ",TEXT($D932,"#,##0.00")))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IF($D933=0,0,$D933*$E933)</f>
        <v/>
      </c>
      <c r="H933" s="125">
        <f>IF($B933="","",CONCATENATE("Pozisyon: ",$B933,"/",$C933," tutar ",TEXT($D933,"#,##0.00")))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IF($D934=0,0,$D934*$E934)</f>
        <v/>
      </c>
      <c r="H934" s="125">
        <f>IF($B934="","",CONCATENATE("Pozisyon: ",$B934,"/",$C934," tutar ",TEXT($D934,"#,##0.00")))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IF($D935=0,0,$D935*$E935)</f>
        <v/>
      </c>
      <c r="H935" s="125">
        <f>IF($B935="","",CONCATENATE("Pozisyon: ",$B935,"/",$C935," tutar ",TEXT($D935,"#,##0.00")))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IF($D936=0,0,$D936*$E936)</f>
        <v/>
      </c>
      <c r="H936" s="125">
        <f>IF($B936="","",CONCATENATE("Pozisyon: ",$B936,"/",$C936," tutar ",TEXT($D936,"#,##0.00")))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IF($D937=0,0,$D937*$E937)</f>
        <v/>
      </c>
      <c r="H937" s="125">
        <f>IF($B937="","",CONCATENATE("Pozisyon: ",$B937,"/",$C937," tutar ",TEXT($D937,"#,##0.00")))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IF($D938=0,0,$D938*$E938)</f>
        <v/>
      </c>
      <c r="H938" s="125">
        <f>IF($B938="","",CONCATENATE("Pozisyon: ",$B938,"/",$C938," tutar ",TEXT($D938,"#,##0.00")))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IF($D939=0,0,$D939*$E939)</f>
        <v/>
      </c>
      <c r="H939" s="125">
        <f>IF($B939="","",CONCATENATE("Pozisyon: ",$B939,"/",$C939," tutar ",TEXT($D939,"#,##0.00")))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IF($D940=0,0,$D940*$E940)</f>
        <v/>
      </c>
      <c r="H940" s="125">
        <f>IF($B940="","",CONCATENATE("Pozisyon: ",$B940,"/",$C940," tutar ",TEXT($D940,"#,##0.00")))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IF($D941=0,0,$D941*$E941)</f>
        <v/>
      </c>
      <c r="H941" s="125">
        <f>IF($B941="","",CONCATENATE("Pozisyon: ",$B941,"/",$C941," tutar ",TEXT($D941,"#,##0.00")))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IF($D942=0,0,$D942*$E942)</f>
        <v/>
      </c>
      <c r="H942" s="125">
        <f>IF($B942="","",CONCATENATE("Pozisyon: ",$B942,"/",$C942," tutar ",TEXT($D942,"#,##0.00")))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IF($D943=0,0,$D943*$E943)</f>
        <v/>
      </c>
      <c r="H943" s="125">
        <f>IF($B943="","",CONCATENATE("Pozisyon: ",$B943,"/",$C943," tutar ",TEXT($D943,"#,##0.00")))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IF($D944=0,0,$D944*$E944)</f>
        <v/>
      </c>
      <c r="H944" s="125">
        <f>IF($B944="","",CONCATENATE("Pozisyon: ",$B944,"/",$C944," tutar ",TEXT($D944,"#,##0.00")))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IF($D945=0,0,$D945*$E945)</f>
        <v/>
      </c>
      <c r="H945" s="125">
        <f>IF($B945="","",CONCATENATE("Pozisyon: ",$B945,"/",$C945," tutar ",TEXT($D945,"#,##0.00")))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IF($D946=0,0,$D946*$E946)</f>
        <v/>
      </c>
      <c r="H946" s="125">
        <f>IF($B946="","",CONCATENATE("Pozisyon: ",$B946,"/",$C946," tutar ",TEXT($D946,"#,##0.00")))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IF($D947=0,0,$D947*$E947)</f>
        <v/>
      </c>
      <c r="H947" s="125">
        <f>IF($B947="","",CONCATENATE("Pozisyon: ",$B947,"/",$C947," tutar ",TEXT($D947,"#,##0.00")))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IF($D948=0,0,$D948*$E948)</f>
        <v/>
      </c>
      <c r="H948" s="125">
        <f>IF($B948="","",CONCATENATE("Pozisyon: ",$B948,"/",$C948," tutar ",TEXT($D948,"#,##0.00")))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IF($D949=0,0,$D949*$E949)</f>
        <v/>
      </c>
      <c r="H949" s="125">
        <f>IF($B949="","",CONCATENATE("Pozisyon: ",$B949,"/",$C949," tutar ",TEXT($D949,"#,##0.00")))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IF($D950=0,0,$D950*$E950)</f>
        <v/>
      </c>
      <c r="H950" s="125">
        <f>IF($B950="","",CONCATENATE("Pozisyon: ",$B950,"/",$C950," tutar ",TEXT($D950,"#,##0.00")))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IF($D951=0,0,$D951*$E951)</f>
        <v/>
      </c>
      <c r="H951" s="125">
        <f>IF($B951="","",CONCATENATE("Pozisyon: ",$B951,"/",$C951," tutar ",TEXT($D951,"#,##0.00")))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IF($D952=0,0,$D952*$E952)</f>
        <v/>
      </c>
      <c r="H952" s="125">
        <f>IF($B952="","",CONCATENATE("Pozisyon: ",$B952,"/",$C952," tutar ",TEXT($D952,"#,##0.00")))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IF($D953=0,0,$D953*$E953)</f>
        <v/>
      </c>
      <c r="H953" s="125">
        <f>IF($B953="","",CONCATENATE("Pozisyon: ",$B953,"/",$C953," tutar ",TEXT($D953,"#,##0.00")))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IF($D954=0,0,$D954*$E954)</f>
        <v/>
      </c>
      <c r="H954" s="125">
        <f>IF($B954="","",CONCATENATE("Pozisyon: ",$B954,"/",$C954," tutar ",TEXT($D954,"#,##0.00")))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IF($D955=0,0,$D955*$E955)</f>
        <v/>
      </c>
      <c r="H955" s="125">
        <f>IF($B955="","",CONCATENATE("Pozisyon: ",$B955,"/",$C955," tutar ",TEXT($D955,"#,##0.00")))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IF($D956=0,0,$D956*$E956)</f>
        <v/>
      </c>
      <c r="H956" s="125">
        <f>IF($B956="","",CONCATENATE("Pozisyon: ",$B956,"/",$C956," tutar ",TEXT($D956,"#,##0.00")))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IF($D957=0,0,$D957*$E957)</f>
        <v/>
      </c>
      <c r="H957" s="125">
        <f>IF($B957="","",CONCATENATE("Pozisyon: ",$B957,"/",$C957," tutar ",TEXT($D957,"#,##0.00")))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IF($D958=0,0,$D958*$E958)</f>
        <v/>
      </c>
      <c r="H958" s="125">
        <f>IF($B958="","",CONCATENATE("Pozisyon: ",$B958,"/",$C958," tutar ",TEXT($D958,"#,##0.00")))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IF($D959=0,0,$D959*$E959)</f>
        <v/>
      </c>
      <c r="H959" s="125">
        <f>IF($B959="","",CONCATENATE("Pozisyon: ",$B959,"/",$C959," tutar ",TEXT($D959,"#,##0.00")))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IF($D960=0,0,$D960*$E960)</f>
        <v/>
      </c>
      <c r="H960" s="125">
        <f>IF($B960="","",CONCATENATE("Pozisyon: ",$B960,"/",$C960," tutar ",TEXT($D960,"#,##0.00")))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IF($D961=0,0,$D961*$E961)</f>
        <v/>
      </c>
      <c r="H961" s="125">
        <f>IF($B961="","",CONCATENATE("Pozisyon: ",$B961,"/",$C961," tutar ",TEXT($D961,"#,##0.00")))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IF($D962=0,0,$D962*$E962)</f>
        <v/>
      </c>
      <c r="H962" s="125">
        <f>IF($B962="","",CONCATENATE("Pozisyon: ",$B962,"/",$C962," tutar ",TEXT($D962,"#,##0.00")))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IF($D963=0,0,$D963*$E963)</f>
        <v/>
      </c>
      <c r="H963" s="125">
        <f>IF($B963="","",CONCATENATE("Pozisyon: ",$B963,"/",$C963," tutar ",TEXT($D963,"#,##0.00")))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IF($D964=0,0,$D964*$E964)</f>
        <v/>
      </c>
      <c r="H964" s="125">
        <f>IF($B964="","",CONCATENATE("Pozisyon: ",$B964,"/",$C964," tutar ",TEXT($D964,"#,##0.00")))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IF($D965=0,0,$D965*$E965)</f>
        <v/>
      </c>
      <c r="H965" s="125">
        <f>IF($B965="","",CONCATENATE("Pozisyon: ",$B965,"/",$C965," tutar ",TEXT($D965,"#,##0.00")))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IF($D966=0,0,$D966*$E966)</f>
        <v/>
      </c>
      <c r="H966" s="125">
        <f>IF($B966="","",CONCATENATE("Pozisyon: ",$B966,"/",$C966," tutar ",TEXT($D966,"#,##0.00")))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IF($D967=0,0,$D967*$E967)</f>
        <v/>
      </c>
      <c r="H967" s="125">
        <f>IF($B967="","",CONCATENATE("Pozisyon: ",$B967,"/",$C967," tutar ",TEXT($D967,"#,##0.00")))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IF($D968=0,0,$D968*$E968)</f>
        <v/>
      </c>
      <c r="H968" s="125">
        <f>IF($B968="","",CONCATENATE("Pozisyon: ",$B968,"/",$C968," tutar ",TEXT($D968,"#,##0.00")))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IF($D969=0,0,$D969*$E969)</f>
        <v/>
      </c>
      <c r="H969" s="125">
        <f>IF($B969="","",CONCATENATE("Pozisyon: ",$B969,"/",$C969," tutar ",TEXT($D969,"#,##0.00")))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IF($D970=0,0,$D970*$E970)</f>
        <v/>
      </c>
      <c r="H970" s="125">
        <f>IF($B970="","",CONCATENATE("Pozisyon: ",$B970,"/",$C970," tutar ",TEXT($D970,"#,##0.00")))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IF($D971=0,0,$D971*$E971)</f>
        <v/>
      </c>
      <c r="H971" s="125">
        <f>IF($B971="","",CONCATENATE("Pozisyon: ",$B971,"/",$C971," tutar ",TEXT($D971,"#,##0.00")))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IF($D972=0,0,$D972*$E972)</f>
        <v/>
      </c>
      <c r="H972" s="125">
        <f>IF($B972="","",CONCATENATE("Pozisyon: ",$B972,"/",$C972," tutar ",TEXT($D972,"#,##0.00")))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IF($D973=0,0,$D973*$E973)</f>
        <v/>
      </c>
      <c r="H973" s="125">
        <f>IF($B973="","",CONCATENATE("Pozisyon: ",$B973,"/",$C973," tutar ",TEXT($D973,"#,##0.00")))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IF($D974=0,0,$D974*$E974)</f>
        <v/>
      </c>
      <c r="H974" s="125">
        <f>IF($B974="","",CONCATENATE("Pozisyon: ",$B974,"/",$C974," tutar ",TEXT($D974,"#,##0.00")))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IF($D975=0,0,$D975*$E975)</f>
        <v/>
      </c>
      <c r="H975" s="125">
        <f>IF($B975="","",CONCATENATE("Pozisyon: ",$B975,"/",$C975," tutar ",TEXT($D975,"#,##0.00")))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IF($D976=0,0,$D976*$E976)</f>
        <v/>
      </c>
      <c r="H976" s="125">
        <f>IF($B976="","",CONCATENATE("Pozisyon: ",$B976,"/",$C976," tutar ",TEXT($D976,"#,##0.00")))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IF($D977=0,0,$D977*$E977)</f>
        <v/>
      </c>
      <c r="H977" s="125">
        <f>IF($B977="","",CONCATENATE("Pozisyon: ",$B977,"/",$C977," tutar ",TEXT($D977,"#,##0.00")))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IF($D978=0,0,$D978*$E978)</f>
        <v/>
      </c>
      <c r="H978" s="125">
        <f>IF($B978="","",CONCATENATE("Pozisyon: ",$B978,"/",$C978," tutar ",TEXT($D978,"#,##0.00")))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IF($D979=0,0,$D979*$E979)</f>
        <v/>
      </c>
      <c r="H979" s="125">
        <f>IF($B979="","",CONCATENATE("Pozisyon: ",$B979,"/",$C979," tutar ",TEXT($D979,"#,##0.00")))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IF($D980=0,0,$D980*$E980)</f>
        <v/>
      </c>
      <c r="H980" s="125">
        <f>IF($B980="","",CONCATENATE("Pozisyon: ",$B980,"/",$C980," tutar ",TEXT($D980,"#,##0.00")))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IF($D981=0,0,$D981*$E981)</f>
        <v/>
      </c>
      <c r="H981" s="125">
        <f>IF($B981="","",CONCATENATE("Pozisyon: ",$B981,"/",$C981," tutar ",TEXT($D981,"#,##0.00")))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IF($D982=0,0,$D982*$E982)</f>
        <v/>
      </c>
      <c r="H982" s="125">
        <f>IF($B982="","",CONCATENATE("Pozisyon: ",$B982,"/",$C982," tutar ",TEXT($D982,"#,##0.00")))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IF($D983=0,0,$D983*$E983)</f>
        <v/>
      </c>
      <c r="H983" s="125">
        <f>IF($B983="","",CONCATENATE("Pozisyon: ",$B983,"/",$C983," tutar ",TEXT($D983,"#,##0.00")))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IF($D984=0,0,$D984*$E984)</f>
        <v/>
      </c>
      <c r="H984" s="125">
        <f>IF($B984="","",CONCATENATE("Pozisyon: ",$B984,"/",$C984," tutar ",TEXT($D984,"#,##0.00")))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IF($D985=0,0,$D985*$E985)</f>
        <v/>
      </c>
      <c r="H985" s="125">
        <f>IF($B985="","",CONCATENATE("Pozisyon: ",$B985,"/",$C985," tutar ",TEXT($D985,"#,##0.00")))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IF($D986=0,0,$D986*$E986)</f>
        <v/>
      </c>
      <c r="H986" s="125">
        <f>IF($B986="","",CONCATENATE("Pozisyon: ",$B986,"/",$C986," tutar ",TEXT($D986,"#,##0.00")))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IF($D987=0,0,$D987*$E987)</f>
        <v/>
      </c>
      <c r="H987" s="125">
        <f>IF($B987="","",CONCATENATE("Pozisyon: ",$B987,"/",$C987," tutar ",TEXT($D987,"#,##0.00")))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IF($D988=0,0,$D988*$E988)</f>
        <v/>
      </c>
      <c r="H988" s="125">
        <f>IF($B988="","",CONCATENATE("Pozisyon: ",$B988,"/",$C988," tutar ",TEXT($D988,"#,##0.00")))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IF($D989=0,0,$D989*$E989)</f>
        <v/>
      </c>
      <c r="H989" s="125">
        <f>IF($B989="","",CONCATENATE("Pozisyon: ",$B989,"/",$C989," tutar ",TEXT($D989,"#,##0.00")))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IF($D990=0,0,$D990*$E990)</f>
        <v/>
      </c>
      <c r="H990" s="125">
        <f>IF($B990="","",CONCATENATE("Pozisyon: ",$B990,"/",$C990," tutar ",TEXT($D990,"#,##0.00")))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IF($D991=0,0,$D991*$E991)</f>
        <v/>
      </c>
      <c r="H991" s="125">
        <f>IF($B991="","",CONCATENATE("Pozisyon: ",$B991,"/",$C991," tutar ",TEXT($D991,"#,##0.00")))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IF($D992=0,0,$D992*$E992)</f>
        <v/>
      </c>
      <c r="H992" s="125">
        <f>IF($B992="","",CONCATENATE("Pozisyon: ",$B992,"/",$C992," tutar ",TEXT($D992,"#,##0.00")))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IF($D993=0,0,$D993*$E993)</f>
        <v/>
      </c>
      <c r="H993" s="125">
        <f>IF($B993="","",CONCATENATE("Pozisyon: ",$B993,"/",$C993," tutar ",TEXT($D993,"#,##0.00")))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IF($D994=0,0,$D994*$E994)</f>
        <v/>
      </c>
      <c r="H994" s="125">
        <f>IF($B994="","",CONCATENATE("Pozisyon: ",$B994,"/",$C994," tutar ",TEXT($D994,"#,##0.00")))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IF($D995=0,0,$D995*$E995)</f>
        <v/>
      </c>
      <c r="H995" s="125">
        <f>IF($B995="","",CONCATENATE("Pozisyon: ",$B995,"/",$C995," tutar ",TEXT($D995,"#,##0.00")))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IF($D996=0,0,$D996*$E996)</f>
        <v/>
      </c>
      <c r="H996" s="125">
        <f>IF($B996="","",CONCATENATE("Pozisyon: ",$B996,"/",$C996," tutar ",TEXT($D996,"#,##0.00")))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IF($D997=0,0,$D997*$E997)</f>
        <v/>
      </c>
      <c r="H997" s="125">
        <f>IF($B997="","",CONCATENATE("Pozisyon: ",$B997,"/",$C997," tutar ",TEXT($D997,"#,##0.00")))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IF($D998=0,0,$D998*$E998)</f>
        <v/>
      </c>
      <c r="H998" s="125">
        <f>IF($B998="","",CONCATENATE("Pozisyon: ",$B998,"/",$C998," tutar ",TEXT($D998,"#,##0.00")))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IF($D999=0,0,$D999*$E999)</f>
        <v/>
      </c>
      <c r="H999" s="125">
        <f>IF($B999="","",CONCATENATE("Pozisyon: ",$B999,"/",$C999," tutar ",TEXT($D999,"#,##0.00")))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IF($D1000=0,0,$D1000*$E1000)</f>
        <v/>
      </c>
      <c r="H1000" s="125">
        <f>IF($B1000="","",CONCATENATE("Pozisyon: ",$B1000,"/",$C1000," tutar ",TEXT($D1000,"#,##0.00")))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IF($D1001=0,0,$D1001*$E1001)</f>
        <v/>
      </c>
      <c r="H1001" s="125">
        <f>IF($B1001="","",CONCATENATE("Pozisyon: ",$B1001,"/",$C1001," tutar ",TEXT($D1001,"#,##0.00")))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IF($D1002=0,0,$D1002*$E1002)</f>
        <v/>
      </c>
      <c r="H1002" s="125">
        <f>IF($B1002="","",CONCATENATE("Pozisyon: ",$B1002,"/",$C1002," tutar ",TEXT($D1002,"#,##0.00")))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IF($D1003=0,0,$D1003*$E1003)</f>
        <v/>
      </c>
      <c r="H1003" s="125">
        <f>IF($B1003="","",CONCATENATE("Pozisyon: ",$B1003,"/",$C1003," tutar ",TEXT($D1003,"#,##0.00")))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IF($D1004=0,0,$D1004*$E1004)</f>
        <v/>
      </c>
      <c r="H1004" s="125">
        <f>IF($B1004="","",CONCATENATE("Pozisyon: ",$B1004,"/",$C1004," tutar ",TEXT($D1004,"#,##0.00")))</f>
        <v/>
      </c>
    </row>
    <row r="1005"/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G6:G1004">
    <cfRule type="cellIs" rank="0" priority="5" equalAverage="0" operator="lessThan" aboveAverage="0" dxfId="7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dataValidations count="6">
    <dataValidation sqref="B6:B1004" showDropDown="0" showInputMessage="1" showErrorMessage="1" allowBlank="1" errorTitle="Geçersiz cins" error="Listede olmayan cins giremezsiniz." promptTitle="Döviz Cinsi" prompt="Listeden bir döviz cinsi seçin." type="list" errorStyle="stop" operator="between">
      <formula1>ListeDovizCinsleri</formula1>
      <formula2>0</formula2>
    </dataValidation>
    <dataValidation sqref="C6:C1004" showDropDown="0" showInputMessage="1" showErrorMessage="1" allowBlank="1" errorTitle="Geçersiz tür" error="Sadece Varlık veya Borç kullanılır." promptTitle="İşlem Türü" prompt="Varlık veya Borç seçin." type="list" errorStyle="stop" operator="between">
      <formula1>ListeIslemTurleri</formula1>
      <formula2>0</formula2>
    </dataValidation>
    <dataValidation sqref="F6:F1004" showDropDown="0" showInputMessage="1" showErrorMessage="1" allowBlank="1" errorTitle="Geçersiz vade" error="Listede olmayan vade giremezsiniz." promptTitle="Vade" prompt="Listeden vade dilimi seçin." type="list" errorStyle="stop" operator="between">
      <formula1>ListeVadeDilimleri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utar" error="0 ile 1.000.000.000 arasında olmalı." promptTitle="Tutar" prompt="Pozitif döviz tutarı girin (tür Varlık/Borç olarak seçilir)." type="decimal" errorStyle="stop" operator="between">
      <formula1>0</formula1>
      <formula2>1000000000</formula2>
    </dataValidation>
    <dataValidation sqref="E6:E1004" showDropDown="0" showInputMessage="1" showErrorMessage="1" allowBlank="1" errorTitle="Geçersiz kur" error="0 ile 1.000.000 arasında olmalı." promptTitle="İşlem Kuru" prompt="İşlemin yapıldığı döviz kurunu TL cinsinden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106" min="1" max="1"/>
    <col width="16.5" customWidth="1" style="106" min="2" max="4"/>
    <col width="14.5" customWidth="1" style="80" min="3" max="3"/>
    <col width="16.5" customWidth="1" style="80" min="4" max="4"/>
    <col width="16.5" customWidth="1" style="106" min="5" max="5"/>
    <col width="17.5" customWidth="1" style="106" min="6" max="7"/>
    <col width="15.5" customWidth="1" style="80" min="7" max="7"/>
    <col width="23.5" customWidth="1" style="106" min="8" max="9"/>
    <col width="17.5" customWidth="1" style="80" min="9" max="9"/>
    <col width="13" customWidth="1" style="80" min="10" max="10"/>
  </cols>
  <sheetData>
    <row r="1" ht="32" customHeight="1" s="80">
      <c r="A1" s="290" t="inlineStr">
        <is>
          <t>HESAP — Döviz Açık Pozisyonu ve Kur Riski Stres Testi</t>
        </is>
      </c>
    </row>
    <row r="2"/>
    <row r="3" ht="22" customHeight="1" s="80">
      <c r="A3" s="310" t="inlineStr">
        <is>
          <t>Döviz Cinsi Bazlı Açık Pozisyon Hesabı</t>
        </is>
      </c>
    </row>
    <row r="4" ht="68.25" customHeight="1" s="80">
      <c r="A4" s="109" t="inlineStr">
        <is>
          <t>Aşağıdaki özet döviz cinslerine göre pozisyonlardan otomatik beslenir; elle değiştirilmez.</t>
        </is>
      </c>
    </row>
    <row r="5" ht="30" customHeight="1" s="80">
      <c r="A5" s="119" t="inlineStr">
        <is>
          <t>Döviz</t>
        </is>
      </c>
      <c r="B5" s="119" t="inlineStr">
        <is>
          <t>Varlık Tutar</t>
        </is>
      </c>
      <c r="C5" s="119" t="inlineStr">
        <is>
          <t>Borç Tutar</t>
        </is>
      </c>
      <c r="D5" s="119" t="inlineStr">
        <is>
          <t>Net Pozisyon</t>
        </is>
      </c>
      <c r="E5" s="119" t="inlineStr">
        <is>
          <t>Ortalama Kur</t>
        </is>
      </c>
      <c r="F5" s="119" t="inlineStr">
        <is>
          <t>TL Varlık (₺)</t>
        </is>
      </c>
      <c r="G5" s="119" t="inlineStr">
        <is>
          <t>TL Borç (₺)</t>
        </is>
      </c>
      <c r="H5" s="119" t="inlineStr">
        <is>
          <t>TL Net Pozisyon (₺)</t>
        </is>
      </c>
      <c r="I5" s="119" t="inlineStr">
        <is>
          <t>Kur Riski (₺)</t>
        </is>
      </c>
    </row>
    <row r="6" ht="15" customHeight="1" s="80">
      <c r="A6" s="131" t="inlineStr">
        <is>
          <t>USD</t>
        </is>
      </c>
      <c r="B6" s="132">
        <f>SUMIFS(tblDoviz[Tutar (Döviz)],tblDoviz[Döviz Cinsi],$A6,tblDoviz[İşlem Türü],"Varlık")</f>
        <v/>
      </c>
      <c r="C6" s="132">
        <f>SUMIFS(tblDoviz[Tutar (Döviz)],tblDoviz[Döviz Cinsi],$A6,tblDoviz[İşlem Türü],"Borç")</f>
        <v/>
      </c>
      <c r="D6" s="132">
        <f>B6-C6</f>
        <v/>
      </c>
      <c r="E6" s="133">
        <f>IF(COUNTIFS(tblDoviz[Döviz Cinsi],$A6)=0,0,AVERAGEIFS(tblDoviz[İşlem Kuru],tblDoviz[Döviz Cinsi],$A6))</f>
        <v/>
      </c>
      <c r="F6" s="134">
        <f>B6*E6</f>
        <v/>
      </c>
      <c r="G6" s="134">
        <f>C6*E6</f>
        <v/>
      </c>
      <c r="H6" s="134">
        <f>F6-G6</f>
        <v/>
      </c>
      <c r="I6" s="134">
        <f>IF(H6=0,0,ABS(H6)*DovizStresEsik)</f>
        <v/>
      </c>
    </row>
    <row r="7" ht="15" customHeight="1" s="80">
      <c r="A7" s="131" t="inlineStr">
        <is>
          <t>EUR</t>
        </is>
      </c>
      <c r="B7" s="132">
        <f>SUMIFS(tblDoviz[Tutar (Döviz)],tblDoviz[Döviz Cinsi],$A7,tblDoviz[İşlem Türü],"Varlık")</f>
        <v/>
      </c>
      <c r="C7" s="132">
        <f>SUMIFS(tblDoviz[Tutar (Döviz)],tblDoviz[Döviz Cinsi],$A7,tblDoviz[İşlem Türü],"Borç")</f>
        <v/>
      </c>
      <c r="D7" s="132">
        <f>B7-C7</f>
        <v/>
      </c>
      <c r="E7" s="133">
        <f>IF(COUNTIFS(tblDoviz[Döviz Cinsi],$A7)=0,0,AVERAGEIFS(tblDoviz[İşlem Kuru],tblDoviz[Döviz Cinsi],$A7))</f>
        <v/>
      </c>
      <c r="F7" s="134">
        <f>B7*E7</f>
        <v/>
      </c>
      <c r="G7" s="134">
        <f>C7*E7</f>
        <v/>
      </c>
      <c r="H7" s="134">
        <f>F7-G7</f>
        <v/>
      </c>
      <c r="I7" s="134">
        <f>IF(H7=0,0,ABS(H7)*DovizStresEsik)</f>
        <v/>
      </c>
    </row>
    <row r="8" ht="15" customHeight="1" s="80">
      <c r="A8" s="131" t="inlineStr">
        <is>
          <t>GBP</t>
        </is>
      </c>
      <c r="B8" s="132">
        <f>SUMIFS(tblDoviz[Tutar (Döviz)],tblDoviz[Döviz Cinsi],$A8,tblDoviz[İşlem Türü],"Varlık")</f>
        <v/>
      </c>
      <c r="C8" s="132">
        <f>SUMIFS(tblDoviz[Tutar (Döviz)],tblDoviz[Döviz Cinsi],$A8,tblDoviz[İşlem Türü],"Borç")</f>
        <v/>
      </c>
      <c r="D8" s="132">
        <f>B8-C8</f>
        <v/>
      </c>
      <c r="E8" s="133">
        <f>IF(COUNTIFS(tblDoviz[Döviz Cinsi],$A8)=0,0,AVERAGEIFS(tblDoviz[İşlem Kuru],tblDoviz[Döviz Cinsi],$A8))</f>
        <v/>
      </c>
      <c r="F8" s="134">
        <f>B8*E8</f>
        <v/>
      </c>
      <c r="G8" s="134">
        <f>C8*E8</f>
        <v/>
      </c>
      <c r="H8" s="134">
        <f>F8-G8</f>
        <v/>
      </c>
      <c r="I8" s="134">
        <f>IF(H8=0,0,ABS(H8)*DovizStresEsik)</f>
        <v/>
      </c>
    </row>
    <row r="9" ht="15" customHeight="1" s="80">
      <c r="A9" s="131" t="inlineStr">
        <is>
          <t>CHF</t>
        </is>
      </c>
      <c r="B9" s="132">
        <f>SUMIFS(tblDoviz[Tutar (Döviz)],tblDoviz[Döviz Cinsi],$A9,tblDoviz[İşlem Türü],"Varlık")</f>
        <v/>
      </c>
      <c r="C9" s="132">
        <f>SUMIFS(tblDoviz[Tutar (Döviz)],tblDoviz[Döviz Cinsi],$A9,tblDoviz[İşlem Türü],"Borç")</f>
        <v/>
      </c>
      <c r="D9" s="132">
        <f>B9-C9</f>
        <v/>
      </c>
      <c r="E9" s="133">
        <f>IF(COUNTIFS(tblDoviz[Döviz Cinsi],$A9)=0,0,AVERAGEIFS(tblDoviz[İşlem Kuru],tblDoviz[Döviz Cinsi],$A9))</f>
        <v/>
      </c>
      <c r="F9" s="134">
        <f>B9*E9</f>
        <v/>
      </c>
      <c r="G9" s="134">
        <f>C9*E9</f>
        <v/>
      </c>
      <c r="H9" s="134">
        <f>F9-G9</f>
        <v/>
      </c>
      <c r="I9" s="134">
        <f>IF(H9=0,0,ABS(H9)*DovizStresEsik)</f>
        <v/>
      </c>
    </row>
    <row r="10" ht="15" customHeight="1" s="80">
      <c r="A10" s="131" t="inlineStr">
        <is>
          <t>Diğer</t>
        </is>
      </c>
      <c r="B10" s="132">
        <f>SUMIFS(tblDoviz[Tutar (Döviz)],tblDoviz[Döviz Cinsi],$A10,tblDoviz[İşlem Türü],"Varlık")</f>
        <v/>
      </c>
      <c r="C10" s="132">
        <f>SUMIFS(tblDoviz[Tutar (Döviz)],tblDoviz[Döviz Cinsi],$A10,tblDoviz[İşlem Türü],"Borç")</f>
        <v/>
      </c>
      <c r="D10" s="132">
        <f>B10-C10</f>
        <v/>
      </c>
      <c r="E10" s="133">
        <f>IF(COUNTIFS(tblDoviz[Döviz Cinsi],$A10)=0,0,AVERAGEIFS(tblDoviz[İşlem Kuru],tblDoviz[Döviz Cinsi],$A10))</f>
        <v/>
      </c>
      <c r="F10" s="134">
        <f>B10*E10</f>
        <v/>
      </c>
      <c r="G10" s="134">
        <f>C10*E10</f>
        <v/>
      </c>
      <c r="H10" s="134">
        <f>F10-G10</f>
        <v/>
      </c>
      <c r="I10" s="134">
        <f>IF(H10=0,0,ABS(H10)*DovizStresEsik)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  <c r="G11" s="137">
        <f>SUM(G6:G10)</f>
        <v/>
      </c>
      <c r="H11" s="137">
        <f>SUM(H6:H10)</f>
        <v/>
      </c>
      <c r="I11" s="137">
        <f>IF(H11=0,0,ABS(H11)*DovizStresEsik)</f>
        <v/>
      </c>
    </row>
    <row r="12"/>
    <row r="13" ht="15" customHeight="1" s="80">
      <c r="A13" s="135" t="inlineStr">
        <is>
          <t>Net Açık Pozisyon (TL)</t>
        </is>
      </c>
      <c r="B13" s="137">
        <f>H11</f>
        <v/>
      </c>
    </row>
    <row r="14" ht="15" customHeight="1" s="80">
      <c r="A14" s="135" t="inlineStr">
        <is>
          <t>Mutlak Açık Pozisyon (TL)</t>
        </is>
      </c>
      <c r="B14" s="137">
        <f>ABS(H11)</f>
        <v/>
      </c>
    </row>
    <row r="15" ht="15" customHeight="1" s="80">
      <c r="A15" s="135" t="inlineStr">
        <is>
          <t>Açık Pozisyon Yönü</t>
        </is>
      </c>
      <c r="B15" s="138">
        <f>IF(H11=0,"DENGELİ",IF(H11&gt;0,"FAZLA VARLIK","FAZLA BORÇ"))</f>
        <v/>
      </c>
    </row>
    <row r="16" ht="15" customHeight="1" s="80">
      <c r="A16" s="135" t="inlineStr">
        <is>
          <t>Stres Etkisi (Kötümser Şok)</t>
        </is>
      </c>
      <c r="B16" s="137">
        <f>I11</f>
        <v/>
      </c>
    </row>
    <row r="17" ht="15" customHeight="1" s="80">
      <c r="A17" s="135" t="inlineStr">
        <is>
          <t>En Riskli Döviz Cinsi</t>
        </is>
      </c>
      <c r="B17" s="138">
        <f>INDEX($A$6:$A$10,MATCH(MAX($I$6:$I$10),$I$6:$I$10,0))</f>
        <v/>
      </c>
    </row>
    <row r="18"/>
    <row r="19" ht="19.5" customHeight="1" s="80">
      <c r="A19" s="130" t="inlineStr">
        <is>
          <t>Hesap satırları yalnızca döviz pozisyonlarından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8" text="" percent="0" bottom="0">
      <formula>0</formula>
    </cfRule>
  </conditionalFormatting>
  <conditionalFormatting sqref="F6:F11">
    <cfRule type="cellIs" rank="0" priority="7" equalAverage="0" operator="lessThan" aboveAverage="0" dxfId="7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</conditionalFormatting>
  <conditionalFormatting sqref="I6:I11">
    <cfRule type="cellIs" rank="0" priority="10" equalAverage="0" operator="lessThan" aboveAverage="0" dxfId="7" text="" percent="0" bottom="0">
      <formula>0</formula>
    </cfRule>
    <cfRule type="cellIs" rank="0" priority="11" equalAverage="0" operator="greaterThan" aboveAverage="0" dxfId="10" text="" percent="0" bottom="0">
      <formula>400000</formula>
    </cfRule>
    <cfRule type="cellIs" rank="0" priority="12" equalAverage="0" operator="greaterThan" aboveAverage="0" dxfId="7" text="" percent="0" bottom="0">
      <formula>1000000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6" min="1" max="1"/>
    <col width="34.5" customWidth="1" style="106" min="2" max="2"/>
    <col width="52" customWidth="1" style="106" min="3" max="3"/>
    <col width="72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ANALITIK MOTOR — Döviz Açık Pozisyonu ve Kur Riski Stres Testi</t>
        </is>
      </c>
    </row>
    <row r="2"/>
    <row r="3" ht="22" customHeight="1" s="80">
      <c r="A3" s="310" t="inlineStr">
        <is>
          <t>ANALİTİK MOTOR — DERİNLİK KATMANI</t>
        </is>
      </c>
    </row>
    <row r="4"/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Vade Yapısı: 0-30 Gün Payı</t>
        </is>
      </c>
      <c r="C6" s="141">
        <f>IFERROR(IF(SUM(tblDoviz[Tutar (Döviz)])=0,0,SUMIFS(tblDoviz[Tutar (Döviz)],tblDoviz[Vade],"0-30 Gün")/SUM(tblDoviz[Tutar (Döviz)])),0)</f>
        <v/>
      </c>
      <c r="D6" s="142">
        <f>_xlfn.TEXTJOIN("; ",TRUE(),"Kısa vadeli (0-30 gün) pozisyon payı ",TEXT(C6,"0.0%")," — pay yüksekse kur riski hızla realize olur")</f>
        <v/>
      </c>
    </row>
    <row r="7" ht="30" customHeight="1" s="80">
      <c r="A7" s="139" t="inlineStr">
        <is>
          <t>T2</t>
        </is>
      </c>
      <c r="B7" s="140" t="inlineStr">
        <is>
          <t>Ortalama İşlem Kuru</t>
        </is>
      </c>
      <c r="C7" s="141">
        <f>IFERROR(AVERAGE(tblDoviz[İşlem Kuru]),0)</f>
        <v/>
      </c>
      <c r="D7" s="142">
        <f>_xlfn.TEXTJOIN("; ",TRUE(),"AVERAGE işlem kuru ",TEXT(C7,"0.0000")," TL — kur eğiliminin AVERAGE seviyesini gösterir")</f>
        <v/>
      </c>
    </row>
    <row r="8" ht="30" customHeight="1" s="80">
      <c r="A8" s="139" t="inlineStr">
        <is>
          <t>O1</t>
        </is>
      </c>
      <c r="B8" s="140" t="inlineStr">
        <is>
          <t>Kur Sapması (STDEV)</t>
        </is>
      </c>
      <c r="C8" s="141">
        <f>IFERROR(stdev.p(tblDoviz[İşlem Kuru]),0)</f>
        <v/>
      </c>
      <c r="D8" s="142">
        <f>_xlfn.TEXTJOIN("; ",TRUE(),"İşlem kurlarındaki standart sapma ",TEXT(C8,"0.0000")," — sapma yüksekse kur dalgalanması belirgindir")</f>
        <v/>
      </c>
    </row>
    <row r="9" ht="30" customHeight="1" s="80">
      <c r="A9" s="139" t="inlineStr">
        <is>
          <t>O2</t>
        </is>
      </c>
      <c r="B9" s="140" t="inlineStr">
        <is>
          <t>Tornado: En Büyük Stres Etkisi</t>
        </is>
      </c>
      <c r="C9" s="141">
        <f>MAX(HESAP!I6:I10)</f>
        <v/>
      </c>
      <c r="D9" s="142">
        <f>_xlfn.TEXTJOIN("; ",TRUE(),"Kötümser şokta en yüksek etki ",TEXT(C9,"₺ #,##0")," TL — öncelik bu döviz cinsinin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SENARYO_DUYARLILIK!C7-SENARYO_DUYARLILIK!C10</f>
        <v/>
      </c>
      <c r="D10" s="142">
        <f>_xlfn.TEXTJOIN("; ",TRUE(),"İyimser ile kritik senaryo TL etkisi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Döviz Yoğunlaşması (HHI)</t>
        </is>
      </c>
      <c r="C11" s="141">
        <f>IFERROR(SUMPRODUCT((HESAP!$H$6:$H$10/SUM(ABS(HESAP!$H$6:$H$10)))^2),0)</f>
        <v/>
      </c>
      <c r="D11" s="142">
        <f>_xlfn.TEXTJOIN("; ",TRUE(),"Döviz yoğunlaşma endeksi ",TEXT(C11,"0.000")," — 1 e yaklaştıkça risk tek cinsten gelir")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43">
        <f>KONTROLLER!B19</f>
        <v/>
      </c>
      <c r="D12" s="142">
        <f>_xlfn.TEXTJOIN("; ",TRUE(),"Veri kalite skoru ",TEXT(C12,"0")," puan — ",IF(C12&gt;=DovizKaliteIyi,"yüksek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Kur Seviyesi Tahmini</t>
        </is>
      </c>
      <c r="C13" s="133">
        <f>PANO!B24</f>
        <v/>
      </c>
      <c r="D13" s="142">
        <f>_xlfn.TEXTJOIN("; ",TRUE(),"Gelecek dönem kur tahmini ",TEXT(C13,"0.0000"),"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Pozisyon Tutarı Yüzdelik P90</t>
        </is>
      </c>
      <c r="C14" s="141">
        <f>IFERROR(_xlfn.PERCENTILE.INC(tblDoviz[Tutar (Döviz)],DovizP90Oran),0)</f>
        <v/>
      </c>
      <c r="D14" s="142">
        <f>_xlfn.TEXTJOIN("; ",TRUE(),"Pozisyon tutarlarının %90 ı ",TEXT(C14,"#,##0.00"),"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KONTROLLER — Döviz Açık Pozisyonu ve Kur Riski Stres Testi</t>
        </is>
      </c>
    </row>
    <row r="2"/>
    <row r="3" ht="22" customHeight="1" s="80">
      <c r="A3" s="310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5"/>
    <row r="6" ht="15" customHeight="1" s="80">
      <c r="A6" s="112" t="inlineStr">
        <is>
          <t>Boş döviz cinsi satırı var mı?</t>
        </is>
      </c>
      <c r="B6" s="141">
        <f>IF(COUNTBLANK(tblDoviz[Döviz Cinsi])=0,"TEMİZ","BOŞ VAR")</f>
        <v/>
      </c>
    </row>
    <row r="7" ht="15" customHeight="1" s="80">
      <c r="A7" s="112" t="inlineStr">
        <is>
          <t>Boş tutar var mı?</t>
        </is>
      </c>
      <c r="B7" s="141">
        <f>IF(COUNTBLANK(tblDoviz[Tutar (Döviz)])=0,"TEMİZ","BOŞ VAR")</f>
        <v/>
      </c>
    </row>
    <row r="8" ht="15" customHeight="1" s="80">
      <c r="A8" s="112" t="inlineStr">
        <is>
          <t>Negatif tutar var mı?</t>
        </is>
      </c>
      <c r="B8" s="141">
        <f>IF(COUNTIF(tblDoviz[Tutar (Döviz)],"&lt;0")=0,"TEMİZ","NEGATİF VAR")</f>
        <v/>
      </c>
    </row>
    <row r="9" ht="15" customHeight="1" s="80">
      <c r="A9" s="112" t="inlineStr">
        <is>
          <t>Negatif kur var mı?</t>
        </is>
      </c>
      <c r="B9" s="141">
        <f>IF(COUNTIF(tblDoviz[İşlem Kuru],"&lt;0")=0,"TEMİZ","NEGATİF VAR")</f>
        <v/>
      </c>
    </row>
    <row r="10" ht="15" customHeight="1" s="80">
      <c r="A10" s="112" t="inlineStr">
        <is>
          <t>Vade bilgisi eksik mi?</t>
        </is>
      </c>
      <c r="B10" s="141">
        <f>IF(COUNTBLANK(tblDoviz[Vade])=0,"TEMİZ","BOŞ VAR")</f>
        <v/>
      </c>
    </row>
    <row r="11" ht="15" customHeight="1" s="80">
      <c r="A11" s="112" t="inlineStr">
        <is>
          <t>Açık pozisyon eşiği aşılıyor mu?</t>
        </is>
      </c>
      <c r="B11" s="141">
        <f>IF(ABS(HESAP!B13)&gt;DovizAcikEsik,"AŞIYOR","NORMAL")</f>
        <v/>
      </c>
    </row>
    <row r="12" ht="15" customHeight="1" s="80">
      <c r="A12" s="112" t="inlineStr">
        <is>
          <t>Stres etkisi eşiği aşılıyor mu?</t>
        </is>
      </c>
      <c r="B12" s="141">
        <f>IF(HESAP!B16&gt;DovizStresEtkiEsik,"AŞIYOR","NORMAL")</f>
        <v/>
      </c>
    </row>
    <row r="13" ht="15" customHeight="1" s="80">
      <c r="A13" s="112" t="inlineStr">
        <is>
          <t>Kur sapması risk eşiğinde mi?</t>
        </is>
      </c>
      <c r="B13" s="141">
        <f>IF(ANALITIK_MOTOR!C8&gt;DovizKurSapmaEsik,"YÜKSEK","NORMAL")</f>
        <v/>
      </c>
    </row>
    <row r="14"/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43">
        <f>COUNTA(tblDoviz[Döviz Cinsi])*COUNTA(tblDoviz[#Headers])</f>
        <v/>
      </c>
    </row>
    <row r="18" ht="15" customHeight="1" s="80">
      <c r="A18" s="112" t="inlineStr">
        <is>
          <t>Dolu Giriş Hücresi</t>
        </is>
      </c>
      <c r="B18" s="143">
        <f>COUNTA(tblDoviz[Döviz Cinsi])+COUNTA(tblDoviz[Tutar (Döviz)])+COUNTA(tblDoviz[İşlem Kuru])+COUNTA(tblDoviz[Vade])</f>
        <v/>
      </c>
    </row>
    <row r="19" ht="15" customHeight="1" s="80">
      <c r="A19" s="131" t="inlineStr">
        <is>
          <t>Kalite Skoru</t>
        </is>
      </c>
      <c r="B19" s="144">
        <f>ROUND(IF(DovizToplamGiris=0,0,DovizDoluGiris/DovizToplamGiris*100),0)</f>
        <v/>
      </c>
    </row>
    <row r="20" ht="15" customHeight="1" s="80">
      <c r="A20" s="112" t="inlineStr">
        <is>
          <t>Kalite Seviyesi</t>
        </is>
      </c>
      <c r="B20" s="141">
        <f>IF(B19&gt;=DovizKaliteIyi,"YÜKSEK",IF(B19&gt;=DovizKaliteOrta,"ORTA","DÜŞÜK"))</f>
        <v/>
      </c>
    </row>
    <row r="21"/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"AŞIYOR"</formula>
    </cfRule>
    <cfRule type="cellIs" rank="0" priority="5" equalAverage="0" operator="equal" aboveAverage="0" dxfId="9" text="" percent="0" bottom="0">
      <formula>"YÜKSEK"</formula>
    </cfRule>
    <cfRule type="cellIs" rank="0" priority="6" equalAverage="0" operator="equal" aboveAverage="0" dxfId="8" text="" percent="0" bottom="0">
      <formula>"TEMİZ"</formula>
    </cfRule>
    <cfRule type="cellIs" rank="0" priority="7" equalAverage="0" operator="equal" aboveAverage="0" dxfId="8" text="" percent="0" bottom="0">
      <formula>"NORMAL"</formula>
    </cfRule>
  </conditionalFormatting>
  <conditionalFormatting sqref="B19">
    <cfRule type="cellIs" rank="0" priority="8" equalAverage="0" operator="lessThan" aboveAverage="0" dxfId="7" text="" percent="0" bottom="0">
      <formula>70</formula>
    </cfRule>
    <cfRule type="cellIs" rank="0" priority="9" equalAverage="0" operator="between" aboveAverage="0" dxfId="10" text="" percent="0" bottom="0">
      <formula>70</formula>
      <formula>90</formula>
    </cfRule>
    <cfRule type="cellIs" rank="0" priority="10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 — Döviz Açık Pozisyonu ve Kur Riski Stres Testi</t>
        </is>
      </c>
    </row>
    <row r="2"/>
    <row r="3" ht="22" customHeight="1" s="80">
      <c r="A3" s="310" t="inlineStr">
        <is>
          <t>Karar Kapısı — Döviz Açık Pozisyon Riski</t>
        </is>
      </c>
    </row>
    <row r="4" ht="27.75" customHeight="1" s="80">
      <c r="A4" s="109" t="inlineStr">
        <is>
          <t>Açık pozisyon, stres etkisi ve kur sapmasına göre üretilen karar.</t>
        </is>
      </c>
    </row>
    <row r="5"/>
    <row r="6" ht="15" customHeight="1" s="80">
      <c r="A6" s="112" t="inlineStr">
        <is>
          <t>Net Açık Pozisyon (TL)</t>
        </is>
      </c>
      <c r="B6" s="137">
        <f>HESAP!B13</f>
        <v/>
      </c>
    </row>
    <row r="7" ht="15" customHeight="1" s="80">
      <c r="A7" s="112" t="inlineStr">
        <is>
          <t>Stres Etkisi (Kötümser)</t>
        </is>
      </c>
      <c r="B7" s="134">
        <f>HESAP!B16</f>
        <v/>
      </c>
    </row>
    <row r="8" ht="15" customHeight="1" s="80">
      <c r="A8" s="112" t="inlineStr">
        <is>
          <t>Kur Sapması</t>
        </is>
      </c>
      <c r="B8" s="133">
        <f>ANALITIK_MOTOR!C8</f>
        <v/>
      </c>
    </row>
    <row r="9" ht="15" customHeight="1" s="80">
      <c r="A9" s="112" t="inlineStr">
        <is>
          <t>Pozisyon Yönü</t>
        </is>
      </c>
      <c r="B9" s="141">
        <f>HESAP!B15</f>
        <v/>
      </c>
    </row>
    <row r="10"/>
    <row r="11" ht="21" customHeight="1" s="80">
      <c r="A11" s="145" t="inlineStr">
        <is>
          <t>KARAR</t>
        </is>
      </c>
      <c r="B11" s="146">
        <f>IF(COUNTA(tblDoviz[Döviz Cinsi])=0,"VERİ YOK",IF(COUNTIF(tblDoviz[Tutar (Döviz)],"&lt;0")&gt;0,"DURDUR",IF(ABS(HESAP!B13)&gt;DovizAcikEsik,"DURDUR",IF(SUM(tblDoviz[TL Değer (₺)])&gt;DovizHacimEsik,"İNCELE",IF(HESAP!B16&gt;DovizStresEtkiEsik,"İNCELE","UYGUN")))))</f>
        <v/>
      </c>
    </row>
    <row r="12" ht="15" customHeight="1" s="80">
      <c r="A12" s="131" t="inlineStr">
        <is>
          <t>Gerekçe</t>
        </is>
      </c>
      <c r="B12" s="142">
        <f>IF(COUNTIF(tblDoviz[Tutar (Döviz)],"&lt;0")&gt;0,"Negatif tutar girişi tespit edildi; veriler mutlaka düzeltilmeli.",IF(ABS(HESAP!B13)&gt;DovizAcikEsik,"Açık pozisyon eşiğin üzerinde; pozisyon küçültülmeli veya hedge planı yapılmalı.",IF(SUM(tblDoviz[TL Değer (₺)])&gt;DovizHacimEsik,"Toplam işlem hacmi eşiğin üzerinde; pozisyon yoğunluğu incelenmeli.",IF(HESAP!B16&gt;DovizStresEtkiEsik,"Stres etkisi eşiğin üzerinde; kur korumalı mevduat veya forward değerlendirilmeli.","Karar kapısı uygun: açık pozisyon AND stres etkisi hedef aralıkta."))))</f>
        <v/>
      </c>
    </row>
    <row r="13"/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DovizAksiyon1_ACIKLAMA</f>
        <v/>
      </c>
    </row>
    <row r="16" ht="15" customHeight="1" s="80">
      <c r="A16" s="112" t="inlineStr">
        <is>
          <t>Aksiyon 2</t>
        </is>
      </c>
      <c r="B16" s="142">
        <f>DovizAksiyon2_ACIKLAMA</f>
        <v/>
      </c>
    </row>
    <row r="17" ht="15" customHeight="1" s="80">
      <c r="A17" s="112" t="inlineStr">
        <is>
          <t>Aksiyon 3</t>
        </is>
      </c>
      <c r="B17" s="142">
        <f>DovizAksiyon3_ACIKLAMA</f>
        <v/>
      </c>
    </row>
    <row r="18"/>
    <row r="19" ht="19.5" customHeight="1" s="80">
      <c r="A19" s="130" t="inlineStr">
        <is>
          <t>Karar yalnızca giriş verisi ve AYARLAR'daki eşiklerden türetilir; döviz yatırım tavsiyesi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greaterThan" aboveAverage="0" dxfId="10" text="" percent="0" bottom="0">
      <formula>400000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SENARYO DUYARLILIK — Döviz Açık Pozisyonu ve Kur Riski Stres Testi</t>
        </is>
      </c>
    </row>
    <row r="2"/>
    <row r="3" ht="22" customHeight="1" s="80">
      <c r="A3" s="310" t="inlineStr">
        <is>
          <t>Senaryo ve Duyarlılık Analizi</t>
        </is>
      </c>
    </row>
    <row r="4" ht="41.25" customHeight="1" s="80">
      <c r="A4" s="109" t="inlineStr">
        <is>
          <t>İyimser, baz, kötümser ve kritik kur senaryolarında TL etkisi; ardından hangi değişkenin sonucu en çok etkilediğini gösteren tornado analizi.</t>
        </is>
      </c>
    </row>
    <row r="5"/>
    <row r="6" ht="15" customHeight="1" s="80">
      <c r="A6" s="154" t="inlineStr">
        <is>
          <t>Senaryo</t>
        </is>
      </c>
      <c r="B6" s="154" t="inlineStr">
        <is>
          <t>Kur Şok Oranı</t>
        </is>
      </c>
      <c r="C6" s="154" t="inlineStr">
        <is>
          <t>TL Etkisi</t>
        </is>
      </c>
      <c r="D6" s="154" t="inlineStr">
        <is>
          <t>Pozisyon Etki Oranı</t>
        </is>
      </c>
    </row>
    <row r="7" ht="15" customHeight="1" s="80">
      <c r="A7" s="131" t="inlineStr">
        <is>
          <t>İYİMSER</t>
        </is>
      </c>
      <c r="B7" s="155">
        <f>IF(SUM(tblDoviz[Tutar (Döviz)])=0,0,DovizIyiSenaryo)</f>
        <v/>
      </c>
      <c r="C7" s="134">
        <f>ROUND(ABS(HESAP!B13)*DovizIyiSenaryo,0)</f>
        <v/>
      </c>
      <c r="D7" s="155">
        <f>IF(HESAP!B13=0,0,ABS(C7/HESAP!B13))</f>
        <v/>
      </c>
    </row>
    <row r="8" ht="15" customHeight="1" s="80">
      <c r="A8" s="131" t="inlineStr">
        <is>
          <t>BAZ</t>
        </is>
      </c>
      <c r="B8" s="155">
        <f>IF(SUM(tblDoviz[Tutar (Döviz)])=0,0,DovizBazSenaryo)</f>
        <v/>
      </c>
      <c r="C8" s="134">
        <f>ROUND(ABS(HESAP!B13)*DovizBazSenaryo,0)</f>
        <v/>
      </c>
      <c r="D8" s="155">
        <f>IF(HESAP!B13=0,0,ABS(C8/HESAP!B13))</f>
        <v/>
      </c>
    </row>
    <row r="9" ht="15" customHeight="1" s="80">
      <c r="A9" s="131" t="inlineStr">
        <is>
          <t>KÖTÜMSER</t>
        </is>
      </c>
      <c r="B9" s="155">
        <f>IF(SUM(tblDoviz[Tutar (Döviz)])=0,0,DovizKotuSenaryo)</f>
        <v/>
      </c>
      <c r="C9" s="134">
        <f>ROUND(ABS(HESAP!B13)*DovizKotuSenaryo,0)</f>
        <v/>
      </c>
      <c r="D9" s="155">
        <f>IF(HESAP!B13=0,0,ABS(C9/HESAP!B13))</f>
        <v/>
      </c>
    </row>
    <row r="10" ht="15" customHeight="1" s="80">
      <c r="A10" s="131" t="inlineStr">
        <is>
          <t>KRİTİK</t>
        </is>
      </c>
      <c r="B10" s="155">
        <f>IF(SUM(tblDoviz[Tutar (Döviz)])=0,0,DovizKritikSenaryo)</f>
        <v/>
      </c>
      <c r="C10" s="134">
        <f>ROUND(ABS(HESAP!B13)*DovizKritikSenaryo,0)</f>
        <v/>
      </c>
      <c r="D10" s="155">
        <f>IF(HESAP!B13=0,0,ABS(C10/HESAP!B13))</f>
        <v/>
      </c>
    </row>
    <row r="11"/>
    <row r="12" ht="15" customHeight="1" s="80">
      <c r="A12" s="110" t="inlineStr">
        <is>
          <t>Tornado: TL Etkiye Katkı</t>
        </is>
      </c>
    </row>
    <row r="13" ht="15" customHeight="1" s="80">
      <c r="A13" s="112" t="inlineStr">
        <is>
          <t>Kur +%1 Etkisi</t>
        </is>
      </c>
      <c r="B13" s="134">
        <f>ROUND(ABS(HESAP!B13)*DovizTornadoKur,0)</f>
        <v/>
      </c>
    </row>
    <row r="14" ht="15" customHeight="1" s="80">
      <c r="A14" s="112" t="inlineStr">
        <is>
          <t>Pozisyon +%1 Etkisi</t>
        </is>
      </c>
      <c r="B14" s="134">
        <f>ROUND(ABS(HESAP!B13)*DovizTornadoPozisyon,0)</f>
        <v/>
      </c>
    </row>
    <row r="15"/>
    <row r="16" ht="15" customHeight="1" s="80">
      <c r="A16" s="135" t="inlineStr">
        <is>
          <t>En Etkili Değişken</t>
        </is>
      </c>
      <c r="B16" s="138">
        <f>IF(B13&gt;=B14,"Kur Şoku","Pozisyon")</f>
        <v/>
      </c>
    </row>
    <row r="17"/>
    <row r="18" ht="19.5" customHeight="1" s="80">
      <c r="A18" s="130" t="inlineStr">
        <is>
          <t>Senaryo şokları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:C10">
    <cfRule type="cellIs" rank="0" priority="2" equalAverage="0" operator="lessThan" aboveAverage="0" dxfId="7" text="" percent="0" bottom="0">
      <formula>0</formula>
    </cfRule>
  </conditionalFormatting>
  <conditionalFormatting sqref="B7:B10">
    <cfRule type="cellIs" rank="0" priority="3" equalAverage="0" operator="greaterThan" aboveAverage="0" dxfId="7" text="" percent="0" bottom="0">
      <formula>0.2</formula>
    </cfRule>
  </conditionalFormatting>
  <conditionalFormatting sqref="B13:B1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DÖVİZ AÇIK POZİSYONU VE KUR RİSKİ — YÖNETİCİ ÖZETİ</t>
        </is>
      </c>
    </row>
    <row r="2" ht="15" customHeight="1" s="80">
      <c r="A2" s="157">
        <f>_xlfn.CONCAT("Rapor Tarihi: ",TEXT(RaporTarihi,"dd.mm.yyyy")," | Hazırlayan: ",RaporHazirlayan," | Sürüm: ",DosyaSurumu)</f>
        <v/>
      </c>
    </row>
    <row r="3"/>
    <row r="4" ht="17.25" customHeight="1" s="80">
      <c r="A4" s="110" t="inlineStr">
        <is>
          <t>Karar</t>
        </is>
      </c>
      <c r="B4" s="146">
        <f>KARAR!B11</f>
        <v/>
      </c>
    </row>
    <row r="5"/>
    <row r="6" ht="15" customHeight="1" s="80">
      <c r="A6" s="112" t="inlineStr">
        <is>
          <t>Net Açık Pozisyon (TL)</t>
        </is>
      </c>
      <c r="B6" s="134">
        <f>HESAP!B13</f>
        <v/>
      </c>
    </row>
    <row r="7" ht="15" customHeight="1" s="80">
      <c r="A7" s="112" t="inlineStr">
        <is>
          <t>Mutlak Açık Pozisyon (TL)</t>
        </is>
      </c>
      <c r="B7" s="134">
        <f>HESAP!B14</f>
        <v/>
      </c>
    </row>
    <row r="8" ht="15" customHeight="1" s="80">
      <c r="A8" s="112" t="inlineStr">
        <is>
          <t>Pozisyon Yönü</t>
        </is>
      </c>
      <c r="B8" s="141">
        <f>HESAP!B15</f>
        <v/>
      </c>
    </row>
    <row r="9" ht="15" customHeight="1" s="80">
      <c r="A9" s="112" t="inlineStr">
        <is>
          <t>Stres Etkisi (₺)</t>
        </is>
      </c>
      <c r="B9" s="134">
        <f>HESAP!B16</f>
        <v/>
      </c>
    </row>
    <row r="10" ht="15" customHeight="1" s="80">
      <c r="A10" s="112" t="inlineStr">
        <is>
          <t>Ortalama İşlem Kuru</t>
        </is>
      </c>
      <c r="B10" s="133">
        <f>ANALITIK_MOTOR!C7</f>
        <v/>
      </c>
    </row>
    <row r="11" ht="15" customHeight="1" s="80">
      <c r="A11" s="112" t="inlineStr">
        <is>
          <t>Kur Sapması</t>
        </is>
      </c>
      <c r="B11" s="133">
        <f>ANALITIK_MOTOR!C8</f>
        <v/>
      </c>
    </row>
    <row r="12" ht="15" customHeight="1" s="80">
      <c r="A12" s="112" t="inlineStr">
        <is>
          <t>En Riskli Döviz Cinsi</t>
        </is>
      </c>
      <c r="B12" s="141">
        <f>HESAP!B17</f>
        <v/>
      </c>
    </row>
    <row r="13" ht="15" customHeight="1" s="80">
      <c r="A13" s="112" t="inlineStr">
        <is>
          <t>Döviz Yoğunlaşması (HHI)</t>
        </is>
      </c>
      <c r="B13" s="158">
        <f>ANALITIK_MOTOR!C11</f>
        <v/>
      </c>
    </row>
    <row r="14" ht="15" customHeight="1" s="80">
      <c r="A14" s="112" t="inlineStr">
        <is>
          <t>Kalite Skoru</t>
        </is>
      </c>
      <c r="B14" s="143">
        <f>KONTROLLER!B19</f>
        <v/>
      </c>
    </row>
    <row r="15"/>
    <row r="16" ht="15" customHeight="1" s="80">
      <c r="A16" s="151" t="inlineStr">
        <is>
          <t>Varsayımlar ve Önemli Notlar</t>
        </is>
      </c>
    </row>
    <row r="17" ht="15" customHeight="1" s="80">
      <c r="A17" s="111" t="inlineStr">
        <is>
          <t>• Net pozisyon; varlık eksi borç olarak hesaplanır; pozitif fazla varlık, negatif fazla borç demektir.</t>
        </is>
      </c>
    </row>
    <row r="18" ht="15" customHeight="1" s="80">
      <c r="A18" s="111" t="inlineStr">
        <is>
          <t>• Kur şokları AYARLAR'daki senaryo çarpanlarından türetilir; gerçekleşmiş veri değildir.</t>
        </is>
      </c>
    </row>
    <row r="19" ht="15" customHeight="1" s="80">
      <c r="A19" s="111" t="inlineStr">
        <is>
          <t>• Kur riski, pozisyonun kur şokuna duyarlılığını gösterir; türev koruma (hedge) maliyeti dahil değildir.</t>
        </is>
      </c>
    </row>
    <row r="20" ht="15" customHeight="1" s="80">
      <c r="A20" s="111" t="inlineStr">
        <is>
          <t>• Bu dosya döviz yatırım tavsiyesi değildir; kur riski karar destek aracıdır.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2"/>
    <row r="23" ht="15" customHeight="1" s="80">
      <c r="A23" s="151" t="inlineStr">
        <is>
          <t>Önerilen Aksiyonlar</t>
        </is>
      </c>
    </row>
    <row r="24" ht="15" customHeight="1" s="80">
      <c r="A24" s="111">
        <f>DovizAksiyon1_ACIKLAMA</f>
        <v/>
      </c>
    </row>
    <row r="25" ht="15" customHeight="1" s="80">
      <c r="A25" s="111">
        <f>DovizAksiyon2_ACIKLAMA</f>
        <v/>
      </c>
    </row>
    <row r="26" ht="15" customHeight="1" s="80">
      <c r="A26" s="111">
        <f>DovizAksiyon3_ACIKLAMA</f>
        <v/>
      </c>
    </row>
    <row r="27"/>
    <row r="28" ht="15" customHeight="1" s="80">
      <c r="A28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&amp;LDöviz Açık Pozisyonu ve Kur Riski Stres Testi&amp;CExcelArşiv&amp;RSayfa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2"/>
    <col width="15.5" customWidth="1" style="80" min="2" max="2"/>
    <col width="14.5" customWidth="1" style="106" min="3" max="3"/>
    <col width="17.5" customWidth="1" style="106" min="4" max="4"/>
    <col width="14.5" customWidth="1" style="106" min="5" max="5"/>
    <col width="14.5" customWidth="1" style="106" min="6" max="6"/>
    <col width="16.5" customWidth="1" style="106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ORNEK VERI — Döviz Açık Pozisyonu ve Kur Riski Stres Testi</t>
        </is>
      </c>
    </row>
    <row r="2"/>
    <row r="3" ht="22" customHeight="1" s="80">
      <c r="A3" s="3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Döviz Cinsi</t>
        </is>
      </c>
      <c r="C5" s="119" t="inlineStr">
        <is>
          <t>İşlem Türü</t>
        </is>
      </c>
      <c r="D5" s="119" t="inlineStr">
        <is>
          <t>Tutar (Döviz)</t>
        </is>
      </c>
      <c r="E5" s="119" t="inlineStr">
        <is>
          <t>İşlem Kuru</t>
        </is>
      </c>
      <c r="F5" s="119" t="inlineStr">
        <is>
          <t>Vade</t>
        </is>
      </c>
      <c r="G5" s="119" t="inlineStr">
        <is>
          <t>TL Değer (₺)</t>
        </is>
      </c>
      <c r="H5" s="119" t="inlineStr">
        <is>
          <t>Not</t>
        </is>
      </c>
    </row>
    <row r="6" ht="15" customHeight="1" s="80">
      <c r="A6" s="160" t="inlineStr">
        <is>
          <t>2026-01-05</t>
        </is>
      </c>
      <c r="B6" s="161" t="inlineStr">
        <is>
          <t>USD</t>
        </is>
      </c>
      <c r="C6" s="161" t="inlineStr">
        <is>
          <t>Varlık</t>
        </is>
      </c>
      <c r="D6" s="162" t="n">
        <v>50000</v>
      </c>
      <c r="E6" s="163" t="n">
        <v>34.5</v>
      </c>
      <c r="F6" s="161" t="inlineStr">
        <is>
          <t>0-30 Gün</t>
        </is>
      </c>
      <c r="G6" s="164">
        <f>IF($D6=0,0,$D6*$E6)</f>
        <v/>
      </c>
      <c r="H6" s="125">
        <f>IF($B6="","",CONCATENATE("Örnek kayıt: ",$B6))</f>
        <v/>
      </c>
    </row>
    <row r="7" ht="15" customHeight="1" s="80">
      <c r="A7" s="160" t="inlineStr">
        <is>
          <t>2026-01-12</t>
        </is>
      </c>
      <c r="B7" s="161" t="inlineStr">
        <is>
          <t>EUR</t>
        </is>
      </c>
      <c r="C7" s="161" t="inlineStr">
        <is>
          <t>Borç</t>
        </is>
      </c>
      <c r="D7" s="162" t="n">
        <v>30000</v>
      </c>
      <c r="E7" s="163" t="n">
        <v>37.8</v>
      </c>
      <c r="F7" s="161" t="inlineStr">
        <is>
          <t>31-90 Gün</t>
        </is>
      </c>
      <c r="G7" s="164">
        <f>IF($D7=0,0,$D7*$E7)</f>
        <v/>
      </c>
      <c r="H7" s="125">
        <f>IF($B7="","",CONCATENATE("Örnek kayıt: ",$B7))</f>
        <v/>
      </c>
    </row>
    <row r="8" ht="15" customHeight="1" s="80">
      <c r="A8" s="160" t="inlineStr">
        <is>
          <t>2026-02-03</t>
        </is>
      </c>
      <c r="B8" s="161" t="inlineStr">
        <is>
          <t>USD</t>
        </is>
      </c>
      <c r="C8" s="161" t="inlineStr">
        <is>
          <t>Borç</t>
        </is>
      </c>
      <c r="D8" s="162" t="n">
        <v>20000</v>
      </c>
      <c r="E8" s="163" t="n">
        <v>35.1</v>
      </c>
      <c r="F8" s="161" t="inlineStr">
        <is>
          <t>31-90 Gün</t>
        </is>
      </c>
      <c r="G8" s="164">
        <f>IF($D8=0,0,$D8*$E8)</f>
        <v/>
      </c>
      <c r="H8" s="125">
        <f>IF($B8="","",CONCATENATE("Örnek kayıt: ",$B8))</f>
        <v/>
      </c>
    </row>
    <row r="9" ht="15" customHeight="1" s="80">
      <c r="A9" s="160" t="inlineStr">
        <is>
          <t>2026-02-18</t>
        </is>
      </c>
      <c r="B9" s="161" t="inlineStr">
        <is>
          <t>EUR</t>
        </is>
      </c>
      <c r="C9" s="161" t="inlineStr">
        <is>
          <t>Varlık</t>
        </is>
      </c>
      <c r="D9" s="162" t="n">
        <v>15000</v>
      </c>
      <c r="E9" s="163" t="n">
        <v>38.2</v>
      </c>
      <c r="F9" s="161" t="inlineStr">
        <is>
          <t>0-30 Gün</t>
        </is>
      </c>
      <c r="G9" s="164">
        <f>IF($D9=0,0,$D9*$E9)</f>
        <v/>
      </c>
      <c r="H9" s="125">
        <f>IF($B9="","",CONCATENATE("Örnek kayıt: ",$B9))</f>
        <v/>
      </c>
    </row>
    <row r="10" ht="15" customHeight="1" s="80">
      <c r="A10" s="160" t="inlineStr">
        <is>
          <t>2026-03-07</t>
        </is>
      </c>
      <c r="B10" s="161" t="inlineStr">
        <is>
          <t>GBP</t>
        </is>
      </c>
      <c r="C10" s="161" t="inlineStr">
        <is>
          <t>Borç</t>
        </is>
      </c>
      <c r="D10" s="162" t="n">
        <v>10000</v>
      </c>
      <c r="E10" s="163" t="n">
        <v>44</v>
      </c>
      <c r="F10" s="161" t="inlineStr">
        <is>
          <t>91-180 Gün</t>
        </is>
      </c>
      <c r="G10" s="164">
        <f>IF($D10=0,0,$D10*$E10)</f>
        <v/>
      </c>
      <c r="H10" s="125">
        <f>IF($B10="","",CONCATENATE("Örnek kayıt: ",$B10))</f>
        <v/>
      </c>
    </row>
    <row r="11" ht="15" customHeight="1" s="80">
      <c r="A11" s="160" t="inlineStr">
        <is>
          <t>2026-03-21</t>
        </is>
      </c>
      <c r="B11" s="161" t="inlineStr">
        <is>
          <t>USD</t>
        </is>
      </c>
      <c r="C11" s="161" t="inlineStr">
        <is>
          <t>Varlık</t>
        </is>
      </c>
      <c r="D11" s="162" t="n">
        <v>25000</v>
      </c>
      <c r="E11" s="163" t="n">
        <v>36</v>
      </c>
      <c r="F11" s="161" t="inlineStr">
        <is>
          <t>0-30 Gün</t>
        </is>
      </c>
      <c r="G11" s="164">
        <f>IF($D11=0,0,$D11*$E11)</f>
        <v/>
      </c>
      <c r="H11" s="125">
        <f>IF($B11="","",CONCATENATE("Örnek kayıt: ",$B11))</f>
        <v/>
      </c>
    </row>
    <row r="12" ht="15" customHeight="1" s="80">
      <c r="G12" s="125">
        <f>IF($D12=0,0,$D12*$E12)</f>
        <v/>
      </c>
      <c r="H12" s="125">
        <f>IF($B12="","",CONCATENATE("Örnek kayıt: ",$B12))</f>
        <v/>
      </c>
    </row>
    <row r="13" ht="15" customHeight="1" s="80">
      <c r="G13" s="125">
        <f>IF($D13=0,0,$D13*$E13)</f>
        <v/>
      </c>
      <c r="H13" s="125">
        <f>IF($B13="","",CONCATENATE("Örnek kayıt: ",$B13))</f>
        <v/>
      </c>
    </row>
    <row r="14" ht="15" customHeight="1" s="80">
      <c r="G14" s="125">
        <f>IF($D14=0,0,$D14*$E14)</f>
        <v/>
      </c>
      <c r="H14" s="125">
        <f>IF($B14="","",CONCATENATE("Örnek kayıt: ",$B14))</f>
        <v/>
      </c>
    </row>
    <row r="15" ht="15" customHeight="1" s="80">
      <c r="G15" s="125">
        <f>IF($D15=0,0,$D15*$E15)</f>
        <v/>
      </c>
      <c r="H15" s="125">
        <f>IF($B15="","",CONCATENATE("Örnek kayıt: ",$B15))</f>
        <v/>
      </c>
    </row>
    <row r="16" ht="15" customHeight="1" s="80">
      <c r="G16" s="125">
        <f>IF($D16=0,0,$D16*$E16)</f>
        <v/>
      </c>
      <c r="H16" s="125">
        <f>IF($B16="","",CONCATENATE("Örnek kayıt: ",$B16))</f>
        <v/>
      </c>
    </row>
    <row r="17" ht="15" customHeight="1" s="80">
      <c r="G17" s="125">
        <f>IF($D17=0,0,$D17*$E17)</f>
        <v/>
      </c>
      <c r="H17" s="125">
        <f>IF($B17="","",CONCATENATE("Örnek kayıt: ",$B17))</f>
        <v/>
      </c>
    </row>
    <row r="18" ht="15" customHeight="1" s="80">
      <c r="G18" s="125">
        <f>IF($D18=0,0,$D18*$E18)</f>
        <v/>
      </c>
      <c r="H18" s="125">
        <f>IF($B18="","",CONCATENATE("Örnek kayıt: ",$B18))</f>
        <v/>
      </c>
    </row>
    <row r="19" ht="15" customHeight="1" s="80">
      <c r="G19" s="125">
        <f>IF($D19=0,0,$D19*$E19)</f>
        <v/>
      </c>
      <c r="H19" s="125">
        <f>IF($B19="","",CONCATENATE("Örnek kayıt: ",$B19))</f>
        <v/>
      </c>
    </row>
    <row r="20" ht="15" customHeight="1" s="80">
      <c r="G20" s="125">
        <f>IF($D20=0,0,$D20*$E20)</f>
        <v/>
      </c>
      <c r="H20" s="125">
        <f>IF($B20="","",CONCATENATE("Örnek kayıt: ",$B20))</f>
        <v/>
      </c>
    </row>
    <row r="21" ht="15" customHeight="1" s="80">
      <c r="G21" s="125">
        <f>IF($D21=0,0,$D21*$E21)</f>
        <v/>
      </c>
      <c r="H21" s="125">
        <f>IF($B21="","",CONCATENATE("Örnek kayıt: ",$B21))</f>
        <v/>
      </c>
    </row>
    <row r="22" ht="15" customHeight="1" s="80">
      <c r="G22" s="125">
        <f>IF($D22=0,0,$D22*$E22)</f>
        <v/>
      </c>
      <c r="H22" s="125">
        <f>IF($B22="","",CONCATENATE("Örnek kayıt: ",$B22))</f>
        <v/>
      </c>
    </row>
    <row r="23" ht="15" customHeight="1" s="80">
      <c r="G23" s="125">
        <f>IF($D23=0,0,$D23*$E23)</f>
        <v/>
      </c>
      <c r="H23" s="125">
        <f>IF($B23="","",CONCATENATE("Örnek kayıt: ",$B23))</f>
        <v/>
      </c>
    </row>
    <row r="24" ht="15" customHeight="1" s="80">
      <c r="G24" s="125">
        <f>IF($D24=0,0,$D24*$E24)</f>
        <v/>
      </c>
      <c r="H24" s="125">
        <f>IF($B24="","",CONCATENATE("Örnek kayıt: ",$B24))</f>
        <v/>
      </c>
    </row>
    <row r="25" ht="15" customHeight="1" s="80">
      <c r="G25" s="125">
        <f>IF($D25=0,0,$D25*$E25)</f>
        <v/>
      </c>
      <c r="H25" s="125">
        <f>IF($B25="","",CONCATENATE("Örnek kayıt: ",$B25))</f>
        <v/>
      </c>
    </row>
    <row r="26" ht="15" customHeight="1" s="80">
      <c r="G26" s="125">
        <f>IF($D26=0,0,$D26*$E26)</f>
        <v/>
      </c>
      <c r="H26" s="125">
        <f>IF($B26="","",CONCATENATE("Örnek kayıt: ",$B26))</f>
        <v/>
      </c>
    </row>
    <row r="27" ht="15" customHeight="1" s="80">
      <c r="G27" s="125">
        <f>IF($D27=0,0,$D27*$E27)</f>
        <v/>
      </c>
      <c r="H27" s="125">
        <f>IF($B27="","",CONCATENATE("Örnek kayıt: ",$B27))</f>
        <v/>
      </c>
    </row>
    <row r="28" ht="15" customHeight="1" s="80">
      <c r="G28" s="125">
        <f>IF($D28=0,0,$D28*$E28)</f>
        <v/>
      </c>
      <c r="H28" s="125">
        <f>IF($B28="","",CONCATENATE("Örnek kayıt: ",$B28))</f>
        <v/>
      </c>
    </row>
    <row r="29" ht="15" customHeight="1" s="80">
      <c r="G29" s="125">
        <f>IF($D29=0,0,$D29*$E29)</f>
        <v/>
      </c>
      <c r="H29" s="125">
        <f>IF($B29="","",CONCATENATE("Örnek kayıt: ",$B29))</f>
        <v/>
      </c>
    </row>
    <row r="30" ht="15" customHeight="1" s="80">
      <c r="G30" s="125">
        <f>IF($D30=0,0,$D30*$E30)</f>
        <v/>
      </c>
      <c r="H30" s="125">
        <f>IF($B30="","",CONCATENATE("Örnek kayıt: ",$B30))</f>
        <v/>
      </c>
    </row>
    <row r="31" ht="15" customHeight="1" s="80">
      <c r="G31" s="125">
        <f>IF($D31=0,0,$D31*$E31)</f>
        <v/>
      </c>
      <c r="H31" s="125">
        <f>IF($B31="","",CONCATENATE("Örnek kayıt: ",$B31))</f>
        <v/>
      </c>
    </row>
    <row r="32" ht="15" customHeight="1" s="80">
      <c r="G32" s="125">
        <f>IF($D32=0,0,$D32*$E32)</f>
        <v/>
      </c>
      <c r="H32" s="125">
        <f>IF($B32="","",CONCATENATE("Örnek kayıt: ",$B32))</f>
        <v/>
      </c>
    </row>
    <row r="33" ht="15" customHeight="1" s="80">
      <c r="G33" s="125">
        <f>IF($D33=0,0,$D33*$E33)</f>
        <v/>
      </c>
      <c r="H33" s="125">
        <f>IF($B33="","",CONCATENATE("Örnek kayıt: ",$B33))</f>
        <v/>
      </c>
    </row>
    <row r="34" ht="15" customHeight="1" s="80">
      <c r="G34" s="125">
        <f>IF($D34=0,0,$D34*$E34)</f>
        <v/>
      </c>
      <c r="H34" s="125">
        <f>IF($B34="","",CONCATENATE("Örnek kayıt: ",$B34))</f>
        <v/>
      </c>
    </row>
    <row r="35" ht="15" customHeight="1" s="80">
      <c r="G35" s="125">
        <f>IF($D35=0,0,$D35*$E35)</f>
        <v/>
      </c>
      <c r="H35" s="125">
        <f>IF($B35="","",CONCATENATE("Örnek kayıt: ",$B35))</f>
        <v/>
      </c>
    </row>
    <row r="36" ht="15" customHeight="1" s="80">
      <c r="G36" s="125">
        <f>IF($D36=0,0,$D36*$E36)</f>
        <v/>
      </c>
      <c r="H36" s="125">
        <f>IF($B36="","",CONCATENATE("Örnek kayıt: ",$B36))</f>
        <v/>
      </c>
    </row>
    <row r="37" ht="15" customHeight="1" s="80">
      <c r="G37" s="125">
        <f>IF($D37=0,0,$D37*$E37)</f>
        <v/>
      </c>
      <c r="H37" s="125">
        <f>IF($B37="","",CONCATENATE("Örnek kayıt: ",$B37))</f>
        <v/>
      </c>
    </row>
    <row r="38" ht="15" customHeight="1" s="80">
      <c r="G38" s="125">
        <f>IF($D38=0,0,$D38*$E38)</f>
        <v/>
      </c>
      <c r="H38" s="125">
        <f>IF($B38="","",CONCATENATE("Örnek kayıt: ",$B38))</f>
        <v/>
      </c>
    </row>
    <row r="39" ht="15" customHeight="1" s="80">
      <c r="G39" s="125">
        <f>IF($D39=0,0,$D39*$E39)</f>
        <v/>
      </c>
      <c r="H39" s="125">
        <f>IF($B39="","",CONCATENATE("Örnek kayıt: ",$B39))</f>
        <v/>
      </c>
    </row>
    <row r="40" ht="15" customHeight="1" s="80">
      <c r="G40" s="125">
        <f>IF($D40=0,0,$D40*$E40)</f>
        <v/>
      </c>
      <c r="H40" s="125">
        <f>IF($B40="","",CONCATENATE("Örnek kayıt: ",$B40))</f>
        <v/>
      </c>
    </row>
    <row r="41" ht="15" customHeight="1" s="80">
      <c r="G41" s="125">
        <f>IF($D41=0,0,$D41*$E41)</f>
        <v/>
      </c>
      <c r="H41" s="125">
        <f>IF($B41="","",CONCATENATE("Örnek kayıt: ",$B41))</f>
        <v/>
      </c>
    </row>
    <row r="42" ht="15" customHeight="1" s="80">
      <c r="G42" s="125">
        <f>IF($D42=0,0,$D42*$E42)</f>
        <v/>
      </c>
      <c r="H42" s="125">
        <f>IF($B42="","",CONCATENATE("Örnek kayıt: ",$B42))</f>
        <v/>
      </c>
    </row>
    <row r="43" ht="15" customHeight="1" s="80">
      <c r="G43" s="125">
        <f>IF($D43=0,0,$D43*$E43)</f>
        <v/>
      </c>
      <c r="H43" s="125">
        <f>IF($B43="","",CONCATENATE("Örnek kayıt: ",$B43))</f>
        <v/>
      </c>
    </row>
    <row r="44" ht="15" customHeight="1" s="80">
      <c r="G44" s="125">
        <f>IF($D44=0,0,$D44*$E44)</f>
        <v/>
      </c>
      <c r="H44" s="125">
        <f>IF($B44="","",CONCATENATE("Örnek kayıt: ",$B44))</f>
        <v/>
      </c>
    </row>
    <row r="45" ht="15" customHeight="1" s="80">
      <c r="G45" s="125">
        <f>IF($D45=0,0,$D45*$E45)</f>
        <v/>
      </c>
      <c r="H45" s="125">
        <f>IF($B45="","",CONCATENATE("Örnek kayıt: ",$B45))</f>
        <v/>
      </c>
    </row>
    <row r="46" ht="15" customHeight="1" s="80">
      <c r="G46" s="125">
        <f>IF($D46=0,0,$D46*$E46)</f>
        <v/>
      </c>
      <c r="H46" s="125">
        <f>IF($B46="","",CONCATENATE("Örnek kayıt: ",$B46))</f>
        <v/>
      </c>
    </row>
    <row r="47" ht="15" customHeight="1" s="80">
      <c r="G47" s="125">
        <f>IF($D47=0,0,$D47*$E47)</f>
        <v/>
      </c>
      <c r="H47" s="125">
        <f>IF($B47="","",CONCATENATE("Örnek kayıt: ",$B47))</f>
        <v/>
      </c>
    </row>
    <row r="48" ht="15" customHeight="1" s="80">
      <c r="G48" s="125">
        <f>IF($D48=0,0,$D48*$E48)</f>
        <v/>
      </c>
      <c r="H48" s="125">
        <f>IF($B48="","",CONCATENATE("Örnek kayıt: ",$B48))</f>
        <v/>
      </c>
    </row>
    <row r="49" ht="15" customHeight="1" s="80">
      <c r="G49" s="125">
        <f>IF($D49=0,0,$D49*$E49)</f>
        <v/>
      </c>
      <c r="H49" s="125">
        <f>IF($B49="","",CONCATENATE("Örnek kayıt: ",$B49))</f>
        <v/>
      </c>
    </row>
    <row r="50" ht="15" customHeight="1" s="80">
      <c r="G50" s="125">
        <f>IF($D50=0,0,$D50*$E50)</f>
        <v/>
      </c>
      <c r="H50" s="125">
        <f>IF($B50="","",CONCATENATE("Örnek kayıt: ",$B50))</f>
        <v/>
      </c>
    </row>
    <row r="51" ht="15" customHeight="1" s="80">
      <c r="G51" s="125">
        <f>IF($D51=0,0,$D51*$E51)</f>
        <v/>
      </c>
      <c r="H51" s="125">
        <f>IF($B51="","",CONCATENATE("Örnek kayıt: ",$B51))</f>
        <v/>
      </c>
    </row>
    <row r="52" ht="15" customHeight="1" s="80">
      <c r="G52" s="125">
        <f>IF($D52=0,0,$D52*$E52)</f>
        <v/>
      </c>
      <c r="H52" s="125">
        <f>IF($B52="","",CONCATENATE("Örnek kayıt: ",$B52))</f>
        <v/>
      </c>
    </row>
    <row r="53" ht="15" customHeight="1" s="80">
      <c r="G53" s="125">
        <f>IF($D53=0,0,$D53*$E53)</f>
        <v/>
      </c>
      <c r="H53" s="125">
        <f>IF($B53="","",CONCATENATE("Örnek kayıt: ",$B53))</f>
        <v/>
      </c>
    </row>
    <row r="54" ht="15" customHeight="1" s="80">
      <c r="G54" s="125">
        <f>IF($D54=0,0,$D54*$E54)</f>
        <v/>
      </c>
      <c r="H54" s="125">
        <f>IF($B54="","",CONCATENATE("Örnek kayıt: ",$B54))</f>
        <v/>
      </c>
    </row>
    <row r="55" ht="15" customHeight="1" s="80">
      <c r="G55" s="125">
        <f>IF($D55=0,0,$D55*$E55)</f>
        <v/>
      </c>
      <c r="H55" s="125">
        <f>IF($B55="","",CONCATENATE("Örnek kayıt: ",$B55))</f>
        <v/>
      </c>
    </row>
    <row r="56" ht="15" customHeight="1" s="80">
      <c r="G56" s="125">
        <f>IF($D56=0,0,$D56*$E56)</f>
        <v/>
      </c>
      <c r="H56" s="125">
        <f>IF($B56="","",CONCATENATE("Örnek kayıt: ",$B56))</f>
        <v/>
      </c>
    </row>
    <row r="57" ht="15" customHeight="1" s="80">
      <c r="G57" s="125">
        <f>IF($D57=0,0,$D57*$E57)</f>
        <v/>
      </c>
      <c r="H57" s="125">
        <f>IF($B57="","",CONCATENATE("Örnek kayıt: ",$B57))</f>
        <v/>
      </c>
    </row>
    <row r="58" ht="15" customHeight="1" s="80">
      <c r="G58" s="125">
        <f>IF($D58=0,0,$D58*$E58)</f>
        <v/>
      </c>
      <c r="H58" s="125">
        <f>IF($B58="","",CONCATENATE("Örnek kayıt: ",$B58))</f>
        <v/>
      </c>
    </row>
    <row r="59" ht="15" customHeight="1" s="80">
      <c r="G59" s="125">
        <f>IF($D59=0,0,$D59*$E59)</f>
        <v/>
      </c>
      <c r="H59" s="125">
        <f>IF($B59="","",CONCATENATE("Örnek kayıt: ",$B59))</f>
        <v/>
      </c>
    </row>
    <row r="60" ht="15" customHeight="1" s="80">
      <c r="G60" s="125">
        <f>IF($D60=0,0,$D60*$E60)</f>
        <v/>
      </c>
      <c r="H60" s="125">
        <f>IF($B60="","",CONCATENATE("Örnek kayıt: ",$B60))</f>
        <v/>
      </c>
    </row>
    <row r="61" ht="15" customHeight="1" s="80">
      <c r="G61" s="125">
        <f>IF($D61=0,0,$D61*$E61)</f>
        <v/>
      </c>
      <c r="H61" s="125">
        <f>IF($B61="","",CONCATENATE("Örnek kayıt: ",$B61))</f>
        <v/>
      </c>
    </row>
    <row r="62" ht="15" customHeight="1" s="80">
      <c r="G62" s="125">
        <f>IF($D62=0,0,$D62*$E62)</f>
        <v/>
      </c>
      <c r="H62" s="125">
        <f>IF($B62="","",CONCATENATE("Örnek kayıt: ",$B62))</f>
        <v/>
      </c>
    </row>
    <row r="63" ht="15" customHeight="1" s="80">
      <c r="G63" s="125">
        <f>IF($D63=0,0,$D63*$E63)</f>
        <v/>
      </c>
      <c r="H63" s="125">
        <f>IF($B63="","",CONCATENATE("Örnek kayıt: ",$B63))</f>
        <v/>
      </c>
    </row>
    <row r="64" ht="15" customHeight="1" s="80">
      <c r="G64" s="125">
        <f>IF($D64=0,0,$D64*$E64)</f>
        <v/>
      </c>
      <c r="H64" s="125">
        <f>IF($B64="","",CONCATENATE("Örnek kayıt: ",$B64))</f>
        <v/>
      </c>
    </row>
    <row r="65" ht="15" customHeight="1" s="80">
      <c r="G65" s="125">
        <f>IF($D65=0,0,$D65*$E65)</f>
        <v/>
      </c>
      <c r="H65" s="125">
        <f>IF($B65="","",CONCATENATE("Örnek kayıt: ",$B65))</f>
        <v/>
      </c>
    </row>
    <row r="66" ht="15" customHeight="1" s="80">
      <c r="G66" s="125">
        <f>IF($D66=0,0,$D66*$E66)</f>
        <v/>
      </c>
      <c r="H66" s="125">
        <f>IF($B66="","",CONCATENATE("Örnek kayıt: ",$B66))</f>
        <v/>
      </c>
    </row>
    <row r="67" ht="15" customHeight="1" s="80">
      <c r="G67" s="125">
        <f>IF($D67=0,0,$D67*$E67)</f>
        <v/>
      </c>
      <c r="H67" s="125">
        <f>IF($B67="","",CONCATENATE("Örnek kayıt: ",$B67))</f>
        <v/>
      </c>
    </row>
    <row r="68" ht="15" customHeight="1" s="80">
      <c r="G68" s="125">
        <f>IF($D68=0,0,$D68*$E68)</f>
        <v/>
      </c>
      <c r="H68" s="125">
        <f>IF($B68="","",CONCATENATE("Örnek kayıt: ",$B68))</f>
        <v/>
      </c>
    </row>
    <row r="69" ht="15" customHeight="1" s="80">
      <c r="G69" s="125">
        <f>IF($D69=0,0,$D69*$E69)</f>
        <v/>
      </c>
      <c r="H69" s="125">
        <f>IF($B69="","",CONCATENATE("Örnek kayıt: ",$B69))</f>
        <v/>
      </c>
    </row>
    <row r="70" ht="15" customHeight="1" s="80">
      <c r="G70" s="125">
        <f>IF($D70=0,0,$D70*$E70)</f>
        <v/>
      </c>
      <c r="H70" s="125">
        <f>IF($B70="","",CONCATENATE("Örnek kayıt: ",$B70))</f>
        <v/>
      </c>
    </row>
    <row r="71" ht="15" customHeight="1" s="80">
      <c r="G71" s="125">
        <f>IF($D71=0,0,$D71*$E71)</f>
        <v/>
      </c>
      <c r="H71" s="125">
        <f>IF($B71="","",CONCATENATE("Örnek kayıt: ",$B71))</f>
        <v/>
      </c>
    </row>
    <row r="72" ht="15" customHeight="1" s="80">
      <c r="G72" s="125">
        <f>IF($D72=0,0,$D72*$E72)</f>
        <v/>
      </c>
      <c r="H72" s="125">
        <f>IF($B72="","",CONCATENATE("Örnek kayıt: ",$B72))</f>
        <v/>
      </c>
    </row>
    <row r="73" ht="15" customHeight="1" s="80">
      <c r="G73" s="125">
        <f>IF($D73=0,0,$D73*$E73)</f>
        <v/>
      </c>
      <c r="H73" s="125">
        <f>IF($B73="","",CONCATENATE("Örnek kayıt: ",$B73))</f>
        <v/>
      </c>
    </row>
    <row r="74" ht="15" customHeight="1" s="80">
      <c r="G74" s="125">
        <f>IF($D74=0,0,$D74*$E74)</f>
        <v/>
      </c>
      <c r="H74" s="125">
        <f>IF($B74="","",CONCATENATE("Örnek kayıt: ",$B74))</f>
        <v/>
      </c>
    </row>
    <row r="75" ht="15" customHeight="1" s="80">
      <c r="G75" s="125">
        <f>IF($D75=0,0,$D75*$E75)</f>
        <v/>
      </c>
      <c r="H75" s="125">
        <f>IF($B75="","",CONCATENATE("Örnek kayıt: ",$B75))</f>
        <v/>
      </c>
    </row>
    <row r="76" ht="15" customHeight="1" s="80">
      <c r="G76" s="125">
        <f>IF($D76=0,0,$D76*$E76)</f>
        <v/>
      </c>
      <c r="H76" s="125">
        <f>IF($B76="","",CONCATENATE("Örnek kayıt: ",$B76))</f>
        <v/>
      </c>
    </row>
    <row r="77" ht="15" customHeight="1" s="80">
      <c r="G77" s="125">
        <f>IF($D77=0,0,$D77*$E77)</f>
        <v/>
      </c>
      <c r="H77" s="125">
        <f>IF($B77="","",CONCATENATE("Örnek kayıt: ",$B77))</f>
        <v/>
      </c>
    </row>
    <row r="78" ht="15" customHeight="1" s="80">
      <c r="G78" s="125">
        <f>IF($D78=0,0,$D78*$E78)</f>
        <v/>
      </c>
      <c r="H78" s="125">
        <f>IF($B78="","",CONCATENATE("Örnek kayıt: ",$B78))</f>
        <v/>
      </c>
    </row>
    <row r="79" ht="15" customHeight="1" s="80">
      <c r="G79" s="125">
        <f>IF($D79=0,0,$D79*$E79)</f>
        <v/>
      </c>
      <c r="H79" s="125">
        <f>IF($B79="","",CONCATENATE("Örnek kayıt: ",$B79))</f>
        <v/>
      </c>
    </row>
    <row r="80" ht="15" customHeight="1" s="80">
      <c r="G80" s="125">
        <f>IF($D80=0,0,$D80*$E80)</f>
        <v/>
      </c>
      <c r="H80" s="125">
        <f>IF($B80="","",CONCATENATE("Örnek kayıt: ",$B80))</f>
        <v/>
      </c>
    </row>
    <row r="81" ht="15" customHeight="1" s="80">
      <c r="G81" s="125">
        <f>IF($D81=0,0,$D81*$E81)</f>
        <v/>
      </c>
      <c r="H81" s="125">
        <f>IF($B81="","",CONCATENATE("Örnek kayıt: ",$B81))</f>
        <v/>
      </c>
    </row>
    <row r="82" ht="15" customHeight="1" s="80">
      <c r="G82" s="125">
        <f>IF($D82=0,0,$D82*$E82)</f>
        <v/>
      </c>
      <c r="H82" s="125">
        <f>IF($B82="","",CONCATENATE("Örnek kayıt: ",$B82))</f>
        <v/>
      </c>
    </row>
    <row r="83" ht="15" customHeight="1" s="80">
      <c r="G83" s="125">
        <f>IF($D83=0,0,$D83*$E83)</f>
        <v/>
      </c>
      <c r="H83" s="125">
        <f>IF($B83="","",CONCATENATE("Örnek kayıt: ",$B83))</f>
        <v/>
      </c>
    </row>
    <row r="84" ht="15" customHeight="1" s="80">
      <c r="G84" s="125">
        <f>IF($D84=0,0,$D84*$E84)</f>
        <v/>
      </c>
      <c r="H84" s="125">
        <f>IF($B84="","",CONCATENATE("Örnek kayıt: ",$B84))</f>
        <v/>
      </c>
    </row>
    <row r="85" ht="15" customHeight="1" s="80">
      <c r="G85" s="125">
        <f>IF($D85=0,0,$D85*$E85)</f>
        <v/>
      </c>
      <c r="H85" s="125">
        <f>IF($B85="","",CONCATENATE("Örnek kayıt: ",$B85))</f>
        <v/>
      </c>
    </row>
    <row r="86" ht="15" customHeight="1" s="80">
      <c r="G86" s="125">
        <f>IF($D86=0,0,$D86*$E86)</f>
        <v/>
      </c>
      <c r="H86" s="125">
        <f>IF($B86="","",CONCATENATE("Örnek kayıt: ",$B86))</f>
        <v/>
      </c>
    </row>
    <row r="87" ht="15" customHeight="1" s="80">
      <c r="G87" s="125">
        <f>IF($D87=0,0,$D87*$E87)</f>
        <v/>
      </c>
      <c r="H87" s="125">
        <f>IF($B87="","",CONCATENATE("Örnek kayıt: ",$B87))</f>
        <v/>
      </c>
    </row>
    <row r="88" ht="15" customHeight="1" s="80">
      <c r="G88" s="125">
        <f>IF($D88=0,0,$D88*$E88)</f>
        <v/>
      </c>
      <c r="H88" s="125">
        <f>IF($B88="","",CONCATENATE("Örnek kayıt: ",$B88))</f>
        <v/>
      </c>
    </row>
    <row r="89" ht="15" customHeight="1" s="80">
      <c r="G89" s="125">
        <f>IF($D89=0,0,$D89*$E89)</f>
        <v/>
      </c>
      <c r="H89" s="125">
        <f>IF($B89="","",CONCATENATE("Örnek kayıt: ",$B89))</f>
        <v/>
      </c>
    </row>
    <row r="90" ht="15" customHeight="1" s="80">
      <c r="G90" s="125">
        <f>IF($D90=0,0,$D90*$E90)</f>
        <v/>
      </c>
      <c r="H90" s="125">
        <f>IF($B90="","",CONCATENATE("Örnek kayıt: ",$B90))</f>
        <v/>
      </c>
    </row>
    <row r="91" ht="15" customHeight="1" s="80">
      <c r="G91" s="125">
        <f>IF($D91=0,0,$D91*$E91)</f>
        <v/>
      </c>
      <c r="H91" s="125">
        <f>IF($B91="","",CONCATENATE("Örnek kayıt: ",$B91))</f>
        <v/>
      </c>
    </row>
    <row r="92" ht="15" customHeight="1" s="80">
      <c r="G92" s="125">
        <f>IF($D92=0,0,$D92*$E92)</f>
        <v/>
      </c>
      <c r="H92" s="125">
        <f>IF($B92="","",CONCATENATE("Örnek kayıt: ",$B92))</f>
        <v/>
      </c>
    </row>
    <row r="93" ht="15" customHeight="1" s="80">
      <c r="G93" s="125">
        <f>IF($D93=0,0,$D93*$E93)</f>
        <v/>
      </c>
      <c r="H93" s="125">
        <f>IF($B93="","",CONCATENATE("Örnek kayıt: ",$B93))</f>
        <v/>
      </c>
    </row>
    <row r="94" ht="15" customHeight="1" s="80">
      <c r="G94" s="125">
        <f>IF($D94=0,0,$D94*$E94)</f>
        <v/>
      </c>
      <c r="H94" s="125">
        <f>IF($B94="","",CONCATENATE("Örnek kayıt: ",$B94))</f>
        <v/>
      </c>
    </row>
    <row r="95" ht="15" customHeight="1" s="80">
      <c r="G95" s="125">
        <f>IF($D95=0,0,$D95*$E95)</f>
        <v/>
      </c>
      <c r="H95" s="125">
        <f>IF($B95="","",CONCATENATE("Örnek kayıt: ",$B95))</f>
        <v/>
      </c>
    </row>
    <row r="96" ht="15" customHeight="1" s="80">
      <c r="G96" s="125">
        <f>IF($D96=0,0,$D96*$E96)</f>
        <v/>
      </c>
      <c r="H96" s="125">
        <f>IF($B96="","",CONCATENATE("Örnek kayıt: ",$B96))</f>
        <v/>
      </c>
    </row>
    <row r="97" ht="15" customHeight="1" s="80">
      <c r="G97" s="125">
        <f>IF($D97=0,0,$D97*$E97)</f>
        <v/>
      </c>
      <c r="H97" s="125">
        <f>IF($B97="","",CONCATENATE("Örnek kayıt: ",$B97))</f>
        <v/>
      </c>
    </row>
    <row r="98" ht="15" customHeight="1" s="80">
      <c r="G98" s="125">
        <f>IF($D98=0,0,$D98*$E98)</f>
        <v/>
      </c>
      <c r="H98" s="125">
        <f>IF($B98="","",CONCATENATE("Örnek kayıt: ",$B98))</f>
        <v/>
      </c>
    </row>
    <row r="99" ht="15" customHeight="1" s="80">
      <c r="G99" s="125">
        <f>IF($D99=0,0,$D99*$E99)</f>
        <v/>
      </c>
      <c r="H99" s="125">
        <f>IF($B99="","",CONCATENATE("Örnek kayıt: ",$B99))</f>
        <v/>
      </c>
    </row>
    <row r="100" ht="15" customHeight="1" s="80">
      <c r="G100" s="125">
        <f>IF($D100=0,0,$D100*$E100)</f>
        <v/>
      </c>
      <c r="H100" s="125">
        <f>IF($B100="","",CONCATENATE("Örnek kayıt: ",$B100))</f>
        <v/>
      </c>
    </row>
    <row r="101" ht="15" customHeight="1" s="80">
      <c r="G101" s="125">
        <f>IF($D101=0,0,$D101*$E101)</f>
        <v/>
      </c>
      <c r="H101" s="125">
        <f>IF($B101="","",CONCATENATE("Örnek kayıt: ",$B101))</f>
        <v/>
      </c>
    </row>
    <row r="102" ht="15" customHeight="1" s="80">
      <c r="G102" s="125">
        <f>IF($D102=0,0,$D102*$E102)</f>
        <v/>
      </c>
      <c r="H102" s="125">
        <f>IF($B102="","",CONCATENATE("Örnek kayıt: ",$B102))</f>
        <v/>
      </c>
    </row>
    <row r="103" ht="15" customHeight="1" s="80">
      <c r="G103" s="125">
        <f>IF($D103=0,0,$D103*$E103)</f>
        <v/>
      </c>
      <c r="H103" s="125">
        <f>IF($B103="","",CONCATENATE("Örnek kayıt: ",$B103))</f>
        <v/>
      </c>
    </row>
    <row r="104" ht="15" customHeight="1" s="80">
      <c r="G104" s="125">
        <f>IF($D104=0,0,$D104*$E104)</f>
        <v/>
      </c>
      <c r="H104" s="125">
        <f>IF($B104="","",CONCATENATE("Örnek kayıt: ",$B104))</f>
        <v/>
      </c>
    </row>
    <row r="105" ht="15" customHeight="1" s="80">
      <c r="G105" s="125">
        <f>IF($D105=0,0,$D105*$E105)</f>
        <v/>
      </c>
      <c r="H105" s="125">
        <f>IF($B105="","",CONCATENATE("Örnek kayıt: ",$B105))</f>
        <v/>
      </c>
    </row>
    <row r="106" ht="15" customHeight="1" s="80">
      <c r="G106" s="125">
        <f>IF($D106=0,0,$D106*$E106)</f>
        <v/>
      </c>
      <c r="H106" s="125">
        <f>IF($B106="","",CONCATENATE("Örnek kayıt: ",$B106))</f>
        <v/>
      </c>
    </row>
    <row r="107" ht="15" customHeight="1" s="80">
      <c r="G107" s="125">
        <f>IF($D107=0,0,$D107*$E107)</f>
        <v/>
      </c>
      <c r="H107" s="125">
        <f>IF($B107="","",CONCATENATE("Örnek kayıt: ",$B107))</f>
        <v/>
      </c>
    </row>
    <row r="108" ht="15" customHeight="1" s="80">
      <c r="G108" s="125">
        <f>IF($D108=0,0,$D108*$E108)</f>
        <v/>
      </c>
      <c r="H108" s="125">
        <f>IF($B108="","",CONCATENATE("Örnek kayıt: ",$B108))</f>
        <v/>
      </c>
    </row>
    <row r="109" ht="15" customHeight="1" s="80">
      <c r="G109" s="125">
        <f>IF($D109=0,0,$D109*$E109)</f>
        <v/>
      </c>
      <c r="H109" s="125">
        <f>IF($B109="","",CONCATENATE("Örnek kayıt: ",$B109))</f>
        <v/>
      </c>
    </row>
    <row r="110" ht="15" customHeight="1" s="80">
      <c r="G110" s="125">
        <f>IF($D110=0,0,$D110*$E110)</f>
        <v/>
      </c>
      <c r="H110" s="125">
        <f>IF($B110="","",CONCATENATE("Örnek kayıt: ",$B110))</f>
        <v/>
      </c>
    </row>
    <row r="111" ht="15" customHeight="1" s="80">
      <c r="G111" s="125">
        <f>IF($D111=0,0,$D111*$E111)</f>
        <v/>
      </c>
      <c r="H111" s="125">
        <f>IF($B111="","",CONCATENATE("Örnek kayıt: ",$B111))</f>
        <v/>
      </c>
    </row>
    <row r="112" ht="15" customHeight="1" s="80">
      <c r="G112" s="125">
        <f>IF($D112=0,0,$D112*$E112)</f>
        <v/>
      </c>
      <c r="H112" s="125">
        <f>IF($B112="","",CONCATENATE("Örnek kayıt: ",$B112))</f>
        <v/>
      </c>
    </row>
    <row r="113" ht="15" customHeight="1" s="80">
      <c r="G113" s="125">
        <f>IF($D113=0,0,$D113*$E113)</f>
        <v/>
      </c>
      <c r="H113" s="125">
        <f>IF($B113="","",CONCATENATE("Örnek kayıt: ",$B113))</f>
        <v/>
      </c>
    </row>
    <row r="114" ht="15" customHeight="1" s="80">
      <c r="G114" s="125">
        <f>IF($D114=0,0,$D114*$E114)</f>
        <v/>
      </c>
      <c r="H114" s="125">
        <f>IF($B114="","",CONCATENATE("Örnek kayıt: ",$B114))</f>
        <v/>
      </c>
    </row>
    <row r="115" ht="15" customHeight="1" s="80">
      <c r="G115" s="125">
        <f>IF($D115=0,0,$D115*$E115)</f>
        <v/>
      </c>
      <c r="H115" s="125">
        <f>IF($B115="","",CONCATENATE("Örnek kayıt: ",$B115))</f>
        <v/>
      </c>
    </row>
    <row r="116" ht="15" customHeight="1" s="80">
      <c r="G116" s="125">
        <f>IF($D116=0,0,$D116*$E116)</f>
        <v/>
      </c>
      <c r="H116" s="125">
        <f>IF($B116="","",CONCATENATE("Örnek kayıt: ",$B116))</f>
        <v/>
      </c>
    </row>
    <row r="117" ht="15" customHeight="1" s="80">
      <c r="G117" s="125">
        <f>IF($D117=0,0,$D117*$E117)</f>
        <v/>
      </c>
      <c r="H117" s="125">
        <f>IF($B117="","",CONCATENATE("Örnek kayıt: ",$B117))</f>
        <v/>
      </c>
    </row>
    <row r="118" ht="15" customHeight="1" s="80">
      <c r="G118" s="125">
        <f>IF($D118=0,0,$D118*$E118)</f>
        <v/>
      </c>
      <c r="H118" s="125">
        <f>IF($B118="","",CONCATENATE("Örnek kayıt: ",$B118))</f>
        <v/>
      </c>
    </row>
    <row r="119" ht="15" customHeight="1" s="80">
      <c r="G119" s="125">
        <f>IF($D119=0,0,$D119*$E119)</f>
        <v/>
      </c>
      <c r="H119" s="125">
        <f>IF($B119="","",CONCATENATE("Örnek kayıt: ",$B119))</f>
        <v/>
      </c>
    </row>
    <row r="120" ht="15" customHeight="1" s="80">
      <c r="G120" s="125">
        <f>IF($D120=0,0,$D120*$E120)</f>
        <v/>
      </c>
      <c r="H120" s="125">
        <f>IF($B120="","",CONCATENATE("Örnek kayıt: ",$B120))</f>
        <v/>
      </c>
    </row>
    <row r="121" ht="15" customHeight="1" s="80">
      <c r="G121" s="125">
        <f>IF($D121=0,0,$D121*$E121)</f>
        <v/>
      </c>
      <c r="H121" s="125">
        <f>IF($B121="","",CONCATENATE("Örnek kayıt: ",$B121))</f>
        <v/>
      </c>
    </row>
    <row r="122" ht="15" customHeight="1" s="80">
      <c r="G122" s="125">
        <f>IF($D122=0,0,$D122*$E122)</f>
        <v/>
      </c>
      <c r="H122" s="125">
        <f>IF($B122="","",CONCATENATE("Örnek kayıt: ",$B122))</f>
        <v/>
      </c>
    </row>
    <row r="123" ht="15" customHeight="1" s="80">
      <c r="G123" s="125">
        <f>IF($D123=0,0,$D123*$E123)</f>
        <v/>
      </c>
      <c r="H123" s="125">
        <f>IF($B123="","",CONCATENATE("Örnek kayıt: ",$B123))</f>
        <v/>
      </c>
    </row>
    <row r="124" ht="15" customHeight="1" s="80">
      <c r="G124" s="125">
        <f>IF($D124=0,0,$D124*$E124)</f>
        <v/>
      </c>
      <c r="H124" s="125">
        <f>IF($B124="","",CONCATENATE("Örnek kayıt: ",$B124))</f>
        <v/>
      </c>
    </row>
    <row r="125" ht="15" customHeight="1" s="80">
      <c r="G125" s="125">
        <f>IF($D125=0,0,$D125*$E125)</f>
        <v/>
      </c>
      <c r="H125" s="125">
        <f>IF($B125="","",CONCATENATE("Örnek kayıt: ",$B125))</f>
        <v/>
      </c>
    </row>
    <row r="126" ht="15" customHeight="1" s="80">
      <c r="G126" s="125">
        <f>IF($D126=0,0,$D126*$E126)</f>
        <v/>
      </c>
      <c r="H126" s="125">
        <f>IF($B126="","",CONCATENATE("Örnek kayıt: ",$B126))</f>
        <v/>
      </c>
    </row>
    <row r="127" ht="15" customHeight="1" s="80">
      <c r="G127" s="125">
        <f>IF($D127=0,0,$D127*$E127)</f>
        <v/>
      </c>
      <c r="H127" s="125">
        <f>IF($B127="","",CONCATENATE("Örnek kayıt: ",$B127))</f>
        <v/>
      </c>
    </row>
    <row r="128" ht="15" customHeight="1" s="80">
      <c r="G128" s="125">
        <f>IF($D128=0,0,$D128*$E128)</f>
        <v/>
      </c>
      <c r="H128" s="125">
        <f>IF($B128="","",CONCATENATE("Örnek kayıt: ",$B128))</f>
        <v/>
      </c>
    </row>
    <row r="129" ht="15" customHeight="1" s="80">
      <c r="G129" s="125">
        <f>IF($D129=0,0,$D129*$E129)</f>
        <v/>
      </c>
      <c r="H129" s="125">
        <f>IF($B129="","",CONCATENATE("Örnek kayıt: ",$B129))</f>
        <v/>
      </c>
    </row>
    <row r="130" ht="15" customHeight="1" s="80">
      <c r="G130" s="125">
        <f>IF($D130=0,0,$D130*$E130)</f>
        <v/>
      </c>
      <c r="H130" s="125">
        <f>IF($B130="","",CONCATENATE("Örnek kayıt: ",$B130))</f>
        <v/>
      </c>
    </row>
    <row r="131" ht="15" customHeight="1" s="80">
      <c r="G131" s="125">
        <f>IF($D131=0,0,$D131*$E131)</f>
        <v/>
      </c>
      <c r="H131" s="125">
        <f>IF($B131="","",CONCATENATE("Örnek kayıt: ",$B131))</f>
        <v/>
      </c>
    </row>
    <row r="132" ht="15" customHeight="1" s="80">
      <c r="G132" s="125">
        <f>IF($D132=0,0,$D132*$E132)</f>
        <v/>
      </c>
      <c r="H132" s="125">
        <f>IF($B132="","",CONCATENATE("Örnek kayıt: ",$B132))</f>
        <v/>
      </c>
    </row>
    <row r="133" ht="15" customHeight="1" s="80">
      <c r="G133" s="125">
        <f>IF($D133=0,0,$D133*$E133)</f>
        <v/>
      </c>
      <c r="H133" s="125">
        <f>IF($B133="","",CONCATENATE("Örnek kayıt: ",$B133))</f>
        <v/>
      </c>
    </row>
    <row r="134" ht="15" customHeight="1" s="80">
      <c r="G134" s="125">
        <f>IF($D134=0,0,$D134*$E134)</f>
        <v/>
      </c>
      <c r="H134" s="125">
        <f>IF($B134="","",CONCATENATE("Örnek kayıt: ",$B134))</f>
        <v/>
      </c>
    </row>
    <row r="135" ht="15" customHeight="1" s="80">
      <c r="G135" s="125">
        <f>IF($D135=0,0,$D135*$E135)</f>
        <v/>
      </c>
      <c r="H135" s="125">
        <f>IF($B135="","",CONCATENATE("Örnek kayıt: ",$B135))</f>
        <v/>
      </c>
    </row>
    <row r="136" ht="15" customHeight="1" s="80">
      <c r="G136" s="125">
        <f>IF($D136=0,0,$D136*$E136)</f>
        <v/>
      </c>
      <c r="H136" s="125">
        <f>IF($B136="","",CONCATENATE("Örnek kayıt: ",$B136))</f>
        <v/>
      </c>
    </row>
    <row r="137" ht="15" customHeight="1" s="80">
      <c r="G137" s="125">
        <f>IF($D137=0,0,$D137*$E137)</f>
        <v/>
      </c>
      <c r="H137" s="125">
        <f>IF($B137="","",CONCATENATE("Örnek kayıt: ",$B137))</f>
        <v/>
      </c>
    </row>
    <row r="138" ht="15" customHeight="1" s="80">
      <c r="G138" s="125">
        <f>IF($D138=0,0,$D138*$E138)</f>
        <v/>
      </c>
      <c r="H138" s="125">
        <f>IF($B138="","",CONCATENATE("Örnek kayıt: ",$B138))</f>
        <v/>
      </c>
    </row>
    <row r="139" ht="15" customHeight="1" s="80">
      <c r="G139" s="125">
        <f>IF($D139=0,0,$D139*$E139)</f>
        <v/>
      </c>
      <c r="H139" s="125">
        <f>IF($B139="","",CONCATENATE("Örnek kayıt: ",$B139))</f>
        <v/>
      </c>
    </row>
    <row r="140" ht="15" customHeight="1" s="80">
      <c r="G140" s="125">
        <f>IF($D140=0,0,$D140*$E140)</f>
        <v/>
      </c>
      <c r="H140" s="125">
        <f>IF($B140="","",CONCATENATE("Örnek kayıt: ",$B140))</f>
        <v/>
      </c>
    </row>
    <row r="141" ht="15" customHeight="1" s="80">
      <c r="G141" s="125">
        <f>IF($D141=0,0,$D141*$E141)</f>
        <v/>
      </c>
      <c r="H141" s="125">
        <f>IF($B141="","",CONCATENATE("Örnek kayıt: ",$B141))</f>
        <v/>
      </c>
    </row>
    <row r="142" ht="15" customHeight="1" s="80">
      <c r="G142" s="125">
        <f>IF($D142=0,0,$D142*$E142)</f>
        <v/>
      </c>
      <c r="H142" s="125">
        <f>IF($B142="","",CONCATENATE("Örnek kayıt: ",$B142))</f>
        <v/>
      </c>
    </row>
    <row r="143" ht="15" customHeight="1" s="80">
      <c r="G143" s="125">
        <f>IF($D143=0,0,$D143*$E143)</f>
        <v/>
      </c>
      <c r="H143" s="125">
        <f>IF($B143="","",CONCATENATE("Örnek kayıt: ",$B143))</f>
        <v/>
      </c>
    </row>
    <row r="144" ht="15" customHeight="1" s="80">
      <c r="G144" s="125">
        <f>IF($D144=0,0,$D144*$E144)</f>
        <v/>
      </c>
      <c r="H144" s="125">
        <f>IF($B144="","",CONCATENATE("Örnek kayıt: ",$B144))</f>
        <v/>
      </c>
    </row>
    <row r="145" ht="15" customHeight="1" s="80">
      <c r="G145" s="125">
        <f>IF($D145=0,0,$D145*$E145)</f>
        <v/>
      </c>
      <c r="H145" s="125">
        <f>IF($B145="","",CONCATENATE("Örnek kayıt: ",$B145))</f>
        <v/>
      </c>
    </row>
    <row r="146" ht="15" customHeight="1" s="80">
      <c r="G146" s="125">
        <f>IF($D146=0,0,$D146*$E146)</f>
        <v/>
      </c>
      <c r="H146" s="125">
        <f>IF($B146="","",CONCATENATE("Örnek kayıt: ",$B146))</f>
        <v/>
      </c>
    </row>
    <row r="147" ht="15" customHeight="1" s="80">
      <c r="G147" s="125">
        <f>IF($D147=0,0,$D147*$E147)</f>
        <v/>
      </c>
      <c r="H147" s="125">
        <f>IF($B147="","",CONCATENATE("Örnek kayıt: ",$B147))</f>
        <v/>
      </c>
    </row>
    <row r="148" ht="15" customHeight="1" s="80">
      <c r="G148" s="125">
        <f>IF($D148=0,0,$D148*$E148)</f>
        <v/>
      </c>
      <c r="H148" s="125">
        <f>IF($B148="","",CONCATENATE("Örnek kayıt: ",$B148))</f>
        <v/>
      </c>
    </row>
    <row r="149" ht="15" customHeight="1" s="80">
      <c r="G149" s="125">
        <f>IF($D149=0,0,$D149*$E149)</f>
        <v/>
      </c>
      <c r="H149" s="125">
        <f>IF($B149="","",CONCATENATE("Örnek kayıt: ",$B149))</f>
        <v/>
      </c>
    </row>
    <row r="150" ht="15" customHeight="1" s="80">
      <c r="G150" s="125">
        <f>IF($D150=0,0,$D150*$E150)</f>
        <v/>
      </c>
      <c r="H150" s="125">
        <f>IF($B150="","",CONCATENATE("Örnek kayıt: ",$B150))</f>
        <v/>
      </c>
    </row>
    <row r="151" ht="15" customHeight="1" s="80">
      <c r="G151" s="125">
        <f>IF($D151=0,0,$D151*$E151)</f>
        <v/>
      </c>
      <c r="H151" s="125">
        <f>IF($B151="","",CONCATENATE("Örnek kayıt: ",$B151))</f>
        <v/>
      </c>
    </row>
    <row r="152" ht="15" customHeight="1" s="80">
      <c r="G152" s="125">
        <f>IF($D152=0,0,$D152*$E152)</f>
        <v/>
      </c>
      <c r="H152" s="125">
        <f>IF($B152="","",CONCATENATE("Örnek kayıt: ",$B152))</f>
        <v/>
      </c>
    </row>
    <row r="153" ht="15" customHeight="1" s="80">
      <c r="G153" s="125">
        <f>IF($D153=0,0,$D153*$E153)</f>
        <v/>
      </c>
      <c r="H153" s="125">
        <f>IF($B153="","",CONCATENATE("Örnek kayıt: ",$B153))</f>
        <v/>
      </c>
    </row>
    <row r="154" ht="15" customHeight="1" s="80">
      <c r="G154" s="125">
        <f>IF($D154=0,0,$D154*$E154)</f>
        <v/>
      </c>
      <c r="H154" s="125">
        <f>IF($B154="","",CONCATENATE("Örnek kayıt: ",$B154))</f>
        <v/>
      </c>
    </row>
    <row r="155" ht="15" customHeight="1" s="80">
      <c r="G155" s="125">
        <f>IF($D155=0,0,$D155*$E155)</f>
        <v/>
      </c>
      <c r="H155" s="125">
        <f>IF($B155="","",CONCATENATE("Örnek kayıt: ",$B155))</f>
        <v/>
      </c>
    </row>
    <row r="156" ht="15" customHeight="1" s="80">
      <c r="G156" s="125">
        <f>IF($D156=0,0,$D156*$E156)</f>
        <v/>
      </c>
      <c r="H156" s="125">
        <f>IF($B156="","",CONCATENATE("Örnek kayıt: ",$B156))</f>
        <v/>
      </c>
    </row>
    <row r="157" ht="15" customHeight="1" s="80">
      <c r="G157" s="125">
        <f>IF($D157=0,0,$D157*$E157)</f>
        <v/>
      </c>
      <c r="H157" s="125">
        <f>IF($B157="","",CONCATENATE("Örnek kayıt: ",$B157))</f>
        <v/>
      </c>
    </row>
    <row r="158" ht="15" customHeight="1" s="80">
      <c r="G158" s="125">
        <f>IF($D158=0,0,$D158*$E158)</f>
        <v/>
      </c>
      <c r="H158" s="125">
        <f>IF($B158="","",CONCATENATE("Örnek kayıt: ",$B158))</f>
        <v/>
      </c>
    </row>
    <row r="159" ht="15" customHeight="1" s="80">
      <c r="G159" s="125">
        <f>IF($D159=0,0,$D159*$E159)</f>
        <v/>
      </c>
      <c r="H159" s="125">
        <f>IF($B159="","",CONCATENATE("Örnek kayıt: ",$B159))</f>
        <v/>
      </c>
    </row>
    <row r="160" ht="15" customHeight="1" s="80">
      <c r="G160" s="125">
        <f>IF($D160=0,0,$D160*$E160)</f>
        <v/>
      </c>
      <c r="H160" s="125">
        <f>IF($B160="","",CONCATENATE("Örnek kayıt: ",$B160))</f>
        <v/>
      </c>
    </row>
    <row r="161" ht="15" customHeight="1" s="80">
      <c r="G161" s="125">
        <f>IF($D161=0,0,$D161*$E161)</f>
        <v/>
      </c>
      <c r="H161" s="125">
        <f>IF($B161="","",CONCATENATE("Örnek kayıt: ",$B161))</f>
        <v/>
      </c>
    </row>
    <row r="162" ht="15" customHeight="1" s="80">
      <c r="G162" s="125">
        <f>IF($D162=0,0,$D162*$E162)</f>
        <v/>
      </c>
      <c r="H162" s="125">
        <f>IF($B162="","",CONCATENATE("Örnek kayıt: ",$B162))</f>
        <v/>
      </c>
    </row>
    <row r="163" ht="15" customHeight="1" s="80">
      <c r="G163" s="125">
        <f>IF($D163=0,0,$D163*$E163)</f>
        <v/>
      </c>
      <c r="H163" s="125">
        <f>IF($B163="","",CONCATENATE("Örnek kayıt: ",$B163))</f>
        <v/>
      </c>
    </row>
    <row r="164" ht="15" customHeight="1" s="80">
      <c r="G164" s="125">
        <f>IF($D164=0,0,$D164*$E164)</f>
        <v/>
      </c>
      <c r="H164" s="125">
        <f>IF($B164="","",CONCATENATE("Örnek kayıt: ",$B164))</f>
        <v/>
      </c>
    </row>
    <row r="165" ht="15" customHeight="1" s="80">
      <c r="G165" s="125">
        <f>IF($D165=0,0,$D165*$E165)</f>
        <v/>
      </c>
      <c r="H165" s="125">
        <f>IF($B165="","",CONCATENATE("Örnek kayıt: ",$B165))</f>
        <v/>
      </c>
    </row>
    <row r="166" ht="15" customHeight="1" s="80">
      <c r="G166" s="125">
        <f>IF($D166=0,0,$D166*$E166)</f>
        <v/>
      </c>
      <c r="H166" s="125">
        <f>IF($B166="","",CONCATENATE("Örnek kayıt: ",$B166))</f>
        <v/>
      </c>
    </row>
    <row r="167" ht="15" customHeight="1" s="80">
      <c r="G167" s="125">
        <f>IF($D167=0,0,$D167*$E167)</f>
        <v/>
      </c>
      <c r="H167" s="125">
        <f>IF($B167="","",CONCATENATE("Örnek kayıt: ",$B167))</f>
        <v/>
      </c>
    </row>
    <row r="168" ht="15" customHeight="1" s="80">
      <c r="G168" s="125">
        <f>IF($D168=0,0,$D168*$E168)</f>
        <v/>
      </c>
      <c r="H168" s="125">
        <f>IF($B168="","",CONCATENATE("Örnek kayıt: ",$B168))</f>
        <v/>
      </c>
    </row>
    <row r="169" ht="15" customHeight="1" s="80">
      <c r="G169" s="125">
        <f>IF($D169=0,0,$D169*$E169)</f>
        <v/>
      </c>
      <c r="H169" s="125">
        <f>IF($B169="","",CONCATENATE("Örnek kayıt: ",$B169))</f>
        <v/>
      </c>
    </row>
    <row r="170" ht="15" customHeight="1" s="80">
      <c r="G170" s="125">
        <f>IF($D170=0,0,$D170*$E170)</f>
        <v/>
      </c>
      <c r="H170" s="125">
        <f>IF($B170="","",CONCATENATE("Örnek kayıt: ",$B170))</f>
        <v/>
      </c>
    </row>
    <row r="171" ht="15" customHeight="1" s="80">
      <c r="G171" s="125">
        <f>IF($D171=0,0,$D171*$E171)</f>
        <v/>
      </c>
      <c r="H171" s="125">
        <f>IF($B171="","",CONCATENATE("Örnek kayıt: ",$B171))</f>
        <v/>
      </c>
    </row>
    <row r="172" ht="15" customHeight="1" s="80">
      <c r="G172" s="125">
        <f>IF($D172=0,0,$D172*$E172)</f>
        <v/>
      </c>
      <c r="H172" s="125">
        <f>IF($B172="","",CONCATENATE("Örnek kayıt: ",$B172))</f>
        <v/>
      </c>
    </row>
    <row r="173" ht="15" customHeight="1" s="80">
      <c r="G173" s="125">
        <f>IF($D173=0,0,$D173*$E173)</f>
        <v/>
      </c>
      <c r="H173" s="125">
        <f>IF($B173="","",CONCATENATE("Örnek kayıt: ",$B173))</f>
        <v/>
      </c>
    </row>
    <row r="174" ht="15" customHeight="1" s="80">
      <c r="G174" s="125">
        <f>IF($D174=0,0,$D174*$E174)</f>
        <v/>
      </c>
      <c r="H174" s="125">
        <f>IF($B174="","",CONCATENATE("Örnek kayıt: ",$B174))</f>
        <v/>
      </c>
    </row>
    <row r="175" ht="15" customHeight="1" s="80">
      <c r="G175" s="125">
        <f>IF($D175=0,0,$D175*$E175)</f>
        <v/>
      </c>
      <c r="H175" s="125">
        <f>IF($B175="","",CONCATENATE("Örnek kayıt: ",$B175))</f>
        <v/>
      </c>
    </row>
    <row r="176" ht="15" customHeight="1" s="80">
      <c r="G176" s="125">
        <f>IF($D176=0,0,$D176*$E176)</f>
        <v/>
      </c>
      <c r="H176" s="125">
        <f>IF($B176="","",CONCATENATE("Örnek kayıt: ",$B176))</f>
        <v/>
      </c>
    </row>
    <row r="177" ht="15" customHeight="1" s="80">
      <c r="G177" s="125">
        <f>IF($D177=0,0,$D177*$E177)</f>
        <v/>
      </c>
      <c r="H177" s="125">
        <f>IF($B177="","",CONCATENATE("Örnek kayıt: ",$B177))</f>
        <v/>
      </c>
    </row>
    <row r="178" ht="15" customHeight="1" s="80">
      <c r="G178" s="125">
        <f>IF($D178=0,0,$D178*$E178)</f>
        <v/>
      </c>
      <c r="H178" s="125">
        <f>IF($B178="","",CONCATENATE("Örnek kayıt: ",$B178))</f>
        <v/>
      </c>
    </row>
    <row r="179" ht="15" customHeight="1" s="80">
      <c r="G179" s="125">
        <f>IF($D179=0,0,$D179*$E179)</f>
        <v/>
      </c>
      <c r="H179" s="125">
        <f>IF($B179="","",CONCATENATE("Örnek kayıt: ",$B179))</f>
        <v/>
      </c>
    </row>
    <row r="180" ht="15" customHeight="1" s="80">
      <c r="G180" s="125">
        <f>IF($D180=0,0,$D180*$E180)</f>
        <v/>
      </c>
      <c r="H180" s="125">
        <f>IF($B180="","",CONCATENATE("Örnek kayıt: ",$B180))</f>
        <v/>
      </c>
    </row>
    <row r="181" ht="15" customHeight="1" s="80">
      <c r="G181" s="125">
        <f>IF($D181=0,0,$D181*$E181)</f>
        <v/>
      </c>
      <c r="H181" s="125">
        <f>IF($B181="","",CONCATENATE("Örnek kayıt: ",$B181))</f>
        <v/>
      </c>
    </row>
    <row r="182" ht="15" customHeight="1" s="80">
      <c r="G182" s="125">
        <f>IF($D182=0,0,$D182*$E182)</f>
        <v/>
      </c>
      <c r="H182" s="125">
        <f>IF($B182="","",CONCATENATE("Örnek kayıt: ",$B182))</f>
        <v/>
      </c>
    </row>
    <row r="183" ht="15" customHeight="1" s="80">
      <c r="G183" s="125">
        <f>IF($D183=0,0,$D183*$E183)</f>
        <v/>
      </c>
      <c r="H183" s="125">
        <f>IF($B183="","",CONCATENATE("Örnek kayıt: ",$B183))</f>
        <v/>
      </c>
    </row>
    <row r="184" ht="15" customHeight="1" s="80">
      <c r="G184" s="125">
        <f>IF($D184=0,0,$D184*$E184)</f>
        <v/>
      </c>
      <c r="H184" s="125">
        <f>IF($B184="","",CONCATENATE("Örnek kayıt: ",$B184))</f>
        <v/>
      </c>
    </row>
    <row r="185" ht="15" customHeight="1" s="80">
      <c r="G185" s="125">
        <f>IF($D185=0,0,$D185*$E185)</f>
        <v/>
      </c>
      <c r="H185" s="125">
        <f>IF($B185="","",CONCATENATE("Örnek kayıt: ",$B185))</f>
        <v/>
      </c>
    </row>
    <row r="186" ht="15" customHeight="1" s="80">
      <c r="G186" s="125">
        <f>IF($D186=0,0,$D186*$E186)</f>
        <v/>
      </c>
      <c r="H186" s="125">
        <f>IF($B186="","",CONCATENATE("Örnek kayıt: ",$B186))</f>
        <v/>
      </c>
    </row>
    <row r="187" ht="15" customHeight="1" s="80">
      <c r="G187" s="125">
        <f>IF($D187=0,0,$D187*$E187)</f>
        <v/>
      </c>
      <c r="H187" s="125">
        <f>IF($B187="","",CONCATENATE("Örnek kayıt: ",$B187))</f>
        <v/>
      </c>
    </row>
    <row r="188" ht="15" customHeight="1" s="80">
      <c r="G188" s="125">
        <f>IF($D188=0,0,$D188*$E188)</f>
        <v/>
      </c>
      <c r="H188" s="125">
        <f>IF($B188="","",CONCATENATE("Örnek kayıt: ",$B188))</f>
        <v/>
      </c>
    </row>
    <row r="189" ht="15" customHeight="1" s="80">
      <c r="G189" s="125">
        <f>IF($D189=0,0,$D189*$E189)</f>
        <v/>
      </c>
      <c r="H189" s="125">
        <f>IF($B189="","",CONCATENATE("Örnek kayıt: ",$B189))</f>
        <v/>
      </c>
    </row>
    <row r="190" ht="15" customHeight="1" s="80">
      <c r="G190" s="125">
        <f>IF($D190=0,0,$D190*$E190)</f>
        <v/>
      </c>
      <c r="H190" s="125">
        <f>IF($B190="","",CONCATENATE("Örnek kayıt: ",$B190))</f>
        <v/>
      </c>
    </row>
    <row r="191" ht="15" customHeight="1" s="80">
      <c r="G191" s="125">
        <f>IF($D191=0,0,$D191*$E191)</f>
        <v/>
      </c>
      <c r="H191" s="125">
        <f>IF($B191="","",CONCATENATE("Örnek kayıt: ",$B191))</f>
        <v/>
      </c>
    </row>
    <row r="192" ht="15" customHeight="1" s="80">
      <c r="G192" s="125">
        <f>IF($D192=0,0,$D192*$E192)</f>
        <v/>
      </c>
      <c r="H192" s="125">
        <f>IF($B192="","",CONCATENATE("Örnek kayıt: ",$B192))</f>
        <v/>
      </c>
    </row>
    <row r="193" ht="15" customHeight="1" s="80">
      <c r="G193" s="125">
        <f>IF($D193=0,0,$D193*$E193)</f>
        <v/>
      </c>
      <c r="H193" s="125">
        <f>IF($B193="","",CONCATENATE("Örnek kayıt: ",$B193))</f>
        <v/>
      </c>
    </row>
    <row r="194" ht="15" customHeight="1" s="80">
      <c r="G194" s="125">
        <f>IF($D194=0,0,$D194*$E194)</f>
        <v/>
      </c>
      <c r="H194" s="125">
        <f>IF($B194="","",CONCATENATE("Örnek kayıt: ",$B194))</f>
        <v/>
      </c>
    </row>
    <row r="195" ht="15" customHeight="1" s="80">
      <c r="G195" s="125">
        <f>IF($D195=0,0,$D195*$E195)</f>
        <v/>
      </c>
      <c r="H195" s="125">
        <f>IF($B195="","",CONCATENATE("Örnek kayıt: ",$B195))</f>
        <v/>
      </c>
    </row>
    <row r="196" ht="15" customHeight="1" s="80">
      <c r="G196" s="125">
        <f>IF($D196=0,0,$D196*$E196)</f>
        <v/>
      </c>
      <c r="H196" s="125">
        <f>IF($B196="","",CONCATENATE("Örnek kayıt: ",$B196))</f>
        <v/>
      </c>
    </row>
    <row r="197" ht="15" customHeight="1" s="80">
      <c r="G197" s="125">
        <f>IF($D197=0,0,$D197*$E197)</f>
        <v/>
      </c>
      <c r="H197" s="125">
        <f>IF($B197="","",CONCATENATE("Örnek kayıt: ",$B197))</f>
        <v/>
      </c>
    </row>
    <row r="198" ht="15" customHeight="1" s="80">
      <c r="G198" s="125">
        <f>IF($D198=0,0,$D198*$E198)</f>
        <v/>
      </c>
      <c r="H198" s="125">
        <f>IF($B198="","",CONCATENATE("Örnek kayıt: ",$B198))</f>
        <v/>
      </c>
    </row>
    <row r="199" ht="15" customHeight="1" s="80">
      <c r="G199" s="125">
        <f>IF($D199=0,0,$D199*$E199)</f>
        <v/>
      </c>
      <c r="H199" s="125">
        <f>IF($B199="","",CONCATENATE("Örnek kayıt: ",$B199))</f>
        <v/>
      </c>
    </row>
    <row r="200" ht="15" customHeight="1" s="80">
      <c r="G200" s="125">
        <f>IF($D200=0,0,$D200*$E200)</f>
        <v/>
      </c>
      <c r="H200" s="125">
        <f>IF($B200="","",CONCATENATE("Örnek kayıt: ",$B200))</f>
        <v/>
      </c>
    </row>
    <row r="201" ht="15" customHeight="1" s="80">
      <c r="G201" s="125">
        <f>IF($D201=0,0,$D201*$E201)</f>
        <v/>
      </c>
      <c r="H201" s="125">
        <f>IF($B201="","",CONCATENATE("Örnek kayıt: ",$B201))</f>
        <v/>
      </c>
    </row>
    <row r="202" ht="15" customHeight="1" s="80">
      <c r="G202" s="125">
        <f>IF($D202=0,0,$D202*$E202)</f>
        <v/>
      </c>
      <c r="H202" s="125">
        <f>IF($B202="","",CONCATENATE("Örnek kayıt: ",$B202))</f>
        <v/>
      </c>
    </row>
    <row r="203" ht="15" customHeight="1" s="80">
      <c r="G203" s="125">
        <f>IF($D203=0,0,$D203*$E203)</f>
        <v/>
      </c>
      <c r="H203" s="125">
        <f>IF($B203="","",CONCATENATE("Örnek kayıt: ",$B203))</f>
        <v/>
      </c>
    </row>
    <row r="204" ht="15" customHeight="1" s="80">
      <c r="G204" s="125">
        <f>IF($D204=0,0,$D204*$E204)</f>
        <v/>
      </c>
      <c r="H204" s="125">
        <f>IF($B204="","",CONCATENATE("Örnek kayıt: ",$B204))</f>
        <v/>
      </c>
    </row>
    <row r="205" ht="15" customHeight="1" s="80">
      <c r="G205" s="125">
        <f>IF($D205=0,0,$D205*$E205)</f>
        <v/>
      </c>
      <c r="H205" s="125">
        <f>IF($B205="","",CONCATENATE("Örnek kayıt: ",$B205))</f>
        <v/>
      </c>
    </row>
    <row r="206" ht="15" customHeight="1" s="80">
      <c r="G206" s="125">
        <f>IF($D206=0,0,$D206*$E206)</f>
        <v/>
      </c>
      <c r="H206" s="125">
        <f>IF($B206="","",CONCATENATE("Örnek kayıt: ",$B206))</f>
        <v/>
      </c>
    </row>
    <row r="207" ht="15" customHeight="1" s="80">
      <c r="G207" s="125">
        <f>IF($D207=0,0,$D207*$E207)</f>
        <v/>
      </c>
      <c r="H207" s="125">
        <f>IF($B207="","",CONCATENATE("Örnek kayıt: ",$B207))</f>
        <v/>
      </c>
    </row>
    <row r="208" ht="15" customHeight="1" s="80">
      <c r="G208" s="125">
        <f>IF($D208=0,0,$D208*$E208)</f>
        <v/>
      </c>
      <c r="H208" s="125">
        <f>IF($B208="","",CONCATENATE("Örnek kayıt: ",$B208))</f>
        <v/>
      </c>
    </row>
    <row r="209" ht="15" customHeight="1" s="80">
      <c r="G209" s="125">
        <f>IF($D209=0,0,$D209*$E209)</f>
        <v/>
      </c>
      <c r="H209" s="125">
        <f>IF($B209="","",CONCATENATE("Örnek kayıt: ",$B209))</f>
        <v/>
      </c>
    </row>
    <row r="210" ht="15" customHeight="1" s="80">
      <c r="G210" s="125">
        <f>IF($D210=0,0,$D210*$E210)</f>
        <v/>
      </c>
      <c r="H210" s="125">
        <f>IF($B210="","",CONCATENATE("Örnek kayıt: ",$B210))</f>
        <v/>
      </c>
    </row>
    <row r="211" ht="15" customHeight="1" s="80">
      <c r="G211" s="125">
        <f>IF($D211=0,0,$D211*$E211)</f>
        <v/>
      </c>
      <c r="H211" s="125">
        <f>IF($B211="","",CONCATENATE("Örnek kayıt: ",$B211))</f>
        <v/>
      </c>
    </row>
    <row r="212" ht="15" customHeight="1" s="80">
      <c r="G212" s="125">
        <f>IF($D212=0,0,$D212*$E212)</f>
        <v/>
      </c>
      <c r="H212" s="125">
        <f>IF($B212="","",CONCATENATE("Örnek kayıt: ",$B212))</f>
        <v/>
      </c>
    </row>
    <row r="213" ht="15" customHeight="1" s="80">
      <c r="G213" s="125">
        <f>IF($D213=0,0,$D213*$E213)</f>
        <v/>
      </c>
      <c r="H213" s="125">
        <f>IF($B213="","",CONCATENATE("Örnek kayıt: ",$B213))</f>
        <v/>
      </c>
    </row>
    <row r="214" ht="15" customHeight="1" s="80">
      <c r="G214" s="125">
        <f>IF($D214=0,0,$D214*$E214)</f>
        <v/>
      </c>
      <c r="H214" s="125">
        <f>IF($B214="","",CONCATENATE("Örnek kayıt: ",$B214))</f>
        <v/>
      </c>
    </row>
    <row r="215" ht="15" customHeight="1" s="80">
      <c r="G215" s="125">
        <f>IF($D215=0,0,$D215*$E215)</f>
        <v/>
      </c>
      <c r="H215" s="125">
        <f>IF($B215="","",CONCATENATE("Örnek kayıt: ",$B215))</f>
        <v/>
      </c>
    </row>
    <row r="216" ht="15" customHeight="1" s="80">
      <c r="G216" s="125">
        <f>IF($D216=0,0,$D216*$E216)</f>
        <v/>
      </c>
      <c r="H216" s="125">
        <f>IF($B216="","",CONCATENATE("Örnek kayıt: ",$B216))</f>
        <v/>
      </c>
    </row>
    <row r="217" ht="15" customHeight="1" s="80">
      <c r="G217" s="125">
        <f>IF($D217=0,0,$D217*$E217)</f>
        <v/>
      </c>
      <c r="H217" s="125">
        <f>IF($B217="","",CONCATENATE("Örnek kayıt: ",$B217))</f>
        <v/>
      </c>
    </row>
    <row r="218" ht="15" customHeight="1" s="80">
      <c r="G218" s="125">
        <f>IF($D218=0,0,$D218*$E218)</f>
        <v/>
      </c>
      <c r="H218" s="125">
        <f>IF($B218="","",CONCATENATE("Örnek kayıt: ",$B218))</f>
        <v/>
      </c>
    </row>
    <row r="219" ht="15" customHeight="1" s="80">
      <c r="G219" s="125">
        <f>IF($D219=0,0,$D219*$E219)</f>
        <v/>
      </c>
      <c r="H219" s="125">
        <f>IF($B219="","",CONCATENATE("Örnek kayıt: ",$B219))</f>
        <v/>
      </c>
    </row>
    <row r="220" ht="15" customHeight="1" s="80">
      <c r="G220" s="125">
        <f>IF($D220=0,0,$D220*$E220)</f>
        <v/>
      </c>
      <c r="H220" s="125">
        <f>IF($B220="","",CONCATENATE("Örnek kayıt: ",$B220))</f>
        <v/>
      </c>
    </row>
    <row r="221" ht="15" customHeight="1" s="80">
      <c r="G221" s="125">
        <f>IF($D221=0,0,$D221*$E221)</f>
        <v/>
      </c>
      <c r="H221" s="125">
        <f>IF($B221="","",CONCATENATE("Örnek kayıt: ",$B221))</f>
        <v/>
      </c>
    </row>
    <row r="222" ht="15" customHeight="1" s="80">
      <c r="G222" s="125">
        <f>IF($D222=0,0,$D222*$E222)</f>
        <v/>
      </c>
      <c r="H222" s="125">
        <f>IF($B222="","",CONCATENATE("Örnek kayıt: ",$B222))</f>
        <v/>
      </c>
    </row>
    <row r="223" ht="15" customHeight="1" s="80">
      <c r="G223" s="125">
        <f>IF($D223=0,0,$D223*$E223)</f>
        <v/>
      </c>
      <c r="H223" s="125">
        <f>IF($B223="","",CONCATENATE("Örnek kayıt: ",$B223))</f>
        <v/>
      </c>
    </row>
    <row r="224" ht="15" customHeight="1" s="80">
      <c r="G224" s="125">
        <f>IF($D224=0,0,$D224*$E224)</f>
        <v/>
      </c>
      <c r="H224" s="125">
        <f>IF($B224="","",CONCATENATE("Örnek kayıt: ",$B224))</f>
        <v/>
      </c>
    </row>
    <row r="225" ht="15" customHeight="1" s="80">
      <c r="G225" s="125">
        <f>IF($D225=0,0,$D225*$E225)</f>
        <v/>
      </c>
      <c r="H225" s="125">
        <f>IF($B225="","",CONCATENATE("Örnek kayıt: ",$B225))</f>
        <v/>
      </c>
    </row>
    <row r="226" ht="15" customHeight="1" s="80">
      <c r="G226" s="125">
        <f>IF($D226=0,0,$D226*$E226)</f>
        <v/>
      </c>
      <c r="H226" s="125">
        <f>IF($B226="","",CONCATENATE("Örnek kayıt: ",$B226))</f>
        <v/>
      </c>
    </row>
    <row r="227" ht="15" customHeight="1" s="80">
      <c r="G227" s="125">
        <f>IF($D227=0,0,$D227*$E227)</f>
        <v/>
      </c>
      <c r="H227" s="125">
        <f>IF($B227="","",CONCATENATE("Örnek kayıt: ",$B227))</f>
        <v/>
      </c>
    </row>
    <row r="228" ht="15" customHeight="1" s="80">
      <c r="G228" s="125">
        <f>IF($D228=0,0,$D228*$E228)</f>
        <v/>
      </c>
      <c r="H228" s="125">
        <f>IF($B228="","",CONCATENATE("Örnek kayıt: ",$B228))</f>
        <v/>
      </c>
    </row>
    <row r="229" ht="15" customHeight="1" s="80">
      <c r="G229" s="125">
        <f>IF($D229=0,0,$D229*$E229)</f>
        <v/>
      </c>
      <c r="H229" s="125">
        <f>IF($B229="","",CONCATENATE("Örnek kayıt: ",$B229))</f>
        <v/>
      </c>
    </row>
    <row r="230" ht="15" customHeight="1" s="80">
      <c r="G230" s="125">
        <f>IF($D230=0,0,$D230*$E230)</f>
        <v/>
      </c>
      <c r="H230" s="125">
        <f>IF($B230="","",CONCATENATE("Örnek kayıt: ",$B230))</f>
        <v/>
      </c>
    </row>
    <row r="231" ht="15" customHeight="1" s="80">
      <c r="G231" s="125">
        <f>IF($D231=0,0,$D231*$E231)</f>
        <v/>
      </c>
      <c r="H231" s="125">
        <f>IF($B231="","",CONCATENATE("Örnek kayıt: ",$B231))</f>
        <v/>
      </c>
    </row>
    <row r="232" ht="15" customHeight="1" s="80">
      <c r="G232" s="125">
        <f>IF($D232=0,0,$D232*$E232)</f>
        <v/>
      </c>
      <c r="H232" s="125">
        <f>IF($B232="","",CONCATENATE("Örnek kayıt: ",$B232))</f>
        <v/>
      </c>
    </row>
    <row r="233" ht="15" customHeight="1" s="80">
      <c r="G233" s="125">
        <f>IF($D233=0,0,$D233*$E233)</f>
        <v/>
      </c>
      <c r="H233" s="125">
        <f>IF($B233="","",CONCATENATE("Örnek kayıt: ",$B233))</f>
        <v/>
      </c>
    </row>
    <row r="234" ht="15" customHeight="1" s="80">
      <c r="G234" s="125">
        <f>IF($D234=0,0,$D234*$E234)</f>
        <v/>
      </c>
      <c r="H234" s="125">
        <f>IF($B234="","",CONCATENATE("Örnek kayıt: ",$B234))</f>
        <v/>
      </c>
    </row>
    <row r="235" ht="15" customHeight="1" s="80">
      <c r="G235" s="125">
        <f>IF($D235=0,0,$D235*$E235)</f>
        <v/>
      </c>
      <c r="H235" s="125">
        <f>IF($B235="","",CONCATENATE("Örnek kayıt: ",$B235))</f>
        <v/>
      </c>
    </row>
    <row r="236" ht="15" customHeight="1" s="80">
      <c r="G236" s="125">
        <f>IF($D236=0,0,$D236*$E236)</f>
        <v/>
      </c>
      <c r="H236" s="125">
        <f>IF($B236="","",CONCATENATE("Örnek kayıt: ",$B236))</f>
        <v/>
      </c>
    </row>
    <row r="237" ht="15" customHeight="1" s="80">
      <c r="G237" s="125">
        <f>IF($D237=0,0,$D237*$E237)</f>
        <v/>
      </c>
      <c r="H237" s="125">
        <f>IF($B237="","",CONCATENATE("Örnek kayıt: ",$B237))</f>
        <v/>
      </c>
    </row>
    <row r="238" ht="15" customHeight="1" s="80">
      <c r="G238" s="125">
        <f>IF($D238=0,0,$D238*$E238)</f>
        <v/>
      </c>
      <c r="H238" s="125">
        <f>IF($B238="","",CONCATENATE("Örnek kayıt: ",$B238))</f>
        <v/>
      </c>
    </row>
    <row r="239" ht="15" customHeight="1" s="80">
      <c r="G239" s="125">
        <f>IF($D239=0,0,$D239*$E239)</f>
        <v/>
      </c>
      <c r="H239" s="125">
        <f>IF($B239="","",CONCATENATE("Örnek kayıt: ",$B239))</f>
        <v/>
      </c>
    </row>
    <row r="240" ht="15" customHeight="1" s="80">
      <c r="G240" s="125">
        <f>IF($D240=0,0,$D240*$E240)</f>
        <v/>
      </c>
      <c r="H240" s="125">
        <f>IF($B240="","",CONCATENATE("Örnek kayıt: ",$B240))</f>
        <v/>
      </c>
    </row>
    <row r="241" ht="15" customHeight="1" s="80">
      <c r="G241" s="125">
        <f>IF($D241=0,0,$D241*$E241)</f>
        <v/>
      </c>
      <c r="H241" s="125">
        <f>IF($B241="","",CONCATENATE("Örnek kayıt: ",$B241))</f>
        <v/>
      </c>
    </row>
    <row r="242" ht="15" customHeight="1" s="80">
      <c r="G242" s="125">
        <f>IF($D242=0,0,$D242*$E242)</f>
        <v/>
      </c>
      <c r="H242" s="125">
        <f>IF($B242="","",CONCATENATE("Örnek kayıt: ",$B242))</f>
        <v/>
      </c>
    </row>
    <row r="243" ht="15" customHeight="1" s="80">
      <c r="G243" s="125">
        <f>IF($D243=0,0,$D243*$E243)</f>
        <v/>
      </c>
      <c r="H243" s="125">
        <f>IF($B243="","",CONCATENATE("Örnek kayıt: ",$B243))</f>
        <v/>
      </c>
    </row>
    <row r="244" ht="15" customHeight="1" s="80">
      <c r="G244" s="125">
        <f>IF($D244=0,0,$D244*$E244)</f>
        <v/>
      </c>
      <c r="H244" s="125">
        <f>IF($B244="","",CONCATENATE("Örnek kayıt: ",$B244))</f>
        <v/>
      </c>
    </row>
    <row r="245" ht="15" customHeight="1" s="80">
      <c r="G245" s="125">
        <f>IF($D245=0,0,$D245*$E245)</f>
        <v/>
      </c>
      <c r="H245" s="125">
        <f>IF($B245="","",CONCATENATE("Örnek kayıt: ",$B245))</f>
        <v/>
      </c>
    </row>
    <row r="246" ht="15" customHeight="1" s="80">
      <c r="G246" s="125">
        <f>IF($D246=0,0,$D246*$E246)</f>
        <v/>
      </c>
      <c r="H246" s="125">
        <f>IF($B246="","",CONCATENATE("Örnek kayıt: ",$B246))</f>
        <v/>
      </c>
    </row>
    <row r="247" ht="15" customHeight="1" s="80">
      <c r="G247" s="125">
        <f>IF($D247=0,0,$D247*$E247)</f>
        <v/>
      </c>
      <c r="H247" s="125">
        <f>IF($B247="","",CONCATENATE("Örnek kayıt: ",$B247))</f>
        <v/>
      </c>
    </row>
    <row r="248" ht="15" customHeight="1" s="80">
      <c r="G248" s="125">
        <f>IF($D248=0,0,$D248*$E248)</f>
        <v/>
      </c>
      <c r="H248" s="125">
        <f>IF($B248="","",CONCATENATE("Örnek kayıt: ",$B248))</f>
        <v/>
      </c>
    </row>
    <row r="249" ht="15" customHeight="1" s="80">
      <c r="G249" s="125">
        <f>IF($D249=0,0,$D249*$E249)</f>
        <v/>
      </c>
      <c r="H249" s="125">
        <f>IF($B249="","",CONCATENATE("Örnek kayıt: ",$B249))</f>
        <v/>
      </c>
    </row>
    <row r="250" ht="15" customHeight="1" s="80">
      <c r="G250" s="125">
        <f>IF($D250=0,0,$D250*$E250)</f>
        <v/>
      </c>
      <c r="H250" s="125">
        <f>IF($B250="","",CONCATENATE("Örnek kayıt: ",$B250))</f>
        <v/>
      </c>
    </row>
    <row r="251" ht="15" customHeight="1" s="80">
      <c r="G251" s="125">
        <f>IF($D251=0,0,$D251*$E251)</f>
        <v/>
      </c>
      <c r="H251" s="125">
        <f>IF($B251="","",CONCATENATE("Örnek kayıt: ",$B251))</f>
        <v/>
      </c>
    </row>
    <row r="252" ht="15" customHeight="1" s="80">
      <c r="G252" s="125">
        <f>IF($D252=0,0,$D252*$E252)</f>
        <v/>
      </c>
      <c r="H252" s="125">
        <f>IF($B252="","",CONCATENATE("Örnek kayıt: ",$B252))</f>
        <v/>
      </c>
    </row>
    <row r="253" ht="15" customHeight="1" s="80">
      <c r="G253" s="125">
        <f>IF($D253=0,0,$D253*$E253)</f>
        <v/>
      </c>
      <c r="H253" s="125">
        <f>IF($B253="","",CONCATENATE("Örnek kayıt: ",$B253))</f>
        <v/>
      </c>
    </row>
    <row r="254" ht="15" customHeight="1" s="80">
      <c r="G254" s="125">
        <f>IF($D254=0,0,$D254*$E254)</f>
        <v/>
      </c>
      <c r="H254" s="125">
        <f>IF($B254="","",CONCATENATE("Örnek kayıt: ",$B254))</f>
        <v/>
      </c>
    </row>
    <row r="255" ht="15" customHeight="1" s="80">
      <c r="G255" s="125">
        <f>IF($D255=0,0,$D255*$E255)</f>
        <v/>
      </c>
      <c r="H255" s="125">
        <f>IF($B255="","",CONCATENATE("Örnek kayıt: ",$B255))</f>
        <v/>
      </c>
    </row>
    <row r="256" ht="15" customHeight="1" s="80">
      <c r="G256" s="125">
        <f>IF($D256=0,0,$D256*$E256)</f>
        <v/>
      </c>
      <c r="H256" s="125">
        <f>IF($B256="","",CONCATENATE("Örnek kayıt: ",$B256))</f>
        <v/>
      </c>
    </row>
    <row r="257" ht="15" customHeight="1" s="80">
      <c r="G257" s="125">
        <f>IF($D257=0,0,$D257*$E257)</f>
        <v/>
      </c>
      <c r="H257" s="125">
        <f>IF($B257="","",CONCATENATE("Örnek kayıt: ",$B257))</f>
        <v/>
      </c>
    </row>
    <row r="258" ht="15" customHeight="1" s="80">
      <c r="G258" s="125">
        <f>IF($D258=0,0,$D258*$E258)</f>
        <v/>
      </c>
      <c r="H258" s="125">
        <f>IF($B258="","",CONCATENATE("Örnek kayıt: ",$B258))</f>
        <v/>
      </c>
    </row>
    <row r="259" ht="15" customHeight="1" s="80">
      <c r="G259" s="125">
        <f>IF($D259=0,0,$D259*$E259)</f>
        <v/>
      </c>
      <c r="H259" s="125">
        <f>IF($B259="","",CONCATENATE("Örnek kayıt: ",$B259))</f>
        <v/>
      </c>
    </row>
    <row r="260" ht="15" customHeight="1" s="80">
      <c r="G260" s="125">
        <f>IF($D260=0,0,$D260*$E260)</f>
        <v/>
      </c>
      <c r="H260" s="125">
        <f>IF($B260="","",CONCATENATE("Örnek kayıt: ",$B260))</f>
        <v/>
      </c>
    </row>
    <row r="261" ht="15" customHeight="1" s="80">
      <c r="G261" s="125">
        <f>IF($D261=0,0,$D261*$E261)</f>
        <v/>
      </c>
      <c r="H261" s="125">
        <f>IF($B261="","",CONCATENATE("Örnek kayıt: ",$B261))</f>
        <v/>
      </c>
    </row>
    <row r="262" ht="15" customHeight="1" s="80">
      <c r="G262" s="125">
        <f>IF($D262=0,0,$D262*$E262)</f>
        <v/>
      </c>
      <c r="H262" s="125">
        <f>IF($B262="","",CONCATENATE("Örnek kayıt: ",$B262))</f>
        <v/>
      </c>
    </row>
    <row r="263" ht="15" customHeight="1" s="80">
      <c r="G263" s="125">
        <f>IF($D263=0,0,$D263*$E263)</f>
        <v/>
      </c>
      <c r="H263" s="125">
        <f>IF($B263="","",CONCATENATE("Örnek kayıt: ",$B263))</f>
        <v/>
      </c>
    </row>
    <row r="264" ht="15" customHeight="1" s="80">
      <c r="G264" s="125">
        <f>IF($D264=0,0,$D264*$E264)</f>
        <v/>
      </c>
      <c r="H264" s="125">
        <f>IF($B264="","",CONCATENATE("Örnek kayıt: ",$B264))</f>
        <v/>
      </c>
    </row>
    <row r="265" ht="15" customHeight="1" s="80">
      <c r="G265" s="125">
        <f>IF($D265=0,0,$D265*$E265)</f>
        <v/>
      </c>
      <c r="H265" s="125">
        <f>IF($B265="","",CONCATENATE("Örnek kayıt: ",$B265))</f>
        <v/>
      </c>
    </row>
    <row r="266" ht="15" customHeight="1" s="80">
      <c r="G266" s="125">
        <f>IF($D266=0,0,$D266*$E266)</f>
        <v/>
      </c>
      <c r="H266" s="125">
        <f>IF($B266="","",CONCATENATE("Örnek kayıt: ",$B266))</f>
        <v/>
      </c>
    </row>
    <row r="267" ht="15" customHeight="1" s="80">
      <c r="G267" s="125">
        <f>IF($D267=0,0,$D267*$E267)</f>
        <v/>
      </c>
      <c r="H267" s="125">
        <f>IF($B267="","",CONCATENATE("Örnek kayıt: ",$B267))</f>
        <v/>
      </c>
    </row>
    <row r="268" ht="15" customHeight="1" s="80">
      <c r="G268" s="125">
        <f>IF($D268=0,0,$D268*$E268)</f>
        <v/>
      </c>
      <c r="H268" s="125">
        <f>IF($B268="","",CONCATENATE("Örnek kayıt: ",$B268))</f>
        <v/>
      </c>
    </row>
    <row r="269" ht="15" customHeight="1" s="80">
      <c r="G269" s="125">
        <f>IF($D269=0,0,$D269*$E269)</f>
        <v/>
      </c>
      <c r="H269" s="125">
        <f>IF($B269="","",CONCATENATE("Örnek kayıt: ",$B269))</f>
        <v/>
      </c>
    </row>
    <row r="270" ht="15" customHeight="1" s="80">
      <c r="G270" s="125">
        <f>IF($D270=0,0,$D270*$E270)</f>
        <v/>
      </c>
      <c r="H270" s="125">
        <f>IF($B270="","",CONCATENATE("Örnek kayıt: ",$B270))</f>
        <v/>
      </c>
    </row>
    <row r="271" ht="15" customHeight="1" s="80">
      <c r="G271" s="125">
        <f>IF($D271=0,0,$D271*$E271)</f>
        <v/>
      </c>
      <c r="H271" s="125">
        <f>IF($B271="","",CONCATENATE("Örnek kayıt: ",$B271))</f>
        <v/>
      </c>
    </row>
    <row r="272" ht="15" customHeight="1" s="80">
      <c r="G272" s="125">
        <f>IF($D272=0,0,$D272*$E272)</f>
        <v/>
      </c>
      <c r="H272" s="125">
        <f>IF($B272="","",CONCATENATE("Örnek kayıt: ",$B272))</f>
        <v/>
      </c>
    </row>
    <row r="273" ht="15" customHeight="1" s="80">
      <c r="G273" s="125">
        <f>IF($D273=0,0,$D273*$E273)</f>
        <v/>
      </c>
      <c r="H273" s="125">
        <f>IF($B273="","",CONCATENATE("Örnek kayıt: ",$B273))</f>
        <v/>
      </c>
    </row>
    <row r="274" ht="15" customHeight="1" s="80">
      <c r="G274" s="125">
        <f>IF($D274=0,0,$D274*$E274)</f>
        <v/>
      </c>
      <c r="H274" s="125">
        <f>IF($B274="","",CONCATENATE("Örnek kayıt: ",$B274))</f>
        <v/>
      </c>
    </row>
    <row r="275" ht="15" customHeight="1" s="80">
      <c r="G275" s="125">
        <f>IF($D275=0,0,$D275*$E275)</f>
        <v/>
      </c>
      <c r="H275" s="125">
        <f>IF($B275="","",CONCATENATE("Örnek kayıt: ",$B275))</f>
        <v/>
      </c>
    </row>
    <row r="276" ht="15" customHeight="1" s="80">
      <c r="G276" s="125">
        <f>IF($D276=0,0,$D276*$E276)</f>
        <v/>
      </c>
      <c r="H276" s="125">
        <f>IF($B276="","",CONCATENATE("Örnek kayıt: ",$B276))</f>
        <v/>
      </c>
    </row>
    <row r="277" ht="15" customHeight="1" s="80">
      <c r="G277" s="125">
        <f>IF($D277=0,0,$D277*$E277)</f>
        <v/>
      </c>
      <c r="H277" s="125">
        <f>IF($B277="","",CONCATENATE("Örnek kayıt: ",$B277))</f>
        <v/>
      </c>
    </row>
    <row r="278" ht="15" customHeight="1" s="80">
      <c r="G278" s="125">
        <f>IF($D278=0,0,$D278*$E278)</f>
        <v/>
      </c>
      <c r="H278" s="125">
        <f>IF($B278="","",CONCATENATE("Örnek kayıt: ",$B278))</f>
        <v/>
      </c>
    </row>
    <row r="279" ht="15" customHeight="1" s="80">
      <c r="G279" s="125">
        <f>IF($D279=0,0,$D279*$E279)</f>
        <v/>
      </c>
      <c r="H279" s="125">
        <f>IF($B279="","",CONCATENATE("Örnek kayıt: ",$B279))</f>
        <v/>
      </c>
    </row>
    <row r="280" ht="15" customHeight="1" s="80">
      <c r="G280" s="125">
        <f>IF($D280=0,0,$D280*$E280)</f>
        <v/>
      </c>
      <c r="H280" s="125">
        <f>IF($B280="","",CONCATENATE("Örnek kayıt: ",$B280))</f>
        <v/>
      </c>
    </row>
    <row r="281" ht="15" customHeight="1" s="80">
      <c r="G281" s="125">
        <f>IF($D281=0,0,$D281*$E281)</f>
        <v/>
      </c>
      <c r="H281" s="125">
        <f>IF($B281="","",CONCATENATE("Örnek kayıt: ",$B281))</f>
        <v/>
      </c>
    </row>
    <row r="282" ht="15" customHeight="1" s="80">
      <c r="G282" s="125">
        <f>IF($D282=0,0,$D282*$E282)</f>
        <v/>
      </c>
      <c r="H282" s="125">
        <f>IF($B282="","",CONCATENATE("Örnek kayıt: ",$B282))</f>
        <v/>
      </c>
    </row>
    <row r="283" ht="15" customHeight="1" s="80">
      <c r="G283" s="125">
        <f>IF($D283=0,0,$D283*$E283)</f>
        <v/>
      </c>
      <c r="H283" s="125">
        <f>IF($B283="","",CONCATENATE("Örnek kayıt: ",$B283))</f>
        <v/>
      </c>
    </row>
    <row r="284" ht="15" customHeight="1" s="80">
      <c r="G284" s="125">
        <f>IF($D284=0,0,$D284*$E284)</f>
        <v/>
      </c>
      <c r="H284" s="125">
        <f>IF($B284="","",CONCATENATE("Örnek kayıt: ",$B284))</f>
        <v/>
      </c>
    </row>
    <row r="285" ht="15" customHeight="1" s="80">
      <c r="G285" s="125">
        <f>IF($D285=0,0,$D285*$E285)</f>
        <v/>
      </c>
      <c r="H285" s="125">
        <f>IF($B285="","",CONCATENATE("Örnek kayıt: ",$B285))</f>
        <v/>
      </c>
    </row>
    <row r="286" ht="15" customHeight="1" s="80">
      <c r="G286" s="125">
        <f>IF($D286=0,0,$D286*$E286)</f>
        <v/>
      </c>
      <c r="H286" s="125">
        <f>IF($B286="","",CONCATENATE("Örnek kayıt: ",$B286))</f>
        <v/>
      </c>
    </row>
    <row r="287" ht="15" customHeight="1" s="80">
      <c r="G287" s="125">
        <f>IF($D287=0,0,$D287*$E287)</f>
        <v/>
      </c>
      <c r="H287" s="125">
        <f>IF($B287="","",CONCATENATE("Örnek kayıt: ",$B287))</f>
        <v/>
      </c>
    </row>
    <row r="288" ht="15" customHeight="1" s="80">
      <c r="G288" s="125">
        <f>IF($D288=0,0,$D288*$E288)</f>
        <v/>
      </c>
      <c r="H288" s="125">
        <f>IF($B288="","",CONCATENATE("Örnek kayıt: ",$B288))</f>
        <v/>
      </c>
    </row>
    <row r="289" ht="15" customHeight="1" s="80">
      <c r="G289" s="125">
        <f>IF($D289=0,0,$D289*$E289)</f>
        <v/>
      </c>
      <c r="H289" s="125">
        <f>IF($B289="","",CONCATENATE("Örnek kayıt: ",$B289))</f>
        <v/>
      </c>
    </row>
    <row r="290" ht="15" customHeight="1" s="80">
      <c r="G290" s="125">
        <f>IF($D290=0,0,$D290*$E290)</f>
        <v/>
      </c>
      <c r="H290" s="125">
        <f>IF($B290="","",CONCATENATE("Örnek kayıt: ",$B290))</f>
        <v/>
      </c>
    </row>
    <row r="291" ht="15" customHeight="1" s="80">
      <c r="G291" s="125">
        <f>IF($D291=0,0,$D291*$E291)</f>
        <v/>
      </c>
      <c r="H291" s="125">
        <f>IF($B291="","",CONCATENATE("Örnek kayıt: ",$B291))</f>
        <v/>
      </c>
    </row>
    <row r="292" ht="15" customHeight="1" s="80">
      <c r="G292" s="125">
        <f>IF($D292=0,0,$D292*$E292)</f>
        <v/>
      </c>
      <c r="H292" s="125">
        <f>IF($B292="","",CONCATENATE("Örnek kayıt: ",$B292))</f>
        <v/>
      </c>
    </row>
    <row r="293" ht="15" customHeight="1" s="80">
      <c r="G293" s="125">
        <f>IF($D293=0,0,$D293*$E293)</f>
        <v/>
      </c>
      <c r="H293" s="125">
        <f>IF($B293="","",CONCATENATE("Örnek kayıt: ",$B293))</f>
        <v/>
      </c>
    </row>
    <row r="294" ht="15" customHeight="1" s="80">
      <c r="G294" s="125">
        <f>IF($D294=0,0,$D294*$E294)</f>
        <v/>
      </c>
      <c r="H294" s="125">
        <f>IF($B294="","",CONCATENATE("Örnek kayıt: ",$B294))</f>
        <v/>
      </c>
    </row>
    <row r="295" ht="15" customHeight="1" s="80">
      <c r="G295" s="125">
        <f>IF($D295=0,0,$D295*$E295)</f>
        <v/>
      </c>
      <c r="H295" s="125">
        <f>IF($B295="","",CONCATENATE("Örnek kayıt: ",$B295))</f>
        <v/>
      </c>
    </row>
    <row r="296" ht="15" customHeight="1" s="80">
      <c r="G296" s="125">
        <f>IF($D296=0,0,$D296*$E296)</f>
        <v/>
      </c>
      <c r="H296" s="125">
        <f>IF($B296="","",CONCATENATE("Örnek kayıt: ",$B296))</f>
        <v/>
      </c>
    </row>
    <row r="297" ht="15" customHeight="1" s="80">
      <c r="G297" s="125">
        <f>IF($D297=0,0,$D297*$E297)</f>
        <v/>
      </c>
      <c r="H297" s="125">
        <f>IF($B297="","",CONCATENATE("Örnek kayıt: ",$B297))</f>
        <v/>
      </c>
    </row>
    <row r="298" ht="15" customHeight="1" s="80">
      <c r="G298" s="125">
        <f>IF($D298=0,0,$D298*$E298)</f>
        <v/>
      </c>
      <c r="H298" s="125">
        <f>IF($B298="","",CONCATENATE("Örnek kayıt: ",$B298))</f>
        <v/>
      </c>
    </row>
    <row r="299" ht="15" customHeight="1" s="80">
      <c r="G299" s="125">
        <f>IF($D299=0,0,$D299*$E299)</f>
        <v/>
      </c>
      <c r="H299" s="125">
        <f>IF($B299="","",CONCATENATE("Örnek kayıt: ",$B299))</f>
        <v/>
      </c>
    </row>
    <row r="300" ht="15" customHeight="1" s="80">
      <c r="G300" s="125">
        <f>IF($D300=0,0,$D300*$E300)</f>
        <v/>
      </c>
      <c r="H300" s="125">
        <f>IF($B300="","",CONCATENATE("Örnek kayıt: ",$B300))</f>
        <v/>
      </c>
    </row>
    <row r="301" ht="15" customHeight="1" s="80">
      <c r="G301" s="125">
        <f>IF($D301=0,0,$D301*$E301)</f>
        <v/>
      </c>
      <c r="H301" s="125">
        <f>IF($B301="","",CONCATENATE("Örnek kayıt: ",$B301))</f>
        <v/>
      </c>
    </row>
    <row r="302" ht="15" customHeight="1" s="80">
      <c r="G302" s="125">
        <f>IF($D302=0,0,$D302*$E302)</f>
        <v/>
      </c>
      <c r="H302" s="125">
        <f>IF($B302="","",CONCATENATE("Örnek kayıt: ",$B302))</f>
        <v/>
      </c>
    </row>
    <row r="303" ht="15" customHeight="1" s="80">
      <c r="G303" s="125">
        <f>IF($D303=0,0,$D303*$E303)</f>
        <v/>
      </c>
      <c r="H303" s="125">
        <f>IF($B303="","",CONCATENATE("Örnek kayıt: ",$B303))</f>
        <v/>
      </c>
    </row>
    <row r="304" ht="15" customHeight="1" s="80">
      <c r="G304" s="125">
        <f>IF($D304=0,0,$D304*$E304)</f>
        <v/>
      </c>
      <c r="H304" s="125">
        <f>IF($B304="","",CONCATENATE("Örnek kayıt: ",$B304))</f>
        <v/>
      </c>
    </row>
    <row r="305" ht="15" customHeight="1" s="80">
      <c r="G305" s="125">
        <f>IF($D305=0,0,$D305*$E305)</f>
        <v/>
      </c>
      <c r="H305" s="125">
        <f>IF($B305="","",CONCATENATE("Örnek kayıt: ",$B305))</f>
        <v/>
      </c>
    </row>
    <row r="306" ht="15" customHeight="1" s="80">
      <c r="G306" s="125">
        <f>IF($D306=0,0,$D306*$E306)</f>
        <v/>
      </c>
      <c r="H306" s="125">
        <f>IF($B306="","",CONCATENATE("Örnek kayıt: ",$B306))</f>
        <v/>
      </c>
    </row>
    <row r="307" ht="15" customHeight="1" s="80">
      <c r="G307" s="125">
        <f>IF($D307=0,0,$D307*$E307)</f>
        <v/>
      </c>
      <c r="H307" s="125">
        <f>IF($B307="","",CONCATENATE("Örnek kayıt: ",$B307))</f>
        <v/>
      </c>
    </row>
    <row r="308" ht="15" customHeight="1" s="80">
      <c r="G308" s="125">
        <f>IF($D308=0,0,$D308*$E308)</f>
        <v/>
      </c>
      <c r="H308" s="125">
        <f>IF($B308="","",CONCATENATE("Örnek kayıt: ",$B308))</f>
        <v/>
      </c>
    </row>
    <row r="309" ht="15" customHeight="1" s="80">
      <c r="G309" s="125">
        <f>IF($D309=0,0,$D309*$E309)</f>
        <v/>
      </c>
      <c r="H309" s="125">
        <f>IF($B309="","",CONCATENATE("Örnek kayıt: ",$B309))</f>
        <v/>
      </c>
    </row>
    <row r="310" ht="15" customHeight="1" s="80">
      <c r="G310" s="125">
        <f>IF($D310=0,0,$D310*$E310)</f>
        <v/>
      </c>
      <c r="H310" s="125">
        <f>IF($B310="","",CONCATENATE("Örnek kayıt: ",$B310))</f>
        <v/>
      </c>
    </row>
    <row r="311" ht="15" customHeight="1" s="80">
      <c r="G311" s="125">
        <f>IF($D311=0,0,$D311*$E311)</f>
        <v/>
      </c>
      <c r="H311" s="125">
        <f>IF($B311="","",CONCATENATE("Örnek kayıt: ",$B311))</f>
        <v/>
      </c>
    </row>
    <row r="312" ht="15" customHeight="1" s="80">
      <c r="G312" s="125">
        <f>IF($D312=0,0,$D312*$E312)</f>
        <v/>
      </c>
      <c r="H312" s="125">
        <f>IF($B312="","",CONCATENATE("Örnek kayıt: ",$B312))</f>
        <v/>
      </c>
    </row>
    <row r="313" ht="15" customHeight="1" s="80">
      <c r="G313" s="125">
        <f>IF($D313=0,0,$D313*$E313)</f>
        <v/>
      </c>
      <c r="H313" s="125">
        <f>IF($B313="","",CONCATENATE("Örnek kayıt: ",$B313))</f>
        <v/>
      </c>
    </row>
    <row r="314" ht="15" customHeight="1" s="80">
      <c r="G314" s="125">
        <f>IF($D314=0,0,$D314*$E314)</f>
        <v/>
      </c>
      <c r="H314" s="125">
        <f>IF($B314="","",CONCATENATE("Örnek kayıt: ",$B314))</f>
        <v/>
      </c>
    </row>
    <row r="315" ht="15" customHeight="1" s="80">
      <c r="G315" s="125">
        <f>IF($D315=0,0,$D315*$E315)</f>
        <v/>
      </c>
      <c r="H315" s="125">
        <f>IF($B315="","",CONCATENATE("Örnek kayıt: ",$B315))</f>
        <v/>
      </c>
    </row>
    <row r="316" ht="15" customHeight="1" s="80">
      <c r="G316" s="125">
        <f>IF($D316=0,0,$D316*$E316)</f>
        <v/>
      </c>
      <c r="H316" s="125">
        <f>IF($B316="","",CONCATENATE("Örnek kayıt: ",$B316))</f>
        <v/>
      </c>
    </row>
    <row r="317" ht="15" customHeight="1" s="80">
      <c r="G317" s="125">
        <f>IF($D317=0,0,$D317*$E317)</f>
        <v/>
      </c>
      <c r="H317" s="125">
        <f>IF($B317="","",CONCATENATE("Örnek kayıt: ",$B317))</f>
        <v/>
      </c>
    </row>
    <row r="318" ht="15" customHeight="1" s="80">
      <c r="G318" s="125">
        <f>IF($D318=0,0,$D318*$E318)</f>
        <v/>
      </c>
      <c r="H318" s="125">
        <f>IF($B318="","",CONCATENATE("Örnek kayıt: ",$B318))</f>
        <v/>
      </c>
    </row>
    <row r="319" ht="15" customHeight="1" s="80">
      <c r="G319" s="125">
        <f>IF($D319=0,0,$D319*$E319)</f>
        <v/>
      </c>
      <c r="H319" s="125">
        <f>IF($B319="","",CONCATENATE("Örnek kayıt: ",$B319))</f>
        <v/>
      </c>
    </row>
    <row r="320" ht="15" customHeight="1" s="80">
      <c r="G320" s="125">
        <f>IF($D320=0,0,$D320*$E320)</f>
        <v/>
      </c>
      <c r="H320" s="125">
        <f>IF($B320="","",CONCATENATE("Örnek kayıt: ",$B320))</f>
        <v/>
      </c>
    </row>
    <row r="321" ht="15" customHeight="1" s="80">
      <c r="G321" s="125">
        <f>IF($D321=0,0,$D321*$E321)</f>
        <v/>
      </c>
      <c r="H321" s="125">
        <f>IF($B321="","",CONCATENATE("Örnek kayıt: ",$B321))</f>
        <v/>
      </c>
    </row>
    <row r="322" ht="15" customHeight="1" s="80">
      <c r="G322" s="125">
        <f>IF($D322=0,0,$D322*$E322)</f>
        <v/>
      </c>
      <c r="H322" s="125">
        <f>IF($B322="","",CONCATENATE("Örnek kayıt: ",$B322))</f>
        <v/>
      </c>
    </row>
    <row r="323" ht="15" customHeight="1" s="80">
      <c r="G323" s="125">
        <f>IF($D323=0,0,$D323*$E323)</f>
        <v/>
      </c>
      <c r="H323" s="125">
        <f>IF($B323="","",CONCATENATE("Örnek kayıt: ",$B323))</f>
        <v/>
      </c>
    </row>
    <row r="324" ht="15" customHeight="1" s="80">
      <c r="G324" s="125">
        <f>IF($D324=0,0,$D324*$E324)</f>
        <v/>
      </c>
      <c r="H324" s="125">
        <f>IF($B324="","",CONCATENATE("Örnek kayıt: ",$B324))</f>
        <v/>
      </c>
    </row>
    <row r="325" ht="15" customHeight="1" s="80">
      <c r="G325" s="125">
        <f>IF($D325=0,0,$D325*$E325)</f>
        <v/>
      </c>
      <c r="H325" s="125">
        <f>IF($B325="","",CONCATENATE("Örnek kayıt: ",$B325))</f>
        <v/>
      </c>
    </row>
    <row r="326" ht="15" customHeight="1" s="80">
      <c r="G326" s="125">
        <f>IF($D326=0,0,$D326*$E326)</f>
        <v/>
      </c>
      <c r="H326" s="125">
        <f>IF($B326="","",CONCATENATE("Örnek kayıt: ",$B326))</f>
        <v/>
      </c>
    </row>
    <row r="327" ht="15" customHeight="1" s="80">
      <c r="G327" s="125">
        <f>IF($D327=0,0,$D327*$E327)</f>
        <v/>
      </c>
      <c r="H327" s="125">
        <f>IF($B327="","",CONCATENATE("Örnek kayıt: ",$B327))</f>
        <v/>
      </c>
    </row>
    <row r="328" ht="15" customHeight="1" s="80">
      <c r="G328" s="125">
        <f>IF($D328=0,0,$D328*$E328)</f>
        <v/>
      </c>
      <c r="H328" s="125">
        <f>IF($B328="","",CONCATENATE("Örnek kayıt: ",$B328))</f>
        <v/>
      </c>
    </row>
    <row r="329" ht="15" customHeight="1" s="80">
      <c r="G329" s="125">
        <f>IF($D329=0,0,$D329*$E329)</f>
        <v/>
      </c>
      <c r="H329" s="125">
        <f>IF($B329="","",CONCATENATE("Örnek kayıt: ",$B329))</f>
        <v/>
      </c>
    </row>
    <row r="330" ht="15" customHeight="1" s="80">
      <c r="G330" s="125">
        <f>IF($D330=0,0,$D330*$E330)</f>
        <v/>
      </c>
      <c r="H330" s="125">
        <f>IF($B330="","",CONCATENATE("Örnek kayıt: ",$B330))</f>
        <v/>
      </c>
    </row>
    <row r="331" ht="15" customHeight="1" s="80">
      <c r="G331" s="125">
        <f>IF($D331=0,0,$D331*$E331)</f>
        <v/>
      </c>
      <c r="H331" s="125">
        <f>IF($B331="","",CONCATENATE("Örnek kayıt: ",$B331))</f>
        <v/>
      </c>
    </row>
    <row r="332" ht="15" customHeight="1" s="80">
      <c r="G332" s="125">
        <f>IF($D332=0,0,$D332*$E332)</f>
        <v/>
      </c>
      <c r="H332" s="125">
        <f>IF($B332="","",CONCATENATE("Örnek kayıt: ",$B332))</f>
        <v/>
      </c>
    </row>
    <row r="333" ht="15" customHeight="1" s="80">
      <c r="G333" s="125">
        <f>IF($D333=0,0,$D333*$E333)</f>
        <v/>
      </c>
      <c r="H333" s="125">
        <f>IF($B333="","",CONCATENATE("Örnek kayıt: ",$B333))</f>
        <v/>
      </c>
    </row>
    <row r="334" ht="15" customHeight="1" s="80">
      <c r="G334" s="125">
        <f>IF($D334=0,0,$D334*$E334)</f>
        <v/>
      </c>
      <c r="H334" s="125">
        <f>IF($B334="","",CONCATENATE("Örnek kayıt: ",$B334))</f>
        <v/>
      </c>
    </row>
    <row r="335" ht="15" customHeight="1" s="80">
      <c r="G335" s="125">
        <f>IF($D335=0,0,$D335*$E335)</f>
        <v/>
      </c>
      <c r="H335" s="125">
        <f>IF($B335="","",CONCATENATE("Örnek kayıt: ",$B335))</f>
        <v/>
      </c>
    </row>
    <row r="336" ht="15" customHeight="1" s="80">
      <c r="G336" s="125">
        <f>IF($D336=0,0,$D336*$E336)</f>
        <v/>
      </c>
      <c r="H336" s="125">
        <f>IF($B336="","",CONCATENATE("Örnek kayıt: ",$B336))</f>
        <v/>
      </c>
    </row>
    <row r="337" ht="15" customHeight="1" s="80">
      <c r="G337" s="125">
        <f>IF($D337=0,0,$D337*$E337)</f>
        <v/>
      </c>
      <c r="H337" s="125">
        <f>IF($B337="","",CONCATENATE("Örnek kayıt: ",$B337))</f>
        <v/>
      </c>
    </row>
    <row r="338" ht="15" customHeight="1" s="80">
      <c r="G338" s="125">
        <f>IF($D338=0,0,$D338*$E338)</f>
        <v/>
      </c>
      <c r="H338" s="125">
        <f>IF($B338="","",CONCATENATE("Örnek kayıt: ",$B338))</f>
        <v/>
      </c>
    </row>
    <row r="339" ht="15" customHeight="1" s="80">
      <c r="G339" s="125">
        <f>IF($D339=0,0,$D339*$E339)</f>
        <v/>
      </c>
      <c r="H339" s="125">
        <f>IF($B339="","",CONCATENATE("Örnek kayıt: ",$B339))</f>
        <v/>
      </c>
    </row>
    <row r="340" ht="15" customHeight="1" s="80">
      <c r="G340" s="125">
        <f>IF($D340=0,0,$D340*$E340)</f>
        <v/>
      </c>
      <c r="H340" s="125">
        <f>IF($B340="","",CONCATENATE("Örnek kayıt: ",$B340))</f>
        <v/>
      </c>
    </row>
    <row r="341" ht="15" customHeight="1" s="80">
      <c r="G341" s="125">
        <f>IF($D341=0,0,$D341*$E341)</f>
        <v/>
      </c>
      <c r="H341" s="125">
        <f>IF($B341="","",CONCATENATE("Örnek kayıt: ",$B341))</f>
        <v/>
      </c>
    </row>
    <row r="342" ht="15" customHeight="1" s="80">
      <c r="G342" s="125">
        <f>IF($D342=0,0,$D342*$E342)</f>
        <v/>
      </c>
      <c r="H342" s="125">
        <f>IF($B342="","",CONCATENATE("Örnek kayıt: ",$B342))</f>
        <v/>
      </c>
    </row>
    <row r="343" ht="15" customHeight="1" s="80">
      <c r="G343" s="125">
        <f>IF($D343=0,0,$D343*$E343)</f>
        <v/>
      </c>
      <c r="H343" s="125">
        <f>IF($B343="","",CONCATENATE("Örnek kayıt: ",$B343))</f>
        <v/>
      </c>
    </row>
    <row r="344" ht="15" customHeight="1" s="80">
      <c r="G344" s="125">
        <f>IF($D344=0,0,$D344*$E344)</f>
        <v/>
      </c>
      <c r="H344" s="125">
        <f>IF($B344="","",CONCATENATE("Örnek kayıt: ",$B344))</f>
        <v/>
      </c>
    </row>
    <row r="345" ht="15" customHeight="1" s="80">
      <c r="G345" s="125">
        <f>IF($D345=0,0,$D345*$E345)</f>
        <v/>
      </c>
      <c r="H345" s="125">
        <f>IF($B345="","",CONCATENATE("Örnek kayıt: ",$B345))</f>
        <v/>
      </c>
    </row>
    <row r="346" ht="15" customHeight="1" s="80">
      <c r="G346" s="125">
        <f>IF($D346=0,0,$D346*$E346)</f>
        <v/>
      </c>
      <c r="H346" s="125">
        <f>IF($B346="","",CONCATENATE("Örnek kayıt: ",$B346))</f>
        <v/>
      </c>
    </row>
    <row r="347" ht="15" customHeight="1" s="80">
      <c r="G347" s="125">
        <f>IF($D347=0,0,$D347*$E347)</f>
        <v/>
      </c>
      <c r="H347" s="125">
        <f>IF($B347="","",CONCATENATE("Örnek kayıt: ",$B347))</f>
        <v/>
      </c>
    </row>
    <row r="348" ht="15" customHeight="1" s="80">
      <c r="G348" s="125">
        <f>IF($D348=0,0,$D348*$E348)</f>
        <v/>
      </c>
      <c r="H348" s="125">
        <f>IF($B348="","",CONCATENATE("Örnek kayıt: ",$B348))</f>
        <v/>
      </c>
    </row>
    <row r="349" ht="15" customHeight="1" s="80">
      <c r="G349" s="125">
        <f>IF($D349=0,0,$D349*$E349)</f>
        <v/>
      </c>
      <c r="H349" s="125">
        <f>IF($B349="","",CONCATENATE("Örnek kayıt: ",$B349))</f>
        <v/>
      </c>
    </row>
    <row r="350" ht="15" customHeight="1" s="80">
      <c r="G350" s="125">
        <f>IF($D350=0,0,$D350*$E350)</f>
        <v/>
      </c>
      <c r="H350" s="125">
        <f>IF($B350="","",CONCATENATE("Örnek kayıt: ",$B350))</f>
        <v/>
      </c>
    </row>
    <row r="351" ht="15" customHeight="1" s="80">
      <c r="G351" s="125">
        <f>IF($D351=0,0,$D351*$E351)</f>
        <v/>
      </c>
      <c r="H351" s="125">
        <f>IF($B351="","",CONCATENATE("Örnek kayıt: ",$B351))</f>
        <v/>
      </c>
    </row>
    <row r="352" ht="15" customHeight="1" s="80">
      <c r="G352" s="125">
        <f>IF($D352=0,0,$D352*$E352)</f>
        <v/>
      </c>
      <c r="H352" s="125">
        <f>IF($B352="","",CONCATENATE("Örnek kayıt: ",$B352))</f>
        <v/>
      </c>
    </row>
    <row r="353" ht="15" customHeight="1" s="80">
      <c r="G353" s="125">
        <f>IF($D353=0,0,$D353*$E353)</f>
        <v/>
      </c>
      <c r="H353" s="125">
        <f>IF($B353="","",CONCATENATE("Örnek kayıt: ",$B353))</f>
        <v/>
      </c>
    </row>
    <row r="354" ht="15" customHeight="1" s="80">
      <c r="G354" s="125">
        <f>IF($D354=0,0,$D354*$E354)</f>
        <v/>
      </c>
      <c r="H354" s="125">
        <f>IF($B354="","",CONCATENATE("Örnek kayıt: ",$B354))</f>
        <v/>
      </c>
    </row>
    <row r="355" ht="15" customHeight="1" s="80">
      <c r="G355" s="125">
        <f>IF($D355=0,0,$D355*$E355)</f>
        <v/>
      </c>
      <c r="H355" s="125">
        <f>IF($B355="","",CONCATENATE("Örnek kayıt: ",$B355))</f>
        <v/>
      </c>
    </row>
    <row r="356" ht="15" customHeight="1" s="80">
      <c r="G356" s="125">
        <f>IF($D356=0,0,$D356*$E356)</f>
        <v/>
      </c>
      <c r="H356" s="125">
        <f>IF($B356="","",CONCATENATE("Örnek kayıt: ",$B356))</f>
        <v/>
      </c>
    </row>
    <row r="357" ht="15" customHeight="1" s="80">
      <c r="G357" s="125">
        <f>IF($D357=0,0,$D357*$E357)</f>
        <v/>
      </c>
      <c r="H357" s="125">
        <f>IF($B357="","",CONCATENATE("Örnek kayıt: ",$B357))</f>
        <v/>
      </c>
    </row>
    <row r="358" ht="15" customHeight="1" s="80">
      <c r="G358" s="125">
        <f>IF($D358=0,0,$D358*$E358)</f>
        <v/>
      </c>
      <c r="H358" s="125">
        <f>IF($B358="","",CONCATENATE("Örnek kayıt: ",$B358))</f>
        <v/>
      </c>
    </row>
    <row r="359" ht="15" customHeight="1" s="80">
      <c r="G359" s="125">
        <f>IF($D359=0,0,$D359*$E359)</f>
        <v/>
      </c>
      <c r="H359" s="125">
        <f>IF($B359="","",CONCATENATE("Örnek kayıt: ",$B359))</f>
        <v/>
      </c>
    </row>
    <row r="360" ht="15" customHeight="1" s="80">
      <c r="G360" s="125">
        <f>IF($D360=0,0,$D360*$E360)</f>
        <v/>
      </c>
      <c r="H360" s="125">
        <f>IF($B360="","",CONCATENATE("Örnek kayıt: ",$B360))</f>
        <v/>
      </c>
    </row>
    <row r="361" ht="15" customHeight="1" s="80">
      <c r="G361" s="125">
        <f>IF($D361=0,0,$D361*$E361)</f>
        <v/>
      </c>
      <c r="H361" s="125">
        <f>IF($B361="","",CONCATENATE("Örnek kayıt: ",$B361))</f>
        <v/>
      </c>
    </row>
    <row r="362" ht="15" customHeight="1" s="80">
      <c r="G362" s="125">
        <f>IF($D362=0,0,$D362*$E362)</f>
        <v/>
      </c>
      <c r="H362" s="125">
        <f>IF($B362="","",CONCATENATE("Örnek kayıt: ",$B362))</f>
        <v/>
      </c>
    </row>
    <row r="363" ht="15" customHeight="1" s="80">
      <c r="G363" s="125">
        <f>IF($D363=0,0,$D363*$E363)</f>
        <v/>
      </c>
      <c r="H363" s="125">
        <f>IF($B363="","",CONCATENATE("Örnek kayıt: ",$B363))</f>
        <v/>
      </c>
    </row>
    <row r="364" ht="15" customHeight="1" s="80">
      <c r="G364" s="125">
        <f>IF($D364=0,0,$D364*$E364)</f>
        <v/>
      </c>
      <c r="H364" s="125">
        <f>IF($B364="","",CONCATENATE("Örnek kayıt: ",$B364))</f>
        <v/>
      </c>
    </row>
    <row r="365" ht="15" customHeight="1" s="80">
      <c r="G365" s="125">
        <f>IF($D365=0,0,$D365*$E365)</f>
        <v/>
      </c>
      <c r="H365" s="125">
        <f>IF($B365="","",CONCATENATE("Örnek kayıt: ",$B365))</f>
        <v/>
      </c>
    </row>
    <row r="366" ht="15" customHeight="1" s="80">
      <c r="G366" s="125">
        <f>IF($D366=0,0,$D366*$E366)</f>
        <v/>
      </c>
      <c r="H366" s="125">
        <f>IF($B366="","",CONCATENATE("Örnek kayıt: ",$B366))</f>
        <v/>
      </c>
    </row>
    <row r="367" ht="15" customHeight="1" s="80">
      <c r="G367" s="125">
        <f>IF($D367=0,0,$D367*$E367)</f>
        <v/>
      </c>
      <c r="H367" s="125">
        <f>IF($B367="","",CONCATENATE("Örnek kayıt: ",$B367))</f>
        <v/>
      </c>
    </row>
    <row r="368" ht="15" customHeight="1" s="80">
      <c r="G368" s="125">
        <f>IF($D368=0,0,$D368*$E368)</f>
        <v/>
      </c>
      <c r="H368" s="125">
        <f>IF($B368="","",CONCATENATE("Örnek kayıt: ",$B368))</f>
        <v/>
      </c>
    </row>
    <row r="369" ht="15" customHeight="1" s="80">
      <c r="G369" s="125">
        <f>IF($D369=0,0,$D369*$E369)</f>
        <v/>
      </c>
      <c r="H369" s="125">
        <f>IF($B369="","",CONCATENATE("Örnek kayıt: ",$B369))</f>
        <v/>
      </c>
    </row>
    <row r="370" ht="15" customHeight="1" s="80">
      <c r="G370" s="125">
        <f>IF($D370=0,0,$D370*$E370)</f>
        <v/>
      </c>
      <c r="H370" s="125">
        <f>IF($B370="","",CONCATENATE("Örnek kayıt: ",$B370))</f>
        <v/>
      </c>
    </row>
    <row r="371" ht="15" customHeight="1" s="80">
      <c r="G371" s="125">
        <f>IF($D371=0,0,$D371*$E371)</f>
        <v/>
      </c>
      <c r="H371" s="125">
        <f>IF($B371="","",CONCATENATE("Örnek kayıt: ",$B371))</f>
        <v/>
      </c>
    </row>
    <row r="372" ht="15" customHeight="1" s="80">
      <c r="G372" s="125">
        <f>IF($D372=0,0,$D372*$E372)</f>
        <v/>
      </c>
      <c r="H372" s="125">
        <f>IF($B372="","",CONCATENATE("Örnek kayıt: ",$B372))</f>
        <v/>
      </c>
    </row>
    <row r="373" ht="15" customHeight="1" s="80">
      <c r="G373" s="125">
        <f>IF($D373=0,0,$D373*$E373)</f>
        <v/>
      </c>
      <c r="H373" s="125">
        <f>IF($B373="","",CONCATENATE("Örnek kayıt: ",$B373))</f>
        <v/>
      </c>
    </row>
    <row r="374" ht="15" customHeight="1" s="80">
      <c r="G374" s="125">
        <f>IF($D374=0,0,$D374*$E374)</f>
        <v/>
      </c>
      <c r="H374" s="125">
        <f>IF($B374="","",CONCATENATE("Örnek kayıt: ",$B374))</f>
        <v/>
      </c>
    </row>
    <row r="375" ht="15" customHeight="1" s="80">
      <c r="G375" s="125">
        <f>IF($D375=0,0,$D375*$E375)</f>
        <v/>
      </c>
      <c r="H375" s="125">
        <f>IF($B375="","",CONCATENATE("Örnek kayıt: ",$B375))</f>
        <v/>
      </c>
    </row>
    <row r="376" ht="15" customHeight="1" s="80">
      <c r="G376" s="125">
        <f>IF($D376=0,0,$D376*$E376)</f>
        <v/>
      </c>
      <c r="H376" s="125">
        <f>IF($B376="","",CONCATENATE("Örnek kayıt: ",$B376))</f>
        <v/>
      </c>
    </row>
    <row r="377" ht="15" customHeight="1" s="80">
      <c r="G377" s="125">
        <f>IF($D377=0,0,$D377*$E377)</f>
        <v/>
      </c>
      <c r="H377" s="125">
        <f>IF($B377="","",CONCATENATE("Örnek kayıt: ",$B377))</f>
        <v/>
      </c>
    </row>
    <row r="378" ht="15" customHeight="1" s="80">
      <c r="G378" s="125">
        <f>IF($D378=0,0,$D378*$E378)</f>
        <v/>
      </c>
      <c r="H378" s="125">
        <f>IF($B378="","",CONCATENATE("Örnek kayıt: ",$B378))</f>
        <v/>
      </c>
    </row>
    <row r="379" ht="15" customHeight="1" s="80">
      <c r="G379" s="125">
        <f>IF($D379=0,0,$D379*$E379)</f>
        <v/>
      </c>
      <c r="H379" s="125">
        <f>IF($B379="","",CONCATENATE("Örnek kayıt: ",$B379))</f>
        <v/>
      </c>
    </row>
    <row r="380" ht="15" customHeight="1" s="80">
      <c r="G380" s="125">
        <f>IF($D380=0,0,$D380*$E380)</f>
        <v/>
      </c>
      <c r="H380" s="125">
        <f>IF($B380="","",CONCATENATE("Örnek kayıt: ",$B380))</f>
        <v/>
      </c>
    </row>
    <row r="381" ht="15" customHeight="1" s="80">
      <c r="G381" s="125">
        <f>IF($D381=0,0,$D381*$E381)</f>
        <v/>
      </c>
      <c r="H381" s="125">
        <f>IF($B381="","",CONCATENATE("Örnek kayıt: ",$B381))</f>
        <v/>
      </c>
    </row>
    <row r="382" ht="15" customHeight="1" s="80">
      <c r="G382" s="125">
        <f>IF($D382=0,0,$D382*$E382)</f>
        <v/>
      </c>
      <c r="H382" s="125">
        <f>IF($B382="","",CONCATENATE("Örnek kayıt: ",$B382))</f>
        <v/>
      </c>
    </row>
    <row r="383" ht="15" customHeight="1" s="80">
      <c r="G383" s="125">
        <f>IF($D383=0,0,$D383*$E383)</f>
        <v/>
      </c>
      <c r="H383" s="125">
        <f>IF($B383="","",CONCATENATE("Örnek kayıt: ",$B383))</f>
        <v/>
      </c>
    </row>
    <row r="384" ht="15" customHeight="1" s="80">
      <c r="G384" s="125">
        <f>IF($D384=0,0,$D384*$E384)</f>
        <v/>
      </c>
      <c r="H384" s="125">
        <f>IF($B384="","",CONCATENATE("Örnek kayıt: ",$B384))</f>
        <v/>
      </c>
    </row>
    <row r="385" ht="15" customHeight="1" s="80">
      <c r="G385" s="125">
        <f>IF($D385=0,0,$D385*$E385)</f>
        <v/>
      </c>
      <c r="H385" s="125">
        <f>IF($B385="","",CONCATENATE("Örnek kayıt: ",$B385))</f>
        <v/>
      </c>
    </row>
    <row r="386" ht="15" customHeight="1" s="80">
      <c r="G386" s="125">
        <f>IF($D386=0,0,$D386*$E386)</f>
        <v/>
      </c>
      <c r="H386" s="125">
        <f>IF($B386="","",CONCATENATE("Örnek kayıt: ",$B386))</f>
        <v/>
      </c>
    </row>
    <row r="387" ht="15" customHeight="1" s="80">
      <c r="G387" s="125">
        <f>IF($D387=0,0,$D387*$E387)</f>
        <v/>
      </c>
      <c r="H387" s="125">
        <f>IF($B387="","",CONCATENATE("Örnek kayıt: ",$B387))</f>
        <v/>
      </c>
    </row>
    <row r="388" ht="15" customHeight="1" s="80">
      <c r="G388" s="125">
        <f>IF($D388=0,0,$D388*$E388)</f>
        <v/>
      </c>
      <c r="H388" s="125">
        <f>IF($B388="","",CONCATENATE("Örnek kayıt: ",$B388))</f>
        <v/>
      </c>
    </row>
    <row r="389" ht="15" customHeight="1" s="80">
      <c r="G389" s="125">
        <f>IF($D389=0,0,$D389*$E389)</f>
        <v/>
      </c>
      <c r="H389" s="125">
        <f>IF($B389="","",CONCATENATE("Örnek kayıt: ",$B389))</f>
        <v/>
      </c>
    </row>
    <row r="390" ht="15" customHeight="1" s="80">
      <c r="G390" s="125">
        <f>IF($D390=0,0,$D390*$E390)</f>
        <v/>
      </c>
      <c r="H390" s="125">
        <f>IF($B390="","",CONCATENATE("Örnek kayıt: ",$B390))</f>
        <v/>
      </c>
    </row>
    <row r="391" ht="15" customHeight="1" s="80">
      <c r="G391" s="125">
        <f>IF($D391=0,0,$D391*$E391)</f>
        <v/>
      </c>
      <c r="H391" s="125">
        <f>IF($B391="","",CONCATENATE("Örnek kayıt: ",$B391))</f>
        <v/>
      </c>
    </row>
    <row r="392" ht="15" customHeight="1" s="80">
      <c r="G392" s="125">
        <f>IF($D392=0,0,$D392*$E392)</f>
        <v/>
      </c>
      <c r="H392" s="125">
        <f>IF($B392="","",CONCATENATE("Örnek kayıt: ",$B392))</f>
        <v/>
      </c>
    </row>
    <row r="393" ht="15" customHeight="1" s="80">
      <c r="G393" s="125">
        <f>IF($D393=0,0,$D393*$E393)</f>
        <v/>
      </c>
      <c r="H393" s="125">
        <f>IF($B393="","",CONCATENATE("Örnek kayıt: ",$B393))</f>
        <v/>
      </c>
    </row>
    <row r="394" ht="15" customHeight="1" s="80">
      <c r="G394" s="125">
        <f>IF($D394=0,0,$D394*$E394)</f>
        <v/>
      </c>
      <c r="H394" s="125">
        <f>IF($B394="","",CONCATENATE("Örnek kayıt: ",$B394))</f>
        <v/>
      </c>
    </row>
    <row r="395" ht="15" customHeight="1" s="80">
      <c r="G395" s="125">
        <f>IF($D395=0,0,$D395*$E395)</f>
        <v/>
      </c>
      <c r="H395" s="125">
        <f>IF($B395="","",CONCATENATE("Örnek kayıt: ",$B395))</f>
        <v/>
      </c>
    </row>
    <row r="396" ht="15" customHeight="1" s="80">
      <c r="G396" s="125">
        <f>IF($D396=0,0,$D396*$E396)</f>
        <v/>
      </c>
      <c r="H396" s="125">
        <f>IF($B396="","",CONCATENATE("Örnek kayıt: ",$B396))</f>
        <v/>
      </c>
    </row>
    <row r="397" ht="15" customHeight="1" s="80">
      <c r="G397" s="125">
        <f>IF($D397=0,0,$D397*$E397)</f>
        <v/>
      </c>
      <c r="H397" s="125">
        <f>IF($B397="","",CONCATENATE("Örnek kayıt: ",$B397))</f>
        <v/>
      </c>
    </row>
    <row r="398" ht="15" customHeight="1" s="80">
      <c r="G398" s="125">
        <f>IF($D398=0,0,$D398*$E398)</f>
        <v/>
      </c>
      <c r="H398" s="125">
        <f>IF($B398="","",CONCATENATE("Örnek kayıt: ",$B398))</f>
        <v/>
      </c>
    </row>
    <row r="399" ht="15" customHeight="1" s="80">
      <c r="G399" s="125">
        <f>IF($D399=0,0,$D399*$E399)</f>
        <v/>
      </c>
      <c r="H399" s="125">
        <f>IF($B399="","",CONCATENATE("Örnek kayıt: ",$B399))</f>
        <v/>
      </c>
    </row>
    <row r="400" ht="15" customHeight="1" s="80">
      <c r="G400" s="125">
        <f>IF($D400=0,0,$D400*$E400)</f>
        <v/>
      </c>
      <c r="H400" s="125">
        <f>IF($B400="","",CONCATENATE("Örnek kayıt: ",$B400))</f>
        <v/>
      </c>
    </row>
    <row r="401" ht="15" customHeight="1" s="80">
      <c r="G401" s="125">
        <f>IF($D401=0,0,$D401*$E401)</f>
        <v/>
      </c>
      <c r="H401" s="125">
        <f>IF($B401="","",CONCATENATE("Örnek kayıt: ",$B401))</f>
        <v/>
      </c>
    </row>
    <row r="402" ht="15" customHeight="1" s="80">
      <c r="G402" s="125">
        <f>IF($D402=0,0,$D402*$E402)</f>
        <v/>
      </c>
      <c r="H402" s="125">
        <f>IF($B402="","",CONCATENATE("Örnek kayıt: ",$B402))</f>
        <v/>
      </c>
    </row>
    <row r="403" ht="15" customHeight="1" s="80">
      <c r="G403" s="125">
        <f>IF($D403=0,0,$D403*$E403)</f>
        <v/>
      </c>
      <c r="H403" s="125">
        <f>IF($B403="","",CONCATENATE("Örnek kayıt: ",$B403))</f>
        <v/>
      </c>
    </row>
    <row r="404" ht="15" customHeight="1" s="80">
      <c r="G404" s="125">
        <f>IF($D404=0,0,$D404*$E404)</f>
        <v/>
      </c>
      <c r="H404" s="125">
        <f>IF($B404="","",CONCATENATE("Örnek kayıt: ",$B404))</f>
        <v/>
      </c>
    </row>
    <row r="405" ht="15" customHeight="1" s="80">
      <c r="G405" s="125">
        <f>IF($D405=0,0,$D405*$E405)</f>
        <v/>
      </c>
      <c r="H405" s="125">
        <f>IF($B405="","",CONCATENATE("Örnek kayıt: ",$B405))</f>
        <v/>
      </c>
    </row>
    <row r="406" ht="15" customHeight="1" s="80">
      <c r="G406" s="125">
        <f>IF($D406=0,0,$D406*$E406)</f>
        <v/>
      </c>
      <c r="H406" s="125">
        <f>IF($B406="","",CONCATENATE("Örnek kayıt: ",$B406))</f>
        <v/>
      </c>
    </row>
    <row r="407" ht="15" customHeight="1" s="80">
      <c r="G407" s="125">
        <f>IF($D407=0,0,$D407*$E407)</f>
        <v/>
      </c>
      <c r="H407" s="125">
        <f>IF($B407="","",CONCATENATE("Örnek kayıt: ",$B407))</f>
        <v/>
      </c>
    </row>
    <row r="408" ht="15" customHeight="1" s="80">
      <c r="G408" s="125">
        <f>IF($D408=0,0,$D408*$E408)</f>
        <v/>
      </c>
      <c r="H408" s="125">
        <f>IF($B408="","",CONCATENATE("Örnek kayıt: ",$B408))</f>
        <v/>
      </c>
    </row>
    <row r="409" ht="15" customHeight="1" s="80">
      <c r="G409" s="125">
        <f>IF($D409=0,0,$D409*$E409)</f>
        <v/>
      </c>
      <c r="H409" s="125">
        <f>IF($B409="","",CONCATENATE("Örnek kayıt: ",$B409))</f>
        <v/>
      </c>
    </row>
    <row r="410" ht="15" customHeight="1" s="80">
      <c r="G410" s="125">
        <f>IF($D410=0,0,$D410*$E410)</f>
        <v/>
      </c>
      <c r="H410" s="125">
        <f>IF($B410="","",CONCATENATE("Örnek kayıt: ",$B410))</f>
        <v/>
      </c>
    </row>
    <row r="411" ht="15" customHeight="1" s="80">
      <c r="G411" s="125">
        <f>IF($D411=0,0,$D411*$E411)</f>
        <v/>
      </c>
      <c r="H411" s="125">
        <f>IF($B411="","",CONCATENATE("Örnek kayıt: ",$B411))</f>
        <v/>
      </c>
    </row>
    <row r="412" ht="15" customHeight="1" s="80">
      <c r="G412" s="125">
        <f>IF($D412=0,0,$D412*$E412)</f>
        <v/>
      </c>
      <c r="H412" s="125">
        <f>IF($B412="","",CONCATENATE("Örnek kayıt: ",$B412))</f>
        <v/>
      </c>
    </row>
    <row r="413" ht="15" customHeight="1" s="80">
      <c r="G413" s="125">
        <f>IF($D413=0,0,$D413*$E413)</f>
        <v/>
      </c>
      <c r="H413" s="125">
        <f>IF($B413="","",CONCATENATE("Örnek kayıt: ",$B413))</f>
        <v/>
      </c>
    </row>
    <row r="414" ht="15" customHeight="1" s="80">
      <c r="G414" s="125">
        <f>IF($D414=0,0,$D414*$E414)</f>
        <v/>
      </c>
      <c r="H414" s="125">
        <f>IF($B414="","",CONCATENATE("Örnek kayıt: ",$B414))</f>
        <v/>
      </c>
    </row>
    <row r="415" ht="15" customHeight="1" s="80">
      <c r="G415" s="125">
        <f>IF($D415=0,0,$D415*$E415)</f>
        <v/>
      </c>
      <c r="H415" s="125">
        <f>IF($B415="","",CONCATENATE("Örnek kayıt: ",$B415))</f>
        <v/>
      </c>
    </row>
    <row r="416" ht="15" customHeight="1" s="80">
      <c r="G416" s="125">
        <f>IF($D416=0,0,$D416*$E416)</f>
        <v/>
      </c>
      <c r="H416" s="125">
        <f>IF($B416="","",CONCATENATE("Örnek kayıt: ",$B416))</f>
        <v/>
      </c>
    </row>
    <row r="417" ht="15" customHeight="1" s="80">
      <c r="G417" s="125">
        <f>IF($D417=0,0,$D417*$E417)</f>
        <v/>
      </c>
      <c r="H417" s="125">
        <f>IF($B417="","",CONCATENATE("Örnek kayıt: ",$B417))</f>
        <v/>
      </c>
    </row>
    <row r="418" ht="15" customHeight="1" s="80">
      <c r="G418" s="125">
        <f>IF($D418=0,0,$D418*$E418)</f>
        <v/>
      </c>
      <c r="H418" s="125">
        <f>IF($B418="","",CONCATENATE("Örnek kayıt: ",$B418))</f>
        <v/>
      </c>
    </row>
    <row r="419" ht="15" customHeight="1" s="80">
      <c r="G419" s="125">
        <f>IF($D419=0,0,$D419*$E419)</f>
        <v/>
      </c>
      <c r="H419" s="125">
        <f>IF($B419="","",CONCATENATE("Örnek kayıt: ",$B419))</f>
        <v/>
      </c>
    </row>
    <row r="420" ht="15" customHeight="1" s="80">
      <c r="G420" s="125">
        <f>IF($D420=0,0,$D420*$E420)</f>
        <v/>
      </c>
      <c r="H420" s="125">
        <f>IF($B420="","",CONCATENATE("Örnek kayıt: ",$B420))</f>
        <v/>
      </c>
    </row>
    <row r="421" ht="15" customHeight="1" s="80">
      <c r="G421" s="125">
        <f>IF($D421=0,0,$D421*$E421)</f>
        <v/>
      </c>
      <c r="H421" s="125">
        <f>IF($B421="","",CONCATENATE("Örnek kayıt: ",$B421))</f>
        <v/>
      </c>
    </row>
    <row r="422" ht="15" customHeight="1" s="80">
      <c r="G422" s="125">
        <f>IF($D422=0,0,$D422*$E422)</f>
        <v/>
      </c>
      <c r="H422" s="125">
        <f>IF($B422="","",CONCATENATE("Örnek kayıt: ",$B422))</f>
        <v/>
      </c>
    </row>
    <row r="423" ht="15" customHeight="1" s="80">
      <c r="G423" s="125">
        <f>IF($D423=0,0,$D423*$E423)</f>
        <v/>
      </c>
      <c r="H423" s="125">
        <f>IF($B423="","",CONCATENATE("Örnek kayıt: ",$B423))</f>
        <v/>
      </c>
    </row>
    <row r="424" ht="15" customHeight="1" s="80">
      <c r="G424" s="125">
        <f>IF($D424=0,0,$D424*$E424)</f>
        <v/>
      </c>
      <c r="H424" s="125">
        <f>IF($B424="","",CONCATENATE("Örnek kayıt: ",$B424))</f>
        <v/>
      </c>
    </row>
    <row r="425" ht="15" customHeight="1" s="80">
      <c r="G425" s="125">
        <f>IF($D425=0,0,$D425*$E425)</f>
        <v/>
      </c>
      <c r="H425" s="125">
        <f>IF($B425="","",CONCATENATE("Örnek kayıt: ",$B425))</f>
        <v/>
      </c>
    </row>
    <row r="426" ht="15" customHeight="1" s="80">
      <c r="G426" s="125">
        <f>IF($D426=0,0,$D426*$E426)</f>
        <v/>
      </c>
      <c r="H426" s="125">
        <f>IF($B426="","",CONCATENATE("Örnek kayıt: ",$B426))</f>
        <v/>
      </c>
    </row>
    <row r="427" ht="15" customHeight="1" s="80">
      <c r="G427" s="125">
        <f>IF($D427=0,0,$D427*$E427)</f>
        <v/>
      </c>
      <c r="H427" s="125">
        <f>IF($B427="","",CONCATENATE("Örnek kayıt: ",$B427))</f>
        <v/>
      </c>
    </row>
    <row r="428" ht="15" customHeight="1" s="80">
      <c r="G428" s="125">
        <f>IF($D428=0,0,$D428*$E428)</f>
        <v/>
      </c>
      <c r="H428" s="125">
        <f>IF($B428="","",CONCATENATE("Örnek kayıt: ",$B428))</f>
        <v/>
      </c>
    </row>
    <row r="429" ht="15" customHeight="1" s="80">
      <c r="G429" s="125">
        <f>IF($D429=0,0,$D429*$E429)</f>
        <v/>
      </c>
      <c r="H429" s="125">
        <f>IF($B429="","",CONCATENATE("Örnek kayıt: ",$B429))</f>
        <v/>
      </c>
    </row>
    <row r="430" ht="15" customHeight="1" s="80">
      <c r="G430" s="125">
        <f>IF($D430=0,0,$D430*$E430)</f>
        <v/>
      </c>
      <c r="H430" s="125">
        <f>IF($B430="","",CONCATENATE("Örnek kayıt: ",$B430))</f>
        <v/>
      </c>
    </row>
    <row r="431" ht="15" customHeight="1" s="80">
      <c r="G431" s="125">
        <f>IF($D431=0,0,$D431*$E431)</f>
        <v/>
      </c>
      <c r="H431" s="125">
        <f>IF($B431="","",CONCATENATE("Örnek kayıt: ",$B431))</f>
        <v/>
      </c>
    </row>
    <row r="432" ht="15" customHeight="1" s="80">
      <c r="G432" s="125">
        <f>IF($D432=0,0,$D432*$E432)</f>
        <v/>
      </c>
      <c r="H432" s="125">
        <f>IF($B432="","",CONCATENATE("Örnek kayıt: ",$B432))</f>
        <v/>
      </c>
    </row>
    <row r="433" ht="15" customHeight="1" s="80">
      <c r="G433" s="125">
        <f>IF($D433=0,0,$D433*$E433)</f>
        <v/>
      </c>
      <c r="H433" s="125">
        <f>IF($B433="","",CONCATENATE("Örnek kayıt: ",$B433))</f>
        <v/>
      </c>
    </row>
    <row r="434" ht="15" customHeight="1" s="80">
      <c r="G434" s="125">
        <f>IF($D434=0,0,$D434*$E434)</f>
        <v/>
      </c>
      <c r="H434" s="125">
        <f>IF($B434="","",CONCATENATE("Örnek kayıt: ",$B434))</f>
        <v/>
      </c>
    </row>
    <row r="435" ht="15" customHeight="1" s="80">
      <c r="G435" s="125">
        <f>IF($D435=0,0,$D435*$E435)</f>
        <v/>
      </c>
      <c r="H435" s="125">
        <f>IF($B435="","",CONCATENATE("Örnek kayıt: ",$B435))</f>
        <v/>
      </c>
    </row>
    <row r="436" ht="15" customHeight="1" s="80">
      <c r="G436" s="125">
        <f>IF($D436=0,0,$D436*$E436)</f>
        <v/>
      </c>
      <c r="H436" s="125">
        <f>IF($B436="","",CONCATENATE("Örnek kayıt: ",$B436))</f>
        <v/>
      </c>
    </row>
    <row r="437" ht="15" customHeight="1" s="80">
      <c r="G437" s="125">
        <f>IF($D437=0,0,$D437*$E437)</f>
        <v/>
      </c>
      <c r="H437" s="125">
        <f>IF($B437="","",CONCATENATE("Örnek kayıt: ",$B437))</f>
        <v/>
      </c>
    </row>
    <row r="438" ht="15" customHeight="1" s="80">
      <c r="G438" s="125">
        <f>IF($D438=0,0,$D438*$E438)</f>
        <v/>
      </c>
      <c r="H438" s="125">
        <f>IF($B438="","",CONCATENATE("Örnek kayıt: ",$B438))</f>
        <v/>
      </c>
    </row>
    <row r="439" ht="15" customHeight="1" s="80">
      <c r="G439" s="125">
        <f>IF($D439=0,0,$D439*$E439)</f>
        <v/>
      </c>
      <c r="H439" s="125">
        <f>IF($B439="","",CONCATENATE("Örnek kayıt: ",$B439))</f>
        <v/>
      </c>
    </row>
    <row r="440" ht="15" customHeight="1" s="80">
      <c r="G440" s="125">
        <f>IF($D440=0,0,$D440*$E440)</f>
        <v/>
      </c>
      <c r="H440" s="125">
        <f>IF($B440="","",CONCATENATE("Örnek kayıt: ",$B440))</f>
        <v/>
      </c>
    </row>
    <row r="441" ht="15" customHeight="1" s="80">
      <c r="G441" s="125">
        <f>IF($D441=0,0,$D441*$E441)</f>
        <v/>
      </c>
      <c r="H441" s="125">
        <f>IF($B441="","",CONCATENATE("Örnek kayıt: ",$B441))</f>
        <v/>
      </c>
    </row>
    <row r="442" ht="15" customHeight="1" s="80">
      <c r="G442" s="125">
        <f>IF($D442=0,0,$D442*$E442)</f>
        <v/>
      </c>
      <c r="H442" s="125">
        <f>IF($B442="","",CONCATENATE("Örnek kayıt: ",$B442))</f>
        <v/>
      </c>
    </row>
    <row r="443" ht="15" customHeight="1" s="80">
      <c r="G443" s="125">
        <f>IF($D443=0,0,$D443*$E443)</f>
        <v/>
      </c>
      <c r="H443" s="125">
        <f>IF($B443="","",CONCATENATE("Örnek kayıt: ",$B443))</f>
        <v/>
      </c>
    </row>
    <row r="444" ht="15" customHeight="1" s="80">
      <c r="G444" s="125">
        <f>IF($D444=0,0,$D444*$E444)</f>
        <v/>
      </c>
      <c r="H444" s="125">
        <f>IF($B444="","",CONCATENATE("Örnek kayıt: ",$B444))</f>
        <v/>
      </c>
    </row>
    <row r="445" ht="15" customHeight="1" s="80">
      <c r="G445" s="125">
        <f>IF($D445=0,0,$D445*$E445)</f>
        <v/>
      </c>
      <c r="H445" s="125">
        <f>IF($B445="","",CONCATENATE("Örnek kayıt: ",$B445))</f>
        <v/>
      </c>
    </row>
    <row r="446" ht="15" customHeight="1" s="80">
      <c r="G446" s="125">
        <f>IF($D446=0,0,$D446*$E446)</f>
        <v/>
      </c>
      <c r="H446" s="125">
        <f>IF($B446="","",CONCATENATE("Örnek kayıt: ",$B446))</f>
        <v/>
      </c>
    </row>
    <row r="447" ht="15" customHeight="1" s="80">
      <c r="G447" s="125">
        <f>IF($D447=0,0,$D447*$E447)</f>
        <v/>
      </c>
      <c r="H447" s="125">
        <f>IF($B447="","",CONCATENATE("Örnek kayıt: ",$B447))</f>
        <v/>
      </c>
    </row>
    <row r="448" ht="15" customHeight="1" s="80">
      <c r="G448" s="125">
        <f>IF($D448=0,0,$D448*$E448)</f>
        <v/>
      </c>
      <c r="H448" s="125">
        <f>IF($B448="","",CONCATENATE("Örnek kayıt: ",$B448))</f>
        <v/>
      </c>
    </row>
    <row r="449" ht="15" customHeight="1" s="80">
      <c r="G449" s="125">
        <f>IF($D449=0,0,$D449*$E449)</f>
        <v/>
      </c>
      <c r="H449" s="125">
        <f>IF($B449="","",CONCATENATE("Örnek kayıt: ",$B449))</f>
        <v/>
      </c>
    </row>
    <row r="450" ht="15" customHeight="1" s="80">
      <c r="G450" s="125">
        <f>IF($D450=0,0,$D450*$E450)</f>
        <v/>
      </c>
      <c r="H450" s="125">
        <f>IF($B450="","",CONCATENATE("Örnek kayıt: ",$B450))</f>
        <v/>
      </c>
    </row>
    <row r="451" ht="15" customHeight="1" s="80">
      <c r="G451" s="125">
        <f>IF($D451=0,0,$D451*$E451)</f>
        <v/>
      </c>
      <c r="H451" s="125">
        <f>IF($B451="","",CONCATENATE("Örnek kayıt: ",$B451))</f>
        <v/>
      </c>
    </row>
    <row r="452" ht="15" customHeight="1" s="80">
      <c r="G452" s="125">
        <f>IF($D452=0,0,$D452*$E452)</f>
        <v/>
      </c>
      <c r="H452" s="125">
        <f>IF($B452="","",CONCATENATE("Örnek kayıt: ",$B452))</f>
        <v/>
      </c>
    </row>
    <row r="453" ht="15" customHeight="1" s="80">
      <c r="G453" s="125">
        <f>IF($D453=0,0,$D453*$E453)</f>
        <v/>
      </c>
      <c r="H453" s="125">
        <f>IF($B453="","",CONCATENATE("Örnek kayıt: ",$B453))</f>
        <v/>
      </c>
    </row>
    <row r="454" ht="15" customHeight="1" s="80">
      <c r="G454" s="125">
        <f>IF($D454=0,0,$D454*$E454)</f>
        <v/>
      </c>
      <c r="H454" s="125">
        <f>IF($B454="","",CONCATENATE("Örnek kayıt: ",$B454))</f>
        <v/>
      </c>
    </row>
    <row r="455" ht="15" customHeight="1" s="80">
      <c r="G455" s="125">
        <f>IF($D455=0,0,$D455*$E455)</f>
        <v/>
      </c>
      <c r="H455" s="125">
        <f>IF($B455="","",CONCATENATE("Örnek kayıt: ",$B455))</f>
        <v/>
      </c>
    </row>
    <row r="456" ht="15" customHeight="1" s="80">
      <c r="G456" s="125">
        <f>IF($D456=0,0,$D456*$E456)</f>
        <v/>
      </c>
      <c r="H456" s="125">
        <f>IF($B456="","",CONCATENATE("Örnek kayıt: ",$B456))</f>
        <v/>
      </c>
    </row>
    <row r="457" ht="15" customHeight="1" s="80">
      <c r="G457" s="125">
        <f>IF($D457=0,0,$D457*$E457)</f>
        <v/>
      </c>
      <c r="H457" s="125">
        <f>IF($B457="","",CONCATENATE("Örnek kayıt: ",$B457))</f>
        <v/>
      </c>
    </row>
    <row r="458" ht="15" customHeight="1" s="80">
      <c r="G458" s="125">
        <f>IF($D458=0,0,$D458*$E458)</f>
        <v/>
      </c>
      <c r="H458" s="125">
        <f>IF($B458="","",CONCATENATE("Örnek kayıt: ",$B458))</f>
        <v/>
      </c>
    </row>
    <row r="459" ht="15" customHeight="1" s="80">
      <c r="G459" s="125">
        <f>IF($D459=0,0,$D459*$E459)</f>
        <v/>
      </c>
      <c r="H459" s="125">
        <f>IF($B459="","",CONCATENATE("Örnek kayıt: ",$B459))</f>
        <v/>
      </c>
    </row>
    <row r="460" ht="15" customHeight="1" s="80">
      <c r="G460" s="125">
        <f>IF($D460=0,0,$D460*$E460)</f>
        <v/>
      </c>
      <c r="H460" s="125">
        <f>IF($B460="","",CONCATENATE("Örnek kayıt: ",$B460))</f>
        <v/>
      </c>
    </row>
    <row r="461" ht="15" customHeight="1" s="80">
      <c r="G461" s="125">
        <f>IF($D461=0,0,$D461*$E461)</f>
        <v/>
      </c>
      <c r="H461" s="125">
        <f>IF($B461="","",CONCATENATE("Örnek kayıt: ",$B461))</f>
        <v/>
      </c>
    </row>
    <row r="462" ht="15" customHeight="1" s="80">
      <c r="G462" s="125">
        <f>IF($D462=0,0,$D462*$E462)</f>
        <v/>
      </c>
      <c r="H462" s="125">
        <f>IF($B462="","",CONCATENATE("Örnek kayıt: ",$B462))</f>
        <v/>
      </c>
    </row>
    <row r="463" ht="15" customHeight="1" s="80">
      <c r="G463" s="125">
        <f>IF($D463=0,0,$D463*$E463)</f>
        <v/>
      </c>
      <c r="H463" s="125">
        <f>IF($B463="","",CONCATENATE("Örnek kayıt: ",$B463))</f>
        <v/>
      </c>
    </row>
    <row r="464" ht="15" customHeight="1" s="80">
      <c r="G464" s="125">
        <f>IF($D464=0,0,$D464*$E464)</f>
        <v/>
      </c>
      <c r="H464" s="125">
        <f>IF($B464="","",CONCATENATE("Örnek kayıt: ",$B464))</f>
        <v/>
      </c>
    </row>
    <row r="465" ht="15" customHeight="1" s="80">
      <c r="G465" s="125">
        <f>IF($D465=0,0,$D465*$E465)</f>
        <v/>
      </c>
      <c r="H465" s="125">
        <f>IF($B465="","",CONCATENATE("Örnek kayıt: ",$B465))</f>
        <v/>
      </c>
    </row>
    <row r="466" ht="15" customHeight="1" s="80">
      <c r="G466" s="125">
        <f>IF($D466=0,0,$D466*$E466)</f>
        <v/>
      </c>
      <c r="H466" s="125">
        <f>IF($B466="","",CONCATENATE("Örnek kayıt: ",$B466))</f>
        <v/>
      </c>
    </row>
    <row r="467" ht="15" customHeight="1" s="80">
      <c r="G467" s="125">
        <f>IF($D467=0,0,$D467*$E467)</f>
        <v/>
      </c>
      <c r="H467" s="125">
        <f>IF($B467="","",CONCATENATE("Örnek kayıt: ",$B467))</f>
        <v/>
      </c>
    </row>
    <row r="468" ht="15" customHeight="1" s="80">
      <c r="G468" s="125">
        <f>IF($D468=0,0,$D468*$E468)</f>
        <v/>
      </c>
      <c r="H468" s="125">
        <f>IF($B468="","",CONCATENATE("Örnek kayıt: ",$B468))</f>
        <v/>
      </c>
    </row>
    <row r="469" ht="15" customHeight="1" s="80">
      <c r="G469" s="125">
        <f>IF($D469=0,0,$D469*$E469)</f>
        <v/>
      </c>
      <c r="H469" s="125">
        <f>IF($B469="","",CONCATENATE("Örnek kayıt: ",$B469))</f>
        <v/>
      </c>
    </row>
    <row r="470" ht="15" customHeight="1" s="80">
      <c r="G470" s="125">
        <f>IF($D470=0,0,$D470*$E470)</f>
        <v/>
      </c>
      <c r="H470" s="125">
        <f>IF($B470="","",CONCATENATE("Örnek kayıt: ",$B470))</f>
        <v/>
      </c>
    </row>
    <row r="471" ht="15" customHeight="1" s="80">
      <c r="G471" s="125">
        <f>IF($D471=0,0,$D471*$E471)</f>
        <v/>
      </c>
      <c r="H471" s="125">
        <f>IF($B471="","",CONCATENATE("Örnek kayıt: ",$B471))</f>
        <v/>
      </c>
    </row>
    <row r="472" ht="15" customHeight="1" s="80">
      <c r="G472" s="125">
        <f>IF($D472=0,0,$D472*$E472)</f>
        <v/>
      </c>
      <c r="H472" s="125">
        <f>IF($B472="","",CONCATENATE("Örnek kayıt: ",$B472))</f>
        <v/>
      </c>
    </row>
    <row r="473" ht="15" customHeight="1" s="80">
      <c r="G473" s="125">
        <f>IF($D473=0,0,$D473*$E473)</f>
        <v/>
      </c>
      <c r="H473" s="125">
        <f>IF($B473="","",CONCATENATE("Örnek kayıt: ",$B473))</f>
        <v/>
      </c>
    </row>
    <row r="474" ht="15" customHeight="1" s="80">
      <c r="G474" s="125">
        <f>IF($D474=0,0,$D474*$E474)</f>
        <v/>
      </c>
      <c r="H474" s="125">
        <f>IF($B474="","",CONCATENATE("Örnek kayıt: ",$B474))</f>
        <v/>
      </c>
    </row>
    <row r="475" ht="15" customHeight="1" s="80">
      <c r="G475" s="125">
        <f>IF($D475=0,0,$D475*$E475)</f>
        <v/>
      </c>
      <c r="H475" s="125">
        <f>IF($B475="","",CONCATENATE("Örnek kayıt: ",$B475))</f>
        <v/>
      </c>
    </row>
    <row r="476" ht="15" customHeight="1" s="80">
      <c r="G476" s="125">
        <f>IF($D476=0,0,$D476*$E476)</f>
        <v/>
      </c>
      <c r="H476" s="125">
        <f>IF($B476="","",CONCATENATE("Örnek kayıt: ",$B476))</f>
        <v/>
      </c>
    </row>
    <row r="477" ht="15" customHeight="1" s="80">
      <c r="G477" s="125">
        <f>IF($D477=0,0,$D477*$E477)</f>
        <v/>
      </c>
      <c r="H477" s="125">
        <f>IF($B477="","",CONCATENATE("Örnek kayıt: ",$B477))</f>
        <v/>
      </c>
    </row>
    <row r="478" ht="15" customHeight="1" s="80">
      <c r="G478" s="125">
        <f>IF($D478=0,0,$D478*$E478)</f>
        <v/>
      </c>
      <c r="H478" s="125">
        <f>IF($B478="","",CONCATENATE("Örnek kayıt: ",$B478))</f>
        <v/>
      </c>
    </row>
    <row r="479" ht="15" customHeight="1" s="80">
      <c r="G479" s="125">
        <f>IF($D479=0,0,$D479*$E479)</f>
        <v/>
      </c>
      <c r="H479" s="125">
        <f>IF($B479="","",CONCATENATE("Örnek kayıt: ",$B479))</f>
        <v/>
      </c>
    </row>
    <row r="480" ht="15" customHeight="1" s="80">
      <c r="G480" s="125">
        <f>IF($D480=0,0,$D480*$E480)</f>
        <v/>
      </c>
      <c r="H480" s="125">
        <f>IF($B480="","",CONCATENATE("Örnek kayıt: ",$B480))</f>
        <v/>
      </c>
    </row>
    <row r="481" ht="15" customHeight="1" s="80">
      <c r="G481" s="125">
        <f>IF($D481=0,0,$D481*$E481)</f>
        <v/>
      </c>
      <c r="H481" s="125">
        <f>IF($B481="","",CONCATENATE("Örnek kayıt: ",$B481))</f>
        <v/>
      </c>
    </row>
    <row r="482" ht="15" customHeight="1" s="80">
      <c r="G482" s="125">
        <f>IF($D482=0,0,$D482*$E482)</f>
        <v/>
      </c>
      <c r="H482" s="125">
        <f>IF($B482="","",CONCATENATE("Örnek kayıt: ",$B482))</f>
        <v/>
      </c>
    </row>
    <row r="483" ht="15" customHeight="1" s="80">
      <c r="G483" s="125">
        <f>IF($D483=0,0,$D483*$E483)</f>
        <v/>
      </c>
      <c r="H483" s="125">
        <f>IF($B483="","",CONCATENATE("Örnek kayıt: ",$B483))</f>
        <v/>
      </c>
    </row>
    <row r="484" ht="15" customHeight="1" s="80">
      <c r="G484" s="125">
        <f>IF($D484=0,0,$D484*$E484)</f>
        <v/>
      </c>
      <c r="H484" s="125">
        <f>IF($B484="","",CONCATENATE("Örnek kayıt: ",$B484))</f>
        <v/>
      </c>
    </row>
    <row r="485" ht="15" customHeight="1" s="80">
      <c r="G485" s="125">
        <f>IF($D485=0,0,$D485*$E485)</f>
        <v/>
      </c>
      <c r="H485" s="125">
        <f>IF($B485="","",CONCATENATE("Örnek kayıt: ",$B485))</f>
        <v/>
      </c>
    </row>
    <row r="486" ht="15" customHeight="1" s="80">
      <c r="G486" s="125">
        <f>IF($D486=0,0,$D486*$E486)</f>
        <v/>
      </c>
      <c r="H486" s="125">
        <f>IF($B486="","",CONCATENATE("Örnek kayıt: ",$B486))</f>
        <v/>
      </c>
    </row>
    <row r="487" ht="15" customHeight="1" s="80">
      <c r="G487" s="125">
        <f>IF($D487=0,0,$D487*$E487)</f>
        <v/>
      </c>
      <c r="H487" s="125">
        <f>IF($B487="","",CONCATENATE("Örnek kayıt: ",$B487))</f>
        <v/>
      </c>
    </row>
    <row r="488" ht="15" customHeight="1" s="80">
      <c r="G488" s="125">
        <f>IF($D488=0,0,$D488*$E488)</f>
        <v/>
      </c>
      <c r="H488" s="125">
        <f>IF($B488="","",CONCATENATE("Örnek kayıt: ",$B488))</f>
        <v/>
      </c>
    </row>
    <row r="489" ht="15" customHeight="1" s="80">
      <c r="G489" s="125">
        <f>IF($D489=0,0,$D489*$E489)</f>
        <v/>
      </c>
      <c r="H489" s="125">
        <f>IF($B489="","",CONCATENATE("Örnek kayıt: ",$B489))</f>
        <v/>
      </c>
    </row>
    <row r="490" ht="15" customHeight="1" s="80">
      <c r="G490" s="125">
        <f>IF($D490=0,0,$D490*$E490)</f>
        <v/>
      </c>
      <c r="H490" s="125">
        <f>IF($B490="","",CONCATENATE("Örnek kayıt: ",$B490))</f>
        <v/>
      </c>
    </row>
    <row r="491" ht="15" customHeight="1" s="80">
      <c r="G491" s="125">
        <f>IF($D491=0,0,$D491*$E491)</f>
        <v/>
      </c>
      <c r="H491" s="125">
        <f>IF($B491="","",CONCATENATE("Örnek kayıt: ",$B491))</f>
        <v/>
      </c>
    </row>
    <row r="492" ht="15" customHeight="1" s="80">
      <c r="G492" s="125">
        <f>IF($D492=0,0,$D492*$E492)</f>
        <v/>
      </c>
      <c r="H492" s="125">
        <f>IF($B492="","",CONCATENATE("Örnek kayıt: ",$B492))</f>
        <v/>
      </c>
    </row>
    <row r="493" ht="15" customHeight="1" s="80">
      <c r="G493" s="125">
        <f>IF($D493=0,0,$D493*$E493)</f>
        <v/>
      </c>
      <c r="H493" s="125">
        <f>IF($B493="","",CONCATENATE("Örnek kayıt: ",$B493))</f>
        <v/>
      </c>
    </row>
    <row r="494" ht="15" customHeight="1" s="80">
      <c r="G494" s="125">
        <f>IF($D494=0,0,$D494*$E494)</f>
        <v/>
      </c>
      <c r="H494" s="125">
        <f>IF($B494="","",CONCATENATE("Örnek kayıt: ",$B494))</f>
        <v/>
      </c>
    </row>
    <row r="495" ht="15" customHeight="1" s="80">
      <c r="G495" s="125">
        <f>IF($D495=0,0,$D495*$E495)</f>
        <v/>
      </c>
      <c r="H495" s="125">
        <f>IF($B495="","",CONCATENATE("Örnek kayıt: ",$B495))</f>
        <v/>
      </c>
    </row>
    <row r="496" ht="15" customHeight="1" s="80">
      <c r="G496" s="125">
        <f>IF($D496=0,0,$D496*$E496)</f>
        <v/>
      </c>
      <c r="H496" s="125">
        <f>IF($B496="","",CONCATENATE("Örnek kayıt: ",$B496))</f>
        <v/>
      </c>
    </row>
    <row r="497" ht="15" customHeight="1" s="80">
      <c r="G497" s="125">
        <f>IF($D497=0,0,$D497*$E497)</f>
        <v/>
      </c>
      <c r="H497" s="125">
        <f>IF($B497="","",CONCATENATE("Örnek kayıt: ",$B497))</f>
        <v/>
      </c>
    </row>
    <row r="498" ht="15" customHeight="1" s="80">
      <c r="G498" s="125">
        <f>IF($D498=0,0,$D498*$E498)</f>
        <v/>
      </c>
      <c r="H498" s="125">
        <f>IF($B498="","",CONCATENATE("Örnek kayıt: ",$B498))</f>
        <v/>
      </c>
    </row>
    <row r="499" ht="15" customHeight="1" s="80">
      <c r="G499" s="125">
        <f>IF($D499=0,0,$D499*$E499)</f>
        <v/>
      </c>
      <c r="H499" s="125">
        <f>IF($B499="","",CONCATENATE("Örnek kayıt: ",$B499))</f>
        <v/>
      </c>
    </row>
    <row r="500" ht="15" customHeight="1" s="80">
      <c r="G500" s="125">
        <f>IF($D500=0,0,$D500*$E500)</f>
        <v/>
      </c>
      <c r="H500" s="125">
        <f>IF($B500="","",CONCATENATE("Örnek kayıt: ",$B500))</f>
        <v/>
      </c>
    </row>
    <row r="501" ht="15" customHeight="1" s="80">
      <c r="G501" s="125">
        <f>IF($D501=0,0,$D501*$E501)</f>
        <v/>
      </c>
      <c r="H501" s="125">
        <f>IF($B501="","",CONCATENATE("Örnek kayıt: ",$B501))</f>
        <v/>
      </c>
    </row>
    <row r="502" ht="15" customHeight="1" s="80">
      <c r="G502" s="125">
        <f>IF($D502=0,0,$D502*$E502)</f>
        <v/>
      </c>
      <c r="H502" s="125">
        <f>IF($B502="","",CONCATENATE("Örnek kayıt: ",$B502))</f>
        <v/>
      </c>
    </row>
    <row r="503" ht="15" customHeight="1" s="80">
      <c r="G503" s="125">
        <f>IF($D503=0,0,$D503*$E503)</f>
        <v/>
      </c>
      <c r="H503" s="125">
        <f>IF($B503="","",CONCATENATE("Örnek kayıt: ",$B503))</f>
        <v/>
      </c>
    </row>
    <row r="504" ht="15" customHeight="1" s="80">
      <c r="G504" s="125">
        <f>IF($D504=0,0,$D504*$E504)</f>
        <v/>
      </c>
      <c r="H504" s="125">
        <f>IF($B504="","",CONCATENATE("Örnek kayıt: ",$B504))</f>
        <v/>
      </c>
    </row>
    <row r="505" ht="15" customHeight="1" s="80">
      <c r="G505" s="125">
        <f>IF($D505=0,0,$D505*$E505)</f>
        <v/>
      </c>
      <c r="H505" s="125">
        <f>IF($B505="","",CONCATENATE("Örnek kayıt: ",$B505))</f>
        <v/>
      </c>
    </row>
    <row r="506" ht="15" customHeight="1" s="80">
      <c r="G506" s="125">
        <f>IF($D506=0,0,$D506*$E506)</f>
        <v/>
      </c>
      <c r="H506" s="125">
        <f>IF($B506="","",CONCATENATE("Örnek kayıt: ",$B506))</f>
        <v/>
      </c>
    </row>
    <row r="507" ht="15" customHeight="1" s="80">
      <c r="G507" s="125">
        <f>IF($D507=0,0,$D507*$E507)</f>
        <v/>
      </c>
      <c r="H507" s="125">
        <f>IF($B507="","",CONCATENATE("Örnek kayıt: ",$B507))</f>
        <v/>
      </c>
    </row>
    <row r="508" ht="15" customHeight="1" s="80">
      <c r="G508" s="125">
        <f>IF($D508=0,0,$D508*$E508)</f>
        <v/>
      </c>
      <c r="H508" s="125">
        <f>IF($B508="","",CONCATENATE("Örnek kayıt: ",$B508))</f>
        <v/>
      </c>
    </row>
    <row r="509" ht="15" customHeight="1" s="80">
      <c r="G509" s="125">
        <f>IF($D509=0,0,$D509*$E509)</f>
        <v/>
      </c>
      <c r="H509" s="125">
        <f>IF($B509="","",CONCATENATE("Örnek kayıt: ",$B509))</f>
        <v/>
      </c>
    </row>
    <row r="510" ht="15" customHeight="1" s="80">
      <c r="G510" s="125">
        <f>IF($D510=0,0,$D510*$E510)</f>
        <v/>
      </c>
      <c r="H510" s="125">
        <f>IF($B510="","",CONCATENATE("Örnek kayıt: ",$B510))</f>
        <v/>
      </c>
    </row>
    <row r="511" ht="15" customHeight="1" s="80">
      <c r="G511" s="125">
        <f>IF($D511=0,0,$D511*$E511)</f>
        <v/>
      </c>
      <c r="H511" s="125">
        <f>IF($B511="","",CONCATENATE("Örnek kayıt: ",$B511))</f>
        <v/>
      </c>
    </row>
    <row r="512" ht="15" customHeight="1" s="80">
      <c r="G512" s="125">
        <f>IF($D512=0,0,$D512*$E512)</f>
        <v/>
      </c>
      <c r="H512" s="125">
        <f>IF($B512="","",CONCATENATE("Örnek kayıt: ",$B512))</f>
        <v/>
      </c>
    </row>
    <row r="513" ht="15" customHeight="1" s="80">
      <c r="G513" s="125">
        <f>IF($D513=0,0,$D513*$E513)</f>
        <v/>
      </c>
      <c r="H513" s="125">
        <f>IF($B513="","",CONCATENATE("Örnek kayıt: ",$B513))</f>
        <v/>
      </c>
    </row>
    <row r="514" ht="15" customHeight="1" s="80">
      <c r="G514" s="125">
        <f>IF($D514=0,0,$D514*$E514)</f>
        <v/>
      </c>
      <c r="H514" s="125">
        <f>IF($B514="","",CONCATENATE("Örnek kayıt: ",$B514))</f>
        <v/>
      </c>
    </row>
    <row r="515" ht="15" customHeight="1" s="80">
      <c r="G515" s="125">
        <f>IF($D515=0,0,$D515*$E515)</f>
        <v/>
      </c>
      <c r="H515" s="125">
        <f>IF($B515="","",CONCATENATE("Örnek kayıt: ",$B515))</f>
        <v/>
      </c>
    </row>
    <row r="516" ht="15" customHeight="1" s="80">
      <c r="G516" s="125">
        <f>IF($D516=0,0,$D516*$E516)</f>
        <v/>
      </c>
      <c r="H516" s="125">
        <f>IF($B516="","",CONCATENATE("Örnek kayıt: ",$B516))</f>
        <v/>
      </c>
    </row>
    <row r="517" ht="15" customHeight="1" s="80">
      <c r="G517" s="125">
        <f>IF($D517=0,0,$D517*$E517)</f>
        <v/>
      </c>
      <c r="H517" s="125">
        <f>IF($B517="","",CONCATENATE("Örnek kayıt: ",$B517))</f>
        <v/>
      </c>
    </row>
    <row r="518" ht="15" customHeight="1" s="80">
      <c r="G518" s="125">
        <f>IF($D518=0,0,$D518*$E518)</f>
        <v/>
      </c>
      <c r="H518" s="125">
        <f>IF($B518="","",CONCATENATE("Örnek kayıt: ",$B518))</f>
        <v/>
      </c>
    </row>
    <row r="519" ht="15" customHeight="1" s="80">
      <c r="G519" s="125">
        <f>IF($D519=0,0,$D519*$E519)</f>
        <v/>
      </c>
      <c r="H519" s="125">
        <f>IF($B519="","",CONCATENATE("Örnek kayıt: ",$B519))</f>
        <v/>
      </c>
    </row>
    <row r="520" ht="15" customHeight="1" s="80">
      <c r="G520" s="125">
        <f>IF($D520=0,0,$D520*$E520)</f>
        <v/>
      </c>
      <c r="H520" s="125">
        <f>IF($B520="","",CONCATENATE("Örnek kayıt: ",$B520))</f>
        <v/>
      </c>
    </row>
    <row r="521" ht="15" customHeight="1" s="80">
      <c r="G521" s="125">
        <f>IF($D521=0,0,$D521*$E521)</f>
        <v/>
      </c>
      <c r="H521" s="125">
        <f>IF($B521="","",CONCATENATE("Örnek kayıt: ",$B521))</f>
        <v/>
      </c>
    </row>
    <row r="522" ht="15" customHeight="1" s="80">
      <c r="G522" s="125">
        <f>IF($D522=0,0,$D522*$E522)</f>
        <v/>
      </c>
      <c r="H522" s="125">
        <f>IF($B522="","",CONCATENATE("Örnek kayıt: ",$B522))</f>
        <v/>
      </c>
    </row>
    <row r="523" ht="15" customHeight="1" s="80">
      <c r="G523" s="125">
        <f>IF($D523=0,0,$D523*$E523)</f>
        <v/>
      </c>
      <c r="H523" s="125">
        <f>IF($B523="","",CONCATENATE("Örnek kayıt: ",$B523))</f>
        <v/>
      </c>
    </row>
    <row r="524" ht="15" customHeight="1" s="80">
      <c r="G524" s="125">
        <f>IF($D524=0,0,$D524*$E524)</f>
        <v/>
      </c>
      <c r="H524" s="125">
        <f>IF($B524="","",CONCATENATE("Örnek kayıt: ",$B524))</f>
        <v/>
      </c>
    </row>
    <row r="525" ht="15" customHeight="1" s="80">
      <c r="G525" s="125">
        <f>IF($D525=0,0,$D525*$E525)</f>
        <v/>
      </c>
      <c r="H525" s="125">
        <f>IF($B525="","",CONCATENATE("Örnek kayıt: ",$B525))</f>
        <v/>
      </c>
    </row>
    <row r="526" ht="15" customHeight="1" s="80">
      <c r="G526" s="125">
        <f>IF($D526=0,0,$D526*$E526)</f>
        <v/>
      </c>
      <c r="H526" s="125">
        <f>IF($B526="","",CONCATENATE("Örnek kayıt: ",$B526))</f>
        <v/>
      </c>
    </row>
    <row r="527" ht="15" customHeight="1" s="80">
      <c r="G527" s="125">
        <f>IF($D527=0,0,$D527*$E527)</f>
        <v/>
      </c>
      <c r="H527" s="125">
        <f>IF($B527="","",CONCATENATE("Örnek kayıt: ",$B527))</f>
        <v/>
      </c>
    </row>
    <row r="528" ht="15" customHeight="1" s="80">
      <c r="G528" s="125">
        <f>IF($D528=0,0,$D528*$E528)</f>
        <v/>
      </c>
      <c r="H528" s="125">
        <f>IF($B528="","",CONCATENATE("Örnek kayıt: ",$B528))</f>
        <v/>
      </c>
    </row>
    <row r="529" ht="15" customHeight="1" s="80">
      <c r="G529" s="125">
        <f>IF($D529=0,0,$D529*$E529)</f>
        <v/>
      </c>
      <c r="H529" s="125">
        <f>IF($B529="","",CONCATENATE("Örnek kayıt: ",$B529))</f>
        <v/>
      </c>
    </row>
    <row r="530" ht="15" customHeight="1" s="80">
      <c r="G530" s="125">
        <f>IF($D530=0,0,$D530*$E530)</f>
        <v/>
      </c>
      <c r="H530" s="125">
        <f>IF($B530="","",CONCATENATE("Örnek kayıt: ",$B530))</f>
        <v/>
      </c>
    </row>
    <row r="531" ht="15" customHeight="1" s="80">
      <c r="G531" s="125">
        <f>IF($D531=0,0,$D531*$E531)</f>
        <v/>
      </c>
      <c r="H531" s="125">
        <f>IF($B531="","",CONCATENATE("Örnek kayıt: ",$B531))</f>
        <v/>
      </c>
    </row>
    <row r="532" ht="15" customHeight="1" s="80">
      <c r="G532" s="125">
        <f>IF($D532=0,0,$D532*$E532)</f>
        <v/>
      </c>
      <c r="H532" s="125">
        <f>IF($B532="","",CONCATENATE("Örnek kayıt: ",$B532))</f>
        <v/>
      </c>
    </row>
    <row r="533" ht="15" customHeight="1" s="80">
      <c r="G533" s="125">
        <f>IF($D533=0,0,$D533*$E533)</f>
        <v/>
      </c>
      <c r="H533" s="125">
        <f>IF($B533="","",CONCATENATE("Örnek kayıt: ",$B533))</f>
        <v/>
      </c>
    </row>
    <row r="534" ht="15" customHeight="1" s="80">
      <c r="G534" s="125">
        <f>IF($D534=0,0,$D534*$E534)</f>
        <v/>
      </c>
      <c r="H534" s="125">
        <f>IF($B534="","",CONCATENATE("Örnek kayıt: ",$B534))</f>
        <v/>
      </c>
    </row>
    <row r="535" ht="15" customHeight="1" s="80">
      <c r="G535" s="125">
        <f>IF($D535=0,0,$D535*$E535)</f>
        <v/>
      </c>
      <c r="H535" s="125">
        <f>IF($B535="","",CONCATENATE("Örnek kayıt: ",$B535))</f>
        <v/>
      </c>
    </row>
    <row r="536" ht="15" customHeight="1" s="80">
      <c r="G536" s="125">
        <f>IF($D536=0,0,$D536*$E536)</f>
        <v/>
      </c>
      <c r="H536" s="125">
        <f>IF($B536="","",CONCATENATE("Örnek kayıt: ",$B536))</f>
        <v/>
      </c>
    </row>
    <row r="537" ht="15" customHeight="1" s="80">
      <c r="G537" s="125">
        <f>IF($D537=0,0,$D537*$E537)</f>
        <v/>
      </c>
      <c r="H537" s="125">
        <f>IF($B537="","",CONCATENATE("Örnek kayıt: ",$B537))</f>
        <v/>
      </c>
    </row>
    <row r="538" ht="15" customHeight="1" s="80">
      <c r="G538" s="125">
        <f>IF($D538=0,0,$D538*$E538)</f>
        <v/>
      </c>
      <c r="H538" s="125">
        <f>IF($B538="","",CONCATENATE("Örnek kayıt: ",$B538))</f>
        <v/>
      </c>
    </row>
    <row r="539" ht="15" customHeight="1" s="80">
      <c r="G539" s="125">
        <f>IF($D539=0,0,$D539*$E539)</f>
        <v/>
      </c>
      <c r="H539" s="125">
        <f>IF($B539="","",CONCATENATE("Örnek kayıt: ",$B539))</f>
        <v/>
      </c>
    </row>
    <row r="540" ht="15" customHeight="1" s="80">
      <c r="G540" s="125">
        <f>IF($D540=0,0,$D540*$E540)</f>
        <v/>
      </c>
      <c r="H540" s="125">
        <f>IF($B540="","",CONCATENATE("Örnek kayıt: ",$B540))</f>
        <v/>
      </c>
    </row>
    <row r="541" ht="15" customHeight="1" s="80">
      <c r="G541" s="125">
        <f>IF($D541=0,0,$D541*$E541)</f>
        <v/>
      </c>
      <c r="H541" s="125">
        <f>IF($B541="","",CONCATENATE("Örnek kayıt: ",$B541))</f>
        <v/>
      </c>
    </row>
    <row r="542" ht="15" customHeight="1" s="80">
      <c r="G542" s="125">
        <f>IF($D542=0,0,$D542*$E542)</f>
        <v/>
      </c>
      <c r="H542" s="125">
        <f>IF($B542="","",CONCATENATE("Örnek kayıt: ",$B542))</f>
        <v/>
      </c>
    </row>
    <row r="543" ht="15" customHeight="1" s="80">
      <c r="G543" s="125">
        <f>IF($D543=0,0,$D543*$E543)</f>
        <v/>
      </c>
      <c r="H543" s="125">
        <f>IF($B543="","",CONCATENATE("Örnek kayıt: ",$B543))</f>
        <v/>
      </c>
    </row>
    <row r="544" ht="15" customHeight="1" s="80">
      <c r="G544" s="125">
        <f>IF($D544=0,0,$D544*$E544)</f>
        <v/>
      </c>
      <c r="H544" s="125">
        <f>IF($B544="","",CONCATENATE("Örnek kayıt: ",$B544))</f>
        <v/>
      </c>
    </row>
    <row r="545" ht="15" customHeight="1" s="80">
      <c r="G545" s="125">
        <f>IF($D545=0,0,$D545*$E545)</f>
        <v/>
      </c>
      <c r="H545" s="125">
        <f>IF($B545="","",CONCATENATE("Örnek kayıt: ",$B545))</f>
        <v/>
      </c>
    </row>
    <row r="546" ht="15" customHeight="1" s="80">
      <c r="G546" s="125">
        <f>IF($D546=0,0,$D546*$E546)</f>
        <v/>
      </c>
      <c r="H546" s="125">
        <f>IF($B546="","",CONCATENATE("Örnek kayıt: ",$B546))</f>
        <v/>
      </c>
    </row>
    <row r="547" ht="15" customHeight="1" s="80">
      <c r="G547" s="125">
        <f>IF($D547=0,0,$D547*$E547)</f>
        <v/>
      </c>
      <c r="H547" s="125">
        <f>IF($B547="","",CONCATENATE("Örnek kayıt: ",$B547))</f>
        <v/>
      </c>
    </row>
    <row r="548" ht="15" customHeight="1" s="80">
      <c r="G548" s="125">
        <f>IF($D548=0,0,$D548*$E548)</f>
        <v/>
      </c>
      <c r="H548" s="125">
        <f>IF($B548="","",CONCATENATE("Örnek kayıt: ",$B548))</f>
        <v/>
      </c>
    </row>
    <row r="549" ht="15" customHeight="1" s="80">
      <c r="G549" s="125">
        <f>IF($D549=0,0,$D549*$E549)</f>
        <v/>
      </c>
      <c r="H549" s="125">
        <f>IF($B549="","",CONCATENATE("Örnek kayıt: ",$B549))</f>
        <v/>
      </c>
    </row>
    <row r="550" ht="15" customHeight="1" s="80">
      <c r="G550" s="125">
        <f>IF($D550=0,0,$D550*$E550)</f>
        <v/>
      </c>
      <c r="H550" s="125">
        <f>IF($B550="","",CONCATENATE("Örnek kayıt: ",$B550))</f>
        <v/>
      </c>
    </row>
    <row r="551" ht="15" customHeight="1" s="80">
      <c r="G551" s="125">
        <f>IF($D551=0,0,$D551*$E551)</f>
        <v/>
      </c>
      <c r="H551" s="125">
        <f>IF($B551="","",CONCATENATE("Örnek kayıt: ",$B551))</f>
        <v/>
      </c>
    </row>
    <row r="552" ht="15" customHeight="1" s="80">
      <c r="G552" s="125">
        <f>IF($D552=0,0,$D552*$E552)</f>
        <v/>
      </c>
      <c r="H552" s="125">
        <f>IF($B552="","",CONCATENATE("Örnek kayıt: ",$B552))</f>
        <v/>
      </c>
    </row>
    <row r="553" ht="15" customHeight="1" s="80">
      <c r="G553" s="125">
        <f>IF($D553=0,0,$D553*$E553)</f>
        <v/>
      </c>
      <c r="H553" s="125">
        <f>IF($B553="","",CONCATENATE("Örnek kayıt: ",$B553))</f>
        <v/>
      </c>
    </row>
    <row r="554" ht="15" customHeight="1" s="80">
      <c r="G554" s="125">
        <f>IF($D554=0,0,$D554*$E554)</f>
        <v/>
      </c>
      <c r="H554" s="125">
        <f>IF($B554="","",CONCATENATE("Örnek kayıt: ",$B554))</f>
        <v/>
      </c>
    </row>
    <row r="555" ht="15" customHeight="1" s="80">
      <c r="G555" s="125">
        <f>IF($D555=0,0,$D555*$E555)</f>
        <v/>
      </c>
      <c r="H555" s="125">
        <f>IF($B555="","",CONCATENATE("Örnek kayıt: ",$B555))</f>
        <v/>
      </c>
    </row>
    <row r="556" ht="15" customHeight="1" s="80">
      <c r="G556" s="125">
        <f>IF($D556=0,0,$D556*$E556)</f>
        <v/>
      </c>
      <c r="H556" s="125">
        <f>IF($B556="","",CONCATENATE("Örnek kayıt: ",$B556))</f>
        <v/>
      </c>
    </row>
    <row r="557" ht="15" customHeight="1" s="80">
      <c r="G557" s="125">
        <f>IF($D557=0,0,$D557*$E557)</f>
        <v/>
      </c>
      <c r="H557" s="125">
        <f>IF($B557="","",CONCATENATE("Örnek kayıt: ",$B557))</f>
        <v/>
      </c>
    </row>
    <row r="558" ht="15" customHeight="1" s="80">
      <c r="G558" s="125">
        <f>IF($D558=0,0,$D558*$E558)</f>
        <v/>
      </c>
      <c r="H558" s="125">
        <f>IF($B558="","",CONCATENATE("Örnek kayıt: ",$B558))</f>
        <v/>
      </c>
    </row>
    <row r="559" ht="15" customHeight="1" s="80">
      <c r="G559" s="125">
        <f>IF($D559=0,0,$D559*$E559)</f>
        <v/>
      </c>
      <c r="H559" s="125">
        <f>IF($B559="","",CONCATENATE("Örnek kayıt: ",$B559))</f>
        <v/>
      </c>
    </row>
    <row r="560" ht="15" customHeight="1" s="80">
      <c r="G560" s="125">
        <f>IF($D560=0,0,$D560*$E560)</f>
        <v/>
      </c>
      <c r="H560" s="125">
        <f>IF($B560="","",CONCATENATE("Örnek kayıt: ",$B560))</f>
        <v/>
      </c>
    </row>
    <row r="561" ht="15" customHeight="1" s="80">
      <c r="G561" s="125">
        <f>IF($D561=0,0,$D561*$E561)</f>
        <v/>
      </c>
      <c r="H561" s="125">
        <f>IF($B561="","",CONCATENATE("Örnek kayıt: ",$B561))</f>
        <v/>
      </c>
    </row>
    <row r="562" ht="15" customHeight="1" s="80">
      <c r="G562" s="125">
        <f>IF($D562=0,0,$D562*$E562)</f>
        <v/>
      </c>
      <c r="H562" s="125">
        <f>IF($B562="","",CONCATENATE("Örnek kayıt: ",$B562))</f>
        <v/>
      </c>
    </row>
    <row r="563" ht="15" customHeight="1" s="80">
      <c r="G563" s="125">
        <f>IF($D563=0,0,$D563*$E563)</f>
        <v/>
      </c>
      <c r="H563" s="125">
        <f>IF($B563="","",CONCATENATE("Örnek kayıt: ",$B563))</f>
        <v/>
      </c>
    </row>
    <row r="564" ht="15" customHeight="1" s="80">
      <c r="G564" s="125">
        <f>IF($D564=0,0,$D564*$E564)</f>
        <v/>
      </c>
      <c r="H564" s="125">
        <f>IF($B564="","",CONCATENATE("Örnek kayıt: ",$B564))</f>
        <v/>
      </c>
    </row>
    <row r="565" ht="15" customHeight="1" s="80">
      <c r="G565" s="125">
        <f>IF($D565=0,0,$D565*$E565)</f>
        <v/>
      </c>
      <c r="H565" s="125">
        <f>IF($B565="","",CONCATENATE("Örnek kayıt: ",$B565))</f>
        <v/>
      </c>
    </row>
    <row r="566" ht="15" customHeight="1" s="80">
      <c r="G566" s="125">
        <f>IF($D566=0,0,$D566*$E566)</f>
        <v/>
      </c>
      <c r="H566" s="125">
        <f>IF($B566="","",CONCATENATE("Örnek kayıt: ",$B566))</f>
        <v/>
      </c>
    </row>
    <row r="567" ht="15" customHeight="1" s="80">
      <c r="G567" s="125">
        <f>IF($D567=0,0,$D567*$E567)</f>
        <v/>
      </c>
      <c r="H567" s="125">
        <f>IF($B567="","",CONCATENATE("Örnek kayıt: ",$B567))</f>
        <v/>
      </c>
    </row>
    <row r="568" ht="15" customHeight="1" s="80">
      <c r="G568" s="125">
        <f>IF($D568=0,0,$D568*$E568)</f>
        <v/>
      </c>
      <c r="H568" s="125">
        <f>IF($B568="","",CONCATENATE("Örnek kayıt: ",$B568))</f>
        <v/>
      </c>
    </row>
    <row r="569" ht="15" customHeight="1" s="80">
      <c r="G569" s="125">
        <f>IF($D569=0,0,$D569*$E569)</f>
        <v/>
      </c>
      <c r="H569" s="125">
        <f>IF($B569="","",CONCATENATE("Örnek kayıt: ",$B569))</f>
        <v/>
      </c>
    </row>
    <row r="570" ht="15" customHeight="1" s="80">
      <c r="G570" s="125">
        <f>IF($D570=0,0,$D570*$E570)</f>
        <v/>
      </c>
      <c r="H570" s="125">
        <f>IF($B570="","",CONCATENATE("Örnek kayıt: ",$B570))</f>
        <v/>
      </c>
    </row>
    <row r="571" ht="15" customHeight="1" s="80">
      <c r="G571" s="125">
        <f>IF($D571=0,0,$D571*$E571)</f>
        <v/>
      </c>
      <c r="H571" s="125">
        <f>IF($B571="","",CONCATENATE("Örnek kayıt: ",$B571))</f>
        <v/>
      </c>
    </row>
    <row r="572" ht="15" customHeight="1" s="80">
      <c r="G572" s="125">
        <f>IF($D572=0,0,$D572*$E572)</f>
        <v/>
      </c>
      <c r="H572" s="125">
        <f>IF($B572="","",CONCATENATE("Örnek kayıt: ",$B572))</f>
        <v/>
      </c>
    </row>
    <row r="573" ht="15" customHeight="1" s="80">
      <c r="G573" s="125">
        <f>IF($D573=0,0,$D573*$E573)</f>
        <v/>
      </c>
      <c r="H573" s="125">
        <f>IF($B573="","",CONCATENATE("Örnek kayıt: ",$B573))</f>
        <v/>
      </c>
    </row>
    <row r="574" ht="15" customHeight="1" s="80">
      <c r="G574" s="125">
        <f>IF($D574=0,0,$D574*$E574)</f>
        <v/>
      </c>
      <c r="H574" s="125">
        <f>IF($B574="","",CONCATENATE("Örnek kayıt: ",$B574))</f>
        <v/>
      </c>
    </row>
    <row r="575" ht="15" customHeight="1" s="80">
      <c r="G575" s="125">
        <f>IF($D575=0,0,$D575*$E575)</f>
        <v/>
      </c>
      <c r="H575" s="125">
        <f>IF($B575="","",CONCATENATE("Örnek kayıt: ",$B575))</f>
        <v/>
      </c>
    </row>
    <row r="576" ht="15" customHeight="1" s="80">
      <c r="G576" s="125">
        <f>IF($D576=0,0,$D576*$E576)</f>
        <v/>
      </c>
      <c r="H576" s="125">
        <f>IF($B576="","",CONCATENATE("Örnek kayıt: ",$B576))</f>
        <v/>
      </c>
    </row>
    <row r="577" ht="15" customHeight="1" s="80">
      <c r="G577" s="125">
        <f>IF($D577=0,0,$D577*$E577)</f>
        <v/>
      </c>
      <c r="H577" s="125">
        <f>IF($B577="","",CONCATENATE("Örnek kayıt: ",$B577))</f>
        <v/>
      </c>
    </row>
    <row r="578" ht="15" customHeight="1" s="80">
      <c r="G578" s="125">
        <f>IF($D578=0,0,$D578*$E578)</f>
        <v/>
      </c>
      <c r="H578" s="125">
        <f>IF($B578="","",CONCATENATE("Örnek kayıt: ",$B578))</f>
        <v/>
      </c>
    </row>
    <row r="579" ht="15" customHeight="1" s="80">
      <c r="G579" s="125">
        <f>IF($D579=0,0,$D579*$E579)</f>
        <v/>
      </c>
      <c r="H579" s="125">
        <f>IF($B579="","",CONCATENATE("Örnek kayıt: ",$B579))</f>
        <v/>
      </c>
    </row>
    <row r="580" ht="15" customHeight="1" s="80">
      <c r="G580" s="125">
        <f>IF($D580=0,0,$D580*$E580)</f>
        <v/>
      </c>
      <c r="H580" s="125">
        <f>IF($B580="","",CONCATENATE("Örnek kayıt: ",$B580))</f>
        <v/>
      </c>
    </row>
    <row r="581" ht="15" customHeight="1" s="80">
      <c r="G581" s="125">
        <f>IF($D581=0,0,$D581*$E581)</f>
        <v/>
      </c>
      <c r="H581" s="125">
        <f>IF($B581="","",CONCATENATE("Örnek kayıt: ",$B581))</f>
        <v/>
      </c>
    </row>
    <row r="582" ht="15" customHeight="1" s="80">
      <c r="G582" s="125">
        <f>IF($D582=0,0,$D582*$E582)</f>
        <v/>
      </c>
      <c r="H582" s="125">
        <f>IF($B582="","",CONCATENATE("Örnek kayıt: ",$B582))</f>
        <v/>
      </c>
    </row>
    <row r="583" ht="15" customHeight="1" s="80">
      <c r="G583" s="125">
        <f>IF($D583=0,0,$D583*$E583)</f>
        <v/>
      </c>
      <c r="H583" s="125">
        <f>IF($B583="","",CONCATENATE("Örnek kayıt: ",$B583))</f>
        <v/>
      </c>
    </row>
    <row r="584" ht="15" customHeight="1" s="80">
      <c r="G584" s="125">
        <f>IF($D584=0,0,$D584*$E584)</f>
        <v/>
      </c>
      <c r="H584" s="125">
        <f>IF($B584="","",CONCATENATE("Örnek kayıt: ",$B584))</f>
        <v/>
      </c>
    </row>
    <row r="585" ht="15" customHeight="1" s="80">
      <c r="G585" s="125">
        <f>IF($D585=0,0,$D585*$E585)</f>
        <v/>
      </c>
      <c r="H585" s="125">
        <f>IF($B585="","",CONCATENATE("Örnek kayıt: ",$B585))</f>
        <v/>
      </c>
    </row>
    <row r="586" ht="15" customHeight="1" s="80">
      <c r="G586" s="125">
        <f>IF($D586=0,0,$D586*$E586)</f>
        <v/>
      </c>
      <c r="H586" s="125">
        <f>IF($B586="","",CONCATENATE("Örnek kayıt: ",$B586))</f>
        <v/>
      </c>
    </row>
    <row r="587" ht="15" customHeight="1" s="80">
      <c r="G587" s="125">
        <f>IF($D587=0,0,$D587*$E587)</f>
        <v/>
      </c>
      <c r="H587" s="125">
        <f>IF($B587="","",CONCATENATE("Örnek kayıt: ",$B587))</f>
        <v/>
      </c>
    </row>
    <row r="588" ht="15" customHeight="1" s="80">
      <c r="G588" s="125">
        <f>IF($D588=0,0,$D588*$E588)</f>
        <v/>
      </c>
      <c r="H588" s="125">
        <f>IF($B588="","",CONCATENATE("Örnek kayıt: ",$B588))</f>
        <v/>
      </c>
    </row>
    <row r="589" ht="15" customHeight="1" s="80">
      <c r="G589" s="125">
        <f>IF($D589=0,0,$D589*$E589)</f>
        <v/>
      </c>
      <c r="H589" s="125">
        <f>IF($B589="","",CONCATENATE("Örnek kayıt: ",$B589))</f>
        <v/>
      </c>
    </row>
    <row r="590" ht="15" customHeight="1" s="80">
      <c r="G590" s="125">
        <f>IF($D590=0,0,$D590*$E590)</f>
        <v/>
      </c>
      <c r="H590" s="125">
        <f>IF($B590="","",CONCATENATE("Örnek kayıt: ",$B590))</f>
        <v/>
      </c>
    </row>
    <row r="591" ht="15" customHeight="1" s="80">
      <c r="G591" s="125">
        <f>IF($D591=0,0,$D591*$E591)</f>
        <v/>
      </c>
      <c r="H591" s="125">
        <f>IF($B591="","",CONCATENATE("Örnek kayıt: ",$B591))</f>
        <v/>
      </c>
    </row>
    <row r="592" ht="15" customHeight="1" s="80">
      <c r="G592" s="125">
        <f>IF($D592=0,0,$D592*$E592)</f>
        <v/>
      </c>
      <c r="H592" s="125">
        <f>IF($B592="","",CONCATENATE("Örnek kayıt: ",$B592))</f>
        <v/>
      </c>
    </row>
    <row r="593" ht="15" customHeight="1" s="80">
      <c r="G593" s="125">
        <f>IF($D593=0,0,$D593*$E593)</f>
        <v/>
      </c>
      <c r="H593" s="125">
        <f>IF($B593="","",CONCATENATE("Örnek kayıt: ",$B593))</f>
        <v/>
      </c>
    </row>
    <row r="594" ht="15" customHeight="1" s="80">
      <c r="G594" s="125">
        <f>IF($D594=0,0,$D594*$E594)</f>
        <v/>
      </c>
      <c r="H594" s="125">
        <f>IF($B594="","",CONCATENATE("Örnek kayıt: ",$B594))</f>
        <v/>
      </c>
    </row>
    <row r="595" ht="15" customHeight="1" s="80">
      <c r="G595" s="125">
        <f>IF($D595=0,0,$D595*$E595)</f>
        <v/>
      </c>
      <c r="H595" s="125">
        <f>IF($B595="","",CONCATENATE("Örnek kayıt: ",$B595))</f>
        <v/>
      </c>
    </row>
    <row r="596" ht="15" customHeight="1" s="80">
      <c r="G596" s="125">
        <f>IF($D596=0,0,$D596*$E596)</f>
        <v/>
      </c>
      <c r="H596" s="125">
        <f>IF($B596="","",CONCATENATE("Örnek kayıt: ",$B596))</f>
        <v/>
      </c>
    </row>
    <row r="597" ht="15" customHeight="1" s="80">
      <c r="G597" s="125">
        <f>IF($D597=0,0,$D597*$E597)</f>
        <v/>
      </c>
      <c r="H597" s="125">
        <f>IF($B597="","",CONCATENATE("Örnek kayıt: ",$B597))</f>
        <v/>
      </c>
    </row>
    <row r="598" ht="15" customHeight="1" s="80">
      <c r="G598" s="125">
        <f>IF($D598=0,0,$D598*$E598)</f>
        <v/>
      </c>
      <c r="H598" s="125">
        <f>IF($B598="","",CONCATENATE("Örnek kayıt: ",$B598))</f>
        <v/>
      </c>
    </row>
    <row r="599" ht="15" customHeight="1" s="80">
      <c r="G599" s="125">
        <f>IF($D599=0,0,$D599*$E599)</f>
        <v/>
      </c>
      <c r="H599" s="125">
        <f>IF($B599="","",CONCATENATE("Örnek kayıt: ",$B599))</f>
        <v/>
      </c>
    </row>
    <row r="600" ht="15" customHeight="1" s="80">
      <c r="G600" s="125">
        <f>IF($D600=0,0,$D600*$E600)</f>
        <v/>
      </c>
      <c r="H600" s="125">
        <f>IF($B600="","",CONCATENATE("Örnek kayıt: ",$B600))</f>
        <v/>
      </c>
    </row>
    <row r="601" ht="15" customHeight="1" s="80">
      <c r="G601" s="125">
        <f>IF($D601=0,0,$D601*$E601)</f>
        <v/>
      </c>
      <c r="H601" s="125">
        <f>IF($B601="","",CONCATENATE("Örnek kayıt: ",$B601))</f>
        <v/>
      </c>
    </row>
    <row r="602" ht="15" customHeight="1" s="80">
      <c r="G602" s="125">
        <f>IF($D602=0,0,$D602*$E602)</f>
        <v/>
      </c>
      <c r="H602" s="125">
        <f>IF($B602="","",CONCATENATE("Örnek kayıt: ",$B602))</f>
        <v/>
      </c>
    </row>
    <row r="603" ht="15" customHeight="1" s="80">
      <c r="G603" s="125">
        <f>IF($D603=0,0,$D603*$E603)</f>
        <v/>
      </c>
      <c r="H603" s="125">
        <f>IF($B603="","",CONCATENATE("Örnek kayıt: ",$B603))</f>
        <v/>
      </c>
    </row>
    <row r="604" ht="15" customHeight="1" s="80">
      <c r="G604" s="125">
        <f>IF($D604=0,0,$D604*$E604)</f>
        <v/>
      </c>
      <c r="H604" s="125">
        <f>IF($B604="","",CONCATENATE("Örnek kayıt: ",$B604))</f>
        <v/>
      </c>
    </row>
    <row r="605" ht="15" customHeight="1" s="80">
      <c r="G605" s="125">
        <f>IF($D605=0,0,$D605*$E605)</f>
        <v/>
      </c>
      <c r="H605" s="125">
        <f>IF($B605="","",CONCATENATE("Örnek kayıt: ",$B605))</f>
        <v/>
      </c>
    </row>
    <row r="606" ht="15" customHeight="1" s="80">
      <c r="G606" s="125">
        <f>IF($D606=0,0,$D606*$E606)</f>
        <v/>
      </c>
      <c r="H606" s="125">
        <f>IF($B606="","",CONCATENATE("Örnek kayıt: ",$B606))</f>
        <v/>
      </c>
    </row>
    <row r="607" ht="15" customHeight="1" s="80">
      <c r="G607" s="125">
        <f>IF($D607=0,0,$D607*$E607)</f>
        <v/>
      </c>
      <c r="H607" s="125">
        <f>IF($B607="","",CONCATENATE("Örnek kayıt: ",$B607))</f>
        <v/>
      </c>
    </row>
    <row r="608" ht="15" customHeight="1" s="80">
      <c r="G608" s="125">
        <f>IF($D608=0,0,$D608*$E608)</f>
        <v/>
      </c>
      <c r="H608" s="125">
        <f>IF($B608="","",CONCATENATE("Örnek kayıt: ",$B608))</f>
        <v/>
      </c>
    </row>
    <row r="609" ht="15" customHeight="1" s="80">
      <c r="G609" s="125">
        <f>IF($D609=0,0,$D609*$E609)</f>
        <v/>
      </c>
      <c r="H609" s="125">
        <f>IF($B609="","",CONCATENATE("Örnek kayıt: ",$B609))</f>
        <v/>
      </c>
    </row>
    <row r="610" ht="15" customHeight="1" s="80">
      <c r="G610" s="125">
        <f>IF($D610=0,0,$D610*$E610)</f>
        <v/>
      </c>
      <c r="H610" s="125">
        <f>IF($B610="","",CONCATENATE("Örnek kayıt: ",$B610))</f>
        <v/>
      </c>
    </row>
    <row r="611" ht="15" customHeight="1" s="80">
      <c r="G611" s="125">
        <f>IF($D611=0,0,$D611*$E611)</f>
        <v/>
      </c>
      <c r="H611" s="125">
        <f>IF($B611="","",CONCATENATE("Örnek kayıt: ",$B611))</f>
        <v/>
      </c>
    </row>
    <row r="612" ht="15" customHeight="1" s="80">
      <c r="G612" s="125">
        <f>IF($D612=0,0,$D612*$E612)</f>
        <v/>
      </c>
      <c r="H612" s="125">
        <f>IF($B612="","",CONCATENATE("Örnek kayıt: ",$B612))</f>
        <v/>
      </c>
    </row>
    <row r="613" ht="15" customHeight="1" s="80">
      <c r="G613" s="125">
        <f>IF($D613=0,0,$D613*$E613)</f>
        <v/>
      </c>
      <c r="H613" s="125">
        <f>IF($B613="","",CONCATENATE("Örnek kayıt: ",$B613))</f>
        <v/>
      </c>
    </row>
    <row r="614" ht="15" customHeight="1" s="80">
      <c r="G614" s="125">
        <f>IF($D614=0,0,$D614*$E614)</f>
        <v/>
      </c>
      <c r="H614" s="125">
        <f>IF($B614="","",CONCATENATE("Örnek kayıt: ",$B614))</f>
        <v/>
      </c>
    </row>
    <row r="615" ht="15" customHeight="1" s="80">
      <c r="G615" s="125">
        <f>IF($D615=0,0,$D615*$E615)</f>
        <v/>
      </c>
      <c r="H615" s="125">
        <f>IF($B615="","",CONCATENATE("Örnek kayıt: ",$B615))</f>
        <v/>
      </c>
    </row>
    <row r="616" ht="15" customHeight="1" s="80">
      <c r="G616" s="125">
        <f>IF($D616=0,0,$D616*$E616)</f>
        <v/>
      </c>
      <c r="H616" s="125">
        <f>IF($B616="","",CONCATENATE("Örnek kayıt: ",$B616))</f>
        <v/>
      </c>
    </row>
    <row r="617" ht="15" customHeight="1" s="80">
      <c r="G617" s="125">
        <f>IF($D617=0,0,$D617*$E617)</f>
        <v/>
      </c>
      <c r="H617" s="125">
        <f>IF($B617="","",CONCATENATE("Örnek kayıt: ",$B617))</f>
        <v/>
      </c>
    </row>
    <row r="618" ht="15" customHeight="1" s="80">
      <c r="G618" s="125">
        <f>IF($D618=0,0,$D618*$E618)</f>
        <v/>
      </c>
      <c r="H618" s="125">
        <f>IF($B618="","",CONCATENATE("Örnek kayıt: ",$B618))</f>
        <v/>
      </c>
    </row>
    <row r="619" ht="15" customHeight="1" s="80">
      <c r="G619" s="125">
        <f>IF($D619=0,0,$D619*$E619)</f>
        <v/>
      </c>
      <c r="H619" s="125">
        <f>IF($B619="","",CONCATENATE("Örnek kayıt: ",$B619))</f>
        <v/>
      </c>
    </row>
    <row r="620" ht="15" customHeight="1" s="80">
      <c r="G620" s="125">
        <f>IF($D620=0,0,$D620*$E620)</f>
        <v/>
      </c>
      <c r="H620" s="125">
        <f>IF($B620="","",CONCATENATE("Örnek kayıt: ",$B620))</f>
        <v/>
      </c>
    </row>
    <row r="621" ht="15" customHeight="1" s="80">
      <c r="G621" s="125">
        <f>IF($D621=0,0,$D621*$E621)</f>
        <v/>
      </c>
      <c r="H621" s="125">
        <f>IF($B621="","",CONCATENATE("Örnek kayıt: ",$B621))</f>
        <v/>
      </c>
    </row>
    <row r="622" ht="15" customHeight="1" s="80">
      <c r="G622" s="125">
        <f>IF($D622=0,0,$D622*$E622)</f>
        <v/>
      </c>
      <c r="H622" s="125">
        <f>IF($B622="","",CONCATENATE("Örnek kayıt: ",$B622))</f>
        <v/>
      </c>
    </row>
    <row r="623" ht="15" customHeight="1" s="80">
      <c r="G623" s="125">
        <f>IF($D623=0,0,$D623*$E623)</f>
        <v/>
      </c>
      <c r="H623" s="125">
        <f>IF($B623="","",CONCATENATE("Örnek kayıt: ",$B623))</f>
        <v/>
      </c>
    </row>
    <row r="624" ht="15" customHeight="1" s="80">
      <c r="G624" s="125">
        <f>IF($D624=0,0,$D624*$E624)</f>
        <v/>
      </c>
      <c r="H624" s="125">
        <f>IF($B624="","",CONCATENATE("Örnek kayıt: ",$B624))</f>
        <v/>
      </c>
    </row>
    <row r="625" ht="15" customHeight="1" s="80">
      <c r="G625" s="125">
        <f>IF($D625=0,0,$D625*$E625)</f>
        <v/>
      </c>
      <c r="H625" s="125">
        <f>IF($B625="","",CONCATENATE("Örnek kayıt: ",$B625))</f>
        <v/>
      </c>
    </row>
    <row r="626" ht="15" customHeight="1" s="80">
      <c r="G626" s="125">
        <f>IF($D626=0,0,$D626*$E626)</f>
        <v/>
      </c>
      <c r="H626" s="125">
        <f>IF($B626="","",CONCATENATE("Örnek kayıt: ",$B626))</f>
        <v/>
      </c>
    </row>
    <row r="627" ht="15" customHeight="1" s="80">
      <c r="G627" s="125">
        <f>IF($D627=0,0,$D627*$E627)</f>
        <v/>
      </c>
      <c r="H627" s="125">
        <f>IF($B627="","",CONCATENATE("Örnek kayıt: ",$B627))</f>
        <v/>
      </c>
    </row>
    <row r="628" ht="15" customHeight="1" s="80">
      <c r="G628" s="125">
        <f>IF($D628=0,0,$D628*$E628)</f>
        <v/>
      </c>
      <c r="H628" s="125">
        <f>IF($B628="","",CONCATENATE("Örnek kayıt: ",$B628))</f>
        <v/>
      </c>
    </row>
    <row r="629" ht="15" customHeight="1" s="80">
      <c r="G629" s="125">
        <f>IF($D629=0,0,$D629*$E629)</f>
        <v/>
      </c>
      <c r="H629" s="125">
        <f>IF($B629="","",CONCATENATE("Örnek kayıt: ",$B629))</f>
        <v/>
      </c>
    </row>
    <row r="630" ht="15" customHeight="1" s="80">
      <c r="G630" s="125">
        <f>IF($D630=0,0,$D630*$E630)</f>
        <v/>
      </c>
      <c r="H630" s="125">
        <f>IF($B630="","",CONCATENATE("Örnek kayıt: ",$B630))</f>
        <v/>
      </c>
    </row>
    <row r="631" ht="15" customHeight="1" s="80">
      <c r="G631" s="125">
        <f>IF($D631=0,0,$D631*$E631)</f>
        <v/>
      </c>
      <c r="H631" s="125">
        <f>IF($B631="","",CONCATENATE("Örnek kayıt: ",$B631))</f>
        <v/>
      </c>
    </row>
    <row r="632" ht="15" customHeight="1" s="80">
      <c r="G632" s="125">
        <f>IF($D632=0,0,$D632*$E632)</f>
        <v/>
      </c>
      <c r="H632" s="125">
        <f>IF($B632="","",CONCATENATE("Örnek kayıt: ",$B632))</f>
        <v/>
      </c>
    </row>
    <row r="633" ht="15" customHeight="1" s="80">
      <c r="G633" s="125">
        <f>IF($D633=0,0,$D633*$E633)</f>
        <v/>
      </c>
      <c r="H633" s="125">
        <f>IF($B633="","",CONCATENATE("Örnek kayıt: ",$B633))</f>
        <v/>
      </c>
    </row>
    <row r="634" ht="15" customHeight="1" s="80">
      <c r="G634" s="125">
        <f>IF($D634=0,0,$D634*$E634)</f>
        <v/>
      </c>
      <c r="H634" s="125">
        <f>IF($B634="","",CONCATENATE("Örnek kayıt: ",$B634))</f>
        <v/>
      </c>
    </row>
    <row r="635" ht="15" customHeight="1" s="80">
      <c r="G635" s="125">
        <f>IF($D635=0,0,$D635*$E635)</f>
        <v/>
      </c>
      <c r="H635" s="125">
        <f>IF($B635="","",CONCATENATE("Örnek kayıt: ",$B635))</f>
        <v/>
      </c>
    </row>
    <row r="636" ht="15" customHeight="1" s="80">
      <c r="G636" s="125">
        <f>IF($D636=0,0,$D636*$E636)</f>
        <v/>
      </c>
      <c r="H636" s="125">
        <f>IF($B636="","",CONCATENATE("Örnek kayıt: ",$B636))</f>
        <v/>
      </c>
    </row>
    <row r="637" ht="15" customHeight="1" s="80">
      <c r="G637" s="125">
        <f>IF($D637=0,0,$D637*$E637)</f>
        <v/>
      </c>
      <c r="H637" s="125">
        <f>IF($B637="","",CONCATENATE("Örnek kayıt: ",$B637))</f>
        <v/>
      </c>
    </row>
    <row r="638" ht="15" customHeight="1" s="80">
      <c r="G638" s="125">
        <f>IF($D638=0,0,$D638*$E638)</f>
        <v/>
      </c>
      <c r="H638" s="125">
        <f>IF($B638="","",CONCATENATE("Örnek kayıt: ",$B638))</f>
        <v/>
      </c>
    </row>
    <row r="639" ht="15" customHeight="1" s="80">
      <c r="G639" s="125">
        <f>IF($D639=0,0,$D639*$E639)</f>
        <v/>
      </c>
      <c r="H639" s="125">
        <f>IF($B639="","",CONCATENATE("Örnek kayıt: ",$B639))</f>
        <v/>
      </c>
    </row>
    <row r="640" ht="15" customHeight="1" s="80">
      <c r="G640" s="125">
        <f>IF($D640=0,0,$D640*$E640)</f>
        <v/>
      </c>
      <c r="H640" s="125">
        <f>IF($B640="","",CONCATENATE("Örnek kayıt: ",$B640))</f>
        <v/>
      </c>
    </row>
    <row r="641" ht="15" customHeight="1" s="80">
      <c r="G641" s="125">
        <f>IF($D641=0,0,$D641*$E641)</f>
        <v/>
      </c>
      <c r="H641" s="125">
        <f>IF($B641="","",CONCATENATE("Örnek kayıt: ",$B641))</f>
        <v/>
      </c>
    </row>
    <row r="642" ht="15" customHeight="1" s="80">
      <c r="G642" s="125">
        <f>IF($D642=0,0,$D642*$E642)</f>
        <v/>
      </c>
      <c r="H642" s="125">
        <f>IF($B642="","",CONCATENATE("Örnek kayıt: ",$B642))</f>
        <v/>
      </c>
    </row>
    <row r="643" ht="15" customHeight="1" s="80">
      <c r="G643" s="125">
        <f>IF($D643=0,0,$D643*$E643)</f>
        <v/>
      </c>
      <c r="H643" s="125">
        <f>IF($B643="","",CONCATENATE("Örnek kayıt: ",$B643))</f>
        <v/>
      </c>
    </row>
    <row r="644" ht="15" customHeight="1" s="80">
      <c r="G644" s="125">
        <f>IF($D644=0,0,$D644*$E644)</f>
        <v/>
      </c>
      <c r="H644" s="125">
        <f>IF($B644="","",CONCATENATE("Örnek kayıt: ",$B644))</f>
        <v/>
      </c>
    </row>
    <row r="645" ht="15" customHeight="1" s="80">
      <c r="G645" s="125">
        <f>IF($D645=0,0,$D645*$E645)</f>
        <v/>
      </c>
      <c r="H645" s="125">
        <f>IF($B645="","",CONCATENATE("Örnek kayıt: ",$B645))</f>
        <v/>
      </c>
    </row>
    <row r="646" ht="15" customHeight="1" s="80">
      <c r="G646" s="125">
        <f>IF($D646=0,0,$D646*$E646)</f>
        <v/>
      </c>
      <c r="H646" s="125">
        <f>IF($B646="","",CONCATENATE("Örnek kayıt: ",$B646))</f>
        <v/>
      </c>
    </row>
    <row r="647" ht="15" customHeight="1" s="80">
      <c r="G647" s="125">
        <f>IF($D647=0,0,$D647*$E647)</f>
        <v/>
      </c>
      <c r="H647" s="125">
        <f>IF($B647="","",CONCATENATE("Örnek kayıt: ",$B647))</f>
        <v/>
      </c>
    </row>
    <row r="648" ht="15" customHeight="1" s="80">
      <c r="G648" s="125">
        <f>IF($D648=0,0,$D648*$E648)</f>
        <v/>
      </c>
      <c r="H648" s="125">
        <f>IF($B648="","",CONCATENATE("Örnek kayıt: ",$B648))</f>
        <v/>
      </c>
    </row>
    <row r="649" ht="15" customHeight="1" s="80">
      <c r="G649" s="125">
        <f>IF($D649=0,0,$D649*$E649)</f>
        <v/>
      </c>
      <c r="H649" s="125">
        <f>IF($B649="","",CONCATENATE("Örnek kayıt: ",$B649))</f>
        <v/>
      </c>
    </row>
    <row r="650" ht="15" customHeight="1" s="80">
      <c r="G650" s="125">
        <f>IF($D650=0,0,$D650*$E650)</f>
        <v/>
      </c>
      <c r="H650" s="125">
        <f>IF($B650="","",CONCATENATE("Örnek kayıt: ",$B650))</f>
        <v/>
      </c>
    </row>
    <row r="651" ht="15" customHeight="1" s="80">
      <c r="G651" s="125">
        <f>IF($D651=0,0,$D651*$E651)</f>
        <v/>
      </c>
      <c r="H651" s="125">
        <f>IF($B651="","",CONCATENATE("Örnek kayıt: ",$B651))</f>
        <v/>
      </c>
    </row>
    <row r="652" ht="15" customHeight="1" s="80">
      <c r="G652" s="125">
        <f>IF($D652=0,0,$D652*$E652)</f>
        <v/>
      </c>
      <c r="H652" s="125">
        <f>IF($B652="","",CONCATENATE("Örnek kayıt: ",$B652))</f>
        <v/>
      </c>
    </row>
    <row r="653" ht="15" customHeight="1" s="80">
      <c r="G653" s="125">
        <f>IF($D653=0,0,$D653*$E653)</f>
        <v/>
      </c>
      <c r="H653" s="125">
        <f>IF($B653="","",CONCATENATE("Örnek kayıt: ",$B653))</f>
        <v/>
      </c>
    </row>
    <row r="654" ht="15" customHeight="1" s="80">
      <c r="G654" s="125">
        <f>IF($D654=0,0,$D654*$E654)</f>
        <v/>
      </c>
      <c r="H654" s="125">
        <f>IF($B654="","",CONCATENATE("Örnek kayıt: ",$B654))</f>
        <v/>
      </c>
    </row>
    <row r="655" ht="15" customHeight="1" s="80">
      <c r="G655" s="125">
        <f>IF($D655=0,0,$D655*$E655)</f>
        <v/>
      </c>
      <c r="H655" s="125">
        <f>IF($B655="","",CONCATENATE("Örnek kayıt: ",$B655))</f>
        <v/>
      </c>
    </row>
    <row r="656" ht="15" customHeight="1" s="80">
      <c r="G656" s="125">
        <f>IF($D656=0,0,$D656*$E656)</f>
        <v/>
      </c>
      <c r="H656" s="125">
        <f>IF($B656="","",CONCATENATE("Örnek kayıt: ",$B656))</f>
        <v/>
      </c>
    </row>
    <row r="657" ht="15" customHeight="1" s="80">
      <c r="G657" s="125">
        <f>IF($D657=0,0,$D657*$E657)</f>
        <v/>
      </c>
      <c r="H657" s="125">
        <f>IF($B657="","",CONCATENATE("Örnek kayıt: ",$B657))</f>
        <v/>
      </c>
    </row>
    <row r="658" ht="15" customHeight="1" s="80">
      <c r="G658" s="125">
        <f>IF($D658=0,0,$D658*$E658)</f>
        <v/>
      </c>
      <c r="H658" s="125">
        <f>IF($B658="","",CONCATENATE("Örnek kayıt: ",$B658))</f>
        <v/>
      </c>
    </row>
    <row r="659" ht="15" customHeight="1" s="80">
      <c r="G659" s="125">
        <f>IF($D659=0,0,$D659*$E659)</f>
        <v/>
      </c>
      <c r="H659" s="125">
        <f>IF($B659="","",CONCATENATE("Örnek kayıt: ",$B659))</f>
        <v/>
      </c>
    </row>
    <row r="660" ht="15" customHeight="1" s="80">
      <c r="G660" s="125">
        <f>IF($D660=0,0,$D660*$E660)</f>
        <v/>
      </c>
      <c r="H660" s="125">
        <f>IF($B660="","",CONCATENATE("Örnek kayıt: ",$B660))</f>
        <v/>
      </c>
    </row>
    <row r="661" ht="15" customHeight="1" s="80">
      <c r="G661" s="125">
        <f>IF($D661=0,0,$D661*$E661)</f>
        <v/>
      </c>
      <c r="H661" s="125">
        <f>IF($B661="","",CONCATENATE("Örnek kayıt: ",$B661))</f>
        <v/>
      </c>
    </row>
    <row r="662" ht="15" customHeight="1" s="80">
      <c r="G662" s="125">
        <f>IF($D662=0,0,$D662*$E662)</f>
        <v/>
      </c>
      <c r="H662" s="125">
        <f>IF($B662="","",CONCATENATE("Örnek kayıt: ",$B662))</f>
        <v/>
      </c>
    </row>
    <row r="663" ht="15" customHeight="1" s="80">
      <c r="G663" s="125">
        <f>IF($D663=0,0,$D663*$E663)</f>
        <v/>
      </c>
      <c r="H663" s="125">
        <f>IF($B663="","",CONCATENATE("Örnek kayıt: ",$B663))</f>
        <v/>
      </c>
    </row>
    <row r="664" ht="15" customHeight="1" s="80">
      <c r="G664" s="125">
        <f>IF($D664=0,0,$D664*$E664)</f>
        <v/>
      </c>
      <c r="H664" s="125">
        <f>IF($B664="","",CONCATENATE("Örnek kayıt: ",$B664))</f>
        <v/>
      </c>
    </row>
    <row r="665" ht="15" customHeight="1" s="80">
      <c r="G665" s="125">
        <f>IF($D665=0,0,$D665*$E665)</f>
        <v/>
      </c>
      <c r="H665" s="125">
        <f>IF($B665="","",CONCATENATE("Örnek kayıt: ",$B665))</f>
        <v/>
      </c>
    </row>
    <row r="666" ht="15" customHeight="1" s="80">
      <c r="G666" s="125">
        <f>IF($D666=0,0,$D666*$E666)</f>
        <v/>
      </c>
      <c r="H666" s="125">
        <f>IF($B666="","",CONCATENATE("Örnek kayıt: ",$B666))</f>
        <v/>
      </c>
    </row>
    <row r="667" ht="15" customHeight="1" s="80">
      <c r="G667" s="125">
        <f>IF($D667=0,0,$D667*$E667)</f>
        <v/>
      </c>
      <c r="H667" s="125">
        <f>IF($B667="","",CONCATENATE("Örnek kayıt: ",$B667))</f>
        <v/>
      </c>
    </row>
    <row r="668" ht="15" customHeight="1" s="80">
      <c r="G668" s="125">
        <f>IF($D668=0,0,$D668*$E668)</f>
        <v/>
      </c>
      <c r="H668" s="125">
        <f>IF($B668="","",CONCATENATE("Örnek kayıt: ",$B668))</f>
        <v/>
      </c>
    </row>
    <row r="669" ht="15" customHeight="1" s="80">
      <c r="G669" s="125">
        <f>IF($D669=0,0,$D669*$E669)</f>
        <v/>
      </c>
      <c r="H669" s="125">
        <f>IF($B669="","",CONCATENATE("Örnek kayıt: ",$B669))</f>
        <v/>
      </c>
    </row>
    <row r="670" ht="15" customHeight="1" s="80">
      <c r="G670" s="125">
        <f>IF($D670=0,0,$D670*$E670)</f>
        <v/>
      </c>
      <c r="H670" s="125">
        <f>IF($B670="","",CONCATENATE("Örnek kayıt: ",$B670))</f>
        <v/>
      </c>
    </row>
    <row r="671" ht="15" customHeight="1" s="80">
      <c r="G671" s="125">
        <f>IF($D671=0,0,$D671*$E671)</f>
        <v/>
      </c>
      <c r="H671" s="125">
        <f>IF($B671="","",CONCATENATE("Örnek kayıt: ",$B671))</f>
        <v/>
      </c>
    </row>
    <row r="672" ht="15" customHeight="1" s="80">
      <c r="G672" s="125">
        <f>IF($D672=0,0,$D672*$E672)</f>
        <v/>
      </c>
      <c r="H672" s="125">
        <f>IF($B672="","",CONCATENATE("Örnek kayıt: ",$B672))</f>
        <v/>
      </c>
    </row>
    <row r="673" ht="15" customHeight="1" s="80">
      <c r="G673" s="125">
        <f>IF($D673=0,0,$D673*$E673)</f>
        <v/>
      </c>
      <c r="H673" s="125">
        <f>IF($B673="","",CONCATENATE("Örnek kayıt: ",$B673))</f>
        <v/>
      </c>
    </row>
    <row r="674" ht="15" customHeight="1" s="80">
      <c r="G674" s="125">
        <f>IF($D674=0,0,$D674*$E674)</f>
        <v/>
      </c>
      <c r="H674" s="125">
        <f>IF($B674="","",CONCATENATE("Örnek kayıt: ",$B674))</f>
        <v/>
      </c>
    </row>
    <row r="675" ht="15" customHeight="1" s="80">
      <c r="G675" s="125">
        <f>IF($D675=0,0,$D675*$E675)</f>
        <v/>
      </c>
      <c r="H675" s="125">
        <f>IF($B675="","",CONCATENATE("Örnek kayıt: ",$B675))</f>
        <v/>
      </c>
    </row>
    <row r="676" ht="15" customHeight="1" s="80">
      <c r="G676" s="125">
        <f>IF($D676=0,0,$D676*$E676)</f>
        <v/>
      </c>
      <c r="H676" s="125">
        <f>IF($B676="","",CONCATENATE("Örnek kayıt: ",$B676))</f>
        <v/>
      </c>
    </row>
    <row r="677" ht="15" customHeight="1" s="80">
      <c r="G677" s="125">
        <f>IF($D677=0,0,$D677*$E677)</f>
        <v/>
      </c>
      <c r="H677" s="125">
        <f>IF($B677="","",CONCATENATE("Örnek kayıt: ",$B677))</f>
        <v/>
      </c>
    </row>
    <row r="678" ht="15" customHeight="1" s="80">
      <c r="G678" s="125">
        <f>IF($D678=0,0,$D678*$E678)</f>
        <v/>
      </c>
      <c r="H678" s="125">
        <f>IF($B678="","",CONCATENATE("Örnek kayıt: ",$B678))</f>
        <v/>
      </c>
    </row>
    <row r="679" ht="15" customHeight="1" s="80">
      <c r="G679" s="125">
        <f>IF($D679=0,0,$D679*$E679)</f>
        <v/>
      </c>
      <c r="H679" s="125">
        <f>IF($B679="","",CONCATENATE("Örnek kayıt: ",$B679))</f>
        <v/>
      </c>
    </row>
    <row r="680" ht="15" customHeight="1" s="80">
      <c r="G680" s="125">
        <f>IF($D680=0,0,$D680*$E680)</f>
        <v/>
      </c>
      <c r="H680" s="125">
        <f>IF($B680="","",CONCATENATE("Örnek kayıt: ",$B680))</f>
        <v/>
      </c>
    </row>
    <row r="681" ht="15" customHeight="1" s="80">
      <c r="G681" s="125">
        <f>IF($D681=0,0,$D681*$E681)</f>
        <v/>
      </c>
      <c r="H681" s="125">
        <f>IF($B681="","",CONCATENATE("Örnek kayıt: ",$B681))</f>
        <v/>
      </c>
    </row>
    <row r="682" ht="15" customHeight="1" s="80">
      <c r="G682" s="125">
        <f>IF($D682=0,0,$D682*$E682)</f>
        <v/>
      </c>
      <c r="H682" s="125">
        <f>IF($B682="","",CONCATENATE("Örnek kayıt: ",$B682))</f>
        <v/>
      </c>
    </row>
    <row r="683" ht="15" customHeight="1" s="80">
      <c r="G683" s="125">
        <f>IF($D683=0,0,$D683*$E683)</f>
        <v/>
      </c>
      <c r="H683" s="125">
        <f>IF($B683="","",CONCATENATE("Örnek kayıt: ",$B683))</f>
        <v/>
      </c>
    </row>
    <row r="684" ht="15" customHeight="1" s="80">
      <c r="G684" s="125">
        <f>IF($D684=0,0,$D684*$E684)</f>
        <v/>
      </c>
      <c r="H684" s="125">
        <f>IF($B684="","",CONCATENATE("Örnek kayıt: ",$B684))</f>
        <v/>
      </c>
    </row>
    <row r="685" ht="15" customHeight="1" s="80">
      <c r="G685" s="125">
        <f>IF($D685=0,0,$D685*$E685)</f>
        <v/>
      </c>
      <c r="H685" s="125">
        <f>IF($B685="","",CONCATENATE("Örnek kayıt: ",$B685))</f>
        <v/>
      </c>
    </row>
    <row r="686" ht="15" customHeight="1" s="80">
      <c r="G686" s="125">
        <f>IF($D686=0,0,$D686*$E686)</f>
        <v/>
      </c>
      <c r="H686" s="125">
        <f>IF($B686="","",CONCATENATE("Örnek kayıt: ",$B686))</f>
        <v/>
      </c>
    </row>
    <row r="687" ht="15" customHeight="1" s="80">
      <c r="G687" s="125">
        <f>IF($D687=0,0,$D687*$E687)</f>
        <v/>
      </c>
      <c r="H687" s="125">
        <f>IF($B687="","",CONCATENATE("Örnek kayıt: ",$B687))</f>
        <v/>
      </c>
    </row>
    <row r="688" ht="15" customHeight="1" s="80">
      <c r="G688" s="125">
        <f>IF($D688=0,0,$D688*$E688)</f>
        <v/>
      </c>
      <c r="H688" s="125">
        <f>IF($B688="","",CONCATENATE("Örnek kayıt: ",$B688))</f>
        <v/>
      </c>
    </row>
    <row r="689" ht="15" customHeight="1" s="80">
      <c r="G689" s="125">
        <f>IF($D689=0,0,$D689*$E689)</f>
        <v/>
      </c>
      <c r="H689" s="125">
        <f>IF($B689="","",CONCATENATE("Örnek kayıt: ",$B689))</f>
        <v/>
      </c>
    </row>
    <row r="690" ht="15" customHeight="1" s="80">
      <c r="G690" s="125">
        <f>IF($D690=0,0,$D690*$E690)</f>
        <v/>
      </c>
      <c r="H690" s="125">
        <f>IF($B690="","",CONCATENATE("Örnek kayıt: ",$B690))</f>
        <v/>
      </c>
    </row>
    <row r="691" ht="15" customHeight="1" s="80">
      <c r="G691" s="125">
        <f>IF($D691=0,0,$D691*$E691)</f>
        <v/>
      </c>
      <c r="H691" s="125">
        <f>IF($B691="","",CONCATENATE("Örnek kayıt: ",$B691))</f>
        <v/>
      </c>
    </row>
    <row r="692" ht="15" customHeight="1" s="80">
      <c r="G692" s="125">
        <f>IF($D692=0,0,$D692*$E692)</f>
        <v/>
      </c>
      <c r="H692" s="125">
        <f>IF($B692="","",CONCATENATE("Örnek kayıt: ",$B692))</f>
        <v/>
      </c>
    </row>
    <row r="693" ht="15" customHeight="1" s="80">
      <c r="G693" s="125">
        <f>IF($D693=0,0,$D693*$E693)</f>
        <v/>
      </c>
      <c r="H693" s="125">
        <f>IF($B693="","",CONCATENATE("Örnek kayıt: ",$B693))</f>
        <v/>
      </c>
    </row>
    <row r="694" ht="15" customHeight="1" s="80">
      <c r="G694" s="125">
        <f>IF($D694=0,0,$D694*$E694)</f>
        <v/>
      </c>
      <c r="H694" s="125">
        <f>IF($B694="","",CONCATENATE("Örnek kayıt: ",$B694))</f>
        <v/>
      </c>
    </row>
    <row r="695" ht="15" customHeight="1" s="80">
      <c r="G695" s="125">
        <f>IF($D695=0,0,$D695*$E695)</f>
        <v/>
      </c>
      <c r="H695" s="125">
        <f>IF($B695="","",CONCATENATE("Örnek kayıt: ",$B695))</f>
        <v/>
      </c>
    </row>
    <row r="696" ht="15" customHeight="1" s="80">
      <c r="G696" s="125">
        <f>IF($D696=0,0,$D696*$E696)</f>
        <v/>
      </c>
      <c r="H696" s="125">
        <f>IF($B696="","",CONCATENATE("Örnek kayıt: ",$B696))</f>
        <v/>
      </c>
    </row>
    <row r="697" ht="15" customHeight="1" s="80">
      <c r="G697" s="125">
        <f>IF($D697=0,0,$D697*$E697)</f>
        <v/>
      </c>
      <c r="H697" s="125">
        <f>IF($B697="","",CONCATENATE("Örnek kayıt: ",$B697))</f>
        <v/>
      </c>
    </row>
    <row r="698" ht="15" customHeight="1" s="80">
      <c r="G698" s="125">
        <f>IF($D698=0,0,$D698*$E698)</f>
        <v/>
      </c>
      <c r="H698" s="125">
        <f>IF($B698="","",CONCATENATE("Örnek kayıt: ",$B698))</f>
        <v/>
      </c>
    </row>
    <row r="699" ht="15" customHeight="1" s="80">
      <c r="G699" s="125">
        <f>IF($D699=0,0,$D699*$E699)</f>
        <v/>
      </c>
      <c r="H699" s="125">
        <f>IF($B699="","",CONCATENATE("Örnek kayıt: ",$B699))</f>
        <v/>
      </c>
    </row>
    <row r="700" ht="15" customHeight="1" s="80">
      <c r="G700" s="125">
        <f>IF($D700=0,0,$D700*$E700)</f>
        <v/>
      </c>
      <c r="H700" s="125">
        <f>IF($B700="","",CONCATENATE("Örnek kayıt: ",$B700))</f>
        <v/>
      </c>
    </row>
    <row r="701" ht="15" customHeight="1" s="80">
      <c r="G701" s="125">
        <f>IF($D701=0,0,$D701*$E701)</f>
        <v/>
      </c>
      <c r="H701" s="125">
        <f>IF($B701="","",CONCATENATE("Örnek kayıt: ",$B701))</f>
        <v/>
      </c>
    </row>
    <row r="702" ht="15" customHeight="1" s="80">
      <c r="G702" s="125">
        <f>IF($D702=0,0,$D702*$E702)</f>
        <v/>
      </c>
      <c r="H702" s="125">
        <f>IF($B702="","",CONCATENATE("Örnek kayıt: ",$B702))</f>
        <v/>
      </c>
    </row>
    <row r="703" ht="15" customHeight="1" s="80">
      <c r="G703" s="125">
        <f>IF($D703=0,0,$D703*$E703)</f>
        <v/>
      </c>
      <c r="H703" s="125">
        <f>IF($B703="","",CONCATENATE("Örnek kayıt: ",$B703))</f>
        <v/>
      </c>
    </row>
    <row r="704" ht="15" customHeight="1" s="80">
      <c r="G704" s="125">
        <f>IF($D704=0,0,$D704*$E704)</f>
        <v/>
      </c>
      <c r="H704" s="125">
        <f>IF($B704="","",CONCATENATE("Örnek kayıt: ",$B704))</f>
        <v/>
      </c>
    </row>
    <row r="705" ht="15" customHeight="1" s="80">
      <c r="G705" s="125">
        <f>IF($D705=0,0,$D705*$E705)</f>
        <v/>
      </c>
      <c r="H705" s="125">
        <f>IF($B705="","",CONCATENATE("Örnek kayıt: ",$B705))</f>
        <v/>
      </c>
    </row>
    <row r="706" ht="15" customHeight="1" s="80">
      <c r="G706" s="125">
        <f>IF($D706=0,0,$D706*$E706)</f>
        <v/>
      </c>
      <c r="H706" s="125">
        <f>IF($B706="","",CONCATENATE("Örnek kayıt: ",$B706))</f>
        <v/>
      </c>
    </row>
    <row r="707" ht="15" customHeight="1" s="80">
      <c r="G707" s="125">
        <f>IF($D707=0,0,$D707*$E707)</f>
        <v/>
      </c>
      <c r="H707" s="125">
        <f>IF($B707="","",CONCATENATE("Örnek kayıt: ",$B707))</f>
        <v/>
      </c>
    </row>
    <row r="708" ht="15" customHeight="1" s="80">
      <c r="G708" s="125">
        <f>IF($D708=0,0,$D708*$E708)</f>
        <v/>
      </c>
      <c r="H708" s="125">
        <f>IF($B708="","",CONCATENATE("Örnek kayıt: ",$B708))</f>
        <v/>
      </c>
    </row>
    <row r="709" ht="15" customHeight="1" s="80">
      <c r="G709" s="125">
        <f>IF($D709=0,0,$D709*$E709)</f>
        <v/>
      </c>
      <c r="H709" s="125">
        <f>IF($B709="","",CONCATENATE("Örnek kayıt: ",$B709))</f>
        <v/>
      </c>
    </row>
    <row r="710" ht="15" customHeight="1" s="80">
      <c r="G710" s="125">
        <f>IF($D710=0,0,$D710*$E710)</f>
        <v/>
      </c>
      <c r="H710" s="125">
        <f>IF($B710="","",CONCATENATE("Örnek kayıt: ",$B710))</f>
        <v/>
      </c>
    </row>
    <row r="711" ht="15" customHeight="1" s="80">
      <c r="G711" s="125">
        <f>IF($D711=0,0,$D711*$E711)</f>
        <v/>
      </c>
      <c r="H711" s="125">
        <f>IF($B711="","",CONCATENATE("Örnek kayıt: ",$B711))</f>
        <v/>
      </c>
    </row>
    <row r="712" ht="15" customHeight="1" s="80">
      <c r="G712" s="125">
        <f>IF($D712=0,0,$D712*$E712)</f>
        <v/>
      </c>
      <c r="H712" s="125">
        <f>IF($B712="","",CONCATENATE("Örnek kayıt: ",$B712))</f>
        <v/>
      </c>
    </row>
    <row r="713" ht="15" customHeight="1" s="80">
      <c r="G713" s="125">
        <f>IF($D713=0,0,$D713*$E713)</f>
        <v/>
      </c>
      <c r="H713" s="125">
        <f>IF($B713="","",CONCATENATE("Örnek kayıt: ",$B713))</f>
        <v/>
      </c>
    </row>
    <row r="714" ht="15" customHeight="1" s="80">
      <c r="G714" s="125">
        <f>IF($D714=0,0,$D714*$E714)</f>
        <v/>
      </c>
      <c r="H714" s="125">
        <f>IF($B714="","",CONCATENATE("Örnek kayıt: ",$B714))</f>
        <v/>
      </c>
    </row>
    <row r="715" ht="15" customHeight="1" s="80">
      <c r="G715" s="125">
        <f>IF($D715=0,0,$D715*$E715)</f>
        <v/>
      </c>
      <c r="H715" s="125">
        <f>IF($B715="","",CONCATENATE("Örnek kayıt: ",$B715))</f>
        <v/>
      </c>
    </row>
    <row r="716" ht="15" customHeight="1" s="80">
      <c r="G716" s="125">
        <f>IF($D716=0,0,$D716*$E716)</f>
        <v/>
      </c>
      <c r="H716" s="125">
        <f>IF($B716="","",CONCATENATE("Örnek kayıt: ",$B716))</f>
        <v/>
      </c>
    </row>
    <row r="717" ht="15" customHeight="1" s="80">
      <c r="G717" s="125">
        <f>IF($D717=0,0,$D717*$E717)</f>
        <v/>
      </c>
      <c r="H717" s="125">
        <f>IF($B717="","",CONCATENATE("Örnek kayıt: ",$B717))</f>
        <v/>
      </c>
    </row>
    <row r="718" ht="15" customHeight="1" s="80">
      <c r="G718" s="125">
        <f>IF($D718=0,0,$D718*$E718)</f>
        <v/>
      </c>
      <c r="H718" s="125">
        <f>IF($B718="","",CONCATENATE("Örnek kayıt: ",$B718))</f>
        <v/>
      </c>
    </row>
    <row r="719" ht="15" customHeight="1" s="80">
      <c r="G719" s="125">
        <f>IF($D719=0,0,$D719*$E719)</f>
        <v/>
      </c>
      <c r="H719" s="125">
        <f>IF($B719="","",CONCATENATE("Örnek kayıt: ",$B719))</f>
        <v/>
      </c>
    </row>
    <row r="720" ht="15" customHeight="1" s="80">
      <c r="G720" s="125">
        <f>IF($D720=0,0,$D720*$E720)</f>
        <v/>
      </c>
      <c r="H720" s="125">
        <f>IF($B720="","",CONCATENATE("Örnek kayıt: ",$B720))</f>
        <v/>
      </c>
    </row>
    <row r="721" ht="15" customHeight="1" s="80">
      <c r="G721" s="125">
        <f>IF($D721=0,0,$D721*$E721)</f>
        <v/>
      </c>
      <c r="H721" s="125">
        <f>IF($B721="","",CONCATENATE("Örnek kayıt: ",$B721))</f>
        <v/>
      </c>
    </row>
    <row r="722" ht="15" customHeight="1" s="80">
      <c r="G722" s="125">
        <f>IF($D722=0,0,$D722*$E722)</f>
        <v/>
      </c>
      <c r="H722" s="125">
        <f>IF($B722="","",CONCATENATE("Örnek kayıt: ",$B722))</f>
        <v/>
      </c>
    </row>
    <row r="723" ht="15" customHeight="1" s="80">
      <c r="G723" s="125">
        <f>IF($D723=0,0,$D723*$E723)</f>
        <v/>
      </c>
      <c r="H723" s="125">
        <f>IF($B723="","",CONCATENATE("Örnek kayıt: ",$B723))</f>
        <v/>
      </c>
    </row>
    <row r="724" ht="15" customHeight="1" s="80">
      <c r="G724" s="125">
        <f>IF($D724=0,0,$D724*$E724)</f>
        <v/>
      </c>
      <c r="H724" s="125">
        <f>IF($B724="","",CONCATENATE("Örnek kayıt: ",$B724))</f>
        <v/>
      </c>
    </row>
    <row r="725" ht="15" customHeight="1" s="80">
      <c r="G725" s="125">
        <f>IF($D725=0,0,$D725*$E725)</f>
        <v/>
      </c>
      <c r="H725" s="125">
        <f>IF($B725="","",CONCATENATE("Örnek kayıt: ",$B725))</f>
        <v/>
      </c>
    </row>
    <row r="726" ht="15" customHeight="1" s="80">
      <c r="G726" s="125">
        <f>IF($D726=0,0,$D726*$E726)</f>
        <v/>
      </c>
      <c r="H726" s="125">
        <f>IF($B726="","",CONCATENATE("Örnek kayıt: ",$B726))</f>
        <v/>
      </c>
    </row>
    <row r="727" ht="15" customHeight="1" s="80">
      <c r="G727" s="125">
        <f>IF($D727=0,0,$D727*$E727)</f>
        <v/>
      </c>
      <c r="H727" s="125">
        <f>IF($B727="","",CONCATENATE("Örnek kayıt: ",$B727))</f>
        <v/>
      </c>
    </row>
    <row r="728" ht="15" customHeight="1" s="80">
      <c r="G728" s="125">
        <f>IF($D728=0,0,$D728*$E728)</f>
        <v/>
      </c>
      <c r="H728" s="125">
        <f>IF($B728="","",CONCATENATE("Örnek kayıt: ",$B728))</f>
        <v/>
      </c>
    </row>
    <row r="729" ht="15" customHeight="1" s="80">
      <c r="G729" s="125">
        <f>IF($D729=0,0,$D729*$E729)</f>
        <v/>
      </c>
      <c r="H729" s="125">
        <f>IF($B729="","",CONCATENATE("Örnek kayıt: ",$B729))</f>
        <v/>
      </c>
    </row>
    <row r="730" ht="15" customHeight="1" s="80">
      <c r="G730" s="125">
        <f>IF($D730=0,0,$D730*$E730)</f>
        <v/>
      </c>
      <c r="H730" s="125">
        <f>IF($B730="","",CONCATENATE("Örnek kayıt: ",$B730))</f>
        <v/>
      </c>
    </row>
    <row r="731" ht="15" customHeight="1" s="80">
      <c r="G731" s="125">
        <f>IF($D731=0,0,$D731*$E731)</f>
        <v/>
      </c>
      <c r="H731" s="125">
        <f>IF($B731="","",CONCATENATE("Örnek kayıt: ",$B731))</f>
        <v/>
      </c>
    </row>
    <row r="732" ht="15" customHeight="1" s="80">
      <c r="G732" s="125">
        <f>IF($D732=0,0,$D732*$E732)</f>
        <v/>
      </c>
      <c r="H732" s="125">
        <f>IF($B732="","",CONCATENATE("Örnek kayıt: ",$B732))</f>
        <v/>
      </c>
    </row>
    <row r="733" ht="15" customHeight="1" s="80">
      <c r="G733" s="125">
        <f>IF($D733=0,0,$D733*$E733)</f>
        <v/>
      </c>
      <c r="H733" s="125">
        <f>IF($B733="","",CONCATENATE("Örnek kayıt: ",$B733))</f>
        <v/>
      </c>
    </row>
    <row r="734" ht="15" customHeight="1" s="80">
      <c r="G734" s="125">
        <f>IF($D734=0,0,$D734*$E734)</f>
        <v/>
      </c>
      <c r="H734" s="125">
        <f>IF($B734="","",CONCATENATE("Örnek kayıt: ",$B734))</f>
        <v/>
      </c>
    </row>
    <row r="735" ht="15" customHeight="1" s="80">
      <c r="G735" s="125">
        <f>IF($D735=0,0,$D735*$E735)</f>
        <v/>
      </c>
      <c r="H735" s="125">
        <f>IF($B735="","",CONCATENATE("Örnek kayıt: ",$B735))</f>
        <v/>
      </c>
    </row>
    <row r="736" ht="15" customHeight="1" s="80">
      <c r="G736" s="125">
        <f>IF($D736=0,0,$D736*$E736)</f>
        <v/>
      </c>
      <c r="H736" s="125">
        <f>IF($B736="","",CONCATENATE("Örnek kayıt: ",$B736))</f>
        <v/>
      </c>
    </row>
    <row r="737" ht="15" customHeight="1" s="80">
      <c r="G737" s="125">
        <f>IF($D737=0,0,$D737*$E737)</f>
        <v/>
      </c>
      <c r="H737" s="125">
        <f>IF($B737="","",CONCATENATE("Örnek kayıt: ",$B737))</f>
        <v/>
      </c>
    </row>
    <row r="738" ht="15" customHeight="1" s="80">
      <c r="G738" s="125">
        <f>IF($D738=0,0,$D738*$E738)</f>
        <v/>
      </c>
      <c r="H738" s="125">
        <f>IF($B738="","",CONCATENATE("Örnek kayıt: ",$B738))</f>
        <v/>
      </c>
    </row>
    <row r="739" ht="15" customHeight="1" s="80">
      <c r="G739" s="125">
        <f>IF($D739=0,0,$D739*$E739)</f>
        <v/>
      </c>
      <c r="H739" s="125">
        <f>IF($B739="","",CONCATENATE("Örnek kayıt: ",$B739))</f>
        <v/>
      </c>
    </row>
    <row r="740" ht="15" customHeight="1" s="80">
      <c r="G740" s="125">
        <f>IF($D740=0,0,$D740*$E740)</f>
        <v/>
      </c>
      <c r="H740" s="125">
        <f>IF($B740="","",CONCATENATE("Örnek kayıt: ",$B740))</f>
        <v/>
      </c>
    </row>
    <row r="741" ht="15" customHeight="1" s="80">
      <c r="G741" s="125">
        <f>IF($D741=0,0,$D741*$E741)</f>
        <v/>
      </c>
      <c r="H741" s="125">
        <f>IF($B741="","",CONCATENATE("Örnek kayıt: ",$B741))</f>
        <v/>
      </c>
    </row>
    <row r="742" ht="15" customHeight="1" s="80">
      <c r="G742" s="125">
        <f>IF($D742=0,0,$D742*$E742)</f>
        <v/>
      </c>
      <c r="H742" s="125">
        <f>IF($B742="","",CONCATENATE("Örnek kayıt: ",$B742))</f>
        <v/>
      </c>
    </row>
    <row r="743" ht="15" customHeight="1" s="80">
      <c r="G743" s="125">
        <f>IF($D743=0,0,$D743*$E743)</f>
        <v/>
      </c>
      <c r="H743" s="125">
        <f>IF($B743="","",CONCATENATE("Örnek kayıt: ",$B743))</f>
        <v/>
      </c>
    </row>
    <row r="744" ht="15" customHeight="1" s="80">
      <c r="G744" s="125">
        <f>IF($D744=0,0,$D744*$E744)</f>
        <v/>
      </c>
      <c r="H744" s="125">
        <f>IF($B744="","",CONCATENATE("Örnek kayıt: ",$B744))</f>
        <v/>
      </c>
    </row>
    <row r="745" ht="15" customHeight="1" s="80">
      <c r="G745" s="125">
        <f>IF($D745=0,0,$D745*$E745)</f>
        <v/>
      </c>
      <c r="H745" s="125">
        <f>IF($B745="","",CONCATENATE("Örnek kayıt: ",$B745))</f>
        <v/>
      </c>
    </row>
    <row r="746" ht="15" customHeight="1" s="80">
      <c r="G746" s="125">
        <f>IF($D746=0,0,$D746*$E746)</f>
        <v/>
      </c>
      <c r="H746" s="125">
        <f>IF($B746="","",CONCATENATE("Örnek kayıt: ",$B746))</f>
        <v/>
      </c>
    </row>
    <row r="747" ht="15" customHeight="1" s="80">
      <c r="G747" s="125">
        <f>IF($D747=0,0,$D747*$E747)</f>
        <v/>
      </c>
      <c r="H747" s="125">
        <f>IF($B747="","",CONCATENATE("Örnek kayıt: ",$B747))</f>
        <v/>
      </c>
    </row>
    <row r="748" ht="15" customHeight="1" s="80">
      <c r="G748" s="125">
        <f>IF($D748=0,0,$D748*$E748)</f>
        <v/>
      </c>
      <c r="H748" s="125">
        <f>IF($B748="","",CONCATENATE("Örnek kayıt: ",$B748))</f>
        <v/>
      </c>
    </row>
    <row r="749" ht="15" customHeight="1" s="80">
      <c r="G749" s="125">
        <f>IF($D749=0,0,$D749*$E749)</f>
        <v/>
      </c>
      <c r="H749" s="125">
        <f>IF($B749="","",CONCATENATE("Örnek kayıt: ",$B749))</f>
        <v/>
      </c>
    </row>
    <row r="750" ht="15" customHeight="1" s="80">
      <c r="G750" s="125">
        <f>IF($D750=0,0,$D750*$E750)</f>
        <v/>
      </c>
      <c r="H750" s="125">
        <f>IF($B750="","",CONCATENATE("Örnek kayıt: ",$B750))</f>
        <v/>
      </c>
    </row>
    <row r="751" ht="15" customHeight="1" s="80">
      <c r="G751" s="125">
        <f>IF($D751=0,0,$D751*$E751)</f>
        <v/>
      </c>
      <c r="H751" s="125">
        <f>IF($B751="","",CONCATENATE("Örnek kayıt: ",$B751))</f>
        <v/>
      </c>
    </row>
    <row r="752" ht="15" customHeight="1" s="80">
      <c r="G752" s="125">
        <f>IF($D752=0,0,$D752*$E752)</f>
        <v/>
      </c>
      <c r="H752" s="125">
        <f>IF($B752="","",CONCATENATE("Örnek kayıt: ",$B752))</f>
        <v/>
      </c>
    </row>
    <row r="753" ht="15" customHeight="1" s="80">
      <c r="G753" s="125">
        <f>IF($D753=0,0,$D753*$E753)</f>
        <v/>
      </c>
      <c r="H753" s="125">
        <f>IF($B753="","",CONCATENATE("Örnek kayıt: ",$B753))</f>
        <v/>
      </c>
    </row>
    <row r="754" ht="15" customHeight="1" s="80">
      <c r="G754" s="125">
        <f>IF($D754=0,0,$D754*$E754)</f>
        <v/>
      </c>
      <c r="H754" s="125">
        <f>IF($B754="","",CONCATENATE("Örnek kayıt: ",$B754))</f>
        <v/>
      </c>
    </row>
    <row r="755" ht="15" customHeight="1" s="80">
      <c r="G755" s="125">
        <f>IF($D755=0,0,$D755*$E755)</f>
        <v/>
      </c>
      <c r="H755" s="125">
        <f>IF($B755="","",CONCATENATE("Örnek kayıt: ",$B755))</f>
        <v/>
      </c>
    </row>
    <row r="756" ht="15" customHeight="1" s="80">
      <c r="G756" s="125">
        <f>IF($D756=0,0,$D756*$E756)</f>
        <v/>
      </c>
      <c r="H756" s="125">
        <f>IF($B756="","",CONCATENATE("Örnek kayıt: ",$B756))</f>
        <v/>
      </c>
    </row>
    <row r="757" ht="15" customHeight="1" s="80">
      <c r="G757" s="125">
        <f>IF($D757=0,0,$D757*$E757)</f>
        <v/>
      </c>
      <c r="H757" s="125">
        <f>IF($B757="","",CONCATENATE("Örnek kayıt: ",$B757))</f>
        <v/>
      </c>
    </row>
    <row r="758" ht="15" customHeight="1" s="80">
      <c r="G758" s="125">
        <f>IF($D758=0,0,$D758*$E758)</f>
        <v/>
      </c>
      <c r="H758" s="125">
        <f>IF($B758="","",CONCATENATE("Örnek kayıt: ",$B758))</f>
        <v/>
      </c>
    </row>
    <row r="759" ht="15" customHeight="1" s="80">
      <c r="G759" s="125">
        <f>IF($D759=0,0,$D759*$E759)</f>
        <v/>
      </c>
      <c r="H759" s="125">
        <f>IF($B759="","",CONCATENATE("Örnek kayıt: ",$B759))</f>
        <v/>
      </c>
    </row>
    <row r="760" ht="15" customHeight="1" s="80">
      <c r="G760" s="125">
        <f>IF($D760=0,0,$D760*$E760)</f>
        <v/>
      </c>
      <c r="H760" s="125">
        <f>IF($B760="","",CONCATENATE("Örnek kayıt: ",$B760))</f>
        <v/>
      </c>
    </row>
    <row r="761" ht="15" customHeight="1" s="80">
      <c r="G761" s="125">
        <f>IF($D761=0,0,$D761*$E761)</f>
        <v/>
      </c>
      <c r="H761" s="125">
        <f>IF($B761="","",CONCATENATE("Örnek kayıt: ",$B761))</f>
        <v/>
      </c>
    </row>
    <row r="762" ht="15" customHeight="1" s="80">
      <c r="G762" s="125">
        <f>IF($D762=0,0,$D762*$E762)</f>
        <v/>
      </c>
      <c r="H762" s="125">
        <f>IF($B762="","",CONCATENATE("Örnek kayıt: ",$B762))</f>
        <v/>
      </c>
    </row>
    <row r="763" ht="15" customHeight="1" s="80">
      <c r="G763" s="125">
        <f>IF($D763=0,0,$D763*$E763)</f>
        <v/>
      </c>
      <c r="H763" s="125">
        <f>IF($B763="","",CONCATENATE("Örnek kayıt: ",$B763))</f>
        <v/>
      </c>
    </row>
    <row r="764" ht="15" customHeight="1" s="80">
      <c r="G764" s="125">
        <f>IF($D764=0,0,$D764*$E764)</f>
        <v/>
      </c>
      <c r="H764" s="125">
        <f>IF($B764="","",CONCATENATE("Örnek kayıt: ",$B764))</f>
        <v/>
      </c>
    </row>
    <row r="765" ht="15" customHeight="1" s="80">
      <c r="G765" s="125">
        <f>IF($D765=0,0,$D765*$E765)</f>
        <v/>
      </c>
      <c r="H765" s="125">
        <f>IF($B765="","",CONCATENATE("Örnek kayıt: ",$B765))</f>
        <v/>
      </c>
    </row>
    <row r="766" ht="15" customHeight="1" s="80">
      <c r="G766" s="125">
        <f>IF($D766=0,0,$D766*$E766)</f>
        <v/>
      </c>
      <c r="H766" s="125">
        <f>IF($B766="","",CONCATENATE("Örnek kayıt: ",$B766))</f>
        <v/>
      </c>
    </row>
    <row r="767" ht="15" customHeight="1" s="80">
      <c r="G767" s="125">
        <f>IF($D767=0,0,$D767*$E767)</f>
        <v/>
      </c>
      <c r="H767" s="125">
        <f>IF($B767="","",CONCATENATE("Örnek kayıt: ",$B767))</f>
        <v/>
      </c>
    </row>
    <row r="768" ht="15" customHeight="1" s="80">
      <c r="G768" s="125">
        <f>IF($D768=0,0,$D768*$E768)</f>
        <v/>
      </c>
      <c r="H768" s="125">
        <f>IF($B768="","",CONCATENATE("Örnek kayıt: ",$B768))</f>
        <v/>
      </c>
    </row>
    <row r="769" ht="15" customHeight="1" s="80">
      <c r="G769" s="125">
        <f>IF($D769=0,0,$D769*$E769)</f>
        <v/>
      </c>
      <c r="H769" s="125">
        <f>IF($B769="","",CONCATENATE("Örnek kayıt: ",$B769))</f>
        <v/>
      </c>
    </row>
    <row r="770" ht="15" customHeight="1" s="80">
      <c r="G770" s="125">
        <f>IF($D770=0,0,$D770*$E770)</f>
        <v/>
      </c>
      <c r="H770" s="125">
        <f>IF($B770="","",CONCATENATE("Örnek kayıt: ",$B770))</f>
        <v/>
      </c>
    </row>
    <row r="771" ht="15" customHeight="1" s="80">
      <c r="G771" s="125">
        <f>IF($D771=0,0,$D771*$E771)</f>
        <v/>
      </c>
      <c r="H771" s="125">
        <f>IF($B771="","",CONCATENATE("Örnek kayıt: ",$B771))</f>
        <v/>
      </c>
    </row>
    <row r="772" ht="15" customHeight="1" s="80">
      <c r="G772" s="125">
        <f>IF($D772=0,0,$D772*$E772)</f>
        <v/>
      </c>
      <c r="H772" s="125">
        <f>IF($B772="","",CONCATENATE("Örnek kayıt: ",$B772))</f>
        <v/>
      </c>
    </row>
    <row r="773" ht="15" customHeight="1" s="80">
      <c r="G773" s="125">
        <f>IF($D773=0,0,$D773*$E773)</f>
        <v/>
      </c>
      <c r="H773" s="125">
        <f>IF($B773="","",CONCATENATE("Örnek kayıt: ",$B773))</f>
        <v/>
      </c>
    </row>
    <row r="774" ht="15" customHeight="1" s="80">
      <c r="G774" s="125">
        <f>IF($D774=0,0,$D774*$E774)</f>
        <v/>
      </c>
      <c r="H774" s="125">
        <f>IF($B774="","",CONCATENATE("Örnek kayıt: ",$B774))</f>
        <v/>
      </c>
    </row>
    <row r="775" ht="15" customHeight="1" s="80">
      <c r="G775" s="125">
        <f>IF($D775=0,0,$D775*$E775)</f>
        <v/>
      </c>
      <c r="H775" s="125">
        <f>IF($B775="","",CONCATENATE("Örnek kayıt: ",$B775))</f>
        <v/>
      </c>
    </row>
    <row r="776" ht="15" customHeight="1" s="80">
      <c r="G776" s="125">
        <f>IF($D776=0,0,$D776*$E776)</f>
        <v/>
      </c>
      <c r="H776" s="125">
        <f>IF($B776="","",CONCATENATE("Örnek kayıt: ",$B776))</f>
        <v/>
      </c>
    </row>
    <row r="777" ht="15" customHeight="1" s="80">
      <c r="G777" s="125">
        <f>IF($D777=0,0,$D777*$E777)</f>
        <v/>
      </c>
      <c r="H777" s="125">
        <f>IF($B777="","",CONCATENATE("Örnek kayıt: ",$B777))</f>
        <v/>
      </c>
    </row>
    <row r="778" ht="15" customHeight="1" s="80">
      <c r="G778" s="125">
        <f>IF($D778=0,0,$D778*$E778)</f>
        <v/>
      </c>
      <c r="H778" s="125">
        <f>IF($B778="","",CONCATENATE("Örnek kayıt: ",$B778))</f>
        <v/>
      </c>
    </row>
    <row r="779" ht="15" customHeight="1" s="80">
      <c r="G779" s="125">
        <f>IF($D779=0,0,$D779*$E779)</f>
        <v/>
      </c>
      <c r="H779" s="125">
        <f>IF($B779="","",CONCATENATE("Örnek kayıt: ",$B779))</f>
        <v/>
      </c>
    </row>
    <row r="780" ht="15" customHeight="1" s="80">
      <c r="G780" s="125">
        <f>IF($D780=0,0,$D780*$E780)</f>
        <v/>
      </c>
      <c r="H780" s="125">
        <f>IF($B780="","",CONCATENATE("Örnek kayıt: ",$B780))</f>
        <v/>
      </c>
    </row>
    <row r="781" ht="15" customHeight="1" s="80">
      <c r="G781" s="125">
        <f>IF($D781=0,0,$D781*$E781)</f>
        <v/>
      </c>
      <c r="H781" s="125">
        <f>IF($B781="","",CONCATENATE("Örnek kayıt: ",$B781))</f>
        <v/>
      </c>
    </row>
    <row r="782" ht="15" customHeight="1" s="80">
      <c r="G782" s="125">
        <f>IF($D782=0,0,$D782*$E782)</f>
        <v/>
      </c>
      <c r="H782" s="125">
        <f>IF($B782="","",CONCATENATE("Örnek kayıt: ",$B782))</f>
        <v/>
      </c>
    </row>
    <row r="783" ht="15" customHeight="1" s="80">
      <c r="G783" s="125">
        <f>IF($D783=0,0,$D783*$E783)</f>
        <v/>
      </c>
      <c r="H783" s="125">
        <f>IF($B783="","",CONCATENATE("Örnek kayıt: ",$B783))</f>
        <v/>
      </c>
    </row>
    <row r="784" ht="15" customHeight="1" s="80">
      <c r="G784" s="125">
        <f>IF($D784=0,0,$D784*$E784)</f>
        <v/>
      </c>
      <c r="H784" s="125">
        <f>IF($B784="","",CONCATENATE("Örnek kayıt: ",$B784))</f>
        <v/>
      </c>
    </row>
    <row r="785" ht="15" customHeight="1" s="80">
      <c r="G785" s="125">
        <f>IF($D785=0,0,$D785*$E785)</f>
        <v/>
      </c>
      <c r="H785" s="125">
        <f>IF($B785="","",CONCATENATE("Örnek kayıt: ",$B785))</f>
        <v/>
      </c>
    </row>
    <row r="786" ht="15" customHeight="1" s="80">
      <c r="G786" s="125">
        <f>IF($D786=0,0,$D786*$E786)</f>
        <v/>
      </c>
      <c r="H786" s="125">
        <f>IF($B786="","",CONCATENATE("Örnek kayıt: ",$B786))</f>
        <v/>
      </c>
    </row>
    <row r="787" ht="15" customHeight="1" s="80">
      <c r="G787" s="125">
        <f>IF($D787=0,0,$D787*$E787)</f>
        <v/>
      </c>
      <c r="H787" s="125">
        <f>IF($B787="","",CONCATENATE("Örnek kayıt: ",$B787))</f>
        <v/>
      </c>
    </row>
    <row r="788" ht="15" customHeight="1" s="80">
      <c r="G788" s="125">
        <f>IF($D788=0,0,$D788*$E788)</f>
        <v/>
      </c>
      <c r="H788" s="125">
        <f>IF($B788="","",CONCATENATE("Örnek kayıt: ",$B788))</f>
        <v/>
      </c>
    </row>
    <row r="789" ht="15" customHeight="1" s="80">
      <c r="G789" s="125">
        <f>IF($D789=0,0,$D789*$E789)</f>
        <v/>
      </c>
      <c r="H789" s="125">
        <f>IF($B789="","",CONCATENATE("Örnek kayıt: ",$B789))</f>
        <v/>
      </c>
    </row>
    <row r="790" ht="15" customHeight="1" s="80">
      <c r="G790" s="125">
        <f>IF($D790=0,0,$D790*$E790)</f>
        <v/>
      </c>
      <c r="H790" s="125">
        <f>IF($B790="","",CONCATENATE("Örnek kayıt: ",$B790))</f>
        <v/>
      </c>
    </row>
    <row r="791" ht="15" customHeight="1" s="80">
      <c r="G791" s="125">
        <f>IF($D791=0,0,$D791*$E791)</f>
        <v/>
      </c>
      <c r="H791" s="125">
        <f>IF($B791="","",CONCATENATE("Örnek kayıt: ",$B791))</f>
        <v/>
      </c>
    </row>
    <row r="792" ht="15" customHeight="1" s="80">
      <c r="G792" s="125">
        <f>IF($D792=0,0,$D792*$E792)</f>
        <v/>
      </c>
      <c r="H792" s="125">
        <f>IF($B792="","",CONCATENATE("Örnek kayıt: ",$B792))</f>
        <v/>
      </c>
    </row>
    <row r="793" ht="15" customHeight="1" s="80">
      <c r="G793" s="125">
        <f>IF($D793=0,0,$D793*$E793)</f>
        <v/>
      </c>
      <c r="H793" s="125">
        <f>IF($B793="","",CONCATENATE("Örnek kayıt: ",$B793))</f>
        <v/>
      </c>
    </row>
    <row r="794" ht="15" customHeight="1" s="80">
      <c r="G794" s="125">
        <f>IF($D794=0,0,$D794*$E794)</f>
        <v/>
      </c>
      <c r="H794" s="125">
        <f>IF($B794="","",CONCATENATE("Örnek kayıt: ",$B794))</f>
        <v/>
      </c>
    </row>
    <row r="795" ht="15" customHeight="1" s="80">
      <c r="G795" s="125">
        <f>IF($D795=0,0,$D795*$E795)</f>
        <v/>
      </c>
      <c r="H795" s="125">
        <f>IF($B795="","",CONCATENATE("Örnek kayıt: ",$B795))</f>
        <v/>
      </c>
    </row>
    <row r="796" ht="15" customHeight="1" s="80">
      <c r="G796" s="125">
        <f>IF($D796=0,0,$D796*$E796)</f>
        <v/>
      </c>
      <c r="H796" s="125">
        <f>IF($B796="","",CONCATENATE("Örnek kayıt: ",$B796))</f>
        <v/>
      </c>
    </row>
    <row r="797" ht="15" customHeight="1" s="80">
      <c r="G797" s="125">
        <f>IF($D797=0,0,$D797*$E797)</f>
        <v/>
      </c>
      <c r="H797" s="125">
        <f>IF($B797="","",CONCATENATE("Örnek kayıt: ",$B797))</f>
        <v/>
      </c>
    </row>
    <row r="798" ht="15" customHeight="1" s="80">
      <c r="G798" s="125">
        <f>IF($D798=0,0,$D798*$E798)</f>
        <v/>
      </c>
      <c r="H798" s="125">
        <f>IF($B798="","",CONCATENATE("Örnek kayıt: ",$B798))</f>
        <v/>
      </c>
    </row>
    <row r="799" ht="15" customHeight="1" s="80">
      <c r="G799" s="125">
        <f>IF($D799=0,0,$D799*$E799)</f>
        <v/>
      </c>
      <c r="H799" s="125">
        <f>IF($B799="","",CONCATENATE("Örnek kayıt: ",$B799))</f>
        <v/>
      </c>
    </row>
    <row r="800" ht="15" customHeight="1" s="80">
      <c r="G800" s="125">
        <f>IF($D800=0,0,$D800*$E800)</f>
        <v/>
      </c>
      <c r="H800" s="125">
        <f>IF($B800="","",CONCATENATE("Örnek kayıt: ",$B800))</f>
        <v/>
      </c>
    </row>
    <row r="801" ht="15" customHeight="1" s="80">
      <c r="G801" s="125">
        <f>IF($D801=0,0,$D801*$E801)</f>
        <v/>
      </c>
      <c r="H801" s="125">
        <f>IF($B801="","",CONCATENATE("Örnek kayıt: ",$B801))</f>
        <v/>
      </c>
    </row>
    <row r="802" ht="15" customHeight="1" s="80">
      <c r="G802" s="125">
        <f>IF($D802=0,0,$D802*$E802)</f>
        <v/>
      </c>
      <c r="H802" s="125">
        <f>IF($B802="","",CONCATENATE("Örnek kayıt: ",$B802))</f>
        <v/>
      </c>
    </row>
    <row r="803" ht="15" customHeight="1" s="80">
      <c r="G803" s="125">
        <f>IF($D803=0,0,$D803*$E803)</f>
        <v/>
      </c>
      <c r="H803" s="125">
        <f>IF($B803="","",CONCATENATE("Örnek kayıt: ",$B803))</f>
        <v/>
      </c>
    </row>
    <row r="804" ht="15" customHeight="1" s="80">
      <c r="G804" s="125">
        <f>IF($D804=0,0,$D804*$E804)</f>
        <v/>
      </c>
      <c r="H804" s="125">
        <f>IF($B804="","",CONCATENATE("Örnek kayıt: ",$B804))</f>
        <v/>
      </c>
    </row>
    <row r="805" ht="15" customHeight="1" s="80">
      <c r="G805" s="125">
        <f>IF($D805=0,0,$D805*$E805)</f>
        <v/>
      </c>
      <c r="H805" s="125">
        <f>IF($B805="","",CONCATENATE("Örnek kayıt: ",$B805))</f>
        <v/>
      </c>
    </row>
    <row r="806" ht="15" customHeight="1" s="80">
      <c r="G806" s="125">
        <f>IF($D806=0,0,$D806*$E806)</f>
        <v/>
      </c>
      <c r="H806" s="125">
        <f>IF($B806="","",CONCATENATE("Örnek kayıt: ",$B806))</f>
        <v/>
      </c>
    </row>
    <row r="807" ht="15" customHeight="1" s="80">
      <c r="G807" s="125">
        <f>IF($D807=0,0,$D807*$E807)</f>
        <v/>
      </c>
      <c r="H807" s="125">
        <f>IF($B807="","",CONCATENATE("Örnek kayıt: ",$B807))</f>
        <v/>
      </c>
    </row>
    <row r="808" ht="15" customHeight="1" s="80">
      <c r="G808" s="125">
        <f>IF($D808=0,0,$D808*$E808)</f>
        <v/>
      </c>
      <c r="H808" s="125">
        <f>IF($B808="","",CONCATENATE("Örnek kayıt: ",$B808))</f>
        <v/>
      </c>
    </row>
    <row r="809" ht="15" customHeight="1" s="80">
      <c r="G809" s="125">
        <f>IF($D809=0,0,$D809*$E809)</f>
        <v/>
      </c>
      <c r="H809" s="125">
        <f>IF($B809="","",CONCATENATE("Örnek kayıt: ",$B809))</f>
        <v/>
      </c>
    </row>
    <row r="810" ht="15" customHeight="1" s="80">
      <c r="G810" s="125">
        <f>IF($D810=0,0,$D810*$E810)</f>
        <v/>
      </c>
      <c r="H810" s="125">
        <f>IF($B810="","",CONCATENATE("Örnek kayıt: ",$B810))</f>
        <v/>
      </c>
    </row>
    <row r="811" ht="15" customHeight="1" s="80">
      <c r="G811" s="125">
        <f>IF($D811=0,0,$D811*$E811)</f>
        <v/>
      </c>
      <c r="H811" s="125">
        <f>IF($B811="","",CONCATENATE("Örnek kayıt: ",$B811))</f>
        <v/>
      </c>
    </row>
    <row r="812" ht="15" customHeight="1" s="80">
      <c r="G812" s="125">
        <f>IF($D812=0,0,$D812*$E812)</f>
        <v/>
      </c>
      <c r="H812" s="125">
        <f>IF($B812="","",CONCATENATE("Örnek kayıt: ",$B812))</f>
        <v/>
      </c>
    </row>
    <row r="813" ht="15" customHeight="1" s="80">
      <c r="G813" s="125">
        <f>IF($D813=0,0,$D813*$E813)</f>
        <v/>
      </c>
      <c r="H813" s="125">
        <f>IF($B813="","",CONCATENATE("Örnek kayıt: ",$B813))</f>
        <v/>
      </c>
    </row>
    <row r="814" ht="15" customHeight="1" s="80">
      <c r="G814" s="125">
        <f>IF($D814=0,0,$D814*$E814)</f>
        <v/>
      </c>
      <c r="H814" s="125">
        <f>IF($B814="","",CONCATENATE("Örnek kayıt: ",$B814))</f>
        <v/>
      </c>
    </row>
    <row r="815" ht="15" customHeight="1" s="80">
      <c r="G815" s="125">
        <f>IF($D815=0,0,$D815*$E815)</f>
        <v/>
      </c>
      <c r="H815" s="125">
        <f>IF($B815="","",CONCATENATE("Örnek kayıt: ",$B815))</f>
        <v/>
      </c>
    </row>
    <row r="816" ht="15" customHeight="1" s="80">
      <c r="G816" s="125">
        <f>IF($D816=0,0,$D816*$E816)</f>
        <v/>
      </c>
      <c r="H816" s="125">
        <f>IF($B816="","",CONCATENATE("Örnek kayıt: ",$B816))</f>
        <v/>
      </c>
    </row>
    <row r="817" ht="15" customHeight="1" s="80">
      <c r="G817" s="125">
        <f>IF($D817=0,0,$D817*$E817)</f>
        <v/>
      </c>
      <c r="H817" s="125">
        <f>IF($B817="","",CONCATENATE("Örnek kayıt: ",$B817))</f>
        <v/>
      </c>
    </row>
    <row r="818" ht="15" customHeight="1" s="80">
      <c r="G818" s="125">
        <f>IF($D818=0,0,$D818*$E818)</f>
        <v/>
      </c>
      <c r="H818" s="125">
        <f>IF($B818="","",CONCATENATE("Örnek kayıt: ",$B818))</f>
        <v/>
      </c>
    </row>
    <row r="819" ht="15" customHeight="1" s="80">
      <c r="G819" s="125">
        <f>IF($D819=0,0,$D819*$E819)</f>
        <v/>
      </c>
      <c r="H819" s="125">
        <f>IF($B819="","",CONCATENATE("Örnek kayıt: ",$B819))</f>
        <v/>
      </c>
    </row>
    <row r="820" ht="15" customHeight="1" s="80">
      <c r="G820" s="125">
        <f>IF($D820=0,0,$D820*$E820)</f>
        <v/>
      </c>
      <c r="H820" s="125">
        <f>IF($B820="","",CONCATENATE("Örnek kayıt: ",$B820))</f>
        <v/>
      </c>
    </row>
    <row r="821" ht="15" customHeight="1" s="80">
      <c r="G821" s="125">
        <f>IF($D821=0,0,$D821*$E821)</f>
        <v/>
      </c>
      <c r="H821" s="125">
        <f>IF($B821="","",CONCATENATE("Örnek kayıt: ",$B821))</f>
        <v/>
      </c>
    </row>
    <row r="822" ht="15" customHeight="1" s="80">
      <c r="G822" s="125">
        <f>IF($D822=0,0,$D822*$E822)</f>
        <v/>
      </c>
      <c r="H822" s="125">
        <f>IF($B822="","",CONCATENATE("Örnek kayıt: ",$B822))</f>
        <v/>
      </c>
    </row>
    <row r="823" ht="15" customHeight="1" s="80">
      <c r="G823" s="125">
        <f>IF($D823=0,0,$D823*$E823)</f>
        <v/>
      </c>
      <c r="H823" s="125">
        <f>IF($B823="","",CONCATENATE("Örnek kayıt: ",$B823))</f>
        <v/>
      </c>
    </row>
    <row r="824" ht="15" customHeight="1" s="80">
      <c r="G824" s="125">
        <f>IF($D824=0,0,$D824*$E824)</f>
        <v/>
      </c>
      <c r="H824" s="125">
        <f>IF($B824="","",CONCATENATE("Örnek kayıt: ",$B824))</f>
        <v/>
      </c>
    </row>
    <row r="825" ht="15" customHeight="1" s="80">
      <c r="G825" s="125">
        <f>IF($D825=0,0,$D825*$E825)</f>
        <v/>
      </c>
      <c r="H825" s="125">
        <f>IF($B825="","",CONCATENATE("Örnek kayıt: ",$B825))</f>
        <v/>
      </c>
    </row>
    <row r="826" ht="15" customHeight="1" s="80">
      <c r="G826" s="125">
        <f>IF($D826=0,0,$D826*$E826)</f>
        <v/>
      </c>
      <c r="H826" s="125">
        <f>IF($B826="","",CONCATENATE("Örnek kayıt: ",$B826))</f>
        <v/>
      </c>
    </row>
    <row r="827" ht="15" customHeight="1" s="80">
      <c r="G827" s="125">
        <f>IF($D827=0,0,$D827*$E827)</f>
        <v/>
      </c>
      <c r="H827" s="125">
        <f>IF($B827="","",CONCATENATE("Örnek kayıt: ",$B827))</f>
        <v/>
      </c>
    </row>
    <row r="828" ht="15" customHeight="1" s="80">
      <c r="G828" s="125">
        <f>IF($D828=0,0,$D828*$E828)</f>
        <v/>
      </c>
      <c r="H828" s="125">
        <f>IF($B828="","",CONCATENATE("Örnek kayıt: ",$B828))</f>
        <v/>
      </c>
    </row>
    <row r="829" ht="15" customHeight="1" s="80">
      <c r="G829" s="125">
        <f>IF($D829=0,0,$D829*$E829)</f>
        <v/>
      </c>
      <c r="H829" s="125">
        <f>IF($B829="","",CONCATENATE("Örnek kayıt: ",$B829))</f>
        <v/>
      </c>
    </row>
    <row r="830" ht="15" customHeight="1" s="80">
      <c r="G830" s="125">
        <f>IF($D830=0,0,$D830*$E830)</f>
        <v/>
      </c>
      <c r="H830" s="125">
        <f>IF($B830="","",CONCATENATE("Örnek kayıt: ",$B830))</f>
        <v/>
      </c>
    </row>
    <row r="831" ht="15" customHeight="1" s="80">
      <c r="G831" s="125">
        <f>IF($D831=0,0,$D831*$E831)</f>
        <v/>
      </c>
      <c r="H831" s="125">
        <f>IF($B831="","",CONCATENATE("Örnek kayıt: ",$B831))</f>
        <v/>
      </c>
    </row>
    <row r="832" ht="15" customHeight="1" s="80">
      <c r="G832" s="125">
        <f>IF($D832=0,0,$D832*$E832)</f>
        <v/>
      </c>
      <c r="H832" s="125">
        <f>IF($B832="","",CONCATENATE("Örnek kayıt: ",$B832))</f>
        <v/>
      </c>
    </row>
    <row r="833" ht="15" customHeight="1" s="80">
      <c r="G833" s="125">
        <f>IF($D833=0,0,$D833*$E833)</f>
        <v/>
      </c>
      <c r="H833" s="125">
        <f>IF($B833="","",CONCATENATE("Örnek kayıt: ",$B833))</f>
        <v/>
      </c>
    </row>
    <row r="834" ht="15" customHeight="1" s="80">
      <c r="G834" s="125">
        <f>IF($D834=0,0,$D834*$E834)</f>
        <v/>
      </c>
      <c r="H834" s="125">
        <f>IF($B834="","",CONCATENATE("Örnek kayıt: ",$B834))</f>
        <v/>
      </c>
    </row>
    <row r="835" ht="15" customHeight="1" s="80">
      <c r="G835" s="125">
        <f>IF($D835=0,0,$D835*$E835)</f>
        <v/>
      </c>
      <c r="H835" s="125">
        <f>IF($B835="","",CONCATENATE("Örnek kayıt: ",$B835))</f>
        <v/>
      </c>
    </row>
    <row r="836" ht="15" customHeight="1" s="80">
      <c r="G836" s="125">
        <f>IF($D836=0,0,$D836*$E836)</f>
        <v/>
      </c>
      <c r="H836" s="125">
        <f>IF($B836="","",CONCATENATE("Örnek kayıt: ",$B836))</f>
        <v/>
      </c>
    </row>
    <row r="837" ht="15" customHeight="1" s="80">
      <c r="G837" s="125">
        <f>IF($D837=0,0,$D837*$E837)</f>
        <v/>
      </c>
      <c r="H837" s="125">
        <f>IF($B837="","",CONCATENATE("Örnek kayıt: ",$B837))</f>
        <v/>
      </c>
    </row>
    <row r="838" ht="15" customHeight="1" s="80">
      <c r="G838" s="125">
        <f>IF($D838=0,0,$D838*$E838)</f>
        <v/>
      </c>
      <c r="H838" s="125">
        <f>IF($B838="","",CONCATENATE("Örnek kayıt: ",$B838))</f>
        <v/>
      </c>
    </row>
    <row r="839" ht="15" customHeight="1" s="80">
      <c r="G839" s="125">
        <f>IF($D839=0,0,$D839*$E839)</f>
        <v/>
      </c>
      <c r="H839" s="125">
        <f>IF($B839="","",CONCATENATE("Örnek kayıt: ",$B839))</f>
        <v/>
      </c>
    </row>
    <row r="840" ht="15" customHeight="1" s="80">
      <c r="G840" s="125">
        <f>IF($D840=0,0,$D840*$E840)</f>
        <v/>
      </c>
      <c r="H840" s="125">
        <f>IF($B840="","",CONCATENATE("Örnek kayıt: ",$B840))</f>
        <v/>
      </c>
    </row>
    <row r="841" ht="15" customHeight="1" s="80">
      <c r="G841" s="125">
        <f>IF($D841=0,0,$D841*$E841)</f>
        <v/>
      </c>
      <c r="H841" s="125">
        <f>IF($B841="","",CONCATENATE("Örnek kayıt: ",$B841))</f>
        <v/>
      </c>
    </row>
    <row r="842" ht="15" customHeight="1" s="80">
      <c r="G842" s="125">
        <f>IF($D842=0,0,$D842*$E842)</f>
        <v/>
      </c>
      <c r="H842" s="125">
        <f>IF($B842="","",CONCATENATE("Örnek kayıt: ",$B842))</f>
        <v/>
      </c>
    </row>
    <row r="843" ht="15" customHeight="1" s="80">
      <c r="G843" s="125">
        <f>IF($D843=0,0,$D843*$E843)</f>
        <v/>
      </c>
      <c r="H843" s="125">
        <f>IF($B843="","",CONCATENATE("Örnek kayıt: ",$B843))</f>
        <v/>
      </c>
    </row>
    <row r="844" ht="15" customHeight="1" s="80">
      <c r="G844" s="125">
        <f>IF($D844=0,0,$D844*$E844)</f>
        <v/>
      </c>
      <c r="H844" s="125">
        <f>IF($B844="","",CONCATENATE("Örnek kayıt: ",$B844))</f>
        <v/>
      </c>
    </row>
    <row r="845" ht="15" customHeight="1" s="80">
      <c r="G845" s="125">
        <f>IF($D845=0,0,$D845*$E845)</f>
        <v/>
      </c>
      <c r="H845" s="125">
        <f>IF($B845="","",CONCATENATE("Örnek kayıt: ",$B845))</f>
        <v/>
      </c>
    </row>
    <row r="846" ht="15" customHeight="1" s="80">
      <c r="G846" s="125">
        <f>IF($D846=0,0,$D846*$E846)</f>
        <v/>
      </c>
      <c r="H846" s="125">
        <f>IF($B846="","",CONCATENATE("Örnek kayıt: ",$B846))</f>
        <v/>
      </c>
    </row>
    <row r="847" ht="15" customHeight="1" s="80">
      <c r="G847" s="125">
        <f>IF($D847=0,0,$D847*$E847)</f>
        <v/>
      </c>
      <c r="H847" s="125">
        <f>IF($B847="","",CONCATENATE("Örnek kayıt: ",$B847))</f>
        <v/>
      </c>
    </row>
    <row r="848" ht="15" customHeight="1" s="80">
      <c r="G848" s="125">
        <f>IF($D848=0,0,$D848*$E848)</f>
        <v/>
      </c>
      <c r="H848" s="125">
        <f>IF($B848="","",CONCATENATE("Örnek kayıt: ",$B848))</f>
        <v/>
      </c>
    </row>
    <row r="849" ht="15" customHeight="1" s="80">
      <c r="G849" s="125">
        <f>IF($D849=0,0,$D849*$E849)</f>
        <v/>
      </c>
      <c r="H849" s="125">
        <f>IF($B849="","",CONCATENATE("Örnek kayıt: ",$B849))</f>
        <v/>
      </c>
    </row>
    <row r="850" ht="15" customHeight="1" s="80">
      <c r="G850" s="125">
        <f>IF($D850=0,0,$D850*$E850)</f>
        <v/>
      </c>
      <c r="H850" s="125">
        <f>IF($B850="","",CONCATENATE("Örnek kayıt: ",$B850))</f>
        <v/>
      </c>
    </row>
    <row r="851" ht="15" customHeight="1" s="80">
      <c r="G851" s="125">
        <f>IF($D851=0,0,$D851*$E851)</f>
        <v/>
      </c>
      <c r="H851" s="125">
        <f>IF($B851="","",CONCATENATE("Örnek kayıt: ",$B851))</f>
        <v/>
      </c>
    </row>
    <row r="852" ht="15" customHeight="1" s="80">
      <c r="G852" s="125">
        <f>IF($D852=0,0,$D852*$E852)</f>
        <v/>
      </c>
      <c r="H852" s="125">
        <f>IF($B852="","",CONCATENATE("Örnek kayıt: ",$B852))</f>
        <v/>
      </c>
    </row>
    <row r="853" ht="15" customHeight="1" s="80">
      <c r="G853" s="125">
        <f>IF($D853=0,0,$D853*$E853)</f>
        <v/>
      </c>
      <c r="H853" s="125">
        <f>IF($B853="","",CONCATENATE("Örnek kayıt: ",$B853))</f>
        <v/>
      </c>
    </row>
    <row r="854" ht="15" customHeight="1" s="80">
      <c r="G854" s="125">
        <f>IF($D854=0,0,$D854*$E854)</f>
        <v/>
      </c>
      <c r="H854" s="125">
        <f>IF($B854="","",CONCATENATE("Örnek kayıt: ",$B854))</f>
        <v/>
      </c>
    </row>
    <row r="855" ht="15" customHeight="1" s="80">
      <c r="G855" s="125">
        <f>IF($D855=0,0,$D855*$E855)</f>
        <v/>
      </c>
      <c r="H855" s="125">
        <f>IF($B855="","",CONCATENATE("Örnek kayıt: ",$B855))</f>
        <v/>
      </c>
    </row>
    <row r="856" ht="15" customHeight="1" s="80">
      <c r="G856" s="125">
        <f>IF($D856=0,0,$D856*$E856)</f>
        <v/>
      </c>
      <c r="H856" s="125">
        <f>IF($B856="","",CONCATENATE("Örnek kayıt: ",$B856))</f>
        <v/>
      </c>
    </row>
    <row r="857" ht="15" customHeight="1" s="80">
      <c r="G857" s="125">
        <f>IF($D857=0,0,$D857*$E857)</f>
        <v/>
      </c>
      <c r="H857" s="125">
        <f>IF($B857="","",CONCATENATE("Örnek kayıt: ",$B857))</f>
        <v/>
      </c>
    </row>
    <row r="858" ht="15" customHeight="1" s="80">
      <c r="G858" s="125">
        <f>IF($D858=0,0,$D858*$E858)</f>
        <v/>
      </c>
      <c r="H858" s="125">
        <f>IF($B858="","",CONCATENATE("Örnek kayıt: ",$B858))</f>
        <v/>
      </c>
    </row>
    <row r="859" ht="15" customHeight="1" s="80">
      <c r="G859" s="125">
        <f>IF($D859=0,0,$D859*$E859)</f>
        <v/>
      </c>
      <c r="H859" s="125">
        <f>IF($B859="","",CONCATENATE("Örnek kayıt: ",$B859))</f>
        <v/>
      </c>
    </row>
    <row r="860" ht="15" customHeight="1" s="80">
      <c r="G860" s="125">
        <f>IF($D860=0,0,$D860*$E860)</f>
        <v/>
      </c>
      <c r="H860" s="125">
        <f>IF($B860="","",CONCATENATE("Örnek kayıt: ",$B860))</f>
        <v/>
      </c>
    </row>
    <row r="861" ht="15" customHeight="1" s="80">
      <c r="G861" s="125">
        <f>IF($D861=0,0,$D861*$E861)</f>
        <v/>
      </c>
      <c r="H861" s="125">
        <f>IF($B861="","",CONCATENATE("Örnek kayıt: ",$B861))</f>
        <v/>
      </c>
    </row>
    <row r="862" ht="15" customHeight="1" s="80">
      <c r="G862" s="125">
        <f>IF($D862=0,0,$D862*$E862)</f>
        <v/>
      </c>
      <c r="H862" s="125">
        <f>IF($B862="","",CONCATENATE("Örnek kayıt: ",$B862))</f>
        <v/>
      </c>
    </row>
    <row r="863" ht="15" customHeight="1" s="80">
      <c r="G863" s="125">
        <f>IF($D863=0,0,$D863*$E863)</f>
        <v/>
      </c>
      <c r="H863" s="125">
        <f>IF($B863="","",CONCATENATE("Örnek kayıt: ",$B863))</f>
        <v/>
      </c>
    </row>
    <row r="864" ht="15" customHeight="1" s="80">
      <c r="G864" s="125">
        <f>IF($D864=0,0,$D864*$E864)</f>
        <v/>
      </c>
      <c r="H864" s="125">
        <f>IF($B864="","",CONCATENATE("Örnek kayıt: ",$B864))</f>
        <v/>
      </c>
    </row>
    <row r="865" ht="15" customHeight="1" s="80">
      <c r="G865" s="125">
        <f>IF($D865=0,0,$D865*$E865)</f>
        <v/>
      </c>
      <c r="H865" s="125">
        <f>IF($B865="","",CONCATENATE("Örnek kayıt: ",$B865))</f>
        <v/>
      </c>
    </row>
    <row r="866" ht="15" customHeight="1" s="80">
      <c r="G866" s="125">
        <f>IF($D866=0,0,$D866*$E866)</f>
        <v/>
      </c>
      <c r="H866" s="125">
        <f>IF($B866="","",CONCATENATE("Örnek kayıt: ",$B866))</f>
        <v/>
      </c>
    </row>
    <row r="867" ht="15" customHeight="1" s="80">
      <c r="G867" s="125">
        <f>IF($D867=0,0,$D867*$E867)</f>
        <v/>
      </c>
      <c r="H867" s="125">
        <f>IF($B867="","",CONCATENATE("Örnek kayıt: ",$B867))</f>
        <v/>
      </c>
    </row>
    <row r="868" ht="15" customHeight="1" s="80">
      <c r="G868" s="125">
        <f>IF($D868=0,0,$D868*$E868)</f>
        <v/>
      </c>
      <c r="H868" s="125">
        <f>IF($B868="","",CONCATENATE("Örnek kayıt: ",$B868))</f>
        <v/>
      </c>
    </row>
    <row r="869" ht="15" customHeight="1" s="80">
      <c r="G869" s="125">
        <f>IF($D869=0,0,$D869*$E869)</f>
        <v/>
      </c>
      <c r="H869" s="125">
        <f>IF($B869="","",CONCATENATE("Örnek kayıt: ",$B869))</f>
        <v/>
      </c>
    </row>
    <row r="870" ht="15" customHeight="1" s="80">
      <c r="G870" s="125">
        <f>IF($D870=0,0,$D870*$E870)</f>
        <v/>
      </c>
      <c r="H870" s="125">
        <f>IF($B870="","",CONCATENATE("Örnek kayıt: ",$B870))</f>
        <v/>
      </c>
    </row>
    <row r="871" ht="15" customHeight="1" s="80">
      <c r="G871" s="125">
        <f>IF($D871=0,0,$D871*$E871)</f>
        <v/>
      </c>
      <c r="H871" s="125">
        <f>IF($B871="","",CONCATENATE("Örnek kayıt: ",$B871))</f>
        <v/>
      </c>
    </row>
    <row r="872" ht="15" customHeight="1" s="80">
      <c r="G872" s="125">
        <f>IF($D872=0,0,$D872*$E872)</f>
        <v/>
      </c>
      <c r="H872" s="125">
        <f>IF($B872="","",CONCATENATE("Örnek kayıt: ",$B872))</f>
        <v/>
      </c>
    </row>
    <row r="873" ht="15" customHeight="1" s="80">
      <c r="G873" s="125">
        <f>IF($D873=0,0,$D873*$E873)</f>
        <v/>
      </c>
      <c r="H873" s="125">
        <f>IF($B873="","",CONCATENATE("Örnek kayıt: ",$B873))</f>
        <v/>
      </c>
    </row>
    <row r="874" ht="15" customHeight="1" s="80">
      <c r="G874" s="125">
        <f>IF($D874=0,0,$D874*$E874)</f>
        <v/>
      </c>
      <c r="H874" s="125">
        <f>IF($B874="","",CONCATENATE("Örnek kayıt: ",$B874))</f>
        <v/>
      </c>
    </row>
    <row r="875" ht="15" customHeight="1" s="80">
      <c r="G875" s="125">
        <f>IF($D875=0,0,$D875*$E875)</f>
        <v/>
      </c>
      <c r="H875" s="125">
        <f>IF($B875="","",CONCATENATE("Örnek kayıt: ",$B875))</f>
        <v/>
      </c>
    </row>
    <row r="876" ht="15" customHeight="1" s="80">
      <c r="G876" s="125">
        <f>IF($D876=0,0,$D876*$E876)</f>
        <v/>
      </c>
      <c r="H876" s="125">
        <f>IF($B876="","",CONCATENATE("Örnek kayıt: ",$B876))</f>
        <v/>
      </c>
    </row>
    <row r="877" ht="15" customHeight="1" s="80">
      <c r="G877" s="125">
        <f>IF($D877=0,0,$D877*$E877)</f>
        <v/>
      </c>
      <c r="H877" s="125">
        <f>IF($B877="","",CONCATENATE("Örnek kayıt: ",$B877))</f>
        <v/>
      </c>
    </row>
    <row r="878" ht="15" customHeight="1" s="80">
      <c r="G878" s="125">
        <f>IF($D878=0,0,$D878*$E878)</f>
        <v/>
      </c>
      <c r="H878" s="125">
        <f>IF($B878="","",CONCATENATE("Örnek kayıt: ",$B878))</f>
        <v/>
      </c>
    </row>
    <row r="879" ht="15" customHeight="1" s="80">
      <c r="G879" s="125">
        <f>IF($D879=0,0,$D879*$E879)</f>
        <v/>
      </c>
      <c r="H879" s="125">
        <f>IF($B879="","",CONCATENATE("Örnek kayıt: ",$B879))</f>
        <v/>
      </c>
    </row>
    <row r="880" ht="15" customHeight="1" s="80">
      <c r="G880" s="125">
        <f>IF($D880=0,0,$D880*$E880)</f>
        <v/>
      </c>
      <c r="H880" s="125">
        <f>IF($B880="","",CONCATENATE("Örnek kayıt: ",$B880))</f>
        <v/>
      </c>
    </row>
    <row r="881" ht="15" customHeight="1" s="80">
      <c r="G881" s="125">
        <f>IF($D881=0,0,$D881*$E881)</f>
        <v/>
      </c>
      <c r="H881" s="125">
        <f>IF($B881="","",CONCATENATE("Örnek kayıt: ",$B881))</f>
        <v/>
      </c>
    </row>
    <row r="882" ht="15" customHeight="1" s="80">
      <c r="G882" s="125">
        <f>IF($D882=0,0,$D882*$E882)</f>
        <v/>
      </c>
      <c r="H882" s="125">
        <f>IF($B882="","",CONCATENATE("Örnek kayıt: ",$B882))</f>
        <v/>
      </c>
    </row>
    <row r="883" ht="15" customHeight="1" s="80">
      <c r="G883" s="125">
        <f>IF($D883=0,0,$D883*$E883)</f>
        <v/>
      </c>
      <c r="H883" s="125">
        <f>IF($B883="","",CONCATENATE("Örnek kayıt: ",$B883))</f>
        <v/>
      </c>
    </row>
    <row r="884" ht="15" customHeight="1" s="80">
      <c r="G884" s="125">
        <f>IF($D884=0,0,$D884*$E884)</f>
        <v/>
      </c>
      <c r="H884" s="125">
        <f>IF($B884="","",CONCATENATE("Örnek kayıt: ",$B884))</f>
        <v/>
      </c>
    </row>
    <row r="885" ht="15" customHeight="1" s="80">
      <c r="G885" s="125">
        <f>IF($D885=0,0,$D885*$E885)</f>
        <v/>
      </c>
      <c r="H885" s="125">
        <f>IF($B885="","",CONCATENATE("Örnek kayıt: ",$B885))</f>
        <v/>
      </c>
    </row>
    <row r="886" ht="15" customHeight="1" s="80">
      <c r="G886" s="125">
        <f>IF($D886=0,0,$D886*$E886)</f>
        <v/>
      </c>
      <c r="H886" s="125">
        <f>IF($B886="","",CONCATENATE("Örnek kayıt: ",$B886))</f>
        <v/>
      </c>
    </row>
    <row r="887" ht="15" customHeight="1" s="80">
      <c r="G887" s="125">
        <f>IF($D887=0,0,$D887*$E887)</f>
        <v/>
      </c>
      <c r="H887" s="125">
        <f>IF($B887="","",CONCATENATE("Örnek kayıt: ",$B887))</f>
        <v/>
      </c>
    </row>
    <row r="888" ht="15" customHeight="1" s="80">
      <c r="G888" s="125">
        <f>IF($D888=0,0,$D888*$E888)</f>
        <v/>
      </c>
      <c r="H888" s="125">
        <f>IF($B888="","",CONCATENATE("Örnek kayıt: ",$B888))</f>
        <v/>
      </c>
    </row>
    <row r="889" ht="15" customHeight="1" s="80">
      <c r="G889" s="125">
        <f>IF($D889=0,0,$D889*$E889)</f>
        <v/>
      </c>
      <c r="H889" s="125">
        <f>IF($B889="","",CONCATENATE("Örnek kayıt: ",$B889))</f>
        <v/>
      </c>
    </row>
    <row r="890" ht="15" customHeight="1" s="80">
      <c r="G890" s="125">
        <f>IF($D890=0,0,$D890*$E890)</f>
        <v/>
      </c>
      <c r="H890" s="125">
        <f>IF($B890="","",CONCATENATE("Örnek kayıt: ",$B890))</f>
        <v/>
      </c>
    </row>
    <row r="891" ht="15" customHeight="1" s="80">
      <c r="G891" s="125">
        <f>IF($D891=0,0,$D891*$E891)</f>
        <v/>
      </c>
      <c r="H891" s="125">
        <f>IF($B891="","",CONCATENATE("Örnek kayıt: ",$B891))</f>
        <v/>
      </c>
    </row>
    <row r="892" ht="15" customHeight="1" s="80">
      <c r="G892" s="125">
        <f>IF($D892=0,0,$D892*$E892)</f>
        <v/>
      </c>
      <c r="H892" s="125">
        <f>IF($B892="","",CONCATENATE("Örnek kayıt: ",$B892))</f>
        <v/>
      </c>
    </row>
    <row r="893" ht="15" customHeight="1" s="80">
      <c r="G893" s="125">
        <f>IF($D893=0,0,$D893*$E893)</f>
        <v/>
      </c>
      <c r="H893" s="125">
        <f>IF($B893="","",CONCATENATE("Örnek kayıt: ",$B893))</f>
        <v/>
      </c>
    </row>
    <row r="894" ht="15" customHeight="1" s="80">
      <c r="G894" s="125">
        <f>IF($D894=0,0,$D894*$E894)</f>
        <v/>
      </c>
      <c r="H894" s="125">
        <f>IF($B894="","",CONCATENATE("Örnek kayıt: ",$B894))</f>
        <v/>
      </c>
    </row>
    <row r="895" ht="15" customHeight="1" s="80">
      <c r="G895" s="125">
        <f>IF($D895=0,0,$D895*$E895)</f>
        <v/>
      </c>
      <c r="H895" s="125">
        <f>IF($B895="","",CONCATENATE("Örnek kayıt: ",$B895))</f>
        <v/>
      </c>
    </row>
    <row r="896" ht="15" customHeight="1" s="80">
      <c r="G896" s="125">
        <f>IF($D896=0,0,$D896*$E896)</f>
        <v/>
      </c>
      <c r="H896" s="125">
        <f>IF($B896="","",CONCATENATE("Örnek kayıt: ",$B896))</f>
        <v/>
      </c>
    </row>
    <row r="897" ht="15" customHeight="1" s="80">
      <c r="G897" s="125">
        <f>IF($D897=0,0,$D897*$E897)</f>
        <v/>
      </c>
      <c r="H897" s="125">
        <f>IF($B897="","",CONCATENATE("Örnek kayıt: ",$B897))</f>
        <v/>
      </c>
    </row>
    <row r="898" ht="15" customHeight="1" s="80">
      <c r="G898" s="125">
        <f>IF($D898=0,0,$D898*$E898)</f>
        <v/>
      </c>
      <c r="H898" s="125">
        <f>IF($B898="","",CONCATENATE("Örnek kayıt: ",$B898))</f>
        <v/>
      </c>
    </row>
    <row r="899" ht="15" customHeight="1" s="80">
      <c r="G899" s="125">
        <f>IF($D899=0,0,$D899*$E899)</f>
        <v/>
      </c>
      <c r="H899" s="125">
        <f>IF($B899="","",CONCATENATE("Örnek kayıt: ",$B899))</f>
        <v/>
      </c>
    </row>
    <row r="900" ht="15" customHeight="1" s="80">
      <c r="G900" s="125">
        <f>IF($D900=0,0,$D900*$E900)</f>
        <v/>
      </c>
      <c r="H900" s="125">
        <f>IF($B900="","",CONCATENATE("Örnek kayıt: ",$B900))</f>
        <v/>
      </c>
    </row>
    <row r="901" ht="15" customHeight="1" s="80">
      <c r="G901" s="125">
        <f>IF($D901=0,0,$D901*$E901)</f>
        <v/>
      </c>
      <c r="H901" s="125">
        <f>IF($B901="","",CONCATENATE("Örnek kayıt: ",$B901))</f>
        <v/>
      </c>
    </row>
    <row r="902" ht="15" customHeight="1" s="80">
      <c r="G902" s="125">
        <f>IF($D902=0,0,$D902*$E902)</f>
        <v/>
      </c>
      <c r="H902" s="125">
        <f>IF($B902="","",CONCATENATE("Örnek kayıt: ",$B902))</f>
        <v/>
      </c>
    </row>
    <row r="903" ht="15" customHeight="1" s="80">
      <c r="G903" s="125">
        <f>IF($D903=0,0,$D903*$E903)</f>
        <v/>
      </c>
      <c r="H903" s="125">
        <f>IF($B903="","",CONCATENATE("Örnek kayıt: ",$B903))</f>
        <v/>
      </c>
    </row>
    <row r="904" ht="15" customHeight="1" s="80">
      <c r="G904" s="125">
        <f>IF($D904=0,0,$D904*$E904)</f>
        <v/>
      </c>
      <c r="H904" s="125">
        <f>IF($B904="","",CONCATENATE("Örnek kayıt: ",$B904))</f>
        <v/>
      </c>
    </row>
    <row r="905" ht="15" customHeight="1" s="80">
      <c r="G905" s="125">
        <f>IF($D905=0,0,$D905*$E905)</f>
        <v/>
      </c>
      <c r="H905" s="125">
        <f>IF($B905="","",CONCATENATE("Örnek kayıt: ",$B905))</f>
        <v/>
      </c>
    </row>
    <row r="906" ht="15" customHeight="1" s="80">
      <c r="G906" s="125">
        <f>IF($D906=0,0,$D906*$E906)</f>
        <v/>
      </c>
      <c r="H906" s="125">
        <f>IF($B906="","",CONCATENATE("Örnek kayıt: ",$B906))</f>
        <v/>
      </c>
    </row>
    <row r="907" ht="15" customHeight="1" s="80">
      <c r="G907" s="125">
        <f>IF($D907=0,0,$D907*$E907)</f>
        <v/>
      </c>
      <c r="H907" s="125">
        <f>IF($B907="","",CONCATENATE("Örnek kayıt: ",$B907))</f>
        <v/>
      </c>
    </row>
    <row r="908" ht="15" customHeight="1" s="80">
      <c r="G908" s="125">
        <f>IF($D908=0,0,$D908*$E908)</f>
        <v/>
      </c>
      <c r="H908" s="125">
        <f>IF($B908="","",CONCATENATE("Örnek kayıt: ",$B908))</f>
        <v/>
      </c>
    </row>
    <row r="909" ht="15" customHeight="1" s="80">
      <c r="G909" s="125">
        <f>IF($D909=0,0,$D909*$E909)</f>
        <v/>
      </c>
      <c r="H909" s="125">
        <f>IF($B909="","",CONCATENATE("Örnek kayıt: ",$B909))</f>
        <v/>
      </c>
    </row>
    <row r="910" ht="15" customHeight="1" s="80">
      <c r="G910" s="125">
        <f>IF($D910=0,0,$D910*$E910)</f>
        <v/>
      </c>
      <c r="H910" s="125">
        <f>IF($B910="","",CONCATENATE("Örnek kayıt: ",$B910))</f>
        <v/>
      </c>
    </row>
    <row r="911" ht="15" customHeight="1" s="80">
      <c r="G911" s="125">
        <f>IF($D911=0,0,$D911*$E911)</f>
        <v/>
      </c>
      <c r="H911" s="125">
        <f>IF($B911="","",CONCATENATE("Örnek kayıt: ",$B911))</f>
        <v/>
      </c>
    </row>
    <row r="912" ht="15" customHeight="1" s="80">
      <c r="G912" s="125">
        <f>IF($D912=0,0,$D912*$E912)</f>
        <v/>
      </c>
      <c r="H912" s="125">
        <f>IF($B912="","",CONCATENATE("Örnek kayıt: ",$B912))</f>
        <v/>
      </c>
    </row>
    <row r="913" ht="15" customHeight="1" s="80">
      <c r="G913" s="125">
        <f>IF($D913=0,0,$D913*$E913)</f>
        <v/>
      </c>
      <c r="H913" s="125">
        <f>IF($B913="","",CONCATENATE("Örnek kayıt: ",$B913))</f>
        <v/>
      </c>
    </row>
    <row r="914" ht="15" customHeight="1" s="80">
      <c r="G914" s="125">
        <f>IF($D914=0,0,$D914*$E914)</f>
        <v/>
      </c>
      <c r="H914" s="125">
        <f>IF($B914="","",CONCATENATE("Örnek kayıt: ",$B914))</f>
        <v/>
      </c>
    </row>
    <row r="915" ht="15" customHeight="1" s="80">
      <c r="G915" s="125">
        <f>IF($D915=0,0,$D915*$E915)</f>
        <v/>
      </c>
      <c r="H915" s="125">
        <f>IF($B915="","",CONCATENATE("Örnek kayıt: ",$B915))</f>
        <v/>
      </c>
    </row>
    <row r="916" ht="15" customHeight="1" s="80">
      <c r="G916" s="125">
        <f>IF($D916=0,0,$D916*$E916)</f>
        <v/>
      </c>
      <c r="H916" s="125">
        <f>IF($B916="","",CONCATENATE("Örnek kayıt: ",$B916))</f>
        <v/>
      </c>
    </row>
    <row r="917" ht="15" customHeight="1" s="80">
      <c r="G917" s="125">
        <f>IF($D917=0,0,$D917*$E917)</f>
        <v/>
      </c>
      <c r="H917" s="125">
        <f>IF($B917="","",CONCATENATE("Örnek kayıt: ",$B917))</f>
        <v/>
      </c>
    </row>
    <row r="918" ht="15" customHeight="1" s="80">
      <c r="G918" s="125">
        <f>IF($D918=0,0,$D918*$E918)</f>
        <v/>
      </c>
      <c r="H918" s="125">
        <f>IF($B918="","",CONCATENATE("Örnek kayıt: ",$B918))</f>
        <v/>
      </c>
    </row>
    <row r="919" ht="15" customHeight="1" s="80">
      <c r="G919" s="125">
        <f>IF($D919=0,0,$D919*$E919)</f>
        <v/>
      </c>
      <c r="H919" s="125">
        <f>IF($B919="","",CONCATENATE("Örnek kayıt: ",$B919))</f>
        <v/>
      </c>
    </row>
    <row r="920" ht="15" customHeight="1" s="80">
      <c r="G920" s="125">
        <f>IF($D920=0,0,$D920*$E920)</f>
        <v/>
      </c>
      <c r="H920" s="125">
        <f>IF($B920="","",CONCATENATE("Örnek kayıt: ",$B920))</f>
        <v/>
      </c>
    </row>
    <row r="921" ht="15" customHeight="1" s="80">
      <c r="G921" s="125">
        <f>IF($D921=0,0,$D921*$E921)</f>
        <v/>
      </c>
      <c r="H921" s="125">
        <f>IF($B921="","",CONCATENATE("Örnek kayıt: ",$B921))</f>
        <v/>
      </c>
    </row>
    <row r="922" ht="15" customHeight="1" s="80">
      <c r="G922" s="125">
        <f>IF($D922=0,0,$D922*$E922)</f>
        <v/>
      </c>
      <c r="H922" s="125">
        <f>IF($B922="","",CONCATENATE("Örnek kayıt: ",$B922))</f>
        <v/>
      </c>
    </row>
    <row r="923" ht="15" customHeight="1" s="80">
      <c r="G923" s="125">
        <f>IF($D923=0,0,$D923*$E923)</f>
        <v/>
      </c>
      <c r="H923" s="125">
        <f>IF($B923="","",CONCATENATE("Örnek kayıt: ",$B923))</f>
        <v/>
      </c>
    </row>
    <row r="924" ht="15" customHeight="1" s="80">
      <c r="G924" s="125">
        <f>IF($D924=0,0,$D924*$E924)</f>
        <v/>
      </c>
      <c r="H924" s="125">
        <f>IF($B924="","",CONCATENATE("Örnek kayıt: ",$B924))</f>
        <v/>
      </c>
    </row>
    <row r="925" ht="15" customHeight="1" s="80">
      <c r="G925" s="125">
        <f>IF($D925=0,0,$D925*$E925)</f>
        <v/>
      </c>
      <c r="H925" s="125">
        <f>IF($B925="","",CONCATENATE("Örnek kayıt: ",$B925))</f>
        <v/>
      </c>
    </row>
    <row r="926" ht="15" customHeight="1" s="80">
      <c r="G926" s="125">
        <f>IF($D926=0,0,$D926*$E926)</f>
        <v/>
      </c>
      <c r="H926" s="125">
        <f>IF($B926="","",CONCATENATE("Örnek kayıt: ",$B926))</f>
        <v/>
      </c>
    </row>
    <row r="927" ht="15" customHeight="1" s="80">
      <c r="G927" s="125">
        <f>IF($D927=0,0,$D927*$E927)</f>
        <v/>
      </c>
      <c r="H927" s="125">
        <f>IF($B927="","",CONCATENATE("Örnek kayıt: ",$B927))</f>
        <v/>
      </c>
    </row>
    <row r="928" ht="15" customHeight="1" s="80">
      <c r="G928" s="125">
        <f>IF($D928=0,0,$D928*$E928)</f>
        <v/>
      </c>
      <c r="H928" s="125">
        <f>IF($B928="","",CONCATENATE("Örnek kayıt: ",$B928))</f>
        <v/>
      </c>
    </row>
    <row r="929" ht="15" customHeight="1" s="80">
      <c r="G929" s="125">
        <f>IF($D929=0,0,$D929*$E929)</f>
        <v/>
      </c>
      <c r="H929" s="125">
        <f>IF($B929="","",CONCATENATE("Örnek kayıt: ",$B929))</f>
        <v/>
      </c>
    </row>
    <row r="930" ht="15" customHeight="1" s="80">
      <c r="G930" s="125">
        <f>IF($D930=0,0,$D930*$E930)</f>
        <v/>
      </c>
      <c r="H930" s="125">
        <f>IF($B930="","",CONCATENATE("Örnek kayıt: ",$B930))</f>
        <v/>
      </c>
    </row>
    <row r="931" ht="15" customHeight="1" s="80">
      <c r="G931" s="125">
        <f>IF($D931=0,0,$D931*$E931)</f>
        <v/>
      </c>
      <c r="H931" s="125">
        <f>IF($B931="","",CONCATENATE("Örnek kayıt: ",$B931))</f>
        <v/>
      </c>
    </row>
    <row r="932" ht="15" customHeight="1" s="80">
      <c r="G932" s="125">
        <f>IF($D932=0,0,$D932*$E932)</f>
        <v/>
      </c>
      <c r="H932" s="125">
        <f>IF($B932="","",CONCATENATE("Örnek kayıt: ",$B932))</f>
        <v/>
      </c>
    </row>
    <row r="933" ht="15" customHeight="1" s="80">
      <c r="G933" s="125">
        <f>IF($D933=0,0,$D933*$E933)</f>
        <v/>
      </c>
      <c r="H933" s="125">
        <f>IF($B933="","",CONCATENATE("Örnek kayıt: ",$B933))</f>
        <v/>
      </c>
    </row>
    <row r="934" ht="15" customHeight="1" s="80">
      <c r="G934" s="125">
        <f>IF($D934=0,0,$D934*$E934)</f>
        <v/>
      </c>
      <c r="H934" s="125">
        <f>IF($B934="","",CONCATENATE("Örnek kayıt: ",$B934))</f>
        <v/>
      </c>
    </row>
    <row r="935" ht="15" customHeight="1" s="80">
      <c r="G935" s="125">
        <f>IF($D935=0,0,$D935*$E935)</f>
        <v/>
      </c>
      <c r="H935" s="125">
        <f>IF($B935="","",CONCATENATE("Örnek kayıt: ",$B935))</f>
        <v/>
      </c>
    </row>
    <row r="936" ht="15" customHeight="1" s="80">
      <c r="G936" s="125">
        <f>IF($D936=0,0,$D936*$E936)</f>
        <v/>
      </c>
      <c r="H936" s="125">
        <f>IF($B936="","",CONCATENATE("Örnek kayıt: ",$B936))</f>
        <v/>
      </c>
    </row>
    <row r="937" ht="15" customHeight="1" s="80">
      <c r="G937" s="125">
        <f>IF($D937=0,0,$D937*$E937)</f>
        <v/>
      </c>
      <c r="H937" s="125">
        <f>IF($B937="","",CONCATENATE("Örnek kayıt: ",$B937))</f>
        <v/>
      </c>
    </row>
    <row r="938" ht="15" customHeight="1" s="80">
      <c r="G938" s="125">
        <f>IF($D938=0,0,$D938*$E938)</f>
        <v/>
      </c>
      <c r="H938" s="125">
        <f>IF($B938="","",CONCATENATE("Örnek kayıt: ",$B938))</f>
        <v/>
      </c>
    </row>
    <row r="939" ht="15" customHeight="1" s="80">
      <c r="G939" s="125">
        <f>IF($D939=0,0,$D939*$E939)</f>
        <v/>
      </c>
      <c r="H939" s="125">
        <f>IF($B939="","",CONCATENATE("Örnek kayıt: ",$B939))</f>
        <v/>
      </c>
    </row>
    <row r="940" ht="15" customHeight="1" s="80">
      <c r="G940" s="125">
        <f>IF($D940=0,0,$D940*$E940)</f>
        <v/>
      </c>
      <c r="H940" s="125">
        <f>IF($B940="","",CONCATENATE("Örnek kayıt: ",$B940))</f>
        <v/>
      </c>
    </row>
    <row r="941" ht="15" customHeight="1" s="80">
      <c r="G941" s="125">
        <f>IF($D941=0,0,$D941*$E941)</f>
        <v/>
      </c>
      <c r="H941" s="125">
        <f>IF($B941="","",CONCATENATE("Örnek kayıt: ",$B941))</f>
        <v/>
      </c>
    </row>
    <row r="942" ht="15" customHeight="1" s="80">
      <c r="G942" s="125">
        <f>IF($D942=0,0,$D942*$E942)</f>
        <v/>
      </c>
      <c r="H942" s="125">
        <f>IF($B942="","",CONCATENATE("Örnek kayıt: ",$B942))</f>
        <v/>
      </c>
    </row>
    <row r="943" ht="15" customHeight="1" s="80">
      <c r="G943" s="125">
        <f>IF($D943=0,0,$D943*$E943)</f>
        <v/>
      </c>
      <c r="H943" s="125">
        <f>IF($B943="","",CONCATENATE("Örnek kayıt: ",$B943))</f>
        <v/>
      </c>
    </row>
    <row r="944" ht="15" customHeight="1" s="80">
      <c r="G944" s="125">
        <f>IF($D944=0,0,$D944*$E944)</f>
        <v/>
      </c>
      <c r="H944" s="125">
        <f>IF($B944="","",CONCATENATE("Örnek kayıt: ",$B944))</f>
        <v/>
      </c>
    </row>
    <row r="945" ht="15" customHeight="1" s="80">
      <c r="G945" s="125">
        <f>IF($D945=0,0,$D945*$E945)</f>
        <v/>
      </c>
      <c r="H945" s="125">
        <f>IF($B945="","",CONCATENATE("Örnek kayıt: ",$B945))</f>
        <v/>
      </c>
    </row>
    <row r="946" ht="15" customHeight="1" s="80">
      <c r="G946" s="125">
        <f>IF($D946=0,0,$D946*$E946)</f>
        <v/>
      </c>
      <c r="H946" s="125">
        <f>IF($B946="","",CONCATENATE("Örnek kayıt: ",$B946))</f>
        <v/>
      </c>
    </row>
    <row r="947" ht="15" customHeight="1" s="80">
      <c r="G947" s="125">
        <f>IF($D947=0,0,$D947*$E947)</f>
        <v/>
      </c>
      <c r="H947" s="125">
        <f>IF($B947="","",CONCATENATE("Örnek kayıt: ",$B947))</f>
        <v/>
      </c>
    </row>
    <row r="948" ht="15" customHeight="1" s="80">
      <c r="G948" s="125">
        <f>IF($D948=0,0,$D948*$E948)</f>
        <v/>
      </c>
      <c r="H948" s="125">
        <f>IF($B948="","",CONCATENATE("Örnek kayıt: ",$B948))</f>
        <v/>
      </c>
    </row>
    <row r="949" ht="15" customHeight="1" s="80">
      <c r="G949" s="125">
        <f>IF($D949=0,0,$D949*$E949)</f>
        <v/>
      </c>
      <c r="H949" s="125">
        <f>IF($B949="","",CONCATENATE("Örnek kayıt: ",$B949))</f>
        <v/>
      </c>
    </row>
    <row r="950" ht="15" customHeight="1" s="80">
      <c r="G950" s="125">
        <f>IF($D950=0,0,$D950*$E950)</f>
        <v/>
      </c>
      <c r="H950" s="125">
        <f>IF($B950="","",CONCATENATE("Örnek kayıt: ",$B950))</f>
        <v/>
      </c>
    </row>
    <row r="951" ht="15" customHeight="1" s="80">
      <c r="G951" s="125">
        <f>IF($D951=0,0,$D951*$E951)</f>
        <v/>
      </c>
      <c r="H951" s="125">
        <f>IF($B951="","",CONCATENATE("Örnek kayıt: ",$B951))</f>
        <v/>
      </c>
    </row>
    <row r="952" ht="15" customHeight="1" s="80">
      <c r="G952" s="125">
        <f>IF($D952=0,0,$D952*$E952)</f>
        <v/>
      </c>
      <c r="H952" s="125">
        <f>IF($B952="","",CONCATENATE("Örnek kayıt: ",$B952))</f>
        <v/>
      </c>
    </row>
    <row r="953" ht="15" customHeight="1" s="80">
      <c r="G953" s="125">
        <f>IF($D953=0,0,$D953*$E953)</f>
        <v/>
      </c>
      <c r="H953" s="125">
        <f>IF($B953="","",CONCATENATE("Örnek kayıt: ",$B953))</f>
        <v/>
      </c>
    </row>
    <row r="954" ht="15" customHeight="1" s="80">
      <c r="G954" s="125">
        <f>IF($D954=0,0,$D954*$E954)</f>
        <v/>
      </c>
      <c r="H954" s="125">
        <f>IF($B954="","",CONCATENATE("Örnek kayıt: ",$B954))</f>
        <v/>
      </c>
    </row>
    <row r="955" ht="15" customHeight="1" s="80">
      <c r="G955" s="125">
        <f>IF($D955=0,0,$D955*$E955)</f>
        <v/>
      </c>
      <c r="H955" s="125">
        <f>IF($B955="","",CONCATENATE("Örnek kayıt: ",$B955))</f>
        <v/>
      </c>
    </row>
    <row r="956" ht="15" customHeight="1" s="80">
      <c r="G956" s="125">
        <f>IF($D956=0,0,$D956*$E956)</f>
        <v/>
      </c>
      <c r="H956" s="125">
        <f>IF($B956="","",CONCATENATE("Örnek kayıt: ",$B956))</f>
        <v/>
      </c>
    </row>
    <row r="957" ht="15" customHeight="1" s="80">
      <c r="G957" s="125">
        <f>IF($D957=0,0,$D957*$E957)</f>
        <v/>
      </c>
      <c r="H957" s="125">
        <f>IF($B957="","",CONCATENATE("Örnek kayıt: ",$B957))</f>
        <v/>
      </c>
    </row>
    <row r="958" ht="15" customHeight="1" s="80">
      <c r="G958" s="125">
        <f>IF($D958=0,0,$D958*$E958)</f>
        <v/>
      </c>
      <c r="H958" s="125">
        <f>IF($B958="","",CONCATENATE("Örnek kayıt: ",$B958))</f>
        <v/>
      </c>
    </row>
    <row r="959" ht="15" customHeight="1" s="80">
      <c r="G959" s="125">
        <f>IF($D959=0,0,$D959*$E959)</f>
        <v/>
      </c>
      <c r="H959" s="125">
        <f>IF($B959="","",CONCATENATE("Örnek kayıt: ",$B959))</f>
        <v/>
      </c>
    </row>
    <row r="960" ht="15" customHeight="1" s="80">
      <c r="G960" s="125">
        <f>IF($D960=0,0,$D960*$E960)</f>
        <v/>
      </c>
      <c r="H960" s="125">
        <f>IF($B960="","",CONCATENATE("Örnek kayıt: ",$B960))</f>
        <v/>
      </c>
    </row>
    <row r="961" ht="15" customHeight="1" s="80">
      <c r="G961" s="125">
        <f>IF($D961=0,0,$D961*$E961)</f>
        <v/>
      </c>
      <c r="H961" s="125">
        <f>IF($B961="","",CONCATENATE("Örnek kayıt: ",$B961))</f>
        <v/>
      </c>
    </row>
    <row r="962" ht="15" customHeight="1" s="80">
      <c r="G962" s="125">
        <f>IF($D962=0,0,$D962*$E962)</f>
        <v/>
      </c>
      <c r="H962" s="125">
        <f>IF($B962="","",CONCATENATE("Örnek kayıt: ",$B962))</f>
        <v/>
      </c>
    </row>
    <row r="963" ht="15" customHeight="1" s="80">
      <c r="G963" s="125">
        <f>IF($D963=0,0,$D963*$E963)</f>
        <v/>
      </c>
      <c r="H963" s="125">
        <f>IF($B963="","",CONCATENATE("Örnek kayıt: ",$B963))</f>
        <v/>
      </c>
    </row>
    <row r="964" ht="15" customHeight="1" s="80">
      <c r="G964" s="125">
        <f>IF($D964=0,0,$D964*$E964)</f>
        <v/>
      </c>
      <c r="H964" s="125">
        <f>IF($B964="","",CONCATENATE("Örnek kayıt: ",$B964))</f>
        <v/>
      </c>
    </row>
    <row r="965" ht="15" customHeight="1" s="80">
      <c r="G965" s="125">
        <f>IF($D965=0,0,$D965*$E965)</f>
        <v/>
      </c>
      <c r="H965" s="125">
        <f>IF($B965="","",CONCATENATE("Örnek kayıt: ",$B965))</f>
        <v/>
      </c>
    </row>
    <row r="966" ht="15" customHeight="1" s="80">
      <c r="G966" s="125">
        <f>IF($D966=0,0,$D966*$E966)</f>
        <v/>
      </c>
      <c r="H966" s="125">
        <f>IF($B966="","",CONCATENATE("Örnek kayıt: ",$B966))</f>
        <v/>
      </c>
    </row>
    <row r="967" ht="15" customHeight="1" s="80">
      <c r="G967" s="125">
        <f>IF($D967=0,0,$D967*$E967)</f>
        <v/>
      </c>
      <c r="H967" s="125">
        <f>IF($B967="","",CONCATENATE("Örnek kayıt: ",$B967))</f>
        <v/>
      </c>
    </row>
    <row r="968" ht="15" customHeight="1" s="80">
      <c r="G968" s="125">
        <f>IF($D968=0,0,$D968*$E968)</f>
        <v/>
      </c>
      <c r="H968" s="125">
        <f>IF($B968="","",CONCATENATE("Örnek kayıt: ",$B968))</f>
        <v/>
      </c>
    </row>
    <row r="969" ht="15" customHeight="1" s="80">
      <c r="G969" s="125">
        <f>IF($D969=0,0,$D969*$E969)</f>
        <v/>
      </c>
      <c r="H969" s="125">
        <f>IF($B969="","",CONCATENATE("Örnek kayıt: ",$B969))</f>
        <v/>
      </c>
    </row>
    <row r="970" ht="15" customHeight="1" s="80">
      <c r="G970" s="125">
        <f>IF($D970=0,0,$D970*$E970)</f>
        <v/>
      </c>
      <c r="H970" s="125">
        <f>IF($B970="","",CONCATENATE("Örnek kayıt: ",$B970))</f>
        <v/>
      </c>
    </row>
    <row r="971" ht="15" customHeight="1" s="80">
      <c r="G971" s="125">
        <f>IF($D971=0,0,$D971*$E971)</f>
        <v/>
      </c>
      <c r="H971" s="125">
        <f>IF($B971="","",CONCATENATE("Örnek kayıt: ",$B971))</f>
        <v/>
      </c>
    </row>
    <row r="972" ht="15" customHeight="1" s="80">
      <c r="G972" s="125">
        <f>IF($D972=0,0,$D972*$E972)</f>
        <v/>
      </c>
      <c r="H972" s="125">
        <f>IF($B972="","",CONCATENATE("Örnek kayıt: ",$B972))</f>
        <v/>
      </c>
    </row>
    <row r="973" ht="15" customHeight="1" s="80">
      <c r="G973" s="125">
        <f>IF($D973=0,0,$D973*$E973)</f>
        <v/>
      </c>
      <c r="H973" s="125">
        <f>IF($B973="","",CONCATENATE("Örnek kayıt: ",$B973))</f>
        <v/>
      </c>
    </row>
    <row r="974" ht="15" customHeight="1" s="80">
      <c r="G974" s="125">
        <f>IF($D974=0,0,$D974*$E974)</f>
        <v/>
      </c>
      <c r="H974" s="125">
        <f>IF($B974="","",CONCATENATE("Örnek kayıt: ",$B974))</f>
        <v/>
      </c>
    </row>
    <row r="975" ht="15" customHeight="1" s="80">
      <c r="G975" s="125">
        <f>IF($D975=0,0,$D975*$E975)</f>
        <v/>
      </c>
      <c r="H975" s="125">
        <f>IF($B975="","",CONCATENATE("Örnek kayıt: ",$B975))</f>
        <v/>
      </c>
    </row>
    <row r="976" ht="15" customHeight="1" s="80">
      <c r="G976" s="125">
        <f>IF($D976=0,0,$D976*$E976)</f>
        <v/>
      </c>
      <c r="H976" s="125">
        <f>IF($B976="","",CONCATENATE("Örnek kayıt: ",$B976))</f>
        <v/>
      </c>
    </row>
    <row r="977" ht="15" customHeight="1" s="80">
      <c r="G977" s="125">
        <f>IF($D977=0,0,$D977*$E977)</f>
        <v/>
      </c>
      <c r="H977" s="125">
        <f>IF($B977="","",CONCATENATE("Örnek kayıt: ",$B977))</f>
        <v/>
      </c>
    </row>
    <row r="978" ht="15" customHeight="1" s="80">
      <c r="G978" s="125">
        <f>IF($D978=0,0,$D978*$E978)</f>
        <v/>
      </c>
      <c r="H978" s="125">
        <f>IF($B978="","",CONCATENATE("Örnek kayıt: ",$B978))</f>
        <v/>
      </c>
    </row>
    <row r="979" ht="15" customHeight="1" s="80">
      <c r="G979" s="125">
        <f>IF($D979=0,0,$D979*$E979)</f>
        <v/>
      </c>
      <c r="H979" s="125">
        <f>IF($B979="","",CONCATENATE("Örnek kayıt: ",$B979))</f>
        <v/>
      </c>
    </row>
    <row r="980" ht="15" customHeight="1" s="80">
      <c r="G980" s="125">
        <f>IF($D980=0,0,$D980*$E980)</f>
        <v/>
      </c>
      <c r="H980" s="125">
        <f>IF($B980="","",CONCATENATE("Örnek kayıt: ",$B980))</f>
        <v/>
      </c>
    </row>
    <row r="981" ht="15" customHeight="1" s="80">
      <c r="G981" s="125">
        <f>IF($D981=0,0,$D981*$E981)</f>
        <v/>
      </c>
      <c r="H981" s="125">
        <f>IF($B981="","",CONCATENATE("Örnek kayıt: ",$B981))</f>
        <v/>
      </c>
    </row>
    <row r="982" ht="15" customHeight="1" s="80">
      <c r="G982" s="125">
        <f>IF($D982=0,0,$D982*$E982)</f>
        <v/>
      </c>
      <c r="H982" s="125">
        <f>IF($B982="","",CONCATENATE("Örnek kayıt: ",$B982))</f>
        <v/>
      </c>
    </row>
    <row r="983" ht="15" customHeight="1" s="80">
      <c r="G983" s="125">
        <f>IF($D983=0,0,$D983*$E983)</f>
        <v/>
      </c>
      <c r="H983" s="125">
        <f>IF($B983="","",CONCATENATE("Örnek kayıt: ",$B983))</f>
        <v/>
      </c>
    </row>
    <row r="984" ht="15" customHeight="1" s="80">
      <c r="G984" s="125">
        <f>IF($D984=0,0,$D984*$E984)</f>
        <v/>
      </c>
      <c r="H984" s="125">
        <f>IF($B984="","",CONCATENATE("Örnek kayıt: ",$B984))</f>
        <v/>
      </c>
    </row>
    <row r="985" ht="15" customHeight="1" s="80">
      <c r="G985" s="125">
        <f>IF($D985=0,0,$D985*$E985)</f>
        <v/>
      </c>
      <c r="H985" s="125">
        <f>IF($B985="","",CONCATENATE("Örnek kayıt: ",$B985))</f>
        <v/>
      </c>
    </row>
    <row r="986" ht="15" customHeight="1" s="80">
      <c r="G986" s="125">
        <f>IF($D986=0,0,$D986*$E986)</f>
        <v/>
      </c>
      <c r="H986" s="125">
        <f>IF($B986="","",CONCATENATE("Örnek kayıt: ",$B986))</f>
        <v/>
      </c>
    </row>
    <row r="987" ht="15" customHeight="1" s="80">
      <c r="G987" s="125">
        <f>IF($D987=0,0,$D987*$E987)</f>
        <v/>
      </c>
      <c r="H987" s="125">
        <f>IF($B987="","",CONCATENATE("Örnek kayıt: ",$B987))</f>
        <v/>
      </c>
    </row>
    <row r="988" ht="15" customHeight="1" s="80">
      <c r="G988" s="125">
        <f>IF($D988=0,0,$D988*$E988)</f>
        <v/>
      </c>
      <c r="H988" s="125">
        <f>IF($B988="","",CONCATENATE("Örnek kayıt: ",$B988))</f>
        <v/>
      </c>
    </row>
    <row r="989" ht="15" customHeight="1" s="80">
      <c r="G989" s="125">
        <f>IF($D989=0,0,$D989*$E989)</f>
        <v/>
      </c>
      <c r="H989" s="125">
        <f>IF($B989="","",CONCATENATE("Örnek kayıt: ",$B989))</f>
        <v/>
      </c>
    </row>
    <row r="990" ht="15" customHeight="1" s="80">
      <c r="G990" s="125">
        <f>IF($D990=0,0,$D990*$E990)</f>
        <v/>
      </c>
      <c r="H990" s="125">
        <f>IF($B990="","",CONCATENATE("Örnek kayıt: ",$B990))</f>
        <v/>
      </c>
    </row>
    <row r="991" ht="15" customHeight="1" s="80">
      <c r="G991" s="125">
        <f>IF($D991=0,0,$D991*$E991)</f>
        <v/>
      </c>
      <c r="H991" s="125">
        <f>IF($B991="","",CONCATENATE("Örnek kayıt: ",$B991))</f>
        <v/>
      </c>
    </row>
    <row r="992" ht="15" customHeight="1" s="80">
      <c r="G992" s="125">
        <f>IF($D992=0,0,$D992*$E992)</f>
        <v/>
      </c>
      <c r="H992" s="125">
        <f>IF($B992="","",CONCATENATE("Örnek kayıt: ",$B992))</f>
        <v/>
      </c>
    </row>
    <row r="993" ht="15" customHeight="1" s="80">
      <c r="G993" s="125">
        <f>IF($D993=0,0,$D993*$E993)</f>
        <v/>
      </c>
      <c r="H993" s="125">
        <f>IF($B993="","",CONCATENATE("Örnek kayıt: ",$B993))</f>
        <v/>
      </c>
    </row>
    <row r="994" ht="15" customHeight="1" s="80">
      <c r="G994" s="125">
        <f>IF($D994=0,0,$D994*$E994)</f>
        <v/>
      </c>
      <c r="H994" s="125">
        <f>IF($B994="","",CONCATENATE("Örnek kayıt: ",$B994))</f>
        <v/>
      </c>
    </row>
    <row r="995" ht="15" customHeight="1" s="80">
      <c r="G995" s="125">
        <f>IF($D995=0,0,$D995*$E995)</f>
        <v/>
      </c>
      <c r="H995" s="125">
        <f>IF($B995="","",CONCATENATE("Örnek kayıt: ",$B995))</f>
        <v/>
      </c>
    </row>
    <row r="996" ht="15" customHeight="1" s="80">
      <c r="G996" s="125">
        <f>IF($D996=0,0,$D996*$E996)</f>
        <v/>
      </c>
      <c r="H996" s="125">
        <f>IF($B996="","",CONCATENATE("Örnek kayıt: ",$B996))</f>
        <v/>
      </c>
    </row>
    <row r="997" ht="15" customHeight="1" s="80">
      <c r="G997" s="125">
        <f>IF($D997=0,0,$D997*$E997)</f>
        <v/>
      </c>
      <c r="H997" s="125">
        <f>IF($B997="","",CONCATENATE("Örnek kayıt: ",$B997))</f>
        <v/>
      </c>
    </row>
    <row r="998" ht="15" customHeight="1" s="80">
      <c r="G998" s="125">
        <f>IF($D998=0,0,$D998*$E998)</f>
        <v/>
      </c>
      <c r="H998" s="125">
        <f>IF($B998="","",CONCATENATE("Örnek kayıt: ",$B998))</f>
        <v/>
      </c>
    </row>
    <row r="999" ht="15" customHeight="1" s="80">
      <c r="G999" s="125">
        <f>IF($D999=0,0,$D999*$E999)</f>
        <v/>
      </c>
      <c r="H999" s="125">
        <f>IF($B999="","",CONCATENATE("Örnek kayıt: ",$B999))</f>
        <v/>
      </c>
    </row>
    <row r="1000" ht="15" customHeight="1" s="80">
      <c r="G1000" s="125">
        <f>IF($D1000=0,0,$D1000*$E1000)</f>
        <v/>
      </c>
      <c r="H1000" s="125">
        <f>IF($B1000="","",CONCATENATE("Örnek kayıt: ",$B1000))</f>
        <v/>
      </c>
    </row>
    <row r="1001" ht="15" customHeight="1" s="80">
      <c r="G1001" s="125">
        <f>IF($D1001=0,0,$D1001*$E1001)</f>
        <v/>
      </c>
      <c r="H1001" s="125">
        <f>IF($B1001="","",CONCATENATE("Örnek kayıt: ",$B1001))</f>
        <v/>
      </c>
    </row>
    <row r="1002" ht="15" customHeight="1" s="80">
      <c r="G1002" s="125">
        <f>IF($D1002=0,0,$D1002*$E1002)</f>
        <v/>
      </c>
      <c r="H1002" s="125">
        <f>IF($B1002="","",CONCATENATE("Örnek kayıt: ",$B1002))</f>
        <v/>
      </c>
    </row>
    <row r="1003" ht="15" customHeight="1" s="80">
      <c r="G1003" s="125">
        <f>IF($D1003=0,0,$D1003*$E1003)</f>
        <v/>
      </c>
      <c r="H1003" s="125">
        <f>IF($B1003="","",CONCATENATE("Örnek kayıt: ",$B1003))</f>
        <v/>
      </c>
    </row>
    <row r="1004" ht="15" customHeight="1" s="80">
      <c r="G1004" s="125">
        <f>IF($D1004=0,0,$D1004*$E1004)</f>
        <v/>
      </c>
      <c r="H1004" s="125">
        <f>IF($B1004="","",CONCATENATE("Örnek kayıt: ",$B1004))</f>
        <v/>
      </c>
    </row>
    <row r="1005"/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KURALLAR — doviz-acik-pozisyonu-ve-kur-riski-stres-testi_form</t>
        </is>
      </c>
    </row>
    <row r="2"/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5" t="n">
        <v>0.25</v>
      </c>
      <c r="D4" s="165" t="n">
        <v>0.25</v>
      </c>
      <c r="E4" s="165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5" t="n">
        <v>0.2</v>
      </c>
      <c r="D5" s="165" t="n">
        <v>0.2</v>
      </c>
      <c r="E5" s="165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6.5" customWidth="1" style="80" min="2" max="2"/>
    <col width="15.5" customWidth="1" style="80" min="3" max="3"/>
    <col width="18.5" customWidth="1" style="80" min="4" max="4"/>
    <col width="14.5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</cols>
  <sheetData>
    <row r="1" ht="32" customHeight="1" s="80">
      <c r="A1" s="290" t="inlineStr">
        <is>
          <t>VAKALAR — doviz-acik-pozisyonu-ve-kur-riski-stres-testi_form</t>
        </is>
      </c>
    </row>
    <row r="2"/>
    <row r="3" ht="22" customHeight="1" s="80">
      <c r="A3" s="310" t="inlineStr">
        <is>
          <t>Tebliğ tarzı altın vakalar</t>
        </is>
      </c>
    </row>
    <row r="4"/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5" t="n">
        <v>0</v>
      </c>
      <c r="E6" s="165" t="n">
        <v>0</v>
      </c>
      <c r="F6" s="165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10" customWidth="1" style="106" min="2" max="2"/>
    <col width="40" customWidth="1" style="106" min="3" max="3"/>
    <col width="30.5" customWidth="1" style="106" min="4" max="4"/>
    <col width="14.5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DEGISIKLIK KAYDI — Döviz Açık Pozisyonu ve Kur Riski Stres Testi</t>
        </is>
      </c>
    </row>
    <row r="2"/>
    <row r="3" ht="22" customHeight="1" s="80">
      <c r="A3" s="3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1" t="inlineStr">
        <is>
          <t>01.08.2026</t>
        </is>
      </c>
      <c r="B5" s="161" t="inlineStr">
        <is>
          <t>1.0.0</t>
        </is>
      </c>
      <c r="C5" s="161" t="inlineStr">
        <is>
          <t>İlk üretim</t>
        </is>
      </c>
      <c r="D5" s="161" t="inlineStr">
        <is>
          <t>Ürünün yayına hazırlanması</t>
        </is>
      </c>
      <c r="E5" s="161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3" customWidth="1" style="80" min="2" max="2"/>
    <col width="14" customWidth="1" style="106" min="3" max="3"/>
    <col width="13" customWidth="1" style="80" min="4" max="4"/>
    <col width="16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LISTELER — Döviz Açık Pozisyonu ve Kur Riski Stres Testi</t>
        </is>
      </c>
    </row>
    <row r="2"/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5"/>
    <row r="6" ht="15" customHeight="1" s="80">
      <c r="A6" s="154" t="inlineStr">
        <is>
          <t>Döviz Cinsi</t>
        </is>
      </c>
      <c r="C6" s="154" t="inlineStr">
        <is>
          <t>İşlem Türü</t>
        </is>
      </c>
      <c r="E6" s="154" t="inlineStr">
        <is>
          <t>Vade Dilimi</t>
        </is>
      </c>
    </row>
    <row r="7" ht="15" customHeight="1" s="80">
      <c r="A7" s="166" t="inlineStr">
        <is>
          <t>USD</t>
        </is>
      </c>
      <c r="C7" s="166" t="inlineStr">
        <is>
          <t>Varlık</t>
        </is>
      </c>
      <c r="E7" s="166" t="inlineStr">
        <is>
          <t>0-30 Gün</t>
        </is>
      </c>
    </row>
    <row r="8" ht="15" customHeight="1" s="80">
      <c r="A8" s="166" t="inlineStr">
        <is>
          <t>EUR</t>
        </is>
      </c>
      <c r="C8" s="166" t="inlineStr">
        <is>
          <t>Borç</t>
        </is>
      </c>
      <c r="E8" s="166" t="inlineStr">
        <is>
          <t>31-90 Gün</t>
        </is>
      </c>
    </row>
    <row r="9" ht="15" customHeight="1" s="80">
      <c r="A9" s="166" t="inlineStr">
        <is>
          <t>GBP</t>
        </is>
      </c>
      <c r="E9" s="166" t="inlineStr">
        <is>
          <t>91-180 Gün</t>
        </is>
      </c>
    </row>
    <row r="10" ht="15" customHeight="1" s="80">
      <c r="A10" s="166" t="inlineStr">
        <is>
          <t>CHF</t>
        </is>
      </c>
      <c r="E10" s="166" t="inlineStr">
        <is>
          <t>181+ Gün</t>
        </is>
      </c>
    </row>
    <row r="11" ht="15" customHeight="1" s="80">
      <c r="A11" s="16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13" customWidth="1" style="80" min="5" max="5"/>
    <col width="60" customWidth="1" style="106" min="6" max="6"/>
    <col width="14" customWidth="1" style="106" min="7" max="7"/>
    <col width="16" customWidth="1" style="106" min="8" max="8"/>
    <col width="18" customWidth="1" style="106" min="9" max="9"/>
    <col width="13" customWidth="1" style="80" min="10" max="10"/>
  </cols>
  <sheetData>
    <row r="1" ht="32" customHeight="1" s="80">
      <c r="A1" s="290" t="inlineStr">
        <is>
          <t>AYARLAR — Döviz Açık Pozisyonu ve Kur Riski Stres Testi</t>
        </is>
      </c>
    </row>
    <row r="2"/>
    <row r="3" ht="22" customHeight="1" s="80">
      <c r="A3" s="3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DovizAcikEsik</t>
        </is>
      </c>
      <c r="B11" s="172" t="n">
        <v>2000000</v>
      </c>
      <c r="C11" s="113" t="inlineStr">
        <is>
          <t>TL</t>
        </is>
      </c>
      <c r="D11" s="169" t="n">
        <v>0</v>
      </c>
      <c r="E11" s="169" t="n">
        <v>1000000000</v>
      </c>
      <c r="F11" s="118" t="inlineStr">
        <is>
          <t>Açık pozisyon TL eşiği; üzerinde karar DURDUR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DovizStresEsik</t>
        </is>
      </c>
      <c r="B12" s="173" t="n">
        <v>0.2</v>
      </c>
      <c r="C12" s="113" t="inlineStr">
        <is>
          <t>Oran</t>
        </is>
      </c>
      <c r="D12" s="169" t="n">
        <v>0.01</v>
      </c>
      <c r="E12" s="169" t="n">
        <v>1</v>
      </c>
      <c r="F12" s="118" t="inlineStr">
        <is>
          <t>Kötümser senaryo kur şoku oranı (%20).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DovizStresEtkiEsik</t>
        </is>
      </c>
      <c r="B13" s="172" t="n">
        <v>400000</v>
      </c>
      <c r="C13" s="113" t="inlineStr">
        <is>
          <t>TL</t>
        </is>
      </c>
      <c r="D13" s="169" t="n">
        <v>0</v>
      </c>
      <c r="E13" s="169" t="n">
        <v>1000000000</v>
      </c>
      <c r="F13" s="118" t="inlineStr">
        <is>
          <t>Stres etkisi bu eşiği aşarsa karar İNCELE olur.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DovizKurSapmaEsik</t>
        </is>
      </c>
      <c r="B14" s="173" t="n">
        <v>0.05</v>
      </c>
      <c r="C14" s="113" t="inlineStr">
        <is>
          <t>Oran</t>
        </is>
      </c>
      <c r="D14" s="169" t="n">
        <v>0</v>
      </c>
      <c r="E14" s="169" t="n">
        <v>1</v>
      </c>
      <c r="F14" s="118" t="inlineStr">
        <is>
          <t>İşlem kuru standart sapması risk eşiği.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DovizIyiSenaryo</t>
        </is>
      </c>
      <c r="B15" s="173" t="n">
        <v>0.05</v>
      </c>
      <c r="C15" s="113" t="inlineStr">
        <is>
          <t>Oran</t>
        </is>
      </c>
      <c r="D15" s="169" t="n">
        <v>0</v>
      </c>
      <c r="E15" s="169" t="n">
        <v>1</v>
      </c>
      <c r="F15" s="118" t="inlineStr">
        <is>
          <t>İyimser senaryo kur şoku (%5 lehine).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DovizBazSenaryo</t>
        </is>
      </c>
      <c r="B16" s="173" t="n">
        <v>0</v>
      </c>
      <c r="C16" s="113" t="inlineStr">
        <is>
          <t>Oran</t>
        </is>
      </c>
      <c r="D16" s="169" t="n">
        <v>-0.5</v>
      </c>
      <c r="E16" s="169" t="n">
        <v>0.5</v>
      </c>
      <c r="F16" s="118" t="inlineStr">
        <is>
          <t>Baz senaryo kur şoku (değişim yok).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DovizKotuSenaryo</t>
        </is>
      </c>
      <c r="B17" s="173" t="n">
        <v>0.1</v>
      </c>
      <c r="C17" s="113" t="inlineStr">
        <is>
          <t>Oran</t>
        </is>
      </c>
      <c r="D17" s="169" t="n">
        <v>0</v>
      </c>
      <c r="E17" s="169" t="n">
        <v>1</v>
      </c>
      <c r="F17" s="118" t="inlineStr">
        <is>
          <t>Kötümser senaryo kur şoku (%10 aleyhine).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DovizKritikSenaryo</t>
        </is>
      </c>
      <c r="B18" s="173" t="n">
        <v>0.3</v>
      </c>
      <c r="C18" s="113" t="inlineStr">
        <is>
          <t>Oran</t>
        </is>
      </c>
      <c r="D18" s="169" t="n">
        <v>0</v>
      </c>
      <c r="E18" s="169" t="n">
        <v>1</v>
      </c>
      <c r="F18" s="118" t="inlineStr">
        <is>
          <t>Kritik senaryo kur şoku (%30 aleyhine).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DovizTornadoKur</t>
        </is>
      </c>
      <c r="B19" s="173" t="n">
        <v>0.01</v>
      </c>
      <c r="C19" s="113" t="inlineStr">
        <is>
          <t>Oran</t>
        </is>
      </c>
      <c r="D19" s="169" t="n">
        <v>0</v>
      </c>
      <c r="E19" s="169" t="n">
        <v>0.2</v>
      </c>
      <c r="F19" s="118" t="inlineStr">
        <is>
          <t>Kur şokunun %1 artışının TL etkisine katkısı.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DovizTornadoPozisyon</t>
        </is>
      </c>
      <c r="B20" s="173" t="n">
        <v>0.01</v>
      </c>
      <c r="C20" s="113" t="inlineStr">
        <is>
          <t>Oran</t>
        </is>
      </c>
      <c r="D20" s="169" t="n">
        <v>0</v>
      </c>
      <c r="E20" s="169" t="n">
        <v>0.2</v>
      </c>
      <c r="F20" s="118" t="inlineStr">
        <is>
          <t>Pozisyonun %1 artışının TL etkisine katkısı.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DovizTahminCarpan</t>
        </is>
      </c>
      <c r="B21" s="173" t="n">
        <v>1.645</v>
      </c>
      <c r="C21" s="113" t="inlineStr">
        <is>
          <t>Oran</t>
        </is>
      </c>
      <c r="D21" s="169" t="n">
        <v>0</v>
      </c>
      <c r="E21" s="169" t="n">
        <v>3</v>
      </c>
      <c r="F21" s="118" t="inlineStr">
        <is>
          <t>Tahmin bandı genişliği (standart sapma katı).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DovizKaliteIyi</t>
        </is>
      </c>
      <c r="B22" s="174" t="n">
        <v>90</v>
      </c>
      <c r="C22" s="113" t="inlineStr">
        <is>
          <t>Skor</t>
        </is>
      </c>
      <c r="D22" s="169" t="n">
        <v>0</v>
      </c>
      <c r="E22" s="169" t="n">
        <v>100</v>
      </c>
      <c r="F22" s="118" t="inlineStr">
        <is>
          <t>Kalite skoru bu eşiğin üzerindeyse YÜKSEK kalite.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DovizKaliteOrta</t>
        </is>
      </c>
      <c r="B23" s="174" t="n">
        <v>70</v>
      </c>
      <c r="C23" s="113" t="inlineStr">
        <is>
          <t>Skor</t>
        </is>
      </c>
      <c r="D23" s="169" t="n">
        <v>0</v>
      </c>
      <c r="E23" s="169" t="n">
        <v>100</v>
      </c>
      <c r="F23" s="118" t="inlineStr">
        <is>
          <t>Kalite skoru bu eşiğin üzerindeyse ORTA kalite.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DovizAksiyon1_ACIKLAMA</t>
        </is>
      </c>
      <c r="B24" s="175" t="inlineStr">
        <is>
          <t>Açık pozisyon eşiği aşılıyorsa pozisyonu küçültün; döviz borcunu TL gelirle dengeleyin.</t>
        </is>
      </c>
      <c r="C24" s="113" t="inlineStr">
        <is>
          <t>Metin</t>
        </is>
      </c>
      <c r="D24" s="169" t="n"/>
      <c r="E24" s="169" t="n"/>
      <c r="F24" s="118" t="inlineStr">
        <is>
          <t>DURDUR kararında gösterilen ilk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DovizAksiyon2_ACIKLAMA</t>
        </is>
      </c>
      <c r="B25" s="175" t="inlineStr">
        <is>
          <t>Stres etkisi yüksekse kur korumalı mevduat veya forward sözleşmesi değerlendirin.</t>
        </is>
      </c>
      <c r="C25" s="113" t="inlineStr">
        <is>
          <t>Metin</t>
        </is>
      </c>
      <c r="D25" s="169" t="n"/>
      <c r="E25" s="169" t="n"/>
      <c r="F25" s="118" t="inlineStr">
        <is>
          <t>İNCELE kararında gösterilen ikinci öneri.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67" t="inlineStr">
        <is>
          <t>DovizAksiyon3_ACIKLAMA</t>
        </is>
      </c>
      <c r="B26" s="175" t="inlineStr">
        <is>
          <t>Kur sapması yüksekse döviz alacaklarınızı hızlandırın ve ithalat planınızı gözden geçirin.</t>
        </is>
      </c>
      <c r="C26" s="113" t="inlineStr">
        <is>
          <t>Metin</t>
        </is>
      </c>
      <c r="D26" s="169" t="n"/>
      <c r="E26" s="169" t="n"/>
      <c r="F26" s="118" t="inlineStr">
        <is>
          <t>İNCELE kararında gösterilen üçüncü öneri.</t>
        </is>
      </c>
      <c r="G26" s="113" t="inlineStr">
        <is>
          <t>Varsayım</t>
        </is>
      </c>
      <c r="H26" s="170" t="n">
        <v>46023</v>
      </c>
      <c r="I26" s="170" t="n">
        <v>46244</v>
      </c>
    </row>
    <row r="27" ht="25.5" customHeight="1" s="80">
      <c r="A27" s="167" t="inlineStr">
        <is>
          <t>DovizP90Oran</t>
        </is>
      </c>
      <c r="B27" s="173" t="n">
        <v>0.9</v>
      </c>
      <c r="C27" s="113" t="inlineStr">
        <is>
          <t>Oran</t>
        </is>
      </c>
      <c r="D27" s="169" t="n">
        <v>0.5</v>
      </c>
      <c r="E27" s="169" t="n">
        <v>1</v>
      </c>
      <c r="F27" s="118" t="inlineStr">
        <is>
          <t>Pozisyon tutarı dağılımında üst yüzdelik dilimin oranı.</t>
        </is>
      </c>
      <c r="G27" s="113" t="inlineStr">
        <is>
          <t>Varsayım</t>
        </is>
      </c>
      <c r="H27" s="170" t="n">
        <v>46023</v>
      </c>
      <c r="I27" s="170" t="n">
        <v>46244</v>
      </c>
    </row>
    <row r="28" ht="25.5" customHeight="1" s="80">
      <c r="A28" s="167" t="inlineStr">
        <is>
          <t>DovizHacimEsik</t>
        </is>
      </c>
      <c r="B28" s="172" t="n">
        <v>10000000</v>
      </c>
      <c r="C28" s="113" t="inlineStr">
        <is>
          <t>TL</t>
        </is>
      </c>
      <c r="D28" s="169" t="n">
        <v>0</v>
      </c>
      <c r="E28" s="169" t="n">
        <v>10000000000</v>
      </c>
      <c r="F28" s="118" t="inlineStr">
        <is>
          <t>Toplam işlem hacmi (varlık+borç TL) eşiği; üzerinde karar İNCELE olur.</t>
        </is>
      </c>
      <c r="G28" s="113" t="inlineStr">
        <is>
          <t>Varsayım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DovizPanelSatir1</t>
        </is>
      </c>
      <c r="B29" s="177" t="n">
        <v>1</v>
      </c>
      <c r="C29" s="113" t="inlineStr">
        <is>
          <t>Satır</t>
        </is>
      </c>
      <c r="F29" s="118" t="inlineStr">
        <is>
          <t>PANO'daki aylık işlem grafiği serisinin tablodaki veri satırı (1.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DovizPanelSatir2</t>
        </is>
      </c>
      <c r="B30" s="177" t="n">
        <v>2</v>
      </c>
      <c r="C30" s="113" t="inlineStr">
        <is>
          <t>Satır</t>
        </is>
      </c>
      <c r="F30" s="118" t="inlineStr">
        <is>
          <t>PANO'daki aylık işlem grafiği serisinin tablodaki veri satırı (2.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DovizPanelSatir3</t>
        </is>
      </c>
      <c r="B31" s="177" t="n">
        <v>3</v>
      </c>
      <c r="C31" s="113" t="inlineStr">
        <is>
          <t>Satır</t>
        </is>
      </c>
      <c r="F31" s="118" t="inlineStr">
        <is>
          <t>PANO'daki aylık işlem grafiği serisinin tablodaki veri satırı (3.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DovizPanelSatir4</t>
        </is>
      </c>
      <c r="B32" s="177" t="n">
        <v>4</v>
      </c>
      <c r="C32" s="113" t="inlineStr">
        <is>
          <t>Satır</t>
        </is>
      </c>
      <c r="F32" s="118" t="inlineStr">
        <is>
          <t>PANO'daki aylık işlem grafiği serisinin tablodaki veri satırı (4.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DovizPanelSatir5</t>
        </is>
      </c>
      <c r="B33" s="177" t="n">
        <v>5</v>
      </c>
      <c r="C33" s="113" t="inlineStr">
        <is>
          <t>Satır</t>
        </is>
      </c>
      <c r="F33" s="118" t="inlineStr">
        <is>
          <t>PANO'daki aylık işlem grafiği serisinin tablodaki veri satırı (5.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DovizPanelSatir6</t>
        </is>
      </c>
      <c r="B34" s="177" t="n">
        <v>6</v>
      </c>
      <c r="C34" s="113" t="inlineStr">
        <is>
          <t>Satır</t>
        </is>
      </c>
      <c r="F34" s="118" t="inlineStr">
        <is>
          <t>PANO'daki aylık işlem grafiği serisinin tablodaki veri satırı (6.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DovizPanelSatir7</t>
        </is>
      </c>
      <c r="B35" s="177" t="n">
        <v>7</v>
      </c>
      <c r="C35" s="113" t="inlineStr">
        <is>
          <t>Satır</t>
        </is>
      </c>
      <c r="F35" s="118" t="inlineStr">
        <is>
          <t>PANO'daki aylık işlem grafiği serisinin tablodaki veri satırı (7.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DovizPanelSatir8</t>
        </is>
      </c>
      <c r="B36" s="177" t="n">
        <v>8</v>
      </c>
      <c r="C36" s="113" t="inlineStr">
        <is>
          <t>Satır</t>
        </is>
      </c>
      <c r="F36" s="118" t="inlineStr">
        <is>
          <t>PANO'daki aylık işlem grafiği serisinin tablodaki veri satırı (8.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DovizPanelSatir9</t>
        </is>
      </c>
      <c r="B37" s="177" t="n">
        <v>9</v>
      </c>
      <c r="C37" s="113" t="inlineStr">
        <is>
          <t>Satır</t>
        </is>
      </c>
      <c r="F37" s="118" t="inlineStr">
        <is>
          <t>PANO'daki aylık işlem grafiği serisinin tablodaki veri satırı (9.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  <row r="38" ht="25.5" customHeight="1" s="80">
      <c r="A38" s="176" t="inlineStr">
        <is>
          <t>DovizPanelSatir10</t>
        </is>
      </c>
      <c r="B38" s="177" t="n">
        <v>10</v>
      </c>
      <c r="C38" s="113" t="inlineStr">
        <is>
          <t>Satır</t>
        </is>
      </c>
      <c r="F38" s="118" t="inlineStr">
        <is>
          <t>PANO'daki aylık işlem grafiği serisinin tablodaki veri satırı (10. veri).</t>
        </is>
      </c>
      <c r="G38" s="113" t="inlineStr">
        <is>
          <t>Kullanıcı</t>
        </is>
      </c>
      <c r="H38" s="170" t="n">
        <v>46023</v>
      </c>
      <c r="I38" s="170" t="n">
        <v>46244</v>
      </c>
    </row>
    <row r="39" ht="25.5" customHeight="1" s="80">
      <c r="A39" s="176" t="inlineStr">
        <is>
          <t>DovizPanelSatir11</t>
        </is>
      </c>
      <c r="B39" s="177" t="n">
        <v>11</v>
      </c>
      <c r="C39" s="113" t="inlineStr">
        <is>
          <t>Satır</t>
        </is>
      </c>
      <c r="F39" s="118" t="inlineStr">
        <is>
          <t>PANO'daki aylık işlem grafiği serisinin tablodaki veri satırı (11. veri).</t>
        </is>
      </c>
      <c r="G39" s="113" t="inlineStr">
        <is>
          <t>Kullanıcı</t>
        </is>
      </c>
      <c r="H39" s="170" t="n">
        <v>46023</v>
      </c>
      <c r="I39" s="170" t="n">
        <v>46244</v>
      </c>
    </row>
    <row r="40" ht="25.5" customHeight="1" s="80">
      <c r="A40" s="176" t="inlineStr">
        <is>
          <t>DovizPanelSatir12</t>
        </is>
      </c>
      <c r="B40" s="177" t="n">
        <v>12</v>
      </c>
      <c r="C40" s="113" t="inlineStr">
        <is>
          <t>Satır</t>
        </is>
      </c>
      <c r="F40" s="118" t="inlineStr">
        <is>
          <t>PANO'daki aylık işlem grafiği serisinin tablodaki veri satırı (12. veri).</t>
        </is>
      </c>
      <c r="G40" s="113" t="inlineStr">
        <is>
          <t>Kullanıcı</t>
        </is>
      </c>
      <c r="H40" s="170" t="n">
        <v>46023</v>
      </c>
      <c r="I40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5">
    <dataValidation sqref="B11" showDropDown="0" showInputMessage="0" showErrorMessage="1" allowBlank="0" errorTitle="Değer aralık dışı" error="Açık pozisyon TL eşiği; üzerinde karar DURDUR olur." promptTitle="DovizAcikEsik" prompt="Açık pozisyon TL eşiği; üzerinde karar DURDUR olur." type="decimal" errorStyle="stop" operator="between">
      <formula1>0</formula1>
      <formula2>1000000000</formula2>
    </dataValidation>
    <dataValidation sqref="B12" showDropDown="0" showInputMessage="0" showErrorMessage="1" allowBlank="0" errorTitle="Değer aralık dışı" error="Kötümser senaryo kur şoku oranı (%20)." promptTitle="DovizStresEsik" prompt="Kötümser senaryo kur şoku oranı (%20)." type="decimal" errorStyle="stop" operator="between">
      <formula1>0.01</formula1>
      <formula2>1</formula2>
    </dataValidation>
    <dataValidation sqref="B13" showDropDown="0" showInputMessage="0" showErrorMessage="1" allowBlank="0" errorTitle="Değer aralık dışı" error="Stres etkisi bu eşiği aşarsa karar İNCELE olur." promptTitle="DovizStresEtkiEsik" prompt="Stres etkisi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İşlem kuru standart sapması risk eşiği." promptTitle="DovizKurSapmaEsik" prompt="İşlem kuru standart sapması risk eşiği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İyimser senaryo kur şoku (%5 lehine)." promptTitle="DovizIyiSenaryo" prompt="İyimser senaryo kur şoku (%5 lehine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Baz senaryo kur şoku (değişim yok)." promptTitle="DovizBazSenaryo" prompt="Baz senaryo kur şoku (değişim yok)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Kötümser senaryo kur şoku (%10 aleyhine)." promptTitle="DovizKotuSenaryo" prompt="Kötümser senaryo kur şoku (%10 aleyhine)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Kritik senaryo kur şoku (%30 aleyhine)." promptTitle="DovizKritikSenaryo" prompt="Kritik senaryo kur şoku (%30 aleyhine)." type="decimal" errorStyle="stop" operator="between">
      <formula1>0</formula1>
      <formula2>1</formula2>
    </dataValidation>
    <dataValidation sqref="B19" showDropDown="0" showInputMessage="0" showErrorMessage="1" allowBlank="0" errorTitle="Değer aralık dışı" error="Kur şokunun %1 artışının TL etkisine katkısı." promptTitle="DovizTornadoKur" prompt="Kur şokunun %1 artışının TL etkisine katkısı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Pozisyonun %1 artışının TL etkisine katkısı." promptTitle="DovizTornadoPozisyon" prompt="Pozisyonun %1 artışının TL etkisine katkısı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Tahmin bandı genişliği (standart sapma katı)." promptTitle="DovizTahminCarpan" prompt="Tahmin bandı genişliği (standart sapma katı)." type="decimal" errorStyle="stop" operator="between">
      <formula1>0</formula1>
      <formula2>3</formula2>
    </dataValidation>
    <dataValidation sqref="B22" showDropDown="0" showInputMessage="0" showErrorMessage="1" allowBlank="0" errorTitle="Değer aralık dışı" error="Kalite skoru bu eşiğin üzerindeyse YÜKSEK kalite." promptTitle="DovizKaliteIyi" prompt="Kalite skoru bu eşiğin üzerindeyse YÜKSEK kalite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Kalite skoru bu eşiğin üzerindeyse ORTA kalite." promptTitle="DovizKaliteOrta" prompt="Kalite skoru bu eşiğin üzerindeyse ORTA kalite." type="decimal" errorStyle="stop" operator="between">
      <formula1>0</formula1>
      <formula2>100</formula2>
    </dataValidation>
    <dataValidation sqref="B27" showDropDown="0" showInputMessage="0" showErrorMessage="1" allowBlank="0" errorTitle="Değer aralık dışı" error="Pozisyon tutarı dağılımında üst yüzdelik dilimin oranı." promptTitle="DovizP90Oran" prompt="Pozisyon tutarı dağılımında üst yüzdelik dilimin oranı." type="decimal" errorStyle="stop" operator="between">
      <formula1>0.5</formula1>
      <formula2>1</formula2>
    </dataValidation>
    <dataValidation sqref="B28" showDropDown="0" showInputMessage="0" showErrorMessage="1" allowBlank="0" errorTitle="Değer aralık dışı" error="Toplam işlem hacmi (varlık+borç TL) eşiği; üzerinde karar İNCELE olur." promptTitle="DovizHacimEsik" prompt="Toplam işlem hacmi (varlık+borç TL) eşiği; üzerinde karar İNCELE olur." type="decimal" errorStyle="stop" operator="between">
      <formula1>0</formula1>
      <formula2>10000000000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6" min="1" max="1"/>
    <col width="161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KILAVUZ — Döviz Açık Pozisyonu ve Kur Riski Stres Testi</t>
        </is>
      </c>
    </row>
    <row r="2"/>
    <row r="3" ht="22" customHeight="1" s="80">
      <c r="A3" s="310" t="inlineStr">
        <is>
          <t>Kullanım Kılavuzu</t>
        </is>
      </c>
    </row>
    <row r="4"/>
    <row r="5" ht="15" customHeight="1" s="80">
      <c r="A5" s="115" t="inlineStr">
        <is>
          <t>Veri girişi</t>
        </is>
      </c>
      <c r="B5" s="111" t="inlineStr">
        <is>
          <t>DOVIZ_POZISYONLARI sayfasında sarı hücrelere dövizli işlemlerinizi girin. Döviz cinsini, işlem türünü ve vadeyi listeden seçin; tutar ve kur bilgisini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döviz cinsi bazlı varlık, borç, net pozisyon, ortalama kur ve stres etkisini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finansal danışmanınıza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0"/>
    <row r="11" ht="24.75" customHeight="1" s="80">
      <c r="A11" s="118" t="inlineStr">
        <is>
          <t>Bu dosya karar destek aracıdır; döviz yatırım tavsiyesi ve muhasebe kaydı niteliği taşımaz.</t>
        </is>
      </c>
    </row>
    <row r="12"/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Açık Pozisyon TL Eşiği</t>
        </is>
      </c>
    </row>
    <row r="16" ht="15" customHeight="1" s="80">
      <c r="A16" s="178" t="inlineStr">
        <is>
          <t>• Kötümser ve Kritik Senaryo Kur Şok Oranları</t>
        </is>
      </c>
    </row>
    <row r="17" ht="15" customHeight="1" s="80">
      <c r="A17" s="178" t="inlineStr">
        <is>
          <t>• Stres Etki Eşiği</t>
        </is>
      </c>
    </row>
    <row r="18" ht="15" customHeight="1" s="80">
      <c r="A18" s="178" t="inlineStr">
        <is>
          <t>• Kur Sapması Risk Eşiği</t>
        </is>
      </c>
    </row>
    <row r="19" ht="15" customHeight="1" s="80">
      <c r="A19" s="178" t="inlineStr">
        <is>
          <t>• İyimser Senaryo Kur Şoku Oranı</t>
        </is>
      </c>
    </row>
    <row r="20" ht="15" customHeight="1" s="80">
      <c r="A20" s="178" t="inlineStr">
        <is>
          <t>• Tornado Kur ve Pozisyon Etkisi Oranları</t>
        </is>
      </c>
    </row>
    <row r="21" ht="15" customHeight="1" s="80">
      <c r="A21" s="178" t="inlineStr">
        <is>
          <t>• Tahmin Çarpanı (standart sapma katı)</t>
        </is>
      </c>
    </row>
    <row r="22" ht="15" customHeight="1" s="80">
      <c r="A22" s="178" t="inlineStr">
        <is>
          <t>• Kalite Skoru İyi ve Orta Eşikleri</t>
        </is>
      </c>
    </row>
    <row r="23" ht="15" customHeight="1" s="80">
      <c r="A23" s="178" t="inlineStr">
        <is>
          <t>• P90 Yüzdelik Oranı</t>
        </is>
      </c>
    </row>
    <row r="24" ht="15" customHeight="1" s="80">
      <c r="A24" s="178" t="inlineStr">
        <is>
          <t>• Aksiyon Önerisi Açıklamaları</t>
        </is>
      </c>
    </row>
    <row r="25"/>
    <row r="26" ht="24.75" customHeight="1" s="80">
      <c r="A26" s="118" t="inlineStr">
        <is>
          <t>Bu dosya tamamen çevrimdışı çalışır; verileriniz cihazınızdan çıkmaz. Makro ve dış bağlantı yoktur.</t>
        </is>
      </c>
      <c r="B26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26:T26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2026-08-10T12:55:00Z</dcterms:created>
  <dcterms:modified xmlns:dcterms="http://purl.org/dc/terms/" xmlns:xsi="http://www.w3.org/2001/XMLSchema-instance" xsi:type="dcterms:W3CDTF">2026-09-25T21:33:33Z</dcterms:modified>
  <cp:revision>0</cp:revision>
</cp:coreProperties>
</file>