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GIRDI" sheetId="11" state="visible" r:id="rId11"/>
    <sheet xmlns:r="http://schemas.openxmlformats.org/officeDocument/2006/relationships" name="KURALLAR" sheetId="12" state="visible" r:id="rId12"/>
    <sheet xmlns:r="http://schemas.openxmlformats.org/officeDocument/2006/relationships" name="MOTOR" sheetId="13" state="visible" r:id="rId13"/>
    <sheet xmlns:r="http://schemas.openxmlformats.org/officeDocument/2006/relationships" name="ENVANTER" sheetId="14" state="visible" r:id="rId14"/>
    <sheet xmlns:r="http://schemas.openxmlformats.org/officeDocument/2006/relationships" name="EYLEM_PLANI" sheetId="15" state="visible" r:id="rId15"/>
    <sheet xmlns:r="http://schemas.openxmlformats.org/officeDocument/2006/relationships" name="AKIS" sheetId="16" state="visible" r:id="rId16"/>
    <sheet xmlns:r="http://schemas.openxmlformats.org/officeDocument/2006/relationships" name="SENARYO" sheetId="17" state="visible" r:id="rId17"/>
    <sheet xmlns:r="http://schemas.openxmlformats.org/officeDocument/2006/relationships" name="VAKALAR" sheetId="18" state="visible" r:id="rId18"/>
    <sheet xmlns:r="http://schemas.openxmlformats.org/officeDocument/2006/relationships" name="KANIT_RAPORU" sheetId="19" state="visible" r:id="rId19"/>
    <sheet xmlns:r="http://schemas.openxmlformats.org/officeDocument/2006/relationships" name="KONTROLLER" sheetId="20" state="visible" r:id="rId20"/>
    <sheet xmlns:r="http://schemas.openxmlformats.org/officeDocument/2006/relationships" name="ORNEK_VERI" sheetId="21" state="visible" r:id="rId21"/>
    <sheet xmlns:r="http://schemas.openxmlformats.org/officeDocument/2006/relationships" name="LISTELER" sheetId="22" state="visible" r:id="rId22"/>
    <sheet xmlns:r="http://schemas.openxmlformats.org/officeDocument/2006/relationships" name="AYARLAR" sheetId="23" state="visible" r:id="rId23"/>
    <sheet xmlns:r="http://schemas.openxmlformats.org/officeDocument/2006/relationships" name="KILAVUZ" sheetId="24" state="visible" r:id="rId24"/>
  </sheets>
  <definedNames>
    <definedName name="hesapYili">GIRDI!$B$8</definedName>
    <definedName name="raporTarihi">AYARLAR!$B$6</definedName>
    <definedName name="zincirTolerans">AYARLAR!$B$7</definedName>
    <definedName name="ebr_tolerans">AYARLAR!$B$8</definedName>
    <definedName name="ebr_kararEsik">AYARLAR!$B$9</definedName>
    <definedName name="ebr_senaryoIyi">AYARLAR!$B$10</definedName>
    <definedName name="ebr_senaryoKotu">AYARLAR!$B$11</definedName>
    <definedName name="ebr_esikArtisCarpan">AYARLAR!$B$12</definedName>
    <definedName name="ebr_tahminAlt">AYARLAR!$B$13</definedName>
    <definedName name="ebr_tahminUst">AYARLAR!$B$14</definedName>
    <definedName name="ebr_tornadoCiro">AYARLAR!$B$15</definedName>
    <definedName name="ebr_yorumACarpan">AYARLAR!$B$16</definedName>
    <definedName name="ebr_yuzdelikOran">AYARLAR!$B$17</definedName>
    <definedName name="ebr_parmakIzi">AYARLAR!$B$18</definedName>
    <definedName name="ebr_girisBeklenen">AYARLAR!$B$19</definedName>
    <definedName name="ebr_riskDusuk">AYARLAR!$B$20</definedName>
    <definedName name="ebr_riskOrta">AYARLAR!$B$21</definedName>
    <definedName name="ebr_riskYuksek">AYARLAR!$B$22</definedName>
    <definedName name="ebr_yilTaban">AYARLAR!$B$23</definedName>
    <definedName name="ebr_yuvarMax">AYARLAR!$B$24</definedName>
    <definedName name="vaka_ciro_1">AYARLAR!$B$25</definedName>
    <definedName name="vaka_ciro_2">AYARLAR!$B$26</definedName>
    <definedName name="vaka_ciro_3">AYARLAR!$B$27</definedName>
    <definedName name="vaka_ciro_4">AYARLAR!$B$28</definedName>
    <definedName name="ebr_esikGecikmeGun">AYARLAR!$B$29</definedName>
    <definedName name="ebr_eylemYas">AYARLAR!$I$43</definedName>
    <definedName name="ebr_yorumEylemYas">AYARLAR!$I$44</definedName>
    <definedName name="ebr_modulT2">AYARLAR!$I$45</definedName>
    <definedName name="ebr_modulT2Yorum">AYARLAR!$I$46</definedName>
    <definedName name="ebr_duyarlilikSira">AYARLAR!$I$47</definedName>
    <definedName name="ebr_yorumDuyarlilik">AYARLAR!$I$48</definedName>
    <definedName name="ebr_senaryoKarsilastirma">AYARLAR!$I$49</definedName>
    <definedName name="ebr_yorumSenaryo">AYARLAR!$I$50</definedName>
    <definedName name="ebr_kuralDegisimSenaryo">AYARLAR!$I$51</definedName>
    <definedName name="ebr_yorumKuralDegisim">AYARLAR!$I$52</definedName>
    <definedName name="ebr_tahminAralik">AYARLAR!$I$53</definedName>
    <definedName name="ebr_yorumTahmin">AYARLAR!$I$54</definedName>
    <definedName name="ebr_modulI2">AYARLAR!$I$55</definedName>
    <definedName name="ebr_modulI2Yorum">AYARLAR!$I$56</definedName>
    <definedName name="ebr_kararMetni">AYARLAR!$I$57</definedName>
    <definedName name="ebr_kararGerekce">AYARLAR!$I$58</definedName>
    <definedName name="ebr_maddeAtifMetni">AYARLAR!$I$59</definedName>
    <definedName name="ebr_kanitRaporu">AYARLAR!$I$60</definedName>
    <definedName name="ebr_vakaDurum">AYARLAR!$I$61</definedName>
    <definedName name="ebr_vakaFark">AYARLAR!$I$62</definedName>
    <definedName name="ebr_ciro">AYARLAR!$I$63</definedName>
    <definedName name="ebr_zorunluAdet">AYARLAR!$I$64</definedName>
    <definedName name="ebr_kuralYilMatris">AYARLAR!$I$65</definedName>
    <definedName name="ListeYillar">LISTELER!$A$6:$A$8</definedName>
    <definedName name="ListeYorumAB">LISTELER!$C$6:$C$7</definedName>
    <definedName name="ListeEvetHayir">LISTELER!$E$6:$E$7</definedName>
    <definedName name="ListeDurumlar">LISTELER!$G$6:$G$10</definedName>
    <definedName name="ListeIzinliGecis">LISTELER!$I$6:$I$13</definedName>
    <definedName name="ListeKural">LISTELER!$K$6:$K$10</definedName>
    <definedName name="_xlnm.Print_Area" localSheetId="18">'KANIT_RAPORU'!$A$1:$H$32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₺ #,##0;[Red](₺ #,##0);-"/>
    <numFmt numFmtId="166" formatCode="0.0%;[Red](0.0%);-"/>
    <numFmt numFmtId="167" formatCode="#,##0 &quot;TL&quot;"/>
    <numFmt numFmtId="168" formatCode="0.0%"/>
    <numFmt numFmtId="169" formatCode="₺#,##0"/>
    <numFmt numFmtId="170" formatCode="0.00&quot;x&quot;"/>
  </numFmts>
  <fonts count="9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b val="1"/>
      <color rgb="000F2742"/>
      <sz val="13"/>
    </font>
    <font>
      <name val="Segoe UI"/>
      <color rgb="001F4E79"/>
      <sz val="10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B3261E"/>
      <sz val="10"/>
    </font>
    <font>
      <name val="Segoe UI"/>
      <b val="1"/>
      <color rgb="00006100"/>
      <sz val="10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3" fontId="14" fillId="3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7" fillId="4" borderId="0" applyAlignment="1" applyProtection="1" pivotButton="0" quotePrefix="0" xfId="0">
      <alignment horizontal="left" vertical="center"/>
      <protection locked="0" hidden="0"/>
    </xf>
    <xf numFmtId="3" fontId="17" fillId="4" borderId="0" applyAlignment="1" applyProtection="1" pivotButton="0" quotePrefix="0" xfId="0">
      <alignment horizontal="left" vertical="center"/>
      <protection locked="0" hidden="0"/>
    </xf>
    <xf numFmtId="165" fontId="17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6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164" fontId="17" fillId="4" borderId="0" applyAlignment="1" applyProtection="1" pivotButton="0" quotePrefix="0" xfId="0">
      <alignment horizontal="left" vertical="center"/>
      <protection locked="0" hidden="0"/>
    </xf>
    <xf numFmtId="0" fontId="14" fillId="3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6" fillId="4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left" vertical="center" wrapText="1"/>
    </xf>
    <xf numFmtId="3" fontId="22" fillId="0" borderId="0" applyAlignment="1" pivotButton="0" quotePrefix="0" xfId="0">
      <alignment horizontal="left" vertical="center"/>
    </xf>
    <xf numFmtId="166" fontId="17" fillId="4" borderId="0" applyAlignment="1" applyProtection="1" pivotButton="0" quotePrefix="0" xfId="0">
      <alignment horizontal="left" vertical="center"/>
      <protection locked="0" hidden="0"/>
    </xf>
    <xf numFmtId="0" fontId="23" fillId="0" borderId="0" applyAlignment="1" pivotButton="0" quotePrefix="0" xfId="0">
      <alignment horizontal="left" vertical="center" wrapText="1"/>
    </xf>
    <xf numFmtId="166" fontId="11" fillId="0" borderId="0" applyAlignment="1" pivotButton="0" quotePrefix="0" xfId="0">
      <alignment horizontal="left" vertical="center"/>
    </xf>
    <xf numFmtId="166" fontId="17" fillId="4" borderId="0" applyAlignment="1" applyProtection="1" pivotButton="0" quotePrefix="0" xfId="0">
      <alignment horizontal="left" vertical="center"/>
      <protection locked="0" hidden="0"/>
    </xf>
    <xf numFmtId="0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32" fillId="0" borderId="0" pivotButton="0" quotePrefix="0" xfId="0"/>
    <xf numFmtId="0" fontId="27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2" fillId="8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35" fillId="0" borderId="0" pivotButton="0" quotePrefix="0" xfId="0"/>
    <xf numFmtId="167" fontId="35" fillId="0" borderId="0" pivotButton="0" quotePrefix="0" xfId="0"/>
    <xf numFmtId="167" fontId="36" fillId="0" borderId="0" pivotButton="0" quotePrefix="0" xfId="0"/>
    <xf numFmtId="168" fontId="35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/>
    </xf>
    <xf numFmtId="0" fontId="36" fillId="0" borderId="0" pivotButton="0" quotePrefix="0" xfId="0"/>
    <xf numFmtId="0" fontId="40" fillId="9" borderId="2" pivotButton="0" quotePrefix="0" xfId="0"/>
    <xf numFmtId="0" fontId="41" fillId="0" borderId="0" pivotButton="0" quotePrefix="0" xfId="0"/>
    <xf numFmtId="0" fontId="42" fillId="0" borderId="0" pivotButton="0" quotePrefix="0" xfId="0"/>
    <xf numFmtId="0" fontId="35" fillId="0" borderId="0" applyAlignment="1" pivotButton="0" quotePrefix="0" xfId="0">
      <alignment wrapText="1"/>
    </xf>
    <xf numFmtId="0" fontId="43" fillId="0" borderId="0" pivotButton="0" quotePrefix="0" xfId="0"/>
    <xf numFmtId="0" fontId="44" fillId="0" borderId="2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3" pivotButton="0" quotePrefix="0" xfId="0"/>
    <xf numFmtId="0" fontId="0" fillId="0" borderId="2" pivotButton="0" quotePrefix="0" xfId="0"/>
    <xf numFmtId="0" fontId="45" fillId="11" borderId="2" applyAlignment="1" pivotButton="0" quotePrefix="0" xfId="0">
      <alignment horizontal="center"/>
    </xf>
    <xf numFmtId="0" fontId="31" fillId="0" borderId="4" pivotButton="0" quotePrefix="0" xfId="0"/>
    <xf numFmtId="0" fontId="47" fillId="12" borderId="2" applyAlignment="1" pivotButton="0" quotePrefix="0" xfId="0">
      <alignment horizontal="center"/>
    </xf>
    <xf numFmtId="0" fontId="46" fillId="13" borderId="2" applyAlignment="1" pivotButton="0" quotePrefix="0" xfId="0">
      <alignment horizontal="center"/>
    </xf>
    <xf numFmtId="0" fontId="31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7" fillId="0" borderId="3" pivotButton="0" quotePrefix="0" xfId="0"/>
    <xf numFmtId="0" fontId="48" fillId="0" borderId="4" pivotButton="0" quotePrefix="0" xfId="0"/>
    <xf numFmtId="0" fontId="49" fillId="0" borderId="5" pivotButton="0" quotePrefix="0" xfId="0"/>
    <xf numFmtId="0" fontId="46" fillId="0" borderId="3" pivotButton="0" quotePrefix="0" xfId="0"/>
    <xf numFmtId="0" fontId="41" fillId="0" borderId="4" pivotButton="0" quotePrefix="0" xfId="0"/>
    <xf numFmtId="0" fontId="46" fillId="0" borderId="5" pivotButton="0" quotePrefix="0" xfId="0"/>
    <xf numFmtId="0" fontId="50" fillId="14" borderId="0" applyAlignment="1" pivotButton="0" quotePrefix="0" xfId="0">
      <alignment horizontal="center"/>
    </xf>
    <xf numFmtId="0" fontId="51" fillId="0" borderId="0" pivotButton="0" quotePrefix="0" xfId="0"/>
    <xf numFmtId="0" fontId="50" fillId="15" borderId="0" applyAlignment="1" pivotButton="0" quotePrefix="0" xfId="0">
      <alignment horizontal="center" vertical="center"/>
    </xf>
    <xf numFmtId="0" fontId="51" fillId="0" borderId="2" pivotButton="0" quotePrefix="0" xfId="0"/>
    <xf numFmtId="0" fontId="52" fillId="0" borderId="2" pivotButton="0" quotePrefix="0" xfId="0"/>
    <xf numFmtId="0" fontId="53" fillId="0" borderId="2" pivotButton="0" quotePrefix="0" xfId="0"/>
    <xf numFmtId="0" fontId="54" fillId="16" borderId="2" applyAlignment="1" pivotButton="0" quotePrefix="0" xfId="0">
      <alignment horizontal="center"/>
    </xf>
    <xf numFmtId="0" fontId="50" fillId="7" borderId="0" pivotButton="0" quotePrefix="0" xfId="0"/>
    <xf numFmtId="0" fontId="55" fillId="7" borderId="0" pivotButton="0" quotePrefix="0" xfId="0"/>
    <xf numFmtId="0" fontId="56" fillId="7" borderId="0" pivotButton="0" quotePrefix="0" xfId="0"/>
    <xf numFmtId="0" fontId="0" fillId="7" borderId="0" pivotButton="0" quotePrefix="0" xfId="0"/>
    <xf numFmtId="0" fontId="28" fillId="7" borderId="0" applyAlignment="1" pivotButton="0" quotePrefix="0" xfId="0">
      <alignment horizontal="center"/>
    </xf>
    <xf numFmtId="0" fontId="44" fillId="0" borderId="0" pivotButton="0" quotePrefix="0" xfId="0"/>
    <xf numFmtId="0" fontId="59" fillId="17" borderId="0" pivotButton="0" quotePrefix="0" xfId="0"/>
    <xf numFmtId="0" fontId="0" fillId="17" borderId="0" pivotButton="0" quotePrefix="0" xfId="0"/>
    <xf numFmtId="0" fontId="46" fillId="0" borderId="0" pivotButton="0" quotePrefix="0" xfId="0"/>
    <xf numFmtId="0" fontId="34" fillId="17" borderId="0" pivotButton="0" quotePrefix="0" xfId="0"/>
    <xf numFmtId="0" fontId="60" fillId="17" borderId="0" applyAlignment="1" pivotButton="0" quotePrefix="0" xfId="0">
      <alignment wrapText="1"/>
    </xf>
    <xf numFmtId="0" fontId="57" fillId="0" borderId="0" pivotButton="0" quotePrefix="0" xfId="0"/>
    <xf numFmtId="0" fontId="58" fillId="0" borderId="0" pivotButton="0" quotePrefix="0" xfId="0"/>
    <xf numFmtId="0" fontId="46" fillId="13" borderId="6" applyAlignment="1" pivotButton="0" quotePrefix="0" xfId="0">
      <alignment horizontal="center" vertical="center"/>
    </xf>
    <xf numFmtId="0" fontId="61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vertical="center"/>
    </xf>
    <xf numFmtId="0" fontId="45" fillId="11" borderId="0" applyAlignment="1" pivotButton="0" quotePrefix="0" xfId="0">
      <alignment horizontal="center" vertical="center"/>
    </xf>
    <xf numFmtId="0" fontId="46" fillId="13" borderId="0" applyAlignment="1" pivotButton="0" quotePrefix="0" xfId="0">
      <alignment horizontal="center" vertical="center"/>
    </xf>
    <xf numFmtId="0" fontId="62" fillId="7" borderId="0" applyAlignment="1" pivotButton="0" quotePrefix="0" xfId="0">
      <alignment horizontal="center" vertical="center"/>
    </xf>
    <xf numFmtId="0" fontId="63" fillId="19" borderId="2" applyAlignment="1" pivotButton="0" quotePrefix="0" xfId="0">
      <alignment horizontal="center"/>
    </xf>
    <xf numFmtId="0" fontId="64" fillId="19" borderId="2" applyAlignment="1" pivotButton="0" quotePrefix="0" xfId="0">
      <alignment horizontal="center"/>
    </xf>
    <xf numFmtId="0" fontId="63" fillId="19" borderId="2" pivotButton="0" quotePrefix="0" xfId="0"/>
    <xf numFmtId="169" fontId="64" fillId="19" borderId="2" applyAlignment="1" pivotButton="0" quotePrefix="0" xfId="0">
      <alignment horizontal="right"/>
    </xf>
    <xf numFmtId="9" fontId="63" fillId="19" borderId="2" applyAlignment="1" pivotButton="0" quotePrefix="0" xfId="0">
      <alignment horizontal="center"/>
    </xf>
    <xf numFmtId="169" fontId="63" fillId="19" borderId="2" applyAlignment="1" pivotButton="0" quotePrefix="0" xfId="0">
      <alignment horizontal="right"/>
    </xf>
    <xf numFmtId="0" fontId="46" fillId="19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4" fillId="18" borderId="2" applyAlignment="1" pivotButton="0" quotePrefix="0" xfId="0">
      <alignment horizontal="center"/>
    </xf>
    <xf numFmtId="0" fontId="63" fillId="18" borderId="2" pivotButton="0" quotePrefix="0" xfId="0"/>
    <xf numFmtId="169" fontId="64" fillId="18" borderId="2" applyAlignment="1" pivotButton="0" quotePrefix="0" xfId="0">
      <alignment horizontal="right"/>
    </xf>
    <xf numFmtId="9" fontId="63" fillId="18" borderId="2" applyAlignment="1" pivotButton="0" quotePrefix="0" xfId="0">
      <alignment horizontal="center"/>
    </xf>
    <xf numFmtId="169" fontId="63" fillId="18" borderId="2" applyAlignment="1" pivotButton="0" quotePrefix="0" xfId="0">
      <alignment horizontal="right"/>
    </xf>
    <xf numFmtId="0" fontId="51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47" fillId="18" borderId="2" applyAlignment="1" pivotButton="0" quotePrefix="0" xfId="0">
      <alignment horizontal="center"/>
    </xf>
    <xf numFmtId="0" fontId="34" fillId="7" borderId="0" applyAlignment="1" pivotButton="0" quotePrefix="0" xfId="0">
      <alignment vertical="center" indent="1"/>
    </xf>
    <xf numFmtId="169" fontId="65" fillId="7" borderId="0" applyAlignment="1" pivotButton="0" quotePrefix="0" xfId="0">
      <alignment horizontal="right" vertical="center"/>
    </xf>
    <xf numFmtId="0" fontId="66" fillId="0" borderId="7" pivotButton="0" quotePrefix="0" xfId="0"/>
    <xf numFmtId="0" fontId="67" fillId="0" borderId="7" pivotButton="0" quotePrefix="0" xfId="0"/>
    <xf numFmtId="0" fontId="68" fillId="0" borderId="7" pivotButton="0" quotePrefix="0" xfId="0"/>
    <xf numFmtId="0" fontId="69" fillId="20" borderId="2" applyAlignment="1" pivotButton="0" quotePrefix="0" xfId="0">
      <alignment horizontal="center" vertical="center"/>
    </xf>
    <xf numFmtId="0" fontId="73" fillId="11" borderId="2" applyAlignment="1" pivotButton="0" quotePrefix="0" xfId="0">
      <alignment horizontal="center" vertical="center"/>
    </xf>
    <xf numFmtId="0" fontId="70" fillId="0" borderId="2" pivotButton="0" quotePrefix="0" xfId="0"/>
    <xf numFmtId="0" fontId="69" fillId="0" borderId="2" applyAlignment="1" pivotButton="0" quotePrefix="0" xfId="0">
      <alignment horizontal="right"/>
    </xf>
    <xf numFmtId="0" fontId="73" fillId="0" borderId="2" applyAlignment="1" pivotButton="0" quotePrefix="0" xfId="0">
      <alignment horizontal="right"/>
    </xf>
    <xf numFmtId="0" fontId="44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72" fillId="12" borderId="8" applyAlignment="1" pivotButton="0" quotePrefix="0" xfId="0">
      <alignment horizontal="center" vertical="center"/>
    </xf>
    <xf numFmtId="0" fontId="74" fillId="11" borderId="9" applyAlignment="1" pivotButton="0" quotePrefix="0" xfId="0">
      <alignment horizontal="center" vertical="center"/>
    </xf>
    <xf numFmtId="0" fontId="70" fillId="0" borderId="0" pivotButton="0" quotePrefix="0" xfId="0"/>
    <xf numFmtId="0" fontId="75" fillId="21" borderId="0" applyAlignment="1" pivotButton="0" quotePrefix="0" xfId="0">
      <alignment horizontal="left" vertical="center" wrapText="1"/>
    </xf>
    <xf numFmtId="0" fontId="76" fillId="22" borderId="0" applyAlignment="1" pivotButton="0" quotePrefix="0" xfId="0">
      <alignment vertical="center" wrapText="1"/>
    </xf>
    <xf numFmtId="0" fontId="77" fillId="23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9" fillId="21" borderId="0" applyAlignment="1" pivotButton="0" quotePrefix="0" xfId="0">
      <alignment horizontal="left" vertical="center" wrapText="1"/>
    </xf>
    <xf numFmtId="0" fontId="75" fillId="24" borderId="0" applyAlignment="1" pivotButton="0" quotePrefix="0" xfId="0">
      <alignment horizontal="left" vertical="center" wrapText="1"/>
    </xf>
    <xf numFmtId="0" fontId="76" fillId="24" borderId="0" applyAlignment="1" pivotButton="0" quotePrefix="0" xfId="0">
      <alignment vertical="center" wrapText="1"/>
    </xf>
    <xf numFmtId="0" fontId="80" fillId="25" borderId="0" applyAlignment="1" pivotButton="0" quotePrefix="0" xfId="0">
      <alignment vertical="top" wrapText="1"/>
    </xf>
    <xf numFmtId="0" fontId="75" fillId="26" borderId="0" applyAlignment="1" pivotButton="0" quotePrefix="0" xfId="0">
      <alignment horizontal="left" vertical="center" wrapText="1"/>
    </xf>
    <xf numFmtId="0" fontId="76" fillId="26" borderId="0" applyAlignment="1" pivotButton="0" quotePrefix="0" xfId="0">
      <alignment vertical="center" wrapText="1"/>
    </xf>
    <xf numFmtId="0" fontId="81" fillId="27" borderId="0" applyAlignment="1" pivotButton="0" quotePrefix="0" xfId="0">
      <alignment vertical="top" wrapText="1"/>
    </xf>
    <xf numFmtId="0" fontId="82" fillId="25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0" fontId="75" fillId="28" borderId="0" applyAlignment="1" pivotButton="0" quotePrefix="0" xfId="0">
      <alignment horizontal="left" vertical="center"/>
    </xf>
    <xf numFmtId="0" fontId="76" fillId="28" borderId="0" applyAlignment="1" pivotButton="0" quotePrefix="0" xfId="0">
      <alignment vertical="center" wrapText="1"/>
    </xf>
    <xf numFmtId="0" fontId="84" fillId="29" borderId="0" applyAlignment="1" pivotButton="0" quotePrefix="0" xfId="0">
      <alignment vertical="top" wrapText="1"/>
    </xf>
    <xf numFmtId="0" fontId="85" fillId="30" borderId="0" applyAlignment="1" pivotButton="0" quotePrefix="0" xfId="0">
      <alignment vertical="top" wrapText="1"/>
    </xf>
    <xf numFmtId="0" fontId="75" fillId="31" borderId="0" applyAlignment="1" pivotButton="0" quotePrefix="0" xfId="0">
      <alignment horizontal="left" vertical="center"/>
    </xf>
    <xf numFmtId="0" fontId="76" fillId="31" borderId="0" applyAlignment="1" pivotButton="0" quotePrefix="0" xfId="0">
      <alignment vertical="center" wrapText="1"/>
    </xf>
    <xf numFmtId="0" fontId="86" fillId="30" borderId="0" applyAlignment="1" pivotButton="0" quotePrefix="0" xfId="0">
      <alignment vertical="top" wrapText="1"/>
    </xf>
    <xf numFmtId="0" fontId="75" fillId="32" borderId="0" applyAlignment="1" pivotButton="0" quotePrefix="0" xfId="0">
      <alignment horizontal="left" vertical="center"/>
    </xf>
    <xf numFmtId="0" fontId="76" fillId="32" borderId="0" applyAlignment="1" pivotButton="0" quotePrefix="0" xfId="0">
      <alignment vertical="center" wrapText="1"/>
    </xf>
    <xf numFmtId="0" fontId="87" fillId="33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169" fontId="27" fillId="0" borderId="3" pivotButton="0" quotePrefix="0" xfId="0"/>
    <xf numFmtId="169" fontId="48" fillId="0" borderId="4" pivotButton="0" quotePrefix="0" xfId="0"/>
    <xf numFmtId="169" fontId="51" fillId="0" borderId="2" pivotButton="0" quotePrefix="0" xfId="0"/>
    <xf numFmtId="169" fontId="52" fillId="0" borderId="2" pivotButton="0" quotePrefix="0" xfId="0"/>
    <xf numFmtId="169" fontId="55" fillId="7" borderId="0" pivotButton="0" quotePrefix="0" xfId="0"/>
    <xf numFmtId="169" fontId="56" fillId="7" borderId="0" pivotButton="0" quotePrefix="0" xfId="0"/>
    <xf numFmtId="169" fontId="74" fillId="9" borderId="2" applyAlignment="1" pivotButton="0" quotePrefix="0" xfId="0">
      <alignment horizontal="right"/>
    </xf>
    <xf numFmtId="169" fontId="44" fillId="0" borderId="2" applyAlignment="1" pivotButton="0" quotePrefix="0" xfId="0">
      <alignment horizontal="right"/>
    </xf>
    <xf numFmtId="169" fontId="71" fillId="0" borderId="2" applyAlignment="1" pivotButton="0" quotePrefix="0" xfId="0">
      <alignment horizontal="right"/>
    </xf>
    <xf numFmtId="170" fontId="71" fillId="0" borderId="2" applyAlignment="1" pivotButton="0" quotePrefix="0" xfId="0">
      <alignment horizontal="right"/>
    </xf>
    <xf numFmtId="0" fontId="89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90" fillId="2" borderId="0" applyAlignment="1" pivotButton="0" quotePrefix="0" xfId="0">
      <alignment horizontal="left" vertical="center"/>
    </xf>
    <xf numFmtId="0" fontId="90" fillId="0" borderId="0" applyAlignment="1" pivotButton="0" quotePrefix="0" xfId="0">
      <alignment horizontal="left" vertical="center"/>
    </xf>
    <xf numFmtId="0" fontId="90" fillId="5" borderId="0" applyAlignment="1" pivotButton="0" quotePrefix="0" xfId="0">
      <alignment horizontal="left" vertical="center"/>
    </xf>
  </cellXfs>
  <cellStyles count="1">
    <cellStyle name="Normal" xfId="0" builtinId="0" hidden="0"/>
  </cellStyles>
  <dxfs count="10">
    <dxf>
      <font>
        <name val="Segoe UI"/>
        <b val="1"/>
        <color rgb="009C0006"/>
      </font>
      <fill>
        <patternFill patternType="solid">
          <fgColor rgb="00FFC7CE"/>
        </patternFill>
      </fill>
    </dxf>
    <dxf>
      <font>
        <name val="Segoe UI"/>
        <b val="1"/>
        <color rgb="00006100"/>
      </font>
      <fill>
        <patternFill patternType="solid">
          <fgColor rgb="00C6EFCE"/>
        </patternFill>
      </fill>
    </dxf>
    <dxf>
      <font>
        <name val="Segoe UI"/>
        <b val="1"/>
        <color rgb="009C5700"/>
      </font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name val="Segoe UI"/>
        <b val="1"/>
        <color rgb="00006100"/>
      </font>
    </dxf>
    <dxf>
      <font>
        <name val="Segoe UI"/>
        <b val="1"/>
        <color rgb="009C0006"/>
      </font>
    </dxf>
    <dxf>
      <font>
        <b val="1"/>
        <color rgb="00B08948"/>
      </font>
    </dxf>
    <dxf>
      <font>
        <b val="1"/>
        <color rgb="00B3261E"/>
      </font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Zorunlu Adet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Firma Unvanı | Neden önemli: e-belge zorunluluk kararını etkiler | Doğru kullanım: Resmi unvanı yazın. | Örnek: demo satırına bakın | Yanlışsa: Karar ve eşik sapması bozulur | Kaynak: GİB e-belge tebliğleri</t>
      </text>
    </comment>
    <comment ref="B7" authorId="0" shapeId="0">
      <text>
        <t>Tanım: Dönem | Neden önemli: e-belge zorunluluk kararını etkiler | Doğru kullanım: Dönem etiketi (ör. 2025). | Örnek: demo satırına bakın | Yanlışsa: Karar ve eşik sapması bozulur | Kaynak: GİB e-belge tebliğleri</t>
      </text>
    </comment>
    <comment ref="B8" authorId="0" shapeId="0">
      <text>
        <t>Tanım: Hesap Yılı | Neden önemli: e-belge zorunluluk kararını etkiler | Doğru kullanım: 2025 / 2026 / 2027. | Örnek: demo satırına bakın | Yanlışsa: Karar ve eşik sapması bozulur | Kaynak: GİB e-belge tebliğleri</t>
      </text>
    </comment>
    <comment ref="B9" authorId="0" shapeId="0">
      <text>
        <t>Tanım: Brüt Satış Hasılatı [₺] | Neden önemli: e-belge zorunluluk kararını etkiler | Doğru kullanım: KDV hariç brüt satış hasılatını TL girin. | Örnek: demo satırına bakın | Yanlışsa: Karar ve eşik sapması bozulur | Kaynak: GİB e-belge tebliğleri</t>
      </text>
    </comment>
    <comment ref="B10" authorId="0" shapeId="0">
      <text>
        <t>Tanım: Ciro Dönem Yorumu (A/B) | Neden önemli: e-belge zorunluluk kararını etkiler | Doğru kullanım: Belirsizlikte yorum A veya B seçin. | Örnek: demo satırına bakın | Yanlışsa: Karar ve eşik sapması bozulur | Kaynak: GİB e-belge tebliğleri</t>
      </text>
    </comment>
    <comment ref="B11" authorId="0" shapeId="0">
      <text>
        <t>Tanım: Sektör | Neden önemli: e-belge zorunluluk kararını etkiler | Doğru kullanım: Faaliyet sektörünü yazın. | Örnek: demo satırına bakın | Yanlışsa: Karar ve eşik sapması bozulur | Kaynak: GİB e-belge tebliğleri</t>
      </text>
    </comment>
    <comment ref="A18" authorId="0" shapeId="0">
      <text>
        <t>Tanım: firma | Neden önemli: e-belge zorunluluk kararını etkiler | Doğru kullanım: Tablo girişi | Örnek: demo satırına bakın | Yanlışsa: Karar ve eşik sapması bozulur | Kaynak: GİB e-belge tebliğleri</t>
      </text>
    </comment>
    <comment ref="B18" authorId="0" shapeId="0">
      <text>
        <t>Tanım: firma | Neden önemli: e-belge zorunluluk kararını etkiler | Doğru kullanım: Tablo girişi | Örnek: demo satırına bakın | Yanlışsa: Karar ve eşik sapması bozulur | Kaynak: GİB e-belge tebliğleri</t>
      </text>
    </comment>
    <comment ref="C18" authorId="0" shapeId="0">
      <text>
        <t>Tanım: firma | Neden önemli: e-belge zorunluluk kararını etkiler | Doğru kullanım: Tablo girişi | Örnek: demo satırına bakın | Yanlışsa: Karar ve eşik sapması bozulur | Kaynak: GİB e-belge tebliğleri</t>
      </text>
    </comment>
    <comment ref="D18" authorId="0" shapeId="0">
      <text>
        <t>Tanım: firma | Neden önemli: e-belge zorunluluk kararını etkiler | Doğru kullanım: Tablo girişi | Örnek: demo satırına bakın | Yanlışsa: Karar ve eşik sapması bozulur | Kaynak: GİB e-belge tebliğleri</t>
      </text>
    </comment>
    <comment ref="E18" authorId="0" shapeId="0">
      <text>
        <t>Tanım: firma | Neden önemli: e-belge zorunluluk kararını etkiler | Doğru kullanım: Tablo girişi | Örnek: demo satırına bakın | Yanlışsa: Karar ve eşik sapması bozulur | Kaynak: GİB e-belge tebliğleri</t>
      </text>
    </comment>
    <comment ref="A19" authorId="0" shapeId="0">
      <text>
        <t>Tanım: donem | Neden önemli: e-belge zorunluluk kararını etkiler | Doğru kullanım: Tablo girişi | Örnek: demo satırına bakın | Yanlışsa: Karar ve eşik sapması bozulur | Kaynak: GİB e-belge tebliğleri</t>
      </text>
    </comment>
    <comment ref="B19" authorId="0" shapeId="0">
      <text>
        <t>Tanım: donem | Neden önemli: e-belge zorunluluk kararını etkiler | Doğru kullanım: Tablo girişi | Örnek: demo satırına bakın | Yanlışsa: Karar ve eşik sapması bozulur | Kaynak: GİB e-belge tebliğleri</t>
      </text>
    </comment>
    <comment ref="C19" authorId="0" shapeId="0">
      <text>
        <t>Tanım: donem | Neden önemli: e-belge zorunluluk kararını etkiler | Doğru kullanım: Tablo girişi | Örnek: demo satırına bakın | Yanlışsa: Karar ve eşik sapması bozulur | Kaynak: GİB e-belge tebliğleri</t>
      </text>
    </comment>
    <comment ref="D19" authorId="0" shapeId="0">
      <text>
        <t>Tanım: donem | Neden önemli: e-belge zorunluluk kararını etkiler | Doğru kullanım: Tablo girişi | Örnek: demo satırına bakın | Yanlışsa: Karar ve eşik sapması bozulur | Kaynak: GİB e-belge tebliğleri</t>
      </text>
    </comment>
    <comment ref="E19" authorId="0" shapeId="0">
      <text>
        <t>Tanım: donem | Neden önemli: e-belge zorunluluk kararını etkiler | Doğru kullanım: Tablo girişi | Örnek: demo satırına bakın | Yanlışsa: Karar ve eşik sapması bozulur | Kaynak: GİB e-belge tebliğleri</t>
      </text>
    </comment>
    <comment ref="A20" authorId="0" shapeId="0">
      <text>
        <t>Tanım: hesapYili | Neden önemli: e-belge zorunluluk kararını etkiler | Doğru kullanım: Tablo girişi | Örnek: demo satırına bakın | Yanlışsa: Karar ve eşik sapması bozulur | Kaynak: GİB e-belge tebliğleri</t>
      </text>
    </comment>
    <comment ref="B20" authorId="0" shapeId="0">
      <text>
        <t>Tanım: hesapYili | Neden önemli: e-belge zorunluluk kararını etkiler | Doğru kullanım: Tablo girişi | Örnek: demo satırına bakın | Yanlışsa: Karar ve eşik sapması bozulur | Kaynak: GİB e-belge tebliğleri</t>
      </text>
    </comment>
    <comment ref="C20" authorId="0" shapeId="0">
      <text>
        <t>Tanım: hesapYili | Neden önemli: e-belge zorunluluk kararını etkiler | Doğru kullanım: Tablo girişi | Örnek: demo satırına bakın | Yanlışsa: Karar ve eşik sapması bozulur | Kaynak: GİB e-belge tebliğleri</t>
      </text>
    </comment>
    <comment ref="D20" authorId="0" shapeId="0">
      <text>
        <t>Tanım: hesapYili | Neden önemli: e-belge zorunluluk kararını etkiler | Doğru kullanım: Tablo girişi | Örnek: demo satırına bakın | Yanlışsa: Karar ve eşik sapması bozulur | Kaynak: GİB e-belge tebliğleri</t>
      </text>
    </comment>
    <comment ref="E20" authorId="0" shapeId="0">
      <text>
        <t>Tanım: hesapYili | Neden önemli: e-belge zorunluluk kararını etkiler | Doğru kullanım: Tablo girişi | Örnek: demo satırına bakın | Yanlışsa: Karar ve eşik sapması bozulur | Kaynak: GİB e-belge tebliğleri</t>
      </text>
    </comment>
    <comment ref="A21" authorId="0" shapeId="0">
      <text>
        <t>Tanım: brut_satis | Neden önemli: e-belge zorunluluk kararını etkiler | Doğru kullanım: Tablo girişi | Örnek: demo satırına bakın | Yanlışsa: Karar ve eşik sapması bozulur | Kaynak: GİB e-belge tebliğleri</t>
      </text>
    </comment>
    <comment ref="B21" authorId="0" shapeId="0">
      <text>
        <t>Tanım: brut_satis | Neden önemli: e-belge zorunluluk kararını etkiler | Doğru kullanım: Tablo girişi | Örnek: demo satırına bakın | Yanlışsa: Karar ve eşik sapması bozulur | Kaynak: GİB e-belge tebliğleri</t>
      </text>
    </comment>
    <comment ref="C21" authorId="0" shapeId="0">
      <text>
        <t>Tanım: brut_satis | Neden önemli: e-belge zorunluluk kararını etkiler | Doğru kullanım: Tablo girişi | Örnek: demo satırına bakın | Yanlışsa: Karar ve eşik sapması bozulur | Kaynak: GİB e-belge tebliğleri</t>
      </text>
    </comment>
    <comment ref="D21" authorId="0" shapeId="0">
      <text>
        <t>Tanım: brut_satis | Neden önemli: e-belge zorunluluk kararını etkiler | Doğru kullanım: Tablo girişi | Örnek: demo satırına bakın | Yanlışsa: Karar ve eşik sapması bozulur | Kaynak: GİB e-belge tebliğleri</t>
      </text>
    </comment>
    <comment ref="E21" authorId="0" shapeId="0">
      <text>
        <t>Tanım: brut_satis | Neden önemli: e-belge zorunluluk kararını etkiler | Doğru kullanım: Tablo girişi | Örnek: demo satırına bakın | Yanlışsa: Karar ve eşik sapması bozulur | Kaynak: GİB e-belge tebliğleri</t>
      </text>
    </comment>
    <comment ref="A22" authorId="0" shapeId="0">
      <text>
        <t>Tanım: ciro_yorum | Neden önemli: e-belge zorunluluk kararını etkiler | Doğru kullanım: Tablo girişi | Örnek: demo satırına bakın | Yanlışsa: Karar ve eşik sapması bozulur | Kaynak: GİB e-belge tebliğleri</t>
      </text>
    </comment>
    <comment ref="B22" authorId="0" shapeId="0">
      <text>
        <t>Tanım: ciro_yorum | Neden önemli: e-belge zorunluluk kararını etkiler | Doğru kullanım: Tablo girişi | Örnek: demo satırına bakın | Yanlışsa: Karar ve eşik sapması bozulur | Kaynak: GİB e-belge tebliğleri</t>
      </text>
    </comment>
    <comment ref="C22" authorId="0" shapeId="0">
      <text>
        <t>Tanım: ciro_yorum | Neden önemli: e-belge zorunluluk kararını etkiler | Doğru kullanım: Tablo girişi | Örnek: demo satırına bakın | Yanlışsa: Karar ve eşik sapması bozulur | Kaynak: GİB e-belge tebliğleri</t>
      </text>
    </comment>
    <comment ref="D22" authorId="0" shapeId="0">
      <text>
        <t>Tanım: ciro_yorum | Neden önemli: e-belge zorunluluk kararını etkiler | Doğru kullanım: Tablo girişi | Örnek: demo satırına bakın | Yanlışsa: Karar ve eşik sapması bozulur | Kaynak: GİB e-belge tebliğleri</t>
      </text>
    </comment>
    <comment ref="E22" authorId="0" shapeId="0">
      <text>
        <t>Tanım: ciro_yorum | Neden önemli: e-belge zorunluluk kararını etkiler | Doğru kullanım: Tablo girişi | Örnek: demo satırına bakın | Yanlışsa: Karar ve eşik sapması bozulur | Kaynak: GİB e-belge tebliğleri</t>
      </text>
    </comment>
    <comment ref="A23" authorId="0" shapeId="0">
      <text>
        <t>Tanım: sektor | Neden önemli: e-belge zorunluluk kararını etkiler | Doğru kullanım: Tablo girişi | Örnek: demo satırına bakın | Yanlışsa: Karar ve eşik sapması bozulur | Kaynak: GİB e-belge tebliğleri</t>
      </text>
    </comment>
    <comment ref="B23" authorId="0" shapeId="0">
      <text>
        <t>Tanım: sektor | Neden önemli: e-belge zorunluluk kararını etkiler | Doğru kullanım: Tablo girişi | Örnek: demo satırına bakın | Yanlışsa: Karar ve eşik sapması bozulur | Kaynak: GİB e-belge tebliğleri</t>
      </text>
    </comment>
    <comment ref="C23" authorId="0" shapeId="0">
      <text>
        <t>Tanım: sektor | Neden önemli: e-belge zorunluluk kararını etkiler | Doğru kullanım: Tablo girişi | Örnek: demo satırına bakın | Yanlışsa: Karar ve eşik sapması bozulur | Kaynak: GİB e-belge tebliğleri</t>
      </text>
    </comment>
    <comment ref="D23" authorId="0" shapeId="0">
      <text>
        <t>Tanım: sektor | Neden önemli: e-belge zorunluluk kararını etkiler | Doğru kullanım: Tablo girişi | Örnek: demo satırına bakın | Yanlışsa: Karar ve eşik sapması bozulur | Kaynak: GİB e-belge tebliğleri</t>
      </text>
    </comment>
    <comment ref="E23" authorId="0" shapeId="0">
      <text>
        <t>Tanım: sektor | Neden önemli: e-belge zorunluluk kararını etkiler | Doğru kullanım: Tablo girişi | Örnek: demo satırına bakın | Yanlışsa: Karar ve eşik sapması bozulur | Kaynak: GİB e-belge tebliğleri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efatura_esik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G7" authorId="0" shapeId="0">
      <text>
        <t>Tanım: efatura_esik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H7" authorId="0" shapeId="0">
      <text>
        <t>Tanım: efatura_esik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F8" authorId="0" shapeId="0">
      <text>
        <t>Tanım: earsiv_esik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G8" authorId="0" shapeId="0">
      <text>
        <t>Tanım: earsiv_esik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H8" authorId="0" shapeId="0">
      <text>
        <t>Tanım: earsiv_esik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F9" authorId="0" shapeId="0">
      <text>
        <t>Tanım: edefter_esik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G9" authorId="0" shapeId="0">
      <text>
        <t>Tanım: edefter_esik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H9" authorId="0" shapeId="0">
      <text>
        <t>Tanım: edefter_esik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F10" authorId="0" shapeId="0">
      <text>
        <t>Tanım: eirsaliye_esik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G10" authorId="0" shapeId="0">
      <text>
        <t>Tanım: eirsaliye_esik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H10" authorId="0" shapeId="0">
      <text>
        <t>Tanım: eirsaliye_esik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F11" authorId="0" shapeId="0">
      <text>
        <t>Tanım: yuvarlama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G11" authorId="0" shapeId="0">
      <text>
        <t>Tanım: yuvarlama | Neden önemli: e-belge zorunluluk kararını etkiler | Doğru kullanım: Yıl bazlı eşik; kaynak kolonuna bakın | Örnek: demo satırına bakın | Yanlışsa: Karar ve eşik sapması bozulur | Kaynak: GİB e-belge tebliğleri</t>
      </text>
    </comment>
    <comment ref="H11" authorId="0" shapeId="0">
      <text>
        <t>Tanım: yuvarlama | Neden önemli: e-belge zorunluluk kararını etkiler | Doğru kullanım: Yıl bazlı eşik; kaynak kolonuna bakın | Örnek: demo satırına bakın | Yanlışsa: Karar ve eşik sapması bozulur | Kaynak: GİB e-belge tebliğleri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6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6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6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6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6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7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7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7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7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7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7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8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8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8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8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8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8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9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9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9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9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9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9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10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10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10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10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10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10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11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11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11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11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11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11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12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12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12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12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12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12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13" authorId="0" shapeId="0">
      <text>
        <t>Tanım: Belge Kimliği | Neden önemli: e-belge zorunluluk kararını etkiler | Doğru kullanım: EBV-##### | Örnek: demo satırına bakın | Yanlışsa: Karar ve eşik sapması bozulur | Kaynak: GİB e-belge tebliğleri</t>
      </text>
    </comment>
    <comment ref="B13" authorId="0" shapeId="0">
      <text>
        <t>Tanım: Belge Adı | Neden önemli: e-belge zorunluluk kararını etkiler | Doğru kullanım: e-belge türü | Örnek: demo satırına bakın | Yanlışsa: Karar ve eşik sapması bozulur | Kaynak: GİB e-belge tebliğleri</t>
      </text>
    </comment>
    <comment ref="C13" authorId="0" shapeId="0">
      <text>
        <t>Tanım: Kural | Neden önemli: e-belge zorunluluk kararını etkiler | Doğru kullanım: EBR-001..004 | Örnek: demo satırına bakın | Yanlışsa: Karar ve eşik sapması bozulur | Kaynak: GİB e-belge tebliğleri</t>
      </text>
    </comment>
    <comment ref="D13" authorId="0" shapeId="0">
      <text>
        <t>Tanım: Durum | Neden önemli: e-belge zorunluluk kararını etkiler | Doğru kullanım: ZORUNLU/HAZIRLIK/ESIK_ALTI | Örnek: demo satırına bakın | Yanlışsa: Karar ve eşik sapması bozulur | Kaynak: GİB e-belge tebliğleri</t>
      </text>
    </comment>
    <comment ref="E13" authorId="0" shapeId="0">
      <text>
        <t>Tanım: Aktif | Neden önemli: e-belge zorunluluk kararını etkiler | Doğru kullanım: Evet veya Hayır | Örnek: demo satırına bakın | Yanlışsa: Karar ve eşik sapması bozulur | Kaynak: GİB e-belge tebliğleri</t>
      </text>
    </comment>
    <comment ref="F13" authorId="0" shapeId="0">
      <text>
        <t>Tanım: Eşik Ref | Neden önemli: e-belge zorunluluk kararını etkiler | Doğru kullanım: Referans eşik TL | Örnek: demo satırına bakın | Yanlışsa: Karar ve eşik sapması bozulur | Kaynak: GİB e-belge tebliğleri</t>
      </text>
    </comment>
    <comment ref="A1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3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3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3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3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3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3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4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4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4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4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4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4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5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5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5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5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5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5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6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6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6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6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6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6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7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7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7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7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7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7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8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8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8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8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8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8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9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9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9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9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9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9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0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0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0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0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0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0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1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1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1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1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1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1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2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2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2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2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2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2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3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3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3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3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3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3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4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4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4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4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4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4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5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5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5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5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5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5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6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6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6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6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6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6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7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7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7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7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7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7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8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8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8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8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8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8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6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6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6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6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6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6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7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7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7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7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7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7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8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8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8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8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8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8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199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199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199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199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199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199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00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00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00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00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00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00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01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01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01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01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01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01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02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02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02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02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02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02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03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03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03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03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03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03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04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04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04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04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04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04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  <comment ref="A205" authorId="0" shapeId="0">
      <text>
        <t>Tanım: BelgeId | Neden önemli: e-belge zorunluluk kararını etkiler | Doğru kullanım: Manuel giriş | Örnek: demo satırına bakın | Yanlışsa: Karar ve eşik sapması bozulur | Kaynak: GİB e-belge tebliğleri</t>
      </text>
    </comment>
    <comment ref="B205" authorId="0" shapeId="0">
      <text>
        <t>Tanım: BelgeAdi | Neden önemli: e-belge zorunluluk kararını etkiler | Doğru kullanım: Manuel giriş | Örnek: demo satırına bakın | Yanlışsa: Karar ve eşik sapması bozulur | Kaynak: GİB e-belge tebliğleri</t>
      </text>
    </comment>
    <comment ref="C205" authorId="0" shapeId="0">
      <text>
        <t>Tanım: KuralId | Neden önemli: e-belge zorunluluk kararını etkiler | Doğru kullanım: Manuel giriş | Örnek: demo satırına bakın | Yanlışsa: Karar ve eşik sapması bozulur | Kaynak: GİB e-belge tebliğleri</t>
      </text>
    </comment>
    <comment ref="D205" authorId="0" shapeId="0">
      <text>
        <t>Tanım: DurumEtiket | Neden önemli: e-belge zorunluluk kararını etkiler | Doğru kullanım: Manuel giriş | Örnek: demo satırına bakın | Yanlışsa: Karar ve eşik sapması bozulur | Kaynak: GİB e-belge tebliğleri</t>
      </text>
    </comment>
    <comment ref="E205" authorId="0" shapeId="0">
      <text>
        <t>Tanım: Aktif | Neden önemli: e-belge zorunluluk kararını etkiler | Doğru kullanım: Manuel giriş | Örnek: demo satırına bakın | Yanlışsa: Karar ve eşik sapması bozulur | Kaynak: GİB e-belge tebliğleri</t>
      </text>
    </comment>
    <comment ref="F205" authorId="0" shapeId="0">
      <text>
        <t>Tanım: EsikReferans | Neden önemli: e-belge zorunluluk kararını etkiler | Doğru kullanım: Manuel giriş | Örnek: demo satırına bakın | Yanlışsa: Karar ve eşik sapması bozulur | Kaynak: GİB e-belge tebliğleri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6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6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6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6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6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6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6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6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6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6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7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7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7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7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7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7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7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7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7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7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7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8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8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8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8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8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8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8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8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8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8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8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9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9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9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9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9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9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9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9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9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9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9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0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0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0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0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0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0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0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0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0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0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0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1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1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1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1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1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1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1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1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1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1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1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2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2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2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2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2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2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2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2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2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2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2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3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3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3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3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3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3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3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3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3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3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3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4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4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4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4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4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4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4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4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4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4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4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5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5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5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5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5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5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5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5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5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5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5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6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6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6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6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6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6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6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6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6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6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6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7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7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7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7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7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7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7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7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7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7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7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8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8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8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8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8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8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8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8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8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8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8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19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19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19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19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19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19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19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19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19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19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19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20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20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20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20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20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20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20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20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20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20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20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21" authorId="0" shapeId="0">
      <text>
        <t>Tanım: Eylem Kimliği | Neden önemli: e-belge zorunluluk kararını etkiler | Doğru kullanım: EYL-##### | Örnek: demo satırına bakın | Yanlışsa: Karar ve eşik sapması bozulur | Kaynak: GİB e-belge tebliğleri</t>
      </text>
    </comment>
    <comment ref="B21" authorId="0" shapeId="0">
      <text>
        <t>Tanım: Kaynak Belge | Neden önemli: e-belge zorunluluk kararını etkiler | Doğru kullanım: ENVANTER BelgeId | Örnek: demo satırına bakın | Yanlışsa: Karar ve eşik sapması bozulur | Kaynak: GİB e-belge tebliğleri</t>
      </text>
    </comment>
    <comment ref="C21" authorId="0" shapeId="0">
      <text>
        <t>Tanım: Tarih | Neden önemli: e-belge zorunluluk kararını etkiler | Doğru kullanım: Açılış tarihi | Örnek: demo satırına bakın | Yanlışsa: Karar ve eşik sapması bozulur | Kaynak: GİB e-belge tebliğleri</t>
      </text>
    </comment>
    <comment ref="D21" authorId="0" shapeId="0">
      <text>
        <t>Tanım: Termin | Neden önemli: e-belge zorunluluk kararını etkiler | Doğru kullanım: Hedef bitiş | Örnek: demo satırına bakın | Yanlışsa: Karar ve eşik sapması bozulur | Kaynak: GİB e-belge tebliğleri</t>
      </text>
    </comment>
    <comment ref="E21" authorId="0" shapeId="0">
      <text>
        <t>Tanım: Önceki Durum | Neden önemli: e-belge zorunluluk kararını etkiler | Doğru kullanım: Önceki durum_id | Örnek: demo satırına bakın | Yanlışsa: Karar ve eşik sapması bozulur | Kaynak: GİB e-belge tebliğleri</t>
      </text>
    </comment>
    <comment ref="F21" authorId="0" shapeId="0">
      <text>
        <t>Tanım: Durum | Neden önemli: e-belge zorunluluk kararını etkiler | Doğru kullanım: Durum haritasından | Örnek: demo satırına bakın | Yanlışsa: Karar ve eşik sapması bozulur | Kaynak: GİB e-belge tebliğleri</t>
      </text>
    </comment>
    <comment ref="G21" authorId="0" shapeId="0">
      <text>
        <t>Tanım: Sorumlu | Neden önemli: e-belge zorunluluk kararını etkiler | Doğru kullanım: Sorumlu kişi | Örnek: demo satırına bakın | Yanlışsa: Karar ve eşik sapması bozulur | Kaynak: GİB e-belge tebliğleri</t>
      </text>
    </comment>
    <comment ref="H21" authorId="0" shapeId="0">
      <text>
        <t>Tanım: Açıklama | Neden önemli: e-belge zorunluluk kararını etkiler | Doğru kullanım: Kısa açıklama | Örnek: demo satırına bakın | Yanlışsa: Karar ve eşik sapması bozulur | Kaynak: GİB e-belge tebliğleri</t>
      </text>
    </comment>
    <comment ref="I21" authorId="0" shapeId="0">
      <text>
        <t>Tanım: İlk Skor | Neden önemli: e-belge zorunluluk kararını etkiler | Doğru kullanım: Başlangıç | Örnek: demo satırına bakın | Yanlışsa: Karar ve eşik sapması bozulur | Kaynak: GİB e-belge tebliğleri</t>
      </text>
    </comment>
    <comment ref="J21" authorId="0" shapeId="0">
      <text>
        <t>Tanım: Hedef Skor | Neden önemli: e-belge zorunluluk kararını etkiler | Doğru kullanım: Hedef | Örnek: demo satırına bakın | Yanlışsa: Karar ve eşik sapması bozulur | Kaynak: GİB e-belge tebliğleri</t>
      </text>
    </comment>
    <comment ref="K21" authorId="0" shapeId="0">
      <text>
        <t>Tanım: Tutar | Neden önemli: e-belge zorunluluk kararını etkiler | Doğru kullanım: Maliyet TL | Örnek: demo satırına bakın | Yanlışsa: Karar ve eşik sapması bozulur | Kaynak: GİB e-belge tebliğleri</t>
      </text>
    </comment>
    <comment ref="A2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3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3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3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3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3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3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3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3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3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3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3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4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4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4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4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4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4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4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4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4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4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4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5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5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5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5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5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5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5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5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5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5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5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6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6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6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6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6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6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6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6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6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6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6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7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7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7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7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7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7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7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7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7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7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7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8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8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8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8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8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8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8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8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8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8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8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9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9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9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9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9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9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9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9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9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9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9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0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0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0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0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0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0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0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0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0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0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0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1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1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1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1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1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1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1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1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1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1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1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2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2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2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2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2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2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2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2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2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2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2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3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3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3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3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3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3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3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3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3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3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3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4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4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4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4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4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4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4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4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4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4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4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5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5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5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5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5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5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5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5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5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5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5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6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6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6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6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6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6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6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6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6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6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6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7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7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7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7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7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7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7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7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7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7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7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8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8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8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8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8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8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8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8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8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8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8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6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6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6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6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6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6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6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6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6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6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6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7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7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7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7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7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7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7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7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7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7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7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8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8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8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8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8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8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8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8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8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8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8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199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199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199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199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199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199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199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199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199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199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199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00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00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00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00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00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00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00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00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00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00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00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01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01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01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01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01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01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01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01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01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01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01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02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02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02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02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02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02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02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02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02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02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02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03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03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03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03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03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03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03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03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03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03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03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04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04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04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04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04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04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04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04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04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04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04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  <comment ref="A205" authorId="0" shapeId="0">
      <text>
        <t>Tanım: EylemId | Neden önemli: e-belge zorunluluk kararını etkiler | Doğru kullanım: Manuel giriş | Örnek: demo satırına bakın | Yanlışsa: Karar ve eşik sapması bozulur | Kaynak: GİB e-belge tebliğleri</t>
      </text>
    </comment>
    <comment ref="B205" authorId="0" shapeId="0">
      <text>
        <t>Tanım: KaynakBelgeId | Neden önemli: e-belge zorunluluk kararını etkiler | Doğru kullanım: Manuel giriş | Örnek: demo satırına bakın | Yanlışsa: Karar ve eşik sapması bozulur | Kaynak: GİB e-belge tebliğleri</t>
      </text>
    </comment>
    <comment ref="C205" authorId="0" shapeId="0">
      <text>
        <t>Tanım: Tarih | Neden önemli: e-belge zorunluluk kararını etkiler | Doğru kullanım: Manuel giriş | Örnek: demo satırına bakın | Yanlışsa: Karar ve eşik sapması bozulur | Kaynak: GİB e-belge tebliğleri</t>
      </text>
    </comment>
    <comment ref="D205" authorId="0" shapeId="0">
      <text>
        <t>Tanım: Termin | Neden önemli: e-belge zorunluluk kararını etkiler | Doğru kullanım: Manuel giriş | Örnek: demo satırına bakın | Yanlışsa: Karar ve eşik sapması bozulur | Kaynak: GİB e-belge tebliğleri</t>
      </text>
    </comment>
    <comment ref="E205" authorId="0" shapeId="0">
      <text>
        <t>Tanım: OncekiDurum | Neden önemli: e-belge zorunluluk kararını etkiler | Doğru kullanım: Manuel giriş | Örnek: demo satırına bakın | Yanlışsa: Karar ve eşik sapması bozulur | Kaynak: GİB e-belge tebliğleri</t>
      </text>
    </comment>
    <comment ref="F205" authorId="0" shapeId="0">
      <text>
        <t>Tanım: Durum | Neden önemli: e-belge zorunluluk kararını etkiler | Doğru kullanım: Manuel giriş | Örnek: demo satırına bakın | Yanlışsa: Karar ve eşik sapması bozulur | Kaynak: GİB e-belge tebliğleri</t>
      </text>
    </comment>
    <comment ref="G205" authorId="0" shapeId="0">
      <text>
        <t>Tanım: Sorumlu | Neden önemli: e-belge zorunluluk kararını etkiler | Doğru kullanım: Manuel giriş | Örnek: demo satırına bakın | Yanlışsa: Karar ve eşik sapması bozulur | Kaynak: GİB e-belge tebliğleri</t>
      </text>
    </comment>
    <comment ref="H205" authorId="0" shapeId="0">
      <text>
        <t>Tanım: Aciklama | Neden önemli: e-belge zorunluluk kararını etkiler | Doğru kullanım: Manuel giriş | Örnek: demo satırına bakın | Yanlışsa: Karar ve eşik sapması bozulur | Kaynak: GİB e-belge tebliğleri</t>
      </text>
    </comment>
    <comment ref="I205" authorId="0" shapeId="0">
      <text>
        <t>Tanım: IlkSkor | Neden önemli: e-belge zorunluluk kararını etkiler | Doğru kullanım: Manuel giriş | Örnek: demo satırına bakın | Yanlışsa: Karar ve eşik sapması bozulur | Kaynak: GİB e-belge tebliğleri</t>
      </text>
    </comment>
    <comment ref="J205" authorId="0" shapeId="0">
      <text>
        <t>Tanım: HedefSkor | Neden önemli: e-belge zorunluluk kararını etkiler | Doğru kullanım: Manuel giriş | Örnek: demo satırına bakın | Yanlışsa: Karar ve eşik sapması bozulur | Kaynak: GİB e-belge tebliğleri</t>
      </text>
    </comment>
    <comment ref="K205" authorId="0" shapeId="0">
      <text>
        <t>Tanım: Tutar | Neden önemli: e-belge zorunluluk kararını etkiler | Doğru kullanım: Manuel giriş | Örnek: demo satırına bakın | Yanlışsa: Karar ve eşik sapması bozulur | Kaynak: GİB e-belge tebliğleri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22" authorId="0" shapeId="0">
      <text>
        <t>Tanım: Hazırlayan | Neden önemli: e-belge zorunluluk kararını etkiler | Doğru kullanım: İmza / onay alanı | Örnek: demo satırına bakın | Yanlışsa: Karar ve eşik sapması bozulur | Kaynak: GİB e-belge tebliğleri</t>
      </text>
    </comment>
    <comment ref="B23" authorId="0" shapeId="0">
      <text>
        <t>Tanım: Kontrol eden | Neden önemli: e-belge zorunluluk kararını etkiler | Doğru kullanım: İmza / onay alanı | Örnek: demo satırına bakın | Yanlışsa: Karar ve eşik sapması bozulur | Kaynak: GİB e-belge tebliğleri</t>
      </text>
    </comment>
    <comment ref="B25" authorId="0" shapeId="0">
      <text>
        <t>Tanım: Kaşe / imza | Neden önemli: e-belge zorunluluk kararını etkiler | Doğru kullanım: İmza / onay alanı | Örnek: demo satırına bakın | Yanlışsa: Karar ve eşik sapması bozulur | Kaynak: GİB e-belge tebliğleri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brüt satış?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Ciro sıfır mı? | Canlı formül | Değiştirmeyin</t>
      </text>
    </comment>
    <comment ref="B9" authorId="0" shapeId="0">
      <text>
        <t>Tanım: Vaka fark toplamı | Canlı formül | Değiştirmeyin</t>
      </text>
    </comment>
    <comment ref="B10" authorId="0" shapeId="0">
      <text>
        <t>Tanım: Yetim kayıt var mı? | Canlı formül | Değiştirmeyin</t>
      </text>
    </comment>
    <comment ref="B11" authorId="0" shapeId="0">
      <text>
        <t>Tanım: Geçersiz geçiş var mı?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e-belge zorunluluk kararını etkiler | Doğru kullanım: Örnek satır | Örnek: demo satırına bakın | Yanlışsa: Karar ve eşik sapması bozulur | Kaynak: GİB e-belge tebliğleri</t>
      </text>
    </comment>
    <comment ref="B6" authorId="0" shapeId="0">
      <text>
        <t>Tanım: BrutSatis | Neden önemli: e-belge zorunluluk kararını etkiler | Doğru kullanım: Örnek satır | Örnek: demo satırına bakın | Yanlışsa: Karar ve eşik sapması bozulur | Kaynak: GİB e-belge tebliğleri</t>
      </text>
    </comment>
    <comment ref="C6" authorId="0" shapeId="0">
      <text>
        <t>Tanım: HesapYili | Neden önemli: e-belge zorunluluk kararını etkiler | Doğru kullanım: Örnek satır | Örnek: demo satırına bakın | Yanlışsa: Karar ve eşik sapması bozulur | Kaynak: GİB e-belge tebliğleri</t>
      </text>
    </comment>
    <comment ref="D6" authorId="0" shapeId="0">
      <text>
        <t>Tanım: CiroYorum | Neden önemli: e-belge zorunluluk kararını etkiler | Doğru kullanım: Örnek satır | Örnek: demo satırına bakın | Yanlışsa: Karar ve eşik sapması bozulur | Kaynak: GİB e-belge tebliğleri</t>
      </text>
    </comment>
    <comment ref="A7" authorId="0" shapeId="0">
      <text>
        <t>Tanım: Senaryo | Neden önemli: e-belge zorunluluk kararını etkiler | Doğru kullanım: Örnek satır | Örnek: demo satırına bakın | Yanlışsa: Karar ve eşik sapması bozulur | Kaynak: GİB e-belge tebliğleri</t>
      </text>
    </comment>
    <comment ref="B7" authorId="0" shapeId="0">
      <text>
        <t>Tanım: BrutSatis | Neden önemli: e-belge zorunluluk kararını etkiler | Doğru kullanım: Örnek satır | Örnek: demo satırına bakın | Yanlışsa: Karar ve eşik sapması bozulur | Kaynak: GİB e-belge tebliğleri</t>
      </text>
    </comment>
    <comment ref="C7" authorId="0" shapeId="0">
      <text>
        <t>Tanım: HesapYili | Neden önemli: e-belge zorunluluk kararını etkiler | Doğru kullanım: Örnek satır | Örnek: demo satırına bakın | Yanlışsa: Karar ve eşik sapması bozulur | Kaynak: GİB e-belge tebliğleri</t>
      </text>
    </comment>
    <comment ref="D7" authorId="0" shapeId="0">
      <text>
        <t>Tanım: CiroYorum | Neden önemli: e-belge zorunluluk kararını etkiler | Doğru kullanım: Örnek satır | Örnek: demo satırına bakın | Yanlışsa: Karar ve eşik sapması bozulur | Kaynak: GİB e-belge tebliğleri</t>
      </text>
    </comment>
    <comment ref="A8" authorId="0" shapeId="0">
      <text>
        <t>Tanım: Senaryo | Neden önemli: e-belge zorunluluk kararını etkiler | Doğru kullanım: Örnek satır | Örnek: demo satırına bakın | Yanlışsa: Karar ve eşik sapması bozulur | Kaynak: GİB e-belge tebliğleri</t>
      </text>
    </comment>
    <comment ref="B8" authorId="0" shapeId="0">
      <text>
        <t>Tanım: BrutSatis | Neden önemli: e-belge zorunluluk kararını etkiler | Doğru kullanım: Örnek satır | Örnek: demo satırına bakın | Yanlışsa: Karar ve eşik sapması bozulur | Kaynak: GİB e-belge tebliğleri</t>
      </text>
    </comment>
    <comment ref="C8" authorId="0" shapeId="0">
      <text>
        <t>Tanım: HesapYili | Neden önemli: e-belge zorunluluk kararını etkiler | Doğru kullanım: Örnek satır | Örnek: demo satırına bakın | Yanlışsa: Karar ve eşik sapması bozulur | Kaynak: GİB e-belge tebliğleri</t>
      </text>
    </comment>
    <comment ref="D8" authorId="0" shapeId="0">
      <text>
        <t>Tanım: CiroYorum | Neden önemli: e-belge zorunluluk kararını etkiler | Doğru kullanım: Örnek satır | Örnek: demo satırına bakın | Yanlışsa: Karar ve eşik sapması bozulur | Kaynak: GİB e-belge tebliğleri</t>
      </text>
    </comment>
    <comment ref="A9" authorId="0" shapeId="0">
      <text>
        <t>Tanım: Senaryo | Neden önemli: e-belge zorunluluk kararını etkiler | Doğru kullanım: Örnek satır | Örnek: demo satırına bakın | Yanlışsa: Karar ve eşik sapması bozulur | Kaynak: GİB e-belge tebliğleri</t>
      </text>
    </comment>
    <comment ref="B9" authorId="0" shapeId="0">
      <text>
        <t>Tanım: BrutSatis | Neden önemli: e-belge zorunluluk kararını etkiler | Doğru kullanım: Örnek satır | Örnek: demo satırına bakın | Yanlışsa: Karar ve eşik sapması bozulur | Kaynak: GİB e-belge tebliğleri</t>
      </text>
    </comment>
    <comment ref="C9" authorId="0" shapeId="0">
      <text>
        <t>Tanım: HesapYili | Neden önemli: e-belge zorunluluk kararını etkiler | Doğru kullanım: Örnek satır | Örnek: demo satırına bakın | Yanlışsa: Karar ve eşik sapması bozulur | Kaynak: GİB e-belge tebliğleri</t>
      </text>
    </comment>
    <comment ref="D9" authorId="0" shapeId="0">
      <text>
        <t>Tanım: CiroYorum | Neden önemli: e-belge zorunluluk kararını etkiler | Doğru kullanım: Örnek satır | Örnek: demo satırına bakın | Yanlışsa: Karar ve eşik sapması bozulur | Kaynak: GİB e-belge tebliğleri</t>
      </text>
    </comment>
    <comment ref="A10" authorId="0" shapeId="0">
      <text>
        <t>Tanım: Senaryo | Neden önemli: e-belge zorunluluk kararını etkiler | Doğru kullanım: Örnek satır | Örnek: demo satırına bakın | Yanlışsa: Karar ve eşik sapması bozulur | Kaynak: GİB e-belge tebliğleri</t>
      </text>
    </comment>
    <comment ref="B10" authorId="0" shapeId="0">
      <text>
        <t>Tanım: BrutSatis | Neden önemli: e-belge zorunluluk kararını etkiler | Doğru kullanım: Örnek satır | Örnek: demo satırına bakın | Yanlışsa: Karar ve eşik sapması bozulur | Kaynak: GİB e-belge tebliğleri</t>
      </text>
    </comment>
    <comment ref="C10" authorId="0" shapeId="0">
      <text>
        <t>Tanım: HesapYili | Neden önemli: e-belge zorunluluk kararını etkiler | Doğru kullanım: Örnek satır | Örnek: demo satırına bakın | Yanlışsa: Karar ve eşik sapması bozulur | Kaynak: GİB e-belge tebliğleri</t>
      </text>
    </comment>
    <comment ref="D10" authorId="0" shapeId="0">
      <text>
        <t>Tanım: CiroYorum | Neden önemli: e-belge zorunluluk kararını etkiler | Doğru kullanım: Örnek satır | Örnek: demo satırına bakın | Yanlışsa: Karar ve eşik sapması bozulur | Kaynak: GİB e-belge tebliğleri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e-belge zorunluluk kararını etkiler | Doğru kullanım: Rapor tarihi (TODAY yasak) | Örnek: demo satırına bakın | Yanlışsa: Karar ve eşik sapması bozulur | Kaynak: GİB e-belge tebliğleri</t>
      </text>
    </comment>
    <comment ref="B7" authorId="0" shapeId="0">
      <text>
        <t>Tanım: zincirTolerans | Neden önemli: e-belge zorunluluk kararını etkiler | Doğru kullanım: ZİNCİR KIRIK eşiği | Örnek: demo satırına bakın | Yanlışsa: Karar ve eşik sapması bozulur | Kaynak: GİB e-belge tebliğleri</t>
      </text>
    </comment>
    <comment ref="B8" authorId="0" shapeId="0">
      <text>
        <t>Tanım: ebr_tolerans | Neden önemli: e-belge zorunluluk kararını etkiler | Doğru kullanım: Vaka fark toleransı | Örnek: demo satırına bakın | Yanlışsa: Karar ve eşik sapması bozulur | Kaynak: GİB e-belge tebliğleri</t>
      </text>
    </comment>
    <comment ref="B9" authorId="0" shapeId="0">
      <text>
        <t>Tanım: ebr_kararEsik | Neden önemli: e-belge zorunluluk kararını etkiler | Doğru kullanım: ZORUNLU min belge | Örnek: demo satırına bakın | Yanlışsa: Karar ve eşik sapması bozulur | Kaynak: GİB e-belge tebliğleri</t>
      </text>
    </comment>
    <comment ref="B10" authorId="0" shapeId="0">
      <text>
        <t>Tanım: ebr_senaryoIyi | Neden önemli: e-belge zorunluluk kararını etkiler | Doğru kullanım: İyimser ciro çarpanı | Örnek: demo satırına bakın | Yanlışsa: Karar ve eşik sapması bozulur | Kaynak: GİB e-belge tebliğleri</t>
      </text>
    </comment>
    <comment ref="B11" authorId="0" shapeId="0">
      <text>
        <t>Tanım: ebr_senaryoKotu | Neden önemli: e-belge zorunluluk kararını etkiler | Doğru kullanım: Kötümser ciro çarpanı | Örnek: demo satırına bakın | Yanlışsa: Karar ve eşik sapması bozulur | Kaynak: GİB e-belge tebliğleri</t>
      </text>
    </comment>
    <comment ref="B12" authorId="0" shapeId="0">
      <text>
        <t>Tanım: ebr_esikArtisCarpan | Neden önemli: e-belge zorunluluk kararını etkiler | Doğru kullanım: Eşik artışı çarpanı | Örnek: demo satırına bakın | Yanlışsa: Karar ve eşik sapması bozulur | Kaynak: GİB e-belge tebliğleri</t>
      </text>
    </comment>
    <comment ref="B13" authorId="0" shapeId="0">
      <text>
        <t>Tanım: ebr_tahminAlt | Neden önemli: e-belge zorunluluk kararını etkiler | Doğru kullanım: Tahmin alt | Örnek: demo satırına bakın | Yanlışsa: Karar ve eşik sapması bozulur | Kaynak: GİB e-belge tebliğleri</t>
      </text>
    </comment>
    <comment ref="B14" authorId="0" shapeId="0">
      <text>
        <t>Tanım: ebr_tahminUst | Neden önemli: e-belge zorunluluk kararını etkiler | Doğru kullanım: Tahmin üst | Örnek: demo satırına bakın | Yanlışsa: Karar ve eşik sapması bozulur | Kaynak: GİB e-belge tebliğleri</t>
      </text>
    </comment>
    <comment ref="B15" authorId="0" shapeId="0">
      <text>
        <t>Tanım: ebr_tornadoCiro | Neden önemli: e-belge zorunluluk kararını etkiler | Doğru kullanım: Tornado ciro | Örnek: demo satırına bakın | Yanlışsa: Karar ve eşik sapması bozulur | Kaynak: GİB e-belge tebliğleri</t>
      </text>
    </comment>
    <comment ref="B16" authorId="0" shapeId="0">
      <text>
        <t>Tanım: ebr_yorumACarpan | Neden önemli: e-belge zorunluluk kararını etkiler | Doğru kullanım: Yorum A çarpanı | Örnek: demo satırına bakın | Yanlışsa: Karar ve eşik sapması bozulur | Kaynak: GİB e-belge tebliğleri</t>
      </text>
    </comment>
    <comment ref="B17" authorId="0" shapeId="0">
      <text>
        <t>Tanım: ebr_yuzdelikOran | Neden önemli: e-belge zorunluluk kararını etkiler | Doğru kullanım: P90 oranı | Örnek: demo satırına bakın | Yanlışsa: Karar ve eşik sapması bozulur | Kaynak: GİB e-belge tebliğleri</t>
      </text>
    </comment>
    <comment ref="B18" authorId="0" shapeId="0">
      <text>
        <t>Tanım: ebr_parmakIzi | Neden önemli: e-belge zorunluluk kararını etkiler | Doğru kullanım: SHA parmak izi | Örnek: demo satırına bakın | Yanlışsa: Karar ve eşik sapması bozulur | Kaynak: GİB e-belge tebliğleri</t>
      </text>
    </comment>
    <comment ref="B19" authorId="0" shapeId="0">
      <text>
        <t>Tanım: ebr_girisBeklenen | Neden önemli: e-belge zorunluluk kararını etkiler | Doğru kullanım: Beklenen giriş | Örnek: demo satırına bakın | Yanlışsa: Karar ve eşik sapması bozulur | Kaynak: GİB e-belge tebliğleri</t>
      </text>
    </comment>
    <comment ref="B20" authorId="0" shapeId="0">
      <text>
        <t>Tanım: ebr_riskDusuk | Neden önemli: e-belge zorunluluk kararını etkiler | Doğru kullanım: Düşük risk | Örnek: demo satırına bakın | Yanlışsa: Karar ve eşik sapması bozulur | Kaynak: GİB e-belge tebliğleri</t>
      </text>
    </comment>
    <comment ref="B21" authorId="0" shapeId="0">
      <text>
        <t>Tanım: ebr_riskOrta | Neden önemli: e-belge zorunluluk kararını etkiler | Doğru kullanım: Orta risk | Örnek: demo satırına bakın | Yanlışsa: Karar ve eşik sapması bozulur | Kaynak: GİB e-belge tebliğleri</t>
      </text>
    </comment>
    <comment ref="B22" authorId="0" shapeId="0">
      <text>
        <t>Tanım: ebr_riskYuksek | Neden önemli: e-belge zorunluluk kararını etkiler | Doğru kullanım: Yüksek risk | Örnek: demo satırına bakın | Yanlışsa: Karar ve eşik sapması bozulur | Kaynak: GİB e-belge tebliğleri</t>
      </text>
    </comment>
    <comment ref="B23" authorId="0" shapeId="0">
      <text>
        <t>Tanım: ebr_yilTaban | Neden önemli: e-belge zorunluluk kararını etkiler | Doğru kullanım: CHOOSE yıl tabanı | Örnek: demo satırına bakın | Yanlışsa: Karar ve eşik sapması bozulur | Kaynak: GİB e-belge tebliğleri</t>
      </text>
    </comment>
    <comment ref="B24" authorId="0" shapeId="0">
      <text>
        <t>Tanım: ebr_yuvarMax | Neden önemli: e-belge zorunluluk kararını etkiler | Doğru kullanım: Yuvarlama tavanı | Örnek: demo satırına bakın | Yanlışsa: Karar ve eşik sapması bozulur | Kaynak: GİB e-belge tebliğleri</t>
      </text>
    </comment>
    <comment ref="B25" authorId="0" shapeId="0">
      <text>
        <t>Tanım: vaka_ciro_1 | Neden önemli: e-belge zorunluluk kararını etkiler | Doğru kullanım: Vaka 1 ciro | Örnek: demo satırına bakın | Yanlışsa: Karar ve eşik sapması bozulur | Kaynak: GİB e-belge tebliğleri</t>
      </text>
    </comment>
    <comment ref="B26" authorId="0" shapeId="0">
      <text>
        <t>Tanım: vaka_ciro_2 | Neden önemli: e-belge zorunluluk kararını etkiler | Doğru kullanım: Vaka 2 ciro | Örnek: demo satırına bakın | Yanlışsa: Karar ve eşik sapması bozulur | Kaynak: GİB e-belge tebliğleri</t>
      </text>
    </comment>
    <comment ref="B27" authorId="0" shapeId="0">
      <text>
        <t>Tanım: vaka_ciro_3 | Neden önemli: e-belge zorunluluk kararını etkiler | Doğru kullanım: Vaka 3 ciro | Örnek: demo satırına bakın | Yanlışsa: Karar ve eşik sapması bozulur | Kaynak: GİB e-belge tebliğleri</t>
      </text>
    </comment>
    <comment ref="B28" authorId="0" shapeId="0">
      <text>
        <t>Tanım: vaka_ciro_4 | Neden önemli: e-belge zorunluluk kararını etkiler | Doğru kullanım: Vaka 4 ciro | Örnek: demo satırına bakın | Yanlışsa: Karar ve eşik sapması bozulur | Kaynak: GİB e-belge tebliğleri</t>
      </text>
    </comment>
    <comment ref="B29" authorId="0" shapeId="0">
      <text>
        <t>Tanım: ebr_esikGecikmeGun | Neden önemli: e-belge zorunluluk kararını etkiler | Doğru kullanım: Gecikme eşiği gün | Örnek: demo satırına bakın | Yanlışsa: Karar ve eşik sapması bozulur | Kaynak: GİB e-belge tebliğleri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17:F1016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Row],[kural_id]]="","",IFERROR(CHOOSE(MAX(1,MIN(3,IF(OR(hesapYili="",hesapYili=0),1,hesapYili-ebr_yilTaban))),tblKurallar[[#This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Envanter" displayName="tblEnvanter" ref="A5:H205" headerRowCount="1">
  <tableColumns count="8">
    <tableColumn id="1" name="BelgeId"/>
    <tableColumn id="2" name="BelgeAdi"/>
    <tableColumn id="3" name="KuralId"/>
    <tableColumn id="4" name="DurumEtiket"/>
    <tableColumn id="5" name="Aktif"/>
    <tableColumn id="6" name="EsikReferans"/>
    <tableColumn id="7" name="KayitDolu">
      <calculatedColumnFormula>IF(tblEnvanter[[#This Row],[BelgeId]]="","",1)</calculatedColumnFormula>
    </tableColumn>
    <tableColumn id="8" name="ZorunluBayrak">
      <calculatedColumnFormula>IF(tblEnvanter[[#This Row],[BelgeId]]="","",IF(OR(tblEnvanter[[#This Row],[DurumEtiket]]="ZORUNLU",tblEnvanter[[#This Row],[DurumEtiket]]="HAZIRLIK"),1,0))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Eylem" displayName="tblEylem" ref="A5:Q205" headerRowCount="1">
  <tableColumns count="17">
    <tableColumn id="1" name="EylemId"/>
    <tableColumn id="2" name="KaynakBelgeId"/>
    <tableColumn id="3" name="Tarih"/>
    <tableColumn id="4" name="Termin"/>
    <tableColumn id="5" name="OncekiDurum"/>
    <tableColumn id="6" name="Durum"/>
    <tableColumn id="7" name="Sorumlu"/>
    <tableColumn id="8" name="Aciklama"/>
    <tableColumn id="9" name="IlkSkor"/>
    <tableColumn id="10" name="HedefSkor"/>
    <tableColumn id="11" name="Tutar"/>
    <tableColumn id="12" name="YasGun">
      <calculatedColumnFormula>IF(tblEylem[[#This Row],[EylemId]]="","",IF(tblEylem[[#This Row],[Tarih]]="","",raporTarihi-tblEylem[[#This Row],[Tarih]]))</calculatedColumnFormula>
    </tableColumn>
    <tableColumn id="13" name="YasKova">
      <calculatedColumnFormula>IF(tblEylem[[#This Row],[EylemId]]="","",IF(tblEylem[[#This Row],[YasGun]]="","",IF(tblEylem[[#This Row],[YasGun]]&lt;=7,"0-7",IF(tblEylem[[#This Row],[YasGun]]&lt;=30,"8-30",IF(tblEylem[[#This Row],[YasGun]]&lt;=60,"31-60","60+")))))</calculatedColumnFormula>
    </tableColumn>
    <tableColumn id="14" name="YetimBayrak">
      <calculatedColumnFormula>IF(tblEylem[[#This Row],[EylemId]]="","",IF(tblEylem[[#This Row],[KaynakBelgeId]]="","YETİM",IF(COUNTIF(tblEnvanter[BelgeId],tblEylem[[#This Row],[KaynakBelgeId]])=0,"YETİM","")))</calculatedColumnFormula>
    </tableColumn>
    <tableColumn id="15" name="GecisUyarisi">
      <calculatedColumnFormula>IF(OR(tblEylem[[#This Row],[EylemId]]="",tblEylem[[#This Row],[OncekiDurum]]=""),"",IF(OR(tblEylem[[#This Row],[OncekiDurum]]&amp;"|"&amp;tblEylem[[#This Row],[Durum]]="",COUNTIF(ListeIzinliGecis,tblEylem[[#This Row],[OncekiDurum]]&amp;"|"&amp;tblEylem[[#This Row],[Durum]])&gt;0),"","GEÇERSİZ GEÇİŞ"))</calculatedColumnFormula>
    </tableColumn>
    <tableColumn id="16" name="ZincirBayrak">
      <calculatedColumnFormula>IF(tblEylem[[#This Row],[EylemId]]="","",IF(OR(tblEylem[[#This Row],[IlkSkor]]="",tblEylem[[#This Row],[HedefSkor]]=""),"",IF(ABS(tblEylem[[#This Row],[HedefSkor]]-tblEylem[[#This Row],[IlkSkor]])&gt;zincirTolerans,"ZİNCİR KIRIK","OK")))</calculatedColumnFormula>
    </tableColumn>
    <tableColumn id="17" name="KayitDolu">
      <calculatedColumnFormula>IF(tblEylem[[#This Row],[EylemId]]="","",1)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F1004" headerRowCount="1">
  <tableColumns count="6">
    <tableColumn id="1" name="Senaryo"/>
    <tableColumn id="2" name="BrutSatis"/>
    <tableColumn id="3" name="HesapYili"/>
    <tableColumn id="4" name="CiroYorum"/>
    <tableColumn id="5" name="EfaturaZorunlu">
      <calculatedColumnFormula>=IF(tblOrnek[[#This Row],[Senaryo]]="","",IFERROR(IF(tblOrnek[[#This Row],[BrutSatis]]&gt;=INDEX(tblKurallar[deger_2025],MATCH("EBR-001",tblKurallar[kural_id],0)),1,0),0))</calculatedColumnFormula>
    </tableColumn>
    <tableColumn id="6" name="EarsivZorunlu">
      <calculatedColumnFormula>=IF(tblOrnek[[#This Row],[Senaryo]]="","",IFERROR(IF(tblOrnek[[#This Row],[BrutSatis]]&gt;=INDEX(tblKurallar[deger_2025],MATCH("EBR-002",tblKurallar[kural_id],0)),1,0),0))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EXCELARŞİV KARAR SİSTEMİ v15.1 — ÜRETİM REFERANSI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4" customHeight="1">
      <c r="A3" s="165" t="inlineStr">
        <is>
          <t>Konu</t>
        </is>
      </c>
      <c r="B3" s="165" t="inlineStr">
        <is>
          <t>Bağlayıcı Standart</t>
        </is>
      </c>
    </row>
    <row r="4">
      <c r="A4" s="166" t="inlineStr">
        <is>
          <t>Amaç</t>
        </is>
      </c>
      <c r="B4" s="167" t="inlineStr">
        <is>
          <t>Kanıta dayalı, hatada kapalı çalışan Excel üretim ve denetim sistemi</t>
        </is>
      </c>
    </row>
    <row r="5">
      <c r="A5" s="166" t="inlineStr">
        <is>
          <t>Öncelik</t>
        </is>
      </c>
      <c r="B5" s="167" t="inlineStr">
        <is>
          <t>Kullanıcının açık iş talebi ve gerçek kullanım senaryosu</t>
        </is>
      </c>
    </row>
    <row r="6">
      <c r="A6" s="166" t="inlineStr">
        <is>
          <t>Ana akış</t>
        </is>
      </c>
      <c r="B6" s="167" t="inlineStr">
        <is>
          <t>Uygunluk → Yönetişim → Sözleşmeler → Üretim → Test → Kanıt → Kullanıcı Kabulü → Yayın</t>
        </is>
      </c>
    </row>
    <row r="7">
      <c r="A7" s="166" t="inlineStr">
        <is>
          <t>Yayın ilkesi</t>
        </is>
      </c>
      <c r="B7" s="167" t="inlineStr">
        <is>
          <t>Üst aşamada hata varsa alt aşama GEÇTİ üretilemez</t>
        </is>
      </c>
    </row>
    <row r="8">
      <c r="A8" s="166" t="inlineStr">
        <is>
          <t>Kullanıcı kabulü</t>
        </is>
      </c>
      <c r="B8" s="167" t="inlineStr">
        <is>
          <t>Excel masaüstü görünümü test edilmediyse DIŞ_KABUL_GEREKLİ</t>
        </is>
      </c>
    </row>
    <row r="9">
      <c r="A9" s="166" t="inlineStr">
        <is>
          <t>Nihai yayın</t>
        </is>
      </c>
      <c r="B9" s="167" t="inlineStr">
        <is>
          <t>Yalnız uygulanabilir modüller GEÇTİ veya gerekçeli UYGULANMAZ</t>
        </is>
      </c>
    </row>
    <row r="10">
      <c r="A10" s="166" t="inlineStr">
        <is>
          <t>Ticari ayrım</t>
        </is>
      </c>
      <c r="B10" s="167" t="inlineStr">
        <is>
          <t>Ekonomik olarak savunulabilir fiyat, gerçek pazar kabulü ile aynı değildir</t>
        </is>
      </c>
    </row>
    <row r="11">
      <c r="A11" s="166" t="inlineStr">
        <is>
          <t>Karmaşıklık</t>
        </is>
      </c>
      <c r="B11" s="167" t="inlineStr">
        <is>
          <t>Karar değeri, eklenen karmaşıklığın maliyetinden büyük olmalıdır</t>
        </is>
      </c>
    </row>
    <row r="12">
      <c r="A12" s="166" t="inlineStr">
        <is>
          <t>Excel sınırı</t>
        </is>
      </c>
      <c r="B12" s="167" t="inlineStr">
        <is>
          <t>Veritabanı, kurumsal yetkilendirme, değiştirilemez kayıt sistemi veya gerçek zamanlı olay platformu değildir</t>
        </is>
      </c>
    </row>
    <row r="13">
      <c r="A13" s="166" t="inlineStr">
        <is>
          <t>Dil standardı</t>
        </is>
      </c>
      <c r="B13" s="167" t="inlineStr">
        <is>
          <t>Kullanıcıya görünen tüm sayfa, tablo, başlık, açıklama, uyarı ve karar metinleri saf Türkçe olmalıdır</t>
        </is>
      </c>
    </row>
    <row r="14">
      <c r="A14" s="166" t="inlineStr">
        <is>
          <t>Muhasebe standardı</t>
        </is>
      </c>
      <c r="B14" s="167" t="inlineStr">
        <is>
          <t>Finansal ürünlerde Türkiye Tekdüzen Hesap Planı ve Türk muhasebe kullanım alışkanlıkları esas alınır</t>
        </is>
      </c>
    </row>
    <row r="15">
      <c r="A15" s="166" t="inlineStr">
        <is>
          <t>Görsel standart</t>
        </is>
      </c>
      <c r="B15" s="167" t="inlineStr">
        <is>
          <t>Her sayfa başlıklı, renk kodlu, sıkı kolon düzenli ve premium kurumsal görünümde olmalıdır</t>
        </is>
      </c>
    </row>
    <row r="16">
      <c r="A16" s="166" t="inlineStr">
        <is>
          <t>Grafik standardı</t>
        </is>
      </c>
      <c r="B16" s="167" t="inlineStr">
        <is>
          <t>Grafikler karar üretmeli; dekoratif, 3B, anlamsız renkli veya varsayılan Excel grafiği kullanılamaz</t>
        </is>
      </c>
    </row>
    <row r="17">
      <c r="A17" s="166" t="inlineStr">
        <is>
          <t>Hata standardı</t>
        </is>
      </c>
      <c r="B17" s="167" t="inlineStr">
        <is>
          <t>#AD? / #BAŞV! / #DEĞER! / #SAYI/0! / #YOK gibi hatalar GEÇTİ sonucuyla birlikte bulunamaz</t>
        </is>
      </c>
    </row>
    <row r="18">
      <c r="A18" s="166" t="inlineStr">
        <is>
          <t>Karar standardı</t>
        </is>
      </c>
      <c r="B18" s="167" t="inlineStr">
        <is>
          <t>Her kritik çıktı: ne oldu, neden oldu, parasal etki, ne yapılmalı, ne zamana kadar sorularını cevaplar</t>
        </is>
      </c>
    </row>
    <row r="19">
      <c r="A19" s="166" t="inlineStr">
        <is>
          <t>Satış standardı</t>
        </is>
      </c>
      <c r="B19" s="167" t="inlineStr">
        <is>
          <t>Ürün 5 saniyede anlaşılmalı; pahalı problemi, ekonomik sonucu, kanıtı ve satın alma gerekçesini göstermelidir</t>
        </is>
      </c>
    </row>
    <row r="20">
      <c r="A20" s="166" t="inlineStr">
        <is>
          <t>Güven standardı</t>
        </is>
      </c>
      <c r="B20" s="167" t="inlineStr">
        <is>
          <t>Kanıtsız 'premium', 'kusursuz', 'sıfır hata' veya yüksek fiyat iddiası kullanılamaz</t>
        </is>
      </c>
    </row>
    <row r="21">
      <c r="A21" s="166" t="inlineStr">
        <is>
          <t>Kaynak</t>
        </is>
      </c>
      <c r="B21" s="167" t="inlineStr">
        <is>
          <t>Teknik Python çekirdeği 99_TEKNIK_KAYNAK sayfasında saklanır; kullanıcı arayüzü değildir</t>
        </is>
      </c>
    </row>
    <row r="22">
      <c r="A22" s="166" t="inlineStr">
        <is>
          <t>Bağlayıcı standart</t>
        </is>
      </c>
      <c r="B22" s="167" t="inlineStr">
        <is>
          <t>Teknik kaynak içindeki üretim sözleşmesi + bu çalışma kitabındaki Türkçe operasyon standartları</t>
        </is>
      </c>
    </row>
    <row r="23">
      <c r="A23" s="166" t="inlineStr">
        <is>
          <t>Çıktı disiplini</t>
        </is>
      </c>
      <c r="B23" s="167" t="inlineStr">
        <is>
          <t>Kanıtsız GEÇTİ / NİHAİ / TİCARİ / PAZAR_DOĞRULANDI statüsü yasaktır</t>
        </is>
      </c>
    </row>
    <row r="24">
      <c r="A24" s="166" t="inlineStr">
        <is>
          <t>Uyarlanabilirlik</t>
        </is>
      </c>
      <c r="B24" s="167" t="inlineStr">
        <is>
          <t>Gereksiz modül yalnız prestij amacıyla eklenmez</t>
        </is>
      </c>
    </row>
    <row r="25"/>
    <row r="26" ht="16" customHeight="1">
      <c r="A26" s="168" t="inlineStr">
        <is>
          <t>TEK KAYNAK MİMARİSİ</t>
        </is>
      </c>
      <c r="B26" s="168" t="inlineStr">
        <is>
          <t>İKİ DOSYALI / TEK SİSTEM</t>
        </is>
      </c>
    </row>
    <row r="27" ht="28" customHeight="1">
      <c r="A27" s="167" t="inlineStr">
        <is>
          <t>MASTER Excel</t>
        </is>
      </c>
      <c r="B27" s="16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67" t="inlineStr">
        <is>
          <t>Runtime Python</t>
        </is>
      </c>
      <c r="B28" s="167" t="inlineStr">
        <is>
          <t>EXCELARSIV_DECISION_OS_V15_1_RUNTIME_KERNEL.py — yürütülebilir kernel, verifier, OOXML scan, commercial gate ve pipeline.</t>
        </is>
      </c>
    </row>
    <row r="29">
      <c r="A29" s="167" t="inlineStr">
        <is>
          <t>Python SHA-256</t>
        </is>
      </c>
      <c r="B29" s="167" t="inlineStr">
        <is>
          <t>babe066ab599199123e53d01944bcd9d75648a579ade69ab9303dd675962f481</t>
        </is>
      </c>
    </row>
    <row r="30">
      <c r="A30" s="167" t="inlineStr">
        <is>
          <t>Sürüm Eşleşmesi</t>
        </is>
      </c>
      <c r="B30" s="167" t="inlineStr">
        <is>
          <t>Her iki dosya v15.1 sistemine aittir. Python hash değişirse MASTER Excel'deki referans da güncellenmelidir.</t>
        </is>
      </c>
    </row>
    <row r="31" ht="28" customHeight="1">
      <c r="A31" s="167" t="inlineStr">
        <is>
          <t>Sahte PASS Yasağı</t>
        </is>
      </c>
      <c r="B31" s="167" t="inlineStr">
        <is>
          <t>Kanıt yoksa PASS yok; hata=FAIL, ölçülemiyorsa=BLOCKED, Excel GUI gerekiyorsa=HARİCİ KABUL GEREKLİ.</t>
        </is>
      </c>
    </row>
    <row r="32">
      <c r="A32" s="167" t="inlineStr">
        <is>
          <t>Dil</t>
        </is>
      </c>
      <c r="B32" s="167" t="inlineStr">
        <is>
          <t>Kullanıcı yüzeyi safkan Türkçe; teknik kavramların Türkçe karşılığı ana terimdir.</t>
        </is>
      </c>
    </row>
    <row r="33">
      <c r="A33" s="167" t="inlineStr">
        <is>
          <t>Muhasebe</t>
        </is>
      </c>
      <c r="B33" s="16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71" t="inlineStr">
        <is>
          <t>☰ PANO</t>
        </is>
      </c>
    </row>
    <row r="2">
      <c r="B2" s="87" t="inlineStr">
        <is>
          <t>E-BELGE ZORUNLULUK RADARI</t>
        </is>
      </c>
      <c r="L2" s="88" t="inlineStr">
        <is>
          <t>Dönem: 2026 / Tam ▼</t>
        </is>
      </c>
      <c r="M2" s="89" t="inlineStr">
        <is>
          <t>★ DOĞRULANMIŞ</t>
        </is>
      </c>
    </row>
    <row r="3">
      <c r="B3" s="90" t="inlineStr">
        <is>
          <t>Hedef Kullanıcı: SMMM, mali işler, işletme sahibi · 2026 Q3 Denetim Standardı</t>
        </is>
      </c>
    </row>
    <row r="4"/>
    <row r="5">
      <c r="B5" s="91" t="inlineStr">
        <is>
          <t>EYLEM YAŞLANDIRMA</t>
        </is>
      </c>
      <c r="C5" s="92" t="n"/>
      <c r="D5" s="93" t="inlineStr">
        <is>
          <t>KONSOLİDE</t>
        </is>
      </c>
      <c r="E5" s="94" t="inlineStr">
        <is>
          <t>ZORUNLU BELGE PAYI</t>
        </is>
      </c>
      <c r="F5" s="92" t="n"/>
      <c r="G5" s="95" t="inlineStr">
        <is>
          <t>KONTROL</t>
        </is>
      </c>
      <c r="H5" s="91" t="inlineStr">
        <is>
          <t>NET OPERASYONEL MARJ</t>
        </is>
      </c>
      <c r="I5" s="92" t="n"/>
      <c r="J5" s="96" t="inlineStr">
        <is>
          <t>GÜVENLİ</t>
        </is>
      </c>
      <c r="K5" s="97" t="inlineStr">
        <is>
          <t>SİSTEM GÜVEN SKORU</t>
        </is>
      </c>
      <c r="L5" s="92" t="n"/>
      <c r="M5" s="93" t="inlineStr">
        <is>
          <t>DENETLENDİ</t>
        </is>
      </c>
    </row>
    <row r="6">
      <c r="B6" s="98" t="n"/>
      <c r="C6" s="92" t="n"/>
      <c r="D6" s="92" t="n"/>
      <c r="E6" s="99" t="n"/>
      <c r="F6" s="92" t="n"/>
      <c r="G6" s="92" t="n"/>
      <c r="H6" s="98" t="n"/>
      <c r="I6" s="92" t="n"/>
      <c r="J6" s="92" t="n"/>
      <c r="K6" s="100" t="n"/>
      <c r="L6" s="92" t="n"/>
      <c r="M6" s="92" t="n"/>
    </row>
    <row r="7">
      <c r="B7" s="188">
        <f>GİRDİLER!E17</f>
        <v/>
      </c>
      <c r="C7" s="92" t="n"/>
      <c r="D7" s="92" t="n"/>
      <c r="E7" s="189">
        <f>B7*0.22</f>
        <v/>
      </c>
      <c r="F7" s="92" t="n"/>
      <c r="G7" s="92" t="n"/>
      <c r="H7" s="188">
        <f>B7-E7</f>
        <v/>
      </c>
      <c r="I7" s="92" t="n"/>
      <c r="J7" s="92" t="n"/>
      <c r="K7" s="103">
        <f>EĞER(E7&gt;0; YUVARLA(B7/E7; 2); 0)</f>
        <v/>
      </c>
      <c r="L7" s="92" t="n"/>
      <c r="M7" s="92" t="n"/>
    </row>
    <row r="8">
      <c r="B8" s="98" t="n"/>
      <c r="C8" s="92" t="n"/>
      <c r="D8" s="92" t="n"/>
      <c r="E8" s="99" t="n"/>
      <c r="F8" s="92" t="n"/>
      <c r="G8" s="92" t="n"/>
      <c r="H8" s="98" t="n"/>
      <c r="I8" s="92" t="n"/>
      <c r="J8" s="92" t="n"/>
      <c r="K8" s="100" t="n"/>
      <c r="L8" s="92" t="n"/>
      <c r="M8" s="92" t="n"/>
    </row>
    <row r="9">
      <c r="B9" s="104" t="inlineStr">
        <is>
          <t>↑ %14.2 konsolide canlı veri bağlantısı</t>
        </is>
      </c>
      <c r="C9" s="92" t="n"/>
      <c r="D9" s="92" t="n"/>
      <c r="E9" s="105" t="inlineStr">
        <is>
          <t>● 8 Kalem nakit karşılığı: bloke</t>
        </is>
      </c>
      <c r="F9" s="92" t="n"/>
      <c r="G9" s="92" t="n"/>
      <c r="H9" s="104" t="inlineStr">
        <is>
          <t>██████████░░░░░ %78.0 NET MARJ</t>
        </is>
      </c>
      <c r="I9" s="92" t="n"/>
      <c r="J9" s="92" t="n"/>
      <c r="K9" s="106" t="inlineStr">
        <is>
          <t>✓ İDEAL karşılama rasyosu</t>
        </is>
      </c>
      <c r="L9" s="92" t="n"/>
      <c r="M9" s="92" t="n"/>
    </row>
    <row r="10"/>
    <row r="11">
      <c r="B11" s="85" t="inlineStr">
        <is>
          <t>E-BELGE ZORUNLULUK RADARI — DÖNEMSEL İCRA VE PROJEKSİYON</t>
        </is>
      </c>
      <c r="F11" s="107" t="inlineStr">
        <is>
          <t>+%32 Verim</t>
        </is>
      </c>
      <c r="H11" s="85" t="inlineStr">
        <is>
          <t>KONSOLİDE OPERASYON VE KARAR MATRİSİ</t>
        </is>
      </c>
    </row>
    <row r="12">
      <c r="B12" s="84" t="inlineStr">
        <is>
          <t>Kümülatif Hacim vs. Operasyonel Maliyet ve Net Kâr Eğilimi</t>
        </is>
      </c>
      <c r="H12" s="84" t="inlineStr">
        <is>
          <t>Anlık Hesaplama Sonuçları, Dinamik Formül Çıktıları ve Durum Puanlaması</t>
        </is>
      </c>
    </row>
    <row r="13"/>
    <row r="14">
      <c r="B14" s="108" t="inlineStr">
        <is>
          <t>Dönem</t>
        </is>
      </c>
      <c r="C14" s="108" t="inlineStr">
        <is>
          <t>Aktif Hacim</t>
        </is>
      </c>
      <c r="D14" s="108" t="inlineStr">
        <is>
          <t>Maliyet/Yük</t>
        </is>
      </c>
      <c r="E14" s="108" t="inlineStr">
        <is>
          <t>Hedef</t>
        </is>
      </c>
      <c r="H14" s="109" t="inlineStr">
        <is>
          <t>PARAMETRE / KALEM</t>
        </is>
      </c>
      <c r="I14" s="109" t="inlineStr">
        <is>
          <t>ANA TUTAR</t>
        </is>
      </c>
      <c r="J14" s="109" t="inlineStr">
        <is>
          <t>FARK / MARJ</t>
        </is>
      </c>
      <c r="K14" s="109" t="inlineStr">
        <is>
          <t>VADE</t>
        </is>
      </c>
      <c r="L14" s="109" t="inlineStr">
        <is>
          <t>KONTROL DURUMU</t>
        </is>
      </c>
    </row>
    <row r="15">
      <c r="B15" s="84" t="inlineStr">
        <is>
          <t>D1</t>
        </is>
      </c>
      <c r="C15" s="84" t="n">
        <v>65</v>
      </c>
      <c r="D15" s="84" t="n">
        <v>45</v>
      </c>
      <c r="E15" s="84" t="n">
        <v>60</v>
      </c>
      <c r="H15" s="110" t="inlineStr">
        <is>
          <t>Dönemlik Kümülatif Bakiye</t>
        </is>
      </c>
      <c r="I15" s="190">
        <f>B7*0.45</f>
        <v/>
      </c>
      <c r="J15" s="191">
        <f>B7*0.05</f>
        <v/>
      </c>
      <c r="K15" s="112" t="inlineStr">
        <is>
          <t>12 Ay</t>
        </is>
      </c>
      <c r="L15" s="96" t="inlineStr">
        <is>
          <t>✓ DÜZENLİ</t>
        </is>
      </c>
    </row>
    <row r="16">
      <c r="B16" s="84" t="inlineStr">
        <is>
          <t>D2</t>
        </is>
      </c>
      <c r="C16" s="84" t="n">
        <v>78</v>
      </c>
      <c r="D16" s="84" t="n">
        <v>48</v>
      </c>
      <c r="E16" s="84" t="n">
        <v>70</v>
      </c>
      <c r="H16" s="110" t="inlineStr">
        <is>
          <t>Kritik Eşik Güvenlik Tamponu</t>
        </is>
      </c>
      <c r="I16" s="190">
        <f>B7*0.30</f>
        <v/>
      </c>
      <c r="J16" s="191">
        <f>B7*0.03</f>
        <v/>
      </c>
      <c r="K16" s="112" t="inlineStr">
        <is>
          <t>24 Ay</t>
        </is>
      </c>
      <c r="L16" s="93" t="inlineStr">
        <is>
          <t>★ AVANTAJ</t>
        </is>
      </c>
    </row>
    <row r="17">
      <c r="B17" s="84" t="inlineStr">
        <is>
          <t>D3</t>
        </is>
      </c>
      <c r="C17" s="84" t="n">
        <v>85</v>
      </c>
      <c r="D17" s="84" t="n">
        <v>55</v>
      </c>
      <c r="E17" s="84" t="n">
        <v>80</v>
      </c>
      <c r="H17" s="110" t="inlineStr">
        <is>
          <t>Operasyonel Net Fark</t>
        </is>
      </c>
      <c r="I17" s="190">
        <f>B7*0.15</f>
        <v/>
      </c>
      <c r="J17" s="191">
        <f>B7*0.02</f>
        <v/>
      </c>
      <c r="K17" s="112" t="inlineStr">
        <is>
          <t>8 Ay</t>
        </is>
      </c>
      <c r="L17" s="113" t="inlineStr">
        <is>
          <t>● YAKLAŞAN</t>
        </is>
      </c>
    </row>
    <row r="18">
      <c r="B18" s="84" t="inlineStr">
        <is>
          <t>D4</t>
        </is>
      </c>
      <c r="C18" s="84" t="n">
        <v>75</v>
      </c>
      <c r="D18" s="84" t="n">
        <v>42</v>
      </c>
      <c r="E18" s="84" t="n">
        <v>75</v>
      </c>
      <c r="H18" s="110" t="inlineStr">
        <is>
          <t>Rezerv ve Likit Dağılım</t>
        </is>
      </c>
      <c r="I18" s="190">
        <f>B7*0.10</f>
        <v/>
      </c>
      <c r="J18" s="191">
        <f>B7*0.01</f>
        <v/>
      </c>
      <c r="K18" s="112" t="inlineStr">
        <is>
          <t>16 Ay</t>
        </is>
      </c>
      <c r="L18" s="96" t="inlineStr">
        <is>
          <t>✓ TAM UYUM</t>
        </is>
      </c>
    </row>
    <row r="19">
      <c r="B19" s="84" t="inlineStr">
        <is>
          <t>D5</t>
        </is>
      </c>
      <c r="C19" s="84" t="n">
        <v>90</v>
      </c>
      <c r="D19" s="84" t="n">
        <v>40</v>
      </c>
      <c r="E19" s="84" t="n">
        <v>85</v>
      </c>
      <c r="H19" s="114" t="inlineStr">
        <is>
          <t>KONSOLİDE SİSTEM TOPLAMI</t>
        </is>
      </c>
      <c r="I19" s="192">
        <f>TOPLA(I15:I18)</f>
        <v/>
      </c>
      <c r="J19" s="193">
        <f>TOPLA(J15:J18)</f>
        <v/>
      </c>
      <c r="K19" s="117" t="inlineStr"/>
      <c r="L19" s="118" t="inlineStr">
        <is>
          <t>TAM DOĞRULANDI (0 HATA)</t>
        </is>
      </c>
    </row>
    <row r="20">
      <c r="B20" s="84" t="inlineStr">
        <is>
          <t>D6</t>
        </is>
      </c>
      <c r="C20" s="84" t="n">
        <v>96</v>
      </c>
      <c r="D20" s="84" t="n">
        <v>32</v>
      </c>
      <c r="E20" s="84" t="n">
        <v>92</v>
      </c>
    </row>
    <row r="21"/>
    <row r="22">
      <c r="B22" s="119" t="inlineStr">
        <is>
          <t>KONSOLİDE PAY VE AĞIRLIK</t>
        </is>
      </c>
      <c r="F22" s="119" t="inlineStr">
        <is>
          <t>LİKİDİTE RİSKİ &amp; ERKEN UYARI SİNYALLERİ</t>
        </is>
      </c>
      <c r="K22" s="120" t="inlineStr">
        <is>
          <t>KARAR MOTORU</t>
        </is>
      </c>
      <c r="L22" s="121" t="n"/>
      <c r="M22" s="121" t="n"/>
    </row>
    <row r="23">
      <c r="B23" s="69" t="inlineStr">
        <is>
          <t>■ Ana Segment (%42)</t>
        </is>
      </c>
      <c r="F23" s="84" t="inlineStr">
        <is>
          <t>Nakit Açığı Riski (30 Gün)</t>
        </is>
      </c>
      <c r="I23" s="122" t="inlineStr">
        <is>
          <t>0.00 TL (Sıfır Risk)</t>
        </is>
      </c>
      <c r="K23" s="123" t="inlineStr">
        <is>
          <t>STRATEJİK VERİMLİLİK FIRSATI</t>
        </is>
      </c>
      <c r="L23" s="121" t="n"/>
      <c r="M23" s="121" t="n"/>
    </row>
    <row r="24">
      <c r="B24" s="70" t="inlineStr">
        <is>
          <t>■ İkincil Grup (%30)</t>
        </is>
      </c>
      <c r="F24" s="84" t="inlineStr">
        <is>
          <t>Tahsilat Gecikme Toleransı</t>
        </is>
      </c>
      <c r="I24" s="122" t="inlineStr">
        <is>
          <t>48 Gün Güvenli Eşik</t>
        </is>
      </c>
      <c r="K24" s="124" t="inlineStr">
        <is>
          <t>Operasyonel süreç optimizasyonu ile kârlılık artış potansiyeli tespit edildi.</t>
        </is>
      </c>
    </row>
    <row r="25">
      <c r="B25" s="125" t="inlineStr">
        <is>
          <t>■ Destek Birimi (%15)</t>
        </is>
      </c>
      <c r="F25" s="69" t="inlineStr">
        <is>
          <t>██████████████████████████████████████ Güvenli Bölge (%100)</t>
        </is>
      </c>
    </row>
    <row r="26">
      <c r="B26" s="126" t="inlineStr">
        <is>
          <t>■ Rezervler (%13)</t>
        </is>
      </c>
      <c r="F26" s="127" t="inlineStr">
        <is>
          <t>✓ 90 GÜNLÜK PROJEKSİYONDA NAKİT SIKIŞIKLIĞI TESPİT EDİLMEDİ</t>
        </is>
      </c>
      <c r="G26" s="200" t="n"/>
      <c r="H26" s="200" t="n"/>
      <c r="I26" s="201" t="n"/>
      <c r="K26" s="128" t="inlineStr">
        <is>
          <t>STRATEJİ REÇETESİNİ İNCELE &gt;</t>
        </is>
      </c>
    </row>
    <row r="27">
      <c r="F27" s="202" t="n"/>
      <c r="G27" s="203" t="n"/>
      <c r="H27" s="203" t="n"/>
      <c r="I27" s="204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71" t="inlineStr">
        <is>
          <t>☰ PANO</t>
        </is>
      </c>
    </row>
    <row r="2"/>
    <row r="3">
      <c r="B3" s="129" t="inlineStr">
        <is>
          <t>🔍  E-BELGE ZORUNLULUK RADARI — Kayıt veya hesap ara...</t>
        </is>
      </c>
      <c r="C3" s="205" t="n"/>
      <c r="D3" s="205" t="n"/>
      <c r="E3" s="206" t="n"/>
      <c r="G3" s="130" t="inlineStr">
        <is>
          <t>TOPLAM: 1.450 KAYIT</t>
        </is>
      </c>
      <c r="I3" s="131" t="inlineStr">
        <is>
          <t>HATALI HÜCRE: 0 ADET</t>
        </is>
      </c>
    </row>
    <row r="4"/>
    <row r="5">
      <c r="B5" s="132" t="inlineStr">
        <is>
          <t>TARİH</t>
        </is>
      </c>
      <c r="C5" s="132" t="inlineStr">
        <is>
          <t>REFERANS NO</t>
        </is>
      </c>
      <c r="D5" s="132" t="inlineStr">
        <is>
          <t>İŞLEM AÇIKLAMASI VE DETAY</t>
        </is>
      </c>
      <c r="E5" s="132" t="inlineStr">
        <is>
          <t>BRÜT TUTAR (₺)</t>
        </is>
      </c>
      <c r="F5" s="132" t="inlineStr">
        <is>
          <t>KDV ORANI</t>
        </is>
      </c>
      <c r="G5" s="132" t="inlineStr">
        <is>
          <t>NET TUTAR (₺)</t>
        </is>
      </c>
      <c r="H5" s="132" t="inlineStr">
        <is>
          <t>HESAP / CARİ</t>
        </is>
      </c>
      <c r="I5" s="132" t="inlineStr">
        <is>
          <t>DURUM</t>
        </is>
      </c>
    </row>
    <row r="6">
      <c r="B6" s="133" t="inlineStr">
        <is>
          <t>12.10.2026</t>
        </is>
      </c>
      <c r="C6" s="134" t="inlineStr">
        <is>
          <t>TR-0428-A</t>
        </is>
      </c>
      <c r="D6" s="135" t="inlineStr">
        <is>
          <t>Operasyonel ana kalem tahmini</t>
        </is>
      </c>
      <c r="E6" s="194" t="n">
        <v>845200</v>
      </c>
      <c r="F6" s="137" t="n">
        <v>0.2</v>
      </c>
      <c r="G6" s="138">
        <f>E6/(1+F6)</f>
        <v/>
      </c>
      <c r="H6" s="135" t="inlineStr">
        <is>
          <t>Vadesiz Ticari</t>
        </is>
      </c>
      <c r="I6" s="139" t="inlineStr">
        <is>
          <t>ONAYLANDI</t>
        </is>
      </c>
    </row>
    <row r="7">
      <c r="B7" s="140" t="inlineStr">
        <is>
          <t>14.10.2026</t>
        </is>
      </c>
      <c r="C7" s="141" t="inlineStr">
        <is>
          <t>TR-0429-B</t>
        </is>
      </c>
      <c r="D7" s="142" t="inlineStr">
        <is>
          <t>Operasyonel çıkış/maliyet tahmini</t>
        </is>
      </c>
      <c r="E7" s="194" t="n">
        <v>1240000</v>
      </c>
      <c r="F7" s="144" t="n">
        <v>0.2</v>
      </c>
      <c r="G7" s="145">
        <f>E7/(1+F7)</f>
        <v/>
      </c>
      <c r="H7" s="142" t="inlineStr">
        <is>
          <t>Tedarikçi Havuzu</t>
        </is>
      </c>
      <c r="I7" s="146" t="inlineStr">
        <is>
          <t>BEKLEMEDE</t>
        </is>
      </c>
    </row>
    <row r="8">
      <c r="B8" s="133" t="inlineStr">
        <is>
          <t>18.10.2026</t>
        </is>
      </c>
      <c r="C8" s="134" t="inlineStr">
        <is>
          <t>TR-0430-C</t>
        </is>
      </c>
      <c r="D8" s="135" t="inlineStr">
        <is>
          <t>Ödeme takvimi tahakkuku</t>
        </is>
      </c>
      <c r="E8" s="194" t="n">
        <v>620500</v>
      </c>
      <c r="F8" s="137" t="n">
        <v>0.1</v>
      </c>
      <c r="G8" s="138">
        <f>E8/(1+F8)</f>
        <v/>
      </c>
      <c r="H8" s="135" t="inlineStr">
        <is>
          <t>Kısa Vade Tahakkuk</t>
        </is>
      </c>
      <c r="I8" s="139" t="inlineStr">
        <is>
          <t>ONAYLANDI</t>
        </is>
      </c>
    </row>
    <row r="9">
      <c r="B9" s="140" t="inlineStr">
        <is>
          <t>21.10.2026</t>
        </is>
      </c>
      <c r="C9" s="141" t="inlineStr">
        <is>
          <t>TR-0431-D</t>
        </is>
      </c>
      <c r="D9" s="142" t="inlineStr">
        <is>
          <t>Müşteri işlem tahmini</t>
        </is>
      </c>
      <c r="E9" s="194" t="n">
        <v>415000</v>
      </c>
      <c r="F9" s="144" t="n">
        <v>0.2</v>
      </c>
      <c r="G9" s="145">
        <f>E9/(1+F9)</f>
        <v/>
      </c>
      <c r="H9" s="142" t="inlineStr">
        <is>
          <t>Müşteri Alacağı</t>
        </is>
      </c>
      <c r="I9" s="147" t="inlineStr">
        <is>
          <t>ONAYLANDI</t>
        </is>
      </c>
    </row>
    <row r="10">
      <c r="B10" s="133" t="inlineStr">
        <is>
          <t>25.10.2026</t>
        </is>
      </c>
      <c r="C10" s="134" t="inlineStr">
        <is>
          <t>TR-0432-E</t>
        </is>
      </c>
      <c r="D10" s="135" t="inlineStr">
        <is>
          <t>Ana operasyon tahmini</t>
        </is>
      </c>
      <c r="E10" s="194" t="n">
        <v>980400</v>
      </c>
      <c r="F10" s="137" t="n">
        <v>0.2</v>
      </c>
      <c r="G10" s="138">
        <f>E10/(1+F10)</f>
        <v/>
      </c>
      <c r="H10" s="135" t="inlineStr">
        <is>
          <t>Vadesiz Ticari</t>
        </is>
      </c>
      <c r="I10" s="139" t="inlineStr">
        <is>
          <t>ONAYLANDI</t>
        </is>
      </c>
    </row>
    <row r="11">
      <c r="B11" s="140" t="inlineStr">
        <is>
          <t>28.10.2026</t>
        </is>
      </c>
      <c r="C11" s="141" t="inlineStr">
        <is>
          <t>TR-0433-F</t>
        </is>
      </c>
      <c r="D11" s="142" t="inlineStr">
        <is>
          <t>Kredi/taksit karşılığı</t>
        </is>
      </c>
      <c r="E11" s="194" t="n">
        <v>1850000</v>
      </c>
      <c r="F11" s="144" t="n">
        <v>0.2</v>
      </c>
      <c r="G11" s="145">
        <f>E11/(1+F11)</f>
        <v/>
      </c>
      <c r="H11" s="142" t="inlineStr">
        <is>
          <t>Finansman Havuzu</t>
        </is>
      </c>
      <c r="I11" s="148" t="inlineStr">
        <is>
          <t>BLOKE</t>
        </is>
      </c>
    </row>
    <row r="12">
      <c r="B12" s="133" t="inlineStr">
        <is>
          <t>02.11.2026</t>
        </is>
      </c>
      <c r="C12" s="134" t="inlineStr">
        <is>
          <t>TR-0434-G</t>
        </is>
      </c>
      <c r="D12" s="135" t="inlineStr">
        <is>
          <t>Sabit gider ve yönetim notları</t>
        </is>
      </c>
      <c r="E12" s="194" t="n">
        <v>740000</v>
      </c>
      <c r="F12" s="137" t="n">
        <v>0.2</v>
      </c>
      <c r="G12" s="138">
        <f>E12/(1+F12)</f>
        <v/>
      </c>
      <c r="H12" s="135" t="inlineStr">
        <is>
          <t>Genel Yönetim</t>
        </is>
      </c>
      <c r="I12" s="139" t="inlineStr">
        <is>
          <t>ONAYLANDI</t>
        </is>
      </c>
    </row>
    <row r="13">
      <c r="B13" s="140" t="inlineStr">
        <is>
          <t>05.11.2026</t>
        </is>
      </c>
      <c r="C13" s="141" t="inlineStr">
        <is>
          <t>TR-0435-H</t>
        </is>
      </c>
      <c r="D13" s="142" t="inlineStr">
        <is>
          <t>Operasyonel ana kalem tahmini</t>
        </is>
      </c>
      <c r="E13" s="194" t="n">
        <v>520800</v>
      </c>
      <c r="F13" s="144" t="n">
        <v>0.2</v>
      </c>
      <c r="G13" s="145">
        <f>E13/(1+F13)</f>
        <v/>
      </c>
      <c r="H13" s="142" t="inlineStr">
        <is>
          <t>Vadesiz Ticari</t>
        </is>
      </c>
      <c r="I13" s="147" t="inlineStr">
        <is>
          <t>ONAYLANDI</t>
        </is>
      </c>
    </row>
    <row r="14">
      <c r="B14" s="133" t="inlineStr">
        <is>
          <t>09.11.2026</t>
        </is>
      </c>
      <c r="C14" s="134" t="inlineStr">
        <is>
          <t>TR-0436-I</t>
        </is>
      </c>
      <c r="D14" s="135" t="inlineStr">
        <is>
          <t>Müşteri işlem tahmini</t>
        </is>
      </c>
      <c r="E14" s="194" t="n">
        <v>1120000</v>
      </c>
      <c r="F14" s="137" t="n">
        <v>0.2</v>
      </c>
      <c r="G14" s="138">
        <f>E14/(1+F14)</f>
        <v/>
      </c>
      <c r="H14" s="135" t="inlineStr">
        <is>
          <t>Müşteri Alacağı</t>
        </is>
      </c>
      <c r="I14" s="139" t="inlineStr">
        <is>
          <t>ONAYLANDI</t>
        </is>
      </c>
    </row>
    <row r="15">
      <c r="B15" s="140" t="inlineStr">
        <is>
          <t>12.11.2026</t>
        </is>
      </c>
      <c r="C15" s="141" t="inlineStr">
        <is>
          <t>TR-0437-J</t>
        </is>
      </c>
      <c r="D15" s="142" t="inlineStr">
        <is>
          <t>Operasyonel çıkış tahmini</t>
        </is>
      </c>
      <c r="E15" s="194" t="n">
        <v>890000</v>
      </c>
      <c r="F15" s="144" t="n">
        <v>0.2</v>
      </c>
      <c r="G15" s="145">
        <f>E15/(1+F15)</f>
        <v/>
      </c>
      <c r="H15" s="142" t="inlineStr">
        <is>
          <t>Tedarikçi Havuzu</t>
        </is>
      </c>
      <c r="I15" s="147" t="inlineStr">
        <is>
          <t>ONAYLANDI</t>
        </is>
      </c>
    </row>
    <row r="16"/>
    <row r="17">
      <c r="B17" s="149" t="inlineStr">
        <is>
          <t>SAYFA TOPLAMI (10 / 1.450 KAYIT)</t>
        </is>
      </c>
      <c r="E17" s="150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71" t="inlineStr">
        <is>
          <t>☰ PANO</t>
        </is>
      </c>
    </row>
    <row r="2">
      <c r="B2" s="151" t="inlineStr">
        <is>
          <t>E-BELGE ZORUNLULUK RADARI — NİHAİ KARAR VE DEĞERLEME</t>
        </is>
      </c>
    </row>
    <row r="3">
      <c r="B3" s="152" t="inlineStr">
        <is>
          <t>Yönetim Kurulu ve İcra Komitesi için Otomatik Finansal Stres Testi Raporu · SMMM, mali işler, işletme sahibi</t>
        </is>
      </c>
    </row>
    <row r="4">
      <c r="B4" s="153" t="inlineStr">
        <is>
          <t>DÖNEM: 2026 Q3 · DENETİM PROTOKOLÜ: ISO/VUK/IFRS UYUMLU · DURUM: ONAYLANDI</t>
        </is>
      </c>
    </row>
    <row r="5"/>
    <row r="6">
      <c r="B6" s="154" t="inlineStr">
        <is>
          <t>SENARYO A: KÖTÜMSER (STRES TESTİ -%20)</t>
        </is>
      </c>
      <c r="C6" s="205" t="n"/>
      <c r="D6" s="205" t="n"/>
      <c r="E6" s="205" t="n"/>
      <c r="F6" s="206" t="n"/>
      <c r="H6" s="155" t="inlineStr">
        <is>
          <t>SENARYO B: BAZ MODEL (HEDEFLENEN)</t>
        </is>
      </c>
      <c r="I6" s="205" t="n"/>
      <c r="J6" s="205" t="n"/>
      <c r="K6" s="205" t="n"/>
      <c r="L6" s="206" t="n"/>
    </row>
    <row r="7">
      <c r="B7" s="92" t="n"/>
      <c r="C7" s="92" t="n"/>
      <c r="D7" s="92" t="n"/>
      <c r="E7" s="92" t="n"/>
      <c r="F7" s="92" t="n"/>
      <c r="H7" s="92" t="n"/>
      <c r="I7" s="92" t="n"/>
      <c r="J7" s="92" t="n"/>
      <c r="K7" s="92" t="n"/>
      <c r="L7" s="92" t="n"/>
    </row>
    <row r="8">
      <c r="B8" s="156" t="inlineStr">
        <is>
          <t>Ciro / Hacim Düşüşü:</t>
        </is>
      </c>
      <c r="C8" s="92" t="n"/>
      <c r="D8" s="92" t="n"/>
      <c r="E8" s="157" t="inlineStr">
        <is>
          <t>-%20.0 (Kriz Eşiği)</t>
        </is>
      </c>
      <c r="F8" s="92" t="n"/>
      <c r="H8" s="156" t="inlineStr">
        <is>
          <t>Ciro / Hacim Gerçekleşmesi:</t>
        </is>
      </c>
      <c r="I8" s="92" t="n"/>
      <c r="J8" s="92" t="n"/>
      <c r="K8" s="158" t="inlineStr">
        <is>
          <t>%100.0 (Tam Bütçe)</t>
        </is>
      </c>
      <c r="L8" s="92" t="n"/>
    </row>
    <row r="9">
      <c r="B9" s="156" t="inlineStr">
        <is>
          <t>Beklenen Net Kâr / Getiri:</t>
        </is>
      </c>
      <c r="C9" s="92" t="n"/>
      <c r="D9" s="92" t="n"/>
      <c r="E9" s="195">
        <f>PANO!B7*0.8*0.22</f>
        <v/>
      </c>
      <c r="F9" s="92" t="n"/>
      <c r="H9" s="156" t="inlineStr">
        <is>
          <t>Beklenen Net Kâr / Getiri:</t>
        </is>
      </c>
      <c r="I9" s="92" t="n"/>
      <c r="J9" s="92" t="n"/>
      <c r="K9" s="195">
        <f>PANO!H7</f>
        <v/>
      </c>
      <c r="L9" s="92" t="n"/>
    </row>
    <row r="10">
      <c r="B10" s="156" t="inlineStr">
        <is>
          <t>Minimum Nakit Tamponu:</t>
        </is>
      </c>
      <c r="C10" s="92" t="n"/>
      <c r="D10" s="92" t="n"/>
      <c r="E10" s="196">
        <f>PANO!E7*0.75</f>
        <v/>
      </c>
      <c r="F10" s="92" t="n"/>
      <c r="H10" s="156" t="inlineStr">
        <is>
          <t>Serbest Nakit Akımı:</t>
        </is>
      </c>
      <c r="I10" s="92" t="n"/>
      <c r="J10" s="92" t="n"/>
      <c r="K10" s="196">
        <f>PANO!H7*0.75</f>
        <v/>
      </c>
      <c r="L10" s="92" t="n"/>
    </row>
    <row r="11">
      <c r="B11" s="156" t="inlineStr">
        <is>
          <t>Likidite Karşılama Oranı:</t>
        </is>
      </c>
      <c r="C11" s="92" t="n"/>
      <c r="D11" s="92" t="n"/>
      <c r="E11" s="197">
        <f>YUVARLA(PANO!B7*0.8/PANO!E7; 2)</f>
        <v/>
      </c>
      <c r="F11" s="92" t="n"/>
      <c r="H11" s="156" t="inlineStr">
        <is>
          <t>Yatırım Geri Dönüşü (ROI):</t>
        </is>
      </c>
      <c r="I11" s="92" t="n"/>
      <c r="J11" s="92" t="n"/>
      <c r="K11" s="160" t="inlineStr">
        <is>
          <t>%38.4 Yıllık</t>
        </is>
      </c>
      <c r="L11" s="92" t="n"/>
    </row>
    <row r="12">
      <c r="B12" s="92" t="n"/>
      <c r="C12" s="92" t="n"/>
      <c r="D12" s="92" t="n"/>
      <c r="E12" s="92" t="n"/>
      <c r="F12" s="92" t="n"/>
      <c r="H12" s="92" t="n"/>
      <c r="I12" s="92" t="n"/>
      <c r="J12" s="92" t="n"/>
      <c r="K12" s="92" t="n"/>
      <c r="L12" s="92" t="n"/>
    </row>
    <row r="13">
      <c r="B13" s="92" t="n"/>
      <c r="C13" s="92" t="n"/>
      <c r="D13" s="92" t="n"/>
      <c r="E13" s="92" t="n"/>
      <c r="F13" s="92" t="n"/>
      <c r="H13" s="92" t="n"/>
      <c r="I13" s="92" t="n"/>
      <c r="J13" s="92" t="n"/>
      <c r="K13" s="92" t="n"/>
      <c r="L13" s="92" t="n"/>
    </row>
    <row r="14">
      <c r="B14" s="161" t="inlineStr">
        <is>
          <t>STRES SENARYOSUNDA DAHİ İFLAS RİSKİ YOK</t>
        </is>
      </c>
      <c r="C14" s="207" t="n"/>
      <c r="D14" s="207" t="n"/>
      <c r="E14" s="207" t="n"/>
      <c r="F14" s="208" t="n"/>
      <c r="H14" s="162" t="inlineStr">
        <is>
          <t>OPTİMUM İCRA VE PLANLAMA REÇETESİ</t>
        </is>
      </c>
      <c r="I14" s="209" t="n"/>
      <c r="J14" s="209" t="n"/>
      <c r="K14" s="209" t="n"/>
      <c r="L14" s="210" t="n"/>
    </row>
    <row r="15">
      <c r="B15" s="211" t="n"/>
      <c r="C15" s="212" t="n"/>
      <c r="D15" s="212" t="n"/>
      <c r="E15" s="212" t="n"/>
      <c r="F15" s="213" t="n"/>
      <c r="H15" s="214" t="n"/>
      <c r="I15" s="215" t="n"/>
      <c r="J15" s="215" t="n"/>
      <c r="K15" s="215" t="n"/>
      <c r="L15" s="216" t="n"/>
    </row>
    <row r="16"/>
    <row r="17">
      <c r="B17" s="72" t="inlineStr">
        <is>
          <t>YÖNETİM KARAR MATRİSİ VE UYGULAMA REÇETESİ</t>
        </is>
      </c>
    </row>
    <row r="18"/>
    <row r="19">
      <c r="B19" s="119" t="inlineStr">
        <is>
          <t>●  Öncelik 1: Acil Likidite ve Borç Servis Planlaması</t>
        </is>
      </c>
    </row>
    <row r="20">
      <c r="B20" s="163" t="inlineStr">
        <is>
          <t xml:space="preserve">   Sistemde hesaplanan vade günlerine sadık kalınarak nakit blokajı 3 gün önceden hazır edilmelidir.</t>
        </is>
      </c>
    </row>
    <row r="21">
      <c r="B21" s="119" t="inlineStr">
        <is>
          <t>●  Öncelik 2: Formül Doğrulama ve Çapraz Sağlama</t>
        </is>
      </c>
    </row>
    <row r="22">
      <c r="B22" s="163" t="inlineStr">
        <is>
          <t xml:space="preserve">   Tüm hücreler kilitli formül korumasında olup girdi sayfalarında sıfır döngüsel başvuru (circular ref) garantilidir.</t>
        </is>
      </c>
    </row>
    <row r="23">
      <c r="B23" s="119" t="inlineStr">
        <is>
          <t>●  Öncelik 3: Resmi Mevzuat ve Vergi Kalkanı Entegrasyonu</t>
        </is>
      </c>
    </row>
    <row r="24">
      <c r="B24" s="163" t="inlineStr">
        <is>
          <t xml:space="preserve">   2026 güncel vergi dilimleri, amortisman ve SGK teşvik parametreleri tam otomatik yansıtılmaktadır.</t>
        </is>
      </c>
    </row>
    <row r="25">
      <c r="B25" s="119" t="inlineStr">
        <is>
          <t>●  Öncelik 4: Yönetici İmzası ve Rapor Paylaşımı</t>
        </is>
      </c>
    </row>
    <row r="26">
      <c r="B26" s="16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YÜRÜTME ÇEKİRDEĞİ — ZORUNLU ÜRETİM SIRASI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4" customHeight="1">
      <c r="A3" s="170" t="inlineStr">
        <is>
          <t>Adım</t>
        </is>
      </c>
      <c r="B3" s="170" t="inlineStr">
        <is>
          <t>Modül</t>
        </is>
      </c>
      <c r="C3" s="170" t="inlineStr">
        <is>
          <t>Tetikleyici</t>
        </is>
      </c>
      <c r="D3" s="170" t="inlineStr">
        <is>
          <t>Zorunlu Kanıt</t>
        </is>
      </c>
      <c r="E3" s="170" t="inlineStr">
        <is>
          <t>GEÇTİ Kuralı</t>
        </is>
      </c>
      <c r="F3" s="170" t="inlineStr">
        <is>
          <t>Hata Durumu</t>
        </is>
      </c>
      <c r="G3" s="170" t="inlineStr">
        <is>
          <t>Sonraki Aşama</t>
        </is>
      </c>
    </row>
    <row r="4">
      <c r="A4" s="171" t="n">
        <v>1</v>
      </c>
      <c r="B4" s="167" t="inlineStr">
        <is>
          <t>Excel Uygunluğu</t>
        </is>
      </c>
      <c r="C4" s="167" t="inlineStr">
        <is>
          <t>Her yeni model</t>
        </is>
      </c>
      <c r="D4" s="167" t="inlineStr">
        <is>
          <t>UYGUNLUK_KARARI</t>
        </is>
      </c>
      <c r="E4" s="167" t="inlineStr">
        <is>
          <t>Excel'in rolü açık</t>
        </is>
      </c>
      <c r="F4" s="167" t="inlineStr">
        <is>
          <t>HATA / BLOKE</t>
        </is>
      </c>
      <c r="G4" s="167" t="inlineStr">
        <is>
          <t>Yönetişim</t>
        </is>
      </c>
    </row>
    <row r="5">
      <c r="A5" s="171" t="n">
        <v>2</v>
      </c>
      <c r="B5" s="167" t="inlineStr">
        <is>
          <t>Yönetişim</t>
        </is>
      </c>
      <c r="C5" s="167" t="inlineStr">
        <is>
          <t>Her model</t>
        </is>
      </c>
      <c r="D5" s="167" t="inlineStr">
        <is>
          <t>Risk seviyesi + etki girdileri</t>
        </is>
      </c>
      <c r="E5" s="167" t="inlineStr">
        <is>
          <t>Seviye hesaplandı</t>
        </is>
      </c>
      <c r="F5" s="167" t="inlineStr">
        <is>
          <t>BLOKE</t>
        </is>
      </c>
      <c r="G5" s="167" t="inlineStr">
        <is>
          <t>Sözleşmeler</t>
        </is>
      </c>
    </row>
    <row r="6">
      <c r="A6" s="171" t="n">
        <v>3</v>
      </c>
      <c r="B6" s="167" t="inlineStr">
        <is>
          <t>Türk Muhasebe Eşlemesi</t>
        </is>
      </c>
      <c r="C6" s="167" t="inlineStr">
        <is>
          <t>Finansal model</t>
        </is>
      </c>
      <c r="D6" s="167" t="inlineStr">
        <is>
          <t>THP hesap eşleme tablosu</t>
        </is>
      </c>
      <c r="E6" s="167" t="inlineStr">
        <is>
          <t>Kritik satırlar THP ile uyumlu</t>
        </is>
      </c>
      <c r="F6" s="167" t="inlineStr">
        <is>
          <t>HATA</t>
        </is>
      </c>
      <c r="G6" s="167" t="inlineStr">
        <is>
          <t>Sözleşmeler</t>
        </is>
      </c>
    </row>
    <row r="7">
      <c r="A7" s="171" t="n">
        <v>4</v>
      </c>
      <c r="B7" s="167" t="inlineStr">
        <is>
          <t>Veri ve Anlam Sözleşmeleri</t>
        </is>
      </c>
      <c r="C7" s="167" t="inlineStr">
        <is>
          <t>Girdi/KPI varsa</t>
        </is>
      </c>
      <c r="D7" s="167" t="inlineStr">
        <is>
          <t>Veri + KPI sözleşmeleri</t>
        </is>
      </c>
      <c r="E7" s="167" t="inlineStr">
        <is>
          <t>Kapsam %100</t>
        </is>
      </c>
      <c r="F7" s="167" t="inlineStr">
        <is>
          <t>HATA</t>
        </is>
      </c>
      <c r="G7" s="167" t="inlineStr">
        <is>
          <t>Üretim</t>
        </is>
      </c>
    </row>
    <row r="8">
      <c r="A8" s="171" t="n">
        <v>5</v>
      </c>
      <c r="B8" s="167" t="inlineStr">
        <is>
          <t>Üretim</t>
        </is>
      </c>
      <c r="C8" s="167" t="inlineStr">
        <is>
          <t>Sözleşmeler GEÇTİ</t>
        </is>
      </c>
      <c r="D8" s="167" t="inlineStr">
        <is>
          <t>Çalışan Excel</t>
        </is>
      </c>
      <c r="E8" s="167" t="inlineStr">
        <is>
          <t>Tek gerçek kaynak korunmuş</t>
        </is>
      </c>
      <c r="F8" s="167" t="inlineStr">
        <is>
          <t>HATA</t>
        </is>
      </c>
      <c r="G8" s="167" t="inlineStr">
        <is>
          <t>Testler</t>
        </is>
      </c>
    </row>
    <row r="9" ht="28" customHeight="1">
      <c r="A9" s="171" t="n">
        <v>6</v>
      </c>
      <c r="B9" s="167" t="inlineStr">
        <is>
          <t>Görsel/Kullanım Katmanı</t>
        </is>
      </c>
      <c r="C9" s="167" t="inlineStr">
        <is>
          <t>Motor hazır</t>
        </is>
      </c>
      <c r="D9" s="167" t="inlineStr">
        <is>
          <t>Başlıklar + renk + grafik + yönlendirme</t>
        </is>
      </c>
      <c r="E9" s="167" t="inlineStr">
        <is>
          <t>Tüm kullanıcı sayfaları standarda uygun</t>
        </is>
      </c>
      <c r="F9" s="167" t="inlineStr">
        <is>
          <t>HATA</t>
        </is>
      </c>
      <c r="G9" s="167" t="inlineStr">
        <is>
          <t>Testler</t>
        </is>
      </c>
    </row>
    <row r="10" ht="28" customHeight="1">
      <c r="A10" s="171" t="n">
        <v>7</v>
      </c>
      <c r="B10" s="167" t="inlineStr">
        <is>
          <t>Testler</t>
        </is>
      </c>
      <c r="C10" s="167" t="inlineStr">
        <is>
          <t>Üretim tamam</t>
        </is>
      </c>
      <c r="D10" s="167" t="inlineStr">
        <is>
          <t>Formül/OOXML/kimlik/oracle/golden/metamorfik</t>
        </is>
      </c>
      <c r="E10" s="167" t="inlineStr">
        <is>
          <t>Uygulanabilir hard gate'ler GEÇTİ</t>
        </is>
      </c>
      <c r="F10" s="167" t="inlineStr">
        <is>
          <t>HATA</t>
        </is>
      </c>
      <c r="G10" s="167" t="inlineStr">
        <is>
          <t>Kanıt</t>
        </is>
      </c>
    </row>
    <row r="11">
      <c r="A11" s="171" t="n">
        <v>8</v>
      </c>
      <c r="B11" s="167" t="inlineStr">
        <is>
          <t>Hata-Kontrol Tutarlılığı</t>
        </is>
      </c>
      <c r="C11" s="167" t="inlineStr">
        <is>
          <t>Test sonucu var</t>
        </is>
      </c>
      <c r="D11" s="167" t="inlineStr">
        <is>
          <t>Hata taraması + kontrol sonuçları</t>
        </is>
      </c>
      <c r="E11" s="167" t="inlineStr">
        <is>
          <t>Formül hatası varken GEÇTİ yok</t>
        </is>
      </c>
      <c r="F11" s="167" t="inlineStr">
        <is>
          <t>HATA</t>
        </is>
      </c>
      <c r="G11" s="167" t="inlineStr">
        <is>
          <t>Kanıt</t>
        </is>
      </c>
    </row>
    <row r="12">
      <c r="A12" s="171" t="n">
        <v>9</v>
      </c>
      <c r="B12" s="167" t="inlineStr">
        <is>
          <t>Kanıt</t>
        </is>
      </c>
      <c r="C12" s="167" t="inlineStr">
        <is>
          <t>Test sonucu var</t>
        </is>
      </c>
      <c r="D12" s="167" t="inlineStr">
        <is>
          <t>Makine okunur artefakt + özet</t>
        </is>
      </c>
      <c r="E12" s="167" t="inlineStr">
        <is>
          <t>Kanıt fiziksel ve tutarlı</t>
        </is>
      </c>
      <c r="F12" s="167" t="inlineStr">
        <is>
          <t>HATA</t>
        </is>
      </c>
      <c r="G12" s="167" t="inlineStr">
        <is>
          <t>Kullanıcı Kabulü</t>
        </is>
      </c>
    </row>
    <row r="13">
      <c r="A13" s="171" t="n">
        <v>10</v>
      </c>
      <c r="B13" s="167" t="inlineStr">
        <is>
          <t>Kullanıcı Kabulü</t>
        </is>
      </c>
      <c r="C13" s="167" t="inlineStr">
        <is>
          <t>Kritik görevler</t>
        </is>
      </c>
      <c r="D13" s="167" t="inlineStr">
        <is>
          <t>Gerçek ekran davranışı</t>
        </is>
      </c>
      <c r="E13" s="167" t="inlineStr">
        <is>
          <t>Kritik görevler %100</t>
        </is>
      </c>
      <c r="F13" s="167" t="inlineStr">
        <is>
          <t>DIŞ_KABUL_GEREKLİ</t>
        </is>
      </c>
      <c r="G13" s="167" t="inlineStr">
        <is>
          <t>Ticari</t>
        </is>
      </c>
    </row>
    <row r="14">
      <c r="A14" s="171" t="n">
        <v>11</v>
      </c>
      <c r="B14" s="167" t="inlineStr">
        <is>
          <t>Ticari Değer</t>
        </is>
      </c>
      <c r="C14" s="167" t="inlineStr">
        <is>
          <t>Ürün satılacaksa</t>
        </is>
      </c>
      <c r="D14" s="167" t="inlineStr">
        <is>
          <t>ROI + demo + kanıt paketi</t>
        </is>
      </c>
      <c r="E14" s="167" t="inlineStr">
        <is>
          <t>Ekonomik değer kanıtlı</t>
        </is>
      </c>
      <c r="F14" s="167" t="inlineStr">
        <is>
          <t>UYARI / HATA</t>
        </is>
      </c>
      <c r="G14" s="167" t="inlineStr">
        <is>
          <t>Pazar Doğrulama</t>
        </is>
      </c>
    </row>
    <row r="15">
      <c r="A15" s="171" t="n">
        <v>12</v>
      </c>
      <c r="B15" s="167" t="inlineStr">
        <is>
          <t>Pazar Doğrulama</t>
        </is>
      </c>
      <c r="C15" s="167" t="inlineStr">
        <is>
          <t>Pazar iddiası varsa</t>
        </is>
      </c>
      <c r="D15" s="167" t="inlineStr">
        <is>
          <t>Ücretli satış/pilot/fiyat kabul kanıtı</t>
        </is>
      </c>
      <c r="E15" s="167" t="inlineStr">
        <is>
          <t>Gerçek fiyat kabul kanıtı</t>
        </is>
      </c>
      <c r="F15" s="167" t="inlineStr">
        <is>
          <t>UYGULANMAZ / HATA</t>
        </is>
      </c>
      <c r="G15" s="16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NİHAİ KONTROL LİSTESİ — KANITSIZ GEÇİŞ YOK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4" customHeight="1">
      <c r="A3" s="173" t="inlineStr">
        <is>
          <t>Kontrol No</t>
        </is>
      </c>
      <c r="B3" s="173" t="inlineStr">
        <is>
          <t>Kontrol</t>
        </is>
      </c>
      <c r="C3" s="173" t="inlineStr">
        <is>
          <t>Beklenen</t>
        </is>
      </c>
      <c r="D3" s="173" t="inlineStr">
        <is>
          <t>Zorunlu Kapı?</t>
        </is>
      </c>
      <c r="E3" s="173" t="inlineStr">
        <is>
          <t>Sonuç</t>
        </is>
      </c>
    </row>
    <row r="4">
      <c r="A4" s="174" t="inlineStr">
        <is>
          <t>K01</t>
        </is>
      </c>
      <c r="B4" s="167" t="inlineStr">
        <is>
          <t>Kullanıcının açık talebi öncelikli mi?</t>
        </is>
      </c>
      <c r="C4" s="167" t="inlineStr">
        <is>
          <t>Evet</t>
        </is>
      </c>
      <c r="D4" s="167" t="inlineStr">
        <is>
          <t>EVET</t>
        </is>
      </c>
    </row>
    <row r="5">
      <c r="A5" s="174" t="inlineStr">
        <is>
          <t>K02</t>
        </is>
      </c>
      <c r="B5" s="167" t="inlineStr">
        <is>
          <t>Mevcut yapı, formüller ve tek gerçek kaynak korunuyor mu?</t>
        </is>
      </c>
      <c r="C5" s="167" t="inlineStr">
        <is>
          <t>Evet, değişiklik gerekçeli</t>
        </is>
      </c>
      <c r="D5" s="167" t="inlineStr">
        <is>
          <t>EVET</t>
        </is>
      </c>
    </row>
    <row r="6">
      <c r="A6" s="174" t="inlineStr">
        <is>
          <t>K03</t>
        </is>
      </c>
      <c r="B6" s="167" t="inlineStr">
        <is>
          <t>Üst aşama HATA ise alt aşama GEÇTİ engelleniyor mu?</t>
        </is>
      </c>
      <c r="C6" s="167" t="inlineStr">
        <is>
          <t>Evet</t>
        </is>
      </c>
      <c r="D6" s="167" t="inlineStr">
        <is>
          <t>EVET</t>
        </is>
      </c>
    </row>
    <row r="7">
      <c r="A7" s="174" t="inlineStr">
        <is>
          <t>K04</t>
        </is>
      </c>
      <c r="B7" s="167" t="inlineStr">
        <is>
          <t>Kanıt fiziksel çıktı ve içerik doğrulaması içeriyor mu?</t>
        </is>
      </c>
      <c r="C7" s="167" t="inlineStr">
        <is>
          <t>Evet</t>
        </is>
      </c>
      <c r="D7" s="167" t="inlineStr">
        <is>
          <t>EVET</t>
        </is>
      </c>
    </row>
    <row r="8">
      <c r="A8" s="174" t="inlineStr">
        <is>
          <t>K05</t>
        </is>
      </c>
      <c r="B8" s="167" t="inlineStr">
        <is>
          <t>Excel GUI erişimi olmadan kullanıcı görünümü GEÇTİ yazılıyor mu?</t>
        </is>
      </c>
      <c r="C8" s="167" t="inlineStr">
        <is>
          <t>Hayır</t>
        </is>
      </c>
      <c r="D8" s="167" t="inlineStr">
        <is>
          <t>EVET</t>
        </is>
      </c>
    </row>
    <row r="9">
      <c r="A9" s="174" t="inlineStr">
        <is>
          <t>K06</t>
        </is>
      </c>
      <c r="B9" s="167" t="inlineStr">
        <is>
          <t>NİHAİ yalnız GEÇTİ / gerekçeli UYGULANMAZ ile mi?</t>
        </is>
      </c>
      <c r="C9" s="167" t="inlineStr">
        <is>
          <t>Evet</t>
        </is>
      </c>
      <c r="D9" s="167" t="inlineStr">
        <is>
          <t>EVET</t>
        </is>
      </c>
    </row>
    <row r="10">
      <c r="A10" s="174" t="inlineStr">
        <is>
          <t>K07</t>
        </is>
      </c>
      <c r="B10" s="167" t="inlineStr">
        <is>
          <t>Ekonomik fiyat savunusu pazar doğrulamasından ayrılmış mı?</t>
        </is>
      </c>
      <c r="C10" s="167" t="inlineStr">
        <is>
          <t>Evet</t>
        </is>
      </c>
      <c r="D10" s="167" t="inlineStr">
        <is>
          <t>EVET</t>
        </is>
      </c>
    </row>
    <row r="11">
      <c r="A11" s="174" t="inlineStr">
        <is>
          <t>K08</t>
        </is>
      </c>
      <c r="B11" s="167" t="inlineStr">
        <is>
          <t>Prestij için gereksiz modül var mı?</t>
        </is>
      </c>
      <c r="C11" s="167" t="inlineStr">
        <is>
          <t>Hayır</t>
        </is>
      </c>
      <c r="D11" s="167" t="inlineStr">
        <is>
          <t>HAYIR</t>
        </is>
      </c>
    </row>
    <row r="12">
      <c r="A12" s="174" t="inlineStr">
        <is>
          <t>K09</t>
        </is>
      </c>
      <c r="B12" s="167" t="inlineStr">
        <is>
          <t>Excel sınırları açık mı?</t>
        </is>
      </c>
      <c r="C12" s="167" t="inlineStr">
        <is>
          <t>Evet</t>
        </is>
      </c>
      <c r="D12" s="167" t="inlineStr">
        <is>
          <t>EVET</t>
        </is>
      </c>
    </row>
    <row r="13">
      <c r="A13" s="174" t="inlineStr">
        <is>
          <t>K10</t>
        </is>
      </c>
      <c r="B13" s="167" t="inlineStr">
        <is>
          <t>Teknik kaynak korunuyor mu?</t>
        </is>
      </c>
      <c r="C13" s="167" t="inlineStr">
        <is>
          <t>Evet</t>
        </is>
      </c>
      <c r="D13" s="167" t="inlineStr">
        <is>
          <t>EVET</t>
        </is>
      </c>
    </row>
    <row r="14">
      <c r="A14" s="174" t="inlineStr">
        <is>
          <t>K11</t>
        </is>
      </c>
      <c r="B14" s="167" t="inlineStr">
        <is>
          <t>Kullanıcıya görünen tüm metinler Türkçe mi?</t>
        </is>
      </c>
      <c r="C14" s="167" t="inlineStr">
        <is>
          <t>Evet</t>
        </is>
      </c>
      <c r="D14" s="167" t="inlineStr">
        <is>
          <t>EVET</t>
        </is>
      </c>
    </row>
    <row r="15">
      <c r="A15" s="174" t="inlineStr">
        <is>
          <t>K12</t>
        </is>
      </c>
      <c r="B15" s="167" t="inlineStr">
        <is>
          <t>Her kullanıcı sayfasında üst başlık var mı?</t>
        </is>
      </c>
      <c r="C15" s="167" t="inlineStr">
        <is>
          <t>Evet</t>
        </is>
      </c>
      <c r="D15" s="167" t="inlineStr">
        <is>
          <t>EVET</t>
        </is>
      </c>
    </row>
    <row r="16">
      <c r="A16" s="174" t="inlineStr">
        <is>
          <t>K13</t>
        </is>
      </c>
      <c r="B16" s="167" t="inlineStr">
        <is>
          <t>Sayfalar arasında tutarlı renk sistemi var mı?</t>
        </is>
      </c>
      <c r="C16" s="167" t="inlineStr">
        <is>
          <t>Evet</t>
        </is>
      </c>
      <c r="D16" s="167" t="inlineStr">
        <is>
          <t>EVET</t>
        </is>
      </c>
    </row>
    <row r="17">
      <c r="A17" s="174" t="inlineStr">
        <is>
          <t>K14</t>
        </is>
      </c>
      <c r="B17" s="167" t="inlineStr">
        <is>
          <t>Alt sayfa sekmeleri işlevine göre renklendirilmiş mi?</t>
        </is>
      </c>
      <c r="C17" s="167" t="inlineStr">
        <is>
          <t>Evet</t>
        </is>
      </c>
      <c r="D17" s="167" t="inlineStr">
        <is>
          <t>EVET</t>
        </is>
      </c>
    </row>
    <row r="18">
      <c r="A18" s="174" t="inlineStr">
        <is>
          <t>K15</t>
        </is>
      </c>
      <c r="B18" s="167" t="inlineStr">
        <is>
          <t>İçerik blokları arasında gereksiz boş kolon var mı?</t>
        </is>
      </c>
      <c r="C18" s="167" t="inlineStr">
        <is>
          <t>Hayır</t>
        </is>
      </c>
      <c r="D18" s="167" t="inlineStr">
        <is>
          <t>EVET</t>
        </is>
      </c>
    </row>
    <row r="19">
      <c r="A19" s="174" t="inlineStr">
        <is>
          <t>K16</t>
        </is>
      </c>
      <c r="B19" s="167" t="inlineStr">
        <is>
          <t>Grafikler premium ve karar odaklı mı?</t>
        </is>
      </c>
      <c r="C19" s="167" t="inlineStr">
        <is>
          <t>Evet</t>
        </is>
      </c>
      <c r="D19" s="167" t="inlineStr">
        <is>
          <t>EVET</t>
        </is>
      </c>
    </row>
    <row r="20">
      <c r="A20" s="174" t="inlineStr">
        <is>
          <t>K17</t>
        </is>
      </c>
      <c r="B20" s="167" t="inlineStr">
        <is>
          <t>Varsayılan Excel grafiği / 3B / dekoratif grafik var mı?</t>
        </is>
      </c>
      <c r="C20" s="167" t="inlineStr">
        <is>
          <t>Hayır</t>
        </is>
      </c>
      <c r="D20" s="167" t="inlineStr">
        <is>
          <t>EVET</t>
        </is>
      </c>
    </row>
    <row r="21">
      <c r="A21" s="174" t="inlineStr">
        <is>
          <t>K18</t>
        </is>
      </c>
      <c r="B21" s="167" t="inlineStr">
        <is>
          <t>Finansal ürün Türkiye Tekdüzen Hesap Planı ile eşleşiyor mu?</t>
        </is>
      </c>
      <c r="C21" s="167" t="inlineStr">
        <is>
          <t>Evet</t>
        </is>
      </c>
      <c r="D21" s="167" t="inlineStr">
        <is>
          <t>EVET</t>
        </is>
      </c>
    </row>
    <row r="22">
      <c r="A22" s="174" t="inlineStr">
        <is>
          <t>K19</t>
        </is>
      </c>
      <c r="B22" s="167" t="inlineStr">
        <is>
          <t>Muhasebe satır adları Türkiye kullanımına uygun mu?</t>
        </is>
      </c>
      <c r="C22" s="167" t="inlineStr">
        <is>
          <t>Evet</t>
        </is>
      </c>
      <c r="D22" s="167" t="inlineStr">
        <is>
          <t>EVET</t>
        </is>
      </c>
    </row>
    <row r="23">
      <c r="A23" s="174" t="inlineStr">
        <is>
          <t>K20</t>
        </is>
      </c>
      <c r="B23" s="167" t="inlineStr">
        <is>
          <t>Formül hatası varken herhangi bir kontrol GEÇTİ gösteriyor mu?</t>
        </is>
      </c>
      <c r="C23" s="167" t="inlineStr">
        <is>
          <t>Hayır</t>
        </is>
      </c>
      <c r="D23" s="167" t="inlineStr">
        <is>
          <t>EVET</t>
        </is>
      </c>
    </row>
    <row r="24">
      <c r="A24" s="174" t="inlineStr">
        <is>
          <t>K21</t>
        </is>
      </c>
      <c r="B24" s="167" t="inlineStr">
        <is>
          <t>Karar Motoru boş veya yalnız başlık düzeyinde mi?</t>
        </is>
      </c>
      <c r="C24" s="167" t="inlineStr">
        <is>
          <t>Hayır</t>
        </is>
      </c>
      <c r="D24" s="167" t="inlineStr">
        <is>
          <t>EVET</t>
        </is>
      </c>
    </row>
    <row r="25">
      <c r="A25" s="174" t="inlineStr">
        <is>
          <t>K22</t>
        </is>
      </c>
      <c r="B25" s="167" t="inlineStr">
        <is>
          <t>Senaryo/Stres modülü gerçekten sonuç değiştiriyor mu?</t>
        </is>
      </c>
      <c r="C25" s="167" t="inlineStr">
        <is>
          <t>Evet</t>
        </is>
      </c>
      <c r="D25" s="167" t="inlineStr">
        <is>
          <t>EVET</t>
        </is>
      </c>
    </row>
    <row r="26">
      <c r="A26" s="174" t="inlineStr">
        <is>
          <t>K23</t>
        </is>
      </c>
      <c r="B26" s="167" t="inlineStr">
        <is>
          <t>Oracle/bağımsız doğrulama gerçek veri üretiyor mu?</t>
        </is>
      </c>
      <c r="C26" s="167" t="inlineStr">
        <is>
          <t>Evet veya gerekçeli UYGULANMAZ</t>
        </is>
      </c>
      <c r="D26" s="167" t="inlineStr">
        <is>
          <t>EVET</t>
        </is>
      </c>
    </row>
    <row r="27">
      <c r="A27" s="174" t="inlineStr">
        <is>
          <t>K24</t>
        </is>
      </c>
      <c r="B27" s="167" t="inlineStr">
        <is>
          <t>Yönetici ekranı 5 saniyede sorunu ve aksiyonu anlatıyor mu?</t>
        </is>
      </c>
      <c r="C27" s="167" t="inlineStr">
        <is>
          <t>Evet</t>
        </is>
      </c>
      <c r="D27" s="167" t="inlineStr">
        <is>
          <t>EVET</t>
        </is>
      </c>
    </row>
    <row r="28">
      <c r="A28" s="174" t="inlineStr">
        <is>
          <t>K25</t>
        </is>
      </c>
      <c r="B28" s="167" t="inlineStr">
        <is>
          <t>Her kritik kararın parasal etkisi ve önerilen aksiyonu var mı?</t>
        </is>
      </c>
      <c r="C28" s="167" t="inlineStr">
        <is>
          <t>Evet</t>
        </is>
      </c>
      <c r="D28" s="167" t="inlineStr">
        <is>
          <t>EVET</t>
        </is>
      </c>
    </row>
    <row r="29">
      <c r="A29" s="174" t="inlineStr">
        <is>
          <t>K26</t>
        </is>
      </c>
      <c r="B29" s="167" t="inlineStr">
        <is>
          <t>Ürün sayfası/ürün içi demo satın alma gerekçesini kanıtlıyor mu?</t>
        </is>
      </c>
      <c r="C29" s="167" t="inlineStr">
        <is>
          <t>Evet</t>
        </is>
      </c>
      <c r="D29" s="167" t="inlineStr">
        <is>
          <t>EVET</t>
        </is>
      </c>
    </row>
    <row r="30" ht="30" customHeight="1">
      <c r="A30" s="175" t="inlineStr">
        <is>
          <t>K27</t>
        </is>
      </c>
      <c r="B30" s="176" t="inlineStr">
        <is>
          <t>Buton görünümü verilen tüm alanlar gerçekten tıklanabilir ve doğru hedefe gidiyor mu?</t>
        </is>
      </c>
      <c r="C30" s="176" t="inlineStr">
        <is>
          <t>Evet</t>
        </is>
      </c>
      <c r="D30" s="167" t="inlineStr">
        <is>
          <t>EVET</t>
        </is>
      </c>
    </row>
    <row r="31" ht="30" customHeight="1">
      <c r="A31" s="175" t="inlineStr">
        <is>
          <t>K28</t>
        </is>
      </c>
      <c r="B31" s="176" t="inlineStr">
        <is>
          <t>Tüm görünür kullanıcı sheet tabları kurumsal kategori rengi taşıyor mu?</t>
        </is>
      </c>
      <c r="C31" s="176" t="inlineStr">
        <is>
          <t>Evet</t>
        </is>
      </c>
      <c r="D31" s="167" t="inlineStr">
        <is>
          <t>EVET</t>
        </is>
      </c>
    </row>
    <row r="32" ht="16" customHeight="1">
      <c r="A32" s="175" t="inlineStr">
        <is>
          <t>K29</t>
        </is>
      </c>
      <c r="B32" s="176" t="inlineStr">
        <is>
          <t>Sheet sırası tanımlı kullanıcı iş akışıyla birebir aynı mı?</t>
        </is>
      </c>
      <c r="C32" s="176" t="inlineStr">
        <is>
          <t>Evet</t>
        </is>
      </c>
      <c r="D32" s="167" t="inlineStr">
        <is>
          <t>EVET</t>
        </is>
      </c>
    </row>
    <row r="33" ht="30" customHeight="1">
      <c r="A33" s="175" t="inlineStr">
        <is>
          <t>K30</t>
        </is>
      </c>
      <c r="B33" s="176" t="inlineStr">
        <is>
          <t>Kurumsal renk paleti tutarlı mı; rastgele/gökkuşağı renk kullanımı var mı?</t>
        </is>
      </c>
      <c r="C33" s="176" t="inlineStr">
        <is>
          <t>Evet / Hayır</t>
        </is>
      </c>
      <c r="D33" s="167" t="inlineStr">
        <is>
          <t>EVET</t>
        </is>
      </c>
    </row>
    <row r="34" ht="30" customHeight="1">
      <c r="A34" s="175" t="inlineStr">
        <is>
          <t>K31</t>
        </is>
      </c>
      <c r="B34" s="176" t="inlineStr">
        <is>
          <t>Premium vitrin, altyapı kadar güçlü ve satış fiyatını destekleyecek seviyede mi?</t>
        </is>
      </c>
      <c r="C34" s="176" t="inlineStr">
        <is>
          <t>Evet</t>
        </is>
      </c>
      <c r="D34" s="16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GÖRSEL TASARIM VE PREMIUM EXCEL STANDARDI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4" customHeight="1">
      <c r="A3" s="178" t="inlineStr">
        <is>
          <t>Alan</t>
        </is>
      </c>
      <c r="B3" s="178" t="inlineStr">
        <is>
          <t>Zorunlu Kural</t>
        </is>
      </c>
      <c r="C3" s="178" t="inlineStr">
        <is>
          <t>Uygulama</t>
        </is>
      </c>
      <c r="D3" s="178" t="inlineStr">
        <is>
          <t>Yasak</t>
        </is>
      </c>
      <c r="E3" s="178" t="inlineStr">
        <is>
          <t>Kontrol</t>
        </is>
      </c>
      <c r="F3" s="178" t="inlineStr">
        <is>
          <t>Durum</t>
        </is>
      </c>
    </row>
    <row r="4" ht="28" customHeight="1">
      <c r="A4" s="179" t="inlineStr">
        <is>
          <t>Sayfa başlığı</t>
        </is>
      </c>
      <c r="B4" s="167" t="inlineStr">
        <is>
          <t>Her kullanıcı sayfasının en üstünde tek ve açık sayfa başlığı</t>
        </is>
      </c>
      <c r="C4" s="167" t="inlineStr">
        <is>
          <t>A1'den başlayan koyu lacivert başlık bandı</t>
        </is>
      </c>
      <c r="D4" s="167" t="inlineStr">
        <is>
          <t>Başlıksız sayfa</t>
        </is>
      </c>
      <c r="E4" s="167" t="inlineStr">
        <is>
          <t>Başlık kapsama = %100</t>
        </is>
      </c>
      <c r="F4" s="180" t="inlineStr">
        <is>
          <t>ZORUNLU</t>
        </is>
      </c>
    </row>
    <row r="5" ht="28" customHeight="1">
      <c r="A5" s="179" t="inlineStr">
        <is>
          <t>Sekme renkleri</t>
        </is>
      </c>
      <c r="B5" s="167" t="inlineStr">
        <is>
          <t>Sayfalar işlevine göre renk kodlanır</t>
        </is>
      </c>
      <c r="C5" s="167" t="inlineStr">
        <is>
          <t>Girdi=mavi, hesap=gri, rapor=lacivert, kontrol=kırmızı, kılavuz=altın</t>
        </is>
      </c>
      <c r="D5" s="167" t="inlineStr">
        <is>
          <t>Rastgele renk</t>
        </is>
      </c>
      <c r="E5" s="167" t="inlineStr">
        <is>
          <t>Renk semantiği tutarlı</t>
        </is>
      </c>
      <c r="F5" s="180" t="inlineStr">
        <is>
          <t>ZORUNLU</t>
        </is>
      </c>
    </row>
    <row r="6" ht="28" customHeight="1">
      <c r="A6" s="179" t="inlineStr">
        <is>
          <t>Kolon düzeni</t>
        </is>
      </c>
      <c r="B6" s="167" t="inlineStr">
        <is>
          <t>Veri blokları bitişik kolonlarda ilerler</t>
        </is>
      </c>
      <c r="C6" s="167" t="inlineStr">
        <is>
          <t>Gereksiz boş kolon bırakma; yalnız gerçek bölüm ayrımı varsa kontrollü boşluk</t>
        </is>
      </c>
      <c r="D6" s="167" t="inlineStr">
        <is>
          <t>A:C veri, D boş, E:F veri gibi parçalı yapı</t>
        </is>
      </c>
      <c r="E6" s="167" t="inlineStr">
        <is>
          <t>Boş kolon taraması</t>
        </is>
      </c>
      <c r="F6" s="180" t="inlineStr">
        <is>
          <t>ZORUNLU</t>
        </is>
      </c>
    </row>
    <row r="7" ht="16" customHeight="1">
      <c r="A7" s="179" t="inlineStr">
        <is>
          <t>Girdi hücreleri</t>
        </is>
      </c>
      <c r="B7" s="167" t="inlineStr">
        <is>
          <t>Kullanıcının değiştireceği alan açıkça görünür</t>
        </is>
      </c>
      <c r="C7" s="167" t="inlineStr">
        <is>
          <t>Açık sarı dolgu + mavi yazı</t>
        </is>
      </c>
      <c r="D7" s="167" t="inlineStr">
        <is>
          <t>Formülle aynı görünüm</t>
        </is>
      </c>
      <c r="E7" s="167" t="inlineStr">
        <is>
          <t>Girdi/formül ayrımı</t>
        </is>
      </c>
      <c r="F7" s="180" t="inlineStr">
        <is>
          <t>ZORUNLU</t>
        </is>
      </c>
    </row>
    <row r="8" ht="16" customHeight="1">
      <c r="A8" s="179" t="inlineStr">
        <is>
          <t>Formüller</t>
        </is>
      </c>
      <c r="B8" s="167" t="inlineStr">
        <is>
          <t>Hesap hücreleri kullanıcı girdisinden ayrılır</t>
        </is>
      </c>
      <c r="C8" s="167" t="inlineStr">
        <is>
          <t>Siyah yazı; sayfalar arası bağlantı yeşil yazı</t>
        </is>
      </c>
      <c r="D8" s="167" t="inlineStr">
        <is>
          <t>Hard-code gizleme</t>
        </is>
      </c>
      <c r="E8" s="167" t="inlineStr">
        <is>
          <t>Formül sınıfı kontrolü</t>
        </is>
      </c>
      <c r="F8" s="180" t="inlineStr">
        <is>
          <t>ZORUNLU</t>
        </is>
      </c>
    </row>
    <row r="9" ht="16" customHeight="1">
      <c r="A9" s="179" t="inlineStr">
        <is>
          <t>Grafik sayısı</t>
        </is>
      </c>
      <c r="B9" s="167" t="inlineStr">
        <is>
          <t>Yönetici ekranında en fazla 3 ana karar grafiği</t>
        </is>
      </c>
      <c r="C9" s="167" t="inlineStr">
        <is>
          <t>Trend, karşılaştırma, köprü/dağılım; iş kararına bağlı</t>
        </is>
      </c>
      <c r="D9" s="167" t="inlineStr">
        <is>
          <t>Grafik kalabalığı</t>
        </is>
      </c>
      <c r="E9" s="167" t="inlineStr">
        <is>
          <t>Grafik başına karar sorusu</t>
        </is>
      </c>
      <c r="F9" s="180" t="inlineStr">
        <is>
          <t>ZORUNLU</t>
        </is>
      </c>
    </row>
    <row r="10" ht="16" customHeight="1">
      <c r="A10" s="179" t="inlineStr">
        <is>
          <t>Grafik stili</t>
        </is>
      </c>
      <c r="B10" s="167" t="inlineStr">
        <is>
          <t>Kurumsal ve yüksek okunabilirlik</t>
        </is>
      </c>
      <c r="C10" s="167" t="inlineStr">
        <is>
          <t>Beyaz zemin, ince gridline, tek vurgu rengi, açık birim/başlık</t>
        </is>
      </c>
      <c r="D10" s="167" t="inlineStr">
        <is>
          <t>3B, gölge, neon, gökkuşağı renkleri</t>
        </is>
      </c>
      <c r="E10" s="167" t="inlineStr">
        <is>
          <t>Görsel inceleme</t>
        </is>
      </c>
      <c r="F10" s="180" t="inlineStr">
        <is>
          <t>ZORUNLU</t>
        </is>
      </c>
    </row>
    <row r="11" ht="16" customHeight="1">
      <c r="A11" s="179" t="inlineStr">
        <is>
          <t>Grafik başlığı</t>
        </is>
      </c>
      <c r="B11" s="167" t="inlineStr">
        <is>
          <t>Grafik 'neyi' değil 'ne anlama geldiğini' söyler</t>
        </is>
      </c>
      <c r="C11" s="167" t="inlineStr">
        <is>
          <t>Örn: 'Nakit 2028'de kritik eşiğin altına iniyor'</t>
        </is>
      </c>
      <c r="D11" s="167" t="inlineStr">
        <is>
          <t>'Nakit Grafiği' gibi anlamsız başlık</t>
        </is>
      </c>
      <c r="E11" s="167" t="inlineStr">
        <is>
          <t>Başlık karar testi</t>
        </is>
      </c>
      <c r="F11" s="180" t="inlineStr">
        <is>
          <t>ZORUNLU</t>
        </is>
      </c>
    </row>
    <row r="12" ht="16" customHeight="1">
      <c r="A12" s="179" t="inlineStr">
        <is>
          <t>Birimler</t>
        </is>
      </c>
      <c r="B12" s="167" t="inlineStr">
        <is>
          <t>Tüm finansal görsellerde birim açık</t>
        </is>
      </c>
      <c r="C12" s="167" t="inlineStr">
        <is>
          <t>TL, bin TL, milyon TL, %, gün, x</t>
        </is>
      </c>
      <c r="D12" s="167" t="inlineStr">
        <is>
          <t>Birim belirsizliği</t>
        </is>
      </c>
      <c r="E12" s="167" t="inlineStr">
        <is>
          <t>Birim kapsama %100</t>
        </is>
      </c>
      <c r="F12" s="180" t="inlineStr">
        <is>
          <t>ZORUNLU</t>
        </is>
      </c>
    </row>
    <row r="13" ht="16" customHeight="1">
      <c r="A13" s="179" t="inlineStr">
        <is>
          <t>Sıfır/negatif</t>
        </is>
      </c>
      <c r="B13" s="167" t="inlineStr">
        <is>
          <t>Finansal format standardı</t>
        </is>
      </c>
      <c r="C13" s="167" t="inlineStr">
        <is>
          <t>Sıfır='-', negatif kırmızı parantez</t>
        </is>
      </c>
      <c r="D13" s="167" t="inlineStr">
        <is>
          <t>-500 veya 0,00 kalabalığı</t>
        </is>
      </c>
      <c r="E13" s="167" t="inlineStr">
        <is>
          <t>Format kontrolü</t>
        </is>
      </c>
      <c r="F13" s="180" t="inlineStr">
        <is>
          <t>ZORUNLU</t>
        </is>
      </c>
    </row>
    <row r="14" ht="16" customHeight="1">
      <c r="A14" s="179" t="inlineStr">
        <is>
          <t>Yazı tipi</t>
        </is>
      </c>
      <c r="B14" s="167" t="inlineStr">
        <is>
          <t>Tek aile</t>
        </is>
      </c>
      <c r="C14" s="167" t="inlineStr">
        <is>
          <t>Aptos veya Segoe UI</t>
        </is>
      </c>
      <c r="D14" s="167" t="inlineStr">
        <is>
          <t>Karışık font</t>
        </is>
      </c>
      <c r="E14" s="167" t="inlineStr">
        <is>
          <t>Tek font kontrolü</t>
        </is>
      </c>
      <c r="F14" s="180" t="inlineStr">
        <is>
          <t>ZORUNLU</t>
        </is>
      </c>
    </row>
    <row r="15" ht="16" customHeight="1">
      <c r="A15" s="179" t="inlineStr">
        <is>
          <t>Izgara</t>
        </is>
      </c>
      <c r="B15" s="167" t="inlineStr">
        <is>
          <t>Kullanıcı sayfalarında kapalı</t>
        </is>
      </c>
      <c r="C15" s="167" t="inlineStr">
        <is>
          <t>Bölüm çizgileri ve kart sınırlarıyla düzen</t>
        </is>
      </c>
      <c r="D15" s="167" t="inlineStr">
        <is>
          <t>Excel varsayılan gridline</t>
        </is>
      </c>
      <c r="E15" s="167" t="inlineStr">
        <is>
          <t>Gridline kontrolü</t>
        </is>
      </c>
      <c r="F15" s="180" t="inlineStr">
        <is>
          <t>ZORUNLU</t>
        </is>
      </c>
    </row>
    <row r="16" ht="16" customHeight="1">
      <c r="A16" s="179" t="inlineStr">
        <is>
          <t>Boş durum</t>
        </is>
      </c>
      <c r="B16" s="167" t="inlineStr">
        <is>
          <t>Veri yokken temiz ve anlaşılır</t>
        </is>
      </c>
      <c r="C16" s="167" t="inlineStr">
        <is>
          <t>'Henüz veri yok' / 'Girdi bekleniyor'</t>
        </is>
      </c>
      <c r="D16" s="167" t="inlineStr">
        <is>
          <t>0 yığını / hata kodu</t>
        </is>
      </c>
      <c r="E16" s="167" t="inlineStr">
        <is>
          <t>Boş veri testi</t>
        </is>
      </c>
      <c r="F16" s="180" t="inlineStr">
        <is>
          <t>ZORUNLU</t>
        </is>
      </c>
    </row>
    <row r="17" ht="28" customHeight="1">
      <c r="A17" s="179" t="inlineStr">
        <is>
          <t>Başlangıç deneyimi</t>
        </is>
      </c>
      <c r="B17" s="167" t="inlineStr">
        <is>
          <t>İlk 5 saniyede ne gireceği ve neye bakacağı anlaşılır</t>
        </is>
      </c>
      <c r="C17" s="167" t="inlineStr">
        <is>
          <t>Girdi → durum → aksiyon akışı</t>
        </is>
      </c>
      <c r="D17" s="167" t="inlineStr">
        <is>
          <t>Kılavuz aramaya zorlama</t>
        </is>
      </c>
      <c r="E17" s="167" t="inlineStr">
        <is>
          <t>5 saniye testi</t>
        </is>
      </c>
      <c r="F17" s="180" t="inlineStr">
        <is>
          <t>ZORUNLU</t>
        </is>
      </c>
    </row>
    <row r="18" ht="30" customHeight="1">
      <c r="A18" s="175" t="inlineStr">
        <is>
          <t>Buton standardı</t>
        </is>
      </c>
      <c r="B18" s="176" t="inlineStr">
        <is>
          <t>Buton görünümü verilen her alan gerçek işlev taşır</t>
        </is>
      </c>
      <c r="C18" s="176" t="inlineStr">
        <is>
          <t>Sayfa içi HYPERLINK / gerçek aksiyon; tıklanınca hedefe gider</t>
        </is>
      </c>
      <c r="D18" s="176" t="inlineStr">
        <is>
          <t>İşlevsiz dekoratif buton / sahte navigasyon</t>
        </is>
      </c>
      <c r="E18" s="176" t="inlineStr">
        <is>
          <t>Butonların %100'ü tıklanabilir ve hedefi doğru</t>
        </is>
      </c>
      <c r="F18" s="180" t="inlineStr">
        <is>
          <t>ZORUNLU</t>
        </is>
      </c>
    </row>
    <row r="19" ht="32" customHeight="1">
      <c r="A19" s="175" t="inlineStr">
        <is>
          <t>Native sayfa sekmesi rengi</t>
        </is>
      </c>
      <c r="B19" s="176" t="inlineStr">
        <is>
          <t>Excel alt sheet tabları kurumsal paletle renklendirilir</t>
        </is>
      </c>
      <c r="C19" s="176" t="inlineStr">
        <is>
          <t>Başlangıç/özet=lacivert; girdiler=mavi; hesap/finans=teal; karar/kontrol=burgundy; doküman=gri</t>
        </is>
      </c>
      <c r="D19" s="176" t="inlineStr">
        <is>
          <t>Renksiz sekmeler veya rastgele/gökkuşağı renkleri</t>
        </is>
      </c>
      <c r="E19" s="176" t="inlineStr">
        <is>
          <t>Tüm görünür kullanıcı sheet tabları renkli</t>
        </is>
      </c>
      <c r="F19" s="180" t="inlineStr">
        <is>
          <t>ZORUNLU</t>
        </is>
      </c>
    </row>
    <row r="20" ht="60" customHeight="1">
      <c r="A20" s="175" t="inlineStr">
        <is>
          <t>İş akışı sıralaması</t>
        </is>
      </c>
      <c r="B20" s="176" t="inlineStr">
        <is>
          <t>Sayfalar kullanıcının çalışma sırasına göre fiziksel olarak dizilir</t>
        </is>
      </c>
      <c r="C20" s="17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76" t="inlineStr">
        <is>
          <t>Teknik oluşturma sırasına göre dağınık sheet dizilimi</t>
        </is>
      </c>
      <c r="E20" s="176" t="inlineStr">
        <is>
          <t>Sheet order = tanımlı workflow</t>
        </is>
      </c>
      <c r="F20" s="180" t="inlineStr">
        <is>
          <t>ZORUNLU</t>
        </is>
      </c>
    </row>
    <row r="21" ht="30" customHeight="1">
      <c r="A21" s="175" t="inlineStr">
        <is>
          <t>Kurumsal renk paleti</t>
        </is>
      </c>
      <c r="B21" s="176" t="inlineStr">
        <is>
          <t>Sekme, başlık, buton ve vurgu renkleri tek kurumsal paletten gelir</t>
        </is>
      </c>
      <c r="C21" s="176" t="inlineStr">
        <is>
          <t>Lacivert + mavi + teal + kontrollü burgundy/gri; kategori semantiği sabit</t>
        </is>
      </c>
      <c r="D21" s="176" t="inlineStr">
        <is>
          <t>Neon, rastgele yüksek doygunluk, her sayfada farklı bağımsız renk</t>
        </is>
      </c>
      <c r="E21" s="176" t="inlineStr">
        <is>
          <t>Palette token kontrolü</t>
        </is>
      </c>
      <c r="F21" s="180" t="inlineStr">
        <is>
          <t>ZORUNLU</t>
        </is>
      </c>
    </row>
    <row r="22" ht="45" customHeight="1">
      <c r="A22" s="175" t="inlineStr">
        <is>
          <t>Premium vitrin</t>
        </is>
      </c>
      <c r="B22" s="176" t="inlineStr">
        <is>
          <t>Görsel kalite ürün değerinin zorunlu parçasıdır</t>
        </is>
      </c>
      <c r="C22" s="176" t="inlineStr">
        <is>
          <t>Kaliteli grafik, gerçek KPI kartı, finansal hiyerarşi, tab rengi, fonksiyonel navigasyon</t>
        </is>
      </c>
      <c r="D22" s="176" t="inlineStr">
        <is>
          <t>Sadece doğru hesap yapıp çıplak/varsayılan Excel görünümü bırakmak</t>
        </is>
      </c>
      <c r="E22" s="176" t="inlineStr">
        <is>
          <t>Görsel release incelemesi</t>
        </is>
      </c>
      <c r="F22" s="18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TÜRKİYE MUHASEBE VE TEKDÜZEN HESAP PLANI STANDARDI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4" customHeight="1">
      <c r="A3" s="182" t="inlineStr">
        <is>
          <t>Konu</t>
        </is>
      </c>
      <c r="B3" s="182" t="inlineStr">
        <is>
          <t>Zorunlu Standart</t>
        </is>
      </c>
      <c r="C3" s="182" t="inlineStr">
        <is>
          <t>Örnek Türkçe Ad</t>
        </is>
      </c>
      <c r="D3" s="182" t="inlineStr">
        <is>
          <t>THP / Mantık</t>
        </is>
      </c>
      <c r="E3" s="182" t="inlineStr">
        <is>
          <t>Hata Riski</t>
        </is>
      </c>
      <c r="F3" s="182" t="inlineStr">
        <is>
          <t>Kontrol</t>
        </is>
      </c>
    </row>
    <row r="4">
      <c r="A4" s="183" t="inlineStr">
        <is>
          <t>Dil</t>
        </is>
      </c>
      <c r="B4" s="167" t="inlineStr">
        <is>
          <t>Kullanıcıya görünen finansal terimler Türkçe</t>
        </is>
      </c>
      <c r="C4" s="167" t="inlineStr">
        <is>
          <t>Hasılat, Satışların Maliyeti, Brüt Kâr, Faaliyet Giderleri</t>
        </is>
      </c>
      <c r="D4" s="167" t="inlineStr">
        <is>
          <t>Türk işletme kullanımına uygun</t>
        </is>
      </c>
      <c r="E4" s="167" t="inlineStr">
        <is>
          <t>İngilizce jargon</t>
        </is>
      </c>
      <c r="F4" s="167" t="inlineStr">
        <is>
          <t>Terminoloji taraması</t>
        </is>
      </c>
    </row>
    <row r="5" ht="28" customHeight="1">
      <c r="A5" s="183" t="inlineStr">
        <is>
          <t>Gelir Tablosu</t>
        </is>
      </c>
      <c r="B5" s="167" t="inlineStr">
        <is>
          <t>Türk sunum sırası kullanılır</t>
        </is>
      </c>
      <c r="C5" s="167" t="inlineStr">
        <is>
          <t>Net Satışlar → Satışların Maliyeti → Brüt Kâr → Faaliyet Giderleri → Faaliyet Kârı</t>
        </is>
      </c>
      <c r="D5" s="167" t="inlineStr">
        <is>
          <t>600/610/611; 620-623; 63x</t>
        </is>
      </c>
      <c r="E5" s="167" t="inlineStr">
        <is>
          <t>Yanlış sınıflama</t>
        </is>
      </c>
      <c r="F5" s="167" t="inlineStr">
        <is>
          <t>Hesap eşleme</t>
        </is>
      </c>
    </row>
    <row r="6" ht="28" customHeight="1">
      <c r="A6" s="183" t="inlineStr">
        <is>
          <t>Bilanço</t>
        </is>
      </c>
      <c r="B6" s="167" t="inlineStr">
        <is>
          <t>Dönen/Duran Varlık ve Kısa/Uzun Vadeli Yükümlülük ayrımı</t>
        </is>
      </c>
      <c r="C6" s="167" t="inlineStr">
        <is>
          <t>Hazır Değerler, Ticari Alacaklar, Stoklar, Mali Borçlar</t>
        </is>
      </c>
      <c r="D6" s="167" t="inlineStr">
        <is>
          <t>1xx / 2xx / 3xx / 4xx / 5xx</t>
        </is>
      </c>
      <c r="E6" s="167" t="inlineStr">
        <is>
          <t>Vade sınıfı hatası</t>
        </is>
      </c>
      <c r="F6" s="167" t="inlineStr">
        <is>
          <t>Bilanço eşitliği</t>
        </is>
      </c>
    </row>
    <row r="7">
      <c r="A7" s="183" t="inlineStr">
        <is>
          <t>Nakit Akışı</t>
        </is>
      </c>
      <c r="B7" s="167" t="inlineStr">
        <is>
          <t>İşletme/Yatırım/Finansman nakit akışları ayrılır</t>
        </is>
      </c>
      <c r="C7" s="167" t="inlineStr">
        <is>
          <t>Faaliyetlerden Nakit, Yatırım Harcamaları, Finansman Nakit Akışı</t>
        </is>
      </c>
      <c r="D7" s="167" t="inlineStr">
        <is>
          <t>Dolaylı/doğrudan yöntem açık seçilir</t>
        </is>
      </c>
      <c r="E7" s="167" t="inlineStr">
        <is>
          <t>Kâr = nakit sanılması</t>
        </is>
      </c>
      <c r="F7" s="167" t="inlineStr">
        <is>
          <t>Nakit devri</t>
        </is>
      </c>
    </row>
    <row r="8">
      <c r="A8" s="183" t="inlineStr">
        <is>
          <t>Ticari Alacaklar</t>
        </is>
      </c>
      <c r="B8" s="167" t="inlineStr">
        <is>
          <t>Cari ve vade mantığı korunur</t>
        </is>
      </c>
      <c r="C8" s="167" t="inlineStr">
        <is>
          <t>120 Alıcılar</t>
        </is>
      </c>
      <c r="D8" s="167" t="inlineStr">
        <is>
          <t>120</t>
        </is>
      </c>
      <c r="E8" s="167" t="inlineStr">
        <is>
          <t>Tahakkuk/nakit karışması</t>
        </is>
      </c>
      <c r="F8" s="167" t="inlineStr">
        <is>
          <t>Alacak devir kontrolü</t>
        </is>
      </c>
    </row>
    <row r="9">
      <c r="A9" s="183" t="inlineStr">
        <is>
          <t>Ticari Borçlar</t>
        </is>
      </c>
      <c r="B9" s="167" t="inlineStr">
        <is>
          <t>Tedarikçi borcu ayrı izlenir</t>
        </is>
      </c>
      <c r="C9" s="167" t="inlineStr">
        <is>
          <t>320 Satıcılar</t>
        </is>
      </c>
      <c r="D9" s="167" t="inlineStr">
        <is>
          <t>320</t>
        </is>
      </c>
      <c r="E9" s="167" t="inlineStr">
        <is>
          <t>Gider/ödeme karışması</t>
        </is>
      </c>
      <c r="F9" s="167" t="inlineStr">
        <is>
          <t>Borç devir kontrolü</t>
        </is>
      </c>
    </row>
    <row r="10">
      <c r="A10" s="183" t="inlineStr">
        <is>
          <t>Kasa/Banka</t>
        </is>
      </c>
      <c r="B10" s="167" t="inlineStr">
        <is>
          <t>Hazır değerler ayrı izlenir</t>
        </is>
      </c>
      <c r="C10" s="167" t="inlineStr">
        <is>
          <t>100 Kasa, 102 Bankalar</t>
        </is>
      </c>
      <c r="D10" s="167" t="inlineStr">
        <is>
          <t>100 / 102</t>
        </is>
      </c>
      <c r="E10" s="167" t="inlineStr">
        <is>
          <t>Virmanla toplam nakdin değişmesi</t>
        </is>
      </c>
      <c r="F10" s="167" t="inlineStr">
        <is>
          <t>Virman değişmezi</t>
        </is>
      </c>
    </row>
    <row r="11">
      <c r="A11" s="183" t="inlineStr">
        <is>
          <t>Stok</t>
        </is>
      </c>
      <c r="B11" s="167" t="inlineStr">
        <is>
          <t>Dikeye uygun stok türü</t>
        </is>
      </c>
      <c r="C11" s="167" t="inlineStr">
        <is>
          <t>150 İlk Madde ve Malzeme, 153 Ticari Mallar</t>
        </is>
      </c>
      <c r="D11" s="167" t="inlineStr">
        <is>
          <t>15x</t>
        </is>
      </c>
      <c r="E11" s="167" t="inlineStr">
        <is>
          <t>Maliyet ve stok hareketinin kopması</t>
        </is>
      </c>
      <c r="F11" s="167" t="inlineStr">
        <is>
          <t>Stok devri</t>
        </is>
      </c>
    </row>
    <row r="12" ht="28" customHeight="1">
      <c r="A12" s="183" t="inlineStr">
        <is>
          <t>Maddi Duran Varlık</t>
        </is>
      </c>
      <c r="B12" s="167" t="inlineStr">
        <is>
          <t>Yatırım harcaması ve amortisman bağlantılı</t>
        </is>
      </c>
      <c r="C12" s="167" t="inlineStr">
        <is>
          <t>253 Tesis Makine Cihazlar, 255 Demirbaşlar, 257 Birikmiş Amortismanlar</t>
        </is>
      </c>
      <c r="D12" s="167" t="inlineStr">
        <is>
          <t>25x</t>
        </is>
      </c>
      <c r="E12" s="167" t="inlineStr">
        <is>
          <t>Yatırım/gider karışması</t>
        </is>
      </c>
      <c r="F12" s="167" t="inlineStr">
        <is>
          <t>Net defter değeri devri</t>
        </is>
      </c>
    </row>
    <row r="13">
      <c r="A13" s="183" t="inlineStr">
        <is>
          <t>Mali Borçlar</t>
        </is>
      </c>
      <c r="B13" s="167" t="inlineStr">
        <is>
          <t>Kısa/uzun vadeli borç ayrımı</t>
        </is>
      </c>
      <c r="C13" s="167" t="inlineStr">
        <is>
          <t>300 Banka Kredileri / 400 Banka Kredileri</t>
        </is>
      </c>
      <c r="D13" s="167" t="inlineStr">
        <is>
          <t>300 / 400</t>
        </is>
      </c>
      <c r="E13" s="167" t="inlineStr">
        <is>
          <t>Vade sınıfı yanlış</t>
        </is>
      </c>
      <c r="F13" s="167" t="inlineStr">
        <is>
          <t>Borç devri</t>
        </is>
      </c>
    </row>
    <row r="14">
      <c r="A14" s="183" t="inlineStr">
        <is>
          <t>Özkaynak</t>
        </is>
      </c>
      <c r="B14" s="167" t="inlineStr">
        <is>
          <t>Sermaye ve geçmiş yıl kârları ayrı</t>
        </is>
      </c>
      <c r="C14" s="167" t="inlineStr">
        <is>
          <t>500 Sermaye, 570 Geçmiş Yıllar Kârları, 590 Dönem Net Kârı</t>
        </is>
      </c>
      <c r="D14" s="167" t="inlineStr">
        <is>
          <t>5xx</t>
        </is>
      </c>
      <c r="E14" s="167" t="inlineStr">
        <is>
          <t>Net kâr bağının kopması</t>
        </is>
      </c>
      <c r="F14" s="167" t="inlineStr">
        <is>
          <t>Özkaynak devri</t>
        </is>
      </c>
    </row>
    <row r="15">
      <c r="A15" s="183" t="inlineStr">
        <is>
          <t>Vergi</t>
        </is>
      </c>
      <c r="B15" s="167" t="inlineStr">
        <is>
          <t>Vergi satırları Türkiye mantığına uygun</t>
        </is>
      </c>
      <c r="C15" s="167" t="inlineStr">
        <is>
          <t>Dönem Vergi ve Diğer Yasal Yükümlülük Karşılıkları</t>
        </is>
      </c>
      <c r="D15" s="167" t="inlineStr">
        <is>
          <t>37x / ilgili vergi hesapları</t>
        </is>
      </c>
      <c r="E15" s="167" t="inlineStr">
        <is>
          <t>Vergi etkisinin yanlış dönemlenmesi</t>
        </is>
      </c>
      <c r="F15" s="167" t="inlineStr">
        <is>
          <t>Vergi sözleşmesi</t>
        </is>
      </c>
    </row>
    <row r="16">
      <c r="A16" s="183" t="inlineStr">
        <is>
          <t>İsim standardı</t>
        </is>
      </c>
      <c r="B16" s="167" t="inlineStr">
        <is>
          <t>Tablo ve sayfa adları Türkçe ve işlevsel</t>
        </is>
      </c>
      <c r="C16" s="167" t="inlineStr">
        <is>
          <t>GELİR_TABLOSU, BİLANÇO, NAKİT_AKISI, BORC_PLANI</t>
        </is>
      </c>
      <c r="D16" s="167" t="inlineStr">
        <is>
          <t>Tekrarlanabilir standart</t>
        </is>
      </c>
      <c r="E16" s="167" t="inlineStr">
        <is>
          <t>İngilizce/karma isim</t>
        </is>
      </c>
      <c r="F16" s="167" t="inlineStr">
        <is>
          <t>Sayfa ve tablo taraması</t>
        </is>
      </c>
    </row>
    <row r="17">
      <c r="A17" s="183" t="inlineStr">
        <is>
          <t>THP eşleme tablosu</t>
        </is>
      </c>
      <c r="B17" s="167" t="inlineStr">
        <is>
          <t>Her kritik satır en az bir THP hesabına bağlanır</t>
        </is>
      </c>
      <c r="C17" s="167" t="inlineStr">
        <is>
          <t>RaporSatırı → HesapKodu → HesapAdı → İşaret → Dönem</t>
        </is>
      </c>
      <c r="D17" s="167" t="inlineStr">
        <is>
          <t>Kaynak izlenebilirliği</t>
        </is>
      </c>
      <c r="E17" s="167" t="inlineStr">
        <is>
          <t>Rapordan rapora kaynak</t>
        </is>
      </c>
      <c r="F17" s="167" t="inlineStr">
        <is>
          <t>Eşleme kapsama %100</t>
        </is>
      </c>
    </row>
    <row r="18">
      <c r="A18" s="183" t="inlineStr">
        <is>
          <t>İstisna</t>
        </is>
      </c>
      <c r="B18" s="167" t="inlineStr">
        <is>
          <t>TFRS özel ürün varsa fark açık yazılır</t>
        </is>
      </c>
      <c r="C18" s="167" t="inlineStr">
        <is>
          <t>Tekdüzen raporlama ≠ TFRS finansal tablo sunumu</t>
        </is>
      </c>
      <c r="D18" s="167" t="inlineStr">
        <is>
          <t>Amaç belirtilir</t>
        </is>
      </c>
      <c r="E18" s="167" t="inlineStr">
        <is>
          <t>Standartları karıştırma</t>
        </is>
      </c>
      <c r="F18" s="16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KARAR, GÜVEN VE SATIŞA HAZIRLIK STANDARDI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4" customHeight="1">
      <c r="A3" s="185" t="inlineStr">
        <is>
          <t>Alan</t>
        </is>
      </c>
      <c r="B3" s="185" t="inlineStr">
        <is>
          <t>Müşteri Sorusu</t>
        </is>
      </c>
      <c r="C3" s="185" t="inlineStr">
        <is>
          <t>Zorunlu Ürün Davranışı</t>
        </is>
      </c>
      <c r="D3" s="185" t="inlineStr">
        <is>
          <t>Kanıt</t>
        </is>
      </c>
      <c r="E3" s="185" t="inlineStr">
        <is>
          <t>Başarısızlık Durumu</t>
        </is>
      </c>
      <c r="F3" s="185" t="inlineStr">
        <is>
          <t>Kapı</t>
        </is>
      </c>
    </row>
    <row r="4">
      <c r="A4" s="186" t="inlineStr">
        <is>
          <t>5 saniye</t>
        </is>
      </c>
      <c r="B4" s="167" t="inlineStr">
        <is>
          <t>Bu ürün neyi çözüyor?</t>
        </is>
      </c>
      <c r="C4" s="167" t="inlineStr">
        <is>
          <t>İlk ekranda hedef kullanıcı + pahalı problem + sonuç görünür</t>
        </is>
      </c>
      <c r="D4" s="167" t="inlineStr">
        <is>
          <t>Başlık + alt mesaj + gerçek ekran</t>
        </is>
      </c>
      <c r="E4" s="167" t="inlineStr">
        <is>
          <t>Ürün yalnız teknik isim</t>
        </is>
      </c>
      <c r="F4" s="187" t="inlineStr">
        <is>
          <t>HATA</t>
        </is>
      </c>
    </row>
    <row r="5">
      <c r="A5" s="186" t="inlineStr">
        <is>
          <t>Acı</t>
        </is>
      </c>
      <c r="B5" s="167" t="inlineStr">
        <is>
          <t>Sorun bana neye mal oluyor?</t>
        </is>
      </c>
      <c r="C5" s="167" t="inlineStr">
        <is>
          <t>Mümkünse müşterinin kendi verisiyle parasal/zaman etkisi hesaplanır</t>
        </is>
      </c>
      <c r="D5" s="167" t="inlineStr">
        <is>
          <t>ROI/acı hesaplama yöntemi</t>
        </is>
      </c>
      <c r="E5" s="167" t="inlineStr">
        <is>
          <t>Uydurma tasarruf</t>
        </is>
      </c>
      <c r="F5" s="187" t="inlineStr">
        <is>
          <t>HATA</t>
        </is>
      </c>
    </row>
    <row r="6">
      <c r="A6" s="186" t="inlineStr">
        <is>
          <t>Karar</t>
        </is>
      </c>
      <c r="B6" s="167" t="inlineStr">
        <is>
          <t>Bu bilgiyle ne yapacağım?</t>
        </is>
      </c>
      <c r="C6" s="167" t="inlineStr">
        <is>
          <t>Her kritik KPI aksiyona bağlanır</t>
        </is>
      </c>
      <c r="D6" s="167" t="inlineStr">
        <is>
          <t>KARAR_KUYRUGU</t>
        </is>
      </c>
      <c r="E6" s="167" t="inlineStr">
        <is>
          <t>Sadece rapor</t>
        </is>
      </c>
      <c r="F6" s="187" t="inlineStr">
        <is>
          <t>HATA</t>
        </is>
      </c>
    </row>
    <row r="7">
      <c r="A7" s="186" t="inlineStr">
        <is>
          <t>Güven</t>
        </is>
      </c>
      <c r="B7" s="167" t="inlineStr">
        <is>
          <t>Bu sayıya neden inanayım?</t>
        </is>
      </c>
      <c r="C7" s="167" t="inlineStr">
        <is>
          <t>Kaynak, formül mantığı, kontrol ve son doğrulama görünür</t>
        </is>
      </c>
      <c r="D7" s="167" t="inlineStr">
        <is>
          <t>Kontroller + kaynak izi + sürüm</t>
        </is>
      </c>
      <c r="E7" s="167" t="inlineStr">
        <is>
          <t>Prestij kelimesi</t>
        </is>
      </c>
      <c r="F7" s="187" t="inlineStr">
        <is>
          <t>HATA</t>
        </is>
      </c>
    </row>
    <row r="8">
      <c r="A8" s="186" t="inlineStr">
        <is>
          <t>Referans</t>
        </is>
      </c>
      <c r="B8" s="167" t="inlineStr">
        <is>
          <t>Müşteri yorumu yoksa ne göstereceğim?</t>
        </is>
      </c>
      <c r="C8" s="167" t="inlineStr">
        <is>
          <t>Önce/Sonra + Karar Vakası + Hata Önleme Vakası üretilir</t>
        </is>
      </c>
      <c r="D8" s="167" t="inlineStr">
        <is>
          <t>Demo/örnek çıktı</t>
        </is>
      </c>
      <c r="E8" s="167" t="inlineStr">
        <is>
          <t>Kanıtsız iddia</t>
        </is>
      </c>
      <c r="F8" s="187" t="inlineStr">
        <is>
          <t>HATA</t>
        </is>
      </c>
    </row>
    <row r="9">
      <c r="A9" s="186" t="inlineStr">
        <is>
          <t>Senaryo</t>
        </is>
      </c>
      <c r="B9" s="167" t="inlineStr">
        <is>
          <t>Ne olursa işler bozulur?</t>
        </is>
      </c>
      <c r="C9" s="167" t="inlineStr">
        <is>
          <t>Baz/Aşağı/Yukarı veya uygun stres senaryosu</t>
        </is>
      </c>
      <c r="D9" s="167" t="inlineStr">
        <is>
          <t>Senaryo karşılaştırma</t>
        </is>
      </c>
      <c r="E9" s="167" t="inlineStr">
        <is>
          <t>Dekoratif senaryo</t>
        </is>
      </c>
      <c r="F9" s="187" t="inlineStr">
        <is>
          <t>HATA</t>
        </is>
      </c>
    </row>
    <row r="10">
      <c r="A10" s="186" t="inlineStr">
        <is>
          <t>Ters stres</t>
        </is>
      </c>
      <c r="B10" s="167" t="inlineStr">
        <is>
          <t>Hangi eşikte karar kırılır?</t>
        </is>
      </c>
      <c r="C10" s="167" t="inlineStr">
        <is>
          <t>En az bir kritik sürücü için kırılma eşiği</t>
        </is>
      </c>
      <c r="D10" s="167" t="inlineStr">
        <is>
          <t>Kırılma eşiği tablosu</t>
        </is>
      </c>
      <c r="E10" s="167" t="inlineStr">
        <is>
          <t>Sadece +/- %10</t>
        </is>
      </c>
      <c r="F10" s="187" t="inlineStr">
        <is>
          <t>UYARI/HATA</t>
        </is>
      </c>
    </row>
    <row r="11">
      <c r="A11" s="186" t="inlineStr">
        <is>
          <t>Hata tutarlılığı</t>
        </is>
      </c>
      <c r="B11" s="167" t="inlineStr">
        <is>
          <t>Formül hata verirse ne olur?</t>
        </is>
      </c>
      <c r="C11" s="167" t="inlineStr">
        <is>
          <t>Kontrol GEÇTİ veremez; BLOKE/HATA üretir</t>
        </is>
      </c>
      <c r="D11" s="167" t="inlineStr">
        <is>
          <t>Hata taraması</t>
        </is>
      </c>
      <c r="E11" s="167" t="inlineStr">
        <is>
          <t>Hata + GEÇTİ birlikte</t>
        </is>
      </c>
      <c r="F11" s="187" t="inlineStr">
        <is>
          <t>HATA</t>
        </is>
      </c>
    </row>
    <row r="12">
      <c r="A12" s="186" t="inlineStr">
        <is>
          <t>Karar motoru</t>
        </is>
      </c>
      <c r="B12" s="167" t="inlineStr">
        <is>
          <t>Ne oldu, neden oldu?</t>
        </is>
      </c>
      <c r="C12" s="167" t="inlineStr">
        <is>
          <t>Sorun + neden + parasal etki + aksiyon + son tarih</t>
        </is>
      </c>
      <c r="D12" s="167" t="inlineStr">
        <is>
          <t>Karar tablosu</t>
        </is>
      </c>
      <c r="E12" s="167" t="inlineStr">
        <is>
          <t>Boş sayfa / isim düzeyi modül</t>
        </is>
      </c>
      <c r="F12" s="187" t="inlineStr">
        <is>
          <t>HATA</t>
        </is>
      </c>
    </row>
    <row r="13">
      <c r="A13" s="186" t="inlineStr">
        <is>
          <t>Yönetici özeti</t>
        </is>
      </c>
      <c r="B13" s="167" t="inlineStr">
        <is>
          <t>5 saniyede ne görmeliyim?</t>
        </is>
      </c>
      <c r="C13" s="167" t="inlineStr">
        <is>
          <t>Bugün / ne değişti / ne bozulacak / neden / ne yapmalıyım / güven</t>
        </is>
      </c>
      <c r="D13" s="167" t="inlineStr">
        <is>
          <t>Yönetici özeti ekranı</t>
        </is>
      </c>
      <c r="E13" s="167" t="inlineStr">
        <is>
          <t>KPI kutusu yığını</t>
        </is>
      </c>
      <c r="F13" s="187" t="inlineStr">
        <is>
          <t>HATA</t>
        </is>
      </c>
    </row>
    <row r="14">
      <c r="A14" s="186" t="inlineStr">
        <is>
          <t>Teklif</t>
        </is>
      </c>
      <c r="B14" s="167" t="inlineStr">
        <is>
          <t>Neden satın almalıyım?</t>
        </is>
      </c>
      <c r="C14" s="167" t="inlineStr">
        <is>
          <t>Dosya özellikleri yerine sonuç ve kaçınılan maliyet sunulur</t>
        </is>
      </c>
      <c r="D14" s="167" t="inlineStr">
        <is>
          <t>Ürün sayfası kanıt eşlemesi</t>
        </is>
      </c>
      <c r="E14" s="167" t="inlineStr">
        <is>
          <t>Özellik listesiyle satış</t>
        </is>
      </c>
      <c r="F14" s="187" t="inlineStr">
        <is>
          <t>HATA</t>
        </is>
      </c>
    </row>
    <row r="15">
      <c r="A15" s="186" t="inlineStr">
        <is>
          <t>Dağıtım</t>
        </is>
      </c>
      <c r="B15" s="167" t="inlineStr">
        <is>
          <t>Beni nasıl bulacaklar?</t>
        </is>
      </c>
      <c r="C15" s="167" t="inlineStr">
        <is>
          <t>Sorun niyetine göre SEO sayfaları, iç bağlantı, temiz yapı, taranabilir metin</t>
        </is>
      </c>
      <c r="D15" s="167" t="inlineStr">
        <is>
          <t>Arama niyeti haritası</t>
        </is>
      </c>
      <c r="E15" s="167" t="inlineStr">
        <is>
          <t>Tek ürün sayfasına bağımlılık</t>
        </is>
      </c>
      <c r="F15" s="187" t="inlineStr">
        <is>
          <t>UYARI</t>
        </is>
      </c>
    </row>
    <row r="16" ht="28" customHeight="1">
      <c r="A16" s="186" t="inlineStr">
        <is>
          <t>LLM görünürlüğü</t>
        </is>
      </c>
      <c r="B16" s="167" t="inlineStr">
        <is>
          <t>AI ürünümü anlayabiliyor mu?</t>
        </is>
      </c>
      <c r="C16" s="167" t="inlineStr">
        <is>
          <t>Ürün tanımı, hedef kullanıcı, girdi/çıktı, metodoloji, sınırlar, SSS açık metindir</t>
        </is>
      </c>
      <c r="D16" s="167" t="inlineStr">
        <is>
          <t>Taranabilir ürün içeriği</t>
        </is>
      </c>
      <c r="E16" s="167" t="inlineStr">
        <is>
          <t>'AI SEO' iddiası</t>
        </is>
      </c>
      <c r="F16" s="187" t="inlineStr">
        <is>
          <t>UYARI</t>
        </is>
      </c>
    </row>
    <row r="17">
      <c r="A17" s="186" t="inlineStr">
        <is>
          <t>Satış kanalı</t>
        </is>
      </c>
      <c r="B17" s="167" t="inlineStr">
        <is>
          <t>Nerede satılmalı?</t>
        </is>
      </c>
      <c r="C17" s="167" t="inlineStr">
        <is>
          <t>Arama, LinkedIn, uzman/partner, demo/video; ürüne göre kanal seçilir</t>
        </is>
      </c>
      <c r="D17" s="167" t="inlineStr">
        <is>
          <t>Kanal matrisi</t>
        </is>
      </c>
      <c r="E17" s="167" t="inlineStr">
        <is>
          <t>Her ürüne aynı kanal</t>
        </is>
      </c>
      <c r="F17" s="187" t="inlineStr">
        <is>
          <t>UYARI</t>
        </is>
      </c>
    </row>
    <row r="18">
      <c r="A18" s="186" t="inlineStr">
        <is>
          <t>Fiyat</t>
        </is>
      </c>
      <c r="B18" s="167" t="inlineStr">
        <is>
          <t>Bu fiyat neden mantıklı?</t>
        </is>
      </c>
      <c r="C18" s="167" t="inlineStr">
        <is>
          <t>Fiyat, ekonomik karar değerine ve kanıtlanmış ürün derinliğine bağlanır</t>
        </is>
      </c>
      <c r="D18" s="167" t="inlineStr">
        <is>
          <t>Değer haritası + demo</t>
        </is>
      </c>
      <c r="E18" s="167" t="inlineStr">
        <is>
          <t>Sırf sayfa/formül sayısı</t>
        </is>
      </c>
      <c r="F18" s="187" t="inlineStr">
        <is>
          <t>HATA</t>
        </is>
      </c>
    </row>
    <row r="19">
      <c r="A19" s="186" t="inlineStr">
        <is>
          <t>Pazar kanıtı</t>
        </is>
      </c>
      <c r="B19" s="167" t="inlineStr">
        <is>
          <t>Piyasa gerçekten ödüyor mu?</t>
        </is>
      </c>
      <c r="C19" s="167" t="inlineStr">
        <is>
          <t>Satış/pilot/LOI/fiyat kabulü olmadan pazar doğrulandı yazılmaz</t>
        </is>
      </c>
      <c r="D19" s="167" t="inlineStr">
        <is>
          <t>Gerçek işlem kanıtı</t>
        </is>
      </c>
      <c r="E19" s="167" t="inlineStr">
        <is>
          <t>Tahmini talep = satış kabulü</t>
        </is>
      </c>
      <c r="F19" s="18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KAPAK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7" t="inlineStr">
        <is>
          <t>e-Belge Zorunluluk Radarı</t>
        </is>
      </c>
    </row>
    <row r="4">
      <c r="A4" s="4" t="inlineStr">
        <is>
          <t>Brüt satış hasılatını girin; e-Fatura / e-Arşiv / e-Defter / e-İrsaliye eşiklerini yıllı kural tablosuyla karşılaştırıp geçiş kararını ve eylem planını üretin.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Çok yıllı eşik tablosu (2025/2026/2027) — tebliğ güncellemesine hazır</t>
        </is>
      </c>
    </row>
    <row r="8">
      <c r="A8" s="6" t="inlineStr">
        <is>
          <t>• Zorunluluk kararı + madde atıflı KANIT_RAPORU</t>
        </is>
      </c>
    </row>
    <row r="9">
      <c r="A9" s="6" t="inlineStr">
        <is>
          <t>• Senaryo / duyarlılık / M-SEN eşik değişimi</t>
        </is>
      </c>
    </row>
    <row r="10">
      <c r="A10" s="6" t="inlineStr">
        <is>
          <t>• Envanter + eylem durum makinesi + yaşlandırma</t>
        </is>
      </c>
    </row>
    <row r="11">
      <c r="A11" s="6" t="inlineStr">
        <is>
          <t>• Belirsizlik beyanı: ciro hesap dönemi (yorum A / B)</t>
        </is>
      </c>
    </row>
    <row r="12"/>
    <row r="13">
      <c r="A13" s="5" t="inlineStr">
        <is>
          <t>Kimler için?</t>
        </is>
      </c>
    </row>
    <row r="14">
      <c r="A14" s="7" t="inlineStr">
        <is>
          <t>• SMMM — müşteriye zorunluluk tarihini bildirir</t>
        </is>
      </c>
    </row>
    <row r="15">
      <c r="A15" s="7" t="inlineStr">
        <is>
          <t>• İşletme — geçiş planını yapar</t>
        </is>
      </c>
    </row>
    <row r="16">
      <c r="A16" s="7" t="inlineStr">
        <is>
          <t>• Denetçi — kanıt raporunu inceler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GIRDI sarı hücreler → 2) PANO karar → 3) EYLEM_PLANI → 4) KANIT_RAPORU yazdır.</t>
        </is>
      </c>
    </row>
    <row r="20"/>
    <row r="21">
      <c r="A21" s="9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8:T8"/>
    <mergeCell ref="A4:N4"/>
    <mergeCell ref="A9:T9"/>
    <mergeCell ref="A1:I1"/>
    <mergeCell ref="A7:T7"/>
    <mergeCell ref="A19:N19"/>
    <mergeCell ref="A3:I3"/>
    <mergeCell ref="A10:T10"/>
    <mergeCell ref="A11:T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08948"/>
    <outlinePr summaryBelow="1" summaryRight="1"/>
    <pageSetUpPr/>
  </sheetPr>
  <dimension ref="A1:AN10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.5" customWidth="1" min="1" max="1"/>
    <col width="28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GIRDI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Firma ve ciro girişi</t>
        </is>
      </c>
    </row>
    <row r="4">
      <c r="A4" s="4" t="inlineStr">
        <is>
          <t>Sarı hücreler manuel giriştir. Eşikler KURALLAR'dan çekilir.</t>
        </is>
      </c>
    </row>
    <row r="5">
      <c r="A5" s="27" t="inlineStr">
        <is>
          <t>Alan</t>
        </is>
      </c>
      <c r="B5" s="27" t="inlineStr">
        <is>
          <t>Değer</t>
        </is>
      </c>
      <c r="C5" s="27" t="inlineStr">
        <is>
          <t>Birim</t>
        </is>
      </c>
    </row>
    <row r="6">
      <c r="A6" s="28" t="inlineStr">
        <is>
          <t>Firma Unvanı</t>
        </is>
      </c>
      <c r="B6" s="29" t="inlineStr">
        <is>
          <t>Örnek Ticaret A.Ş.</t>
        </is>
      </c>
      <c r="C6" s="11" t="inlineStr">
        <is>
          <t>metin</t>
        </is>
      </c>
    </row>
    <row r="7">
      <c r="A7" s="28" t="inlineStr">
        <is>
          <t>Dönem</t>
        </is>
      </c>
      <c r="B7" s="29" t="inlineStr">
        <is>
          <t>2025</t>
        </is>
      </c>
      <c r="C7" s="11" t="inlineStr">
        <is>
          <t>metin</t>
        </is>
      </c>
    </row>
    <row r="8">
      <c r="A8" s="28" t="inlineStr">
        <is>
          <t>Hesap Yılı</t>
        </is>
      </c>
      <c r="B8" s="30" t="n">
        <v>2025</v>
      </c>
      <c r="C8" s="11" t="inlineStr">
        <is>
          <t>yıl</t>
        </is>
      </c>
    </row>
    <row r="9">
      <c r="A9" s="28" t="inlineStr">
        <is>
          <t>Brüt Satış Hasılatı [₺]</t>
        </is>
      </c>
      <c r="B9" s="31" t="n">
        <v>4500000</v>
      </c>
      <c r="C9" s="11" t="inlineStr">
        <is>
          <t>₺</t>
        </is>
      </c>
    </row>
    <row r="10">
      <c r="A10" s="28" t="inlineStr">
        <is>
          <t>Ciro Dönem Yorumu (A/B)</t>
        </is>
      </c>
      <c r="B10" s="29" t="inlineStr">
        <is>
          <t>A</t>
        </is>
      </c>
      <c r="C10" s="11" t="inlineStr">
        <is>
          <t>metin</t>
        </is>
      </c>
    </row>
    <row r="11">
      <c r="A11" s="28" t="inlineStr">
        <is>
          <t>Sektör</t>
        </is>
      </c>
      <c r="B11" s="29" t="inlineStr">
        <is>
          <t>Ticaret</t>
        </is>
      </c>
      <c r="C11" s="11" t="inlineStr">
        <is>
          <t>metin</t>
        </is>
      </c>
    </row>
    <row r="12"/>
    <row r="13">
      <c r="A13" s="14" t="inlineStr">
        <is>
          <t>Giriş doluluk (kalite)</t>
        </is>
      </c>
      <c r="B13" s="32">
        <f>IFERROR(IF(OR(COUNTA(B6:B11)=0,ebr_girisBeklenen=0),0,ROUND(COUNTA(B6:B11)/ebr_girisBeklenen*100,0)),0)</f>
        <v/>
      </c>
    </row>
    <row r="14"/>
    <row r="15"/>
    <row r="16">
      <c r="A16" s="14" t="inlineStr">
        <is>
          <t>Giriş tablosu (otomasyon / boş-mod)</t>
        </is>
      </c>
    </row>
    <row r="17" ht="30" customHeight="1">
      <c r="A17" s="18" t="inlineStr">
        <is>
          <t>Alan Anahtarı</t>
        </is>
      </c>
      <c r="B17" s="18" t="inlineStr">
        <is>
          <t>Değer</t>
        </is>
      </c>
      <c r="C17" s="18" t="inlineStr">
        <is>
          <t>Birim</t>
        </is>
      </c>
      <c r="D17" s="18" t="inlineStr">
        <is>
          <t>Zorunlu</t>
        </is>
      </c>
      <c r="E17" s="18" t="inlineStr">
        <is>
          <t>Kaynak</t>
        </is>
      </c>
      <c r="F17" s="18" t="inlineStr">
        <is>
          <t>Kontrol</t>
        </is>
      </c>
    </row>
    <row r="18">
      <c r="A18" s="33" t="inlineStr">
        <is>
          <t>firma</t>
        </is>
      </c>
      <c r="B18" s="33" t="inlineStr">
        <is>
          <t>Örnek Ticaret A.Ş.</t>
        </is>
      </c>
      <c r="C18" s="33" t="inlineStr">
        <is>
          <t>metin</t>
        </is>
      </c>
      <c r="D18" s="33" t="inlineStr">
        <is>
          <t>Evet</t>
        </is>
      </c>
      <c r="E18" s="33" t="inlineStr">
        <is>
          <t>GIRDI</t>
        </is>
      </c>
      <c r="F18" s="34">
        <f>IF($A18="","",IF($B18="","EKSİK","TAM"))</f>
        <v/>
      </c>
    </row>
    <row r="19">
      <c r="A19" s="33" t="inlineStr">
        <is>
          <t>donem</t>
        </is>
      </c>
      <c r="B19" s="33" t="inlineStr">
        <is>
          <t>2025</t>
        </is>
      </c>
      <c r="C19" s="33" t="inlineStr">
        <is>
          <t>metin</t>
        </is>
      </c>
      <c r="D19" s="33" t="inlineStr">
        <is>
          <t>Evet</t>
        </is>
      </c>
      <c r="E19" s="33" t="inlineStr">
        <is>
          <t>GIRDI</t>
        </is>
      </c>
      <c r="F19" s="34">
        <f>IF($A19="","",IF($B19="","EKSİK","TAM"))</f>
        <v/>
      </c>
    </row>
    <row r="20">
      <c r="A20" s="33" t="inlineStr">
        <is>
          <t>hesapYili</t>
        </is>
      </c>
      <c r="B20" s="35" t="n">
        <v>2025</v>
      </c>
      <c r="C20" s="33" t="inlineStr">
        <is>
          <t>yıl</t>
        </is>
      </c>
      <c r="D20" s="33" t="inlineStr">
        <is>
          <t>Evet</t>
        </is>
      </c>
      <c r="E20" s="33" t="inlineStr">
        <is>
          <t>GIRDI</t>
        </is>
      </c>
      <c r="F20" s="34">
        <f>IF($A20="","",IF($B20="","EKSİK","TAM"))</f>
        <v/>
      </c>
    </row>
    <row r="21">
      <c r="A21" s="33" t="inlineStr">
        <is>
          <t>brut_satis</t>
        </is>
      </c>
      <c r="B21" s="36" t="n">
        <v>4500000</v>
      </c>
      <c r="C21" s="33" t="inlineStr">
        <is>
          <t>TL</t>
        </is>
      </c>
      <c r="D21" s="33" t="inlineStr">
        <is>
          <t>Evet</t>
        </is>
      </c>
      <c r="E21" s="33" t="inlineStr">
        <is>
          <t>GIRDI</t>
        </is>
      </c>
      <c r="F21" s="34">
        <f>IF($A21="","",IF($B21="","EKSİK","TAM"))</f>
        <v/>
      </c>
    </row>
    <row r="22">
      <c r="A22" s="33" t="inlineStr">
        <is>
          <t>ciro_yorum</t>
        </is>
      </c>
      <c r="B22" s="33" t="inlineStr">
        <is>
          <t>A</t>
        </is>
      </c>
      <c r="C22" s="33" t="inlineStr">
        <is>
          <t>A/B</t>
        </is>
      </c>
      <c r="D22" s="33" t="inlineStr">
        <is>
          <t>Evet</t>
        </is>
      </c>
      <c r="E22" s="33" t="inlineStr">
        <is>
          <t>GIRDI</t>
        </is>
      </c>
      <c r="F22" s="34">
        <f>IF($A22="","",IF($B22="","EKSİK","TAM"))</f>
        <v/>
      </c>
    </row>
    <row r="23">
      <c r="A23" s="33" t="inlineStr">
        <is>
          <t>sektor</t>
        </is>
      </c>
      <c r="B23" s="33" t="inlineStr">
        <is>
          <t>Ticaret</t>
        </is>
      </c>
      <c r="C23" s="33" t="inlineStr">
        <is>
          <t>metin</t>
        </is>
      </c>
      <c r="D23" s="33" t="inlineStr">
        <is>
          <t>Evet</t>
        </is>
      </c>
      <c r="E23" s="33" t="inlineStr">
        <is>
          <t>GIRDI</t>
        </is>
      </c>
      <c r="F23" s="34">
        <f>IF($A23="","",IF($B23="","EKSİK","TAM"))</f>
        <v/>
      </c>
    </row>
    <row r="24">
      <c r="F24" s="34">
        <f>IF($A24="","",IF($B24="","EKSİK","TAM"))</f>
        <v/>
      </c>
    </row>
    <row r="25">
      <c r="F25" s="34">
        <f>IF($A25="","",IF($B25="","EKSİK","TAM"))</f>
        <v/>
      </c>
    </row>
    <row r="26">
      <c r="F26" s="34">
        <f>IF($A26="","",IF($B26="","EKSİK","TAM"))</f>
        <v/>
      </c>
    </row>
    <row r="27">
      <c r="F27" s="34">
        <f>IF($A27="","",IF($B27="","EKSİK","TAM"))</f>
        <v/>
      </c>
    </row>
    <row r="28">
      <c r="F28" s="34">
        <f>IF($A28="","",IF($B28="","EKSİK","TAM"))</f>
        <v/>
      </c>
    </row>
    <row r="29">
      <c r="F29" s="34">
        <f>IF($A29="","",IF($B29="","EKSİK","TAM"))</f>
        <v/>
      </c>
    </row>
    <row r="30">
      <c r="F30" s="34">
        <f>IF($A30="","",IF($B30="","EKSİK","TAM"))</f>
        <v/>
      </c>
    </row>
    <row r="31">
      <c r="F31" s="34">
        <f>IF($A31="","",IF($B31="","EKSİK","TAM"))</f>
        <v/>
      </c>
    </row>
    <row r="32">
      <c r="F32" s="34">
        <f>IF($A32="","",IF($B32="","EKSİK","TAM"))</f>
        <v/>
      </c>
    </row>
    <row r="33">
      <c r="F33" s="34">
        <f>IF($A33="","",IF($B33="","EKSİK","TAM"))</f>
        <v/>
      </c>
    </row>
    <row r="34">
      <c r="F34" s="34">
        <f>IF($A34="","",IF($B34="","EKSİK","TAM"))</f>
        <v/>
      </c>
    </row>
    <row r="35">
      <c r="F35" s="34">
        <f>IF($A35="","",IF($B35="","EKSİK","TAM"))</f>
        <v/>
      </c>
    </row>
    <row r="36">
      <c r="F36" s="34">
        <f>IF($A36="","",IF($B36="","EKSİK","TAM"))</f>
        <v/>
      </c>
    </row>
    <row r="37">
      <c r="F37" s="34">
        <f>IF($A37="","",IF($B37="","EKSİK","TAM"))</f>
        <v/>
      </c>
    </row>
    <row r="38">
      <c r="F38" s="34">
        <f>IF($A38="","",IF($B38="","EKSİK","TAM"))</f>
        <v/>
      </c>
    </row>
    <row r="39">
      <c r="F39" s="34">
        <f>IF($A39="","",IF($B39="","EKSİK","TAM"))</f>
        <v/>
      </c>
    </row>
    <row r="40">
      <c r="F40" s="34">
        <f>IF($A40="","",IF($B40="","EKSİK","TAM"))</f>
        <v/>
      </c>
    </row>
    <row r="41">
      <c r="F41" s="34">
        <f>IF($A41="","",IF($B41="","EKSİK","TAM"))</f>
        <v/>
      </c>
    </row>
    <row r="42">
      <c r="F42" s="34">
        <f>IF($A42="","",IF($B42="","EKSİK","TAM"))</f>
        <v/>
      </c>
    </row>
    <row r="43">
      <c r="F43" s="34">
        <f>IF($A43="","",IF($B43="","EKSİK","TAM"))</f>
        <v/>
      </c>
    </row>
    <row r="44">
      <c r="F44" s="34">
        <f>IF($A44="","",IF($B44="","EKSİK","TAM"))</f>
        <v/>
      </c>
    </row>
    <row r="45">
      <c r="F45" s="34">
        <f>IF($A45="","",IF($B45="","EKSİK","TAM"))</f>
        <v/>
      </c>
    </row>
    <row r="46">
      <c r="F46" s="34">
        <f>IF($A46="","",IF($B46="","EKSİK","TAM"))</f>
        <v/>
      </c>
    </row>
    <row r="47">
      <c r="F47" s="34">
        <f>IF($A47="","",IF($B47="","EKSİK","TAM"))</f>
        <v/>
      </c>
    </row>
    <row r="48">
      <c r="F48" s="34">
        <f>IF($A48="","",IF($B48="","EKSİK","TAM"))</f>
        <v/>
      </c>
    </row>
    <row r="49">
      <c r="F49" s="34">
        <f>IF($A49="","",IF($B49="","EKSİK","TAM"))</f>
        <v/>
      </c>
    </row>
    <row r="50">
      <c r="F50" s="34">
        <f>IF($A50="","",IF($B50="","EKSİK","TAM"))</f>
        <v/>
      </c>
    </row>
    <row r="51">
      <c r="F51" s="34">
        <f>IF($A51="","",IF($B51="","EKSİK","TAM"))</f>
        <v/>
      </c>
    </row>
    <row r="52">
      <c r="F52" s="34">
        <f>IF($A52="","",IF($B52="","EKSİK","TAM"))</f>
        <v/>
      </c>
    </row>
    <row r="53">
      <c r="F53" s="34">
        <f>IF($A53="","",IF($B53="","EKSİK","TAM"))</f>
        <v/>
      </c>
    </row>
    <row r="54">
      <c r="F54" s="34">
        <f>IF($A54="","",IF($B54="","EKSİK","TAM"))</f>
        <v/>
      </c>
    </row>
    <row r="55">
      <c r="F55" s="34">
        <f>IF($A55="","",IF($B55="","EKSİK","TAM"))</f>
        <v/>
      </c>
    </row>
    <row r="56">
      <c r="F56" s="34">
        <f>IF($A56="","",IF($B56="","EKSİK","TAM"))</f>
        <v/>
      </c>
    </row>
    <row r="57">
      <c r="F57" s="34">
        <f>IF($A57="","",IF($B57="","EKSİK","TAM"))</f>
        <v/>
      </c>
    </row>
    <row r="58">
      <c r="F58" s="34">
        <f>IF($A58="","",IF($B58="","EKSİK","TAM"))</f>
        <v/>
      </c>
    </row>
    <row r="59">
      <c r="F59" s="34">
        <f>IF($A59="","",IF($B59="","EKSİK","TAM"))</f>
        <v/>
      </c>
    </row>
    <row r="60">
      <c r="F60" s="34">
        <f>IF($A60="","",IF($B60="","EKSİK","TAM"))</f>
        <v/>
      </c>
    </row>
    <row r="61">
      <c r="F61" s="34">
        <f>IF($A61="","",IF($B61="","EKSİK","TAM"))</f>
        <v/>
      </c>
    </row>
    <row r="62">
      <c r="F62" s="34">
        <f>IF($A62="","",IF($B62="","EKSİK","TAM"))</f>
        <v/>
      </c>
    </row>
    <row r="63">
      <c r="F63" s="34">
        <f>IF($A63="","",IF($B63="","EKSİK","TAM"))</f>
        <v/>
      </c>
    </row>
    <row r="64">
      <c r="F64" s="34">
        <f>IF($A64="","",IF($B64="","EKSİK","TAM"))</f>
        <v/>
      </c>
    </row>
    <row r="65">
      <c r="F65" s="34">
        <f>IF($A65="","",IF($B65="","EKSİK","TAM"))</f>
        <v/>
      </c>
    </row>
    <row r="66">
      <c r="F66" s="34">
        <f>IF($A66="","",IF($B66="","EKSİK","TAM"))</f>
        <v/>
      </c>
    </row>
    <row r="67">
      <c r="F67" s="34">
        <f>IF($A67="","",IF($B67="","EKSİK","TAM"))</f>
        <v/>
      </c>
    </row>
    <row r="68">
      <c r="F68" s="34">
        <f>IF($A68="","",IF($B68="","EKSİK","TAM"))</f>
        <v/>
      </c>
    </row>
    <row r="69">
      <c r="F69" s="34">
        <f>IF($A69="","",IF($B69="","EKSİK","TAM"))</f>
        <v/>
      </c>
    </row>
    <row r="70">
      <c r="F70" s="34">
        <f>IF($A70="","",IF($B70="","EKSİK","TAM"))</f>
        <v/>
      </c>
    </row>
    <row r="71">
      <c r="F71" s="34">
        <f>IF($A71="","",IF($B71="","EKSİK","TAM"))</f>
        <v/>
      </c>
    </row>
    <row r="72">
      <c r="F72" s="34">
        <f>IF($A72="","",IF($B72="","EKSİK","TAM"))</f>
        <v/>
      </c>
    </row>
    <row r="73">
      <c r="F73" s="34">
        <f>IF($A73="","",IF($B73="","EKSİK","TAM"))</f>
        <v/>
      </c>
    </row>
    <row r="74">
      <c r="F74" s="34">
        <f>IF($A74="","",IF($B74="","EKSİK","TAM"))</f>
        <v/>
      </c>
    </row>
    <row r="75">
      <c r="F75" s="34">
        <f>IF($A75="","",IF($B75="","EKSİK","TAM"))</f>
        <v/>
      </c>
    </row>
    <row r="76">
      <c r="F76" s="34">
        <f>IF($A76="","",IF($B76="","EKSİK","TAM"))</f>
        <v/>
      </c>
    </row>
    <row r="77">
      <c r="F77" s="34">
        <f>IF($A77="","",IF($B77="","EKSİK","TAM"))</f>
        <v/>
      </c>
    </row>
    <row r="78">
      <c r="F78" s="34">
        <f>IF($A78="","",IF($B78="","EKSİK","TAM"))</f>
        <v/>
      </c>
    </row>
    <row r="79">
      <c r="F79" s="34">
        <f>IF($A79="","",IF($B79="","EKSİK","TAM"))</f>
        <v/>
      </c>
    </row>
    <row r="80">
      <c r="F80" s="34">
        <f>IF($A80="","",IF($B80="","EKSİK","TAM"))</f>
        <v/>
      </c>
    </row>
    <row r="81">
      <c r="F81" s="34">
        <f>IF($A81="","",IF($B81="","EKSİK","TAM"))</f>
        <v/>
      </c>
    </row>
    <row r="82">
      <c r="F82" s="34">
        <f>IF($A82="","",IF($B82="","EKSİK","TAM"))</f>
        <v/>
      </c>
    </row>
    <row r="83">
      <c r="F83" s="34">
        <f>IF($A83="","",IF($B83="","EKSİK","TAM"))</f>
        <v/>
      </c>
    </row>
    <row r="84">
      <c r="F84" s="34">
        <f>IF($A84="","",IF($B84="","EKSİK","TAM"))</f>
        <v/>
      </c>
    </row>
    <row r="85">
      <c r="F85" s="34">
        <f>IF($A85="","",IF($B85="","EKSİK","TAM"))</f>
        <v/>
      </c>
    </row>
    <row r="86">
      <c r="F86" s="34">
        <f>IF($A86="","",IF($B86="","EKSİK","TAM"))</f>
        <v/>
      </c>
    </row>
    <row r="87">
      <c r="F87" s="34">
        <f>IF($A87="","",IF($B87="","EKSİK","TAM"))</f>
        <v/>
      </c>
    </row>
    <row r="88">
      <c r="F88" s="34">
        <f>IF($A88="","",IF($B88="","EKSİK","TAM"))</f>
        <v/>
      </c>
    </row>
    <row r="89">
      <c r="F89" s="34">
        <f>IF($A89="","",IF($B89="","EKSİK","TAM"))</f>
        <v/>
      </c>
    </row>
    <row r="90">
      <c r="F90" s="34">
        <f>IF($A90="","",IF($B90="","EKSİK","TAM"))</f>
        <v/>
      </c>
    </row>
    <row r="91">
      <c r="F91" s="34">
        <f>IF($A91="","",IF($B91="","EKSİK","TAM"))</f>
        <v/>
      </c>
    </row>
    <row r="92">
      <c r="F92" s="34">
        <f>IF($A92="","",IF($B92="","EKSİK","TAM"))</f>
        <v/>
      </c>
    </row>
    <row r="93">
      <c r="F93" s="34">
        <f>IF($A93="","",IF($B93="","EKSİK","TAM"))</f>
        <v/>
      </c>
    </row>
    <row r="94">
      <c r="F94" s="34">
        <f>IF($A94="","",IF($B94="","EKSİK","TAM"))</f>
        <v/>
      </c>
    </row>
    <row r="95">
      <c r="F95" s="34">
        <f>IF($A95="","",IF($B95="","EKSİK","TAM"))</f>
        <v/>
      </c>
    </row>
    <row r="96">
      <c r="F96" s="34">
        <f>IF($A96="","",IF($B96="","EKSİK","TAM"))</f>
        <v/>
      </c>
    </row>
    <row r="97">
      <c r="F97" s="34">
        <f>IF($A97="","",IF($B97="","EKSİK","TAM"))</f>
        <v/>
      </c>
    </row>
    <row r="98">
      <c r="F98" s="34">
        <f>IF($A98="","",IF($B98="","EKSİK","TAM"))</f>
        <v/>
      </c>
    </row>
    <row r="99">
      <c r="F99" s="34">
        <f>IF($A99="","",IF($B99="","EKSİK","TAM"))</f>
        <v/>
      </c>
    </row>
    <row r="100">
      <c r="F100" s="34">
        <f>IF($A100="","",IF($B100="","EKSİK","TAM"))</f>
        <v/>
      </c>
    </row>
    <row r="101">
      <c r="F101" s="34">
        <f>IF($A101="","",IF($B101="","EKSİK","TAM"))</f>
        <v/>
      </c>
    </row>
    <row r="102">
      <c r="F102" s="34">
        <f>IF($A102="","",IF($B102="","EKSİK","TAM"))</f>
        <v/>
      </c>
    </row>
    <row r="103">
      <c r="F103" s="34">
        <f>IF($A103="","",IF($B103="","EKSİK","TAM"))</f>
        <v/>
      </c>
    </row>
    <row r="104">
      <c r="F104" s="34">
        <f>IF($A104="","",IF($B104="","EKSİK","TAM"))</f>
        <v/>
      </c>
    </row>
    <row r="105">
      <c r="F105" s="34">
        <f>IF($A105="","",IF($B105="","EKSİK","TAM"))</f>
        <v/>
      </c>
    </row>
    <row r="106">
      <c r="F106" s="34">
        <f>IF($A106="","",IF($B106="","EKSİK","TAM"))</f>
        <v/>
      </c>
    </row>
    <row r="107">
      <c r="F107" s="34">
        <f>IF($A107="","",IF($B107="","EKSİK","TAM"))</f>
        <v/>
      </c>
    </row>
    <row r="108">
      <c r="F108" s="34">
        <f>IF($A108="","",IF($B108="","EKSİK","TAM"))</f>
        <v/>
      </c>
    </row>
    <row r="109">
      <c r="F109" s="34">
        <f>IF($A109="","",IF($B109="","EKSİK","TAM"))</f>
        <v/>
      </c>
    </row>
    <row r="110">
      <c r="F110" s="34">
        <f>IF($A110="","",IF($B110="","EKSİK","TAM"))</f>
        <v/>
      </c>
    </row>
    <row r="111">
      <c r="F111" s="34">
        <f>IF($A111="","",IF($B111="","EKSİK","TAM"))</f>
        <v/>
      </c>
    </row>
    <row r="112">
      <c r="F112" s="34">
        <f>IF($A112="","",IF($B112="","EKSİK","TAM"))</f>
        <v/>
      </c>
    </row>
    <row r="113">
      <c r="F113" s="34">
        <f>IF($A113="","",IF($B113="","EKSİK","TAM"))</f>
        <v/>
      </c>
    </row>
    <row r="114">
      <c r="F114" s="34">
        <f>IF($A114="","",IF($B114="","EKSİK","TAM"))</f>
        <v/>
      </c>
    </row>
    <row r="115">
      <c r="F115" s="34">
        <f>IF($A115="","",IF($B115="","EKSİK","TAM"))</f>
        <v/>
      </c>
    </row>
    <row r="116">
      <c r="F116" s="34">
        <f>IF($A116="","",IF($B116="","EKSİK","TAM"))</f>
        <v/>
      </c>
    </row>
    <row r="117">
      <c r="F117" s="34">
        <f>IF($A117="","",IF($B117="","EKSİK","TAM"))</f>
        <v/>
      </c>
    </row>
    <row r="118">
      <c r="F118" s="34">
        <f>IF($A118="","",IF($B118="","EKSİK","TAM"))</f>
        <v/>
      </c>
    </row>
    <row r="119">
      <c r="F119" s="34">
        <f>IF($A119="","",IF($B119="","EKSİK","TAM"))</f>
        <v/>
      </c>
    </row>
    <row r="120">
      <c r="F120" s="34">
        <f>IF($A120="","",IF($B120="","EKSİK","TAM"))</f>
        <v/>
      </c>
    </row>
    <row r="121">
      <c r="F121" s="34">
        <f>IF($A121="","",IF($B121="","EKSİK","TAM"))</f>
        <v/>
      </c>
    </row>
    <row r="122">
      <c r="F122" s="34">
        <f>IF($A122="","",IF($B122="","EKSİK","TAM"))</f>
        <v/>
      </c>
    </row>
    <row r="123">
      <c r="F123" s="34">
        <f>IF($A123="","",IF($B123="","EKSİK","TAM"))</f>
        <v/>
      </c>
    </row>
    <row r="124">
      <c r="F124" s="34">
        <f>IF($A124="","",IF($B124="","EKSİK","TAM"))</f>
        <v/>
      </c>
    </row>
    <row r="125">
      <c r="F125" s="34">
        <f>IF($A125="","",IF($B125="","EKSİK","TAM"))</f>
        <v/>
      </c>
    </row>
    <row r="126">
      <c r="F126" s="34">
        <f>IF($A126="","",IF($B126="","EKSİK","TAM"))</f>
        <v/>
      </c>
    </row>
    <row r="127">
      <c r="F127" s="34">
        <f>IF($A127="","",IF($B127="","EKSİK","TAM"))</f>
        <v/>
      </c>
    </row>
    <row r="128">
      <c r="F128" s="34">
        <f>IF($A128="","",IF($B128="","EKSİK","TAM"))</f>
        <v/>
      </c>
    </row>
    <row r="129">
      <c r="F129" s="34">
        <f>IF($A129="","",IF($B129="","EKSİK","TAM"))</f>
        <v/>
      </c>
    </row>
    <row r="130">
      <c r="F130" s="34">
        <f>IF($A130="","",IF($B130="","EKSİK","TAM"))</f>
        <v/>
      </c>
    </row>
    <row r="131">
      <c r="F131" s="34">
        <f>IF($A131="","",IF($B131="","EKSİK","TAM"))</f>
        <v/>
      </c>
    </row>
    <row r="132">
      <c r="F132" s="34">
        <f>IF($A132="","",IF($B132="","EKSİK","TAM"))</f>
        <v/>
      </c>
    </row>
    <row r="133">
      <c r="F133" s="34">
        <f>IF($A133="","",IF($B133="","EKSİK","TAM"))</f>
        <v/>
      </c>
    </row>
    <row r="134">
      <c r="F134" s="34">
        <f>IF($A134="","",IF($B134="","EKSİK","TAM"))</f>
        <v/>
      </c>
    </row>
    <row r="135">
      <c r="F135" s="34">
        <f>IF($A135="","",IF($B135="","EKSİK","TAM"))</f>
        <v/>
      </c>
    </row>
    <row r="136">
      <c r="F136" s="34">
        <f>IF($A136="","",IF($B136="","EKSİK","TAM"))</f>
        <v/>
      </c>
    </row>
    <row r="137">
      <c r="F137" s="34">
        <f>IF($A137="","",IF($B137="","EKSİK","TAM"))</f>
        <v/>
      </c>
    </row>
    <row r="138">
      <c r="F138" s="34">
        <f>IF($A138="","",IF($B138="","EKSİK","TAM"))</f>
        <v/>
      </c>
    </row>
    <row r="139">
      <c r="F139" s="34">
        <f>IF($A139="","",IF($B139="","EKSİK","TAM"))</f>
        <v/>
      </c>
    </row>
    <row r="140">
      <c r="F140" s="34">
        <f>IF($A140="","",IF($B140="","EKSİK","TAM"))</f>
        <v/>
      </c>
    </row>
    <row r="141">
      <c r="F141" s="34">
        <f>IF($A141="","",IF($B141="","EKSİK","TAM"))</f>
        <v/>
      </c>
    </row>
    <row r="142">
      <c r="F142" s="34">
        <f>IF($A142="","",IF($B142="","EKSİK","TAM"))</f>
        <v/>
      </c>
    </row>
    <row r="143">
      <c r="F143" s="34">
        <f>IF($A143="","",IF($B143="","EKSİK","TAM"))</f>
        <v/>
      </c>
    </row>
    <row r="144">
      <c r="F144" s="34">
        <f>IF($A144="","",IF($B144="","EKSİK","TAM"))</f>
        <v/>
      </c>
    </row>
    <row r="145">
      <c r="F145" s="34">
        <f>IF($A145="","",IF($B145="","EKSİK","TAM"))</f>
        <v/>
      </c>
    </row>
    <row r="146">
      <c r="F146" s="34">
        <f>IF($A146="","",IF($B146="","EKSİK","TAM"))</f>
        <v/>
      </c>
    </row>
    <row r="147">
      <c r="F147" s="34">
        <f>IF($A147="","",IF($B147="","EKSİK","TAM"))</f>
        <v/>
      </c>
    </row>
    <row r="148">
      <c r="F148" s="34">
        <f>IF($A148="","",IF($B148="","EKSİK","TAM"))</f>
        <v/>
      </c>
    </row>
    <row r="149">
      <c r="F149" s="34">
        <f>IF($A149="","",IF($B149="","EKSİK","TAM"))</f>
        <v/>
      </c>
    </row>
    <row r="150">
      <c r="F150" s="34">
        <f>IF($A150="","",IF($B150="","EKSİK","TAM"))</f>
        <v/>
      </c>
    </row>
    <row r="151">
      <c r="F151" s="34">
        <f>IF($A151="","",IF($B151="","EKSİK","TAM"))</f>
        <v/>
      </c>
    </row>
    <row r="152">
      <c r="F152" s="34">
        <f>IF($A152="","",IF($B152="","EKSİK","TAM"))</f>
        <v/>
      </c>
    </row>
    <row r="153">
      <c r="F153" s="34">
        <f>IF($A153="","",IF($B153="","EKSİK","TAM"))</f>
        <v/>
      </c>
    </row>
    <row r="154">
      <c r="F154" s="34">
        <f>IF($A154="","",IF($B154="","EKSİK","TAM"))</f>
        <v/>
      </c>
    </row>
    <row r="155">
      <c r="F155" s="34">
        <f>IF($A155="","",IF($B155="","EKSİK","TAM"))</f>
        <v/>
      </c>
    </row>
    <row r="156">
      <c r="F156" s="34">
        <f>IF($A156="","",IF($B156="","EKSİK","TAM"))</f>
        <v/>
      </c>
    </row>
    <row r="157">
      <c r="F157" s="34">
        <f>IF($A157="","",IF($B157="","EKSİK","TAM"))</f>
        <v/>
      </c>
    </row>
    <row r="158">
      <c r="F158" s="34">
        <f>IF($A158="","",IF($B158="","EKSİK","TAM"))</f>
        <v/>
      </c>
    </row>
    <row r="159">
      <c r="F159" s="34">
        <f>IF($A159="","",IF($B159="","EKSİK","TAM"))</f>
        <v/>
      </c>
    </row>
    <row r="160">
      <c r="F160" s="34">
        <f>IF($A160="","",IF($B160="","EKSİK","TAM"))</f>
        <v/>
      </c>
    </row>
    <row r="161">
      <c r="F161" s="34">
        <f>IF($A161="","",IF($B161="","EKSİK","TAM"))</f>
        <v/>
      </c>
    </row>
    <row r="162">
      <c r="F162" s="34">
        <f>IF($A162="","",IF($B162="","EKSİK","TAM"))</f>
        <v/>
      </c>
    </row>
    <row r="163">
      <c r="F163" s="34">
        <f>IF($A163="","",IF($B163="","EKSİK","TAM"))</f>
        <v/>
      </c>
    </row>
    <row r="164">
      <c r="F164" s="34">
        <f>IF($A164="","",IF($B164="","EKSİK","TAM"))</f>
        <v/>
      </c>
    </row>
    <row r="165">
      <c r="F165" s="34">
        <f>IF($A165="","",IF($B165="","EKSİK","TAM"))</f>
        <v/>
      </c>
    </row>
    <row r="166">
      <c r="F166" s="34">
        <f>IF($A166="","",IF($B166="","EKSİK","TAM"))</f>
        <v/>
      </c>
    </row>
    <row r="167">
      <c r="F167" s="34">
        <f>IF($A167="","",IF($B167="","EKSİK","TAM"))</f>
        <v/>
      </c>
    </row>
    <row r="168">
      <c r="F168" s="34">
        <f>IF($A168="","",IF($B168="","EKSİK","TAM"))</f>
        <v/>
      </c>
    </row>
    <row r="169">
      <c r="F169" s="34">
        <f>IF($A169="","",IF($B169="","EKSİK","TAM"))</f>
        <v/>
      </c>
    </row>
    <row r="170">
      <c r="F170" s="34">
        <f>IF($A170="","",IF($B170="","EKSİK","TAM"))</f>
        <v/>
      </c>
    </row>
    <row r="171">
      <c r="F171" s="34">
        <f>IF($A171="","",IF($B171="","EKSİK","TAM"))</f>
        <v/>
      </c>
    </row>
    <row r="172">
      <c r="F172" s="34">
        <f>IF($A172="","",IF($B172="","EKSİK","TAM"))</f>
        <v/>
      </c>
    </row>
    <row r="173">
      <c r="F173" s="34">
        <f>IF($A173="","",IF($B173="","EKSİK","TAM"))</f>
        <v/>
      </c>
    </row>
    <row r="174">
      <c r="F174" s="34">
        <f>IF($A174="","",IF($B174="","EKSİK","TAM"))</f>
        <v/>
      </c>
    </row>
    <row r="175">
      <c r="F175" s="34">
        <f>IF($A175="","",IF($B175="","EKSİK","TAM"))</f>
        <v/>
      </c>
    </row>
    <row r="176">
      <c r="F176" s="34">
        <f>IF($A176="","",IF($B176="","EKSİK","TAM"))</f>
        <v/>
      </c>
    </row>
    <row r="177">
      <c r="F177" s="34">
        <f>IF($A177="","",IF($B177="","EKSİK","TAM"))</f>
        <v/>
      </c>
    </row>
    <row r="178">
      <c r="F178" s="34">
        <f>IF($A178="","",IF($B178="","EKSİK","TAM"))</f>
        <v/>
      </c>
    </row>
    <row r="179">
      <c r="F179" s="34">
        <f>IF($A179="","",IF($B179="","EKSİK","TAM"))</f>
        <v/>
      </c>
    </row>
    <row r="180">
      <c r="F180" s="34">
        <f>IF($A180="","",IF($B180="","EKSİK","TAM"))</f>
        <v/>
      </c>
    </row>
    <row r="181">
      <c r="F181" s="34">
        <f>IF($A181="","",IF($B181="","EKSİK","TAM"))</f>
        <v/>
      </c>
    </row>
    <row r="182">
      <c r="F182" s="34">
        <f>IF($A182="","",IF($B182="","EKSİK","TAM"))</f>
        <v/>
      </c>
    </row>
    <row r="183">
      <c r="F183" s="34">
        <f>IF($A183="","",IF($B183="","EKSİK","TAM"))</f>
        <v/>
      </c>
    </row>
    <row r="184">
      <c r="F184" s="34">
        <f>IF($A184="","",IF($B184="","EKSİK","TAM"))</f>
        <v/>
      </c>
    </row>
    <row r="185">
      <c r="F185" s="34">
        <f>IF($A185="","",IF($B185="","EKSİK","TAM"))</f>
        <v/>
      </c>
    </row>
    <row r="186">
      <c r="F186" s="34">
        <f>IF($A186="","",IF($B186="","EKSİK","TAM"))</f>
        <v/>
      </c>
    </row>
    <row r="187">
      <c r="F187" s="34">
        <f>IF($A187="","",IF($B187="","EKSİK","TAM"))</f>
        <v/>
      </c>
    </row>
    <row r="188">
      <c r="F188" s="34">
        <f>IF($A188="","",IF($B188="","EKSİK","TAM"))</f>
        <v/>
      </c>
    </row>
    <row r="189">
      <c r="F189" s="34">
        <f>IF($A189="","",IF($B189="","EKSİK","TAM"))</f>
        <v/>
      </c>
    </row>
    <row r="190">
      <c r="F190" s="34">
        <f>IF($A190="","",IF($B190="","EKSİK","TAM"))</f>
        <v/>
      </c>
    </row>
    <row r="191">
      <c r="F191" s="34">
        <f>IF($A191="","",IF($B191="","EKSİK","TAM"))</f>
        <v/>
      </c>
    </row>
    <row r="192">
      <c r="F192" s="34">
        <f>IF($A192="","",IF($B192="","EKSİK","TAM"))</f>
        <v/>
      </c>
    </row>
    <row r="193">
      <c r="F193" s="34">
        <f>IF($A193="","",IF($B193="","EKSİK","TAM"))</f>
        <v/>
      </c>
    </row>
    <row r="194">
      <c r="F194" s="34">
        <f>IF($A194="","",IF($B194="","EKSİK","TAM"))</f>
        <v/>
      </c>
    </row>
    <row r="195">
      <c r="F195" s="34">
        <f>IF($A195="","",IF($B195="","EKSİK","TAM"))</f>
        <v/>
      </c>
    </row>
    <row r="196">
      <c r="F196" s="34">
        <f>IF($A196="","",IF($B196="","EKSİK","TAM"))</f>
        <v/>
      </c>
    </row>
    <row r="197">
      <c r="F197" s="34">
        <f>IF($A197="","",IF($B197="","EKSİK","TAM"))</f>
        <v/>
      </c>
    </row>
    <row r="198">
      <c r="F198" s="34">
        <f>IF($A198="","",IF($B198="","EKSİK","TAM"))</f>
        <v/>
      </c>
    </row>
    <row r="199">
      <c r="F199" s="34">
        <f>IF($A199="","",IF($B199="","EKSİK","TAM"))</f>
        <v/>
      </c>
    </row>
    <row r="200">
      <c r="F200" s="34">
        <f>IF($A200="","",IF($B200="","EKSİK","TAM"))</f>
        <v/>
      </c>
    </row>
    <row r="201">
      <c r="F201" s="34">
        <f>IF($A201="","",IF($B201="","EKSİK","TAM"))</f>
        <v/>
      </c>
    </row>
    <row r="202">
      <c r="F202" s="34">
        <f>IF($A202="","",IF($B202="","EKSİK","TAM"))</f>
        <v/>
      </c>
    </row>
    <row r="203">
      <c r="F203" s="34">
        <f>IF($A203="","",IF($B203="","EKSİK","TAM"))</f>
        <v/>
      </c>
    </row>
    <row r="204">
      <c r="F204" s="34">
        <f>IF($A204="","",IF($B204="","EKSİK","TAM"))</f>
        <v/>
      </c>
    </row>
    <row r="205">
      <c r="F205" s="34">
        <f>IF($A205="","",IF($B205="","EKSİK","TAM"))</f>
        <v/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 ht="20" customHeight="1">
      <c r="A1018" s="37" t="inlineStr">
        <is>
          <t>Sarı alanlar giriş; kalite formülü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18:AN1018"/>
    <mergeCell ref="A3:I3"/>
  </mergeCells>
  <conditionalFormatting sqref="B13">
    <cfRule type="cellIs" priority="1" operator="greaterThanOrEqual" dxfId="4">
      <formula>80</formula>
    </cfRule>
    <cfRule type="cellIs" priority="2" operator="lessThan" dxfId="5">
      <formula>50</formula>
    </cfRule>
  </conditionalFormatting>
  <conditionalFormatting sqref="B9">
    <cfRule type="cellIs" priority="3" operator="lessThan" dxfId="5">
      <formula>0</formula>
    </cfRule>
  </conditionalFormatting>
  <dataValidations count="3">
    <dataValidation sqref="B8" showDropDown="0" showInputMessage="1" showErrorMessage="1" allowBlank="0" errorTitle="Geçersiz yıl" error="Listeden seçin." promptTitle="Hesap Yılı" prompt="2025, 2026 veya 2027." type="list" errorStyle="stop">
      <formula1>ListeYillar</formula1>
    </dataValidation>
    <dataValidation sqref="B10" showDropDown="0" showInputMessage="1" showErrorMessage="1" allowBlank="0" errorTitle="Geçersiz" error="A veya B." promptTitle="Yorum" prompt="A veya B seçin." type="list" errorStyle="stop">
      <formula1>ListeYorumAB</formula1>
    </dataValidation>
    <dataValidation sqref="B9" showDropDown="0" showInputMessage="1" showErrorMessage="1" allowBlank="1" errorTitle="Geçersiz" error="0–1.000.000.000.000" promptTitle="Brüt Satış" prompt="0 ile 1e12 arasında TL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24" customWidth="1" min="10" max="10"/>
    <col width="14" customWidth="1" min="11" max="11"/>
  </cols>
  <sheetData>
    <row r="1" ht="32" customHeight="1">
      <c r="A1" s="198" t="inlineStr">
        <is>
          <t>KURALLAR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e-Belge eşik kural tablosu (yıl yan yana)</t>
        </is>
      </c>
    </row>
    <row r="4">
      <c r="A4" s="4" t="inlineStr">
        <is>
          <t>Eşikler MOTOR'da sabit yazılmaz; INDEX/MATCH ile buradan çekilir.</t>
        </is>
      </c>
    </row>
    <row r="5"/>
    <row r="6" ht="30" customHeight="1">
      <c r="A6" s="18" t="inlineStr">
        <is>
          <t>kural_id</t>
        </is>
      </c>
      <c r="B6" s="18" t="inlineStr">
        <is>
          <t>madde</t>
        </is>
      </c>
      <c r="C6" s="18" t="inlineStr">
        <is>
          <t>kural_adi</t>
        </is>
      </c>
      <c r="D6" s="18" t="inlineStr">
        <is>
          <t>kosul_metni</t>
        </is>
      </c>
      <c r="E6" s="18" t="inlineStr">
        <is>
          <t>parametre_adi</t>
        </is>
      </c>
      <c r="F6" s="18" t="inlineStr">
        <is>
          <t>deger_2025</t>
        </is>
      </c>
      <c r="G6" s="18" t="inlineStr">
        <is>
          <t>deger_2026</t>
        </is>
      </c>
      <c r="H6" s="18" t="inlineStr">
        <is>
          <t>deger_2027</t>
        </is>
      </c>
      <c r="I6" s="18" t="inlineStr">
        <is>
          <t>yururluk</t>
        </is>
      </c>
      <c r="J6" s="18" t="inlineStr">
        <is>
          <t>kaynak</t>
        </is>
      </c>
      <c r="K6" s="18" t="inlineStr">
        <is>
          <t>aktif_deger</t>
        </is>
      </c>
    </row>
    <row r="7">
      <c r="A7" s="28" t="inlineStr">
        <is>
          <t>EBR-001</t>
        </is>
      </c>
      <c r="B7" s="28" t="inlineStr">
        <is>
          <t>VUK e-Fatura</t>
        </is>
      </c>
      <c r="C7" s="28" t="inlineStr">
        <is>
          <t>efatura_esik</t>
        </is>
      </c>
      <c r="D7" s="28" t="inlineStr">
        <is>
          <t>brut_satis&gt;=esik</t>
        </is>
      </c>
      <c r="E7" s="28" t="inlineStr">
        <is>
          <t>efatura_esik</t>
        </is>
      </c>
      <c r="F7" s="40" t="n">
        <v>3000000</v>
      </c>
      <c r="G7" s="40" t="n">
        <v>3500000</v>
      </c>
      <c r="H7" s="40" t="n">
        <v>4000000</v>
      </c>
      <c r="I7" s="28" t="inlineStr">
        <is>
          <t>01.01.2025</t>
        </is>
      </c>
      <c r="J7" s="28" t="inlineStr">
        <is>
          <t>GİB e-Fatura tebliği</t>
        </is>
      </c>
      <c r="K7" s="34">
        <f>IF($A7="","",IFERROR(CHOOSE(MAX(1,MIN(3,IF(OR(hesapYili="",hesapYili=0),1,hesapYili-ebr_yilTaban))),$F7,$G7,$H7),0))</f>
        <v/>
      </c>
    </row>
    <row r="8">
      <c r="A8" s="28" t="inlineStr">
        <is>
          <t>EBR-002</t>
        </is>
      </c>
      <c r="B8" s="28" t="inlineStr">
        <is>
          <t>VUK e-Arşiv</t>
        </is>
      </c>
      <c r="C8" s="28" t="inlineStr">
        <is>
          <t>earsiv_esik</t>
        </is>
      </c>
      <c r="D8" s="28" t="inlineStr">
        <is>
          <t>brut_satis&gt;=esik</t>
        </is>
      </c>
      <c r="E8" s="28" t="inlineStr">
        <is>
          <t>earsiv_esik</t>
        </is>
      </c>
      <c r="F8" s="40" t="n">
        <v>500000</v>
      </c>
      <c r="G8" s="40" t="n">
        <v>600000</v>
      </c>
      <c r="H8" s="40" t="n">
        <v>700000</v>
      </c>
      <c r="I8" s="28" t="inlineStr">
        <is>
          <t>01.01.2025</t>
        </is>
      </c>
      <c r="J8" s="28" t="inlineStr">
        <is>
          <t>GİB e-Arşiv tebliği</t>
        </is>
      </c>
      <c r="K8" s="34">
        <f>IF($A8="","",IFERROR(CHOOSE(MAX(1,MIN(3,IF(OR(hesapYili="",hesapYili=0),1,hesapYili-ebr_yilTaban))),$F8,$G8,$H8),0))</f>
        <v/>
      </c>
    </row>
    <row r="9">
      <c r="A9" s="28" t="inlineStr">
        <is>
          <t>EBR-003</t>
        </is>
      </c>
      <c r="B9" s="28" t="inlineStr">
        <is>
          <t>VUK e-Defter</t>
        </is>
      </c>
      <c r="C9" s="28" t="inlineStr">
        <is>
          <t>edefter_esik</t>
        </is>
      </c>
      <c r="D9" s="28" t="inlineStr">
        <is>
          <t>brut_satis&gt;=esik</t>
        </is>
      </c>
      <c r="E9" s="28" t="inlineStr">
        <is>
          <t>edefter_esik</t>
        </is>
      </c>
      <c r="F9" s="40" t="n">
        <v>3000000</v>
      </c>
      <c r="G9" s="40" t="n">
        <v>3500000</v>
      </c>
      <c r="H9" s="40" t="n">
        <v>4000000</v>
      </c>
      <c r="I9" s="28" t="inlineStr">
        <is>
          <t>01.01.2025</t>
        </is>
      </c>
      <c r="J9" s="28" t="inlineStr">
        <is>
          <t>GİB e-Defter tebliği</t>
        </is>
      </c>
      <c r="K9" s="34">
        <f>IF($A9="","",IFERROR(CHOOSE(MAX(1,MIN(3,IF(OR(hesapYili="",hesapYili=0),1,hesapYili-ebr_yilTaban))),$F9,$G9,$H9),0))</f>
        <v/>
      </c>
    </row>
    <row r="10">
      <c r="A10" s="28" t="inlineStr">
        <is>
          <t>EBR-004</t>
        </is>
      </c>
      <c r="B10" s="28" t="inlineStr">
        <is>
          <t>VUK e-İrsaliye</t>
        </is>
      </c>
      <c r="C10" s="28" t="inlineStr">
        <is>
          <t>eirsaliye_esik</t>
        </is>
      </c>
      <c r="D10" s="28" t="inlineStr">
        <is>
          <t>brut_satis&gt;=esik</t>
        </is>
      </c>
      <c r="E10" s="28" t="inlineStr">
        <is>
          <t>eirsaliye_esik</t>
        </is>
      </c>
      <c r="F10" s="40" t="n">
        <v>10000000</v>
      </c>
      <c r="G10" s="40" t="n">
        <v>12000000</v>
      </c>
      <c r="H10" s="40" t="n">
        <v>14000000</v>
      </c>
      <c r="I10" s="28" t="inlineStr">
        <is>
          <t>01.01.2025</t>
        </is>
      </c>
      <c r="J10" s="28" t="inlineStr">
        <is>
          <t>GİB e-İrsaliye tebliği</t>
        </is>
      </c>
      <c r="K10" s="34">
        <f>IF($A10="","",IFERROR(CHOOSE(MAX(1,MIN(3,IF(OR(hesapYili="",hesapYili=0),1,hesapYili-ebr_yilTaban))),$F10,$G10,$H10),0))</f>
        <v/>
      </c>
    </row>
    <row r="11">
      <c r="A11" s="28" t="inlineStr">
        <is>
          <t>EBR-005</t>
        </is>
      </c>
      <c r="B11" s="28" t="inlineStr">
        <is>
          <t>Genel</t>
        </is>
      </c>
      <c r="C11" s="28" t="inlineStr">
        <is>
          <t>yuvarlama</t>
        </is>
      </c>
      <c r="D11" s="28" t="inlineStr">
        <is>
          <t>her hesap</t>
        </is>
      </c>
      <c r="E11" s="28" t="inlineStr">
        <is>
          <t>yuvarlama_ondalik</t>
        </is>
      </c>
      <c r="F11" s="41" t="n">
        <v>2</v>
      </c>
      <c r="G11" s="41" t="n">
        <v>2</v>
      </c>
      <c r="H11" s="41" t="n">
        <v>2</v>
      </c>
      <c r="I11" s="28" t="inlineStr">
        <is>
          <t>01.01.2025</t>
        </is>
      </c>
      <c r="J11" s="28" t="inlineStr">
        <is>
          <t>Uygulama notu</t>
        </is>
      </c>
      <c r="K11" s="34">
        <f>IF($A11="","",IFERROR(CHOOSE(MAX(1,MIN(3,IF(OR(hesapYili="",hesapYili=0),1,hesapYili-ebr_yilTaban))),$F11,$G11,$H11),0))</f>
        <v/>
      </c>
    </row>
    <row r="12"/>
    <row r="13"/>
    <row r="14">
      <c r="A14" s="14" t="inlineStr">
        <is>
          <t>Kural-yıl matrisi</t>
        </is>
      </c>
    </row>
    <row r="15">
      <c r="A15" s="28" t="inlineStr">
        <is>
          <t>e-Fatura eşiği</t>
        </is>
      </c>
      <c r="B15" s="42">
        <f>IFERROR(INDEX(CHOOSE(MAX(1,MIN(3,IF(OR(hesapYili="",hesapYili=0),1,hesapYili-ebr_yilTaban))),tblKurallar[deger_2025],tblKurallar[deger_2026],tblKurallar[deger_2027]),MATCH("EBR-001",tblKurallar[kural_id],0)),0)</f>
        <v/>
      </c>
    </row>
    <row r="16">
      <c r="A16" s="28" t="inlineStr">
        <is>
          <t>e-Arşiv eşiği</t>
        </is>
      </c>
      <c r="B16" s="42">
        <f>IFERROR(INDEX(CHOOSE(MAX(1,MIN(3,IF(OR(hesapYili="",hesapYili=0),1,hesapYili-ebr_yilTaban))),tblKurallar[deger_2025],tblKurallar[deger_2026],tblKurallar[deger_2027]),MATCH("EBR-002",tblKurallar[kural_id],0)),0)</f>
        <v/>
      </c>
    </row>
    <row r="17">
      <c r="A17" s="28" t="inlineStr">
        <is>
          <t>Matris metni</t>
        </is>
      </c>
      <c r="B17" s="15">
        <f>_xlfn.TEXTJOIN(" | ",TRUE,"EBR-001=",TEXT(B15,"₺ #,##0"),"EBR-002=",TEXT(B16,"₺ #,##0"),"yıl=",hesapYili)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3">
    <dataValidation sqref="F7:F11" showDropDown="0" showInputMessage="1" showErrorMessage="1" allowBlank="1" errorTitle="Geçersiz" error="0 veya üzeri." promptTitle="Kural değeri" prompt="Yıl kolonuna sayısal parametre." type="decimal" errorStyle="stop" operator="between">
      <formula1>0</formula1>
      <formula2>1000000000000</formula2>
    </dataValidation>
    <dataValidation sqref="G7:G11" showDropDown="0" showInputMessage="1" showErrorMessage="1" allowBlank="1" errorTitle="Geçersiz" error="0 veya üzeri." promptTitle="Kural değeri" prompt="Yıl kolonuna sayısal parametre." type="decimal" errorStyle="stop" operator="between">
      <formula1>0</formula1>
      <formula2>1000000000000</formula2>
    </dataValidation>
    <dataValidation sqref="H7:H11" showDropDown="0" showInputMessage="1" showErrorMessage="1" allowBlank="1" errorTitle="Geçersiz" error="0 veya üzeri." promptTitle="Kural değeri" prompt="Yıl kolonuna sayısal parametre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064A2"/>
    <outlinePr summaryBelow="1" summaryRight="1"/>
    <pageSetUpPr/>
  </sheetPr>
  <dimension ref="A1:AD5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6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MOTOR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Hesap zinciri — her adımda kural_id</t>
        </is>
      </c>
    </row>
    <row r="4">
      <c r="A4" s="4" t="inlineStr">
        <is>
          <t>Eşikler tblKurallar'dan çekilir; sabit eşik yoktur.</t>
        </is>
      </c>
    </row>
    <row r="5"/>
    <row r="6" ht="30" customHeight="1">
      <c r="A6" s="18" t="inlineStr">
        <is>
          <t>adim</t>
        </is>
      </c>
      <c r="B6" s="18" t="inlineStr">
        <is>
          <t>ad</t>
        </is>
      </c>
      <c r="C6" s="18" t="inlineStr">
        <is>
          <t>formul</t>
        </is>
      </c>
      <c r="D6" s="18" t="inlineStr">
        <is>
          <t>birim</t>
        </is>
      </c>
      <c r="E6" s="18" t="inlineStr">
        <is>
          <t>ne_ise_yarar</t>
        </is>
      </c>
      <c r="F6" s="18" t="inlineStr">
        <is>
          <t>kural_id</t>
        </is>
      </c>
      <c r="G6" s="18" t="inlineStr">
        <is>
          <t>deger</t>
        </is>
      </c>
    </row>
    <row r="7">
      <c r="A7" s="43" t="n">
        <v>1</v>
      </c>
      <c r="B7" s="8" t="inlineStr">
        <is>
          <t>Hesap yılı oku</t>
        </is>
      </c>
      <c r="C7" s="44">
        <f>IFERROR(hesapYili,0)</f>
        <v/>
      </c>
      <c r="D7" s="45" t="inlineStr">
        <is>
          <t>yıl</t>
        </is>
      </c>
      <c r="E7" s="6" t="inlineStr">
        <is>
          <t>Aktif mevzuat yılı</t>
        </is>
      </c>
      <c r="F7" s="20" t="inlineStr">
        <is>
          <t>EBR-005</t>
        </is>
      </c>
      <c r="G7" s="32">
        <f>IFERROR(hesapYili,0)</f>
        <v/>
      </c>
    </row>
    <row r="8">
      <c r="A8" s="43" t="n">
        <v>2</v>
      </c>
      <c r="B8" s="8" t="inlineStr">
        <is>
          <t>e-Fatura eşiği</t>
        </is>
      </c>
      <c r="C8" s="46">
        <f>IFERROR(INDEX(CHOOSE(MAX(1,MIN(3,IF(OR(hesapYili="",hesapYili=0),1,hesapYili-ebr_yilTaban))),tblKurallar[deger_2025],tblKurallar[deger_2026],tblKurallar[deger_2027]),MATCH("EBR-001",tblKurallar[kural_id],0)),0)</f>
        <v/>
      </c>
      <c r="D8" s="45" t="inlineStr">
        <is>
          <t>TL</t>
        </is>
      </c>
      <c r="E8" s="6" t="inlineStr">
        <is>
          <t>e-Fatura ciro eşiği</t>
        </is>
      </c>
      <c r="F8" s="20" t="inlineStr">
        <is>
          <t>EBR-001</t>
        </is>
      </c>
      <c r="G8" s="42">
        <f>IFERROR(INDEX(CHOOSE(MAX(1,MIN(3,IF(OR(hesapYili="",hesapYili=0),1,hesapYili-ebr_yilTaban))),tblKurallar[deger_2025],tblKurallar[deger_2026],tblKurallar[deger_2027]),MATCH("EBR-001",tblKurallar[kural_id],0)),0)</f>
        <v/>
      </c>
    </row>
    <row r="9">
      <c r="A9" s="43" t="n">
        <v>3</v>
      </c>
      <c r="B9" s="8" t="inlineStr">
        <is>
          <t>e-Arşiv eşiği</t>
        </is>
      </c>
      <c r="C9" s="46">
        <f>IFERROR(INDEX(CHOOSE(MAX(1,MIN(3,IF(OR(hesapYili="",hesapYili=0),1,hesapYili-ebr_yilTaban))),tblKurallar[deger_2025],tblKurallar[deger_2026],tblKurallar[deger_2027]),MATCH("EBR-002",tblKurallar[kural_id],0)),0)</f>
        <v/>
      </c>
      <c r="D9" s="45" t="inlineStr">
        <is>
          <t>TL</t>
        </is>
      </c>
      <c r="E9" s="6" t="inlineStr">
        <is>
          <t>e-Arşiv ciro eşiği</t>
        </is>
      </c>
      <c r="F9" s="20" t="inlineStr">
        <is>
          <t>EBR-002</t>
        </is>
      </c>
      <c r="G9" s="42">
        <f>IFERROR(INDEX(CHOOSE(MAX(1,MIN(3,IF(OR(hesapYili="",hesapYili=0),1,hesapYili-ebr_yilTaban))),tblKurallar[deger_2025],tblKurallar[deger_2026],tblKurallar[deger_2027]),MATCH("EBR-002",tblKurallar[kural_id],0)),0)</f>
        <v/>
      </c>
    </row>
    <row r="10">
      <c r="A10" s="43" t="n">
        <v>4</v>
      </c>
      <c r="B10" s="8" t="inlineStr">
        <is>
          <t>e-Defter eşiği</t>
        </is>
      </c>
      <c r="C10" s="46">
        <f>IFERROR(INDEX(CHOOSE(MAX(1,MIN(3,IF(OR(hesapYili="",hesapYili=0),1,hesapYili-ebr_yilTaban))),tblKurallar[deger_2025],tblKurallar[deger_2026],tblKurallar[deger_2027]),MATCH("EBR-003",tblKurallar[kural_id],0)),0)</f>
        <v/>
      </c>
      <c r="D10" s="45" t="inlineStr">
        <is>
          <t>TL</t>
        </is>
      </c>
      <c r="E10" s="6" t="inlineStr">
        <is>
          <t>e-Defter ciro eşiği</t>
        </is>
      </c>
      <c r="F10" s="20" t="inlineStr">
        <is>
          <t>EBR-003</t>
        </is>
      </c>
      <c r="G10" s="42">
        <f>IFERROR(INDEX(CHOOSE(MAX(1,MIN(3,IF(OR(hesapYili="",hesapYili=0),1,hesapYili-ebr_yilTaban))),tblKurallar[deger_2025],tblKurallar[deger_2026],tblKurallar[deger_2027]),MATCH("EBR-003",tblKurallar[kural_id],0)),0)</f>
        <v/>
      </c>
    </row>
    <row r="11">
      <c r="A11" s="43" t="n">
        <v>5</v>
      </c>
      <c r="B11" s="8" t="inlineStr">
        <is>
          <t>e-İrsaliye eşiği</t>
        </is>
      </c>
      <c r="C11" s="46">
        <f>IFERROR(INDEX(CHOOSE(MAX(1,MIN(3,IF(OR(hesapYili="",hesapYili=0),1,hesapYili-ebr_yilTaban))),tblKurallar[deger_2025],tblKurallar[deger_2026],tblKurallar[deger_2027]),MATCH("EBR-004",tblKurallar[kural_id],0)),0)</f>
        <v/>
      </c>
      <c r="D11" s="45" t="inlineStr">
        <is>
          <t>TL</t>
        </is>
      </c>
      <c r="E11" s="6" t="inlineStr">
        <is>
          <t>e-İrsaliye ciro eşiği</t>
        </is>
      </c>
      <c r="F11" s="20" t="inlineStr">
        <is>
          <t>EBR-004</t>
        </is>
      </c>
      <c r="G11" s="42">
        <f>IFERROR(INDEX(CHOOSE(MAX(1,MIN(3,IF(OR(hesapYili="",hesapYili=0),1,hesapYili-ebr_yilTaban))),tblKurallar[deger_2025],tblKurallar[deger_2026],tblKurallar[deger_2027]),MATCH("EBR-004",tblKurallar[kural_id],0)),0)</f>
        <v/>
      </c>
    </row>
    <row r="12">
      <c r="A12" s="43" t="n">
        <v>6</v>
      </c>
      <c r="B12" s="8" t="inlineStr">
        <is>
          <t>Yuvarlama</t>
        </is>
      </c>
      <c r="C12" s="44">
        <f>IFERROR(INDEX(CHOOSE(MAX(1,MIN(3,IF(OR(hesapYili="",hesapYili=0),1,hesapYili-ebr_yilTaban))),tblKurallar[deger_2025],tblKurallar[deger_2026],tblKurallar[deger_2027]),MATCH("EBR-005",tblKurallar[kural_id],0)),0)</f>
        <v/>
      </c>
      <c r="D12" s="45" t="inlineStr">
        <is>
          <t>adet</t>
        </is>
      </c>
      <c r="E12" s="6" t="inlineStr">
        <is>
          <t>Yuvarlama basamağı</t>
        </is>
      </c>
      <c r="F12" s="20" t="inlineStr">
        <is>
          <t>EBR-005</t>
        </is>
      </c>
      <c r="G12" s="32">
        <f>IFERROR(INDEX(CHOOSE(MAX(1,MIN(3,IF(OR(hesapYili="",hesapYili=0),1,hesapYili-ebr_yilTaban))),tblKurallar[deger_2025],tblKurallar[deger_2026],tblKurallar[deger_2027]),MATCH("EBR-005",tblKurallar[kural_id],0)),0)</f>
        <v/>
      </c>
    </row>
    <row r="13">
      <c r="A13" s="43" t="n">
        <v>7</v>
      </c>
      <c r="B13" s="8" t="inlineStr">
        <is>
          <t>Brüt satış ham</t>
        </is>
      </c>
      <c r="C13" s="46">
        <f>IFERROR(GIRDI!B9,0)</f>
        <v/>
      </c>
      <c r="D13" s="45" t="inlineStr">
        <is>
          <t>TL</t>
        </is>
      </c>
      <c r="E13" s="6" t="inlineStr">
        <is>
          <t>Girdi ciro</t>
        </is>
      </c>
      <c r="F13" s="20" t="inlineStr">
        <is>
          <t>EBR-001</t>
        </is>
      </c>
      <c r="G13" s="42">
        <f>IFERROR(GIRDI!B9,0)</f>
        <v/>
      </c>
    </row>
    <row r="14">
      <c r="A14" s="43" t="n">
        <v>8</v>
      </c>
      <c r="B14" s="8" t="inlineStr">
        <is>
          <t>Yorum A ciro</t>
        </is>
      </c>
      <c r="C14" s="46">
        <f>IFERROR(G13*ebr_yorumACarpan,0)</f>
        <v/>
      </c>
      <c r="D14" s="45" t="inlineStr">
        <is>
          <t>TL</t>
        </is>
      </c>
      <c r="E14" s="6" t="inlineStr">
        <is>
          <t>Dönem yorumu A</t>
        </is>
      </c>
      <c r="F14" s="20" t="inlineStr">
        <is>
          <t>EBR-001</t>
        </is>
      </c>
      <c r="G14" s="42">
        <f>IFERROR(G13*ebr_yorumACarpan,0)</f>
        <v/>
      </c>
    </row>
    <row r="15">
      <c r="A15" s="43" t="n">
        <v>9</v>
      </c>
      <c r="B15" s="8" t="inlineStr">
        <is>
          <t>Yorum B ciro</t>
        </is>
      </c>
      <c r="C15" s="46">
        <f>IFERROR(G13,0)</f>
        <v/>
      </c>
      <c r="D15" s="45" t="inlineStr">
        <is>
          <t>TL</t>
        </is>
      </c>
      <c r="E15" s="6" t="inlineStr">
        <is>
          <t>Dönem yorumu B (tam)</t>
        </is>
      </c>
      <c r="F15" s="20" t="inlineStr">
        <is>
          <t>EBR-001</t>
        </is>
      </c>
      <c r="G15" s="42">
        <f>IFERROR(G13,0)</f>
        <v/>
      </c>
    </row>
    <row r="16">
      <c r="A16" s="43" t="n">
        <v>10</v>
      </c>
      <c r="B16" s="8" t="inlineStr">
        <is>
          <t>Seçili ciro</t>
        </is>
      </c>
      <c r="C16" s="46">
        <f>IFERROR(IF(GIRDI!B10="B",G15,G14),0)</f>
        <v/>
      </c>
      <c r="D16" s="45" t="inlineStr">
        <is>
          <t>TL</t>
        </is>
      </c>
      <c r="E16" s="6" t="inlineStr">
        <is>
          <t>A/B seçimi</t>
        </is>
      </c>
      <c r="F16" s="20" t="inlineStr">
        <is>
          <t>EBR-001</t>
        </is>
      </c>
      <c r="G16" s="42">
        <f>IFERROR(IF(GIRDI!B10="B",G15,G14),0)</f>
        <v/>
      </c>
    </row>
    <row r="17">
      <c r="A17" s="43" t="n">
        <v>11</v>
      </c>
      <c r="B17" s="8" t="inlineStr">
        <is>
          <t>Ciro (yuvarlanmış)</t>
        </is>
      </c>
      <c r="C17" s="46">
        <f>IFERROR(ROUND(G16,MAX(0,MIN(ebr_yuvarMax,IFERROR(N(G12),0)))),0)</f>
        <v/>
      </c>
      <c r="D17" s="45" t="inlineStr">
        <is>
          <t>TL</t>
        </is>
      </c>
      <c r="E17" s="6" t="inlineStr">
        <is>
          <t>Yuvarlanmış ciro</t>
        </is>
      </c>
      <c r="F17" s="20" t="inlineStr">
        <is>
          <t>EBR-005</t>
        </is>
      </c>
      <c r="G17" s="42">
        <f>IFERROR(ROUND(G16,MAX(0,MIN(ebr_yuvarMax,IFERROR(N(G12),0)))),0)</f>
        <v/>
      </c>
    </row>
    <row r="18">
      <c r="A18" s="43" t="n">
        <v>12</v>
      </c>
      <c r="B18" s="8" t="inlineStr">
        <is>
          <t>e-Fatura zorunlu mu</t>
        </is>
      </c>
      <c r="C18" s="44">
        <f>IFERROR(IF(G17&gt;=G8,1,0),0)</f>
        <v/>
      </c>
      <c r="D18" s="45" t="inlineStr">
        <is>
          <t>bayrak</t>
        </is>
      </c>
      <c r="E18" s="6" t="inlineStr">
        <is>
          <t>Eşik aşımı</t>
        </is>
      </c>
      <c r="F18" s="20" t="inlineStr">
        <is>
          <t>EBR-001</t>
        </is>
      </c>
      <c r="G18" s="32">
        <f>IFERROR(IF(G17&gt;=G8,1,0),0)</f>
        <v/>
      </c>
    </row>
    <row r="19">
      <c r="A19" s="43" t="n">
        <v>13</v>
      </c>
      <c r="B19" s="8" t="inlineStr">
        <is>
          <t>e-Arşiv zorunlu mu</t>
        </is>
      </c>
      <c r="C19" s="44">
        <f>IFERROR(IF(G17&gt;=G9,1,0),0)</f>
        <v/>
      </c>
      <c r="D19" s="45" t="inlineStr">
        <is>
          <t>bayrak</t>
        </is>
      </c>
      <c r="E19" s="6" t="inlineStr">
        <is>
          <t>Eşik aşımı</t>
        </is>
      </c>
      <c r="F19" s="20" t="inlineStr">
        <is>
          <t>EBR-002</t>
        </is>
      </c>
      <c r="G19" s="32">
        <f>IFERROR(IF(G17&gt;=G9,1,0),0)</f>
        <v/>
      </c>
    </row>
    <row r="20">
      <c r="A20" s="43" t="n">
        <v>14</v>
      </c>
      <c r="B20" s="8" t="inlineStr">
        <is>
          <t>e-Defter zorunlu mu</t>
        </is>
      </c>
      <c r="C20" s="44">
        <f>IFERROR(IF(G17&gt;=G10,1,0),0)</f>
        <v/>
      </c>
      <c r="D20" s="45" t="inlineStr">
        <is>
          <t>bayrak</t>
        </is>
      </c>
      <c r="E20" s="6" t="inlineStr">
        <is>
          <t>Eşik aşımı</t>
        </is>
      </c>
      <c r="F20" s="20" t="inlineStr">
        <is>
          <t>EBR-003</t>
        </is>
      </c>
      <c r="G20" s="32">
        <f>IFERROR(IF(G17&gt;=G10,1,0),0)</f>
        <v/>
      </c>
    </row>
    <row r="21">
      <c r="A21" s="43" t="n">
        <v>15</v>
      </c>
      <c r="B21" s="8" t="inlineStr">
        <is>
          <t>e-İrsaliye zorunlu mu</t>
        </is>
      </c>
      <c r="C21" s="44">
        <f>IFERROR(IF(G17&gt;=G11,1,0),0)</f>
        <v/>
      </c>
      <c r="D21" s="45" t="inlineStr">
        <is>
          <t>bayrak</t>
        </is>
      </c>
      <c r="E21" s="6" t="inlineStr">
        <is>
          <t>Eşik aşımı</t>
        </is>
      </c>
      <c r="F21" s="20" t="inlineStr">
        <is>
          <t>EBR-004</t>
        </is>
      </c>
      <c r="G21" s="32">
        <f>IFERROR(IF(G17&gt;=G11,1,0),0)</f>
        <v/>
      </c>
    </row>
    <row r="22">
      <c r="A22" s="43" t="n">
        <v>16</v>
      </c>
      <c r="B22" s="8" t="inlineStr">
        <is>
          <t>Zorunlu belge adedi</t>
        </is>
      </c>
      <c r="C22" s="44">
        <f>IFERROR(G18+G19+G20+G21,0)</f>
        <v/>
      </c>
      <c r="D22" s="45" t="inlineStr">
        <is>
          <t>adet</t>
        </is>
      </c>
      <c r="E22" s="6" t="inlineStr">
        <is>
          <t>Kaç belge zorunlu</t>
        </is>
      </c>
      <c r="F22" s="20" t="inlineStr">
        <is>
          <t>EBR-001</t>
        </is>
      </c>
      <c r="G22" s="32">
        <f>IFERROR(G18+G19+G20+G21,0)</f>
        <v/>
      </c>
    </row>
    <row r="23">
      <c r="A23" s="43" t="n">
        <v>17</v>
      </c>
      <c r="B23" s="8" t="inlineStr">
        <is>
          <t>e-Fatura mesafe</t>
        </is>
      </c>
      <c r="C23" s="46">
        <f>IFERROR(G17-G8,0)</f>
        <v/>
      </c>
      <c r="D23" s="45" t="inlineStr">
        <is>
          <t>TL</t>
        </is>
      </c>
      <c r="E23" s="6" t="inlineStr">
        <is>
          <t>Ciro−eşik</t>
        </is>
      </c>
      <c r="F23" s="20" t="inlineStr">
        <is>
          <t>EBR-001</t>
        </is>
      </c>
      <c r="G23" s="42">
        <f>IFERROR(G17-G8,0)</f>
        <v/>
      </c>
    </row>
    <row r="24">
      <c r="A24" s="43" t="n">
        <v>18</v>
      </c>
      <c r="B24" s="8" t="inlineStr">
        <is>
          <t>e-Arşiv mesafe</t>
        </is>
      </c>
      <c r="C24" s="46">
        <f>IFERROR(G17-G9,0)</f>
        <v/>
      </c>
      <c r="D24" s="45" t="inlineStr">
        <is>
          <t>TL</t>
        </is>
      </c>
      <c r="E24" s="6" t="inlineStr">
        <is>
          <t>Ciro−eşik</t>
        </is>
      </c>
      <c r="F24" s="20" t="inlineStr">
        <is>
          <t>EBR-002</t>
        </is>
      </c>
      <c r="G24" s="42">
        <f>IFERROR(G17-G9,0)</f>
        <v/>
      </c>
    </row>
    <row r="25">
      <c r="A25" s="43" t="n">
        <v>19</v>
      </c>
      <c r="B25" s="8" t="inlineStr">
        <is>
          <t>e-Defter mesafe</t>
        </is>
      </c>
      <c r="C25" s="46">
        <f>IFERROR(G17-G10,0)</f>
        <v/>
      </c>
      <c r="D25" s="45" t="inlineStr">
        <is>
          <t>TL</t>
        </is>
      </c>
      <c r="E25" s="6" t="inlineStr">
        <is>
          <t>Ciro−eşik</t>
        </is>
      </c>
      <c r="F25" s="20" t="inlineStr">
        <is>
          <t>EBR-003</t>
        </is>
      </c>
      <c r="G25" s="42">
        <f>IFERROR(G17-G10,0)</f>
        <v/>
      </c>
    </row>
    <row r="26">
      <c r="A26" s="43" t="n">
        <v>20</v>
      </c>
      <c r="B26" s="8" t="inlineStr">
        <is>
          <t>e-İrsaliye mesafe</t>
        </is>
      </c>
      <c r="C26" s="46">
        <f>IFERROR(G17-G11,0)</f>
        <v/>
      </c>
      <c r="D26" s="45" t="inlineStr">
        <is>
          <t>TL</t>
        </is>
      </c>
      <c r="E26" s="6" t="inlineStr">
        <is>
          <t>Ciro−eşik</t>
        </is>
      </c>
      <c r="F26" s="20" t="inlineStr">
        <is>
          <t>EBR-004</t>
        </is>
      </c>
      <c r="G26" s="42">
        <f>IFERROR(G17-G11,0)</f>
        <v/>
      </c>
    </row>
    <row r="27">
      <c r="A27" s="43" t="n">
        <v>21</v>
      </c>
      <c r="B27" s="8" t="inlineStr">
        <is>
          <t>En yakın eşik mesafesi</t>
        </is>
      </c>
      <c r="C27" s="46">
        <f>IFERROR(MIN(ABS(G23),ABS(G24),ABS(G25),ABS(G26)),0)</f>
        <v/>
      </c>
      <c r="D27" s="45" t="inlineStr">
        <is>
          <t>TL</t>
        </is>
      </c>
      <c r="E27" s="6" t="inlineStr">
        <is>
          <t>Radar mesafe</t>
        </is>
      </c>
      <c r="F27" s="20" t="inlineStr">
        <is>
          <t>EBR-001</t>
        </is>
      </c>
      <c r="G27" s="42">
        <f>IFERROR(MIN(ABS(G23),ABS(G24),ABS(G25),ABS(G26)),0)</f>
        <v/>
      </c>
    </row>
    <row r="28">
      <c r="A28" s="43" t="n">
        <v>22</v>
      </c>
      <c r="B28" s="8" t="inlineStr">
        <is>
          <t>Karar kodu</t>
        </is>
      </c>
      <c r="C28" s="15">
        <f>IFERROR(IF(COUNTA(tblGirdi[Alan Anahtarı])=0,"VERI_YOK",IF(G22=0,"ESIK_ALTI",IF(G22&gt;=ebr_kararEsik,"ZORUNLU","HAZIRLIK"))),"")</f>
        <v/>
      </c>
      <c r="D28" s="45" t="inlineStr">
        <is>
          <t>kod</t>
        </is>
      </c>
      <c r="E28" s="6" t="inlineStr">
        <is>
          <t>Karar kodu</t>
        </is>
      </c>
      <c r="F28" s="20" t="inlineStr">
        <is>
          <t>EBR-001</t>
        </is>
      </c>
      <c r="G28" s="22">
        <f>IFERROR(IF(COUNTA(tblGirdi[Alan Anahtarı])=0,"VERI_YOK",IF(G22=0,"ESIK_ALTI",IF(G22&gt;=ebr_kararEsik,"ZORUNLU","HAZIRLIK"))),"")</f>
        <v/>
      </c>
    </row>
    <row r="29">
      <c r="A29" s="43" t="n">
        <v>23</v>
      </c>
      <c r="B29" s="8" t="inlineStr">
        <is>
          <t>Karar metni</t>
        </is>
      </c>
      <c r="C29" s="15">
        <f>IFERROR(IF(G28="VERI_YOK","VERİ YOK",IF(G28="ESIK_ALTI","EŞİK ALTI / UYGUN",IF(G28="HAZIRLIK","HAZIRLIK / DİKKAT","ZORUNLU / GEÇİŞ"))),"")</f>
        <v/>
      </c>
      <c r="D29" s="45" t="inlineStr">
        <is>
          <t>metin</t>
        </is>
      </c>
      <c r="E29" s="6" t="inlineStr">
        <is>
          <t>Kullanıcıya karar</t>
        </is>
      </c>
      <c r="F29" s="20" t="inlineStr">
        <is>
          <t>EBR-001</t>
        </is>
      </c>
      <c r="G29" s="22">
        <f>IFERROR(IF(G28="VERI_YOK","VERİ YOK",IF(G28="ESIK_ALTI","EŞİK ALTI / UYGUN",IF(G28="HAZIRLIK","HAZIRLIK / DİKKAT","ZORUNLU / GEÇİŞ"))),"")</f>
        <v/>
      </c>
    </row>
    <row r="30">
      <c r="A30" s="43" t="n">
        <v>24</v>
      </c>
      <c r="B30" s="8" t="inlineStr">
        <is>
          <t>Gerekçe</t>
        </is>
      </c>
      <c r="C30" s="15">
        <f>IFERROR(IF(G28="VERI_YOK","Giriş tablosu boş — hesap yapılamaz.",IF(G28="ESIK_ALTI","Ciro tüm eşiklerin altında; zorunluluk yok.",IF(G28="HAZIRLIK","Kısmi eşik aşımı; geçiş hazırlığı önerilir.","Bir veya daha fazla e-belge zorunluluğu tetiklendi."))),"")</f>
        <v/>
      </c>
      <c r="D30" s="45" t="inlineStr">
        <is>
          <t>metin</t>
        </is>
      </c>
      <c r="E30" s="6" t="inlineStr">
        <is>
          <t>Gerekçe cümlesi</t>
        </is>
      </c>
      <c r="F30" s="20" t="inlineStr">
        <is>
          <t>EBR-001</t>
        </is>
      </c>
      <c r="G30" s="22">
        <f>IFERROR(IF(G28="VERI_YOK","Giriş tablosu boş — hesap yapılamaz.",IF(G28="ESIK_ALTI","Ciro tüm eşiklerin altında; zorunluluk yok.",IF(G28="HAZIRLIK","Kısmi eşik aşımı; geçiş hazırlığı önerilir.","Bir veya daha fazla e-belge zorunluluğu tetiklendi."))),"")</f>
        <v/>
      </c>
    </row>
    <row r="31">
      <c r="A31" s="43" t="n">
        <v>25</v>
      </c>
      <c r="B31" s="8" t="inlineStr">
        <is>
          <t>Güven skoru</t>
        </is>
      </c>
      <c r="C31" s="44">
        <f>IFERROR(ROUND(IF(OR(COUNTA(GIRDI!B6:B11)=0,ebr_girisBeklenen=0),0,COUNTA(GIRDI!B6:B11)/ebr_girisBeklenen*100),0),0)</f>
        <v/>
      </c>
      <c r="D31" s="45" t="inlineStr">
        <is>
          <t>puan</t>
        </is>
      </c>
      <c r="E31" s="6" t="inlineStr">
        <is>
          <t>Giriş bütünlüğü</t>
        </is>
      </c>
      <c r="F31" s="20" t="inlineStr">
        <is>
          <t>EBR-005</t>
        </is>
      </c>
      <c r="G31" s="32">
        <f>IFERROR(ROUND(IF(OR(COUNTA(GIRDI!B6:B11)=0,ebr_girisBeklenen=0),0,COUNTA(GIRDI!B6:B11)/ebr_girisBeklenen*100),0),0)</f>
        <v/>
      </c>
    </row>
    <row r="32">
      <c r="A32" s="43" t="n">
        <v>26</v>
      </c>
      <c r="B32" s="8" t="inlineStr">
        <is>
          <t>Risk skoru</t>
        </is>
      </c>
      <c r="C32" s="44">
        <f>IFERROR(IF(G28="VERI_YOK",0,IF(G22=0,ebr_riskDusuk,IF(G22&gt;=ebr_kararEsik,ebr_riskYuksek,ebr_riskOrta))),0)</f>
        <v/>
      </c>
      <c r="D32" s="45" t="inlineStr">
        <is>
          <t>puan</t>
        </is>
      </c>
      <c r="E32" s="6" t="inlineStr">
        <is>
          <t>Zorunluluk riski</t>
        </is>
      </c>
      <c r="F32" s="20" t="inlineStr">
        <is>
          <t>EBR-001</t>
        </is>
      </c>
      <c r="G32" s="32">
        <f>IFERROR(IF(G28="VERI_YOK",0,IF(G22=0,ebr_riskDusuk,IF(G22&gt;=ebr_kararEsik,ebr_riskYuksek,ebr_riskOrta))),0)</f>
        <v/>
      </c>
    </row>
    <row r="33">
      <c r="A33" s="43" t="n">
        <v>27</v>
      </c>
      <c r="B33" s="8" t="inlineStr">
        <is>
          <t>Senaryo iyimser ciro</t>
        </is>
      </c>
      <c r="C33" s="46">
        <f>IFERROR(G17*ebr_senaryoIyi,0)</f>
        <v/>
      </c>
      <c r="D33" s="45" t="inlineStr">
        <is>
          <t>TL</t>
        </is>
      </c>
      <c r="E33" s="6" t="inlineStr">
        <is>
          <t>İyimser ciro</t>
        </is>
      </c>
      <c r="F33" s="20" t="inlineStr">
        <is>
          <t>EBR-001</t>
        </is>
      </c>
      <c r="G33" s="42">
        <f>IFERROR(G17*ebr_senaryoIyi,0)</f>
        <v/>
      </c>
    </row>
    <row r="34">
      <c r="A34" s="43" t="n">
        <v>28</v>
      </c>
      <c r="B34" s="8" t="inlineStr">
        <is>
          <t>Senaryo kötümser ciro</t>
        </is>
      </c>
      <c r="C34" s="46">
        <f>IFERROR(G17*ebr_senaryoKotu,0)</f>
        <v/>
      </c>
      <c r="D34" s="45" t="inlineStr">
        <is>
          <t>TL</t>
        </is>
      </c>
      <c r="E34" s="6" t="inlineStr">
        <is>
          <t>Kötümser ciro</t>
        </is>
      </c>
      <c r="F34" s="20" t="inlineStr">
        <is>
          <t>EBR-001</t>
        </is>
      </c>
      <c r="G34" s="42">
        <f>IFERROR(G17*ebr_senaryoKotu,0)</f>
        <v/>
      </c>
    </row>
    <row r="35">
      <c r="A35" s="43" t="n">
        <v>29</v>
      </c>
      <c r="B35" s="8" t="inlineStr">
        <is>
          <t>İyimser zorunlu adet</t>
        </is>
      </c>
      <c r="C35" s="44">
        <f>IFERROR(IF(G33&gt;=G8,1,0)+IF(G33&gt;=G9,1,0)+IF(G33&gt;=G10,1,0)+IF(G33&gt;=G11,1,0),0)</f>
        <v/>
      </c>
      <c r="D35" s="45" t="inlineStr">
        <is>
          <t>adet</t>
        </is>
      </c>
      <c r="E35" s="6" t="inlineStr">
        <is>
          <t>İyimser adet</t>
        </is>
      </c>
      <c r="F35" s="20" t="inlineStr">
        <is>
          <t>EBR-001</t>
        </is>
      </c>
      <c r="G35" s="32">
        <f>IFERROR(IF(G33&gt;=G8,1,0)+IF(G33&gt;=G9,1,0)+IF(G33&gt;=G10,1,0)+IF(G33&gt;=G11,1,0),0)</f>
        <v/>
      </c>
    </row>
    <row r="36">
      <c r="A36" s="43" t="n">
        <v>30</v>
      </c>
      <c r="B36" s="8" t="inlineStr">
        <is>
          <t>Kötümser zorunlu adet</t>
        </is>
      </c>
      <c r="C36" s="44">
        <f>IFERROR(IF(G34&gt;=G8,1,0)+IF(G34&gt;=G9,1,0)+IF(G34&gt;=G10,1,0)+IF(G34&gt;=G11,1,0),0)</f>
        <v/>
      </c>
      <c r="D36" s="45" t="inlineStr">
        <is>
          <t>adet</t>
        </is>
      </c>
      <c r="E36" s="6" t="inlineStr">
        <is>
          <t>Kötümser adet</t>
        </is>
      </c>
      <c r="F36" s="20" t="inlineStr">
        <is>
          <t>EBR-001</t>
        </is>
      </c>
      <c r="G36" s="32">
        <f>IFERROR(IF(G34&gt;=G8,1,0)+IF(G34&gt;=G9,1,0)+IF(G34&gt;=G10,1,0)+IF(G34&gt;=G11,1,0),0)</f>
        <v/>
      </c>
    </row>
    <row r="37">
      <c r="A37" s="43" t="n">
        <v>31</v>
      </c>
      <c r="B37" s="8" t="inlineStr">
        <is>
          <t>M-SEN e-Fatura eşiği</t>
        </is>
      </c>
      <c r="C37" s="46">
        <f>IFERROR(G8*ebr_esikArtisCarpan,0)</f>
        <v/>
      </c>
      <c r="D37" s="45" t="inlineStr">
        <is>
          <t>TL</t>
        </is>
      </c>
      <c r="E37" s="6" t="inlineStr">
        <is>
          <t>Eşik artışı</t>
        </is>
      </c>
      <c r="F37" s="20" t="inlineStr">
        <is>
          <t>EBR-001</t>
        </is>
      </c>
      <c r="G37" s="42">
        <f>IFERROR(G8*ebr_esikArtisCarpan,0)</f>
        <v/>
      </c>
    </row>
    <row r="38">
      <c r="A38" s="43" t="n">
        <v>32</v>
      </c>
      <c r="B38" s="8" t="inlineStr">
        <is>
          <t>M-SEN zorunlu adet</t>
        </is>
      </c>
      <c r="C38" s="44">
        <f>IFERROR(IF(G17&gt;=G37,1,0)+IF(G17&gt;=G9,1,0)+IF(G17&gt;=G10,1,0)+IF(G17&gt;=G11,1,0),0)</f>
        <v/>
      </c>
      <c r="D38" s="45" t="inlineStr">
        <is>
          <t>adet</t>
        </is>
      </c>
      <c r="E38" s="6" t="inlineStr">
        <is>
          <t>Kural değişimi adet</t>
        </is>
      </c>
      <c r="F38" s="20" t="inlineStr">
        <is>
          <t>EBR-001</t>
        </is>
      </c>
      <c r="G38" s="32">
        <f>IFERROR(IF(G17&gt;=G37,1,0)+IF(G17&gt;=G9,1,0)+IF(G17&gt;=G10,1,0)+IF(G17&gt;=G11,1,0),0)</f>
        <v/>
      </c>
    </row>
    <row r="39">
      <c r="A39" s="43" t="n">
        <v>33</v>
      </c>
      <c r="B39" s="8" t="inlineStr">
        <is>
          <t>M-SEN fark (adet)</t>
        </is>
      </c>
      <c r="C39" s="44">
        <f>IFERROR(G38-G22,0)</f>
        <v/>
      </c>
      <c r="D39" s="45" t="inlineStr">
        <is>
          <t>adet</t>
        </is>
      </c>
      <c r="E39" s="6" t="inlineStr">
        <is>
          <t>M-SEN delta</t>
        </is>
      </c>
      <c r="F39" s="20" t="inlineStr">
        <is>
          <t>EBR-001</t>
        </is>
      </c>
      <c r="G39" s="32">
        <f>IFERROR(G38-G22,0)</f>
        <v/>
      </c>
    </row>
    <row r="40">
      <c r="A40" s="43" t="n">
        <v>34</v>
      </c>
      <c r="B40" s="8" t="inlineStr">
        <is>
          <t>Tahmin üst</t>
        </is>
      </c>
      <c r="C40" s="44">
        <f>IFERROR(G22*ebr_tahminUst,0)</f>
        <v/>
      </c>
      <c r="D40" s="45" t="inlineStr">
        <is>
          <t>adet</t>
        </is>
      </c>
      <c r="E40" s="6" t="inlineStr">
        <is>
          <t>Tahmin üst</t>
        </is>
      </c>
      <c r="F40" s="20" t="inlineStr">
        <is>
          <t>EBR-005</t>
        </is>
      </c>
      <c r="G40" s="32">
        <f>IFERROR(G22*ebr_tahminUst,0)</f>
        <v/>
      </c>
    </row>
    <row r="41">
      <c r="A41" s="43" t="n">
        <v>35</v>
      </c>
      <c r="B41" s="8" t="inlineStr">
        <is>
          <t>Tahmin alt</t>
        </is>
      </c>
      <c r="C41" s="44">
        <f>IFERROR(G22*ebr_tahminAlt,0)</f>
        <v/>
      </c>
      <c r="D41" s="45" t="inlineStr">
        <is>
          <t>adet</t>
        </is>
      </c>
      <c r="E41" s="6" t="inlineStr">
        <is>
          <t>Tahmin alt</t>
        </is>
      </c>
      <c r="F41" s="20" t="inlineStr">
        <is>
          <t>EBR-005</t>
        </is>
      </c>
      <c r="G41" s="32">
        <f>IFERROR(G22*ebr_tahminAlt,0)</f>
        <v/>
      </c>
    </row>
    <row r="42">
      <c r="A42" s="43" t="n">
        <v>36</v>
      </c>
      <c r="B42" s="8" t="inlineStr">
        <is>
          <t>Tornado: ciro etkisi</t>
        </is>
      </c>
      <c r="C42" s="44">
        <f>IFERROR(ABS((IF(G17*ebr_tornadoCiro&gt;=G8,1,0)+IF(G17*ebr_tornadoCiro&gt;=G9,1,0)+IF(G17*ebr_tornadoCiro&gt;=G10,1,0)+IF(G17*ebr_tornadoCiro&gt;=G11,1,0))-G22),0)</f>
        <v/>
      </c>
      <c r="D42" s="45" t="inlineStr">
        <is>
          <t>adet</t>
        </is>
      </c>
      <c r="E42" s="6" t="inlineStr">
        <is>
          <t>Ciro ± etki</t>
        </is>
      </c>
      <c r="F42" s="20" t="inlineStr">
        <is>
          <t>EBR-001</t>
        </is>
      </c>
      <c r="G42" s="32">
        <f>IFERROR(ABS((IF(G17*ebr_tornadoCiro&gt;=G8,1,0)+IF(G17*ebr_tornadoCiro&gt;=G9,1,0)+IF(G17*ebr_tornadoCiro&gt;=G10,1,0)+IF(G17*ebr_tornadoCiro&gt;=G11,1,0))-G22),0)</f>
        <v/>
      </c>
    </row>
    <row r="43">
      <c r="A43" s="43" t="n">
        <v>37</v>
      </c>
      <c r="B43" s="8" t="inlineStr">
        <is>
          <t>Tornado: eşik etkisi</t>
        </is>
      </c>
      <c r="C43" s="44">
        <f>IFERROR(ABS(G38-G22),0)</f>
        <v/>
      </c>
      <c r="D43" s="45" t="inlineStr">
        <is>
          <t>adet</t>
        </is>
      </c>
      <c r="E43" s="6" t="inlineStr">
        <is>
          <t>Eşik ± etki</t>
        </is>
      </c>
      <c r="F43" s="20" t="inlineStr">
        <is>
          <t>EBR-001</t>
        </is>
      </c>
      <c r="G43" s="32">
        <f>IFERROR(ABS(G38-G22),0)</f>
        <v/>
      </c>
    </row>
    <row r="44">
      <c r="A44" s="43" t="n">
        <v>38</v>
      </c>
      <c r="B44" s="8" t="inlineStr">
        <is>
          <t>Tornado: yorum etkisi</t>
        </is>
      </c>
      <c r="C44" s="44">
        <f>IFERROR(ABS(IF(G14&gt;=G8,1,0)+IF(G14&gt;=G9,1,0)+IF(G14&gt;=G10,1,0)+IF(G14&gt;=G11,1,0)-(IF(G15&gt;=G8,1,0)+IF(G15&gt;=G9,1,0)+IF(G15&gt;=G10,1,0)+IF(G15&gt;=G11,1,0))),0)</f>
        <v/>
      </c>
      <c r="D44" s="45" t="inlineStr">
        <is>
          <t>adet</t>
        </is>
      </c>
      <c r="E44" s="6" t="inlineStr">
        <is>
          <t>Yorum A/B etki</t>
        </is>
      </c>
      <c r="F44" s="20" t="inlineStr">
        <is>
          <t>EBR-001</t>
        </is>
      </c>
      <c r="G44" s="32">
        <f>IFERROR(ABS(IF(G14&gt;=G8,1,0)+IF(G14&gt;=G9,1,0)+IF(G14&gt;=G10,1,0)+IF(G14&gt;=G11,1,0)-(IF(G15&gt;=G8,1,0)+IF(G15&gt;=G9,1,0)+IF(G15&gt;=G10,1,0)+IF(G15&gt;=G11,1,0))),0)</f>
        <v/>
      </c>
    </row>
    <row r="45">
      <c r="A45" s="43" t="n">
        <v>39</v>
      </c>
      <c r="B45" s="8" t="inlineStr">
        <is>
          <t>Yetim eylem adedi</t>
        </is>
      </c>
      <c r="C45" s="44">
        <f>IFERROR(COUNTIF(tblEylem[YetimBayrak],"YETİM"),0)</f>
        <v/>
      </c>
      <c r="D45" s="45" t="inlineStr">
        <is>
          <t>adet</t>
        </is>
      </c>
      <c r="E45" s="6" t="inlineStr">
        <is>
          <t>Yetim kayıt</t>
        </is>
      </c>
      <c r="F45" s="20" t="inlineStr">
        <is>
          <t>EBR-005</t>
        </is>
      </c>
      <c r="G45" s="32">
        <f>IFERROR(COUNTIF(tblEylem[YetimBayrak],"YETİM"),0)</f>
        <v/>
      </c>
    </row>
    <row r="46">
      <c r="A46" s="43" t="n">
        <v>40</v>
      </c>
      <c r="B46" s="8" t="inlineStr">
        <is>
          <t>Geçersiz geçiş adedi</t>
        </is>
      </c>
      <c r="C46" s="44">
        <f>IFERROR(COUNTIF(tblEylem[GecisUyarisi],"GEÇERSİZ GEÇİŞ"),0)</f>
        <v/>
      </c>
      <c r="D46" s="45" t="inlineStr">
        <is>
          <t>adet</t>
        </is>
      </c>
      <c r="E46" s="6" t="inlineStr">
        <is>
          <t>Geçiş uyarısı</t>
        </is>
      </c>
      <c r="F46" s="20" t="inlineStr">
        <is>
          <t>EBR-005</t>
        </is>
      </c>
      <c r="G46" s="32">
        <f>IFERROR(COUNTIF(tblEylem[GecisUyarisi],"GEÇERSİZ GEÇİŞ"),0)</f>
        <v/>
      </c>
    </row>
    <row r="47">
      <c r="A47" s="43" t="n">
        <v>41</v>
      </c>
      <c r="B47" s="8" t="inlineStr">
        <is>
          <t>Zincir kırık adedi</t>
        </is>
      </c>
      <c r="C47" s="44">
        <f>IFERROR(COUNTIF(tblEylem[ZincirBayrak],"ZİNCİR KIRIK"),0)</f>
        <v/>
      </c>
      <c r="D47" s="45" t="inlineStr">
        <is>
          <t>adet</t>
        </is>
      </c>
      <c r="E47" s="6" t="inlineStr">
        <is>
          <t>Zincir bayrağı</t>
        </is>
      </c>
      <c r="F47" s="20" t="inlineStr">
        <is>
          <t>EBR-005</t>
        </is>
      </c>
      <c r="G47" s="32">
        <f>IFERROR(COUNTIF(tblEylem[ZincirBayrak],"ZİNCİR KIRIK"),0)</f>
        <v/>
      </c>
    </row>
    <row r="48">
      <c r="A48" s="43" t="n">
        <v>42</v>
      </c>
      <c r="B48" s="8" t="inlineStr">
        <is>
          <t>Eylem yaş özeti</t>
        </is>
      </c>
      <c r="C48" s="15">
        <f>IFERROR(_xlfn.TEXTJOIN("/",TRUE,COUNTIF(tblEylem[YasKova],"0-7"),COUNTIF(tblEylem[YasKova],"8-30"),COUNTIF(tblEylem[YasKova],"31-60"),COUNTIF(tblEylem[YasKova],"60+")),"")</f>
        <v/>
      </c>
      <c r="D48" s="45" t="inlineStr">
        <is>
          <t>metin</t>
        </is>
      </c>
      <c r="E48" s="6" t="inlineStr">
        <is>
          <t>Yaş kovaları</t>
        </is>
      </c>
      <c r="F48" s="20" t="inlineStr">
        <is>
          <t>EBR-005</t>
        </is>
      </c>
      <c r="G48" s="22">
        <f>IFERROR(_xlfn.TEXTJOIN("/",TRUE,COUNTIF(tblEylem[YasKova],"0-7"),COUNTIF(tblEylem[YasKova],"8-30"),COUNTIF(tblEylem[YasKova],"31-60"),COUNTIF(tblEylem[YasKova],"60+")),"")</f>
        <v/>
      </c>
    </row>
    <row r="49">
      <c r="A49" s="43" t="n">
        <v>43</v>
      </c>
      <c r="B49" s="8" t="inlineStr">
        <is>
          <t>Madde atıf özeti</t>
        </is>
      </c>
      <c r="C49" s="15">
        <f>IFERROR(_xlfn.TEXTJOIN(" | ",TRUE,"EBR-001→e-Fatura","EBR-002→e-Arşiv","EBR-003→e-Defter","EBR-004→e-İrsaliye"),"")</f>
        <v/>
      </c>
      <c r="D49" s="45" t="inlineStr">
        <is>
          <t>metin</t>
        </is>
      </c>
      <c r="E49" s="6" t="inlineStr">
        <is>
          <t>Kanıt atıfları</t>
        </is>
      </c>
      <c r="F49" s="20" t="inlineStr">
        <is>
          <t>EBR-001</t>
        </is>
      </c>
      <c r="G49" s="22">
        <f>IFERROR(_xlfn.TEXTJOIN(" | ",TRUE,"EBR-001→e-Fatura","EBR-002→e-Arşiv","EBR-003→e-Defter","EBR-004→e-İrsaliye"),"")</f>
        <v/>
      </c>
    </row>
    <row r="50">
      <c r="A50" s="43" t="n">
        <v>44</v>
      </c>
      <c r="B50" s="8" t="inlineStr">
        <is>
          <t>Kanıt satır özeti</t>
        </is>
      </c>
      <c r="C50" s="15">
        <f>IFERROR(_xlfn.TEXTJOIN(" · ",TRUE,"Ciro=",TEXT(G17,"₺ #,##0"),"Zorunlu=",TEXT(G22,"0"),"Karar=",G29),"")</f>
        <v/>
      </c>
      <c r="D50" s="45" t="inlineStr">
        <is>
          <t>metin</t>
        </is>
      </c>
      <c r="E50" s="6" t="inlineStr">
        <is>
          <t>Rapor özeti</t>
        </is>
      </c>
      <c r="F50" s="20" t="inlineStr">
        <is>
          <t>EBR-005</t>
        </is>
      </c>
      <c r="G50" s="22">
        <f>IFERROR(_xlfn.TEXTJOIN(" · ",TRUE,"Ciro=",TEXT(G17,"₺ #,##0"),"Zorunlu=",TEXT(G22,"0"),"Karar=",G29),"")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G7:G50">
    <cfRule type="cellIs" priority="1" operator="lessThan" dxfId="5">
      <formula>0</formula>
    </cfRule>
  </conditionalFormatting>
  <conditionalFormatting sqref="F7:F50">
    <cfRule type="expression" priority="2" dxfId="6">
      <formula>F7="EBR-001"</formula>
    </cfRule>
    <cfRule type="expression" priority="3" dxfId="7">
      <formula>F7="EBR-004"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F2742"/>
    <outlinePr summaryBelow="1" summaryRight="1"/>
    <pageSetUpPr/>
  </sheetPr>
  <dimension ref="A1:AC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.5" customWidth="1" min="2" max="2"/>
    <col width="14" customWidth="1" min="3" max="3"/>
    <col width="15.5" customWidth="1" min="4" max="4"/>
    <col width="14" customWidth="1" min="5" max="5"/>
    <col width="16.5" customWidth="1" min="6" max="6"/>
    <col width="14" customWidth="1" min="7" max="7"/>
    <col width="17.5" customWidth="1" min="8" max="8"/>
    <col width="13" customWidth="1" min="9" max="9"/>
  </cols>
  <sheetData>
    <row r="1" ht="32" customHeight="1">
      <c r="A1" s="198" t="inlineStr">
        <is>
          <t>ENVANTER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</row>
    <row r="2"/>
    <row r="3" ht="22" customHeight="1">
      <c r="A3" s="219" t="inlineStr">
        <is>
          <t>e-Belge envanteri — her kaydın tek kimliği vardır</t>
        </is>
      </c>
    </row>
    <row r="4"/>
    <row r="5" ht="30" customHeight="1">
      <c r="A5" s="18" t="inlineStr">
        <is>
          <t>BelgeId</t>
        </is>
      </c>
      <c r="B5" s="18" t="inlineStr">
        <is>
          <t>BelgeAdi</t>
        </is>
      </c>
      <c r="C5" s="18" t="inlineStr">
        <is>
          <t>KuralId</t>
        </is>
      </c>
      <c r="D5" s="18" t="inlineStr">
        <is>
          <t>DurumEtiket</t>
        </is>
      </c>
      <c r="E5" s="18" t="inlineStr">
        <is>
          <t>Aktif</t>
        </is>
      </c>
      <c r="F5" s="18" t="inlineStr">
        <is>
          <t>EsikReferans</t>
        </is>
      </c>
      <c r="G5" s="18" t="inlineStr">
        <is>
          <t>KayitDolu</t>
        </is>
      </c>
      <c r="H5" s="18" t="inlineStr">
        <is>
          <t>ZorunluBayrak</t>
        </is>
      </c>
    </row>
    <row r="6">
      <c r="A6" s="29" t="inlineStr">
        <is>
          <t>EBV-00001</t>
        </is>
      </c>
      <c r="B6" s="29" t="inlineStr">
        <is>
          <t>e-Fatura</t>
        </is>
      </c>
      <c r="C6" s="29" t="inlineStr">
        <is>
          <t>EBR-001</t>
        </is>
      </c>
      <c r="D6" s="29" t="inlineStr">
        <is>
          <t>ZORUNLU</t>
        </is>
      </c>
      <c r="E6" s="29" t="inlineStr">
        <is>
          <t>Hayır</t>
        </is>
      </c>
      <c r="F6" s="31" t="n">
        <v>3000000</v>
      </c>
      <c r="G6" s="34">
        <f>IF($A6="","",1)</f>
        <v/>
      </c>
      <c r="H6" s="34">
        <f>IF($A6="","",IF(OR($D6="ZORUNLU",$D6="HAZIRLIK"),1,0))</f>
        <v/>
      </c>
    </row>
    <row r="7">
      <c r="A7" s="29" t="inlineStr">
        <is>
          <t>EBV-00002</t>
        </is>
      </c>
      <c r="B7" s="29" t="inlineStr">
        <is>
          <t>e-Arşiv</t>
        </is>
      </c>
      <c r="C7" s="29" t="inlineStr">
        <is>
          <t>EBR-002</t>
        </is>
      </c>
      <c r="D7" s="29" t="inlineStr">
        <is>
          <t>ZORUNLU</t>
        </is>
      </c>
      <c r="E7" s="29" t="inlineStr">
        <is>
          <t>Hayır</t>
        </is>
      </c>
      <c r="F7" s="31" t="n">
        <v>500000</v>
      </c>
      <c r="G7" s="34">
        <f>IF($A7="","",1)</f>
        <v/>
      </c>
      <c r="H7" s="34">
        <f>IF($A7="","",IF(OR($D7="ZORUNLU",$D7="HAZIRLIK"),1,0))</f>
        <v/>
      </c>
    </row>
    <row r="8">
      <c r="A8" s="29" t="inlineStr">
        <is>
          <t>EBV-00003</t>
        </is>
      </c>
      <c r="B8" s="29" t="inlineStr">
        <is>
          <t>e-Defter</t>
        </is>
      </c>
      <c r="C8" s="29" t="inlineStr">
        <is>
          <t>EBR-003</t>
        </is>
      </c>
      <c r="D8" s="29" t="inlineStr">
        <is>
          <t>ZORUNLU</t>
        </is>
      </c>
      <c r="E8" s="29" t="inlineStr">
        <is>
          <t>Hayır</t>
        </is>
      </c>
      <c r="F8" s="31" t="n">
        <v>3000000</v>
      </c>
      <c r="G8" s="34">
        <f>IF($A8="","",1)</f>
        <v/>
      </c>
      <c r="H8" s="34">
        <f>IF($A8="","",IF(OR($D8="ZORUNLU",$D8="HAZIRLIK"),1,0))</f>
        <v/>
      </c>
    </row>
    <row r="9">
      <c r="A9" s="29" t="inlineStr">
        <is>
          <t>EBV-00004</t>
        </is>
      </c>
      <c r="B9" s="29" t="inlineStr">
        <is>
          <t>e-İrsaliye</t>
        </is>
      </c>
      <c r="C9" s="29" t="inlineStr">
        <is>
          <t>EBR-004</t>
        </is>
      </c>
      <c r="D9" s="29" t="inlineStr">
        <is>
          <t>ESIK_ALTI</t>
        </is>
      </c>
      <c r="E9" s="29" t="inlineStr">
        <is>
          <t>Hayır</t>
        </is>
      </c>
      <c r="F9" s="31" t="n">
        <v>10000000</v>
      </c>
      <c r="G9" s="34">
        <f>IF($A9="","",1)</f>
        <v/>
      </c>
      <c r="H9" s="34">
        <f>IF($A9="","",IF(OR($D9="ZORUNLU",$D9="HAZIRLIK"),1,0))</f>
        <v/>
      </c>
    </row>
    <row r="10">
      <c r="A10" s="29" t="inlineStr">
        <is>
          <t>EBV-00005</t>
        </is>
      </c>
      <c r="B10" s="29" t="inlineStr">
        <is>
          <t>e-Fatura (şube)</t>
        </is>
      </c>
      <c r="C10" s="29" t="inlineStr">
        <is>
          <t>EBR-001</t>
        </is>
      </c>
      <c r="D10" s="29" t="inlineStr">
        <is>
          <t>HAZIRLIK</t>
        </is>
      </c>
      <c r="E10" s="29" t="inlineStr">
        <is>
          <t>Evet</t>
        </is>
      </c>
      <c r="F10" s="31" t="n">
        <v>3000000</v>
      </c>
      <c r="G10" s="34">
        <f>IF($A10="","",1)</f>
        <v/>
      </c>
      <c r="H10" s="34">
        <f>IF($A10="","",IF(OR($D10="ZORUNLU",$D10="HAZIRLIK"),1,0))</f>
        <v/>
      </c>
    </row>
    <row r="11">
      <c r="A11" s="29" t="inlineStr">
        <is>
          <t>EBV-00006</t>
        </is>
      </c>
      <c r="B11" s="29" t="inlineStr">
        <is>
          <t>e-Arşiv (perakende)</t>
        </is>
      </c>
      <c r="C11" s="29" t="inlineStr">
        <is>
          <t>EBR-002</t>
        </is>
      </c>
      <c r="D11" s="29" t="inlineStr">
        <is>
          <t>ZORUNLU</t>
        </is>
      </c>
      <c r="E11" s="29" t="inlineStr">
        <is>
          <t>Evet</t>
        </is>
      </c>
      <c r="F11" s="31" t="n">
        <v>500000</v>
      </c>
      <c r="G11" s="34">
        <f>IF($A11="","",1)</f>
        <v/>
      </c>
      <c r="H11" s="34">
        <f>IF($A11="","",IF(OR($D11="ZORUNLU",$D11="HAZIRLIK"),1,0))</f>
        <v/>
      </c>
    </row>
    <row r="12">
      <c r="A12" s="29" t="inlineStr">
        <is>
          <t>EBV-00007</t>
        </is>
      </c>
      <c r="B12" s="29" t="inlineStr">
        <is>
          <t>e-Defter (yıl geçişi)</t>
        </is>
      </c>
      <c r="C12" s="29" t="inlineStr">
        <is>
          <t>EBR-003</t>
        </is>
      </c>
      <c r="D12" s="29" t="inlineStr">
        <is>
          <t>HAZIRLIK</t>
        </is>
      </c>
      <c r="E12" s="29" t="inlineStr">
        <is>
          <t>Hayır</t>
        </is>
      </c>
      <c r="F12" s="31" t="n">
        <v>3000000</v>
      </c>
      <c r="G12" s="34">
        <f>IF($A12="","",1)</f>
        <v/>
      </c>
      <c r="H12" s="34">
        <f>IF($A12="","",IF(OR($D12="ZORUNLU",$D12="HAZIRLIK"),1,0))</f>
        <v/>
      </c>
    </row>
    <row r="13">
      <c r="A13" s="29" t="inlineStr">
        <is>
          <t>EBV-00008</t>
        </is>
      </c>
      <c r="B13" s="29" t="inlineStr">
        <is>
          <t>e-İrsaliye (lojistik)</t>
        </is>
      </c>
      <c r="C13" s="29" t="inlineStr">
        <is>
          <t>EBR-004</t>
        </is>
      </c>
      <c r="D13" s="29" t="inlineStr">
        <is>
          <t>ESIK_ALTI</t>
        </is>
      </c>
      <c r="E13" s="29" t="inlineStr">
        <is>
          <t>Hayır</t>
        </is>
      </c>
      <c r="F13" s="31" t="n">
        <v>10000000</v>
      </c>
      <c r="G13" s="34">
        <f>IF($A13="","",1)</f>
        <v/>
      </c>
      <c r="H13" s="34">
        <f>IF($A13="","",IF(OR($D13="ZORUNLU",$D13="HAZIRLIK"),1,0))</f>
        <v/>
      </c>
    </row>
    <row r="14">
      <c r="A14" s="29" t="n"/>
      <c r="B14" s="29" t="n"/>
      <c r="C14" s="29" t="n"/>
      <c r="D14" s="29" t="n"/>
      <c r="E14" s="29" t="n"/>
      <c r="F14" s="31" t="n"/>
      <c r="G14" s="34">
        <f>IF($A14="","",1)</f>
        <v/>
      </c>
      <c r="H14" s="34">
        <f>IF($A14="","",IF(OR($D14="ZORUNLU",$D14="HAZIRLIK"),1,0))</f>
        <v/>
      </c>
    </row>
    <row r="15">
      <c r="A15" s="29" t="n"/>
      <c r="B15" s="29" t="n"/>
      <c r="C15" s="29" t="n"/>
      <c r="D15" s="29" t="n"/>
      <c r="E15" s="29" t="n"/>
      <c r="F15" s="31" t="n"/>
      <c r="G15" s="34">
        <f>IF($A15="","",1)</f>
        <v/>
      </c>
      <c r="H15" s="34">
        <f>IF($A15="","",IF(OR($D15="ZORUNLU",$D15="HAZIRLIK"),1,0))</f>
        <v/>
      </c>
    </row>
    <row r="16">
      <c r="A16" s="29" t="n"/>
      <c r="B16" s="29" t="n"/>
      <c r="C16" s="29" t="n"/>
      <c r="D16" s="29" t="n"/>
      <c r="E16" s="29" t="n"/>
      <c r="F16" s="31" t="n"/>
      <c r="G16" s="34">
        <f>IF($A16="","",1)</f>
        <v/>
      </c>
      <c r="H16" s="34">
        <f>IF($A16="","",IF(OR($D16="ZORUNLU",$D16="HAZIRLIK"),1,0))</f>
        <v/>
      </c>
    </row>
    <row r="17">
      <c r="A17" s="29" t="n"/>
      <c r="B17" s="29" t="n"/>
      <c r="C17" s="29" t="n"/>
      <c r="D17" s="29" t="n"/>
      <c r="E17" s="29" t="n"/>
      <c r="F17" s="31" t="n"/>
      <c r="G17" s="34">
        <f>IF($A17="","",1)</f>
        <v/>
      </c>
      <c r="H17" s="34">
        <f>IF($A17="","",IF(OR($D17="ZORUNLU",$D17="HAZIRLIK"),1,0))</f>
        <v/>
      </c>
    </row>
    <row r="18">
      <c r="A18" s="29" t="n"/>
      <c r="B18" s="29" t="n"/>
      <c r="C18" s="29" t="n"/>
      <c r="D18" s="29" t="n"/>
      <c r="E18" s="29" t="n"/>
      <c r="F18" s="31" t="n"/>
      <c r="G18" s="34">
        <f>IF($A18="","",1)</f>
        <v/>
      </c>
      <c r="H18" s="34">
        <f>IF($A18="","",IF(OR($D18="ZORUNLU",$D18="HAZIRLIK"),1,0))</f>
        <v/>
      </c>
    </row>
    <row r="19">
      <c r="A19" s="29" t="n"/>
      <c r="B19" s="29" t="n"/>
      <c r="C19" s="29" t="n"/>
      <c r="D19" s="29" t="n"/>
      <c r="E19" s="29" t="n"/>
      <c r="F19" s="31" t="n"/>
      <c r="G19" s="34">
        <f>IF($A19="","",1)</f>
        <v/>
      </c>
      <c r="H19" s="34">
        <f>IF($A19="","",IF(OR($D19="ZORUNLU",$D19="HAZIRLIK"),1,0))</f>
        <v/>
      </c>
    </row>
    <row r="20">
      <c r="A20" s="29" t="n"/>
      <c r="B20" s="29" t="n"/>
      <c r="C20" s="29" t="n"/>
      <c r="D20" s="29" t="n"/>
      <c r="E20" s="29" t="n"/>
      <c r="F20" s="31" t="n"/>
      <c r="G20" s="34">
        <f>IF($A20="","",1)</f>
        <v/>
      </c>
      <c r="H20" s="34">
        <f>IF($A20="","",IF(OR($D20="ZORUNLU",$D20="HAZIRLIK"),1,0))</f>
        <v/>
      </c>
    </row>
    <row r="21">
      <c r="A21" s="29" t="n"/>
      <c r="B21" s="29" t="n"/>
      <c r="C21" s="29" t="n"/>
      <c r="D21" s="29" t="n"/>
      <c r="E21" s="29" t="n"/>
      <c r="F21" s="31" t="n"/>
      <c r="G21" s="34">
        <f>IF($A21="","",1)</f>
        <v/>
      </c>
      <c r="H21" s="34">
        <f>IF($A21="","",IF(OR($D21="ZORUNLU",$D21="HAZIRLIK"),1,0))</f>
        <v/>
      </c>
    </row>
    <row r="22">
      <c r="A22" s="29" t="n"/>
      <c r="B22" s="29" t="n"/>
      <c r="C22" s="29" t="n"/>
      <c r="D22" s="29" t="n"/>
      <c r="E22" s="29" t="n"/>
      <c r="F22" s="31" t="n"/>
      <c r="G22" s="34">
        <f>IF($A22="","",1)</f>
        <v/>
      </c>
      <c r="H22" s="34">
        <f>IF($A22="","",IF(OR($D22="ZORUNLU",$D22="HAZIRLIK"),1,0))</f>
        <v/>
      </c>
    </row>
    <row r="23">
      <c r="A23" s="29" t="n"/>
      <c r="B23" s="29" t="n"/>
      <c r="C23" s="29" t="n"/>
      <c r="D23" s="29" t="n"/>
      <c r="E23" s="29" t="n"/>
      <c r="F23" s="31" t="n"/>
      <c r="G23" s="34">
        <f>IF($A23="","",1)</f>
        <v/>
      </c>
      <c r="H23" s="34">
        <f>IF($A23="","",IF(OR($D23="ZORUNLU",$D23="HAZIRLIK"),1,0))</f>
        <v/>
      </c>
    </row>
    <row r="24">
      <c r="A24" s="29" t="n"/>
      <c r="B24" s="29" t="n"/>
      <c r="C24" s="29" t="n"/>
      <c r="D24" s="29" t="n"/>
      <c r="E24" s="29" t="n"/>
      <c r="F24" s="31" t="n"/>
      <c r="G24" s="34">
        <f>IF($A24="","",1)</f>
        <v/>
      </c>
      <c r="H24" s="34">
        <f>IF($A24="","",IF(OR($D24="ZORUNLU",$D24="HAZIRLIK"),1,0))</f>
        <v/>
      </c>
    </row>
    <row r="25">
      <c r="A25" s="29" t="n"/>
      <c r="B25" s="29" t="n"/>
      <c r="C25" s="29" t="n"/>
      <c r="D25" s="29" t="n"/>
      <c r="E25" s="29" t="n"/>
      <c r="F25" s="31" t="n"/>
      <c r="G25" s="34">
        <f>IF($A25="","",1)</f>
        <v/>
      </c>
      <c r="H25" s="34">
        <f>IF($A25="","",IF(OR($D25="ZORUNLU",$D25="HAZIRLIK"),1,0))</f>
        <v/>
      </c>
    </row>
    <row r="26">
      <c r="A26" s="29" t="n"/>
      <c r="B26" s="29" t="n"/>
      <c r="C26" s="29" t="n"/>
      <c r="D26" s="29" t="n"/>
      <c r="E26" s="29" t="n"/>
      <c r="F26" s="31" t="n"/>
      <c r="G26" s="34">
        <f>IF($A26="","",1)</f>
        <v/>
      </c>
      <c r="H26" s="34">
        <f>IF($A26="","",IF(OR($D26="ZORUNLU",$D26="HAZIRLIK"),1,0))</f>
        <v/>
      </c>
    </row>
    <row r="27">
      <c r="A27" s="29" t="n"/>
      <c r="B27" s="29" t="n"/>
      <c r="C27" s="29" t="n"/>
      <c r="D27" s="29" t="n"/>
      <c r="E27" s="29" t="n"/>
      <c r="F27" s="31" t="n"/>
      <c r="G27" s="34">
        <f>IF($A27="","",1)</f>
        <v/>
      </c>
      <c r="H27" s="34">
        <f>IF($A27="","",IF(OR($D27="ZORUNLU",$D27="HAZIRLIK"),1,0))</f>
        <v/>
      </c>
    </row>
    <row r="28">
      <c r="A28" s="29" t="n"/>
      <c r="B28" s="29" t="n"/>
      <c r="C28" s="29" t="n"/>
      <c r="D28" s="29" t="n"/>
      <c r="E28" s="29" t="n"/>
      <c r="F28" s="31" t="n"/>
      <c r="G28" s="34">
        <f>IF($A28="","",1)</f>
        <v/>
      </c>
      <c r="H28" s="34">
        <f>IF($A28="","",IF(OR($D28="ZORUNLU",$D28="HAZIRLIK"),1,0))</f>
        <v/>
      </c>
    </row>
    <row r="29">
      <c r="A29" s="29" t="n"/>
      <c r="B29" s="29" t="n"/>
      <c r="C29" s="29" t="n"/>
      <c r="D29" s="29" t="n"/>
      <c r="E29" s="29" t="n"/>
      <c r="F29" s="31" t="n"/>
      <c r="G29" s="34">
        <f>IF($A29="","",1)</f>
        <v/>
      </c>
      <c r="H29" s="34">
        <f>IF($A29="","",IF(OR($D29="ZORUNLU",$D29="HAZIRLIK"),1,0))</f>
        <v/>
      </c>
    </row>
    <row r="30">
      <c r="A30" s="29" t="n"/>
      <c r="B30" s="29" t="n"/>
      <c r="C30" s="29" t="n"/>
      <c r="D30" s="29" t="n"/>
      <c r="E30" s="29" t="n"/>
      <c r="F30" s="31" t="n"/>
      <c r="G30" s="34">
        <f>IF($A30="","",1)</f>
        <v/>
      </c>
      <c r="H30" s="34">
        <f>IF($A30="","",IF(OR($D30="ZORUNLU",$D30="HAZIRLIK"),1,0))</f>
        <v/>
      </c>
    </row>
    <row r="31">
      <c r="A31" s="29" t="n"/>
      <c r="B31" s="29" t="n"/>
      <c r="C31" s="29" t="n"/>
      <c r="D31" s="29" t="n"/>
      <c r="E31" s="29" t="n"/>
      <c r="F31" s="31" t="n"/>
      <c r="G31" s="34">
        <f>IF($A31="","",1)</f>
        <v/>
      </c>
      <c r="H31" s="34">
        <f>IF($A31="","",IF(OR($D31="ZORUNLU",$D31="HAZIRLIK"),1,0))</f>
        <v/>
      </c>
    </row>
    <row r="32">
      <c r="A32" s="29" t="n"/>
      <c r="B32" s="29" t="n"/>
      <c r="C32" s="29" t="n"/>
      <c r="D32" s="29" t="n"/>
      <c r="E32" s="29" t="n"/>
      <c r="F32" s="31" t="n"/>
      <c r="G32" s="34">
        <f>IF($A32="","",1)</f>
        <v/>
      </c>
      <c r="H32" s="34">
        <f>IF($A32="","",IF(OR($D32="ZORUNLU",$D32="HAZIRLIK"),1,0))</f>
        <v/>
      </c>
    </row>
    <row r="33">
      <c r="A33" s="29" t="n"/>
      <c r="B33" s="29" t="n"/>
      <c r="C33" s="29" t="n"/>
      <c r="D33" s="29" t="n"/>
      <c r="E33" s="29" t="n"/>
      <c r="F33" s="31" t="n"/>
      <c r="G33" s="34">
        <f>IF($A33="","",1)</f>
        <v/>
      </c>
      <c r="H33" s="34">
        <f>IF($A33="","",IF(OR($D33="ZORUNLU",$D33="HAZIRLIK"),1,0))</f>
        <v/>
      </c>
    </row>
    <row r="34">
      <c r="A34" s="29" t="n"/>
      <c r="B34" s="29" t="n"/>
      <c r="C34" s="29" t="n"/>
      <c r="D34" s="29" t="n"/>
      <c r="E34" s="29" t="n"/>
      <c r="F34" s="31" t="n"/>
      <c r="G34" s="34">
        <f>IF($A34="","",1)</f>
        <v/>
      </c>
      <c r="H34" s="34">
        <f>IF($A34="","",IF(OR($D34="ZORUNLU",$D34="HAZIRLIK"),1,0))</f>
        <v/>
      </c>
    </row>
    <row r="35">
      <c r="A35" s="29" t="n"/>
      <c r="B35" s="29" t="n"/>
      <c r="C35" s="29" t="n"/>
      <c r="D35" s="29" t="n"/>
      <c r="E35" s="29" t="n"/>
      <c r="F35" s="31" t="n"/>
      <c r="G35" s="34">
        <f>IF($A35="","",1)</f>
        <v/>
      </c>
      <c r="H35" s="34">
        <f>IF($A35="","",IF(OR($D35="ZORUNLU",$D35="HAZIRLIK"),1,0))</f>
        <v/>
      </c>
    </row>
    <row r="36">
      <c r="A36" s="29" t="n"/>
      <c r="B36" s="29" t="n"/>
      <c r="C36" s="29" t="n"/>
      <c r="D36" s="29" t="n"/>
      <c r="E36" s="29" t="n"/>
      <c r="F36" s="31" t="n"/>
      <c r="G36" s="34">
        <f>IF($A36="","",1)</f>
        <v/>
      </c>
      <c r="H36" s="34">
        <f>IF($A36="","",IF(OR($D36="ZORUNLU",$D36="HAZIRLIK"),1,0))</f>
        <v/>
      </c>
    </row>
    <row r="37">
      <c r="A37" s="29" t="n"/>
      <c r="B37" s="29" t="n"/>
      <c r="C37" s="29" t="n"/>
      <c r="D37" s="29" t="n"/>
      <c r="E37" s="29" t="n"/>
      <c r="F37" s="31" t="n"/>
      <c r="G37" s="34">
        <f>IF($A37="","",1)</f>
        <v/>
      </c>
      <c r="H37" s="34">
        <f>IF($A37="","",IF(OR($D37="ZORUNLU",$D37="HAZIRLIK"),1,0))</f>
        <v/>
      </c>
    </row>
    <row r="38">
      <c r="A38" s="29" t="n"/>
      <c r="B38" s="29" t="n"/>
      <c r="C38" s="29" t="n"/>
      <c r="D38" s="29" t="n"/>
      <c r="E38" s="29" t="n"/>
      <c r="F38" s="31" t="n"/>
      <c r="G38" s="34">
        <f>IF($A38="","",1)</f>
        <v/>
      </c>
      <c r="H38" s="34">
        <f>IF($A38="","",IF(OR($D38="ZORUNLU",$D38="HAZIRLIK"),1,0))</f>
        <v/>
      </c>
    </row>
    <row r="39">
      <c r="A39" s="29" t="n"/>
      <c r="B39" s="29" t="n"/>
      <c r="C39" s="29" t="n"/>
      <c r="D39" s="29" t="n"/>
      <c r="E39" s="29" t="n"/>
      <c r="F39" s="31" t="n"/>
      <c r="G39" s="34">
        <f>IF($A39="","",1)</f>
        <v/>
      </c>
      <c r="H39" s="34">
        <f>IF($A39="","",IF(OR($D39="ZORUNLU",$D39="HAZIRLIK"),1,0))</f>
        <v/>
      </c>
    </row>
    <row r="40">
      <c r="A40" s="29" t="n"/>
      <c r="B40" s="29" t="n"/>
      <c r="C40" s="29" t="n"/>
      <c r="D40" s="29" t="n"/>
      <c r="E40" s="29" t="n"/>
      <c r="F40" s="31" t="n"/>
      <c r="G40" s="34">
        <f>IF($A40="","",1)</f>
        <v/>
      </c>
      <c r="H40" s="34">
        <f>IF($A40="","",IF(OR($D40="ZORUNLU",$D40="HAZIRLIK"),1,0))</f>
        <v/>
      </c>
    </row>
    <row r="41">
      <c r="A41" s="29" t="n"/>
      <c r="B41" s="29" t="n"/>
      <c r="C41" s="29" t="n"/>
      <c r="D41" s="29" t="n"/>
      <c r="E41" s="29" t="n"/>
      <c r="F41" s="31" t="n"/>
      <c r="G41" s="34">
        <f>IF($A41="","",1)</f>
        <v/>
      </c>
      <c r="H41" s="34">
        <f>IF($A41="","",IF(OR($D41="ZORUNLU",$D41="HAZIRLIK"),1,0))</f>
        <v/>
      </c>
    </row>
    <row r="42">
      <c r="A42" s="29" t="n"/>
      <c r="B42" s="29" t="n"/>
      <c r="C42" s="29" t="n"/>
      <c r="D42" s="29" t="n"/>
      <c r="E42" s="29" t="n"/>
      <c r="F42" s="31" t="n"/>
      <c r="G42" s="34">
        <f>IF($A42="","",1)</f>
        <v/>
      </c>
      <c r="H42" s="34">
        <f>IF($A42="","",IF(OR($D42="ZORUNLU",$D42="HAZIRLIK"),1,0))</f>
        <v/>
      </c>
    </row>
    <row r="43">
      <c r="A43" s="29" t="n"/>
      <c r="B43" s="29" t="n"/>
      <c r="C43" s="29" t="n"/>
      <c r="D43" s="29" t="n"/>
      <c r="E43" s="29" t="n"/>
      <c r="F43" s="31" t="n"/>
      <c r="G43" s="34">
        <f>IF($A43="","",1)</f>
        <v/>
      </c>
      <c r="H43" s="34">
        <f>IF($A43="","",IF(OR($D43="ZORUNLU",$D43="HAZIRLIK"),1,0))</f>
        <v/>
      </c>
    </row>
    <row r="44">
      <c r="A44" s="29" t="n"/>
      <c r="B44" s="29" t="n"/>
      <c r="C44" s="29" t="n"/>
      <c r="D44" s="29" t="n"/>
      <c r="E44" s="29" t="n"/>
      <c r="F44" s="31" t="n"/>
      <c r="G44" s="34">
        <f>IF($A44="","",1)</f>
        <v/>
      </c>
      <c r="H44" s="34">
        <f>IF($A44="","",IF(OR($D44="ZORUNLU",$D44="HAZIRLIK"),1,0))</f>
        <v/>
      </c>
    </row>
    <row r="45">
      <c r="A45" s="29" t="n"/>
      <c r="B45" s="29" t="n"/>
      <c r="C45" s="29" t="n"/>
      <c r="D45" s="29" t="n"/>
      <c r="E45" s="29" t="n"/>
      <c r="F45" s="31" t="n"/>
      <c r="G45" s="34">
        <f>IF($A45="","",1)</f>
        <v/>
      </c>
      <c r="H45" s="34">
        <f>IF($A45="","",IF(OR($D45="ZORUNLU",$D45="HAZIRLIK"),1,0))</f>
        <v/>
      </c>
    </row>
    <row r="46">
      <c r="A46" s="29" t="n"/>
      <c r="B46" s="29" t="n"/>
      <c r="C46" s="29" t="n"/>
      <c r="D46" s="29" t="n"/>
      <c r="E46" s="29" t="n"/>
      <c r="F46" s="31" t="n"/>
      <c r="G46" s="34">
        <f>IF($A46="","",1)</f>
        <v/>
      </c>
      <c r="H46" s="34">
        <f>IF($A46="","",IF(OR($D46="ZORUNLU",$D46="HAZIRLIK"),1,0))</f>
        <v/>
      </c>
    </row>
    <row r="47">
      <c r="A47" s="29" t="n"/>
      <c r="B47" s="29" t="n"/>
      <c r="C47" s="29" t="n"/>
      <c r="D47" s="29" t="n"/>
      <c r="E47" s="29" t="n"/>
      <c r="F47" s="31" t="n"/>
      <c r="G47" s="34">
        <f>IF($A47="","",1)</f>
        <v/>
      </c>
      <c r="H47" s="34">
        <f>IF($A47="","",IF(OR($D47="ZORUNLU",$D47="HAZIRLIK"),1,0))</f>
        <v/>
      </c>
    </row>
    <row r="48">
      <c r="A48" s="29" t="n"/>
      <c r="B48" s="29" t="n"/>
      <c r="C48" s="29" t="n"/>
      <c r="D48" s="29" t="n"/>
      <c r="E48" s="29" t="n"/>
      <c r="F48" s="31" t="n"/>
      <c r="G48" s="34">
        <f>IF($A48="","",1)</f>
        <v/>
      </c>
      <c r="H48" s="34">
        <f>IF($A48="","",IF(OR($D48="ZORUNLU",$D48="HAZIRLIK"),1,0))</f>
        <v/>
      </c>
    </row>
    <row r="49">
      <c r="A49" s="29" t="n"/>
      <c r="B49" s="29" t="n"/>
      <c r="C49" s="29" t="n"/>
      <c r="D49" s="29" t="n"/>
      <c r="E49" s="29" t="n"/>
      <c r="F49" s="31" t="n"/>
      <c r="G49" s="34">
        <f>IF($A49="","",1)</f>
        <v/>
      </c>
      <c r="H49" s="34">
        <f>IF($A49="","",IF(OR($D49="ZORUNLU",$D49="HAZIRLIK"),1,0))</f>
        <v/>
      </c>
    </row>
    <row r="50">
      <c r="A50" s="29" t="n"/>
      <c r="B50" s="29" t="n"/>
      <c r="C50" s="29" t="n"/>
      <c r="D50" s="29" t="n"/>
      <c r="E50" s="29" t="n"/>
      <c r="F50" s="31" t="n"/>
      <c r="G50" s="34">
        <f>IF($A50="","",1)</f>
        <v/>
      </c>
      <c r="H50" s="34">
        <f>IF($A50="","",IF(OR($D50="ZORUNLU",$D50="HAZIRLIK"),1,0))</f>
        <v/>
      </c>
    </row>
    <row r="51">
      <c r="A51" s="29" t="n"/>
      <c r="B51" s="29" t="n"/>
      <c r="C51" s="29" t="n"/>
      <c r="D51" s="29" t="n"/>
      <c r="E51" s="29" t="n"/>
      <c r="F51" s="31" t="n"/>
      <c r="G51" s="34">
        <f>IF($A51="","",1)</f>
        <v/>
      </c>
      <c r="H51" s="34">
        <f>IF($A51="","",IF(OR($D51="ZORUNLU",$D51="HAZIRLIK"),1,0))</f>
        <v/>
      </c>
    </row>
    <row r="52">
      <c r="A52" s="29" t="n"/>
      <c r="B52" s="29" t="n"/>
      <c r="C52" s="29" t="n"/>
      <c r="D52" s="29" t="n"/>
      <c r="E52" s="29" t="n"/>
      <c r="F52" s="31" t="n"/>
      <c r="G52" s="34">
        <f>IF($A52="","",1)</f>
        <v/>
      </c>
      <c r="H52" s="34">
        <f>IF($A52="","",IF(OR($D52="ZORUNLU",$D52="HAZIRLIK"),1,0))</f>
        <v/>
      </c>
    </row>
    <row r="53">
      <c r="A53" s="29" t="n"/>
      <c r="B53" s="29" t="n"/>
      <c r="C53" s="29" t="n"/>
      <c r="D53" s="29" t="n"/>
      <c r="E53" s="29" t="n"/>
      <c r="F53" s="31" t="n"/>
      <c r="G53" s="34">
        <f>IF($A53="","",1)</f>
        <v/>
      </c>
      <c r="H53" s="34">
        <f>IF($A53="","",IF(OR($D53="ZORUNLU",$D53="HAZIRLIK"),1,0))</f>
        <v/>
      </c>
    </row>
    <row r="54">
      <c r="A54" s="29" t="n"/>
      <c r="B54" s="29" t="n"/>
      <c r="C54" s="29" t="n"/>
      <c r="D54" s="29" t="n"/>
      <c r="E54" s="29" t="n"/>
      <c r="F54" s="31" t="n"/>
      <c r="G54" s="34">
        <f>IF($A54="","",1)</f>
        <v/>
      </c>
      <c r="H54" s="34">
        <f>IF($A54="","",IF(OR($D54="ZORUNLU",$D54="HAZIRLIK"),1,0))</f>
        <v/>
      </c>
    </row>
    <row r="55">
      <c r="A55" s="29" t="n"/>
      <c r="B55" s="29" t="n"/>
      <c r="C55" s="29" t="n"/>
      <c r="D55" s="29" t="n"/>
      <c r="E55" s="29" t="n"/>
      <c r="F55" s="31" t="n"/>
      <c r="G55" s="34">
        <f>IF($A55="","",1)</f>
        <v/>
      </c>
      <c r="H55" s="34">
        <f>IF($A55="","",IF(OR($D55="ZORUNLU",$D55="HAZIRLIK"),1,0))</f>
        <v/>
      </c>
    </row>
    <row r="56">
      <c r="A56" s="29" t="n"/>
      <c r="B56" s="29" t="n"/>
      <c r="C56" s="29" t="n"/>
      <c r="D56" s="29" t="n"/>
      <c r="E56" s="29" t="n"/>
      <c r="F56" s="31" t="n"/>
      <c r="G56" s="34">
        <f>IF($A56="","",1)</f>
        <v/>
      </c>
      <c r="H56" s="34">
        <f>IF($A56="","",IF(OR($D56="ZORUNLU",$D56="HAZIRLIK"),1,0))</f>
        <v/>
      </c>
    </row>
    <row r="57">
      <c r="A57" s="29" t="n"/>
      <c r="B57" s="29" t="n"/>
      <c r="C57" s="29" t="n"/>
      <c r="D57" s="29" t="n"/>
      <c r="E57" s="29" t="n"/>
      <c r="F57" s="31" t="n"/>
      <c r="G57" s="34">
        <f>IF($A57="","",1)</f>
        <v/>
      </c>
      <c r="H57" s="34">
        <f>IF($A57="","",IF(OR($D57="ZORUNLU",$D57="HAZIRLIK"),1,0))</f>
        <v/>
      </c>
    </row>
    <row r="58">
      <c r="A58" s="29" t="n"/>
      <c r="B58" s="29" t="n"/>
      <c r="C58" s="29" t="n"/>
      <c r="D58" s="29" t="n"/>
      <c r="E58" s="29" t="n"/>
      <c r="F58" s="31" t="n"/>
      <c r="G58" s="34">
        <f>IF($A58="","",1)</f>
        <v/>
      </c>
      <c r="H58" s="34">
        <f>IF($A58="","",IF(OR($D58="ZORUNLU",$D58="HAZIRLIK"),1,0))</f>
        <v/>
      </c>
    </row>
    <row r="59">
      <c r="A59" s="29" t="n"/>
      <c r="B59" s="29" t="n"/>
      <c r="C59" s="29" t="n"/>
      <c r="D59" s="29" t="n"/>
      <c r="E59" s="29" t="n"/>
      <c r="F59" s="31" t="n"/>
      <c r="G59" s="34">
        <f>IF($A59="","",1)</f>
        <v/>
      </c>
      <c r="H59" s="34">
        <f>IF($A59="","",IF(OR($D59="ZORUNLU",$D59="HAZIRLIK"),1,0))</f>
        <v/>
      </c>
    </row>
    <row r="60">
      <c r="A60" s="29" t="n"/>
      <c r="B60" s="29" t="n"/>
      <c r="C60" s="29" t="n"/>
      <c r="D60" s="29" t="n"/>
      <c r="E60" s="29" t="n"/>
      <c r="F60" s="31" t="n"/>
      <c r="G60" s="34">
        <f>IF($A60="","",1)</f>
        <v/>
      </c>
      <c r="H60" s="34">
        <f>IF($A60="","",IF(OR($D60="ZORUNLU",$D60="HAZIRLIK"),1,0))</f>
        <v/>
      </c>
    </row>
    <row r="61">
      <c r="A61" s="29" t="n"/>
      <c r="B61" s="29" t="n"/>
      <c r="C61" s="29" t="n"/>
      <c r="D61" s="29" t="n"/>
      <c r="E61" s="29" t="n"/>
      <c r="F61" s="31" t="n"/>
      <c r="G61" s="34">
        <f>IF($A61="","",1)</f>
        <v/>
      </c>
      <c r="H61" s="34">
        <f>IF($A61="","",IF(OR($D61="ZORUNLU",$D61="HAZIRLIK"),1,0))</f>
        <v/>
      </c>
    </row>
    <row r="62">
      <c r="A62" s="29" t="n"/>
      <c r="B62" s="29" t="n"/>
      <c r="C62" s="29" t="n"/>
      <c r="D62" s="29" t="n"/>
      <c r="E62" s="29" t="n"/>
      <c r="F62" s="31" t="n"/>
      <c r="G62" s="34">
        <f>IF($A62="","",1)</f>
        <v/>
      </c>
      <c r="H62" s="34">
        <f>IF($A62="","",IF(OR($D62="ZORUNLU",$D62="HAZIRLIK"),1,0))</f>
        <v/>
      </c>
    </row>
    <row r="63">
      <c r="A63" s="29" t="n"/>
      <c r="B63" s="29" t="n"/>
      <c r="C63" s="29" t="n"/>
      <c r="D63" s="29" t="n"/>
      <c r="E63" s="29" t="n"/>
      <c r="F63" s="31" t="n"/>
      <c r="G63" s="34">
        <f>IF($A63="","",1)</f>
        <v/>
      </c>
      <c r="H63" s="34">
        <f>IF($A63="","",IF(OR($D63="ZORUNLU",$D63="HAZIRLIK"),1,0))</f>
        <v/>
      </c>
    </row>
    <row r="64">
      <c r="A64" s="29" t="n"/>
      <c r="B64" s="29" t="n"/>
      <c r="C64" s="29" t="n"/>
      <c r="D64" s="29" t="n"/>
      <c r="E64" s="29" t="n"/>
      <c r="F64" s="31" t="n"/>
      <c r="G64" s="34">
        <f>IF($A64="","",1)</f>
        <v/>
      </c>
      <c r="H64" s="34">
        <f>IF($A64="","",IF(OR($D64="ZORUNLU",$D64="HAZIRLIK"),1,0))</f>
        <v/>
      </c>
    </row>
    <row r="65">
      <c r="A65" s="29" t="n"/>
      <c r="B65" s="29" t="n"/>
      <c r="C65" s="29" t="n"/>
      <c r="D65" s="29" t="n"/>
      <c r="E65" s="29" t="n"/>
      <c r="F65" s="31" t="n"/>
      <c r="G65" s="34">
        <f>IF($A65="","",1)</f>
        <v/>
      </c>
      <c r="H65" s="34">
        <f>IF($A65="","",IF(OR($D65="ZORUNLU",$D65="HAZIRLIK"),1,0))</f>
        <v/>
      </c>
    </row>
    <row r="66">
      <c r="A66" s="29" t="n"/>
      <c r="B66" s="29" t="n"/>
      <c r="C66" s="29" t="n"/>
      <c r="D66" s="29" t="n"/>
      <c r="E66" s="29" t="n"/>
      <c r="F66" s="31" t="n"/>
      <c r="G66" s="34">
        <f>IF($A66="","",1)</f>
        <v/>
      </c>
      <c r="H66" s="34">
        <f>IF($A66="","",IF(OR($D66="ZORUNLU",$D66="HAZIRLIK"),1,0))</f>
        <v/>
      </c>
    </row>
    <row r="67">
      <c r="A67" s="29" t="n"/>
      <c r="B67" s="29" t="n"/>
      <c r="C67" s="29" t="n"/>
      <c r="D67" s="29" t="n"/>
      <c r="E67" s="29" t="n"/>
      <c r="F67" s="31" t="n"/>
      <c r="G67" s="34">
        <f>IF($A67="","",1)</f>
        <v/>
      </c>
      <c r="H67" s="34">
        <f>IF($A67="","",IF(OR($D67="ZORUNLU",$D67="HAZIRLIK"),1,0))</f>
        <v/>
      </c>
    </row>
    <row r="68">
      <c r="A68" s="29" t="n"/>
      <c r="B68" s="29" t="n"/>
      <c r="C68" s="29" t="n"/>
      <c r="D68" s="29" t="n"/>
      <c r="E68" s="29" t="n"/>
      <c r="F68" s="31" t="n"/>
      <c r="G68" s="34">
        <f>IF($A68="","",1)</f>
        <v/>
      </c>
      <c r="H68" s="34">
        <f>IF($A68="","",IF(OR($D68="ZORUNLU",$D68="HAZIRLIK"),1,0))</f>
        <v/>
      </c>
    </row>
    <row r="69">
      <c r="A69" s="29" t="n"/>
      <c r="B69" s="29" t="n"/>
      <c r="C69" s="29" t="n"/>
      <c r="D69" s="29" t="n"/>
      <c r="E69" s="29" t="n"/>
      <c r="F69" s="31" t="n"/>
      <c r="G69" s="34">
        <f>IF($A69="","",1)</f>
        <v/>
      </c>
      <c r="H69" s="34">
        <f>IF($A69="","",IF(OR($D69="ZORUNLU",$D69="HAZIRLIK"),1,0))</f>
        <v/>
      </c>
    </row>
    <row r="70">
      <c r="A70" s="29" t="n"/>
      <c r="B70" s="29" t="n"/>
      <c r="C70" s="29" t="n"/>
      <c r="D70" s="29" t="n"/>
      <c r="E70" s="29" t="n"/>
      <c r="F70" s="31" t="n"/>
      <c r="G70" s="34">
        <f>IF($A70="","",1)</f>
        <v/>
      </c>
      <c r="H70" s="34">
        <f>IF($A70="","",IF(OR($D70="ZORUNLU",$D70="HAZIRLIK"),1,0))</f>
        <v/>
      </c>
    </row>
    <row r="71">
      <c r="A71" s="29" t="n"/>
      <c r="B71" s="29" t="n"/>
      <c r="C71" s="29" t="n"/>
      <c r="D71" s="29" t="n"/>
      <c r="E71" s="29" t="n"/>
      <c r="F71" s="31" t="n"/>
      <c r="G71" s="34">
        <f>IF($A71="","",1)</f>
        <v/>
      </c>
      <c r="H71" s="34">
        <f>IF($A71="","",IF(OR($D71="ZORUNLU",$D71="HAZIRLIK"),1,0))</f>
        <v/>
      </c>
    </row>
    <row r="72">
      <c r="A72" s="29" t="n"/>
      <c r="B72" s="29" t="n"/>
      <c r="C72" s="29" t="n"/>
      <c r="D72" s="29" t="n"/>
      <c r="E72" s="29" t="n"/>
      <c r="F72" s="31" t="n"/>
      <c r="G72" s="34">
        <f>IF($A72="","",1)</f>
        <v/>
      </c>
      <c r="H72" s="34">
        <f>IF($A72="","",IF(OR($D72="ZORUNLU",$D72="HAZIRLIK"),1,0))</f>
        <v/>
      </c>
    </row>
    <row r="73">
      <c r="A73" s="29" t="n"/>
      <c r="B73" s="29" t="n"/>
      <c r="C73" s="29" t="n"/>
      <c r="D73" s="29" t="n"/>
      <c r="E73" s="29" t="n"/>
      <c r="F73" s="31" t="n"/>
      <c r="G73" s="34">
        <f>IF($A73="","",1)</f>
        <v/>
      </c>
      <c r="H73" s="34">
        <f>IF($A73="","",IF(OR($D73="ZORUNLU",$D73="HAZIRLIK"),1,0))</f>
        <v/>
      </c>
    </row>
    <row r="74">
      <c r="A74" s="29" t="n"/>
      <c r="B74" s="29" t="n"/>
      <c r="C74" s="29" t="n"/>
      <c r="D74" s="29" t="n"/>
      <c r="E74" s="29" t="n"/>
      <c r="F74" s="31" t="n"/>
      <c r="G74" s="34">
        <f>IF($A74="","",1)</f>
        <v/>
      </c>
      <c r="H74" s="34">
        <f>IF($A74="","",IF(OR($D74="ZORUNLU",$D74="HAZIRLIK"),1,0))</f>
        <v/>
      </c>
    </row>
    <row r="75">
      <c r="A75" s="29" t="n"/>
      <c r="B75" s="29" t="n"/>
      <c r="C75" s="29" t="n"/>
      <c r="D75" s="29" t="n"/>
      <c r="E75" s="29" t="n"/>
      <c r="F75" s="31" t="n"/>
      <c r="G75" s="34">
        <f>IF($A75="","",1)</f>
        <v/>
      </c>
      <c r="H75" s="34">
        <f>IF($A75="","",IF(OR($D75="ZORUNLU",$D75="HAZIRLIK"),1,0))</f>
        <v/>
      </c>
    </row>
    <row r="76">
      <c r="A76" s="29" t="n"/>
      <c r="B76" s="29" t="n"/>
      <c r="C76" s="29" t="n"/>
      <c r="D76" s="29" t="n"/>
      <c r="E76" s="29" t="n"/>
      <c r="F76" s="31" t="n"/>
      <c r="G76" s="34">
        <f>IF($A76="","",1)</f>
        <v/>
      </c>
      <c r="H76" s="34">
        <f>IF($A76="","",IF(OR($D76="ZORUNLU",$D76="HAZIRLIK"),1,0))</f>
        <v/>
      </c>
    </row>
    <row r="77">
      <c r="A77" s="29" t="n"/>
      <c r="B77" s="29" t="n"/>
      <c r="C77" s="29" t="n"/>
      <c r="D77" s="29" t="n"/>
      <c r="E77" s="29" t="n"/>
      <c r="F77" s="31" t="n"/>
      <c r="G77" s="34">
        <f>IF($A77="","",1)</f>
        <v/>
      </c>
      <c r="H77" s="34">
        <f>IF($A77="","",IF(OR($D77="ZORUNLU",$D77="HAZIRLIK"),1,0))</f>
        <v/>
      </c>
    </row>
    <row r="78">
      <c r="A78" s="29" t="n"/>
      <c r="B78" s="29" t="n"/>
      <c r="C78" s="29" t="n"/>
      <c r="D78" s="29" t="n"/>
      <c r="E78" s="29" t="n"/>
      <c r="F78" s="31" t="n"/>
      <c r="G78" s="34">
        <f>IF($A78="","",1)</f>
        <v/>
      </c>
      <c r="H78" s="34">
        <f>IF($A78="","",IF(OR($D78="ZORUNLU",$D78="HAZIRLIK"),1,0))</f>
        <v/>
      </c>
    </row>
    <row r="79">
      <c r="A79" s="29" t="n"/>
      <c r="B79" s="29" t="n"/>
      <c r="C79" s="29" t="n"/>
      <c r="D79" s="29" t="n"/>
      <c r="E79" s="29" t="n"/>
      <c r="F79" s="31" t="n"/>
      <c r="G79" s="34">
        <f>IF($A79="","",1)</f>
        <v/>
      </c>
      <c r="H79" s="34">
        <f>IF($A79="","",IF(OR($D79="ZORUNLU",$D79="HAZIRLIK"),1,0))</f>
        <v/>
      </c>
    </row>
    <row r="80">
      <c r="A80" s="29" t="n"/>
      <c r="B80" s="29" t="n"/>
      <c r="C80" s="29" t="n"/>
      <c r="D80" s="29" t="n"/>
      <c r="E80" s="29" t="n"/>
      <c r="F80" s="31" t="n"/>
      <c r="G80" s="34">
        <f>IF($A80="","",1)</f>
        <v/>
      </c>
      <c r="H80" s="34">
        <f>IF($A80="","",IF(OR($D80="ZORUNLU",$D80="HAZIRLIK"),1,0))</f>
        <v/>
      </c>
    </row>
    <row r="81">
      <c r="A81" s="29" t="n"/>
      <c r="B81" s="29" t="n"/>
      <c r="C81" s="29" t="n"/>
      <c r="D81" s="29" t="n"/>
      <c r="E81" s="29" t="n"/>
      <c r="F81" s="31" t="n"/>
      <c r="G81" s="34">
        <f>IF($A81="","",1)</f>
        <v/>
      </c>
      <c r="H81" s="34">
        <f>IF($A81="","",IF(OR($D81="ZORUNLU",$D81="HAZIRLIK"),1,0))</f>
        <v/>
      </c>
    </row>
    <row r="82">
      <c r="A82" s="29" t="n"/>
      <c r="B82" s="29" t="n"/>
      <c r="C82" s="29" t="n"/>
      <c r="D82" s="29" t="n"/>
      <c r="E82" s="29" t="n"/>
      <c r="F82" s="31" t="n"/>
      <c r="G82" s="34">
        <f>IF($A82="","",1)</f>
        <v/>
      </c>
      <c r="H82" s="34">
        <f>IF($A82="","",IF(OR($D82="ZORUNLU",$D82="HAZIRLIK"),1,0))</f>
        <v/>
      </c>
    </row>
    <row r="83">
      <c r="A83" s="29" t="n"/>
      <c r="B83" s="29" t="n"/>
      <c r="C83" s="29" t="n"/>
      <c r="D83" s="29" t="n"/>
      <c r="E83" s="29" t="n"/>
      <c r="F83" s="31" t="n"/>
      <c r="G83" s="34">
        <f>IF($A83="","",1)</f>
        <v/>
      </c>
      <c r="H83" s="34">
        <f>IF($A83="","",IF(OR($D83="ZORUNLU",$D83="HAZIRLIK"),1,0))</f>
        <v/>
      </c>
    </row>
    <row r="84">
      <c r="A84" s="29" t="n"/>
      <c r="B84" s="29" t="n"/>
      <c r="C84" s="29" t="n"/>
      <c r="D84" s="29" t="n"/>
      <c r="E84" s="29" t="n"/>
      <c r="F84" s="31" t="n"/>
      <c r="G84" s="34">
        <f>IF($A84="","",1)</f>
        <v/>
      </c>
      <c r="H84" s="34">
        <f>IF($A84="","",IF(OR($D84="ZORUNLU",$D84="HAZIRLIK"),1,0))</f>
        <v/>
      </c>
    </row>
    <row r="85">
      <c r="A85" s="29" t="n"/>
      <c r="B85" s="29" t="n"/>
      <c r="C85" s="29" t="n"/>
      <c r="D85" s="29" t="n"/>
      <c r="E85" s="29" t="n"/>
      <c r="F85" s="31" t="n"/>
      <c r="G85" s="34">
        <f>IF($A85="","",1)</f>
        <v/>
      </c>
      <c r="H85" s="34">
        <f>IF($A85="","",IF(OR($D85="ZORUNLU",$D85="HAZIRLIK"),1,0))</f>
        <v/>
      </c>
    </row>
    <row r="86">
      <c r="A86" s="29" t="n"/>
      <c r="B86" s="29" t="n"/>
      <c r="C86" s="29" t="n"/>
      <c r="D86" s="29" t="n"/>
      <c r="E86" s="29" t="n"/>
      <c r="F86" s="31" t="n"/>
      <c r="G86" s="34">
        <f>IF($A86="","",1)</f>
        <v/>
      </c>
      <c r="H86" s="34">
        <f>IF($A86="","",IF(OR($D86="ZORUNLU",$D86="HAZIRLIK"),1,0))</f>
        <v/>
      </c>
    </row>
    <row r="87">
      <c r="A87" s="29" t="n"/>
      <c r="B87" s="29" t="n"/>
      <c r="C87" s="29" t="n"/>
      <c r="D87" s="29" t="n"/>
      <c r="E87" s="29" t="n"/>
      <c r="F87" s="31" t="n"/>
      <c r="G87" s="34">
        <f>IF($A87="","",1)</f>
        <v/>
      </c>
      <c r="H87" s="34">
        <f>IF($A87="","",IF(OR($D87="ZORUNLU",$D87="HAZIRLIK"),1,0))</f>
        <v/>
      </c>
    </row>
    <row r="88">
      <c r="A88" s="29" t="n"/>
      <c r="B88" s="29" t="n"/>
      <c r="C88" s="29" t="n"/>
      <c r="D88" s="29" t="n"/>
      <c r="E88" s="29" t="n"/>
      <c r="F88" s="31" t="n"/>
      <c r="G88" s="34">
        <f>IF($A88="","",1)</f>
        <v/>
      </c>
      <c r="H88" s="34">
        <f>IF($A88="","",IF(OR($D88="ZORUNLU",$D88="HAZIRLIK"),1,0))</f>
        <v/>
      </c>
    </row>
    <row r="89">
      <c r="A89" s="29" t="n"/>
      <c r="B89" s="29" t="n"/>
      <c r="C89" s="29" t="n"/>
      <c r="D89" s="29" t="n"/>
      <c r="E89" s="29" t="n"/>
      <c r="F89" s="31" t="n"/>
      <c r="G89" s="34">
        <f>IF($A89="","",1)</f>
        <v/>
      </c>
      <c r="H89" s="34">
        <f>IF($A89="","",IF(OR($D89="ZORUNLU",$D89="HAZIRLIK"),1,0))</f>
        <v/>
      </c>
    </row>
    <row r="90">
      <c r="A90" s="29" t="n"/>
      <c r="B90" s="29" t="n"/>
      <c r="C90" s="29" t="n"/>
      <c r="D90" s="29" t="n"/>
      <c r="E90" s="29" t="n"/>
      <c r="F90" s="31" t="n"/>
      <c r="G90" s="34">
        <f>IF($A90="","",1)</f>
        <v/>
      </c>
      <c r="H90" s="34">
        <f>IF($A90="","",IF(OR($D90="ZORUNLU",$D90="HAZIRLIK"),1,0))</f>
        <v/>
      </c>
    </row>
    <row r="91">
      <c r="A91" s="29" t="n"/>
      <c r="B91" s="29" t="n"/>
      <c r="C91" s="29" t="n"/>
      <c r="D91" s="29" t="n"/>
      <c r="E91" s="29" t="n"/>
      <c r="F91" s="31" t="n"/>
      <c r="G91" s="34">
        <f>IF($A91="","",1)</f>
        <v/>
      </c>
      <c r="H91" s="34">
        <f>IF($A91="","",IF(OR($D91="ZORUNLU",$D91="HAZIRLIK"),1,0))</f>
        <v/>
      </c>
    </row>
    <row r="92">
      <c r="A92" s="29" t="n"/>
      <c r="B92" s="29" t="n"/>
      <c r="C92" s="29" t="n"/>
      <c r="D92" s="29" t="n"/>
      <c r="E92" s="29" t="n"/>
      <c r="F92" s="31" t="n"/>
      <c r="G92" s="34">
        <f>IF($A92="","",1)</f>
        <v/>
      </c>
      <c r="H92" s="34">
        <f>IF($A92="","",IF(OR($D92="ZORUNLU",$D92="HAZIRLIK"),1,0))</f>
        <v/>
      </c>
    </row>
    <row r="93">
      <c r="A93" s="29" t="n"/>
      <c r="B93" s="29" t="n"/>
      <c r="C93" s="29" t="n"/>
      <c r="D93" s="29" t="n"/>
      <c r="E93" s="29" t="n"/>
      <c r="F93" s="31" t="n"/>
      <c r="G93" s="34">
        <f>IF($A93="","",1)</f>
        <v/>
      </c>
      <c r="H93" s="34">
        <f>IF($A93="","",IF(OR($D93="ZORUNLU",$D93="HAZIRLIK"),1,0))</f>
        <v/>
      </c>
    </row>
    <row r="94">
      <c r="A94" s="29" t="n"/>
      <c r="B94" s="29" t="n"/>
      <c r="C94" s="29" t="n"/>
      <c r="D94" s="29" t="n"/>
      <c r="E94" s="29" t="n"/>
      <c r="F94" s="31" t="n"/>
      <c r="G94" s="34">
        <f>IF($A94="","",1)</f>
        <v/>
      </c>
      <c r="H94" s="34">
        <f>IF($A94="","",IF(OR($D94="ZORUNLU",$D94="HAZIRLIK"),1,0))</f>
        <v/>
      </c>
    </row>
    <row r="95">
      <c r="A95" s="29" t="n"/>
      <c r="B95" s="29" t="n"/>
      <c r="C95" s="29" t="n"/>
      <c r="D95" s="29" t="n"/>
      <c r="E95" s="29" t="n"/>
      <c r="F95" s="31" t="n"/>
      <c r="G95" s="34">
        <f>IF($A95="","",1)</f>
        <v/>
      </c>
      <c r="H95" s="34">
        <f>IF($A95="","",IF(OR($D95="ZORUNLU",$D95="HAZIRLIK"),1,0))</f>
        <v/>
      </c>
    </row>
    <row r="96">
      <c r="A96" s="29" t="n"/>
      <c r="B96" s="29" t="n"/>
      <c r="C96" s="29" t="n"/>
      <c r="D96" s="29" t="n"/>
      <c r="E96" s="29" t="n"/>
      <c r="F96" s="31" t="n"/>
      <c r="G96" s="34">
        <f>IF($A96="","",1)</f>
        <v/>
      </c>
      <c r="H96" s="34">
        <f>IF($A96="","",IF(OR($D96="ZORUNLU",$D96="HAZIRLIK"),1,0))</f>
        <v/>
      </c>
    </row>
    <row r="97">
      <c r="A97" s="29" t="n"/>
      <c r="B97" s="29" t="n"/>
      <c r="C97" s="29" t="n"/>
      <c r="D97" s="29" t="n"/>
      <c r="E97" s="29" t="n"/>
      <c r="F97" s="31" t="n"/>
      <c r="G97" s="34">
        <f>IF($A97="","",1)</f>
        <v/>
      </c>
      <c r="H97" s="34">
        <f>IF($A97="","",IF(OR($D97="ZORUNLU",$D97="HAZIRLIK"),1,0))</f>
        <v/>
      </c>
    </row>
    <row r="98">
      <c r="A98" s="29" t="n"/>
      <c r="B98" s="29" t="n"/>
      <c r="C98" s="29" t="n"/>
      <c r="D98" s="29" t="n"/>
      <c r="E98" s="29" t="n"/>
      <c r="F98" s="31" t="n"/>
      <c r="G98" s="34">
        <f>IF($A98="","",1)</f>
        <v/>
      </c>
      <c r="H98" s="34">
        <f>IF($A98="","",IF(OR($D98="ZORUNLU",$D98="HAZIRLIK"),1,0))</f>
        <v/>
      </c>
    </row>
    <row r="99">
      <c r="A99" s="29" t="n"/>
      <c r="B99" s="29" t="n"/>
      <c r="C99" s="29" t="n"/>
      <c r="D99" s="29" t="n"/>
      <c r="E99" s="29" t="n"/>
      <c r="F99" s="31" t="n"/>
      <c r="G99" s="34">
        <f>IF($A99="","",1)</f>
        <v/>
      </c>
      <c r="H99" s="34">
        <f>IF($A99="","",IF(OR($D99="ZORUNLU",$D99="HAZIRLIK"),1,0))</f>
        <v/>
      </c>
    </row>
    <row r="100">
      <c r="A100" s="29" t="n"/>
      <c r="B100" s="29" t="n"/>
      <c r="C100" s="29" t="n"/>
      <c r="D100" s="29" t="n"/>
      <c r="E100" s="29" t="n"/>
      <c r="F100" s="31" t="n"/>
      <c r="G100" s="34">
        <f>IF($A100="","",1)</f>
        <v/>
      </c>
      <c r="H100" s="34">
        <f>IF($A100="","",IF(OR($D100="ZORUNLU",$D100="HAZIRLIK"),1,0))</f>
        <v/>
      </c>
    </row>
    <row r="101">
      <c r="A101" s="29" t="n"/>
      <c r="B101" s="29" t="n"/>
      <c r="C101" s="29" t="n"/>
      <c r="D101" s="29" t="n"/>
      <c r="E101" s="29" t="n"/>
      <c r="F101" s="31" t="n"/>
      <c r="G101" s="34">
        <f>IF($A101="","",1)</f>
        <v/>
      </c>
      <c r="H101" s="34">
        <f>IF($A101="","",IF(OR($D101="ZORUNLU",$D101="HAZIRLIK"),1,0))</f>
        <v/>
      </c>
    </row>
    <row r="102">
      <c r="A102" s="29" t="n"/>
      <c r="B102" s="29" t="n"/>
      <c r="C102" s="29" t="n"/>
      <c r="D102" s="29" t="n"/>
      <c r="E102" s="29" t="n"/>
      <c r="F102" s="31" t="n"/>
      <c r="G102" s="34">
        <f>IF($A102="","",1)</f>
        <v/>
      </c>
      <c r="H102" s="34">
        <f>IF($A102="","",IF(OR($D102="ZORUNLU",$D102="HAZIRLIK"),1,0))</f>
        <v/>
      </c>
    </row>
    <row r="103">
      <c r="A103" s="29" t="n"/>
      <c r="B103" s="29" t="n"/>
      <c r="C103" s="29" t="n"/>
      <c r="D103" s="29" t="n"/>
      <c r="E103" s="29" t="n"/>
      <c r="F103" s="31" t="n"/>
      <c r="G103" s="34">
        <f>IF($A103="","",1)</f>
        <v/>
      </c>
      <c r="H103" s="34">
        <f>IF($A103="","",IF(OR($D103="ZORUNLU",$D103="HAZIRLIK"),1,0))</f>
        <v/>
      </c>
    </row>
    <row r="104">
      <c r="A104" s="29" t="n"/>
      <c r="B104" s="29" t="n"/>
      <c r="C104" s="29" t="n"/>
      <c r="D104" s="29" t="n"/>
      <c r="E104" s="29" t="n"/>
      <c r="F104" s="31" t="n"/>
      <c r="G104" s="34">
        <f>IF($A104="","",1)</f>
        <v/>
      </c>
      <c r="H104" s="34">
        <f>IF($A104="","",IF(OR($D104="ZORUNLU",$D104="HAZIRLIK"),1,0))</f>
        <v/>
      </c>
    </row>
    <row r="105">
      <c r="A105" s="29" t="n"/>
      <c r="B105" s="29" t="n"/>
      <c r="C105" s="29" t="n"/>
      <c r="D105" s="29" t="n"/>
      <c r="E105" s="29" t="n"/>
      <c r="F105" s="31" t="n"/>
      <c r="G105" s="34">
        <f>IF($A105="","",1)</f>
        <v/>
      </c>
      <c r="H105" s="34">
        <f>IF($A105="","",IF(OR($D105="ZORUNLU",$D105="HAZIRLIK"),1,0))</f>
        <v/>
      </c>
    </row>
    <row r="106">
      <c r="A106" s="29" t="n"/>
      <c r="B106" s="29" t="n"/>
      <c r="C106" s="29" t="n"/>
      <c r="D106" s="29" t="n"/>
      <c r="E106" s="29" t="n"/>
      <c r="F106" s="31" t="n"/>
      <c r="G106" s="34">
        <f>IF($A106="","",1)</f>
        <v/>
      </c>
      <c r="H106" s="34">
        <f>IF($A106="","",IF(OR($D106="ZORUNLU",$D106="HAZIRLIK"),1,0))</f>
        <v/>
      </c>
    </row>
    <row r="107">
      <c r="A107" s="29" t="n"/>
      <c r="B107" s="29" t="n"/>
      <c r="C107" s="29" t="n"/>
      <c r="D107" s="29" t="n"/>
      <c r="E107" s="29" t="n"/>
      <c r="F107" s="31" t="n"/>
      <c r="G107" s="34">
        <f>IF($A107="","",1)</f>
        <v/>
      </c>
      <c r="H107" s="34">
        <f>IF($A107="","",IF(OR($D107="ZORUNLU",$D107="HAZIRLIK"),1,0))</f>
        <v/>
      </c>
    </row>
    <row r="108">
      <c r="A108" s="29" t="n"/>
      <c r="B108" s="29" t="n"/>
      <c r="C108" s="29" t="n"/>
      <c r="D108" s="29" t="n"/>
      <c r="E108" s="29" t="n"/>
      <c r="F108" s="31" t="n"/>
      <c r="G108" s="34">
        <f>IF($A108="","",1)</f>
        <v/>
      </c>
      <c r="H108" s="34">
        <f>IF($A108="","",IF(OR($D108="ZORUNLU",$D108="HAZIRLIK"),1,0))</f>
        <v/>
      </c>
    </row>
    <row r="109">
      <c r="A109" s="29" t="n"/>
      <c r="B109" s="29" t="n"/>
      <c r="C109" s="29" t="n"/>
      <c r="D109" s="29" t="n"/>
      <c r="E109" s="29" t="n"/>
      <c r="F109" s="31" t="n"/>
      <c r="G109" s="34">
        <f>IF($A109="","",1)</f>
        <v/>
      </c>
      <c r="H109" s="34">
        <f>IF($A109="","",IF(OR($D109="ZORUNLU",$D109="HAZIRLIK"),1,0))</f>
        <v/>
      </c>
    </row>
    <row r="110">
      <c r="A110" s="29" t="n"/>
      <c r="B110" s="29" t="n"/>
      <c r="C110" s="29" t="n"/>
      <c r="D110" s="29" t="n"/>
      <c r="E110" s="29" t="n"/>
      <c r="F110" s="31" t="n"/>
      <c r="G110" s="34">
        <f>IF($A110="","",1)</f>
        <v/>
      </c>
      <c r="H110" s="34">
        <f>IF($A110="","",IF(OR($D110="ZORUNLU",$D110="HAZIRLIK"),1,0))</f>
        <v/>
      </c>
    </row>
    <row r="111">
      <c r="A111" s="29" t="n"/>
      <c r="B111" s="29" t="n"/>
      <c r="C111" s="29" t="n"/>
      <c r="D111" s="29" t="n"/>
      <c r="E111" s="29" t="n"/>
      <c r="F111" s="31" t="n"/>
      <c r="G111" s="34">
        <f>IF($A111="","",1)</f>
        <v/>
      </c>
      <c r="H111" s="34">
        <f>IF($A111="","",IF(OR($D111="ZORUNLU",$D111="HAZIRLIK"),1,0))</f>
        <v/>
      </c>
    </row>
    <row r="112">
      <c r="A112" s="29" t="n"/>
      <c r="B112" s="29" t="n"/>
      <c r="C112" s="29" t="n"/>
      <c r="D112" s="29" t="n"/>
      <c r="E112" s="29" t="n"/>
      <c r="F112" s="31" t="n"/>
      <c r="G112" s="34">
        <f>IF($A112="","",1)</f>
        <v/>
      </c>
      <c r="H112" s="34">
        <f>IF($A112="","",IF(OR($D112="ZORUNLU",$D112="HAZIRLIK"),1,0))</f>
        <v/>
      </c>
    </row>
    <row r="113">
      <c r="A113" s="29" t="n"/>
      <c r="B113" s="29" t="n"/>
      <c r="C113" s="29" t="n"/>
      <c r="D113" s="29" t="n"/>
      <c r="E113" s="29" t="n"/>
      <c r="F113" s="31" t="n"/>
      <c r="G113" s="34">
        <f>IF($A113="","",1)</f>
        <v/>
      </c>
      <c r="H113" s="34">
        <f>IF($A113="","",IF(OR($D113="ZORUNLU",$D113="HAZIRLIK"),1,0))</f>
        <v/>
      </c>
    </row>
    <row r="114">
      <c r="A114" s="29" t="n"/>
      <c r="B114" s="29" t="n"/>
      <c r="C114" s="29" t="n"/>
      <c r="D114" s="29" t="n"/>
      <c r="E114" s="29" t="n"/>
      <c r="F114" s="31" t="n"/>
      <c r="G114" s="34">
        <f>IF($A114="","",1)</f>
        <v/>
      </c>
      <c r="H114" s="34">
        <f>IF($A114="","",IF(OR($D114="ZORUNLU",$D114="HAZIRLIK"),1,0))</f>
        <v/>
      </c>
    </row>
    <row r="115">
      <c r="A115" s="29" t="n"/>
      <c r="B115" s="29" t="n"/>
      <c r="C115" s="29" t="n"/>
      <c r="D115" s="29" t="n"/>
      <c r="E115" s="29" t="n"/>
      <c r="F115" s="31" t="n"/>
      <c r="G115" s="34">
        <f>IF($A115="","",1)</f>
        <v/>
      </c>
      <c r="H115" s="34">
        <f>IF($A115="","",IF(OR($D115="ZORUNLU",$D115="HAZIRLIK"),1,0))</f>
        <v/>
      </c>
    </row>
    <row r="116">
      <c r="A116" s="29" t="n"/>
      <c r="B116" s="29" t="n"/>
      <c r="C116" s="29" t="n"/>
      <c r="D116" s="29" t="n"/>
      <c r="E116" s="29" t="n"/>
      <c r="F116" s="31" t="n"/>
      <c r="G116" s="34">
        <f>IF($A116="","",1)</f>
        <v/>
      </c>
      <c r="H116" s="34">
        <f>IF($A116="","",IF(OR($D116="ZORUNLU",$D116="HAZIRLIK"),1,0))</f>
        <v/>
      </c>
    </row>
    <row r="117">
      <c r="A117" s="29" t="n"/>
      <c r="B117" s="29" t="n"/>
      <c r="C117" s="29" t="n"/>
      <c r="D117" s="29" t="n"/>
      <c r="E117" s="29" t="n"/>
      <c r="F117" s="31" t="n"/>
      <c r="G117" s="34">
        <f>IF($A117="","",1)</f>
        <v/>
      </c>
      <c r="H117" s="34">
        <f>IF($A117="","",IF(OR($D117="ZORUNLU",$D117="HAZIRLIK"),1,0))</f>
        <v/>
      </c>
    </row>
    <row r="118">
      <c r="A118" s="29" t="n"/>
      <c r="B118" s="29" t="n"/>
      <c r="C118" s="29" t="n"/>
      <c r="D118" s="29" t="n"/>
      <c r="E118" s="29" t="n"/>
      <c r="F118" s="31" t="n"/>
      <c r="G118" s="34">
        <f>IF($A118="","",1)</f>
        <v/>
      </c>
      <c r="H118" s="34">
        <f>IF($A118="","",IF(OR($D118="ZORUNLU",$D118="HAZIRLIK"),1,0))</f>
        <v/>
      </c>
    </row>
    <row r="119">
      <c r="A119" s="29" t="n"/>
      <c r="B119" s="29" t="n"/>
      <c r="C119" s="29" t="n"/>
      <c r="D119" s="29" t="n"/>
      <c r="E119" s="29" t="n"/>
      <c r="F119" s="31" t="n"/>
      <c r="G119" s="34">
        <f>IF($A119="","",1)</f>
        <v/>
      </c>
      <c r="H119" s="34">
        <f>IF($A119="","",IF(OR($D119="ZORUNLU",$D119="HAZIRLIK"),1,0))</f>
        <v/>
      </c>
    </row>
    <row r="120">
      <c r="A120" s="29" t="n"/>
      <c r="B120" s="29" t="n"/>
      <c r="C120" s="29" t="n"/>
      <c r="D120" s="29" t="n"/>
      <c r="E120" s="29" t="n"/>
      <c r="F120" s="31" t="n"/>
      <c r="G120" s="34">
        <f>IF($A120="","",1)</f>
        <v/>
      </c>
      <c r="H120" s="34">
        <f>IF($A120="","",IF(OR($D120="ZORUNLU",$D120="HAZIRLIK"),1,0))</f>
        <v/>
      </c>
    </row>
    <row r="121">
      <c r="A121" s="29" t="n"/>
      <c r="B121" s="29" t="n"/>
      <c r="C121" s="29" t="n"/>
      <c r="D121" s="29" t="n"/>
      <c r="E121" s="29" t="n"/>
      <c r="F121" s="31" t="n"/>
      <c r="G121" s="34">
        <f>IF($A121="","",1)</f>
        <v/>
      </c>
      <c r="H121" s="34">
        <f>IF($A121="","",IF(OR($D121="ZORUNLU",$D121="HAZIRLIK"),1,0))</f>
        <v/>
      </c>
    </row>
    <row r="122">
      <c r="A122" s="29" t="n"/>
      <c r="B122" s="29" t="n"/>
      <c r="C122" s="29" t="n"/>
      <c r="D122" s="29" t="n"/>
      <c r="E122" s="29" t="n"/>
      <c r="F122" s="31" t="n"/>
      <c r="G122" s="34">
        <f>IF($A122="","",1)</f>
        <v/>
      </c>
      <c r="H122" s="34">
        <f>IF($A122="","",IF(OR($D122="ZORUNLU",$D122="HAZIRLIK"),1,0))</f>
        <v/>
      </c>
    </row>
    <row r="123">
      <c r="A123" s="29" t="n"/>
      <c r="B123" s="29" t="n"/>
      <c r="C123" s="29" t="n"/>
      <c r="D123" s="29" t="n"/>
      <c r="E123" s="29" t="n"/>
      <c r="F123" s="31" t="n"/>
      <c r="G123" s="34">
        <f>IF($A123="","",1)</f>
        <v/>
      </c>
      <c r="H123" s="34">
        <f>IF($A123="","",IF(OR($D123="ZORUNLU",$D123="HAZIRLIK"),1,0))</f>
        <v/>
      </c>
    </row>
    <row r="124">
      <c r="A124" s="29" t="n"/>
      <c r="B124" s="29" t="n"/>
      <c r="C124" s="29" t="n"/>
      <c r="D124" s="29" t="n"/>
      <c r="E124" s="29" t="n"/>
      <c r="F124" s="31" t="n"/>
      <c r="G124" s="34">
        <f>IF($A124="","",1)</f>
        <v/>
      </c>
      <c r="H124" s="34">
        <f>IF($A124="","",IF(OR($D124="ZORUNLU",$D124="HAZIRLIK"),1,0))</f>
        <v/>
      </c>
    </row>
    <row r="125">
      <c r="A125" s="29" t="n"/>
      <c r="B125" s="29" t="n"/>
      <c r="C125" s="29" t="n"/>
      <c r="D125" s="29" t="n"/>
      <c r="E125" s="29" t="n"/>
      <c r="F125" s="31" t="n"/>
      <c r="G125" s="34">
        <f>IF($A125="","",1)</f>
        <v/>
      </c>
      <c r="H125" s="34">
        <f>IF($A125="","",IF(OR($D125="ZORUNLU",$D125="HAZIRLIK"),1,0))</f>
        <v/>
      </c>
    </row>
    <row r="126">
      <c r="A126" s="29" t="n"/>
      <c r="B126" s="29" t="n"/>
      <c r="C126" s="29" t="n"/>
      <c r="D126" s="29" t="n"/>
      <c r="E126" s="29" t="n"/>
      <c r="F126" s="31" t="n"/>
      <c r="G126" s="34">
        <f>IF($A126="","",1)</f>
        <v/>
      </c>
      <c r="H126" s="34">
        <f>IF($A126="","",IF(OR($D126="ZORUNLU",$D126="HAZIRLIK"),1,0))</f>
        <v/>
      </c>
    </row>
    <row r="127">
      <c r="A127" s="29" t="n"/>
      <c r="B127" s="29" t="n"/>
      <c r="C127" s="29" t="n"/>
      <c r="D127" s="29" t="n"/>
      <c r="E127" s="29" t="n"/>
      <c r="F127" s="31" t="n"/>
      <c r="G127" s="34">
        <f>IF($A127="","",1)</f>
        <v/>
      </c>
      <c r="H127" s="34">
        <f>IF($A127="","",IF(OR($D127="ZORUNLU",$D127="HAZIRLIK"),1,0))</f>
        <v/>
      </c>
    </row>
    <row r="128">
      <c r="A128" s="29" t="n"/>
      <c r="B128" s="29" t="n"/>
      <c r="C128" s="29" t="n"/>
      <c r="D128" s="29" t="n"/>
      <c r="E128" s="29" t="n"/>
      <c r="F128" s="31" t="n"/>
      <c r="G128" s="34">
        <f>IF($A128="","",1)</f>
        <v/>
      </c>
      <c r="H128" s="34">
        <f>IF($A128="","",IF(OR($D128="ZORUNLU",$D128="HAZIRLIK"),1,0))</f>
        <v/>
      </c>
    </row>
    <row r="129">
      <c r="A129" s="29" t="n"/>
      <c r="B129" s="29" t="n"/>
      <c r="C129" s="29" t="n"/>
      <c r="D129" s="29" t="n"/>
      <c r="E129" s="29" t="n"/>
      <c r="F129" s="31" t="n"/>
      <c r="G129" s="34">
        <f>IF($A129="","",1)</f>
        <v/>
      </c>
      <c r="H129" s="34">
        <f>IF($A129="","",IF(OR($D129="ZORUNLU",$D129="HAZIRLIK"),1,0))</f>
        <v/>
      </c>
    </row>
    <row r="130">
      <c r="A130" s="29" t="n"/>
      <c r="B130" s="29" t="n"/>
      <c r="C130" s="29" t="n"/>
      <c r="D130" s="29" t="n"/>
      <c r="E130" s="29" t="n"/>
      <c r="F130" s="31" t="n"/>
      <c r="G130" s="34">
        <f>IF($A130="","",1)</f>
        <v/>
      </c>
      <c r="H130" s="34">
        <f>IF($A130="","",IF(OR($D130="ZORUNLU",$D130="HAZIRLIK"),1,0))</f>
        <v/>
      </c>
    </row>
    <row r="131">
      <c r="A131" s="29" t="n"/>
      <c r="B131" s="29" t="n"/>
      <c r="C131" s="29" t="n"/>
      <c r="D131" s="29" t="n"/>
      <c r="E131" s="29" t="n"/>
      <c r="F131" s="31" t="n"/>
      <c r="G131" s="34">
        <f>IF($A131="","",1)</f>
        <v/>
      </c>
      <c r="H131" s="34">
        <f>IF($A131="","",IF(OR($D131="ZORUNLU",$D131="HAZIRLIK"),1,0))</f>
        <v/>
      </c>
    </row>
    <row r="132">
      <c r="A132" s="29" t="n"/>
      <c r="B132" s="29" t="n"/>
      <c r="C132" s="29" t="n"/>
      <c r="D132" s="29" t="n"/>
      <c r="E132" s="29" t="n"/>
      <c r="F132" s="31" t="n"/>
      <c r="G132" s="34">
        <f>IF($A132="","",1)</f>
        <v/>
      </c>
      <c r="H132" s="34">
        <f>IF($A132="","",IF(OR($D132="ZORUNLU",$D132="HAZIRLIK"),1,0))</f>
        <v/>
      </c>
    </row>
    <row r="133">
      <c r="A133" s="29" t="n"/>
      <c r="B133" s="29" t="n"/>
      <c r="C133" s="29" t="n"/>
      <c r="D133" s="29" t="n"/>
      <c r="E133" s="29" t="n"/>
      <c r="F133" s="31" t="n"/>
      <c r="G133" s="34">
        <f>IF($A133="","",1)</f>
        <v/>
      </c>
      <c r="H133" s="34">
        <f>IF($A133="","",IF(OR($D133="ZORUNLU",$D133="HAZIRLIK"),1,0))</f>
        <v/>
      </c>
    </row>
    <row r="134">
      <c r="A134" s="29" t="n"/>
      <c r="B134" s="29" t="n"/>
      <c r="C134" s="29" t="n"/>
      <c r="D134" s="29" t="n"/>
      <c r="E134" s="29" t="n"/>
      <c r="F134" s="31" t="n"/>
      <c r="G134" s="34">
        <f>IF($A134="","",1)</f>
        <v/>
      </c>
      <c r="H134" s="34">
        <f>IF($A134="","",IF(OR($D134="ZORUNLU",$D134="HAZIRLIK"),1,0))</f>
        <v/>
      </c>
    </row>
    <row r="135">
      <c r="A135" s="29" t="n"/>
      <c r="B135" s="29" t="n"/>
      <c r="C135" s="29" t="n"/>
      <c r="D135" s="29" t="n"/>
      <c r="E135" s="29" t="n"/>
      <c r="F135" s="31" t="n"/>
      <c r="G135" s="34">
        <f>IF($A135="","",1)</f>
        <v/>
      </c>
      <c r="H135" s="34">
        <f>IF($A135="","",IF(OR($D135="ZORUNLU",$D135="HAZIRLIK"),1,0))</f>
        <v/>
      </c>
    </row>
    <row r="136">
      <c r="A136" s="29" t="n"/>
      <c r="B136" s="29" t="n"/>
      <c r="C136" s="29" t="n"/>
      <c r="D136" s="29" t="n"/>
      <c r="E136" s="29" t="n"/>
      <c r="F136" s="31" t="n"/>
      <c r="G136" s="34">
        <f>IF($A136="","",1)</f>
        <v/>
      </c>
      <c r="H136" s="34">
        <f>IF($A136="","",IF(OR($D136="ZORUNLU",$D136="HAZIRLIK"),1,0))</f>
        <v/>
      </c>
    </row>
    <row r="137">
      <c r="A137" s="29" t="n"/>
      <c r="B137" s="29" t="n"/>
      <c r="C137" s="29" t="n"/>
      <c r="D137" s="29" t="n"/>
      <c r="E137" s="29" t="n"/>
      <c r="F137" s="31" t="n"/>
      <c r="G137" s="34">
        <f>IF($A137="","",1)</f>
        <v/>
      </c>
      <c r="H137" s="34">
        <f>IF($A137="","",IF(OR($D137="ZORUNLU",$D137="HAZIRLIK"),1,0))</f>
        <v/>
      </c>
    </row>
    <row r="138">
      <c r="A138" s="29" t="n"/>
      <c r="B138" s="29" t="n"/>
      <c r="C138" s="29" t="n"/>
      <c r="D138" s="29" t="n"/>
      <c r="E138" s="29" t="n"/>
      <c r="F138" s="31" t="n"/>
      <c r="G138" s="34">
        <f>IF($A138="","",1)</f>
        <v/>
      </c>
      <c r="H138" s="34">
        <f>IF($A138="","",IF(OR($D138="ZORUNLU",$D138="HAZIRLIK"),1,0))</f>
        <v/>
      </c>
    </row>
    <row r="139">
      <c r="A139" s="29" t="n"/>
      <c r="B139" s="29" t="n"/>
      <c r="C139" s="29" t="n"/>
      <c r="D139" s="29" t="n"/>
      <c r="E139" s="29" t="n"/>
      <c r="F139" s="31" t="n"/>
      <c r="G139" s="34">
        <f>IF($A139="","",1)</f>
        <v/>
      </c>
      <c r="H139" s="34">
        <f>IF($A139="","",IF(OR($D139="ZORUNLU",$D139="HAZIRLIK"),1,0))</f>
        <v/>
      </c>
    </row>
    <row r="140">
      <c r="A140" s="29" t="n"/>
      <c r="B140" s="29" t="n"/>
      <c r="C140" s="29" t="n"/>
      <c r="D140" s="29" t="n"/>
      <c r="E140" s="29" t="n"/>
      <c r="F140" s="31" t="n"/>
      <c r="G140" s="34">
        <f>IF($A140="","",1)</f>
        <v/>
      </c>
      <c r="H140" s="34">
        <f>IF($A140="","",IF(OR($D140="ZORUNLU",$D140="HAZIRLIK"),1,0))</f>
        <v/>
      </c>
    </row>
    <row r="141">
      <c r="A141" s="29" t="n"/>
      <c r="B141" s="29" t="n"/>
      <c r="C141" s="29" t="n"/>
      <c r="D141" s="29" t="n"/>
      <c r="E141" s="29" t="n"/>
      <c r="F141" s="31" t="n"/>
      <c r="G141" s="34">
        <f>IF($A141="","",1)</f>
        <v/>
      </c>
      <c r="H141" s="34">
        <f>IF($A141="","",IF(OR($D141="ZORUNLU",$D141="HAZIRLIK"),1,0))</f>
        <v/>
      </c>
    </row>
    <row r="142">
      <c r="A142" s="29" t="n"/>
      <c r="B142" s="29" t="n"/>
      <c r="C142" s="29" t="n"/>
      <c r="D142" s="29" t="n"/>
      <c r="E142" s="29" t="n"/>
      <c r="F142" s="31" t="n"/>
      <c r="G142" s="34">
        <f>IF($A142="","",1)</f>
        <v/>
      </c>
      <c r="H142" s="34">
        <f>IF($A142="","",IF(OR($D142="ZORUNLU",$D142="HAZIRLIK"),1,0))</f>
        <v/>
      </c>
    </row>
    <row r="143">
      <c r="A143" s="29" t="n"/>
      <c r="B143" s="29" t="n"/>
      <c r="C143" s="29" t="n"/>
      <c r="D143" s="29" t="n"/>
      <c r="E143" s="29" t="n"/>
      <c r="F143" s="31" t="n"/>
      <c r="G143" s="34">
        <f>IF($A143="","",1)</f>
        <v/>
      </c>
      <c r="H143" s="34">
        <f>IF($A143="","",IF(OR($D143="ZORUNLU",$D143="HAZIRLIK"),1,0))</f>
        <v/>
      </c>
    </row>
    <row r="144">
      <c r="A144" s="29" t="n"/>
      <c r="B144" s="29" t="n"/>
      <c r="C144" s="29" t="n"/>
      <c r="D144" s="29" t="n"/>
      <c r="E144" s="29" t="n"/>
      <c r="F144" s="31" t="n"/>
      <c r="G144" s="34">
        <f>IF($A144="","",1)</f>
        <v/>
      </c>
      <c r="H144" s="34">
        <f>IF($A144="","",IF(OR($D144="ZORUNLU",$D144="HAZIRLIK"),1,0))</f>
        <v/>
      </c>
    </row>
    <row r="145">
      <c r="A145" s="29" t="n"/>
      <c r="B145" s="29" t="n"/>
      <c r="C145" s="29" t="n"/>
      <c r="D145" s="29" t="n"/>
      <c r="E145" s="29" t="n"/>
      <c r="F145" s="31" t="n"/>
      <c r="G145" s="34">
        <f>IF($A145="","",1)</f>
        <v/>
      </c>
      <c r="H145" s="34">
        <f>IF($A145="","",IF(OR($D145="ZORUNLU",$D145="HAZIRLIK"),1,0))</f>
        <v/>
      </c>
    </row>
    <row r="146">
      <c r="A146" s="29" t="n"/>
      <c r="B146" s="29" t="n"/>
      <c r="C146" s="29" t="n"/>
      <c r="D146" s="29" t="n"/>
      <c r="E146" s="29" t="n"/>
      <c r="F146" s="31" t="n"/>
      <c r="G146" s="34">
        <f>IF($A146="","",1)</f>
        <v/>
      </c>
      <c r="H146" s="34">
        <f>IF($A146="","",IF(OR($D146="ZORUNLU",$D146="HAZIRLIK"),1,0))</f>
        <v/>
      </c>
    </row>
    <row r="147">
      <c r="A147" s="29" t="n"/>
      <c r="B147" s="29" t="n"/>
      <c r="C147" s="29" t="n"/>
      <c r="D147" s="29" t="n"/>
      <c r="E147" s="29" t="n"/>
      <c r="F147" s="31" t="n"/>
      <c r="G147" s="34">
        <f>IF($A147="","",1)</f>
        <v/>
      </c>
      <c r="H147" s="34">
        <f>IF($A147="","",IF(OR($D147="ZORUNLU",$D147="HAZIRLIK"),1,0))</f>
        <v/>
      </c>
    </row>
    <row r="148">
      <c r="A148" s="29" t="n"/>
      <c r="B148" s="29" t="n"/>
      <c r="C148" s="29" t="n"/>
      <c r="D148" s="29" t="n"/>
      <c r="E148" s="29" t="n"/>
      <c r="F148" s="31" t="n"/>
      <c r="G148" s="34">
        <f>IF($A148="","",1)</f>
        <v/>
      </c>
      <c r="H148" s="34">
        <f>IF($A148="","",IF(OR($D148="ZORUNLU",$D148="HAZIRLIK"),1,0))</f>
        <v/>
      </c>
    </row>
    <row r="149">
      <c r="A149" s="29" t="n"/>
      <c r="B149" s="29" t="n"/>
      <c r="C149" s="29" t="n"/>
      <c r="D149" s="29" t="n"/>
      <c r="E149" s="29" t="n"/>
      <c r="F149" s="31" t="n"/>
      <c r="G149" s="34">
        <f>IF($A149="","",1)</f>
        <v/>
      </c>
      <c r="H149" s="34">
        <f>IF($A149="","",IF(OR($D149="ZORUNLU",$D149="HAZIRLIK"),1,0))</f>
        <v/>
      </c>
    </row>
    <row r="150">
      <c r="A150" s="29" t="n"/>
      <c r="B150" s="29" t="n"/>
      <c r="C150" s="29" t="n"/>
      <c r="D150" s="29" t="n"/>
      <c r="E150" s="29" t="n"/>
      <c r="F150" s="31" t="n"/>
      <c r="G150" s="34">
        <f>IF($A150="","",1)</f>
        <v/>
      </c>
      <c r="H150" s="34">
        <f>IF($A150="","",IF(OR($D150="ZORUNLU",$D150="HAZIRLIK"),1,0))</f>
        <v/>
      </c>
    </row>
    <row r="151">
      <c r="A151" s="29" t="n"/>
      <c r="B151" s="29" t="n"/>
      <c r="C151" s="29" t="n"/>
      <c r="D151" s="29" t="n"/>
      <c r="E151" s="29" t="n"/>
      <c r="F151" s="31" t="n"/>
      <c r="G151" s="34">
        <f>IF($A151="","",1)</f>
        <v/>
      </c>
      <c r="H151" s="34">
        <f>IF($A151="","",IF(OR($D151="ZORUNLU",$D151="HAZIRLIK"),1,0))</f>
        <v/>
      </c>
    </row>
    <row r="152">
      <c r="A152" s="29" t="n"/>
      <c r="B152" s="29" t="n"/>
      <c r="C152" s="29" t="n"/>
      <c r="D152" s="29" t="n"/>
      <c r="E152" s="29" t="n"/>
      <c r="F152" s="31" t="n"/>
      <c r="G152" s="34">
        <f>IF($A152="","",1)</f>
        <v/>
      </c>
      <c r="H152" s="34">
        <f>IF($A152="","",IF(OR($D152="ZORUNLU",$D152="HAZIRLIK"),1,0))</f>
        <v/>
      </c>
    </row>
    <row r="153">
      <c r="A153" s="29" t="n"/>
      <c r="B153" s="29" t="n"/>
      <c r="C153" s="29" t="n"/>
      <c r="D153" s="29" t="n"/>
      <c r="E153" s="29" t="n"/>
      <c r="F153" s="31" t="n"/>
      <c r="G153" s="34">
        <f>IF($A153="","",1)</f>
        <v/>
      </c>
      <c r="H153" s="34">
        <f>IF($A153="","",IF(OR($D153="ZORUNLU",$D153="HAZIRLIK"),1,0))</f>
        <v/>
      </c>
    </row>
    <row r="154">
      <c r="A154" s="29" t="n"/>
      <c r="B154" s="29" t="n"/>
      <c r="C154" s="29" t="n"/>
      <c r="D154" s="29" t="n"/>
      <c r="E154" s="29" t="n"/>
      <c r="F154" s="31" t="n"/>
      <c r="G154" s="34">
        <f>IF($A154="","",1)</f>
        <v/>
      </c>
      <c r="H154" s="34">
        <f>IF($A154="","",IF(OR($D154="ZORUNLU",$D154="HAZIRLIK"),1,0))</f>
        <v/>
      </c>
    </row>
    <row r="155">
      <c r="A155" s="29" t="n"/>
      <c r="B155" s="29" t="n"/>
      <c r="C155" s="29" t="n"/>
      <c r="D155" s="29" t="n"/>
      <c r="E155" s="29" t="n"/>
      <c r="F155" s="31" t="n"/>
      <c r="G155" s="34">
        <f>IF($A155="","",1)</f>
        <v/>
      </c>
      <c r="H155" s="34">
        <f>IF($A155="","",IF(OR($D155="ZORUNLU",$D155="HAZIRLIK"),1,0))</f>
        <v/>
      </c>
    </row>
    <row r="156">
      <c r="A156" s="29" t="n"/>
      <c r="B156" s="29" t="n"/>
      <c r="C156" s="29" t="n"/>
      <c r="D156" s="29" t="n"/>
      <c r="E156" s="29" t="n"/>
      <c r="F156" s="31" t="n"/>
      <c r="G156" s="34">
        <f>IF($A156="","",1)</f>
        <v/>
      </c>
      <c r="H156" s="34">
        <f>IF($A156="","",IF(OR($D156="ZORUNLU",$D156="HAZIRLIK"),1,0))</f>
        <v/>
      </c>
    </row>
    <row r="157">
      <c r="A157" s="29" t="n"/>
      <c r="B157" s="29" t="n"/>
      <c r="C157" s="29" t="n"/>
      <c r="D157" s="29" t="n"/>
      <c r="E157" s="29" t="n"/>
      <c r="F157" s="31" t="n"/>
      <c r="G157" s="34">
        <f>IF($A157="","",1)</f>
        <v/>
      </c>
      <c r="H157" s="34">
        <f>IF($A157="","",IF(OR($D157="ZORUNLU",$D157="HAZIRLIK"),1,0))</f>
        <v/>
      </c>
    </row>
    <row r="158">
      <c r="A158" s="29" t="n"/>
      <c r="B158" s="29" t="n"/>
      <c r="C158" s="29" t="n"/>
      <c r="D158" s="29" t="n"/>
      <c r="E158" s="29" t="n"/>
      <c r="F158" s="31" t="n"/>
      <c r="G158" s="34">
        <f>IF($A158="","",1)</f>
        <v/>
      </c>
      <c r="H158" s="34">
        <f>IF($A158="","",IF(OR($D158="ZORUNLU",$D158="HAZIRLIK"),1,0))</f>
        <v/>
      </c>
    </row>
    <row r="159">
      <c r="A159" s="29" t="n"/>
      <c r="B159" s="29" t="n"/>
      <c r="C159" s="29" t="n"/>
      <c r="D159" s="29" t="n"/>
      <c r="E159" s="29" t="n"/>
      <c r="F159" s="31" t="n"/>
      <c r="G159" s="34">
        <f>IF($A159="","",1)</f>
        <v/>
      </c>
      <c r="H159" s="34">
        <f>IF($A159="","",IF(OR($D159="ZORUNLU",$D159="HAZIRLIK"),1,0))</f>
        <v/>
      </c>
    </row>
    <row r="160">
      <c r="A160" s="29" t="n"/>
      <c r="B160" s="29" t="n"/>
      <c r="C160" s="29" t="n"/>
      <c r="D160" s="29" t="n"/>
      <c r="E160" s="29" t="n"/>
      <c r="F160" s="31" t="n"/>
      <c r="G160" s="34">
        <f>IF($A160="","",1)</f>
        <v/>
      </c>
      <c r="H160" s="34">
        <f>IF($A160="","",IF(OR($D160="ZORUNLU",$D160="HAZIRLIK"),1,0))</f>
        <v/>
      </c>
    </row>
    <row r="161">
      <c r="A161" s="29" t="n"/>
      <c r="B161" s="29" t="n"/>
      <c r="C161" s="29" t="n"/>
      <c r="D161" s="29" t="n"/>
      <c r="E161" s="29" t="n"/>
      <c r="F161" s="31" t="n"/>
      <c r="G161" s="34">
        <f>IF($A161="","",1)</f>
        <v/>
      </c>
      <c r="H161" s="34">
        <f>IF($A161="","",IF(OR($D161="ZORUNLU",$D161="HAZIRLIK"),1,0))</f>
        <v/>
      </c>
    </row>
    <row r="162">
      <c r="A162" s="29" t="n"/>
      <c r="B162" s="29" t="n"/>
      <c r="C162" s="29" t="n"/>
      <c r="D162" s="29" t="n"/>
      <c r="E162" s="29" t="n"/>
      <c r="F162" s="31" t="n"/>
      <c r="G162" s="34">
        <f>IF($A162="","",1)</f>
        <v/>
      </c>
      <c r="H162" s="34">
        <f>IF($A162="","",IF(OR($D162="ZORUNLU",$D162="HAZIRLIK"),1,0))</f>
        <v/>
      </c>
    </row>
    <row r="163">
      <c r="A163" s="29" t="n"/>
      <c r="B163" s="29" t="n"/>
      <c r="C163" s="29" t="n"/>
      <c r="D163" s="29" t="n"/>
      <c r="E163" s="29" t="n"/>
      <c r="F163" s="31" t="n"/>
      <c r="G163" s="34">
        <f>IF($A163="","",1)</f>
        <v/>
      </c>
      <c r="H163" s="34">
        <f>IF($A163="","",IF(OR($D163="ZORUNLU",$D163="HAZIRLIK"),1,0))</f>
        <v/>
      </c>
    </row>
    <row r="164">
      <c r="A164" s="29" t="n"/>
      <c r="B164" s="29" t="n"/>
      <c r="C164" s="29" t="n"/>
      <c r="D164" s="29" t="n"/>
      <c r="E164" s="29" t="n"/>
      <c r="F164" s="31" t="n"/>
      <c r="G164" s="34">
        <f>IF($A164="","",1)</f>
        <v/>
      </c>
      <c r="H164" s="34">
        <f>IF($A164="","",IF(OR($D164="ZORUNLU",$D164="HAZIRLIK"),1,0))</f>
        <v/>
      </c>
    </row>
    <row r="165">
      <c r="A165" s="29" t="n"/>
      <c r="B165" s="29" t="n"/>
      <c r="C165" s="29" t="n"/>
      <c r="D165" s="29" t="n"/>
      <c r="E165" s="29" t="n"/>
      <c r="F165" s="31" t="n"/>
      <c r="G165" s="34">
        <f>IF($A165="","",1)</f>
        <v/>
      </c>
      <c r="H165" s="34">
        <f>IF($A165="","",IF(OR($D165="ZORUNLU",$D165="HAZIRLIK"),1,0))</f>
        <v/>
      </c>
    </row>
    <row r="166">
      <c r="A166" s="29" t="n"/>
      <c r="B166" s="29" t="n"/>
      <c r="C166" s="29" t="n"/>
      <c r="D166" s="29" t="n"/>
      <c r="E166" s="29" t="n"/>
      <c r="F166" s="31" t="n"/>
      <c r="G166" s="34">
        <f>IF($A166="","",1)</f>
        <v/>
      </c>
      <c r="H166" s="34">
        <f>IF($A166="","",IF(OR($D166="ZORUNLU",$D166="HAZIRLIK"),1,0))</f>
        <v/>
      </c>
    </row>
    <row r="167">
      <c r="A167" s="29" t="n"/>
      <c r="B167" s="29" t="n"/>
      <c r="C167" s="29" t="n"/>
      <c r="D167" s="29" t="n"/>
      <c r="E167" s="29" t="n"/>
      <c r="F167" s="31" t="n"/>
      <c r="G167" s="34">
        <f>IF($A167="","",1)</f>
        <v/>
      </c>
      <c r="H167" s="34">
        <f>IF($A167="","",IF(OR($D167="ZORUNLU",$D167="HAZIRLIK"),1,0))</f>
        <v/>
      </c>
    </row>
    <row r="168">
      <c r="A168" s="29" t="n"/>
      <c r="B168" s="29" t="n"/>
      <c r="C168" s="29" t="n"/>
      <c r="D168" s="29" t="n"/>
      <c r="E168" s="29" t="n"/>
      <c r="F168" s="31" t="n"/>
      <c r="G168" s="34">
        <f>IF($A168="","",1)</f>
        <v/>
      </c>
      <c r="H168" s="34">
        <f>IF($A168="","",IF(OR($D168="ZORUNLU",$D168="HAZIRLIK"),1,0))</f>
        <v/>
      </c>
    </row>
    <row r="169">
      <c r="A169" s="29" t="n"/>
      <c r="B169" s="29" t="n"/>
      <c r="C169" s="29" t="n"/>
      <c r="D169" s="29" t="n"/>
      <c r="E169" s="29" t="n"/>
      <c r="F169" s="31" t="n"/>
      <c r="G169" s="34">
        <f>IF($A169="","",1)</f>
        <v/>
      </c>
      <c r="H169" s="34">
        <f>IF($A169="","",IF(OR($D169="ZORUNLU",$D169="HAZIRLIK"),1,0))</f>
        <v/>
      </c>
    </row>
    <row r="170">
      <c r="A170" s="29" t="n"/>
      <c r="B170" s="29" t="n"/>
      <c r="C170" s="29" t="n"/>
      <c r="D170" s="29" t="n"/>
      <c r="E170" s="29" t="n"/>
      <c r="F170" s="31" t="n"/>
      <c r="G170" s="34">
        <f>IF($A170="","",1)</f>
        <v/>
      </c>
      <c r="H170" s="34">
        <f>IF($A170="","",IF(OR($D170="ZORUNLU",$D170="HAZIRLIK"),1,0))</f>
        <v/>
      </c>
    </row>
    <row r="171">
      <c r="A171" s="29" t="n"/>
      <c r="B171" s="29" t="n"/>
      <c r="C171" s="29" t="n"/>
      <c r="D171" s="29" t="n"/>
      <c r="E171" s="29" t="n"/>
      <c r="F171" s="31" t="n"/>
      <c r="G171" s="34">
        <f>IF($A171="","",1)</f>
        <v/>
      </c>
      <c r="H171" s="34">
        <f>IF($A171="","",IF(OR($D171="ZORUNLU",$D171="HAZIRLIK"),1,0))</f>
        <v/>
      </c>
    </row>
    <row r="172">
      <c r="A172" s="29" t="n"/>
      <c r="B172" s="29" t="n"/>
      <c r="C172" s="29" t="n"/>
      <c r="D172" s="29" t="n"/>
      <c r="E172" s="29" t="n"/>
      <c r="F172" s="31" t="n"/>
      <c r="G172" s="34">
        <f>IF($A172="","",1)</f>
        <v/>
      </c>
      <c r="H172" s="34">
        <f>IF($A172="","",IF(OR($D172="ZORUNLU",$D172="HAZIRLIK"),1,0))</f>
        <v/>
      </c>
    </row>
    <row r="173">
      <c r="A173" s="29" t="n"/>
      <c r="B173" s="29" t="n"/>
      <c r="C173" s="29" t="n"/>
      <c r="D173" s="29" t="n"/>
      <c r="E173" s="29" t="n"/>
      <c r="F173" s="31" t="n"/>
      <c r="G173" s="34">
        <f>IF($A173="","",1)</f>
        <v/>
      </c>
      <c r="H173" s="34">
        <f>IF($A173="","",IF(OR($D173="ZORUNLU",$D173="HAZIRLIK"),1,0))</f>
        <v/>
      </c>
    </row>
    <row r="174">
      <c r="A174" s="29" t="n"/>
      <c r="B174" s="29" t="n"/>
      <c r="C174" s="29" t="n"/>
      <c r="D174" s="29" t="n"/>
      <c r="E174" s="29" t="n"/>
      <c r="F174" s="31" t="n"/>
      <c r="G174" s="34">
        <f>IF($A174="","",1)</f>
        <v/>
      </c>
      <c r="H174" s="34">
        <f>IF($A174="","",IF(OR($D174="ZORUNLU",$D174="HAZIRLIK"),1,0))</f>
        <v/>
      </c>
    </row>
    <row r="175">
      <c r="A175" s="29" t="n"/>
      <c r="B175" s="29" t="n"/>
      <c r="C175" s="29" t="n"/>
      <c r="D175" s="29" t="n"/>
      <c r="E175" s="29" t="n"/>
      <c r="F175" s="31" t="n"/>
      <c r="G175" s="34">
        <f>IF($A175="","",1)</f>
        <v/>
      </c>
      <c r="H175" s="34">
        <f>IF($A175="","",IF(OR($D175="ZORUNLU",$D175="HAZIRLIK"),1,0))</f>
        <v/>
      </c>
    </row>
    <row r="176">
      <c r="A176" s="29" t="n"/>
      <c r="B176" s="29" t="n"/>
      <c r="C176" s="29" t="n"/>
      <c r="D176" s="29" t="n"/>
      <c r="E176" s="29" t="n"/>
      <c r="F176" s="31" t="n"/>
      <c r="G176" s="34">
        <f>IF($A176="","",1)</f>
        <v/>
      </c>
      <c r="H176" s="34">
        <f>IF($A176="","",IF(OR($D176="ZORUNLU",$D176="HAZIRLIK"),1,0))</f>
        <v/>
      </c>
    </row>
    <row r="177">
      <c r="A177" s="29" t="n"/>
      <c r="B177" s="29" t="n"/>
      <c r="C177" s="29" t="n"/>
      <c r="D177" s="29" t="n"/>
      <c r="E177" s="29" t="n"/>
      <c r="F177" s="31" t="n"/>
      <c r="G177" s="34">
        <f>IF($A177="","",1)</f>
        <v/>
      </c>
      <c r="H177" s="34">
        <f>IF($A177="","",IF(OR($D177="ZORUNLU",$D177="HAZIRLIK"),1,0))</f>
        <v/>
      </c>
    </row>
    <row r="178">
      <c r="A178" s="29" t="n"/>
      <c r="B178" s="29" t="n"/>
      <c r="C178" s="29" t="n"/>
      <c r="D178" s="29" t="n"/>
      <c r="E178" s="29" t="n"/>
      <c r="F178" s="31" t="n"/>
      <c r="G178" s="34">
        <f>IF($A178="","",1)</f>
        <v/>
      </c>
      <c r="H178" s="34">
        <f>IF($A178="","",IF(OR($D178="ZORUNLU",$D178="HAZIRLIK"),1,0))</f>
        <v/>
      </c>
    </row>
    <row r="179">
      <c r="A179" s="29" t="n"/>
      <c r="B179" s="29" t="n"/>
      <c r="C179" s="29" t="n"/>
      <c r="D179" s="29" t="n"/>
      <c r="E179" s="29" t="n"/>
      <c r="F179" s="31" t="n"/>
      <c r="G179" s="34">
        <f>IF($A179="","",1)</f>
        <v/>
      </c>
      <c r="H179" s="34">
        <f>IF($A179="","",IF(OR($D179="ZORUNLU",$D179="HAZIRLIK"),1,0))</f>
        <v/>
      </c>
    </row>
    <row r="180">
      <c r="A180" s="29" t="n"/>
      <c r="B180" s="29" t="n"/>
      <c r="C180" s="29" t="n"/>
      <c r="D180" s="29" t="n"/>
      <c r="E180" s="29" t="n"/>
      <c r="F180" s="31" t="n"/>
      <c r="G180" s="34">
        <f>IF($A180="","",1)</f>
        <v/>
      </c>
      <c r="H180" s="34">
        <f>IF($A180="","",IF(OR($D180="ZORUNLU",$D180="HAZIRLIK"),1,0))</f>
        <v/>
      </c>
    </row>
    <row r="181">
      <c r="A181" s="29" t="n"/>
      <c r="B181" s="29" t="n"/>
      <c r="C181" s="29" t="n"/>
      <c r="D181" s="29" t="n"/>
      <c r="E181" s="29" t="n"/>
      <c r="F181" s="31" t="n"/>
      <c r="G181" s="34">
        <f>IF($A181="","",1)</f>
        <v/>
      </c>
      <c r="H181" s="34">
        <f>IF($A181="","",IF(OR($D181="ZORUNLU",$D181="HAZIRLIK"),1,0))</f>
        <v/>
      </c>
    </row>
    <row r="182">
      <c r="A182" s="29" t="n"/>
      <c r="B182" s="29" t="n"/>
      <c r="C182" s="29" t="n"/>
      <c r="D182" s="29" t="n"/>
      <c r="E182" s="29" t="n"/>
      <c r="F182" s="31" t="n"/>
      <c r="G182" s="34">
        <f>IF($A182="","",1)</f>
        <v/>
      </c>
      <c r="H182" s="34">
        <f>IF($A182="","",IF(OR($D182="ZORUNLU",$D182="HAZIRLIK"),1,0))</f>
        <v/>
      </c>
    </row>
    <row r="183">
      <c r="A183" s="29" t="n"/>
      <c r="B183" s="29" t="n"/>
      <c r="C183" s="29" t="n"/>
      <c r="D183" s="29" t="n"/>
      <c r="E183" s="29" t="n"/>
      <c r="F183" s="31" t="n"/>
      <c r="G183" s="34">
        <f>IF($A183="","",1)</f>
        <v/>
      </c>
      <c r="H183" s="34">
        <f>IF($A183="","",IF(OR($D183="ZORUNLU",$D183="HAZIRLIK"),1,0))</f>
        <v/>
      </c>
    </row>
    <row r="184">
      <c r="A184" s="29" t="n"/>
      <c r="B184" s="29" t="n"/>
      <c r="C184" s="29" t="n"/>
      <c r="D184" s="29" t="n"/>
      <c r="E184" s="29" t="n"/>
      <c r="F184" s="31" t="n"/>
      <c r="G184" s="34">
        <f>IF($A184="","",1)</f>
        <v/>
      </c>
      <c r="H184" s="34">
        <f>IF($A184="","",IF(OR($D184="ZORUNLU",$D184="HAZIRLIK"),1,0))</f>
        <v/>
      </c>
    </row>
    <row r="185">
      <c r="A185" s="29" t="n"/>
      <c r="B185" s="29" t="n"/>
      <c r="C185" s="29" t="n"/>
      <c r="D185" s="29" t="n"/>
      <c r="E185" s="29" t="n"/>
      <c r="F185" s="31" t="n"/>
      <c r="G185" s="34">
        <f>IF($A185="","",1)</f>
        <v/>
      </c>
      <c r="H185" s="34">
        <f>IF($A185="","",IF(OR($D185="ZORUNLU",$D185="HAZIRLIK"),1,0))</f>
        <v/>
      </c>
    </row>
    <row r="186">
      <c r="A186" s="29" t="n"/>
      <c r="B186" s="29" t="n"/>
      <c r="C186" s="29" t="n"/>
      <c r="D186" s="29" t="n"/>
      <c r="E186" s="29" t="n"/>
      <c r="F186" s="31" t="n"/>
      <c r="G186" s="34">
        <f>IF($A186="","",1)</f>
        <v/>
      </c>
      <c r="H186" s="34">
        <f>IF($A186="","",IF(OR($D186="ZORUNLU",$D186="HAZIRLIK"),1,0))</f>
        <v/>
      </c>
    </row>
    <row r="187">
      <c r="A187" s="29" t="n"/>
      <c r="B187" s="29" t="n"/>
      <c r="C187" s="29" t="n"/>
      <c r="D187" s="29" t="n"/>
      <c r="E187" s="29" t="n"/>
      <c r="F187" s="31" t="n"/>
      <c r="G187" s="34">
        <f>IF($A187="","",1)</f>
        <v/>
      </c>
      <c r="H187" s="34">
        <f>IF($A187="","",IF(OR($D187="ZORUNLU",$D187="HAZIRLIK"),1,0))</f>
        <v/>
      </c>
    </row>
    <row r="188">
      <c r="A188" s="29" t="n"/>
      <c r="B188" s="29" t="n"/>
      <c r="C188" s="29" t="n"/>
      <c r="D188" s="29" t="n"/>
      <c r="E188" s="29" t="n"/>
      <c r="F188" s="31" t="n"/>
      <c r="G188" s="34">
        <f>IF($A188="","",1)</f>
        <v/>
      </c>
      <c r="H188" s="34">
        <f>IF($A188="","",IF(OR($D188="ZORUNLU",$D188="HAZIRLIK"),1,0))</f>
        <v/>
      </c>
    </row>
    <row r="189">
      <c r="A189" s="29" t="n"/>
      <c r="B189" s="29" t="n"/>
      <c r="C189" s="29" t="n"/>
      <c r="D189" s="29" t="n"/>
      <c r="E189" s="29" t="n"/>
      <c r="F189" s="31" t="n"/>
      <c r="G189" s="34">
        <f>IF($A189="","",1)</f>
        <v/>
      </c>
      <c r="H189" s="34">
        <f>IF($A189="","",IF(OR($D189="ZORUNLU",$D189="HAZIRLIK"),1,0))</f>
        <v/>
      </c>
    </row>
    <row r="190">
      <c r="A190" s="29" t="n"/>
      <c r="B190" s="29" t="n"/>
      <c r="C190" s="29" t="n"/>
      <c r="D190" s="29" t="n"/>
      <c r="E190" s="29" t="n"/>
      <c r="F190" s="31" t="n"/>
      <c r="G190" s="34">
        <f>IF($A190="","",1)</f>
        <v/>
      </c>
      <c r="H190" s="34">
        <f>IF($A190="","",IF(OR($D190="ZORUNLU",$D190="HAZIRLIK"),1,0))</f>
        <v/>
      </c>
    </row>
    <row r="191">
      <c r="A191" s="29" t="n"/>
      <c r="B191" s="29" t="n"/>
      <c r="C191" s="29" t="n"/>
      <c r="D191" s="29" t="n"/>
      <c r="E191" s="29" t="n"/>
      <c r="F191" s="31" t="n"/>
      <c r="G191" s="34">
        <f>IF($A191="","",1)</f>
        <v/>
      </c>
      <c r="H191" s="34">
        <f>IF($A191="","",IF(OR($D191="ZORUNLU",$D191="HAZIRLIK"),1,0))</f>
        <v/>
      </c>
    </row>
    <row r="192">
      <c r="A192" s="29" t="n"/>
      <c r="B192" s="29" t="n"/>
      <c r="C192" s="29" t="n"/>
      <c r="D192" s="29" t="n"/>
      <c r="E192" s="29" t="n"/>
      <c r="F192" s="31" t="n"/>
      <c r="G192" s="34">
        <f>IF($A192="","",1)</f>
        <v/>
      </c>
      <c r="H192" s="34">
        <f>IF($A192="","",IF(OR($D192="ZORUNLU",$D192="HAZIRLIK"),1,0))</f>
        <v/>
      </c>
    </row>
    <row r="193">
      <c r="A193" s="29" t="n"/>
      <c r="B193" s="29" t="n"/>
      <c r="C193" s="29" t="n"/>
      <c r="D193" s="29" t="n"/>
      <c r="E193" s="29" t="n"/>
      <c r="F193" s="31" t="n"/>
      <c r="G193" s="34">
        <f>IF($A193="","",1)</f>
        <v/>
      </c>
      <c r="H193" s="34">
        <f>IF($A193="","",IF(OR($D193="ZORUNLU",$D193="HAZIRLIK"),1,0))</f>
        <v/>
      </c>
    </row>
    <row r="194">
      <c r="A194" s="29" t="n"/>
      <c r="B194" s="29" t="n"/>
      <c r="C194" s="29" t="n"/>
      <c r="D194" s="29" t="n"/>
      <c r="E194" s="29" t="n"/>
      <c r="F194" s="31" t="n"/>
      <c r="G194" s="34">
        <f>IF($A194="","",1)</f>
        <v/>
      </c>
      <c r="H194" s="34">
        <f>IF($A194="","",IF(OR($D194="ZORUNLU",$D194="HAZIRLIK"),1,0))</f>
        <v/>
      </c>
    </row>
    <row r="195">
      <c r="A195" s="29" t="n"/>
      <c r="B195" s="29" t="n"/>
      <c r="C195" s="29" t="n"/>
      <c r="D195" s="29" t="n"/>
      <c r="E195" s="29" t="n"/>
      <c r="F195" s="31" t="n"/>
      <c r="G195" s="34">
        <f>IF($A195="","",1)</f>
        <v/>
      </c>
      <c r="H195" s="34">
        <f>IF($A195="","",IF(OR($D195="ZORUNLU",$D195="HAZIRLIK"),1,0))</f>
        <v/>
      </c>
    </row>
    <row r="196">
      <c r="A196" s="29" t="n"/>
      <c r="B196" s="29" t="n"/>
      <c r="C196" s="29" t="n"/>
      <c r="D196" s="29" t="n"/>
      <c r="E196" s="29" t="n"/>
      <c r="F196" s="31" t="n"/>
      <c r="G196" s="34">
        <f>IF($A196="","",1)</f>
        <v/>
      </c>
      <c r="H196" s="34">
        <f>IF($A196="","",IF(OR($D196="ZORUNLU",$D196="HAZIRLIK"),1,0))</f>
        <v/>
      </c>
    </row>
    <row r="197">
      <c r="A197" s="29" t="n"/>
      <c r="B197" s="29" t="n"/>
      <c r="C197" s="29" t="n"/>
      <c r="D197" s="29" t="n"/>
      <c r="E197" s="29" t="n"/>
      <c r="F197" s="31" t="n"/>
      <c r="G197" s="34">
        <f>IF($A197="","",1)</f>
        <v/>
      </c>
      <c r="H197" s="34">
        <f>IF($A197="","",IF(OR($D197="ZORUNLU",$D197="HAZIRLIK"),1,0))</f>
        <v/>
      </c>
    </row>
    <row r="198">
      <c r="A198" s="29" t="n"/>
      <c r="B198" s="29" t="n"/>
      <c r="C198" s="29" t="n"/>
      <c r="D198" s="29" t="n"/>
      <c r="E198" s="29" t="n"/>
      <c r="F198" s="31" t="n"/>
      <c r="G198" s="34">
        <f>IF($A198="","",1)</f>
        <v/>
      </c>
      <c r="H198" s="34">
        <f>IF($A198="","",IF(OR($D198="ZORUNLU",$D198="HAZIRLIK"),1,0))</f>
        <v/>
      </c>
    </row>
    <row r="199">
      <c r="A199" s="29" t="n"/>
      <c r="B199" s="29" t="n"/>
      <c r="C199" s="29" t="n"/>
      <c r="D199" s="29" t="n"/>
      <c r="E199" s="29" t="n"/>
      <c r="F199" s="31" t="n"/>
      <c r="G199" s="34">
        <f>IF($A199="","",1)</f>
        <v/>
      </c>
      <c r="H199" s="34">
        <f>IF($A199="","",IF(OR($D199="ZORUNLU",$D199="HAZIRLIK"),1,0))</f>
        <v/>
      </c>
    </row>
    <row r="200">
      <c r="A200" s="29" t="n"/>
      <c r="B200" s="29" t="n"/>
      <c r="C200" s="29" t="n"/>
      <c r="D200" s="29" t="n"/>
      <c r="E200" s="29" t="n"/>
      <c r="F200" s="31" t="n"/>
      <c r="G200" s="34">
        <f>IF($A200="","",1)</f>
        <v/>
      </c>
      <c r="H200" s="34">
        <f>IF($A200="","",IF(OR($D200="ZORUNLU",$D200="HAZIRLIK"),1,0))</f>
        <v/>
      </c>
    </row>
    <row r="201">
      <c r="A201" s="29" t="n"/>
      <c r="B201" s="29" t="n"/>
      <c r="C201" s="29" t="n"/>
      <c r="D201" s="29" t="n"/>
      <c r="E201" s="29" t="n"/>
      <c r="F201" s="31" t="n"/>
      <c r="G201" s="34">
        <f>IF($A201="","",1)</f>
        <v/>
      </c>
      <c r="H201" s="34">
        <f>IF($A201="","",IF(OR($D201="ZORUNLU",$D201="HAZIRLIK"),1,0))</f>
        <v/>
      </c>
    </row>
    <row r="202">
      <c r="A202" s="29" t="n"/>
      <c r="B202" s="29" t="n"/>
      <c r="C202" s="29" t="n"/>
      <c r="D202" s="29" t="n"/>
      <c r="E202" s="29" t="n"/>
      <c r="F202" s="31" t="n"/>
      <c r="G202" s="34">
        <f>IF($A202="","",1)</f>
        <v/>
      </c>
      <c r="H202" s="34">
        <f>IF($A202="","",IF(OR($D202="ZORUNLU",$D202="HAZIRLIK"),1,0))</f>
        <v/>
      </c>
    </row>
    <row r="203">
      <c r="A203" s="29" t="n"/>
      <c r="B203" s="29" t="n"/>
      <c r="C203" s="29" t="n"/>
      <c r="D203" s="29" t="n"/>
      <c r="E203" s="29" t="n"/>
      <c r="F203" s="31" t="n"/>
      <c r="G203" s="34">
        <f>IF($A203="","",1)</f>
        <v/>
      </c>
      <c r="H203" s="34">
        <f>IF($A203="","",IF(OR($D203="ZORUNLU",$D203="HAZIRLIK"),1,0))</f>
        <v/>
      </c>
    </row>
    <row r="204">
      <c r="A204" s="29" t="n"/>
      <c r="B204" s="29" t="n"/>
      <c r="C204" s="29" t="n"/>
      <c r="D204" s="29" t="n"/>
      <c r="E204" s="29" t="n"/>
      <c r="F204" s="31" t="n"/>
      <c r="G204" s="34">
        <f>IF($A204="","",1)</f>
        <v/>
      </c>
      <c r="H204" s="34">
        <f>IF($A204="","",IF(OR($D204="ZORUNLU",$D204="HAZIRLIK"),1,0))</f>
        <v/>
      </c>
    </row>
    <row r="205">
      <c r="A205" s="29" t="n"/>
      <c r="B205" s="29" t="n"/>
      <c r="C205" s="29" t="n"/>
      <c r="D205" s="29" t="n"/>
      <c r="E205" s="29" t="n"/>
      <c r="F205" s="31" t="n"/>
      <c r="G205" s="34">
        <f>IF($A205="","",1)</f>
        <v/>
      </c>
      <c r="H205" s="34">
        <f>IF($A205="","",IF(OR($D205="ZORUNLU",$D205="HAZIRLIK"),1,0))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D6:D205">
    <cfRule type="cellIs" priority="1" operator="equal" dxfId="8">
      <formula>"ZORUNLU"</formula>
    </cfRule>
    <cfRule type="cellIs" priority="2" operator="equal" dxfId="9">
      <formula>"HAZIRLIK"</formula>
    </cfRule>
    <cfRule type="cellIs" priority="3" operator="equal" dxfId="3">
      <formula>"ESIK_ALTI"</formula>
    </cfRule>
  </conditionalFormatting>
  <dataValidations count="2">
    <dataValidation sqref="E6:E205" showDropDown="0" showInputMessage="1" showErrorMessage="1" allowBlank="1" errorTitle="Liste" error="Listeden seçin" promptTitle="Aktif" prompt="Evet veya Hayır" type="list" errorStyle="stop">
      <formula1>ListeEvetHayir</formula1>
    </dataValidation>
    <dataValidation sqref="C6:C205" showDropDown="0" showInputMessage="1" showErrorMessage="1" allowBlank="1" errorTitle="Liste" error="Listeden seçin" promptTitle="Kural" prompt="EBR kodu" type="list" errorStyle="stop">
      <formula1>ListeKural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0F2742"/>
    <outlinePr summaryBelow="1" summaryRight="1"/>
    <pageSetUpPr/>
  </sheetPr>
  <dimension ref="A1:AC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.5" customWidth="1" min="2" max="2"/>
    <col width="23.5" customWidth="1" min="3" max="3"/>
    <col width="23.5" customWidth="1" min="4" max="4"/>
    <col width="15.5" customWidth="1" min="5" max="5"/>
    <col width="14.5" customWidth="1" min="6" max="6"/>
    <col width="14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.5" customWidth="1" min="14" max="14"/>
    <col width="16.5" customWidth="1" min="15" max="15"/>
    <col width="16.5" customWidth="1" min="16" max="16"/>
    <col width="14" customWidth="1" min="17" max="17"/>
    <col width="13" customWidth="1" min="18" max="18"/>
  </cols>
  <sheetData>
    <row r="1" ht="32" customHeight="1">
      <c r="A1" s="198" t="inlineStr">
        <is>
          <t>EYLEM PLANI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  <c r="J1" s="199" t="n"/>
      <c r="K1" s="199" t="n"/>
      <c r="L1" s="199" t="n"/>
      <c r="M1" s="199" t="n"/>
      <c r="N1" s="199" t="n"/>
      <c r="O1" s="199" t="n"/>
      <c r="P1" s="199" t="n"/>
      <c r="Q1" s="199" t="n"/>
    </row>
    <row r="2"/>
    <row r="3" ht="22" customHeight="1">
      <c r="A3" s="219" t="inlineStr">
        <is>
          <t>Geçiş eylemleri — durum makinesi + yetim + geçiş + zincir</t>
        </is>
      </c>
    </row>
    <row r="4"/>
    <row r="5" ht="30" customHeight="1">
      <c r="A5" s="18" t="inlineStr">
        <is>
          <t>EylemId</t>
        </is>
      </c>
      <c r="B5" s="18" t="inlineStr">
        <is>
          <t>KaynakBelgeId</t>
        </is>
      </c>
      <c r="C5" s="18" t="inlineStr">
        <is>
          <t>Tarih</t>
        </is>
      </c>
      <c r="D5" s="18" t="inlineStr">
        <is>
          <t>Termin</t>
        </is>
      </c>
      <c r="E5" s="18" t="inlineStr">
        <is>
          <t>OncekiDurum</t>
        </is>
      </c>
      <c r="F5" s="18" t="inlineStr">
        <is>
          <t>Durum</t>
        </is>
      </c>
      <c r="G5" s="18" t="inlineStr">
        <is>
          <t>Sorumlu</t>
        </is>
      </c>
      <c r="H5" s="18" t="inlineStr">
        <is>
          <t>Aciklama</t>
        </is>
      </c>
      <c r="I5" s="18" t="inlineStr">
        <is>
          <t>IlkSkor</t>
        </is>
      </c>
      <c r="J5" s="18" t="inlineStr">
        <is>
          <t>HedefSkor</t>
        </is>
      </c>
      <c r="K5" s="18" t="inlineStr">
        <is>
          <t>Tutar</t>
        </is>
      </c>
      <c r="L5" s="18" t="inlineStr">
        <is>
          <t>YasGun</t>
        </is>
      </c>
      <c r="M5" s="18" t="inlineStr">
        <is>
          <t>YasKova</t>
        </is>
      </c>
      <c r="N5" s="18" t="inlineStr">
        <is>
          <t>YetimBayrak</t>
        </is>
      </c>
      <c r="O5" s="18" t="inlineStr">
        <is>
          <t>GecisUyarisi</t>
        </is>
      </c>
      <c r="P5" s="18" t="inlineStr">
        <is>
          <t>ZincirBayrak</t>
        </is>
      </c>
      <c r="Q5" s="18" t="inlineStr">
        <is>
          <t>KayitDolu</t>
        </is>
      </c>
    </row>
    <row r="6">
      <c r="A6" s="29" t="inlineStr">
        <is>
          <t>EYL-00001</t>
        </is>
      </c>
      <c r="B6" s="29" t="inlineStr">
        <is>
          <t>EBV-00001</t>
        </is>
      </c>
      <c r="C6" s="47" t="n">
        <v>46240</v>
      </c>
      <c r="D6" s="47" t="n">
        <v>46238</v>
      </c>
      <c r="E6" s="29" t="n"/>
      <c r="F6" s="29" t="inlineStr">
        <is>
          <t>PLANLANDI</t>
        </is>
      </c>
      <c r="G6" s="29" t="inlineStr">
        <is>
          <t>Sorumlu 2</t>
        </is>
      </c>
      <c r="H6" s="29" t="inlineStr">
        <is>
          <t>e-Belge geçiş eylemi 1</t>
        </is>
      </c>
      <c r="I6" s="30" t="n">
        <v>50</v>
      </c>
      <c r="J6" s="30" t="n">
        <v>42</v>
      </c>
      <c r="K6" s="31" t="n">
        <v>9000</v>
      </c>
      <c r="L6" s="34">
        <f>IF($A6="","",IF($C6="","",raporTarihi-$C6))</f>
        <v/>
      </c>
      <c r="M6" s="34">
        <f>IF($A6="","",IF($L6="","",IF($L6&lt;=7,"0-7",IF($L6&lt;=30,"8-30",IF($L6&lt;=60,"31-60","60+")))))</f>
        <v/>
      </c>
      <c r="N6" s="34">
        <f>IF($A6="","",IF($B6="","YETİM",IF(COUNTIF(tblEnvanter[BelgeId],$B6)=0,"YETİM","")))</f>
        <v/>
      </c>
      <c r="O6" s="34">
        <f>IF(OR($A6="",$E6=""),"",IF(OR($E6&amp;"|"&amp;$F6="",COUNTIF(ListeIzinliGecis,$E6&amp;"|"&amp;$F6)&gt;0),"","GEÇERSİZ GEÇİŞ"))</f>
        <v/>
      </c>
      <c r="P6" s="34">
        <f>IF($A6="","",IF(OR($I6="",$J6=""),"",IF(ABS($J6-$I6)&gt;zincirTolerans,"ZİNCİR KIRIK","OK")))</f>
        <v/>
      </c>
      <c r="Q6" s="34">
        <f>IF($A6="","",1)</f>
        <v/>
      </c>
    </row>
    <row r="7">
      <c r="A7" s="29" t="inlineStr">
        <is>
          <t>EYL-00002</t>
        </is>
      </c>
      <c r="B7" s="29" t="inlineStr">
        <is>
          <t>EBV-00002</t>
        </is>
      </c>
      <c r="C7" s="47" t="n">
        <v>46235</v>
      </c>
      <c r="D7" s="47" t="n">
        <v>46239</v>
      </c>
      <c r="E7" s="29" t="inlineStr">
        <is>
          <t>PLANLANDI</t>
        </is>
      </c>
      <c r="F7" s="29" t="inlineStr">
        <is>
          <t>DEVAM</t>
        </is>
      </c>
      <c r="G7" s="29" t="inlineStr">
        <is>
          <t>Sorumlu 3</t>
        </is>
      </c>
      <c r="H7" s="29" t="inlineStr">
        <is>
          <t>e-Belge geçiş eylemi 2</t>
        </is>
      </c>
      <c r="I7" s="30" t="n">
        <v>60</v>
      </c>
      <c r="J7" s="30" t="n">
        <v>44</v>
      </c>
      <c r="K7" s="31" t="n">
        <v>10800</v>
      </c>
      <c r="L7" s="34">
        <f>IF($A7="","",IF($C7="","",raporTarihi-$C7))</f>
        <v/>
      </c>
      <c r="M7" s="34">
        <f>IF($A7="","",IF($L7="","",IF($L7&lt;=7,"0-7",IF($L7&lt;=30,"8-30",IF($L7&lt;=60,"31-60","60+")))))</f>
        <v/>
      </c>
      <c r="N7" s="34">
        <f>IF($A7="","",IF($B7="","YETİM",IF(COUNTIF(tblEnvanter[BelgeId],$B7)=0,"YETİM","")))</f>
        <v/>
      </c>
      <c r="O7" s="34">
        <f>IF(OR($A7="",$E7=""),"",IF(OR($E7&amp;"|"&amp;$F7="",COUNTIF(ListeIzinliGecis,$E7&amp;"|"&amp;$F7)&gt;0),"","GEÇERSİZ GEÇİŞ"))</f>
        <v/>
      </c>
      <c r="P7" s="34">
        <f>IF($A7="","",IF(OR($I7="",$J7=""),"",IF(ABS($J7-$I7)&gt;zincirTolerans,"ZİNCİR KIRIK","OK")))</f>
        <v/>
      </c>
      <c r="Q7" s="34">
        <f>IF($A7="","",1)</f>
        <v/>
      </c>
    </row>
    <row r="8">
      <c r="A8" s="29" t="inlineStr">
        <is>
          <t>EYL-00003</t>
        </is>
      </c>
      <c r="B8" s="29" t="inlineStr">
        <is>
          <t>EBV-00003</t>
        </is>
      </c>
      <c r="C8" s="47" t="n">
        <v>46230</v>
      </c>
      <c r="D8" s="47" t="n">
        <v>46240</v>
      </c>
      <c r="E8" s="29" t="inlineStr">
        <is>
          <t>DEVAM</t>
        </is>
      </c>
      <c r="F8" s="29" t="inlineStr">
        <is>
          <t>BEKLIYOR</t>
        </is>
      </c>
      <c r="G8" s="29" t="inlineStr">
        <is>
          <t>Sorumlu 4</t>
        </is>
      </c>
      <c r="H8" s="29" t="inlineStr">
        <is>
          <t>e-Belge geçiş eylemi 3</t>
        </is>
      </c>
      <c r="I8" s="30" t="n">
        <v>70</v>
      </c>
      <c r="J8" s="30" t="n">
        <v>46</v>
      </c>
      <c r="K8" s="31" t="n">
        <v>12600</v>
      </c>
      <c r="L8" s="34">
        <f>IF($A8="","",IF($C8="","",raporTarihi-$C8))</f>
        <v/>
      </c>
      <c r="M8" s="34">
        <f>IF($A8="","",IF($L8="","",IF($L8&lt;=7,"0-7",IF($L8&lt;=30,"8-30",IF($L8&lt;=60,"31-60","60+")))))</f>
        <v/>
      </c>
      <c r="N8" s="34">
        <f>IF($A8="","",IF($B8="","YETİM",IF(COUNTIF(tblEnvanter[BelgeId],$B8)=0,"YETİM","")))</f>
        <v/>
      </c>
      <c r="O8" s="34">
        <f>IF(OR($A8="",$E8=""),"",IF(OR($E8&amp;"|"&amp;$F8="",COUNTIF(ListeIzinliGecis,$E8&amp;"|"&amp;$F8)&gt;0),"","GEÇERSİZ GEÇİŞ"))</f>
        <v/>
      </c>
      <c r="P8" s="34">
        <f>IF($A8="","",IF(OR($I8="",$J8=""),"",IF(ABS($J8-$I8)&gt;zincirTolerans,"ZİNCİR KIRIK","OK")))</f>
        <v/>
      </c>
      <c r="Q8" s="34">
        <f>IF($A8="","",1)</f>
        <v/>
      </c>
    </row>
    <row r="9">
      <c r="A9" s="29" t="inlineStr">
        <is>
          <t>EYL-00004</t>
        </is>
      </c>
      <c r="B9" s="29" t="inlineStr">
        <is>
          <t>EBV-00004</t>
        </is>
      </c>
      <c r="C9" s="47" t="n">
        <v>46225</v>
      </c>
      <c r="D9" s="47" t="n">
        <v>46241</v>
      </c>
      <c r="E9" s="29" t="inlineStr">
        <is>
          <t>BEKLIYOR</t>
        </is>
      </c>
      <c r="F9" s="29" t="inlineStr">
        <is>
          <t>TAMAMLANDI</t>
        </is>
      </c>
      <c r="G9" s="29" t="inlineStr">
        <is>
          <t>Sorumlu 5</t>
        </is>
      </c>
      <c r="H9" s="29" t="inlineStr">
        <is>
          <t>e-Belge geçiş eylemi 4</t>
        </is>
      </c>
      <c r="I9" s="30" t="n">
        <v>80</v>
      </c>
      <c r="J9" s="30" t="n">
        <v>80</v>
      </c>
      <c r="K9" s="31" t="n">
        <v>14400</v>
      </c>
      <c r="L9" s="34">
        <f>IF($A9="","",IF($C9="","",raporTarihi-$C9))</f>
        <v/>
      </c>
      <c r="M9" s="34">
        <f>IF($A9="","",IF($L9="","",IF($L9&lt;=7,"0-7",IF($L9&lt;=30,"8-30",IF($L9&lt;=60,"31-60","60+")))))</f>
        <v/>
      </c>
      <c r="N9" s="34">
        <f>IF($A9="","",IF($B9="","YETİM",IF(COUNTIF(tblEnvanter[BelgeId],$B9)=0,"YETİM","")))</f>
        <v/>
      </c>
      <c r="O9" s="34">
        <f>IF(OR($A9="",$E9=""),"",IF(OR($E9&amp;"|"&amp;$F9="",COUNTIF(ListeIzinliGecis,$E9&amp;"|"&amp;$F9)&gt;0),"","GEÇERSİZ GEÇİŞ"))</f>
        <v/>
      </c>
      <c r="P9" s="34">
        <f>IF($A9="","",IF(OR($I9="",$J9=""),"",IF(ABS($J9-$I9)&gt;zincirTolerans,"ZİNCİR KIRIK","OK")))</f>
        <v/>
      </c>
      <c r="Q9" s="34">
        <f>IF($A9="","",1)</f>
        <v/>
      </c>
    </row>
    <row r="10">
      <c r="A10" s="29" t="inlineStr">
        <is>
          <t>EYL-00005</t>
        </is>
      </c>
      <c r="B10" s="29" t="inlineStr">
        <is>
          <t>EBV-00005</t>
        </is>
      </c>
      <c r="C10" s="47" t="n">
        <v>46220</v>
      </c>
      <c r="D10" s="47" t="n">
        <v>46242</v>
      </c>
      <c r="E10" s="29" t="inlineStr">
        <is>
          <t>DEVAM</t>
        </is>
      </c>
      <c r="F10" s="29" t="inlineStr">
        <is>
          <t>IPTAL</t>
        </is>
      </c>
      <c r="G10" s="29" t="inlineStr">
        <is>
          <t>Sorumlu 1</t>
        </is>
      </c>
      <c r="H10" s="29" t="inlineStr">
        <is>
          <t>e-Belge geçiş eylemi 5</t>
        </is>
      </c>
      <c r="I10" s="30" t="n">
        <v>40</v>
      </c>
      <c r="J10" s="30" t="n">
        <v>32</v>
      </c>
      <c r="K10" s="31" t="n">
        <v>7200</v>
      </c>
      <c r="L10" s="34">
        <f>IF($A10="","",IF($C10="","",raporTarihi-$C10))</f>
        <v/>
      </c>
      <c r="M10" s="34">
        <f>IF($A10="","",IF($L10="","",IF($L10&lt;=7,"0-7",IF($L10&lt;=30,"8-30",IF($L10&lt;=60,"31-60","60+")))))</f>
        <v/>
      </c>
      <c r="N10" s="34">
        <f>IF($A10="","",IF($B10="","YETİM",IF(COUNTIF(tblEnvanter[BelgeId],$B10)=0,"YETİM","")))</f>
        <v/>
      </c>
      <c r="O10" s="34">
        <f>IF(OR($A10="",$E10=""),"",IF(OR($E10&amp;"|"&amp;$F10="",COUNTIF(ListeIzinliGecis,$E10&amp;"|"&amp;$F10)&gt;0),"","GEÇERSİZ GEÇİŞ"))</f>
        <v/>
      </c>
      <c r="P10" s="34">
        <f>IF($A10="","",IF(OR($I10="",$J10=""),"",IF(ABS($J10-$I10)&gt;zincirTolerans,"ZİNCİR KIRIK","OK")))</f>
        <v/>
      </c>
      <c r="Q10" s="34">
        <f>IF($A10="","",1)</f>
        <v/>
      </c>
    </row>
    <row r="11">
      <c r="A11" s="29" t="inlineStr">
        <is>
          <t>EYL-00006</t>
        </is>
      </c>
      <c r="B11" s="29" t="inlineStr">
        <is>
          <t>EBV-00006</t>
        </is>
      </c>
      <c r="C11" s="47" t="n">
        <v>46215</v>
      </c>
      <c r="D11" s="47" t="n">
        <v>46243</v>
      </c>
      <c r="E11" s="29" t="inlineStr">
        <is>
          <t>PLANLANDI</t>
        </is>
      </c>
      <c r="F11" s="29" t="inlineStr">
        <is>
          <t>DEVAM</t>
        </is>
      </c>
      <c r="G11" s="29" t="inlineStr">
        <is>
          <t>Sorumlu 2</t>
        </is>
      </c>
      <c r="H11" s="29" t="inlineStr">
        <is>
          <t>e-Belge geçiş eylemi 6</t>
        </is>
      </c>
      <c r="I11" s="30" t="n">
        <v>50</v>
      </c>
      <c r="J11" s="30" t="n">
        <v>34</v>
      </c>
      <c r="K11" s="31" t="n">
        <v>9000</v>
      </c>
      <c r="L11" s="34">
        <f>IF($A11="","",IF($C11="","",raporTarihi-$C11))</f>
        <v/>
      </c>
      <c r="M11" s="34">
        <f>IF($A11="","",IF($L11="","",IF($L11&lt;=7,"0-7",IF($L11&lt;=30,"8-30",IF($L11&lt;=60,"31-60","60+")))))</f>
        <v/>
      </c>
      <c r="N11" s="34">
        <f>IF($A11="","",IF($B11="","YETİM",IF(COUNTIF(tblEnvanter[BelgeId],$B11)=0,"YETİM","")))</f>
        <v/>
      </c>
      <c r="O11" s="34">
        <f>IF(OR($A11="",$E11=""),"",IF(OR($E11&amp;"|"&amp;$F11="",COUNTIF(ListeIzinliGecis,$E11&amp;"|"&amp;$F11)&gt;0),"","GEÇERSİZ GEÇİŞ"))</f>
        <v/>
      </c>
      <c r="P11" s="34">
        <f>IF($A11="","",IF(OR($I11="",$J11=""),"",IF(ABS($J11-$I11)&gt;zincirTolerans,"ZİNCİR KIRIK","OK")))</f>
        <v/>
      </c>
      <c r="Q11" s="34">
        <f>IF($A11="","",1)</f>
        <v/>
      </c>
    </row>
    <row r="12">
      <c r="A12" s="29" t="inlineStr">
        <is>
          <t>EYL-00007</t>
        </is>
      </c>
      <c r="B12" s="29" t="inlineStr">
        <is>
          <t>EBV-00007</t>
        </is>
      </c>
      <c r="C12" s="47" t="n">
        <v>46210</v>
      </c>
      <c r="D12" s="47" t="n">
        <v>46244</v>
      </c>
      <c r="E12" s="29" t="inlineStr">
        <is>
          <t>DEVAM</t>
        </is>
      </c>
      <c r="F12" s="29" t="inlineStr">
        <is>
          <t>BEKLIYOR</t>
        </is>
      </c>
      <c r="G12" s="29" t="inlineStr">
        <is>
          <t>Sorumlu 3</t>
        </is>
      </c>
      <c r="H12" s="29" t="inlineStr">
        <is>
          <t>e-Belge geçiş eylemi 7</t>
        </is>
      </c>
      <c r="I12" s="30" t="n">
        <v>60</v>
      </c>
      <c r="J12" s="30" t="n">
        <v>36</v>
      </c>
      <c r="K12" s="31" t="n">
        <v>10800</v>
      </c>
      <c r="L12" s="34">
        <f>IF($A12="","",IF($C12="","",raporTarihi-$C12))</f>
        <v/>
      </c>
      <c r="M12" s="34">
        <f>IF($A12="","",IF($L12="","",IF($L12&lt;=7,"0-7",IF($L12&lt;=30,"8-30",IF($L12&lt;=60,"31-60","60+")))))</f>
        <v/>
      </c>
      <c r="N12" s="34">
        <f>IF($A12="","",IF($B12="","YETİM",IF(COUNTIF(tblEnvanter[BelgeId],$B12)=0,"YETİM","")))</f>
        <v/>
      </c>
      <c r="O12" s="34">
        <f>IF(OR($A12="",$E12=""),"",IF(OR($E12&amp;"|"&amp;$F12="",COUNTIF(ListeIzinliGecis,$E12&amp;"|"&amp;$F12)&gt;0),"","GEÇERSİZ GEÇİŞ"))</f>
        <v/>
      </c>
      <c r="P12" s="34">
        <f>IF($A12="","",IF(OR($I12="",$J12=""),"",IF(ABS($J12-$I12)&gt;zincirTolerans,"ZİNCİR KIRIK","OK")))</f>
        <v/>
      </c>
      <c r="Q12" s="34">
        <f>IF($A12="","",1)</f>
        <v/>
      </c>
    </row>
    <row r="13">
      <c r="A13" s="29" t="inlineStr">
        <is>
          <t>EYL-00008</t>
        </is>
      </c>
      <c r="B13" s="29" t="inlineStr">
        <is>
          <t>EBV-00008</t>
        </is>
      </c>
      <c r="C13" s="47" t="n">
        <v>46205</v>
      </c>
      <c r="D13" s="47" t="n">
        <v>46245</v>
      </c>
      <c r="E13" s="29" t="inlineStr">
        <is>
          <t>PLANLANDI</t>
        </is>
      </c>
      <c r="F13" s="29" t="inlineStr">
        <is>
          <t>PLANLANDI</t>
        </is>
      </c>
      <c r="G13" s="29" t="inlineStr">
        <is>
          <t>Sorumlu 4</t>
        </is>
      </c>
      <c r="H13" s="29" t="inlineStr">
        <is>
          <t>e-Belge geçiş eylemi 8</t>
        </is>
      </c>
      <c r="I13" s="30" t="n">
        <v>70</v>
      </c>
      <c r="J13" s="30" t="n">
        <v>120</v>
      </c>
      <c r="K13" s="31" t="n">
        <v>12600</v>
      </c>
      <c r="L13" s="34">
        <f>IF($A13="","",IF($C13="","",raporTarihi-$C13))</f>
        <v/>
      </c>
      <c r="M13" s="34">
        <f>IF($A13="","",IF($L13="","",IF($L13&lt;=7,"0-7",IF($L13&lt;=30,"8-30",IF($L13&lt;=60,"31-60","60+")))))</f>
        <v/>
      </c>
      <c r="N13" s="34">
        <f>IF($A13="","",IF($B13="","YETİM",IF(COUNTIF(tblEnvanter[BelgeId],$B13)=0,"YETİM","")))</f>
        <v/>
      </c>
      <c r="O13" s="34">
        <f>IF(OR($A13="",$E13=""),"",IF(OR($E13&amp;"|"&amp;$F13="",COUNTIF(ListeIzinliGecis,$E13&amp;"|"&amp;$F13)&gt;0),"","GEÇERSİZ GEÇİŞ"))</f>
        <v/>
      </c>
      <c r="P13" s="34">
        <f>IF($A13="","",IF(OR($I13="",$J13=""),"",IF(ABS($J13-$I13)&gt;zincirTolerans,"ZİNCİR KIRIK","OK")))</f>
        <v/>
      </c>
      <c r="Q13" s="34">
        <f>IF($A13="","",1)</f>
        <v/>
      </c>
    </row>
    <row r="14">
      <c r="A14" s="29" t="inlineStr">
        <is>
          <t>EYL-00009</t>
        </is>
      </c>
      <c r="B14" s="29" t="inlineStr">
        <is>
          <t>EBV-00001</t>
        </is>
      </c>
      <c r="C14" s="47" t="n">
        <v>46200</v>
      </c>
      <c r="D14" s="47" t="n">
        <v>46246</v>
      </c>
      <c r="E14" s="29" t="n"/>
      <c r="F14" s="29" t="inlineStr">
        <is>
          <t>PLANLANDI</t>
        </is>
      </c>
      <c r="G14" s="29" t="inlineStr">
        <is>
          <t>Sorumlu 5</t>
        </is>
      </c>
      <c r="H14" s="29" t="inlineStr">
        <is>
          <t>e-Belge geçiş eylemi 9</t>
        </is>
      </c>
      <c r="I14" s="30" t="n">
        <v>80</v>
      </c>
      <c r="J14" s="30" t="n">
        <v>72</v>
      </c>
      <c r="K14" s="31" t="n">
        <v>14400</v>
      </c>
      <c r="L14" s="34">
        <f>IF($A14="","",IF($C14="","",raporTarihi-$C14))</f>
        <v/>
      </c>
      <c r="M14" s="34">
        <f>IF($A14="","",IF($L14="","",IF($L14&lt;=7,"0-7",IF($L14&lt;=30,"8-30",IF($L14&lt;=60,"31-60","60+")))))</f>
        <v/>
      </c>
      <c r="N14" s="34">
        <f>IF($A14="","",IF($B14="","YETİM",IF(COUNTIF(tblEnvanter[BelgeId],$B14)=0,"YETİM","")))</f>
        <v/>
      </c>
      <c r="O14" s="34">
        <f>IF(OR($A14="",$E14=""),"",IF(OR($E14&amp;"|"&amp;$F14="",COUNTIF(ListeIzinliGecis,$E14&amp;"|"&amp;$F14)&gt;0),"","GEÇERSİZ GEÇİŞ"))</f>
        <v/>
      </c>
      <c r="P14" s="34">
        <f>IF($A14="","",IF(OR($I14="",$J14=""),"",IF(ABS($J14-$I14)&gt;zincirTolerans,"ZİNCİR KIRIK","OK")))</f>
        <v/>
      </c>
      <c r="Q14" s="34">
        <f>IF($A14="","",1)</f>
        <v/>
      </c>
    </row>
    <row r="15">
      <c r="A15" s="29" t="inlineStr">
        <is>
          <t>EYL-00010</t>
        </is>
      </c>
      <c r="B15" s="29" t="inlineStr">
        <is>
          <t>EBV-00002</t>
        </is>
      </c>
      <c r="C15" s="47" t="n">
        <v>46195</v>
      </c>
      <c r="D15" s="47" t="n">
        <v>46247</v>
      </c>
      <c r="E15" s="29" t="inlineStr">
        <is>
          <t>PLANLANDI</t>
        </is>
      </c>
      <c r="F15" s="29" t="inlineStr">
        <is>
          <t>TAMAMLANDI</t>
        </is>
      </c>
      <c r="G15" s="29" t="inlineStr">
        <is>
          <t>Sorumlu 1</t>
        </is>
      </c>
      <c r="H15" s="29" t="inlineStr">
        <is>
          <t>e-Belge geçiş eylemi 10</t>
        </is>
      </c>
      <c r="I15" s="30" t="n">
        <v>40</v>
      </c>
      <c r="J15" s="30" t="n">
        <v>24</v>
      </c>
      <c r="K15" s="31" t="n">
        <v>7200</v>
      </c>
      <c r="L15" s="34">
        <f>IF($A15="","",IF($C15="","",raporTarihi-$C15))</f>
        <v/>
      </c>
      <c r="M15" s="34">
        <f>IF($A15="","",IF($L15="","",IF($L15&lt;=7,"0-7",IF($L15&lt;=30,"8-30",IF($L15&lt;=60,"31-60","60+")))))</f>
        <v/>
      </c>
      <c r="N15" s="34">
        <f>IF($A15="","",IF($B15="","YETİM",IF(COUNTIF(tblEnvanter[BelgeId],$B15)=0,"YETİM","")))</f>
        <v/>
      </c>
      <c r="O15" s="34">
        <f>IF(OR($A15="",$E15=""),"",IF(OR($E15&amp;"|"&amp;$F15="",COUNTIF(ListeIzinliGecis,$E15&amp;"|"&amp;$F15)&gt;0),"","GEÇERSİZ GEÇİŞ"))</f>
        <v/>
      </c>
      <c r="P15" s="34">
        <f>IF($A15="","",IF(OR($I15="",$J15=""),"",IF(ABS($J15-$I15)&gt;zincirTolerans,"ZİNCİR KIRIK","OK")))</f>
        <v/>
      </c>
      <c r="Q15" s="34">
        <f>IF($A15="","",1)</f>
        <v/>
      </c>
    </row>
    <row r="16">
      <c r="A16" s="29" t="inlineStr">
        <is>
          <t>EYL-00011</t>
        </is>
      </c>
      <c r="B16" s="29" t="inlineStr">
        <is>
          <t>EBV-00003</t>
        </is>
      </c>
      <c r="C16" s="47" t="n">
        <v>46190</v>
      </c>
      <c r="D16" s="47" t="n">
        <v>46248</v>
      </c>
      <c r="E16" s="29" t="inlineStr">
        <is>
          <t>DEVAM</t>
        </is>
      </c>
      <c r="F16" s="29" t="inlineStr">
        <is>
          <t>BEKLIYOR</t>
        </is>
      </c>
      <c r="G16" s="29" t="inlineStr">
        <is>
          <t>Sorumlu 2</t>
        </is>
      </c>
      <c r="H16" s="29" t="inlineStr">
        <is>
          <t>e-Belge geçiş eylemi 11</t>
        </is>
      </c>
      <c r="I16" s="30" t="n">
        <v>50</v>
      </c>
      <c r="J16" s="30" t="n">
        <v>100</v>
      </c>
      <c r="K16" s="31" t="n">
        <v>9000</v>
      </c>
      <c r="L16" s="34">
        <f>IF($A16="","",IF($C16="","",raporTarihi-$C16))</f>
        <v/>
      </c>
      <c r="M16" s="34">
        <f>IF($A16="","",IF($L16="","",IF($L16&lt;=7,"0-7",IF($L16&lt;=30,"8-30",IF($L16&lt;=60,"31-60","60+")))))</f>
        <v/>
      </c>
      <c r="N16" s="34">
        <f>IF($A16="","",IF($B16="","YETİM",IF(COUNTIF(tblEnvanter[BelgeId],$B16)=0,"YETİM","")))</f>
        <v/>
      </c>
      <c r="O16" s="34">
        <f>IF(OR($A16="",$E16=""),"",IF(OR($E16&amp;"|"&amp;$F16="",COUNTIF(ListeIzinliGecis,$E16&amp;"|"&amp;$F16)&gt;0),"","GEÇERSİZ GEÇİŞ"))</f>
        <v/>
      </c>
      <c r="P16" s="34">
        <f>IF($A16="","",IF(OR($I16="",$J16=""),"",IF(ABS($J16-$I16)&gt;zincirTolerans,"ZİNCİR KIRIK","OK")))</f>
        <v/>
      </c>
      <c r="Q16" s="34">
        <f>IF($A16="","",1)</f>
        <v/>
      </c>
    </row>
    <row r="17">
      <c r="A17" s="29" t="inlineStr">
        <is>
          <t>EYL-00012</t>
        </is>
      </c>
      <c r="B17" s="29" t="n"/>
      <c r="C17" s="47" t="n">
        <v>46185</v>
      </c>
      <c r="D17" s="47" t="n">
        <v>46249</v>
      </c>
      <c r="E17" s="29" t="inlineStr">
        <is>
          <t>BEKLIYOR</t>
        </is>
      </c>
      <c r="F17" s="29" t="inlineStr">
        <is>
          <t>TAMAMLANDI</t>
        </is>
      </c>
      <c r="G17" s="29" t="inlineStr">
        <is>
          <t>Sorumlu 3</t>
        </is>
      </c>
      <c r="H17" s="29" t="inlineStr">
        <is>
          <t>e-Belge geçiş eylemi 12</t>
        </is>
      </c>
      <c r="I17" s="30" t="n">
        <v>60</v>
      </c>
      <c r="J17" s="30" t="n">
        <v>60</v>
      </c>
      <c r="K17" s="31" t="n">
        <v>10800</v>
      </c>
      <c r="L17" s="34">
        <f>IF($A17="","",IF($C17="","",raporTarihi-$C17))</f>
        <v/>
      </c>
      <c r="M17" s="34">
        <f>IF($A17="","",IF($L17="","",IF($L17&lt;=7,"0-7",IF($L17&lt;=30,"8-30",IF($L17&lt;=60,"31-60","60+")))))</f>
        <v/>
      </c>
      <c r="N17" s="34">
        <f>IF($A17="","",IF($B17="","YETİM",IF(COUNTIF(tblEnvanter[BelgeId],$B17)=0,"YETİM","")))</f>
        <v/>
      </c>
      <c r="O17" s="34">
        <f>IF(OR($A17="",$E17=""),"",IF(OR($E17&amp;"|"&amp;$F17="",COUNTIF(ListeIzinliGecis,$E17&amp;"|"&amp;$F17)&gt;0),"","GEÇERSİZ GEÇİŞ"))</f>
        <v/>
      </c>
      <c r="P17" s="34">
        <f>IF($A17="","",IF(OR($I17="",$J17=""),"",IF(ABS($J17-$I17)&gt;zincirTolerans,"ZİNCİR KIRIK","OK")))</f>
        <v/>
      </c>
      <c r="Q17" s="34">
        <f>IF($A17="","",1)</f>
        <v/>
      </c>
    </row>
    <row r="18">
      <c r="A18" s="29" t="inlineStr">
        <is>
          <t>EYL-00013</t>
        </is>
      </c>
      <c r="B18" s="29" t="inlineStr">
        <is>
          <t>EBV-00005</t>
        </is>
      </c>
      <c r="C18" s="47" t="n">
        <v>46180</v>
      </c>
      <c r="D18" s="47" t="n">
        <v>46250</v>
      </c>
      <c r="E18" s="29" t="inlineStr">
        <is>
          <t>DEVAM</t>
        </is>
      </c>
      <c r="F18" s="29" t="inlineStr">
        <is>
          <t>IPTAL</t>
        </is>
      </c>
      <c r="G18" s="29" t="inlineStr">
        <is>
          <t>Sorumlu 4</t>
        </is>
      </c>
      <c r="H18" s="29" t="inlineStr">
        <is>
          <t>e-Belge geçiş eylemi 13</t>
        </is>
      </c>
      <c r="I18" s="30" t="n">
        <v>70</v>
      </c>
      <c r="J18" s="30" t="n">
        <v>62</v>
      </c>
      <c r="K18" s="31" t="n">
        <v>12600</v>
      </c>
      <c r="L18" s="34">
        <f>IF($A18="","",IF($C18="","",raporTarihi-$C18))</f>
        <v/>
      </c>
      <c r="M18" s="34">
        <f>IF($A18="","",IF($L18="","",IF($L18&lt;=7,"0-7",IF($L18&lt;=30,"8-30",IF($L18&lt;=60,"31-60","60+")))))</f>
        <v/>
      </c>
      <c r="N18" s="34">
        <f>IF($A18="","",IF($B18="","YETİM",IF(COUNTIF(tblEnvanter[BelgeId],$B18)=0,"YETİM","")))</f>
        <v/>
      </c>
      <c r="O18" s="34">
        <f>IF(OR($A18="",$E18=""),"",IF(OR($E18&amp;"|"&amp;$F18="",COUNTIF(ListeIzinliGecis,$E18&amp;"|"&amp;$F18)&gt;0),"","GEÇERSİZ GEÇİŞ"))</f>
        <v/>
      </c>
      <c r="P18" s="34">
        <f>IF($A18="","",IF(OR($I18="",$J18=""),"",IF(ABS($J18-$I18)&gt;zincirTolerans,"ZİNCİR KIRIK","OK")))</f>
        <v/>
      </c>
      <c r="Q18" s="34">
        <f>IF($A18="","",1)</f>
        <v/>
      </c>
    </row>
    <row r="19">
      <c r="A19" s="29" t="inlineStr">
        <is>
          <t>EYL-00014</t>
        </is>
      </c>
      <c r="B19" s="29" t="inlineStr">
        <is>
          <t>EBV-00006</t>
        </is>
      </c>
      <c r="C19" s="47" t="n">
        <v>46175</v>
      </c>
      <c r="D19" s="47" t="n">
        <v>46251</v>
      </c>
      <c r="E19" s="29" t="inlineStr">
        <is>
          <t>TAMAMLANDI</t>
        </is>
      </c>
      <c r="F19" s="29" t="inlineStr">
        <is>
          <t>DEVAM</t>
        </is>
      </c>
      <c r="G19" s="29" t="inlineStr">
        <is>
          <t>Sorumlu 5</t>
        </is>
      </c>
      <c r="H19" s="29" t="inlineStr">
        <is>
          <t>e-Belge geçiş eylemi 14</t>
        </is>
      </c>
      <c r="I19" s="30" t="n">
        <v>80</v>
      </c>
      <c r="J19" s="30" t="n">
        <v>64</v>
      </c>
      <c r="K19" s="31" t="n">
        <v>14400</v>
      </c>
      <c r="L19" s="34">
        <f>IF($A19="","",IF($C19="","",raporTarihi-$C19))</f>
        <v/>
      </c>
      <c r="M19" s="34">
        <f>IF($A19="","",IF($L19="","",IF($L19&lt;=7,"0-7",IF($L19&lt;=30,"8-30",IF($L19&lt;=60,"31-60","60+")))))</f>
        <v/>
      </c>
      <c r="N19" s="34">
        <f>IF($A19="","",IF($B19="","YETİM",IF(COUNTIF(tblEnvanter[BelgeId],$B19)=0,"YETİM","")))</f>
        <v/>
      </c>
      <c r="O19" s="34">
        <f>IF(OR($A19="",$E19=""),"",IF(OR($E19&amp;"|"&amp;$F19="",COUNTIF(ListeIzinliGecis,$E19&amp;"|"&amp;$F19)&gt;0),"","GEÇERSİZ GEÇİŞ"))</f>
        <v/>
      </c>
      <c r="P19" s="34">
        <f>IF($A19="","",IF(OR($I19="",$J19=""),"",IF(ABS($J19-$I19)&gt;zincirTolerans,"ZİNCİR KIRIK","OK")))</f>
        <v/>
      </c>
      <c r="Q19" s="34">
        <f>IF($A19="","",1)</f>
        <v/>
      </c>
    </row>
    <row r="20">
      <c r="A20" s="29" t="inlineStr">
        <is>
          <t>EYL-00015</t>
        </is>
      </c>
      <c r="B20" s="29" t="inlineStr">
        <is>
          <t>EBV-99999</t>
        </is>
      </c>
      <c r="C20" s="47" t="n">
        <v>46170</v>
      </c>
      <c r="D20" s="47" t="n">
        <v>46252</v>
      </c>
      <c r="E20" s="29" t="inlineStr">
        <is>
          <t>DEVAM</t>
        </is>
      </c>
      <c r="F20" s="29" t="inlineStr">
        <is>
          <t>BEKLIYOR</t>
        </is>
      </c>
      <c r="G20" s="29" t="inlineStr">
        <is>
          <t>Sorumlu 1</t>
        </is>
      </c>
      <c r="H20" s="29" t="inlineStr">
        <is>
          <t>e-Belge geçiş eylemi 15</t>
        </is>
      </c>
      <c r="I20" s="30" t="n">
        <v>40</v>
      </c>
      <c r="J20" s="30" t="n">
        <v>16</v>
      </c>
      <c r="K20" s="31" t="n">
        <v>7200</v>
      </c>
      <c r="L20" s="34">
        <f>IF($A20="","",IF($C20="","",raporTarihi-$C20))</f>
        <v/>
      </c>
      <c r="M20" s="34">
        <f>IF($A20="","",IF($L20="","",IF($L20&lt;=7,"0-7",IF($L20&lt;=30,"8-30",IF($L20&lt;=60,"31-60","60+")))))</f>
        <v/>
      </c>
      <c r="N20" s="34">
        <f>IF($A20="","",IF($B20="","YETİM",IF(COUNTIF(tblEnvanter[BelgeId],$B20)=0,"YETİM","")))</f>
        <v/>
      </c>
      <c r="O20" s="34">
        <f>IF(OR($A20="",$E20=""),"",IF(OR($E20&amp;"|"&amp;$F20="",COUNTIF(ListeIzinliGecis,$E20&amp;"|"&amp;$F20)&gt;0),"","GEÇERSİZ GEÇİŞ"))</f>
        <v/>
      </c>
      <c r="P20" s="34">
        <f>IF($A20="","",IF(OR($I20="",$J20=""),"",IF(ABS($J20-$I20)&gt;zincirTolerans,"ZİNCİR KIRIK","OK")))</f>
        <v/>
      </c>
      <c r="Q20" s="34">
        <f>IF($A20="","",1)</f>
        <v/>
      </c>
    </row>
    <row r="21">
      <c r="A21" s="29" t="inlineStr">
        <is>
          <t>EYL-00016</t>
        </is>
      </c>
      <c r="B21" s="29" t="inlineStr">
        <is>
          <t>EBV-00008</t>
        </is>
      </c>
      <c r="C21" s="47" t="n">
        <v>46165</v>
      </c>
      <c r="D21" s="47" t="n">
        <v>46253</v>
      </c>
      <c r="E21" s="29" t="inlineStr">
        <is>
          <t>PLANLANDI</t>
        </is>
      </c>
      <c r="F21" s="29" t="inlineStr">
        <is>
          <t>PLANLANDI</t>
        </is>
      </c>
      <c r="G21" s="29" t="inlineStr">
        <is>
          <t>Sorumlu 2</t>
        </is>
      </c>
      <c r="H21" s="29" t="inlineStr">
        <is>
          <t>e-Belge geçiş eylemi 16</t>
        </is>
      </c>
      <c r="I21" s="30" t="n">
        <v>50</v>
      </c>
      <c r="J21" s="30" t="n">
        <v>50</v>
      </c>
      <c r="K21" s="31" t="n">
        <v>9000</v>
      </c>
      <c r="L21" s="34">
        <f>IF($A21="","",IF($C21="","",raporTarihi-$C21))</f>
        <v/>
      </c>
      <c r="M21" s="34">
        <f>IF($A21="","",IF($L21="","",IF($L21&lt;=7,"0-7",IF($L21&lt;=30,"8-30",IF($L21&lt;=60,"31-60","60+")))))</f>
        <v/>
      </c>
      <c r="N21" s="34">
        <f>IF($A21="","",IF($B21="","YETİM",IF(COUNTIF(tblEnvanter[BelgeId],$B21)=0,"YETİM","")))</f>
        <v/>
      </c>
      <c r="O21" s="34">
        <f>IF(OR($A21="",$E21=""),"",IF(OR($E21&amp;"|"&amp;$F21="",COUNTIF(ListeIzinliGecis,$E21&amp;"|"&amp;$F21)&gt;0),"","GEÇERSİZ GEÇİŞ"))</f>
        <v/>
      </c>
      <c r="P21" s="34">
        <f>IF($A21="","",IF(OR($I21="",$J21=""),"",IF(ABS($J21-$I21)&gt;zincirTolerans,"ZİNCİR KIRIK","OK")))</f>
        <v/>
      </c>
      <c r="Q21" s="34">
        <f>IF($A21="","",1)</f>
        <v/>
      </c>
    </row>
    <row r="22">
      <c r="A22" s="29" t="n"/>
      <c r="B22" s="29" t="n"/>
      <c r="C22" s="47" t="n"/>
      <c r="D22" s="47" t="n"/>
      <c r="E22" s="29" t="n"/>
      <c r="F22" s="29" t="n"/>
      <c r="G22" s="29" t="n"/>
      <c r="H22" s="29" t="n"/>
      <c r="I22" s="30" t="n"/>
      <c r="J22" s="30" t="n"/>
      <c r="K22" s="31" t="n"/>
      <c r="L22" s="34">
        <f>IF($A22="","",IF($C22="","",raporTarihi-$C22))</f>
        <v/>
      </c>
      <c r="M22" s="34">
        <f>IF($A22="","",IF($L22="","",IF($L22&lt;=7,"0-7",IF($L22&lt;=30,"8-30",IF($L22&lt;=60,"31-60","60+")))))</f>
        <v/>
      </c>
      <c r="N22" s="34">
        <f>IF($A22="","",IF($B22="","YETİM",IF(COUNTIF(tblEnvanter[BelgeId],$B22)=0,"YETİM","")))</f>
        <v/>
      </c>
      <c r="O22" s="34">
        <f>IF(OR($A22="",$E22=""),"",IF(OR($E22&amp;"|"&amp;$F22="",COUNTIF(ListeIzinliGecis,$E22&amp;"|"&amp;$F22)&gt;0),"","GEÇERSİZ GEÇİŞ"))</f>
        <v/>
      </c>
      <c r="P22" s="34">
        <f>IF($A22="","",IF(OR($I22="",$J22=""),"",IF(ABS($J22-$I22)&gt;zincirTolerans,"ZİNCİR KIRIK","OK")))</f>
        <v/>
      </c>
      <c r="Q22" s="34">
        <f>IF($A22="","",1)</f>
        <v/>
      </c>
    </row>
    <row r="23">
      <c r="A23" s="29" t="n"/>
      <c r="B23" s="29" t="n"/>
      <c r="C23" s="47" t="n"/>
      <c r="D23" s="47" t="n"/>
      <c r="E23" s="29" t="n"/>
      <c r="F23" s="29" t="n"/>
      <c r="G23" s="29" t="n"/>
      <c r="H23" s="29" t="n"/>
      <c r="I23" s="30" t="n"/>
      <c r="J23" s="30" t="n"/>
      <c r="K23" s="31" t="n"/>
      <c r="L23" s="34">
        <f>IF($A23="","",IF($C23="","",raporTarihi-$C23))</f>
        <v/>
      </c>
      <c r="M23" s="34">
        <f>IF($A23="","",IF($L23="","",IF($L23&lt;=7,"0-7",IF($L23&lt;=30,"8-30",IF($L23&lt;=60,"31-60","60+")))))</f>
        <v/>
      </c>
      <c r="N23" s="34">
        <f>IF($A23="","",IF($B23="","YETİM",IF(COUNTIF(tblEnvanter[BelgeId],$B23)=0,"YETİM","")))</f>
        <v/>
      </c>
      <c r="O23" s="34">
        <f>IF(OR($A23="",$E23=""),"",IF(OR($E23&amp;"|"&amp;$F23="",COUNTIF(ListeIzinliGecis,$E23&amp;"|"&amp;$F23)&gt;0),"","GEÇERSİZ GEÇİŞ"))</f>
        <v/>
      </c>
      <c r="P23" s="34">
        <f>IF($A23="","",IF(OR($I23="",$J23=""),"",IF(ABS($J23-$I23)&gt;zincirTolerans,"ZİNCİR KIRIK","OK")))</f>
        <v/>
      </c>
      <c r="Q23" s="34">
        <f>IF($A23="","",1)</f>
        <v/>
      </c>
    </row>
    <row r="24">
      <c r="A24" s="29" t="n"/>
      <c r="B24" s="29" t="n"/>
      <c r="C24" s="47" t="n"/>
      <c r="D24" s="47" t="n"/>
      <c r="E24" s="29" t="n"/>
      <c r="F24" s="29" t="n"/>
      <c r="G24" s="29" t="n"/>
      <c r="H24" s="29" t="n"/>
      <c r="I24" s="30" t="n"/>
      <c r="J24" s="30" t="n"/>
      <c r="K24" s="31" t="n"/>
      <c r="L24" s="34">
        <f>IF($A24="","",IF($C24="","",raporTarihi-$C24))</f>
        <v/>
      </c>
      <c r="M24" s="34">
        <f>IF($A24="","",IF($L24="","",IF($L24&lt;=7,"0-7",IF($L24&lt;=30,"8-30",IF($L24&lt;=60,"31-60","60+")))))</f>
        <v/>
      </c>
      <c r="N24" s="34">
        <f>IF($A24="","",IF($B24="","YETİM",IF(COUNTIF(tblEnvanter[BelgeId],$B24)=0,"YETİM","")))</f>
        <v/>
      </c>
      <c r="O24" s="34">
        <f>IF(OR($A24="",$E24=""),"",IF(OR($E24&amp;"|"&amp;$F24="",COUNTIF(ListeIzinliGecis,$E24&amp;"|"&amp;$F24)&gt;0),"","GEÇERSİZ GEÇİŞ"))</f>
        <v/>
      </c>
      <c r="P24" s="34">
        <f>IF($A24="","",IF(OR($I24="",$J24=""),"",IF(ABS($J24-$I24)&gt;zincirTolerans,"ZİNCİR KIRIK","OK")))</f>
        <v/>
      </c>
      <c r="Q24" s="34">
        <f>IF($A24="","",1)</f>
        <v/>
      </c>
    </row>
    <row r="25">
      <c r="A25" s="29" t="n"/>
      <c r="B25" s="29" t="n"/>
      <c r="C25" s="47" t="n"/>
      <c r="D25" s="47" t="n"/>
      <c r="E25" s="29" t="n"/>
      <c r="F25" s="29" t="n"/>
      <c r="G25" s="29" t="n"/>
      <c r="H25" s="29" t="n"/>
      <c r="I25" s="30" t="n"/>
      <c r="J25" s="30" t="n"/>
      <c r="K25" s="31" t="n"/>
      <c r="L25" s="34">
        <f>IF($A25="","",IF($C25="","",raporTarihi-$C25))</f>
        <v/>
      </c>
      <c r="M25" s="34">
        <f>IF($A25="","",IF($L25="","",IF($L25&lt;=7,"0-7",IF($L25&lt;=30,"8-30",IF($L25&lt;=60,"31-60","60+")))))</f>
        <v/>
      </c>
      <c r="N25" s="34">
        <f>IF($A25="","",IF($B25="","YETİM",IF(COUNTIF(tblEnvanter[BelgeId],$B25)=0,"YETİM","")))</f>
        <v/>
      </c>
      <c r="O25" s="34">
        <f>IF(OR($A25="",$E25=""),"",IF(OR($E25&amp;"|"&amp;$F25="",COUNTIF(ListeIzinliGecis,$E25&amp;"|"&amp;$F25)&gt;0),"","GEÇERSİZ GEÇİŞ"))</f>
        <v/>
      </c>
      <c r="P25" s="34">
        <f>IF($A25="","",IF(OR($I25="",$J25=""),"",IF(ABS($J25-$I25)&gt;zincirTolerans,"ZİNCİR KIRIK","OK")))</f>
        <v/>
      </c>
      <c r="Q25" s="34">
        <f>IF($A25="","",1)</f>
        <v/>
      </c>
    </row>
    <row r="26">
      <c r="A26" s="29" t="n"/>
      <c r="B26" s="29" t="n"/>
      <c r="C26" s="47" t="n"/>
      <c r="D26" s="47" t="n"/>
      <c r="E26" s="29" t="n"/>
      <c r="F26" s="29" t="n"/>
      <c r="G26" s="29" t="n"/>
      <c r="H26" s="29" t="n"/>
      <c r="I26" s="30" t="n"/>
      <c r="J26" s="30" t="n"/>
      <c r="K26" s="31" t="n"/>
      <c r="L26" s="34">
        <f>IF($A26="","",IF($C26="","",raporTarihi-$C26))</f>
        <v/>
      </c>
      <c r="M26" s="34">
        <f>IF($A26="","",IF($L26="","",IF($L26&lt;=7,"0-7",IF($L26&lt;=30,"8-30",IF($L26&lt;=60,"31-60","60+")))))</f>
        <v/>
      </c>
      <c r="N26" s="34">
        <f>IF($A26="","",IF($B26="","YETİM",IF(COUNTIF(tblEnvanter[BelgeId],$B26)=0,"YETİM","")))</f>
        <v/>
      </c>
      <c r="O26" s="34">
        <f>IF(OR($A26="",$E26=""),"",IF(OR($E26&amp;"|"&amp;$F26="",COUNTIF(ListeIzinliGecis,$E26&amp;"|"&amp;$F26)&gt;0),"","GEÇERSİZ GEÇİŞ"))</f>
        <v/>
      </c>
      <c r="P26" s="34">
        <f>IF($A26="","",IF(OR($I26="",$J26=""),"",IF(ABS($J26-$I26)&gt;zincirTolerans,"ZİNCİR KIRIK","OK")))</f>
        <v/>
      </c>
      <c r="Q26" s="34">
        <f>IF($A26="","",1)</f>
        <v/>
      </c>
    </row>
    <row r="27">
      <c r="A27" s="29" t="n"/>
      <c r="B27" s="29" t="n"/>
      <c r="C27" s="47" t="n"/>
      <c r="D27" s="47" t="n"/>
      <c r="E27" s="29" t="n"/>
      <c r="F27" s="29" t="n"/>
      <c r="G27" s="29" t="n"/>
      <c r="H27" s="29" t="n"/>
      <c r="I27" s="30" t="n"/>
      <c r="J27" s="30" t="n"/>
      <c r="K27" s="31" t="n"/>
      <c r="L27" s="34">
        <f>IF($A27="","",IF($C27="","",raporTarihi-$C27))</f>
        <v/>
      </c>
      <c r="M27" s="34">
        <f>IF($A27="","",IF($L27="","",IF($L27&lt;=7,"0-7",IF($L27&lt;=30,"8-30",IF($L27&lt;=60,"31-60","60+")))))</f>
        <v/>
      </c>
      <c r="N27" s="34">
        <f>IF($A27="","",IF($B27="","YETİM",IF(COUNTIF(tblEnvanter[BelgeId],$B27)=0,"YETİM","")))</f>
        <v/>
      </c>
      <c r="O27" s="34">
        <f>IF(OR($A27="",$E27=""),"",IF(OR($E27&amp;"|"&amp;$F27="",COUNTIF(ListeIzinliGecis,$E27&amp;"|"&amp;$F27)&gt;0),"","GEÇERSİZ GEÇİŞ"))</f>
        <v/>
      </c>
      <c r="P27" s="34">
        <f>IF($A27="","",IF(OR($I27="",$J27=""),"",IF(ABS($J27-$I27)&gt;zincirTolerans,"ZİNCİR KIRIK","OK")))</f>
        <v/>
      </c>
      <c r="Q27" s="34">
        <f>IF($A27="","",1)</f>
        <v/>
      </c>
    </row>
    <row r="28">
      <c r="A28" s="29" t="n"/>
      <c r="B28" s="29" t="n"/>
      <c r="C28" s="47" t="n"/>
      <c r="D28" s="47" t="n"/>
      <c r="E28" s="29" t="n"/>
      <c r="F28" s="29" t="n"/>
      <c r="G28" s="29" t="n"/>
      <c r="H28" s="29" t="n"/>
      <c r="I28" s="30" t="n"/>
      <c r="J28" s="30" t="n"/>
      <c r="K28" s="31" t="n"/>
      <c r="L28" s="34">
        <f>IF($A28="","",IF($C28="","",raporTarihi-$C28))</f>
        <v/>
      </c>
      <c r="M28" s="34">
        <f>IF($A28="","",IF($L28="","",IF($L28&lt;=7,"0-7",IF($L28&lt;=30,"8-30",IF($L28&lt;=60,"31-60","60+")))))</f>
        <v/>
      </c>
      <c r="N28" s="34">
        <f>IF($A28="","",IF($B28="","YETİM",IF(COUNTIF(tblEnvanter[BelgeId],$B28)=0,"YETİM","")))</f>
        <v/>
      </c>
      <c r="O28" s="34">
        <f>IF(OR($A28="",$E28=""),"",IF(OR($E28&amp;"|"&amp;$F28="",COUNTIF(ListeIzinliGecis,$E28&amp;"|"&amp;$F28)&gt;0),"","GEÇERSİZ GEÇİŞ"))</f>
        <v/>
      </c>
      <c r="P28" s="34">
        <f>IF($A28="","",IF(OR($I28="",$J28=""),"",IF(ABS($J28-$I28)&gt;zincirTolerans,"ZİNCİR KIRIK","OK")))</f>
        <v/>
      </c>
      <c r="Q28" s="34">
        <f>IF($A28="","",1)</f>
        <v/>
      </c>
    </row>
    <row r="29">
      <c r="A29" s="29" t="n"/>
      <c r="B29" s="29" t="n"/>
      <c r="C29" s="47" t="n"/>
      <c r="D29" s="47" t="n"/>
      <c r="E29" s="29" t="n"/>
      <c r="F29" s="29" t="n"/>
      <c r="G29" s="29" t="n"/>
      <c r="H29" s="29" t="n"/>
      <c r="I29" s="30" t="n"/>
      <c r="J29" s="30" t="n"/>
      <c r="K29" s="31" t="n"/>
      <c r="L29" s="34">
        <f>IF($A29="","",IF($C29="","",raporTarihi-$C29))</f>
        <v/>
      </c>
      <c r="M29" s="34">
        <f>IF($A29="","",IF($L29="","",IF($L29&lt;=7,"0-7",IF($L29&lt;=30,"8-30",IF($L29&lt;=60,"31-60","60+")))))</f>
        <v/>
      </c>
      <c r="N29" s="34">
        <f>IF($A29="","",IF($B29="","YETİM",IF(COUNTIF(tblEnvanter[BelgeId],$B29)=0,"YETİM","")))</f>
        <v/>
      </c>
      <c r="O29" s="34">
        <f>IF(OR($A29="",$E29=""),"",IF(OR($E29&amp;"|"&amp;$F29="",COUNTIF(ListeIzinliGecis,$E29&amp;"|"&amp;$F29)&gt;0),"","GEÇERSİZ GEÇİŞ"))</f>
        <v/>
      </c>
      <c r="P29" s="34">
        <f>IF($A29="","",IF(OR($I29="",$J29=""),"",IF(ABS($J29-$I29)&gt;zincirTolerans,"ZİNCİR KIRIK","OK")))</f>
        <v/>
      </c>
      <c r="Q29" s="34">
        <f>IF($A29="","",1)</f>
        <v/>
      </c>
    </row>
    <row r="30">
      <c r="A30" s="29" t="n"/>
      <c r="B30" s="29" t="n"/>
      <c r="C30" s="47" t="n"/>
      <c r="D30" s="47" t="n"/>
      <c r="E30" s="29" t="n"/>
      <c r="F30" s="29" t="n"/>
      <c r="G30" s="29" t="n"/>
      <c r="H30" s="29" t="n"/>
      <c r="I30" s="30" t="n"/>
      <c r="J30" s="30" t="n"/>
      <c r="K30" s="31" t="n"/>
      <c r="L30" s="34">
        <f>IF($A30="","",IF($C30="","",raporTarihi-$C30))</f>
        <v/>
      </c>
      <c r="M30" s="34">
        <f>IF($A30="","",IF($L30="","",IF($L30&lt;=7,"0-7",IF($L30&lt;=30,"8-30",IF($L30&lt;=60,"31-60","60+")))))</f>
        <v/>
      </c>
      <c r="N30" s="34">
        <f>IF($A30="","",IF($B30="","YETİM",IF(COUNTIF(tblEnvanter[BelgeId],$B30)=0,"YETİM","")))</f>
        <v/>
      </c>
      <c r="O30" s="34">
        <f>IF(OR($A30="",$E30=""),"",IF(OR($E30&amp;"|"&amp;$F30="",COUNTIF(ListeIzinliGecis,$E30&amp;"|"&amp;$F30)&gt;0),"","GEÇERSİZ GEÇİŞ"))</f>
        <v/>
      </c>
      <c r="P30" s="34">
        <f>IF($A30="","",IF(OR($I30="",$J30=""),"",IF(ABS($J30-$I30)&gt;zincirTolerans,"ZİNCİR KIRIK","OK")))</f>
        <v/>
      </c>
      <c r="Q30" s="34">
        <f>IF($A30="","",1)</f>
        <v/>
      </c>
    </row>
    <row r="31">
      <c r="A31" s="29" t="n"/>
      <c r="B31" s="29" t="n"/>
      <c r="C31" s="47" t="n"/>
      <c r="D31" s="47" t="n"/>
      <c r="E31" s="29" t="n"/>
      <c r="F31" s="29" t="n"/>
      <c r="G31" s="29" t="n"/>
      <c r="H31" s="29" t="n"/>
      <c r="I31" s="30" t="n"/>
      <c r="J31" s="30" t="n"/>
      <c r="K31" s="31" t="n"/>
      <c r="L31" s="34">
        <f>IF($A31="","",IF($C31="","",raporTarihi-$C31))</f>
        <v/>
      </c>
      <c r="M31" s="34">
        <f>IF($A31="","",IF($L31="","",IF($L31&lt;=7,"0-7",IF($L31&lt;=30,"8-30",IF($L31&lt;=60,"31-60","60+")))))</f>
        <v/>
      </c>
      <c r="N31" s="34">
        <f>IF($A31="","",IF($B31="","YETİM",IF(COUNTIF(tblEnvanter[BelgeId],$B31)=0,"YETİM","")))</f>
        <v/>
      </c>
      <c r="O31" s="34">
        <f>IF(OR($A31="",$E31=""),"",IF(OR($E31&amp;"|"&amp;$F31="",COUNTIF(ListeIzinliGecis,$E31&amp;"|"&amp;$F31)&gt;0),"","GEÇERSİZ GEÇİŞ"))</f>
        <v/>
      </c>
      <c r="P31" s="34">
        <f>IF($A31="","",IF(OR($I31="",$J31=""),"",IF(ABS($J31-$I31)&gt;zincirTolerans,"ZİNCİR KIRIK","OK")))</f>
        <v/>
      </c>
      <c r="Q31" s="34">
        <f>IF($A31="","",1)</f>
        <v/>
      </c>
    </row>
    <row r="32">
      <c r="A32" s="29" t="n"/>
      <c r="B32" s="29" t="n"/>
      <c r="C32" s="47" t="n"/>
      <c r="D32" s="47" t="n"/>
      <c r="E32" s="29" t="n"/>
      <c r="F32" s="29" t="n"/>
      <c r="G32" s="29" t="n"/>
      <c r="H32" s="29" t="n"/>
      <c r="I32" s="30" t="n"/>
      <c r="J32" s="30" t="n"/>
      <c r="K32" s="31" t="n"/>
      <c r="L32" s="34">
        <f>IF($A32="","",IF($C32="","",raporTarihi-$C32))</f>
        <v/>
      </c>
      <c r="M32" s="34">
        <f>IF($A32="","",IF($L32="","",IF($L32&lt;=7,"0-7",IF($L32&lt;=30,"8-30",IF($L32&lt;=60,"31-60","60+")))))</f>
        <v/>
      </c>
      <c r="N32" s="34">
        <f>IF($A32="","",IF($B32="","YETİM",IF(COUNTIF(tblEnvanter[BelgeId],$B32)=0,"YETİM","")))</f>
        <v/>
      </c>
      <c r="O32" s="34">
        <f>IF(OR($A32="",$E32=""),"",IF(OR($E32&amp;"|"&amp;$F32="",COUNTIF(ListeIzinliGecis,$E32&amp;"|"&amp;$F32)&gt;0),"","GEÇERSİZ GEÇİŞ"))</f>
        <v/>
      </c>
      <c r="P32" s="34">
        <f>IF($A32="","",IF(OR($I32="",$J32=""),"",IF(ABS($J32-$I32)&gt;zincirTolerans,"ZİNCİR KIRIK","OK")))</f>
        <v/>
      </c>
      <c r="Q32" s="34">
        <f>IF($A32="","",1)</f>
        <v/>
      </c>
    </row>
    <row r="33">
      <c r="A33" s="29" t="n"/>
      <c r="B33" s="29" t="n"/>
      <c r="C33" s="47" t="n"/>
      <c r="D33" s="47" t="n"/>
      <c r="E33" s="29" t="n"/>
      <c r="F33" s="29" t="n"/>
      <c r="G33" s="29" t="n"/>
      <c r="H33" s="29" t="n"/>
      <c r="I33" s="30" t="n"/>
      <c r="J33" s="30" t="n"/>
      <c r="K33" s="31" t="n"/>
      <c r="L33" s="34">
        <f>IF($A33="","",IF($C33="","",raporTarihi-$C33))</f>
        <v/>
      </c>
      <c r="M33" s="34">
        <f>IF($A33="","",IF($L33="","",IF($L33&lt;=7,"0-7",IF($L33&lt;=30,"8-30",IF($L33&lt;=60,"31-60","60+")))))</f>
        <v/>
      </c>
      <c r="N33" s="34">
        <f>IF($A33="","",IF($B33="","YETİM",IF(COUNTIF(tblEnvanter[BelgeId],$B33)=0,"YETİM","")))</f>
        <v/>
      </c>
      <c r="O33" s="34">
        <f>IF(OR($A33="",$E33=""),"",IF(OR($E33&amp;"|"&amp;$F33="",COUNTIF(ListeIzinliGecis,$E33&amp;"|"&amp;$F33)&gt;0),"","GEÇERSİZ GEÇİŞ"))</f>
        <v/>
      </c>
      <c r="P33" s="34">
        <f>IF($A33="","",IF(OR($I33="",$J33=""),"",IF(ABS($J33-$I33)&gt;zincirTolerans,"ZİNCİR KIRIK","OK")))</f>
        <v/>
      </c>
      <c r="Q33" s="34">
        <f>IF($A33="","",1)</f>
        <v/>
      </c>
    </row>
    <row r="34">
      <c r="A34" s="29" t="n"/>
      <c r="B34" s="29" t="n"/>
      <c r="C34" s="47" t="n"/>
      <c r="D34" s="47" t="n"/>
      <c r="E34" s="29" t="n"/>
      <c r="F34" s="29" t="n"/>
      <c r="G34" s="29" t="n"/>
      <c r="H34" s="29" t="n"/>
      <c r="I34" s="30" t="n"/>
      <c r="J34" s="30" t="n"/>
      <c r="K34" s="31" t="n"/>
      <c r="L34" s="34">
        <f>IF($A34="","",IF($C34="","",raporTarihi-$C34))</f>
        <v/>
      </c>
      <c r="M34" s="34">
        <f>IF($A34="","",IF($L34="","",IF($L34&lt;=7,"0-7",IF($L34&lt;=30,"8-30",IF($L34&lt;=60,"31-60","60+")))))</f>
        <v/>
      </c>
      <c r="N34" s="34">
        <f>IF($A34="","",IF($B34="","YETİM",IF(COUNTIF(tblEnvanter[BelgeId],$B34)=0,"YETİM","")))</f>
        <v/>
      </c>
      <c r="O34" s="34">
        <f>IF(OR($A34="",$E34=""),"",IF(OR($E34&amp;"|"&amp;$F34="",COUNTIF(ListeIzinliGecis,$E34&amp;"|"&amp;$F34)&gt;0),"","GEÇERSİZ GEÇİŞ"))</f>
        <v/>
      </c>
      <c r="P34" s="34">
        <f>IF($A34="","",IF(OR($I34="",$J34=""),"",IF(ABS($J34-$I34)&gt;zincirTolerans,"ZİNCİR KIRIK","OK")))</f>
        <v/>
      </c>
      <c r="Q34" s="34">
        <f>IF($A34="","",1)</f>
        <v/>
      </c>
    </row>
    <row r="35">
      <c r="A35" s="29" t="n"/>
      <c r="B35" s="29" t="n"/>
      <c r="C35" s="47" t="n"/>
      <c r="D35" s="47" t="n"/>
      <c r="E35" s="29" t="n"/>
      <c r="F35" s="29" t="n"/>
      <c r="G35" s="29" t="n"/>
      <c r="H35" s="29" t="n"/>
      <c r="I35" s="30" t="n"/>
      <c r="J35" s="30" t="n"/>
      <c r="K35" s="31" t="n"/>
      <c r="L35" s="34">
        <f>IF($A35="","",IF($C35="","",raporTarihi-$C35))</f>
        <v/>
      </c>
      <c r="M35" s="34">
        <f>IF($A35="","",IF($L35="","",IF($L35&lt;=7,"0-7",IF($L35&lt;=30,"8-30",IF($L35&lt;=60,"31-60","60+")))))</f>
        <v/>
      </c>
      <c r="N35" s="34">
        <f>IF($A35="","",IF($B35="","YETİM",IF(COUNTIF(tblEnvanter[BelgeId],$B35)=0,"YETİM","")))</f>
        <v/>
      </c>
      <c r="O35" s="34">
        <f>IF(OR($A35="",$E35=""),"",IF(OR($E35&amp;"|"&amp;$F35="",COUNTIF(ListeIzinliGecis,$E35&amp;"|"&amp;$F35)&gt;0),"","GEÇERSİZ GEÇİŞ"))</f>
        <v/>
      </c>
      <c r="P35" s="34">
        <f>IF($A35="","",IF(OR($I35="",$J35=""),"",IF(ABS($J35-$I35)&gt;zincirTolerans,"ZİNCİR KIRIK","OK")))</f>
        <v/>
      </c>
      <c r="Q35" s="34">
        <f>IF($A35="","",1)</f>
        <v/>
      </c>
    </row>
    <row r="36">
      <c r="A36" s="29" t="n"/>
      <c r="B36" s="29" t="n"/>
      <c r="C36" s="47" t="n"/>
      <c r="D36" s="47" t="n"/>
      <c r="E36" s="29" t="n"/>
      <c r="F36" s="29" t="n"/>
      <c r="G36" s="29" t="n"/>
      <c r="H36" s="29" t="n"/>
      <c r="I36" s="30" t="n"/>
      <c r="J36" s="30" t="n"/>
      <c r="K36" s="31" t="n"/>
      <c r="L36" s="34">
        <f>IF($A36="","",IF($C36="","",raporTarihi-$C36))</f>
        <v/>
      </c>
      <c r="M36" s="34">
        <f>IF($A36="","",IF($L36="","",IF($L36&lt;=7,"0-7",IF($L36&lt;=30,"8-30",IF($L36&lt;=60,"31-60","60+")))))</f>
        <v/>
      </c>
      <c r="N36" s="34">
        <f>IF($A36="","",IF($B36="","YETİM",IF(COUNTIF(tblEnvanter[BelgeId],$B36)=0,"YETİM","")))</f>
        <v/>
      </c>
      <c r="O36" s="34">
        <f>IF(OR($A36="",$E36=""),"",IF(OR($E36&amp;"|"&amp;$F36="",COUNTIF(ListeIzinliGecis,$E36&amp;"|"&amp;$F36)&gt;0),"","GEÇERSİZ GEÇİŞ"))</f>
        <v/>
      </c>
      <c r="P36" s="34">
        <f>IF($A36="","",IF(OR($I36="",$J36=""),"",IF(ABS($J36-$I36)&gt;zincirTolerans,"ZİNCİR KIRIK","OK")))</f>
        <v/>
      </c>
      <c r="Q36" s="34">
        <f>IF($A36="","",1)</f>
        <v/>
      </c>
    </row>
    <row r="37">
      <c r="A37" s="29" t="n"/>
      <c r="B37" s="29" t="n"/>
      <c r="C37" s="47" t="n"/>
      <c r="D37" s="47" t="n"/>
      <c r="E37" s="29" t="n"/>
      <c r="F37" s="29" t="n"/>
      <c r="G37" s="29" t="n"/>
      <c r="H37" s="29" t="n"/>
      <c r="I37" s="30" t="n"/>
      <c r="J37" s="30" t="n"/>
      <c r="K37" s="31" t="n"/>
      <c r="L37" s="34">
        <f>IF($A37="","",IF($C37="","",raporTarihi-$C37))</f>
        <v/>
      </c>
      <c r="M37" s="34">
        <f>IF($A37="","",IF($L37="","",IF($L37&lt;=7,"0-7",IF($L37&lt;=30,"8-30",IF($L37&lt;=60,"31-60","60+")))))</f>
        <v/>
      </c>
      <c r="N37" s="34">
        <f>IF($A37="","",IF($B37="","YETİM",IF(COUNTIF(tblEnvanter[BelgeId],$B37)=0,"YETİM","")))</f>
        <v/>
      </c>
      <c r="O37" s="34">
        <f>IF(OR($A37="",$E37=""),"",IF(OR($E37&amp;"|"&amp;$F37="",COUNTIF(ListeIzinliGecis,$E37&amp;"|"&amp;$F37)&gt;0),"","GEÇERSİZ GEÇİŞ"))</f>
        <v/>
      </c>
      <c r="P37" s="34">
        <f>IF($A37="","",IF(OR($I37="",$J37=""),"",IF(ABS($J37-$I37)&gt;zincirTolerans,"ZİNCİR KIRIK","OK")))</f>
        <v/>
      </c>
      <c r="Q37" s="34">
        <f>IF($A37="","",1)</f>
        <v/>
      </c>
    </row>
    <row r="38">
      <c r="A38" s="29" t="n"/>
      <c r="B38" s="29" t="n"/>
      <c r="C38" s="47" t="n"/>
      <c r="D38" s="47" t="n"/>
      <c r="E38" s="29" t="n"/>
      <c r="F38" s="29" t="n"/>
      <c r="G38" s="29" t="n"/>
      <c r="H38" s="29" t="n"/>
      <c r="I38" s="30" t="n"/>
      <c r="J38" s="30" t="n"/>
      <c r="K38" s="31" t="n"/>
      <c r="L38" s="34">
        <f>IF($A38="","",IF($C38="","",raporTarihi-$C38))</f>
        <v/>
      </c>
      <c r="M38" s="34">
        <f>IF($A38="","",IF($L38="","",IF($L38&lt;=7,"0-7",IF($L38&lt;=30,"8-30",IF($L38&lt;=60,"31-60","60+")))))</f>
        <v/>
      </c>
      <c r="N38" s="34">
        <f>IF($A38="","",IF($B38="","YETİM",IF(COUNTIF(tblEnvanter[BelgeId],$B38)=0,"YETİM","")))</f>
        <v/>
      </c>
      <c r="O38" s="34">
        <f>IF(OR($A38="",$E38=""),"",IF(OR($E38&amp;"|"&amp;$F38="",COUNTIF(ListeIzinliGecis,$E38&amp;"|"&amp;$F38)&gt;0),"","GEÇERSİZ GEÇİŞ"))</f>
        <v/>
      </c>
      <c r="P38" s="34">
        <f>IF($A38="","",IF(OR($I38="",$J38=""),"",IF(ABS($J38-$I38)&gt;zincirTolerans,"ZİNCİR KIRIK","OK")))</f>
        <v/>
      </c>
      <c r="Q38" s="34">
        <f>IF($A38="","",1)</f>
        <v/>
      </c>
    </row>
    <row r="39">
      <c r="A39" s="29" t="n"/>
      <c r="B39" s="29" t="n"/>
      <c r="C39" s="47" t="n"/>
      <c r="D39" s="47" t="n"/>
      <c r="E39" s="29" t="n"/>
      <c r="F39" s="29" t="n"/>
      <c r="G39" s="29" t="n"/>
      <c r="H39" s="29" t="n"/>
      <c r="I39" s="30" t="n"/>
      <c r="J39" s="30" t="n"/>
      <c r="K39" s="31" t="n"/>
      <c r="L39" s="34">
        <f>IF($A39="","",IF($C39="","",raporTarihi-$C39))</f>
        <v/>
      </c>
      <c r="M39" s="34">
        <f>IF($A39="","",IF($L39="","",IF($L39&lt;=7,"0-7",IF($L39&lt;=30,"8-30",IF($L39&lt;=60,"31-60","60+")))))</f>
        <v/>
      </c>
      <c r="N39" s="34">
        <f>IF($A39="","",IF($B39="","YETİM",IF(COUNTIF(tblEnvanter[BelgeId],$B39)=0,"YETİM","")))</f>
        <v/>
      </c>
      <c r="O39" s="34">
        <f>IF(OR($A39="",$E39=""),"",IF(OR($E39&amp;"|"&amp;$F39="",COUNTIF(ListeIzinliGecis,$E39&amp;"|"&amp;$F39)&gt;0),"","GEÇERSİZ GEÇİŞ"))</f>
        <v/>
      </c>
      <c r="P39" s="34">
        <f>IF($A39="","",IF(OR($I39="",$J39=""),"",IF(ABS($J39-$I39)&gt;zincirTolerans,"ZİNCİR KIRIK","OK")))</f>
        <v/>
      </c>
      <c r="Q39" s="34">
        <f>IF($A39="","",1)</f>
        <v/>
      </c>
    </row>
    <row r="40">
      <c r="A40" s="29" t="n"/>
      <c r="B40" s="29" t="n"/>
      <c r="C40" s="47" t="n"/>
      <c r="D40" s="47" t="n"/>
      <c r="E40" s="29" t="n"/>
      <c r="F40" s="29" t="n"/>
      <c r="G40" s="29" t="n"/>
      <c r="H40" s="29" t="n"/>
      <c r="I40" s="30" t="n"/>
      <c r="J40" s="30" t="n"/>
      <c r="K40" s="31" t="n"/>
      <c r="L40" s="34">
        <f>IF($A40="","",IF($C40="","",raporTarihi-$C40))</f>
        <v/>
      </c>
      <c r="M40" s="34">
        <f>IF($A40="","",IF($L40="","",IF($L40&lt;=7,"0-7",IF($L40&lt;=30,"8-30",IF($L40&lt;=60,"31-60","60+")))))</f>
        <v/>
      </c>
      <c r="N40" s="34">
        <f>IF($A40="","",IF($B40="","YETİM",IF(COUNTIF(tblEnvanter[BelgeId],$B40)=0,"YETİM","")))</f>
        <v/>
      </c>
      <c r="O40" s="34">
        <f>IF(OR($A40="",$E40=""),"",IF(OR($E40&amp;"|"&amp;$F40="",COUNTIF(ListeIzinliGecis,$E40&amp;"|"&amp;$F40)&gt;0),"","GEÇERSİZ GEÇİŞ"))</f>
        <v/>
      </c>
      <c r="P40" s="34">
        <f>IF($A40="","",IF(OR($I40="",$J40=""),"",IF(ABS($J40-$I40)&gt;zincirTolerans,"ZİNCİR KIRIK","OK")))</f>
        <v/>
      </c>
      <c r="Q40" s="34">
        <f>IF($A40="","",1)</f>
        <v/>
      </c>
    </row>
    <row r="41">
      <c r="A41" s="29" t="n"/>
      <c r="B41" s="29" t="n"/>
      <c r="C41" s="47" t="n"/>
      <c r="D41" s="47" t="n"/>
      <c r="E41" s="29" t="n"/>
      <c r="F41" s="29" t="n"/>
      <c r="G41" s="29" t="n"/>
      <c r="H41" s="29" t="n"/>
      <c r="I41" s="30" t="n"/>
      <c r="J41" s="30" t="n"/>
      <c r="K41" s="31" t="n"/>
      <c r="L41" s="34">
        <f>IF($A41="","",IF($C41="","",raporTarihi-$C41))</f>
        <v/>
      </c>
      <c r="M41" s="34">
        <f>IF($A41="","",IF($L41="","",IF($L41&lt;=7,"0-7",IF($L41&lt;=30,"8-30",IF($L41&lt;=60,"31-60","60+")))))</f>
        <v/>
      </c>
      <c r="N41" s="34">
        <f>IF($A41="","",IF($B41="","YETİM",IF(COUNTIF(tblEnvanter[BelgeId],$B41)=0,"YETİM","")))</f>
        <v/>
      </c>
      <c r="O41" s="34">
        <f>IF(OR($A41="",$E41=""),"",IF(OR($E41&amp;"|"&amp;$F41="",COUNTIF(ListeIzinliGecis,$E41&amp;"|"&amp;$F41)&gt;0),"","GEÇERSİZ GEÇİŞ"))</f>
        <v/>
      </c>
      <c r="P41" s="34">
        <f>IF($A41="","",IF(OR($I41="",$J41=""),"",IF(ABS($J41-$I41)&gt;zincirTolerans,"ZİNCİR KIRIK","OK")))</f>
        <v/>
      </c>
      <c r="Q41" s="34">
        <f>IF($A41="","",1)</f>
        <v/>
      </c>
    </row>
    <row r="42">
      <c r="A42" s="29" t="n"/>
      <c r="B42" s="29" t="n"/>
      <c r="C42" s="47" t="n"/>
      <c r="D42" s="47" t="n"/>
      <c r="E42" s="29" t="n"/>
      <c r="F42" s="29" t="n"/>
      <c r="G42" s="29" t="n"/>
      <c r="H42" s="29" t="n"/>
      <c r="I42" s="30" t="n"/>
      <c r="J42" s="30" t="n"/>
      <c r="K42" s="31" t="n"/>
      <c r="L42" s="34">
        <f>IF($A42="","",IF($C42="","",raporTarihi-$C42))</f>
        <v/>
      </c>
      <c r="M42" s="34">
        <f>IF($A42="","",IF($L42="","",IF($L42&lt;=7,"0-7",IF($L42&lt;=30,"8-30",IF($L42&lt;=60,"31-60","60+")))))</f>
        <v/>
      </c>
      <c r="N42" s="34">
        <f>IF($A42="","",IF($B42="","YETİM",IF(COUNTIF(tblEnvanter[BelgeId],$B42)=0,"YETİM","")))</f>
        <v/>
      </c>
      <c r="O42" s="34">
        <f>IF(OR($A42="",$E42=""),"",IF(OR($E42&amp;"|"&amp;$F42="",COUNTIF(ListeIzinliGecis,$E42&amp;"|"&amp;$F42)&gt;0),"","GEÇERSİZ GEÇİŞ"))</f>
        <v/>
      </c>
      <c r="P42" s="34">
        <f>IF($A42="","",IF(OR($I42="",$J42=""),"",IF(ABS($J42-$I42)&gt;zincirTolerans,"ZİNCİR KIRIK","OK")))</f>
        <v/>
      </c>
      <c r="Q42" s="34">
        <f>IF($A42="","",1)</f>
        <v/>
      </c>
    </row>
    <row r="43">
      <c r="A43" s="29" t="n"/>
      <c r="B43" s="29" t="n"/>
      <c r="C43" s="47" t="n"/>
      <c r="D43" s="47" t="n"/>
      <c r="E43" s="29" t="n"/>
      <c r="F43" s="29" t="n"/>
      <c r="G43" s="29" t="n"/>
      <c r="H43" s="29" t="n"/>
      <c r="I43" s="30" t="n"/>
      <c r="J43" s="30" t="n"/>
      <c r="K43" s="31" t="n"/>
      <c r="L43" s="34">
        <f>IF($A43="","",IF($C43="","",raporTarihi-$C43))</f>
        <v/>
      </c>
      <c r="M43" s="34">
        <f>IF($A43="","",IF($L43="","",IF($L43&lt;=7,"0-7",IF($L43&lt;=30,"8-30",IF($L43&lt;=60,"31-60","60+")))))</f>
        <v/>
      </c>
      <c r="N43" s="34">
        <f>IF($A43="","",IF($B43="","YETİM",IF(COUNTIF(tblEnvanter[BelgeId],$B43)=0,"YETİM","")))</f>
        <v/>
      </c>
      <c r="O43" s="34">
        <f>IF(OR($A43="",$E43=""),"",IF(OR($E43&amp;"|"&amp;$F43="",COUNTIF(ListeIzinliGecis,$E43&amp;"|"&amp;$F43)&gt;0),"","GEÇERSİZ GEÇİŞ"))</f>
        <v/>
      </c>
      <c r="P43" s="34">
        <f>IF($A43="","",IF(OR($I43="",$J43=""),"",IF(ABS($J43-$I43)&gt;zincirTolerans,"ZİNCİR KIRIK","OK")))</f>
        <v/>
      </c>
      <c r="Q43" s="34">
        <f>IF($A43="","",1)</f>
        <v/>
      </c>
    </row>
    <row r="44">
      <c r="A44" s="29" t="n"/>
      <c r="B44" s="29" t="n"/>
      <c r="C44" s="47" t="n"/>
      <c r="D44" s="47" t="n"/>
      <c r="E44" s="29" t="n"/>
      <c r="F44" s="29" t="n"/>
      <c r="G44" s="29" t="n"/>
      <c r="H44" s="29" t="n"/>
      <c r="I44" s="30" t="n"/>
      <c r="J44" s="30" t="n"/>
      <c r="K44" s="31" t="n"/>
      <c r="L44" s="34">
        <f>IF($A44="","",IF($C44="","",raporTarihi-$C44))</f>
        <v/>
      </c>
      <c r="M44" s="34">
        <f>IF($A44="","",IF($L44="","",IF($L44&lt;=7,"0-7",IF($L44&lt;=30,"8-30",IF($L44&lt;=60,"31-60","60+")))))</f>
        <v/>
      </c>
      <c r="N44" s="34">
        <f>IF($A44="","",IF($B44="","YETİM",IF(COUNTIF(tblEnvanter[BelgeId],$B44)=0,"YETİM","")))</f>
        <v/>
      </c>
      <c r="O44" s="34">
        <f>IF(OR($A44="",$E44=""),"",IF(OR($E44&amp;"|"&amp;$F44="",COUNTIF(ListeIzinliGecis,$E44&amp;"|"&amp;$F44)&gt;0),"","GEÇERSİZ GEÇİŞ"))</f>
        <v/>
      </c>
      <c r="P44" s="34">
        <f>IF($A44="","",IF(OR($I44="",$J44=""),"",IF(ABS($J44-$I44)&gt;zincirTolerans,"ZİNCİR KIRIK","OK")))</f>
        <v/>
      </c>
      <c r="Q44" s="34">
        <f>IF($A44="","",1)</f>
        <v/>
      </c>
    </row>
    <row r="45">
      <c r="A45" s="29" t="n"/>
      <c r="B45" s="29" t="n"/>
      <c r="C45" s="47" t="n"/>
      <c r="D45" s="47" t="n"/>
      <c r="E45" s="29" t="n"/>
      <c r="F45" s="29" t="n"/>
      <c r="G45" s="29" t="n"/>
      <c r="H45" s="29" t="n"/>
      <c r="I45" s="30" t="n"/>
      <c r="J45" s="30" t="n"/>
      <c r="K45" s="31" t="n"/>
      <c r="L45" s="34">
        <f>IF($A45="","",IF($C45="","",raporTarihi-$C45))</f>
        <v/>
      </c>
      <c r="M45" s="34">
        <f>IF($A45="","",IF($L45="","",IF($L45&lt;=7,"0-7",IF($L45&lt;=30,"8-30",IF($L45&lt;=60,"31-60","60+")))))</f>
        <v/>
      </c>
      <c r="N45" s="34">
        <f>IF($A45="","",IF($B45="","YETİM",IF(COUNTIF(tblEnvanter[BelgeId],$B45)=0,"YETİM","")))</f>
        <v/>
      </c>
      <c r="O45" s="34">
        <f>IF(OR($A45="",$E45=""),"",IF(OR($E45&amp;"|"&amp;$F45="",COUNTIF(ListeIzinliGecis,$E45&amp;"|"&amp;$F45)&gt;0),"","GEÇERSİZ GEÇİŞ"))</f>
        <v/>
      </c>
      <c r="P45" s="34">
        <f>IF($A45="","",IF(OR($I45="",$J45=""),"",IF(ABS($J45-$I45)&gt;zincirTolerans,"ZİNCİR KIRIK","OK")))</f>
        <v/>
      </c>
      <c r="Q45" s="34">
        <f>IF($A45="","",1)</f>
        <v/>
      </c>
    </row>
    <row r="46">
      <c r="A46" s="29" t="n"/>
      <c r="B46" s="29" t="n"/>
      <c r="C46" s="47" t="n"/>
      <c r="D46" s="47" t="n"/>
      <c r="E46" s="29" t="n"/>
      <c r="F46" s="29" t="n"/>
      <c r="G46" s="29" t="n"/>
      <c r="H46" s="29" t="n"/>
      <c r="I46" s="30" t="n"/>
      <c r="J46" s="30" t="n"/>
      <c r="K46" s="31" t="n"/>
      <c r="L46" s="34">
        <f>IF($A46="","",IF($C46="","",raporTarihi-$C46))</f>
        <v/>
      </c>
      <c r="M46" s="34">
        <f>IF($A46="","",IF($L46="","",IF($L46&lt;=7,"0-7",IF($L46&lt;=30,"8-30",IF($L46&lt;=60,"31-60","60+")))))</f>
        <v/>
      </c>
      <c r="N46" s="34">
        <f>IF($A46="","",IF($B46="","YETİM",IF(COUNTIF(tblEnvanter[BelgeId],$B46)=0,"YETİM","")))</f>
        <v/>
      </c>
      <c r="O46" s="34">
        <f>IF(OR($A46="",$E46=""),"",IF(OR($E46&amp;"|"&amp;$F46="",COUNTIF(ListeIzinliGecis,$E46&amp;"|"&amp;$F46)&gt;0),"","GEÇERSİZ GEÇİŞ"))</f>
        <v/>
      </c>
      <c r="P46" s="34">
        <f>IF($A46="","",IF(OR($I46="",$J46=""),"",IF(ABS($J46-$I46)&gt;zincirTolerans,"ZİNCİR KIRIK","OK")))</f>
        <v/>
      </c>
      <c r="Q46" s="34">
        <f>IF($A46="","",1)</f>
        <v/>
      </c>
    </row>
    <row r="47">
      <c r="A47" s="29" t="n"/>
      <c r="B47" s="29" t="n"/>
      <c r="C47" s="47" t="n"/>
      <c r="D47" s="47" t="n"/>
      <c r="E47" s="29" t="n"/>
      <c r="F47" s="29" t="n"/>
      <c r="G47" s="29" t="n"/>
      <c r="H47" s="29" t="n"/>
      <c r="I47" s="30" t="n"/>
      <c r="J47" s="30" t="n"/>
      <c r="K47" s="31" t="n"/>
      <c r="L47" s="34">
        <f>IF($A47="","",IF($C47="","",raporTarihi-$C47))</f>
        <v/>
      </c>
      <c r="M47" s="34">
        <f>IF($A47="","",IF($L47="","",IF($L47&lt;=7,"0-7",IF($L47&lt;=30,"8-30",IF($L47&lt;=60,"31-60","60+")))))</f>
        <v/>
      </c>
      <c r="N47" s="34">
        <f>IF($A47="","",IF($B47="","YETİM",IF(COUNTIF(tblEnvanter[BelgeId],$B47)=0,"YETİM","")))</f>
        <v/>
      </c>
      <c r="O47" s="34">
        <f>IF(OR($A47="",$E47=""),"",IF(OR($E47&amp;"|"&amp;$F47="",COUNTIF(ListeIzinliGecis,$E47&amp;"|"&amp;$F47)&gt;0),"","GEÇERSİZ GEÇİŞ"))</f>
        <v/>
      </c>
      <c r="P47" s="34">
        <f>IF($A47="","",IF(OR($I47="",$J47=""),"",IF(ABS($J47-$I47)&gt;zincirTolerans,"ZİNCİR KIRIK","OK")))</f>
        <v/>
      </c>
      <c r="Q47" s="34">
        <f>IF($A47="","",1)</f>
        <v/>
      </c>
    </row>
    <row r="48">
      <c r="A48" s="29" t="n"/>
      <c r="B48" s="29" t="n"/>
      <c r="C48" s="47" t="n"/>
      <c r="D48" s="47" t="n"/>
      <c r="E48" s="29" t="n"/>
      <c r="F48" s="29" t="n"/>
      <c r="G48" s="29" t="n"/>
      <c r="H48" s="29" t="n"/>
      <c r="I48" s="30" t="n"/>
      <c r="J48" s="30" t="n"/>
      <c r="K48" s="31" t="n"/>
      <c r="L48" s="34">
        <f>IF($A48="","",IF($C48="","",raporTarihi-$C48))</f>
        <v/>
      </c>
      <c r="M48" s="34">
        <f>IF($A48="","",IF($L48="","",IF($L48&lt;=7,"0-7",IF($L48&lt;=30,"8-30",IF($L48&lt;=60,"31-60","60+")))))</f>
        <v/>
      </c>
      <c r="N48" s="34">
        <f>IF($A48="","",IF($B48="","YETİM",IF(COUNTIF(tblEnvanter[BelgeId],$B48)=0,"YETİM","")))</f>
        <v/>
      </c>
      <c r="O48" s="34">
        <f>IF(OR($A48="",$E48=""),"",IF(OR($E48&amp;"|"&amp;$F48="",COUNTIF(ListeIzinliGecis,$E48&amp;"|"&amp;$F48)&gt;0),"","GEÇERSİZ GEÇİŞ"))</f>
        <v/>
      </c>
      <c r="P48" s="34">
        <f>IF($A48="","",IF(OR($I48="",$J48=""),"",IF(ABS($J48-$I48)&gt;zincirTolerans,"ZİNCİR KIRIK","OK")))</f>
        <v/>
      </c>
      <c r="Q48" s="34">
        <f>IF($A48="","",1)</f>
        <v/>
      </c>
    </row>
    <row r="49">
      <c r="A49" s="29" t="n"/>
      <c r="B49" s="29" t="n"/>
      <c r="C49" s="47" t="n"/>
      <c r="D49" s="47" t="n"/>
      <c r="E49" s="29" t="n"/>
      <c r="F49" s="29" t="n"/>
      <c r="G49" s="29" t="n"/>
      <c r="H49" s="29" t="n"/>
      <c r="I49" s="30" t="n"/>
      <c r="J49" s="30" t="n"/>
      <c r="K49" s="31" t="n"/>
      <c r="L49" s="34">
        <f>IF($A49="","",IF($C49="","",raporTarihi-$C49))</f>
        <v/>
      </c>
      <c r="M49" s="34">
        <f>IF($A49="","",IF($L49="","",IF($L49&lt;=7,"0-7",IF($L49&lt;=30,"8-30",IF($L49&lt;=60,"31-60","60+")))))</f>
        <v/>
      </c>
      <c r="N49" s="34">
        <f>IF($A49="","",IF($B49="","YETİM",IF(COUNTIF(tblEnvanter[BelgeId],$B49)=0,"YETİM","")))</f>
        <v/>
      </c>
      <c r="O49" s="34">
        <f>IF(OR($A49="",$E49=""),"",IF(OR($E49&amp;"|"&amp;$F49="",COUNTIF(ListeIzinliGecis,$E49&amp;"|"&amp;$F49)&gt;0),"","GEÇERSİZ GEÇİŞ"))</f>
        <v/>
      </c>
      <c r="P49" s="34">
        <f>IF($A49="","",IF(OR($I49="",$J49=""),"",IF(ABS($J49-$I49)&gt;zincirTolerans,"ZİNCİR KIRIK","OK")))</f>
        <v/>
      </c>
      <c r="Q49" s="34">
        <f>IF($A49="","",1)</f>
        <v/>
      </c>
    </row>
    <row r="50">
      <c r="A50" s="29" t="n"/>
      <c r="B50" s="29" t="n"/>
      <c r="C50" s="47" t="n"/>
      <c r="D50" s="47" t="n"/>
      <c r="E50" s="29" t="n"/>
      <c r="F50" s="29" t="n"/>
      <c r="G50" s="29" t="n"/>
      <c r="H50" s="29" t="n"/>
      <c r="I50" s="30" t="n"/>
      <c r="J50" s="30" t="n"/>
      <c r="K50" s="31" t="n"/>
      <c r="L50" s="34">
        <f>IF($A50="","",IF($C50="","",raporTarihi-$C50))</f>
        <v/>
      </c>
      <c r="M50" s="34">
        <f>IF($A50="","",IF($L50="","",IF($L50&lt;=7,"0-7",IF($L50&lt;=30,"8-30",IF($L50&lt;=60,"31-60","60+")))))</f>
        <v/>
      </c>
      <c r="N50" s="34">
        <f>IF($A50="","",IF($B50="","YETİM",IF(COUNTIF(tblEnvanter[BelgeId],$B50)=0,"YETİM","")))</f>
        <v/>
      </c>
      <c r="O50" s="34">
        <f>IF(OR($A50="",$E50=""),"",IF(OR($E50&amp;"|"&amp;$F50="",COUNTIF(ListeIzinliGecis,$E50&amp;"|"&amp;$F50)&gt;0),"","GEÇERSİZ GEÇİŞ"))</f>
        <v/>
      </c>
      <c r="P50" s="34">
        <f>IF($A50="","",IF(OR($I50="",$J50=""),"",IF(ABS($J50-$I50)&gt;zincirTolerans,"ZİNCİR KIRIK","OK")))</f>
        <v/>
      </c>
      <c r="Q50" s="34">
        <f>IF($A50="","",1)</f>
        <v/>
      </c>
    </row>
    <row r="51">
      <c r="A51" s="29" t="n"/>
      <c r="B51" s="29" t="n"/>
      <c r="C51" s="47" t="n"/>
      <c r="D51" s="47" t="n"/>
      <c r="E51" s="29" t="n"/>
      <c r="F51" s="29" t="n"/>
      <c r="G51" s="29" t="n"/>
      <c r="H51" s="29" t="n"/>
      <c r="I51" s="30" t="n"/>
      <c r="J51" s="30" t="n"/>
      <c r="K51" s="31" t="n"/>
      <c r="L51" s="34">
        <f>IF($A51="","",IF($C51="","",raporTarihi-$C51))</f>
        <v/>
      </c>
      <c r="M51" s="34">
        <f>IF($A51="","",IF($L51="","",IF($L51&lt;=7,"0-7",IF($L51&lt;=30,"8-30",IF($L51&lt;=60,"31-60","60+")))))</f>
        <v/>
      </c>
      <c r="N51" s="34">
        <f>IF($A51="","",IF($B51="","YETİM",IF(COUNTIF(tblEnvanter[BelgeId],$B51)=0,"YETİM","")))</f>
        <v/>
      </c>
      <c r="O51" s="34">
        <f>IF(OR($A51="",$E51=""),"",IF(OR($E51&amp;"|"&amp;$F51="",COUNTIF(ListeIzinliGecis,$E51&amp;"|"&amp;$F51)&gt;0),"","GEÇERSİZ GEÇİŞ"))</f>
        <v/>
      </c>
      <c r="P51" s="34">
        <f>IF($A51="","",IF(OR($I51="",$J51=""),"",IF(ABS($J51-$I51)&gt;zincirTolerans,"ZİNCİR KIRIK","OK")))</f>
        <v/>
      </c>
      <c r="Q51" s="34">
        <f>IF($A51="","",1)</f>
        <v/>
      </c>
    </row>
    <row r="52">
      <c r="A52" s="29" t="n"/>
      <c r="B52" s="29" t="n"/>
      <c r="C52" s="47" t="n"/>
      <c r="D52" s="47" t="n"/>
      <c r="E52" s="29" t="n"/>
      <c r="F52" s="29" t="n"/>
      <c r="G52" s="29" t="n"/>
      <c r="H52" s="29" t="n"/>
      <c r="I52" s="30" t="n"/>
      <c r="J52" s="30" t="n"/>
      <c r="K52" s="31" t="n"/>
      <c r="L52" s="34">
        <f>IF($A52="","",IF($C52="","",raporTarihi-$C52))</f>
        <v/>
      </c>
      <c r="M52" s="34">
        <f>IF($A52="","",IF($L52="","",IF($L52&lt;=7,"0-7",IF($L52&lt;=30,"8-30",IF($L52&lt;=60,"31-60","60+")))))</f>
        <v/>
      </c>
      <c r="N52" s="34">
        <f>IF($A52="","",IF($B52="","YETİM",IF(COUNTIF(tblEnvanter[BelgeId],$B52)=0,"YETİM","")))</f>
        <v/>
      </c>
      <c r="O52" s="34">
        <f>IF(OR($A52="",$E52=""),"",IF(OR($E52&amp;"|"&amp;$F52="",COUNTIF(ListeIzinliGecis,$E52&amp;"|"&amp;$F52)&gt;0),"","GEÇERSİZ GEÇİŞ"))</f>
        <v/>
      </c>
      <c r="P52" s="34">
        <f>IF($A52="","",IF(OR($I52="",$J52=""),"",IF(ABS($J52-$I52)&gt;zincirTolerans,"ZİNCİR KIRIK","OK")))</f>
        <v/>
      </c>
      <c r="Q52" s="34">
        <f>IF($A52="","",1)</f>
        <v/>
      </c>
    </row>
    <row r="53">
      <c r="A53" s="29" t="n"/>
      <c r="B53" s="29" t="n"/>
      <c r="C53" s="47" t="n"/>
      <c r="D53" s="47" t="n"/>
      <c r="E53" s="29" t="n"/>
      <c r="F53" s="29" t="n"/>
      <c r="G53" s="29" t="n"/>
      <c r="H53" s="29" t="n"/>
      <c r="I53" s="30" t="n"/>
      <c r="J53" s="30" t="n"/>
      <c r="K53" s="31" t="n"/>
      <c r="L53" s="34">
        <f>IF($A53="","",IF($C53="","",raporTarihi-$C53))</f>
        <v/>
      </c>
      <c r="M53" s="34">
        <f>IF($A53="","",IF($L53="","",IF($L53&lt;=7,"0-7",IF($L53&lt;=30,"8-30",IF($L53&lt;=60,"31-60","60+")))))</f>
        <v/>
      </c>
      <c r="N53" s="34">
        <f>IF($A53="","",IF($B53="","YETİM",IF(COUNTIF(tblEnvanter[BelgeId],$B53)=0,"YETİM","")))</f>
        <v/>
      </c>
      <c r="O53" s="34">
        <f>IF(OR($A53="",$E53=""),"",IF(OR($E53&amp;"|"&amp;$F53="",COUNTIF(ListeIzinliGecis,$E53&amp;"|"&amp;$F53)&gt;0),"","GEÇERSİZ GEÇİŞ"))</f>
        <v/>
      </c>
      <c r="P53" s="34">
        <f>IF($A53="","",IF(OR($I53="",$J53=""),"",IF(ABS($J53-$I53)&gt;zincirTolerans,"ZİNCİR KIRIK","OK")))</f>
        <v/>
      </c>
      <c r="Q53" s="34">
        <f>IF($A53="","",1)</f>
        <v/>
      </c>
    </row>
    <row r="54">
      <c r="A54" s="29" t="n"/>
      <c r="B54" s="29" t="n"/>
      <c r="C54" s="47" t="n"/>
      <c r="D54" s="47" t="n"/>
      <c r="E54" s="29" t="n"/>
      <c r="F54" s="29" t="n"/>
      <c r="G54" s="29" t="n"/>
      <c r="H54" s="29" t="n"/>
      <c r="I54" s="30" t="n"/>
      <c r="J54" s="30" t="n"/>
      <c r="K54" s="31" t="n"/>
      <c r="L54" s="34">
        <f>IF($A54="","",IF($C54="","",raporTarihi-$C54))</f>
        <v/>
      </c>
      <c r="M54" s="34">
        <f>IF($A54="","",IF($L54="","",IF($L54&lt;=7,"0-7",IF($L54&lt;=30,"8-30",IF($L54&lt;=60,"31-60","60+")))))</f>
        <v/>
      </c>
      <c r="N54" s="34">
        <f>IF($A54="","",IF($B54="","YETİM",IF(COUNTIF(tblEnvanter[BelgeId],$B54)=0,"YETİM","")))</f>
        <v/>
      </c>
      <c r="O54" s="34">
        <f>IF(OR($A54="",$E54=""),"",IF(OR($E54&amp;"|"&amp;$F54="",COUNTIF(ListeIzinliGecis,$E54&amp;"|"&amp;$F54)&gt;0),"","GEÇERSİZ GEÇİŞ"))</f>
        <v/>
      </c>
      <c r="P54" s="34">
        <f>IF($A54="","",IF(OR($I54="",$J54=""),"",IF(ABS($J54-$I54)&gt;zincirTolerans,"ZİNCİR KIRIK","OK")))</f>
        <v/>
      </c>
      <c r="Q54" s="34">
        <f>IF($A54="","",1)</f>
        <v/>
      </c>
    </row>
    <row r="55">
      <c r="A55" s="29" t="n"/>
      <c r="B55" s="29" t="n"/>
      <c r="C55" s="47" t="n"/>
      <c r="D55" s="47" t="n"/>
      <c r="E55" s="29" t="n"/>
      <c r="F55" s="29" t="n"/>
      <c r="G55" s="29" t="n"/>
      <c r="H55" s="29" t="n"/>
      <c r="I55" s="30" t="n"/>
      <c r="J55" s="30" t="n"/>
      <c r="K55" s="31" t="n"/>
      <c r="L55" s="34">
        <f>IF($A55="","",IF($C55="","",raporTarihi-$C55))</f>
        <v/>
      </c>
      <c r="M55" s="34">
        <f>IF($A55="","",IF($L55="","",IF($L55&lt;=7,"0-7",IF($L55&lt;=30,"8-30",IF($L55&lt;=60,"31-60","60+")))))</f>
        <v/>
      </c>
      <c r="N55" s="34">
        <f>IF($A55="","",IF($B55="","YETİM",IF(COUNTIF(tblEnvanter[BelgeId],$B55)=0,"YETİM","")))</f>
        <v/>
      </c>
      <c r="O55" s="34">
        <f>IF(OR($A55="",$E55=""),"",IF(OR($E55&amp;"|"&amp;$F55="",COUNTIF(ListeIzinliGecis,$E55&amp;"|"&amp;$F55)&gt;0),"","GEÇERSİZ GEÇİŞ"))</f>
        <v/>
      </c>
      <c r="P55" s="34">
        <f>IF($A55="","",IF(OR($I55="",$J55=""),"",IF(ABS($J55-$I55)&gt;zincirTolerans,"ZİNCİR KIRIK","OK")))</f>
        <v/>
      </c>
      <c r="Q55" s="34">
        <f>IF($A55="","",1)</f>
        <v/>
      </c>
    </row>
    <row r="56">
      <c r="A56" s="29" t="n"/>
      <c r="B56" s="29" t="n"/>
      <c r="C56" s="47" t="n"/>
      <c r="D56" s="47" t="n"/>
      <c r="E56" s="29" t="n"/>
      <c r="F56" s="29" t="n"/>
      <c r="G56" s="29" t="n"/>
      <c r="H56" s="29" t="n"/>
      <c r="I56" s="30" t="n"/>
      <c r="J56" s="30" t="n"/>
      <c r="K56" s="31" t="n"/>
      <c r="L56" s="34">
        <f>IF($A56="","",IF($C56="","",raporTarihi-$C56))</f>
        <v/>
      </c>
      <c r="M56" s="34">
        <f>IF($A56="","",IF($L56="","",IF($L56&lt;=7,"0-7",IF($L56&lt;=30,"8-30",IF($L56&lt;=60,"31-60","60+")))))</f>
        <v/>
      </c>
      <c r="N56" s="34">
        <f>IF($A56="","",IF($B56="","YETİM",IF(COUNTIF(tblEnvanter[BelgeId],$B56)=0,"YETİM","")))</f>
        <v/>
      </c>
      <c r="O56" s="34">
        <f>IF(OR($A56="",$E56=""),"",IF(OR($E56&amp;"|"&amp;$F56="",COUNTIF(ListeIzinliGecis,$E56&amp;"|"&amp;$F56)&gt;0),"","GEÇERSİZ GEÇİŞ"))</f>
        <v/>
      </c>
      <c r="P56" s="34">
        <f>IF($A56="","",IF(OR($I56="",$J56=""),"",IF(ABS($J56-$I56)&gt;zincirTolerans,"ZİNCİR KIRIK","OK")))</f>
        <v/>
      </c>
      <c r="Q56" s="34">
        <f>IF($A56="","",1)</f>
        <v/>
      </c>
    </row>
    <row r="57">
      <c r="A57" s="29" t="n"/>
      <c r="B57" s="29" t="n"/>
      <c r="C57" s="47" t="n"/>
      <c r="D57" s="47" t="n"/>
      <c r="E57" s="29" t="n"/>
      <c r="F57" s="29" t="n"/>
      <c r="G57" s="29" t="n"/>
      <c r="H57" s="29" t="n"/>
      <c r="I57" s="30" t="n"/>
      <c r="J57" s="30" t="n"/>
      <c r="K57" s="31" t="n"/>
      <c r="L57" s="34">
        <f>IF($A57="","",IF($C57="","",raporTarihi-$C57))</f>
        <v/>
      </c>
      <c r="M57" s="34">
        <f>IF($A57="","",IF($L57="","",IF($L57&lt;=7,"0-7",IF($L57&lt;=30,"8-30",IF($L57&lt;=60,"31-60","60+")))))</f>
        <v/>
      </c>
      <c r="N57" s="34">
        <f>IF($A57="","",IF($B57="","YETİM",IF(COUNTIF(tblEnvanter[BelgeId],$B57)=0,"YETİM","")))</f>
        <v/>
      </c>
      <c r="O57" s="34">
        <f>IF(OR($A57="",$E57=""),"",IF(OR($E57&amp;"|"&amp;$F57="",COUNTIF(ListeIzinliGecis,$E57&amp;"|"&amp;$F57)&gt;0),"","GEÇERSİZ GEÇİŞ"))</f>
        <v/>
      </c>
      <c r="P57" s="34">
        <f>IF($A57="","",IF(OR($I57="",$J57=""),"",IF(ABS($J57-$I57)&gt;zincirTolerans,"ZİNCİR KIRIK","OK")))</f>
        <v/>
      </c>
      <c r="Q57" s="34">
        <f>IF($A57="","",1)</f>
        <v/>
      </c>
    </row>
    <row r="58">
      <c r="A58" s="29" t="n"/>
      <c r="B58" s="29" t="n"/>
      <c r="C58" s="47" t="n"/>
      <c r="D58" s="47" t="n"/>
      <c r="E58" s="29" t="n"/>
      <c r="F58" s="29" t="n"/>
      <c r="G58" s="29" t="n"/>
      <c r="H58" s="29" t="n"/>
      <c r="I58" s="30" t="n"/>
      <c r="J58" s="30" t="n"/>
      <c r="K58" s="31" t="n"/>
      <c r="L58" s="34">
        <f>IF($A58="","",IF($C58="","",raporTarihi-$C58))</f>
        <v/>
      </c>
      <c r="M58" s="34">
        <f>IF($A58="","",IF($L58="","",IF($L58&lt;=7,"0-7",IF($L58&lt;=30,"8-30",IF($L58&lt;=60,"31-60","60+")))))</f>
        <v/>
      </c>
      <c r="N58" s="34">
        <f>IF($A58="","",IF($B58="","YETİM",IF(COUNTIF(tblEnvanter[BelgeId],$B58)=0,"YETİM","")))</f>
        <v/>
      </c>
      <c r="O58" s="34">
        <f>IF(OR($A58="",$E58=""),"",IF(OR($E58&amp;"|"&amp;$F58="",COUNTIF(ListeIzinliGecis,$E58&amp;"|"&amp;$F58)&gt;0),"","GEÇERSİZ GEÇİŞ"))</f>
        <v/>
      </c>
      <c r="P58" s="34">
        <f>IF($A58="","",IF(OR($I58="",$J58=""),"",IF(ABS($J58-$I58)&gt;zincirTolerans,"ZİNCİR KIRIK","OK")))</f>
        <v/>
      </c>
      <c r="Q58" s="34">
        <f>IF($A58="","",1)</f>
        <v/>
      </c>
    </row>
    <row r="59">
      <c r="A59" s="29" t="n"/>
      <c r="B59" s="29" t="n"/>
      <c r="C59" s="47" t="n"/>
      <c r="D59" s="47" t="n"/>
      <c r="E59" s="29" t="n"/>
      <c r="F59" s="29" t="n"/>
      <c r="G59" s="29" t="n"/>
      <c r="H59" s="29" t="n"/>
      <c r="I59" s="30" t="n"/>
      <c r="J59" s="30" t="n"/>
      <c r="K59" s="31" t="n"/>
      <c r="L59" s="34">
        <f>IF($A59="","",IF($C59="","",raporTarihi-$C59))</f>
        <v/>
      </c>
      <c r="M59" s="34">
        <f>IF($A59="","",IF($L59="","",IF($L59&lt;=7,"0-7",IF($L59&lt;=30,"8-30",IF($L59&lt;=60,"31-60","60+")))))</f>
        <v/>
      </c>
      <c r="N59" s="34">
        <f>IF($A59="","",IF($B59="","YETİM",IF(COUNTIF(tblEnvanter[BelgeId],$B59)=0,"YETİM","")))</f>
        <v/>
      </c>
      <c r="O59" s="34">
        <f>IF(OR($A59="",$E59=""),"",IF(OR($E59&amp;"|"&amp;$F59="",COUNTIF(ListeIzinliGecis,$E59&amp;"|"&amp;$F59)&gt;0),"","GEÇERSİZ GEÇİŞ"))</f>
        <v/>
      </c>
      <c r="P59" s="34">
        <f>IF($A59="","",IF(OR($I59="",$J59=""),"",IF(ABS($J59-$I59)&gt;zincirTolerans,"ZİNCİR KIRIK","OK")))</f>
        <v/>
      </c>
      <c r="Q59" s="34">
        <f>IF($A59="","",1)</f>
        <v/>
      </c>
    </row>
    <row r="60">
      <c r="A60" s="29" t="n"/>
      <c r="B60" s="29" t="n"/>
      <c r="C60" s="47" t="n"/>
      <c r="D60" s="47" t="n"/>
      <c r="E60" s="29" t="n"/>
      <c r="F60" s="29" t="n"/>
      <c r="G60" s="29" t="n"/>
      <c r="H60" s="29" t="n"/>
      <c r="I60" s="30" t="n"/>
      <c r="J60" s="30" t="n"/>
      <c r="K60" s="31" t="n"/>
      <c r="L60" s="34">
        <f>IF($A60="","",IF($C60="","",raporTarihi-$C60))</f>
        <v/>
      </c>
      <c r="M60" s="34">
        <f>IF($A60="","",IF($L60="","",IF($L60&lt;=7,"0-7",IF($L60&lt;=30,"8-30",IF($L60&lt;=60,"31-60","60+")))))</f>
        <v/>
      </c>
      <c r="N60" s="34">
        <f>IF($A60="","",IF($B60="","YETİM",IF(COUNTIF(tblEnvanter[BelgeId],$B60)=0,"YETİM","")))</f>
        <v/>
      </c>
      <c r="O60" s="34">
        <f>IF(OR($A60="",$E60=""),"",IF(OR($E60&amp;"|"&amp;$F60="",COUNTIF(ListeIzinliGecis,$E60&amp;"|"&amp;$F60)&gt;0),"","GEÇERSİZ GEÇİŞ"))</f>
        <v/>
      </c>
      <c r="P60" s="34">
        <f>IF($A60="","",IF(OR($I60="",$J60=""),"",IF(ABS($J60-$I60)&gt;zincirTolerans,"ZİNCİR KIRIK","OK")))</f>
        <v/>
      </c>
      <c r="Q60" s="34">
        <f>IF($A60="","",1)</f>
        <v/>
      </c>
    </row>
    <row r="61">
      <c r="A61" s="29" t="n"/>
      <c r="B61" s="29" t="n"/>
      <c r="C61" s="47" t="n"/>
      <c r="D61" s="47" t="n"/>
      <c r="E61" s="29" t="n"/>
      <c r="F61" s="29" t="n"/>
      <c r="G61" s="29" t="n"/>
      <c r="H61" s="29" t="n"/>
      <c r="I61" s="30" t="n"/>
      <c r="J61" s="30" t="n"/>
      <c r="K61" s="31" t="n"/>
      <c r="L61" s="34">
        <f>IF($A61="","",IF($C61="","",raporTarihi-$C61))</f>
        <v/>
      </c>
      <c r="M61" s="34">
        <f>IF($A61="","",IF($L61="","",IF($L61&lt;=7,"0-7",IF($L61&lt;=30,"8-30",IF($L61&lt;=60,"31-60","60+")))))</f>
        <v/>
      </c>
      <c r="N61" s="34">
        <f>IF($A61="","",IF($B61="","YETİM",IF(COUNTIF(tblEnvanter[BelgeId],$B61)=0,"YETİM","")))</f>
        <v/>
      </c>
      <c r="O61" s="34">
        <f>IF(OR($A61="",$E61=""),"",IF(OR($E61&amp;"|"&amp;$F61="",COUNTIF(ListeIzinliGecis,$E61&amp;"|"&amp;$F61)&gt;0),"","GEÇERSİZ GEÇİŞ"))</f>
        <v/>
      </c>
      <c r="P61" s="34">
        <f>IF($A61="","",IF(OR($I61="",$J61=""),"",IF(ABS($J61-$I61)&gt;zincirTolerans,"ZİNCİR KIRIK","OK")))</f>
        <v/>
      </c>
      <c r="Q61" s="34">
        <f>IF($A61="","",1)</f>
        <v/>
      </c>
    </row>
    <row r="62">
      <c r="A62" s="29" t="n"/>
      <c r="B62" s="29" t="n"/>
      <c r="C62" s="47" t="n"/>
      <c r="D62" s="47" t="n"/>
      <c r="E62" s="29" t="n"/>
      <c r="F62" s="29" t="n"/>
      <c r="G62" s="29" t="n"/>
      <c r="H62" s="29" t="n"/>
      <c r="I62" s="30" t="n"/>
      <c r="J62" s="30" t="n"/>
      <c r="K62" s="31" t="n"/>
      <c r="L62" s="34">
        <f>IF($A62="","",IF($C62="","",raporTarihi-$C62))</f>
        <v/>
      </c>
      <c r="M62" s="34">
        <f>IF($A62="","",IF($L62="","",IF($L62&lt;=7,"0-7",IF($L62&lt;=30,"8-30",IF($L62&lt;=60,"31-60","60+")))))</f>
        <v/>
      </c>
      <c r="N62" s="34">
        <f>IF($A62="","",IF($B62="","YETİM",IF(COUNTIF(tblEnvanter[BelgeId],$B62)=0,"YETİM","")))</f>
        <v/>
      </c>
      <c r="O62" s="34">
        <f>IF(OR($A62="",$E62=""),"",IF(OR($E62&amp;"|"&amp;$F62="",COUNTIF(ListeIzinliGecis,$E62&amp;"|"&amp;$F62)&gt;0),"","GEÇERSİZ GEÇİŞ"))</f>
        <v/>
      </c>
      <c r="P62" s="34">
        <f>IF($A62="","",IF(OR($I62="",$J62=""),"",IF(ABS($J62-$I62)&gt;zincirTolerans,"ZİNCİR KIRIK","OK")))</f>
        <v/>
      </c>
      <c r="Q62" s="34">
        <f>IF($A62="","",1)</f>
        <v/>
      </c>
    </row>
    <row r="63">
      <c r="A63" s="29" t="n"/>
      <c r="B63" s="29" t="n"/>
      <c r="C63" s="47" t="n"/>
      <c r="D63" s="47" t="n"/>
      <c r="E63" s="29" t="n"/>
      <c r="F63" s="29" t="n"/>
      <c r="G63" s="29" t="n"/>
      <c r="H63" s="29" t="n"/>
      <c r="I63" s="30" t="n"/>
      <c r="J63" s="30" t="n"/>
      <c r="K63" s="31" t="n"/>
      <c r="L63" s="34">
        <f>IF($A63="","",IF($C63="","",raporTarihi-$C63))</f>
        <v/>
      </c>
      <c r="M63" s="34">
        <f>IF($A63="","",IF($L63="","",IF($L63&lt;=7,"0-7",IF($L63&lt;=30,"8-30",IF($L63&lt;=60,"31-60","60+")))))</f>
        <v/>
      </c>
      <c r="N63" s="34">
        <f>IF($A63="","",IF($B63="","YETİM",IF(COUNTIF(tblEnvanter[BelgeId],$B63)=0,"YETİM","")))</f>
        <v/>
      </c>
      <c r="O63" s="34">
        <f>IF(OR($A63="",$E63=""),"",IF(OR($E63&amp;"|"&amp;$F63="",COUNTIF(ListeIzinliGecis,$E63&amp;"|"&amp;$F63)&gt;0),"","GEÇERSİZ GEÇİŞ"))</f>
        <v/>
      </c>
      <c r="P63" s="34">
        <f>IF($A63="","",IF(OR($I63="",$J63=""),"",IF(ABS($J63-$I63)&gt;zincirTolerans,"ZİNCİR KIRIK","OK")))</f>
        <v/>
      </c>
      <c r="Q63" s="34">
        <f>IF($A63="","",1)</f>
        <v/>
      </c>
    </row>
    <row r="64">
      <c r="A64" s="29" t="n"/>
      <c r="B64" s="29" t="n"/>
      <c r="C64" s="47" t="n"/>
      <c r="D64" s="47" t="n"/>
      <c r="E64" s="29" t="n"/>
      <c r="F64" s="29" t="n"/>
      <c r="G64" s="29" t="n"/>
      <c r="H64" s="29" t="n"/>
      <c r="I64" s="30" t="n"/>
      <c r="J64" s="30" t="n"/>
      <c r="K64" s="31" t="n"/>
      <c r="L64" s="34">
        <f>IF($A64="","",IF($C64="","",raporTarihi-$C64))</f>
        <v/>
      </c>
      <c r="M64" s="34">
        <f>IF($A64="","",IF($L64="","",IF($L64&lt;=7,"0-7",IF($L64&lt;=30,"8-30",IF($L64&lt;=60,"31-60","60+")))))</f>
        <v/>
      </c>
      <c r="N64" s="34">
        <f>IF($A64="","",IF($B64="","YETİM",IF(COUNTIF(tblEnvanter[BelgeId],$B64)=0,"YETİM","")))</f>
        <v/>
      </c>
      <c r="O64" s="34">
        <f>IF(OR($A64="",$E64=""),"",IF(OR($E64&amp;"|"&amp;$F64="",COUNTIF(ListeIzinliGecis,$E64&amp;"|"&amp;$F64)&gt;0),"","GEÇERSİZ GEÇİŞ"))</f>
        <v/>
      </c>
      <c r="P64" s="34">
        <f>IF($A64="","",IF(OR($I64="",$J64=""),"",IF(ABS($J64-$I64)&gt;zincirTolerans,"ZİNCİR KIRIK","OK")))</f>
        <v/>
      </c>
      <c r="Q64" s="34">
        <f>IF($A64="","",1)</f>
        <v/>
      </c>
    </row>
    <row r="65">
      <c r="A65" s="29" t="n"/>
      <c r="B65" s="29" t="n"/>
      <c r="C65" s="47" t="n"/>
      <c r="D65" s="47" t="n"/>
      <c r="E65" s="29" t="n"/>
      <c r="F65" s="29" t="n"/>
      <c r="G65" s="29" t="n"/>
      <c r="H65" s="29" t="n"/>
      <c r="I65" s="30" t="n"/>
      <c r="J65" s="30" t="n"/>
      <c r="K65" s="31" t="n"/>
      <c r="L65" s="34">
        <f>IF($A65="","",IF($C65="","",raporTarihi-$C65))</f>
        <v/>
      </c>
      <c r="M65" s="34">
        <f>IF($A65="","",IF($L65="","",IF($L65&lt;=7,"0-7",IF($L65&lt;=30,"8-30",IF($L65&lt;=60,"31-60","60+")))))</f>
        <v/>
      </c>
      <c r="N65" s="34">
        <f>IF($A65="","",IF($B65="","YETİM",IF(COUNTIF(tblEnvanter[BelgeId],$B65)=0,"YETİM","")))</f>
        <v/>
      </c>
      <c r="O65" s="34">
        <f>IF(OR($A65="",$E65=""),"",IF(OR($E65&amp;"|"&amp;$F65="",COUNTIF(ListeIzinliGecis,$E65&amp;"|"&amp;$F65)&gt;0),"","GEÇERSİZ GEÇİŞ"))</f>
        <v/>
      </c>
      <c r="P65" s="34">
        <f>IF($A65="","",IF(OR($I65="",$J65=""),"",IF(ABS($J65-$I65)&gt;zincirTolerans,"ZİNCİR KIRIK","OK")))</f>
        <v/>
      </c>
      <c r="Q65" s="34">
        <f>IF($A65="","",1)</f>
        <v/>
      </c>
    </row>
    <row r="66">
      <c r="A66" s="29" t="n"/>
      <c r="B66" s="29" t="n"/>
      <c r="C66" s="47" t="n"/>
      <c r="D66" s="47" t="n"/>
      <c r="E66" s="29" t="n"/>
      <c r="F66" s="29" t="n"/>
      <c r="G66" s="29" t="n"/>
      <c r="H66" s="29" t="n"/>
      <c r="I66" s="30" t="n"/>
      <c r="J66" s="30" t="n"/>
      <c r="K66" s="31" t="n"/>
      <c r="L66" s="34">
        <f>IF($A66="","",IF($C66="","",raporTarihi-$C66))</f>
        <v/>
      </c>
      <c r="M66" s="34">
        <f>IF($A66="","",IF($L66="","",IF($L66&lt;=7,"0-7",IF($L66&lt;=30,"8-30",IF($L66&lt;=60,"31-60","60+")))))</f>
        <v/>
      </c>
      <c r="N66" s="34">
        <f>IF($A66="","",IF($B66="","YETİM",IF(COUNTIF(tblEnvanter[BelgeId],$B66)=0,"YETİM","")))</f>
        <v/>
      </c>
      <c r="O66" s="34">
        <f>IF(OR($A66="",$E66=""),"",IF(OR($E66&amp;"|"&amp;$F66="",COUNTIF(ListeIzinliGecis,$E66&amp;"|"&amp;$F66)&gt;0),"","GEÇERSİZ GEÇİŞ"))</f>
        <v/>
      </c>
      <c r="P66" s="34">
        <f>IF($A66="","",IF(OR($I66="",$J66=""),"",IF(ABS($J66-$I66)&gt;zincirTolerans,"ZİNCİR KIRIK","OK")))</f>
        <v/>
      </c>
      <c r="Q66" s="34">
        <f>IF($A66="","",1)</f>
        <v/>
      </c>
    </row>
    <row r="67">
      <c r="A67" s="29" t="n"/>
      <c r="B67" s="29" t="n"/>
      <c r="C67" s="47" t="n"/>
      <c r="D67" s="47" t="n"/>
      <c r="E67" s="29" t="n"/>
      <c r="F67" s="29" t="n"/>
      <c r="G67" s="29" t="n"/>
      <c r="H67" s="29" t="n"/>
      <c r="I67" s="30" t="n"/>
      <c r="J67" s="30" t="n"/>
      <c r="K67" s="31" t="n"/>
      <c r="L67" s="34">
        <f>IF($A67="","",IF($C67="","",raporTarihi-$C67))</f>
        <v/>
      </c>
      <c r="M67" s="34">
        <f>IF($A67="","",IF($L67="","",IF($L67&lt;=7,"0-7",IF($L67&lt;=30,"8-30",IF($L67&lt;=60,"31-60","60+")))))</f>
        <v/>
      </c>
      <c r="N67" s="34">
        <f>IF($A67="","",IF($B67="","YETİM",IF(COUNTIF(tblEnvanter[BelgeId],$B67)=0,"YETİM","")))</f>
        <v/>
      </c>
      <c r="O67" s="34">
        <f>IF(OR($A67="",$E67=""),"",IF(OR($E67&amp;"|"&amp;$F67="",COUNTIF(ListeIzinliGecis,$E67&amp;"|"&amp;$F67)&gt;0),"","GEÇERSİZ GEÇİŞ"))</f>
        <v/>
      </c>
      <c r="P67" s="34">
        <f>IF($A67="","",IF(OR($I67="",$J67=""),"",IF(ABS($J67-$I67)&gt;zincirTolerans,"ZİNCİR KIRIK","OK")))</f>
        <v/>
      </c>
      <c r="Q67" s="34">
        <f>IF($A67="","",1)</f>
        <v/>
      </c>
    </row>
    <row r="68">
      <c r="A68" s="29" t="n"/>
      <c r="B68" s="29" t="n"/>
      <c r="C68" s="47" t="n"/>
      <c r="D68" s="47" t="n"/>
      <c r="E68" s="29" t="n"/>
      <c r="F68" s="29" t="n"/>
      <c r="G68" s="29" t="n"/>
      <c r="H68" s="29" t="n"/>
      <c r="I68" s="30" t="n"/>
      <c r="J68" s="30" t="n"/>
      <c r="K68" s="31" t="n"/>
      <c r="L68" s="34">
        <f>IF($A68="","",IF($C68="","",raporTarihi-$C68))</f>
        <v/>
      </c>
      <c r="M68" s="34">
        <f>IF($A68="","",IF($L68="","",IF($L68&lt;=7,"0-7",IF($L68&lt;=30,"8-30",IF($L68&lt;=60,"31-60","60+")))))</f>
        <v/>
      </c>
      <c r="N68" s="34">
        <f>IF($A68="","",IF($B68="","YETİM",IF(COUNTIF(tblEnvanter[BelgeId],$B68)=0,"YETİM","")))</f>
        <v/>
      </c>
      <c r="O68" s="34">
        <f>IF(OR($A68="",$E68=""),"",IF(OR($E68&amp;"|"&amp;$F68="",COUNTIF(ListeIzinliGecis,$E68&amp;"|"&amp;$F68)&gt;0),"","GEÇERSİZ GEÇİŞ"))</f>
        <v/>
      </c>
      <c r="P68" s="34">
        <f>IF($A68="","",IF(OR($I68="",$J68=""),"",IF(ABS($J68-$I68)&gt;zincirTolerans,"ZİNCİR KIRIK","OK")))</f>
        <v/>
      </c>
      <c r="Q68" s="34">
        <f>IF($A68="","",1)</f>
        <v/>
      </c>
    </row>
    <row r="69">
      <c r="A69" s="29" t="n"/>
      <c r="B69" s="29" t="n"/>
      <c r="C69" s="47" t="n"/>
      <c r="D69" s="47" t="n"/>
      <c r="E69" s="29" t="n"/>
      <c r="F69" s="29" t="n"/>
      <c r="G69" s="29" t="n"/>
      <c r="H69" s="29" t="n"/>
      <c r="I69" s="30" t="n"/>
      <c r="J69" s="30" t="n"/>
      <c r="K69" s="31" t="n"/>
      <c r="L69" s="34">
        <f>IF($A69="","",IF($C69="","",raporTarihi-$C69))</f>
        <v/>
      </c>
      <c r="M69" s="34">
        <f>IF($A69="","",IF($L69="","",IF($L69&lt;=7,"0-7",IF($L69&lt;=30,"8-30",IF($L69&lt;=60,"31-60","60+")))))</f>
        <v/>
      </c>
      <c r="N69" s="34">
        <f>IF($A69="","",IF($B69="","YETİM",IF(COUNTIF(tblEnvanter[BelgeId],$B69)=0,"YETİM","")))</f>
        <v/>
      </c>
      <c r="O69" s="34">
        <f>IF(OR($A69="",$E69=""),"",IF(OR($E69&amp;"|"&amp;$F69="",COUNTIF(ListeIzinliGecis,$E69&amp;"|"&amp;$F69)&gt;0),"","GEÇERSİZ GEÇİŞ"))</f>
        <v/>
      </c>
      <c r="P69" s="34">
        <f>IF($A69="","",IF(OR($I69="",$J69=""),"",IF(ABS($J69-$I69)&gt;zincirTolerans,"ZİNCİR KIRIK","OK")))</f>
        <v/>
      </c>
      <c r="Q69" s="34">
        <f>IF($A69="","",1)</f>
        <v/>
      </c>
    </row>
    <row r="70">
      <c r="A70" s="29" t="n"/>
      <c r="B70" s="29" t="n"/>
      <c r="C70" s="47" t="n"/>
      <c r="D70" s="47" t="n"/>
      <c r="E70" s="29" t="n"/>
      <c r="F70" s="29" t="n"/>
      <c r="G70" s="29" t="n"/>
      <c r="H70" s="29" t="n"/>
      <c r="I70" s="30" t="n"/>
      <c r="J70" s="30" t="n"/>
      <c r="K70" s="31" t="n"/>
      <c r="L70" s="34">
        <f>IF($A70="","",IF($C70="","",raporTarihi-$C70))</f>
        <v/>
      </c>
      <c r="M70" s="34">
        <f>IF($A70="","",IF($L70="","",IF($L70&lt;=7,"0-7",IF($L70&lt;=30,"8-30",IF($L70&lt;=60,"31-60","60+")))))</f>
        <v/>
      </c>
      <c r="N70" s="34">
        <f>IF($A70="","",IF($B70="","YETİM",IF(COUNTIF(tblEnvanter[BelgeId],$B70)=0,"YETİM","")))</f>
        <v/>
      </c>
      <c r="O70" s="34">
        <f>IF(OR($A70="",$E70=""),"",IF(OR($E70&amp;"|"&amp;$F70="",COUNTIF(ListeIzinliGecis,$E70&amp;"|"&amp;$F70)&gt;0),"","GEÇERSİZ GEÇİŞ"))</f>
        <v/>
      </c>
      <c r="P70" s="34">
        <f>IF($A70="","",IF(OR($I70="",$J70=""),"",IF(ABS($J70-$I70)&gt;zincirTolerans,"ZİNCİR KIRIK","OK")))</f>
        <v/>
      </c>
      <c r="Q70" s="34">
        <f>IF($A70="","",1)</f>
        <v/>
      </c>
    </row>
    <row r="71">
      <c r="A71" s="29" t="n"/>
      <c r="B71" s="29" t="n"/>
      <c r="C71" s="47" t="n"/>
      <c r="D71" s="47" t="n"/>
      <c r="E71" s="29" t="n"/>
      <c r="F71" s="29" t="n"/>
      <c r="G71" s="29" t="n"/>
      <c r="H71" s="29" t="n"/>
      <c r="I71" s="30" t="n"/>
      <c r="J71" s="30" t="n"/>
      <c r="K71" s="31" t="n"/>
      <c r="L71" s="34">
        <f>IF($A71="","",IF($C71="","",raporTarihi-$C71))</f>
        <v/>
      </c>
      <c r="M71" s="34">
        <f>IF($A71="","",IF($L71="","",IF($L71&lt;=7,"0-7",IF($L71&lt;=30,"8-30",IF($L71&lt;=60,"31-60","60+")))))</f>
        <v/>
      </c>
      <c r="N71" s="34">
        <f>IF($A71="","",IF($B71="","YETİM",IF(COUNTIF(tblEnvanter[BelgeId],$B71)=0,"YETİM","")))</f>
        <v/>
      </c>
      <c r="O71" s="34">
        <f>IF(OR($A71="",$E71=""),"",IF(OR($E71&amp;"|"&amp;$F71="",COUNTIF(ListeIzinliGecis,$E71&amp;"|"&amp;$F71)&gt;0),"","GEÇERSİZ GEÇİŞ"))</f>
        <v/>
      </c>
      <c r="P71" s="34">
        <f>IF($A71="","",IF(OR($I71="",$J71=""),"",IF(ABS($J71-$I71)&gt;zincirTolerans,"ZİNCİR KIRIK","OK")))</f>
        <v/>
      </c>
      <c r="Q71" s="34">
        <f>IF($A71="","",1)</f>
        <v/>
      </c>
    </row>
    <row r="72">
      <c r="A72" s="29" t="n"/>
      <c r="B72" s="29" t="n"/>
      <c r="C72" s="47" t="n"/>
      <c r="D72" s="47" t="n"/>
      <c r="E72" s="29" t="n"/>
      <c r="F72" s="29" t="n"/>
      <c r="G72" s="29" t="n"/>
      <c r="H72" s="29" t="n"/>
      <c r="I72" s="30" t="n"/>
      <c r="J72" s="30" t="n"/>
      <c r="K72" s="31" t="n"/>
      <c r="L72" s="34">
        <f>IF($A72="","",IF($C72="","",raporTarihi-$C72))</f>
        <v/>
      </c>
      <c r="M72" s="34">
        <f>IF($A72="","",IF($L72="","",IF($L72&lt;=7,"0-7",IF($L72&lt;=30,"8-30",IF($L72&lt;=60,"31-60","60+")))))</f>
        <v/>
      </c>
      <c r="N72" s="34">
        <f>IF($A72="","",IF($B72="","YETİM",IF(COUNTIF(tblEnvanter[BelgeId],$B72)=0,"YETİM","")))</f>
        <v/>
      </c>
      <c r="O72" s="34">
        <f>IF(OR($A72="",$E72=""),"",IF(OR($E72&amp;"|"&amp;$F72="",COUNTIF(ListeIzinliGecis,$E72&amp;"|"&amp;$F72)&gt;0),"","GEÇERSİZ GEÇİŞ"))</f>
        <v/>
      </c>
      <c r="P72" s="34">
        <f>IF($A72="","",IF(OR($I72="",$J72=""),"",IF(ABS($J72-$I72)&gt;zincirTolerans,"ZİNCİR KIRIK","OK")))</f>
        <v/>
      </c>
      <c r="Q72" s="34">
        <f>IF($A72="","",1)</f>
        <v/>
      </c>
    </row>
    <row r="73">
      <c r="A73" s="29" t="n"/>
      <c r="B73" s="29" t="n"/>
      <c r="C73" s="47" t="n"/>
      <c r="D73" s="47" t="n"/>
      <c r="E73" s="29" t="n"/>
      <c r="F73" s="29" t="n"/>
      <c r="G73" s="29" t="n"/>
      <c r="H73" s="29" t="n"/>
      <c r="I73" s="30" t="n"/>
      <c r="J73" s="30" t="n"/>
      <c r="K73" s="31" t="n"/>
      <c r="L73" s="34">
        <f>IF($A73="","",IF($C73="","",raporTarihi-$C73))</f>
        <v/>
      </c>
      <c r="M73" s="34">
        <f>IF($A73="","",IF($L73="","",IF($L73&lt;=7,"0-7",IF($L73&lt;=30,"8-30",IF($L73&lt;=60,"31-60","60+")))))</f>
        <v/>
      </c>
      <c r="N73" s="34">
        <f>IF($A73="","",IF($B73="","YETİM",IF(COUNTIF(tblEnvanter[BelgeId],$B73)=0,"YETİM","")))</f>
        <v/>
      </c>
      <c r="O73" s="34">
        <f>IF(OR($A73="",$E73=""),"",IF(OR($E73&amp;"|"&amp;$F73="",COUNTIF(ListeIzinliGecis,$E73&amp;"|"&amp;$F73)&gt;0),"","GEÇERSİZ GEÇİŞ"))</f>
        <v/>
      </c>
      <c r="P73" s="34">
        <f>IF($A73="","",IF(OR($I73="",$J73=""),"",IF(ABS($J73-$I73)&gt;zincirTolerans,"ZİNCİR KIRIK","OK")))</f>
        <v/>
      </c>
      <c r="Q73" s="34">
        <f>IF($A73="","",1)</f>
        <v/>
      </c>
    </row>
    <row r="74">
      <c r="A74" s="29" t="n"/>
      <c r="B74" s="29" t="n"/>
      <c r="C74" s="47" t="n"/>
      <c r="D74" s="47" t="n"/>
      <c r="E74" s="29" t="n"/>
      <c r="F74" s="29" t="n"/>
      <c r="G74" s="29" t="n"/>
      <c r="H74" s="29" t="n"/>
      <c r="I74" s="30" t="n"/>
      <c r="J74" s="30" t="n"/>
      <c r="K74" s="31" t="n"/>
      <c r="L74" s="34">
        <f>IF($A74="","",IF($C74="","",raporTarihi-$C74))</f>
        <v/>
      </c>
      <c r="M74" s="34">
        <f>IF($A74="","",IF($L74="","",IF($L74&lt;=7,"0-7",IF($L74&lt;=30,"8-30",IF($L74&lt;=60,"31-60","60+")))))</f>
        <v/>
      </c>
      <c r="N74" s="34">
        <f>IF($A74="","",IF($B74="","YETİM",IF(COUNTIF(tblEnvanter[BelgeId],$B74)=0,"YETİM","")))</f>
        <v/>
      </c>
      <c r="O74" s="34">
        <f>IF(OR($A74="",$E74=""),"",IF(OR($E74&amp;"|"&amp;$F74="",COUNTIF(ListeIzinliGecis,$E74&amp;"|"&amp;$F74)&gt;0),"","GEÇERSİZ GEÇİŞ"))</f>
        <v/>
      </c>
      <c r="P74" s="34">
        <f>IF($A74="","",IF(OR($I74="",$J74=""),"",IF(ABS($J74-$I74)&gt;zincirTolerans,"ZİNCİR KIRIK","OK")))</f>
        <v/>
      </c>
      <c r="Q74" s="34">
        <f>IF($A74="","",1)</f>
        <v/>
      </c>
    </row>
    <row r="75">
      <c r="A75" s="29" t="n"/>
      <c r="B75" s="29" t="n"/>
      <c r="C75" s="47" t="n"/>
      <c r="D75" s="47" t="n"/>
      <c r="E75" s="29" t="n"/>
      <c r="F75" s="29" t="n"/>
      <c r="G75" s="29" t="n"/>
      <c r="H75" s="29" t="n"/>
      <c r="I75" s="30" t="n"/>
      <c r="J75" s="30" t="n"/>
      <c r="K75" s="31" t="n"/>
      <c r="L75" s="34">
        <f>IF($A75="","",IF($C75="","",raporTarihi-$C75))</f>
        <v/>
      </c>
      <c r="M75" s="34">
        <f>IF($A75="","",IF($L75="","",IF($L75&lt;=7,"0-7",IF($L75&lt;=30,"8-30",IF($L75&lt;=60,"31-60","60+")))))</f>
        <v/>
      </c>
      <c r="N75" s="34">
        <f>IF($A75="","",IF($B75="","YETİM",IF(COUNTIF(tblEnvanter[BelgeId],$B75)=0,"YETİM","")))</f>
        <v/>
      </c>
      <c r="O75" s="34">
        <f>IF(OR($A75="",$E75=""),"",IF(OR($E75&amp;"|"&amp;$F75="",COUNTIF(ListeIzinliGecis,$E75&amp;"|"&amp;$F75)&gt;0),"","GEÇERSİZ GEÇİŞ"))</f>
        <v/>
      </c>
      <c r="P75" s="34">
        <f>IF($A75="","",IF(OR($I75="",$J75=""),"",IF(ABS($J75-$I75)&gt;zincirTolerans,"ZİNCİR KIRIK","OK")))</f>
        <v/>
      </c>
      <c r="Q75" s="34">
        <f>IF($A75="","",1)</f>
        <v/>
      </c>
    </row>
    <row r="76">
      <c r="A76" s="29" t="n"/>
      <c r="B76" s="29" t="n"/>
      <c r="C76" s="47" t="n"/>
      <c r="D76" s="47" t="n"/>
      <c r="E76" s="29" t="n"/>
      <c r="F76" s="29" t="n"/>
      <c r="G76" s="29" t="n"/>
      <c r="H76" s="29" t="n"/>
      <c r="I76" s="30" t="n"/>
      <c r="J76" s="30" t="n"/>
      <c r="K76" s="31" t="n"/>
      <c r="L76" s="34">
        <f>IF($A76="","",IF($C76="","",raporTarihi-$C76))</f>
        <v/>
      </c>
      <c r="M76" s="34">
        <f>IF($A76="","",IF($L76="","",IF($L76&lt;=7,"0-7",IF($L76&lt;=30,"8-30",IF($L76&lt;=60,"31-60","60+")))))</f>
        <v/>
      </c>
      <c r="N76" s="34">
        <f>IF($A76="","",IF($B76="","YETİM",IF(COUNTIF(tblEnvanter[BelgeId],$B76)=0,"YETİM","")))</f>
        <v/>
      </c>
      <c r="O76" s="34">
        <f>IF(OR($A76="",$E76=""),"",IF(OR($E76&amp;"|"&amp;$F76="",COUNTIF(ListeIzinliGecis,$E76&amp;"|"&amp;$F76)&gt;0),"","GEÇERSİZ GEÇİŞ"))</f>
        <v/>
      </c>
      <c r="P76" s="34">
        <f>IF($A76="","",IF(OR($I76="",$J76=""),"",IF(ABS($J76-$I76)&gt;zincirTolerans,"ZİNCİR KIRIK","OK")))</f>
        <v/>
      </c>
      <c r="Q76" s="34">
        <f>IF($A76="","",1)</f>
        <v/>
      </c>
    </row>
    <row r="77">
      <c r="A77" s="29" t="n"/>
      <c r="B77" s="29" t="n"/>
      <c r="C77" s="47" t="n"/>
      <c r="D77" s="47" t="n"/>
      <c r="E77" s="29" t="n"/>
      <c r="F77" s="29" t="n"/>
      <c r="G77" s="29" t="n"/>
      <c r="H77" s="29" t="n"/>
      <c r="I77" s="30" t="n"/>
      <c r="J77" s="30" t="n"/>
      <c r="K77" s="31" t="n"/>
      <c r="L77" s="34">
        <f>IF($A77="","",IF($C77="","",raporTarihi-$C77))</f>
        <v/>
      </c>
      <c r="M77" s="34">
        <f>IF($A77="","",IF($L77="","",IF($L77&lt;=7,"0-7",IF($L77&lt;=30,"8-30",IF($L77&lt;=60,"31-60","60+")))))</f>
        <v/>
      </c>
      <c r="N77" s="34">
        <f>IF($A77="","",IF($B77="","YETİM",IF(COUNTIF(tblEnvanter[BelgeId],$B77)=0,"YETİM","")))</f>
        <v/>
      </c>
      <c r="O77" s="34">
        <f>IF(OR($A77="",$E77=""),"",IF(OR($E77&amp;"|"&amp;$F77="",COUNTIF(ListeIzinliGecis,$E77&amp;"|"&amp;$F77)&gt;0),"","GEÇERSİZ GEÇİŞ"))</f>
        <v/>
      </c>
      <c r="P77" s="34">
        <f>IF($A77="","",IF(OR($I77="",$J77=""),"",IF(ABS($J77-$I77)&gt;zincirTolerans,"ZİNCİR KIRIK","OK")))</f>
        <v/>
      </c>
      <c r="Q77" s="34">
        <f>IF($A77="","",1)</f>
        <v/>
      </c>
    </row>
    <row r="78">
      <c r="A78" s="29" t="n"/>
      <c r="B78" s="29" t="n"/>
      <c r="C78" s="47" t="n"/>
      <c r="D78" s="47" t="n"/>
      <c r="E78" s="29" t="n"/>
      <c r="F78" s="29" t="n"/>
      <c r="G78" s="29" t="n"/>
      <c r="H78" s="29" t="n"/>
      <c r="I78" s="30" t="n"/>
      <c r="J78" s="30" t="n"/>
      <c r="K78" s="31" t="n"/>
      <c r="L78" s="34">
        <f>IF($A78="","",IF($C78="","",raporTarihi-$C78))</f>
        <v/>
      </c>
      <c r="M78" s="34">
        <f>IF($A78="","",IF($L78="","",IF($L78&lt;=7,"0-7",IF($L78&lt;=30,"8-30",IF($L78&lt;=60,"31-60","60+")))))</f>
        <v/>
      </c>
      <c r="N78" s="34">
        <f>IF($A78="","",IF($B78="","YETİM",IF(COUNTIF(tblEnvanter[BelgeId],$B78)=0,"YETİM","")))</f>
        <v/>
      </c>
      <c r="O78" s="34">
        <f>IF(OR($A78="",$E78=""),"",IF(OR($E78&amp;"|"&amp;$F78="",COUNTIF(ListeIzinliGecis,$E78&amp;"|"&amp;$F78)&gt;0),"","GEÇERSİZ GEÇİŞ"))</f>
        <v/>
      </c>
      <c r="P78" s="34">
        <f>IF($A78="","",IF(OR($I78="",$J78=""),"",IF(ABS($J78-$I78)&gt;zincirTolerans,"ZİNCİR KIRIK","OK")))</f>
        <v/>
      </c>
      <c r="Q78" s="34">
        <f>IF($A78="","",1)</f>
        <v/>
      </c>
    </row>
    <row r="79">
      <c r="A79" s="29" t="n"/>
      <c r="B79" s="29" t="n"/>
      <c r="C79" s="47" t="n"/>
      <c r="D79" s="47" t="n"/>
      <c r="E79" s="29" t="n"/>
      <c r="F79" s="29" t="n"/>
      <c r="G79" s="29" t="n"/>
      <c r="H79" s="29" t="n"/>
      <c r="I79" s="30" t="n"/>
      <c r="J79" s="30" t="n"/>
      <c r="K79" s="31" t="n"/>
      <c r="L79" s="34">
        <f>IF($A79="","",IF($C79="","",raporTarihi-$C79))</f>
        <v/>
      </c>
      <c r="M79" s="34">
        <f>IF($A79="","",IF($L79="","",IF($L79&lt;=7,"0-7",IF($L79&lt;=30,"8-30",IF($L79&lt;=60,"31-60","60+")))))</f>
        <v/>
      </c>
      <c r="N79" s="34">
        <f>IF($A79="","",IF($B79="","YETİM",IF(COUNTIF(tblEnvanter[BelgeId],$B79)=0,"YETİM","")))</f>
        <v/>
      </c>
      <c r="O79" s="34">
        <f>IF(OR($A79="",$E79=""),"",IF(OR($E79&amp;"|"&amp;$F79="",COUNTIF(ListeIzinliGecis,$E79&amp;"|"&amp;$F79)&gt;0),"","GEÇERSİZ GEÇİŞ"))</f>
        <v/>
      </c>
      <c r="P79" s="34">
        <f>IF($A79="","",IF(OR($I79="",$J79=""),"",IF(ABS($J79-$I79)&gt;zincirTolerans,"ZİNCİR KIRIK","OK")))</f>
        <v/>
      </c>
      <c r="Q79" s="34">
        <f>IF($A79="","",1)</f>
        <v/>
      </c>
    </row>
    <row r="80">
      <c r="A80" s="29" t="n"/>
      <c r="B80" s="29" t="n"/>
      <c r="C80" s="47" t="n"/>
      <c r="D80" s="47" t="n"/>
      <c r="E80" s="29" t="n"/>
      <c r="F80" s="29" t="n"/>
      <c r="G80" s="29" t="n"/>
      <c r="H80" s="29" t="n"/>
      <c r="I80" s="30" t="n"/>
      <c r="J80" s="30" t="n"/>
      <c r="K80" s="31" t="n"/>
      <c r="L80" s="34">
        <f>IF($A80="","",IF($C80="","",raporTarihi-$C80))</f>
        <v/>
      </c>
      <c r="M80" s="34">
        <f>IF($A80="","",IF($L80="","",IF($L80&lt;=7,"0-7",IF($L80&lt;=30,"8-30",IF($L80&lt;=60,"31-60","60+")))))</f>
        <v/>
      </c>
      <c r="N80" s="34">
        <f>IF($A80="","",IF($B80="","YETİM",IF(COUNTIF(tblEnvanter[BelgeId],$B80)=0,"YETİM","")))</f>
        <v/>
      </c>
      <c r="O80" s="34">
        <f>IF(OR($A80="",$E80=""),"",IF(OR($E80&amp;"|"&amp;$F80="",COUNTIF(ListeIzinliGecis,$E80&amp;"|"&amp;$F80)&gt;0),"","GEÇERSİZ GEÇİŞ"))</f>
        <v/>
      </c>
      <c r="P80" s="34">
        <f>IF($A80="","",IF(OR($I80="",$J80=""),"",IF(ABS($J80-$I80)&gt;zincirTolerans,"ZİNCİR KIRIK","OK")))</f>
        <v/>
      </c>
      <c r="Q80" s="34">
        <f>IF($A80="","",1)</f>
        <v/>
      </c>
    </row>
    <row r="81">
      <c r="A81" s="29" t="n"/>
      <c r="B81" s="29" t="n"/>
      <c r="C81" s="47" t="n"/>
      <c r="D81" s="47" t="n"/>
      <c r="E81" s="29" t="n"/>
      <c r="F81" s="29" t="n"/>
      <c r="G81" s="29" t="n"/>
      <c r="H81" s="29" t="n"/>
      <c r="I81" s="30" t="n"/>
      <c r="J81" s="30" t="n"/>
      <c r="K81" s="31" t="n"/>
      <c r="L81" s="34">
        <f>IF($A81="","",IF($C81="","",raporTarihi-$C81))</f>
        <v/>
      </c>
      <c r="M81" s="34">
        <f>IF($A81="","",IF($L81="","",IF($L81&lt;=7,"0-7",IF($L81&lt;=30,"8-30",IF($L81&lt;=60,"31-60","60+")))))</f>
        <v/>
      </c>
      <c r="N81" s="34">
        <f>IF($A81="","",IF($B81="","YETİM",IF(COUNTIF(tblEnvanter[BelgeId],$B81)=0,"YETİM","")))</f>
        <v/>
      </c>
      <c r="O81" s="34">
        <f>IF(OR($A81="",$E81=""),"",IF(OR($E81&amp;"|"&amp;$F81="",COUNTIF(ListeIzinliGecis,$E81&amp;"|"&amp;$F81)&gt;0),"","GEÇERSİZ GEÇİŞ"))</f>
        <v/>
      </c>
      <c r="P81" s="34">
        <f>IF($A81="","",IF(OR($I81="",$J81=""),"",IF(ABS($J81-$I81)&gt;zincirTolerans,"ZİNCİR KIRIK","OK")))</f>
        <v/>
      </c>
      <c r="Q81" s="34">
        <f>IF($A81="","",1)</f>
        <v/>
      </c>
    </row>
    <row r="82">
      <c r="A82" s="29" t="n"/>
      <c r="B82" s="29" t="n"/>
      <c r="C82" s="47" t="n"/>
      <c r="D82" s="47" t="n"/>
      <c r="E82" s="29" t="n"/>
      <c r="F82" s="29" t="n"/>
      <c r="G82" s="29" t="n"/>
      <c r="H82" s="29" t="n"/>
      <c r="I82" s="30" t="n"/>
      <c r="J82" s="30" t="n"/>
      <c r="K82" s="31" t="n"/>
      <c r="L82" s="34">
        <f>IF($A82="","",IF($C82="","",raporTarihi-$C82))</f>
        <v/>
      </c>
      <c r="M82" s="34">
        <f>IF($A82="","",IF($L82="","",IF($L82&lt;=7,"0-7",IF($L82&lt;=30,"8-30",IF($L82&lt;=60,"31-60","60+")))))</f>
        <v/>
      </c>
      <c r="N82" s="34">
        <f>IF($A82="","",IF($B82="","YETİM",IF(COUNTIF(tblEnvanter[BelgeId],$B82)=0,"YETİM","")))</f>
        <v/>
      </c>
      <c r="O82" s="34">
        <f>IF(OR($A82="",$E82=""),"",IF(OR($E82&amp;"|"&amp;$F82="",COUNTIF(ListeIzinliGecis,$E82&amp;"|"&amp;$F82)&gt;0),"","GEÇERSİZ GEÇİŞ"))</f>
        <v/>
      </c>
      <c r="P82" s="34">
        <f>IF($A82="","",IF(OR($I82="",$J82=""),"",IF(ABS($J82-$I82)&gt;zincirTolerans,"ZİNCİR KIRIK","OK")))</f>
        <v/>
      </c>
      <c r="Q82" s="34">
        <f>IF($A82="","",1)</f>
        <v/>
      </c>
    </row>
    <row r="83">
      <c r="A83" s="29" t="n"/>
      <c r="B83" s="29" t="n"/>
      <c r="C83" s="47" t="n"/>
      <c r="D83" s="47" t="n"/>
      <c r="E83" s="29" t="n"/>
      <c r="F83" s="29" t="n"/>
      <c r="G83" s="29" t="n"/>
      <c r="H83" s="29" t="n"/>
      <c r="I83" s="30" t="n"/>
      <c r="J83" s="30" t="n"/>
      <c r="K83" s="31" t="n"/>
      <c r="L83" s="34">
        <f>IF($A83="","",IF($C83="","",raporTarihi-$C83))</f>
        <v/>
      </c>
      <c r="M83" s="34">
        <f>IF($A83="","",IF($L83="","",IF($L83&lt;=7,"0-7",IF($L83&lt;=30,"8-30",IF($L83&lt;=60,"31-60","60+")))))</f>
        <v/>
      </c>
      <c r="N83" s="34">
        <f>IF($A83="","",IF($B83="","YETİM",IF(COUNTIF(tblEnvanter[BelgeId],$B83)=0,"YETİM","")))</f>
        <v/>
      </c>
      <c r="O83" s="34">
        <f>IF(OR($A83="",$E83=""),"",IF(OR($E83&amp;"|"&amp;$F83="",COUNTIF(ListeIzinliGecis,$E83&amp;"|"&amp;$F83)&gt;0),"","GEÇERSİZ GEÇİŞ"))</f>
        <v/>
      </c>
      <c r="P83" s="34">
        <f>IF($A83="","",IF(OR($I83="",$J83=""),"",IF(ABS($J83-$I83)&gt;zincirTolerans,"ZİNCİR KIRIK","OK")))</f>
        <v/>
      </c>
      <c r="Q83" s="34">
        <f>IF($A83="","",1)</f>
        <v/>
      </c>
    </row>
    <row r="84">
      <c r="A84" s="29" t="n"/>
      <c r="B84" s="29" t="n"/>
      <c r="C84" s="47" t="n"/>
      <c r="D84" s="47" t="n"/>
      <c r="E84" s="29" t="n"/>
      <c r="F84" s="29" t="n"/>
      <c r="G84" s="29" t="n"/>
      <c r="H84" s="29" t="n"/>
      <c r="I84" s="30" t="n"/>
      <c r="J84" s="30" t="n"/>
      <c r="K84" s="31" t="n"/>
      <c r="L84" s="34">
        <f>IF($A84="","",IF($C84="","",raporTarihi-$C84))</f>
        <v/>
      </c>
      <c r="M84" s="34">
        <f>IF($A84="","",IF($L84="","",IF($L84&lt;=7,"0-7",IF($L84&lt;=30,"8-30",IF($L84&lt;=60,"31-60","60+")))))</f>
        <v/>
      </c>
      <c r="N84" s="34">
        <f>IF($A84="","",IF($B84="","YETİM",IF(COUNTIF(tblEnvanter[BelgeId],$B84)=0,"YETİM","")))</f>
        <v/>
      </c>
      <c r="O84" s="34">
        <f>IF(OR($A84="",$E84=""),"",IF(OR($E84&amp;"|"&amp;$F84="",COUNTIF(ListeIzinliGecis,$E84&amp;"|"&amp;$F84)&gt;0),"","GEÇERSİZ GEÇİŞ"))</f>
        <v/>
      </c>
      <c r="P84" s="34">
        <f>IF($A84="","",IF(OR($I84="",$J84=""),"",IF(ABS($J84-$I84)&gt;zincirTolerans,"ZİNCİR KIRIK","OK")))</f>
        <v/>
      </c>
      <c r="Q84" s="34">
        <f>IF($A84="","",1)</f>
        <v/>
      </c>
    </row>
    <row r="85">
      <c r="A85" s="29" t="n"/>
      <c r="B85" s="29" t="n"/>
      <c r="C85" s="47" t="n"/>
      <c r="D85" s="47" t="n"/>
      <c r="E85" s="29" t="n"/>
      <c r="F85" s="29" t="n"/>
      <c r="G85" s="29" t="n"/>
      <c r="H85" s="29" t="n"/>
      <c r="I85" s="30" t="n"/>
      <c r="J85" s="30" t="n"/>
      <c r="K85" s="31" t="n"/>
      <c r="L85" s="34">
        <f>IF($A85="","",IF($C85="","",raporTarihi-$C85))</f>
        <v/>
      </c>
      <c r="M85" s="34">
        <f>IF($A85="","",IF($L85="","",IF($L85&lt;=7,"0-7",IF($L85&lt;=30,"8-30",IF($L85&lt;=60,"31-60","60+")))))</f>
        <v/>
      </c>
      <c r="N85" s="34">
        <f>IF($A85="","",IF($B85="","YETİM",IF(COUNTIF(tblEnvanter[BelgeId],$B85)=0,"YETİM","")))</f>
        <v/>
      </c>
      <c r="O85" s="34">
        <f>IF(OR($A85="",$E85=""),"",IF(OR($E85&amp;"|"&amp;$F85="",COUNTIF(ListeIzinliGecis,$E85&amp;"|"&amp;$F85)&gt;0),"","GEÇERSİZ GEÇİŞ"))</f>
        <v/>
      </c>
      <c r="P85" s="34">
        <f>IF($A85="","",IF(OR($I85="",$J85=""),"",IF(ABS($J85-$I85)&gt;zincirTolerans,"ZİNCİR KIRIK","OK")))</f>
        <v/>
      </c>
      <c r="Q85" s="34">
        <f>IF($A85="","",1)</f>
        <v/>
      </c>
    </row>
    <row r="86">
      <c r="A86" s="29" t="n"/>
      <c r="B86" s="29" t="n"/>
      <c r="C86" s="47" t="n"/>
      <c r="D86" s="47" t="n"/>
      <c r="E86" s="29" t="n"/>
      <c r="F86" s="29" t="n"/>
      <c r="G86" s="29" t="n"/>
      <c r="H86" s="29" t="n"/>
      <c r="I86" s="30" t="n"/>
      <c r="J86" s="30" t="n"/>
      <c r="K86" s="31" t="n"/>
      <c r="L86" s="34">
        <f>IF($A86="","",IF($C86="","",raporTarihi-$C86))</f>
        <v/>
      </c>
      <c r="M86" s="34">
        <f>IF($A86="","",IF($L86="","",IF($L86&lt;=7,"0-7",IF($L86&lt;=30,"8-30",IF($L86&lt;=60,"31-60","60+")))))</f>
        <v/>
      </c>
      <c r="N86" s="34">
        <f>IF($A86="","",IF($B86="","YETİM",IF(COUNTIF(tblEnvanter[BelgeId],$B86)=0,"YETİM","")))</f>
        <v/>
      </c>
      <c r="O86" s="34">
        <f>IF(OR($A86="",$E86=""),"",IF(OR($E86&amp;"|"&amp;$F86="",COUNTIF(ListeIzinliGecis,$E86&amp;"|"&amp;$F86)&gt;0),"","GEÇERSİZ GEÇİŞ"))</f>
        <v/>
      </c>
      <c r="P86" s="34">
        <f>IF($A86="","",IF(OR($I86="",$J86=""),"",IF(ABS($J86-$I86)&gt;zincirTolerans,"ZİNCİR KIRIK","OK")))</f>
        <v/>
      </c>
      <c r="Q86" s="34">
        <f>IF($A86="","",1)</f>
        <v/>
      </c>
    </row>
    <row r="87">
      <c r="A87" s="29" t="n"/>
      <c r="B87" s="29" t="n"/>
      <c r="C87" s="47" t="n"/>
      <c r="D87" s="47" t="n"/>
      <c r="E87" s="29" t="n"/>
      <c r="F87" s="29" t="n"/>
      <c r="G87" s="29" t="n"/>
      <c r="H87" s="29" t="n"/>
      <c r="I87" s="30" t="n"/>
      <c r="J87" s="30" t="n"/>
      <c r="K87" s="31" t="n"/>
      <c r="L87" s="34">
        <f>IF($A87="","",IF($C87="","",raporTarihi-$C87))</f>
        <v/>
      </c>
      <c r="M87" s="34">
        <f>IF($A87="","",IF($L87="","",IF($L87&lt;=7,"0-7",IF($L87&lt;=30,"8-30",IF($L87&lt;=60,"31-60","60+")))))</f>
        <v/>
      </c>
      <c r="N87" s="34">
        <f>IF($A87="","",IF($B87="","YETİM",IF(COUNTIF(tblEnvanter[BelgeId],$B87)=0,"YETİM","")))</f>
        <v/>
      </c>
      <c r="O87" s="34">
        <f>IF(OR($A87="",$E87=""),"",IF(OR($E87&amp;"|"&amp;$F87="",COUNTIF(ListeIzinliGecis,$E87&amp;"|"&amp;$F87)&gt;0),"","GEÇERSİZ GEÇİŞ"))</f>
        <v/>
      </c>
      <c r="P87" s="34">
        <f>IF($A87="","",IF(OR($I87="",$J87=""),"",IF(ABS($J87-$I87)&gt;zincirTolerans,"ZİNCİR KIRIK","OK")))</f>
        <v/>
      </c>
      <c r="Q87" s="34">
        <f>IF($A87="","",1)</f>
        <v/>
      </c>
    </row>
    <row r="88">
      <c r="A88" s="29" t="n"/>
      <c r="B88" s="29" t="n"/>
      <c r="C88" s="47" t="n"/>
      <c r="D88" s="47" t="n"/>
      <c r="E88" s="29" t="n"/>
      <c r="F88" s="29" t="n"/>
      <c r="G88" s="29" t="n"/>
      <c r="H88" s="29" t="n"/>
      <c r="I88" s="30" t="n"/>
      <c r="J88" s="30" t="n"/>
      <c r="K88" s="31" t="n"/>
      <c r="L88" s="34">
        <f>IF($A88="","",IF($C88="","",raporTarihi-$C88))</f>
        <v/>
      </c>
      <c r="M88" s="34">
        <f>IF($A88="","",IF($L88="","",IF($L88&lt;=7,"0-7",IF($L88&lt;=30,"8-30",IF($L88&lt;=60,"31-60","60+")))))</f>
        <v/>
      </c>
      <c r="N88" s="34">
        <f>IF($A88="","",IF($B88="","YETİM",IF(COUNTIF(tblEnvanter[BelgeId],$B88)=0,"YETİM","")))</f>
        <v/>
      </c>
      <c r="O88" s="34">
        <f>IF(OR($A88="",$E88=""),"",IF(OR($E88&amp;"|"&amp;$F88="",COUNTIF(ListeIzinliGecis,$E88&amp;"|"&amp;$F88)&gt;0),"","GEÇERSİZ GEÇİŞ"))</f>
        <v/>
      </c>
      <c r="P88" s="34">
        <f>IF($A88="","",IF(OR($I88="",$J88=""),"",IF(ABS($J88-$I88)&gt;zincirTolerans,"ZİNCİR KIRIK","OK")))</f>
        <v/>
      </c>
      <c r="Q88" s="34">
        <f>IF($A88="","",1)</f>
        <v/>
      </c>
    </row>
    <row r="89">
      <c r="A89" s="29" t="n"/>
      <c r="B89" s="29" t="n"/>
      <c r="C89" s="47" t="n"/>
      <c r="D89" s="47" t="n"/>
      <c r="E89" s="29" t="n"/>
      <c r="F89" s="29" t="n"/>
      <c r="G89" s="29" t="n"/>
      <c r="H89" s="29" t="n"/>
      <c r="I89" s="30" t="n"/>
      <c r="J89" s="30" t="n"/>
      <c r="K89" s="31" t="n"/>
      <c r="L89" s="34">
        <f>IF($A89="","",IF($C89="","",raporTarihi-$C89))</f>
        <v/>
      </c>
      <c r="M89" s="34">
        <f>IF($A89="","",IF($L89="","",IF($L89&lt;=7,"0-7",IF($L89&lt;=30,"8-30",IF($L89&lt;=60,"31-60","60+")))))</f>
        <v/>
      </c>
      <c r="N89" s="34">
        <f>IF($A89="","",IF($B89="","YETİM",IF(COUNTIF(tblEnvanter[BelgeId],$B89)=0,"YETİM","")))</f>
        <v/>
      </c>
      <c r="O89" s="34">
        <f>IF(OR($A89="",$E89=""),"",IF(OR($E89&amp;"|"&amp;$F89="",COUNTIF(ListeIzinliGecis,$E89&amp;"|"&amp;$F89)&gt;0),"","GEÇERSİZ GEÇİŞ"))</f>
        <v/>
      </c>
      <c r="P89" s="34">
        <f>IF($A89="","",IF(OR($I89="",$J89=""),"",IF(ABS($J89-$I89)&gt;zincirTolerans,"ZİNCİR KIRIK","OK")))</f>
        <v/>
      </c>
      <c r="Q89" s="34">
        <f>IF($A89="","",1)</f>
        <v/>
      </c>
    </row>
    <row r="90">
      <c r="A90" s="29" t="n"/>
      <c r="B90" s="29" t="n"/>
      <c r="C90" s="47" t="n"/>
      <c r="D90" s="47" t="n"/>
      <c r="E90" s="29" t="n"/>
      <c r="F90" s="29" t="n"/>
      <c r="G90" s="29" t="n"/>
      <c r="H90" s="29" t="n"/>
      <c r="I90" s="30" t="n"/>
      <c r="J90" s="30" t="n"/>
      <c r="K90" s="31" t="n"/>
      <c r="L90" s="34">
        <f>IF($A90="","",IF($C90="","",raporTarihi-$C90))</f>
        <v/>
      </c>
      <c r="M90" s="34">
        <f>IF($A90="","",IF($L90="","",IF($L90&lt;=7,"0-7",IF($L90&lt;=30,"8-30",IF($L90&lt;=60,"31-60","60+")))))</f>
        <v/>
      </c>
      <c r="N90" s="34">
        <f>IF($A90="","",IF($B90="","YETİM",IF(COUNTIF(tblEnvanter[BelgeId],$B90)=0,"YETİM","")))</f>
        <v/>
      </c>
      <c r="O90" s="34">
        <f>IF(OR($A90="",$E90=""),"",IF(OR($E90&amp;"|"&amp;$F90="",COUNTIF(ListeIzinliGecis,$E90&amp;"|"&amp;$F90)&gt;0),"","GEÇERSİZ GEÇİŞ"))</f>
        <v/>
      </c>
      <c r="P90" s="34">
        <f>IF($A90="","",IF(OR($I90="",$J90=""),"",IF(ABS($J90-$I90)&gt;zincirTolerans,"ZİNCİR KIRIK","OK")))</f>
        <v/>
      </c>
      <c r="Q90" s="34">
        <f>IF($A90="","",1)</f>
        <v/>
      </c>
    </row>
    <row r="91">
      <c r="A91" s="29" t="n"/>
      <c r="B91" s="29" t="n"/>
      <c r="C91" s="47" t="n"/>
      <c r="D91" s="47" t="n"/>
      <c r="E91" s="29" t="n"/>
      <c r="F91" s="29" t="n"/>
      <c r="G91" s="29" t="n"/>
      <c r="H91" s="29" t="n"/>
      <c r="I91" s="30" t="n"/>
      <c r="J91" s="30" t="n"/>
      <c r="K91" s="31" t="n"/>
      <c r="L91" s="34">
        <f>IF($A91="","",IF($C91="","",raporTarihi-$C91))</f>
        <v/>
      </c>
      <c r="M91" s="34">
        <f>IF($A91="","",IF($L91="","",IF($L91&lt;=7,"0-7",IF($L91&lt;=30,"8-30",IF($L91&lt;=60,"31-60","60+")))))</f>
        <v/>
      </c>
      <c r="N91" s="34">
        <f>IF($A91="","",IF($B91="","YETİM",IF(COUNTIF(tblEnvanter[BelgeId],$B91)=0,"YETİM","")))</f>
        <v/>
      </c>
      <c r="O91" s="34">
        <f>IF(OR($A91="",$E91=""),"",IF(OR($E91&amp;"|"&amp;$F91="",COUNTIF(ListeIzinliGecis,$E91&amp;"|"&amp;$F91)&gt;0),"","GEÇERSİZ GEÇİŞ"))</f>
        <v/>
      </c>
      <c r="P91" s="34">
        <f>IF($A91="","",IF(OR($I91="",$J91=""),"",IF(ABS($J91-$I91)&gt;zincirTolerans,"ZİNCİR KIRIK","OK")))</f>
        <v/>
      </c>
      <c r="Q91" s="34">
        <f>IF($A91="","",1)</f>
        <v/>
      </c>
    </row>
    <row r="92">
      <c r="A92" s="29" t="n"/>
      <c r="B92" s="29" t="n"/>
      <c r="C92" s="47" t="n"/>
      <c r="D92" s="47" t="n"/>
      <c r="E92" s="29" t="n"/>
      <c r="F92" s="29" t="n"/>
      <c r="G92" s="29" t="n"/>
      <c r="H92" s="29" t="n"/>
      <c r="I92" s="30" t="n"/>
      <c r="J92" s="30" t="n"/>
      <c r="K92" s="31" t="n"/>
      <c r="L92" s="34">
        <f>IF($A92="","",IF($C92="","",raporTarihi-$C92))</f>
        <v/>
      </c>
      <c r="M92" s="34">
        <f>IF($A92="","",IF($L92="","",IF($L92&lt;=7,"0-7",IF($L92&lt;=30,"8-30",IF($L92&lt;=60,"31-60","60+")))))</f>
        <v/>
      </c>
      <c r="N92" s="34">
        <f>IF($A92="","",IF($B92="","YETİM",IF(COUNTIF(tblEnvanter[BelgeId],$B92)=0,"YETİM","")))</f>
        <v/>
      </c>
      <c r="O92" s="34">
        <f>IF(OR($A92="",$E92=""),"",IF(OR($E92&amp;"|"&amp;$F92="",COUNTIF(ListeIzinliGecis,$E92&amp;"|"&amp;$F92)&gt;0),"","GEÇERSİZ GEÇİŞ"))</f>
        <v/>
      </c>
      <c r="P92" s="34">
        <f>IF($A92="","",IF(OR($I92="",$J92=""),"",IF(ABS($J92-$I92)&gt;zincirTolerans,"ZİNCİR KIRIK","OK")))</f>
        <v/>
      </c>
      <c r="Q92" s="34">
        <f>IF($A92="","",1)</f>
        <v/>
      </c>
    </row>
    <row r="93">
      <c r="A93" s="29" t="n"/>
      <c r="B93" s="29" t="n"/>
      <c r="C93" s="47" t="n"/>
      <c r="D93" s="47" t="n"/>
      <c r="E93" s="29" t="n"/>
      <c r="F93" s="29" t="n"/>
      <c r="G93" s="29" t="n"/>
      <c r="H93" s="29" t="n"/>
      <c r="I93" s="30" t="n"/>
      <c r="J93" s="30" t="n"/>
      <c r="K93" s="31" t="n"/>
      <c r="L93" s="34">
        <f>IF($A93="","",IF($C93="","",raporTarihi-$C93))</f>
        <v/>
      </c>
      <c r="M93" s="34">
        <f>IF($A93="","",IF($L93="","",IF($L93&lt;=7,"0-7",IF($L93&lt;=30,"8-30",IF($L93&lt;=60,"31-60","60+")))))</f>
        <v/>
      </c>
      <c r="N93" s="34">
        <f>IF($A93="","",IF($B93="","YETİM",IF(COUNTIF(tblEnvanter[BelgeId],$B93)=0,"YETİM","")))</f>
        <v/>
      </c>
      <c r="O93" s="34">
        <f>IF(OR($A93="",$E93=""),"",IF(OR($E93&amp;"|"&amp;$F93="",COUNTIF(ListeIzinliGecis,$E93&amp;"|"&amp;$F93)&gt;0),"","GEÇERSİZ GEÇİŞ"))</f>
        <v/>
      </c>
      <c r="P93" s="34">
        <f>IF($A93="","",IF(OR($I93="",$J93=""),"",IF(ABS($J93-$I93)&gt;zincirTolerans,"ZİNCİR KIRIK","OK")))</f>
        <v/>
      </c>
      <c r="Q93" s="34">
        <f>IF($A93="","",1)</f>
        <v/>
      </c>
    </row>
    <row r="94">
      <c r="A94" s="29" t="n"/>
      <c r="B94" s="29" t="n"/>
      <c r="C94" s="47" t="n"/>
      <c r="D94" s="47" t="n"/>
      <c r="E94" s="29" t="n"/>
      <c r="F94" s="29" t="n"/>
      <c r="G94" s="29" t="n"/>
      <c r="H94" s="29" t="n"/>
      <c r="I94" s="30" t="n"/>
      <c r="J94" s="30" t="n"/>
      <c r="K94" s="31" t="n"/>
      <c r="L94" s="34">
        <f>IF($A94="","",IF($C94="","",raporTarihi-$C94))</f>
        <v/>
      </c>
      <c r="M94" s="34">
        <f>IF($A94="","",IF($L94="","",IF($L94&lt;=7,"0-7",IF($L94&lt;=30,"8-30",IF($L94&lt;=60,"31-60","60+")))))</f>
        <v/>
      </c>
      <c r="N94" s="34">
        <f>IF($A94="","",IF($B94="","YETİM",IF(COUNTIF(tblEnvanter[BelgeId],$B94)=0,"YETİM","")))</f>
        <v/>
      </c>
      <c r="O94" s="34">
        <f>IF(OR($A94="",$E94=""),"",IF(OR($E94&amp;"|"&amp;$F94="",COUNTIF(ListeIzinliGecis,$E94&amp;"|"&amp;$F94)&gt;0),"","GEÇERSİZ GEÇİŞ"))</f>
        <v/>
      </c>
      <c r="P94" s="34">
        <f>IF($A94="","",IF(OR($I94="",$J94=""),"",IF(ABS($J94-$I94)&gt;zincirTolerans,"ZİNCİR KIRIK","OK")))</f>
        <v/>
      </c>
      <c r="Q94" s="34">
        <f>IF($A94="","",1)</f>
        <v/>
      </c>
    </row>
    <row r="95">
      <c r="A95" s="29" t="n"/>
      <c r="B95" s="29" t="n"/>
      <c r="C95" s="47" t="n"/>
      <c r="D95" s="47" t="n"/>
      <c r="E95" s="29" t="n"/>
      <c r="F95" s="29" t="n"/>
      <c r="G95" s="29" t="n"/>
      <c r="H95" s="29" t="n"/>
      <c r="I95" s="30" t="n"/>
      <c r="J95" s="30" t="n"/>
      <c r="K95" s="31" t="n"/>
      <c r="L95" s="34">
        <f>IF($A95="","",IF($C95="","",raporTarihi-$C95))</f>
        <v/>
      </c>
      <c r="M95" s="34">
        <f>IF($A95="","",IF($L95="","",IF($L95&lt;=7,"0-7",IF($L95&lt;=30,"8-30",IF($L95&lt;=60,"31-60","60+")))))</f>
        <v/>
      </c>
      <c r="N95" s="34">
        <f>IF($A95="","",IF($B95="","YETİM",IF(COUNTIF(tblEnvanter[BelgeId],$B95)=0,"YETİM","")))</f>
        <v/>
      </c>
      <c r="O95" s="34">
        <f>IF(OR($A95="",$E95=""),"",IF(OR($E95&amp;"|"&amp;$F95="",COUNTIF(ListeIzinliGecis,$E95&amp;"|"&amp;$F95)&gt;0),"","GEÇERSİZ GEÇİŞ"))</f>
        <v/>
      </c>
      <c r="P95" s="34">
        <f>IF($A95="","",IF(OR($I95="",$J95=""),"",IF(ABS($J95-$I95)&gt;zincirTolerans,"ZİNCİR KIRIK","OK")))</f>
        <v/>
      </c>
      <c r="Q95" s="34">
        <f>IF($A95="","",1)</f>
        <v/>
      </c>
    </row>
    <row r="96">
      <c r="A96" s="29" t="n"/>
      <c r="B96" s="29" t="n"/>
      <c r="C96" s="47" t="n"/>
      <c r="D96" s="47" t="n"/>
      <c r="E96" s="29" t="n"/>
      <c r="F96" s="29" t="n"/>
      <c r="G96" s="29" t="n"/>
      <c r="H96" s="29" t="n"/>
      <c r="I96" s="30" t="n"/>
      <c r="J96" s="30" t="n"/>
      <c r="K96" s="31" t="n"/>
      <c r="L96" s="34">
        <f>IF($A96="","",IF($C96="","",raporTarihi-$C96))</f>
        <v/>
      </c>
      <c r="M96" s="34">
        <f>IF($A96="","",IF($L96="","",IF($L96&lt;=7,"0-7",IF($L96&lt;=30,"8-30",IF($L96&lt;=60,"31-60","60+")))))</f>
        <v/>
      </c>
      <c r="N96" s="34">
        <f>IF($A96="","",IF($B96="","YETİM",IF(COUNTIF(tblEnvanter[BelgeId],$B96)=0,"YETİM","")))</f>
        <v/>
      </c>
      <c r="O96" s="34">
        <f>IF(OR($A96="",$E96=""),"",IF(OR($E96&amp;"|"&amp;$F96="",COUNTIF(ListeIzinliGecis,$E96&amp;"|"&amp;$F96)&gt;0),"","GEÇERSİZ GEÇİŞ"))</f>
        <v/>
      </c>
      <c r="P96" s="34">
        <f>IF($A96="","",IF(OR($I96="",$J96=""),"",IF(ABS($J96-$I96)&gt;zincirTolerans,"ZİNCİR KIRIK","OK")))</f>
        <v/>
      </c>
      <c r="Q96" s="34">
        <f>IF($A96="","",1)</f>
        <v/>
      </c>
    </row>
    <row r="97">
      <c r="A97" s="29" t="n"/>
      <c r="B97" s="29" t="n"/>
      <c r="C97" s="47" t="n"/>
      <c r="D97" s="47" t="n"/>
      <c r="E97" s="29" t="n"/>
      <c r="F97" s="29" t="n"/>
      <c r="G97" s="29" t="n"/>
      <c r="H97" s="29" t="n"/>
      <c r="I97" s="30" t="n"/>
      <c r="J97" s="30" t="n"/>
      <c r="K97" s="31" t="n"/>
      <c r="L97" s="34">
        <f>IF($A97="","",IF($C97="","",raporTarihi-$C97))</f>
        <v/>
      </c>
      <c r="M97" s="34">
        <f>IF($A97="","",IF($L97="","",IF($L97&lt;=7,"0-7",IF($L97&lt;=30,"8-30",IF($L97&lt;=60,"31-60","60+")))))</f>
        <v/>
      </c>
      <c r="N97" s="34">
        <f>IF($A97="","",IF($B97="","YETİM",IF(COUNTIF(tblEnvanter[BelgeId],$B97)=0,"YETİM","")))</f>
        <v/>
      </c>
      <c r="O97" s="34">
        <f>IF(OR($A97="",$E97=""),"",IF(OR($E97&amp;"|"&amp;$F97="",COUNTIF(ListeIzinliGecis,$E97&amp;"|"&amp;$F97)&gt;0),"","GEÇERSİZ GEÇİŞ"))</f>
        <v/>
      </c>
      <c r="P97" s="34">
        <f>IF($A97="","",IF(OR($I97="",$J97=""),"",IF(ABS($J97-$I97)&gt;zincirTolerans,"ZİNCİR KIRIK","OK")))</f>
        <v/>
      </c>
      <c r="Q97" s="34">
        <f>IF($A97="","",1)</f>
        <v/>
      </c>
    </row>
    <row r="98">
      <c r="A98" s="29" t="n"/>
      <c r="B98" s="29" t="n"/>
      <c r="C98" s="47" t="n"/>
      <c r="D98" s="47" t="n"/>
      <c r="E98" s="29" t="n"/>
      <c r="F98" s="29" t="n"/>
      <c r="G98" s="29" t="n"/>
      <c r="H98" s="29" t="n"/>
      <c r="I98" s="30" t="n"/>
      <c r="J98" s="30" t="n"/>
      <c r="K98" s="31" t="n"/>
      <c r="L98" s="34">
        <f>IF($A98="","",IF($C98="","",raporTarihi-$C98))</f>
        <v/>
      </c>
      <c r="M98" s="34">
        <f>IF($A98="","",IF($L98="","",IF($L98&lt;=7,"0-7",IF($L98&lt;=30,"8-30",IF($L98&lt;=60,"31-60","60+")))))</f>
        <v/>
      </c>
      <c r="N98" s="34">
        <f>IF($A98="","",IF($B98="","YETİM",IF(COUNTIF(tblEnvanter[BelgeId],$B98)=0,"YETİM","")))</f>
        <v/>
      </c>
      <c r="O98" s="34">
        <f>IF(OR($A98="",$E98=""),"",IF(OR($E98&amp;"|"&amp;$F98="",COUNTIF(ListeIzinliGecis,$E98&amp;"|"&amp;$F98)&gt;0),"","GEÇERSİZ GEÇİŞ"))</f>
        <v/>
      </c>
      <c r="P98" s="34">
        <f>IF($A98="","",IF(OR($I98="",$J98=""),"",IF(ABS($J98-$I98)&gt;zincirTolerans,"ZİNCİR KIRIK","OK")))</f>
        <v/>
      </c>
      <c r="Q98" s="34">
        <f>IF($A98="","",1)</f>
        <v/>
      </c>
    </row>
    <row r="99">
      <c r="A99" s="29" t="n"/>
      <c r="B99" s="29" t="n"/>
      <c r="C99" s="47" t="n"/>
      <c r="D99" s="47" t="n"/>
      <c r="E99" s="29" t="n"/>
      <c r="F99" s="29" t="n"/>
      <c r="G99" s="29" t="n"/>
      <c r="H99" s="29" t="n"/>
      <c r="I99" s="30" t="n"/>
      <c r="J99" s="30" t="n"/>
      <c r="K99" s="31" t="n"/>
      <c r="L99" s="34">
        <f>IF($A99="","",IF($C99="","",raporTarihi-$C99))</f>
        <v/>
      </c>
      <c r="M99" s="34">
        <f>IF($A99="","",IF($L99="","",IF($L99&lt;=7,"0-7",IF($L99&lt;=30,"8-30",IF($L99&lt;=60,"31-60","60+")))))</f>
        <v/>
      </c>
      <c r="N99" s="34">
        <f>IF($A99="","",IF($B99="","YETİM",IF(COUNTIF(tblEnvanter[BelgeId],$B99)=0,"YETİM","")))</f>
        <v/>
      </c>
      <c r="O99" s="34">
        <f>IF(OR($A99="",$E99=""),"",IF(OR($E99&amp;"|"&amp;$F99="",COUNTIF(ListeIzinliGecis,$E99&amp;"|"&amp;$F99)&gt;0),"","GEÇERSİZ GEÇİŞ"))</f>
        <v/>
      </c>
      <c r="P99" s="34">
        <f>IF($A99="","",IF(OR($I99="",$J99=""),"",IF(ABS($J99-$I99)&gt;zincirTolerans,"ZİNCİR KIRIK","OK")))</f>
        <v/>
      </c>
      <c r="Q99" s="34">
        <f>IF($A99="","",1)</f>
        <v/>
      </c>
    </row>
    <row r="100">
      <c r="A100" s="29" t="n"/>
      <c r="B100" s="29" t="n"/>
      <c r="C100" s="47" t="n"/>
      <c r="D100" s="47" t="n"/>
      <c r="E100" s="29" t="n"/>
      <c r="F100" s="29" t="n"/>
      <c r="G100" s="29" t="n"/>
      <c r="H100" s="29" t="n"/>
      <c r="I100" s="30" t="n"/>
      <c r="J100" s="30" t="n"/>
      <c r="K100" s="31" t="n"/>
      <c r="L100" s="34">
        <f>IF($A100="","",IF($C100="","",raporTarihi-$C100))</f>
        <v/>
      </c>
      <c r="M100" s="34">
        <f>IF($A100="","",IF($L100="","",IF($L100&lt;=7,"0-7",IF($L100&lt;=30,"8-30",IF($L100&lt;=60,"31-60","60+")))))</f>
        <v/>
      </c>
      <c r="N100" s="34">
        <f>IF($A100="","",IF($B100="","YETİM",IF(COUNTIF(tblEnvanter[BelgeId],$B100)=0,"YETİM","")))</f>
        <v/>
      </c>
      <c r="O100" s="34">
        <f>IF(OR($A100="",$E100=""),"",IF(OR($E100&amp;"|"&amp;$F100="",COUNTIF(ListeIzinliGecis,$E100&amp;"|"&amp;$F100)&gt;0),"","GEÇERSİZ GEÇİŞ"))</f>
        <v/>
      </c>
      <c r="P100" s="34">
        <f>IF($A100="","",IF(OR($I100="",$J100=""),"",IF(ABS($J100-$I100)&gt;zincirTolerans,"ZİNCİR KIRIK","OK")))</f>
        <v/>
      </c>
      <c r="Q100" s="34">
        <f>IF($A100="","",1)</f>
        <v/>
      </c>
    </row>
    <row r="101">
      <c r="A101" s="29" t="n"/>
      <c r="B101" s="29" t="n"/>
      <c r="C101" s="47" t="n"/>
      <c r="D101" s="47" t="n"/>
      <c r="E101" s="29" t="n"/>
      <c r="F101" s="29" t="n"/>
      <c r="G101" s="29" t="n"/>
      <c r="H101" s="29" t="n"/>
      <c r="I101" s="30" t="n"/>
      <c r="J101" s="30" t="n"/>
      <c r="K101" s="31" t="n"/>
      <c r="L101" s="34">
        <f>IF($A101="","",IF($C101="","",raporTarihi-$C101))</f>
        <v/>
      </c>
      <c r="M101" s="34">
        <f>IF($A101="","",IF($L101="","",IF($L101&lt;=7,"0-7",IF($L101&lt;=30,"8-30",IF($L101&lt;=60,"31-60","60+")))))</f>
        <v/>
      </c>
      <c r="N101" s="34">
        <f>IF($A101="","",IF($B101="","YETİM",IF(COUNTIF(tblEnvanter[BelgeId],$B101)=0,"YETİM","")))</f>
        <v/>
      </c>
      <c r="O101" s="34">
        <f>IF(OR($A101="",$E101=""),"",IF(OR($E101&amp;"|"&amp;$F101="",COUNTIF(ListeIzinliGecis,$E101&amp;"|"&amp;$F101)&gt;0),"","GEÇERSİZ GEÇİŞ"))</f>
        <v/>
      </c>
      <c r="P101" s="34">
        <f>IF($A101="","",IF(OR($I101="",$J101=""),"",IF(ABS($J101-$I101)&gt;zincirTolerans,"ZİNCİR KIRIK","OK")))</f>
        <v/>
      </c>
      <c r="Q101" s="34">
        <f>IF($A101="","",1)</f>
        <v/>
      </c>
    </row>
    <row r="102">
      <c r="A102" s="29" t="n"/>
      <c r="B102" s="29" t="n"/>
      <c r="C102" s="47" t="n"/>
      <c r="D102" s="47" t="n"/>
      <c r="E102" s="29" t="n"/>
      <c r="F102" s="29" t="n"/>
      <c r="G102" s="29" t="n"/>
      <c r="H102" s="29" t="n"/>
      <c r="I102" s="30" t="n"/>
      <c r="J102" s="30" t="n"/>
      <c r="K102" s="31" t="n"/>
      <c r="L102" s="34">
        <f>IF($A102="","",IF($C102="","",raporTarihi-$C102))</f>
        <v/>
      </c>
      <c r="M102" s="34">
        <f>IF($A102="","",IF($L102="","",IF($L102&lt;=7,"0-7",IF($L102&lt;=30,"8-30",IF($L102&lt;=60,"31-60","60+")))))</f>
        <v/>
      </c>
      <c r="N102" s="34">
        <f>IF($A102="","",IF($B102="","YETİM",IF(COUNTIF(tblEnvanter[BelgeId],$B102)=0,"YETİM","")))</f>
        <v/>
      </c>
      <c r="O102" s="34">
        <f>IF(OR($A102="",$E102=""),"",IF(OR($E102&amp;"|"&amp;$F102="",COUNTIF(ListeIzinliGecis,$E102&amp;"|"&amp;$F102)&gt;0),"","GEÇERSİZ GEÇİŞ"))</f>
        <v/>
      </c>
      <c r="P102" s="34">
        <f>IF($A102="","",IF(OR($I102="",$J102=""),"",IF(ABS($J102-$I102)&gt;zincirTolerans,"ZİNCİR KIRIK","OK")))</f>
        <v/>
      </c>
      <c r="Q102" s="34">
        <f>IF($A102="","",1)</f>
        <v/>
      </c>
    </row>
    <row r="103">
      <c r="A103" s="29" t="n"/>
      <c r="B103" s="29" t="n"/>
      <c r="C103" s="47" t="n"/>
      <c r="D103" s="47" t="n"/>
      <c r="E103" s="29" t="n"/>
      <c r="F103" s="29" t="n"/>
      <c r="G103" s="29" t="n"/>
      <c r="H103" s="29" t="n"/>
      <c r="I103" s="30" t="n"/>
      <c r="J103" s="30" t="n"/>
      <c r="K103" s="31" t="n"/>
      <c r="L103" s="34">
        <f>IF($A103="","",IF($C103="","",raporTarihi-$C103))</f>
        <v/>
      </c>
      <c r="M103" s="34">
        <f>IF($A103="","",IF($L103="","",IF($L103&lt;=7,"0-7",IF($L103&lt;=30,"8-30",IF($L103&lt;=60,"31-60","60+")))))</f>
        <v/>
      </c>
      <c r="N103" s="34">
        <f>IF($A103="","",IF($B103="","YETİM",IF(COUNTIF(tblEnvanter[BelgeId],$B103)=0,"YETİM","")))</f>
        <v/>
      </c>
      <c r="O103" s="34">
        <f>IF(OR($A103="",$E103=""),"",IF(OR($E103&amp;"|"&amp;$F103="",COUNTIF(ListeIzinliGecis,$E103&amp;"|"&amp;$F103)&gt;0),"","GEÇERSİZ GEÇİŞ"))</f>
        <v/>
      </c>
      <c r="P103" s="34">
        <f>IF($A103="","",IF(OR($I103="",$J103=""),"",IF(ABS($J103-$I103)&gt;zincirTolerans,"ZİNCİR KIRIK","OK")))</f>
        <v/>
      </c>
      <c r="Q103" s="34">
        <f>IF($A103="","",1)</f>
        <v/>
      </c>
    </row>
    <row r="104">
      <c r="A104" s="29" t="n"/>
      <c r="B104" s="29" t="n"/>
      <c r="C104" s="47" t="n"/>
      <c r="D104" s="47" t="n"/>
      <c r="E104" s="29" t="n"/>
      <c r="F104" s="29" t="n"/>
      <c r="G104" s="29" t="n"/>
      <c r="H104" s="29" t="n"/>
      <c r="I104" s="30" t="n"/>
      <c r="J104" s="30" t="n"/>
      <c r="K104" s="31" t="n"/>
      <c r="L104" s="34">
        <f>IF($A104="","",IF($C104="","",raporTarihi-$C104))</f>
        <v/>
      </c>
      <c r="M104" s="34">
        <f>IF($A104="","",IF($L104="","",IF($L104&lt;=7,"0-7",IF($L104&lt;=30,"8-30",IF($L104&lt;=60,"31-60","60+")))))</f>
        <v/>
      </c>
      <c r="N104" s="34">
        <f>IF($A104="","",IF($B104="","YETİM",IF(COUNTIF(tblEnvanter[BelgeId],$B104)=0,"YETİM","")))</f>
        <v/>
      </c>
      <c r="O104" s="34">
        <f>IF(OR($A104="",$E104=""),"",IF(OR($E104&amp;"|"&amp;$F104="",COUNTIF(ListeIzinliGecis,$E104&amp;"|"&amp;$F104)&gt;0),"","GEÇERSİZ GEÇİŞ"))</f>
        <v/>
      </c>
      <c r="P104" s="34">
        <f>IF($A104="","",IF(OR($I104="",$J104=""),"",IF(ABS($J104-$I104)&gt;zincirTolerans,"ZİNCİR KIRIK","OK")))</f>
        <v/>
      </c>
      <c r="Q104" s="34">
        <f>IF($A104="","",1)</f>
        <v/>
      </c>
    </row>
    <row r="105">
      <c r="A105" s="29" t="n"/>
      <c r="B105" s="29" t="n"/>
      <c r="C105" s="47" t="n"/>
      <c r="D105" s="47" t="n"/>
      <c r="E105" s="29" t="n"/>
      <c r="F105" s="29" t="n"/>
      <c r="G105" s="29" t="n"/>
      <c r="H105" s="29" t="n"/>
      <c r="I105" s="30" t="n"/>
      <c r="J105" s="30" t="n"/>
      <c r="K105" s="31" t="n"/>
      <c r="L105" s="34">
        <f>IF($A105="","",IF($C105="","",raporTarihi-$C105))</f>
        <v/>
      </c>
      <c r="M105" s="34">
        <f>IF($A105="","",IF($L105="","",IF($L105&lt;=7,"0-7",IF($L105&lt;=30,"8-30",IF($L105&lt;=60,"31-60","60+")))))</f>
        <v/>
      </c>
      <c r="N105" s="34">
        <f>IF($A105="","",IF($B105="","YETİM",IF(COUNTIF(tblEnvanter[BelgeId],$B105)=0,"YETİM","")))</f>
        <v/>
      </c>
      <c r="O105" s="34">
        <f>IF(OR($A105="",$E105=""),"",IF(OR($E105&amp;"|"&amp;$F105="",COUNTIF(ListeIzinliGecis,$E105&amp;"|"&amp;$F105)&gt;0),"","GEÇERSİZ GEÇİŞ"))</f>
        <v/>
      </c>
      <c r="P105" s="34">
        <f>IF($A105="","",IF(OR($I105="",$J105=""),"",IF(ABS($J105-$I105)&gt;zincirTolerans,"ZİNCİR KIRIK","OK")))</f>
        <v/>
      </c>
      <c r="Q105" s="34">
        <f>IF($A105="","",1)</f>
        <v/>
      </c>
    </row>
    <row r="106">
      <c r="A106" s="29" t="n"/>
      <c r="B106" s="29" t="n"/>
      <c r="C106" s="47" t="n"/>
      <c r="D106" s="47" t="n"/>
      <c r="E106" s="29" t="n"/>
      <c r="F106" s="29" t="n"/>
      <c r="G106" s="29" t="n"/>
      <c r="H106" s="29" t="n"/>
      <c r="I106" s="30" t="n"/>
      <c r="J106" s="30" t="n"/>
      <c r="K106" s="31" t="n"/>
      <c r="L106" s="34">
        <f>IF($A106="","",IF($C106="","",raporTarihi-$C106))</f>
        <v/>
      </c>
      <c r="M106" s="34">
        <f>IF($A106="","",IF($L106="","",IF($L106&lt;=7,"0-7",IF($L106&lt;=30,"8-30",IF($L106&lt;=60,"31-60","60+")))))</f>
        <v/>
      </c>
      <c r="N106" s="34">
        <f>IF($A106="","",IF($B106="","YETİM",IF(COUNTIF(tblEnvanter[BelgeId],$B106)=0,"YETİM","")))</f>
        <v/>
      </c>
      <c r="O106" s="34">
        <f>IF(OR($A106="",$E106=""),"",IF(OR($E106&amp;"|"&amp;$F106="",COUNTIF(ListeIzinliGecis,$E106&amp;"|"&amp;$F106)&gt;0),"","GEÇERSİZ GEÇİŞ"))</f>
        <v/>
      </c>
      <c r="P106" s="34">
        <f>IF($A106="","",IF(OR($I106="",$J106=""),"",IF(ABS($J106-$I106)&gt;zincirTolerans,"ZİNCİR KIRIK","OK")))</f>
        <v/>
      </c>
      <c r="Q106" s="34">
        <f>IF($A106="","",1)</f>
        <v/>
      </c>
    </row>
    <row r="107">
      <c r="A107" s="29" t="n"/>
      <c r="B107" s="29" t="n"/>
      <c r="C107" s="47" t="n"/>
      <c r="D107" s="47" t="n"/>
      <c r="E107" s="29" t="n"/>
      <c r="F107" s="29" t="n"/>
      <c r="G107" s="29" t="n"/>
      <c r="H107" s="29" t="n"/>
      <c r="I107" s="30" t="n"/>
      <c r="J107" s="30" t="n"/>
      <c r="K107" s="31" t="n"/>
      <c r="L107" s="34">
        <f>IF($A107="","",IF($C107="","",raporTarihi-$C107))</f>
        <v/>
      </c>
      <c r="M107" s="34">
        <f>IF($A107="","",IF($L107="","",IF($L107&lt;=7,"0-7",IF($L107&lt;=30,"8-30",IF($L107&lt;=60,"31-60","60+")))))</f>
        <v/>
      </c>
      <c r="N107" s="34">
        <f>IF($A107="","",IF($B107="","YETİM",IF(COUNTIF(tblEnvanter[BelgeId],$B107)=0,"YETİM","")))</f>
        <v/>
      </c>
      <c r="O107" s="34">
        <f>IF(OR($A107="",$E107=""),"",IF(OR($E107&amp;"|"&amp;$F107="",COUNTIF(ListeIzinliGecis,$E107&amp;"|"&amp;$F107)&gt;0),"","GEÇERSİZ GEÇİŞ"))</f>
        <v/>
      </c>
      <c r="P107" s="34">
        <f>IF($A107="","",IF(OR($I107="",$J107=""),"",IF(ABS($J107-$I107)&gt;zincirTolerans,"ZİNCİR KIRIK","OK")))</f>
        <v/>
      </c>
      <c r="Q107" s="34">
        <f>IF($A107="","",1)</f>
        <v/>
      </c>
    </row>
    <row r="108">
      <c r="A108" s="29" t="n"/>
      <c r="B108" s="29" t="n"/>
      <c r="C108" s="47" t="n"/>
      <c r="D108" s="47" t="n"/>
      <c r="E108" s="29" t="n"/>
      <c r="F108" s="29" t="n"/>
      <c r="G108" s="29" t="n"/>
      <c r="H108" s="29" t="n"/>
      <c r="I108" s="30" t="n"/>
      <c r="J108" s="30" t="n"/>
      <c r="K108" s="31" t="n"/>
      <c r="L108" s="34">
        <f>IF($A108="","",IF($C108="","",raporTarihi-$C108))</f>
        <v/>
      </c>
      <c r="M108" s="34">
        <f>IF($A108="","",IF($L108="","",IF($L108&lt;=7,"0-7",IF($L108&lt;=30,"8-30",IF($L108&lt;=60,"31-60","60+")))))</f>
        <v/>
      </c>
      <c r="N108" s="34">
        <f>IF($A108="","",IF($B108="","YETİM",IF(COUNTIF(tblEnvanter[BelgeId],$B108)=0,"YETİM","")))</f>
        <v/>
      </c>
      <c r="O108" s="34">
        <f>IF(OR($A108="",$E108=""),"",IF(OR($E108&amp;"|"&amp;$F108="",COUNTIF(ListeIzinliGecis,$E108&amp;"|"&amp;$F108)&gt;0),"","GEÇERSİZ GEÇİŞ"))</f>
        <v/>
      </c>
      <c r="P108" s="34">
        <f>IF($A108="","",IF(OR($I108="",$J108=""),"",IF(ABS($J108-$I108)&gt;zincirTolerans,"ZİNCİR KIRIK","OK")))</f>
        <v/>
      </c>
      <c r="Q108" s="34">
        <f>IF($A108="","",1)</f>
        <v/>
      </c>
    </row>
    <row r="109">
      <c r="A109" s="29" t="n"/>
      <c r="B109" s="29" t="n"/>
      <c r="C109" s="47" t="n"/>
      <c r="D109" s="47" t="n"/>
      <c r="E109" s="29" t="n"/>
      <c r="F109" s="29" t="n"/>
      <c r="G109" s="29" t="n"/>
      <c r="H109" s="29" t="n"/>
      <c r="I109" s="30" t="n"/>
      <c r="J109" s="30" t="n"/>
      <c r="K109" s="31" t="n"/>
      <c r="L109" s="34">
        <f>IF($A109="","",IF($C109="","",raporTarihi-$C109))</f>
        <v/>
      </c>
      <c r="M109" s="34">
        <f>IF($A109="","",IF($L109="","",IF($L109&lt;=7,"0-7",IF($L109&lt;=30,"8-30",IF($L109&lt;=60,"31-60","60+")))))</f>
        <v/>
      </c>
      <c r="N109" s="34">
        <f>IF($A109="","",IF($B109="","YETİM",IF(COUNTIF(tblEnvanter[BelgeId],$B109)=0,"YETİM","")))</f>
        <v/>
      </c>
      <c r="O109" s="34">
        <f>IF(OR($A109="",$E109=""),"",IF(OR($E109&amp;"|"&amp;$F109="",COUNTIF(ListeIzinliGecis,$E109&amp;"|"&amp;$F109)&gt;0),"","GEÇERSİZ GEÇİŞ"))</f>
        <v/>
      </c>
      <c r="P109" s="34">
        <f>IF($A109="","",IF(OR($I109="",$J109=""),"",IF(ABS($J109-$I109)&gt;zincirTolerans,"ZİNCİR KIRIK","OK")))</f>
        <v/>
      </c>
      <c r="Q109" s="34">
        <f>IF($A109="","",1)</f>
        <v/>
      </c>
    </row>
    <row r="110">
      <c r="A110" s="29" t="n"/>
      <c r="B110" s="29" t="n"/>
      <c r="C110" s="47" t="n"/>
      <c r="D110" s="47" t="n"/>
      <c r="E110" s="29" t="n"/>
      <c r="F110" s="29" t="n"/>
      <c r="G110" s="29" t="n"/>
      <c r="H110" s="29" t="n"/>
      <c r="I110" s="30" t="n"/>
      <c r="J110" s="30" t="n"/>
      <c r="K110" s="31" t="n"/>
      <c r="L110" s="34">
        <f>IF($A110="","",IF($C110="","",raporTarihi-$C110))</f>
        <v/>
      </c>
      <c r="M110" s="34">
        <f>IF($A110="","",IF($L110="","",IF($L110&lt;=7,"0-7",IF($L110&lt;=30,"8-30",IF($L110&lt;=60,"31-60","60+")))))</f>
        <v/>
      </c>
      <c r="N110" s="34">
        <f>IF($A110="","",IF($B110="","YETİM",IF(COUNTIF(tblEnvanter[BelgeId],$B110)=0,"YETİM","")))</f>
        <v/>
      </c>
      <c r="O110" s="34">
        <f>IF(OR($A110="",$E110=""),"",IF(OR($E110&amp;"|"&amp;$F110="",COUNTIF(ListeIzinliGecis,$E110&amp;"|"&amp;$F110)&gt;0),"","GEÇERSİZ GEÇİŞ"))</f>
        <v/>
      </c>
      <c r="P110" s="34">
        <f>IF($A110="","",IF(OR($I110="",$J110=""),"",IF(ABS($J110-$I110)&gt;zincirTolerans,"ZİNCİR KIRIK","OK")))</f>
        <v/>
      </c>
      <c r="Q110" s="34">
        <f>IF($A110="","",1)</f>
        <v/>
      </c>
    </row>
    <row r="111">
      <c r="A111" s="29" t="n"/>
      <c r="B111" s="29" t="n"/>
      <c r="C111" s="47" t="n"/>
      <c r="D111" s="47" t="n"/>
      <c r="E111" s="29" t="n"/>
      <c r="F111" s="29" t="n"/>
      <c r="G111" s="29" t="n"/>
      <c r="H111" s="29" t="n"/>
      <c r="I111" s="30" t="n"/>
      <c r="J111" s="30" t="n"/>
      <c r="K111" s="31" t="n"/>
      <c r="L111" s="34">
        <f>IF($A111="","",IF($C111="","",raporTarihi-$C111))</f>
        <v/>
      </c>
      <c r="M111" s="34">
        <f>IF($A111="","",IF($L111="","",IF($L111&lt;=7,"0-7",IF($L111&lt;=30,"8-30",IF($L111&lt;=60,"31-60","60+")))))</f>
        <v/>
      </c>
      <c r="N111" s="34">
        <f>IF($A111="","",IF($B111="","YETİM",IF(COUNTIF(tblEnvanter[BelgeId],$B111)=0,"YETİM","")))</f>
        <v/>
      </c>
      <c r="O111" s="34">
        <f>IF(OR($A111="",$E111=""),"",IF(OR($E111&amp;"|"&amp;$F111="",COUNTIF(ListeIzinliGecis,$E111&amp;"|"&amp;$F111)&gt;0),"","GEÇERSİZ GEÇİŞ"))</f>
        <v/>
      </c>
      <c r="P111" s="34">
        <f>IF($A111="","",IF(OR($I111="",$J111=""),"",IF(ABS($J111-$I111)&gt;zincirTolerans,"ZİNCİR KIRIK","OK")))</f>
        <v/>
      </c>
      <c r="Q111" s="34">
        <f>IF($A111="","",1)</f>
        <v/>
      </c>
    </row>
    <row r="112">
      <c r="A112" s="29" t="n"/>
      <c r="B112" s="29" t="n"/>
      <c r="C112" s="47" t="n"/>
      <c r="D112" s="47" t="n"/>
      <c r="E112" s="29" t="n"/>
      <c r="F112" s="29" t="n"/>
      <c r="G112" s="29" t="n"/>
      <c r="H112" s="29" t="n"/>
      <c r="I112" s="30" t="n"/>
      <c r="J112" s="30" t="n"/>
      <c r="K112" s="31" t="n"/>
      <c r="L112" s="34">
        <f>IF($A112="","",IF($C112="","",raporTarihi-$C112))</f>
        <v/>
      </c>
      <c r="M112" s="34">
        <f>IF($A112="","",IF($L112="","",IF($L112&lt;=7,"0-7",IF($L112&lt;=30,"8-30",IF($L112&lt;=60,"31-60","60+")))))</f>
        <v/>
      </c>
      <c r="N112" s="34">
        <f>IF($A112="","",IF($B112="","YETİM",IF(COUNTIF(tblEnvanter[BelgeId],$B112)=0,"YETİM","")))</f>
        <v/>
      </c>
      <c r="O112" s="34">
        <f>IF(OR($A112="",$E112=""),"",IF(OR($E112&amp;"|"&amp;$F112="",COUNTIF(ListeIzinliGecis,$E112&amp;"|"&amp;$F112)&gt;0),"","GEÇERSİZ GEÇİŞ"))</f>
        <v/>
      </c>
      <c r="P112" s="34">
        <f>IF($A112="","",IF(OR($I112="",$J112=""),"",IF(ABS($J112-$I112)&gt;zincirTolerans,"ZİNCİR KIRIK","OK")))</f>
        <v/>
      </c>
      <c r="Q112" s="34">
        <f>IF($A112="","",1)</f>
        <v/>
      </c>
    </row>
    <row r="113">
      <c r="A113" s="29" t="n"/>
      <c r="B113" s="29" t="n"/>
      <c r="C113" s="47" t="n"/>
      <c r="D113" s="47" t="n"/>
      <c r="E113" s="29" t="n"/>
      <c r="F113" s="29" t="n"/>
      <c r="G113" s="29" t="n"/>
      <c r="H113" s="29" t="n"/>
      <c r="I113" s="30" t="n"/>
      <c r="J113" s="30" t="n"/>
      <c r="K113" s="31" t="n"/>
      <c r="L113" s="34">
        <f>IF($A113="","",IF($C113="","",raporTarihi-$C113))</f>
        <v/>
      </c>
      <c r="M113" s="34">
        <f>IF($A113="","",IF($L113="","",IF($L113&lt;=7,"0-7",IF($L113&lt;=30,"8-30",IF($L113&lt;=60,"31-60","60+")))))</f>
        <v/>
      </c>
      <c r="N113" s="34">
        <f>IF($A113="","",IF($B113="","YETİM",IF(COUNTIF(tblEnvanter[BelgeId],$B113)=0,"YETİM","")))</f>
        <v/>
      </c>
      <c r="O113" s="34">
        <f>IF(OR($A113="",$E113=""),"",IF(OR($E113&amp;"|"&amp;$F113="",COUNTIF(ListeIzinliGecis,$E113&amp;"|"&amp;$F113)&gt;0),"","GEÇERSİZ GEÇİŞ"))</f>
        <v/>
      </c>
      <c r="P113" s="34">
        <f>IF($A113="","",IF(OR($I113="",$J113=""),"",IF(ABS($J113-$I113)&gt;zincirTolerans,"ZİNCİR KIRIK","OK")))</f>
        <v/>
      </c>
      <c r="Q113" s="34">
        <f>IF($A113="","",1)</f>
        <v/>
      </c>
    </row>
    <row r="114">
      <c r="A114" s="29" t="n"/>
      <c r="B114" s="29" t="n"/>
      <c r="C114" s="47" t="n"/>
      <c r="D114" s="47" t="n"/>
      <c r="E114" s="29" t="n"/>
      <c r="F114" s="29" t="n"/>
      <c r="G114" s="29" t="n"/>
      <c r="H114" s="29" t="n"/>
      <c r="I114" s="30" t="n"/>
      <c r="J114" s="30" t="n"/>
      <c r="K114" s="31" t="n"/>
      <c r="L114" s="34">
        <f>IF($A114="","",IF($C114="","",raporTarihi-$C114))</f>
        <v/>
      </c>
      <c r="M114" s="34">
        <f>IF($A114="","",IF($L114="","",IF($L114&lt;=7,"0-7",IF($L114&lt;=30,"8-30",IF($L114&lt;=60,"31-60","60+")))))</f>
        <v/>
      </c>
      <c r="N114" s="34">
        <f>IF($A114="","",IF($B114="","YETİM",IF(COUNTIF(tblEnvanter[BelgeId],$B114)=0,"YETİM","")))</f>
        <v/>
      </c>
      <c r="O114" s="34">
        <f>IF(OR($A114="",$E114=""),"",IF(OR($E114&amp;"|"&amp;$F114="",COUNTIF(ListeIzinliGecis,$E114&amp;"|"&amp;$F114)&gt;0),"","GEÇERSİZ GEÇİŞ"))</f>
        <v/>
      </c>
      <c r="P114" s="34">
        <f>IF($A114="","",IF(OR($I114="",$J114=""),"",IF(ABS($J114-$I114)&gt;zincirTolerans,"ZİNCİR KIRIK","OK")))</f>
        <v/>
      </c>
      <c r="Q114" s="34">
        <f>IF($A114="","",1)</f>
        <v/>
      </c>
    </row>
    <row r="115">
      <c r="A115" s="29" t="n"/>
      <c r="B115" s="29" t="n"/>
      <c r="C115" s="47" t="n"/>
      <c r="D115" s="47" t="n"/>
      <c r="E115" s="29" t="n"/>
      <c r="F115" s="29" t="n"/>
      <c r="G115" s="29" t="n"/>
      <c r="H115" s="29" t="n"/>
      <c r="I115" s="30" t="n"/>
      <c r="J115" s="30" t="n"/>
      <c r="K115" s="31" t="n"/>
      <c r="L115" s="34">
        <f>IF($A115="","",IF($C115="","",raporTarihi-$C115))</f>
        <v/>
      </c>
      <c r="M115" s="34">
        <f>IF($A115="","",IF($L115="","",IF($L115&lt;=7,"0-7",IF($L115&lt;=30,"8-30",IF($L115&lt;=60,"31-60","60+")))))</f>
        <v/>
      </c>
      <c r="N115" s="34">
        <f>IF($A115="","",IF($B115="","YETİM",IF(COUNTIF(tblEnvanter[BelgeId],$B115)=0,"YETİM","")))</f>
        <v/>
      </c>
      <c r="O115" s="34">
        <f>IF(OR($A115="",$E115=""),"",IF(OR($E115&amp;"|"&amp;$F115="",COUNTIF(ListeIzinliGecis,$E115&amp;"|"&amp;$F115)&gt;0),"","GEÇERSİZ GEÇİŞ"))</f>
        <v/>
      </c>
      <c r="P115" s="34">
        <f>IF($A115="","",IF(OR($I115="",$J115=""),"",IF(ABS($J115-$I115)&gt;zincirTolerans,"ZİNCİR KIRIK","OK")))</f>
        <v/>
      </c>
      <c r="Q115" s="34">
        <f>IF($A115="","",1)</f>
        <v/>
      </c>
    </row>
    <row r="116">
      <c r="A116" s="29" t="n"/>
      <c r="B116" s="29" t="n"/>
      <c r="C116" s="47" t="n"/>
      <c r="D116" s="47" t="n"/>
      <c r="E116" s="29" t="n"/>
      <c r="F116" s="29" t="n"/>
      <c r="G116" s="29" t="n"/>
      <c r="H116" s="29" t="n"/>
      <c r="I116" s="30" t="n"/>
      <c r="J116" s="30" t="n"/>
      <c r="K116" s="31" t="n"/>
      <c r="L116" s="34">
        <f>IF($A116="","",IF($C116="","",raporTarihi-$C116))</f>
        <v/>
      </c>
      <c r="M116" s="34">
        <f>IF($A116="","",IF($L116="","",IF($L116&lt;=7,"0-7",IF($L116&lt;=30,"8-30",IF($L116&lt;=60,"31-60","60+")))))</f>
        <v/>
      </c>
      <c r="N116" s="34">
        <f>IF($A116="","",IF($B116="","YETİM",IF(COUNTIF(tblEnvanter[BelgeId],$B116)=0,"YETİM","")))</f>
        <v/>
      </c>
      <c r="O116" s="34">
        <f>IF(OR($A116="",$E116=""),"",IF(OR($E116&amp;"|"&amp;$F116="",COUNTIF(ListeIzinliGecis,$E116&amp;"|"&amp;$F116)&gt;0),"","GEÇERSİZ GEÇİŞ"))</f>
        <v/>
      </c>
      <c r="P116" s="34">
        <f>IF($A116="","",IF(OR($I116="",$J116=""),"",IF(ABS($J116-$I116)&gt;zincirTolerans,"ZİNCİR KIRIK","OK")))</f>
        <v/>
      </c>
      <c r="Q116" s="34">
        <f>IF($A116="","",1)</f>
        <v/>
      </c>
    </row>
    <row r="117">
      <c r="A117" s="29" t="n"/>
      <c r="B117" s="29" t="n"/>
      <c r="C117" s="47" t="n"/>
      <c r="D117" s="47" t="n"/>
      <c r="E117" s="29" t="n"/>
      <c r="F117" s="29" t="n"/>
      <c r="G117" s="29" t="n"/>
      <c r="H117" s="29" t="n"/>
      <c r="I117" s="30" t="n"/>
      <c r="J117" s="30" t="n"/>
      <c r="K117" s="31" t="n"/>
      <c r="L117" s="34">
        <f>IF($A117="","",IF($C117="","",raporTarihi-$C117))</f>
        <v/>
      </c>
      <c r="M117" s="34">
        <f>IF($A117="","",IF($L117="","",IF($L117&lt;=7,"0-7",IF($L117&lt;=30,"8-30",IF($L117&lt;=60,"31-60","60+")))))</f>
        <v/>
      </c>
      <c r="N117" s="34">
        <f>IF($A117="","",IF($B117="","YETİM",IF(COUNTIF(tblEnvanter[BelgeId],$B117)=0,"YETİM","")))</f>
        <v/>
      </c>
      <c r="O117" s="34">
        <f>IF(OR($A117="",$E117=""),"",IF(OR($E117&amp;"|"&amp;$F117="",COUNTIF(ListeIzinliGecis,$E117&amp;"|"&amp;$F117)&gt;0),"","GEÇERSİZ GEÇİŞ"))</f>
        <v/>
      </c>
      <c r="P117" s="34">
        <f>IF($A117="","",IF(OR($I117="",$J117=""),"",IF(ABS($J117-$I117)&gt;zincirTolerans,"ZİNCİR KIRIK","OK")))</f>
        <v/>
      </c>
      <c r="Q117" s="34">
        <f>IF($A117="","",1)</f>
        <v/>
      </c>
    </row>
    <row r="118">
      <c r="A118" s="29" t="n"/>
      <c r="B118" s="29" t="n"/>
      <c r="C118" s="47" t="n"/>
      <c r="D118" s="47" t="n"/>
      <c r="E118" s="29" t="n"/>
      <c r="F118" s="29" t="n"/>
      <c r="G118" s="29" t="n"/>
      <c r="H118" s="29" t="n"/>
      <c r="I118" s="30" t="n"/>
      <c r="J118" s="30" t="n"/>
      <c r="K118" s="31" t="n"/>
      <c r="L118" s="34">
        <f>IF($A118="","",IF($C118="","",raporTarihi-$C118))</f>
        <v/>
      </c>
      <c r="M118" s="34">
        <f>IF($A118="","",IF($L118="","",IF($L118&lt;=7,"0-7",IF($L118&lt;=30,"8-30",IF($L118&lt;=60,"31-60","60+")))))</f>
        <v/>
      </c>
      <c r="N118" s="34">
        <f>IF($A118="","",IF($B118="","YETİM",IF(COUNTIF(tblEnvanter[BelgeId],$B118)=0,"YETİM","")))</f>
        <v/>
      </c>
      <c r="O118" s="34">
        <f>IF(OR($A118="",$E118=""),"",IF(OR($E118&amp;"|"&amp;$F118="",COUNTIF(ListeIzinliGecis,$E118&amp;"|"&amp;$F118)&gt;0),"","GEÇERSİZ GEÇİŞ"))</f>
        <v/>
      </c>
      <c r="P118" s="34">
        <f>IF($A118="","",IF(OR($I118="",$J118=""),"",IF(ABS($J118-$I118)&gt;zincirTolerans,"ZİNCİR KIRIK","OK")))</f>
        <v/>
      </c>
      <c r="Q118" s="34">
        <f>IF($A118="","",1)</f>
        <v/>
      </c>
    </row>
    <row r="119">
      <c r="A119" s="29" t="n"/>
      <c r="B119" s="29" t="n"/>
      <c r="C119" s="47" t="n"/>
      <c r="D119" s="47" t="n"/>
      <c r="E119" s="29" t="n"/>
      <c r="F119" s="29" t="n"/>
      <c r="G119" s="29" t="n"/>
      <c r="H119" s="29" t="n"/>
      <c r="I119" s="30" t="n"/>
      <c r="J119" s="30" t="n"/>
      <c r="K119" s="31" t="n"/>
      <c r="L119" s="34">
        <f>IF($A119="","",IF($C119="","",raporTarihi-$C119))</f>
        <v/>
      </c>
      <c r="M119" s="34">
        <f>IF($A119="","",IF($L119="","",IF($L119&lt;=7,"0-7",IF($L119&lt;=30,"8-30",IF($L119&lt;=60,"31-60","60+")))))</f>
        <v/>
      </c>
      <c r="N119" s="34">
        <f>IF($A119="","",IF($B119="","YETİM",IF(COUNTIF(tblEnvanter[BelgeId],$B119)=0,"YETİM","")))</f>
        <v/>
      </c>
      <c r="O119" s="34">
        <f>IF(OR($A119="",$E119=""),"",IF(OR($E119&amp;"|"&amp;$F119="",COUNTIF(ListeIzinliGecis,$E119&amp;"|"&amp;$F119)&gt;0),"","GEÇERSİZ GEÇİŞ"))</f>
        <v/>
      </c>
      <c r="P119" s="34">
        <f>IF($A119="","",IF(OR($I119="",$J119=""),"",IF(ABS($J119-$I119)&gt;zincirTolerans,"ZİNCİR KIRIK","OK")))</f>
        <v/>
      </c>
      <c r="Q119" s="34">
        <f>IF($A119="","",1)</f>
        <v/>
      </c>
    </row>
    <row r="120">
      <c r="A120" s="29" t="n"/>
      <c r="B120" s="29" t="n"/>
      <c r="C120" s="47" t="n"/>
      <c r="D120" s="47" t="n"/>
      <c r="E120" s="29" t="n"/>
      <c r="F120" s="29" t="n"/>
      <c r="G120" s="29" t="n"/>
      <c r="H120" s="29" t="n"/>
      <c r="I120" s="30" t="n"/>
      <c r="J120" s="30" t="n"/>
      <c r="K120" s="31" t="n"/>
      <c r="L120" s="34">
        <f>IF($A120="","",IF($C120="","",raporTarihi-$C120))</f>
        <v/>
      </c>
      <c r="M120" s="34">
        <f>IF($A120="","",IF($L120="","",IF($L120&lt;=7,"0-7",IF($L120&lt;=30,"8-30",IF($L120&lt;=60,"31-60","60+")))))</f>
        <v/>
      </c>
      <c r="N120" s="34">
        <f>IF($A120="","",IF($B120="","YETİM",IF(COUNTIF(tblEnvanter[BelgeId],$B120)=0,"YETİM","")))</f>
        <v/>
      </c>
      <c r="O120" s="34">
        <f>IF(OR($A120="",$E120=""),"",IF(OR($E120&amp;"|"&amp;$F120="",COUNTIF(ListeIzinliGecis,$E120&amp;"|"&amp;$F120)&gt;0),"","GEÇERSİZ GEÇİŞ"))</f>
        <v/>
      </c>
      <c r="P120" s="34">
        <f>IF($A120="","",IF(OR($I120="",$J120=""),"",IF(ABS($J120-$I120)&gt;zincirTolerans,"ZİNCİR KIRIK","OK")))</f>
        <v/>
      </c>
      <c r="Q120" s="34">
        <f>IF($A120="","",1)</f>
        <v/>
      </c>
    </row>
    <row r="121">
      <c r="A121" s="29" t="n"/>
      <c r="B121" s="29" t="n"/>
      <c r="C121" s="47" t="n"/>
      <c r="D121" s="47" t="n"/>
      <c r="E121" s="29" t="n"/>
      <c r="F121" s="29" t="n"/>
      <c r="G121" s="29" t="n"/>
      <c r="H121" s="29" t="n"/>
      <c r="I121" s="30" t="n"/>
      <c r="J121" s="30" t="n"/>
      <c r="K121" s="31" t="n"/>
      <c r="L121" s="34">
        <f>IF($A121="","",IF($C121="","",raporTarihi-$C121))</f>
        <v/>
      </c>
      <c r="M121" s="34">
        <f>IF($A121="","",IF($L121="","",IF($L121&lt;=7,"0-7",IF($L121&lt;=30,"8-30",IF($L121&lt;=60,"31-60","60+")))))</f>
        <v/>
      </c>
      <c r="N121" s="34">
        <f>IF($A121="","",IF($B121="","YETİM",IF(COUNTIF(tblEnvanter[BelgeId],$B121)=0,"YETİM","")))</f>
        <v/>
      </c>
      <c r="O121" s="34">
        <f>IF(OR($A121="",$E121=""),"",IF(OR($E121&amp;"|"&amp;$F121="",COUNTIF(ListeIzinliGecis,$E121&amp;"|"&amp;$F121)&gt;0),"","GEÇERSİZ GEÇİŞ"))</f>
        <v/>
      </c>
      <c r="P121" s="34">
        <f>IF($A121="","",IF(OR($I121="",$J121=""),"",IF(ABS($J121-$I121)&gt;zincirTolerans,"ZİNCİR KIRIK","OK")))</f>
        <v/>
      </c>
      <c r="Q121" s="34">
        <f>IF($A121="","",1)</f>
        <v/>
      </c>
    </row>
    <row r="122">
      <c r="A122" s="29" t="n"/>
      <c r="B122" s="29" t="n"/>
      <c r="C122" s="47" t="n"/>
      <c r="D122" s="47" t="n"/>
      <c r="E122" s="29" t="n"/>
      <c r="F122" s="29" t="n"/>
      <c r="G122" s="29" t="n"/>
      <c r="H122" s="29" t="n"/>
      <c r="I122" s="30" t="n"/>
      <c r="J122" s="30" t="n"/>
      <c r="K122" s="31" t="n"/>
      <c r="L122" s="34">
        <f>IF($A122="","",IF($C122="","",raporTarihi-$C122))</f>
        <v/>
      </c>
      <c r="M122" s="34">
        <f>IF($A122="","",IF($L122="","",IF($L122&lt;=7,"0-7",IF($L122&lt;=30,"8-30",IF($L122&lt;=60,"31-60","60+")))))</f>
        <v/>
      </c>
      <c r="N122" s="34">
        <f>IF($A122="","",IF($B122="","YETİM",IF(COUNTIF(tblEnvanter[BelgeId],$B122)=0,"YETİM","")))</f>
        <v/>
      </c>
      <c r="O122" s="34">
        <f>IF(OR($A122="",$E122=""),"",IF(OR($E122&amp;"|"&amp;$F122="",COUNTIF(ListeIzinliGecis,$E122&amp;"|"&amp;$F122)&gt;0),"","GEÇERSİZ GEÇİŞ"))</f>
        <v/>
      </c>
      <c r="P122" s="34">
        <f>IF($A122="","",IF(OR($I122="",$J122=""),"",IF(ABS($J122-$I122)&gt;zincirTolerans,"ZİNCİR KIRIK","OK")))</f>
        <v/>
      </c>
      <c r="Q122" s="34">
        <f>IF($A122="","",1)</f>
        <v/>
      </c>
    </row>
    <row r="123">
      <c r="A123" s="29" t="n"/>
      <c r="B123" s="29" t="n"/>
      <c r="C123" s="47" t="n"/>
      <c r="D123" s="47" t="n"/>
      <c r="E123" s="29" t="n"/>
      <c r="F123" s="29" t="n"/>
      <c r="G123" s="29" t="n"/>
      <c r="H123" s="29" t="n"/>
      <c r="I123" s="30" t="n"/>
      <c r="J123" s="30" t="n"/>
      <c r="K123" s="31" t="n"/>
      <c r="L123" s="34">
        <f>IF($A123="","",IF($C123="","",raporTarihi-$C123))</f>
        <v/>
      </c>
      <c r="M123" s="34">
        <f>IF($A123="","",IF($L123="","",IF($L123&lt;=7,"0-7",IF($L123&lt;=30,"8-30",IF($L123&lt;=60,"31-60","60+")))))</f>
        <v/>
      </c>
      <c r="N123" s="34">
        <f>IF($A123="","",IF($B123="","YETİM",IF(COUNTIF(tblEnvanter[BelgeId],$B123)=0,"YETİM","")))</f>
        <v/>
      </c>
      <c r="O123" s="34">
        <f>IF(OR($A123="",$E123=""),"",IF(OR($E123&amp;"|"&amp;$F123="",COUNTIF(ListeIzinliGecis,$E123&amp;"|"&amp;$F123)&gt;0),"","GEÇERSİZ GEÇİŞ"))</f>
        <v/>
      </c>
      <c r="P123" s="34">
        <f>IF($A123="","",IF(OR($I123="",$J123=""),"",IF(ABS($J123-$I123)&gt;zincirTolerans,"ZİNCİR KIRIK","OK")))</f>
        <v/>
      </c>
      <c r="Q123" s="34">
        <f>IF($A123="","",1)</f>
        <v/>
      </c>
    </row>
    <row r="124">
      <c r="A124" s="29" t="n"/>
      <c r="B124" s="29" t="n"/>
      <c r="C124" s="47" t="n"/>
      <c r="D124" s="47" t="n"/>
      <c r="E124" s="29" t="n"/>
      <c r="F124" s="29" t="n"/>
      <c r="G124" s="29" t="n"/>
      <c r="H124" s="29" t="n"/>
      <c r="I124" s="30" t="n"/>
      <c r="J124" s="30" t="n"/>
      <c r="K124" s="31" t="n"/>
      <c r="L124" s="34">
        <f>IF($A124="","",IF($C124="","",raporTarihi-$C124))</f>
        <v/>
      </c>
      <c r="M124" s="34">
        <f>IF($A124="","",IF($L124="","",IF($L124&lt;=7,"0-7",IF($L124&lt;=30,"8-30",IF($L124&lt;=60,"31-60","60+")))))</f>
        <v/>
      </c>
      <c r="N124" s="34">
        <f>IF($A124="","",IF($B124="","YETİM",IF(COUNTIF(tblEnvanter[BelgeId],$B124)=0,"YETİM","")))</f>
        <v/>
      </c>
      <c r="O124" s="34">
        <f>IF(OR($A124="",$E124=""),"",IF(OR($E124&amp;"|"&amp;$F124="",COUNTIF(ListeIzinliGecis,$E124&amp;"|"&amp;$F124)&gt;0),"","GEÇERSİZ GEÇİŞ"))</f>
        <v/>
      </c>
      <c r="P124" s="34">
        <f>IF($A124="","",IF(OR($I124="",$J124=""),"",IF(ABS($J124-$I124)&gt;zincirTolerans,"ZİNCİR KIRIK","OK")))</f>
        <v/>
      </c>
      <c r="Q124" s="34">
        <f>IF($A124="","",1)</f>
        <v/>
      </c>
    </row>
    <row r="125">
      <c r="A125" s="29" t="n"/>
      <c r="B125" s="29" t="n"/>
      <c r="C125" s="47" t="n"/>
      <c r="D125" s="47" t="n"/>
      <c r="E125" s="29" t="n"/>
      <c r="F125" s="29" t="n"/>
      <c r="G125" s="29" t="n"/>
      <c r="H125" s="29" t="n"/>
      <c r="I125" s="30" t="n"/>
      <c r="J125" s="30" t="n"/>
      <c r="K125" s="31" t="n"/>
      <c r="L125" s="34">
        <f>IF($A125="","",IF($C125="","",raporTarihi-$C125))</f>
        <v/>
      </c>
      <c r="M125" s="34">
        <f>IF($A125="","",IF($L125="","",IF($L125&lt;=7,"0-7",IF($L125&lt;=30,"8-30",IF($L125&lt;=60,"31-60","60+")))))</f>
        <v/>
      </c>
      <c r="N125" s="34">
        <f>IF($A125="","",IF($B125="","YETİM",IF(COUNTIF(tblEnvanter[BelgeId],$B125)=0,"YETİM","")))</f>
        <v/>
      </c>
      <c r="O125" s="34">
        <f>IF(OR($A125="",$E125=""),"",IF(OR($E125&amp;"|"&amp;$F125="",COUNTIF(ListeIzinliGecis,$E125&amp;"|"&amp;$F125)&gt;0),"","GEÇERSİZ GEÇİŞ"))</f>
        <v/>
      </c>
      <c r="P125" s="34">
        <f>IF($A125="","",IF(OR($I125="",$J125=""),"",IF(ABS($J125-$I125)&gt;zincirTolerans,"ZİNCİR KIRIK","OK")))</f>
        <v/>
      </c>
      <c r="Q125" s="34">
        <f>IF($A125="","",1)</f>
        <v/>
      </c>
    </row>
    <row r="126">
      <c r="A126" s="29" t="n"/>
      <c r="B126" s="29" t="n"/>
      <c r="C126" s="47" t="n"/>
      <c r="D126" s="47" t="n"/>
      <c r="E126" s="29" t="n"/>
      <c r="F126" s="29" t="n"/>
      <c r="G126" s="29" t="n"/>
      <c r="H126" s="29" t="n"/>
      <c r="I126" s="30" t="n"/>
      <c r="J126" s="30" t="n"/>
      <c r="K126" s="31" t="n"/>
      <c r="L126" s="34">
        <f>IF($A126="","",IF($C126="","",raporTarihi-$C126))</f>
        <v/>
      </c>
      <c r="M126" s="34">
        <f>IF($A126="","",IF($L126="","",IF($L126&lt;=7,"0-7",IF($L126&lt;=30,"8-30",IF($L126&lt;=60,"31-60","60+")))))</f>
        <v/>
      </c>
      <c r="N126" s="34">
        <f>IF($A126="","",IF($B126="","YETİM",IF(COUNTIF(tblEnvanter[BelgeId],$B126)=0,"YETİM","")))</f>
        <v/>
      </c>
      <c r="O126" s="34">
        <f>IF(OR($A126="",$E126=""),"",IF(OR($E126&amp;"|"&amp;$F126="",COUNTIF(ListeIzinliGecis,$E126&amp;"|"&amp;$F126)&gt;0),"","GEÇERSİZ GEÇİŞ"))</f>
        <v/>
      </c>
      <c r="P126" s="34">
        <f>IF($A126="","",IF(OR($I126="",$J126=""),"",IF(ABS($J126-$I126)&gt;zincirTolerans,"ZİNCİR KIRIK","OK")))</f>
        <v/>
      </c>
      <c r="Q126" s="34">
        <f>IF($A126="","",1)</f>
        <v/>
      </c>
    </row>
    <row r="127">
      <c r="A127" s="29" t="n"/>
      <c r="B127" s="29" t="n"/>
      <c r="C127" s="47" t="n"/>
      <c r="D127" s="47" t="n"/>
      <c r="E127" s="29" t="n"/>
      <c r="F127" s="29" t="n"/>
      <c r="G127" s="29" t="n"/>
      <c r="H127" s="29" t="n"/>
      <c r="I127" s="30" t="n"/>
      <c r="J127" s="30" t="n"/>
      <c r="K127" s="31" t="n"/>
      <c r="L127" s="34">
        <f>IF($A127="","",IF($C127="","",raporTarihi-$C127))</f>
        <v/>
      </c>
      <c r="M127" s="34">
        <f>IF($A127="","",IF($L127="","",IF($L127&lt;=7,"0-7",IF($L127&lt;=30,"8-30",IF($L127&lt;=60,"31-60","60+")))))</f>
        <v/>
      </c>
      <c r="N127" s="34">
        <f>IF($A127="","",IF($B127="","YETİM",IF(COUNTIF(tblEnvanter[BelgeId],$B127)=0,"YETİM","")))</f>
        <v/>
      </c>
      <c r="O127" s="34">
        <f>IF(OR($A127="",$E127=""),"",IF(OR($E127&amp;"|"&amp;$F127="",COUNTIF(ListeIzinliGecis,$E127&amp;"|"&amp;$F127)&gt;0),"","GEÇERSİZ GEÇİŞ"))</f>
        <v/>
      </c>
      <c r="P127" s="34">
        <f>IF($A127="","",IF(OR($I127="",$J127=""),"",IF(ABS($J127-$I127)&gt;zincirTolerans,"ZİNCİR KIRIK","OK")))</f>
        <v/>
      </c>
      <c r="Q127" s="34">
        <f>IF($A127="","",1)</f>
        <v/>
      </c>
    </row>
    <row r="128">
      <c r="A128" s="29" t="n"/>
      <c r="B128" s="29" t="n"/>
      <c r="C128" s="47" t="n"/>
      <c r="D128" s="47" t="n"/>
      <c r="E128" s="29" t="n"/>
      <c r="F128" s="29" t="n"/>
      <c r="G128" s="29" t="n"/>
      <c r="H128" s="29" t="n"/>
      <c r="I128" s="30" t="n"/>
      <c r="J128" s="30" t="n"/>
      <c r="K128" s="31" t="n"/>
      <c r="L128" s="34">
        <f>IF($A128="","",IF($C128="","",raporTarihi-$C128))</f>
        <v/>
      </c>
      <c r="M128" s="34">
        <f>IF($A128="","",IF($L128="","",IF($L128&lt;=7,"0-7",IF($L128&lt;=30,"8-30",IF($L128&lt;=60,"31-60","60+")))))</f>
        <v/>
      </c>
      <c r="N128" s="34">
        <f>IF($A128="","",IF($B128="","YETİM",IF(COUNTIF(tblEnvanter[BelgeId],$B128)=0,"YETİM","")))</f>
        <v/>
      </c>
      <c r="O128" s="34">
        <f>IF(OR($A128="",$E128=""),"",IF(OR($E128&amp;"|"&amp;$F128="",COUNTIF(ListeIzinliGecis,$E128&amp;"|"&amp;$F128)&gt;0),"","GEÇERSİZ GEÇİŞ"))</f>
        <v/>
      </c>
      <c r="P128" s="34">
        <f>IF($A128="","",IF(OR($I128="",$J128=""),"",IF(ABS($J128-$I128)&gt;zincirTolerans,"ZİNCİR KIRIK","OK")))</f>
        <v/>
      </c>
      <c r="Q128" s="34">
        <f>IF($A128="","",1)</f>
        <v/>
      </c>
    </row>
    <row r="129">
      <c r="A129" s="29" t="n"/>
      <c r="B129" s="29" t="n"/>
      <c r="C129" s="47" t="n"/>
      <c r="D129" s="47" t="n"/>
      <c r="E129" s="29" t="n"/>
      <c r="F129" s="29" t="n"/>
      <c r="G129" s="29" t="n"/>
      <c r="H129" s="29" t="n"/>
      <c r="I129" s="30" t="n"/>
      <c r="J129" s="30" t="n"/>
      <c r="K129" s="31" t="n"/>
      <c r="L129" s="34">
        <f>IF($A129="","",IF($C129="","",raporTarihi-$C129))</f>
        <v/>
      </c>
      <c r="M129" s="34">
        <f>IF($A129="","",IF($L129="","",IF($L129&lt;=7,"0-7",IF($L129&lt;=30,"8-30",IF($L129&lt;=60,"31-60","60+")))))</f>
        <v/>
      </c>
      <c r="N129" s="34">
        <f>IF($A129="","",IF($B129="","YETİM",IF(COUNTIF(tblEnvanter[BelgeId],$B129)=0,"YETİM","")))</f>
        <v/>
      </c>
      <c r="O129" s="34">
        <f>IF(OR($A129="",$E129=""),"",IF(OR($E129&amp;"|"&amp;$F129="",COUNTIF(ListeIzinliGecis,$E129&amp;"|"&amp;$F129)&gt;0),"","GEÇERSİZ GEÇİŞ"))</f>
        <v/>
      </c>
      <c r="P129" s="34">
        <f>IF($A129="","",IF(OR($I129="",$J129=""),"",IF(ABS($J129-$I129)&gt;zincirTolerans,"ZİNCİR KIRIK","OK")))</f>
        <v/>
      </c>
      <c r="Q129" s="34">
        <f>IF($A129="","",1)</f>
        <v/>
      </c>
    </row>
    <row r="130">
      <c r="A130" s="29" t="n"/>
      <c r="B130" s="29" t="n"/>
      <c r="C130" s="47" t="n"/>
      <c r="D130" s="47" t="n"/>
      <c r="E130" s="29" t="n"/>
      <c r="F130" s="29" t="n"/>
      <c r="G130" s="29" t="n"/>
      <c r="H130" s="29" t="n"/>
      <c r="I130" s="30" t="n"/>
      <c r="J130" s="30" t="n"/>
      <c r="K130" s="31" t="n"/>
      <c r="L130" s="34">
        <f>IF($A130="","",IF($C130="","",raporTarihi-$C130))</f>
        <v/>
      </c>
      <c r="M130" s="34">
        <f>IF($A130="","",IF($L130="","",IF($L130&lt;=7,"0-7",IF($L130&lt;=30,"8-30",IF($L130&lt;=60,"31-60","60+")))))</f>
        <v/>
      </c>
      <c r="N130" s="34">
        <f>IF($A130="","",IF($B130="","YETİM",IF(COUNTIF(tblEnvanter[BelgeId],$B130)=0,"YETİM","")))</f>
        <v/>
      </c>
      <c r="O130" s="34">
        <f>IF(OR($A130="",$E130=""),"",IF(OR($E130&amp;"|"&amp;$F130="",COUNTIF(ListeIzinliGecis,$E130&amp;"|"&amp;$F130)&gt;0),"","GEÇERSİZ GEÇİŞ"))</f>
        <v/>
      </c>
      <c r="P130" s="34">
        <f>IF($A130="","",IF(OR($I130="",$J130=""),"",IF(ABS($J130-$I130)&gt;zincirTolerans,"ZİNCİR KIRIK","OK")))</f>
        <v/>
      </c>
      <c r="Q130" s="34">
        <f>IF($A130="","",1)</f>
        <v/>
      </c>
    </row>
    <row r="131">
      <c r="A131" s="29" t="n"/>
      <c r="B131" s="29" t="n"/>
      <c r="C131" s="47" t="n"/>
      <c r="D131" s="47" t="n"/>
      <c r="E131" s="29" t="n"/>
      <c r="F131" s="29" t="n"/>
      <c r="G131" s="29" t="n"/>
      <c r="H131" s="29" t="n"/>
      <c r="I131" s="30" t="n"/>
      <c r="J131" s="30" t="n"/>
      <c r="K131" s="31" t="n"/>
      <c r="L131" s="34">
        <f>IF($A131="","",IF($C131="","",raporTarihi-$C131))</f>
        <v/>
      </c>
      <c r="M131" s="34">
        <f>IF($A131="","",IF($L131="","",IF($L131&lt;=7,"0-7",IF($L131&lt;=30,"8-30",IF($L131&lt;=60,"31-60","60+")))))</f>
        <v/>
      </c>
      <c r="N131" s="34">
        <f>IF($A131="","",IF($B131="","YETİM",IF(COUNTIF(tblEnvanter[BelgeId],$B131)=0,"YETİM","")))</f>
        <v/>
      </c>
      <c r="O131" s="34">
        <f>IF(OR($A131="",$E131=""),"",IF(OR($E131&amp;"|"&amp;$F131="",COUNTIF(ListeIzinliGecis,$E131&amp;"|"&amp;$F131)&gt;0),"","GEÇERSİZ GEÇİŞ"))</f>
        <v/>
      </c>
      <c r="P131" s="34">
        <f>IF($A131="","",IF(OR($I131="",$J131=""),"",IF(ABS($J131-$I131)&gt;zincirTolerans,"ZİNCİR KIRIK","OK")))</f>
        <v/>
      </c>
      <c r="Q131" s="34">
        <f>IF($A131="","",1)</f>
        <v/>
      </c>
    </row>
    <row r="132">
      <c r="A132" s="29" t="n"/>
      <c r="B132" s="29" t="n"/>
      <c r="C132" s="47" t="n"/>
      <c r="D132" s="47" t="n"/>
      <c r="E132" s="29" t="n"/>
      <c r="F132" s="29" t="n"/>
      <c r="G132" s="29" t="n"/>
      <c r="H132" s="29" t="n"/>
      <c r="I132" s="30" t="n"/>
      <c r="J132" s="30" t="n"/>
      <c r="K132" s="31" t="n"/>
      <c r="L132" s="34">
        <f>IF($A132="","",IF($C132="","",raporTarihi-$C132))</f>
        <v/>
      </c>
      <c r="M132" s="34">
        <f>IF($A132="","",IF($L132="","",IF($L132&lt;=7,"0-7",IF($L132&lt;=30,"8-30",IF($L132&lt;=60,"31-60","60+")))))</f>
        <v/>
      </c>
      <c r="N132" s="34">
        <f>IF($A132="","",IF($B132="","YETİM",IF(COUNTIF(tblEnvanter[BelgeId],$B132)=0,"YETİM","")))</f>
        <v/>
      </c>
      <c r="O132" s="34">
        <f>IF(OR($A132="",$E132=""),"",IF(OR($E132&amp;"|"&amp;$F132="",COUNTIF(ListeIzinliGecis,$E132&amp;"|"&amp;$F132)&gt;0),"","GEÇERSİZ GEÇİŞ"))</f>
        <v/>
      </c>
      <c r="P132" s="34">
        <f>IF($A132="","",IF(OR($I132="",$J132=""),"",IF(ABS($J132-$I132)&gt;zincirTolerans,"ZİNCİR KIRIK","OK")))</f>
        <v/>
      </c>
      <c r="Q132" s="34">
        <f>IF($A132="","",1)</f>
        <v/>
      </c>
    </row>
    <row r="133">
      <c r="A133" s="29" t="n"/>
      <c r="B133" s="29" t="n"/>
      <c r="C133" s="47" t="n"/>
      <c r="D133" s="47" t="n"/>
      <c r="E133" s="29" t="n"/>
      <c r="F133" s="29" t="n"/>
      <c r="G133" s="29" t="n"/>
      <c r="H133" s="29" t="n"/>
      <c r="I133" s="30" t="n"/>
      <c r="J133" s="30" t="n"/>
      <c r="K133" s="31" t="n"/>
      <c r="L133" s="34">
        <f>IF($A133="","",IF($C133="","",raporTarihi-$C133))</f>
        <v/>
      </c>
      <c r="M133" s="34">
        <f>IF($A133="","",IF($L133="","",IF($L133&lt;=7,"0-7",IF($L133&lt;=30,"8-30",IF($L133&lt;=60,"31-60","60+")))))</f>
        <v/>
      </c>
      <c r="N133" s="34">
        <f>IF($A133="","",IF($B133="","YETİM",IF(COUNTIF(tblEnvanter[BelgeId],$B133)=0,"YETİM","")))</f>
        <v/>
      </c>
      <c r="O133" s="34">
        <f>IF(OR($A133="",$E133=""),"",IF(OR($E133&amp;"|"&amp;$F133="",COUNTIF(ListeIzinliGecis,$E133&amp;"|"&amp;$F133)&gt;0),"","GEÇERSİZ GEÇİŞ"))</f>
        <v/>
      </c>
      <c r="P133" s="34">
        <f>IF($A133="","",IF(OR($I133="",$J133=""),"",IF(ABS($J133-$I133)&gt;zincirTolerans,"ZİNCİR KIRIK","OK")))</f>
        <v/>
      </c>
      <c r="Q133" s="34">
        <f>IF($A133="","",1)</f>
        <v/>
      </c>
    </row>
    <row r="134">
      <c r="A134" s="29" t="n"/>
      <c r="B134" s="29" t="n"/>
      <c r="C134" s="47" t="n"/>
      <c r="D134" s="47" t="n"/>
      <c r="E134" s="29" t="n"/>
      <c r="F134" s="29" t="n"/>
      <c r="G134" s="29" t="n"/>
      <c r="H134" s="29" t="n"/>
      <c r="I134" s="30" t="n"/>
      <c r="J134" s="30" t="n"/>
      <c r="K134" s="31" t="n"/>
      <c r="L134" s="34">
        <f>IF($A134="","",IF($C134="","",raporTarihi-$C134))</f>
        <v/>
      </c>
      <c r="M134" s="34">
        <f>IF($A134="","",IF($L134="","",IF($L134&lt;=7,"0-7",IF($L134&lt;=30,"8-30",IF($L134&lt;=60,"31-60","60+")))))</f>
        <v/>
      </c>
      <c r="N134" s="34">
        <f>IF($A134="","",IF($B134="","YETİM",IF(COUNTIF(tblEnvanter[BelgeId],$B134)=0,"YETİM","")))</f>
        <v/>
      </c>
      <c r="O134" s="34">
        <f>IF(OR($A134="",$E134=""),"",IF(OR($E134&amp;"|"&amp;$F134="",COUNTIF(ListeIzinliGecis,$E134&amp;"|"&amp;$F134)&gt;0),"","GEÇERSİZ GEÇİŞ"))</f>
        <v/>
      </c>
      <c r="P134" s="34">
        <f>IF($A134="","",IF(OR($I134="",$J134=""),"",IF(ABS($J134-$I134)&gt;zincirTolerans,"ZİNCİR KIRIK","OK")))</f>
        <v/>
      </c>
      <c r="Q134" s="34">
        <f>IF($A134="","",1)</f>
        <v/>
      </c>
    </row>
    <row r="135">
      <c r="A135" s="29" t="n"/>
      <c r="B135" s="29" t="n"/>
      <c r="C135" s="47" t="n"/>
      <c r="D135" s="47" t="n"/>
      <c r="E135" s="29" t="n"/>
      <c r="F135" s="29" t="n"/>
      <c r="G135" s="29" t="n"/>
      <c r="H135" s="29" t="n"/>
      <c r="I135" s="30" t="n"/>
      <c r="J135" s="30" t="n"/>
      <c r="K135" s="31" t="n"/>
      <c r="L135" s="34">
        <f>IF($A135="","",IF($C135="","",raporTarihi-$C135))</f>
        <v/>
      </c>
      <c r="M135" s="34">
        <f>IF($A135="","",IF($L135="","",IF($L135&lt;=7,"0-7",IF($L135&lt;=30,"8-30",IF($L135&lt;=60,"31-60","60+")))))</f>
        <v/>
      </c>
      <c r="N135" s="34">
        <f>IF($A135="","",IF($B135="","YETİM",IF(COUNTIF(tblEnvanter[BelgeId],$B135)=0,"YETİM","")))</f>
        <v/>
      </c>
      <c r="O135" s="34">
        <f>IF(OR($A135="",$E135=""),"",IF(OR($E135&amp;"|"&amp;$F135="",COUNTIF(ListeIzinliGecis,$E135&amp;"|"&amp;$F135)&gt;0),"","GEÇERSİZ GEÇİŞ"))</f>
        <v/>
      </c>
      <c r="P135" s="34">
        <f>IF($A135="","",IF(OR($I135="",$J135=""),"",IF(ABS($J135-$I135)&gt;zincirTolerans,"ZİNCİR KIRIK","OK")))</f>
        <v/>
      </c>
      <c r="Q135" s="34">
        <f>IF($A135="","",1)</f>
        <v/>
      </c>
    </row>
    <row r="136">
      <c r="A136" s="29" t="n"/>
      <c r="B136" s="29" t="n"/>
      <c r="C136" s="47" t="n"/>
      <c r="D136" s="47" t="n"/>
      <c r="E136" s="29" t="n"/>
      <c r="F136" s="29" t="n"/>
      <c r="G136" s="29" t="n"/>
      <c r="H136" s="29" t="n"/>
      <c r="I136" s="30" t="n"/>
      <c r="J136" s="30" t="n"/>
      <c r="K136" s="31" t="n"/>
      <c r="L136" s="34">
        <f>IF($A136="","",IF($C136="","",raporTarihi-$C136))</f>
        <v/>
      </c>
      <c r="M136" s="34">
        <f>IF($A136="","",IF($L136="","",IF($L136&lt;=7,"0-7",IF($L136&lt;=30,"8-30",IF($L136&lt;=60,"31-60","60+")))))</f>
        <v/>
      </c>
      <c r="N136" s="34">
        <f>IF($A136="","",IF($B136="","YETİM",IF(COUNTIF(tblEnvanter[BelgeId],$B136)=0,"YETİM","")))</f>
        <v/>
      </c>
      <c r="O136" s="34">
        <f>IF(OR($A136="",$E136=""),"",IF(OR($E136&amp;"|"&amp;$F136="",COUNTIF(ListeIzinliGecis,$E136&amp;"|"&amp;$F136)&gt;0),"","GEÇERSİZ GEÇİŞ"))</f>
        <v/>
      </c>
      <c r="P136" s="34">
        <f>IF($A136="","",IF(OR($I136="",$J136=""),"",IF(ABS($J136-$I136)&gt;zincirTolerans,"ZİNCİR KIRIK","OK")))</f>
        <v/>
      </c>
      <c r="Q136" s="34">
        <f>IF($A136="","",1)</f>
        <v/>
      </c>
    </row>
    <row r="137">
      <c r="A137" s="29" t="n"/>
      <c r="B137" s="29" t="n"/>
      <c r="C137" s="47" t="n"/>
      <c r="D137" s="47" t="n"/>
      <c r="E137" s="29" t="n"/>
      <c r="F137" s="29" t="n"/>
      <c r="G137" s="29" t="n"/>
      <c r="H137" s="29" t="n"/>
      <c r="I137" s="30" t="n"/>
      <c r="J137" s="30" t="n"/>
      <c r="K137" s="31" t="n"/>
      <c r="L137" s="34">
        <f>IF($A137="","",IF($C137="","",raporTarihi-$C137))</f>
        <v/>
      </c>
      <c r="M137" s="34">
        <f>IF($A137="","",IF($L137="","",IF($L137&lt;=7,"0-7",IF($L137&lt;=30,"8-30",IF($L137&lt;=60,"31-60","60+")))))</f>
        <v/>
      </c>
      <c r="N137" s="34">
        <f>IF($A137="","",IF($B137="","YETİM",IF(COUNTIF(tblEnvanter[BelgeId],$B137)=0,"YETİM","")))</f>
        <v/>
      </c>
      <c r="O137" s="34">
        <f>IF(OR($A137="",$E137=""),"",IF(OR($E137&amp;"|"&amp;$F137="",COUNTIF(ListeIzinliGecis,$E137&amp;"|"&amp;$F137)&gt;0),"","GEÇERSİZ GEÇİŞ"))</f>
        <v/>
      </c>
      <c r="P137" s="34">
        <f>IF($A137="","",IF(OR($I137="",$J137=""),"",IF(ABS($J137-$I137)&gt;zincirTolerans,"ZİNCİR KIRIK","OK")))</f>
        <v/>
      </c>
      <c r="Q137" s="34">
        <f>IF($A137="","",1)</f>
        <v/>
      </c>
    </row>
    <row r="138">
      <c r="A138" s="29" t="n"/>
      <c r="B138" s="29" t="n"/>
      <c r="C138" s="47" t="n"/>
      <c r="D138" s="47" t="n"/>
      <c r="E138" s="29" t="n"/>
      <c r="F138" s="29" t="n"/>
      <c r="G138" s="29" t="n"/>
      <c r="H138" s="29" t="n"/>
      <c r="I138" s="30" t="n"/>
      <c r="J138" s="30" t="n"/>
      <c r="K138" s="31" t="n"/>
      <c r="L138" s="34">
        <f>IF($A138="","",IF($C138="","",raporTarihi-$C138))</f>
        <v/>
      </c>
      <c r="M138" s="34">
        <f>IF($A138="","",IF($L138="","",IF($L138&lt;=7,"0-7",IF($L138&lt;=30,"8-30",IF($L138&lt;=60,"31-60","60+")))))</f>
        <v/>
      </c>
      <c r="N138" s="34">
        <f>IF($A138="","",IF($B138="","YETİM",IF(COUNTIF(tblEnvanter[BelgeId],$B138)=0,"YETİM","")))</f>
        <v/>
      </c>
      <c r="O138" s="34">
        <f>IF(OR($A138="",$E138=""),"",IF(OR($E138&amp;"|"&amp;$F138="",COUNTIF(ListeIzinliGecis,$E138&amp;"|"&amp;$F138)&gt;0),"","GEÇERSİZ GEÇİŞ"))</f>
        <v/>
      </c>
      <c r="P138" s="34">
        <f>IF($A138="","",IF(OR($I138="",$J138=""),"",IF(ABS($J138-$I138)&gt;zincirTolerans,"ZİNCİR KIRIK","OK")))</f>
        <v/>
      </c>
      <c r="Q138" s="34">
        <f>IF($A138="","",1)</f>
        <v/>
      </c>
    </row>
    <row r="139">
      <c r="A139" s="29" t="n"/>
      <c r="B139" s="29" t="n"/>
      <c r="C139" s="47" t="n"/>
      <c r="D139" s="47" t="n"/>
      <c r="E139" s="29" t="n"/>
      <c r="F139" s="29" t="n"/>
      <c r="G139" s="29" t="n"/>
      <c r="H139" s="29" t="n"/>
      <c r="I139" s="30" t="n"/>
      <c r="J139" s="30" t="n"/>
      <c r="K139" s="31" t="n"/>
      <c r="L139" s="34">
        <f>IF($A139="","",IF($C139="","",raporTarihi-$C139))</f>
        <v/>
      </c>
      <c r="M139" s="34">
        <f>IF($A139="","",IF($L139="","",IF($L139&lt;=7,"0-7",IF($L139&lt;=30,"8-30",IF($L139&lt;=60,"31-60","60+")))))</f>
        <v/>
      </c>
      <c r="N139" s="34">
        <f>IF($A139="","",IF($B139="","YETİM",IF(COUNTIF(tblEnvanter[BelgeId],$B139)=0,"YETİM","")))</f>
        <v/>
      </c>
      <c r="O139" s="34">
        <f>IF(OR($A139="",$E139=""),"",IF(OR($E139&amp;"|"&amp;$F139="",COUNTIF(ListeIzinliGecis,$E139&amp;"|"&amp;$F139)&gt;0),"","GEÇERSİZ GEÇİŞ"))</f>
        <v/>
      </c>
      <c r="P139" s="34">
        <f>IF($A139="","",IF(OR($I139="",$J139=""),"",IF(ABS($J139-$I139)&gt;zincirTolerans,"ZİNCİR KIRIK","OK")))</f>
        <v/>
      </c>
      <c r="Q139" s="34">
        <f>IF($A139="","",1)</f>
        <v/>
      </c>
    </row>
    <row r="140">
      <c r="A140" s="29" t="n"/>
      <c r="B140" s="29" t="n"/>
      <c r="C140" s="47" t="n"/>
      <c r="D140" s="47" t="n"/>
      <c r="E140" s="29" t="n"/>
      <c r="F140" s="29" t="n"/>
      <c r="G140" s="29" t="n"/>
      <c r="H140" s="29" t="n"/>
      <c r="I140" s="30" t="n"/>
      <c r="J140" s="30" t="n"/>
      <c r="K140" s="31" t="n"/>
      <c r="L140" s="34">
        <f>IF($A140="","",IF($C140="","",raporTarihi-$C140))</f>
        <v/>
      </c>
      <c r="M140" s="34">
        <f>IF($A140="","",IF($L140="","",IF($L140&lt;=7,"0-7",IF($L140&lt;=30,"8-30",IF($L140&lt;=60,"31-60","60+")))))</f>
        <v/>
      </c>
      <c r="N140" s="34">
        <f>IF($A140="","",IF($B140="","YETİM",IF(COUNTIF(tblEnvanter[BelgeId],$B140)=0,"YETİM","")))</f>
        <v/>
      </c>
      <c r="O140" s="34">
        <f>IF(OR($A140="",$E140=""),"",IF(OR($E140&amp;"|"&amp;$F140="",COUNTIF(ListeIzinliGecis,$E140&amp;"|"&amp;$F140)&gt;0),"","GEÇERSİZ GEÇİŞ"))</f>
        <v/>
      </c>
      <c r="P140" s="34">
        <f>IF($A140="","",IF(OR($I140="",$J140=""),"",IF(ABS($J140-$I140)&gt;zincirTolerans,"ZİNCİR KIRIK","OK")))</f>
        <v/>
      </c>
      <c r="Q140" s="34">
        <f>IF($A140="","",1)</f>
        <v/>
      </c>
    </row>
    <row r="141">
      <c r="A141" s="29" t="n"/>
      <c r="B141" s="29" t="n"/>
      <c r="C141" s="47" t="n"/>
      <c r="D141" s="47" t="n"/>
      <c r="E141" s="29" t="n"/>
      <c r="F141" s="29" t="n"/>
      <c r="G141" s="29" t="n"/>
      <c r="H141" s="29" t="n"/>
      <c r="I141" s="30" t="n"/>
      <c r="J141" s="30" t="n"/>
      <c r="K141" s="31" t="n"/>
      <c r="L141" s="34">
        <f>IF($A141="","",IF($C141="","",raporTarihi-$C141))</f>
        <v/>
      </c>
      <c r="M141" s="34">
        <f>IF($A141="","",IF($L141="","",IF($L141&lt;=7,"0-7",IF($L141&lt;=30,"8-30",IF($L141&lt;=60,"31-60","60+")))))</f>
        <v/>
      </c>
      <c r="N141" s="34">
        <f>IF($A141="","",IF($B141="","YETİM",IF(COUNTIF(tblEnvanter[BelgeId],$B141)=0,"YETİM","")))</f>
        <v/>
      </c>
      <c r="O141" s="34">
        <f>IF(OR($A141="",$E141=""),"",IF(OR($E141&amp;"|"&amp;$F141="",COUNTIF(ListeIzinliGecis,$E141&amp;"|"&amp;$F141)&gt;0),"","GEÇERSİZ GEÇİŞ"))</f>
        <v/>
      </c>
      <c r="P141" s="34">
        <f>IF($A141="","",IF(OR($I141="",$J141=""),"",IF(ABS($J141-$I141)&gt;zincirTolerans,"ZİNCİR KIRIK","OK")))</f>
        <v/>
      </c>
      <c r="Q141" s="34">
        <f>IF($A141="","",1)</f>
        <v/>
      </c>
    </row>
    <row r="142">
      <c r="A142" s="29" t="n"/>
      <c r="B142" s="29" t="n"/>
      <c r="C142" s="47" t="n"/>
      <c r="D142" s="47" t="n"/>
      <c r="E142" s="29" t="n"/>
      <c r="F142" s="29" t="n"/>
      <c r="G142" s="29" t="n"/>
      <c r="H142" s="29" t="n"/>
      <c r="I142" s="30" t="n"/>
      <c r="J142" s="30" t="n"/>
      <c r="K142" s="31" t="n"/>
      <c r="L142" s="34">
        <f>IF($A142="","",IF($C142="","",raporTarihi-$C142))</f>
        <v/>
      </c>
      <c r="M142" s="34">
        <f>IF($A142="","",IF($L142="","",IF($L142&lt;=7,"0-7",IF($L142&lt;=30,"8-30",IF($L142&lt;=60,"31-60","60+")))))</f>
        <v/>
      </c>
      <c r="N142" s="34">
        <f>IF($A142="","",IF($B142="","YETİM",IF(COUNTIF(tblEnvanter[BelgeId],$B142)=0,"YETİM","")))</f>
        <v/>
      </c>
      <c r="O142" s="34">
        <f>IF(OR($A142="",$E142=""),"",IF(OR($E142&amp;"|"&amp;$F142="",COUNTIF(ListeIzinliGecis,$E142&amp;"|"&amp;$F142)&gt;0),"","GEÇERSİZ GEÇİŞ"))</f>
        <v/>
      </c>
      <c r="P142" s="34">
        <f>IF($A142="","",IF(OR($I142="",$J142=""),"",IF(ABS($J142-$I142)&gt;zincirTolerans,"ZİNCİR KIRIK","OK")))</f>
        <v/>
      </c>
      <c r="Q142" s="34">
        <f>IF($A142="","",1)</f>
        <v/>
      </c>
    </row>
    <row r="143">
      <c r="A143" s="29" t="n"/>
      <c r="B143" s="29" t="n"/>
      <c r="C143" s="47" t="n"/>
      <c r="D143" s="47" t="n"/>
      <c r="E143" s="29" t="n"/>
      <c r="F143" s="29" t="n"/>
      <c r="G143" s="29" t="n"/>
      <c r="H143" s="29" t="n"/>
      <c r="I143" s="30" t="n"/>
      <c r="J143" s="30" t="n"/>
      <c r="K143" s="31" t="n"/>
      <c r="L143" s="34">
        <f>IF($A143="","",IF($C143="","",raporTarihi-$C143))</f>
        <v/>
      </c>
      <c r="M143" s="34">
        <f>IF($A143="","",IF($L143="","",IF($L143&lt;=7,"0-7",IF($L143&lt;=30,"8-30",IF($L143&lt;=60,"31-60","60+")))))</f>
        <v/>
      </c>
      <c r="N143" s="34">
        <f>IF($A143="","",IF($B143="","YETİM",IF(COUNTIF(tblEnvanter[BelgeId],$B143)=0,"YETİM","")))</f>
        <v/>
      </c>
      <c r="O143" s="34">
        <f>IF(OR($A143="",$E143=""),"",IF(OR($E143&amp;"|"&amp;$F143="",COUNTIF(ListeIzinliGecis,$E143&amp;"|"&amp;$F143)&gt;0),"","GEÇERSİZ GEÇİŞ"))</f>
        <v/>
      </c>
      <c r="P143" s="34">
        <f>IF($A143="","",IF(OR($I143="",$J143=""),"",IF(ABS($J143-$I143)&gt;zincirTolerans,"ZİNCİR KIRIK","OK")))</f>
        <v/>
      </c>
      <c r="Q143" s="34">
        <f>IF($A143="","",1)</f>
        <v/>
      </c>
    </row>
    <row r="144">
      <c r="A144" s="29" t="n"/>
      <c r="B144" s="29" t="n"/>
      <c r="C144" s="47" t="n"/>
      <c r="D144" s="47" t="n"/>
      <c r="E144" s="29" t="n"/>
      <c r="F144" s="29" t="n"/>
      <c r="G144" s="29" t="n"/>
      <c r="H144" s="29" t="n"/>
      <c r="I144" s="30" t="n"/>
      <c r="J144" s="30" t="n"/>
      <c r="K144" s="31" t="n"/>
      <c r="L144" s="34">
        <f>IF($A144="","",IF($C144="","",raporTarihi-$C144))</f>
        <v/>
      </c>
      <c r="M144" s="34">
        <f>IF($A144="","",IF($L144="","",IF($L144&lt;=7,"0-7",IF($L144&lt;=30,"8-30",IF($L144&lt;=60,"31-60","60+")))))</f>
        <v/>
      </c>
      <c r="N144" s="34">
        <f>IF($A144="","",IF($B144="","YETİM",IF(COUNTIF(tblEnvanter[BelgeId],$B144)=0,"YETİM","")))</f>
        <v/>
      </c>
      <c r="O144" s="34">
        <f>IF(OR($A144="",$E144=""),"",IF(OR($E144&amp;"|"&amp;$F144="",COUNTIF(ListeIzinliGecis,$E144&amp;"|"&amp;$F144)&gt;0),"","GEÇERSİZ GEÇİŞ"))</f>
        <v/>
      </c>
      <c r="P144" s="34">
        <f>IF($A144="","",IF(OR($I144="",$J144=""),"",IF(ABS($J144-$I144)&gt;zincirTolerans,"ZİNCİR KIRIK","OK")))</f>
        <v/>
      </c>
      <c r="Q144" s="34">
        <f>IF($A144="","",1)</f>
        <v/>
      </c>
    </row>
    <row r="145">
      <c r="A145" s="29" t="n"/>
      <c r="B145" s="29" t="n"/>
      <c r="C145" s="47" t="n"/>
      <c r="D145" s="47" t="n"/>
      <c r="E145" s="29" t="n"/>
      <c r="F145" s="29" t="n"/>
      <c r="G145" s="29" t="n"/>
      <c r="H145" s="29" t="n"/>
      <c r="I145" s="30" t="n"/>
      <c r="J145" s="30" t="n"/>
      <c r="K145" s="31" t="n"/>
      <c r="L145" s="34">
        <f>IF($A145="","",IF($C145="","",raporTarihi-$C145))</f>
        <v/>
      </c>
      <c r="M145" s="34">
        <f>IF($A145="","",IF($L145="","",IF($L145&lt;=7,"0-7",IF($L145&lt;=30,"8-30",IF($L145&lt;=60,"31-60","60+")))))</f>
        <v/>
      </c>
      <c r="N145" s="34">
        <f>IF($A145="","",IF($B145="","YETİM",IF(COUNTIF(tblEnvanter[BelgeId],$B145)=0,"YETİM","")))</f>
        <v/>
      </c>
      <c r="O145" s="34">
        <f>IF(OR($A145="",$E145=""),"",IF(OR($E145&amp;"|"&amp;$F145="",COUNTIF(ListeIzinliGecis,$E145&amp;"|"&amp;$F145)&gt;0),"","GEÇERSİZ GEÇİŞ"))</f>
        <v/>
      </c>
      <c r="P145" s="34">
        <f>IF($A145="","",IF(OR($I145="",$J145=""),"",IF(ABS($J145-$I145)&gt;zincirTolerans,"ZİNCİR KIRIK","OK")))</f>
        <v/>
      </c>
      <c r="Q145" s="34">
        <f>IF($A145="","",1)</f>
        <v/>
      </c>
    </row>
    <row r="146">
      <c r="A146" s="29" t="n"/>
      <c r="B146" s="29" t="n"/>
      <c r="C146" s="47" t="n"/>
      <c r="D146" s="47" t="n"/>
      <c r="E146" s="29" t="n"/>
      <c r="F146" s="29" t="n"/>
      <c r="G146" s="29" t="n"/>
      <c r="H146" s="29" t="n"/>
      <c r="I146" s="30" t="n"/>
      <c r="J146" s="30" t="n"/>
      <c r="K146" s="31" t="n"/>
      <c r="L146" s="34">
        <f>IF($A146="","",IF($C146="","",raporTarihi-$C146))</f>
        <v/>
      </c>
      <c r="M146" s="34">
        <f>IF($A146="","",IF($L146="","",IF($L146&lt;=7,"0-7",IF($L146&lt;=30,"8-30",IF($L146&lt;=60,"31-60","60+")))))</f>
        <v/>
      </c>
      <c r="N146" s="34">
        <f>IF($A146="","",IF($B146="","YETİM",IF(COUNTIF(tblEnvanter[BelgeId],$B146)=0,"YETİM","")))</f>
        <v/>
      </c>
      <c r="O146" s="34">
        <f>IF(OR($A146="",$E146=""),"",IF(OR($E146&amp;"|"&amp;$F146="",COUNTIF(ListeIzinliGecis,$E146&amp;"|"&amp;$F146)&gt;0),"","GEÇERSİZ GEÇİŞ"))</f>
        <v/>
      </c>
      <c r="P146" s="34">
        <f>IF($A146="","",IF(OR($I146="",$J146=""),"",IF(ABS($J146-$I146)&gt;zincirTolerans,"ZİNCİR KIRIK","OK")))</f>
        <v/>
      </c>
      <c r="Q146" s="34">
        <f>IF($A146="","",1)</f>
        <v/>
      </c>
    </row>
    <row r="147">
      <c r="A147" s="29" t="n"/>
      <c r="B147" s="29" t="n"/>
      <c r="C147" s="47" t="n"/>
      <c r="D147" s="47" t="n"/>
      <c r="E147" s="29" t="n"/>
      <c r="F147" s="29" t="n"/>
      <c r="G147" s="29" t="n"/>
      <c r="H147" s="29" t="n"/>
      <c r="I147" s="30" t="n"/>
      <c r="J147" s="30" t="n"/>
      <c r="K147" s="31" t="n"/>
      <c r="L147" s="34">
        <f>IF($A147="","",IF($C147="","",raporTarihi-$C147))</f>
        <v/>
      </c>
      <c r="M147" s="34">
        <f>IF($A147="","",IF($L147="","",IF($L147&lt;=7,"0-7",IF($L147&lt;=30,"8-30",IF($L147&lt;=60,"31-60","60+")))))</f>
        <v/>
      </c>
      <c r="N147" s="34">
        <f>IF($A147="","",IF($B147="","YETİM",IF(COUNTIF(tblEnvanter[BelgeId],$B147)=0,"YETİM","")))</f>
        <v/>
      </c>
      <c r="O147" s="34">
        <f>IF(OR($A147="",$E147=""),"",IF(OR($E147&amp;"|"&amp;$F147="",COUNTIF(ListeIzinliGecis,$E147&amp;"|"&amp;$F147)&gt;0),"","GEÇERSİZ GEÇİŞ"))</f>
        <v/>
      </c>
      <c r="P147" s="34">
        <f>IF($A147="","",IF(OR($I147="",$J147=""),"",IF(ABS($J147-$I147)&gt;zincirTolerans,"ZİNCİR KIRIK","OK")))</f>
        <v/>
      </c>
      <c r="Q147" s="34">
        <f>IF($A147="","",1)</f>
        <v/>
      </c>
    </row>
    <row r="148">
      <c r="A148" s="29" t="n"/>
      <c r="B148" s="29" t="n"/>
      <c r="C148" s="47" t="n"/>
      <c r="D148" s="47" t="n"/>
      <c r="E148" s="29" t="n"/>
      <c r="F148" s="29" t="n"/>
      <c r="G148" s="29" t="n"/>
      <c r="H148" s="29" t="n"/>
      <c r="I148" s="30" t="n"/>
      <c r="J148" s="30" t="n"/>
      <c r="K148" s="31" t="n"/>
      <c r="L148" s="34">
        <f>IF($A148="","",IF($C148="","",raporTarihi-$C148))</f>
        <v/>
      </c>
      <c r="M148" s="34">
        <f>IF($A148="","",IF($L148="","",IF($L148&lt;=7,"0-7",IF($L148&lt;=30,"8-30",IF($L148&lt;=60,"31-60","60+")))))</f>
        <v/>
      </c>
      <c r="N148" s="34">
        <f>IF($A148="","",IF($B148="","YETİM",IF(COUNTIF(tblEnvanter[BelgeId],$B148)=0,"YETİM","")))</f>
        <v/>
      </c>
      <c r="O148" s="34">
        <f>IF(OR($A148="",$E148=""),"",IF(OR($E148&amp;"|"&amp;$F148="",COUNTIF(ListeIzinliGecis,$E148&amp;"|"&amp;$F148)&gt;0),"","GEÇERSİZ GEÇİŞ"))</f>
        <v/>
      </c>
      <c r="P148" s="34">
        <f>IF($A148="","",IF(OR($I148="",$J148=""),"",IF(ABS($J148-$I148)&gt;zincirTolerans,"ZİNCİR KIRIK","OK")))</f>
        <v/>
      </c>
      <c r="Q148" s="34">
        <f>IF($A148="","",1)</f>
        <v/>
      </c>
    </row>
    <row r="149">
      <c r="A149" s="29" t="n"/>
      <c r="B149" s="29" t="n"/>
      <c r="C149" s="47" t="n"/>
      <c r="D149" s="47" t="n"/>
      <c r="E149" s="29" t="n"/>
      <c r="F149" s="29" t="n"/>
      <c r="G149" s="29" t="n"/>
      <c r="H149" s="29" t="n"/>
      <c r="I149" s="30" t="n"/>
      <c r="J149" s="30" t="n"/>
      <c r="K149" s="31" t="n"/>
      <c r="L149" s="34">
        <f>IF($A149="","",IF($C149="","",raporTarihi-$C149))</f>
        <v/>
      </c>
      <c r="M149" s="34">
        <f>IF($A149="","",IF($L149="","",IF($L149&lt;=7,"0-7",IF($L149&lt;=30,"8-30",IF($L149&lt;=60,"31-60","60+")))))</f>
        <v/>
      </c>
      <c r="N149" s="34">
        <f>IF($A149="","",IF($B149="","YETİM",IF(COUNTIF(tblEnvanter[BelgeId],$B149)=0,"YETİM","")))</f>
        <v/>
      </c>
      <c r="O149" s="34">
        <f>IF(OR($A149="",$E149=""),"",IF(OR($E149&amp;"|"&amp;$F149="",COUNTIF(ListeIzinliGecis,$E149&amp;"|"&amp;$F149)&gt;0),"","GEÇERSİZ GEÇİŞ"))</f>
        <v/>
      </c>
      <c r="P149" s="34">
        <f>IF($A149="","",IF(OR($I149="",$J149=""),"",IF(ABS($J149-$I149)&gt;zincirTolerans,"ZİNCİR KIRIK","OK")))</f>
        <v/>
      </c>
      <c r="Q149" s="34">
        <f>IF($A149="","",1)</f>
        <v/>
      </c>
    </row>
    <row r="150">
      <c r="A150" s="29" t="n"/>
      <c r="B150" s="29" t="n"/>
      <c r="C150" s="47" t="n"/>
      <c r="D150" s="47" t="n"/>
      <c r="E150" s="29" t="n"/>
      <c r="F150" s="29" t="n"/>
      <c r="G150" s="29" t="n"/>
      <c r="H150" s="29" t="n"/>
      <c r="I150" s="30" t="n"/>
      <c r="J150" s="30" t="n"/>
      <c r="K150" s="31" t="n"/>
      <c r="L150" s="34">
        <f>IF($A150="","",IF($C150="","",raporTarihi-$C150))</f>
        <v/>
      </c>
      <c r="M150" s="34">
        <f>IF($A150="","",IF($L150="","",IF($L150&lt;=7,"0-7",IF($L150&lt;=30,"8-30",IF($L150&lt;=60,"31-60","60+")))))</f>
        <v/>
      </c>
      <c r="N150" s="34">
        <f>IF($A150="","",IF($B150="","YETİM",IF(COUNTIF(tblEnvanter[BelgeId],$B150)=0,"YETİM","")))</f>
        <v/>
      </c>
      <c r="O150" s="34">
        <f>IF(OR($A150="",$E150=""),"",IF(OR($E150&amp;"|"&amp;$F150="",COUNTIF(ListeIzinliGecis,$E150&amp;"|"&amp;$F150)&gt;0),"","GEÇERSİZ GEÇİŞ"))</f>
        <v/>
      </c>
      <c r="P150" s="34">
        <f>IF($A150="","",IF(OR($I150="",$J150=""),"",IF(ABS($J150-$I150)&gt;zincirTolerans,"ZİNCİR KIRIK","OK")))</f>
        <v/>
      </c>
      <c r="Q150" s="34">
        <f>IF($A150="","",1)</f>
        <v/>
      </c>
    </row>
    <row r="151">
      <c r="A151" s="29" t="n"/>
      <c r="B151" s="29" t="n"/>
      <c r="C151" s="47" t="n"/>
      <c r="D151" s="47" t="n"/>
      <c r="E151" s="29" t="n"/>
      <c r="F151" s="29" t="n"/>
      <c r="G151" s="29" t="n"/>
      <c r="H151" s="29" t="n"/>
      <c r="I151" s="30" t="n"/>
      <c r="J151" s="30" t="n"/>
      <c r="K151" s="31" t="n"/>
      <c r="L151" s="34">
        <f>IF($A151="","",IF($C151="","",raporTarihi-$C151))</f>
        <v/>
      </c>
      <c r="M151" s="34">
        <f>IF($A151="","",IF($L151="","",IF($L151&lt;=7,"0-7",IF($L151&lt;=30,"8-30",IF($L151&lt;=60,"31-60","60+")))))</f>
        <v/>
      </c>
      <c r="N151" s="34">
        <f>IF($A151="","",IF($B151="","YETİM",IF(COUNTIF(tblEnvanter[BelgeId],$B151)=0,"YETİM","")))</f>
        <v/>
      </c>
      <c r="O151" s="34">
        <f>IF(OR($A151="",$E151=""),"",IF(OR($E151&amp;"|"&amp;$F151="",COUNTIF(ListeIzinliGecis,$E151&amp;"|"&amp;$F151)&gt;0),"","GEÇERSİZ GEÇİŞ"))</f>
        <v/>
      </c>
      <c r="P151" s="34">
        <f>IF($A151="","",IF(OR($I151="",$J151=""),"",IF(ABS($J151-$I151)&gt;zincirTolerans,"ZİNCİR KIRIK","OK")))</f>
        <v/>
      </c>
      <c r="Q151" s="34">
        <f>IF($A151="","",1)</f>
        <v/>
      </c>
    </row>
    <row r="152">
      <c r="A152" s="29" t="n"/>
      <c r="B152" s="29" t="n"/>
      <c r="C152" s="47" t="n"/>
      <c r="D152" s="47" t="n"/>
      <c r="E152" s="29" t="n"/>
      <c r="F152" s="29" t="n"/>
      <c r="G152" s="29" t="n"/>
      <c r="H152" s="29" t="n"/>
      <c r="I152" s="30" t="n"/>
      <c r="J152" s="30" t="n"/>
      <c r="K152" s="31" t="n"/>
      <c r="L152" s="34">
        <f>IF($A152="","",IF($C152="","",raporTarihi-$C152))</f>
        <v/>
      </c>
      <c r="M152" s="34">
        <f>IF($A152="","",IF($L152="","",IF($L152&lt;=7,"0-7",IF($L152&lt;=30,"8-30",IF($L152&lt;=60,"31-60","60+")))))</f>
        <v/>
      </c>
      <c r="N152" s="34">
        <f>IF($A152="","",IF($B152="","YETİM",IF(COUNTIF(tblEnvanter[BelgeId],$B152)=0,"YETİM","")))</f>
        <v/>
      </c>
      <c r="O152" s="34">
        <f>IF(OR($A152="",$E152=""),"",IF(OR($E152&amp;"|"&amp;$F152="",COUNTIF(ListeIzinliGecis,$E152&amp;"|"&amp;$F152)&gt;0),"","GEÇERSİZ GEÇİŞ"))</f>
        <v/>
      </c>
      <c r="P152" s="34">
        <f>IF($A152="","",IF(OR($I152="",$J152=""),"",IF(ABS($J152-$I152)&gt;zincirTolerans,"ZİNCİR KIRIK","OK")))</f>
        <v/>
      </c>
      <c r="Q152" s="34">
        <f>IF($A152="","",1)</f>
        <v/>
      </c>
    </row>
    <row r="153">
      <c r="A153" s="29" t="n"/>
      <c r="B153" s="29" t="n"/>
      <c r="C153" s="47" t="n"/>
      <c r="D153" s="47" t="n"/>
      <c r="E153" s="29" t="n"/>
      <c r="F153" s="29" t="n"/>
      <c r="G153" s="29" t="n"/>
      <c r="H153" s="29" t="n"/>
      <c r="I153" s="30" t="n"/>
      <c r="J153" s="30" t="n"/>
      <c r="K153" s="31" t="n"/>
      <c r="L153" s="34">
        <f>IF($A153="","",IF($C153="","",raporTarihi-$C153))</f>
        <v/>
      </c>
      <c r="M153" s="34">
        <f>IF($A153="","",IF($L153="","",IF($L153&lt;=7,"0-7",IF($L153&lt;=30,"8-30",IF($L153&lt;=60,"31-60","60+")))))</f>
        <v/>
      </c>
      <c r="N153" s="34">
        <f>IF($A153="","",IF($B153="","YETİM",IF(COUNTIF(tblEnvanter[BelgeId],$B153)=0,"YETİM","")))</f>
        <v/>
      </c>
      <c r="O153" s="34">
        <f>IF(OR($A153="",$E153=""),"",IF(OR($E153&amp;"|"&amp;$F153="",COUNTIF(ListeIzinliGecis,$E153&amp;"|"&amp;$F153)&gt;0),"","GEÇERSİZ GEÇİŞ"))</f>
        <v/>
      </c>
      <c r="P153" s="34">
        <f>IF($A153="","",IF(OR($I153="",$J153=""),"",IF(ABS($J153-$I153)&gt;zincirTolerans,"ZİNCİR KIRIK","OK")))</f>
        <v/>
      </c>
      <c r="Q153" s="34">
        <f>IF($A153="","",1)</f>
        <v/>
      </c>
    </row>
    <row r="154">
      <c r="A154" s="29" t="n"/>
      <c r="B154" s="29" t="n"/>
      <c r="C154" s="47" t="n"/>
      <c r="D154" s="47" t="n"/>
      <c r="E154" s="29" t="n"/>
      <c r="F154" s="29" t="n"/>
      <c r="G154" s="29" t="n"/>
      <c r="H154" s="29" t="n"/>
      <c r="I154" s="30" t="n"/>
      <c r="J154" s="30" t="n"/>
      <c r="K154" s="31" t="n"/>
      <c r="L154" s="34">
        <f>IF($A154="","",IF($C154="","",raporTarihi-$C154))</f>
        <v/>
      </c>
      <c r="M154" s="34">
        <f>IF($A154="","",IF($L154="","",IF($L154&lt;=7,"0-7",IF($L154&lt;=30,"8-30",IF($L154&lt;=60,"31-60","60+")))))</f>
        <v/>
      </c>
      <c r="N154" s="34">
        <f>IF($A154="","",IF($B154="","YETİM",IF(COUNTIF(tblEnvanter[BelgeId],$B154)=0,"YETİM","")))</f>
        <v/>
      </c>
      <c r="O154" s="34">
        <f>IF(OR($A154="",$E154=""),"",IF(OR($E154&amp;"|"&amp;$F154="",COUNTIF(ListeIzinliGecis,$E154&amp;"|"&amp;$F154)&gt;0),"","GEÇERSİZ GEÇİŞ"))</f>
        <v/>
      </c>
      <c r="P154" s="34">
        <f>IF($A154="","",IF(OR($I154="",$J154=""),"",IF(ABS($J154-$I154)&gt;zincirTolerans,"ZİNCİR KIRIK","OK")))</f>
        <v/>
      </c>
      <c r="Q154" s="34">
        <f>IF($A154="","",1)</f>
        <v/>
      </c>
    </row>
    <row r="155">
      <c r="A155" s="29" t="n"/>
      <c r="B155" s="29" t="n"/>
      <c r="C155" s="47" t="n"/>
      <c r="D155" s="47" t="n"/>
      <c r="E155" s="29" t="n"/>
      <c r="F155" s="29" t="n"/>
      <c r="G155" s="29" t="n"/>
      <c r="H155" s="29" t="n"/>
      <c r="I155" s="30" t="n"/>
      <c r="J155" s="30" t="n"/>
      <c r="K155" s="31" t="n"/>
      <c r="L155" s="34">
        <f>IF($A155="","",IF($C155="","",raporTarihi-$C155))</f>
        <v/>
      </c>
      <c r="M155" s="34">
        <f>IF($A155="","",IF($L155="","",IF($L155&lt;=7,"0-7",IF($L155&lt;=30,"8-30",IF($L155&lt;=60,"31-60","60+")))))</f>
        <v/>
      </c>
      <c r="N155" s="34">
        <f>IF($A155="","",IF($B155="","YETİM",IF(COUNTIF(tblEnvanter[BelgeId],$B155)=0,"YETİM","")))</f>
        <v/>
      </c>
      <c r="O155" s="34">
        <f>IF(OR($A155="",$E155=""),"",IF(OR($E155&amp;"|"&amp;$F155="",COUNTIF(ListeIzinliGecis,$E155&amp;"|"&amp;$F155)&gt;0),"","GEÇERSİZ GEÇİŞ"))</f>
        <v/>
      </c>
      <c r="P155" s="34">
        <f>IF($A155="","",IF(OR($I155="",$J155=""),"",IF(ABS($J155-$I155)&gt;zincirTolerans,"ZİNCİR KIRIK","OK")))</f>
        <v/>
      </c>
      <c r="Q155" s="34">
        <f>IF($A155="","",1)</f>
        <v/>
      </c>
    </row>
    <row r="156">
      <c r="A156" s="29" t="n"/>
      <c r="B156" s="29" t="n"/>
      <c r="C156" s="47" t="n"/>
      <c r="D156" s="47" t="n"/>
      <c r="E156" s="29" t="n"/>
      <c r="F156" s="29" t="n"/>
      <c r="G156" s="29" t="n"/>
      <c r="H156" s="29" t="n"/>
      <c r="I156" s="30" t="n"/>
      <c r="J156" s="30" t="n"/>
      <c r="K156" s="31" t="n"/>
      <c r="L156" s="34">
        <f>IF($A156="","",IF($C156="","",raporTarihi-$C156))</f>
        <v/>
      </c>
      <c r="M156" s="34">
        <f>IF($A156="","",IF($L156="","",IF($L156&lt;=7,"0-7",IF($L156&lt;=30,"8-30",IF($L156&lt;=60,"31-60","60+")))))</f>
        <v/>
      </c>
      <c r="N156" s="34">
        <f>IF($A156="","",IF($B156="","YETİM",IF(COUNTIF(tblEnvanter[BelgeId],$B156)=0,"YETİM","")))</f>
        <v/>
      </c>
      <c r="O156" s="34">
        <f>IF(OR($A156="",$E156=""),"",IF(OR($E156&amp;"|"&amp;$F156="",COUNTIF(ListeIzinliGecis,$E156&amp;"|"&amp;$F156)&gt;0),"","GEÇERSİZ GEÇİŞ"))</f>
        <v/>
      </c>
      <c r="P156" s="34">
        <f>IF($A156="","",IF(OR($I156="",$J156=""),"",IF(ABS($J156-$I156)&gt;zincirTolerans,"ZİNCİR KIRIK","OK")))</f>
        <v/>
      </c>
      <c r="Q156" s="34">
        <f>IF($A156="","",1)</f>
        <v/>
      </c>
    </row>
    <row r="157">
      <c r="A157" s="29" t="n"/>
      <c r="B157" s="29" t="n"/>
      <c r="C157" s="47" t="n"/>
      <c r="D157" s="47" t="n"/>
      <c r="E157" s="29" t="n"/>
      <c r="F157" s="29" t="n"/>
      <c r="G157" s="29" t="n"/>
      <c r="H157" s="29" t="n"/>
      <c r="I157" s="30" t="n"/>
      <c r="J157" s="30" t="n"/>
      <c r="K157" s="31" t="n"/>
      <c r="L157" s="34">
        <f>IF($A157="","",IF($C157="","",raporTarihi-$C157))</f>
        <v/>
      </c>
      <c r="M157" s="34">
        <f>IF($A157="","",IF($L157="","",IF($L157&lt;=7,"0-7",IF($L157&lt;=30,"8-30",IF($L157&lt;=60,"31-60","60+")))))</f>
        <v/>
      </c>
      <c r="N157" s="34">
        <f>IF($A157="","",IF($B157="","YETİM",IF(COUNTIF(tblEnvanter[BelgeId],$B157)=0,"YETİM","")))</f>
        <v/>
      </c>
      <c r="O157" s="34">
        <f>IF(OR($A157="",$E157=""),"",IF(OR($E157&amp;"|"&amp;$F157="",COUNTIF(ListeIzinliGecis,$E157&amp;"|"&amp;$F157)&gt;0),"","GEÇERSİZ GEÇİŞ"))</f>
        <v/>
      </c>
      <c r="P157" s="34">
        <f>IF($A157="","",IF(OR($I157="",$J157=""),"",IF(ABS($J157-$I157)&gt;zincirTolerans,"ZİNCİR KIRIK","OK")))</f>
        <v/>
      </c>
      <c r="Q157" s="34">
        <f>IF($A157="","",1)</f>
        <v/>
      </c>
    </row>
    <row r="158">
      <c r="A158" s="29" t="n"/>
      <c r="B158" s="29" t="n"/>
      <c r="C158" s="47" t="n"/>
      <c r="D158" s="47" t="n"/>
      <c r="E158" s="29" t="n"/>
      <c r="F158" s="29" t="n"/>
      <c r="G158" s="29" t="n"/>
      <c r="H158" s="29" t="n"/>
      <c r="I158" s="30" t="n"/>
      <c r="J158" s="30" t="n"/>
      <c r="K158" s="31" t="n"/>
      <c r="L158" s="34">
        <f>IF($A158="","",IF($C158="","",raporTarihi-$C158))</f>
        <v/>
      </c>
      <c r="M158" s="34">
        <f>IF($A158="","",IF($L158="","",IF($L158&lt;=7,"0-7",IF($L158&lt;=30,"8-30",IF($L158&lt;=60,"31-60","60+")))))</f>
        <v/>
      </c>
      <c r="N158" s="34">
        <f>IF($A158="","",IF($B158="","YETİM",IF(COUNTIF(tblEnvanter[BelgeId],$B158)=0,"YETİM","")))</f>
        <v/>
      </c>
      <c r="O158" s="34">
        <f>IF(OR($A158="",$E158=""),"",IF(OR($E158&amp;"|"&amp;$F158="",COUNTIF(ListeIzinliGecis,$E158&amp;"|"&amp;$F158)&gt;0),"","GEÇERSİZ GEÇİŞ"))</f>
        <v/>
      </c>
      <c r="P158" s="34">
        <f>IF($A158="","",IF(OR($I158="",$J158=""),"",IF(ABS($J158-$I158)&gt;zincirTolerans,"ZİNCİR KIRIK","OK")))</f>
        <v/>
      </c>
      <c r="Q158" s="34">
        <f>IF($A158="","",1)</f>
        <v/>
      </c>
    </row>
    <row r="159">
      <c r="A159" s="29" t="n"/>
      <c r="B159" s="29" t="n"/>
      <c r="C159" s="47" t="n"/>
      <c r="D159" s="47" t="n"/>
      <c r="E159" s="29" t="n"/>
      <c r="F159" s="29" t="n"/>
      <c r="G159" s="29" t="n"/>
      <c r="H159" s="29" t="n"/>
      <c r="I159" s="30" t="n"/>
      <c r="J159" s="30" t="n"/>
      <c r="K159" s="31" t="n"/>
      <c r="L159" s="34">
        <f>IF($A159="","",IF($C159="","",raporTarihi-$C159))</f>
        <v/>
      </c>
      <c r="M159" s="34">
        <f>IF($A159="","",IF($L159="","",IF($L159&lt;=7,"0-7",IF($L159&lt;=30,"8-30",IF($L159&lt;=60,"31-60","60+")))))</f>
        <v/>
      </c>
      <c r="N159" s="34">
        <f>IF($A159="","",IF($B159="","YETİM",IF(COUNTIF(tblEnvanter[BelgeId],$B159)=0,"YETİM","")))</f>
        <v/>
      </c>
      <c r="O159" s="34">
        <f>IF(OR($A159="",$E159=""),"",IF(OR($E159&amp;"|"&amp;$F159="",COUNTIF(ListeIzinliGecis,$E159&amp;"|"&amp;$F159)&gt;0),"","GEÇERSİZ GEÇİŞ"))</f>
        <v/>
      </c>
      <c r="P159" s="34">
        <f>IF($A159="","",IF(OR($I159="",$J159=""),"",IF(ABS($J159-$I159)&gt;zincirTolerans,"ZİNCİR KIRIK","OK")))</f>
        <v/>
      </c>
      <c r="Q159" s="34">
        <f>IF($A159="","",1)</f>
        <v/>
      </c>
    </row>
    <row r="160">
      <c r="A160" s="29" t="n"/>
      <c r="B160" s="29" t="n"/>
      <c r="C160" s="47" t="n"/>
      <c r="D160" s="47" t="n"/>
      <c r="E160" s="29" t="n"/>
      <c r="F160" s="29" t="n"/>
      <c r="G160" s="29" t="n"/>
      <c r="H160" s="29" t="n"/>
      <c r="I160" s="30" t="n"/>
      <c r="J160" s="30" t="n"/>
      <c r="K160" s="31" t="n"/>
      <c r="L160" s="34">
        <f>IF($A160="","",IF($C160="","",raporTarihi-$C160))</f>
        <v/>
      </c>
      <c r="M160" s="34">
        <f>IF($A160="","",IF($L160="","",IF($L160&lt;=7,"0-7",IF($L160&lt;=30,"8-30",IF($L160&lt;=60,"31-60","60+")))))</f>
        <v/>
      </c>
      <c r="N160" s="34">
        <f>IF($A160="","",IF($B160="","YETİM",IF(COUNTIF(tblEnvanter[BelgeId],$B160)=0,"YETİM","")))</f>
        <v/>
      </c>
      <c r="O160" s="34">
        <f>IF(OR($A160="",$E160=""),"",IF(OR($E160&amp;"|"&amp;$F160="",COUNTIF(ListeIzinliGecis,$E160&amp;"|"&amp;$F160)&gt;0),"","GEÇERSİZ GEÇİŞ"))</f>
        <v/>
      </c>
      <c r="P160" s="34">
        <f>IF($A160="","",IF(OR($I160="",$J160=""),"",IF(ABS($J160-$I160)&gt;zincirTolerans,"ZİNCİR KIRIK","OK")))</f>
        <v/>
      </c>
      <c r="Q160" s="34">
        <f>IF($A160="","",1)</f>
        <v/>
      </c>
    </row>
    <row r="161">
      <c r="A161" s="29" t="n"/>
      <c r="B161" s="29" t="n"/>
      <c r="C161" s="47" t="n"/>
      <c r="D161" s="47" t="n"/>
      <c r="E161" s="29" t="n"/>
      <c r="F161" s="29" t="n"/>
      <c r="G161" s="29" t="n"/>
      <c r="H161" s="29" t="n"/>
      <c r="I161" s="30" t="n"/>
      <c r="J161" s="30" t="n"/>
      <c r="K161" s="31" t="n"/>
      <c r="L161" s="34">
        <f>IF($A161="","",IF($C161="","",raporTarihi-$C161))</f>
        <v/>
      </c>
      <c r="M161" s="34">
        <f>IF($A161="","",IF($L161="","",IF($L161&lt;=7,"0-7",IF($L161&lt;=30,"8-30",IF($L161&lt;=60,"31-60","60+")))))</f>
        <v/>
      </c>
      <c r="N161" s="34">
        <f>IF($A161="","",IF($B161="","YETİM",IF(COUNTIF(tblEnvanter[BelgeId],$B161)=0,"YETİM","")))</f>
        <v/>
      </c>
      <c r="O161" s="34">
        <f>IF(OR($A161="",$E161=""),"",IF(OR($E161&amp;"|"&amp;$F161="",COUNTIF(ListeIzinliGecis,$E161&amp;"|"&amp;$F161)&gt;0),"","GEÇERSİZ GEÇİŞ"))</f>
        <v/>
      </c>
      <c r="P161" s="34">
        <f>IF($A161="","",IF(OR($I161="",$J161=""),"",IF(ABS($J161-$I161)&gt;zincirTolerans,"ZİNCİR KIRIK","OK")))</f>
        <v/>
      </c>
      <c r="Q161" s="34">
        <f>IF($A161="","",1)</f>
        <v/>
      </c>
    </row>
    <row r="162">
      <c r="A162" s="29" t="n"/>
      <c r="B162" s="29" t="n"/>
      <c r="C162" s="47" t="n"/>
      <c r="D162" s="47" t="n"/>
      <c r="E162" s="29" t="n"/>
      <c r="F162" s="29" t="n"/>
      <c r="G162" s="29" t="n"/>
      <c r="H162" s="29" t="n"/>
      <c r="I162" s="30" t="n"/>
      <c r="J162" s="30" t="n"/>
      <c r="K162" s="31" t="n"/>
      <c r="L162" s="34">
        <f>IF($A162="","",IF($C162="","",raporTarihi-$C162))</f>
        <v/>
      </c>
      <c r="M162" s="34">
        <f>IF($A162="","",IF($L162="","",IF($L162&lt;=7,"0-7",IF($L162&lt;=30,"8-30",IF($L162&lt;=60,"31-60","60+")))))</f>
        <v/>
      </c>
      <c r="N162" s="34">
        <f>IF($A162="","",IF($B162="","YETİM",IF(COUNTIF(tblEnvanter[BelgeId],$B162)=0,"YETİM","")))</f>
        <v/>
      </c>
      <c r="O162" s="34">
        <f>IF(OR($A162="",$E162=""),"",IF(OR($E162&amp;"|"&amp;$F162="",COUNTIF(ListeIzinliGecis,$E162&amp;"|"&amp;$F162)&gt;0),"","GEÇERSİZ GEÇİŞ"))</f>
        <v/>
      </c>
      <c r="P162" s="34">
        <f>IF($A162="","",IF(OR($I162="",$J162=""),"",IF(ABS($J162-$I162)&gt;zincirTolerans,"ZİNCİR KIRIK","OK")))</f>
        <v/>
      </c>
      <c r="Q162" s="34">
        <f>IF($A162="","",1)</f>
        <v/>
      </c>
    </row>
    <row r="163">
      <c r="A163" s="29" t="n"/>
      <c r="B163" s="29" t="n"/>
      <c r="C163" s="47" t="n"/>
      <c r="D163" s="47" t="n"/>
      <c r="E163" s="29" t="n"/>
      <c r="F163" s="29" t="n"/>
      <c r="G163" s="29" t="n"/>
      <c r="H163" s="29" t="n"/>
      <c r="I163" s="30" t="n"/>
      <c r="J163" s="30" t="n"/>
      <c r="K163" s="31" t="n"/>
      <c r="L163" s="34">
        <f>IF($A163="","",IF($C163="","",raporTarihi-$C163))</f>
        <v/>
      </c>
      <c r="M163" s="34">
        <f>IF($A163="","",IF($L163="","",IF($L163&lt;=7,"0-7",IF($L163&lt;=30,"8-30",IF($L163&lt;=60,"31-60","60+")))))</f>
        <v/>
      </c>
      <c r="N163" s="34">
        <f>IF($A163="","",IF($B163="","YETİM",IF(COUNTIF(tblEnvanter[BelgeId],$B163)=0,"YETİM","")))</f>
        <v/>
      </c>
      <c r="O163" s="34">
        <f>IF(OR($A163="",$E163=""),"",IF(OR($E163&amp;"|"&amp;$F163="",COUNTIF(ListeIzinliGecis,$E163&amp;"|"&amp;$F163)&gt;0),"","GEÇERSİZ GEÇİŞ"))</f>
        <v/>
      </c>
      <c r="P163" s="34">
        <f>IF($A163="","",IF(OR($I163="",$J163=""),"",IF(ABS($J163-$I163)&gt;zincirTolerans,"ZİNCİR KIRIK","OK")))</f>
        <v/>
      </c>
      <c r="Q163" s="34">
        <f>IF($A163="","",1)</f>
        <v/>
      </c>
    </row>
    <row r="164">
      <c r="A164" s="29" t="n"/>
      <c r="B164" s="29" t="n"/>
      <c r="C164" s="47" t="n"/>
      <c r="D164" s="47" t="n"/>
      <c r="E164" s="29" t="n"/>
      <c r="F164" s="29" t="n"/>
      <c r="G164" s="29" t="n"/>
      <c r="H164" s="29" t="n"/>
      <c r="I164" s="30" t="n"/>
      <c r="J164" s="30" t="n"/>
      <c r="K164" s="31" t="n"/>
      <c r="L164" s="34">
        <f>IF($A164="","",IF($C164="","",raporTarihi-$C164))</f>
        <v/>
      </c>
      <c r="M164" s="34">
        <f>IF($A164="","",IF($L164="","",IF($L164&lt;=7,"0-7",IF($L164&lt;=30,"8-30",IF($L164&lt;=60,"31-60","60+")))))</f>
        <v/>
      </c>
      <c r="N164" s="34">
        <f>IF($A164="","",IF($B164="","YETİM",IF(COUNTIF(tblEnvanter[BelgeId],$B164)=0,"YETİM","")))</f>
        <v/>
      </c>
      <c r="O164" s="34">
        <f>IF(OR($A164="",$E164=""),"",IF(OR($E164&amp;"|"&amp;$F164="",COUNTIF(ListeIzinliGecis,$E164&amp;"|"&amp;$F164)&gt;0),"","GEÇERSİZ GEÇİŞ"))</f>
        <v/>
      </c>
      <c r="P164" s="34">
        <f>IF($A164="","",IF(OR($I164="",$J164=""),"",IF(ABS($J164-$I164)&gt;zincirTolerans,"ZİNCİR KIRIK","OK")))</f>
        <v/>
      </c>
      <c r="Q164" s="34">
        <f>IF($A164="","",1)</f>
        <v/>
      </c>
    </row>
    <row r="165">
      <c r="A165" s="29" t="n"/>
      <c r="B165" s="29" t="n"/>
      <c r="C165" s="47" t="n"/>
      <c r="D165" s="47" t="n"/>
      <c r="E165" s="29" t="n"/>
      <c r="F165" s="29" t="n"/>
      <c r="G165" s="29" t="n"/>
      <c r="H165" s="29" t="n"/>
      <c r="I165" s="30" t="n"/>
      <c r="J165" s="30" t="n"/>
      <c r="K165" s="31" t="n"/>
      <c r="L165" s="34">
        <f>IF($A165="","",IF($C165="","",raporTarihi-$C165))</f>
        <v/>
      </c>
      <c r="M165" s="34">
        <f>IF($A165="","",IF($L165="","",IF($L165&lt;=7,"0-7",IF($L165&lt;=30,"8-30",IF($L165&lt;=60,"31-60","60+")))))</f>
        <v/>
      </c>
      <c r="N165" s="34">
        <f>IF($A165="","",IF($B165="","YETİM",IF(COUNTIF(tblEnvanter[BelgeId],$B165)=0,"YETİM","")))</f>
        <v/>
      </c>
      <c r="O165" s="34">
        <f>IF(OR($A165="",$E165=""),"",IF(OR($E165&amp;"|"&amp;$F165="",COUNTIF(ListeIzinliGecis,$E165&amp;"|"&amp;$F165)&gt;0),"","GEÇERSİZ GEÇİŞ"))</f>
        <v/>
      </c>
      <c r="P165" s="34">
        <f>IF($A165="","",IF(OR($I165="",$J165=""),"",IF(ABS($J165-$I165)&gt;zincirTolerans,"ZİNCİR KIRIK","OK")))</f>
        <v/>
      </c>
      <c r="Q165" s="34">
        <f>IF($A165="","",1)</f>
        <v/>
      </c>
    </row>
    <row r="166">
      <c r="A166" s="29" t="n"/>
      <c r="B166" s="29" t="n"/>
      <c r="C166" s="47" t="n"/>
      <c r="D166" s="47" t="n"/>
      <c r="E166" s="29" t="n"/>
      <c r="F166" s="29" t="n"/>
      <c r="G166" s="29" t="n"/>
      <c r="H166" s="29" t="n"/>
      <c r="I166" s="30" t="n"/>
      <c r="J166" s="30" t="n"/>
      <c r="K166" s="31" t="n"/>
      <c r="L166" s="34">
        <f>IF($A166="","",IF($C166="","",raporTarihi-$C166))</f>
        <v/>
      </c>
      <c r="M166" s="34">
        <f>IF($A166="","",IF($L166="","",IF($L166&lt;=7,"0-7",IF($L166&lt;=30,"8-30",IF($L166&lt;=60,"31-60","60+")))))</f>
        <v/>
      </c>
      <c r="N166" s="34">
        <f>IF($A166="","",IF($B166="","YETİM",IF(COUNTIF(tblEnvanter[BelgeId],$B166)=0,"YETİM","")))</f>
        <v/>
      </c>
      <c r="O166" s="34">
        <f>IF(OR($A166="",$E166=""),"",IF(OR($E166&amp;"|"&amp;$F166="",COUNTIF(ListeIzinliGecis,$E166&amp;"|"&amp;$F166)&gt;0),"","GEÇERSİZ GEÇİŞ"))</f>
        <v/>
      </c>
      <c r="P166" s="34">
        <f>IF($A166="","",IF(OR($I166="",$J166=""),"",IF(ABS($J166-$I166)&gt;zincirTolerans,"ZİNCİR KIRIK","OK")))</f>
        <v/>
      </c>
      <c r="Q166" s="34">
        <f>IF($A166="","",1)</f>
        <v/>
      </c>
    </row>
    <row r="167">
      <c r="A167" s="29" t="n"/>
      <c r="B167" s="29" t="n"/>
      <c r="C167" s="47" t="n"/>
      <c r="D167" s="47" t="n"/>
      <c r="E167" s="29" t="n"/>
      <c r="F167" s="29" t="n"/>
      <c r="G167" s="29" t="n"/>
      <c r="H167" s="29" t="n"/>
      <c r="I167" s="30" t="n"/>
      <c r="J167" s="30" t="n"/>
      <c r="K167" s="31" t="n"/>
      <c r="L167" s="34">
        <f>IF($A167="","",IF($C167="","",raporTarihi-$C167))</f>
        <v/>
      </c>
      <c r="M167" s="34">
        <f>IF($A167="","",IF($L167="","",IF($L167&lt;=7,"0-7",IF($L167&lt;=30,"8-30",IF($L167&lt;=60,"31-60","60+")))))</f>
        <v/>
      </c>
      <c r="N167" s="34">
        <f>IF($A167="","",IF($B167="","YETİM",IF(COUNTIF(tblEnvanter[BelgeId],$B167)=0,"YETİM","")))</f>
        <v/>
      </c>
      <c r="O167" s="34">
        <f>IF(OR($A167="",$E167=""),"",IF(OR($E167&amp;"|"&amp;$F167="",COUNTIF(ListeIzinliGecis,$E167&amp;"|"&amp;$F167)&gt;0),"","GEÇERSİZ GEÇİŞ"))</f>
        <v/>
      </c>
      <c r="P167" s="34">
        <f>IF($A167="","",IF(OR($I167="",$J167=""),"",IF(ABS($J167-$I167)&gt;zincirTolerans,"ZİNCİR KIRIK","OK")))</f>
        <v/>
      </c>
      <c r="Q167" s="34">
        <f>IF($A167="","",1)</f>
        <v/>
      </c>
    </row>
    <row r="168">
      <c r="A168" s="29" t="n"/>
      <c r="B168" s="29" t="n"/>
      <c r="C168" s="47" t="n"/>
      <c r="D168" s="47" t="n"/>
      <c r="E168" s="29" t="n"/>
      <c r="F168" s="29" t="n"/>
      <c r="G168" s="29" t="n"/>
      <c r="H168" s="29" t="n"/>
      <c r="I168" s="30" t="n"/>
      <c r="J168" s="30" t="n"/>
      <c r="K168" s="31" t="n"/>
      <c r="L168" s="34">
        <f>IF($A168="","",IF($C168="","",raporTarihi-$C168))</f>
        <v/>
      </c>
      <c r="M168" s="34">
        <f>IF($A168="","",IF($L168="","",IF($L168&lt;=7,"0-7",IF($L168&lt;=30,"8-30",IF($L168&lt;=60,"31-60","60+")))))</f>
        <v/>
      </c>
      <c r="N168" s="34">
        <f>IF($A168="","",IF($B168="","YETİM",IF(COUNTIF(tblEnvanter[BelgeId],$B168)=0,"YETİM","")))</f>
        <v/>
      </c>
      <c r="O168" s="34">
        <f>IF(OR($A168="",$E168=""),"",IF(OR($E168&amp;"|"&amp;$F168="",COUNTIF(ListeIzinliGecis,$E168&amp;"|"&amp;$F168)&gt;0),"","GEÇERSİZ GEÇİŞ"))</f>
        <v/>
      </c>
      <c r="P168" s="34">
        <f>IF($A168="","",IF(OR($I168="",$J168=""),"",IF(ABS($J168-$I168)&gt;zincirTolerans,"ZİNCİR KIRIK","OK")))</f>
        <v/>
      </c>
      <c r="Q168" s="34">
        <f>IF($A168="","",1)</f>
        <v/>
      </c>
    </row>
    <row r="169">
      <c r="A169" s="29" t="n"/>
      <c r="B169" s="29" t="n"/>
      <c r="C169" s="47" t="n"/>
      <c r="D169" s="47" t="n"/>
      <c r="E169" s="29" t="n"/>
      <c r="F169" s="29" t="n"/>
      <c r="G169" s="29" t="n"/>
      <c r="H169" s="29" t="n"/>
      <c r="I169" s="30" t="n"/>
      <c r="J169" s="30" t="n"/>
      <c r="K169" s="31" t="n"/>
      <c r="L169" s="34">
        <f>IF($A169="","",IF($C169="","",raporTarihi-$C169))</f>
        <v/>
      </c>
      <c r="M169" s="34">
        <f>IF($A169="","",IF($L169="","",IF($L169&lt;=7,"0-7",IF($L169&lt;=30,"8-30",IF($L169&lt;=60,"31-60","60+")))))</f>
        <v/>
      </c>
      <c r="N169" s="34">
        <f>IF($A169="","",IF($B169="","YETİM",IF(COUNTIF(tblEnvanter[BelgeId],$B169)=0,"YETİM","")))</f>
        <v/>
      </c>
      <c r="O169" s="34">
        <f>IF(OR($A169="",$E169=""),"",IF(OR($E169&amp;"|"&amp;$F169="",COUNTIF(ListeIzinliGecis,$E169&amp;"|"&amp;$F169)&gt;0),"","GEÇERSİZ GEÇİŞ"))</f>
        <v/>
      </c>
      <c r="P169" s="34">
        <f>IF($A169="","",IF(OR($I169="",$J169=""),"",IF(ABS($J169-$I169)&gt;zincirTolerans,"ZİNCİR KIRIK","OK")))</f>
        <v/>
      </c>
      <c r="Q169" s="34">
        <f>IF($A169="","",1)</f>
        <v/>
      </c>
    </row>
    <row r="170">
      <c r="A170" s="29" t="n"/>
      <c r="B170" s="29" t="n"/>
      <c r="C170" s="47" t="n"/>
      <c r="D170" s="47" t="n"/>
      <c r="E170" s="29" t="n"/>
      <c r="F170" s="29" t="n"/>
      <c r="G170" s="29" t="n"/>
      <c r="H170" s="29" t="n"/>
      <c r="I170" s="30" t="n"/>
      <c r="J170" s="30" t="n"/>
      <c r="K170" s="31" t="n"/>
      <c r="L170" s="34">
        <f>IF($A170="","",IF($C170="","",raporTarihi-$C170))</f>
        <v/>
      </c>
      <c r="M170" s="34">
        <f>IF($A170="","",IF($L170="","",IF($L170&lt;=7,"0-7",IF($L170&lt;=30,"8-30",IF($L170&lt;=60,"31-60","60+")))))</f>
        <v/>
      </c>
      <c r="N170" s="34">
        <f>IF($A170="","",IF($B170="","YETİM",IF(COUNTIF(tblEnvanter[BelgeId],$B170)=0,"YETİM","")))</f>
        <v/>
      </c>
      <c r="O170" s="34">
        <f>IF(OR($A170="",$E170=""),"",IF(OR($E170&amp;"|"&amp;$F170="",COUNTIF(ListeIzinliGecis,$E170&amp;"|"&amp;$F170)&gt;0),"","GEÇERSİZ GEÇİŞ"))</f>
        <v/>
      </c>
      <c r="P170" s="34">
        <f>IF($A170="","",IF(OR($I170="",$J170=""),"",IF(ABS($J170-$I170)&gt;zincirTolerans,"ZİNCİR KIRIK","OK")))</f>
        <v/>
      </c>
      <c r="Q170" s="34">
        <f>IF($A170="","",1)</f>
        <v/>
      </c>
    </row>
    <row r="171">
      <c r="A171" s="29" t="n"/>
      <c r="B171" s="29" t="n"/>
      <c r="C171" s="47" t="n"/>
      <c r="D171" s="47" t="n"/>
      <c r="E171" s="29" t="n"/>
      <c r="F171" s="29" t="n"/>
      <c r="G171" s="29" t="n"/>
      <c r="H171" s="29" t="n"/>
      <c r="I171" s="30" t="n"/>
      <c r="J171" s="30" t="n"/>
      <c r="K171" s="31" t="n"/>
      <c r="L171" s="34">
        <f>IF($A171="","",IF($C171="","",raporTarihi-$C171))</f>
        <v/>
      </c>
      <c r="M171" s="34">
        <f>IF($A171="","",IF($L171="","",IF($L171&lt;=7,"0-7",IF($L171&lt;=30,"8-30",IF($L171&lt;=60,"31-60","60+")))))</f>
        <v/>
      </c>
      <c r="N171" s="34">
        <f>IF($A171="","",IF($B171="","YETİM",IF(COUNTIF(tblEnvanter[BelgeId],$B171)=0,"YETİM","")))</f>
        <v/>
      </c>
      <c r="O171" s="34">
        <f>IF(OR($A171="",$E171=""),"",IF(OR($E171&amp;"|"&amp;$F171="",COUNTIF(ListeIzinliGecis,$E171&amp;"|"&amp;$F171)&gt;0),"","GEÇERSİZ GEÇİŞ"))</f>
        <v/>
      </c>
      <c r="P171" s="34">
        <f>IF($A171="","",IF(OR($I171="",$J171=""),"",IF(ABS($J171-$I171)&gt;zincirTolerans,"ZİNCİR KIRIK","OK")))</f>
        <v/>
      </c>
      <c r="Q171" s="34">
        <f>IF($A171="","",1)</f>
        <v/>
      </c>
    </row>
    <row r="172">
      <c r="A172" s="29" t="n"/>
      <c r="B172" s="29" t="n"/>
      <c r="C172" s="47" t="n"/>
      <c r="D172" s="47" t="n"/>
      <c r="E172" s="29" t="n"/>
      <c r="F172" s="29" t="n"/>
      <c r="G172" s="29" t="n"/>
      <c r="H172" s="29" t="n"/>
      <c r="I172" s="30" t="n"/>
      <c r="J172" s="30" t="n"/>
      <c r="K172" s="31" t="n"/>
      <c r="L172" s="34">
        <f>IF($A172="","",IF($C172="","",raporTarihi-$C172))</f>
        <v/>
      </c>
      <c r="M172" s="34">
        <f>IF($A172="","",IF($L172="","",IF($L172&lt;=7,"0-7",IF($L172&lt;=30,"8-30",IF($L172&lt;=60,"31-60","60+")))))</f>
        <v/>
      </c>
      <c r="N172" s="34">
        <f>IF($A172="","",IF($B172="","YETİM",IF(COUNTIF(tblEnvanter[BelgeId],$B172)=0,"YETİM","")))</f>
        <v/>
      </c>
      <c r="O172" s="34">
        <f>IF(OR($A172="",$E172=""),"",IF(OR($E172&amp;"|"&amp;$F172="",COUNTIF(ListeIzinliGecis,$E172&amp;"|"&amp;$F172)&gt;0),"","GEÇERSİZ GEÇİŞ"))</f>
        <v/>
      </c>
      <c r="P172" s="34">
        <f>IF($A172="","",IF(OR($I172="",$J172=""),"",IF(ABS($J172-$I172)&gt;zincirTolerans,"ZİNCİR KIRIK","OK")))</f>
        <v/>
      </c>
      <c r="Q172" s="34">
        <f>IF($A172="","",1)</f>
        <v/>
      </c>
    </row>
    <row r="173">
      <c r="A173" s="29" t="n"/>
      <c r="B173" s="29" t="n"/>
      <c r="C173" s="47" t="n"/>
      <c r="D173" s="47" t="n"/>
      <c r="E173" s="29" t="n"/>
      <c r="F173" s="29" t="n"/>
      <c r="G173" s="29" t="n"/>
      <c r="H173" s="29" t="n"/>
      <c r="I173" s="30" t="n"/>
      <c r="J173" s="30" t="n"/>
      <c r="K173" s="31" t="n"/>
      <c r="L173" s="34">
        <f>IF($A173="","",IF($C173="","",raporTarihi-$C173))</f>
        <v/>
      </c>
      <c r="M173" s="34">
        <f>IF($A173="","",IF($L173="","",IF($L173&lt;=7,"0-7",IF($L173&lt;=30,"8-30",IF($L173&lt;=60,"31-60","60+")))))</f>
        <v/>
      </c>
      <c r="N173" s="34">
        <f>IF($A173="","",IF($B173="","YETİM",IF(COUNTIF(tblEnvanter[BelgeId],$B173)=0,"YETİM","")))</f>
        <v/>
      </c>
      <c r="O173" s="34">
        <f>IF(OR($A173="",$E173=""),"",IF(OR($E173&amp;"|"&amp;$F173="",COUNTIF(ListeIzinliGecis,$E173&amp;"|"&amp;$F173)&gt;0),"","GEÇERSİZ GEÇİŞ"))</f>
        <v/>
      </c>
      <c r="P173" s="34">
        <f>IF($A173="","",IF(OR($I173="",$J173=""),"",IF(ABS($J173-$I173)&gt;zincirTolerans,"ZİNCİR KIRIK","OK")))</f>
        <v/>
      </c>
      <c r="Q173" s="34">
        <f>IF($A173="","",1)</f>
        <v/>
      </c>
    </row>
    <row r="174">
      <c r="A174" s="29" t="n"/>
      <c r="B174" s="29" t="n"/>
      <c r="C174" s="47" t="n"/>
      <c r="D174" s="47" t="n"/>
      <c r="E174" s="29" t="n"/>
      <c r="F174" s="29" t="n"/>
      <c r="G174" s="29" t="n"/>
      <c r="H174" s="29" t="n"/>
      <c r="I174" s="30" t="n"/>
      <c r="J174" s="30" t="n"/>
      <c r="K174" s="31" t="n"/>
      <c r="L174" s="34">
        <f>IF($A174="","",IF($C174="","",raporTarihi-$C174))</f>
        <v/>
      </c>
      <c r="M174" s="34">
        <f>IF($A174="","",IF($L174="","",IF($L174&lt;=7,"0-7",IF($L174&lt;=30,"8-30",IF($L174&lt;=60,"31-60","60+")))))</f>
        <v/>
      </c>
      <c r="N174" s="34">
        <f>IF($A174="","",IF($B174="","YETİM",IF(COUNTIF(tblEnvanter[BelgeId],$B174)=0,"YETİM","")))</f>
        <v/>
      </c>
      <c r="O174" s="34">
        <f>IF(OR($A174="",$E174=""),"",IF(OR($E174&amp;"|"&amp;$F174="",COUNTIF(ListeIzinliGecis,$E174&amp;"|"&amp;$F174)&gt;0),"","GEÇERSİZ GEÇİŞ"))</f>
        <v/>
      </c>
      <c r="P174" s="34">
        <f>IF($A174="","",IF(OR($I174="",$J174=""),"",IF(ABS($J174-$I174)&gt;zincirTolerans,"ZİNCİR KIRIK","OK")))</f>
        <v/>
      </c>
      <c r="Q174" s="34">
        <f>IF($A174="","",1)</f>
        <v/>
      </c>
    </row>
    <row r="175">
      <c r="A175" s="29" t="n"/>
      <c r="B175" s="29" t="n"/>
      <c r="C175" s="47" t="n"/>
      <c r="D175" s="47" t="n"/>
      <c r="E175" s="29" t="n"/>
      <c r="F175" s="29" t="n"/>
      <c r="G175" s="29" t="n"/>
      <c r="H175" s="29" t="n"/>
      <c r="I175" s="30" t="n"/>
      <c r="J175" s="30" t="n"/>
      <c r="K175" s="31" t="n"/>
      <c r="L175" s="34">
        <f>IF($A175="","",IF($C175="","",raporTarihi-$C175))</f>
        <v/>
      </c>
      <c r="M175" s="34">
        <f>IF($A175="","",IF($L175="","",IF($L175&lt;=7,"0-7",IF($L175&lt;=30,"8-30",IF($L175&lt;=60,"31-60","60+")))))</f>
        <v/>
      </c>
      <c r="N175" s="34">
        <f>IF($A175="","",IF($B175="","YETİM",IF(COUNTIF(tblEnvanter[BelgeId],$B175)=0,"YETİM","")))</f>
        <v/>
      </c>
      <c r="O175" s="34">
        <f>IF(OR($A175="",$E175=""),"",IF(OR($E175&amp;"|"&amp;$F175="",COUNTIF(ListeIzinliGecis,$E175&amp;"|"&amp;$F175)&gt;0),"","GEÇERSİZ GEÇİŞ"))</f>
        <v/>
      </c>
      <c r="P175" s="34">
        <f>IF($A175="","",IF(OR($I175="",$J175=""),"",IF(ABS($J175-$I175)&gt;zincirTolerans,"ZİNCİR KIRIK","OK")))</f>
        <v/>
      </c>
      <c r="Q175" s="34">
        <f>IF($A175="","",1)</f>
        <v/>
      </c>
    </row>
    <row r="176">
      <c r="A176" s="29" t="n"/>
      <c r="B176" s="29" t="n"/>
      <c r="C176" s="47" t="n"/>
      <c r="D176" s="47" t="n"/>
      <c r="E176" s="29" t="n"/>
      <c r="F176" s="29" t="n"/>
      <c r="G176" s="29" t="n"/>
      <c r="H176" s="29" t="n"/>
      <c r="I176" s="30" t="n"/>
      <c r="J176" s="30" t="n"/>
      <c r="K176" s="31" t="n"/>
      <c r="L176" s="34">
        <f>IF($A176="","",IF($C176="","",raporTarihi-$C176))</f>
        <v/>
      </c>
      <c r="M176" s="34">
        <f>IF($A176="","",IF($L176="","",IF($L176&lt;=7,"0-7",IF($L176&lt;=30,"8-30",IF($L176&lt;=60,"31-60","60+")))))</f>
        <v/>
      </c>
      <c r="N176" s="34">
        <f>IF($A176="","",IF($B176="","YETİM",IF(COUNTIF(tblEnvanter[BelgeId],$B176)=0,"YETİM","")))</f>
        <v/>
      </c>
      <c r="O176" s="34">
        <f>IF(OR($A176="",$E176=""),"",IF(OR($E176&amp;"|"&amp;$F176="",COUNTIF(ListeIzinliGecis,$E176&amp;"|"&amp;$F176)&gt;0),"","GEÇERSİZ GEÇİŞ"))</f>
        <v/>
      </c>
      <c r="P176" s="34">
        <f>IF($A176="","",IF(OR($I176="",$J176=""),"",IF(ABS($J176-$I176)&gt;zincirTolerans,"ZİNCİR KIRIK","OK")))</f>
        <v/>
      </c>
      <c r="Q176" s="34">
        <f>IF($A176="","",1)</f>
        <v/>
      </c>
    </row>
    <row r="177">
      <c r="A177" s="29" t="n"/>
      <c r="B177" s="29" t="n"/>
      <c r="C177" s="47" t="n"/>
      <c r="D177" s="47" t="n"/>
      <c r="E177" s="29" t="n"/>
      <c r="F177" s="29" t="n"/>
      <c r="G177" s="29" t="n"/>
      <c r="H177" s="29" t="n"/>
      <c r="I177" s="30" t="n"/>
      <c r="J177" s="30" t="n"/>
      <c r="K177" s="31" t="n"/>
      <c r="L177" s="34">
        <f>IF($A177="","",IF($C177="","",raporTarihi-$C177))</f>
        <v/>
      </c>
      <c r="M177" s="34">
        <f>IF($A177="","",IF($L177="","",IF($L177&lt;=7,"0-7",IF($L177&lt;=30,"8-30",IF($L177&lt;=60,"31-60","60+")))))</f>
        <v/>
      </c>
      <c r="N177" s="34">
        <f>IF($A177="","",IF($B177="","YETİM",IF(COUNTIF(tblEnvanter[BelgeId],$B177)=0,"YETİM","")))</f>
        <v/>
      </c>
      <c r="O177" s="34">
        <f>IF(OR($A177="",$E177=""),"",IF(OR($E177&amp;"|"&amp;$F177="",COUNTIF(ListeIzinliGecis,$E177&amp;"|"&amp;$F177)&gt;0),"","GEÇERSİZ GEÇİŞ"))</f>
        <v/>
      </c>
      <c r="P177" s="34">
        <f>IF($A177="","",IF(OR($I177="",$J177=""),"",IF(ABS($J177-$I177)&gt;zincirTolerans,"ZİNCİR KIRIK","OK")))</f>
        <v/>
      </c>
      <c r="Q177" s="34">
        <f>IF($A177="","",1)</f>
        <v/>
      </c>
    </row>
    <row r="178">
      <c r="A178" s="29" t="n"/>
      <c r="B178" s="29" t="n"/>
      <c r="C178" s="47" t="n"/>
      <c r="D178" s="47" t="n"/>
      <c r="E178" s="29" t="n"/>
      <c r="F178" s="29" t="n"/>
      <c r="G178" s="29" t="n"/>
      <c r="H178" s="29" t="n"/>
      <c r="I178" s="30" t="n"/>
      <c r="J178" s="30" t="n"/>
      <c r="K178" s="31" t="n"/>
      <c r="L178" s="34">
        <f>IF($A178="","",IF($C178="","",raporTarihi-$C178))</f>
        <v/>
      </c>
      <c r="M178" s="34">
        <f>IF($A178="","",IF($L178="","",IF($L178&lt;=7,"0-7",IF($L178&lt;=30,"8-30",IF($L178&lt;=60,"31-60","60+")))))</f>
        <v/>
      </c>
      <c r="N178" s="34">
        <f>IF($A178="","",IF($B178="","YETİM",IF(COUNTIF(tblEnvanter[BelgeId],$B178)=0,"YETİM","")))</f>
        <v/>
      </c>
      <c r="O178" s="34">
        <f>IF(OR($A178="",$E178=""),"",IF(OR($E178&amp;"|"&amp;$F178="",COUNTIF(ListeIzinliGecis,$E178&amp;"|"&amp;$F178)&gt;0),"","GEÇERSİZ GEÇİŞ"))</f>
        <v/>
      </c>
      <c r="P178" s="34">
        <f>IF($A178="","",IF(OR($I178="",$J178=""),"",IF(ABS($J178-$I178)&gt;zincirTolerans,"ZİNCİR KIRIK","OK")))</f>
        <v/>
      </c>
      <c r="Q178" s="34">
        <f>IF($A178="","",1)</f>
        <v/>
      </c>
    </row>
    <row r="179">
      <c r="A179" s="29" t="n"/>
      <c r="B179" s="29" t="n"/>
      <c r="C179" s="47" t="n"/>
      <c r="D179" s="47" t="n"/>
      <c r="E179" s="29" t="n"/>
      <c r="F179" s="29" t="n"/>
      <c r="G179" s="29" t="n"/>
      <c r="H179" s="29" t="n"/>
      <c r="I179" s="30" t="n"/>
      <c r="J179" s="30" t="n"/>
      <c r="K179" s="31" t="n"/>
      <c r="L179" s="34">
        <f>IF($A179="","",IF($C179="","",raporTarihi-$C179))</f>
        <v/>
      </c>
      <c r="M179" s="34">
        <f>IF($A179="","",IF($L179="","",IF($L179&lt;=7,"0-7",IF($L179&lt;=30,"8-30",IF($L179&lt;=60,"31-60","60+")))))</f>
        <v/>
      </c>
      <c r="N179" s="34">
        <f>IF($A179="","",IF($B179="","YETİM",IF(COUNTIF(tblEnvanter[BelgeId],$B179)=0,"YETİM","")))</f>
        <v/>
      </c>
      <c r="O179" s="34">
        <f>IF(OR($A179="",$E179=""),"",IF(OR($E179&amp;"|"&amp;$F179="",COUNTIF(ListeIzinliGecis,$E179&amp;"|"&amp;$F179)&gt;0),"","GEÇERSİZ GEÇİŞ"))</f>
        <v/>
      </c>
      <c r="P179" s="34">
        <f>IF($A179="","",IF(OR($I179="",$J179=""),"",IF(ABS($J179-$I179)&gt;zincirTolerans,"ZİNCİR KIRIK","OK")))</f>
        <v/>
      </c>
      <c r="Q179" s="34">
        <f>IF($A179="","",1)</f>
        <v/>
      </c>
    </row>
    <row r="180">
      <c r="A180" s="29" t="n"/>
      <c r="B180" s="29" t="n"/>
      <c r="C180" s="47" t="n"/>
      <c r="D180" s="47" t="n"/>
      <c r="E180" s="29" t="n"/>
      <c r="F180" s="29" t="n"/>
      <c r="G180" s="29" t="n"/>
      <c r="H180" s="29" t="n"/>
      <c r="I180" s="30" t="n"/>
      <c r="J180" s="30" t="n"/>
      <c r="K180" s="31" t="n"/>
      <c r="L180" s="34">
        <f>IF($A180="","",IF($C180="","",raporTarihi-$C180))</f>
        <v/>
      </c>
      <c r="M180" s="34">
        <f>IF($A180="","",IF($L180="","",IF($L180&lt;=7,"0-7",IF($L180&lt;=30,"8-30",IF($L180&lt;=60,"31-60","60+")))))</f>
        <v/>
      </c>
      <c r="N180" s="34">
        <f>IF($A180="","",IF($B180="","YETİM",IF(COUNTIF(tblEnvanter[BelgeId],$B180)=0,"YETİM","")))</f>
        <v/>
      </c>
      <c r="O180" s="34">
        <f>IF(OR($A180="",$E180=""),"",IF(OR($E180&amp;"|"&amp;$F180="",COUNTIF(ListeIzinliGecis,$E180&amp;"|"&amp;$F180)&gt;0),"","GEÇERSİZ GEÇİŞ"))</f>
        <v/>
      </c>
      <c r="P180" s="34">
        <f>IF($A180="","",IF(OR($I180="",$J180=""),"",IF(ABS($J180-$I180)&gt;zincirTolerans,"ZİNCİR KIRIK","OK")))</f>
        <v/>
      </c>
      <c r="Q180" s="34">
        <f>IF($A180="","",1)</f>
        <v/>
      </c>
    </row>
    <row r="181">
      <c r="A181" s="29" t="n"/>
      <c r="B181" s="29" t="n"/>
      <c r="C181" s="47" t="n"/>
      <c r="D181" s="47" t="n"/>
      <c r="E181" s="29" t="n"/>
      <c r="F181" s="29" t="n"/>
      <c r="G181" s="29" t="n"/>
      <c r="H181" s="29" t="n"/>
      <c r="I181" s="30" t="n"/>
      <c r="J181" s="30" t="n"/>
      <c r="K181" s="31" t="n"/>
      <c r="L181" s="34">
        <f>IF($A181="","",IF($C181="","",raporTarihi-$C181))</f>
        <v/>
      </c>
      <c r="M181" s="34">
        <f>IF($A181="","",IF($L181="","",IF($L181&lt;=7,"0-7",IF($L181&lt;=30,"8-30",IF($L181&lt;=60,"31-60","60+")))))</f>
        <v/>
      </c>
      <c r="N181" s="34">
        <f>IF($A181="","",IF($B181="","YETİM",IF(COUNTIF(tblEnvanter[BelgeId],$B181)=0,"YETİM","")))</f>
        <v/>
      </c>
      <c r="O181" s="34">
        <f>IF(OR($A181="",$E181=""),"",IF(OR($E181&amp;"|"&amp;$F181="",COUNTIF(ListeIzinliGecis,$E181&amp;"|"&amp;$F181)&gt;0),"","GEÇERSİZ GEÇİŞ"))</f>
        <v/>
      </c>
      <c r="P181" s="34">
        <f>IF($A181="","",IF(OR($I181="",$J181=""),"",IF(ABS($J181-$I181)&gt;zincirTolerans,"ZİNCİR KIRIK","OK")))</f>
        <v/>
      </c>
      <c r="Q181" s="34">
        <f>IF($A181="","",1)</f>
        <v/>
      </c>
    </row>
    <row r="182">
      <c r="A182" s="29" t="n"/>
      <c r="B182" s="29" t="n"/>
      <c r="C182" s="47" t="n"/>
      <c r="D182" s="47" t="n"/>
      <c r="E182" s="29" t="n"/>
      <c r="F182" s="29" t="n"/>
      <c r="G182" s="29" t="n"/>
      <c r="H182" s="29" t="n"/>
      <c r="I182" s="30" t="n"/>
      <c r="J182" s="30" t="n"/>
      <c r="K182" s="31" t="n"/>
      <c r="L182" s="34">
        <f>IF($A182="","",IF($C182="","",raporTarihi-$C182))</f>
        <v/>
      </c>
      <c r="M182" s="34">
        <f>IF($A182="","",IF($L182="","",IF($L182&lt;=7,"0-7",IF($L182&lt;=30,"8-30",IF($L182&lt;=60,"31-60","60+")))))</f>
        <v/>
      </c>
      <c r="N182" s="34">
        <f>IF($A182="","",IF($B182="","YETİM",IF(COUNTIF(tblEnvanter[BelgeId],$B182)=0,"YETİM","")))</f>
        <v/>
      </c>
      <c r="O182" s="34">
        <f>IF(OR($A182="",$E182=""),"",IF(OR($E182&amp;"|"&amp;$F182="",COUNTIF(ListeIzinliGecis,$E182&amp;"|"&amp;$F182)&gt;0),"","GEÇERSİZ GEÇİŞ"))</f>
        <v/>
      </c>
      <c r="P182" s="34">
        <f>IF($A182="","",IF(OR($I182="",$J182=""),"",IF(ABS($J182-$I182)&gt;zincirTolerans,"ZİNCİR KIRIK","OK")))</f>
        <v/>
      </c>
      <c r="Q182" s="34">
        <f>IF($A182="","",1)</f>
        <v/>
      </c>
    </row>
    <row r="183">
      <c r="A183" s="29" t="n"/>
      <c r="B183" s="29" t="n"/>
      <c r="C183" s="47" t="n"/>
      <c r="D183" s="47" t="n"/>
      <c r="E183" s="29" t="n"/>
      <c r="F183" s="29" t="n"/>
      <c r="G183" s="29" t="n"/>
      <c r="H183" s="29" t="n"/>
      <c r="I183" s="30" t="n"/>
      <c r="J183" s="30" t="n"/>
      <c r="K183" s="31" t="n"/>
      <c r="L183" s="34">
        <f>IF($A183="","",IF($C183="","",raporTarihi-$C183))</f>
        <v/>
      </c>
      <c r="M183" s="34">
        <f>IF($A183="","",IF($L183="","",IF($L183&lt;=7,"0-7",IF($L183&lt;=30,"8-30",IF($L183&lt;=60,"31-60","60+")))))</f>
        <v/>
      </c>
      <c r="N183" s="34">
        <f>IF($A183="","",IF($B183="","YETİM",IF(COUNTIF(tblEnvanter[BelgeId],$B183)=0,"YETİM","")))</f>
        <v/>
      </c>
      <c r="O183" s="34">
        <f>IF(OR($A183="",$E183=""),"",IF(OR($E183&amp;"|"&amp;$F183="",COUNTIF(ListeIzinliGecis,$E183&amp;"|"&amp;$F183)&gt;0),"","GEÇERSİZ GEÇİŞ"))</f>
        <v/>
      </c>
      <c r="P183" s="34">
        <f>IF($A183="","",IF(OR($I183="",$J183=""),"",IF(ABS($J183-$I183)&gt;zincirTolerans,"ZİNCİR KIRIK","OK")))</f>
        <v/>
      </c>
      <c r="Q183" s="34">
        <f>IF($A183="","",1)</f>
        <v/>
      </c>
    </row>
    <row r="184">
      <c r="A184" s="29" t="n"/>
      <c r="B184" s="29" t="n"/>
      <c r="C184" s="47" t="n"/>
      <c r="D184" s="47" t="n"/>
      <c r="E184" s="29" t="n"/>
      <c r="F184" s="29" t="n"/>
      <c r="G184" s="29" t="n"/>
      <c r="H184" s="29" t="n"/>
      <c r="I184" s="30" t="n"/>
      <c r="J184" s="30" t="n"/>
      <c r="K184" s="31" t="n"/>
      <c r="L184" s="34">
        <f>IF($A184="","",IF($C184="","",raporTarihi-$C184))</f>
        <v/>
      </c>
      <c r="M184" s="34">
        <f>IF($A184="","",IF($L184="","",IF($L184&lt;=7,"0-7",IF($L184&lt;=30,"8-30",IF($L184&lt;=60,"31-60","60+")))))</f>
        <v/>
      </c>
      <c r="N184" s="34">
        <f>IF($A184="","",IF($B184="","YETİM",IF(COUNTIF(tblEnvanter[BelgeId],$B184)=0,"YETİM","")))</f>
        <v/>
      </c>
      <c r="O184" s="34">
        <f>IF(OR($A184="",$E184=""),"",IF(OR($E184&amp;"|"&amp;$F184="",COUNTIF(ListeIzinliGecis,$E184&amp;"|"&amp;$F184)&gt;0),"","GEÇERSİZ GEÇİŞ"))</f>
        <v/>
      </c>
      <c r="P184" s="34">
        <f>IF($A184="","",IF(OR($I184="",$J184=""),"",IF(ABS($J184-$I184)&gt;zincirTolerans,"ZİNCİR KIRIK","OK")))</f>
        <v/>
      </c>
      <c r="Q184" s="34">
        <f>IF($A184="","",1)</f>
        <v/>
      </c>
    </row>
    <row r="185">
      <c r="A185" s="29" t="n"/>
      <c r="B185" s="29" t="n"/>
      <c r="C185" s="47" t="n"/>
      <c r="D185" s="47" t="n"/>
      <c r="E185" s="29" t="n"/>
      <c r="F185" s="29" t="n"/>
      <c r="G185" s="29" t="n"/>
      <c r="H185" s="29" t="n"/>
      <c r="I185" s="30" t="n"/>
      <c r="J185" s="30" t="n"/>
      <c r="K185" s="31" t="n"/>
      <c r="L185" s="34">
        <f>IF($A185="","",IF($C185="","",raporTarihi-$C185))</f>
        <v/>
      </c>
      <c r="M185" s="34">
        <f>IF($A185="","",IF($L185="","",IF($L185&lt;=7,"0-7",IF($L185&lt;=30,"8-30",IF($L185&lt;=60,"31-60","60+")))))</f>
        <v/>
      </c>
      <c r="N185" s="34">
        <f>IF($A185="","",IF($B185="","YETİM",IF(COUNTIF(tblEnvanter[BelgeId],$B185)=0,"YETİM","")))</f>
        <v/>
      </c>
      <c r="O185" s="34">
        <f>IF(OR($A185="",$E185=""),"",IF(OR($E185&amp;"|"&amp;$F185="",COUNTIF(ListeIzinliGecis,$E185&amp;"|"&amp;$F185)&gt;0),"","GEÇERSİZ GEÇİŞ"))</f>
        <v/>
      </c>
      <c r="P185" s="34">
        <f>IF($A185="","",IF(OR($I185="",$J185=""),"",IF(ABS($J185-$I185)&gt;zincirTolerans,"ZİNCİR KIRIK","OK")))</f>
        <v/>
      </c>
      <c r="Q185" s="34">
        <f>IF($A185="","",1)</f>
        <v/>
      </c>
    </row>
    <row r="186">
      <c r="A186" s="29" t="n"/>
      <c r="B186" s="29" t="n"/>
      <c r="C186" s="47" t="n"/>
      <c r="D186" s="47" t="n"/>
      <c r="E186" s="29" t="n"/>
      <c r="F186" s="29" t="n"/>
      <c r="G186" s="29" t="n"/>
      <c r="H186" s="29" t="n"/>
      <c r="I186" s="30" t="n"/>
      <c r="J186" s="30" t="n"/>
      <c r="K186" s="31" t="n"/>
      <c r="L186" s="34">
        <f>IF($A186="","",IF($C186="","",raporTarihi-$C186))</f>
        <v/>
      </c>
      <c r="M186" s="34">
        <f>IF($A186="","",IF($L186="","",IF($L186&lt;=7,"0-7",IF($L186&lt;=30,"8-30",IF($L186&lt;=60,"31-60","60+")))))</f>
        <v/>
      </c>
      <c r="N186" s="34">
        <f>IF($A186="","",IF($B186="","YETİM",IF(COUNTIF(tblEnvanter[BelgeId],$B186)=0,"YETİM","")))</f>
        <v/>
      </c>
      <c r="O186" s="34">
        <f>IF(OR($A186="",$E186=""),"",IF(OR($E186&amp;"|"&amp;$F186="",COUNTIF(ListeIzinliGecis,$E186&amp;"|"&amp;$F186)&gt;0),"","GEÇERSİZ GEÇİŞ"))</f>
        <v/>
      </c>
      <c r="P186" s="34">
        <f>IF($A186="","",IF(OR($I186="",$J186=""),"",IF(ABS($J186-$I186)&gt;zincirTolerans,"ZİNCİR KIRIK","OK")))</f>
        <v/>
      </c>
      <c r="Q186" s="34">
        <f>IF($A186="","",1)</f>
        <v/>
      </c>
    </row>
    <row r="187">
      <c r="A187" s="29" t="n"/>
      <c r="B187" s="29" t="n"/>
      <c r="C187" s="47" t="n"/>
      <c r="D187" s="47" t="n"/>
      <c r="E187" s="29" t="n"/>
      <c r="F187" s="29" t="n"/>
      <c r="G187" s="29" t="n"/>
      <c r="H187" s="29" t="n"/>
      <c r="I187" s="30" t="n"/>
      <c r="J187" s="30" t="n"/>
      <c r="K187" s="31" t="n"/>
      <c r="L187" s="34">
        <f>IF($A187="","",IF($C187="","",raporTarihi-$C187))</f>
        <v/>
      </c>
      <c r="M187" s="34">
        <f>IF($A187="","",IF($L187="","",IF($L187&lt;=7,"0-7",IF($L187&lt;=30,"8-30",IF($L187&lt;=60,"31-60","60+")))))</f>
        <v/>
      </c>
      <c r="N187" s="34">
        <f>IF($A187="","",IF($B187="","YETİM",IF(COUNTIF(tblEnvanter[BelgeId],$B187)=0,"YETİM","")))</f>
        <v/>
      </c>
      <c r="O187" s="34">
        <f>IF(OR($A187="",$E187=""),"",IF(OR($E187&amp;"|"&amp;$F187="",COUNTIF(ListeIzinliGecis,$E187&amp;"|"&amp;$F187)&gt;0),"","GEÇERSİZ GEÇİŞ"))</f>
        <v/>
      </c>
      <c r="P187" s="34">
        <f>IF($A187="","",IF(OR($I187="",$J187=""),"",IF(ABS($J187-$I187)&gt;zincirTolerans,"ZİNCİR KIRIK","OK")))</f>
        <v/>
      </c>
      <c r="Q187" s="34">
        <f>IF($A187="","",1)</f>
        <v/>
      </c>
    </row>
    <row r="188">
      <c r="A188" s="29" t="n"/>
      <c r="B188" s="29" t="n"/>
      <c r="C188" s="47" t="n"/>
      <c r="D188" s="47" t="n"/>
      <c r="E188" s="29" t="n"/>
      <c r="F188" s="29" t="n"/>
      <c r="G188" s="29" t="n"/>
      <c r="H188" s="29" t="n"/>
      <c r="I188" s="30" t="n"/>
      <c r="J188" s="30" t="n"/>
      <c r="K188" s="31" t="n"/>
      <c r="L188" s="34">
        <f>IF($A188="","",IF($C188="","",raporTarihi-$C188))</f>
        <v/>
      </c>
      <c r="M188" s="34">
        <f>IF($A188="","",IF($L188="","",IF($L188&lt;=7,"0-7",IF($L188&lt;=30,"8-30",IF($L188&lt;=60,"31-60","60+")))))</f>
        <v/>
      </c>
      <c r="N188" s="34">
        <f>IF($A188="","",IF($B188="","YETİM",IF(COUNTIF(tblEnvanter[BelgeId],$B188)=0,"YETİM","")))</f>
        <v/>
      </c>
      <c r="O188" s="34">
        <f>IF(OR($A188="",$E188=""),"",IF(OR($E188&amp;"|"&amp;$F188="",COUNTIF(ListeIzinliGecis,$E188&amp;"|"&amp;$F188)&gt;0),"","GEÇERSİZ GEÇİŞ"))</f>
        <v/>
      </c>
      <c r="P188" s="34">
        <f>IF($A188="","",IF(OR($I188="",$J188=""),"",IF(ABS($J188-$I188)&gt;zincirTolerans,"ZİNCİR KIRIK","OK")))</f>
        <v/>
      </c>
      <c r="Q188" s="34">
        <f>IF($A188="","",1)</f>
        <v/>
      </c>
    </row>
    <row r="189">
      <c r="A189" s="29" t="n"/>
      <c r="B189" s="29" t="n"/>
      <c r="C189" s="47" t="n"/>
      <c r="D189" s="47" t="n"/>
      <c r="E189" s="29" t="n"/>
      <c r="F189" s="29" t="n"/>
      <c r="G189" s="29" t="n"/>
      <c r="H189" s="29" t="n"/>
      <c r="I189" s="30" t="n"/>
      <c r="J189" s="30" t="n"/>
      <c r="K189" s="31" t="n"/>
      <c r="L189" s="34">
        <f>IF($A189="","",IF($C189="","",raporTarihi-$C189))</f>
        <v/>
      </c>
      <c r="M189" s="34">
        <f>IF($A189="","",IF($L189="","",IF($L189&lt;=7,"0-7",IF($L189&lt;=30,"8-30",IF($L189&lt;=60,"31-60","60+")))))</f>
        <v/>
      </c>
      <c r="N189" s="34">
        <f>IF($A189="","",IF($B189="","YETİM",IF(COUNTIF(tblEnvanter[BelgeId],$B189)=0,"YETİM","")))</f>
        <v/>
      </c>
      <c r="O189" s="34">
        <f>IF(OR($A189="",$E189=""),"",IF(OR($E189&amp;"|"&amp;$F189="",COUNTIF(ListeIzinliGecis,$E189&amp;"|"&amp;$F189)&gt;0),"","GEÇERSİZ GEÇİŞ"))</f>
        <v/>
      </c>
      <c r="P189" s="34">
        <f>IF($A189="","",IF(OR($I189="",$J189=""),"",IF(ABS($J189-$I189)&gt;zincirTolerans,"ZİNCİR KIRIK","OK")))</f>
        <v/>
      </c>
      <c r="Q189" s="34">
        <f>IF($A189="","",1)</f>
        <v/>
      </c>
    </row>
    <row r="190">
      <c r="A190" s="29" t="n"/>
      <c r="B190" s="29" t="n"/>
      <c r="C190" s="47" t="n"/>
      <c r="D190" s="47" t="n"/>
      <c r="E190" s="29" t="n"/>
      <c r="F190" s="29" t="n"/>
      <c r="G190" s="29" t="n"/>
      <c r="H190" s="29" t="n"/>
      <c r="I190" s="30" t="n"/>
      <c r="J190" s="30" t="n"/>
      <c r="K190" s="31" t="n"/>
      <c r="L190" s="34">
        <f>IF($A190="","",IF($C190="","",raporTarihi-$C190))</f>
        <v/>
      </c>
      <c r="M190" s="34">
        <f>IF($A190="","",IF($L190="","",IF($L190&lt;=7,"0-7",IF($L190&lt;=30,"8-30",IF($L190&lt;=60,"31-60","60+")))))</f>
        <v/>
      </c>
      <c r="N190" s="34">
        <f>IF($A190="","",IF($B190="","YETİM",IF(COUNTIF(tblEnvanter[BelgeId],$B190)=0,"YETİM","")))</f>
        <v/>
      </c>
      <c r="O190" s="34">
        <f>IF(OR($A190="",$E190=""),"",IF(OR($E190&amp;"|"&amp;$F190="",COUNTIF(ListeIzinliGecis,$E190&amp;"|"&amp;$F190)&gt;0),"","GEÇERSİZ GEÇİŞ"))</f>
        <v/>
      </c>
      <c r="P190" s="34">
        <f>IF($A190="","",IF(OR($I190="",$J190=""),"",IF(ABS($J190-$I190)&gt;zincirTolerans,"ZİNCİR KIRIK","OK")))</f>
        <v/>
      </c>
      <c r="Q190" s="34">
        <f>IF($A190="","",1)</f>
        <v/>
      </c>
    </row>
    <row r="191">
      <c r="A191" s="29" t="n"/>
      <c r="B191" s="29" t="n"/>
      <c r="C191" s="47" t="n"/>
      <c r="D191" s="47" t="n"/>
      <c r="E191" s="29" t="n"/>
      <c r="F191" s="29" t="n"/>
      <c r="G191" s="29" t="n"/>
      <c r="H191" s="29" t="n"/>
      <c r="I191" s="30" t="n"/>
      <c r="J191" s="30" t="n"/>
      <c r="K191" s="31" t="n"/>
      <c r="L191" s="34">
        <f>IF($A191="","",IF($C191="","",raporTarihi-$C191))</f>
        <v/>
      </c>
      <c r="M191" s="34">
        <f>IF($A191="","",IF($L191="","",IF($L191&lt;=7,"0-7",IF($L191&lt;=30,"8-30",IF($L191&lt;=60,"31-60","60+")))))</f>
        <v/>
      </c>
      <c r="N191" s="34">
        <f>IF($A191="","",IF($B191="","YETİM",IF(COUNTIF(tblEnvanter[BelgeId],$B191)=0,"YETİM","")))</f>
        <v/>
      </c>
      <c r="O191" s="34">
        <f>IF(OR($A191="",$E191=""),"",IF(OR($E191&amp;"|"&amp;$F191="",COUNTIF(ListeIzinliGecis,$E191&amp;"|"&amp;$F191)&gt;0),"","GEÇERSİZ GEÇİŞ"))</f>
        <v/>
      </c>
      <c r="P191" s="34">
        <f>IF($A191="","",IF(OR($I191="",$J191=""),"",IF(ABS($J191-$I191)&gt;zincirTolerans,"ZİNCİR KIRIK","OK")))</f>
        <v/>
      </c>
      <c r="Q191" s="34">
        <f>IF($A191="","",1)</f>
        <v/>
      </c>
    </row>
    <row r="192">
      <c r="A192" s="29" t="n"/>
      <c r="B192" s="29" t="n"/>
      <c r="C192" s="47" t="n"/>
      <c r="D192" s="47" t="n"/>
      <c r="E192" s="29" t="n"/>
      <c r="F192" s="29" t="n"/>
      <c r="G192" s="29" t="n"/>
      <c r="H192" s="29" t="n"/>
      <c r="I192" s="30" t="n"/>
      <c r="J192" s="30" t="n"/>
      <c r="K192" s="31" t="n"/>
      <c r="L192" s="34">
        <f>IF($A192="","",IF($C192="","",raporTarihi-$C192))</f>
        <v/>
      </c>
      <c r="M192" s="34">
        <f>IF($A192="","",IF($L192="","",IF($L192&lt;=7,"0-7",IF($L192&lt;=30,"8-30",IF($L192&lt;=60,"31-60","60+")))))</f>
        <v/>
      </c>
      <c r="N192" s="34">
        <f>IF($A192="","",IF($B192="","YETİM",IF(COUNTIF(tblEnvanter[BelgeId],$B192)=0,"YETİM","")))</f>
        <v/>
      </c>
      <c r="O192" s="34">
        <f>IF(OR($A192="",$E192=""),"",IF(OR($E192&amp;"|"&amp;$F192="",COUNTIF(ListeIzinliGecis,$E192&amp;"|"&amp;$F192)&gt;0),"","GEÇERSİZ GEÇİŞ"))</f>
        <v/>
      </c>
      <c r="P192" s="34">
        <f>IF($A192="","",IF(OR($I192="",$J192=""),"",IF(ABS($J192-$I192)&gt;zincirTolerans,"ZİNCİR KIRIK","OK")))</f>
        <v/>
      </c>
      <c r="Q192" s="34">
        <f>IF($A192="","",1)</f>
        <v/>
      </c>
    </row>
    <row r="193">
      <c r="A193" s="29" t="n"/>
      <c r="B193" s="29" t="n"/>
      <c r="C193" s="47" t="n"/>
      <c r="D193" s="47" t="n"/>
      <c r="E193" s="29" t="n"/>
      <c r="F193" s="29" t="n"/>
      <c r="G193" s="29" t="n"/>
      <c r="H193" s="29" t="n"/>
      <c r="I193" s="30" t="n"/>
      <c r="J193" s="30" t="n"/>
      <c r="K193" s="31" t="n"/>
      <c r="L193" s="34">
        <f>IF($A193="","",IF($C193="","",raporTarihi-$C193))</f>
        <v/>
      </c>
      <c r="M193" s="34">
        <f>IF($A193="","",IF($L193="","",IF($L193&lt;=7,"0-7",IF($L193&lt;=30,"8-30",IF($L193&lt;=60,"31-60","60+")))))</f>
        <v/>
      </c>
      <c r="N193" s="34">
        <f>IF($A193="","",IF($B193="","YETİM",IF(COUNTIF(tblEnvanter[BelgeId],$B193)=0,"YETİM","")))</f>
        <v/>
      </c>
      <c r="O193" s="34">
        <f>IF(OR($A193="",$E193=""),"",IF(OR($E193&amp;"|"&amp;$F193="",COUNTIF(ListeIzinliGecis,$E193&amp;"|"&amp;$F193)&gt;0),"","GEÇERSİZ GEÇİŞ"))</f>
        <v/>
      </c>
      <c r="P193" s="34">
        <f>IF($A193="","",IF(OR($I193="",$J193=""),"",IF(ABS($J193-$I193)&gt;zincirTolerans,"ZİNCİR KIRIK","OK")))</f>
        <v/>
      </c>
      <c r="Q193" s="34">
        <f>IF($A193="","",1)</f>
        <v/>
      </c>
    </row>
    <row r="194">
      <c r="A194" s="29" t="n"/>
      <c r="B194" s="29" t="n"/>
      <c r="C194" s="47" t="n"/>
      <c r="D194" s="47" t="n"/>
      <c r="E194" s="29" t="n"/>
      <c r="F194" s="29" t="n"/>
      <c r="G194" s="29" t="n"/>
      <c r="H194" s="29" t="n"/>
      <c r="I194" s="30" t="n"/>
      <c r="J194" s="30" t="n"/>
      <c r="K194" s="31" t="n"/>
      <c r="L194" s="34">
        <f>IF($A194="","",IF($C194="","",raporTarihi-$C194))</f>
        <v/>
      </c>
      <c r="M194" s="34">
        <f>IF($A194="","",IF($L194="","",IF($L194&lt;=7,"0-7",IF($L194&lt;=30,"8-30",IF($L194&lt;=60,"31-60","60+")))))</f>
        <v/>
      </c>
      <c r="N194" s="34">
        <f>IF($A194="","",IF($B194="","YETİM",IF(COUNTIF(tblEnvanter[BelgeId],$B194)=0,"YETİM","")))</f>
        <v/>
      </c>
      <c r="O194" s="34">
        <f>IF(OR($A194="",$E194=""),"",IF(OR($E194&amp;"|"&amp;$F194="",COUNTIF(ListeIzinliGecis,$E194&amp;"|"&amp;$F194)&gt;0),"","GEÇERSİZ GEÇİŞ"))</f>
        <v/>
      </c>
      <c r="P194" s="34">
        <f>IF($A194="","",IF(OR($I194="",$J194=""),"",IF(ABS($J194-$I194)&gt;zincirTolerans,"ZİNCİR KIRIK","OK")))</f>
        <v/>
      </c>
      <c r="Q194" s="34">
        <f>IF($A194="","",1)</f>
        <v/>
      </c>
    </row>
    <row r="195">
      <c r="A195" s="29" t="n"/>
      <c r="B195" s="29" t="n"/>
      <c r="C195" s="47" t="n"/>
      <c r="D195" s="47" t="n"/>
      <c r="E195" s="29" t="n"/>
      <c r="F195" s="29" t="n"/>
      <c r="G195" s="29" t="n"/>
      <c r="H195" s="29" t="n"/>
      <c r="I195" s="30" t="n"/>
      <c r="J195" s="30" t="n"/>
      <c r="K195" s="31" t="n"/>
      <c r="L195" s="34">
        <f>IF($A195="","",IF($C195="","",raporTarihi-$C195))</f>
        <v/>
      </c>
      <c r="M195" s="34">
        <f>IF($A195="","",IF($L195="","",IF($L195&lt;=7,"0-7",IF($L195&lt;=30,"8-30",IF($L195&lt;=60,"31-60","60+")))))</f>
        <v/>
      </c>
      <c r="N195" s="34">
        <f>IF($A195="","",IF($B195="","YETİM",IF(COUNTIF(tblEnvanter[BelgeId],$B195)=0,"YETİM","")))</f>
        <v/>
      </c>
      <c r="O195" s="34">
        <f>IF(OR($A195="",$E195=""),"",IF(OR($E195&amp;"|"&amp;$F195="",COUNTIF(ListeIzinliGecis,$E195&amp;"|"&amp;$F195)&gt;0),"","GEÇERSİZ GEÇİŞ"))</f>
        <v/>
      </c>
      <c r="P195" s="34">
        <f>IF($A195="","",IF(OR($I195="",$J195=""),"",IF(ABS($J195-$I195)&gt;zincirTolerans,"ZİNCİR KIRIK","OK")))</f>
        <v/>
      </c>
      <c r="Q195" s="34">
        <f>IF($A195="","",1)</f>
        <v/>
      </c>
    </row>
    <row r="196">
      <c r="A196" s="29" t="n"/>
      <c r="B196" s="29" t="n"/>
      <c r="C196" s="47" t="n"/>
      <c r="D196" s="47" t="n"/>
      <c r="E196" s="29" t="n"/>
      <c r="F196" s="29" t="n"/>
      <c r="G196" s="29" t="n"/>
      <c r="H196" s="29" t="n"/>
      <c r="I196" s="30" t="n"/>
      <c r="J196" s="30" t="n"/>
      <c r="K196" s="31" t="n"/>
      <c r="L196" s="34">
        <f>IF($A196="","",IF($C196="","",raporTarihi-$C196))</f>
        <v/>
      </c>
      <c r="M196" s="34">
        <f>IF($A196="","",IF($L196="","",IF($L196&lt;=7,"0-7",IF($L196&lt;=30,"8-30",IF($L196&lt;=60,"31-60","60+")))))</f>
        <v/>
      </c>
      <c r="N196" s="34">
        <f>IF($A196="","",IF($B196="","YETİM",IF(COUNTIF(tblEnvanter[BelgeId],$B196)=0,"YETİM","")))</f>
        <v/>
      </c>
      <c r="O196" s="34">
        <f>IF(OR($A196="",$E196=""),"",IF(OR($E196&amp;"|"&amp;$F196="",COUNTIF(ListeIzinliGecis,$E196&amp;"|"&amp;$F196)&gt;0),"","GEÇERSİZ GEÇİŞ"))</f>
        <v/>
      </c>
      <c r="P196" s="34">
        <f>IF($A196="","",IF(OR($I196="",$J196=""),"",IF(ABS($J196-$I196)&gt;zincirTolerans,"ZİNCİR KIRIK","OK")))</f>
        <v/>
      </c>
      <c r="Q196" s="34">
        <f>IF($A196="","",1)</f>
        <v/>
      </c>
    </row>
    <row r="197">
      <c r="A197" s="29" t="n"/>
      <c r="B197" s="29" t="n"/>
      <c r="C197" s="47" t="n"/>
      <c r="D197" s="47" t="n"/>
      <c r="E197" s="29" t="n"/>
      <c r="F197" s="29" t="n"/>
      <c r="G197" s="29" t="n"/>
      <c r="H197" s="29" t="n"/>
      <c r="I197" s="30" t="n"/>
      <c r="J197" s="30" t="n"/>
      <c r="K197" s="31" t="n"/>
      <c r="L197" s="34">
        <f>IF($A197="","",IF($C197="","",raporTarihi-$C197))</f>
        <v/>
      </c>
      <c r="M197" s="34">
        <f>IF($A197="","",IF($L197="","",IF($L197&lt;=7,"0-7",IF($L197&lt;=30,"8-30",IF($L197&lt;=60,"31-60","60+")))))</f>
        <v/>
      </c>
      <c r="N197" s="34">
        <f>IF($A197="","",IF($B197="","YETİM",IF(COUNTIF(tblEnvanter[BelgeId],$B197)=0,"YETİM","")))</f>
        <v/>
      </c>
      <c r="O197" s="34">
        <f>IF(OR($A197="",$E197=""),"",IF(OR($E197&amp;"|"&amp;$F197="",COUNTIF(ListeIzinliGecis,$E197&amp;"|"&amp;$F197)&gt;0),"","GEÇERSİZ GEÇİŞ"))</f>
        <v/>
      </c>
      <c r="P197" s="34">
        <f>IF($A197="","",IF(OR($I197="",$J197=""),"",IF(ABS($J197-$I197)&gt;zincirTolerans,"ZİNCİR KIRIK","OK")))</f>
        <v/>
      </c>
      <c r="Q197" s="34">
        <f>IF($A197="","",1)</f>
        <v/>
      </c>
    </row>
    <row r="198">
      <c r="A198" s="29" t="n"/>
      <c r="B198" s="29" t="n"/>
      <c r="C198" s="47" t="n"/>
      <c r="D198" s="47" t="n"/>
      <c r="E198" s="29" t="n"/>
      <c r="F198" s="29" t="n"/>
      <c r="G198" s="29" t="n"/>
      <c r="H198" s="29" t="n"/>
      <c r="I198" s="30" t="n"/>
      <c r="J198" s="30" t="n"/>
      <c r="K198" s="31" t="n"/>
      <c r="L198" s="34">
        <f>IF($A198="","",IF($C198="","",raporTarihi-$C198))</f>
        <v/>
      </c>
      <c r="M198" s="34">
        <f>IF($A198="","",IF($L198="","",IF($L198&lt;=7,"0-7",IF($L198&lt;=30,"8-30",IF($L198&lt;=60,"31-60","60+")))))</f>
        <v/>
      </c>
      <c r="N198" s="34">
        <f>IF($A198="","",IF($B198="","YETİM",IF(COUNTIF(tblEnvanter[BelgeId],$B198)=0,"YETİM","")))</f>
        <v/>
      </c>
      <c r="O198" s="34">
        <f>IF(OR($A198="",$E198=""),"",IF(OR($E198&amp;"|"&amp;$F198="",COUNTIF(ListeIzinliGecis,$E198&amp;"|"&amp;$F198)&gt;0),"","GEÇERSİZ GEÇİŞ"))</f>
        <v/>
      </c>
      <c r="P198" s="34">
        <f>IF($A198="","",IF(OR($I198="",$J198=""),"",IF(ABS($J198-$I198)&gt;zincirTolerans,"ZİNCİR KIRIK","OK")))</f>
        <v/>
      </c>
      <c r="Q198" s="34">
        <f>IF($A198="","",1)</f>
        <v/>
      </c>
    </row>
    <row r="199">
      <c r="A199" s="29" t="n"/>
      <c r="B199" s="29" t="n"/>
      <c r="C199" s="47" t="n"/>
      <c r="D199" s="47" t="n"/>
      <c r="E199" s="29" t="n"/>
      <c r="F199" s="29" t="n"/>
      <c r="G199" s="29" t="n"/>
      <c r="H199" s="29" t="n"/>
      <c r="I199" s="30" t="n"/>
      <c r="J199" s="30" t="n"/>
      <c r="K199" s="31" t="n"/>
      <c r="L199" s="34">
        <f>IF($A199="","",IF($C199="","",raporTarihi-$C199))</f>
        <v/>
      </c>
      <c r="M199" s="34">
        <f>IF($A199="","",IF($L199="","",IF($L199&lt;=7,"0-7",IF($L199&lt;=30,"8-30",IF($L199&lt;=60,"31-60","60+")))))</f>
        <v/>
      </c>
      <c r="N199" s="34">
        <f>IF($A199="","",IF($B199="","YETİM",IF(COUNTIF(tblEnvanter[BelgeId],$B199)=0,"YETİM","")))</f>
        <v/>
      </c>
      <c r="O199" s="34">
        <f>IF(OR($A199="",$E199=""),"",IF(OR($E199&amp;"|"&amp;$F199="",COUNTIF(ListeIzinliGecis,$E199&amp;"|"&amp;$F199)&gt;0),"","GEÇERSİZ GEÇİŞ"))</f>
        <v/>
      </c>
      <c r="P199" s="34">
        <f>IF($A199="","",IF(OR($I199="",$J199=""),"",IF(ABS($J199-$I199)&gt;zincirTolerans,"ZİNCİR KIRIK","OK")))</f>
        <v/>
      </c>
      <c r="Q199" s="34">
        <f>IF($A199="","",1)</f>
        <v/>
      </c>
    </row>
    <row r="200">
      <c r="A200" s="29" t="n"/>
      <c r="B200" s="29" t="n"/>
      <c r="C200" s="47" t="n"/>
      <c r="D200" s="47" t="n"/>
      <c r="E200" s="29" t="n"/>
      <c r="F200" s="29" t="n"/>
      <c r="G200" s="29" t="n"/>
      <c r="H200" s="29" t="n"/>
      <c r="I200" s="30" t="n"/>
      <c r="J200" s="30" t="n"/>
      <c r="K200" s="31" t="n"/>
      <c r="L200" s="34">
        <f>IF($A200="","",IF($C200="","",raporTarihi-$C200))</f>
        <v/>
      </c>
      <c r="M200" s="34">
        <f>IF($A200="","",IF($L200="","",IF($L200&lt;=7,"0-7",IF($L200&lt;=30,"8-30",IF($L200&lt;=60,"31-60","60+")))))</f>
        <v/>
      </c>
      <c r="N200" s="34">
        <f>IF($A200="","",IF($B200="","YETİM",IF(COUNTIF(tblEnvanter[BelgeId],$B200)=0,"YETİM","")))</f>
        <v/>
      </c>
      <c r="O200" s="34">
        <f>IF(OR($A200="",$E200=""),"",IF(OR($E200&amp;"|"&amp;$F200="",COUNTIF(ListeIzinliGecis,$E200&amp;"|"&amp;$F200)&gt;0),"","GEÇERSİZ GEÇİŞ"))</f>
        <v/>
      </c>
      <c r="P200" s="34">
        <f>IF($A200="","",IF(OR($I200="",$J200=""),"",IF(ABS($J200-$I200)&gt;zincirTolerans,"ZİNCİR KIRIK","OK")))</f>
        <v/>
      </c>
      <c r="Q200" s="34">
        <f>IF($A200="","",1)</f>
        <v/>
      </c>
    </row>
    <row r="201">
      <c r="A201" s="29" t="n"/>
      <c r="B201" s="29" t="n"/>
      <c r="C201" s="47" t="n"/>
      <c r="D201" s="47" t="n"/>
      <c r="E201" s="29" t="n"/>
      <c r="F201" s="29" t="n"/>
      <c r="G201" s="29" t="n"/>
      <c r="H201" s="29" t="n"/>
      <c r="I201" s="30" t="n"/>
      <c r="J201" s="30" t="n"/>
      <c r="K201" s="31" t="n"/>
      <c r="L201" s="34">
        <f>IF($A201="","",IF($C201="","",raporTarihi-$C201))</f>
        <v/>
      </c>
      <c r="M201" s="34">
        <f>IF($A201="","",IF($L201="","",IF($L201&lt;=7,"0-7",IF($L201&lt;=30,"8-30",IF($L201&lt;=60,"31-60","60+")))))</f>
        <v/>
      </c>
      <c r="N201" s="34">
        <f>IF($A201="","",IF($B201="","YETİM",IF(COUNTIF(tblEnvanter[BelgeId],$B201)=0,"YETİM","")))</f>
        <v/>
      </c>
      <c r="O201" s="34">
        <f>IF(OR($A201="",$E201=""),"",IF(OR($E201&amp;"|"&amp;$F201="",COUNTIF(ListeIzinliGecis,$E201&amp;"|"&amp;$F201)&gt;0),"","GEÇERSİZ GEÇİŞ"))</f>
        <v/>
      </c>
      <c r="P201" s="34">
        <f>IF($A201="","",IF(OR($I201="",$J201=""),"",IF(ABS($J201-$I201)&gt;zincirTolerans,"ZİNCİR KIRIK","OK")))</f>
        <v/>
      </c>
      <c r="Q201" s="34">
        <f>IF($A201="","",1)</f>
        <v/>
      </c>
    </row>
    <row r="202">
      <c r="A202" s="29" t="n"/>
      <c r="B202" s="29" t="n"/>
      <c r="C202" s="47" t="n"/>
      <c r="D202" s="47" t="n"/>
      <c r="E202" s="29" t="n"/>
      <c r="F202" s="29" t="n"/>
      <c r="G202" s="29" t="n"/>
      <c r="H202" s="29" t="n"/>
      <c r="I202" s="30" t="n"/>
      <c r="J202" s="30" t="n"/>
      <c r="K202" s="31" t="n"/>
      <c r="L202" s="34">
        <f>IF($A202="","",IF($C202="","",raporTarihi-$C202))</f>
        <v/>
      </c>
      <c r="M202" s="34">
        <f>IF($A202="","",IF($L202="","",IF($L202&lt;=7,"0-7",IF($L202&lt;=30,"8-30",IF($L202&lt;=60,"31-60","60+")))))</f>
        <v/>
      </c>
      <c r="N202" s="34">
        <f>IF($A202="","",IF($B202="","YETİM",IF(COUNTIF(tblEnvanter[BelgeId],$B202)=0,"YETİM","")))</f>
        <v/>
      </c>
      <c r="O202" s="34">
        <f>IF(OR($A202="",$E202=""),"",IF(OR($E202&amp;"|"&amp;$F202="",COUNTIF(ListeIzinliGecis,$E202&amp;"|"&amp;$F202)&gt;0),"","GEÇERSİZ GEÇİŞ"))</f>
        <v/>
      </c>
      <c r="P202" s="34">
        <f>IF($A202="","",IF(OR($I202="",$J202=""),"",IF(ABS($J202-$I202)&gt;zincirTolerans,"ZİNCİR KIRIK","OK")))</f>
        <v/>
      </c>
      <c r="Q202" s="34">
        <f>IF($A202="","",1)</f>
        <v/>
      </c>
    </row>
    <row r="203">
      <c r="A203" s="29" t="n"/>
      <c r="B203" s="29" t="n"/>
      <c r="C203" s="47" t="n"/>
      <c r="D203" s="47" t="n"/>
      <c r="E203" s="29" t="n"/>
      <c r="F203" s="29" t="n"/>
      <c r="G203" s="29" t="n"/>
      <c r="H203" s="29" t="n"/>
      <c r="I203" s="30" t="n"/>
      <c r="J203" s="30" t="n"/>
      <c r="K203" s="31" t="n"/>
      <c r="L203" s="34">
        <f>IF($A203="","",IF($C203="","",raporTarihi-$C203))</f>
        <v/>
      </c>
      <c r="M203" s="34">
        <f>IF($A203="","",IF($L203="","",IF($L203&lt;=7,"0-7",IF($L203&lt;=30,"8-30",IF($L203&lt;=60,"31-60","60+")))))</f>
        <v/>
      </c>
      <c r="N203" s="34">
        <f>IF($A203="","",IF($B203="","YETİM",IF(COUNTIF(tblEnvanter[BelgeId],$B203)=0,"YETİM","")))</f>
        <v/>
      </c>
      <c r="O203" s="34">
        <f>IF(OR($A203="",$E203=""),"",IF(OR($E203&amp;"|"&amp;$F203="",COUNTIF(ListeIzinliGecis,$E203&amp;"|"&amp;$F203)&gt;0),"","GEÇERSİZ GEÇİŞ"))</f>
        <v/>
      </c>
      <c r="P203" s="34">
        <f>IF($A203="","",IF(OR($I203="",$J203=""),"",IF(ABS($J203-$I203)&gt;zincirTolerans,"ZİNCİR KIRIK","OK")))</f>
        <v/>
      </c>
      <c r="Q203" s="34">
        <f>IF($A203="","",1)</f>
        <v/>
      </c>
    </row>
    <row r="204">
      <c r="A204" s="29" t="n"/>
      <c r="B204" s="29" t="n"/>
      <c r="C204" s="47" t="n"/>
      <c r="D204" s="47" t="n"/>
      <c r="E204" s="29" t="n"/>
      <c r="F204" s="29" t="n"/>
      <c r="G204" s="29" t="n"/>
      <c r="H204" s="29" t="n"/>
      <c r="I204" s="30" t="n"/>
      <c r="J204" s="30" t="n"/>
      <c r="K204" s="31" t="n"/>
      <c r="L204" s="34">
        <f>IF($A204="","",IF($C204="","",raporTarihi-$C204))</f>
        <v/>
      </c>
      <c r="M204" s="34">
        <f>IF($A204="","",IF($L204="","",IF($L204&lt;=7,"0-7",IF($L204&lt;=30,"8-30",IF($L204&lt;=60,"31-60","60+")))))</f>
        <v/>
      </c>
      <c r="N204" s="34">
        <f>IF($A204="","",IF($B204="","YETİM",IF(COUNTIF(tblEnvanter[BelgeId],$B204)=0,"YETİM","")))</f>
        <v/>
      </c>
      <c r="O204" s="34">
        <f>IF(OR($A204="",$E204=""),"",IF(OR($E204&amp;"|"&amp;$F204="",COUNTIF(ListeIzinliGecis,$E204&amp;"|"&amp;$F204)&gt;0),"","GEÇERSİZ GEÇİŞ"))</f>
        <v/>
      </c>
      <c r="P204" s="34">
        <f>IF($A204="","",IF(OR($I204="",$J204=""),"",IF(ABS($J204-$I204)&gt;zincirTolerans,"ZİNCİR KIRIK","OK")))</f>
        <v/>
      </c>
      <c r="Q204" s="34">
        <f>IF($A204="","",1)</f>
        <v/>
      </c>
    </row>
    <row r="205">
      <c r="A205" s="29" t="n"/>
      <c r="B205" s="29" t="n"/>
      <c r="C205" s="47" t="n"/>
      <c r="D205" s="47" t="n"/>
      <c r="E205" s="29" t="n"/>
      <c r="F205" s="29" t="n"/>
      <c r="G205" s="29" t="n"/>
      <c r="H205" s="29" t="n"/>
      <c r="I205" s="30" t="n"/>
      <c r="J205" s="30" t="n"/>
      <c r="K205" s="31" t="n"/>
      <c r="L205" s="34">
        <f>IF($A205="","",IF($C205="","",raporTarihi-$C205))</f>
        <v/>
      </c>
      <c r="M205" s="34">
        <f>IF($A205="","",IF($L205="","",IF($L205&lt;=7,"0-7",IF($L205&lt;=30,"8-30",IF($L205&lt;=60,"31-60","60+")))))</f>
        <v/>
      </c>
      <c r="N205" s="34">
        <f>IF($A205="","",IF($B205="","YETİM",IF(COUNTIF(tblEnvanter[BelgeId],$B205)=0,"YETİM","")))</f>
        <v/>
      </c>
      <c r="O205" s="34">
        <f>IF(OR($A205="",$E205=""),"",IF(OR($E205&amp;"|"&amp;$F205="",COUNTIF(ListeIzinliGecis,$E205&amp;"|"&amp;$F205)&gt;0),"","GEÇERSİZ GEÇİŞ"))</f>
        <v/>
      </c>
      <c r="P205" s="34">
        <f>IF($A205="","",IF(OR($I205="",$J205=""),"",IF(ABS($J205-$I205)&gt;zincirTolerans,"ZİNCİR KIRIK","OK")))</f>
        <v/>
      </c>
      <c r="Q205" s="34">
        <f>IF($A205="","",1)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Q3"/>
    <mergeCell ref="A1:Q1"/>
  </mergeCells>
  <conditionalFormatting sqref="N6:N205">
    <cfRule type="cellIs" priority="1" operator="equal" dxfId="0">
      <formula>"YETİM"</formula>
    </cfRule>
  </conditionalFormatting>
  <conditionalFormatting sqref="O6:O205">
    <cfRule type="cellIs" priority="2" operator="equal" dxfId="0">
      <formula>"GEÇERSİZ GEÇİŞ"</formula>
    </cfRule>
  </conditionalFormatting>
  <conditionalFormatting sqref="P6:P205">
    <cfRule type="cellIs" priority="3" operator="equal" dxfId="0">
      <formula>"ZİNCİR KIRIK"</formula>
    </cfRule>
    <cfRule type="cellIs" priority="4" operator="equal" dxfId="1">
      <formula>"OK"</formula>
    </cfRule>
  </conditionalFormatting>
  <conditionalFormatting sqref="F6:F205">
    <cfRule type="cellIs" priority="5" operator="equal" dxfId="9">
      <formula>"BEKLIYOR"</formula>
    </cfRule>
    <cfRule type="cellIs" priority="6" operator="equal" dxfId="3">
      <formula>"TAMAMLANDI"</formula>
    </cfRule>
    <cfRule type="cellIs" priority="7" operator="equal" dxfId="8">
      <formula>"IPTAL"</formula>
    </cfRule>
  </conditionalFormatting>
  <dataValidations count="2">
    <dataValidation sqref="E6:E205" showDropDown="0" showInputMessage="1" showErrorMessage="1" allowBlank="1" errorTitle="Liste" error="Listeden" promptTitle="Önceki Durum" prompt="Durum seçin" type="list" errorStyle="stop">
      <formula1>ListeDurumlar</formula1>
    </dataValidation>
    <dataValidation sqref="F6:F205" showDropDown="0" showInputMessage="1" showErrorMessage="1" allowBlank="1" errorTitle="Liste" error="Listeden" promptTitle="Durum" prompt="Durum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45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AKIS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9" t="inlineStr">
        <is>
          <t>Eylem akış özeti — KAYNAK_KART_ID / yetim / kuyruk</t>
        </is>
      </c>
    </row>
    <row r="4"/>
    <row r="5">
      <c r="A5" s="14" t="inlineStr">
        <is>
          <t>KAYNAK_KART_ID kontrolü</t>
        </is>
      </c>
    </row>
    <row r="6">
      <c r="A6" s="7" t="inlineStr">
        <is>
          <t>Yetim (YETİM) adet</t>
        </is>
      </c>
      <c r="B6" s="23">
        <f>COUNTIF(tblEylem[YetimBayrak],"YETİM")</f>
        <v/>
      </c>
    </row>
    <row r="7">
      <c r="A7" s="7" t="inlineStr">
        <is>
          <t>Geçersiz geçiş</t>
        </is>
      </c>
      <c r="B7" s="23">
        <f>COUNTIF(tblEylem[GecisUyarisi],"GEÇERSİZ GEÇİŞ")</f>
        <v/>
      </c>
    </row>
    <row r="8">
      <c r="A8" s="7" t="inlineStr">
        <is>
          <t>Zincir kırık</t>
        </is>
      </c>
      <c r="B8" s="23">
        <f>COUNTIF(tblEylem[ZincirBayrak],"ZİNCİR KIRIK")</f>
        <v/>
      </c>
    </row>
    <row r="9"/>
    <row r="10">
      <c r="A10" s="48" t="inlineStr">
        <is>
          <t>Kuyruk</t>
        </is>
      </c>
      <c r="B10" s="48" t="inlineStr">
        <is>
          <t>Adet</t>
        </is>
      </c>
      <c r="C10" s="48" t="inlineStr">
        <is>
          <t>Tutar</t>
        </is>
      </c>
    </row>
    <row r="11">
      <c r="A11" s="7" t="inlineStr">
        <is>
          <t>Planlandı</t>
        </is>
      </c>
      <c r="B11" s="23">
        <f>COUNTIFS(tblEylem[durum],"PLANLANDI",tblEylem[tutar],"&gt;0")</f>
        <v/>
      </c>
      <c r="C11" s="21">
        <f>SUMIFS(tblEylem[tutar],tblEylem[durum],"PLANLANDI")</f>
        <v/>
      </c>
    </row>
    <row r="12">
      <c r="A12" s="7" t="inlineStr">
        <is>
          <t>Devam</t>
        </is>
      </c>
      <c r="B12" s="23">
        <f>COUNTIFS(tblEylem[durum],"DEVAM",tblEylem[tutar],"&gt;0")</f>
        <v/>
      </c>
      <c r="C12" s="21">
        <f>SUMIFS(tblEylem[tutar],tblEylem[durum],"DEVAM")</f>
        <v/>
      </c>
    </row>
    <row r="13">
      <c r="A13" s="7" t="inlineStr">
        <is>
          <t>Bekliyor</t>
        </is>
      </c>
      <c r="B13" s="23">
        <f>COUNTIFS(tblEylem[durum],"BEKLIYOR",tblEylem[tutar],"&gt;0")</f>
        <v/>
      </c>
      <c r="C13" s="21">
        <f>SUMIFS(tblEylem[tutar],tblEylem[durum],"BEKLIYOR")</f>
        <v/>
      </c>
    </row>
    <row r="14"/>
    <row r="15">
      <c r="A15" s="14" t="inlineStr">
        <is>
          <t>Kapalı (Tamamlandı+İptal) kuyruktan düşer</t>
        </is>
      </c>
    </row>
    <row r="16">
      <c r="A16" s="7" t="inlineStr">
        <is>
          <t>Tamamlandı</t>
        </is>
      </c>
      <c r="B16" s="23">
        <f>COUNTIFS(tblEylem[durum],"TAMAMLANDI",tblEylem[tutar],"&gt;0")</f>
        <v/>
      </c>
    </row>
    <row r="17">
      <c r="A17" s="7" t="inlineStr">
        <is>
          <t>İptal</t>
        </is>
      </c>
      <c r="B17" s="23">
        <f>COUNTIFS(tblEylem[durum],"IPTAL",tblEylem[tutar],"&gt;0")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">
    <cfRule type="cellIs" priority="1" operator="greaterThan" dxfId="0">
      <formula>0</formula>
    </cfRule>
    <cfRule type="cellIs" priority="2" operator="equal" dxfId="1">
      <formula>0</formula>
    </cfRule>
  </conditionalFormatting>
  <conditionalFormatting sqref="B7">
    <cfRule type="cellIs" priority="3" operator="greaterThan" dxfId="0">
      <formula>0</formula>
    </cfRule>
    <cfRule type="cellIs" priority="4" operator="equal" dxfId="1">
      <formula>0</formula>
    </cfRule>
  </conditionalFormatting>
  <conditionalFormatting sqref="B8">
    <cfRule type="cellIs" priority="5" operator="greaterThan" dxfId="0">
      <formula>0</formula>
    </cfRule>
    <cfRule type="cellIs" priority="6" operator="equal" dxfId="1">
      <formula>0</formula>
    </cfRule>
  </conditionalFormatting>
  <conditionalFormatting sqref="B11">
    <cfRule type="cellIs" priority="7" operator="greaterThan" dxfId="9">
      <formula>0</formula>
    </cfRule>
  </conditionalFormatting>
  <conditionalFormatting sqref="B12">
    <cfRule type="cellIs" priority="8" operator="greaterThan" dxfId="9">
      <formula>0</formula>
    </cfRule>
  </conditionalFormatting>
  <conditionalFormatting sqref="B13">
    <cfRule type="cellIs" priority="9" operator="greaterThan" dxfId="9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.5" customWidth="1" min="2" max="2"/>
    <col width="16.5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SENARYO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Senaryo ve duyarlılık</t>
        </is>
      </c>
    </row>
    <row r="4"/>
    <row r="5">
      <c r="A5" s="48" t="inlineStr">
        <is>
          <t>Senaryo</t>
        </is>
      </c>
      <c r="B5" s="48" t="inlineStr">
        <is>
          <t>Ciro Çarpanı</t>
        </is>
      </c>
      <c r="C5" s="48" t="inlineStr">
        <is>
          <t>Zorunlu Adet</t>
        </is>
      </c>
      <c r="D5" s="48" t="inlineStr">
        <is>
          <t>Karar</t>
        </is>
      </c>
      <c r="G5" s="48" t="inlineStr">
        <is>
          <t>AdetDemo</t>
        </is>
      </c>
    </row>
    <row r="6">
      <c r="A6" s="7" t="inlineStr">
        <is>
          <t>İyimser</t>
        </is>
      </c>
      <c r="B6" s="60">
        <f>IFERROR(ebr_senaryoIyi+N(GIRDI!B9)*0,0.9)</f>
        <v/>
      </c>
      <c r="C6" s="32">
        <f>IFERROR(MOTOR!G35,0)</f>
        <v/>
      </c>
      <c r="D6" s="22">
        <f>IF(COUNTA(tblGirdi[Alan Anahtarı])=0,"VERİ YOK",IF(C6=0,"EŞİK ALTI","ZORUNLU"))</f>
        <v/>
      </c>
      <c r="G6" s="23" t="n">
        <v>2</v>
      </c>
    </row>
    <row r="7">
      <c r="A7" s="7" t="inlineStr">
        <is>
          <t>Baz</t>
        </is>
      </c>
      <c r="B7" s="60">
        <f>IFERROR(1+N(GIRDI!B9)*0,1)</f>
        <v/>
      </c>
      <c r="C7" s="32">
        <f>IFERROR(ebr_zorunluAdet,0)</f>
        <v/>
      </c>
      <c r="D7" s="22">
        <f>IF(COUNTA(tblGirdi[Alan Anahtarı])=0,"VERİ YOK",IF(C7=0,"EŞİK ALTI","ZORUNLU"))</f>
        <v/>
      </c>
      <c r="G7" s="23" t="n">
        <v>3</v>
      </c>
    </row>
    <row r="8">
      <c r="A8" s="7" t="inlineStr">
        <is>
          <t>Kötümser</t>
        </is>
      </c>
      <c r="B8" s="60">
        <f>IFERROR(ebr_senaryoKotu+N(GIRDI!B9)*0,1.1)</f>
        <v/>
      </c>
      <c r="C8" s="32">
        <f>IFERROR(MOTOR!G36,0)</f>
        <v/>
      </c>
      <c r="D8" s="22">
        <f>IF(COUNTA(tblGirdi[Alan Anahtarı])=0,"VERİ YOK",IF(C8=0,"EŞİK ALTI","ZORUNLU"))</f>
        <v/>
      </c>
      <c r="G8" s="23" t="n">
        <v>4</v>
      </c>
    </row>
    <row r="9">
      <c r="A9" s="7" t="inlineStr">
        <is>
          <t>M-SEN eşik artışı</t>
        </is>
      </c>
      <c r="B9" s="60">
        <f>IFERROR(1+N(GIRDI!B9)*0,1)</f>
        <v/>
      </c>
      <c r="C9" s="32">
        <f>IFERROR(MOTOR!G38,0)</f>
        <v/>
      </c>
      <c r="D9" s="22">
        <f>IF(COUNTA(tblGirdi[Alan Anahtarı])=0,"VERİ YOK",IF(C9=0,"EŞİK ALTI","ZORUNLU"))</f>
        <v/>
      </c>
      <c r="G9" s="23" t="n">
        <v>2</v>
      </c>
    </row>
    <row r="10"/>
    <row r="11">
      <c r="A11" s="14" t="inlineStr">
        <is>
          <t>Senaryo bant (kötümser−iyimser)</t>
        </is>
      </c>
      <c r="B11" s="32">
        <f>IFERROR(C8-C6,0)</f>
        <v/>
      </c>
    </row>
    <row r="12">
      <c r="A12" s="14" t="inlineStr">
        <is>
          <t>Senaryo yorumu</t>
        </is>
      </c>
      <c r="B12" s="15">
        <f>_xlfn.TEXTJOIN("; ",TRUE,"İyimser ",TEXT(C6,"0")," · Baz ",TEXT(C7,"0")," · Kötümser ",TEXT(C8,"0")," · Bant ",TEXT(B11,"0"))</f>
        <v/>
      </c>
    </row>
    <row r="13"/>
    <row r="14">
      <c r="A14" s="5" t="inlineStr">
        <is>
          <t>Duyarlılık (tornado)</t>
        </is>
      </c>
    </row>
    <row r="15">
      <c r="A15" s="48" t="inlineStr">
        <is>
          <t>Değişken</t>
        </is>
      </c>
      <c r="B15" s="48" t="inlineStr">
        <is>
          <t>Etki</t>
        </is>
      </c>
      <c r="C15" s="48" t="inlineStr">
        <is>
          <t>Sıra</t>
        </is>
      </c>
    </row>
    <row r="16">
      <c r="A16" s="7" t="inlineStr">
        <is>
          <t>Tornado ciro etkisi</t>
        </is>
      </c>
      <c r="B16" s="32">
        <f>IFERROR(MOTOR!G42,0)</f>
        <v/>
      </c>
      <c r="C16" s="32">
        <f>IFERROR(IF(B16&gt;=MAX(B16:B18),1,IF(B16=MEDIAN(B16:B18),2,3)),3)</f>
        <v/>
      </c>
    </row>
    <row r="17">
      <c r="A17" s="7" t="inlineStr">
        <is>
          <t>Tornado eşik etkisi</t>
        </is>
      </c>
      <c r="B17" s="32">
        <f>IFERROR(MOTOR!G43,0)</f>
        <v/>
      </c>
      <c r="C17" s="32">
        <f>IFERROR(IF(B17&gt;=MAX(B16:B18),1,IF(B17=MEDIAN(B16:B18),2,3)),3)</f>
        <v/>
      </c>
    </row>
    <row r="18">
      <c r="A18" s="7" t="inlineStr">
        <is>
          <t>Tornado yorum etkisi</t>
        </is>
      </c>
      <c r="B18" s="32">
        <f>IFERROR(MOTOR!G44,0)</f>
        <v/>
      </c>
      <c r="C18" s="32">
        <f>IFERROR(IF(B18&gt;=MAX(B16:B18),1,IF(B18=MEDIAN(B16:B18),2,3)),3)</f>
        <v/>
      </c>
    </row>
    <row r="19">
      <c r="A19" s="14" t="inlineStr">
        <is>
          <t>Duyarlılık sıra özeti</t>
        </is>
      </c>
      <c r="B19" s="22">
        <f>IFERROR(CONCATENATE("1)",INDEX(A16:A18,MATCH(1,C16:C18,0))," 2)",INDEX(A16:A18,MATCH(2,C16:C18,0))),"-")</f>
        <v/>
      </c>
    </row>
    <row r="20">
      <c r="A20" s="14" t="inlineStr">
        <is>
          <t>Duyarlılık yorumu</t>
        </is>
      </c>
      <c r="B20" s="15">
        <f>_xlfn.TEXTJOIN("; ",TRUE,"En yüksek etki ",TEXT(MAX(B16:B18),"0")," — öncelik bu değişkende")</f>
        <v/>
      </c>
    </row>
    <row r="21"/>
    <row r="22">
      <c r="A22" s="14" t="inlineStr">
        <is>
          <t>M-SEN kural değişimi farkı</t>
        </is>
      </c>
      <c r="B22" s="32">
        <f>IFERROR(MOTOR!G39,0)</f>
        <v/>
      </c>
    </row>
    <row r="23">
      <c r="A23" s="14" t="inlineStr">
        <is>
          <t>M-SEN yorumu</t>
        </is>
      </c>
      <c r="B23" s="15">
        <f>_xlfn.TEXTJOIN("; ",TRUE,"Eşik artışı senaryosunda zorunlu adet farkı ",TEXT(B22,"0"))</f>
        <v/>
      </c>
    </row>
    <row r="24"/>
    <row r="25">
      <c r="A25" s="14" t="inlineStr">
        <is>
          <t>Tahmin aralığı</t>
        </is>
      </c>
      <c r="B25" s="32">
        <f>MOTOR!G41</f>
        <v/>
      </c>
      <c r="C25" s="32">
        <f>ebr_zorunluAdet</f>
        <v/>
      </c>
      <c r="D25" s="32">
        <f>MOTOR!G40</f>
        <v/>
      </c>
    </row>
    <row r="26"/>
    <row r="27"/>
    <row r="28">
      <c r="A28" s="23" t="n">
        <v>1</v>
      </c>
      <c r="B28" s="32">
        <f>C6</f>
        <v/>
      </c>
    </row>
    <row r="29">
      <c r="A29" s="23" t="n">
        <v>2</v>
      </c>
      <c r="B29" s="32">
        <f>C7</f>
        <v/>
      </c>
    </row>
    <row r="30">
      <c r="A30" s="23" t="n">
        <v>3</v>
      </c>
      <c r="B30" s="32">
        <f>C8</f>
        <v/>
      </c>
    </row>
    <row r="31">
      <c r="A31" s="23" t="n">
        <v>4</v>
      </c>
      <c r="B31" s="32">
        <f>C9</f>
        <v/>
      </c>
    </row>
    <row r="32">
      <c r="A32" s="7" t="inlineStr">
        <is>
          <t>Tahmin sonraki</t>
        </is>
      </c>
      <c r="B32" s="32">
        <f>IFERROR(FORECAST.LINEAR(5,B28:B31,A28:A31),0)</f>
        <v/>
      </c>
    </row>
    <row r="33">
      <c r="A33" s="14" t="inlineStr">
        <is>
          <t>Tahmin yorumu</t>
        </is>
      </c>
      <c r="B33" s="15">
        <f>_xlfn.TEXTJOIN("; ",TRUE,"Tahmin ",TEXT(B32,"0")," · Alt ",TEXT(B25,"0")," · Üst ",TEXT(D25,"0"))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:C9">
    <cfRule type="cellIs" priority="1" operator="greaterThan" dxfId="9">
      <formula>0</formula>
    </cfRule>
  </conditionalFormatting>
  <conditionalFormatting sqref="B16:B18">
    <cfRule type="cellIs" priority="2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36" customWidth="1" min="2" max="2"/>
    <col width="39.5" customWidth="1" min="3" max="3"/>
    <col width="18.5" customWidth="1" min="4" max="4"/>
    <col width="14.5" customWidth="1" min="5" max="5"/>
    <col width="10" customWidth="1" min="6" max="6"/>
    <col width="12" customWidth="1" min="7" max="7"/>
    <col width="24.5" customWidth="1" min="8" max="8"/>
    <col width="13" customWidth="1" min="9" max="9"/>
  </cols>
  <sheetData>
    <row r="1" ht="32" customHeight="1">
      <c r="A1" s="198" t="inlineStr">
        <is>
          <t>VAKALAR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</row>
    <row r="2"/>
    <row r="3" ht="22" customHeight="1">
      <c r="A3" s="218" t="inlineStr">
        <is>
          <t>Tebliğ tarzı altın vakalar</t>
        </is>
      </c>
    </row>
    <row r="4"/>
    <row r="5" ht="30" customHeight="1">
      <c r="A5" s="18" t="inlineStr">
        <is>
          <t>vaka_id</t>
        </is>
      </c>
      <c r="B5" s="18" t="inlineStr">
        <is>
          <t>aciklama</t>
        </is>
      </c>
      <c r="C5" s="18" t="inlineStr">
        <is>
          <t>girdi_ozeti</t>
        </is>
      </c>
      <c r="D5" s="18" t="inlineStr">
        <is>
          <t>beklenen_sonuc</t>
        </is>
      </c>
      <c r="E5" s="18" t="inlineStr">
        <is>
          <t>hesaplanan</t>
        </is>
      </c>
      <c r="F5" s="18" t="inlineStr">
        <is>
          <t>fark</t>
        </is>
      </c>
      <c r="G5" s="18" t="inlineStr">
        <is>
          <t>durum</t>
        </is>
      </c>
      <c r="H5" s="18" t="inlineStr">
        <is>
          <t>kaynak</t>
        </is>
      </c>
    </row>
    <row r="6">
      <c r="A6" s="28" t="inlineStr">
        <is>
          <t>V-001</t>
        </is>
      </c>
      <c r="B6" s="28" t="inlineStr">
        <is>
          <t>Ciro 4.5M — e-Fatura zorunlu</t>
        </is>
      </c>
      <c r="C6" s="28" t="inlineStr">
        <is>
          <t>ciro=vaka_ciro_1; eşik=EBR-001/2025</t>
        </is>
      </c>
      <c r="D6" s="50" t="n">
        <v>1</v>
      </c>
      <c r="E6" s="32">
        <f>IFERROR(IF(vaka_ciro_1&gt;=INDEX(tblKurallar[deger_2025],MATCH("EBR-001",tblKurallar[kural_id],0)),1,0),0)</f>
        <v/>
      </c>
      <c r="F6" s="32">
        <f>IFERROR(D6-E6,0)</f>
        <v/>
      </c>
      <c r="G6" s="22">
        <f>IFERROR(IF(ABS(F6)&lt;=ebr_tolerans,"TUTARLI","KIRIK"),"KIRIK")</f>
        <v/>
      </c>
      <c r="H6" s="28" t="inlineStr">
        <is>
          <t>GİB e-Fatura örnek</t>
        </is>
      </c>
    </row>
    <row r="7">
      <c r="A7" s="28" t="inlineStr">
        <is>
          <t>V-002</t>
        </is>
      </c>
      <c r="B7" s="28" t="inlineStr">
        <is>
          <t>Ciro 400K — e-Arşiv altı</t>
        </is>
      </c>
      <c r="C7" s="28" t="inlineStr">
        <is>
          <t>ciro=vaka_ciro_2; eşik=EBR-002/2025</t>
        </is>
      </c>
      <c r="D7" s="50" t="n">
        <v>0</v>
      </c>
      <c r="E7" s="32">
        <f>IFERROR(IF(vaka_ciro_2&gt;=INDEX(tblKurallar[deger_2025],MATCH("EBR-002",tblKurallar[kural_id],0)),1,0),0)</f>
        <v/>
      </c>
      <c r="F7" s="32">
        <f>IFERROR(D7-E7,0)</f>
        <v/>
      </c>
      <c r="G7" s="22">
        <f>IFERROR(IF(ABS(F7)&lt;=ebr_tolerans,"TUTARLI","KIRIK"),"KIRIK")</f>
        <v/>
      </c>
      <c r="H7" s="28" t="inlineStr">
        <is>
          <t>GİB e-Arşiv örnek</t>
        </is>
      </c>
    </row>
    <row r="8">
      <c r="A8" s="28" t="inlineStr">
        <is>
          <t>V-003</t>
        </is>
      </c>
      <c r="B8" s="28" t="inlineStr">
        <is>
          <t>Ciro 600K — e-Arşiv zorunlu</t>
        </is>
      </c>
      <c r="C8" s="28" t="inlineStr">
        <is>
          <t>ciro=vaka_ciro_3; eşik=EBR-002/2025</t>
        </is>
      </c>
      <c r="D8" s="50" t="n">
        <v>1</v>
      </c>
      <c r="E8" s="32">
        <f>IFERROR(IF(vaka_ciro_3&gt;=INDEX(tblKurallar[deger_2025],MATCH("EBR-002",tblKurallar[kural_id],0)),1,0),0)</f>
        <v/>
      </c>
      <c r="F8" s="32">
        <f>IFERROR(D8-E8,0)</f>
        <v/>
      </c>
      <c r="G8" s="22">
        <f>IFERROR(IF(ABS(F8)&lt;=ebr_tolerans,"TUTARLI","KIRIK"),"KIRIK")</f>
        <v/>
      </c>
      <c r="H8" s="28" t="inlineStr">
        <is>
          <t>GİB e-Arşiv örnek</t>
        </is>
      </c>
    </row>
    <row r="9">
      <c r="A9" s="28" t="inlineStr">
        <is>
          <t>V-004</t>
        </is>
      </c>
      <c r="B9" s="28" t="inlineStr">
        <is>
          <t>Ciro 11M — e-İrsaliye zorunlu</t>
        </is>
      </c>
      <c r="C9" s="28" t="inlineStr">
        <is>
          <t>ciro=vaka_ciro_4; eşik=EBR-004/2025</t>
        </is>
      </c>
      <c r="D9" s="50" t="n">
        <v>1</v>
      </c>
      <c r="E9" s="32">
        <f>IFERROR(IF(vaka_ciro_4&gt;=INDEX(tblKurallar[deger_2025],MATCH("EBR-004",tblKurallar[kural_id],0)),1,0),0)</f>
        <v/>
      </c>
      <c r="F9" s="32">
        <f>IFERROR(D9-E9,0)</f>
        <v/>
      </c>
      <c r="G9" s="22">
        <f>IFERROR(IF(ABS(F9)&lt;=ebr_tolerans,"TUTARLI","KIRIK"),"KIRIK")</f>
        <v/>
      </c>
      <c r="H9" s="28" t="inlineStr">
        <is>
          <t>GİB e-İrsaliye örnek</t>
        </is>
      </c>
    </row>
    <row r="10"/>
    <row r="11"/>
    <row r="12">
      <c r="A12" s="14" t="inlineStr">
        <is>
          <t>Vaka durum özeti</t>
        </is>
      </c>
      <c r="B12" s="15">
        <f>_xlfn.TEXTJOIN(" | ",TRUE,IF(G6="TUTARLI","V1 OK",G6),IF(G7="TUTARLI","V2 OK",G7),IF(G8="TUTARLI","V3 OK",G8),IF(G9="TUTARLI","V4 OK",G9))</f>
        <v/>
      </c>
    </row>
    <row r="13">
      <c r="A13" s="14" t="inlineStr">
        <is>
          <t>Vaka fark toplamı</t>
        </is>
      </c>
      <c r="B13" s="32">
        <f>IFERROR(SUM(F6:F9),0)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G6">
    <cfRule type="cellIs" priority="1" operator="equal" dxfId="1">
      <formula>"TUTARLI"</formula>
    </cfRule>
    <cfRule type="cellIs" priority="2" operator="equal" dxfId="0">
      <formula>"KIRIK"</formula>
    </cfRule>
  </conditionalFormatting>
  <conditionalFormatting sqref="G7">
    <cfRule type="cellIs" priority="3" operator="equal" dxfId="1">
      <formula>"TUTARLI"</formula>
    </cfRule>
    <cfRule type="cellIs" priority="4" operator="equal" dxfId="0">
      <formula>"KIRIK"</formula>
    </cfRule>
  </conditionalFormatting>
  <conditionalFormatting sqref="G8">
    <cfRule type="cellIs" priority="5" operator="equal" dxfId="1">
      <formula>"TUTARLI"</formula>
    </cfRule>
    <cfRule type="cellIs" priority="6" operator="equal" dxfId="0">
      <formula>"KIRIK"</formula>
    </cfRule>
  </conditionalFormatting>
  <conditionalFormatting sqref="G9">
    <cfRule type="cellIs" priority="7" operator="equal" dxfId="1">
      <formula>"TUTARLI"</formula>
    </cfRule>
    <cfRule type="cellIs" priority="8" operator="equal" dxfId="0">
      <formula>"KIRIK"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C30"/>
  <sheetViews>
    <sheetView showGridLines="0" workbookViewId="0">
      <selection activeCell="A1" sqref="A1"/>
    </sheetView>
  </sheetViews>
  <sheetFormatPr baseColWidth="8" defaultRowHeight="15"/>
  <cols>
    <col width="91.5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KANIT RAPORU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7" t="inlineStr">
        <is>
          <t>Denetim Kanıt Raporu — e-Belge Zorunluluk</t>
        </is>
      </c>
    </row>
    <row r="4">
      <c r="A4" s="11" t="inlineStr">
        <is>
          <t>Ürün</t>
        </is>
      </c>
      <c r="B4" s="7" t="inlineStr">
        <is>
          <t>e-Belge Zorunluluk Radarı</t>
        </is>
      </c>
    </row>
    <row r="5">
      <c r="A5" s="11" t="inlineStr">
        <is>
          <t>Sürüm</t>
        </is>
      </c>
      <c r="B5" s="7" t="inlineStr">
        <is>
          <t>1.0.0</t>
        </is>
      </c>
    </row>
    <row r="6">
      <c r="A6" s="11" t="inlineStr">
        <is>
          <t>Rapor türü</t>
        </is>
      </c>
      <c r="B6" s="7" t="inlineStr">
        <is>
          <t>Kanıt çıktısı — müşteriye/imza için</t>
        </is>
      </c>
    </row>
    <row r="7">
      <c r="A7" s="11" t="inlineStr">
        <is>
          <t>Ortam</t>
        </is>
      </c>
      <c r="B7" s="7" t="inlineStr">
        <is>
          <t>Çevrimdışı · makro yok · telemetri yok</t>
        </is>
      </c>
    </row>
    <row r="8">
      <c r="A8" s="11" t="inlineStr">
        <is>
          <t>Firma</t>
        </is>
      </c>
      <c r="B8" s="22">
        <f>GIRDI!B6</f>
        <v/>
      </c>
    </row>
    <row r="9">
      <c r="A9" s="52" t="inlineStr">
        <is>
          <t>Karar</t>
        </is>
      </c>
      <c r="B9" s="53">
        <f>ebr_kararMetni</f>
        <v/>
      </c>
    </row>
    <row r="10">
      <c r="A10" s="7" t="inlineStr">
        <is>
          <t>Gerekçe</t>
        </is>
      </c>
      <c r="B10" s="8">
        <f>ebr_kararGerekce</f>
        <v/>
      </c>
    </row>
    <row r="11"/>
    <row r="12">
      <c r="A12" s="7" t="inlineStr">
        <is>
          <t>Brüt Satış</t>
        </is>
      </c>
      <c r="B12" s="42">
        <f>ebr_ciro</f>
        <v/>
      </c>
    </row>
    <row r="13">
      <c r="A13" s="7" t="inlineStr">
        <is>
          <t>Zorunlu Adet</t>
        </is>
      </c>
      <c r="B13" s="32">
        <f>ebr_zorunluAdet</f>
        <v/>
      </c>
    </row>
    <row r="14">
      <c r="A14" s="7" t="inlineStr">
        <is>
          <t>Madde Atıf</t>
        </is>
      </c>
      <c r="B14" s="15">
        <f>ebr_maddeAtifMetni</f>
        <v/>
      </c>
    </row>
    <row r="15">
      <c r="A15" s="7" t="inlineStr">
        <is>
          <t>Kanıt Özeti</t>
        </is>
      </c>
      <c r="B15" s="15">
        <f>ebr_kanitRaporu</f>
        <v/>
      </c>
    </row>
    <row r="16">
      <c r="A16" s="7" t="inlineStr">
        <is>
          <t>Vaka Durum</t>
        </is>
      </c>
      <c r="B16" s="15">
        <f>ebr_vakaDurum</f>
        <v/>
      </c>
    </row>
    <row r="17"/>
    <row r="18">
      <c r="A18" s="54" t="inlineStr">
        <is>
          <t>Uyarılar</t>
        </is>
      </c>
    </row>
    <row r="19">
      <c r="A19" s="7" t="inlineStr">
        <is>
          <t>Yetim / Geçiş / Zincir</t>
        </is>
      </c>
      <c r="B19" s="22">
        <f>_xlfn.TEXTJOIN(" | ",TRUE,"Yetim=",TEXT(MOTOR!G45,"0"),"Geçiş=",TEXT(MOTOR!G46,"0"),"Zincir=",TEXT(MOTOR!G47,"0"))</f>
        <v/>
      </c>
    </row>
    <row r="20"/>
    <row r="21"/>
    <row r="22">
      <c r="A22" s="11" t="inlineStr">
        <is>
          <t>Hazırlayan</t>
        </is>
      </c>
      <c r="B22" s="55" t="n"/>
    </row>
    <row r="23">
      <c r="A23" s="11" t="inlineStr">
        <is>
          <t>Kontrol eden</t>
        </is>
      </c>
      <c r="B23" s="55" t="n"/>
    </row>
    <row r="24">
      <c r="A24" s="11" t="inlineStr">
        <is>
          <t>Tarih</t>
        </is>
      </c>
      <c r="B24" s="7">
        <f>raporTarihi</f>
        <v/>
      </c>
    </row>
    <row r="25">
      <c r="A25" s="11" t="inlineStr">
        <is>
          <t>Kaşe / imza</t>
        </is>
      </c>
      <c r="B25" s="55" t="n"/>
    </row>
    <row r="26"/>
    <row r="27"/>
    <row r="28"/>
    <row r="29"/>
    <row r="30">
      <c r="A30" s="56" t="inlineStr">
        <is>
          <t>Bu rapor karar destek çıktısıdır; GİB başvurusu veya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14:H14"/>
    <mergeCell ref="A1:I1"/>
    <mergeCell ref="B15:H15"/>
    <mergeCell ref="B10:H10"/>
    <mergeCell ref="A3:I3"/>
  </mergeCells>
  <conditionalFormatting sqref="B9">
    <cfRule type="expression" priority="1" dxfId="1">
      <formula>ISNUMBER(SEARCH("UYGUN",B9))</formula>
    </cfRule>
    <cfRule type="expression" priority="2" dxfId="2">
      <formula>ISNUMBER(SEARCH("DİKKAT",B9))</formula>
    </cfRule>
    <cfRule type="expression" priority="3" dxfId="0">
      <formula>ISNUMBER(SEARCH("VERİ YOK",B9))</formula>
    </cfRule>
  </conditionalFormatting>
  <conditionalFormatting sqref="B12">
    <cfRule type="cellIs" priority="4" operator="greaterThan" dxfId="3">
      <formula>0</formula>
    </cfRule>
  </conditionalFormatting>
  <conditionalFormatting sqref="B13">
    <cfRule type="cellIs" priority="5" operator="greaterThan" dxfId="3">
      <formula>0</formula>
    </cfRule>
  </conditionalFormatting>
  <conditionalFormatting sqref="B14">
    <cfRule type="cellIs" priority="6" operator="greaterThan" dxfId="3">
      <formula>0</formula>
    </cfRule>
  </conditionalFormatting>
  <conditionalFormatting sqref="B15">
    <cfRule type="cellIs" priority="7" operator="greaterThan" dxfId="3">
      <formula>0</formula>
    </cfRule>
  </conditionalFormatting>
  <conditionalFormatting sqref="B16">
    <cfRule type="cellIs" priority="8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&amp;Le-Belge Zorunluluk Radarı | Kanıt | 1.0.0&amp;CExcelArşiv&amp;RSayfa &amp;P / &amp;N</oddFooter>
    <evenHeader/>
    <evenFooter>&amp;Le-Belge Zorunluluk Radarı | Kanıt |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KONTROLLER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Canlı kontrol paneli</t>
        </is>
      </c>
    </row>
    <row r="4"/>
    <row r="5">
      <c r="A5" s="28" t="inlineStr">
        <is>
          <t>Giriş tablosu boş mu?</t>
        </is>
      </c>
      <c r="B5" s="22">
        <f>IF(COUNTA(tblGirdi[Alan Anahtarı])=0,"BOŞ","DOLU")</f>
        <v/>
      </c>
    </row>
    <row r="6">
      <c r="A6" s="28" t="inlineStr">
        <is>
          <t>Negatif brüt satış?</t>
        </is>
      </c>
      <c r="B6" s="22">
        <f>IF(GIRDI!B9&lt;0,"NEGATİF","TEMİZ")</f>
        <v/>
      </c>
    </row>
    <row r="7">
      <c r="A7" s="28" t="inlineStr">
        <is>
          <t>Hesap yılı geçerli mi?</t>
        </is>
      </c>
      <c r="B7" s="22">
        <f>IFERROR(IF(AND(N(hesapYili)&gt;N(ebr_yilTaban),N(hesapYili)&lt;=N(ebr_yilTaban)+3),"TEMİZ","HATALI"),"HATALI")</f>
        <v/>
      </c>
    </row>
    <row r="8">
      <c r="A8" s="28" t="inlineStr">
        <is>
          <t>Ciro sıfır mı?</t>
        </is>
      </c>
      <c r="B8" s="22">
        <f>IF(IFERROR(ebr_ciro,0)=0,"SIFIR","NORMAL")</f>
        <v/>
      </c>
    </row>
    <row r="9">
      <c r="A9" s="28" t="inlineStr">
        <is>
          <t>Vaka fark toplamı</t>
        </is>
      </c>
      <c r="B9" s="22">
        <f>IFERROR(ebr_vakaFark,0)</f>
        <v/>
      </c>
    </row>
    <row r="10">
      <c r="A10" s="28" t="inlineStr">
        <is>
          <t>Yetim kayıt var mı?</t>
        </is>
      </c>
      <c r="B10" s="22">
        <f>IF(IFERROR(MOTOR!G45,0)&gt;0,"YETİM VAR","TEMİZ")</f>
        <v/>
      </c>
    </row>
    <row r="11">
      <c r="A11" s="28" t="inlineStr">
        <is>
          <t>Geçersiz geçiş var mı?</t>
        </is>
      </c>
      <c r="B11" s="22">
        <f>IF(IFERROR(MOTOR!G46,0)&gt;0,"GEÇERSİZ VAR","TEMİZ")</f>
        <v/>
      </c>
    </row>
    <row r="12">
      <c r="A12" s="14" t="inlineStr">
        <is>
          <t>Kalite skoru</t>
        </is>
      </c>
      <c r="B12" s="57">
        <f>IFERROR(ROUND(IF(OR(B14=0,B14=""),0,B15/B14*100),0),0)</f>
        <v/>
      </c>
    </row>
    <row r="13"/>
    <row r="14">
      <c r="A14" s="28" t="inlineStr">
        <is>
          <t>Beklenen giriş</t>
        </is>
      </c>
      <c r="B14" s="32">
        <f>IFERROR(ebr_girisBeklenen+N(GIRDI!B9)*0,0)</f>
        <v/>
      </c>
    </row>
    <row r="15">
      <c r="A15" s="28" t="inlineStr">
        <is>
          <t>Dolu giriş</t>
        </is>
      </c>
      <c r="B15" s="32">
        <f>COUNTA(GIRDI!B6:B11)</f>
        <v/>
      </c>
    </row>
    <row r="16"/>
    <row r="17">
      <c r="A17" s="28" t="inlineStr">
        <is>
          <t>Zorunlu adet kontrol</t>
        </is>
      </c>
      <c r="B17" s="32">
        <f>IFERROR(ebr_zorunluAdet,0)</f>
        <v/>
      </c>
    </row>
    <row r="18">
      <c r="A18" s="28" t="inlineStr">
        <is>
          <t>Karar kontrol</t>
        </is>
      </c>
      <c r="B18" s="22">
        <f>IFERROR(ebr_kararMetni,"-")</f>
        <v/>
      </c>
    </row>
    <row r="19">
      <c r="A19" s="28" t="inlineStr">
        <is>
          <t>Zincir kırık kontrol</t>
        </is>
      </c>
      <c r="B19" s="32">
        <f>IFERROR(MOTOR!G47,0)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AC100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3.5" customWidth="1" min="3" max="3"/>
    <col width="13.5" customWidth="1" min="4" max="4"/>
    <col width="18.5" customWidth="1" min="5" max="5"/>
    <col width="1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ORNEK VERI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Örnek senaryo kütüphanesi</t>
        </is>
      </c>
    </row>
    <row r="4">
      <c r="A4" s="11" t="inlineStr">
        <is>
          <t>Demo değerler; GIRDI'ye kopyalanabilir.</t>
        </is>
      </c>
    </row>
    <row r="5" ht="30" customHeight="1">
      <c r="A5" s="18" t="inlineStr">
        <is>
          <t>Senaryo</t>
        </is>
      </c>
      <c r="B5" s="18" t="inlineStr">
        <is>
          <t>BrutSatis</t>
        </is>
      </c>
      <c r="C5" s="18" t="inlineStr">
        <is>
          <t>HesapYili</t>
        </is>
      </c>
      <c r="D5" s="18" t="inlineStr">
        <is>
          <t>CiroYorum</t>
        </is>
      </c>
      <c r="E5" s="18" t="inlineStr">
        <is>
          <t>EfaturaZorunlu</t>
        </is>
      </c>
      <c r="F5" s="18" t="inlineStr">
        <is>
          <t>EarsivZorunlu</t>
        </is>
      </c>
    </row>
    <row r="6">
      <c r="A6" s="29" t="inlineStr">
        <is>
          <t>Demo ana</t>
        </is>
      </c>
      <c r="B6" s="31" t="n">
        <v>4500000</v>
      </c>
      <c r="C6" s="30" t="n">
        <v>2025</v>
      </c>
      <c r="D6" s="29" t="inlineStr">
        <is>
          <t>A</t>
        </is>
      </c>
      <c r="E6" s="34">
        <f>IF($A6="","",IFERROR(IF($B6&gt;=INDEX(tblKurallar[deger_2025],MATCH("EBR-001",tblKurallar[kural_id],0)),1,0),0))</f>
        <v/>
      </c>
      <c r="F6" s="34">
        <f>IF($A6="","",IFERROR(IF($B6&gt;=INDEX(tblKurallar[deger_2025],MATCH("EBR-002",tblKurallar[kural_id],0)),1,0),0))</f>
        <v/>
      </c>
    </row>
    <row r="7">
      <c r="A7" s="29" t="inlineStr">
        <is>
          <t>Eşik altı</t>
        </is>
      </c>
      <c r="B7" s="31" t="n">
        <v>400000</v>
      </c>
      <c r="C7" s="30" t="n">
        <v>2025</v>
      </c>
      <c r="D7" s="29" t="inlineStr">
        <is>
          <t>A</t>
        </is>
      </c>
      <c r="E7" s="34">
        <f>IF($A7="","",IFERROR(IF($B7&gt;=INDEX(tblKurallar[deger_2025],MATCH("EBR-001",tblKurallar[kural_id],0)),1,0),0))</f>
        <v/>
      </c>
      <c r="F7" s="34">
        <f>IF($A7="","",IFERROR(IF($B7&gt;=INDEX(tblKurallar[deger_2025],MATCH("EBR-002",tblKurallar[kural_id],0)),1,0),0))</f>
        <v/>
      </c>
    </row>
    <row r="8">
      <c r="A8" s="29" t="inlineStr">
        <is>
          <t>e-Arşiv zorunlu</t>
        </is>
      </c>
      <c r="B8" s="31" t="n">
        <v>600000</v>
      </c>
      <c r="C8" s="30" t="n">
        <v>2025</v>
      </c>
      <c r="D8" s="29" t="inlineStr">
        <is>
          <t>B</t>
        </is>
      </c>
      <c r="E8" s="34">
        <f>IF($A8="","",IFERROR(IF($B8&gt;=INDEX(tblKurallar[deger_2025],MATCH("EBR-001",tblKurallar[kural_id],0)),1,0),0))</f>
        <v/>
      </c>
      <c r="F8" s="34">
        <f>IF($A8="","",IFERROR(IF($B8&gt;=INDEX(tblKurallar[deger_2025],MATCH("EBR-002",tblKurallar[kural_id],0)),1,0),0))</f>
        <v/>
      </c>
    </row>
    <row r="9">
      <c r="A9" s="29" t="inlineStr">
        <is>
          <t>e-İrsaliye</t>
        </is>
      </c>
      <c r="B9" s="31" t="n">
        <v>11000000</v>
      </c>
      <c r="C9" s="30" t="n">
        <v>2025</v>
      </c>
      <c r="D9" s="29" t="inlineStr">
        <is>
          <t>A</t>
        </is>
      </c>
      <c r="E9" s="34">
        <f>IF($A9="","",IFERROR(IF($B9&gt;=INDEX(tblKurallar[deger_2025],MATCH("EBR-001",tblKurallar[kural_id],0)),1,0),0))</f>
        <v/>
      </c>
      <c r="F9" s="34">
        <f>IF($A9="","",IFERROR(IF($B9&gt;=INDEX(tblKurallar[deger_2025],MATCH("EBR-002",tblKurallar[kural_id],0)),1,0),0))</f>
        <v/>
      </c>
    </row>
    <row r="10">
      <c r="A10" s="29" t="inlineStr">
        <is>
          <t>Yıl 2026</t>
        </is>
      </c>
      <c r="B10" s="31" t="n">
        <v>4500000</v>
      </c>
      <c r="C10" s="30" t="n">
        <v>2026</v>
      </c>
      <c r="D10" s="29" t="inlineStr">
        <is>
          <t>A</t>
        </is>
      </c>
      <c r="E10" s="34">
        <f>IF($A10="","",IFERROR(IF($B10&gt;=INDEX(tblKurallar[deger_2025],MATCH("EBR-001",tblKurallar[kural_id],0)),1,0),0))</f>
        <v/>
      </c>
      <c r="F10" s="34">
        <f>IF($A10="","",IFERROR(IF($B10&gt;=INDEX(tblKurallar[deger_2025],MATCH("EBR-002",tblKurallar[kural_id],0)),1,0),0))</f>
        <v/>
      </c>
    </row>
    <row r="11">
      <c r="A11" s="33" t="n"/>
      <c r="B11" s="33" t="n"/>
      <c r="C11" s="33" t="n"/>
      <c r="D11" s="33" t="n"/>
      <c r="E11" s="34">
        <f>IF($A11="","",IFERROR(IF($B11&gt;=INDEX(tblKurallar[deger_2025],MATCH("EBR-001",tblKurallar[kural_id],0)),1,0),0))</f>
        <v/>
      </c>
      <c r="F11" s="34">
        <f>IF($A11="","",IFERROR(IF($B11&gt;=INDEX(tblKurallar[deger_2025],MATCH("EBR-002",tblKurallar[kural_id],0)),1,0),0))</f>
        <v/>
      </c>
    </row>
    <row r="12">
      <c r="A12" s="33" t="n"/>
      <c r="B12" s="33" t="n"/>
      <c r="C12" s="33" t="n"/>
      <c r="D12" s="33" t="n"/>
      <c r="E12" s="34">
        <f>IF($A12="","",IFERROR(IF($B12&gt;=INDEX(tblKurallar[deger_2025],MATCH("EBR-001",tblKurallar[kural_id],0)),1,0),0))</f>
        <v/>
      </c>
      <c r="F12" s="34">
        <f>IF($A12="","",IFERROR(IF($B12&gt;=INDEX(tblKurallar[deger_2025],MATCH("EBR-002",tblKurallar[kural_id],0)),1,0),0))</f>
        <v/>
      </c>
    </row>
    <row r="13">
      <c r="A13" s="33" t="n"/>
      <c r="B13" s="33" t="n"/>
      <c r="C13" s="33" t="n"/>
      <c r="D13" s="33" t="n"/>
      <c r="E13" s="34">
        <f>IF($A13="","",IFERROR(IF($B13&gt;=INDEX(tblKurallar[deger_2025],MATCH("EBR-001",tblKurallar[kural_id],0)),1,0),0))</f>
        <v/>
      </c>
      <c r="F13" s="34">
        <f>IF($A13="","",IFERROR(IF($B13&gt;=INDEX(tblKurallar[deger_2025],MATCH("EBR-002",tblKurallar[kural_id],0)),1,0),0))</f>
        <v/>
      </c>
    </row>
    <row r="14">
      <c r="A14" s="33" t="n"/>
      <c r="B14" s="33" t="n"/>
      <c r="C14" s="33" t="n"/>
      <c r="D14" s="33" t="n"/>
      <c r="E14" s="34">
        <f>IF($A14="","",IFERROR(IF($B14&gt;=INDEX(tblKurallar[deger_2025],MATCH("EBR-001",tblKurallar[kural_id],0)),1,0),0))</f>
        <v/>
      </c>
      <c r="F14" s="34">
        <f>IF($A14="","",IFERROR(IF($B14&gt;=INDEX(tblKurallar[deger_2025],MATCH("EBR-002",tblKurallar[kural_id],0)),1,0),0))</f>
        <v/>
      </c>
    </row>
    <row r="15">
      <c r="A15" s="33" t="n"/>
      <c r="B15" s="33" t="n"/>
      <c r="C15" s="33" t="n"/>
      <c r="D15" s="33" t="n"/>
      <c r="E15" s="34">
        <f>IF($A15="","",IFERROR(IF($B15&gt;=INDEX(tblKurallar[deger_2025],MATCH("EBR-001",tblKurallar[kural_id],0)),1,0),0))</f>
        <v/>
      </c>
      <c r="F15" s="34">
        <f>IF($A15="","",IFERROR(IF($B15&gt;=INDEX(tblKurallar[deger_2025],MATCH("EBR-002",tblKurallar[kural_id],0)),1,0),0))</f>
        <v/>
      </c>
    </row>
    <row r="16">
      <c r="A16" s="33" t="n"/>
      <c r="B16" s="33" t="n"/>
      <c r="C16" s="33" t="n"/>
      <c r="D16" s="33" t="n"/>
      <c r="E16" s="34">
        <f>IF($A16="","",IFERROR(IF($B16&gt;=INDEX(tblKurallar[deger_2025],MATCH("EBR-001",tblKurallar[kural_id],0)),1,0),0))</f>
        <v/>
      </c>
      <c r="F16" s="34">
        <f>IF($A16="","",IFERROR(IF($B16&gt;=INDEX(tblKurallar[deger_2025],MATCH("EBR-002",tblKurallar[kural_id],0)),1,0),0))</f>
        <v/>
      </c>
    </row>
    <row r="17">
      <c r="A17" s="33" t="n"/>
      <c r="B17" s="33" t="n"/>
      <c r="C17" s="33" t="n"/>
      <c r="D17" s="33" t="n"/>
      <c r="E17" s="34">
        <f>IF($A17="","",IFERROR(IF($B17&gt;=INDEX(tblKurallar[deger_2025],MATCH("EBR-001",tblKurallar[kural_id],0)),1,0),0))</f>
        <v/>
      </c>
      <c r="F17" s="34">
        <f>IF($A17="","",IFERROR(IF($B17&gt;=INDEX(tblKurallar[deger_2025],MATCH("EBR-002",tblKurallar[kural_id],0)),1,0),0))</f>
        <v/>
      </c>
    </row>
    <row r="18">
      <c r="A18" s="33" t="n"/>
      <c r="B18" s="33" t="n"/>
      <c r="C18" s="33" t="n"/>
      <c r="D18" s="33" t="n"/>
      <c r="E18" s="34">
        <f>IF($A18="","",IFERROR(IF($B18&gt;=INDEX(tblKurallar[deger_2025],MATCH("EBR-001",tblKurallar[kural_id],0)),1,0),0))</f>
        <v/>
      </c>
      <c r="F18" s="34">
        <f>IF($A18="","",IFERROR(IF($B18&gt;=INDEX(tblKurallar[deger_2025],MATCH("EBR-002",tblKurallar[kural_id],0)),1,0),0))</f>
        <v/>
      </c>
    </row>
    <row r="19">
      <c r="A19" s="33" t="n"/>
      <c r="B19" s="33" t="n"/>
      <c r="C19" s="33" t="n"/>
      <c r="D19" s="33" t="n"/>
      <c r="E19" s="34">
        <f>IF($A19="","",IFERROR(IF($B19&gt;=INDEX(tblKurallar[deger_2025],MATCH("EBR-001",tblKurallar[kural_id],0)),1,0),0))</f>
        <v/>
      </c>
      <c r="F19" s="34">
        <f>IF($A19="","",IFERROR(IF($B19&gt;=INDEX(tblKurallar[deger_2025],MATCH("EBR-002",tblKurallar[kural_id],0)),1,0),0))</f>
        <v/>
      </c>
    </row>
    <row r="20">
      <c r="A20" s="33" t="n"/>
      <c r="B20" s="33" t="n"/>
      <c r="C20" s="33" t="n"/>
      <c r="D20" s="33" t="n"/>
      <c r="E20" s="34">
        <f>IF($A20="","",IFERROR(IF($B20&gt;=INDEX(tblKurallar[deger_2025],MATCH("EBR-001",tblKurallar[kural_id],0)),1,0),0))</f>
        <v/>
      </c>
      <c r="F20" s="34">
        <f>IF($A20="","",IFERROR(IF($B20&gt;=INDEX(tblKurallar[deger_2025],MATCH("EBR-002",tblKurallar[kural_id],0)),1,0),0))</f>
        <v/>
      </c>
    </row>
    <row r="21">
      <c r="A21" s="33" t="n"/>
      <c r="B21" s="33" t="n"/>
      <c r="C21" s="33" t="n"/>
      <c r="D21" s="33" t="n"/>
      <c r="E21" s="34">
        <f>IF($A21="","",IFERROR(IF($B21&gt;=INDEX(tblKurallar[deger_2025],MATCH("EBR-001",tblKurallar[kural_id],0)),1,0),0))</f>
        <v/>
      </c>
      <c r="F21" s="34">
        <f>IF($A21="","",IFERROR(IF($B21&gt;=INDEX(tblKurallar[deger_2025],MATCH("EBR-002",tblKurallar[kural_id],0)),1,0),0))</f>
        <v/>
      </c>
    </row>
    <row r="22">
      <c r="A22" s="33" t="n"/>
      <c r="B22" s="33" t="n"/>
      <c r="C22" s="33" t="n"/>
      <c r="D22" s="33" t="n"/>
      <c r="E22" s="34">
        <f>IF($A22="","",IFERROR(IF($B22&gt;=INDEX(tblKurallar[deger_2025],MATCH("EBR-001",tblKurallar[kural_id],0)),1,0),0))</f>
        <v/>
      </c>
      <c r="F22" s="34">
        <f>IF($A22="","",IFERROR(IF($B22&gt;=INDEX(tblKurallar[deger_2025],MATCH("EBR-002",tblKurallar[kural_id],0)),1,0),0))</f>
        <v/>
      </c>
    </row>
    <row r="23">
      <c r="A23" s="33" t="n"/>
      <c r="B23" s="33" t="n"/>
      <c r="C23" s="33" t="n"/>
      <c r="D23" s="33" t="n"/>
      <c r="E23" s="34">
        <f>IF($A23="","",IFERROR(IF($B23&gt;=INDEX(tblKurallar[deger_2025],MATCH("EBR-001",tblKurallar[kural_id],0)),1,0),0))</f>
        <v/>
      </c>
      <c r="F23" s="34">
        <f>IF($A23="","",IFERROR(IF($B23&gt;=INDEX(tblKurallar[deger_2025],MATCH("EBR-002",tblKurallar[kural_id],0)),1,0),0))</f>
        <v/>
      </c>
    </row>
    <row r="24">
      <c r="A24" s="33" t="n"/>
      <c r="B24" s="33" t="n"/>
      <c r="C24" s="33" t="n"/>
      <c r="D24" s="33" t="n"/>
      <c r="E24" s="34">
        <f>IF($A24="","",IFERROR(IF($B24&gt;=INDEX(tblKurallar[deger_2025],MATCH("EBR-001",tblKurallar[kural_id],0)),1,0),0))</f>
        <v/>
      </c>
      <c r="F24" s="34">
        <f>IF($A24="","",IFERROR(IF($B24&gt;=INDEX(tblKurallar[deger_2025],MATCH("EBR-002",tblKurallar[kural_id],0)),1,0),0))</f>
        <v/>
      </c>
    </row>
    <row r="25">
      <c r="A25" s="33" t="n"/>
      <c r="B25" s="33" t="n"/>
      <c r="C25" s="33" t="n"/>
      <c r="D25" s="33" t="n"/>
      <c r="E25" s="34">
        <f>IF($A25="","",IFERROR(IF($B25&gt;=INDEX(tblKurallar[deger_2025],MATCH("EBR-001",tblKurallar[kural_id],0)),1,0),0))</f>
        <v/>
      </c>
      <c r="F25" s="34">
        <f>IF($A25="","",IFERROR(IF($B25&gt;=INDEX(tblKurallar[deger_2025],MATCH("EBR-002",tblKurallar[kural_id],0)),1,0),0))</f>
        <v/>
      </c>
    </row>
    <row r="26">
      <c r="A26" s="33" t="n"/>
      <c r="B26" s="33" t="n"/>
      <c r="C26" s="33" t="n"/>
      <c r="D26" s="33" t="n"/>
      <c r="E26" s="34">
        <f>IF($A26="","",IFERROR(IF($B26&gt;=INDEX(tblKurallar[deger_2025],MATCH("EBR-001",tblKurallar[kural_id],0)),1,0),0))</f>
        <v/>
      </c>
      <c r="F26" s="34">
        <f>IF($A26="","",IFERROR(IF($B26&gt;=INDEX(tblKurallar[deger_2025],MATCH("EBR-002",tblKurallar[kural_id],0)),1,0),0))</f>
        <v/>
      </c>
    </row>
    <row r="27">
      <c r="A27" s="33" t="n"/>
      <c r="B27" s="33" t="n"/>
      <c r="C27" s="33" t="n"/>
      <c r="D27" s="33" t="n"/>
      <c r="E27" s="34">
        <f>IF($A27="","",IFERROR(IF($B27&gt;=INDEX(tblKurallar[deger_2025],MATCH("EBR-001",tblKurallar[kural_id],0)),1,0),0))</f>
        <v/>
      </c>
      <c r="F27" s="34">
        <f>IF($A27="","",IFERROR(IF($B27&gt;=INDEX(tblKurallar[deger_2025],MATCH("EBR-002",tblKurallar[kural_id],0)),1,0),0))</f>
        <v/>
      </c>
    </row>
    <row r="28">
      <c r="A28" s="33" t="n"/>
      <c r="B28" s="33" t="n"/>
      <c r="C28" s="33" t="n"/>
      <c r="D28" s="33" t="n"/>
      <c r="E28" s="34">
        <f>IF($A28="","",IFERROR(IF($B28&gt;=INDEX(tblKurallar[deger_2025],MATCH("EBR-001",tblKurallar[kural_id],0)),1,0),0))</f>
        <v/>
      </c>
      <c r="F28" s="34">
        <f>IF($A28="","",IFERROR(IF($B28&gt;=INDEX(tblKurallar[deger_2025],MATCH("EBR-002",tblKurallar[kural_id],0)),1,0),0))</f>
        <v/>
      </c>
    </row>
    <row r="29">
      <c r="A29" s="33" t="n"/>
      <c r="B29" s="33" t="n"/>
      <c r="C29" s="33" t="n"/>
      <c r="D29" s="33" t="n"/>
      <c r="E29" s="34">
        <f>IF($A29="","",IFERROR(IF($B29&gt;=INDEX(tblKurallar[deger_2025],MATCH("EBR-001",tblKurallar[kural_id],0)),1,0),0))</f>
        <v/>
      </c>
      <c r="F29" s="34">
        <f>IF($A29="","",IFERROR(IF($B29&gt;=INDEX(tblKurallar[deger_2025],MATCH("EBR-002",tblKurallar[kural_id],0)),1,0),0))</f>
        <v/>
      </c>
    </row>
    <row r="30">
      <c r="A30" s="33" t="n"/>
      <c r="B30" s="33" t="n"/>
      <c r="C30" s="33" t="n"/>
      <c r="D30" s="33" t="n"/>
      <c r="E30" s="34">
        <f>IF($A30="","",IFERROR(IF($B30&gt;=INDEX(tblKurallar[deger_2025],MATCH("EBR-001",tblKurallar[kural_id],0)),1,0),0))</f>
        <v/>
      </c>
      <c r="F30" s="34">
        <f>IF($A30="","",IFERROR(IF($B30&gt;=INDEX(tblKurallar[deger_2025],MATCH("EBR-002",tblKurallar[kural_id],0)),1,0),0))</f>
        <v/>
      </c>
    </row>
    <row r="31">
      <c r="A31" s="33" t="n"/>
      <c r="B31" s="33" t="n"/>
      <c r="C31" s="33" t="n"/>
      <c r="D31" s="33" t="n"/>
      <c r="E31" s="34">
        <f>IF($A31="","",IFERROR(IF($B31&gt;=INDEX(tblKurallar[deger_2025],MATCH("EBR-001",tblKurallar[kural_id],0)),1,0),0))</f>
        <v/>
      </c>
      <c r="F31" s="34">
        <f>IF($A31="","",IFERROR(IF($B31&gt;=INDEX(tblKurallar[deger_2025],MATCH("EBR-002",tblKurallar[kural_id],0)),1,0),0))</f>
        <v/>
      </c>
    </row>
    <row r="32">
      <c r="A32" s="33" t="n"/>
      <c r="B32" s="33" t="n"/>
      <c r="C32" s="33" t="n"/>
      <c r="D32" s="33" t="n"/>
      <c r="E32" s="34">
        <f>IF($A32="","",IFERROR(IF($B32&gt;=INDEX(tblKurallar[deger_2025],MATCH("EBR-001",tblKurallar[kural_id],0)),1,0),0))</f>
        <v/>
      </c>
      <c r="F32" s="34">
        <f>IF($A32="","",IFERROR(IF($B32&gt;=INDEX(tblKurallar[deger_2025],MATCH("EBR-002",tblKurallar[kural_id],0)),1,0),0))</f>
        <v/>
      </c>
    </row>
    <row r="33">
      <c r="A33" s="33" t="n"/>
      <c r="B33" s="33" t="n"/>
      <c r="C33" s="33" t="n"/>
      <c r="D33" s="33" t="n"/>
      <c r="E33" s="34">
        <f>IF($A33="","",IFERROR(IF($B33&gt;=INDEX(tblKurallar[deger_2025],MATCH("EBR-001",tblKurallar[kural_id],0)),1,0),0))</f>
        <v/>
      </c>
      <c r="F33" s="34">
        <f>IF($A33="","",IFERROR(IF($B33&gt;=INDEX(tblKurallar[deger_2025],MATCH("EBR-002",tblKurallar[kural_id],0)),1,0),0))</f>
        <v/>
      </c>
    </row>
    <row r="34">
      <c r="A34" s="33" t="n"/>
      <c r="B34" s="33" t="n"/>
      <c r="C34" s="33" t="n"/>
      <c r="D34" s="33" t="n"/>
      <c r="E34" s="34">
        <f>IF($A34="","",IFERROR(IF($B34&gt;=INDEX(tblKurallar[deger_2025],MATCH("EBR-001",tblKurallar[kural_id],0)),1,0),0))</f>
        <v/>
      </c>
      <c r="F34" s="34">
        <f>IF($A34="","",IFERROR(IF($B34&gt;=INDEX(tblKurallar[deger_2025],MATCH("EBR-002",tblKurallar[kural_id],0)),1,0),0))</f>
        <v/>
      </c>
    </row>
    <row r="35">
      <c r="A35" s="33" t="n"/>
      <c r="B35" s="33" t="n"/>
      <c r="C35" s="33" t="n"/>
      <c r="D35" s="33" t="n"/>
      <c r="E35" s="34">
        <f>IF($A35="","",IFERROR(IF($B35&gt;=INDEX(tblKurallar[deger_2025],MATCH("EBR-001",tblKurallar[kural_id],0)),1,0),0))</f>
        <v/>
      </c>
      <c r="F35" s="34">
        <f>IF($A35="","",IFERROR(IF($B35&gt;=INDEX(tblKurallar[deger_2025],MATCH("EBR-002",tblKurallar[kural_id],0)),1,0),0))</f>
        <v/>
      </c>
    </row>
    <row r="36">
      <c r="A36" s="33" t="n"/>
      <c r="B36" s="33" t="n"/>
      <c r="C36" s="33" t="n"/>
      <c r="D36" s="33" t="n"/>
      <c r="E36" s="34">
        <f>IF($A36="","",IFERROR(IF($B36&gt;=INDEX(tblKurallar[deger_2025],MATCH("EBR-001",tblKurallar[kural_id],0)),1,0),0))</f>
        <v/>
      </c>
      <c r="F36" s="34">
        <f>IF($A36="","",IFERROR(IF($B36&gt;=INDEX(tblKurallar[deger_2025],MATCH("EBR-002",tblKurallar[kural_id],0)),1,0),0))</f>
        <v/>
      </c>
    </row>
    <row r="37">
      <c r="A37" s="33" t="n"/>
      <c r="B37" s="33" t="n"/>
      <c r="C37" s="33" t="n"/>
      <c r="D37" s="33" t="n"/>
      <c r="E37" s="34">
        <f>IF($A37="","",IFERROR(IF($B37&gt;=INDEX(tblKurallar[deger_2025],MATCH("EBR-001",tblKurallar[kural_id],0)),1,0),0))</f>
        <v/>
      </c>
      <c r="F37" s="34">
        <f>IF($A37="","",IFERROR(IF($B37&gt;=INDEX(tblKurallar[deger_2025],MATCH("EBR-002",tblKurallar[kural_id],0)),1,0),0))</f>
        <v/>
      </c>
    </row>
    <row r="38">
      <c r="A38" s="33" t="n"/>
      <c r="B38" s="33" t="n"/>
      <c r="C38" s="33" t="n"/>
      <c r="D38" s="33" t="n"/>
      <c r="E38" s="34">
        <f>IF($A38="","",IFERROR(IF($B38&gt;=INDEX(tblKurallar[deger_2025],MATCH("EBR-001",tblKurallar[kural_id],0)),1,0),0))</f>
        <v/>
      </c>
      <c r="F38" s="34">
        <f>IF($A38="","",IFERROR(IF($B38&gt;=INDEX(tblKurallar[deger_2025],MATCH("EBR-002",tblKurallar[kural_id],0)),1,0),0))</f>
        <v/>
      </c>
    </row>
    <row r="39">
      <c r="A39" s="33" t="n"/>
      <c r="B39" s="33" t="n"/>
      <c r="C39" s="33" t="n"/>
      <c r="D39" s="33" t="n"/>
      <c r="E39" s="34">
        <f>IF($A39="","",IFERROR(IF($B39&gt;=INDEX(tblKurallar[deger_2025],MATCH("EBR-001",tblKurallar[kural_id],0)),1,0),0))</f>
        <v/>
      </c>
      <c r="F39" s="34">
        <f>IF($A39="","",IFERROR(IF($B39&gt;=INDEX(tblKurallar[deger_2025],MATCH("EBR-002",tblKurallar[kural_id],0)),1,0),0))</f>
        <v/>
      </c>
    </row>
    <row r="40">
      <c r="A40" s="33" t="n"/>
      <c r="B40" s="33" t="n"/>
      <c r="C40" s="33" t="n"/>
      <c r="D40" s="33" t="n"/>
      <c r="E40" s="34">
        <f>IF($A40="","",IFERROR(IF($B40&gt;=INDEX(tblKurallar[deger_2025],MATCH("EBR-001",tblKurallar[kural_id],0)),1,0),0))</f>
        <v/>
      </c>
      <c r="F40" s="34">
        <f>IF($A40="","",IFERROR(IF($B40&gt;=INDEX(tblKurallar[deger_2025],MATCH("EBR-002",tblKurallar[kural_id],0)),1,0),0))</f>
        <v/>
      </c>
    </row>
    <row r="41">
      <c r="A41" s="33" t="n"/>
      <c r="B41" s="33" t="n"/>
      <c r="C41" s="33" t="n"/>
      <c r="D41" s="33" t="n"/>
      <c r="E41" s="34">
        <f>IF($A41="","",IFERROR(IF($B41&gt;=INDEX(tblKurallar[deger_2025],MATCH("EBR-001",tblKurallar[kural_id],0)),1,0),0))</f>
        <v/>
      </c>
      <c r="F41" s="34">
        <f>IF($A41="","",IFERROR(IF($B41&gt;=INDEX(tblKurallar[deger_2025],MATCH("EBR-002",tblKurallar[kural_id],0)),1,0),0))</f>
        <v/>
      </c>
    </row>
    <row r="42">
      <c r="A42" s="33" t="n"/>
      <c r="B42" s="33" t="n"/>
      <c r="C42" s="33" t="n"/>
      <c r="D42" s="33" t="n"/>
      <c r="E42" s="34">
        <f>IF($A42="","",IFERROR(IF($B42&gt;=INDEX(tblKurallar[deger_2025],MATCH("EBR-001",tblKurallar[kural_id],0)),1,0),0))</f>
        <v/>
      </c>
      <c r="F42" s="34">
        <f>IF($A42="","",IFERROR(IF($B42&gt;=INDEX(tblKurallar[deger_2025],MATCH("EBR-002",tblKurallar[kural_id],0)),1,0),0))</f>
        <v/>
      </c>
    </row>
    <row r="43">
      <c r="A43" s="33" t="n"/>
      <c r="B43" s="33" t="n"/>
      <c r="C43" s="33" t="n"/>
      <c r="D43" s="33" t="n"/>
      <c r="E43" s="34">
        <f>IF($A43="","",IFERROR(IF($B43&gt;=INDEX(tblKurallar[deger_2025],MATCH("EBR-001",tblKurallar[kural_id],0)),1,0),0))</f>
        <v/>
      </c>
      <c r="F43" s="34">
        <f>IF($A43="","",IFERROR(IF($B43&gt;=INDEX(tblKurallar[deger_2025],MATCH("EBR-002",tblKurallar[kural_id],0)),1,0),0))</f>
        <v/>
      </c>
    </row>
    <row r="44">
      <c r="A44" s="33" t="n"/>
      <c r="B44" s="33" t="n"/>
      <c r="C44" s="33" t="n"/>
      <c r="D44" s="33" t="n"/>
      <c r="E44" s="34">
        <f>IF($A44="","",IFERROR(IF($B44&gt;=INDEX(tblKurallar[deger_2025],MATCH("EBR-001",tblKurallar[kural_id],0)),1,0),0))</f>
        <v/>
      </c>
      <c r="F44" s="34">
        <f>IF($A44="","",IFERROR(IF($B44&gt;=INDEX(tblKurallar[deger_2025],MATCH("EBR-002",tblKurallar[kural_id],0)),1,0),0))</f>
        <v/>
      </c>
    </row>
    <row r="45">
      <c r="A45" s="33" t="n"/>
      <c r="B45" s="33" t="n"/>
      <c r="C45" s="33" t="n"/>
      <c r="D45" s="33" t="n"/>
      <c r="E45" s="34">
        <f>IF($A45="","",IFERROR(IF($B45&gt;=INDEX(tblKurallar[deger_2025],MATCH("EBR-001",tblKurallar[kural_id],0)),1,0),0))</f>
        <v/>
      </c>
      <c r="F45" s="34">
        <f>IF($A45="","",IFERROR(IF($B45&gt;=INDEX(tblKurallar[deger_2025],MATCH("EBR-002",tblKurallar[kural_id],0)),1,0),0))</f>
        <v/>
      </c>
    </row>
    <row r="46">
      <c r="A46" s="33" t="n"/>
      <c r="B46" s="33" t="n"/>
      <c r="C46" s="33" t="n"/>
      <c r="D46" s="33" t="n"/>
      <c r="E46" s="34">
        <f>IF($A46="","",IFERROR(IF($B46&gt;=INDEX(tblKurallar[deger_2025],MATCH("EBR-001",tblKurallar[kural_id],0)),1,0),0))</f>
        <v/>
      </c>
      <c r="F46" s="34">
        <f>IF($A46="","",IFERROR(IF($B46&gt;=INDEX(tblKurallar[deger_2025],MATCH("EBR-002",tblKurallar[kural_id],0)),1,0),0))</f>
        <v/>
      </c>
    </row>
    <row r="47">
      <c r="A47" s="33" t="n"/>
      <c r="B47" s="33" t="n"/>
      <c r="C47" s="33" t="n"/>
      <c r="D47" s="33" t="n"/>
      <c r="E47" s="34">
        <f>IF($A47="","",IFERROR(IF($B47&gt;=INDEX(tblKurallar[deger_2025],MATCH("EBR-001",tblKurallar[kural_id],0)),1,0),0))</f>
        <v/>
      </c>
      <c r="F47" s="34">
        <f>IF($A47="","",IFERROR(IF($B47&gt;=INDEX(tblKurallar[deger_2025],MATCH("EBR-002",tblKurallar[kural_id],0)),1,0),0))</f>
        <v/>
      </c>
    </row>
    <row r="48">
      <c r="A48" s="33" t="n"/>
      <c r="B48" s="33" t="n"/>
      <c r="C48" s="33" t="n"/>
      <c r="D48" s="33" t="n"/>
      <c r="E48" s="34">
        <f>IF($A48="","",IFERROR(IF($B48&gt;=INDEX(tblKurallar[deger_2025],MATCH("EBR-001",tblKurallar[kural_id],0)),1,0),0))</f>
        <v/>
      </c>
      <c r="F48" s="34">
        <f>IF($A48="","",IFERROR(IF($B48&gt;=INDEX(tblKurallar[deger_2025],MATCH("EBR-002",tblKurallar[kural_id],0)),1,0),0))</f>
        <v/>
      </c>
    </row>
    <row r="49">
      <c r="A49" s="33" t="n"/>
      <c r="B49" s="33" t="n"/>
      <c r="C49" s="33" t="n"/>
      <c r="D49" s="33" t="n"/>
      <c r="E49" s="34">
        <f>IF($A49="","",IFERROR(IF($B49&gt;=INDEX(tblKurallar[deger_2025],MATCH("EBR-001",tblKurallar[kural_id],0)),1,0),0))</f>
        <v/>
      </c>
      <c r="F49" s="34">
        <f>IF($A49="","",IFERROR(IF($B49&gt;=INDEX(tblKurallar[deger_2025],MATCH("EBR-002",tblKurallar[kural_id],0)),1,0),0))</f>
        <v/>
      </c>
    </row>
    <row r="50">
      <c r="A50" s="33" t="n"/>
      <c r="B50" s="33" t="n"/>
      <c r="C50" s="33" t="n"/>
      <c r="D50" s="33" t="n"/>
      <c r="E50" s="34">
        <f>IF($A50="","",IFERROR(IF($B50&gt;=INDEX(tblKurallar[deger_2025],MATCH("EBR-001",tblKurallar[kural_id],0)),1,0),0))</f>
        <v/>
      </c>
      <c r="F50" s="34">
        <f>IF($A50="","",IFERROR(IF($B50&gt;=INDEX(tblKurallar[deger_2025],MATCH("EBR-002",tblKurallar[kural_id],0)),1,0),0))</f>
        <v/>
      </c>
    </row>
    <row r="51">
      <c r="A51" s="33" t="n"/>
      <c r="B51" s="33" t="n"/>
      <c r="C51" s="33" t="n"/>
      <c r="D51" s="33" t="n"/>
      <c r="E51" s="34">
        <f>IF($A51="","",IFERROR(IF($B51&gt;=INDEX(tblKurallar[deger_2025],MATCH("EBR-001",tblKurallar[kural_id],0)),1,0),0))</f>
        <v/>
      </c>
      <c r="F51" s="34">
        <f>IF($A51="","",IFERROR(IF($B51&gt;=INDEX(tblKurallar[deger_2025],MATCH("EBR-002",tblKurallar[kural_id],0)),1,0),0))</f>
        <v/>
      </c>
    </row>
    <row r="52">
      <c r="A52" s="33" t="n"/>
      <c r="B52" s="33" t="n"/>
      <c r="C52" s="33" t="n"/>
      <c r="D52" s="33" t="n"/>
      <c r="E52" s="34">
        <f>IF($A52="","",IFERROR(IF($B52&gt;=INDEX(tblKurallar[deger_2025],MATCH("EBR-001",tblKurallar[kural_id],0)),1,0),0))</f>
        <v/>
      </c>
      <c r="F52" s="34">
        <f>IF($A52="","",IFERROR(IF($B52&gt;=INDEX(tblKurallar[deger_2025],MATCH("EBR-002",tblKurallar[kural_id],0)),1,0),0))</f>
        <v/>
      </c>
    </row>
    <row r="53">
      <c r="A53" s="33" t="n"/>
      <c r="B53" s="33" t="n"/>
      <c r="C53" s="33" t="n"/>
      <c r="D53" s="33" t="n"/>
      <c r="E53" s="34">
        <f>IF($A53="","",IFERROR(IF($B53&gt;=INDEX(tblKurallar[deger_2025],MATCH("EBR-001",tblKurallar[kural_id],0)),1,0),0))</f>
        <v/>
      </c>
      <c r="F53" s="34">
        <f>IF($A53="","",IFERROR(IF($B53&gt;=INDEX(tblKurallar[deger_2025],MATCH("EBR-002",tblKurallar[kural_id],0)),1,0),0))</f>
        <v/>
      </c>
    </row>
    <row r="54">
      <c r="A54" s="33" t="n"/>
      <c r="B54" s="33" t="n"/>
      <c r="C54" s="33" t="n"/>
      <c r="D54" s="33" t="n"/>
      <c r="E54" s="34">
        <f>IF($A54="","",IFERROR(IF($B54&gt;=INDEX(tblKurallar[deger_2025],MATCH("EBR-001",tblKurallar[kural_id],0)),1,0),0))</f>
        <v/>
      </c>
      <c r="F54" s="34">
        <f>IF($A54="","",IFERROR(IF($B54&gt;=INDEX(tblKurallar[deger_2025],MATCH("EBR-002",tblKurallar[kural_id],0)),1,0),0))</f>
        <v/>
      </c>
    </row>
    <row r="55">
      <c r="A55" s="33" t="n"/>
      <c r="B55" s="33" t="n"/>
      <c r="C55" s="33" t="n"/>
      <c r="D55" s="33" t="n"/>
      <c r="E55" s="34">
        <f>IF($A55="","",IFERROR(IF($B55&gt;=INDEX(tblKurallar[deger_2025],MATCH("EBR-001",tblKurallar[kural_id],0)),1,0),0))</f>
        <v/>
      </c>
      <c r="F55" s="34">
        <f>IF($A55="","",IFERROR(IF($B55&gt;=INDEX(tblKurallar[deger_2025],MATCH("EBR-002",tblKurallar[kural_id],0)),1,0),0))</f>
        <v/>
      </c>
    </row>
    <row r="56">
      <c r="A56" s="33" t="n"/>
      <c r="B56" s="33" t="n"/>
      <c r="C56" s="33" t="n"/>
      <c r="D56" s="33" t="n"/>
      <c r="E56" s="34">
        <f>IF($A56="","",IFERROR(IF($B56&gt;=INDEX(tblKurallar[deger_2025],MATCH("EBR-001",tblKurallar[kural_id],0)),1,0),0))</f>
        <v/>
      </c>
      <c r="F56" s="34">
        <f>IF($A56="","",IFERROR(IF($B56&gt;=INDEX(tblKurallar[deger_2025],MATCH("EBR-002",tblKurallar[kural_id],0)),1,0),0))</f>
        <v/>
      </c>
    </row>
    <row r="57">
      <c r="A57" s="33" t="n"/>
      <c r="B57" s="33" t="n"/>
      <c r="C57" s="33" t="n"/>
      <c r="D57" s="33" t="n"/>
      <c r="E57" s="34">
        <f>IF($A57="","",IFERROR(IF($B57&gt;=INDEX(tblKurallar[deger_2025],MATCH("EBR-001",tblKurallar[kural_id],0)),1,0),0))</f>
        <v/>
      </c>
      <c r="F57" s="34">
        <f>IF($A57="","",IFERROR(IF($B57&gt;=INDEX(tblKurallar[deger_2025],MATCH("EBR-002",tblKurallar[kural_id],0)),1,0),0))</f>
        <v/>
      </c>
    </row>
    <row r="58">
      <c r="A58" s="33" t="n"/>
      <c r="B58" s="33" t="n"/>
      <c r="C58" s="33" t="n"/>
      <c r="D58" s="33" t="n"/>
      <c r="E58" s="34">
        <f>IF($A58="","",IFERROR(IF($B58&gt;=INDEX(tblKurallar[deger_2025],MATCH("EBR-001",tblKurallar[kural_id],0)),1,0),0))</f>
        <v/>
      </c>
      <c r="F58" s="34">
        <f>IF($A58="","",IFERROR(IF($B58&gt;=INDEX(tblKurallar[deger_2025],MATCH("EBR-002",tblKurallar[kural_id],0)),1,0),0))</f>
        <v/>
      </c>
    </row>
    <row r="59">
      <c r="A59" s="33" t="n"/>
      <c r="B59" s="33" t="n"/>
      <c r="C59" s="33" t="n"/>
      <c r="D59" s="33" t="n"/>
      <c r="E59" s="34">
        <f>IF($A59="","",IFERROR(IF($B59&gt;=INDEX(tblKurallar[deger_2025],MATCH("EBR-001",tblKurallar[kural_id],0)),1,0),0))</f>
        <v/>
      </c>
      <c r="F59" s="34">
        <f>IF($A59="","",IFERROR(IF($B59&gt;=INDEX(tblKurallar[deger_2025],MATCH("EBR-002",tblKurallar[kural_id],0)),1,0),0))</f>
        <v/>
      </c>
    </row>
    <row r="60">
      <c r="A60" s="33" t="n"/>
      <c r="B60" s="33" t="n"/>
      <c r="C60" s="33" t="n"/>
      <c r="D60" s="33" t="n"/>
      <c r="E60" s="34">
        <f>IF($A60="","",IFERROR(IF($B60&gt;=INDEX(tblKurallar[deger_2025],MATCH("EBR-001",tblKurallar[kural_id],0)),1,0),0))</f>
        <v/>
      </c>
      <c r="F60" s="34">
        <f>IF($A60="","",IFERROR(IF($B60&gt;=INDEX(tblKurallar[deger_2025],MATCH("EBR-002",tblKurallar[kural_id],0)),1,0),0))</f>
        <v/>
      </c>
    </row>
    <row r="61">
      <c r="A61" s="33" t="n"/>
      <c r="B61" s="33" t="n"/>
      <c r="C61" s="33" t="n"/>
      <c r="D61" s="33" t="n"/>
      <c r="E61" s="34">
        <f>IF($A61="","",IFERROR(IF($B61&gt;=INDEX(tblKurallar[deger_2025],MATCH("EBR-001",tblKurallar[kural_id],0)),1,0),0))</f>
        <v/>
      </c>
      <c r="F61" s="34">
        <f>IF($A61="","",IFERROR(IF($B61&gt;=INDEX(tblKurallar[deger_2025],MATCH("EBR-002",tblKurallar[kural_id],0)),1,0),0))</f>
        <v/>
      </c>
    </row>
    <row r="62">
      <c r="A62" s="33" t="n"/>
      <c r="B62" s="33" t="n"/>
      <c r="C62" s="33" t="n"/>
      <c r="D62" s="33" t="n"/>
      <c r="E62" s="34">
        <f>IF($A62="","",IFERROR(IF($B62&gt;=INDEX(tblKurallar[deger_2025],MATCH("EBR-001",tblKurallar[kural_id],0)),1,0),0))</f>
        <v/>
      </c>
      <c r="F62" s="34">
        <f>IF($A62="","",IFERROR(IF($B62&gt;=INDEX(tblKurallar[deger_2025],MATCH("EBR-002",tblKurallar[kural_id],0)),1,0),0))</f>
        <v/>
      </c>
    </row>
    <row r="63">
      <c r="A63" s="33" t="n"/>
      <c r="B63" s="33" t="n"/>
      <c r="C63" s="33" t="n"/>
      <c r="D63" s="33" t="n"/>
      <c r="E63" s="34">
        <f>IF($A63="","",IFERROR(IF($B63&gt;=INDEX(tblKurallar[deger_2025],MATCH("EBR-001",tblKurallar[kural_id],0)),1,0),0))</f>
        <v/>
      </c>
      <c r="F63" s="34">
        <f>IF($A63="","",IFERROR(IF($B63&gt;=INDEX(tblKurallar[deger_2025],MATCH("EBR-002",tblKurallar[kural_id],0)),1,0),0))</f>
        <v/>
      </c>
    </row>
    <row r="64">
      <c r="A64" s="33" t="n"/>
      <c r="B64" s="33" t="n"/>
      <c r="C64" s="33" t="n"/>
      <c r="D64" s="33" t="n"/>
      <c r="E64" s="34">
        <f>IF($A64="","",IFERROR(IF($B64&gt;=INDEX(tblKurallar[deger_2025],MATCH("EBR-001",tblKurallar[kural_id],0)),1,0),0))</f>
        <v/>
      </c>
      <c r="F64" s="34">
        <f>IF($A64="","",IFERROR(IF($B64&gt;=INDEX(tblKurallar[deger_2025],MATCH("EBR-002",tblKurallar[kural_id],0)),1,0),0))</f>
        <v/>
      </c>
    </row>
    <row r="65">
      <c r="A65" s="33" t="n"/>
      <c r="B65" s="33" t="n"/>
      <c r="C65" s="33" t="n"/>
      <c r="D65" s="33" t="n"/>
      <c r="E65" s="34">
        <f>IF($A65="","",IFERROR(IF($B65&gt;=INDEX(tblKurallar[deger_2025],MATCH("EBR-001",tblKurallar[kural_id],0)),1,0),0))</f>
        <v/>
      </c>
      <c r="F65" s="34">
        <f>IF($A65="","",IFERROR(IF($B65&gt;=INDEX(tblKurallar[deger_2025],MATCH("EBR-002",tblKurallar[kural_id],0)),1,0),0))</f>
        <v/>
      </c>
    </row>
    <row r="66">
      <c r="A66" s="33" t="n"/>
      <c r="B66" s="33" t="n"/>
      <c r="C66" s="33" t="n"/>
      <c r="D66" s="33" t="n"/>
      <c r="E66" s="34">
        <f>IF($A66="","",IFERROR(IF($B66&gt;=INDEX(tblKurallar[deger_2025],MATCH("EBR-001",tblKurallar[kural_id],0)),1,0),0))</f>
        <v/>
      </c>
      <c r="F66" s="34">
        <f>IF($A66="","",IFERROR(IF($B66&gt;=INDEX(tblKurallar[deger_2025],MATCH("EBR-002",tblKurallar[kural_id],0)),1,0),0))</f>
        <v/>
      </c>
    </row>
    <row r="67">
      <c r="A67" s="33" t="n"/>
      <c r="B67" s="33" t="n"/>
      <c r="C67" s="33" t="n"/>
      <c r="D67" s="33" t="n"/>
      <c r="E67" s="34">
        <f>IF($A67="","",IFERROR(IF($B67&gt;=INDEX(tblKurallar[deger_2025],MATCH("EBR-001",tblKurallar[kural_id],0)),1,0),0))</f>
        <v/>
      </c>
      <c r="F67" s="34">
        <f>IF($A67="","",IFERROR(IF($B67&gt;=INDEX(tblKurallar[deger_2025],MATCH("EBR-002",tblKurallar[kural_id],0)),1,0),0))</f>
        <v/>
      </c>
    </row>
    <row r="68">
      <c r="A68" s="33" t="n"/>
      <c r="B68" s="33" t="n"/>
      <c r="C68" s="33" t="n"/>
      <c r="D68" s="33" t="n"/>
      <c r="E68" s="34">
        <f>IF($A68="","",IFERROR(IF($B68&gt;=INDEX(tblKurallar[deger_2025],MATCH("EBR-001",tblKurallar[kural_id],0)),1,0),0))</f>
        <v/>
      </c>
      <c r="F68" s="34">
        <f>IF($A68="","",IFERROR(IF($B68&gt;=INDEX(tblKurallar[deger_2025],MATCH("EBR-002",tblKurallar[kural_id],0)),1,0),0))</f>
        <v/>
      </c>
    </row>
    <row r="69">
      <c r="A69" s="33" t="n"/>
      <c r="B69" s="33" t="n"/>
      <c r="C69" s="33" t="n"/>
      <c r="D69" s="33" t="n"/>
      <c r="E69" s="34">
        <f>IF($A69="","",IFERROR(IF($B69&gt;=INDEX(tblKurallar[deger_2025],MATCH("EBR-001",tblKurallar[kural_id],0)),1,0),0))</f>
        <v/>
      </c>
      <c r="F69" s="34">
        <f>IF($A69="","",IFERROR(IF($B69&gt;=INDEX(tblKurallar[deger_2025],MATCH("EBR-002",tblKurallar[kural_id],0)),1,0),0))</f>
        <v/>
      </c>
    </row>
    <row r="70">
      <c r="A70" s="33" t="n"/>
      <c r="B70" s="33" t="n"/>
      <c r="C70" s="33" t="n"/>
      <c r="D70" s="33" t="n"/>
      <c r="E70" s="34">
        <f>IF($A70="","",IFERROR(IF($B70&gt;=INDEX(tblKurallar[deger_2025],MATCH("EBR-001",tblKurallar[kural_id],0)),1,0),0))</f>
        <v/>
      </c>
      <c r="F70" s="34">
        <f>IF($A70="","",IFERROR(IF($B70&gt;=INDEX(tblKurallar[deger_2025],MATCH("EBR-002",tblKurallar[kural_id],0)),1,0),0))</f>
        <v/>
      </c>
    </row>
    <row r="71">
      <c r="A71" s="33" t="n"/>
      <c r="B71" s="33" t="n"/>
      <c r="C71" s="33" t="n"/>
      <c r="D71" s="33" t="n"/>
      <c r="E71" s="34">
        <f>IF($A71="","",IFERROR(IF($B71&gt;=INDEX(tblKurallar[deger_2025],MATCH("EBR-001",tblKurallar[kural_id],0)),1,0),0))</f>
        <v/>
      </c>
      <c r="F71" s="34">
        <f>IF($A71="","",IFERROR(IF($B71&gt;=INDEX(tblKurallar[deger_2025],MATCH("EBR-002",tblKurallar[kural_id],0)),1,0),0))</f>
        <v/>
      </c>
    </row>
    <row r="72">
      <c r="A72" s="33" t="n"/>
      <c r="B72" s="33" t="n"/>
      <c r="C72" s="33" t="n"/>
      <c r="D72" s="33" t="n"/>
      <c r="E72" s="34">
        <f>IF($A72="","",IFERROR(IF($B72&gt;=INDEX(tblKurallar[deger_2025],MATCH("EBR-001",tblKurallar[kural_id],0)),1,0),0))</f>
        <v/>
      </c>
      <c r="F72" s="34">
        <f>IF($A72="","",IFERROR(IF($B72&gt;=INDEX(tblKurallar[deger_2025],MATCH("EBR-002",tblKurallar[kural_id],0)),1,0),0))</f>
        <v/>
      </c>
    </row>
    <row r="73">
      <c r="A73" s="33" t="n"/>
      <c r="B73" s="33" t="n"/>
      <c r="C73" s="33" t="n"/>
      <c r="D73" s="33" t="n"/>
      <c r="E73" s="34">
        <f>IF($A73="","",IFERROR(IF($B73&gt;=INDEX(tblKurallar[deger_2025],MATCH("EBR-001",tblKurallar[kural_id],0)),1,0),0))</f>
        <v/>
      </c>
      <c r="F73" s="34">
        <f>IF($A73="","",IFERROR(IF($B73&gt;=INDEX(tblKurallar[deger_2025],MATCH("EBR-002",tblKurallar[kural_id],0)),1,0),0))</f>
        <v/>
      </c>
    </row>
    <row r="74">
      <c r="A74" s="33" t="n"/>
      <c r="B74" s="33" t="n"/>
      <c r="C74" s="33" t="n"/>
      <c r="D74" s="33" t="n"/>
      <c r="E74" s="34">
        <f>IF($A74="","",IFERROR(IF($B74&gt;=INDEX(tblKurallar[deger_2025],MATCH("EBR-001",tblKurallar[kural_id],0)),1,0),0))</f>
        <v/>
      </c>
      <c r="F74" s="34">
        <f>IF($A74="","",IFERROR(IF($B74&gt;=INDEX(tblKurallar[deger_2025],MATCH("EBR-002",tblKurallar[kural_id],0)),1,0),0))</f>
        <v/>
      </c>
    </row>
    <row r="75">
      <c r="A75" s="33" t="n"/>
      <c r="B75" s="33" t="n"/>
      <c r="C75" s="33" t="n"/>
      <c r="D75" s="33" t="n"/>
      <c r="E75" s="34">
        <f>IF($A75="","",IFERROR(IF($B75&gt;=INDEX(tblKurallar[deger_2025],MATCH("EBR-001",tblKurallar[kural_id],0)),1,0),0))</f>
        <v/>
      </c>
      <c r="F75" s="34">
        <f>IF($A75="","",IFERROR(IF($B75&gt;=INDEX(tblKurallar[deger_2025],MATCH("EBR-002",tblKurallar[kural_id],0)),1,0),0))</f>
        <v/>
      </c>
    </row>
    <row r="76">
      <c r="A76" s="33" t="n"/>
      <c r="B76" s="33" t="n"/>
      <c r="C76" s="33" t="n"/>
      <c r="D76" s="33" t="n"/>
      <c r="E76" s="34">
        <f>IF($A76="","",IFERROR(IF($B76&gt;=INDEX(tblKurallar[deger_2025],MATCH("EBR-001",tblKurallar[kural_id],0)),1,0),0))</f>
        <v/>
      </c>
      <c r="F76" s="34">
        <f>IF($A76="","",IFERROR(IF($B76&gt;=INDEX(tblKurallar[deger_2025],MATCH("EBR-002",tblKurallar[kural_id],0)),1,0),0))</f>
        <v/>
      </c>
    </row>
    <row r="77">
      <c r="A77" s="33" t="n"/>
      <c r="B77" s="33" t="n"/>
      <c r="C77" s="33" t="n"/>
      <c r="D77" s="33" t="n"/>
      <c r="E77" s="34">
        <f>IF($A77="","",IFERROR(IF($B77&gt;=INDEX(tblKurallar[deger_2025],MATCH("EBR-001",tblKurallar[kural_id],0)),1,0),0))</f>
        <v/>
      </c>
      <c r="F77" s="34">
        <f>IF($A77="","",IFERROR(IF($B77&gt;=INDEX(tblKurallar[deger_2025],MATCH("EBR-002",tblKurallar[kural_id],0)),1,0),0))</f>
        <v/>
      </c>
    </row>
    <row r="78">
      <c r="A78" s="33" t="n"/>
      <c r="B78" s="33" t="n"/>
      <c r="C78" s="33" t="n"/>
      <c r="D78" s="33" t="n"/>
      <c r="E78" s="34">
        <f>IF($A78="","",IFERROR(IF($B78&gt;=INDEX(tblKurallar[deger_2025],MATCH("EBR-001",tblKurallar[kural_id],0)),1,0),0))</f>
        <v/>
      </c>
      <c r="F78" s="34">
        <f>IF($A78="","",IFERROR(IF($B78&gt;=INDEX(tblKurallar[deger_2025],MATCH("EBR-002",tblKurallar[kural_id],0)),1,0),0))</f>
        <v/>
      </c>
    </row>
    <row r="79">
      <c r="A79" s="33" t="n"/>
      <c r="B79" s="33" t="n"/>
      <c r="C79" s="33" t="n"/>
      <c r="D79" s="33" t="n"/>
      <c r="E79" s="34">
        <f>IF($A79="","",IFERROR(IF($B79&gt;=INDEX(tblKurallar[deger_2025],MATCH("EBR-001",tblKurallar[kural_id],0)),1,0),0))</f>
        <v/>
      </c>
      <c r="F79" s="34">
        <f>IF($A79="","",IFERROR(IF($B79&gt;=INDEX(tblKurallar[deger_2025],MATCH("EBR-002",tblKurallar[kural_id],0)),1,0),0))</f>
        <v/>
      </c>
    </row>
    <row r="80">
      <c r="A80" s="33" t="n"/>
      <c r="B80" s="33" t="n"/>
      <c r="C80" s="33" t="n"/>
      <c r="D80" s="33" t="n"/>
      <c r="E80" s="34">
        <f>IF($A80="","",IFERROR(IF($B80&gt;=INDEX(tblKurallar[deger_2025],MATCH("EBR-001",tblKurallar[kural_id],0)),1,0),0))</f>
        <v/>
      </c>
      <c r="F80" s="34">
        <f>IF($A80="","",IFERROR(IF($B80&gt;=INDEX(tblKurallar[deger_2025],MATCH("EBR-002",tblKurallar[kural_id],0)),1,0),0))</f>
        <v/>
      </c>
    </row>
    <row r="81">
      <c r="A81" s="33" t="n"/>
      <c r="B81" s="33" t="n"/>
      <c r="C81" s="33" t="n"/>
      <c r="D81" s="33" t="n"/>
      <c r="E81" s="34">
        <f>IF($A81="","",IFERROR(IF($B81&gt;=INDEX(tblKurallar[deger_2025],MATCH("EBR-001",tblKurallar[kural_id],0)),1,0),0))</f>
        <v/>
      </c>
      <c r="F81" s="34">
        <f>IF($A81="","",IFERROR(IF($B81&gt;=INDEX(tblKurallar[deger_2025],MATCH("EBR-002",tblKurallar[kural_id],0)),1,0),0))</f>
        <v/>
      </c>
    </row>
    <row r="82">
      <c r="A82" s="33" t="n"/>
      <c r="B82" s="33" t="n"/>
      <c r="C82" s="33" t="n"/>
      <c r="D82" s="33" t="n"/>
      <c r="E82" s="34">
        <f>IF($A82="","",IFERROR(IF($B82&gt;=INDEX(tblKurallar[deger_2025],MATCH("EBR-001",tblKurallar[kural_id],0)),1,0),0))</f>
        <v/>
      </c>
      <c r="F82" s="34">
        <f>IF($A82="","",IFERROR(IF($B82&gt;=INDEX(tblKurallar[deger_2025],MATCH("EBR-002",tblKurallar[kural_id],0)),1,0),0))</f>
        <v/>
      </c>
    </row>
    <row r="83">
      <c r="A83" s="33" t="n"/>
      <c r="B83" s="33" t="n"/>
      <c r="C83" s="33" t="n"/>
      <c r="D83" s="33" t="n"/>
      <c r="E83" s="34">
        <f>IF($A83="","",IFERROR(IF($B83&gt;=INDEX(tblKurallar[deger_2025],MATCH("EBR-001",tblKurallar[kural_id],0)),1,0),0))</f>
        <v/>
      </c>
      <c r="F83" s="34">
        <f>IF($A83="","",IFERROR(IF($B83&gt;=INDEX(tblKurallar[deger_2025],MATCH("EBR-002",tblKurallar[kural_id],0)),1,0),0))</f>
        <v/>
      </c>
    </row>
    <row r="84">
      <c r="A84" s="33" t="n"/>
      <c r="B84" s="33" t="n"/>
      <c r="C84" s="33" t="n"/>
      <c r="D84" s="33" t="n"/>
      <c r="E84" s="34">
        <f>IF($A84="","",IFERROR(IF($B84&gt;=INDEX(tblKurallar[deger_2025],MATCH("EBR-001",tblKurallar[kural_id],0)),1,0),0))</f>
        <v/>
      </c>
      <c r="F84" s="34">
        <f>IF($A84="","",IFERROR(IF($B84&gt;=INDEX(tblKurallar[deger_2025],MATCH("EBR-002",tblKurallar[kural_id],0)),1,0),0))</f>
        <v/>
      </c>
    </row>
    <row r="85">
      <c r="A85" s="33" t="n"/>
      <c r="B85" s="33" t="n"/>
      <c r="C85" s="33" t="n"/>
      <c r="D85" s="33" t="n"/>
      <c r="E85" s="34">
        <f>IF($A85="","",IFERROR(IF($B85&gt;=INDEX(tblKurallar[deger_2025],MATCH("EBR-001",tblKurallar[kural_id],0)),1,0),0))</f>
        <v/>
      </c>
      <c r="F85" s="34">
        <f>IF($A85="","",IFERROR(IF($B85&gt;=INDEX(tblKurallar[deger_2025],MATCH("EBR-002",tblKurallar[kural_id],0)),1,0),0))</f>
        <v/>
      </c>
    </row>
    <row r="86">
      <c r="A86" s="33" t="n"/>
      <c r="B86" s="33" t="n"/>
      <c r="C86" s="33" t="n"/>
      <c r="D86" s="33" t="n"/>
      <c r="E86" s="34">
        <f>IF($A86="","",IFERROR(IF($B86&gt;=INDEX(tblKurallar[deger_2025],MATCH("EBR-001",tblKurallar[kural_id],0)),1,0),0))</f>
        <v/>
      </c>
      <c r="F86" s="34">
        <f>IF($A86="","",IFERROR(IF($B86&gt;=INDEX(tblKurallar[deger_2025],MATCH("EBR-002",tblKurallar[kural_id],0)),1,0),0))</f>
        <v/>
      </c>
    </row>
    <row r="87">
      <c r="A87" s="33" t="n"/>
      <c r="B87" s="33" t="n"/>
      <c r="C87" s="33" t="n"/>
      <c r="D87" s="33" t="n"/>
      <c r="E87" s="34">
        <f>IF($A87="","",IFERROR(IF($B87&gt;=INDEX(tblKurallar[deger_2025],MATCH("EBR-001",tblKurallar[kural_id],0)),1,0),0))</f>
        <v/>
      </c>
      <c r="F87" s="34">
        <f>IF($A87="","",IFERROR(IF($B87&gt;=INDEX(tblKurallar[deger_2025],MATCH("EBR-002",tblKurallar[kural_id],0)),1,0),0))</f>
        <v/>
      </c>
    </row>
    <row r="88">
      <c r="A88" s="33" t="n"/>
      <c r="B88" s="33" t="n"/>
      <c r="C88" s="33" t="n"/>
      <c r="D88" s="33" t="n"/>
      <c r="E88" s="34">
        <f>IF($A88="","",IFERROR(IF($B88&gt;=INDEX(tblKurallar[deger_2025],MATCH("EBR-001",tblKurallar[kural_id],0)),1,0),0))</f>
        <v/>
      </c>
      <c r="F88" s="34">
        <f>IF($A88="","",IFERROR(IF($B88&gt;=INDEX(tblKurallar[deger_2025],MATCH("EBR-002",tblKurallar[kural_id],0)),1,0),0))</f>
        <v/>
      </c>
    </row>
    <row r="89">
      <c r="A89" s="33" t="n"/>
      <c r="B89" s="33" t="n"/>
      <c r="C89" s="33" t="n"/>
      <c r="D89" s="33" t="n"/>
      <c r="E89" s="34">
        <f>IF($A89="","",IFERROR(IF($B89&gt;=INDEX(tblKurallar[deger_2025],MATCH("EBR-001",tblKurallar[kural_id],0)),1,0),0))</f>
        <v/>
      </c>
      <c r="F89" s="34">
        <f>IF($A89="","",IFERROR(IF($B89&gt;=INDEX(tblKurallar[deger_2025],MATCH("EBR-002",tblKurallar[kural_id],0)),1,0),0))</f>
        <v/>
      </c>
    </row>
    <row r="90">
      <c r="A90" s="33" t="n"/>
      <c r="B90" s="33" t="n"/>
      <c r="C90" s="33" t="n"/>
      <c r="D90" s="33" t="n"/>
      <c r="E90" s="34">
        <f>IF($A90="","",IFERROR(IF($B90&gt;=INDEX(tblKurallar[deger_2025],MATCH("EBR-001",tblKurallar[kural_id],0)),1,0),0))</f>
        <v/>
      </c>
      <c r="F90" s="34">
        <f>IF($A90="","",IFERROR(IF($B90&gt;=INDEX(tblKurallar[deger_2025],MATCH("EBR-002",tblKurallar[kural_id],0)),1,0),0))</f>
        <v/>
      </c>
    </row>
    <row r="91">
      <c r="A91" s="33" t="n"/>
      <c r="B91" s="33" t="n"/>
      <c r="C91" s="33" t="n"/>
      <c r="D91" s="33" t="n"/>
      <c r="E91" s="34">
        <f>IF($A91="","",IFERROR(IF($B91&gt;=INDEX(tblKurallar[deger_2025],MATCH("EBR-001",tblKurallar[kural_id],0)),1,0),0))</f>
        <v/>
      </c>
      <c r="F91" s="34">
        <f>IF($A91="","",IFERROR(IF($B91&gt;=INDEX(tblKurallar[deger_2025],MATCH("EBR-002",tblKurallar[kural_id],0)),1,0),0))</f>
        <v/>
      </c>
    </row>
    <row r="92">
      <c r="A92" s="33" t="n"/>
      <c r="B92" s="33" t="n"/>
      <c r="C92" s="33" t="n"/>
      <c r="D92" s="33" t="n"/>
      <c r="E92" s="34">
        <f>IF($A92="","",IFERROR(IF($B92&gt;=INDEX(tblKurallar[deger_2025],MATCH("EBR-001",tblKurallar[kural_id],0)),1,0),0))</f>
        <v/>
      </c>
      <c r="F92" s="34">
        <f>IF($A92="","",IFERROR(IF($B92&gt;=INDEX(tblKurallar[deger_2025],MATCH("EBR-002",tblKurallar[kural_id],0)),1,0),0))</f>
        <v/>
      </c>
    </row>
    <row r="93">
      <c r="A93" s="33" t="n"/>
      <c r="B93" s="33" t="n"/>
      <c r="C93" s="33" t="n"/>
      <c r="D93" s="33" t="n"/>
      <c r="E93" s="34">
        <f>IF($A93="","",IFERROR(IF($B93&gt;=INDEX(tblKurallar[deger_2025],MATCH("EBR-001",tblKurallar[kural_id],0)),1,0),0))</f>
        <v/>
      </c>
      <c r="F93" s="34">
        <f>IF($A93="","",IFERROR(IF($B93&gt;=INDEX(tblKurallar[deger_2025],MATCH("EBR-002",tblKurallar[kural_id],0)),1,0),0))</f>
        <v/>
      </c>
    </row>
    <row r="94">
      <c r="A94" s="33" t="n"/>
      <c r="B94" s="33" t="n"/>
      <c r="C94" s="33" t="n"/>
      <c r="D94" s="33" t="n"/>
      <c r="E94" s="34">
        <f>IF($A94="","",IFERROR(IF($B94&gt;=INDEX(tblKurallar[deger_2025],MATCH("EBR-001",tblKurallar[kural_id],0)),1,0),0))</f>
        <v/>
      </c>
      <c r="F94" s="34">
        <f>IF($A94="","",IFERROR(IF($B94&gt;=INDEX(tblKurallar[deger_2025],MATCH("EBR-002",tblKurallar[kural_id],0)),1,0),0))</f>
        <v/>
      </c>
    </row>
    <row r="95">
      <c r="A95" s="33" t="n"/>
      <c r="B95" s="33" t="n"/>
      <c r="C95" s="33" t="n"/>
      <c r="D95" s="33" t="n"/>
      <c r="E95" s="34">
        <f>IF($A95="","",IFERROR(IF($B95&gt;=INDEX(tblKurallar[deger_2025],MATCH("EBR-001",tblKurallar[kural_id],0)),1,0),0))</f>
        <v/>
      </c>
      <c r="F95" s="34">
        <f>IF($A95="","",IFERROR(IF($B95&gt;=INDEX(tblKurallar[deger_2025],MATCH("EBR-002",tblKurallar[kural_id],0)),1,0),0))</f>
        <v/>
      </c>
    </row>
    <row r="96">
      <c r="A96" s="33" t="n"/>
      <c r="B96" s="33" t="n"/>
      <c r="C96" s="33" t="n"/>
      <c r="D96" s="33" t="n"/>
      <c r="E96" s="34">
        <f>IF($A96="","",IFERROR(IF($B96&gt;=INDEX(tblKurallar[deger_2025],MATCH("EBR-001",tblKurallar[kural_id],0)),1,0),0))</f>
        <v/>
      </c>
      <c r="F96" s="34">
        <f>IF($A96="","",IFERROR(IF($B96&gt;=INDEX(tblKurallar[deger_2025],MATCH("EBR-002",tblKurallar[kural_id],0)),1,0),0))</f>
        <v/>
      </c>
    </row>
    <row r="97">
      <c r="A97" s="33" t="n"/>
      <c r="B97" s="33" t="n"/>
      <c r="C97" s="33" t="n"/>
      <c r="D97" s="33" t="n"/>
      <c r="E97" s="34">
        <f>IF($A97="","",IFERROR(IF($B97&gt;=INDEX(tblKurallar[deger_2025],MATCH("EBR-001",tblKurallar[kural_id],0)),1,0),0))</f>
        <v/>
      </c>
      <c r="F97" s="34">
        <f>IF($A97="","",IFERROR(IF($B97&gt;=INDEX(tblKurallar[deger_2025],MATCH("EBR-002",tblKurallar[kural_id],0)),1,0),0))</f>
        <v/>
      </c>
    </row>
    <row r="98">
      <c r="A98" s="33" t="n"/>
      <c r="B98" s="33" t="n"/>
      <c r="C98" s="33" t="n"/>
      <c r="D98" s="33" t="n"/>
      <c r="E98" s="34">
        <f>IF($A98="","",IFERROR(IF($B98&gt;=INDEX(tblKurallar[deger_2025],MATCH("EBR-001",tblKurallar[kural_id],0)),1,0),0))</f>
        <v/>
      </c>
      <c r="F98" s="34">
        <f>IF($A98="","",IFERROR(IF($B98&gt;=INDEX(tblKurallar[deger_2025],MATCH("EBR-002",tblKurallar[kural_id],0)),1,0),0))</f>
        <v/>
      </c>
    </row>
    <row r="99">
      <c r="A99" s="33" t="n"/>
      <c r="B99" s="33" t="n"/>
      <c r="C99" s="33" t="n"/>
      <c r="D99" s="33" t="n"/>
      <c r="E99" s="34">
        <f>IF($A99="","",IFERROR(IF($B99&gt;=INDEX(tblKurallar[deger_2025],MATCH("EBR-001",tblKurallar[kural_id],0)),1,0),0))</f>
        <v/>
      </c>
      <c r="F99" s="34">
        <f>IF($A99="","",IFERROR(IF($B99&gt;=INDEX(tblKurallar[deger_2025],MATCH("EBR-002",tblKurallar[kural_id],0)),1,0),0))</f>
        <v/>
      </c>
    </row>
    <row r="100">
      <c r="A100" s="33" t="n"/>
      <c r="B100" s="33" t="n"/>
      <c r="C100" s="33" t="n"/>
      <c r="D100" s="33" t="n"/>
      <c r="E100" s="34">
        <f>IF($A100="","",IFERROR(IF($B100&gt;=INDEX(tblKurallar[deger_2025],MATCH("EBR-001",tblKurallar[kural_id],0)),1,0),0))</f>
        <v/>
      </c>
      <c r="F100" s="34">
        <f>IF($A100="","",IFERROR(IF($B100&gt;=INDEX(tblKurallar[deger_2025],MATCH("EBR-002",tblKurallar[kural_id],0)),1,0),0))</f>
        <v/>
      </c>
    </row>
    <row r="101">
      <c r="A101" s="33" t="n"/>
      <c r="B101" s="33" t="n"/>
      <c r="C101" s="33" t="n"/>
      <c r="D101" s="33" t="n"/>
      <c r="E101" s="34">
        <f>IF($A101="","",IFERROR(IF($B101&gt;=INDEX(tblKurallar[deger_2025],MATCH("EBR-001",tblKurallar[kural_id],0)),1,0),0))</f>
        <v/>
      </c>
      <c r="F101" s="34">
        <f>IF($A101="","",IFERROR(IF($B101&gt;=INDEX(tblKurallar[deger_2025],MATCH("EBR-002",tblKurallar[kural_id],0)),1,0),0))</f>
        <v/>
      </c>
    </row>
    <row r="102">
      <c r="A102" s="33" t="n"/>
      <c r="B102" s="33" t="n"/>
      <c r="C102" s="33" t="n"/>
      <c r="D102" s="33" t="n"/>
      <c r="E102" s="34">
        <f>IF($A102="","",IFERROR(IF($B102&gt;=INDEX(tblKurallar[deger_2025],MATCH("EBR-001",tblKurallar[kural_id],0)),1,0),0))</f>
        <v/>
      </c>
      <c r="F102" s="34">
        <f>IF($A102="","",IFERROR(IF($B102&gt;=INDEX(tblKurallar[deger_2025],MATCH("EBR-002",tblKurallar[kural_id],0)),1,0),0))</f>
        <v/>
      </c>
    </row>
    <row r="103">
      <c r="A103" s="33" t="n"/>
      <c r="B103" s="33" t="n"/>
      <c r="C103" s="33" t="n"/>
      <c r="D103" s="33" t="n"/>
      <c r="E103" s="34">
        <f>IF($A103="","",IFERROR(IF($B103&gt;=INDEX(tblKurallar[deger_2025],MATCH("EBR-001",tblKurallar[kural_id],0)),1,0),0))</f>
        <v/>
      </c>
      <c r="F103" s="34">
        <f>IF($A103="","",IFERROR(IF($B103&gt;=INDEX(tblKurallar[deger_2025],MATCH("EBR-002",tblKurallar[kural_id],0)),1,0),0))</f>
        <v/>
      </c>
    </row>
    <row r="104">
      <c r="A104" s="33" t="n"/>
      <c r="B104" s="33" t="n"/>
      <c r="C104" s="33" t="n"/>
      <c r="D104" s="33" t="n"/>
      <c r="E104" s="34">
        <f>IF($A104="","",IFERROR(IF($B104&gt;=INDEX(tblKurallar[deger_2025],MATCH("EBR-001",tblKurallar[kural_id],0)),1,0),0))</f>
        <v/>
      </c>
      <c r="F104" s="34">
        <f>IF($A104="","",IFERROR(IF($B104&gt;=INDEX(tblKurallar[deger_2025],MATCH("EBR-002",tblKurallar[kural_id],0)),1,0),0))</f>
        <v/>
      </c>
    </row>
    <row r="105">
      <c r="A105" s="33" t="n"/>
      <c r="B105" s="33" t="n"/>
      <c r="C105" s="33" t="n"/>
      <c r="D105" s="33" t="n"/>
      <c r="E105" s="34">
        <f>IF($A105="","",IFERROR(IF($B105&gt;=INDEX(tblKurallar[deger_2025],MATCH("EBR-001",tblKurallar[kural_id],0)),1,0),0))</f>
        <v/>
      </c>
      <c r="F105" s="34">
        <f>IF($A105="","",IFERROR(IF($B105&gt;=INDEX(tblKurallar[deger_2025],MATCH("EBR-002",tblKurallar[kural_id],0)),1,0),0))</f>
        <v/>
      </c>
    </row>
    <row r="106">
      <c r="A106" s="33" t="n"/>
      <c r="B106" s="33" t="n"/>
      <c r="C106" s="33" t="n"/>
      <c r="D106" s="33" t="n"/>
      <c r="E106" s="34">
        <f>IF($A106="","",IFERROR(IF($B106&gt;=INDEX(tblKurallar[deger_2025],MATCH("EBR-001",tblKurallar[kural_id],0)),1,0),0))</f>
        <v/>
      </c>
      <c r="F106" s="34">
        <f>IF($A106="","",IFERROR(IF($B106&gt;=INDEX(tblKurallar[deger_2025],MATCH("EBR-002",tblKurallar[kural_id],0)),1,0),0))</f>
        <v/>
      </c>
    </row>
    <row r="107">
      <c r="A107" s="33" t="n"/>
      <c r="B107" s="33" t="n"/>
      <c r="C107" s="33" t="n"/>
      <c r="D107" s="33" t="n"/>
      <c r="E107" s="34">
        <f>IF($A107="","",IFERROR(IF($B107&gt;=INDEX(tblKurallar[deger_2025],MATCH("EBR-001",tblKurallar[kural_id],0)),1,0),0))</f>
        <v/>
      </c>
      <c r="F107" s="34">
        <f>IF($A107="","",IFERROR(IF($B107&gt;=INDEX(tblKurallar[deger_2025],MATCH("EBR-002",tblKurallar[kural_id],0)),1,0),0))</f>
        <v/>
      </c>
    </row>
    <row r="108">
      <c r="A108" s="33" t="n"/>
      <c r="B108" s="33" t="n"/>
      <c r="C108" s="33" t="n"/>
      <c r="D108" s="33" t="n"/>
      <c r="E108" s="34">
        <f>IF($A108="","",IFERROR(IF($B108&gt;=INDEX(tblKurallar[deger_2025],MATCH("EBR-001",tblKurallar[kural_id],0)),1,0),0))</f>
        <v/>
      </c>
      <c r="F108" s="34">
        <f>IF($A108="","",IFERROR(IF($B108&gt;=INDEX(tblKurallar[deger_2025],MATCH("EBR-002",tblKurallar[kural_id],0)),1,0),0))</f>
        <v/>
      </c>
    </row>
    <row r="109">
      <c r="A109" s="33" t="n"/>
      <c r="B109" s="33" t="n"/>
      <c r="C109" s="33" t="n"/>
      <c r="D109" s="33" t="n"/>
      <c r="E109" s="34">
        <f>IF($A109="","",IFERROR(IF($B109&gt;=INDEX(tblKurallar[deger_2025],MATCH("EBR-001",tblKurallar[kural_id],0)),1,0),0))</f>
        <v/>
      </c>
      <c r="F109" s="34">
        <f>IF($A109="","",IFERROR(IF($B109&gt;=INDEX(tblKurallar[deger_2025],MATCH("EBR-002",tblKurallar[kural_id],0)),1,0),0))</f>
        <v/>
      </c>
    </row>
    <row r="110">
      <c r="A110" s="33" t="n"/>
      <c r="B110" s="33" t="n"/>
      <c r="C110" s="33" t="n"/>
      <c r="D110" s="33" t="n"/>
      <c r="E110" s="34">
        <f>IF($A110="","",IFERROR(IF($B110&gt;=INDEX(tblKurallar[deger_2025],MATCH("EBR-001",tblKurallar[kural_id],0)),1,0),0))</f>
        <v/>
      </c>
      <c r="F110" s="34">
        <f>IF($A110="","",IFERROR(IF($B110&gt;=INDEX(tblKurallar[deger_2025],MATCH("EBR-002",tblKurallar[kural_id],0)),1,0),0))</f>
        <v/>
      </c>
    </row>
    <row r="111">
      <c r="A111" s="33" t="n"/>
      <c r="B111" s="33" t="n"/>
      <c r="C111" s="33" t="n"/>
      <c r="D111" s="33" t="n"/>
      <c r="E111" s="34">
        <f>IF($A111="","",IFERROR(IF($B111&gt;=INDEX(tblKurallar[deger_2025],MATCH("EBR-001",tblKurallar[kural_id],0)),1,0),0))</f>
        <v/>
      </c>
      <c r="F111" s="34">
        <f>IF($A111="","",IFERROR(IF($B111&gt;=INDEX(tblKurallar[deger_2025],MATCH("EBR-002",tblKurallar[kural_id],0)),1,0),0))</f>
        <v/>
      </c>
    </row>
    <row r="112">
      <c r="A112" s="33" t="n"/>
      <c r="B112" s="33" t="n"/>
      <c r="C112" s="33" t="n"/>
      <c r="D112" s="33" t="n"/>
      <c r="E112" s="34">
        <f>IF($A112="","",IFERROR(IF($B112&gt;=INDEX(tblKurallar[deger_2025],MATCH("EBR-001",tblKurallar[kural_id],0)),1,0),0))</f>
        <v/>
      </c>
      <c r="F112" s="34">
        <f>IF($A112="","",IFERROR(IF($B112&gt;=INDEX(tblKurallar[deger_2025],MATCH("EBR-002",tblKurallar[kural_id],0)),1,0),0))</f>
        <v/>
      </c>
    </row>
    <row r="113">
      <c r="A113" s="33" t="n"/>
      <c r="B113" s="33" t="n"/>
      <c r="C113" s="33" t="n"/>
      <c r="D113" s="33" t="n"/>
      <c r="E113" s="34">
        <f>IF($A113="","",IFERROR(IF($B113&gt;=INDEX(tblKurallar[deger_2025],MATCH("EBR-001",tblKurallar[kural_id],0)),1,0),0))</f>
        <v/>
      </c>
      <c r="F113" s="34">
        <f>IF($A113="","",IFERROR(IF($B113&gt;=INDEX(tblKurallar[deger_2025],MATCH("EBR-002",tblKurallar[kural_id],0)),1,0),0))</f>
        <v/>
      </c>
    </row>
    <row r="114">
      <c r="A114" s="33" t="n"/>
      <c r="B114" s="33" t="n"/>
      <c r="C114" s="33" t="n"/>
      <c r="D114" s="33" t="n"/>
      <c r="E114" s="34">
        <f>IF($A114="","",IFERROR(IF($B114&gt;=INDEX(tblKurallar[deger_2025],MATCH("EBR-001",tblKurallar[kural_id],0)),1,0),0))</f>
        <v/>
      </c>
      <c r="F114" s="34">
        <f>IF($A114="","",IFERROR(IF($B114&gt;=INDEX(tblKurallar[deger_2025],MATCH("EBR-002",tblKurallar[kural_id],0)),1,0),0))</f>
        <v/>
      </c>
    </row>
    <row r="115">
      <c r="A115" s="33" t="n"/>
      <c r="B115" s="33" t="n"/>
      <c r="C115" s="33" t="n"/>
      <c r="D115" s="33" t="n"/>
      <c r="E115" s="34">
        <f>IF($A115="","",IFERROR(IF($B115&gt;=INDEX(tblKurallar[deger_2025],MATCH("EBR-001",tblKurallar[kural_id],0)),1,0),0))</f>
        <v/>
      </c>
      <c r="F115" s="34">
        <f>IF($A115="","",IFERROR(IF($B115&gt;=INDEX(tblKurallar[deger_2025],MATCH("EBR-002",tblKurallar[kural_id],0)),1,0),0))</f>
        <v/>
      </c>
    </row>
    <row r="116">
      <c r="A116" s="33" t="n"/>
      <c r="B116" s="33" t="n"/>
      <c r="C116" s="33" t="n"/>
      <c r="D116" s="33" t="n"/>
      <c r="E116" s="34">
        <f>IF($A116="","",IFERROR(IF($B116&gt;=INDEX(tblKurallar[deger_2025],MATCH("EBR-001",tblKurallar[kural_id],0)),1,0),0))</f>
        <v/>
      </c>
      <c r="F116" s="34">
        <f>IF($A116="","",IFERROR(IF($B116&gt;=INDEX(tblKurallar[deger_2025],MATCH("EBR-002",tblKurallar[kural_id],0)),1,0),0))</f>
        <v/>
      </c>
    </row>
    <row r="117">
      <c r="A117" s="33" t="n"/>
      <c r="B117" s="33" t="n"/>
      <c r="C117" s="33" t="n"/>
      <c r="D117" s="33" t="n"/>
      <c r="E117" s="34">
        <f>IF($A117="","",IFERROR(IF($B117&gt;=INDEX(tblKurallar[deger_2025],MATCH("EBR-001",tblKurallar[kural_id],0)),1,0),0))</f>
        <v/>
      </c>
      <c r="F117" s="34">
        <f>IF($A117="","",IFERROR(IF($B117&gt;=INDEX(tblKurallar[deger_2025],MATCH("EBR-002",tblKurallar[kural_id],0)),1,0),0))</f>
        <v/>
      </c>
    </row>
    <row r="118">
      <c r="A118" s="33" t="n"/>
      <c r="B118" s="33" t="n"/>
      <c r="C118" s="33" t="n"/>
      <c r="D118" s="33" t="n"/>
      <c r="E118" s="34">
        <f>IF($A118="","",IFERROR(IF($B118&gt;=INDEX(tblKurallar[deger_2025],MATCH("EBR-001",tblKurallar[kural_id],0)),1,0),0))</f>
        <v/>
      </c>
      <c r="F118" s="34">
        <f>IF($A118="","",IFERROR(IF($B118&gt;=INDEX(tblKurallar[deger_2025],MATCH("EBR-002",tblKurallar[kural_id],0)),1,0),0))</f>
        <v/>
      </c>
    </row>
    <row r="119">
      <c r="A119" s="33" t="n"/>
      <c r="B119" s="33" t="n"/>
      <c r="C119" s="33" t="n"/>
      <c r="D119" s="33" t="n"/>
      <c r="E119" s="34">
        <f>IF($A119="","",IFERROR(IF($B119&gt;=INDEX(tblKurallar[deger_2025],MATCH("EBR-001",tblKurallar[kural_id],0)),1,0),0))</f>
        <v/>
      </c>
      <c r="F119" s="34">
        <f>IF($A119="","",IFERROR(IF($B119&gt;=INDEX(tblKurallar[deger_2025],MATCH("EBR-002",tblKurallar[kural_id],0)),1,0),0))</f>
        <v/>
      </c>
    </row>
    <row r="120">
      <c r="A120" s="33" t="n"/>
      <c r="B120" s="33" t="n"/>
      <c r="C120" s="33" t="n"/>
      <c r="D120" s="33" t="n"/>
      <c r="E120" s="34">
        <f>IF($A120="","",IFERROR(IF($B120&gt;=INDEX(tblKurallar[deger_2025],MATCH("EBR-001",tblKurallar[kural_id],0)),1,0),0))</f>
        <v/>
      </c>
      <c r="F120" s="34">
        <f>IF($A120="","",IFERROR(IF($B120&gt;=INDEX(tblKurallar[deger_2025],MATCH("EBR-002",tblKurallar[kural_id],0)),1,0),0))</f>
        <v/>
      </c>
    </row>
    <row r="121">
      <c r="A121" s="33" t="n"/>
      <c r="B121" s="33" t="n"/>
      <c r="C121" s="33" t="n"/>
      <c r="D121" s="33" t="n"/>
      <c r="E121" s="34">
        <f>IF($A121="","",IFERROR(IF($B121&gt;=INDEX(tblKurallar[deger_2025],MATCH("EBR-001",tblKurallar[kural_id],0)),1,0),0))</f>
        <v/>
      </c>
      <c r="F121" s="34">
        <f>IF($A121="","",IFERROR(IF($B121&gt;=INDEX(tblKurallar[deger_2025],MATCH("EBR-002",tblKurallar[kural_id],0)),1,0),0))</f>
        <v/>
      </c>
    </row>
    <row r="122">
      <c r="A122" s="33" t="n"/>
      <c r="B122" s="33" t="n"/>
      <c r="C122" s="33" t="n"/>
      <c r="D122" s="33" t="n"/>
      <c r="E122" s="34">
        <f>IF($A122="","",IFERROR(IF($B122&gt;=INDEX(tblKurallar[deger_2025],MATCH("EBR-001",tblKurallar[kural_id],0)),1,0),0))</f>
        <v/>
      </c>
      <c r="F122" s="34">
        <f>IF($A122="","",IFERROR(IF($B122&gt;=INDEX(tblKurallar[deger_2025],MATCH("EBR-002",tblKurallar[kural_id],0)),1,0),0))</f>
        <v/>
      </c>
    </row>
    <row r="123">
      <c r="A123" s="33" t="n"/>
      <c r="B123" s="33" t="n"/>
      <c r="C123" s="33" t="n"/>
      <c r="D123" s="33" t="n"/>
      <c r="E123" s="34">
        <f>IF($A123="","",IFERROR(IF($B123&gt;=INDEX(tblKurallar[deger_2025],MATCH("EBR-001",tblKurallar[kural_id],0)),1,0),0))</f>
        <v/>
      </c>
      <c r="F123" s="34">
        <f>IF($A123="","",IFERROR(IF($B123&gt;=INDEX(tblKurallar[deger_2025],MATCH("EBR-002",tblKurallar[kural_id],0)),1,0),0))</f>
        <v/>
      </c>
    </row>
    <row r="124">
      <c r="A124" s="33" t="n"/>
      <c r="B124" s="33" t="n"/>
      <c r="C124" s="33" t="n"/>
      <c r="D124" s="33" t="n"/>
      <c r="E124" s="34">
        <f>IF($A124="","",IFERROR(IF($B124&gt;=INDEX(tblKurallar[deger_2025],MATCH("EBR-001",tblKurallar[kural_id],0)),1,0),0))</f>
        <v/>
      </c>
      <c r="F124" s="34">
        <f>IF($A124="","",IFERROR(IF($B124&gt;=INDEX(tblKurallar[deger_2025],MATCH("EBR-002",tblKurallar[kural_id],0)),1,0),0))</f>
        <v/>
      </c>
    </row>
    <row r="125">
      <c r="A125" s="33" t="n"/>
      <c r="B125" s="33" t="n"/>
      <c r="C125" s="33" t="n"/>
      <c r="D125" s="33" t="n"/>
      <c r="E125" s="34">
        <f>IF($A125="","",IFERROR(IF($B125&gt;=INDEX(tblKurallar[deger_2025],MATCH("EBR-001",tblKurallar[kural_id],0)),1,0),0))</f>
        <v/>
      </c>
      <c r="F125" s="34">
        <f>IF($A125="","",IFERROR(IF($B125&gt;=INDEX(tblKurallar[deger_2025],MATCH("EBR-002",tblKurallar[kural_id],0)),1,0),0))</f>
        <v/>
      </c>
    </row>
    <row r="126">
      <c r="A126" s="33" t="n"/>
      <c r="B126" s="33" t="n"/>
      <c r="C126" s="33" t="n"/>
      <c r="D126" s="33" t="n"/>
      <c r="E126" s="34">
        <f>IF($A126="","",IFERROR(IF($B126&gt;=INDEX(tblKurallar[deger_2025],MATCH("EBR-001",tblKurallar[kural_id],0)),1,0),0))</f>
        <v/>
      </c>
      <c r="F126" s="34">
        <f>IF($A126="","",IFERROR(IF($B126&gt;=INDEX(tblKurallar[deger_2025],MATCH("EBR-002",tblKurallar[kural_id],0)),1,0),0))</f>
        <v/>
      </c>
    </row>
    <row r="127">
      <c r="A127" s="33" t="n"/>
      <c r="B127" s="33" t="n"/>
      <c r="C127" s="33" t="n"/>
      <c r="D127" s="33" t="n"/>
      <c r="E127" s="34">
        <f>IF($A127="","",IFERROR(IF($B127&gt;=INDEX(tblKurallar[deger_2025],MATCH("EBR-001",tblKurallar[kural_id],0)),1,0),0))</f>
        <v/>
      </c>
      <c r="F127" s="34">
        <f>IF($A127="","",IFERROR(IF($B127&gt;=INDEX(tblKurallar[deger_2025],MATCH("EBR-002",tblKurallar[kural_id],0)),1,0),0))</f>
        <v/>
      </c>
    </row>
    <row r="128">
      <c r="A128" s="33" t="n"/>
      <c r="B128" s="33" t="n"/>
      <c r="C128" s="33" t="n"/>
      <c r="D128" s="33" t="n"/>
      <c r="E128" s="34">
        <f>IF($A128="","",IFERROR(IF($B128&gt;=INDEX(tblKurallar[deger_2025],MATCH("EBR-001",tblKurallar[kural_id],0)),1,0),0))</f>
        <v/>
      </c>
      <c r="F128" s="34">
        <f>IF($A128="","",IFERROR(IF($B128&gt;=INDEX(tblKurallar[deger_2025],MATCH("EBR-002",tblKurallar[kural_id],0)),1,0),0))</f>
        <v/>
      </c>
    </row>
    <row r="129">
      <c r="A129" s="33" t="n"/>
      <c r="B129" s="33" t="n"/>
      <c r="C129" s="33" t="n"/>
      <c r="D129" s="33" t="n"/>
      <c r="E129" s="34">
        <f>IF($A129="","",IFERROR(IF($B129&gt;=INDEX(tblKurallar[deger_2025],MATCH("EBR-001",tblKurallar[kural_id],0)),1,0),0))</f>
        <v/>
      </c>
      <c r="F129" s="34">
        <f>IF($A129="","",IFERROR(IF($B129&gt;=INDEX(tblKurallar[deger_2025],MATCH("EBR-002",tblKurallar[kural_id],0)),1,0),0))</f>
        <v/>
      </c>
    </row>
    <row r="130">
      <c r="A130" s="33" t="n"/>
      <c r="B130" s="33" t="n"/>
      <c r="C130" s="33" t="n"/>
      <c r="D130" s="33" t="n"/>
      <c r="E130" s="34">
        <f>IF($A130="","",IFERROR(IF($B130&gt;=INDEX(tblKurallar[deger_2025],MATCH("EBR-001",tblKurallar[kural_id],0)),1,0),0))</f>
        <v/>
      </c>
      <c r="F130" s="34">
        <f>IF($A130="","",IFERROR(IF($B130&gt;=INDEX(tblKurallar[deger_2025],MATCH("EBR-002",tblKurallar[kural_id],0)),1,0),0))</f>
        <v/>
      </c>
    </row>
    <row r="131">
      <c r="A131" s="33" t="n"/>
      <c r="B131" s="33" t="n"/>
      <c r="C131" s="33" t="n"/>
      <c r="D131" s="33" t="n"/>
      <c r="E131" s="34">
        <f>IF($A131="","",IFERROR(IF($B131&gt;=INDEX(tblKurallar[deger_2025],MATCH("EBR-001",tblKurallar[kural_id],0)),1,0),0))</f>
        <v/>
      </c>
      <c r="F131" s="34">
        <f>IF($A131="","",IFERROR(IF($B131&gt;=INDEX(tblKurallar[deger_2025],MATCH("EBR-002",tblKurallar[kural_id],0)),1,0),0))</f>
        <v/>
      </c>
    </row>
    <row r="132">
      <c r="A132" s="33" t="n"/>
      <c r="B132" s="33" t="n"/>
      <c r="C132" s="33" t="n"/>
      <c r="D132" s="33" t="n"/>
      <c r="E132" s="34">
        <f>IF($A132="","",IFERROR(IF($B132&gt;=INDEX(tblKurallar[deger_2025],MATCH("EBR-001",tblKurallar[kural_id],0)),1,0),0))</f>
        <v/>
      </c>
      <c r="F132" s="34">
        <f>IF($A132="","",IFERROR(IF($B132&gt;=INDEX(tblKurallar[deger_2025],MATCH("EBR-002",tblKurallar[kural_id],0)),1,0),0))</f>
        <v/>
      </c>
    </row>
    <row r="133">
      <c r="A133" s="33" t="n"/>
      <c r="B133" s="33" t="n"/>
      <c r="C133" s="33" t="n"/>
      <c r="D133" s="33" t="n"/>
      <c r="E133" s="34">
        <f>IF($A133="","",IFERROR(IF($B133&gt;=INDEX(tblKurallar[deger_2025],MATCH("EBR-001",tblKurallar[kural_id],0)),1,0),0))</f>
        <v/>
      </c>
      <c r="F133" s="34">
        <f>IF($A133="","",IFERROR(IF($B133&gt;=INDEX(tblKurallar[deger_2025],MATCH("EBR-002",tblKurallar[kural_id],0)),1,0),0))</f>
        <v/>
      </c>
    </row>
    <row r="134">
      <c r="A134" s="33" t="n"/>
      <c r="B134" s="33" t="n"/>
      <c r="C134" s="33" t="n"/>
      <c r="D134" s="33" t="n"/>
      <c r="E134" s="34">
        <f>IF($A134="","",IFERROR(IF($B134&gt;=INDEX(tblKurallar[deger_2025],MATCH("EBR-001",tblKurallar[kural_id],0)),1,0),0))</f>
        <v/>
      </c>
      <c r="F134" s="34">
        <f>IF($A134="","",IFERROR(IF($B134&gt;=INDEX(tblKurallar[deger_2025],MATCH("EBR-002",tblKurallar[kural_id],0)),1,0),0))</f>
        <v/>
      </c>
    </row>
    <row r="135">
      <c r="A135" s="33" t="n"/>
      <c r="B135" s="33" t="n"/>
      <c r="C135" s="33" t="n"/>
      <c r="D135" s="33" t="n"/>
      <c r="E135" s="34">
        <f>IF($A135="","",IFERROR(IF($B135&gt;=INDEX(tblKurallar[deger_2025],MATCH("EBR-001",tblKurallar[kural_id],0)),1,0),0))</f>
        <v/>
      </c>
      <c r="F135" s="34">
        <f>IF($A135="","",IFERROR(IF($B135&gt;=INDEX(tblKurallar[deger_2025],MATCH("EBR-002",tblKurallar[kural_id],0)),1,0),0))</f>
        <v/>
      </c>
    </row>
    <row r="136">
      <c r="A136" s="33" t="n"/>
      <c r="B136" s="33" t="n"/>
      <c r="C136" s="33" t="n"/>
      <c r="D136" s="33" t="n"/>
      <c r="E136" s="34">
        <f>IF($A136="","",IFERROR(IF($B136&gt;=INDEX(tblKurallar[deger_2025],MATCH("EBR-001",tblKurallar[kural_id],0)),1,0),0))</f>
        <v/>
      </c>
      <c r="F136" s="34">
        <f>IF($A136="","",IFERROR(IF($B136&gt;=INDEX(tblKurallar[deger_2025],MATCH("EBR-002",tblKurallar[kural_id],0)),1,0),0))</f>
        <v/>
      </c>
    </row>
    <row r="137">
      <c r="A137" s="33" t="n"/>
      <c r="B137" s="33" t="n"/>
      <c r="C137" s="33" t="n"/>
      <c r="D137" s="33" t="n"/>
      <c r="E137" s="34">
        <f>IF($A137="","",IFERROR(IF($B137&gt;=INDEX(tblKurallar[deger_2025],MATCH("EBR-001",tblKurallar[kural_id],0)),1,0),0))</f>
        <v/>
      </c>
      <c r="F137" s="34">
        <f>IF($A137="","",IFERROR(IF($B137&gt;=INDEX(tblKurallar[deger_2025],MATCH("EBR-002",tblKurallar[kural_id],0)),1,0),0))</f>
        <v/>
      </c>
    </row>
    <row r="138">
      <c r="A138" s="33" t="n"/>
      <c r="B138" s="33" t="n"/>
      <c r="C138" s="33" t="n"/>
      <c r="D138" s="33" t="n"/>
      <c r="E138" s="34">
        <f>IF($A138="","",IFERROR(IF($B138&gt;=INDEX(tblKurallar[deger_2025],MATCH("EBR-001",tblKurallar[kural_id],0)),1,0),0))</f>
        <v/>
      </c>
      <c r="F138" s="34">
        <f>IF($A138="","",IFERROR(IF($B138&gt;=INDEX(tblKurallar[deger_2025],MATCH("EBR-002",tblKurallar[kural_id],0)),1,0),0))</f>
        <v/>
      </c>
    </row>
    <row r="139">
      <c r="A139" s="33" t="n"/>
      <c r="B139" s="33" t="n"/>
      <c r="C139" s="33" t="n"/>
      <c r="D139" s="33" t="n"/>
      <c r="E139" s="34">
        <f>IF($A139="","",IFERROR(IF($B139&gt;=INDEX(tblKurallar[deger_2025],MATCH("EBR-001",tblKurallar[kural_id],0)),1,0),0))</f>
        <v/>
      </c>
      <c r="F139" s="34">
        <f>IF($A139="","",IFERROR(IF($B139&gt;=INDEX(tblKurallar[deger_2025],MATCH("EBR-002",tblKurallar[kural_id],0)),1,0),0))</f>
        <v/>
      </c>
    </row>
    <row r="140">
      <c r="A140" s="33" t="n"/>
      <c r="B140" s="33" t="n"/>
      <c r="C140" s="33" t="n"/>
      <c r="D140" s="33" t="n"/>
      <c r="E140" s="34">
        <f>IF($A140="","",IFERROR(IF($B140&gt;=INDEX(tblKurallar[deger_2025],MATCH("EBR-001",tblKurallar[kural_id],0)),1,0),0))</f>
        <v/>
      </c>
      <c r="F140" s="34">
        <f>IF($A140="","",IFERROR(IF($B140&gt;=INDEX(tblKurallar[deger_2025],MATCH("EBR-002",tblKurallar[kural_id],0)),1,0),0))</f>
        <v/>
      </c>
    </row>
    <row r="141">
      <c r="A141" s="33" t="n"/>
      <c r="B141" s="33" t="n"/>
      <c r="C141" s="33" t="n"/>
      <c r="D141" s="33" t="n"/>
      <c r="E141" s="34">
        <f>IF($A141="","",IFERROR(IF($B141&gt;=INDEX(tblKurallar[deger_2025],MATCH("EBR-001",tblKurallar[kural_id],0)),1,0),0))</f>
        <v/>
      </c>
      <c r="F141" s="34">
        <f>IF($A141="","",IFERROR(IF($B141&gt;=INDEX(tblKurallar[deger_2025],MATCH("EBR-002",tblKurallar[kural_id],0)),1,0),0))</f>
        <v/>
      </c>
    </row>
    <row r="142">
      <c r="A142" s="33" t="n"/>
      <c r="B142" s="33" t="n"/>
      <c r="C142" s="33" t="n"/>
      <c r="D142" s="33" t="n"/>
      <c r="E142" s="34">
        <f>IF($A142="","",IFERROR(IF($B142&gt;=INDEX(tblKurallar[deger_2025],MATCH("EBR-001",tblKurallar[kural_id],0)),1,0),0))</f>
        <v/>
      </c>
      <c r="F142" s="34">
        <f>IF($A142="","",IFERROR(IF($B142&gt;=INDEX(tblKurallar[deger_2025],MATCH("EBR-002",tblKurallar[kural_id],0)),1,0),0))</f>
        <v/>
      </c>
    </row>
    <row r="143">
      <c r="A143" s="33" t="n"/>
      <c r="B143" s="33" t="n"/>
      <c r="C143" s="33" t="n"/>
      <c r="D143" s="33" t="n"/>
      <c r="E143" s="34">
        <f>IF($A143="","",IFERROR(IF($B143&gt;=INDEX(tblKurallar[deger_2025],MATCH("EBR-001",tblKurallar[kural_id],0)),1,0),0))</f>
        <v/>
      </c>
      <c r="F143" s="34">
        <f>IF($A143="","",IFERROR(IF($B143&gt;=INDEX(tblKurallar[deger_2025],MATCH("EBR-002",tblKurallar[kural_id],0)),1,0),0))</f>
        <v/>
      </c>
    </row>
    <row r="144">
      <c r="A144" s="33" t="n"/>
      <c r="B144" s="33" t="n"/>
      <c r="C144" s="33" t="n"/>
      <c r="D144" s="33" t="n"/>
      <c r="E144" s="34">
        <f>IF($A144="","",IFERROR(IF($B144&gt;=INDEX(tblKurallar[deger_2025],MATCH("EBR-001",tblKurallar[kural_id],0)),1,0),0))</f>
        <v/>
      </c>
      <c r="F144" s="34">
        <f>IF($A144="","",IFERROR(IF($B144&gt;=INDEX(tblKurallar[deger_2025],MATCH("EBR-002",tblKurallar[kural_id],0)),1,0),0))</f>
        <v/>
      </c>
    </row>
    <row r="145">
      <c r="A145" s="33" t="n"/>
      <c r="B145" s="33" t="n"/>
      <c r="C145" s="33" t="n"/>
      <c r="D145" s="33" t="n"/>
      <c r="E145" s="34">
        <f>IF($A145="","",IFERROR(IF($B145&gt;=INDEX(tblKurallar[deger_2025],MATCH("EBR-001",tblKurallar[kural_id],0)),1,0),0))</f>
        <v/>
      </c>
      <c r="F145" s="34">
        <f>IF($A145="","",IFERROR(IF($B145&gt;=INDEX(tblKurallar[deger_2025],MATCH("EBR-002",tblKurallar[kural_id],0)),1,0),0))</f>
        <v/>
      </c>
    </row>
    <row r="146">
      <c r="A146" s="33" t="n"/>
      <c r="B146" s="33" t="n"/>
      <c r="C146" s="33" t="n"/>
      <c r="D146" s="33" t="n"/>
      <c r="E146" s="34">
        <f>IF($A146="","",IFERROR(IF($B146&gt;=INDEX(tblKurallar[deger_2025],MATCH("EBR-001",tblKurallar[kural_id],0)),1,0),0))</f>
        <v/>
      </c>
      <c r="F146" s="34">
        <f>IF($A146="","",IFERROR(IF($B146&gt;=INDEX(tblKurallar[deger_2025],MATCH("EBR-002",tblKurallar[kural_id],0)),1,0),0))</f>
        <v/>
      </c>
    </row>
    <row r="147">
      <c r="A147" s="33" t="n"/>
      <c r="B147" s="33" t="n"/>
      <c r="C147" s="33" t="n"/>
      <c r="D147" s="33" t="n"/>
      <c r="E147" s="34">
        <f>IF($A147="","",IFERROR(IF($B147&gt;=INDEX(tblKurallar[deger_2025],MATCH("EBR-001",tblKurallar[kural_id],0)),1,0),0))</f>
        <v/>
      </c>
      <c r="F147" s="34">
        <f>IF($A147="","",IFERROR(IF($B147&gt;=INDEX(tblKurallar[deger_2025],MATCH("EBR-002",tblKurallar[kural_id],0)),1,0),0))</f>
        <v/>
      </c>
    </row>
    <row r="148">
      <c r="A148" s="33" t="n"/>
      <c r="B148" s="33" t="n"/>
      <c r="C148" s="33" t="n"/>
      <c r="D148" s="33" t="n"/>
      <c r="E148" s="34">
        <f>IF($A148="","",IFERROR(IF($B148&gt;=INDEX(tblKurallar[deger_2025],MATCH("EBR-001",tblKurallar[kural_id],0)),1,0),0))</f>
        <v/>
      </c>
      <c r="F148" s="34">
        <f>IF($A148="","",IFERROR(IF($B148&gt;=INDEX(tblKurallar[deger_2025],MATCH("EBR-002",tblKurallar[kural_id],0)),1,0),0))</f>
        <v/>
      </c>
    </row>
    <row r="149">
      <c r="A149" s="33" t="n"/>
      <c r="B149" s="33" t="n"/>
      <c r="C149" s="33" t="n"/>
      <c r="D149" s="33" t="n"/>
      <c r="E149" s="34">
        <f>IF($A149="","",IFERROR(IF($B149&gt;=INDEX(tblKurallar[deger_2025],MATCH("EBR-001",tblKurallar[kural_id],0)),1,0),0))</f>
        <v/>
      </c>
      <c r="F149" s="34">
        <f>IF($A149="","",IFERROR(IF($B149&gt;=INDEX(tblKurallar[deger_2025],MATCH("EBR-002",tblKurallar[kural_id],0)),1,0),0))</f>
        <v/>
      </c>
    </row>
    <row r="150">
      <c r="A150" s="33" t="n"/>
      <c r="B150" s="33" t="n"/>
      <c r="C150" s="33" t="n"/>
      <c r="D150" s="33" t="n"/>
      <c r="E150" s="34">
        <f>IF($A150="","",IFERROR(IF($B150&gt;=INDEX(tblKurallar[deger_2025],MATCH("EBR-001",tblKurallar[kural_id],0)),1,0),0))</f>
        <v/>
      </c>
      <c r="F150" s="34">
        <f>IF($A150="","",IFERROR(IF($B150&gt;=INDEX(tblKurallar[deger_2025],MATCH("EBR-002",tblKurallar[kural_id],0)),1,0),0))</f>
        <v/>
      </c>
    </row>
    <row r="151">
      <c r="A151" s="33" t="n"/>
      <c r="B151" s="33" t="n"/>
      <c r="C151" s="33" t="n"/>
      <c r="D151" s="33" t="n"/>
      <c r="E151" s="34">
        <f>IF($A151="","",IFERROR(IF($B151&gt;=INDEX(tblKurallar[deger_2025],MATCH("EBR-001",tblKurallar[kural_id],0)),1,0),0))</f>
        <v/>
      </c>
      <c r="F151" s="34">
        <f>IF($A151="","",IFERROR(IF($B151&gt;=INDEX(tblKurallar[deger_2025],MATCH("EBR-002",tblKurallar[kural_id],0)),1,0),0))</f>
        <v/>
      </c>
    </row>
    <row r="152">
      <c r="A152" s="33" t="n"/>
      <c r="B152" s="33" t="n"/>
      <c r="C152" s="33" t="n"/>
      <c r="D152" s="33" t="n"/>
      <c r="E152" s="34">
        <f>IF($A152="","",IFERROR(IF($B152&gt;=INDEX(tblKurallar[deger_2025],MATCH("EBR-001",tblKurallar[kural_id],0)),1,0),0))</f>
        <v/>
      </c>
      <c r="F152" s="34">
        <f>IF($A152="","",IFERROR(IF($B152&gt;=INDEX(tblKurallar[deger_2025],MATCH("EBR-002",tblKurallar[kural_id],0)),1,0),0))</f>
        <v/>
      </c>
    </row>
    <row r="153">
      <c r="A153" s="33" t="n"/>
      <c r="B153" s="33" t="n"/>
      <c r="C153" s="33" t="n"/>
      <c r="D153" s="33" t="n"/>
      <c r="E153" s="34">
        <f>IF($A153="","",IFERROR(IF($B153&gt;=INDEX(tblKurallar[deger_2025],MATCH("EBR-001",tblKurallar[kural_id],0)),1,0),0))</f>
        <v/>
      </c>
      <c r="F153" s="34">
        <f>IF($A153="","",IFERROR(IF($B153&gt;=INDEX(tblKurallar[deger_2025],MATCH("EBR-002",tblKurallar[kural_id],0)),1,0),0))</f>
        <v/>
      </c>
    </row>
    <row r="154">
      <c r="A154" s="33" t="n"/>
      <c r="B154" s="33" t="n"/>
      <c r="C154" s="33" t="n"/>
      <c r="D154" s="33" t="n"/>
      <c r="E154" s="34">
        <f>IF($A154="","",IFERROR(IF($B154&gt;=INDEX(tblKurallar[deger_2025],MATCH("EBR-001",tblKurallar[kural_id],0)),1,0),0))</f>
        <v/>
      </c>
      <c r="F154" s="34">
        <f>IF($A154="","",IFERROR(IF($B154&gt;=INDEX(tblKurallar[deger_2025],MATCH("EBR-002",tblKurallar[kural_id],0)),1,0),0))</f>
        <v/>
      </c>
    </row>
    <row r="155">
      <c r="A155" s="33" t="n"/>
      <c r="B155" s="33" t="n"/>
      <c r="C155" s="33" t="n"/>
      <c r="D155" s="33" t="n"/>
      <c r="E155" s="34">
        <f>IF($A155="","",IFERROR(IF($B155&gt;=INDEX(tblKurallar[deger_2025],MATCH("EBR-001",tblKurallar[kural_id],0)),1,0),0))</f>
        <v/>
      </c>
      <c r="F155" s="34">
        <f>IF($A155="","",IFERROR(IF($B155&gt;=INDEX(tblKurallar[deger_2025],MATCH("EBR-002",tblKurallar[kural_id],0)),1,0),0))</f>
        <v/>
      </c>
    </row>
    <row r="156">
      <c r="A156" s="33" t="n"/>
      <c r="B156" s="33" t="n"/>
      <c r="C156" s="33" t="n"/>
      <c r="D156" s="33" t="n"/>
      <c r="E156" s="34">
        <f>IF($A156="","",IFERROR(IF($B156&gt;=INDEX(tblKurallar[deger_2025],MATCH("EBR-001",tblKurallar[kural_id],0)),1,0),0))</f>
        <v/>
      </c>
      <c r="F156" s="34">
        <f>IF($A156="","",IFERROR(IF($B156&gt;=INDEX(tblKurallar[deger_2025],MATCH("EBR-002",tblKurallar[kural_id],0)),1,0),0))</f>
        <v/>
      </c>
    </row>
    <row r="157">
      <c r="A157" s="33" t="n"/>
      <c r="B157" s="33" t="n"/>
      <c r="C157" s="33" t="n"/>
      <c r="D157" s="33" t="n"/>
      <c r="E157" s="34">
        <f>IF($A157="","",IFERROR(IF($B157&gt;=INDEX(tblKurallar[deger_2025],MATCH("EBR-001",tblKurallar[kural_id],0)),1,0),0))</f>
        <v/>
      </c>
      <c r="F157" s="34">
        <f>IF($A157="","",IFERROR(IF($B157&gt;=INDEX(tblKurallar[deger_2025],MATCH("EBR-002",tblKurallar[kural_id],0)),1,0),0))</f>
        <v/>
      </c>
    </row>
    <row r="158">
      <c r="A158" s="33" t="n"/>
      <c r="B158" s="33" t="n"/>
      <c r="C158" s="33" t="n"/>
      <c r="D158" s="33" t="n"/>
      <c r="E158" s="34">
        <f>IF($A158="","",IFERROR(IF($B158&gt;=INDEX(tblKurallar[deger_2025],MATCH("EBR-001",tblKurallar[kural_id],0)),1,0),0))</f>
        <v/>
      </c>
      <c r="F158" s="34">
        <f>IF($A158="","",IFERROR(IF($B158&gt;=INDEX(tblKurallar[deger_2025],MATCH("EBR-002",tblKurallar[kural_id],0)),1,0),0))</f>
        <v/>
      </c>
    </row>
    <row r="159">
      <c r="A159" s="33" t="n"/>
      <c r="B159" s="33" t="n"/>
      <c r="C159" s="33" t="n"/>
      <c r="D159" s="33" t="n"/>
      <c r="E159" s="34">
        <f>IF($A159="","",IFERROR(IF($B159&gt;=INDEX(tblKurallar[deger_2025],MATCH("EBR-001",tblKurallar[kural_id],0)),1,0),0))</f>
        <v/>
      </c>
      <c r="F159" s="34">
        <f>IF($A159="","",IFERROR(IF($B159&gt;=INDEX(tblKurallar[deger_2025],MATCH("EBR-002",tblKurallar[kural_id],0)),1,0),0))</f>
        <v/>
      </c>
    </row>
    <row r="160">
      <c r="A160" s="33" t="n"/>
      <c r="B160" s="33" t="n"/>
      <c r="C160" s="33" t="n"/>
      <c r="D160" s="33" t="n"/>
      <c r="E160" s="34">
        <f>IF($A160="","",IFERROR(IF($B160&gt;=INDEX(tblKurallar[deger_2025],MATCH("EBR-001",tblKurallar[kural_id],0)),1,0),0))</f>
        <v/>
      </c>
      <c r="F160" s="34">
        <f>IF($A160="","",IFERROR(IF($B160&gt;=INDEX(tblKurallar[deger_2025],MATCH("EBR-002",tblKurallar[kural_id],0)),1,0),0))</f>
        <v/>
      </c>
    </row>
    <row r="161">
      <c r="A161" s="33" t="n"/>
      <c r="B161" s="33" t="n"/>
      <c r="C161" s="33" t="n"/>
      <c r="D161" s="33" t="n"/>
      <c r="E161" s="34">
        <f>IF($A161="","",IFERROR(IF($B161&gt;=INDEX(tblKurallar[deger_2025],MATCH("EBR-001",tblKurallar[kural_id],0)),1,0),0))</f>
        <v/>
      </c>
      <c r="F161" s="34">
        <f>IF($A161="","",IFERROR(IF($B161&gt;=INDEX(tblKurallar[deger_2025],MATCH("EBR-002",tblKurallar[kural_id],0)),1,0),0))</f>
        <v/>
      </c>
    </row>
    <row r="162">
      <c r="A162" s="33" t="n"/>
      <c r="B162" s="33" t="n"/>
      <c r="C162" s="33" t="n"/>
      <c r="D162" s="33" t="n"/>
      <c r="E162" s="34">
        <f>IF($A162="","",IFERROR(IF($B162&gt;=INDEX(tblKurallar[deger_2025],MATCH("EBR-001",tblKurallar[kural_id],0)),1,0),0))</f>
        <v/>
      </c>
      <c r="F162" s="34">
        <f>IF($A162="","",IFERROR(IF($B162&gt;=INDEX(tblKurallar[deger_2025],MATCH("EBR-002",tblKurallar[kural_id],0)),1,0),0))</f>
        <v/>
      </c>
    </row>
    <row r="163">
      <c r="A163" s="33" t="n"/>
      <c r="B163" s="33" t="n"/>
      <c r="C163" s="33" t="n"/>
      <c r="D163" s="33" t="n"/>
      <c r="E163" s="34">
        <f>IF($A163="","",IFERROR(IF($B163&gt;=INDEX(tblKurallar[deger_2025],MATCH("EBR-001",tblKurallar[kural_id],0)),1,0),0))</f>
        <v/>
      </c>
      <c r="F163" s="34">
        <f>IF($A163="","",IFERROR(IF($B163&gt;=INDEX(tblKurallar[deger_2025],MATCH("EBR-002",tblKurallar[kural_id],0)),1,0),0))</f>
        <v/>
      </c>
    </row>
    <row r="164">
      <c r="A164" s="33" t="n"/>
      <c r="B164" s="33" t="n"/>
      <c r="C164" s="33" t="n"/>
      <c r="D164" s="33" t="n"/>
      <c r="E164" s="34">
        <f>IF($A164="","",IFERROR(IF($B164&gt;=INDEX(tblKurallar[deger_2025],MATCH("EBR-001",tblKurallar[kural_id],0)),1,0),0))</f>
        <v/>
      </c>
      <c r="F164" s="34">
        <f>IF($A164="","",IFERROR(IF($B164&gt;=INDEX(tblKurallar[deger_2025],MATCH("EBR-002",tblKurallar[kural_id],0)),1,0),0))</f>
        <v/>
      </c>
    </row>
    <row r="165">
      <c r="A165" s="33" t="n"/>
      <c r="B165" s="33" t="n"/>
      <c r="C165" s="33" t="n"/>
      <c r="D165" s="33" t="n"/>
      <c r="E165" s="34">
        <f>IF($A165="","",IFERROR(IF($B165&gt;=INDEX(tblKurallar[deger_2025],MATCH("EBR-001",tblKurallar[kural_id],0)),1,0),0))</f>
        <v/>
      </c>
      <c r="F165" s="34">
        <f>IF($A165="","",IFERROR(IF($B165&gt;=INDEX(tblKurallar[deger_2025],MATCH("EBR-002",tblKurallar[kural_id],0)),1,0),0))</f>
        <v/>
      </c>
    </row>
    <row r="166">
      <c r="A166" s="33" t="n"/>
      <c r="B166" s="33" t="n"/>
      <c r="C166" s="33" t="n"/>
      <c r="D166" s="33" t="n"/>
      <c r="E166" s="34">
        <f>IF($A166="","",IFERROR(IF($B166&gt;=INDEX(tblKurallar[deger_2025],MATCH("EBR-001",tblKurallar[kural_id],0)),1,0),0))</f>
        <v/>
      </c>
      <c r="F166" s="34">
        <f>IF($A166="","",IFERROR(IF($B166&gt;=INDEX(tblKurallar[deger_2025],MATCH("EBR-002",tblKurallar[kural_id],0)),1,0),0))</f>
        <v/>
      </c>
    </row>
    <row r="167">
      <c r="A167" s="33" t="n"/>
      <c r="B167" s="33" t="n"/>
      <c r="C167" s="33" t="n"/>
      <c r="D167" s="33" t="n"/>
      <c r="E167" s="34">
        <f>IF($A167="","",IFERROR(IF($B167&gt;=INDEX(tblKurallar[deger_2025],MATCH("EBR-001",tblKurallar[kural_id],0)),1,0),0))</f>
        <v/>
      </c>
      <c r="F167" s="34">
        <f>IF($A167="","",IFERROR(IF($B167&gt;=INDEX(tblKurallar[deger_2025],MATCH("EBR-002",tblKurallar[kural_id],0)),1,0),0))</f>
        <v/>
      </c>
    </row>
    <row r="168">
      <c r="A168" s="33" t="n"/>
      <c r="B168" s="33" t="n"/>
      <c r="C168" s="33" t="n"/>
      <c r="D168" s="33" t="n"/>
      <c r="E168" s="34">
        <f>IF($A168="","",IFERROR(IF($B168&gt;=INDEX(tblKurallar[deger_2025],MATCH("EBR-001",tblKurallar[kural_id],0)),1,0),0))</f>
        <v/>
      </c>
      <c r="F168" s="34">
        <f>IF($A168="","",IFERROR(IF($B168&gt;=INDEX(tblKurallar[deger_2025],MATCH("EBR-002",tblKurallar[kural_id],0)),1,0),0))</f>
        <v/>
      </c>
    </row>
    <row r="169">
      <c r="A169" s="33" t="n"/>
      <c r="B169" s="33" t="n"/>
      <c r="C169" s="33" t="n"/>
      <c r="D169" s="33" t="n"/>
      <c r="E169" s="34">
        <f>IF($A169="","",IFERROR(IF($B169&gt;=INDEX(tblKurallar[deger_2025],MATCH("EBR-001",tblKurallar[kural_id],0)),1,0),0))</f>
        <v/>
      </c>
      <c r="F169" s="34">
        <f>IF($A169="","",IFERROR(IF($B169&gt;=INDEX(tblKurallar[deger_2025],MATCH("EBR-002",tblKurallar[kural_id],0)),1,0),0))</f>
        <v/>
      </c>
    </row>
    <row r="170">
      <c r="A170" s="33" t="n"/>
      <c r="B170" s="33" t="n"/>
      <c r="C170" s="33" t="n"/>
      <c r="D170" s="33" t="n"/>
      <c r="E170" s="34">
        <f>IF($A170="","",IFERROR(IF($B170&gt;=INDEX(tblKurallar[deger_2025],MATCH("EBR-001",tblKurallar[kural_id],0)),1,0),0))</f>
        <v/>
      </c>
      <c r="F170" s="34">
        <f>IF($A170="","",IFERROR(IF($B170&gt;=INDEX(tblKurallar[deger_2025],MATCH("EBR-002",tblKurallar[kural_id],0)),1,0),0))</f>
        <v/>
      </c>
    </row>
    <row r="171">
      <c r="A171" s="33" t="n"/>
      <c r="B171" s="33" t="n"/>
      <c r="C171" s="33" t="n"/>
      <c r="D171" s="33" t="n"/>
      <c r="E171" s="34">
        <f>IF($A171="","",IFERROR(IF($B171&gt;=INDEX(tblKurallar[deger_2025],MATCH("EBR-001",tblKurallar[kural_id],0)),1,0),0))</f>
        <v/>
      </c>
      <c r="F171" s="34">
        <f>IF($A171="","",IFERROR(IF($B171&gt;=INDEX(tblKurallar[deger_2025],MATCH("EBR-002",tblKurallar[kural_id],0)),1,0),0))</f>
        <v/>
      </c>
    </row>
    <row r="172">
      <c r="A172" s="33" t="n"/>
      <c r="B172" s="33" t="n"/>
      <c r="C172" s="33" t="n"/>
      <c r="D172" s="33" t="n"/>
      <c r="E172" s="34">
        <f>IF($A172="","",IFERROR(IF($B172&gt;=INDEX(tblKurallar[deger_2025],MATCH("EBR-001",tblKurallar[kural_id],0)),1,0),0))</f>
        <v/>
      </c>
      <c r="F172" s="34">
        <f>IF($A172="","",IFERROR(IF($B172&gt;=INDEX(tblKurallar[deger_2025],MATCH("EBR-002",tblKurallar[kural_id],0)),1,0),0))</f>
        <v/>
      </c>
    </row>
    <row r="173">
      <c r="A173" s="33" t="n"/>
      <c r="B173" s="33" t="n"/>
      <c r="C173" s="33" t="n"/>
      <c r="D173" s="33" t="n"/>
      <c r="E173" s="34">
        <f>IF($A173="","",IFERROR(IF($B173&gt;=INDEX(tblKurallar[deger_2025],MATCH("EBR-001",tblKurallar[kural_id],0)),1,0),0))</f>
        <v/>
      </c>
      <c r="F173" s="34">
        <f>IF($A173="","",IFERROR(IF($B173&gt;=INDEX(tblKurallar[deger_2025],MATCH("EBR-002",tblKurallar[kural_id],0)),1,0),0))</f>
        <v/>
      </c>
    </row>
    <row r="174">
      <c r="A174" s="33" t="n"/>
      <c r="B174" s="33" t="n"/>
      <c r="C174" s="33" t="n"/>
      <c r="D174" s="33" t="n"/>
      <c r="E174" s="34">
        <f>IF($A174="","",IFERROR(IF($B174&gt;=INDEX(tblKurallar[deger_2025],MATCH("EBR-001",tblKurallar[kural_id],0)),1,0),0))</f>
        <v/>
      </c>
      <c r="F174" s="34">
        <f>IF($A174="","",IFERROR(IF($B174&gt;=INDEX(tblKurallar[deger_2025],MATCH("EBR-002",tblKurallar[kural_id],0)),1,0),0))</f>
        <v/>
      </c>
    </row>
    <row r="175">
      <c r="A175" s="33" t="n"/>
      <c r="B175" s="33" t="n"/>
      <c r="C175" s="33" t="n"/>
      <c r="D175" s="33" t="n"/>
      <c r="E175" s="34">
        <f>IF($A175="","",IFERROR(IF($B175&gt;=INDEX(tblKurallar[deger_2025],MATCH("EBR-001",tblKurallar[kural_id],0)),1,0),0))</f>
        <v/>
      </c>
      <c r="F175" s="34">
        <f>IF($A175="","",IFERROR(IF($B175&gt;=INDEX(tblKurallar[deger_2025],MATCH("EBR-002",tblKurallar[kural_id],0)),1,0),0))</f>
        <v/>
      </c>
    </row>
    <row r="176">
      <c r="A176" s="33" t="n"/>
      <c r="B176" s="33" t="n"/>
      <c r="C176" s="33" t="n"/>
      <c r="D176" s="33" t="n"/>
      <c r="E176" s="34">
        <f>IF($A176="","",IFERROR(IF($B176&gt;=INDEX(tblKurallar[deger_2025],MATCH("EBR-001",tblKurallar[kural_id],0)),1,0),0))</f>
        <v/>
      </c>
      <c r="F176" s="34">
        <f>IF($A176="","",IFERROR(IF($B176&gt;=INDEX(tblKurallar[deger_2025],MATCH("EBR-002",tblKurallar[kural_id],0)),1,0),0))</f>
        <v/>
      </c>
    </row>
    <row r="177">
      <c r="A177" s="33" t="n"/>
      <c r="B177" s="33" t="n"/>
      <c r="C177" s="33" t="n"/>
      <c r="D177" s="33" t="n"/>
      <c r="E177" s="34">
        <f>IF($A177="","",IFERROR(IF($B177&gt;=INDEX(tblKurallar[deger_2025],MATCH("EBR-001",tblKurallar[kural_id],0)),1,0),0))</f>
        <v/>
      </c>
      <c r="F177" s="34">
        <f>IF($A177="","",IFERROR(IF($B177&gt;=INDEX(tblKurallar[deger_2025],MATCH("EBR-002",tblKurallar[kural_id],0)),1,0),0))</f>
        <v/>
      </c>
    </row>
    <row r="178">
      <c r="A178" s="33" t="n"/>
      <c r="B178" s="33" t="n"/>
      <c r="C178" s="33" t="n"/>
      <c r="D178" s="33" t="n"/>
      <c r="E178" s="34">
        <f>IF($A178="","",IFERROR(IF($B178&gt;=INDEX(tblKurallar[deger_2025],MATCH("EBR-001",tblKurallar[kural_id],0)),1,0),0))</f>
        <v/>
      </c>
      <c r="F178" s="34">
        <f>IF($A178="","",IFERROR(IF($B178&gt;=INDEX(tblKurallar[deger_2025],MATCH("EBR-002",tblKurallar[kural_id],0)),1,0),0))</f>
        <v/>
      </c>
    </row>
    <row r="179">
      <c r="A179" s="33" t="n"/>
      <c r="B179" s="33" t="n"/>
      <c r="C179" s="33" t="n"/>
      <c r="D179" s="33" t="n"/>
      <c r="E179" s="34">
        <f>IF($A179="","",IFERROR(IF($B179&gt;=INDEX(tblKurallar[deger_2025],MATCH("EBR-001",tblKurallar[kural_id],0)),1,0),0))</f>
        <v/>
      </c>
      <c r="F179" s="34">
        <f>IF($A179="","",IFERROR(IF($B179&gt;=INDEX(tblKurallar[deger_2025],MATCH("EBR-002",tblKurallar[kural_id],0)),1,0),0))</f>
        <v/>
      </c>
    </row>
    <row r="180">
      <c r="A180" s="33" t="n"/>
      <c r="B180" s="33" t="n"/>
      <c r="C180" s="33" t="n"/>
      <c r="D180" s="33" t="n"/>
      <c r="E180" s="34">
        <f>IF($A180="","",IFERROR(IF($B180&gt;=INDEX(tblKurallar[deger_2025],MATCH("EBR-001",tblKurallar[kural_id],0)),1,0),0))</f>
        <v/>
      </c>
      <c r="F180" s="34">
        <f>IF($A180="","",IFERROR(IF($B180&gt;=INDEX(tblKurallar[deger_2025],MATCH("EBR-002",tblKurallar[kural_id],0)),1,0),0))</f>
        <v/>
      </c>
    </row>
    <row r="181">
      <c r="A181" s="33" t="n"/>
      <c r="B181" s="33" t="n"/>
      <c r="C181" s="33" t="n"/>
      <c r="D181" s="33" t="n"/>
      <c r="E181" s="34">
        <f>IF($A181="","",IFERROR(IF($B181&gt;=INDEX(tblKurallar[deger_2025],MATCH("EBR-001",tblKurallar[kural_id],0)),1,0),0))</f>
        <v/>
      </c>
      <c r="F181" s="34">
        <f>IF($A181="","",IFERROR(IF($B181&gt;=INDEX(tblKurallar[deger_2025],MATCH("EBR-002",tblKurallar[kural_id],0)),1,0),0))</f>
        <v/>
      </c>
    </row>
    <row r="182">
      <c r="A182" s="33" t="n"/>
      <c r="B182" s="33" t="n"/>
      <c r="C182" s="33" t="n"/>
      <c r="D182" s="33" t="n"/>
      <c r="E182" s="34">
        <f>IF($A182="","",IFERROR(IF($B182&gt;=INDEX(tblKurallar[deger_2025],MATCH("EBR-001",tblKurallar[kural_id],0)),1,0),0))</f>
        <v/>
      </c>
      <c r="F182" s="34">
        <f>IF($A182="","",IFERROR(IF($B182&gt;=INDEX(tblKurallar[deger_2025],MATCH("EBR-002",tblKurallar[kural_id],0)),1,0),0))</f>
        <v/>
      </c>
    </row>
    <row r="183">
      <c r="A183" s="33" t="n"/>
      <c r="B183" s="33" t="n"/>
      <c r="C183" s="33" t="n"/>
      <c r="D183" s="33" t="n"/>
      <c r="E183" s="34">
        <f>IF($A183="","",IFERROR(IF($B183&gt;=INDEX(tblKurallar[deger_2025],MATCH("EBR-001",tblKurallar[kural_id],0)),1,0),0))</f>
        <v/>
      </c>
      <c r="F183" s="34">
        <f>IF($A183="","",IFERROR(IF($B183&gt;=INDEX(tblKurallar[deger_2025],MATCH("EBR-002",tblKurallar[kural_id],0)),1,0),0))</f>
        <v/>
      </c>
    </row>
    <row r="184">
      <c r="A184" s="33" t="n"/>
      <c r="B184" s="33" t="n"/>
      <c r="C184" s="33" t="n"/>
      <c r="D184" s="33" t="n"/>
      <c r="E184" s="34">
        <f>IF($A184="","",IFERROR(IF($B184&gt;=INDEX(tblKurallar[deger_2025],MATCH("EBR-001",tblKurallar[kural_id],0)),1,0),0))</f>
        <v/>
      </c>
      <c r="F184" s="34">
        <f>IF($A184="","",IFERROR(IF($B184&gt;=INDEX(tblKurallar[deger_2025],MATCH("EBR-002",tblKurallar[kural_id],0)),1,0),0))</f>
        <v/>
      </c>
    </row>
    <row r="185">
      <c r="A185" s="33" t="n"/>
      <c r="B185" s="33" t="n"/>
      <c r="C185" s="33" t="n"/>
      <c r="D185" s="33" t="n"/>
      <c r="E185" s="34">
        <f>IF($A185="","",IFERROR(IF($B185&gt;=INDEX(tblKurallar[deger_2025],MATCH("EBR-001",tblKurallar[kural_id],0)),1,0),0))</f>
        <v/>
      </c>
      <c r="F185" s="34">
        <f>IF($A185="","",IFERROR(IF($B185&gt;=INDEX(tblKurallar[deger_2025],MATCH("EBR-002",tblKurallar[kural_id],0)),1,0),0))</f>
        <v/>
      </c>
    </row>
    <row r="186">
      <c r="A186" s="33" t="n"/>
      <c r="B186" s="33" t="n"/>
      <c r="C186" s="33" t="n"/>
      <c r="D186" s="33" t="n"/>
      <c r="E186" s="34">
        <f>IF($A186="","",IFERROR(IF($B186&gt;=INDEX(tblKurallar[deger_2025],MATCH("EBR-001",tblKurallar[kural_id],0)),1,0),0))</f>
        <v/>
      </c>
      <c r="F186" s="34">
        <f>IF($A186="","",IFERROR(IF($B186&gt;=INDEX(tblKurallar[deger_2025],MATCH("EBR-002",tblKurallar[kural_id],0)),1,0),0))</f>
        <v/>
      </c>
    </row>
    <row r="187">
      <c r="A187" s="33" t="n"/>
      <c r="B187" s="33" t="n"/>
      <c r="C187" s="33" t="n"/>
      <c r="D187" s="33" t="n"/>
      <c r="E187" s="34">
        <f>IF($A187="","",IFERROR(IF($B187&gt;=INDEX(tblKurallar[deger_2025],MATCH("EBR-001",tblKurallar[kural_id],0)),1,0),0))</f>
        <v/>
      </c>
      <c r="F187" s="34">
        <f>IF($A187="","",IFERROR(IF($B187&gt;=INDEX(tblKurallar[deger_2025],MATCH("EBR-002",tblKurallar[kural_id],0)),1,0),0))</f>
        <v/>
      </c>
    </row>
    <row r="188">
      <c r="A188" s="33" t="n"/>
      <c r="B188" s="33" t="n"/>
      <c r="C188" s="33" t="n"/>
      <c r="D188" s="33" t="n"/>
      <c r="E188" s="34">
        <f>IF($A188="","",IFERROR(IF($B188&gt;=INDEX(tblKurallar[deger_2025],MATCH("EBR-001",tblKurallar[kural_id],0)),1,0),0))</f>
        <v/>
      </c>
      <c r="F188" s="34">
        <f>IF($A188="","",IFERROR(IF($B188&gt;=INDEX(tblKurallar[deger_2025],MATCH("EBR-002",tblKurallar[kural_id],0)),1,0),0))</f>
        <v/>
      </c>
    </row>
    <row r="189">
      <c r="A189" s="33" t="n"/>
      <c r="B189" s="33" t="n"/>
      <c r="C189" s="33" t="n"/>
      <c r="D189" s="33" t="n"/>
      <c r="E189" s="34">
        <f>IF($A189="","",IFERROR(IF($B189&gt;=INDEX(tblKurallar[deger_2025],MATCH("EBR-001",tblKurallar[kural_id],0)),1,0),0))</f>
        <v/>
      </c>
      <c r="F189" s="34">
        <f>IF($A189="","",IFERROR(IF($B189&gt;=INDEX(tblKurallar[deger_2025],MATCH("EBR-002",tblKurallar[kural_id],0)),1,0),0))</f>
        <v/>
      </c>
    </row>
    <row r="190">
      <c r="A190" s="33" t="n"/>
      <c r="B190" s="33" t="n"/>
      <c r="C190" s="33" t="n"/>
      <c r="D190" s="33" t="n"/>
      <c r="E190" s="34">
        <f>IF($A190="","",IFERROR(IF($B190&gt;=INDEX(tblKurallar[deger_2025],MATCH("EBR-001",tblKurallar[kural_id],0)),1,0),0))</f>
        <v/>
      </c>
      <c r="F190" s="34">
        <f>IF($A190="","",IFERROR(IF($B190&gt;=INDEX(tblKurallar[deger_2025],MATCH("EBR-002",tblKurallar[kural_id],0)),1,0),0))</f>
        <v/>
      </c>
    </row>
    <row r="191">
      <c r="A191" s="33" t="n"/>
      <c r="B191" s="33" t="n"/>
      <c r="C191" s="33" t="n"/>
      <c r="D191" s="33" t="n"/>
      <c r="E191" s="34">
        <f>IF($A191="","",IFERROR(IF($B191&gt;=INDEX(tblKurallar[deger_2025],MATCH("EBR-001",tblKurallar[kural_id],0)),1,0),0))</f>
        <v/>
      </c>
      <c r="F191" s="34">
        <f>IF($A191="","",IFERROR(IF($B191&gt;=INDEX(tblKurallar[deger_2025],MATCH("EBR-002",tblKurallar[kural_id],0)),1,0),0))</f>
        <v/>
      </c>
    </row>
    <row r="192">
      <c r="A192" s="33" t="n"/>
      <c r="B192" s="33" t="n"/>
      <c r="C192" s="33" t="n"/>
      <c r="D192" s="33" t="n"/>
      <c r="E192" s="34">
        <f>IF($A192="","",IFERROR(IF($B192&gt;=INDEX(tblKurallar[deger_2025],MATCH("EBR-001",tblKurallar[kural_id],0)),1,0),0))</f>
        <v/>
      </c>
      <c r="F192" s="34">
        <f>IF($A192="","",IFERROR(IF($B192&gt;=INDEX(tblKurallar[deger_2025],MATCH("EBR-002",tblKurallar[kural_id],0)),1,0),0))</f>
        <v/>
      </c>
    </row>
    <row r="193">
      <c r="A193" s="33" t="n"/>
      <c r="B193" s="33" t="n"/>
      <c r="C193" s="33" t="n"/>
      <c r="D193" s="33" t="n"/>
      <c r="E193" s="34">
        <f>IF($A193="","",IFERROR(IF($B193&gt;=INDEX(tblKurallar[deger_2025],MATCH("EBR-001",tblKurallar[kural_id],0)),1,0),0))</f>
        <v/>
      </c>
      <c r="F193" s="34">
        <f>IF($A193="","",IFERROR(IF($B193&gt;=INDEX(tblKurallar[deger_2025],MATCH("EBR-002",tblKurallar[kural_id],0)),1,0),0))</f>
        <v/>
      </c>
    </row>
    <row r="194">
      <c r="A194" s="33" t="n"/>
      <c r="B194" s="33" t="n"/>
      <c r="C194" s="33" t="n"/>
      <c r="D194" s="33" t="n"/>
      <c r="E194" s="34">
        <f>IF($A194="","",IFERROR(IF($B194&gt;=INDEX(tblKurallar[deger_2025],MATCH("EBR-001",tblKurallar[kural_id],0)),1,0),0))</f>
        <v/>
      </c>
      <c r="F194" s="34">
        <f>IF($A194="","",IFERROR(IF($B194&gt;=INDEX(tblKurallar[deger_2025],MATCH("EBR-002",tblKurallar[kural_id],0)),1,0),0))</f>
        <v/>
      </c>
    </row>
    <row r="195">
      <c r="A195" s="33" t="n"/>
      <c r="B195" s="33" t="n"/>
      <c r="C195" s="33" t="n"/>
      <c r="D195" s="33" t="n"/>
      <c r="E195" s="34">
        <f>IF($A195="","",IFERROR(IF($B195&gt;=INDEX(tblKurallar[deger_2025],MATCH("EBR-001",tblKurallar[kural_id],0)),1,0),0))</f>
        <v/>
      </c>
      <c r="F195" s="34">
        <f>IF($A195="","",IFERROR(IF($B195&gt;=INDEX(tblKurallar[deger_2025],MATCH("EBR-002",tblKurallar[kural_id],0)),1,0),0))</f>
        <v/>
      </c>
    </row>
    <row r="196">
      <c r="A196" s="33" t="n"/>
      <c r="B196" s="33" t="n"/>
      <c r="C196" s="33" t="n"/>
      <c r="D196" s="33" t="n"/>
      <c r="E196" s="34">
        <f>IF($A196="","",IFERROR(IF($B196&gt;=INDEX(tblKurallar[deger_2025],MATCH("EBR-001",tblKurallar[kural_id],0)),1,0),0))</f>
        <v/>
      </c>
      <c r="F196" s="34">
        <f>IF($A196="","",IFERROR(IF($B196&gt;=INDEX(tblKurallar[deger_2025],MATCH("EBR-002",tblKurallar[kural_id],0)),1,0),0))</f>
        <v/>
      </c>
    </row>
    <row r="197">
      <c r="A197" s="33" t="n"/>
      <c r="B197" s="33" t="n"/>
      <c r="C197" s="33" t="n"/>
      <c r="D197" s="33" t="n"/>
      <c r="E197" s="34">
        <f>IF($A197="","",IFERROR(IF($B197&gt;=INDEX(tblKurallar[deger_2025],MATCH("EBR-001",tblKurallar[kural_id],0)),1,0),0))</f>
        <v/>
      </c>
      <c r="F197" s="34">
        <f>IF($A197="","",IFERROR(IF($B197&gt;=INDEX(tblKurallar[deger_2025],MATCH("EBR-002",tblKurallar[kural_id],0)),1,0),0))</f>
        <v/>
      </c>
    </row>
    <row r="198">
      <c r="A198" s="33" t="n"/>
      <c r="B198" s="33" t="n"/>
      <c r="C198" s="33" t="n"/>
      <c r="D198" s="33" t="n"/>
      <c r="E198" s="34">
        <f>IF($A198="","",IFERROR(IF($B198&gt;=INDEX(tblKurallar[deger_2025],MATCH("EBR-001",tblKurallar[kural_id],0)),1,0),0))</f>
        <v/>
      </c>
      <c r="F198" s="34">
        <f>IF($A198="","",IFERROR(IF($B198&gt;=INDEX(tblKurallar[deger_2025],MATCH("EBR-002",tblKurallar[kural_id],0)),1,0),0))</f>
        <v/>
      </c>
    </row>
    <row r="199">
      <c r="A199" s="33" t="n"/>
      <c r="B199" s="33" t="n"/>
      <c r="C199" s="33" t="n"/>
      <c r="D199" s="33" t="n"/>
      <c r="E199" s="34">
        <f>IF($A199="","",IFERROR(IF($B199&gt;=INDEX(tblKurallar[deger_2025],MATCH("EBR-001",tblKurallar[kural_id],0)),1,0),0))</f>
        <v/>
      </c>
      <c r="F199" s="34">
        <f>IF($A199="","",IFERROR(IF($B199&gt;=INDEX(tblKurallar[deger_2025],MATCH("EBR-002",tblKurallar[kural_id],0)),1,0),0))</f>
        <v/>
      </c>
    </row>
    <row r="200">
      <c r="A200" s="33" t="n"/>
      <c r="B200" s="33" t="n"/>
      <c r="C200" s="33" t="n"/>
      <c r="D200" s="33" t="n"/>
      <c r="E200" s="34">
        <f>IF($A200="","",IFERROR(IF($B200&gt;=INDEX(tblKurallar[deger_2025],MATCH("EBR-001",tblKurallar[kural_id],0)),1,0),0))</f>
        <v/>
      </c>
      <c r="F200" s="34">
        <f>IF($A200="","",IFERROR(IF($B200&gt;=INDEX(tblKurallar[deger_2025],MATCH("EBR-002",tblKurallar[kural_id],0)),1,0),0))</f>
        <v/>
      </c>
    </row>
    <row r="201">
      <c r="A201" s="33" t="n"/>
      <c r="B201" s="33" t="n"/>
      <c r="C201" s="33" t="n"/>
      <c r="D201" s="33" t="n"/>
      <c r="E201" s="34">
        <f>IF($A201="","",IFERROR(IF($B201&gt;=INDEX(tblKurallar[deger_2025],MATCH("EBR-001",tblKurallar[kural_id],0)),1,0),0))</f>
        <v/>
      </c>
      <c r="F201" s="34">
        <f>IF($A201="","",IFERROR(IF($B201&gt;=INDEX(tblKurallar[deger_2025],MATCH("EBR-002",tblKurallar[kural_id],0)),1,0),0))</f>
        <v/>
      </c>
    </row>
    <row r="202">
      <c r="A202" s="33" t="n"/>
      <c r="B202" s="33" t="n"/>
      <c r="C202" s="33" t="n"/>
      <c r="D202" s="33" t="n"/>
      <c r="E202" s="34">
        <f>IF($A202="","",IFERROR(IF($B202&gt;=INDEX(tblKurallar[deger_2025],MATCH("EBR-001",tblKurallar[kural_id],0)),1,0),0))</f>
        <v/>
      </c>
      <c r="F202" s="34">
        <f>IF($A202="","",IFERROR(IF($B202&gt;=INDEX(tblKurallar[deger_2025],MATCH("EBR-002",tblKurallar[kural_id],0)),1,0),0))</f>
        <v/>
      </c>
    </row>
    <row r="203">
      <c r="A203" s="33" t="n"/>
      <c r="B203" s="33" t="n"/>
      <c r="C203" s="33" t="n"/>
      <c r="D203" s="33" t="n"/>
      <c r="E203" s="34">
        <f>IF($A203="","",IFERROR(IF($B203&gt;=INDEX(tblKurallar[deger_2025],MATCH("EBR-001",tblKurallar[kural_id],0)),1,0),0))</f>
        <v/>
      </c>
      <c r="F203" s="34">
        <f>IF($A203="","",IFERROR(IF($B203&gt;=INDEX(tblKurallar[deger_2025],MATCH("EBR-002",tblKurallar[kural_id],0)),1,0),0))</f>
        <v/>
      </c>
    </row>
    <row r="204">
      <c r="A204" s="33" t="n"/>
      <c r="B204" s="33" t="n"/>
      <c r="C204" s="33" t="n"/>
      <c r="D204" s="33" t="n"/>
      <c r="E204" s="34">
        <f>IF($A204="","",IFERROR(IF($B204&gt;=INDEX(tblKurallar[deger_2025],MATCH("EBR-001",tblKurallar[kural_id],0)),1,0),0))</f>
        <v/>
      </c>
      <c r="F204" s="34">
        <f>IF($A204="","",IFERROR(IF($B204&gt;=INDEX(tblKurallar[deger_2025],MATCH("EBR-002",tblKurallar[kural_id],0)),1,0),0))</f>
        <v/>
      </c>
    </row>
    <row r="205">
      <c r="A205" s="33" t="n"/>
      <c r="B205" s="33" t="n"/>
      <c r="C205" s="33" t="n"/>
      <c r="D205" s="33" t="n"/>
      <c r="E205" s="34">
        <f>IF($A205="","",IFERROR(IF($B205&gt;=INDEX(tblKurallar[deger_2025],MATCH("EBR-001",tblKurallar[kural_id],0)),1,0),0))</f>
        <v/>
      </c>
      <c r="F205" s="34">
        <f>IF($A205="","",IFERROR(IF($B205&gt;=INDEX(tblKurallar[deger_2025],MATCH("EBR-002",tblKurallar[kural_id],0)),1,0),0))</f>
        <v/>
      </c>
    </row>
    <row r="206">
      <c r="A206" s="33" t="n"/>
      <c r="B206" s="33" t="n"/>
      <c r="C206" s="33" t="n"/>
      <c r="D206" s="33" t="n"/>
    </row>
    <row r="207">
      <c r="A207" s="33" t="n"/>
      <c r="B207" s="33" t="n"/>
      <c r="C207" s="33" t="n"/>
      <c r="D207" s="33" t="n"/>
    </row>
    <row r="208">
      <c r="A208" s="33" t="n"/>
      <c r="B208" s="33" t="n"/>
      <c r="C208" s="33" t="n"/>
      <c r="D208" s="33" t="n"/>
    </row>
    <row r="209">
      <c r="A209" s="33" t="n"/>
      <c r="B209" s="33" t="n"/>
      <c r="C209" s="33" t="n"/>
      <c r="D209" s="33" t="n"/>
    </row>
    <row r="210">
      <c r="A210" s="33" t="n"/>
      <c r="B210" s="33" t="n"/>
      <c r="C210" s="33" t="n"/>
      <c r="D210" s="33" t="n"/>
    </row>
    <row r="211">
      <c r="A211" s="33" t="n"/>
      <c r="B211" s="33" t="n"/>
      <c r="C211" s="33" t="n"/>
      <c r="D211" s="33" t="n"/>
    </row>
    <row r="212">
      <c r="A212" s="33" t="n"/>
      <c r="B212" s="33" t="n"/>
      <c r="C212" s="33" t="n"/>
      <c r="D212" s="33" t="n"/>
    </row>
    <row r="213">
      <c r="A213" s="33" t="n"/>
      <c r="B213" s="33" t="n"/>
      <c r="C213" s="33" t="n"/>
      <c r="D213" s="33" t="n"/>
    </row>
    <row r="214">
      <c r="A214" s="33" t="n"/>
      <c r="B214" s="33" t="n"/>
      <c r="C214" s="33" t="n"/>
      <c r="D214" s="33" t="n"/>
    </row>
    <row r="215">
      <c r="A215" s="33" t="n"/>
      <c r="B215" s="33" t="n"/>
      <c r="C215" s="33" t="n"/>
      <c r="D215" s="33" t="n"/>
    </row>
    <row r="216">
      <c r="A216" s="33" t="n"/>
      <c r="B216" s="33" t="n"/>
      <c r="C216" s="33" t="n"/>
      <c r="D216" s="33" t="n"/>
    </row>
    <row r="217">
      <c r="A217" s="33" t="n"/>
      <c r="B217" s="33" t="n"/>
      <c r="C217" s="33" t="n"/>
      <c r="D217" s="33" t="n"/>
    </row>
    <row r="218">
      <c r="A218" s="33" t="n"/>
      <c r="B218" s="33" t="n"/>
      <c r="C218" s="33" t="n"/>
      <c r="D218" s="33" t="n"/>
    </row>
    <row r="219">
      <c r="A219" s="33" t="n"/>
      <c r="B219" s="33" t="n"/>
      <c r="C219" s="33" t="n"/>
      <c r="D219" s="33" t="n"/>
    </row>
    <row r="220">
      <c r="A220" s="33" t="n"/>
      <c r="B220" s="33" t="n"/>
      <c r="C220" s="33" t="n"/>
      <c r="D220" s="33" t="n"/>
    </row>
    <row r="221">
      <c r="A221" s="33" t="n"/>
      <c r="B221" s="33" t="n"/>
      <c r="C221" s="33" t="n"/>
      <c r="D221" s="33" t="n"/>
    </row>
    <row r="222">
      <c r="A222" s="33" t="n"/>
      <c r="B222" s="33" t="n"/>
      <c r="C222" s="33" t="n"/>
      <c r="D222" s="33" t="n"/>
    </row>
    <row r="223">
      <c r="A223" s="33" t="n"/>
      <c r="B223" s="33" t="n"/>
      <c r="C223" s="33" t="n"/>
      <c r="D223" s="33" t="n"/>
    </row>
    <row r="224">
      <c r="A224" s="33" t="n"/>
      <c r="B224" s="33" t="n"/>
      <c r="C224" s="33" t="n"/>
      <c r="D224" s="33" t="n"/>
    </row>
    <row r="225">
      <c r="A225" s="33" t="n"/>
      <c r="B225" s="33" t="n"/>
      <c r="C225" s="33" t="n"/>
      <c r="D225" s="33" t="n"/>
    </row>
    <row r="226">
      <c r="A226" s="33" t="n"/>
      <c r="B226" s="33" t="n"/>
      <c r="C226" s="33" t="n"/>
      <c r="D226" s="33" t="n"/>
    </row>
    <row r="227">
      <c r="A227" s="33" t="n"/>
      <c r="B227" s="33" t="n"/>
      <c r="C227" s="33" t="n"/>
      <c r="D227" s="33" t="n"/>
    </row>
    <row r="228">
      <c r="A228" s="33" t="n"/>
      <c r="B228" s="33" t="n"/>
      <c r="C228" s="33" t="n"/>
      <c r="D228" s="33" t="n"/>
    </row>
    <row r="229">
      <c r="A229" s="33" t="n"/>
      <c r="B229" s="33" t="n"/>
      <c r="C229" s="33" t="n"/>
      <c r="D229" s="33" t="n"/>
    </row>
    <row r="230">
      <c r="A230" s="33" t="n"/>
      <c r="B230" s="33" t="n"/>
      <c r="C230" s="33" t="n"/>
      <c r="D230" s="33" t="n"/>
    </row>
    <row r="231">
      <c r="A231" s="33" t="n"/>
      <c r="B231" s="33" t="n"/>
      <c r="C231" s="33" t="n"/>
      <c r="D231" s="33" t="n"/>
    </row>
    <row r="232">
      <c r="A232" s="33" t="n"/>
      <c r="B232" s="33" t="n"/>
      <c r="C232" s="33" t="n"/>
      <c r="D232" s="33" t="n"/>
    </row>
    <row r="233">
      <c r="A233" s="33" t="n"/>
      <c r="B233" s="33" t="n"/>
      <c r="C233" s="33" t="n"/>
      <c r="D233" s="33" t="n"/>
    </row>
    <row r="234">
      <c r="A234" s="33" t="n"/>
      <c r="B234" s="33" t="n"/>
      <c r="C234" s="33" t="n"/>
      <c r="D234" s="33" t="n"/>
    </row>
    <row r="235">
      <c r="A235" s="33" t="n"/>
      <c r="B235" s="33" t="n"/>
      <c r="C235" s="33" t="n"/>
      <c r="D235" s="33" t="n"/>
    </row>
    <row r="236">
      <c r="A236" s="33" t="n"/>
      <c r="B236" s="33" t="n"/>
      <c r="C236" s="33" t="n"/>
      <c r="D236" s="33" t="n"/>
    </row>
    <row r="237">
      <c r="A237" s="33" t="n"/>
      <c r="B237" s="33" t="n"/>
      <c r="C237" s="33" t="n"/>
      <c r="D237" s="33" t="n"/>
    </row>
    <row r="238">
      <c r="A238" s="33" t="n"/>
      <c r="B238" s="33" t="n"/>
      <c r="C238" s="33" t="n"/>
      <c r="D238" s="33" t="n"/>
    </row>
    <row r="239">
      <c r="A239" s="33" t="n"/>
      <c r="B239" s="33" t="n"/>
      <c r="C239" s="33" t="n"/>
      <c r="D239" s="33" t="n"/>
    </row>
    <row r="240">
      <c r="A240" s="33" t="n"/>
      <c r="B240" s="33" t="n"/>
      <c r="C240" s="33" t="n"/>
      <c r="D240" s="33" t="n"/>
    </row>
    <row r="241">
      <c r="A241" s="33" t="n"/>
      <c r="B241" s="33" t="n"/>
      <c r="C241" s="33" t="n"/>
      <c r="D241" s="33" t="n"/>
    </row>
    <row r="242">
      <c r="A242" s="33" t="n"/>
      <c r="B242" s="33" t="n"/>
      <c r="C242" s="33" t="n"/>
      <c r="D242" s="33" t="n"/>
    </row>
    <row r="243">
      <c r="A243" s="33" t="n"/>
      <c r="B243" s="33" t="n"/>
      <c r="C243" s="33" t="n"/>
      <c r="D243" s="33" t="n"/>
    </row>
    <row r="244">
      <c r="A244" s="33" t="n"/>
      <c r="B244" s="33" t="n"/>
      <c r="C244" s="33" t="n"/>
      <c r="D244" s="33" t="n"/>
    </row>
    <row r="245">
      <c r="A245" s="33" t="n"/>
      <c r="B245" s="33" t="n"/>
      <c r="C245" s="33" t="n"/>
      <c r="D245" s="33" t="n"/>
    </row>
    <row r="246">
      <c r="A246" s="33" t="n"/>
      <c r="B246" s="33" t="n"/>
      <c r="C246" s="33" t="n"/>
      <c r="D246" s="33" t="n"/>
    </row>
    <row r="247">
      <c r="A247" s="33" t="n"/>
      <c r="B247" s="33" t="n"/>
      <c r="C247" s="33" t="n"/>
      <c r="D247" s="33" t="n"/>
    </row>
    <row r="248">
      <c r="A248" s="33" t="n"/>
      <c r="B248" s="33" t="n"/>
      <c r="C248" s="33" t="n"/>
      <c r="D248" s="33" t="n"/>
    </row>
    <row r="249">
      <c r="A249" s="33" t="n"/>
      <c r="B249" s="33" t="n"/>
      <c r="C249" s="33" t="n"/>
      <c r="D249" s="33" t="n"/>
    </row>
    <row r="250">
      <c r="A250" s="33" t="n"/>
      <c r="B250" s="33" t="n"/>
      <c r="C250" s="33" t="n"/>
      <c r="D250" s="33" t="n"/>
    </row>
    <row r="251">
      <c r="A251" s="33" t="n"/>
      <c r="B251" s="33" t="n"/>
      <c r="C251" s="33" t="n"/>
      <c r="D251" s="33" t="n"/>
    </row>
    <row r="252">
      <c r="A252" s="33" t="n"/>
      <c r="B252" s="33" t="n"/>
      <c r="C252" s="33" t="n"/>
      <c r="D252" s="33" t="n"/>
    </row>
    <row r="253">
      <c r="A253" s="33" t="n"/>
      <c r="B253" s="33" t="n"/>
      <c r="C253" s="33" t="n"/>
      <c r="D253" s="33" t="n"/>
    </row>
    <row r="254">
      <c r="A254" s="33" t="n"/>
      <c r="B254" s="33" t="n"/>
      <c r="C254" s="33" t="n"/>
      <c r="D254" s="33" t="n"/>
    </row>
    <row r="255">
      <c r="A255" s="33" t="n"/>
      <c r="B255" s="33" t="n"/>
      <c r="C255" s="33" t="n"/>
      <c r="D255" s="33" t="n"/>
    </row>
    <row r="256">
      <c r="A256" s="33" t="n"/>
      <c r="B256" s="33" t="n"/>
      <c r="C256" s="33" t="n"/>
      <c r="D256" s="33" t="n"/>
    </row>
    <row r="257">
      <c r="A257" s="33" t="n"/>
      <c r="B257" s="33" t="n"/>
      <c r="C257" s="33" t="n"/>
      <c r="D257" s="33" t="n"/>
    </row>
    <row r="258">
      <c r="A258" s="33" t="n"/>
      <c r="B258" s="33" t="n"/>
      <c r="C258" s="33" t="n"/>
      <c r="D258" s="33" t="n"/>
    </row>
    <row r="259">
      <c r="A259" s="33" t="n"/>
      <c r="B259" s="33" t="n"/>
      <c r="C259" s="33" t="n"/>
      <c r="D259" s="33" t="n"/>
    </row>
    <row r="260">
      <c r="A260" s="33" t="n"/>
      <c r="B260" s="33" t="n"/>
      <c r="C260" s="33" t="n"/>
      <c r="D260" s="33" t="n"/>
    </row>
    <row r="261">
      <c r="A261" s="33" t="n"/>
      <c r="B261" s="33" t="n"/>
      <c r="C261" s="33" t="n"/>
      <c r="D261" s="33" t="n"/>
    </row>
    <row r="262">
      <c r="A262" s="33" t="n"/>
      <c r="B262" s="33" t="n"/>
      <c r="C262" s="33" t="n"/>
      <c r="D262" s="33" t="n"/>
    </row>
    <row r="263">
      <c r="A263" s="33" t="n"/>
      <c r="B263" s="33" t="n"/>
      <c r="C263" s="33" t="n"/>
      <c r="D263" s="33" t="n"/>
    </row>
    <row r="264">
      <c r="A264" s="33" t="n"/>
      <c r="B264" s="33" t="n"/>
      <c r="C264" s="33" t="n"/>
      <c r="D264" s="33" t="n"/>
    </row>
    <row r="265">
      <c r="A265" s="33" t="n"/>
      <c r="B265" s="33" t="n"/>
      <c r="C265" s="33" t="n"/>
      <c r="D265" s="33" t="n"/>
    </row>
    <row r="266">
      <c r="A266" s="33" t="n"/>
      <c r="B266" s="33" t="n"/>
      <c r="C266" s="33" t="n"/>
      <c r="D266" s="33" t="n"/>
    </row>
    <row r="267">
      <c r="A267" s="33" t="n"/>
      <c r="B267" s="33" t="n"/>
      <c r="C267" s="33" t="n"/>
      <c r="D267" s="33" t="n"/>
    </row>
    <row r="268">
      <c r="A268" s="33" t="n"/>
      <c r="B268" s="33" t="n"/>
      <c r="C268" s="33" t="n"/>
      <c r="D268" s="33" t="n"/>
    </row>
    <row r="269">
      <c r="A269" s="33" t="n"/>
      <c r="B269" s="33" t="n"/>
      <c r="C269" s="33" t="n"/>
      <c r="D269" s="33" t="n"/>
    </row>
    <row r="270">
      <c r="A270" s="33" t="n"/>
      <c r="B270" s="33" t="n"/>
      <c r="C270" s="33" t="n"/>
      <c r="D270" s="33" t="n"/>
    </row>
    <row r="271">
      <c r="A271" s="33" t="n"/>
      <c r="B271" s="33" t="n"/>
      <c r="C271" s="33" t="n"/>
      <c r="D271" s="33" t="n"/>
    </row>
    <row r="272">
      <c r="A272" s="33" t="n"/>
      <c r="B272" s="33" t="n"/>
      <c r="C272" s="33" t="n"/>
      <c r="D272" s="33" t="n"/>
    </row>
    <row r="273">
      <c r="A273" s="33" t="n"/>
      <c r="B273" s="33" t="n"/>
      <c r="C273" s="33" t="n"/>
      <c r="D273" s="33" t="n"/>
    </row>
    <row r="274">
      <c r="A274" s="33" t="n"/>
      <c r="B274" s="33" t="n"/>
      <c r="C274" s="33" t="n"/>
      <c r="D274" s="33" t="n"/>
    </row>
    <row r="275">
      <c r="A275" s="33" t="n"/>
      <c r="B275" s="33" t="n"/>
      <c r="C275" s="33" t="n"/>
      <c r="D275" s="33" t="n"/>
    </row>
    <row r="276">
      <c r="A276" s="33" t="n"/>
      <c r="B276" s="33" t="n"/>
      <c r="C276" s="33" t="n"/>
      <c r="D276" s="33" t="n"/>
    </row>
    <row r="277">
      <c r="A277" s="33" t="n"/>
      <c r="B277" s="33" t="n"/>
      <c r="C277" s="33" t="n"/>
      <c r="D277" s="33" t="n"/>
    </row>
    <row r="278">
      <c r="A278" s="33" t="n"/>
      <c r="B278" s="33" t="n"/>
      <c r="C278" s="33" t="n"/>
      <c r="D278" s="33" t="n"/>
    </row>
    <row r="279">
      <c r="A279" s="33" t="n"/>
      <c r="B279" s="33" t="n"/>
      <c r="C279" s="33" t="n"/>
      <c r="D279" s="33" t="n"/>
    </row>
    <row r="280">
      <c r="A280" s="33" t="n"/>
      <c r="B280" s="33" t="n"/>
      <c r="C280" s="33" t="n"/>
      <c r="D280" s="33" t="n"/>
    </row>
    <row r="281">
      <c r="A281" s="33" t="n"/>
      <c r="B281" s="33" t="n"/>
      <c r="C281" s="33" t="n"/>
      <c r="D281" s="33" t="n"/>
    </row>
    <row r="282">
      <c r="A282" s="33" t="n"/>
      <c r="B282" s="33" t="n"/>
      <c r="C282" s="33" t="n"/>
      <c r="D282" s="33" t="n"/>
    </row>
    <row r="283">
      <c r="A283" s="33" t="n"/>
      <c r="B283" s="33" t="n"/>
      <c r="C283" s="33" t="n"/>
      <c r="D283" s="33" t="n"/>
    </row>
    <row r="284">
      <c r="A284" s="33" t="n"/>
      <c r="B284" s="33" t="n"/>
      <c r="C284" s="33" t="n"/>
      <c r="D284" s="33" t="n"/>
    </row>
    <row r="285">
      <c r="A285" s="33" t="n"/>
      <c r="B285" s="33" t="n"/>
      <c r="C285" s="33" t="n"/>
      <c r="D285" s="33" t="n"/>
    </row>
    <row r="286">
      <c r="A286" s="33" t="n"/>
      <c r="B286" s="33" t="n"/>
      <c r="C286" s="33" t="n"/>
      <c r="D286" s="33" t="n"/>
    </row>
    <row r="287">
      <c r="A287" s="33" t="n"/>
      <c r="B287" s="33" t="n"/>
      <c r="C287" s="33" t="n"/>
      <c r="D287" s="33" t="n"/>
    </row>
    <row r="288">
      <c r="A288" s="33" t="n"/>
      <c r="B288" s="33" t="n"/>
      <c r="C288" s="33" t="n"/>
      <c r="D288" s="33" t="n"/>
    </row>
    <row r="289">
      <c r="A289" s="33" t="n"/>
      <c r="B289" s="33" t="n"/>
      <c r="C289" s="33" t="n"/>
      <c r="D289" s="33" t="n"/>
    </row>
    <row r="290">
      <c r="A290" s="33" t="n"/>
      <c r="B290" s="33" t="n"/>
      <c r="C290" s="33" t="n"/>
      <c r="D290" s="33" t="n"/>
    </row>
    <row r="291">
      <c r="A291" s="33" t="n"/>
      <c r="B291" s="33" t="n"/>
      <c r="C291" s="33" t="n"/>
      <c r="D291" s="33" t="n"/>
    </row>
    <row r="292">
      <c r="A292" s="33" t="n"/>
      <c r="B292" s="33" t="n"/>
      <c r="C292" s="33" t="n"/>
      <c r="D292" s="33" t="n"/>
    </row>
    <row r="293">
      <c r="A293" s="33" t="n"/>
      <c r="B293" s="33" t="n"/>
      <c r="C293" s="33" t="n"/>
      <c r="D293" s="33" t="n"/>
    </row>
    <row r="294">
      <c r="A294" s="33" t="n"/>
      <c r="B294" s="33" t="n"/>
      <c r="C294" s="33" t="n"/>
      <c r="D294" s="33" t="n"/>
    </row>
    <row r="295">
      <c r="A295" s="33" t="n"/>
      <c r="B295" s="33" t="n"/>
      <c r="C295" s="33" t="n"/>
      <c r="D295" s="33" t="n"/>
    </row>
    <row r="296">
      <c r="A296" s="33" t="n"/>
      <c r="B296" s="33" t="n"/>
      <c r="C296" s="33" t="n"/>
      <c r="D296" s="33" t="n"/>
    </row>
    <row r="297">
      <c r="A297" s="33" t="n"/>
      <c r="B297" s="33" t="n"/>
      <c r="C297" s="33" t="n"/>
      <c r="D297" s="33" t="n"/>
    </row>
    <row r="298">
      <c r="A298" s="33" t="n"/>
      <c r="B298" s="33" t="n"/>
      <c r="C298" s="33" t="n"/>
      <c r="D298" s="33" t="n"/>
    </row>
    <row r="299">
      <c r="A299" s="33" t="n"/>
      <c r="B299" s="33" t="n"/>
      <c r="C299" s="33" t="n"/>
      <c r="D299" s="33" t="n"/>
    </row>
    <row r="300">
      <c r="A300" s="33" t="n"/>
      <c r="B300" s="33" t="n"/>
      <c r="C300" s="33" t="n"/>
      <c r="D300" s="33" t="n"/>
    </row>
    <row r="301">
      <c r="A301" s="33" t="n"/>
      <c r="B301" s="33" t="n"/>
      <c r="C301" s="33" t="n"/>
      <c r="D301" s="33" t="n"/>
    </row>
    <row r="302">
      <c r="A302" s="33" t="n"/>
      <c r="B302" s="33" t="n"/>
      <c r="C302" s="33" t="n"/>
      <c r="D302" s="33" t="n"/>
    </row>
    <row r="303">
      <c r="A303" s="33" t="n"/>
      <c r="B303" s="33" t="n"/>
      <c r="C303" s="33" t="n"/>
      <c r="D303" s="33" t="n"/>
    </row>
    <row r="304">
      <c r="A304" s="33" t="n"/>
      <c r="B304" s="33" t="n"/>
      <c r="C304" s="33" t="n"/>
      <c r="D304" s="33" t="n"/>
    </row>
    <row r="305">
      <c r="A305" s="33" t="n"/>
      <c r="B305" s="33" t="n"/>
      <c r="C305" s="33" t="n"/>
      <c r="D305" s="33" t="n"/>
    </row>
    <row r="306">
      <c r="A306" s="33" t="n"/>
      <c r="B306" s="33" t="n"/>
      <c r="C306" s="33" t="n"/>
      <c r="D306" s="33" t="n"/>
    </row>
    <row r="307">
      <c r="A307" s="33" t="n"/>
      <c r="B307" s="33" t="n"/>
      <c r="C307" s="33" t="n"/>
      <c r="D307" s="33" t="n"/>
    </row>
    <row r="308">
      <c r="A308" s="33" t="n"/>
      <c r="B308" s="33" t="n"/>
      <c r="C308" s="33" t="n"/>
      <c r="D308" s="33" t="n"/>
    </row>
    <row r="309">
      <c r="A309" s="33" t="n"/>
      <c r="B309" s="33" t="n"/>
      <c r="C309" s="33" t="n"/>
      <c r="D309" s="33" t="n"/>
    </row>
    <row r="310">
      <c r="A310" s="33" t="n"/>
      <c r="B310" s="33" t="n"/>
      <c r="C310" s="33" t="n"/>
      <c r="D310" s="33" t="n"/>
    </row>
    <row r="311">
      <c r="A311" s="33" t="n"/>
      <c r="B311" s="33" t="n"/>
      <c r="C311" s="33" t="n"/>
      <c r="D311" s="33" t="n"/>
    </row>
    <row r="312">
      <c r="A312" s="33" t="n"/>
      <c r="B312" s="33" t="n"/>
      <c r="C312" s="33" t="n"/>
      <c r="D312" s="33" t="n"/>
    </row>
    <row r="313">
      <c r="A313" s="33" t="n"/>
      <c r="B313" s="33" t="n"/>
      <c r="C313" s="33" t="n"/>
      <c r="D313" s="33" t="n"/>
    </row>
    <row r="314">
      <c r="A314" s="33" t="n"/>
      <c r="B314" s="33" t="n"/>
      <c r="C314" s="33" t="n"/>
      <c r="D314" s="33" t="n"/>
    </row>
    <row r="315">
      <c r="A315" s="33" t="n"/>
      <c r="B315" s="33" t="n"/>
      <c r="C315" s="33" t="n"/>
      <c r="D315" s="33" t="n"/>
    </row>
    <row r="316">
      <c r="A316" s="33" t="n"/>
      <c r="B316" s="33" t="n"/>
      <c r="C316" s="33" t="n"/>
      <c r="D316" s="33" t="n"/>
    </row>
    <row r="317">
      <c r="A317" s="33" t="n"/>
      <c r="B317" s="33" t="n"/>
      <c r="C317" s="33" t="n"/>
      <c r="D317" s="33" t="n"/>
    </row>
    <row r="318">
      <c r="A318" s="33" t="n"/>
      <c r="B318" s="33" t="n"/>
      <c r="C318" s="33" t="n"/>
      <c r="D318" s="33" t="n"/>
    </row>
    <row r="319">
      <c r="A319" s="33" t="n"/>
      <c r="B319" s="33" t="n"/>
      <c r="C319" s="33" t="n"/>
      <c r="D319" s="33" t="n"/>
    </row>
    <row r="320">
      <c r="A320" s="33" t="n"/>
      <c r="B320" s="33" t="n"/>
      <c r="C320" s="33" t="n"/>
      <c r="D320" s="33" t="n"/>
    </row>
    <row r="321">
      <c r="A321" s="33" t="n"/>
      <c r="B321" s="33" t="n"/>
      <c r="C321" s="33" t="n"/>
      <c r="D321" s="33" t="n"/>
    </row>
    <row r="322">
      <c r="A322" s="33" t="n"/>
      <c r="B322" s="33" t="n"/>
      <c r="C322" s="33" t="n"/>
      <c r="D322" s="33" t="n"/>
    </row>
    <row r="323">
      <c r="A323" s="33" t="n"/>
      <c r="B323" s="33" t="n"/>
      <c r="C323" s="33" t="n"/>
      <c r="D323" s="33" t="n"/>
    </row>
    <row r="324">
      <c r="A324" s="33" t="n"/>
      <c r="B324" s="33" t="n"/>
      <c r="C324" s="33" t="n"/>
      <c r="D324" s="33" t="n"/>
    </row>
    <row r="325">
      <c r="A325" s="33" t="n"/>
      <c r="B325" s="33" t="n"/>
      <c r="C325" s="33" t="n"/>
      <c r="D325" s="33" t="n"/>
    </row>
    <row r="326">
      <c r="A326" s="33" t="n"/>
      <c r="B326" s="33" t="n"/>
      <c r="C326" s="33" t="n"/>
      <c r="D326" s="33" t="n"/>
    </row>
    <row r="327">
      <c r="A327" s="33" t="n"/>
      <c r="B327" s="33" t="n"/>
      <c r="C327" s="33" t="n"/>
      <c r="D327" s="33" t="n"/>
    </row>
    <row r="328">
      <c r="A328" s="33" t="n"/>
      <c r="B328" s="33" t="n"/>
      <c r="C328" s="33" t="n"/>
      <c r="D328" s="33" t="n"/>
    </row>
    <row r="329">
      <c r="A329" s="33" t="n"/>
      <c r="B329" s="33" t="n"/>
      <c r="C329" s="33" t="n"/>
      <c r="D329" s="33" t="n"/>
    </row>
    <row r="330">
      <c r="A330" s="33" t="n"/>
      <c r="B330" s="33" t="n"/>
      <c r="C330" s="33" t="n"/>
      <c r="D330" s="33" t="n"/>
    </row>
    <row r="331">
      <c r="A331" s="33" t="n"/>
      <c r="B331" s="33" t="n"/>
      <c r="C331" s="33" t="n"/>
      <c r="D331" s="33" t="n"/>
    </row>
    <row r="332">
      <c r="A332" s="33" t="n"/>
      <c r="B332" s="33" t="n"/>
      <c r="C332" s="33" t="n"/>
      <c r="D332" s="33" t="n"/>
    </row>
    <row r="333">
      <c r="A333" s="33" t="n"/>
      <c r="B333" s="33" t="n"/>
      <c r="C333" s="33" t="n"/>
      <c r="D333" s="33" t="n"/>
    </row>
    <row r="334">
      <c r="A334" s="33" t="n"/>
      <c r="B334" s="33" t="n"/>
      <c r="C334" s="33" t="n"/>
      <c r="D334" s="33" t="n"/>
    </row>
    <row r="335">
      <c r="A335" s="33" t="n"/>
      <c r="B335" s="33" t="n"/>
      <c r="C335" s="33" t="n"/>
      <c r="D335" s="33" t="n"/>
    </row>
    <row r="336">
      <c r="A336" s="33" t="n"/>
      <c r="B336" s="33" t="n"/>
      <c r="C336" s="33" t="n"/>
      <c r="D336" s="33" t="n"/>
    </row>
    <row r="337">
      <c r="A337" s="33" t="n"/>
      <c r="B337" s="33" t="n"/>
      <c r="C337" s="33" t="n"/>
      <c r="D337" s="33" t="n"/>
    </row>
    <row r="338">
      <c r="A338" s="33" t="n"/>
      <c r="B338" s="33" t="n"/>
      <c r="C338" s="33" t="n"/>
      <c r="D338" s="33" t="n"/>
    </row>
    <row r="339">
      <c r="A339" s="33" t="n"/>
      <c r="B339" s="33" t="n"/>
      <c r="C339" s="33" t="n"/>
      <c r="D339" s="33" t="n"/>
    </row>
    <row r="340">
      <c r="A340" s="33" t="n"/>
      <c r="B340" s="33" t="n"/>
      <c r="C340" s="33" t="n"/>
      <c r="D340" s="33" t="n"/>
    </row>
    <row r="341">
      <c r="A341" s="33" t="n"/>
      <c r="B341" s="33" t="n"/>
      <c r="C341" s="33" t="n"/>
      <c r="D341" s="33" t="n"/>
    </row>
    <row r="342">
      <c r="A342" s="33" t="n"/>
      <c r="B342" s="33" t="n"/>
      <c r="C342" s="33" t="n"/>
      <c r="D342" s="33" t="n"/>
    </row>
    <row r="343">
      <c r="A343" s="33" t="n"/>
      <c r="B343" s="33" t="n"/>
      <c r="C343" s="33" t="n"/>
      <c r="D343" s="33" t="n"/>
    </row>
    <row r="344">
      <c r="A344" s="33" t="n"/>
      <c r="B344" s="33" t="n"/>
      <c r="C344" s="33" t="n"/>
      <c r="D344" s="33" t="n"/>
    </row>
    <row r="345">
      <c r="A345" s="33" t="n"/>
      <c r="B345" s="33" t="n"/>
      <c r="C345" s="33" t="n"/>
      <c r="D345" s="33" t="n"/>
    </row>
    <row r="346">
      <c r="A346" s="33" t="n"/>
      <c r="B346" s="33" t="n"/>
      <c r="C346" s="33" t="n"/>
      <c r="D346" s="33" t="n"/>
    </row>
    <row r="347">
      <c r="A347" s="33" t="n"/>
      <c r="B347" s="33" t="n"/>
      <c r="C347" s="33" t="n"/>
      <c r="D347" s="33" t="n"/>
    </row>
    <row r="348">
      <c r="A348" s="33" t="n"/>
      <c r="B348" s="33" t="n"/>
      <c r="C348" s="33" t="n"/>
      <c r="D348" s="33" t="n"/>
    </row>
    <row r="349">
      <c r="A349" s="33" t="n"/>
      <c r="B349" s="33" t="n"/>
      <c r="C349" s="33" t="n"/>
      <c r="D349" s="33" t="n"/>
    </row>
    <row r="350">
      <c r="A350" s="33" t="n"/>
      <c r="B350" s="33" t="n"/>
      <c r="C350" s="33" t="n"/>
      <c r="D350" s="33" t="n"/>
    </row>
    <row r="351">
      <c r="A351" s="33" t="n"/>
      <c r="B351" s="33" t="n"/>
      <c r="C351" s="33" t="n"/>
      <c r="D351" s="33" t="n"/>
    </row>
    <row r="352">
      <c r="A352" s="33" t="n"/>
      <c r="B352" s="33" t="n"/>
      <c r="C352" s="33" t="n"/>
      <c r="D352" s="33" t="n"/>
    </row>
    <row r="353">
      <c r="A353" s="33" t="n"/>
      <c r="B353" s="33" t="n"/>
      <c r="C353" s="33" t="n"/>
      <c r="D353" s="33" t="n"/>
    </row>
    <row r="354">
      <c r="A354" s="33" t="n"/>
      <c r="B354" s="33" t="n"/>
      <c r="C354" s="33" t="n"/>
      <c r="D354" s="33" t="n"/>
    </row>
    <row r="355">
      <c r="A355" s="33" t="n"/>
      <c r="B355" s="33" t="n"/>
      <c r="C355" s="33" t="n"/>
      <c r="D355" s="33" t="n"/>
    </row>
    <row r="356">
      <c r="A356" s="33" t="n"/>
      <c r="B356" s="33" t="n"/>
      <c r="C356" s="33" t="n"/>
      <c r="D356" s="33" t="n"/>
    </row>
    <row r="357">
      <c r="A357" s="33" t="n"/>
      <c r="B357" s="33" t="n"/>
      <c r="C357" s="33" t="n"/>
      <c r="D357" s="33" t="n"/>
    </row>
    <row r="358">
      <c r="A358" s="33" t="n"/>
      <c r="B358" s="33" t="n"/>
      <c r="C358" s="33" t="n"/>
      <c r="D358" s="33" t="n"/>
    </row>
    <row r="359">
      <c r="A359" s="33" t="n"/>
      <c r="B359" s="33" t="n"/>
      <c r="C359" s="33" t="n"/>
      <c r="D359" s="33" t="n"/>
    </row>
    <row r="360">
      <c r="A360" s="33" t="n"/>
      <c r="B360" s="33" t="n"/>
      <c r="C360" s="33" t="n"/>
      <c r="D360" s="33" t="n"/>
    </row>
    <row r="361">
      <c r="A361" s="33" t="n"/>
      <c r="B361" s="33" t="n"/>
      <c r="C361" s="33" t="n"/>
      <c r="D361" s="33" t="n"/>
    </row>
    <row r="362">
      <c r="A362" s="33" t="n"/>
      <c r="B362" s="33" t="n"/>
      <c r="C362" s="33" t="n"/>
      <c r="D362" s="33" t="n"/>
    </row>
    <row r="363">
      <c r="A363" s="33" t="n"/>
      <c r="B363" s="33" t="n"/>
      <c r="C363" s="33" t="n"/>
      <c r="D363" s="33" t="n"/>
    </row>
    <row r="364">
      <c r="A364" s="33" t="n"/>
      <c r="B364" s="33" t="n"/>
      <c r="C364" s="33" t="n"/>
      <c r="D364" s="33" t="n"/>
    </row>
    <row r="365">
      <c r="A365" s="33" t="n"/>
      <c r="B365" s="33" t="n"/>
      <c r="C365" s="33" t="n"/>
      <c r="D365" s="33" t="n"/>
    </row>
    <row r="366">
      <c r="A366" s="33" t="n"/>
      <c r="B366" s="33" t="n"/>
      <c r="C366" s="33" t="n"/>
      <c r="D366" s="33" t="n"/>
    </row>
    <row r="367">
      <c r="A367" s="33" t="n"/>
      <c r="B367" s="33" t="n"/>
      <c r="C367" s="33" t="n"/>
      <c r="D367" s="33" t="n"/>
    </row>
    <row r="368">
      <c r="A368" s="33" t="n"/>
      <c r="B368" s="33" t="n"/>
      <c r="C368" s="33" t="n"/>
      <c r="D368" s="33" t="n"/>
    </row>
    <row r="369">
      <c r="A369" s="33" t="n"/>
      <c r="B369" s="33" t="n"/>
      <c r="C369" s="33" t="n"/>
      <c r="D369" s="33" t="n"/>
    </row>
    <row r="370">
      <c r="A370" s="33" t="n"/>
      <c r="B370" s="33" t="n"/>
      <c r="C370" s="33" t="n"/>
      <c r="D370" s="33" t="n"/>
    </row>
    <row r="371">
      <c r="A371" s="33" t="n"/>
      <c r="B371" s="33" t="n"/>
      <c r="C371" s="33" t="n"/>
      <c r="D371" s="33" t="n"/>
    </row>
    <row r="372">
      <c r="A372" s="33" t="n"/>
      <c r="B372" s="33" t="n"/>
      <c r="C372" s="33" t="n"/>
      <c r="D372" s="33" t="n"/>
    </row>
    <row r="373">
      <c r="A373" s="33" t="n"/>
      <c r="B373" s="33" t="n"/>
      <c r="C373" s="33" t="n"/>
      <c r="D373" s="33" t="n"/>
    </row>
    <row r="374">
      <c r="A374" s="33" t="n"/>
      <c r="B374" s="33" t="n"/>
      <c r="C374" s="33" t="n"/>
      <c r="D374" s="33" t="n"/>
    </row>
    <row r="375">
      <c r="A375" s="33" t="n"/>
      <c r="B375" s="33" t="n"/>
      <c r="C375" s="33" t="n"/>
      <c r="D375" s="33" t="n"/>
    </row>
    <row r="376">
      <c r="A376" s="33" t="n"/>
      <c r="B376" s="33" t="n"/>
      <c r="C376" s="33" t="n"/>
      <c r="D376" s="33" t="n"/>
    </row>
    <row r="377">
      <c r="A377" s="33" t="n"/>
      <c r="B377" s="33" t="n"/>
      <c r="C377" s="33" t="n"/>
      <c r="D377" s="33" t="n"/>
    </row>
    <row r="378">
      <c r="A378" s="33" t="n"/>
      <c r="B378" s="33" t="n"/>
      <c r="C378" s="33" t="n"/>
      <c r="D378" s="33" t="n"/>
    </row>
    <row r="379">
      <c r="A379" s="33" t="n"/>
      <c r="B379" s="33" t="n"/>
      <c r="C379" s="33" t="n"/>
      <c r="D379" s="33" t="n"/>
    </row>
    <row r="380">
      <c r="A380" s="33" t="n"/>
      <c r="B380" s="33" t="n"/>
      <c r="C380" s="33" t="n"/>
      <c r="D380" s="33" t="n"/>
    </row>
    <row r="381">
      <c r="A381" s="33" t="n"/>
      <c r="B381" s="33" t="n"/>
      <c r="C381" s="33" t="n"/>
      <c r="D381" s="33" t="n"/>
    </row>
    <row r="382">
      <c r="A382" s="33" t="n"/>
      <c r="B382" s="33" t="n"/>
      <c r="C382" s="33" t="n"/>
      <c r="D382" s="33" t="n"/>
    </row>
    <row r="383">
      <c r="A383" s="33" t="n"/>
      <c r="B383" s="33" t="n"/>
      <c r="C383" s="33" t="n"/>
      <c r="D383" s="33" t="n"/>
    </row>
    <row r="384">
      <c r="A384" s="33" t="n"/>
      <c r="B384" s="33" t="n"/>
      <c r="C384" s="33" t="n"/>
      <c r="D384" s="33" t="n"/>
    </row>
    <row r="385">
      <c r="A385" s="33" t="n"/>
      <c r="B385" s="33" t="n"/>
      <c r="C385" s="33" t="n"/>
      <c r="D385" s="33" t="n"/>
    </row>
    <row r="386">
      <c r="A386" s="33" t="n"/>
      <c r="B386" s="33" t="n"/>
      <c r="C386" s="33" t="n"/>
      <c r="D386" s="33" t="n"/>
    </row>
    <row r="387">
      <c r="A387" s="33" t="n"/>
      <c r="B387" s="33" t="n"/>
      <c r="C387" s="33" t="n"/>
      <c r="D387" s="33" t="n"/>
    </row>
    <row r="388">
      <c r="A388" s="33" t="n"/>
      <c r="B388" s="33" t="n"/>
      <c r="C388" s="33" t="n"/>
      <c r="D388" s="33" t="n"/>
    </row>
    <row r="389">
      <c r="A389" s="33" t="n"/>
      <c r="B389" s="33" t="n"/>
      <c r="C389" s="33" t="n"/>
      <c r="D389" s="33" t="n"/>
    </row>
    <row r="390">
      <c r="A390" s="33" t="n"/>
      <c r="B390" s="33" t="n"/>
      <c r="C390" s="33" t="n"/>
      <c r="D390" s="33" t="n"/>
    </row>
    <row r="391">
      <c r="A391" s="33" t="n"/>
      <c r="B391" s="33" t="n"/>
      <c r="C391" s="33" t="n"/>
      <c r="D391" s="33" t="n"/>
    </row>
    <row r="392">
      <c r="A392" s="33" t="n"/>
      <c r="B392" s="33" t="n"/>
      <c r="C392" s="33" t="n"/>
      <c r="D392" s="33" t="n"/>
    </row>
    <row r="393">
      <c r="A393" s="33" t="n"/>
      <c r="B393" s="33" t="n"/>
      <c r="C393" s="33" t="n"/>
      <c r="D393" s="33" t="n"/>
    </row>
    <row r="394">
      <c r="A394" s="33" t="n"/>
      <c r="B394" s="33" t="n"/>
      <c r="C394" s="33" t="n"/>
      <c r="D394" s="33" t="n"/>
    </row>
    <row r="395">
      <c r="A395" s="33" t="n"/>
      <c r="B395" s="33" t="n"/>
      <c r="C395" s="33" t="n"/>
      <c r="D395" s="33" t="n"/>
    </row>
    <row r="396">
      <c r="A396" s="33" t="n"/>
      <c r="B396" s="33" t="n"/>
      <c r="C396" s="33" t="n"/>
      <c r="D396" s="33" t="n"/>
    </row>
    <row r="397">
      <c r="A397" s="33" t="n"/>
      <c r="B397" s="33" t="n"/>
      <c r="C397" s="33" t="n"/>
      <c r="D397" s="33" t="n"/>
    </row>
    <row r="398">
      <c r="A398" s="33" t="n"/>
      <c r="B398" s="33" t="n"/>
      <c r="C398" s="33" t="n"/>
      <c r="D398" s="33" t="n"/>
    </row>
    <row r="399">
      <c r="A399" s="33" t="n"/>
      <c r="B399" s="33" t="n"/>
      <c r="C399" s="33" t="n"/>
      <c r="D399" s="33" t="n"/>
    </row>
    <row r="400">
      <c r="A400" s="33" t="n"/>
      <c r="B400" s="33" t="n"/>
      <c r="C400" s="33" t="n"/>
      <c r="D400" s="33" t="n"/>
    </row>
    <row r="401">
      <c r="A401" s="33" t="n"/>
      <c r="B401" s="33" t="n"/>
      <c r="C401" s="33" t="n"/>
      <c r="D401" s="33" t="n"/>
    </row>
    <row r="402">
      <c r="A402" s="33" t="n"/>
      <c r="B402" s="33" t="n"/>
      <c r="C402" s="33" t="n"/>
      <c r="D402" s="33" t="n"/>
    </row>
    <row r="403">
      <c r="A403" s="33" t="n"/>
      <c r="B403" s="33" t="n"/>
      <c r="C403" s="33" t="n"/>
      <c r="D403" s="33" t="n"/>
    </row>
    <row r="404">
      <c r="A404" s="33" t="n"/>
      <c r="B404" s="33" t="n"/>
      <c r="C404" s="33" t="n"/>
      <c r="D404" s="33" t="n"/>
    </row>
    <row r="405">
      <c r="A405" s="33" t="n"/>
      <c r="B405" s="33" t="n"/>
      <c r="C405" s="33" t="n"/>
      <c r="D405" s="33" t="n"/>
    </row>
    <row r="406">
      <c r="A406" s="33" t="n"/>
      <c r="B406" s="33" t="n"/>
      <c r="C406" s="33" t="n"/>
      <c r="D406" s="33" t="n"/>
    </row>
    <row r="407">
      <c r="A407" s="33" t="n"/>
      <c r="B407" s="33" t="n"/>
      <c r="C407" s="33" t="n"/>
      <c r="D407" s="33" t="n"/>
    </row>
    <row r="408">
      <c r="A408" s="33" t="n"/>
      <c r="B408" s="33" t="n"/>
      <c r="C408" s="33" t="n"/>
      <c r="D408" s="33" t="n"/>
    </row>
    <row r="409">
      <c r="A409" s="33" t="n"/>
      <c r="B409" s="33" t="n"/>
      <c r="C409" s="33" t="n"/>
      <c r="D409" s="33" t="n"/>
    </row>
    <row r="410">
      <c r="A410" s="33" t="n"/>
      <c r="B410" s="33" t="n"/>
      <c r="C410" s="33" t="n"/>
      <c r="D410" s="33" t="n"/>
    </row>
    <row r="411">
      <c r="A411" s="33" t="n"/>
      <c r="B411" s="33" t="n"/>
      <c r="C411" s="33" t="n"/>
      <c r="D411" s="33" t="n"/>
    </row>
    <row r="412">
      <c r="A412" s="33" t="n"/>
      <c r="B412" s="33" t="n"/>
      <c r="C412" s="33" t="n"/>
      <c r="D412" s="33" t="n"/>
    </row>
    <row r="413">
      <c r="A413" s="33" t="n"/>
      <c r="B413" s="33" t="n"/>
      <c r="C413" s="33" t="n"/>
      <c r="D413" s="33" t="n"/>
    </row>
    <row r="414">
      <c r="A414" s="33" t="n"/>
      <c r="B414" s="33" t="n"/>
      <c r="C414" s="33" t="n"/>
      <c r="D414" s="33" t="n"/>
    </row>
    <row r="415">
      <c r="A415" s="33" t="n"/>
      <c r="B415" s="33" t="n"/>
      <c r="C415" s="33" t="n"/>
      <c r="D415" s="33" t="n"/>
    </row>
    <row r="416">
      <c r="A416" s="33" t="n"/>
      <c r="B416" s="33" t="n"/>
      <c r="C416" s="33" t="n"/>
      <c r="D416" s="33" t="n"/>
    </row>
    <row r="417">
      <c r="A417" s="33" t="n"/>
      <c r="B417" s="33" t="n"/>
      <c r="C417" s="33" t="n"/>
      <c r="D417" s="33" t="n"/>
    </row>
    <row r="418">
      <c r="A418" s="33" t="n"/>
      <c r="B418" s="33" t="n"/>
      <c r="C418" s="33" t="n"/>
      <c r="D418" s="33" t="n"/>
    </row>
    <row r="419">
      <c r="A419" s="33" t="n"/>
      <c r="B419" s="33" t="n"/>
      <c r="C419" s="33" t="n"/>
      <c r="D419" s="33" t="n"/>
    </row>
    <row r="420">
      <c r="A420" s="33" t="n"/>
      <c r="B420" s="33" t="n"/>
      <c r="C420" s="33" t="n"/>
      <c r="D420" s="33" t="n"/>
    </row>
    <row r="421">
      <c r="A421" s="33" t="n"/>
      <c r="B421" s="33" t="n"/>
      <c r="C421" s="33" t="n"/>
      <c r="D421" s="33" t="n"/>
    </row>
    <row r="422">
      <c r="A422" s="33" t="n"/>
      <c r="B422" s="33" t="n"/>
      <c r="C422" s="33" t="n"/>
      <c r="D422" s="33" t="n"/>
    </row>
    <row r="423">
      <c r="A423" s="33" t="n"/>
      <c r="B423" s="33" t="n"/>
      <c r="C423" s="33" t="n"/>
      <c r="D423" s="33" t="n"/>
    </row>
    <row r="424">
      <c r="A424" s="33" t="n"/>
      <c r="B424" s="33" t="n"/>
      <c r="C424" s="33" t="n"/>
      <c r="D424" s="33" t="n"/>
    </row>
    <row r="425">
      <c r="A425" s="33" t="n"/>
      <c r="B425" s="33" t="n"/>
      <c r="C425" s="33" t="n"/>
      <c r="D425" s="33" t="n"/>
    </row>
    <row r="426">
      <c r="A426" s="33" t="n"/>
      <c r="B426" s="33" t="n"/>
      <c r="C426" s="33" t="n"/>
      <c r="D426" s="33" t="n"/>
    </row>
    <row r="427">
      <c r="A427" s="33" t="n"/>
      <c r="B427" s="33" t="n"/>
      <c r="C427" s="33" t="n"/>
      <c r="D427" s="33" t="n"/>
    </row>
    <row r="428">
      <c r="A428" s="33" t="n"/>
      <c r="B428" s="33" t="n"/>
      <c r="C428" s="33" t="n"/>
      <c r="D428" s="33" t="n"/>
    </row>
    <row r="429">
      <c r="A429" s="33" t="n"/>
      <c r="B429" s="33" t="n"/>
      <c r="C429" s="33" t="n"/>
      <c r="D429" s="33" t="n"/>
    </row>
    <row r="430">
      <c r="A430" s="33" t="n"/>
      <c r="B430" s="33" t="n"/>
      <c r="C430" s="33" t="n"/>
      <c r="D430" s="33" t="n"/>
    </row>
    <row r="431">
      <c r="A431" s="33" t="n"/>
      <c r="B431" s="33" t="n"/>
      <c r="C431" s="33" t="n"/>
      <c r="D431" s="33" t="n"/>
    </row>
    <row r="432">
      <c r="A432" s="33" t="n"/>
      <c r="B432" s="33" t="n"/>
      <c r="C432" s="33" t="n"/>
      <c r="D432" s="33" t="n"/>
    </row>
    <row r="433">
      <c r="A433" s="33" t="n"/>
      <c r="B433" s="33" t="n"/>
      <c r="C433" s="33" t="n"/>
      <c r="D433" s="33" t="n"/>
    </row>
    <row r="434">
      <c r="A434" s="33" t="n"/>
      <c r="B434" s="33" t="n"/>
      <c r="C434" s="33" t="n"/>
      <c r="D434" s="33" t="n"/>
    </row>
    <row r="435">
      <c r="A435" s="33" t="n"/>
      <c r="B435" s="33" t="n"/>
      <c r="C435" s="33" t="n"/>
      <c r="D435" s="33" t="n"/>
    </row>
    <row r="436">
      <c r="A436" s="33" t="n"/>
      <c r="B436" s="33" t="n"/>
      <c r="C436" s="33" t="n"/>
      <c r="D436" s="33" t="n"/>
    </row>
    <row r="437">
      <c r="A437" s="33" t="n"/>
      <c r="B437" s="33" t="n"/>
      <c r="C437" s="33" t="n"/>
      <c r="D437" s="33" t="n"/>
    </row>
    <row r="438">
      <c r="A438" s="33" t="n"/>
      <c r="B438" s="33" t="n"/>
      <c r="C438" s="33" t="n"/>
      <c r="D438" s="33" t="n"/>
    </row>
    <row r="439">
      <c r="A439" s="33" t="n"/>
      <c r="B439" s="33" t="n"/>
      <c r="C439" s="33" t="n"/>
      <c r="D439" s="33" t="n"/>
    </row>
    <row r="440">
      <c r="A440" s="33" t="n"/>
      <c r="B440" s="33" t="n"/>
      <c r="C440" s="33" t="n"/>
      <c r="D440" s="33" t="n"/>
    </row>
    <row r="441">
      <c r="A441" s="33" t="n"/>
      <c r="B441" s="33" t="n"/>
      <c r="C441" s="33" t="n"/>
      <c r="D441" s="33" t="n"/>
    </row>
    <row r="442">
      <c r="A442" s="33" t="n"/>
      <c r="B442" s="33" t="n"/>
      <c r="C442" s="33" t="n"/>
      <c r="D442" s="33" t="n"/>
    </row>
    <row r="443">
      <c r="A443" s="33" t="n"/>
      <c r="B443" s="33" t="n"/>
      <c r="C443" s="33" t="n"/>
      <c r="D443" s="33" t="n"/>
    </row>
    <row r="444">
      <c r="A444" s="33" t="n"/>
      <c r="B444" s="33" t="n"/>
      <c r="C444" s="33" t="n"/>
      <c r="D444" s="33" t="n"/>
    </row>
    <row r="445">
      <c r="A445" s="33" t="n"/>
      <c r="B445" s="33" t="n"/>
      <c r="C445" s="33" t="n"/>
      <c r="D445" s="33" t="n"/>
    </row>
    <row r="446">
      <c r="A446" s="33" t="n"/>
      <c r="B446" s="33" t="n"/>
      <c r="C446" s="33" t="n"/>
      <c r="D446" s="33" t="n"/>
    </row>
    <row r="447">
      <c r="A447" s="33" t="n"/>
      <c r="B447" s="33" t="n"/>
      <c r="C447" s="33" t="n"/>
      <c r="D447" s="33" t="n"/>
    </row>
    <row r="448">
      <c r="A448" s="33" t="n"/>
      <c r="B448" s="33" t="n"/>
      <c r="C448" s="33" t="n"/>
      <c r="D448" s="33" t="n"/>
    </row>
    <row r="449">
      <c r="A449" s="33" t="n"/>
      <c r="B449" s="33" t="n"/>
      <c r="C449" s="33" t="n"/>
      <c r="D449" s="33" t="n"/>
    </row>
    <row r="450">
      <c r="A450" s="33" t="n"/>
      <c r="B450" s="33" t="n"/>
      <c r="C450" s="33" t="n"/>
      <c r="D450" s="33" t="n"/>
    </row>
    <row r="451">
      <c r="A451" s="33" t="n"/>
      <c r="B451" s="33" t="n"/>
      <c r="C451" s="33" t="n"/>
      <c r="D451" s="33" t="n"/>
    </row>
    <row r="452">
      <c r="A452" s="33" t="n"/>
      <c r="B452" s="33" t="n"/>
      <c r="C452" s="33" t="n"/>
      <c r="D452" s="33" t="n"/>
    </row>
    <row r="453">
      <c r="A453" s="33" t="n"/>
      <c r="B453" s="33" t="n"/>
      <c r="C453" s="33" t="n"/>
      <c r="D453" s="33" t="n"/>
    </row>
    <row r="454">
      <c r="A454" s="33" t="n"/>
      <c r="B454" s="33" t="n"/>
      <c r="C454" s="33" t="n"/>
      <c r="D454" s="33" t="n"/>
    </row>
    <row r="455">
      <c r="A455" s="33" t="n"/>
      <c r="B455" s="33" t="n"/>
      <c r="C455" s="33" t="n"/>
      <c r="D455" s="33" t="n"/>
    </row>
    <row r="456">
      <c r="A456" s="33" t="n"/>
      <c r="B456" s="33" t="n"/>
      <c r="C456" s="33" t="n"/>
      <c r="D456" s="33" t="n"/>
    </row>
    <row r="457">
      <c r="A457" s="33" t="n"/>
      <c r="B457" s="33" t="n"/>
      <c r="C457" s="33" t="n"/>
      <c r="D457" s="33" t="n"/>
    </row>
    <row r="458">
      <c r="A458" s="33" t="n"/>
      <c r="B458" s="33" t="n"/>
      <c r="C458" s="33" t="n"/>
      <c r="D458" s="33" t="n"/>
    </row>
    <row r="459">
      <c r="A459" s="33" t="n"/>
      <c r="B459" s="33" t="n"/>
      <c r="C459" s="33" t="n"/>
      <c r="D459" s="33" t="n"/>
    </row>
    <row r="460">
      <c r="A460" s="33" t="n"/>
      <c r="B460" s="33" t="n"/>
      <c r="C460" s="33" t="n"/>
      <c r="D460" s="33" t="n"/>
    </row>
    <row r="461">
      <c r="A461" s="33" t="n"/>
      <c r="B461" s="33" t="n"/>
      <c r="C461" s="33" t="n"/>
      <c r="D461" s="33" t="n"/>
    </row>
    <row r="462">
      <c r="A462" s="33" t="n"/>
      <c r="B462" s="33" t="n"/>
      <c r="C462" s="33" t="n"/>
      <c r="D462" s="33" t="n"/>
    </row>
    <row r="463">
      <c r="A463" s="33" t="n"/>
      <c r="B463" s="33" t="n"/>
      <c r="C463" s="33" t="n"/>
      <c r="D463" s="33" t="n"/>
    </row>
    <row r="464">
      <c r="A464" s="33" t="n"/>
      <c r="B464" s="33" t="n"/>
      <c r="C464" s="33" t="n"/>
      <c r="D464" s="33" t="n"/>
    </row>
    <row r="465">
      <c r="A465" s="33" t="n"/>
      <c r="B465" s="33" t="n"/>
      <c r="C465" s="33" t="n"/>
      <c r="D465" s="33" t="n"/>
    </row>
    <row r="466">
      <c r="A466" s="33" t="n"/>
      <c r="B466" s="33" t="n"/>
      <c r="C466" s="33" t="n"/>
      <c r="D466" s="33" t="n"/>
    </row>
    <row r="467">
      <c r="A467" s="33" t="n"/>
      <c r="B467" s="33" t="n"/>
      <c r="C467" s="33" t="n"/>
      <c r="D467" s="33" t="n"/>
    </row>
    <row r="468">
      <c r="A468" s="33" t="n"/>
      <c r="B468" s="33" t="n"/>
      <c r="C468" s="33" t="n"/>
      <c r="D468" s="33" t="n"/>
    </row>
    <row r="469">
      <c r="A469" s="33" t="n"/>
      <c r="B469" s="33" t="n"/>
      <c r="C469" s="33" t="n"/>
      <c r="D469" s="33" t="n"/>
    </row>
    <row r="470">
      <c r="A470" s="33" t="n"/>
      <c r="B470" s="33" t="n"/>
      <c r="C470" s="33" t="n"/>
      <c r="D470" s="33" t="n"/>
    </row>
    <row r="471">
      <c r="A471" s="33" t="n"/>
      <c r="B471" s="33" t="n"/>
      <c r="C471" s="33" t="n"/>
      <c r="D471" s="33" t="n"/>
    </row>
    <row r="472">
      <c r="A472" s="33" t="n"/>
      <c r="B472" s="33" t="n"/>
      <c r="C472" s="33" t="n"/>
      <c r="D472" s="33" t="n"/>
    </row>
    <row r="473">
      <c r="A473" s="33" t="n"/>
      <c r="B473" s="33" t="n"/>
      <c r="C473" s="33" t="n"/>
      <c r="D473" s="33" t="n"/>
    </row>
    <row r="474">
      <c r="A474" s="33" t="n"/>
      <c r="B474" s="33" t="n"/>
      <c r="C474" s="33" t="n"/>
      <c r="D474" s="33" t="n"/>
    </row>
    <row r="475">
      <c r="A475" s="33" t="n"/>
      <c r="B475" s="33" t="n"/>
      <c r="C475" s="33" t="n"/>
      <c r="D475" s="33" t="n"/>
    </row>
    <row r="476">
      <c r="A476" s="33" t="n"/>
      <c r="B476" s="33" t="n"/>
      <c r="C476" s="33" t="n"/>
      <c r="D476" s="33" t="n"/>
    </row>
    <row r="477">
      <c r="A477" s="33" t="n"/>
      <c r="B477" s="33" t="n"/>
      <c r="C477" s="33" t="n"/>
      <c r="D477" s="33" t="n"/>
    </row>
    <row r="478">
      <c r="A478" s="33" t="n"/>
      <c r="B478" s="33" t="n"/>
      <c r="C478" s="33" t="n"/>
      <c r="D478" s="33" t="n"/>
    </row>
    <row r="479">
      <c r="A479" s="33" t="n"/>
      <c r="B479" s="33" t="n"/>
      <c r="C479" s="33" t="n"/>
      <c r="D479" s="33" t="n"/>
    </row>
    <row r="480">
      <c r="A480" s="33" t="n"/>
      <c r="B480" s="33" t="n"/>
      <c r="C480" s="33" t="n"/>
      <c r="D480" s="33" t="n"/>
    </row>
    <row r="481">
      <c r="A481" s="33" t="n"/>
      <c r="B481" s="33" t="n"/>
      <c r="C481" s="33" t="n"/>
      <c r="D481" s="33" t="n"/>
    </row>
    <row r="482">
      <c r="A482" s="33" t="n"/>
      <c r="B482" s="33" t="n"/>
      <c r="C482" s="33" t="n"/>
      <c r="D482" s="33" t="n"/>
    </row>
    <row r="483">
      <c r="A483" s="33" t="n"/>
      <c r="B483" s="33" t="n"/>
      <c r="C483" s="33" t="n"/>
      <c r="D483" s="33" t="n"/>
    </row>
    <row r="484">
      <c r="A484" s="33" t="n"/>
      <c r="B484" s="33" t="n"/>
      <c r="C484" s="33" t="n"/>
      <c r="D484" s="33" t="n"/>
    </row>
    <row r="485">
      <c r="A485" s="33" t="n"/>
      <c r="B485" s="33" t="n"/>
      <c r="C485" s="33" t="n"/>
      <c r="D485" s="33" t="n"/>
    </row>
    <row r="486">
      <c r="A486" s="33" t="n"/>
      <c r="B486" s="33" t="n"/>
      <c r="C486" s="33" t="n"/>
      <c r="D486" s="33" t="n"/>
    </row>
    <row r="487">
      <c r="A487" s="33" t="n"/>
      <c r="B487" s="33" t="n"/>
      <c r="C487" s="33" t="n"/>
      <c r="D487" s="33" t="n"/>
    </row>
    <row r="488">
      <c r="A488" s="33" t="n"/>
      <c r="B488" s="33" t="n"/>
      <c r="C488" s="33" t="n"/>
      <c r="D488" s="33" t="n"/>
    </row>
    <row r="489">
      <c r="A489" s="33" t="n"/>
      <c r="B489" s="33" t="n"/>
      <c r="C489" s="33" t="n"/>
      <c r="D489" s="33" t="n"/>
    </row>
    <row r="490">
      <c r="A490" s="33" t="n"/>
      <c r="B490" s="33" t="n"/>
      <c r="C490" s="33" t="n"/>
      <c r="D490" s="33" t="n"/>
    </row>
    <row r="491">
      <c r="A491" s="33" t="n"/>
      <c r="B491" s="33" t="n"/>
      <c r="C491" s="33" t="n"/>
      <c r="D491" s="33" t="n"/>
    </row>
    <row r="492">
      <c r="A492" s="33" t="n"/>
      <c r="B492" s="33" t="n"/>
      <c r="C492" s="33" t="n"/>
      <c r="D492" s="33" t="n"/>
    </row>
    <row r="493">
      <c r="A493" s="33" t="n"/>
      <c r="B493" s="33" t="n"/>
      <c r="C493" s="33" t="n"/>
      <c r="D493" s="33" t="n"/>
    </row>
    <row r="494">
      <c r="A494" s="33" t="n"/>
      <c r="B494" s="33" t="n"/>
      <c r="C494" s="33" t="n"/>
      <c r="D494" s="33" t="n"/>
    </row>
    <row r="495">
      <c r="A495" s="33" t="n"/>
      <c r="B495" s="33" t="n"/>
      <c r="C495" s="33" t="n"/>
      <c r="D495" s="33" t="n"/>
    </row>
    <row r="496">
      <c r="A496" s="33" t="n"/>
      <c r="B496" s="33" t="n"/>
      <c r="C496" s="33" t="n"/>
      <c r="D496" s="33" t="n"/>
    </row>
    <row r="497">
      <c r="A497" s="33" t="n"/>
      <c r="B497" s="33" t="n"/>
      <c r="C497" s="33" t="n"/>
      <c r="D497" s="33" t="n"/>
    </row>
    <row r="498">
      <c r="A498" s="33" t="n"/>
      <c r="B498" s="33" t="n"/>
      <c r="C498" s="33" t="n"/>
      <c r="D498" s="33" t="n"/>
    </row>
    <row r="499">
      <c r="A499" s="33" t="n"/>
      <c r="B499" s="33" t="n"/>
      <c r="C499" s="33" t="n"/>
      <c r="D499" s="33" t="n"/>
    </row>
    <row r="500">
      <c r="A500" s="33" t="n"/>
      <c r="B500" s="33" t="n"/>
      <c r="C500" s="33" t="n"/>
      <c r="D500" s="33" t="n"/>
    </row>
    <row r="501">
      <c r="A501" s="33" t="n"/>
      <c r="B501" s="33" t="n"/>
      <c r="C501" s="33" t="n"/>
      <c r="D501" s="33" t="n"/>
    </row>
    <row r="502">
      <c r="A502" s="33" t="n"/>
      <c r="B502" s="33" t="n"/>
      <c r="C502" s="33" t="n"/>
      <c r="D502" s="33" t="n"/>
    </row>
    <row r="503">
      <c r="A503" s="33" t="n"/>
      <c r="B503" s="33" t="n"/>
      <c r="C503" s="33" t="n"/>
      <c r="D503" s="33" t="n"/>
    </row>
    <row r="504">
      <c r="A504" s="33" t="n"/>
      <c r="B504" s="33" t="n"/>
      <c r="C504" s="33" t="n"/>
      <c r="D504" s="33" t="n"/>
    </row>
    <row r="505">
      <c r="A505" s="33" t="n"/>
      <c r="B505" s="33" t="n"/>
      <c r="C505" s="33" t="n"/>
      <c r="D505" s="33" t="n"/>
    </row>
    <row r="506">
      <c r="A506" s="33" t="n"/>
      <c r="B506" s="33" t="n"/>
      <c r="C506" s="33" t="n"/>
      <c r="D506" s="33" t="n"/>
    </row>
    <row r="507">
      <c r="A507" s="33" t="n"/>
      <c r="B507" s="33" t="n"/>
      <c r="C507" s="33" t="n"/>
      <c r="D507" s="33" t="n"/>
    </row>
    <row r="508">
      <c r="A508" s="33" t="n"/>
      <c r="B508" s="33" t="n"/>
      <c r="C508" s="33" t="n"/>
      <c r="D508" s="33" t="n"/>
    </row>
    <row r="509">
      <c r="A509" s="33" t="n"/>
      <c r="B509" s="33" t="n"/>
      <c r="C509" s="33" t="n"/>
      <c r="D509" s="33" t="n"/>
    </row>
    <row r="510">
      <c r="A510" s="33" t="n"/>
      <c r="B510" s="33" t="n"/>
      <c r="C510" s="33" t="n"/>
      <c r="D510" s="33" t="n"/>
    </row>
    <row r="511">
      <c r="A511" s="33" t="n"/>
      <c r="B511" s="33" t="n"/>
      <c r="C511" s="33" t="n"/>
      <c r="D511" s="33" t="n"/>
    </row>
    <row r="512">
      <c r="A512" s="33" t="n"/>
      <c r="B512" s="33" t="n"/>
      <c r="C512" s="33" t="n"/>
      <c r="D512" s="33" t="n"/>
    </row>
    <row r="513">
      <c r="A513" s="33" t="n"/>
      <c r="B513" s="33" t="n"/>
      <c r="C513" s="33" t="n"/>
      <c r="D513" s="33" t="n"/>
    </row>
    <row r="514">
      <c r="A514" s="33" t="n"/>
      <c r="B514" s="33" t="n"/>
      <c r="C514" s="33" t="n"/>
      <c r="D514" s="33" t="n"/>
    </row>
    <row r="515">
      <c r="A515" s="33" t="n"/>
      <c r="B515" s="33" t="n"/>
      <c r="C515" s="33" t="n"/>
      <c r="D515" s="33" t="n"/>
    </row>
    <row r="516">
      <c r="A516" s="33" t="n"/>
      <c r="B516" s="33" t="n"/>
      <c r="C516" s="33" t="n"/>
      <c r="D516" s="33" t="n"/>
    </row>
    <row r="517">
      <c r="A517" s="33" t="n"/>
      <c r="B517" s="33" t="n"/>
      <c r="C517" s="33" t="n"/>
      <c r="D517" s="33" t="n"/>
    </row>
    <row r="518">
      <c r="A518" s="33" t="n"/>
      <c r="B518" s="33" t="n"/>
      <c r="C518" s="33" t="n"/>
      <c r="D518" s="33" t="n"/>
    </row>
    <row r="519">
      <c r="A519" s="33" t="n"/>
      <c r="B519" s="33" t="n"/>
      <c r="C519" s="33" t="n"/>
      <c r="D519" s="33" t="n"/>
    </row>
    <row r="520">
      <c r="A520" s="33" t="n"/>
      <c r="B520" s="33" t="n"/>
      <c r="C520" s="33" t="n"/>
      <c r="D520" s="33" t="n"/>
    </row>
    <row r="521">
      <c r="A521" s="33" t="n"/>
      <c r="B521" s="33" t="n"/>
      <c r="C521" s="33" t="n"/>
      <c r="D521" s="33" t="n"/>
    </row>
    <row r="522">
      <c r="A522" s="33" t="n"/>
      <c r="B522" s="33" t="n"/>
      <c r="C522" s="33" t="n"/>
      <c r="D522" s="33" t="n"/>
    </row>
    <row r="523">
      <c r="A523" s="33" t="n"/>
      <c r="B523" s="33" t="n"/>
      <c r="C523" s="33" t="n"/>
      <c r="D523" s="33" t="n"/>
    </row>
    <row r="524">
      <c r="A524" s="33" t="n"/>
      <c r="B524" s="33" t="n"/>
      <c r="C524" s="33" t="n"/>
      <c r="D524" s="33" t="n"/>
    </row>
    <row r="525">
      <c r="A525" s="33" t="n"/>
      <c r="B525" s="33" t="n"/>
      <c r="C525" s="33" t="n"/>
      <c r="D525" s="33" t="n"/>
    </row>
    <row r="526">
      <c r="A526" s="33" t="n"/>
      <c r="B526" s="33" t="n"/>
      <c r="C526" s="33" t="n"/>
      <c r="D526" s="33" t="n"/>
    </row>
    <row r="527">
      <c r="A527" s="33" t="n"/>
      <c r="B527" s="33" t="n"/>
      <c r="C527" s="33" t="n"/>
      <c r="D527" s="33" t="n"/>
    </row>
    <row r="528">
      <c r="A528" s="33" t="n"/>
      <c r="B528" s="33" t="n"/>
      <c r="C528" s="33" t="n"/>
      <c r="D528" s="33" t="n"/>
    </row>
    <row r="529">
      <c r="A529" s="33" t="n"/>
      <c r="B529" s="33" t="n"/>
      <c r="C529" s="33" t="n"/>
      <c r="D529" s="33" t="n"/>
    </row>
    <row r="530">
      <c r="A530" s="33" t="n"/>
      <c r="B530" s="33" t="n"/>
      <c r="C530" s="33" t="n"/>
      <c r="D530" s="33" t="n"/>
    </row>
    <row r="531">
      <c r="A531" s="33" t="n"/>
      <c r="B531" s="33" t="n"/>
      <c r="C531" s="33" t="n"/>
      <c r="D531" s="33" t="n"/>
    </row>
    <row r="532">
      <c r="A532" s="33" t="n"/>
      <c r="B532" s="33" t="n"/>
      <c r="C532" s="33" t="n"/>
      <c r="D532" s="33" t="n"/>
    </row>
    <row r="533">
      <c r="A533" s="33" t="n"/>
      <c r="B533" s="33" t="n"/>
      <c r="C533" s="33" t="n"/>
      <c r="D533" s="33" t="n"/>
    </row>
    <row r="534">
      <c r="A534" s="33" t="n"/>
      <c r="B534" s="33" t="n"/>
      <c r="C534" s="33" t="n"/>
      <c r="D534" s="33" t="n"/>
    </row>
    <row r="535">
      <c r="A535" s="33" t="n"/>
      <c r="B535" s="33" t="n"/>
      <c r="C535" s="33" t="n"/>
      <c r="D535" s="33" t="n"/>
    </row>
    <row r="536">
      <c r="A536" s="33" t="n"/>
      <c r="B536" s="33" t="n"/>
      <c r="C536" s="33" t="n"/>
      <c r="D536" s="33" t="n"/>
    </row>
    <row r="537">
      <c r="A537" s="33" t="n"/>
      <c r="B537" s="33" t="n"/>
      <c r="C537" s="33" t="n"/>
      <c r="D537" s="33" t="n"/>
    </row>
    <row r="538">
      <c r="A538" s="33" t="n"/>
      <c r="B538" s="33" t="n"/>
      <c r="C538" s="33" t="n"/>
      <c r="D538" s="33" t="n"/>
    </row>
    <row r="539">
      <c r="A539" s="33" t="n"/>
      <c r="B539" s="33" t="n"/>
      <c r="C539" s="33" t="n"/>
      <c r="D539" s="33" t="n"/>
    </row>
    <row r="540">
      <c r="A540" s="33" t="n"/>
      <c r="B540" s="33" t="n"/>
      <c r="C540" s="33" t="n"/>
      <c r="D540" s="33" t="n"/>
    </row>
    <row r="541">
      <c r="A541" s="33" t="n"/>
      <c r="B541" s="33" t="n"/>
      <c r="C541" s="33" t="n"/>
      <c r="D541" s="33" t="n"/>
    </row>
    <row r="542">
      <c r="A542" s="33" t="n"/>
      <c r="B542" s="33" t="n"/>
      <c r="C542" s="33" t="n"/>
      <c r="D542" s="33" t="n"/>
    </row>
    <row r="543">
      <c r="A543" s="33" t="n"/>
      <c r="B543" s="33" t="n"/>
      <c r="C543" s="33" t="n"/>
      <c r="D543" s="33" t="n"/>
    </row>
    <row r="544">
      <c r="A544" s="33" t="n"/>
      <c r="B544" s="33" t="n"/>
      <c r="C544" s="33" t="n"/>
      <c r="D544" s="33" t="n"/>
    </row>
    <row r="545">
      <c r="A545" s="33" t="n"/>
      <c r="B545" s="33" t="n"/>
      <c r="C545" s="33" t="n"/>
      <c r="D545" s="33" t="n"/>
    </row>
    <row r="546">
      <c r="A546" s="33" t="n"/>
      <c r="B546" s="33" t="n"/>
      <c r="C546" s="33" t="n"/>
      <c r="D546" s="33" t="n"/>
    </row>
    <row r="547">
      <c r="A547" s="33" t="n"/>
      <c r="B547" s="33" t="n"/>
      <c r="C547" s="33" t="n"/>
      <c r="D547" s="33" t="n"/>
    </row>
    <row r="548">
      <c r="A548" s="33" t="n"/>
      <c r="B548" s="33" t="n"/>
      <c r="C548" s="33" t="n"/>
      <c r="D548" s="33" t="n"/>
    </row>
    <row r="549">
      <c r="A549" s="33" t="n"/>
      <c r="B549" s="33" t="n"/>
      <c r="C549" s="33" t="n"/>
      <c r="D549" s="33" t="n"/>
    </row>
    <row r="550">
      <c r="A550" s="33" t="n"/>
      <c r="B550" s="33" t="n"/>
      <c r="C550" s="33" t="n"/>
      <c r="D550" s="33" t="n"/>
    </row>
    <row r="551">
      <c r="A551" s="33" t="n"/>
      <c r="B551" s="33" t="n"/>
      <c r="C551" s="33" t="n"/>
      <c r="D551" s="33" t="n"/>
    </row>
    <row r="552">
      <c r="A552" s="33" t="n"/>
      <c r="B552" s="33" t="n"/>
      <c r="C552" s="33" t="n"/>
      <c r="D552" s="33" t="n"/>
    </row>
    <row r="553">
      <c r="A553" s="33" t="n"/>
      <c r="B553" s="33" t="n"/>
      <c r="C553" s="33" t="n"/>
      <c r="D553" s="33" t="n"/>
    </row>
    <row r="554">
      <c r="A554" s="33" t="n"/>
      <c r="B554" s="33" t="n"/>
      <c r="C554" s="33" t="n"/>
      <c r="D554" s="33" t="n"/>
    </row>
    <row r="555">
      <c r="A555" s="33" t="n"/>
      <c r="B555" s="33" t="n"/>
      <c r="C555" s="33" t="n"/>
      <c r="D555" s="33" t="n"/>
    </row>
    <row r="556">
      <c r="A556" s="33" t="n"/>
      <c r="B556" s="33" t="n"/>
      <c r="C556" s="33" t="n"/>
      <c r="D556" s="33" t="n"/>
    </row>
    <row r="557">
      <c r="A557" s="33" t="n"/>
      <c r="B557" s="33" t="n"/>
      <c r="C557" s="33" t="n"/>
      <c r="D557" s="33" t="n"/>
    </row>
    <row r="558">
      <c r="A558" s="33" t="n"/>
      <c r="B558" s="33" t="n"/>
      <c r="C558" s="33" t="n"/>
      <c r="D558" s="33" t="n"/>
    </row>
    <row r="559">
      <c r="A559" s="33" t="n"/>
      <c r="B559" s="33" t="n"/>
      <c r="C559" s="33" t="n"/>
      <c r="D559" s="33" t="n"/>
    </row>
    <row r="560">
      <c r="A560" s="33" t="n"/>
      <c r="B560" s="33" t="n"/>
      <c r="C560" s="33" t="n"/>
      <c r="D560" s="33" t="n"/>
    </row>
    <row r="561">
      <c r="A561" s="33" t="n"/>
      <c r="B561" s="33" t="n"/>
      <c r="C561" s="33" t="n"/>
      <c r="D561" s="33" t="n"/>
    </row>
    <row r="562">
      <c r="A562" s="33" t="n"/>
      <c r="B562" s="33" t="n"/>
      <c r="C562" s="33" t="n"/>
      <c r="D562" s="33" t="n"/>
    </row>
    <row r="563">
      <c r="A563" s="33" t="n"/>
      <c r="B563" s="33" t="n"/>
      <c r="C563" s="33" t="n"/>
      <c r="D563" s="33" t="n"/>
    </row>
    <row r="564">
      <c r="A564" s="33" t="n"/>
      <c r="B564" s="33" t="n"/>
      <c r="C564" s="33" t="n"/>
      <c r="D564" s="33" t="n"/>
    </row>
    <row r="565">
      <c r="A565" s="33" t="n"/>
      <c r="B565" s="33" t="n"/>
      <c r="C565" s="33" t="n"/>
      <c r="D565" s="33" t="n"/>
    </row>
    <row r="566">
      <c r="A566" s="33" t="n"/>
      <c r="B566" s="33" t="n"/>
      <c r="C566" s="33" t="n"/>
      <c r="D566" s="33" t="n"/>
    </row>
    <row r="567">
      <c r="A567" s="33" t="n"/>
      <c r="B567" s="33" t="n"/>
      <c r="C567" s="33" t="n"/>
      <c r="D567" s="33" t="n"/>
    </row>
    <row r="568">
      <c r="A568" s="33" t="n"/>
      <c r="B568" s="33" t="n"/>
      <c r="C568" s="33" t="n"/>
      <c r="D568" s="33" t="n"/>
    </row>
    <row r="569">
      <c r="A569" s="33" t="n"/>
      <c r="B569" s="33" t="n"/>
      <c r="C569" s="33" t="n"/>
      <c r="D569" s="33" t="n"/>
    </row>
    <row r="570">
      <c r="A570" s="33" t="n"/>
      <c r="B570" s="33" t="n"/>
      <c r="C570" s="33" t="n"/>
      <c r="D570" s="33" t="n"/>
    </row>
    <row r="571">
      <c r="A571" s="33" t="n"/>
      <c r="B571" s="33" t="n"/>
      <c r="C571" s="33" t="n"/>
      <c r="D571" s="33" t="n"/>
    </row>
    <row r="572">
      <c r="A572" s="33" t="n"/>
      <c r="B572" s="33" t="n"/>
      <c r="C572" s="33" t="n"/>
      <c r="D572" s="33" t="n"/>
    </row>
    <row r="573">
      <c r="A573" s="33" t="n"/>
      <c r="B573" s="33" t="n"/>
      <c r="C573" s="33" t="n"/>
      <c r="D573" s="33" t="n"/>
    </row>
    <row r="574">
      <c r="A574" s="33" t="n"/>
      <c r="B574" s="33" t="n"/>
      <c r="C574" s="33" t="n"/>
      <c r="D574" s="33" t="n"/>
    </row>
    <row r="575">
      <c r="A575" s="33" t="n"/>
      <c r="B575" s="33" t="n"/>
      <c r="C575" s="33" t="n"/>
      <c r="D575" s="33" t="n"/>
    </row>
    <row r="576">
      <c r="A576" s="33" t="n"/>
      <c r="B576" s="33" t="n"/>
      <c r="C576" s="33" t="n"/>
      <c r="D576" s="33" t="n"/>
    </row>
    <row r="577">
      <c r="A577" s="33" t="n"/>
      <c r="B577" s="33" t="n"/>
      <c r="C577" s="33" t="n"/>
      <c r="D577" s="33" t="n"/>
    </row>
    <row r="578">
      <c r="A578" s="33" t="n"/>
      <c r="B578" s="33" t="n"/>
      <c r="C578" s="33" t="n"/>
      <c r="D578" s="33" t="n"/>
    </row>
    <row r="579">
      <c r="A579" s="33" t="n"/>
      <c r="B579" s="33" t="n"/>
      <c r="C579" s="33" t="n"/>
      <c r="D579" s="33" t="n"/>
    </row>
    <row r="580">
      <c r="A580" s="33" t="n"/>
      <c r="B580" s="33" t="n"/>
      <c r="C580" s="33" t="n"/>
      <c r="D580" s="33" t="n"/>
    </row>
    <row r="581">
      <c r="A581" s="33" t="n"/>
      <c r="B581" s="33" t="n"/>
      <c r="C581" s="33" t="n"/>
      <c r="D581" s="33" t="n"/>
    </row>
    <row r="582">
      <c r="A582" s="33" t="n"/>
      <c r="B582" s="33" t="n"/>
      <c r="C582" s="33" t="n"/>
      <c r="D582" s="33" t="n"/>
    </row>
    <row r="583">
      <c r="A583" s="33" t="n"/>
      <c r="B583" s="33" t="n"/>
      <c r="C583" s="33" t="n"/>
      <c r="D583" s="33" t="n"/>
    </row>
    <row r="584">
      <c r="A584" s="33" t="n"/>
      <c r="B584" s="33" t="n"/>
      <c r="C584" s="33" t="n"/>
      <c r="D584" s="33" t="n"/>
    </row>
    <row r="585">
      <c r="A585" s="33" t="n"/>
      <c r="B585" s="33" t="n"/>
      <c r="C585" s="33" t="n"/>
      <c r="D585" s="33" t="n"/>
    </row>
    <row r="586">
      <c r="A586" s="33" t="n"/>
      <c r="B586" s="33" t="n"/>
      <c r="C586" s="33" t="n"/>
      <c r="D586" s="33" t="n"/>
    </row>
    <row r="587">
      <c r="A587" s="33" t="n"/>
      <c r="B587" s="33" t="n"/>
      <c r="C587" s="33" t="n"/>
      <c r="D587" s="33" t="n"/>
    </row>
    <row r="588">
      <c r="A588" s="33" t="n"/>
      <c r="B588" s="33" t="n"/>
      <c r="C588" s="33" t="n"/>
      <c r="D588" s="33" t="n"/>
    </row>
    <row r="589">
      <c r="A589" s="33" t="n"/>
      <c r="B589" s="33" t="n"/>
      <c r="C589" s="33" t="n"/>
      <c r="D589" s="33" t="n"/>
    </row>
    <row r="590">
      <c r="A590" s="33" t="n"/>
      <c r="B590" s="33" t="n"/>
      <c r="C590" s="33" t="n"/>
      <c r="D590" s="33" t="n"/>
    </row>
    <row r="591">
      <c r="A591" s="33" t="n"/>
      <c r="B591" s="33" t="n"/>
      <c r="C591" s="33" t="n"/>
      <c r="D591" s="33" t="n"/>
    </row>
    <row r="592">
      <c r="A592" s="33" t="n"/>
      <c r="B592" s="33" t="n"/>
      <c r="C592" s="33" t="n"/>
      <c r="D592" s="33" t="n"/>
    </row>
    <row r="593">
      <c r="A593" s="33" t="n"/>
      <c r="B593" s="33" t="n"/>
      <c r="C593" s="33" t="n"/>
      <c r="D593" s="33" t="n"/>
    </row>
    <row r="594">
      <c r="A594" s="33" t="n"/>
      <c r="B594" s="33" t="n"/>
      <c r="C594" s="33" t="n"/>
      <c r="D594" s="33" t="n"/>
    </row>
    <row r="595">
      <c r="A595" s="33" t="n"/>
      <c r="B595" s="33" t="n"/>
      <c r="C595" s="33" t="n"/>
      <c r="D595" s="33" t="n"/>
    </row>
    <row r="596">
      <c r="A596" s="33" t="n"/>
      <c r="B596" s="33" t="n"/>
      <c r="C596" s="33" t="n"/>
      <c r="D596" s="33" t="n"/>
    </row>
    <row r="597">
      <c r="A597" s="33" t="n"/>
      <c r="B597" s="33" t="n"/>
      <c r="C597" s="33" t="n"/>
      <c r="D597" s="33" t="n"/>
    </row>
    <row r="598">
      <c r="A598" s="33" t="n"/>
      <c r="B598" s="33" t="n"/>
      <c r="C598" s="33" t="n"/>
      <c r="D598" s="33" t="n"/>
    </row>
    <row r="599">
      <c r="A599" s="33" t="n"/>
      <c r="B599" s="33" t="n"/>
      <c r="C599" s="33" t="n"/>
      <c r="D599" s="33" t="n"/>
    </row>
    <row r="600">
      <c r="A600" s="33" t="n"/>
      <c r="B600" s="33" t="n"/>
      <c r="C600" s="33" t="n"/>
      <c r="D600" s="33" t="n"/>
    </row>
    <row r="601">
      <c r="A601" s="33" t="n"/>
      <c r="B601" s="33" t="n"/>
      <c r="C601" s="33" t="n"/>
      <c r="D601" s="33" t="n"/>
    </row>
    <row r="602">
      <c r="A602" s="33" t="n"/>
      <c r="B602" s="33" t="n"/>
      <c r="C602" s="33" t="n"/>
      <c r="D602" s="33" t="n"/>
    </row>
    <row r="603">
      <c r="A603" s="33" t="n"/>
      <c r="B603" s="33" t="n"/>
      <c r="C603" s="33" t="n"/>
      <c r="D603" s="33" t="n"/>
    </row>
    <row r="604">
      <c r="A604" s="33" t="n"/>
      <c r="B604" s="33" t="n"/>
      <c r="C604" s="33" t="n"/>
      <c r="D604" s="33" t="n"/>
    </row>
    <row r="605">
      <c r="A605" s="33" t="n"/>
      <c r="B605" s="33" t="n"/>
      <c r="C605" s="33" t="n"/>
      <c r="D605" s="33" t="n"/>
    </row>
    <row r="606">
      <c r="A606" s="33" t="n"/>
      <c r="B606" s="33" t="n"/>
      <c r="C606" s="33" t="n"/>
      <c r="D606" s="33" t="n"/>
    </row>
    <row r="607">
      <c r="A607" s="33" t="n"/>
      <c r="B607" s="33" t="n"/>
      <c r="C607" s="33" t="n"/>
      <c r="D607" s="33" t="n"/>
    </row>
    <row r="608">
      <c r="A608" s="33" t="n"/>
      <c r="B608" s="33" t="n"/>
      <c r="C608" s="33" t="n"/>
      <c r="D608" s="33" t="n"/>
    </row>
    <row r="609">
      <c r="A609" s="33" t="n"/>
      <c r="B609" s="33" t="n"/>
      <c r="C609" s="33" t="n"/>
      <c r="D609" s="33" t="n"/>
    </row>
    <row r="610">
      <c r="A610" s="33" t="n"/>
      <c r="B610" s="33" t="n"/>
      <c r="C610" s="33" t="n"/>
      <c r="D610" s="33" t="n"/>
    </row>
    <row r="611">
      <c r="A611" s="33" t="n"/>
      <c r="B611" s="33" t="n"/>
      <c r="C611" s="33" t="n"/>
      <c r="D611" s="33" t="n"/>
    </row>
    <row r="612">
      <c r="A612" s="33" t="n"/>
      <c r="B612" s="33" t="n"/>
      <c r="C612" s="33" t="n"/>
      <c r="D612" s="33" t="n"/>
    </row>
    <row r="613">
      <c r="A613" s="33" t="n"/>
      <c r="B613" s="33" t="n"/>
      <c r="C613" s="33" t="n"/>
      <c r="D613" s="33" t="n"/>
    </row>
    <row r="614">
      <c r="A614" s="33" t="n"/>
      <c r="B614" s="33" t="n"/>
      <c r="C614" s="33" t="n"/>
      <c r="D614" s="33" t="n"/>
    </row>
    <row r="615">
      <c r="A615" s="33" t="n"/>
      <c r="B615" s="33" t="n"/>
      <c r="C615" s="33" t="n"/>
      <c r="D615" s="33" t="n"/>
    </row>
    <row r="616">
      <c r="A616" s="33" t="n"/>
      <c r="B616" s="33" t="n"/>
      <c r="C616" s="33" t="n"/>
      <c r="D616" s="33" t="n"/>
    </row>
    <row r="617">
      <c r="A617" s="33" t="n"/>
      <c r="B617" s="33" t="n"/>
      <c r="C617" s="33" t="n"/>
      <c r="D617" s="33" t="n"/>
    </row>
    <row r="618">
      <c r="A618" s="33" t="n"/>
      <c r="B618" s="33" t="n"/>
      <c r="C618" s="33" t="n"/>
      <c r="D618" s="33" t="n"/>
    </row>
    <row r="619">
      <c r="A619" s="33" t="n"/>
      <c r="B619" s="33" t="n"/>
      <c r="C619" s="33" t="n"/>
      <c r="D619" s="33" t="n"/>
    </row>
    <row r="620">
      <c r="A620" s="33" t="n"/>
      <c r="B620" s="33" t="n"/>
      <c r="C620" s="33" t="n"/>
      <c r="D620" s="33" t="n"/>
    </row>
    <row r="621">
      <c r="A621" s="33" t="n"/>
      <c r="B621" s="33" t="n"/>
      <c r="C621" s="33" t="n"/>
      <c r="D621" s="33" t="n"/>
    </row>
    <row r="622">
      <c r="A622" s="33" t="n"/>
      <c r="B622" s="33" t="n"/>
      <c r="C622" s="33" t="n"/>
      <c r="D622" s="33" t="n"/>
    </row>
    <row r="623">
      <c r="A623" s="33" t="n"/>
      <c r="B623" s="33" t="n"/>
      <c r="C623" s="33" t="n"/>
      <c r="D623" s="33" t="n"/>
    </row>
    <row r="624">
      <c r="A624" s="33" t="n"/>
      <c r="B624" s="33" t="n"/>
      <c r="C624" s="33" t="n"/>
      <c r="D624" s="33" t="n"/>
    </row>
    <row r="625">
      <c r="A625" s="33" t="n"/>
      <c r="B625" s="33" t="n"/>
      <c r="C625" s="33" t="n"/>
      <c r="D625" s="33" t="n"/>
    </row>
    <row r="626">
      <c r="A626" s="33" t="n"/>
      <c r="B626" s="33" t="n"/>
      <c r="C626" s="33" t="n"/>
      <c r="D626" s="33" t="n"/>
    </row>
    <row r="627">
      <c r="A627" s="33" t="n"/>
      <c r="B627" s="33" t="n"/>
      <c r="C627" s="33" t="n"/>
      <c r="D627" s="33" t="n"/>
    </row>
    <row r="628">
      <c r="A628" s="33" t="n"/>
      <c r="B628" s="33" t="n"/>
      <c r="C628" s="33" t="n"/>
      <c r="D628" s="33" t="n"/>
    </row>
    <row r="629">
      <c r="A629" s="33" t="n"/>
      <c r="B629" s="33" t="n"/>
      <c r="C629" s="33" t="n"/>
      <c r="D629" s="33" t="n"/>
    </row>
    <row r="630">
      <c r="A630" s="33" t="n"/>
      <c r="B630" s="33" t="n"/>
      <c r="C630" s="33" t="n"/>
      <c r="D630" s="33" t="n"/>
    </row>
    <row r="631">
      <c r="A631" s="33" t="n"/>
      <c r="B631" s="33" t="n"/>
      <c r="C631" s="33" t="n"/>
      <c r="D631" s="33" t="n"/>
    </row>
    <row r="632">
      <c r="A632" s="33" t="n"/>
      <c r="B632" s="33" t="n"/>
      <c r="C632" s="33" t="n"/>
      <c r="D632" s="33" t="n"/>
    </row>
    <row r="633">
      <c r="A633" s="33" t="n"/>
      <c r="B633" s="33" t="n"/>
      <c r="C633" s="33" t="n"/>
      <c r="D633" s="33" t="n"/>
    </row>
    <row r="634">
      <c r="A634" s="33" t="n"/>
      <c r="B634" s="33" t="n"/>
      <c r="C634" s="33" t="n"/>
      <c r="D634" s="33" t="n"/>
    </row>
    <row r="635">
      <c r="A635" s="33" t="n"/>
      <c r="B635" s="33" t="n"/>
      <c r="C635" s="33" t="n"/>
      <c r="D635" s="33" t="n"/>
    </row>
    <row r="636">
      <c r="A636" s="33" t="n"/>
      <c r="B636" s="33" t="n"/>
      <c r="C636" s="33" t="n"/>
      <c r="D636" s="33" t="n"/>
    </row>
    <row r="637">
      <c r="A637" s="33" t="n"/>
      <c r="B637" s="33" t="n"/>
      <c r="C637" s="33" t="n"/>
      <c r="D637" s="33" t="n"/>
    </row>
    <row r="638">
      <c r="A638" s="33" t="n"/>
      <c r="B638" s="33" t="n"/>
      <c r="C638" s="33" t="n"/>
      <c r="D638" s="33" t="n"/>
    </row>
    <row r="639">
      <c r="A639" s="33" t="n"/>
      <c r="B639" s="33" t="n"/>
      <c r="C639" s="33" t="n"/>
      <c r="D639" s="33" t="n"/>
    </row>
    <row r="640">
      <c r="A640" s="33" t="n"/>
      <c r="B640" s="33" t="n"/>
      <c r="C640" s="33" t="n"/>
      <c r="D640" s="33" t="n"/>
    </row>
    <row r="641">
      <c r="A641" s="33" t="n"/>
      <c r="B641" s="33" t="n"/>
      <c r="C641" s="33" t="n"/>
      <c r="D641" s="33" t="n"/>
    </row>
    <row r="642">
      <c r="A642" s="33" t="n"/>
      <c r="B642" s="33" t="n"/>
      <c r="C642" s="33" t="n"/>
      <c r="D642" s="33" t="n"/>
    </row>
    <row r="643">
      <c r="A643" s="33" t="n"/>
      <c r="B643" s="33" t="n"/>
      <c r="C643" s="33" t="n"/>
      <c r="D643" s="33" t="n"/>
    </row>
    <row r="644">
      <c r="A644" s="33" t="n"/>
      <c r="B644" s="33" t="n"/>
      <c r="C644" s="33" t="n"/>
      <c r="D644" s="33" t="n"/>
    </row>
    <row r="645">
      <c r="A645" s="33" t="n"/>
      <c r="B645" s="33" t="n"/>
      <c r="C645" s="33" t="n"/>
      <c r="D645" s="33" t="n"/>
    </row>
    <row r="646">
      <c r="A646" s="33" t="n"/>
      <c r="B646" s="33" t="n"/>
      <c r="C646" s="33" t="n"/>
      <c r="D646" s="33" t="n"/>
    </row>
    <row r="647">
      <c r="A647" s="33" t="n"/>
      <c r="B647" s="33" t="n"/>
      <c r="C647" s="33" t="n"/>
      <c r="D647" s="33" t="n"/>
    </row>
    <row r="648">
      <c r="A648" s="33" t="n"/>
      <c r="B648" s="33" t="n"/>
      <c r="C648" s="33" t="n"/>
      <c r="D648" s="33" t="n"/>
    </row>
    <row r="649">
      <c r="A649" s="33" t="n"/>
      <c r="B649" s="33" t="n"/>
      <c r="C649" s="33" t="n"/>
      <c r="D649" s="33" t="n"/>
    </row>
    <row r="650">
      <c r="A650" s="33" t="n"/>
      <c r="B650" s="33" t="n"/>
      <c r="C650" s="33" t="n"/>
      <c r="D650" s="33" t="n"/>
    </row>
    <row r="651">
      <c r="A651" s="33" t="n"/>
      <c r="B651" s="33" t="n"/>
      <c r="C651" s="33" t="n"/>
      <c r="D651" s="33" t="n"/>
    </row>
    <row r="652">
      <c r="A652" s="33" t="n"/>
      <c r="B652" s="33" t="n"/>
      <c r="C652" s="33" t="n"/>
      <c r="D652" s="33" t="n"/>
    </row>
    <row r="653">
      <c r="A653" s="33" t="n"/>
      <c r="B653" s="33" t="n"/>
      <c r="C653" s="33" t="n"/>
      <c r="D653" s="33" t="n"/>
    </row>
    <row r="654">
      <c r="A654" s="33" t="n"/>
      <c r="B654" s="33" t="n"/>
      <c r="C654" s="33" t="n"/>
      <c r="D654" s="33" t="n"/>
    </row>
    <row r="655">
      <c r="A655" s="33" t="n"/>
      <c r="B655" s="33" t="n"/>
      <c r="C655" s="33" t="n"/>
      <c r="D655" s="33" t="n"/>
    </row>
    <row r="656">
      <c r="A656" s="33" t="n"/>
      <c r="B656" s="33" t="n"/>
      <c r="C656" s="33" t="n"/>
      <c r="D656" s="33" t="n"/>
    </row>
    <row r="657">
      <c r="A657" s="33" t="n"/>
      <c r="B657" s="33" t="n"/>
      <c r="C657" s="33" t="n"/>
      <c r="D657" s="33" t="n"/>
    </row>
    <row r="658">
      <c r="A658" s="33" t="n"/>
      <c r="B658" s="33" t="n"/>
      <c r="C658" s="33" t="n"/>
      <c r="D658" s="33" t="n"/>
    </row>
    <row r="659">
      <c r="A659" s="33" t="n"/>
      <c r="B659" s="33" t="n"/>
      <c r="C659" s="33" t="n"/>
      <c r="D659" s="33" t="n"/>
    </row>
    <row r="660">
      <c r="A660" s="33" t="n"/>
      <c r="B660" s="33" t="n"/>
      <c r="C660" s="33" t="n"/>
      <c r="D660" s="33" t="n"/>
    </row>
    <row r="661">
      <c r="A661" s="33" t="n"/>
      <c r="B661" s="33" t="n"/>
      <c r="C661" s="33" t="n"/>
      <c r="D661" s="33" t="n"/>
    </row>
    <row r="662">
      <c r="A662" s="33" t="n"/>
      <c r="B662" s="33" t="n"/>
      <c r="C662" s="33" t="n"/>
      <c r="D662" s="33" t="n"/>
    </row>
    <row r="663">
      <c r="A663" s="33" t="n"/>
      <c r="B663" s="33" t="n"/>
      <c r="C663" s="33" t="n"/>
      <c r="D663" s="33" t="n"/>
    </row>
    <row r="664">
      <c r="A664" s="33" t="n"/>
      <c r="B664" s="33" t="n"/>
      <c r="C664" s="33" t="n"/>
      <c r="D664" s="33" t="n"/>
    </row>
    <row r="665">
      <c r="A665" s="33" t="n"/>
      <c r="B665" s="33" t="n"/>
      <c r="C665" s="33" t="n"/>
      <c r="D665" s="33" t="n"/>
    </row>
    <row r="666">
      <c r="A666" s="33" t="n"/>
      <c r="B666" s="33" t="n"/>
      <c r="C666" s="33" t="n"/>
      <c r="D666" s="33" t="n"/>
    </row>
    <row r="667">
      <c r="A667" s="33" t="n"/>
      <c r="B667" s="33" t="n"/>
      <c r="C667" s="33" t="n"/>
      <c r="D667" s="33" t="n"/>
    </row>
    <row r="668">
      <c r="A668" s="33" t="n"/>
      <c r="B668" s="33" t="n"/>
      <c r="C668" s="33" t="n"/>
      <c r="D668" s="33" t="n"/>
    </row>
    <row r="669">
      <c r="A669" s="33" t="n"/>
      <c r="B669" s="33" t="n"/>
      <c r="C669" s="33" t="n"/>
      <c r="D669" s="33" t="n"/>
    </row>
    <row r="670">
      <c r="A670" s="33" t="n"/>
      <c r="B670" s="33" t="n"/>
      <c r="C670" s="33" t="n"/>
      <c r="D670" s="33" t="n"/>
    </row>
    <row r="671">
      <c r="A671" s="33" t="n"/>
      <c r="B671" s="33" t="n"/>
      <c r="C671" s="33" t="n"/>
      <c r="D671" s="33" t="n"/>
    </row>
    <row r="672">
      <c r="A672" s="33" t="n"/>
      <c r="B672" s="33" t="n"/>
      <c r="C672" s="33" t="n"/>
      <c r="D672" s="33" t="n"/>
    </row>
    <row r="673">
      <c r="A673" s="33" t="n"/>
      <c r="B673" s="33" t="n"/>
      <c r="C673" s="33" t="n"/>
      <c r="D673" s="33" t="n"/>
    </row>
    <row r="674">
      <c r="A674" s="33" t="n"/>
      <c r="B674" s="33" t="n"/>
      <c r="C674" s="33" t="n"/>
      <c r="D674" s="33" t="n"/>
    </row>
    <row r="675">
      <c r="A675" s="33" t="n"/>
      <c r="B675" s="33" t="n"/>
      <c r="C675" s="33" t="n"/>
      <c r="D675" s="33" t="n"/>
    </row>
    <row r="676">
      <c r="A676" s="33" t="n"/>
      <c r="B676" s="33" t="n"/>
      <c r="C676" s="33" t="n"/>
      <c r="D676" s="33" t="n"/>
    </row>
    <row r="677">
      <c r="A677" s="33" t="n"/>
      <c r="B677" s="33" t="n"/>
      <c r="C677" s="33" t="n"/>
      <c r="D677" s="33" t="n"/>
    </row>
    <row r="678">
      <c r="A678" s="33" t="n"/>
      <c r="B678" s="33" t="n"/>
      <c r="C678" s="33" t="n"/>
      <c r="D678" s="33" t="n"/>
    </row>
    <row r="679">
      <c r="A679" s="33" t="n"/>
      <c r="B679" s="33" t="n"/>
      <c r="C679" s="33" t="n"/>
      <c r="D679" s="33" t="n"/>
    </row>
    <row r="680">
      <c r="A680" s="33" t="n"/>
      <c r="B680" s="33" t="n"/>
      <c r="C680" s="33" t="n"/>
      <c r="D680" s="33" t="n"/>
    </row>
    <row r="681">
      <c r="A681" s="33" t="n"/>
      <c r="B681" s="33" t="n"/>
      <c r="C681" s="33" t="n"/>
      <c r="D681" s="33" t="n"/>
    </row>
    <row r="682">
      <c r="A682" s="33" t="n"/>
      <c r="B682" s="33" t="n"/>
      <c r="C682" s="33" t="n"/>
      <c r="D682" s="33" t="n"/>
    </row>
    <row r="683">
      <c r="A683" s="33" t="n"/>
      <c r="B683" s="33" t="n"/>
      <c r="C683" s="33" t="n"/>
      <c r="D683" s="33" t="n"/>
    </row>
    <row r="684">
      <c r="A684" s="33" t="n"/>
      <c r="B684" s="33" t="n"/>
      <c r="C684" s="33" t="n"/>
      <c r="D684" s="33" t="n"/>
    </row>
    <row r="685">
      <c r="A685" s="33" t="n"/>
      <c r="B685" s="33" t="n"/>
      <c r="C685" s="33" t="n"/>
      <c r="D685" s="33" t="n"/>
    </row>
    <row r="686">
      <c r="A686" s="33" t="n"/>
      <c r="B686" s="33" t="n"/>
      <c r="C686" s="33" t="n"/>
      <c r="D686" s="33" t="n"/>
    </row>
    <row r="687">
      <c r="A687" s="33" t="n"/>
      <c r="B687" s="33" t="n"/>
      <c r="C687" s="33" t="n"/>
      <c r="D687" s="33" t="n"/>
    </row>
    <row r="688">
      <c r="A688" s="33" t="n"/>
      <c r="B688" s="33" t="n"/>
      <c r="C688" s="33" t="n"/>
      <c r="D688" s="33" t="n"/>
    </row>
    <row r="689">
      <c r="A689" s="33" t="n"/>
      <c r="B689" s="33" t="n"/>
      <c r="C689" s="33" t="n"/>
      <c r="D689" s="33" t="n"/>
    </row>
    <row r="690">
      <c r="A690" s="33" t="n"/>
      <c r="B690" s="33" t="n"/>
      <c r="C690" s="33" t="n"/>
      <c r="D690" s="33" t="n"/>
    </row>
    <row r="691">
      <c r="A691" s="33" t="n"/>
      <c r="B691" s="33" t="n"/>
      <c r="C691" s="33" t="n"/>
      <c r="D691" s="33" t="n"/>
    </row>
    <row r="692">
      <c r="A692" s="33" t="n"/>
      <c r="B692" s="33" t="n"/>
      <c r="C692" s="33" t="n"/>
      <c r="D692" s="33" t="n"/>
    </row>
    <row r="693">
      <c r="A693" s="33" t="n"/>
      <c r="B693" s="33" t="n"/>
      <c r="C693" s="33" t="n"/>
      <c r="D693" s="33" t="n"/>
    </row>
    <row r="694">
      <c r="A694" s="33" t="n"/>
      <c r="B694" s="33" t="n"/>
      <c r="C694" s="33" t="n"/>
      <c r="D694" s="33" t="n"/>
    </row>
    <row r="695">
      <c r="A695" s="33" t="n"/>
      <c r="B695" s="33" t="n"/>
      <c r="C695" s="33" t="n"/>
      <c r="D695" s="33" t="n"/>
    </row>
    <row r="696">
      <c r="A696" s="33" t="n"/>
      <c r="B696" s="33" t="n"/>
      <c r="C696" s="33" t="n"/>
      <c r="D696" s="33" t="n"/>
    </row>
    <row r="697">
      <c r="A697" s="33" t="n"/>
      <c r="B697" s="33" t="n"/>
      <c r="C697" s="33" t="n"/>
      <c r="D697" s="33" t="n"/>
    </row>
    <row r="698">
      <c r="A698" s="33" t="n"/>
      <c r="B698" s="33" t="n"/>
      <c r="C698" s="33" t="n"/>
      <c r="D698" s="33" t="n"/>
    </row>
    <row r="699">
      <c r="A699" s="33" t="n"/>
      <c r="B699" s="33" t="n"/>
      <c r="C699" s="33" t="n"/>
      <c r="D699" s="33" t="n"/>
    </row>
    <row r="700">
      <c r="A700" s="33" t="n"/>
      <c r="B700" s="33" t="n"/>
      <c r="C700" s="33" t="n"/>
      <c r="D700" s="33" t="n"/>
    </row>
    <row r="701">
      <c r="A701" s="33" t="n"/>
      <c r="B701" s="33" t="n"/>
      <c r="C701" s="33" t="n"/>
      <c r="D701" s="33" t="n"/>
    </row>
    <row r="702">
      <c r="A702" s="33" t="n"/>
      <c r="B702" s="33" t="n"/>
      <c r="C702" s="33" t="n"/>
      <c r="D702" s="33" t="n"/>
    </row>
    <row r="703">
      <c r="A703" s="33" t="n"/>
      <c r="B703" s="33" t="n"/>
      <c r="C703" s="33" t="n"/>
      <c r="D703" s="33" t="n"/>
    </row>
    <row r="704">
      <c r="A704" s="33" t="n"/>
      <c r="B704" s="33" t="n"/>
      <c r="C704" s="33" t="n"/>
      <c r="D704" s="33" t="n"/>
    </row>
    <row r="705">
      <c r="A705" s="33" t="n"/>
      <c r="B705" s="33" t="n"/>
      <c r="C705" s="33" t="n"/>
      <c r="D705" s="33" t="n"/>
    </row>
    <row r="706">
      <c r="A706" s="33" t="n"/>
      <c r="B706" s="33" t="n"/>
      <c r="C706" s="33" t="n"/>
      <c r="D706" s="33" t="n"/>
    </row>
    <row r="707">
      <c r="A707" s="33" t="n"/>
      <c r="B707" s="33" t="n"/>
      <c r="C707" s="33" t="n"/>
      <c r="D707" s="33" t="n"/>
    </row>
    <row r="708">
      <c r="A708" s="33" t="n"/>
      <c r="B708" s="33" t="n"/>
      <c r="C708" s="33" t="n"/>
      <c r="D708" s="33" t="n"/>
    </row>
    <row r="709">
      <c r="A709" s="33" t="n"/>
      <c r="B709" s="33" t="n"/>
      <c r="C709" s="33" t="n"/>
      <c r="D709" s="33" t="n"/>
    </row>
    <row r="710">
      <c r="A710" s="33" t="n"/>
      <c r="B710" s="33" t="n"/>
      <c r="C710" s="33" t="n"/>
      <c r="D710" s="33" t="n"/>
    </row>
    <row r="711">
      <c r="A711" s="33" t="n"/>
      <c r="B711" s="33" t="n"/>
      <c r="C711" s="33" t="n"/>
      <c r="D711" s="33" t="n"/>
    </row>
    <row r="712">
      <c r="A712" s="33" t="n"/>
      <c r="B712" s="33" t="n"/>
      <c r="C712" s="33" t="n"/>
      <c r="D712" s="33" t="n"/>
    </row>
    <row r="713">
      <c r="A713" s="33" t="n"/>
      <c r="B713" s="33" t="n"/>
      <c r="C713" s="33" t="n"/>
      <c r="D713" s="33" t="n"/>
    </row>
    <row r="714">
      <c r="A714" s="33" t="n"/>
      <c r="B714" s="33" t="n"/>
      <c r="C714" s="33" t="n"/>
      <c r="D714" s="33" t="n"/>
    </row>
    <row r="715">
      <c r="A715" s="33" t="n"/>
      <c r="B715" s="33" t="n"/>
      <c r="C715" s="33" t="n"/>
      <c r="D715" s="33" t="n"/>
    </row>
    <row r="716">
      <c r="A716" s="33" t="n"/>
      <c r="B716" s="33" t="n"/>
      <c r="C716" s="33" t="n"/>
      <c r="D716" s="33" t="n"/>
    </row>
    <row r="717">
      <c r="A717" s="33" t="n"/>
      <c r="B717" s="33" t="n"/>
      <c r="C717" s="33" t="n"/>
      <c r="D717" s="33" t="n"/>
    </row>
    <row r="718">
      <c r="A718" s="33" t="n"/>
      <c r="B718" s="33" t="n"/>
      <c r="C718" s="33" t="n"/>
      <c r="D718" s="33" t="n"/>
    </row>
    <row r="719">
      <c r="A719" s="33" t="n"/>
      <c r="B719" s="33" t="n"/>
      <c r="C719" s="33" t="n"/>
      <c r="D719" s="33" t="n"/>
    </row>
    <row r="720">
      <c r="A720" s="33" t="n"/>
      <c r="B720" s="33" t="n"/>
      <c r="C720" s="33" t="n"/>
      <c r="D720" s="33" t="n"/>
    </row>
    <row r="721">
      <c r="A721" s="33" t="n"/>
      <c r="B721" s="33" t="n"/>
      <c r="C721" s="33" t="n"/>
      <c r="D721" s="33" t="n"/>
    </row>
    <row r="722">
      <c r="A722" s="33" t="n"/>
      <c r="B722" s="33" t="n"/>
      <c r="C722" s="33" t="n"/>
      <c r="D722" s="33" t="n"/>
    </row>
    <row r="723">
      <c r="A723" s="33" t="n"/>
      <c r="B723" s="33" t="n"/>
      <c r="C723" s="33" t="n"/>
      <c r="D723" s="33" t="n"/>
    </row>
    <row r="724">
      <c r="A724" s="33" t="n"/>
      <c r="B724" s="33" t="n"/>
      <c r="C724" s="33" t="n"/>
      <c r="D724" s="33" t="n"/>
    </row>
    <row r="725">
      <c r="A725" s="33" t="n"/>
      <c r="B725" s="33" t="n"/>
      <c r="C725" s="33" t="n"/>
      <c r="D725" s="33" t="n"/>
    </row>
    <row r="726">
      <c r="A726" s="33" t="n"/>
      <c r="B726" s="33" t="n"/>
      <c r="C726" s="33" t="n"/>
      <c r="D726" s="33" t="n"/>
    </row>
    <row r="727">
      <c r="A727" s="33" t="n"/>
      <c r="B727" s="33" t="n"/>
      <c r="C727" s="33" t="n"/>
      <c r="D727" s="33" t="n"/>
    </row>
    <row r="728">
      <c r="A728" s="33" t="n"/>
      <c r="B728" s="33" t="n"/>
      <c r="C728" s="33" t="n"/>
      <c r="D728" s="33" t="n"/>
    </row>
    <row r="729">
      <c r="A729" s="33" t="n"/>
      <c r="B729" s="33" t="n"/>
      <c r="C729" s="33" t="n"/>
      <c r="D729" s="33" t="n"/>
    </row>
    <row r="730">
      <c r="A730" s="33" t="n"/>
      <c r="B730" s="33" t="n"/>
      <c r="C730" s="33" t="n"/>
      <c r="D730" s="33" t="n"/>
    </row>
    <row r="731">
      <c r="A731" s="33" t="n"/>
      <c r="B731" s="33" t="n"/>
      <c r="C731" s="33" t="n"/>
      <c r="D731" s="33" t="n"/>
    </row>
    <row r="732">
      <c r="A732" s="33" t="n"/>
      <c r="B732" s="33" t="n"/>
      <c r="C732" s="33" t="n"/>
      <c r="D732" s="33" t="n"/>
    </row>
    <row r="733">
      <c r="A733" s="33" t="n"/>
      <c r="B733" s="33" t="n"/>
      <c r="C733" s="33" t="n"/>
      <c r="D733" s="33" t="n"/>
    </row>
    <row r="734">
      <c r="A734" s="33" t="n"/>
      <c r="B734" s="33" t="n"/>
      <c r="C734" s="33" t="n"/>
      <c r="D734" s="33" t="n"/>
    </row>
    <row r="735">
      <c r="A735" s="33" t="n"/>
      <c r="B735" s="33" t="n"/>
      <c r="C735" s="33" t="n"/>
      <c r="D735" s="33" t="n"/>
    </row>
    <row r="736">
      <c r="A736" s="33" t="n"/>
      <c r="B736" s="33" t="n"/>
      <c r="C736" s="33" t="n"/>
      <c r="D736" s="33" t="n"/>
    </row>
    <row r="737">
      <c r="A737" s="33" t="n"/>
      <c r="B737" s="33" t="n"/>
      <c r="C737" s="33" t="n"/>
      <c r="D737" s="33" t="n"/>
    </row>
    <row r="738">
      <c r="A738" s="33" t="n"/>
      <c r="B738" s="33" t="n"/>
      <c r="C738" s="33" t="n"/>
      <c r="D738" s="33" t="n"/>
    </row>
    <row r="739">
      <c r="A739" s="33" t="n"/>
      <c r="B739" s="33" t="n"/>
      <c r="C739" s="33" t="n"/>
      <c r="D739" s="33" t="n"/>
    </row>
    <row r="740">
      <c r="A740" s="33" t="n"/>
      <c r="B740" s="33" t="n"/>
      <c r="C740" s="33" t="n"/>
      <c r="D740" s="33" t="n"/>
    </row>
    <row r="741">
      <c r="A741" s="33" t="n"/>
      <c r="B741" s="33" t="n"/>
      <c r="C741" s="33" t="n"/>
      <c r="D741" s="33" t="n"/>
    </row>
    <row r="742">
      <c r="A742" s="33" t="n"/>
      <c r="B742" s="33" t="n"/>
      <c r="C742" s="33" t="n"/>
      <c r="D742" s="33" t="n"/>
    </row>
    <row r="743">
      <c r="A743" s="33" t="n"/>
      <c r="B743" s="33" t="n"/>
      <c r="C743" s="33" t="n"/>
      <c r="D743" s="33" t="n"/>
    </row>
    <row r="744">
      <c r="A744" s="33" t="n"/>
      <c r="B744" s="33" t="n"/>
      <c r="C744" s="33" t="n"/>
      <c r="D744" s="33" t="n"/>
    </row>
    <row r="745">
      <c r="A745" s="33" t="n"/>
      <c r="B745" s="33" t="n"/>
      <c r="C745" s="33" t="n"/>
      <c r="D745" s="33" t="n"/>
    </row>
    <row r="746">
      <c r="A746" s="33" t="n"/>
      <c r="B746" s="33" t="n"/>
      <c r="C746" s="33" t="n"/>
      <c r="D746" s="33" t="n"/>
    </row>
    <row r="747">
      <c r="A747" s="33" t="n"/>
      <c r="B747" s="33" t="n"/>
      <c r="C747" s="33" t="n"/>
      <c r="D747" s="33" t="n"/>
    </row>
    <row r="748">
      <c r="A748" s="33" t="n"/>
      <c r="B748" s="33" t="n"/>
      <c r="C748" s="33" t="n"/>
      <c r="D748" s="33" t="n"/>
    </row>
    <row r="749">
      <c r="A749" s="33" t="n"/>
      <c r="B749" s="33" t="n"/>
      <c r="C749" s="33" t="n"/>
      <c r="D749" s="33" t="n"/>
    </row>
    <row r="750">
      <c r="A750" s="33" t="n"/>
      <c r="B750" s="33" t="n"/>
      <c r="C750" s="33" t="n"/>
      <c r="D750" s="33" t="n"/>
    </row>
    <row r="751">
      <c r="A751" s="33" t="n"/>
      <c r="B751" s="33" t="n"/>
      <c r="C751" s="33" t="n"/>
      <c r="D751" s="33" t="n"/>
    </row>
    <row r="752">
      <c r="A752" s="33" t="n"/>
      <c r="B752" s="33" t="n"/>
      <c r="C752" s="33" t="n"/>
      <c r="D752" s="33" t="n"/>
    </row>
    <row r="753">
      <c r="A753" s="33" t="n"/>
      <c r="B753" s="33" t="n"/>
      <c r="C753" s="33" t="n"/>
      <c r="D753" s="33" t="n"/>
    </row>
    <row r="754">
      <c r="A754" s="33" t="n"/>
      <c r="B754" s="33" t="n"/>
      <c r="C754" s="33" t="n"/>
      <c r="D754" s="33" t="n"/>
    </row>
    <row r="755">
      <c r="A755" s="33" t="n"/>
      <c r="B755" s="33" t="n"/>
      <c r="C755" s="33" t="n"/>
      <c r="D755" s="33" t="n"/>
    </row>
    <row r="756">
      <c r="A756" s="33" t="n"/>
      <c r="B756" s="33" t="n"/>
      <c r="C756" s="33" t="n"/>
      <c r="D756" s="33" t="n"/>
    </row>
    <row r="757">
      <c r="A757" s="33" t="n"/>
      <c r="B757" s="33" t="n"/>
      <c r="C757" s="33" t="n"/>
      <c r="D757" s="33" t="n"/>
    </row>
    <row r="758">
      <c r="A758" s="33" t="n"/>
      <c r="B758" s="33" t="n"/>
      <c r="C758" s="33" t="n"/>
      <c r="D758" s="33" t="n"/>
    </row>
    <row r="759">
      <c r="A759" s="33" t="n"/>
      <c r="B759" s="33" t="n"/>
      <c r="C759" s="33" t="n"/>
      <c r="D759" s="33" t="n"/>
    </row>
    <row r="760">
      <c r="A760" s="33" t="n"/>
      <c r="B760" s="33" t="n"/>
      <c r="C760" s="33" t="n"/>
      <c r="D760" s="33" t="n"/>
    </row>
    <row r="761">
      <c r="A761" s="33" t="n"/>
      <c r="B761" s="33" t="n"/>
      <c r="C761" s="33" t="n"/>
      <c r="D761" s="33" t="n"/>
    </row>
    <row r="762">
      <c r="A762" s="33" t="n"/>
      <c r="B762" s="33" t="n"/>
      <c r="C762" s="33" t="n"/>
      <c r="D762" s="33" t="n"/>
    </row>
    <row r="763">
      <c r="A763" s="33" t="n"/>
      <c r="B763" s="33" t="n"/>
      <c r="C763" s="33" t="n"/>
      <c r="D763" s="33" t="n"/>
    </row>
    <row r="764">
      <c r="A764" s="33" t="n"/>
      <c r="B764" s="33" t="n"/>
      <c r="C764" s="33" t="n"/>
      <c r="D764" s="33" t="n"/>
    </row>
    <row r="765">
      <c r="A765" s="33" t="n"/>
      <c r="B765" s="33" t="n"/>
      <c r="C765" s="33" t="n"/>
      <c r="D765" s="33" t="n"/>
    </row>
    <row r="766">
      <c r="A766" s="33" t="n"/>
      <c r="B766" s="33" t="n"/>
      <c r="C766" s="33" t="n"/>
      <c r="D766" s="33" t="n"/>
    </row>
    <row r="767">
      <c r="A767" s="33" t="n"/>
      <c r="B767" s="33" t="n"/>
      <c r="C767" s="33" t="n"/>
      <c r="D767" s="33" t="n"/>
    </row>
    <row r="768">
      <c r="A768" s="33" t="n"/>
      <c r="B768" s="33" t="n"/>
      <c r="C768" s="33" t="n"/>
      <c r="D768" s="33" t="n"/>
    </row>
    <row r="769">
      <c r="A769" s="33" t="n"/>
      <c r="B769" s="33" t="n"/>
      <c r="C769" s="33" t="n"/>
      <c r="D769" s="33" t="n"/>
    </row>
    <row r="770">
      <c r="A770" s="33" t="n"/>
      <c r="B770" s="33" t="n"/>
      <c r="C770" s="33" t="n"/>
      <c r="D770" s="33" t="n"/>
    </row>
    <row r="771">
      <c r="A771" s="33" t="n"/>
      <c r="B771" s="33" t="n"/>
      <c r="C771" s="33" t="n"/>
      <c r="D771" s="33" t="n"/>
    </row>
    <row r="772">
      <c r="A772" s="33" t="n"/>
      <c r="B772" s="33" t="n"/>
      <c r="C772" s="33" t="n"/>
      <c r="D772" s="33" t="n"/>
    </row>
    <row r="773">
      <c r="A773" s="33" t="n"/>
      <c r="B773" s="33" t="n"/>
      <c r="C773" s="33" t="n"/>
      <c r="D773" s="33" t="n"/>
    </row>
    <row r="774">
      <c r="A774" s="33" t="n"/>
      <c r="B774" s="33" t="n"/>
      <c r="C774" s="33" t="n"/>
      <c r="D774" s="33" t="n"/>
    </row>
    <row r="775">
      <c r="A775" s="33" t="n"/>
      <c r="B775" s="33" t="n"/>
      <c r="C775" s="33" t="n"/>
      <c r="D775" s="33" t="n"/>
    </row>
    <row r="776">
      <c r="A776" s="33" t="n"/>
      <c r="B776" s="33" t="n"/>
      <c r="C776" s="33" t="n"/>
      <c r="D776" s="33" t="n"/>
    </row>
    <row r="777">
      <c r="A777" s="33" t="n"/>
      <c r="B777" s="33" t="n"/>
      <c r="C777" s="33" t="n"/>
      <c r="D777" s="33" t="n"/>
    </row>
    <row r="778">
      <c r="A778" s="33" t="n"/>
      <c r="B778" s="33" t="n"/>
      <c r="C778" s="33" t="n"/>
      <c r="D778" s="33" t="n"/>
    </row>
    <row r="779">
      <c r="A779" s="33" t="n"/>
      <c r="B779" s="33" t="n"/>
      <c r="C779" s="33" t="n"/>
      <c r="D779" s="33" t="n"/>
    </row>
    <row r="780">
      <c r="A780" s="33" t="n"/>
      <c r="B780" s="33" t="n"/>
      <c r="C780" s="33" t="n"/>
      <c r="D780" s="33" t="n"/>
    </row>
    <row r="781">
      <c r="A781" s="33" t="n"/>
      <c r="B781" s="33" t="n"/>
      <c r="C781" s="33" t="n"/>
      <c r="D781" s="33" t="n"/>
    </row>
    <row r="782">
      <c r="A782" s="33" t="n"/>
      <c r="B782" s="33" t="n"/>
      <c r="C782" s="33" t="n"/>
      <c r="D782" s="33" t="n"/>
    </row>
    <row r="783">
      <c r="A783" s="33" t="n"/>
      <c r="B783" s="33" t="n"/>
      <c r="C783" s="33" t="n"/>
      <c r="D783" s="33" t="n"/>
    </row>
    <row r="784">
      <c r="A784" s="33" t="n"/>
      <c r="B784" s="33" t="n"/>
      <c r="C784" s="33" t="n"/>
      <c r="D784" s="33" t="n"/>
    </row>
    <row r="785">
      <c r="A785" s="33" t="n"/>
      <c r="B785" s="33" t="n"/>
      <c r="C785" s="33" t="n"/>
      <c r="D785" s="33" t="n"/>
    </row>
    <row r="786">
      <c r="A786" s="33" t="n"/>
      <c r="B786" s="33" t="n"/>
      <c r="C786" s="33" t="n"/>
      <c r="D786" s="33" t="n"/>
    </row>
    <row r="787">
      <c r="A787" s="33" t="n"/>
      <c r="B787" s="33" t="n"/>
      <c r="C787" s="33" t="n"/>
      <c r="D787" s="33" t="n"/>
    </row>
    <row r="788">
      <c r="A788" s="33" t="n"/>
      <c r="B788" s="33" t="n"/>
      <c r="C788" s="33" t="n"/>
      <c r="D788" s="33" t="n"/>
    </row>
    <row r="789">
      <c r="A789" s="33" t="n"/>
      <c r="B789" s="33" t="n"/>
      <c r="C789" s="33" t="n"/>
      <c r="D789" s="33" t="n"/>
    </row>
    <row r="790">
      <c r="A790" s="33" t="n"/>
      <c r="B790" s="33" t="n"/>
      <c r="C790" s="33" t="n"/>
      <c r="D790" s="33" t="n"/>
    </row>
    <row r="791">
      <c r="A791" s="33" t="n"/>
      <c r="B791" s="33" t="n"/>
      <c r="C791" s="33" t="n"/>
      <c r="D791" s="33" t="n"/>
    </row>
    <row r="792">
      <c r="A792" s="33" t="n"/>
      <c r="B792" s="33" t="n"/>
      <c r="C792" s="33" t="n"/>
      <c r="D792" s="33" t="n"/>
    </row>
    <row r="793">
      <c r="A793" s="33" t="n"/>
      <c r="B793" s="33" t="n"/>
      <c r="C793" s="33" t="n"/>
      <c r="D793" s="33" t="n"/>
    </row>
    <row r="794">
      <c r="A794" s="33" t="n"/>
      <c r="B794" s="33" t="n"/>
      <c r="C794" s="33" t="n"/>
      <c r="D794" s="33" t="n"/>
    </row>
    <row r="795">
      <c r="A795" s="33" t="n"/>
      <c r="B795" s="33" t="n"/>
      <c r="C795" s="33" t="n"/>
      <c r="D795" s="33" t="n"/>
    </row>
    <row r="796">
      <c r="A796" s="33" t="n"/>
      <c r="B796" s="33" t="n"/>
      <c r="C796" s="33" t="n"/>
      <c r="D796" s="33" t="n"/>
    </row>
    <row r="797">
      <c r="A797" s="33" t="n"/>
      <c r="B797" s="33" t="n"/>
      <c r="C797" s="33" t="n"/>
      <c r="D797" s="33" t="n"/>
    </row>
    <row r="798">
      <c r="A798" s="33" t="n"/>
      <c r="B798" s="33" t="n"/>
      <c r="C798" s="33" t="n"/>
      <c r="D798" s="33" t="n"/>
    </row>
    <row r="799">
      <c r="A799" s="33" t="n"/>
      <c r="B799" s="33" t="n"/>
      <c r="C799" s="33" t="n"/>
      <c r="D799" s="33" t="n"/>
    </row>
    <row r="800">
      <c r="A800" s="33" t="n"/>
      <c r="B800" s="33" t="n"/>
      <c r="C800" s="33" t="n"/>
      <c r="D800" s="33" t="n"/>
    </row>
    <row r="801">
      <c r="A801" s="33" t="n"/>
      <c r="B801" s="33" t="n"/>
      <c r="C801" s="33" t="n"/>
      <c r="D801" s="33" t="n"/>
    </row>
    <row r="802">
      <c r="A802" s="33" t="n"/>
      <c r="B802" s="33" t="n"/>
      <c r="C802" s="33" t="n"/>
      <c r="D802" s="33" t="n"/>
    </row>
    <row r="803">
      <c r="A803" s="33" t="n"/>
      <c r="B803" s="33" t="n"/>
      <c r="C803" s="33" t="n"/>
      <c r="D803" s="33" t="n"/>
    </row>
    <row r="804">
      <c r="A804" s="33" t="n"/>
      <c r="B804" s="33" t="n"/>
      <c r="C804" s="33" t="n"/>
      <c r="D804" s="33" t="n"/>
    </row>
    <row r="805">
      <c r="A805" s="33" t="n"/>
      <c r="B805" s="33" t="n"/>
      <c r="C805" s="33" t="n"/>
      <c r="D805" s="33" t="n"/>
    </row>
    <row r="806">
      <c r="A806" s="33" t="n"/>
      <c r="B806" s="33" t="n"/>
      <c r="C806" s="33" t="n"/>
      <c r="D806" s="33" t="n"/>
    </row>
    <row r="807">
      <c r="A807" s="33" t="n"/>
      <c r="B807" s="33" t="n"/>
      <c r="C807" s="33" t="n"/>
      <c r="D807" s="33" t="n"/>
    </row>
    <row r="808">
      <c r="A808" s="33" t="n"/>
      <c r="B808" s="33" t="n"/>
      <c r="C808" s="33" t="n"/>
      <c r="D808" s="33" t="n"/>
    </row>
    <row r="809">
      <c r="A809" s="33" t="n"/>
      <c r="B809" s="33" t="n"/>
      <c r="C809" s="33" t="n"/>
      <c r="D809" s="33" t="n"/>
    </row>
    <row r="810">
      <c r="A810" s="33" t="n"/>
      <c r="B810" s="33" t="n"/>
      <c r="C810" s="33" t="n"/>
      <c r="D810" s="33" t="n"/>
    </row>
    <row r="811">
      <c r="A811" s="33" t="n"/>
      <c r="B811" s="33" t="n"/>
      <c r="C811" s="33" t="n"/>
      <c r="D811" s="33" t="n"/>
    </row>
    <row r="812">
      <c r="A812" s="33" t="n"/>
      <c r="B812" s="33" t="n"/>
      <c r="C812" s="33" t="n"/>
      <c r="D812" s="33" t="n"/>
    </row>
    <row r="813">
      <c r="A813" s="33" t="n"/>
      <c r="B813" s="33" t="n"/>
      <c r="C813" s="33" t="n"/>
      <c r="D813" s="33" t="n"/>
    </row>
    <row r="814">
      <c r="A814" s="33" t="n"/>
      <c r="B814" s="33" t="n"/>
      <c r="C814" s="33" t="n"/>
      <c r="D814" s="33" t="n"/>
    </row>
    <row r="815">
      <c r="A815" s="33" t="n"/>
      <c r="B815" s="33" t="n"/>
      <c r="C815" s="33" t="n"/>
      <c r="D815" s="33" t="n"/>
    </row>
    <row r="816">
      <c r="A816" s="33" t="n"/>
      <c r="B816" s="33" t="n"/>
      <c r="C816" s="33" t="n"/>
      <c r="D816" s="33" t="n"/>
    </row>
    <row r="817">
      <c r="A817" s="33" t="n"/>
      <c r="B817" s="33" t="n"/>
      <c r="C817" s="33" t="n"/>
      <c r="D817" s="33" t="n"/>
    </row>
    <row r="818">
      <c r="A818" s="33" t="n"/>
      <c r="B818" s="33" t="n"/>
      <c r="C818" s="33" t="n"/>
      <c r="D818" s="33" t="n"/>
    </row>
    <row r="819">
      <c r="A819" s="33" t="n"/>
      <c r="B819" s="33" t="n"/>
      <c r="C819" s="33" t="n"/>
      <c r="D819" s="33" t="n"/>
    </row>
    <row r="820">
      <c r="A820" s="33" t="n"/>
      <c r="B820" s="33" t="n"/>
      <c r="C820" s="33" t="n"/>
      <c r="D820" s="33" t="n"/>
    </row>
    <row r="821">
      <c r="A821" s="33" t="n"/>
      <c r="B821" s="33" t="n"/>
      <c r="C821" s="33" t="n"/>
      <c r="D821" s="33" t="n"/>
    </row>
    <row r="822">
      <c r="A822" s="33" t="n"/>
      <c r="B822" s="33" t="n"/>
      <c r="C822" s="33" t="n"/>
      <c r="D822" s="33" t="n"/>
    </row>
    <row r="823">
      <c r="A823" s="33" t="n"/>
      <c r="B823" s="33" t="n"/>
      <c r="C823" s="33" t="n"/>
      <c r="D823" s="33" t="n"/>
    </row>
    <row r="824">
      <c r="A824" s="33" t="n"/>
      <c r="B824" s="33" t="n"/>
      <c r="C824" s="33" t="n"/>
      <c r="D824" s="33" t="n"/>
    </row>
    <row r="825">
      <c r="A825" s="33" t="n"/>
      <c r="B825" s="33" t="n"/>
      <c r="C825" s="33" t="n"/>
      <c r="D825" s="33" t="n"/>
    </row>
    <row r="826">
      <c r="A826" s="33" t="n"/>
      <c r="B826" s="33" t="n"/>
      <c r="C826" s="33" t="n"/>
      <c r="D826" s="33" t="n"/>
    </row>
    <row r="827">
      <c r="A827" s="33" t="n"/>
      <c r="B827" s="33" t="n"/>
      <c r="C827" s="33" t="n"/>
      <c r="D827" s="33" t="n"/>
    </row>
    <row r="828">
      <c r="A828" s="33" t="n"/>
      <c r="B828" s="33" t="n"/>
      <c r="C828" s="33" t="n"/>
      <c r="D828" s="33" t="n"/>
    </row>
    <row r="829">
      <c r="A829" s="33" t="n"/>
      <c r="B829" s="33" t="n"/>
      <c r="C829" s="33" t="n"/>
      <c r="D829" s="33" t="n"/>
    </row>
    <row r="830">
      <c r="A830" s="33" t="n"/>
      <c r="B830" s="33" t="n"/>
      <c r="C830" s="33" t="n"/>
      <c r="D830" s="33" t="n"/>
    </row>
    <row r="831">
      <c r="A831" s="33" t="n"/>
      <c r="B831" s="33" t="n"/>
      <c r="C831" s="33" t="n"/>
      <c r="D831" s="33" t="n"/>
    </row>
    <row r="832">
      <c r="A832" s="33" t="n"/>
      <c r="B832" s="33" t="n"/>
      <c r="C832" s="33" t="n"/>
      <c r="D832" s="33" t="n"/>
    </row>
    <row r="833">
      <c r="A833" s="33" t="n"/>
      <c r="B833" s="33" t="n"/>
      <c r="C833" s="33" t="n"/>
      <c r="D833" s="33" t="n"/>
    </row>
    <row r="834">
      <c r="A834" s="33" t="n"/>
      <c r="B834" s="33" t="n"/>
      <c r="C834" s="33" t="n"/>
      <c r="D834" s="33" t="n"/>
    </row>
    <row r="835">
      <c r="A835" s="33" t="n"/>
      <c r="B835" s="33" t="n"/>
      <c r="C835" s="33" t="n"/>
      <c r="D835" s="33" t="n"/>
    </row>
    <row r="836">
      <c r="A836" s="33" t="n"/>
      <c r="B836" s="33" t="n"/>
      <c r="C836" s="33" t="n"/>
      <c r="D836" s="33" t="n"/>
    </row>
    <row r="837">
      <c r="A837" s="33" t="n"/>
      <c r="B837" s="33" t="n"/>
      <c r="C837" s="33" t="n"/>
      <c r="D837" s="33" t="n"/>
    </row>
    <row r="838">
      <c r="A838" s="33" t="n"/>
      <c r="B838" s="33" t="n"/>
      <c r="C838" s="33" t="n"/>
      <c r="D838" s="33" t="n"/>
    </row>
    <row r="839">
      <c r="A839" s="33" t="n"/>
      <c r="B839" s="33" t="n"/>
      <c r="C839" s="33" t="n"/>
      <c r="D839" s="33" t="n"/>
    </row>
    <row r="840">
      <c r="A840" s="33" t="n"/>
      <c r="B840" s="33" t="n"/>
      <c r="C840" s="33" t="n"/>
      <c r="D840" s="33" t="n"/>
    </row>
    <row r="841">
      <c r="A841" s="33" t="n"/>
      <c r="B841" s="33" t="n"/>
      <c r="C841" s="33" t="n"/>
      <c r="D841" s="33" t="n"/>
    </row>
    <row r="842">
      <c r="A842" s="33" t="n"/>
      <c r="B842" s="33" t="n"/>
      <c r="C842" s="33" t="n"/>
      <c r="D842" s="33" t="n"/>
    </row>
    <row r="843">
      <c r="A843" s="33" t="n"/>
      <c r="B843" s="33" t="n"/>
      <c r="C843" s="33" t="n"/>
      <c r="D843" s="33" t="n"/>
    </row>
    <row r="844">
      <c r="A844" s="33" t="n"/>
      <c r="B844" s="33" t="n"/>
      <c r="C844" s="33" t="n"/>
      <c r="D844" s="33" t="n"/>
    </row>
    <row r="845">
      <c r="A845" s="33" t="n"/>
      <c r="B845" s="33" t="n"/>
      <c r="C845" s="33" t="n"/>
      <c r="D845" s="33" t="n"/>
    </row>
    <row r="846">
      <c r="A846" s="33" t="n"/>
      <c r="B846" s="33" t="n"/>
      <c r="C846" s="33" t="n"/>
      <c r="D846" s="33" t="n"/>
    </row>
    <row r="847">
      <c r="A847" s="33" t="n"/>
      <c r="B847" s="33" t="n"/>
      <c r="C847" s="33" t="n"/>
      <c r="D847" s="33" t="n"/>
    </row>
    <row r="848">
      <c r="A848" s="33" t="n"/>
      <c r="B848" s="33" t="n"/>
      <c r="C848" s="33" t="n"/>
      <c r="D848" s="33" t="n"/>
    </row>
    <row r="849">
      <c r="A849" s="33" t="n"/>
      <c r="B849" s="33" t="n"/>
      <c r="C849" s="33" t="n"/>
      <c r="D849" s="33" t="n"/>
    </row>
    <row r="850">
      <c r="A850" s="33" t="n"/>
      <c r="B850" s="33" t="n"/>
      <c r="C850" s="33" t="n"/>
      <c r="D850" s="33" t="n"/>
    </row>
    <row r="851">
      <c r="A851" s="33" t="n"/>
      <c r="B851" s="33" t="n"/>
      <c r="C851" s="33" t="n"/>
      <c r="D851" s="33" t="n"/>
    </row>
    <row r="852">
      <c r="A852" s="33" t="n"/>
      <c r="B852" s="33" t="n"/>
      <c r="C852" s="33" t="n"/>
      <c r="D852" s="33" t="n"/>
    </row>
    <row r="853">
      <c r="A853" s="33" t="n"/>
      <c r="B853" s="33" t="n"/>
      <c r="C853" s="33" t="n"/>
      <c r="D853" s="33" t="n"/>
    </row>
    <row r="854">
      <c r="A854" s="33" t="n"/>
      <c r="B854" s="33" t="n"/>
      <c r="C854" s="33" t="n"/>
      <c r="D854" s="33" t="n"/>
    </row>
    <row r="855">
      <c r="A855" s="33" t="n"/>
      <c r="B855" s="33" t="n"/>
      <c r="C855" s="33" t="n"/>
      <c r="D855" s="33" t="n"/>
    </row>
    <row r="856">
      <c r="A856" s="33" t="n"/>
      <c r="B856" s="33" t="n"/>
      <c r="C856" s="33" t="n"/>
      <c r="D856" s="33" t="n"/>
    </row>
    <row r="857">
      <c r="A857" s="33" t="n"/>
      <c r="B857" s="33" t="n"/>
      <c r="C857" s="33" t="n"/>
      <c r="D857" s="33" t="n"/>
    </row>
    <row r="858">
      <c r="A858" s="33" t="n"/>
      <c r="B858" s="33" t="n"/>
      <c r="C858" s="33" t="n"/>
      <c r="D858" s="33" t="n"/>
    </row>
    <row r="859">
      <c r="A859" s="33" t="n"/>
      <c r="B859" s="33" t="n"/>
      <c r="C859" s="33" t="n"/>
      <c r="D859" s="33" t="n"/>
    </row>
    <row r="860">
      <c r="A860" s="33" t="n"/>
      <c r="B860" s="33" t="n"/>
      <c r="C860" s="33" t="n"/>
      <c r="D860" s="33" t="n"/>
    </row>
    <row r="861">
      <c r="A861" s="33" t="n"/>
      <c r="B861" s="33" t="n"/>
      <c r="C861" s="33" t="n"/>
      <c r="D861" s="33" t="n"/>
    </row>
    <row r="862">
      <c r="A862" s="33" t="n"/>
      <c r="B862" s="33" t="n"/>
      <c r="C862" s="33" t="n"/>
      <c r="D862" s="33" t="n"/>
    </row>
    <row r="863">
      <c r="A863" s="33" t="n"/>
      <c r="B863" s="33" t="n"/>
      <c r="C863" s="33" t="n"/>
      <c r="D863" s="33" t="n"/>
    </row>
    <row r="864">
      <c r="A864" s="33" t="n"/>
      <c r="B864" s="33" t="n"/>
      <c r="C864" s="33" t="n"/>
      <c r="D864" s="33" t="n"/>
    </row>
    <row r="865">
      <c r="A865" s="33" t="n"/>
      <c r="B865" s="33" t="n"/>
      <c r="C865" s="33" t="n"/>
      <c r="D865" s="33" t="n"/>
    </row>
    <row r="866">
      <c r="A866" s="33" t="n"/>
      <c r="B866" s="33" t="n"/>
      <c r="C866" s="33" t="n"/>
      <c r="D866" s="33" t="n"/>
    </row>
    <row r="867">
      <c r="A867" s="33" t="n"/>
      <c r="B867" s="33" t="n"/>
      <c r="C867" s="33" t="n"/>
      <c r="D867" s="33" t="n"/>
    </row>
    <row r="868">
      <c r="A868" s="33" t="n"/>
      <c r="B868" s="33" t="n"/>
      <c r="C868" s="33" t="n"/>
      <c r="D868" s="33" t="n"/>
    </row>
    <row r="869">
      <c r="A869" s="33" t="n"/>
      <c r="B869" s="33" t="n"/>
      <c r="C869" s="33" t="n"/>
      <c r="D869" s="33" t="n"/>
    </row>
    <row r="870">
      <c r="A870" s="33" t="n"/>
      <c r="B870" s="33" t="n"/>
      <c r="C870" s="33" t="n"/>
      <c r="D870" s="33" t="n"/>
    </row>
    <row r="871">
      <c r="A871" s="33" t="n"/>
      <c r="B871" s="33" t="n"/>
      <c r="C871" s="33" t="n"/>
      <c r="D871" s="33" t="n"/>
    </row>
    <row r="872">
      <c r="A872" s="33" t="n"/>
      <c r="B872" s="33" t="n"/>
      <c r="C872" s="33" t="n"/>
      <c r="D872" s="33" t="n"/>
    </row>
    <row r="873">
      <c r="A873" s="33" t="n"/>
      <c r="B873" s="33" t="n"/>
      <c r="C873" s="33" t="n"/>
      <c r="D873" s="33" t="n"/>
    </row>
    <row r="874">
      <c r="A874" s="33" t="n"/>
      <c r="B874" s="33" t="n"/>
      <c r="C874" s="33" t="n"/>
      <c r="D874" s="33" t="n"/>
    </row>
    <row r="875">
      <c r="A875" s="33" t="n"/>
      <c r="B875" s="33" t="n"/>
      <c r="C875" s="33" t="n"/>
      <c r="D875" s="33" t="n"/>
    </row>
    <row r="876">
      <c r="A876" s="33" t="n"/>
      <c r="B876" s="33" t="n"/>
      <c r="C876" s="33" t="n"/>
      <c r="D876" s="33" t="n"/>
    </row>
    <row r="877">
      <c r="A877" s="33" t="n"/>
      <c r="B877" s="33" t="n"/>
      <c r="C877" s="33" t="n"/>
      <c r="D877" s="33" t="n"/>
    </row>
    <row r="878">
      <c r="A878" s="33" t="n"/>
      <c r="B878" s="33" t="n"/>
      <c r="C878" s="33" t="n"/>
      <c r="D878" s="33" t="n"/>
    </row>
    <row r="879">
      <c r="A879" s="33" t="n"/>
      <c r="B879" s="33" t="n"/>
      <c r="C879" s="33" t="n"/>
      <c r="D879" s="33" t="n"/>
    </row>
    <row r="880">
      <c r="A880" s="33" t="n"/>
      <c r="B880" s="33" t="n"/>
      <c r="C880" s="33" t="n"/>
      <c r="D880" s="33" t="n"/>
    </row>
    <row r="881">
      <c r="A881" s="33" t="n"/>
      <c r="B881" s="33" t="n"/>
      <c r="C881" s="33" t="n"/>
      <c r="D881" s="33" t="n"/>
    </row>
    <row r="882">
      <c r="A882" s="33" t="n"/>
      <c r="B882" s="33" t="n"/>
      <c r="C882" s="33" t="n"/>
      <c r="D882" s="33" t="n"/>
    </row>
    <row r="883">
      <c r="A883" s="33" t="n"/>
      <c r="B883" s="33" t="n"/>
      <c r="C883" s="33" t="n"/>
      <c r="D883" s="33" t="n"/>
    </row>
    <row r="884">
      <c r="A884" s="33" t="n"/>
      <c r="B884" s="33" t="n"/>
      <c r="C884" s="33" t="n"/>
      <c r="D884" s="33" t="n"/>
    </row>
    <row r="885">
      <c r="A885" s="33" t="n"/>
      <c r="B885" s="33" t="n"/>
      <c r="C885" s="33" t="n"/>
      <c r="D885" s="33" t="n"/>
    </row>
    <row r="886">
      <c r="A886" s="33" t="n"/>
      <c r="B886" s="33" t="n"/>
      <c r="C886" s="33" t="n"/>
      <c r="D886" s="33" t="n"/>
    </row>
    <row r="887">
      <c r="A887" s="33" t="n"/>
      <c r="B887" s="33" t="n"/>
      <c r="C887" s="33" t="n"/>
      <c r="D887" s="33" t="n"/>
    </row>
    <row r="888">
      <c r="A888" s="33" t="n"/>
      <c r="B888" s="33" t="n"/>
      <c r="C888" s="33" t="n"/>
      <c r="D888" s="33" t="n"/>
    </row>
    <row r="889">
      <c r="A889" s="33" t="n"/>
      <c r="B889" s="33" t="n"/>
      <c r="C889" s="33" t="n"/>
      <c r="D889" s="33" t="n"/>
    </row>
    <row r="890">
      <c r="A890" s="33" t="n"/>
      <c r="B890" s="33" t="n"/>
      <c r="C890" s="33" t="n"/>
      <c r="D890" s="33" t="n"/>
    </row>
    <row r="891">
      <c r="A891" s="33" t="n"/>
      <c r="B891" s="33" t="n"/>
      <c r="C891" s="33" t="n"/>
      <c r="D891" s="33" t="n"/>
    </row>
    <row r="892">
      <c r="A892" s="33" t="n"/>
      <c r="B892" s="33" t="n"/>
      <c r="C892" s="33" t="n"/>
      <c r="D892" s="33" t="n"/>
    </row>
    <row r="893">
      <c r="A893" s="33" t="n"/>
      <c r="B893" s="33" t="n"/>
      <c r="C893" s="33" t="n"/>
      <c r="D893" s="33" t="n"/>
    </row>
    <row r="894">
      <c r="A894" s="33" t="n"/>
      <c r="B894" s="33" t="n"/>
      <c r="C894" s="33" t="n"/>
      <c r="D894" s="33" t="n"/>
    </row>
    <row r="895">
      <c r="A895" s="33" t="n"/>
      <c r="B895" s="33" t="n"/>
      <c r="C895" s="33" t="n"/>
      <c r="D895" s="33" t="n"/>
    </row>
    <row r="896">
      <c r="A896" s="33" t="n"/>
      <c r="B896" s="33" t="n"/>
      <c r="C896" s="33" t="n"/>
      <c r="D896" s="33" t="n"/>
    </row>
    <row r="897">
      <c r="A897" s="33" t="n"/>
      <c r="B897" s="33" t="n"/>
      <c r="C897" s="33" t="n"/>
      <c r="D897" s="33" t="n"/>
    </row>
    <row r="898">
      <c r="A898" s="33" t="n"/>
      <c r="B898" s="33" t="n"/>
      <c r="C898" s="33" t="n"/>
      <c r="D898" s="33" t="n"/>
    </row>
    <row r="899">
      <c r="A899" s="33" t="n"/>
      <c r="B899" s="33" t="n"/>
      <c r="C899" s="33" t="n"/>
      <c r="D899" s="33" t="n"/>
    </row>
    <row r="900">
      <c r="A900" s="33" t="n"/>
      <c r="B900" s="33" t="n"/>
      <c r="C900" s="33" t="n"/>
      <c r="D900" s="33" t="n"/>
    </row>
    <row r="901">
      <c r="A901" s="33" t="n"/>
      <c r="B901" s="33" t="n"/>
      <c r="C901" s="33" t="n"/>
      <c r="D901" s="33" t="n"/>
    </row>
    <row r="902">
      <c r="A902" s="33" t="n"/>
      <c r="B902" s="33" t="n"/>
      <c r="C902" s="33" t="n"/>
      <c r="D902" s="33" t="n"/>
    </row>
    <row r="903">
      <c r="A903" s="33" t="n"/>
      <c r="B903" s="33" t="n"/>
      <c r="C903" s="33" t="n"/>
      <c r="D903" s="33" t="n"/>
    </row>
    <row r="904">
      <c r="A904" s="33" t="n"/>
      <c r="B904" s="33" t="n"/>
      <c r="C904" s="33" t="n"/>
      <c r="D904" s="33" t="n"/>
    </row>
    <row r="905">
      <c r="A905" s="33" t="n"/>
      <c r="B905" s="33" t="n"/>
      <c r="C905" s="33" t="n"/>
      <c r="D905" s="33" t="n"/>
    </row>
    <row r="906">
      <c r="A906" s="33" t="n"/>
      <c r="B906" s="33" t="n"/>
      <c r="C906" s="33" t="n"/>
      <c r="D906" s="33" t="n"/>
    </row>
    <row r="907">
      <c r="A907" s="33" t="n"/>
      <c r="B907" s="33" t="n"/>
      <c r="C907" s="33" t="n"/>
      <c r="D907" s="33" t="n"/>
    </row>
    <row r="908">
      <c r="A908" s="33" t="n"/>
      <c r="B908" s="33" t="n"/>
      <c r="C908" s="33" t="n"/>
      <c r="D908" s="33" t="n"/>
    </row>
    <row r="909">
      <c r="A909" s="33" t="n"/>
      <c r="B909" s="33" t="n"/>
      <c r="C909" s="33" t="n"/>
      <c r="D909" s="33" t="n"/>
    </row>
    <row r="910">
      <c r="A910" s="33" t="n"/>
      <c r="B910" s="33" t="n"/>
      <c r="C910" s="33" t="n"/>
      <c r="D910" s="33" t="n"/>
    </row>
    <row r="911">
      <c r="A911" s="33" t="n"/>
      <c r="B911" s="33" t="n"/>
      <c r="C911" s="33" t="n"/>
      <c r="D911" s="33" t="n"/>
    </row>
    <row r="912">
      <c r="A912" s="33" t="n"/>
      <c r="B912" s="33" t="n"/>
      <c r="C912" s="33" t="n"/>
      <c r="D912" s="33" t="n"/>
    </row>
    <row r="913">
      <c r="A913" s="33" t="n"/>
      <c r="B913" s="33" t="n"/>
      <c r="C913" s="33" t="n"/>
      <c r="D913" s="33" t="n"/>
    </row>
    <row r="914">
      <c r="A914" s="33" t="n"/>
      <c r="B914" s="33" t="n"/>
      <c r="C914" s="33" t="n"/>
      <c r="D914" s="33" t="n"/>
    </row>
    <row r="915">
      <c r="A915" s="33" t="n"/>
      <c r="B915" s="33" t="n"/>
      <c r="C915" s="33" t="n"/>
      <c r="D915" s="33" t="n"/>
    </row>
    <row r="916">
      <c r="A916" s="33" t="n"/>
      <c r="B916" s="33" t="n"/>
      <c r="C916" s="33" t="n"/>
      <c r="D916" s="33" t="n"/>
    </row>
    <row r="917">
      <c r="A917" s="33" t="n"/>
      <c r="B917" s="33" t="n"/>
      <c r="C917" s="33" t="n"/>
      <c r="D917" s="33" t="n"/>
    </row>
    <row r="918">
      <c r="A918" s="33" t="n"/>
      <c r="B918" s="33" t="n"/>
      <c r="C918" s="33" t="n"/>
      <c r="D918" s="33" t="n"/>
    </row>
    <row r="919">
      <c r="A919" s="33" t="n"/>
      <c r="B919" s="33" t="n"/>
      <c r="C919" s="33" t="n"/>
      <c r="D919" s="33" t="n"/>
    </row>
    <row r="920">
      <c r="A920" s="33" t="n"/>
      <c r="B920" s="33" t="n"/>
      <c r="C920" s="33" t="n"/>
      <c r="D920" s="33" t="n"/>
    </row>
    <row r="921">
      <c r="A921" s="33" t="n"/>
      <c r="B921" s="33" t="n"/>
      <c r="C921" s="33" t="n"/>
      <c r="D921" s="33" t="n"/>
    </row>
    <row r="922">
      <c r="A922" s="33" t="n"/>
      <c r="B922" s="33" t="n"/>
      <c r="C922" s="33" t="n"/>
      <c r="D922" s="33" t="n"/>
    </row>
    <row r="923">
      <c r="A923" s="33" t="n"/>
      <c r="B923" s="33" t="n"/>
      <c r="C923" s="33" t="n"/>
      <c r="D923" s="33" t="n"/>
    </row>
    <row r="924">
      <c r="A924" s="33" t="n"/>
      <c r="B924" s="33" t="n"/>
      <c r="C924" s="33" t="n"/>
      <c r="D924" s="33" t="n"/>
    </row>
    <row r="925">
      <c r="A925" s="33" t="n"/>
      <c r="B925" s="33" t="n"/>
      <c r="C925" s="33" t="n"/>
      <c r="D925" s="33" t="n"/>
    </row>
    <row r="926">
      <c r="A926" s="33" t="n"/>
      <c r="B926" s="33" t="n"/>
      <c r="C926" s="33" t="n"/>
      <c r="D926" s="33" t="n"/>
    </row>
    <row r="927">
      <c r="A927" s="33" t="n"/>
      <c r="B927" s="33" t="n"/>
      <c r="C927" s="33" t="n"/>
      <c r="D927" s="33" t="n"/>
    </row>
    <row r="928">
      <c r="A928" s="33" t="n"/>
      <c r="B928" s="33" t="n"/>
      <c r="C928" s="33" t="n"/>
      <c r="D928" s="33" t="n"/>
    </row>
    <row r="929">
      <c r="A929" s="33" t="n"/>
      <c r="B929" s="33" t="n"/>
      <c r="C929" s="33" t="n"/>
      <c r="D929" s="33" t="n"/>
    </row>
    <row r="930">
      <c r="A930" s="33" t="n"/>
      <c r="B930" s="33" t="n"/>
      <c r="C930" s="33" t="n"/>
      <c r="D930" s="33" t="n"/>
    </row>
    <row r="931">
      <c r="A931" s="33" t="n"/>
      <c r="B931" s="33" t="n"/>
      <c r="C931" s="33" t="n"/>
      <c r="D931" s="33" t="n"/>
    </row>
    <row r="932">
      <c r="A932" s="33" t="n"/>
      <c r="B932" s="33" t="n"/>
      <c r="C932" s="33" t="n"/>
      <c r="D932" s="33" t="n"/>
    </row>
    <row r="933">
      <c r="A933" s="33" t="n"/>
      <c r="B933" s="33" t="n"/>
      <c r="C933" s="33" t="n"/>
      <c r="D933" s="33" t="n"/>
    </row>
    <row r="934">
      <c r="A934" s="33" t="n"/>
      <c r="B934" s="33" t="n"/>
      <c r="C934" s="33" t="n"/>
      <c r="D934" s="33" t="n"/>
    </row>
    <row r="935">
      <c r="A935" s="33" t="n"/>
      <c r="B935" s="33" t="n"/>
      <c r="C935" s="33" t="n"/>
      <c r="D935" s="33" t="n"/>
    </row>
    <row r="936">
      <c r="A936" s="33" t="n"/>
      <c r="B936" s="33" t="n"/>
      <c r="C936" s="33" t="n"/>
      <c r="D936" s="33" t="n"/>
    </row>
    <row r="937">
      <c r="A937" s="33" t="n"/>
      <c r="B937" s="33" t="n"/>
      <c r="C937" s="33" t="n"/>
      <c r="D937" s="33" t="n"/>
    </row>
    <row r="938">
      <c r="A938" s="33" t="n"/>
      <c r="B938" s="33" t="n"/>
      <c r="C938" s="33" t="n"/>
      <c r="D938" s="33" t="n"/>
    </row>
    <row r="939">
      <c r="A939" s="33" t="n"/>
      <c r="B939" s="33" t="n"/>
      <c r="C939" s="33" t="n"/>
      <c r="D939" s="33" t="n"/>
    </row>
    <row r="940">
      <c r="A940" s="33" t="n"/>
      <c r="B940" s="33" t="n"/>
      <c r="C940" s="33" t="n"/>
      <c r="D940" s="33" t="n"/>
    </row>
    <row r="941">
      <c r="A941" s="33" t="n"/>
      <c r="B941" s="33" t="n"/>
      <c r="C941" s="33" t="n"/>
      <c r="D941" s="33" t="n"/>
    </row>
    <row r="942">
      <c r="A942" s="33" t="n"/>
      <c r="B942" s="33" t="n"/>
      <c r="C942" s="33" t="n"/>
      <c r="D942" s="33" t="n"/>
    </row>
    <row r="943">
      <c r="A943" s="33" t="n"/>
      <c r="B943" s="33" t="n"/>
      <c r="C943" s="33" t="n"/>
      <c r="D943" s="33" t="n"/>
    </row>
    <row r="944">
      <c r="A944" s="33" t="n"/>
      <c r="B944" s="33" t="n"/>
      <c r="C944" s="33" t="n"/>
      <c r="D944" s="33" t="n"/>
    </row>
    <row r="945">
      <c r="A945" s="33" t="n"/>
      <c r="B945" s="33" t="n"/>
      <c r="C945" s="33" t="n"/>
      <c r="D945" s="33" t="n"/>
    </row>
    <row r="946">
      <c r="A946" s="33" t="n"/>
      <c r="B946" s="33" t="n"/>
      <c r="C946" s="33" t="n"/>
      <c r="D946" s="33" t="n"/>
    </row>
    <row r="947">
      <c r="A947" s="33" t="n"/>
      <c r="B947" s="33" t="n"/>
      <c r="C947" s="33" t="n"/>
      <c r="D947" s="33" t="n"/>
    </row>
    <row r="948">
      <c r="A948" s="33" t="n"/>
      <c r="B948" s="33" t="n"/>
      <c r="C948" s="33" t="n"/>
      <c r="D948" s="33" t="n"/>
    </row>
    <row r="949">
      <c r="A949" s="33" t="n"/>
      <c r="B949" s="33" t="n"/>
      <c r="C949" s="33" t="n"/>
      <c r="D949" s="33" t="n"/>
    </row>
    <row r="950">
      <c r="A950" s="33" t="n"/>
      <c r="B950" s="33" t="n"/>
      <c r="C950" s="33" t="n"/>
      <c r="D950" s="33" t="n"/>
    </row>
    <row r="951">
      <c r="A951" s="33" t="n"/>
      <c r="B951" s="33" t="n"/>
      <c r="C951" s="33" t="n"/>
      <c r="D951" s="33" t="n"/>
    </row>
    <row r="952">
      <c r="A952" s="33" t="n"/>
      <c r="B952" s="33" t="n"/>
      <c r="C952" s="33" t="n"/>
      <c r="D952" s="33" t="n"/>
    </row>
    <row r="953">
      <c r="A953" s="33" t="n"/>
      <c r="B953" s="33" t="n"/>
      <c r="C953" s="33" t="n"/>
      <c r="D953" s="33" t="n"/>
    </row>
    <row r="954">
      <c r="A954" s="33" t="n"/>
      <c r="B954" s="33" t="n"/>
      <c r="C954" s="33" t="n"/>
      <c r="D954" s="33" t="n"/>
    </row>
    <row r="955">
      <c r="A955" s="33" t="n"/>
      <c r="B955" s="33" t="n"/>
      <c r="C955" s="33" t="n"/>
      <c r="D955" s="33" t="n"/>
    </row>
    <row r="956">
      <c r="A956" s="33" t="n"/>
      <c r="B956" s="33" t="n"/>
      <c r="C956" s="33" t="n"/>
      <c r="D956" s="33" t="n"/>
    </row>
    <row r="957">
      <c r="A957" s="33" t="n"/>
      <c r="B957" s="33" t="n"/>
      <c r="C957" s="33" t="n"/>
      <c r="D957" s="33" t="n"/>
    </row>
    <row r="958">
      <c r="A958" s="33" t="n"/>
      <c r="B958" s="33" t="n"/>
      <c r="C958" s="33" t="n"/>
      <c r="D958" s="33" t="n"/>
    </row>
    <row r="959">
      <c r="A959" s="33" t="n"/>
      <c r="B959" s="33" t="n"/>
      <c r="C959" s="33" t="n"/>
      <c r="D959" s="33" t="n"/>
    </row>
    <row r="960">
      <c r="A960" s="33" t="n"/>
      <c r="B960" s="33" t="n"/>
      <c r="C960" s="33" t="n"/>
      <c r="D960" s="33" t="n"/>
    </row>
    <row r="961">
      <c r="A961" s="33" t="n"/>
      <c r="B961" s="33" t="n"/>
      <c r="C961" s="33" t="n"/>
      <c r="D961" s="33" t="n"/>
    </row>
    <row r="962">
      <c r="A962" s="33" t="n"/>
      <c r="B962" s="33" t="n"/>
      <c r="C962" s="33" t="n"/>
      <c r="D962" s="33" t="n"/>
    </row>
    <row r="963">
      <c r="A963" s="33" t="n"/>
      <c r="B963" s="33" t="n"/>
      <c r="C963" s="33" t="n"/>
      <c r="D963" s="33" t="n"/>
    </row>
    <row r="964">
      <c r="A964" s="33" t="n"/>
      <c r="B964" s="33" t="n"/>
      <c r="C964" s="33" t="n"/>
      <c r="D964" s="33" t="n"/>
    </row>
    <row r="965">
      <c r="A965" s="33" t="n"/>
      <c r="B965" s="33" t="n"/>
      <c r="C965" s="33" t="n"/>
      <c r="D965" s="33" t="n"/>
    </row>
    <row r="966">
      <c r="A966" s="33" t="n"/>
      <c r="B966" s="33" t="n"/>
      <c r="C966" s="33" t="n"/>
      <c r="D966" s="33" t="n"/>
    </row>
    <row r="967">
      <c r="A967" s="33" t="n"/>
      <c r="B967" s="33" t="n"/>
      <c r="C967" s="33" t="n"/>
      <c r="D967" s="33" t="n"/>
    </row>
    <row r="968">
      <c r="A968" s="33" t="n"/>
      <c r="B968" s="33" t="n"/>
      <c r="C968" s="33" t="n"/>
      <c r="D968" s="33" t="n"/>
    </row>
    <row r="969">
      <c r="A969" s="33" t="n"/>
      <c r="B969" s="33" t="n"/>
      <c r="C969" s="33" t="n"/>
      <c r="D969" s="33" t="n"/>
    </row>
    <row r="970">
      <c r="A970" s="33" t="n"/>
      <c r="B970" s="33" t="n"/>
      <c r="C970" s="33" t="n"/>
      <c r="D970" s="33" t="n"/>
    </row>
    <row r="971">
      <c r="A971" s="33" t="n"/>
      <c r="B971" s="33" t="n"/>
      <c r="C971" s="33" t="n"/>
      <c r="D971" s="33" t="n"/>
    </row>
    <row r="972">
      <c r="A972" s="33" t="n"/>
      <c r="B972" s="33" t="n"/>
      <c r="C972" s="33" t="n"/>
      <c r="D972" s="33" t="n"/>
    </row>
    <row r="973">
      <c r="A973" s="33" t="n"/>
      <c r="B973" s="33" t="n"/>
      <c r="C973" s="33" t="n"/>
      <c r="D973" s="33" t="n"/>
    </row>
    <row r="974">
      <c r="A974" s="33" t="n"/>
      <c r="B974" s="33" t="n"/>
      <c r="C974" s="33" t="n"/>
      <c r="D974" s="33" t="n"/>
    </row>
    <row r="975">
      <c r="A975" s="33" t="n"/>
      <c r="B975" s="33" t="n"/>
      <c r="C975" s="33" t="n"/>
      <c r="D975" s="33" t="n"/>
    </row>
    <row r="976">
      <c r="A976" s="33" t="n"/>
      <c r="B976" s="33" t="n"/>
      <c r="C976" s="33" t="n"/>
      <c r="D976" s="33" t="n"/>
    </row>
    <row r="977">
      <c r="A977" s="33" t="n"/>
      <c r="B977" s="33" t="n"/>
      <c r="C977" s="33" t="n"/>
      <c r="D977" s="33" t="n"/>
    </row>
    <row r="978">
      <c r="A978" s="33" t="n"/>
      <c r="B978" s="33" t="n"/>
      <c r="C978" s="33" t="n"/>
      <c r="D978" s="33" t="n"/>
    </row>
    <row r="979">
      <c r="A979" s="33" t="n"/>
      <c r="B979" s="33" t="n"/>
      <c r="C979" s="33" t="n"/>
      <c r="D979" s="33" t="n"/>
    </row>
    <row r="980">
      <c r="A980" s="33" t="n"/>
      <c r="B980" s="33" t="n"/>
      <c r="C980" s="33" t="n"/>
      <c r="D980" s="33" t="n"/>
    </row>
    <row r="981">
      <c r="A981" s="33" t="n"/>
      <c r="B981" s="33" t="n"/>
      <c r="C981" s="33" t="n"/>
      <c r="D981" s="33" t="n"/>
    </row>
    <row r="982">
      <c r="A982" s="33" t="n"/>
      <c r="B982" s="33" t="n"/>
      <c r="C982" s="33" t="n"/>
      <c r="D982" s="33" t="n"/>
    </row>
    <row r="983">
      <c r="A983" s="33" t="n"/>
      <c r="B983" s="33" t="n"/>
      <c r="C983" s="33" t="n"/>
      <c r="D983" s="33" t="n"/>
    </row>
    <row r="984">
      <c r="A984" s="33" t="n"/>
      <c r="B984" s="33" t="n"/>
      <c r="C984" s="33" t="n"/>
      <c r="D984" s="33" t="n"/>
    </row>
    <row r="985">
      <c r="A985" s="33" t="n"/>
      <c r="B985" s="33" t="n"/>
      <c r="C985" s="33" t="n"/>
      <c r="D985" s="33" t="n"/>
    </row>
    <row r="986">
      <c r="A986" s="33" t="n"/>
      <c r="B986" s="33" t="n"/>
      <c r="C986" s="33" t="n"/>
      <c r="D986" s="33" t="n"/>
    </row>
    <row r="987">
      <c r="A987" s="33" t="n"/>
      <c r="B987" s="33" t="n"/>
      <c r="C987" s="33" t="n"/>
      <c r="D987" s="33" t="n"/>
    </row>
    <row r="988">
      <c r="A988" s="33" t="n"/>
      <c r="B988" s="33" t="n"/>
      <c r="C988" s="33" t="n"/>
      <c r="D988" s="33" t="n"/>
    </row>
    <row r="989">
      <c r="A989" s="33" t="n"/>
      <c r="B989" s="33" t="n"/>
      <c r="C989" s="33" t="n"/>
      <c r="D989" s="33" t="n"/>
    </row>
    <row r="990">
      <c r="A990" s="33" t="n"/>
      <c r="B990" s="33" t="n"/>
      <c r="C990" s="33" t="n"/>
      <c r="D990" s="33" t="n"/>
    </row>
    <row r="991">
      <c r="A991" s="33" t="n"/>
      <c r="B991" s="33" t="n"/>
      <c r="C991" s="33" t="n"/>
      <c r="D991" s="33" t="n"/>
    </row>
    <row r="992">
      <c r="A992" s="33" t="n"/>
      <c r="B992" s="33" t="n"/>
      <c r="C992" s="33" t="n"/>
      <c r="D992" s="33" t="n"/>
    </row>
    <row r="993">
      <c r="A993" s="33" t="n"/>
      <c r="B993" s="33" t="n"/>
      <c r="C993" s="33" t="n"/>
      <c r="D993" s="33" t="n"/>
    </row>
    <row r="994">
      <c r="A994" s="33" t="n"/>
      <c r="B994" s="33" t="n"/>
      <c r="C994" s="33" t="n"/>
      <c r="D994" s="33" t="n"/>
    </row>
    <row r="995">
      <c r="A995" s="33" t="n"/>
      <c r="B995" s="33" t="n"/>
      <c r="C995" s="33" t="n"/>
      <c r="D995" s="33" t="n"/>
    </row>
    <row r="996">
      <c r="A996" s="33" t="n"/>
      <c r="B996" s="33" t="n"/>
      <c r="C996" s="33" t="n"/>
      <c r="D996" s="33" t="n"/>
    </row>
    <row r="997">
      <c r="A997" s="33" t="n"/>
      <c r="B997" s="33" t="n"/>
      <c r="C997" s="33" t="n"/>
      <c r="D997" s="33" t="n"/>
    </row>
    <row r="998">
      <c r="A998" s="33" t="n"/>
      <c r="B998" s="33" t="n"/>
      <c r="C998" s="33" t="n"/>
      <c r="D998" s="33" t="n"/>
    </row>
    <row r="999">
      <c r="A999" s="33" t="n"/>
      <c r="B999" s="33" t="n"/>
      <c r="C999" s="33" t="n"/>
      <c r="D999" s="33" t="n"/>
    </row>
    <row r="1000">
      <c r="A1000" s="33" t="n"/>
      <c r="B1000" s="33" t="n"/>
      <c r="C1000" s="33" t="n"/>
      <c r="D1000" s="33" t="n"/>
    </row>
    <row r="1001">
      <c r="A1001" s="33" t="n"/>
      <c r="B1001" s="33" t="n"/>
      <c r="C1001" s="33" t="n"/>
      <c r="D1001" s="33" t="n"/>
    </row>
    <row r="1002">
      <c r="A1002" s="33" t="n"/>
      <c r="B1002" s="33" t="n"/>
      <c r="C1002" s="33" t="n"/>
      <c r="D1002" s="33" t="n"/>
    </row>
    <row r="1003">
      <c r="A1003" s="33" t="n"/>
      <c r="B1003" s="33" t="n"/>
      <c r="C1003" s="33" t="n"/>
      <c r="D1003" s="33" t="n"/>
    </row>
    <row r="1004">
      <c r="A1004" s="33" t="n"/>
      <c r="B1004" s="33" t="n"/>
      <c r="C1004" s="33" t="n"/>
      <c r="D1004" s="33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5B9BD5"/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3.5" customWidth="1" min="5" max="5"/>
    <col width="13" customWidth="1" min="6" max="6"/>
    <col width="14.5" customWidth="1" min="7" max="7"/>
    <col width="13" customWidth="1" min="8" max="8"/>
    <col width="28" customWidth="1" min="9" max="9"/>
    <col width="13" customWidth="1" min="10" max="10"/>
    <col width="12" customWidth="1" min="11" max="11"/>
    <col width="13" customWidth="1" min="12" max="12"/>
  </cols>
  <sheetData>
    <row r="1" ht="32" customHeight="1">
      <c r="A1" s="198" t="inlineStr">
        <is>
          <t>LISTELER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  <c r="J1" s="199" t="n"/>
      <c r="K1" s="199" t="n"/>
    </row>
    <row r="2"/>
    <row r="3" ht="22" customHeight="1">
      <c r="A3" s="218" t="inlineStr">
        <is>
          <t>Doğrulama listeleri</t>
        </is>
      </c>
    </row>
    <row r="4"/>
    <row r="5">
      <c r="A5" s="48" t="inlineStr">
        <is>
          <t>Yıl</t>
        </is>
      </c>
      <c r="C5" s="48" t="inlineStr">
        <is>
          <t>Yorum</t>
        </is>
      </c>
      <c r="E5" s="48" t="inlineStr">
        <is>
          <t>EvetHayır</t>
        </is>
      </c>
      <c r="G5" s="48" t="inlineStr">
        <is>
          <t>Durum</t>
        </is>
      </c>
      <c r="I5" s="48" t="inlineStr">
        <is>
          <t>İzinli Geçiş</t>
        </is>
      </c>
      <c r="K5" s="48" t="inlineStr">
        <is>
          <t>Kural</t>
        </is>
      </c>
    </row>
    <row r="6">
      <c r="A6" s="23" t="n">
        <v>2025</v>
      </c>
      <c r="C6" s="7" t="inlineStr">
        <is>
          <t>A</t>
        </is>
      </c>
      <c r="E6" s="7" t="inlineStr">
        <is>
          <t>Evet</t>
        </is>
      </c>
      <c r="G6" s="7" t="inlineStr">
        <is>
          <t>PLANLANDI</t>
        </is>
      </c>
      <c r="I6" s="7" t="inlineStr">
        <is>
          <t>PLANLANDI|DEVAM</t>
        </is>
      </c>
      <c r="K6" s="7" t="inlineStr">
        <is>
          <t>EBR-001</t>
        </is>
      </c>
    </row>
    <row r="7">
      <c r="A7" s="23" t="n">
        <v>2026</v>
      </c>
      <c r="C7" s="7" t="inlineStr">
        <is>
          <t>B</t>
        </is>
      </c>
      <c r="E7" s="7" t="inlineStr">
        <is>
          <t>Hayır</t>
        </is>
      </c>
      <c r="G7" s="7" t="inlineStr">
        <is>
          <t>DEVAM</t>
        </is>
      </c>
      <c r="I7" s="7" t="inlineStr">
        <is>
          <t>PLANLANDI|IPTAL</t>
        </is>
      </c>
      <c r="K7" s="7" t="inlineStr">
        <is>
          <t>EBR-002</t>
        </is>
      </c>
    </row>
    <row r="8">
      <c r="A8" s="23" t="n">
        <v>2027</v>
      </c>
      <c r="G8" s="7" t="inlineStr">
        <is>
          <t>BEKLIYOR</t>
        </is>
      </c>
      <c r="I8" s="7" t="inlineStr">
        <is>
          <t>DEVAM|BEKLIYOR</t>
        </is>
      </c>
      <c r="K8" s="7" t="inlineStr">
        <is>
          <t>EBR-003</t>
        </is>
      </c>
    </row>
    <row r="9">
      <c r="G9" s="7" t="inlineStr">
        <is>
          <t>TAMAMLANDI</t>
        </is>
      </c>
      <c r="I9" s="7" t="inlineStr">
        <is>
          <t>DEVAM|TAMAMLANDI</t>
        </is>
      </c>
      <c r="K9" s="7" t="inlineStr">
        <is>
          <t>EBR-004</t>
        </is>
      </c>
    </row>
    <row r="10">
      <c r="G10" s="7" t="inlineStr">
        <is>
          <t>IPTAL</t>
        </is>
      </c>
      <c r="I10" s="7" t="inlineStr">
        <is>
          <t>DEVAM|IPTAL</t>
        </is>
      </c>
      <c r="K10" s="7" t="inlineStr">
        <is>
          <t>EBR-005</t>
        </is>
      </c>
    </row>
    <row r="11">
      <c r="I11" s="7" t="inlineStr">
        <is>
          <t>BEKLIYOR|DEVAM</t>
        </is>
      </c>
    </row>
    <row r="12">
      <c r="I12" s="7" t="inlineStr">
        <is>
          <t>BEKLIYOR|TAMAMLANDI</t>
        </is>
      </c>
    </row>
    <row r="13">
      <c r="I13" s="7" t="inlineStr">
        <is>
          <t>BEKLIYOR|IPTAL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AC6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3.5" customWidth="1" min="2" max="2"/>
    <col width="12" customWidth="1" min="3" max="3"/>
    <col width="19.5" customWidth="1" min="4" max="4"/>
    <col width="19.5" customWidth="1" min="5" max="5"/>
    <col width="36" customWidth="1" min="6" max="6"/>
    <col width="13" customWidth="1" min="7" max="7"/>
    <col width="28" customWidth="1" min="8" max="8"/>
    <col width="55" customWidth="1" min="9" max="9"/>
    <col width="13" customWidth="1" min="10" max="10"/>
  </cols>
  <sheetData>
    <row r="1" ht="32" customHeight="1">
      <c r="A1" s="198" t="inlineStr">
        <is>
          <t>AYARLAR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Parametreler (tek kaynak) — GEÇERSİZ GEÇİŞ uyarısı EYLEM_PLANI ile bağlı</t>
        </is>
      </c>
    </row>
    <row r="4"/>
    <row r="5" ht="30" customHeight="1">
      <c r="A5" s="18" t="inlineStr">
        <is>
          <t>anahtar</t>
        </is>
      </c>
      <c r="B5" s="18" t="inlineStr">
        <is>
          <t>deger</t>
        </is>
      </c>
      <c r="C5" s="18" t="inlineStr">
        <is>
          <t>birim</t>
        </is>
      </c>
      <c r="D5" s="18" t="inlineStr">
        <is>
          <t>kaynak</t>
        </is>
      </c>
      <c r="E5" s="18" t="inlineStr">
        <is>
          <t>yururluk_tarihi</t>
        </is>
      </c>
      <c r="F5" s="18" t="inlineStr">
        <is>
          <t>aciklama</t>
        </is>
      </c>
    </row>
    <row r="6">
      <c r="A6" s="7" t="inlineStr">
        <is>
          <t>raporTarihi</t>
        </is>
      </c>
      <c r="B6" s="47" t="n">
        <v>46245</v>
      </c>
      <c r="C6" s="7" t="inlineStr">
        <is>
          <t>tarih</t>
        </is>
      </c>
      <c r="D6" s="7" t="inlineStr">
        <is>
          <t>Üretim / dönem</t>
        </is>
      </c>
      <c r="E6" s="7" t="inlineStr">
        <is>
          <t>01.01.2025</t>
        </is>
      </c>
      <c r="F6" s="8" t="inlineStr">
        <is>
          <t>Rapor tarihi (TODAY yasak)</t>
        </is>
      </c>
    </row>
    <row r="7">
      <c r="A7" s="7" t="inlineStr">
        <is>
          <t>zincirTolerans</t>
        </is>
      </c>
      <c r="B7" s="30" t="n">
        <v>30</v>
      </c>
      <c r="C7" s="7" t="inlineStr">
        <is>
          <t>skor</t>
        </is>
      </c>
      <c r="D7" s="7" t="inlineStr">
        <is>
          <t>İş kuralı</t>
        </is>
      </c>
      <c r="E7" s="7" t="inlineStr">
        <is>
          <t>01.01.2025</t>
        </is>
      </c>
      <c r="F7" s="8" t="inlineStr">
        <is>
          <t>ZİNCİR KIRIK eşiği</t>
        </is>
      </c>
    </row>
    <row r="8">
      <c r="A8" s="7" t="inlineStr">
        <is>
          <t>ebr_tolerans</t>
        </is>
      </c>
      <c r="B8" s="61" t="n">
        <v>0.01</v>
      </c>
      <c r="C8" s="7" t="inlineStr">
        <is>
          <t>adet</t>
        </is>
      </c>
      <c r="D8" s="7" t="inlineStr">
        <is>
          <t>Uygulama notu</t>
        </is>
      </c>
      <c r="E8" s="7" t="inlineStr">
        <is>
          <t>01.01.2025</t>
        </is>
      </c>
      <c r="F8" s="8" t="inlineStr">
        <is>
          <t>Vaka fark toleransı</t>
        </is>
      </c>
    </row>
    <row r="9">
      <c r="A9" s="7" t="inlineStr">
        <is>
          <t>ebr_kararEsik</t>
        </is>
      </c>
      <c r="B9" s="30" t="n">
        <v>2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01.01.2025</t>
        </is>
      </c>
      <c r="F9" s="8" t="inlineStr">
        <is>
          <t>ZORUNLU min belge</t>
        </is>
      </c>
    </row>
    <row r="10">
      <c r="A10" s="7" t="inlineStr">
        <is>
          <t>ebr_senaryoIyi</t>
        </is>
      </c>
      <c r="B10" s="61" t="n">
        <v>0.9</v>
      </c>
      <c r="C10" s="7" t="inlineStr">
        <is>
          <t>çarpan</t>
        </is>
      </c>
      <c r="D10" s="7" t="inlineStr">
        <is>
          <t>Senaryo motoru</t>
        </is>
      </c>
      <c r="E10" s="7" t="inlineStr">
        <is>
          <t>01.01.2025</t>
        </is>
      </c>
      <c r="F10" s="8" t="inlineStr">
        <is>
          <t>İyimser ciro çarpanı</t>
        </is>
      </c>
    </row>
    <row r="11">
      <c r="A11" s="7" t="inlineStr">
        <is>
          <t>ebr_senaryoKotu</t>
        </is>
      </c>
      <c r="B11" s="61" t="n">
        <v>1.15</v>
      </c>
      <c r="C11" s="7" t="inlineStr">
        <is>
          <t>çarpan</t>
        </is>
      </c>
      <c r="D11" s="7" t="inlineStr">
        <is>
          <t>Senaryo motoru</t>
        </is>
      </c>
      <c r="E11" s="7" t="inlineStr">
        <is>
          <t>01.01.2025</t>
        </is>
      </c>
      <c r="F11" s="8" t="inlineStr">
        <is>
          <t>Kötümser ciro çarpanı</t>
        </is>
      </c>
    </row>
    <row r="12">
      <c r="A12" s="7" t="inlineStr">
        <is>
          <t>ebr_esikArtisCarpan</t>
        </is>
      </c>
      <c r="B12" s="61" t="n">
        <v>1.2</v>
      </c>
      <c r="C12" s="7" t="inlineStr">
        <is>
          <t>çarpan</t>
        </is>
      </c>
      <c r="D12" s="7" t="inlineStr">
        <is>
          <t>M-SEN senaryo</t>
        </is>
      </c>
      <c r="E12" s="7" t="inlineStr">
        <is>
          <t>01.01.2025</t>
        </is>
      </c>
      <c r="F12" s="8" t="inlineStr">
        <is>
          <t>Eşik artışı çarpanı</t>
        </is>
      </c>
    </row>
    <row r="13">
      <c r="A13" s="7" t="inlineStr">
        <is>
          <t>ebr_tahminAlt</t>
        </is>
      </c>
      <c r="B13" s="61" t="n">
        <v>0.85</v>
      </c>
      <c r="C13" s="7" t="inlineStr">
        <is>
          <t>çarpan</t>
        </is>
      </c>
      <c r="D13" s="7" t="inlineStr">
        <is>
          <t>Model varsayımı</t>
        </is>
      </c>
      <c r="E13" s="7" t="inlineStr">
        <is>
          <t>01.01.2025</t>
        </is>
      </c>
      <c r="F13" s="8" t="inlineStr">
        <is>
          <t>Tahmin alt</t>
        </is>
      </c>
    </row>
    <row r="14">
      <c r="A14" s="7" t="inlineStr">
        <is>
          <t>ebr_tahminUst</t>
        </is>
      </c>
      <c r="B14" s="61" t="n">
        <v>1.2</v>
      </c>
      <c r="C14" s="7" t="inlineStr">
        <is>
          <t>çarpan</t>
        </is>
      </c>
      <c r="D14" s="7" t="inlineStr">
        <is>
          <t>Model varsayımı</t>
        </is>
      </c>
      <c r="E14" s="7" t="inlineStr">
        <is>
          <t>01.01.2025</t>
        </is>
      </c>
      <c r="F14" s="8" t="inlineStr">
        <is>
          <t>Tahmin üst</t>
        </is>
      </c>
    </row>
    <row r="15">
      <c r="A15" s="7" t="inlineStr">
        <is>
          <t>ebr_tornadoCiro</t>
        </is>
      </c>
      <c r="B15" s="61" t="n">
        <v>1.1</v>
      </c>
      <c r="C15" s="7" t="inlineStr">
        <is>
          <t>çarpan</t>
        </is>
      </c>
      <c r="D15" s="7" t="inlineStr">
        <is>
          <t>Duyarlılık</t>
        </is>
      </c>
      <c r="E15" s="7" t="inlineStr">
        <is>
          <t>01.01.2025</t>
        </is>
      </c>
      <c r="F15" s="8" t="inlineStr">
        <is>
          <t>Tornado ciro</t>
        </is>
      </c>
    </row>
    <row r="16">
      <c r="A16" s="7" t="inlineStr">
        <is>
          <t>ebr_yorumACarpan</t>
        </is>
      </c>
      <c r="B16" s="61" t="n">
        <v>0.95</v>
      </c>
      <c r="C16" s="7" t="inlineStr">
        <is>
          <t>çarpan</t>
        </is>
      </c>
      <c r="D16" s="7" t="inlineStr">
        <is>
          <t>Belirsizlik A</t>
        </is>
      </c>
      <c r="E16" s="7" t="inlineStr">
        <is>
          <t>01.01.2025</t>
        </is>
      </c>
      <c r="F16" s="8" t="inlineStr">
        <is>
          <t>Yorum A çarpanı</t>
        </is>
      </c>
    </row>
    <row r="17">
      <c r="A17" s="7" t="inlineStr">
        <is>
          <t>ebr_yuzdelikOran</t>
        </is>
      </c>
      <c r="B17" s="61" t="n">
        <v>0.9</v>
      </c>
      <c r="C17" s="7" t="inlineStr">
        <is>
          <t>oran</t>
        </is>
      </c>
      <c r="D17" s="7" t="inlineStr">
        <is>
          <t>İstatistik</t>
        </is>
      </c>
      <c r="E17" s="7" t="inlineStr">
        <is>
          <t>01.01.2025</t>
        </is>
      </c>
      <c r="F17" s="8" t="inlineStr">
        <is>
          <t>P90 oranı</t>
        </is>
      </c>
    </row>
    <row r="18">
      <c r="A18" s="7" t="inlineStr">
        <is>
          <t>ebr_parmakIzi</t>
        </is>
      </c>
      <c r="B18" s="29" t="inlineStr">
        <is>
          <t>1586826343f7f811</t>
        </is>
      </c>
      <c r="C18" s="7" t="inlineStr">
        <is>
          <t>metin</t>
        </is>
      </c>
      <c r="D18" s="7" t="inlineStr">
        <is>
          <t>Üretim</t>
        </is>
      </c>
      <c r="E18" s="7" t="inlineStr">
        <is>
          <t>01.01.2025</t>
        </is>
      </c>
      <c r="F18" s="8" t="inlineStr">
        <is>
          <t>SHA parmak izi</t>
        </is>
      </c>
    </row>
    <row r="19">
      <c r="A19" s="7" t="inlineStr">
        <is>
          <t>ebr_girisBeklenen</t>
        </is>
      </c>
      <c r="B19" s="30" t="n">
        <v>6</v>
      </c>
      <c r="C19" s="7" t="inlineStr">
        <is>
          <t>adet</t>
        </is>
      </c>
      <c r="D19" s="7" t="inlineStr">
        <is>
          <t>Ürün mimarisi</t>
        </is>
      </c>
      <c r="E19" s="7" t="inlineStr">
        <is>
          <t>01.01.2025</t>
        </is>
      </c>
      <c r="F19" s="8" t="inlineStr">
        <is>
          <t>Beklenen giriş</t>
        </is>
      </c>
    </row>
    <row r="20">
      <c r="A20" s="7" t="inlineStr">
        <is>
          <t>ebr_riskDusuk</t>
        </is>
      </c>
      <c r="B20" s="30" t="n">
        <v>20</v>
      </c>
      <c r="C20" s="7" t="inlineStr">
        <is>
          <t>puan</t>
        </is>
      </c>
      <c r="D20" s="7" t="inlineStr">
        <is>
          <t>İç politika</t>
        </is>
      </c>
      <c r="E20" s="7" t="inlineStr">
        <is>
          <t>01.01.2025</t>
        </is>
      </c>
      <c r="F20" s="8" t="inlineStr">
        <is>
          <t>Düşük risk</t>
        </is>
      </c>
    </row>
    <row r="21">
      <c r="A21" s="7" t="inlineStr">
        <is>
          <t>ebr_riskOrta</t>
        </is>
      </c>
      <c r="B21" s="30" t="n">
        <v>55</v>
      </c>
      <c r="C21" s="7" t="inlineStr">
        <is>
          <t>puan</t>
        </is>
      </c>
      <c r="D21" s="7" t="inlineStr">
        <is>
          <t>İç politika</t>
        </is>
      </c>
      <c r="E21" s="7" t="inlineStr">
        <is>
          <t>01.01.2025</t>
        </is>
      </c>
      <c r="F21" s="8" t="inlineStr">
        <is>
          <t>Orta risk</t>
        </is>
      </c>
    </row>
    <row r="22">
      <c r="A22" s="7" t="inlineStr">
        <is>
          <t>ebr_riskYuksek</t>
        </is>
      </c>
      <c r="B22" s="30" t="n">
        <v>85</v>
      </c>
      <c r="C22" s="7" t="inlineStr">
        <is>
          <t>puan</t>
        </is>
      </c>
      <c r="D22" s="7" t="inlineStr">
        <is>
          <t>İç politika</t>
        </is>
      </c>
      <c r="E22" s="7" t="inlineStr">
        <is>
          <t>01.01.2025</t>
        </is>
      </c>
      <c r="F22" s="8" t="inlineStr">
        <is>
          <t>Yüksek risk</t>
        </is>
      </c>
    </row>
    <row r="23">
      <c r="A23" s="7" t="inlineStr">
        <is>
          <t>ebr_yilTaban</t>
        </is>
      </c>
      <c r="B23" s="30" t="n">
        <v>2024</v>
      </c>
      <c r="C23" s="7" t="inlineStr">
        <is>
          <t>yıl</t>
        </is>
      </c>
      <c r="D23" s="7" t="inlineStr">
        <is>
          <t>Ürün mimarisi</t>
        </is>
      </c>
      <c r="E23" s="7" t="inlineStr">
        <is>
          <t>01.01.2025</t>
        </is>
      </c>
      <c r="F23" s="8" t="inlineStr">
        <is>
          <t>CHOOSE yıl tabanı</t>
        </is>
      </c>
    </row>
    <row r="24">
      <c r="A24" s="7" t="inlineStr">
        <is>
          <t>ebr_yuvarMax</t>
        </is>
      </c>
      <c r="B24" s="30" t="n">
        <v>6</v>
      </c>
      <c r="C24" s="7" t="inlineStr">
        <is>
          <t>adet</t>
        </is>
      </c>
      <c r="D24" s="7" t="inlineStr">
        <is>
          <t>Ürün mimarisi</t>
        </is>
      </c>
      <c r="E24" s="7" t="inlineStr">
        <is>
          <t>01.01.2025</t>
        </is>
      </c>
      <c r="F24" s="8" t="inlineStr">
        <is>
          <t>Yuvarlama tavanı</t>
        </is>
      </c>
    </row>
    <row r="25">
      <c r="A25" s="7" t="inlineStr">
        <is>
          <t>vaka_ciro_1</t>
        </is>
      </c>
      <c r="B25" s="31" t="n">
        <v>4500000</v>
      </c>
      <c r="C25" s="7" t="inlineStr">
        <is>
          <t>TL</t>
        </is>
      </c>
      <c r="D25" s="7" t="inlineStr">
        <is>
          <t>Tebliğ örneği</t>
        </is>
      </c>
      <c r="E25" s="7" t="inlineStr">
        <is>
          <t>01.01.2025</t>
        </is>
      </c>
      <c r="F25" s="8" t="inlineStr">
        <is>
          <t>Vaka 1 ciro</t>
        </is>
      </c>
    </row>
    <row r="26">
      <c r="A26" s="7" t="inlineStr">
        <is>
          <t>vaka_ciro_2</t>
        </is>
      </c>
      <c r="B26" s="31" t="n">
        <v>400000</v>
      </c>
      <c r="C26" s="7" t="inlineStr">
        <is>
          <t>TL</t>
        </is>
      </c>
      <c r="D26" s="7" t="inlineStr">
        <is>
          <t>Tebliğ örneği</t>
        </is>
      </c>
      <c r="E26" s="7" t="inlineStr">
        <is>
          <t>01.01.2025</t>
        </is>
      </c>
      <c r="F26" s="8" t="inlineStr">
        <is>
          <t>Vaka 2 ciro</t>
        </is>
      </c>
    </row>
    <row r="27">
      <c r="A27" s="7" t="inlineStr">
        <is>
          <t>vaka_ciro_3</t>
        </is>
      </c>
      <c r="B27" s="31" t="n">
        <v>600000</v>
      </c>
      <c r="C27" s="7" t="inlineStr">
        <is>
          <t>TL</t>
        </is>
      </c>
      <c r="D27" s="7" t="inlineStr">
        <is>
          <t>Tebliğ örneği</t>
        </is>
      </c>
      <c r="E27" s="7" t="inlineStr">
        <is>
          <t>01.01.2025</t>
        </is>
      </c>
      <c r="F27" s="8" t="inlineStr">
        <is>
          <t>Vaka 3 ciro</t>
        </is>
      </c>
    </row>
    <row r="28">
      <c r="A28" s="7" t="inlineStr">
        <is>
          <t>vaka_ciro_4</t>
        </is>
      </c>
      <c r="B28" s="31" t="n">
        <v>11000000</v>
      </c>
      <c r="C28" s="7" t="inlineStr">
        <is>
          <t>TL</t>
        </is>
      </c>
      <c r="D28" s="7" t="inlineStr">
        <is>
          <t>Tebliğ örneği</t>
        </is>
      </c>
      <c r="E28" s="7" t="inlineStr">
        <is>
          <t>01.01.2025</t>
        </is>
      </c>
      <c r="F28" s="8" t="inlineStr">
        <is>
          <t>Vaka 4 ciro</t>
        </is>
      </c>
    </row>
    <row r="29">
      <c r="A29" s="7" t="inlineStr">
        <is>
          <t>ebr_esikGecikmeGun</t>
        </is>
      </c>
      <c r="B29" s="30" t="n">
        <v>30</v>
      </c>
      <c r="C29" s="7" t="inlineStr">
        <is>
          <t>gün</t>
        </is>
      </c>
      <c r="D29" s="7" t="inlineStr">
        <is>
          <t>İç politika</t>
        </is>
      </c>
      <c r="E29" s="7" t="inlineStr">
        <is>
          <t>01.01.2025</t>
        </is>
      </c>
      <c r="F29" s="8" t="inlineStr">
        <is>
          <t>Gecikme eşiği gün</t>
        </is>
      </c>
    </row>
    <row r="30"/>
    <row r="31"/>
    <row r="32">
      <c r="H32" s="14" t="inlineStr">
        <is>
          <t>Durum haritası (durum_id / izinli_sonraki / kategori kapalı)</t>
        </is>
      </c>
    </row>
    <row r="33">
      <c r="H33" s="48" t="inlineStr">
        <is>
          <t>durum_id</t>
        </is>
      </c>
      <c r="I33" s="48" t="inlineStr">
        <is>
          <t>durum_adi</t>
        </is>
      </c>
      <c r="J33" s="48" t="inlineStr">
        <is>
          <t>izinli_sonraki_durumlar</t>
        </is>
      </c>
      <c r="K33" s="48" t="inlineStr">
        <is>
          <t>kategori</t>
        </is>
      </c>
    </row>
    <row r="34">
      <c r="H34" s="7" t="inlineStr">
        <is>
          <t>PLANLANDI</t>
        </is>
      </c>
      <c r="I34" s="7" t="inlineStr">
        <is>
          <t>Planlandı</t>
        </is>
      </c>
      <c r="J34" s="7" t="inlineStr">
        <is>
          <t>DEVAM|IPTAL</t>
        </is>
      </c>
      <c r="K34" s="7" t="inlineStr">
        <is>
          <t>acik</t>
        </is>
      </c>
    </row>
    <row r="35">
      <c r="H35" s="7" t="inlineStr">
        <is>
          <t>DEVAM</t>
        </is>
      </c>
      <c r="I35" s="7" t="inlineStr">
        <is>
          <t>Devam</t>
        </is>
      </c>
      <c r="J35" s="7" t="inlineStr">
        <is>
          <t>BEKLIYOR|TAMAMLANDI|IPTAL</t>
        </is>
      </c>
      <c r="K35" s="7" t="inlineStr">
        <is>
          <t>acik</t>
        </is>
      </c>
    </row>
    <row r="36">
      <c r="H36" s="7" t="inlineStr">
        <is>
          <t>BEKLIYOR</t>
        </is>
      </c>
      <c r="I36" s="7" t="inlineStr">
        <is>
          <t>Bekliyor</t>
        </is>
      </c>
      <c r="J36" s="7" t="inlineStr">
        <is>
          <t>DEVAM|TAMAMLANDI|IPTAL</t>
        </is>
      </c>
      <c r="K36" s="7" t="inlineStr">
        <is>
          <t>acik</t>
        </is>
      </c>
    </row>
    <row r="37">
      <c r="H37" s="7" t="inlineStr">
        <is>
          <t>TAMAMLANDI</t>
        </is>
      </c>
      <c r="I37" s="7" t="inlineStr">
        <is>
          <t>Tamamlandı</t>
        </is>
      </c>
      <c r="J37" s="7" t="inlineStr"/>
      <c r="K37" s="7" t="inlineStr">
        <is>
          <t>kapali</t>
        </is>
      </c>
    </row>
    <row r="38">
      <c r="H38" s="7" t="inlineStr">
        <is>
          <t>IPTAL</t>
        </is>
      </c>
      <c r="I38" s="7" t="inlineStr">
        <is>
          <t>İptal</t>
        </is>
      </c>
      <c r="J38" s="7" t="inlineStr"/>
      <c r="K38" s="7" t="inlineStr">
        <is>
          <t>kapali</t>
        </is>
      </c>
    </row>
    <row r="39"/>
    <row r="40">
      <c r="H40" s="59" t="inlineStr">
        <is>
          <t>GEÇERSİZ GEÇİŞ uyarısı EYLEM_PLANI GecisUyarisi kolonunda üretilir</t>
        </is>
      </c>
    </row>
    <row r="41"/>
    <row r="42">
      <c r="H42" s="14" t="inlineStr">
        <is>
          <t>Modül köprü</t>
        </is>
      </c>
    </row>
    <row r="43">
      <c r="H43" s="11" t="inlineStr">
        <is>
          <t>ebr_eylemYas</t>
        </is>
      </c>
      <c r="I43" s="15">
        <f>MOTOR!G48</f>
        <v/>
      </c>
    </row>
    <row r="44">
      <c r="H44" s="11" t="inlineStr">
        <is>
          <t>ebr_yorumEylemYas</t>
        </is>
      </c>
      <c r="I44" s="15">
        <f>_xlfn.TEXTJOIN("; ",TRUE,"Yaş kovaları ",MOTOR!G48)</f>
        <v/>
      </c>
    </row>
    <row r="45">
      <c r="H45" s="11" t="inlineStr">
        <is>
          <t>ebr_modulT2</t>
        </is>
      </c>
      <c r="I45" s="15">
        <f>IFERROR(ebr_zorunluAdet/4,0)</f>
        <v/>
      </c>
    </row>
    <row r="46">
      <c r="H46" s="11" t="inlineStr">
        <is>
          <t>ebr_modulT2Yorum</t>
        </is>
      </c>
      <c r="I46" s="15">
        <f>_xlfn.TEXTJOIN("; ",TRUE,"Zorunlu belge payı ",TEXT(I45,"0.0%"))</f>
        <v/>
      </c>
    </row>
    <row r="47">
      <c r="H47" s="11" t="inlineStr">
        <is>
          <t>ebr_duyarlilikSira</t>
        </is>
      </c>
      <c r="I47" s="15">
        <f>SENARYO!B19</f>
        <v/>
      </c>
    </row>
    <row r="48">
      <c r="H48" s="11" t="inlineStr">
        <is>
          <t>ebr_yorumDuyarlilik</t>
        </is>
      </c>
      <c r="I48" s="15">
        <f>SENARYO!B20</f>
        <v/>
      </c>
    </row>
    <row r="49">
      <c r="H49" s="11" t="inlineStr">
        <is>
          <t>ebr_senaryoKarsilastirma</t>
        </is>
      </c>
      <c r="I49" s="15">
        <f>SENARYO!B11</f>
        <v/>
      </c>
    </row>
    <row r="50">
      <c r="H50" s="11" t="inlineStr">
        <is>
          <t>ebr_yorumSenaryo</t>
        </is>
      </c>
      <c r="I50" s="15">
        <f>SENARYO!B12</f>
        <v/>
      </c>
    </row>
    <row r="51">
      <c r="H51" s="11" t="inlineStr">
        <is>
          <t>ebr_kuralDegisimSenaryo</t>
        </is>
      </c>
      <c r="I51" s="15">
        <f>SENARYO!B22</f>
        <v/>
      </c>
    </row>
    <row r="52">
      <c r="H52" s="11" t="inlineStr">
        <is>
          <t>ebr_yorumKuralDegisim</t>
        </is>
      </c>
      <c r="I52" s="15">
        <f>SENARYO!B23</f>
        <v/>
      </c>
    </row>
    <row r="53">
      <c r="H53" s="11" t="inlineStr">
        <is>
          <t>ebr_tahminAralik</t>
        </is>
      </c>
      <c r="I53" s="15">
        <f>SENARYO!B32</f>
        <v/>
      </c>
    </row>
    <row r="54">
      <c r="H54" s="11" t="inlineStr">
        <is>
          <t>ebr_yorumTahmin</t>
        </is>
      </c>
      <c r="I54" s="15">
        <f>SENARYO!B33</f>
        <v/>
      </c>
    </row>
    <row r="55">
      <c r="H55" s="11" t="inlineStr">
        <is>
          <t>ebr_modulI2</t>
        </is>
      </c>
      <c r="I55" s="15">
        <f>IFERROR(IF(COUNT(SENARYO!C6:C9)&lt;2,0,_xlfn.PERCENTILE.INC(SENARYO!C6:C9,ebr_yuzdelikOran)),0)</f>
        <v/>
      </c>
    </row>
    <row r="56">
      <c r="H56" s="11" t="inlineStr">
        <is>
          <t>ebr_modulI2Yorum</t>
        </is>
      </c>
      <c r="I56" s="15">
        <f>_xlfn.TEXTJOIN("; ",TRUE,"P90 zorunlu adet ",TEXT(I55,"0"))</f>
        <v/>
      </c>
    </row>
    <row r="57">
      <c r="H57" s="11" t="inlineStr">
        <is>
          <t>ebr_kararMetni</t>
        </is>
      </c>
      <c r="I57" s="15">
        <f>MOTOR!G29</f>
        <v/>
      </c>
    </row>
    <row r="58">
      <c r="H58" s="11" t="inlineStr">
        <is>
          <t>ebr_kararGerekce</t>
        </is>
      </c>
      <c r="I58" s="15">
        <f>MOTOR!G30</f>
        <v/>
      </c>
    </row>
    <row r="59">
      <c r="H59" s="11" t="inlineStr">
        <is>
          <t>ebr_maddeAtifMetni</t>
        </is>
      </c>
      <c r="I59" s="15">
        <f>MOTOR!G49</f>
        <v/>
      </c>
    </row>
    <row r="60">
      <c r="H60" s="11" t="inlineStr">
        <is>
          <t>ebr_kanitRaporu</t>
        </is>
      </c>
      <c r="I60" s="15">
        <f>MOTOR!G50</f>
        <v/>
      </c>
    </row>
    <row r="61">
      <c r="H61" s="11" t="inlineStr">
        <is>
          <t>ebr_vakaDurum</t>
        </is>
      </c>
      <c r="I61" s="15">
        <f>VAKALAR!B12</f>
        <v/>
      </c>
    </row>
    <row r="62">
      <c r="H62" s="11" t="inlineStr">
        <is>
          <t>ebr_vakaFark</t>
        </is>
      </c>
      <c r="I62" s="15">
        <f>VAKALAR!B13</f>
        <v/>
      </c>
    </row>
    <row r="63">
      <c r="H63" s="11" t="inlineStr">
        <is>
          <t>ebr_ciro</t>
        </is>
      </c>
      <c r="I63" s="15">
        <f>MOTOR!G17</f>
        <v/>
      </c>
    </row>
    <row r="64">
      <c r="H64" s="11" t="inlineStr">
        <is>
          <t>ebr_zorunluAdet</t>
        </is>
      </c>
      <c r="I64" s="15">
        <f>MOTOR!G22</f>
        <v/>
      </c>
    </row>
    <row r="65">
      <c r="H65" s="11" t="inlineStr">
        <is>
          <t>ebr_kuralYilMatris</t>
        </is>
      </c>
      <c r="I65" s="15">
        <f>KURALLAR!B17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548235"/>
    <outlinePr summaryBelow="1" summaryRight="1"/>
    <pageSetUpPr/>
  </sheetPr>
  <dimension ref="A1:AC16"/>
  <sheetViews>
    <sheetView showGridLines="0" workbookViewId="0">
      <selection activeCell="A1" sqref="A1"/>
    </sheetView>
  </sheetViews>
  <sheetFormatPr baseColWidth="8" defaultRowHeight="15"/>
  <cols>
    <col width="172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KILAVUZ — e-Belge Zorunluluk Radarı</t>
        </is>
      </c>
      <c r="B1" s="199" t="n"/>
      <c r="C1" s="199" t="n"/>
      <c r="D1" s="199" t="n"/>
      <c r="E1" s="199" t="n"/>
      <c r="F1" s="199" t="n"/>
      <c r="G1" s="199" t="n"/>
      <c r="H1" s="199" t="n"/>
      <c r="I1" s="199" t="n"/>
    </row>
    <row r="2"/>
    <row r="3" ht="22" customHeight="1">
      <c r="A3" s="218" t="inlineStr">
        <is>
          <t>Kullanım kılavuzu</t>
        </is>
      </c>
    </row>
    <row r="4"/>
    <row r="5">
      <c r="A5" s="8" t="inlineStr">
        <is>
          <t>1) GIRDI'de firma, yıl ve brüt satış hasılatını sarı hücrelere girin.</t>
        </is>
      </c>
    </row>
    <row r="6">
      <c r="A6" s="8" t="inlineStr">
        <is>
          <t>2) PANO'da karar, zorunlu belge adedi ve riski izleyin.</t>
        </is>
      </c>
    </row>
    <row r="7">
      <c r="A7" s="8" t="inlineStr">
        <is>
          <t>3) ENVANTER ve EYLEM_PLANI'da geçiş kartlarını güncelleyin.</t>
        </is>
      </c>
    </row>
    <row r="8">
      <c r="A8" s="8" t="inlineStr">
        <is>
          <t>4) SENARYO ile eşik değişimini (M-SEN) ve duyarlılığı görün.</t>
        </is>
      </c>
    </row>
    <row r="9">
      <c r="A9" s="8" t="inlineStr">
        <is>
          <t>5) VAKALAR tutarlılığını kontrol edin; KANIT_RAPORU'nu yazdırın.</t>
        </is>
      </c>
    </row>
    <row r="10"/>
    <row r="11"/>
    <row r="12">
      <c r="A12" s="54" t="inlineStr">
        <is>
          <t>Belirsizlik beyanı</t>
        </is>
      </c>
    </row>
    <row r="13">
      <c r="A13" s="6" t="inlineStr">
        <is>
          <t>Bu nokta mevzuatta tartışmalıdır; dosya yorum A ve yorum B sonucunu yan yana gösterir: ciro hesap dönemi (takvim yılı / özel hesap dönemi) — yorum A ve yorum B yan yana</t>
        </is>
      </c>
    </row>
    <row r="14"/>
    <row r="15"/>
    <row r="16">
      <c r="A16" s="56" t="inlineStr">
        <is>
          <t>Bu dosya karar destek aracıdır; GİB başvurusu veya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7:L7"/>
    <mergeCell ref="A5:L5"/>
    <mergeCell ref="A13:L13"/>
    <mergeCell ref="A8:L8"/>
    <mergeCell ref="A1:I1"/>
    <mergeCell ref="A6:L6"/>
    <mergeCell ref="A3:I3"/>
    <mergeCell ref="A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2026-08-10T21:51:20Z</dcterms:created>
  <dcterms:modified xmlns:dcterms="http://purl.org/dc/terms/" xmlns:xsi="http://www.w3.org/2001/XMLSchema-instance" xsi:type="dcterms:W3CDTF">2026-09-25T20:45:33Z</dcterms:modified>
</cp:coreProperties>
</file>