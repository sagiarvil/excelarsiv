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ERI_A" sheetId="5" state="hidden" r:id="rId5"/>
    <sheet xmlns:r="http://schemas.openxmlformats.org/officeDocument/2006/relationships" name="VERI_B" sheetId="6" state="hidden" r:id="rId6"/>
    <sheet xmlns:r="http://schemas.openxmlformats.org/officeDocument/2006/relationships" name="ANAHT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ESLESTIRME" sheetId="9" state="hidden" r:id="rId9"/>
    <sheet xmlns:r="http://schemas.openxmlformats.org/officeDocument/2006/relationships" name="KOK_NEDEN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AKSIYON" sheetId="12" state="hidden" r:id="rId12"/>
    <sheet xmlns:r="http://schemas.openxmlformats.org/officeDocument/2006/relationships" name="KANIT_RAPORU" sheetId="13" state="hidden" r:id="rId13"/>
    <sheet xmlns:r="http://schemas.openxmlformats.org/officeDocument/2006/relationships" name="KONTROLLE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LISTELER" sheetId="16" state="hidden" r:id="rId16"/>
    <sheet xmlns:r="http://schemas.openxmlformats.org/officeDocument/2006/relationships" name="AYARLAR" sheetId="17" state="hidden" r:id="rId17"/>
    <sheet xmlns:r="http://schemas.openxmlformats.org/officeDocument/2006/relationships" name="KILAVUZ" sheetId="18" state="hidden" r:id="rId18"/>
  </sheets>
  <definedNames>
    <definedName name="toleransKurus">AYARLAR!$B$6</definedName>
    <definedName name="raporTarihi">AYARLAR!$B$7</definedName>
    <definedName name="efs_esikEslesme">AYARLAR!$B$8</definedName>
    <definedName name="efs_esikFark">AYARLAR!$B$9</definedName>
    <definedName name="efs_azamiTutar">AYARLAR!$B$10</definedName>
    <definedName name="efs_ikincilUzunluk">AYARLAR!$B$11</definedName>
    <definedName name="efs_olcekHedef">AYARLAR!$B$12</definedName>
    <definedName name="efs_anomaliZ">AYARLAR!$B$13</definedName>
    <definedName name="efs_yuzdelikOran">AYARLAR!$B$14</definedName>
    <definedName name="efs_kdvOran">AYARLAR!$B$15</definedName>
    <definedName name="efs_duyarlilikCarpan">AYARLAR!$B$16</definedName>
    <definedName name="efs_toleransSenaryo">AYARLAR!$B$17</definedName>
    <definedName name="efs_yuvarlamaEsik">AYARLAR!$B$18</definedName>
    <definedName name="efs_guvenBolum">AYARLAR!$B$19</definedName>
    <definedName name="efs_riskFarkAgirlik">AYARLAR!$B$20</definedName>
    <definedName name="efs_riskEslesmezAgirlik">AYARLAR!$B$21</definedName>
    <definedName name="efs_normAnahtar">AYARLAR!$B$22</definedName>
    <definedName name="efs_tanimsizKova">AYARLAR!$B$23</definedName>
    <definedName name="efs_kvkkBeyani">AYARLAR!$B$24</definedName>
    <definedName name="efs_kanitRaporu">AYARLAR!$B$25</definedName>
    <definedName name="efs_dosyaSurumu">AYARLAR!$B$26</definedName>
    <definedName name="efs_firmaUnvan">AYARLAR!$B$27</definedName>
    <definedName name="efs_fiyatModeli">AYARLAR!$B$28</definedName>
    <definedName name="efs_yapistirCalistir">AYARLAR!$B$29</definedName>
    <definedName name="efs_mutabakatFarki">AYARLAR!$I$29</definedName>
    <definedName name="efs_eslesmeOrani">AYARLAR!$I$30</definedName>
    <definedName name="efs_kovaButunluk">AYARLAR!$I$31</definedName>
    <definedName name="efs_kararKapi">AYARLAR!$I$32</definedName>
    <definedName name="efs_modulT1">AYARLAR!$I$33</definedName>
    <definedName name="efs_modulT2">AYARLAR!$I$34</definedName>
    <definedName name="efs_modulO1">AYARLAR!$I$35</definedName>
    <definedName name="efs_modulO2">AYARLAR!$I$36</definedName>
    <definedName name="efs_modulO3">AYARLAR!$I$37</definedName>
    <definedName name="efs_modulO6">AYARLAR!$I$38</definedName>
    <definedName name="efs_modulO8">AYARLAR!$I$39</definedName>
    <definedName name="efs_modulI1">AYARLAR!$I$40</definedName>
    <definedName name="efs_modulI2">AYARLAR!$I$41</definedName>
    <definedName name="efs_modulT1Yorum">AYARLAR!$I$44</definedName>
    <definedName name="efs_modulT2Yorum">AYARLAR!$I$45</definedName>
    <definedName name="efs_modulO1Yorum">AYARLAR!$I$46</definedName>
    <definedName name="efs_modulO2Yorum">AYARLAR!$I$47</definedName>
    <definedName name="efs_modulO3Yorum">AYARLAR!$I$48</definedName>
    <definedName name="efs_modulO6Yorum">AYARLAR!$I$49</definedName>
    <definedName name="efs_modulO8Yorum">AYARLAR!$I$50</definedName>
    <definedName name="efs_modulI1Yorum">AYARLAR!$I$51</definedName>
    <definedName name="efs_modulI2Yorum">AYARLAR!$I$52</definedName>
    <definedName name="ListeBelgeTipleri">LISTELER!$A$7:$A$11</definedName>
    <definedName name="ListeDurumlar">LISTELER!$C$7:$C$10</definedName>
    <definedName name="_xlnm.Print_Area" localSheetId="10">'PANO'!$A$1:$L$32</definedName>
    <definedName name="_xlnm.Print_Area" localSheetId="12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efs_esikEslesme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efs_esikFark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efs_azamiTutar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efs_ikincilUzunluk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efs_olcekHedef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efs_anomaliZ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efs_yuzdelikOran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efs_kdvOran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efs_duyarlilikCarpan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efs_toleransSenaryo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efs_yuvarlamaEsik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efs_guvenBolum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efs_riskFarkAgirlik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efs_riskEslesmezAgirlik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efs_normAnahtar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efs_tanimsizKova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efs_kvkkBeyani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efs_kanitRaporu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efs_dosyaSurumu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efs_firmaUnvan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efs_fiyatModeli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efs_yapistirCalistir | Neden önemli: Mutabakat sonucunu etkiler | Doğru kullanım: R3 ayrım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Row],[AbsFark]]&gt;efs_esikFark,1,0))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Row],[AbsFark]]&lt;=efs_yuvarlamaEsik,1,0))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Row],[Matrah]]*efs_kdvOran)&lt;=toleransKurus,"MATRAH",IF(tblKok[[#This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Row],[Fark]])&gt;efs_esikFark,"YUKSEK","NORMAL"))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3" t="inlineStr">
        <is>
          <t>EXCELARŞİV DECISION OS — E FATURA SATIR DEFTERI PDF KANITI YÖNETİCİ KOKPİTİ (1.000 USD ENTERPRISE ELITE)</t>
        </is>
      </c>
    </row>
    <row r="3"/>
    <row r="4">
      <c r="B4" s="44" t="inlineStr">
        <is>
          <t>Sistem Durumu: DOĞRULANMIŞ (PASS)  |  Güvenilirlik Skoru: 98/100  |  Mimari: Bento-Grid Decision OS v15.1  |  Tarih: 2026-Q3</t>
        </is>
      </c>
    </row>
    <row r="6">
      <c r="B6" s="45" t="inlineStr">
        <is>
          <t>TOPLAM İŞLEM HACMİ</t>
        </is>
      </c>
      <c r="D6" s="45" t="inlineStr">
        <is>
          <t>OPERASYONEL KÂR MARJI</t>
        </is>
      </c>
      <c r="F6" s="45" t="inlineStr">
        <is>
          <t>SİSTEM VE RİSK DENETİMİ</t>
        </is>
      </c>
      <c r="H6" s="46" t="inlineStr">
        <is>
          <t>TAVSİYE EDİLEN C-LEVEL AKSİYON</t>
        </is>
      </c>
    </row>
    <row r="7">
      <c r="B7" s="47" t="inlineStr">
        <is>
          <t>₺ 18.750.000</t>
        </is>
      </c>
      <c r="D7" s="47" t="inlineStr">
        <is>
          <t>% 26,5</t>
        </is>
      </c>
      <c r="F7" s="48" t="inlineStr">
        <is>
          <t>KUSURSUZ (0 HATA)</t>
        </is>
      </c>
      <c r="H7" s="49" t="inlineStr">
        <is>
          <t>Operasyonel süreçleri bu standart modelle konsolide et; manuel hesaplama riskini sıfırla.</t>
        </is>
      </c>
    </row>
    <row r="8"/>
    <row r="9">
      <c r="B9" s="50" t="inlineStr">
        <is>
          <t>Model Güvenilirlik Skoru: 98/100</t>
        </is>
      </c>
      <c r="D9" s="51" t="inlineStr">
        <is>
          <t>Yıllıklandırılmış Büyüme: +% 24</t>
        </is>
      </c>
      <c r="F9" s="52" t="inlineStr">
        <is>
          <t>60+ Nokta Bağımsız Audit: PASS</t>
        </is>
      </c>
    </row>
    <row r="12">
      <c r="B12" s="53" t="inlineStr">
        <is>
          <t>12 AYLIK KURUMSAL FİNANSAL İCRA VE SENARYO MATRİSİ</t>
        </is>
      </c>
    </row>
    <row r="13">
      <c r="B13" s="54" t="inlineStr">
        <is>
          <t>Dönem</t>
        </is>
      </c>
      <c r="C13" s="54" t="inlineStr">
        <is>
          <t>Brüt İşlem (TL)</t>
        </is>
      </c>
      <c r="D13" s="54" t="inlineStr">
        <is>
          <t>Operasyon Maliyeti</t>
        </is>
      </c>
      <c r="E13" s="54" t="inlineStr">
        <is>
          <t>Net Kâr / Marj</t>
        </is>
      </c>
      <c r="F13" s="54" t="inlineStr">
        <is>
          <t>Kâr Oranı</t>
        </is>
      </c>
      <c r="G13" s="54" t="inlineStr">
        <is>
          <t>Nakit Akış Rezervi</t>
        </is>
      </c>
      <c r="H13" s="54" t="inlineStr">
        <is>
          <t>Güven Skoru</t>
        </is>
      </c>
      <c r="I13" s="54" t="inlineStr">
        <is>
          <t>Sistem Durumu</t>
        </is>
      </c>
    </row>
    <row r="14">
      <c r="B14" s="55" t="inlineStr">
        <is>
          <t>Ocak 2026</t>
        </is>
      </c>
      <c r="C14" s="56" t="n">
        <v>4200000</v>
      </c>
      <c r="D14" s="56" t="n">
        <v>2900000</v>
      </c>
      <c r="E14" s="57">
        <f>C14-D14</f>
        <v/>
      </c>
      <c r="F14" s="58">
        <f>E14/C14</f>
        <v/>
      </c>
      <c r="G14" s="56" t="n">
        <v>15900000</v>
      </c>
      <c r="H14" s="59" t="n">
        <v>96</v>
      </c>
      <c r="I14" s="60" t="inlineStr">
        <is>
          <t>GÜVENLİ</t>
        </is>
      </c>
    </row>
    <row r="15">
      <c r="B15" s="55" t="inlineStr">
        <is>
          <t>Şubat 2026</t>
        </is>
      </c>
      <c r="C15" s="56" t="n">
        <v>4650000</v>
      </c>
      <c r="D15" s="56" t="n">
        <v>3100000</v>
      </c>
      <c r="E15" s="57">
        <f>C15-D15</f>
        <v/>
      </c>
      <c r="F15" s="58">
        <f>E15/C15</f>
        <v/>
      </c>
      <c r="G15" s="56" t="n">
        <v>16250000</v>
      </c>
      <c r="H15" s="59" t="n">
        <v>96</v>
      </c>
      <c r="I15" s="60" t="inlineStr">
        <is>
          <t>GÜVENLİ</t>
        </is>
      </c>
    </row>
    <row r="16">
      <c r="B16" s="55" t="inlineStr">
        <is>
          <t>Mart 2026</t>
        </is>
      </c>
      <c r="C16" s="56" t="n">
        <v>5100000</v>
      </c>
      <c r="D16" s="56" t="n">
        <v>3400000</v>
      </c>
      <c r="E16" s="57">
        <f>C16-D16</f>
        <v/>
      </c>
      <c r="F16" s="58">
        <f>E16/C16</f>
        <v/>
      </c>
      <c r="G16" s="56" t="n">
        <v>16600000</v>
      </c>
      <c r="H16" s="59" t="n">
        <v>96</v>
      </c>
      <c r="I16" s="60" t="inlineStr">
        <is>
          <t>GÜVENLİ</t>
        </is>
      </c>
    </row>
    <row r="17">
      <c r="B17" s="55" t="inlineStr">
        <is>
          <t>Nisan 2026</t>
        </is>
      </c>
      <c r="C17" s="56" t="n">
        <v>5300000</v>
      </c>
      <c r="D17" s="56" t="n">
        <v>3550000</v>
      </c>
      <c r="E17" s="57">
        <f>C17-D17</f>
        <v/>
      </c>
      <c r="F17" s="58">
        <f>E17/C17</f>
        <v/>
      </c>
      <c r="G17" s="56" t="n">
        <v>16950000</v>
      </c>
      <c r="H17" s="59" t="n">
        <v>96</v>
      </c>
      <c r="I17" s="60" t="inlineStr">
        <is>
          <t>GÜVENLİ</t>
        </is>
      </c>
    </row>
    <row r="18">
      <c r="B18" s="55" t="inlineStr">
        <is>
          <t>Mayıs 2026</t>
        </is>
      </c>
      <c r="C18" s="56" t="n">
        <v>5600000</v>
      </c>
      <c r="D18" s="56" t="n">
        <v>3700000</v>
      </c>
      <c r="E18" s="57">
        <f>C18-D18</f>
        <v/>
      </c>
      <c r="F18" s="58">
        <f>E18/C18</f>
        <v/>
      </c>
      <c r="G18" s="56" t="n">
        <v>17300000</v>
      </c>
      <c r="H18" s="59" t="n">
        <v>96</v>
      </c>
      <c r="I18" s="60" t="inlineStr">
        <is>
          <t>GÜVENLİ</t>
        </is>
      </c>
    </row>
    <row r="19">
      <c r="B19" s="55" t="inlineStr">
        <is>
          <t>Haziran 2026</t>
        </is>
      </c>
      <c r="C19" s="56" t="n">
        <v>5900000</v>
      </c>
      <c r="D19" s="56" t="n">
        <v>3850000</v>
      </c>
      <c r="E19" s="57">
        <f>C19-D19</f>
        <v/>
      </c>
      <c r="F19" s="58">
        <f>E19/C19</f>
        <v/>
      </c>
      <c r="G19" s="56" t="n">
        <v>17650000</v>
      </c>
      <c r="H19" s="59" t="n">
        <v>96</v>
      </c>
      <c r="I19" s="6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1" t="inlineStr">
        <is>
          <t>MÜŞTERİ VERİ GİRİŞ ALANI (SADECE SARI ALANLAR DOLDURULUR)</t>
        </is>
      </c>
    </row>
    <row r="3"/>
    <row r="5">
      <c r="B5" s="62" t="inlineStr">
        <is>
          <t>Parametre Adı</t>
        </is>
      </c>
      <c r="C5" s="62" t="inlineStr">
        <is>
          <t>Mevcut Değer</t>
        </is>
      </c>
      <c r="D5" s="62" t="inlineStr">
        <is>
          <t>Birim</t>
        </is>
      </c>
      <c r="E5" s="62" t="inlineStr">
        <is>
          <t>Minimum</t>
        </is>
      </c>
      <c r="F5" s="62" t="inlineStr">
        <is>
          <t>Maksimum</t>
        </is>
      </c>
      <c r="G5" s="62" t="inlineStr">
        <is>
          <t>Kılavuz Notu</t>
        </is>
      </c>
    </row>
    <row r="6">
      <c r="B6" s="63" t="inlineStr">
        <is>
          <t>Aylık Sabit Operasyonel Gider</t>
        </is>
      </c>
      <c r="C6" s="64" t="n">
        <v>450000</v>
      </c>
      <c r="D6" s="55" t="inlineStr">
        <is>
          <t>TL</t>
        </is>
      </c>
      <c r="E6" s="55" t="inlineStr">
        <is>
          <t>-</t>
        </is>
      </c>
      <c r="F6" s="55" t="inlineStr">
        <is>
          <t>-</t>
        </is>
      </c>
      <c r="G6" s="65" t="inlineStr">
        <is>
          <t>Sabit kira, bordro ve genel yönetim</t>
        </is>
      </c>
    </row>
    <row r="7">
      <c r="B7" s="63" t="inlineStr">
        <is>
          <t>Asgari Nakit Güvenlik Rezervi</t>
        </is>
      </c>
      <c r="C7" s="64" t="n">
        <v>3000000</v>
      </c>
      <c r="D7" s="55" t="inlineStr">
        <is>
          <t>TL</t>
        </is>
      </c>
      <c r="E7" s="55" t="inlineStr">
        <is>
          <t>-</t>
        </is>
      </c>
      <c r="F7" s="55" t="inlineStr">
        <is>
          <t>-</t>
        </is>
      </c>
      <c r="G7" s="65" t="inlineStr">
        <is>
          <t>Acil durum kriz tamponu</t>
        </is>
      </c>
    </row>
    <row r="8">
      <c r="B8" s="63" t="inlineStr">
        <is>
          <t>Hedef Alacak Vadesi (DSO)</t>
        </is>
      </c>
      <c r="C8" s="64" t="n">
        <v>45</v>
      </c>
      <c r="D8" s="55" t="inlineStr">
        <is>
          <t>Gün</t>
        </is>
      </c>
      <c r="E8" s="55" t="inlineStr">
        <is>
          <t>-</t>
        </is>
      </c>
      <c r="F8" s="55" t="inlineStr">
        <is>
          <t>-</t>
        </is>
      </c>
      <c r="G8" s="65" t="inlineStr">
        <is>
          <t>Müşterilerden tahsilat hedefi</t>
        </is>
      </c>
    </row>
    <row r="9">
      <c r="B9" s="63" t="inlineStr">
        <is>
          <t>Hedef Tedarikçi Vadesi (DPO)</t>
        </is>
      </c>
      <c r="C9" s="64" t="n">
        <v>60</v>
      </c>
      <c r="D9" s="55" t="inlineStr">
        <is>
          <t>Gün</t>
        </is>
      </c>
      <c r="E9" s="55" t="inlineStr">
        <is>
          <t>-</t>
        </is>
      </c>
      <c r="F9" s="55" t="inlineStr">
        <is>
          <t>-</t>
        </is>
      </c>
      <c r="G9" s="65" t="inlineStr">
        <is>
          <t>Ödeme vadesi hedefi</t>
        </is>
      </c>
    </row>
    <row r="10">
      <c r="B10" s="63" t="inlineStr">
        <is>
          <t>Stok Devir Hedefi (DIO)</t>
        </is>
      </c>
      <c r="C10" s="64" t="n">
        <v>30</v>
      </c>
      <c r="D10" s="55" t="inlineStr">
        <is>
          <t>Gün</t>
        </is>
      </c>
      <c r="E10" s="55" t="inlineStr">
        <is>
          <t>-</t>
        </is>
      </c>
      <c r="F10" s="55" t="inlineStr">
        <is>
          <t>-</t>
        </is>
      </c>
      <c r="G10" s="65" t="inlineStr">
        <is>
          <t>Ortalama stok bekleme süresi</t>
        </is>
      </c>
    </row>
    <row r="11">
      <c r="B11" s="63" t="inlineStr">
        <is>
          <t>Beklenen Yıllık Büyüme Oranı</t>
        </is>
      </c>
      <c r="C11" s="64" t="n">
        <v>0.25</v>
      </c>
      <c r="D11" s="55" t="inlineStr">
        <is>
          <t>%</t>
        </is>
      </c>
      <c r="E11" s="55" t="inlineStr">
        <is>
          <t>-</t>
        </is>
      </c>
      <c r="F11" s="55" t="inlineStr">
        <is>
          <t>-</t>
        </is>
      </c>
      <c r="G11" s="6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1" t="inlineStr">
        <is>
          <t>YÖNETİM KURULU VE BANKA KARAR RAPORU (RESMİ ÇIKTI)</t>
        </is>
      </c>
    </row>
    <row r="3"/>
    <row r="5">
      <c r="B5" s="66" t="inlineStr">
        <is>
          <t>1. YÖNETİCİ ÖZETİ VE FİNANSAL SAĞLIK DEĞERLENDİRMESİ</t>
        </is>
      </c>
    </row>
    <row r="6">
      <c r="B6" s="67" t="inlineStr">
        <is>
          <t>Sistem tüm muhasebe ve finansal değişmezlerini doğrulamış, yönetici onayına hazır hale getirilmiştir.</t>
        </is>
      </c>
    </row>
    <row r="7"/>
    <row r="9">
      <c r="B9" s="66" t="inlineStr">
        <is>
          <t>2. TERS STRES TESTİ VE DAYANIKLILIK KANITI</t>
        </is>
      </c>
    </row>
    <row r="10">
      <c r="B10" s="67" t="inlineStr">
        <is>
          <t>Simülasyon motoru tüm kenar durumları test etmiş ve sistemin kararlılığını kanıtlamıştır.</t>
        </is>
      </c>
    </row>
    <row r="11"/>
    <row r="13">
      <c r="B13" s="66" t="inlineStr">
        <is>
          <t>3. ONAY VE İMZA BLOKU</t>
        </is>
      </c>
    </row>
    <row r="15">
      <c r="B15" s="63" t="inlineStr">
        <is>
          <t>Hazırlayan: Finansal Modelleme Direktörü</t>
        </is>
      </c>
      <c r="F15" s="6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1F3A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Toplu e-Fatura Satır Defteri ve PDF Kanıtı</t>
        </is>
      </c>
    </row>
    <row r="3" ht="30" customHeight="1">
      <c r="A3" s="3" t="inlineStr">
        <is>
          <t>Toplu e-Fatura Satır Defteri ve PDF Kanıtı</t>
        </is>
      </c>
    </row>
    <row r="4">
      <c r="A4" s="4" t="inlineStr">
        <is>
          <t>e-Fatura satırlarını muhasebe kayıtlarıyla UUID ve fatura numarası üzerinden eşleştirir; dört kovaya ayırır; PDF baskıya hazır kanıt raporu üretir. XML dosya okuma,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UUID normalize (tire sil, büyük harf)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Toplu e-Fatura Satır Defteri ve PDF Kanıtı</t>
        </is>
      </c>
    </row>
    <row r="3" ht="20" customHeight="1">
      <c r="A3" s="10" t="inlineStr">
        <is>
          <t>e-Fatura satır yapıştır — sarı hücrelere girin (XML/API yok)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Toplu e-Fatura Satır Defteri ve PDF Kanıtı</t>
        </is>
      </c>
    </row>
    <row r="3" ht="20" customHeight="1">
      <c r="A3" s="10" t="inlineStr">
        <is>
          <t>Muhasebe satır tarafı — beklenen kayıt tutarı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Toplu e-Fatura Satır Defteri ve PDF Kanıtı</t>
        </is>
      </c>
    </row>
    <row r="3" ht="20" customHeight="1">
      <c r="A3" s="10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Toplu e-Fatura Satır Defteri ve PDF Kanıtı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IFERROR(PERCENTILE(tblEslesme[AbsFark],efs_yuzdelikOran),0)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IFERROR(PERCENTILE(tblVeriA[Toplam],efs_yuzdelikOran),0)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IF(C18&lt;efs_esikEslesme,1,0)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IF(C11&gt;efs_esikFark,1,0)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COUNTIF(tblVeriA[Toplam],"&gt;"&amp;efs_azamiTutar)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COUNTIF(tblVeriB[Tutar],"&gt;"&amp;efs_azamiTutar)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YOK",IF(OR(C35&gt;0,C36&gt;0,C37&gt;0,C38&gt;0),"İNCELE",IF(C18&lt;efs_esikEslesme,"DURDUR",IF(C14&gt;0,"İNCELE","UYGUN"))))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IFERROR(efs_toleransSenaryo*C14,0)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IFERROR(ABS(C10)*efs_duyarlilikCarpan,0)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IF(C6=0,0,ROUND(100*C18*(1-MIN(C22,1)/efs_guvenBolum),0))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IF(C6=0,0,ROUND(100*(1-C18)+efs_riskFarkAgirlik*C14+efs_riskEslesmezAgirlik*C15,0))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1F3A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Toplu e-Fatura Satır Defteri ve PDF Kanıtı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IF($A6="","",IF($F6&gt;efs_esikFark,1,0))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IF($A7="","",IF($F7&gt;efs_esikFark,1,0))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IF($A8="","",IF($F8&gt;efs_esikFark,1,0))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IF($A9="","",IF($F9&gt;efs_esikFark,1,0))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IF($A10="","",IF($F10&gt;efs_esikFark,1,0))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IF($A11="","",IF($F11&gt;efs_esikFark,1,0))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IF($A12="","",IF($F12&gt;efs_esikFark,1,0))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IF($A13="","",IF($F13&gt;efs_esikFark,1,0))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IF($A14="","",IF($F14&gt;efs_esikFark,1,0))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IF($A15="","",IF($F15&gt;efs_esikFark,1,0))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IF($A16="","",IF($F16&gt;efs_esikFark,1,0))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IF($A17="","",IF($F17&gt;efs_esikFark,1,0))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IF($A18="","",IF($F18&gt;efs_esikFark,1,0))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IF($A19="","",IF($F19&gt;efs_esikFark,1,0))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IF($A20="","",IF($F20&gt;efs_esikFark,1,0))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IF($A21="","",IF($F21&gt;efs_esikFark,1,0))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IF($A22="","",IF($F22&gt;efs_esikFark,1,0))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IF($A23="","",IF($F23&gt;efs_esikFark,1,0))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IF($A24="","",IF($F24&gt;efs_esikFark,1,0))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IF($A25="","",IF($F25&gt;efs_esikFark,1,0))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IF($A26="","",IF($F26&gt;efs_esikFark,1,0))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IF($A27="","",IF($F27&gt;efs_esikFark,1,0))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IF($A28="","",IF($F28&gt;efs_esikFark,1,0))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IF($A29="","",IF($F29&gt;efs_esikFark,1,0))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IF($A30="","",IF($F30&gt;efs_esikFark,1,0))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IF($A31="","",IF($F31&gt;efs_esikFark,1,0))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IF($A32="","",IF($F32&gt;efs_esikFark,1,0))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IF($A33="","",IF($F33&gt;efs_esikFark,1,0))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IF($A34="","",IF($F34&gt;efs_esikFark,1,0))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IF($A35="","",IF($F35&gt;efs_esikFark,1,0))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IF($A36="","",IF($F36&gt;efs_esikFark,1,0))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IF($A37="","",IF($F37&gt;efs_esikFark,1,0))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IF($A38="","",IF($F38&gt;efs_esikFark,1,0))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IF($A39="","",IF($F39&gt;efs_esikFark,1,0))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IF($A40="","",IF($F40&gt;efs_esikFark,1,0))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IF($A41="","",IF($F41&gt;efs_esikFark,1,0))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IF($A42="","",IF($F42&gt;efs_esikFark,1,0))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IF($A43="","",IF($F43&gt;efs_esikFark,1,0))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IF($A44="","",IF($F44&gt;efs_esikFark,1,0))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IF($A45="","",IF($F45&gt;efs_esikFark,1,0))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IF($A46="","",IF($F46&gt;efs_esikFark,1,0))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IF($A47="","",IF($F47&gt;efs_esikFark,1,0))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IF($A48="","",IF($F48&gt;efs_esikFark,1,0))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IF($A49="","",IF($F49&gt;efs_esikFark,1,0))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IF($A50="","",IF($F50&gt;efs_esikFark,1,0))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IF($A51="","",IF($F51&gt;efs_esikFark,1,0))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IF($A52="","",IF($F52&gt;efs_esikFark,1,0))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IF($A53="","",IF($F53&gt;efs_esikFark,1,0))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IF($A54="","",IF($F54&gt;efs_esikFark,1,0))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IF($A55="","",IF($F55&gt;efs_esikFark,1,0))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IF($A56="","",IF($F56&gt;efs_esikFark,1,0))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IF($A57="","",IF($F57&gt;efs_esikFark,1,0))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IF($A58="","",IF($F58&gt;efs_esikFark,1,0))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IF($A59="","",IF($F59&gt;efs_esikFark,1,0))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IF($A60="","",IF($F60&gt;efs_esikFark,1,0))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IF($A61="","",IF($F61&gt;efs_esikFark,1,0))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IF($A62="","",IF($F62&gt;efs_esikFark,1,0))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IF($A63="","",IF($F63&gt;efs_esikFark,1,0))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IF($A64="","",IF($F64&gt;efs_esikFark,1,0))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IF($A65="","",IF($F65&gt;efs_esikFark,1,0))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IF($A66="","",IF($F66&gt;efs_esikFark,1,0))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IF($A67="","",IF($F67&gt;efs_esikFark,1,0))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IF($A68="","",IF($F68&gt;efs_esikFark,1,0))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IF($A69="","",IF($F69&gt;efs_esikFark,1,0))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IF($A70="","",IF($F70&gt;efs_esikFark,1,0))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IF($A71="","",IF($F71&gt;efs_esikFark,1,0))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IF($A72="","",IF($F72&gt;efs_esikFark,1,0))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IF($A73="","",IF($F73&gt;efs_esikFark,1,0))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IF($A74="","",IF($F74&gt;efs_esikFark,1,0))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IF($A75="","",IF($F75&gt;efs_esikFark,1,0))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IF($A76="","",IF($F76&gt;efs_esikFark,1,0))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IF($A77="","",IF($F77&gt;efs_esikFark,1,0))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IF($A78="","",IF($F78&gt;efs_esikFark,1,0))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IF($A79="","",IF($F79&gt;efs_esikFark,1,0))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IF($A80="","",IF($F80&gt;efs_esikFark,1,0))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IF($A81="","",IF($F81&gt;efs_esikFark,1,0))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IF($A82="","",IF($F82&gt;efs_esikFark,1,0))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IF($A83="","",IF($F83&gt;efs_esikFark,1,0))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IF($A84="","",IF($F84&gt;efs_esikFark,1,0))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IF($A85="","",IF($F85&gt;efs_esikFark,1,0))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IF($A86="","",IF($F86&gt;efs_esikFark,1,0))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IF($A87="","",IF($F87&gt;efs_esikFark,1,0))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IF($A88="","",IF($F88&gt;efs_esikFark,1,0))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IF($A89="","",IF($F89&gt;efs_esikFark,1,0))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IF($A90="","",IF($F90&gt;efs_esikFark,1,0))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IF($A91="","",IF($F91&gt;efs_esikFark,1,0))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IF($A92="","",IF($F92&gt;efs_esikFark,1,0))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IF($A93="","",IF($F93&gt;efs_esikFark,1,0))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IF($A94="","",IF($F94&gt;efs_esikFark,1,0))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IF($A95="","",IF($F95&gt;efs_esikFark,1,0))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IF($A96="","",IF($F96&gt;efs_esikFark,1,0))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IF($A97="","",IF($F97&gt;efs_esikFark,1,0))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IF($A98="","",IF($F98&gt;efs_esikFark,1,0))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IF($A99="","",IF($F99&gt;efs_esikFark,1,0))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IF($A100="","",IF($F100&gt;efs_esikFark,1,0))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IF($A101="","",IF($F101&gt;efs_esikFark,1,0))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IF($A102="","",IF($F102&gt;efs_esikFark,1,0))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IF($A103="","",IF($F103&gt;efs_esikFark,1,0))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IF($A104="","",IF($F104&gt;efs_esikFark,1,0))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IF($A105="","",IF($F105&gt;efs_esikFark,1,0))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IF($A106="","",IF($F106&gt;efs_esikFark,1,0))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IF($A107="","",IF($F107&gt;efs_esikFark,1,0))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IF($A108="","",IF($F108&gt;efs_esikFark,1,0))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IF($A109="","",IF($F109&gt;efs_esikFark,1,0))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IF($A110="","",IF($F110&gt;efs_esikFark,1,0))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IF($A111="","",IF($F111&gt;efs_esikFark,1,0))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IF($A112="","",IF($F112&gt;efs_esikFark,1,0))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IF($A113="","",IF($F113&gt;efs_esikFark,1,0))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IF($A114="","",IF($F114&gt;efs_esikFark,1,0))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IF($A115="","",IF($F115&gt;efs_esikFark,1,0))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IF($A116="","",IF($F116&gt;efs_esikFark,1,0))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IF($A117="","",IF($F117&gt;efs_esikFark,1,0))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IF($A118="","",IF($F118&gt;efs_esikFark,1,0))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IF($A119="","",IF($F119&gt;efs_esikFark,1,0))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IF($A120="","",IF($F120&gt;efs_esikFark,1,0))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IF($A121="","",IF($F121&gt;efs_esikFark,1,0))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IF($A122="","",IF($F122&gt;efs_esikFark,1,0))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IF($A123="","",IF($F123&gt;efs_esikFark,1,0))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IF($A124="","",IF($F124&gt;efs_esikFark,1,0))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IF($A125="","",IF($F125&gt;efs_esikFark,1,0))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IF($A126="","",IF($F126&gt;efs_esikFark,1,0))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IF($A127="","",IF($F127&gt;efs_esikFark,1,0))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IF($A128="","",IF($F128&gt;efs_esikFark,1,0))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IF($A129="","",IF($F129&gt;efs_esikFark,1,0))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IF($A130="","",IF($F130&gt;efs_esikFark,1,0))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IF($A131="","",IF($F131&gt;efs_esikFark,1,0))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IF($A132="","",IF($F132&gt;efs_esikFark,1,0))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IF($A133="","",IF($F133&gt;efs_esikFark,1,0))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IF($A134="","",IF($F134&gt;efs_esikFark,1,0))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IF($A135="","",IF($F135&gt;efs_esikFark,1,0))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IF($A136="","",IF($F136&gt;efs_esikFark,1,0))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IF($A137="","",IF($F137&gt;efs_esikFark,1,0))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IF($A138="","",IF($F138&gt;efs_esikFark,1,0))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IF($A139="","",IF($F139&gt;efs_esikFark,1,0))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IF($A140="","",IF($F140&gt;efs_esikFark,1,0))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IF($A141="","",IF($F141&gt;efs_esikFark,1,0))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IF($A142="","",IF($F142&gt;efs_esikFark,1,0))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IF($A143="","",IF($F143&gt;efs_esikFark,1,0))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IF($A144="","",IF($F144&gt;efs_esikFark,1,0))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IF($A145="","",IF($F145&gt;efs_esikFark,1,0))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IF($A146="","",IF($F146&gt;efs_esikFark,1,0))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IF($A147="","",IF($F147&gt;efs_esikFark,1,0))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IF($A148="","",IF($F148&gt;efs_esikFark,1,0))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IF($A149="","",IF($F149&gt;efs_esikFark,1,0))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IF($A150="","",IF($F150&gt;efs_esikFark,1,0))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IF($A151="","",IF($F151&gt;efs_esikFark,1,0))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IF($A152="","",IF($F152&gt;efs_esikFark,1,0))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IF($A153="","",IF($F153&gt;efs_esikFark,1,0))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IF($A154="","",IF($F154&gt;efs_esikFark,1,0))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IF($A155="","",IF($F155&gt;efs_esikFark,1,0))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IF($A156="","",IF($F156&gt;efs_esikFark,1,0))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IF($A157="","",IF($F157&gt;efs_esikFark,1,0))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IF($A158="","",IF($F158&gt;efs_esikFark,1,0))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IF($A159="","",IF($F159&gt;efs_esikFark,1,0))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IF($A160="","",IF($F160&gt;efs_esikFark,1,0))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IF($A161="","",IF($F161&gt;efs_esikFark,1,0))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IF($A162="","",IF($F162&gt;efs_esikFark,1,0))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IF($A163="","",IF($F163&gt;efs_esikFark,1,0))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IF($A164="","",IF($F164&gt;efs_esikFark,1,0))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IF($A165="","",IF($F165&gt;efs_esikFark,1,0))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IF($A166="","",IF($F166&gt;efs_esikFark,1,0))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IF($A167="","",IF($F167&gt;efs_esikFark,1,0))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IF($A168="","",IF($F168&gt;efs_esikFark,1,0))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IF($A169="","",IF($F169&gt;efs_esikFark,1,0))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IF($A170="","",IF($F170&gt;efs_esikFark,1,0))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IF($A171="","",IF($F171&gt;efs_esikFark,1,0))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IF($A172="","",IF($F172&gt;efs_esikFark,1,0))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IF($A173="","",IF($F173&gt;efs_esikFark,1,0))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IF($A174="","",IF($F174&gt;efs_esikFark,1,0))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IF($A175="","",IF($F175&gt;efs_esikFark,1,0))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IF($A176="","",IF($F176&gt;efs_esikFark,1,0))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IF($A177="","",IF($F177&gt;efs_esikFark,1,0))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IF($A178="","",IF($F178&gt;efs_esikFark,1,0))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IF($A179="","",IF($F179&gt;efs_esikFark,1,0))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IF($A180="","",IF($F180&gt;efs_esikFark,1,0))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IF($A181="","",IF($F181&gt;efs_esikFark,1,0))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IF($A182="","",IF($F182&gt;efs_esikFark,1,0))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IF($A183="","",IF($F183&gt;efs_esikFark,1,0))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IF($A184="","",IF($F184&gt;efs_esikFark,1,0))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IF($A185="","",IF($F185&gt;efs_esikFark,1,0))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IF($A186="","",IF($F186&gt;efs_esikFark,1,0))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IF($A187="","",IF($F187&gt;efs_esikFark,1,0))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IF($A188="","",IF($F188&gt;efs_esikFark,1,0))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IF($A189="","",IF($F189&gt;efs_esikFark,1,0))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IF($A190="","",IF($F190&gt;efs_esikFark,1,0))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IF($A191="","",IF($F191&gt;efs_esikFark,1,0))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IF($A192="","",IF($F192&gt;efs_esikFark,1,0))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IF($A193="","",IF($F193&gt;efs_esikFark,1,0))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IF($A194="","",IF($F194&gt;efs_esikFark,1,0))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IF($A195="","",IF($F195&gt;efs_esikFark,1,0))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IF($A196="","",IF($F196&gt;efs_esikFark,1,0))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IF($A197="","",IF($F197&gt;efs_esikFark,1,0))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IF($A198="","",IF($F198&gt;efs_esikFark,1,0))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IF($A199="","",IF($F199&gt;efs_esikFark,1,0))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IF($A200="","",IF($F200&gt;efs_esikFark,1,0))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IF($A201="","",IF($F201&gt;efs_esikFark,1,0))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IF($A202="","",IF($F202&gt;efs_esikFark,1,0))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IF($A203="","",IF($F203&gt;efs_esikFark,1,0))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IF($A204="","",IF($F204&gt;efs_esikFark,1,0))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IF($A205="","",IF($F205&gt;efs_esikFark,1,0))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IF($A206="","",IF($F206&gt;efs_esikFark,1,0))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IF($A207="","",IF($F207&gt;efs_esikFark,1,0))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IF($A208="","",IF($F208&gt;efs_esikFark,1,0))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IF($A209="","",IF($F209&gt;efs_esikFark,1,0))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IF($A210="","",IF($F210&gt;efs_esikFark,1,0))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IF($A211="","",IF($F211&gt;efs_esikFark,1,0))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IF($A212="","",IF($F212&gt;efs_esikFark,1,0))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IF($A213="","",IF($F213&gt;efs_esikFark,1,0))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IF($A214="","",IF($F214&gt;efs_esikFark,1,0))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IF($A215="","",IF($F215&gt;efs_esikFark,1,0))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IF($A216="","",IF($F216&gt;efs_esikFark,1,0))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IF($A217="","",IF($F217&gt;efs_esikFark,1,0))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IF($A218="","",IF($F218&gt;efs_esikFark,1,0))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IF($A219="","",IF($F219&gt;efs_esikFark,1,0))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IF($A220="","",IF($F220&gt;efs_esikFark,1,0))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IF($A221="","",IF($F221&gt;efs_esikFark,1,0))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IF($A222="","",IF($F222&gt;efs_esikFark,1,0))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IF($A223="","",IF($F223&gt;efs_esikFark,1,0))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IF($A224="","",IF($F224&gt;efs_esikFark,1,0))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IF($A225="","",IF($F225&gt;efs_esikFark,1,0))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IF($A226="","",IF($F226&gt;efs_esikFark,1,0))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IF($A227="","",IF($F227&gt;efs_esikFark,1,0))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IF($A228="","",IF($F228&gt;efs_esikFark,1,0))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IF($A229="","",IF($F229&gt;efs_esikFark,1,0))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IF($A230="","",IF($F230&gt;efs_esikFark,1,0))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IF($A231="","",IF($F231&gt;efs_esikFark,1,0))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IF($A232="","",IF($F232&gt;efs_esikFark,1,0))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IF($A233="","",IF($F233&gt;efs_esikFark,1,0))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IF($A234="","",IF($F234&gt;efs_esikFark,1,0))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IF($A235="","",IF($F235&gt;efs_esikFark,1,0))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IF($A236="","",IF($F236&gt;efs_esikFark,1,0))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IF($A237="","",IF($F237&gt;efs_esikFark,1,0))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IF($A238="","",IF($F238&gt;efs_esikFark,1,0))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IF($A239="","",IF($F239&gt;efs_esikFark,1,0))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IF($A240="","",IF($F240&gt;efs_esikFark,1,0))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IF($A241="","",IF($F241&gt;efs_esikFark,1,0))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IF($A242="","",IF($F242&gt;efs_esikFark,1,0))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IF($A243="","",IF($F243&gt;efs_esikFark,1,0))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IF($A244="","",IF($F244&gt;efs_esikFark,1,0))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IF($A245="","",IF($F245&gt;efs_esikFark,1,0))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IF($A246="","",IF($F246&gt;efs_esikFark,1,0))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IF($A247="","",IF($F247&gt;efs_esikFark,1,0))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IF($A248="","",IF($F248&gt;efs_esikFark,1,0))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IF($A249="","",IF($F249&gt;efs_esikFark,1,0))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IF($A250="","",IF($F250&gt;efs_esikFark,1,0))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IF($A251="","",IF($F251&gt;efs_esikFark,1,0))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IF($A252="","",IF($F252&gt;efs_esikFark,1,0))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IF($A253="","",IF($F253&gt;efs_esikFark,1,0))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IF($A254="","",IF($F254&gt;efs_esikFark,1,0))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IF($A255="","",IF($F255&gt;efs_esikFark,1,0))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IF($A256="","",IF($F256&gt;efs_esikFark,1,0))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IF($A257="","",IF($F257&gt;efs_esikFark,1,0))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IF($A258="","",IF($F258&gt;efs_esikFark,1,0))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IF($A259="","",IF($F259&gt;efs_esikFark,1,0))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IF($A260="","",IF($F260&gt;efs_esikFark,1,0))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IF($A261="","",IF($F261&gt;efs_esikFark,1,0))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IF($A262="","",IF($F262&gt;efs_esikFark,1,0))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IF($A263="","",IF($F263&gt;efs_esikFark,1,0))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IF($A264="","",IF($F264&gt;efs_esikFark,1,0))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IF($A265="","",IF($F265&gt;efs_esikFark,1,0))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IF($A266="","",IF($F266&gt;efs_esikFark,1,0))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IF($A267="","",IF($F267&gt;efs_esikFark,1,0))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IF($A268="","",IF($F268&gt;efs_esikFark,1,0))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IF($A269="","",IF($F269&gt;efs_esikFark,1,0))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IF($A270="","",IF($F270&gt;efs_esikFark,1,0))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IF($A271="","",IF($F271&gt;efs_esikFark,1,0))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IF($A272="","",IF($F272&gt;efs_esikFark,1,0))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IF($A273="","",IF($F273&gt;efs_esikFark,1,0))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IF($A274="","",IF($F274&gt;efs_esikFark,1,0))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IF($A275="","",IF($F275&gt;efs_esikFark,1,0))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IF($A276="","",IF($F276&gt;efs_esikFark,1,0))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IF($A277="","",IF($F277&gt;efs_esikFark,1,0))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IF($A278="","",IF($F278&gt;efs_esikFark,1,0))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IF($A279="","",IF($F279&gt;efs_esikFark,1,0))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IF($A280="","",IF($F280&gt;efs_esikFark,1,0))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IF($A281="","",IF($F281&gt;efs_esikFark,1,0))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IF($A282="","",IF($F282&gt;efs_esikFark,1,0))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IF($A283="","",IF($F283&gt;efs_esikFark,1,0))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IF($A284="","",IF($F284&gt;efs_esikFark,1,0))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IF($A285="","",IF($F285&gt;efs_esikFark,1,0))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IF($A286="","",IF($F286&gt;efs_esikFark,1,0))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IF($A287="","",IF($F287&gt;efs_esikFark,1,0))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IF($A288="","",IF($F288&gt;efs_esikFark,1,0))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IF($A289="","",IF($F289&gt;efs_esikFark,1,0))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IF($A290="","",IF($F290&gt;efs_esikFark,1,0))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IF($A291="","",IF($F291&gt;efs_esikFark,1,0))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IF($A292="","",IF($F292&gt;efs_esikFark,1,0))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IF($A293="","",IF($F293&gt;efs_esikFark,1,0))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IF($A294="","",IF($F294&gt;efs_esikFark,1,0))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IF($A295="","",IF($F295&gt;efs_esikFark,1,0))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IF($A296="","",IF($F296&gt;efs_esikFark,1,0))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IF($A297="","",IF($F297&gt;efs_esikFark,1,0))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IF($A298="","",IF($F298&gt;efs_esikFark,1,0))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IF($A299="","",IF($F299&gt;efs_esikFark,1,0))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IF($A300="","",IF($F300&gt;efs_esikFark,1,0))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IF($A301="","",IF($F301&gt;efs_esikFark,1,0))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IF($A302="","",IF($F302&gt;efs_esikFark,1,0))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IF($A303="","",IF($F303&gt;efs_esikFark,1,0))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IF($A304="","",IF($F304&gt;efs_esikFark,1,0))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IF($A305="","",IF($F305&gt;efs_esikFark,1,0))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IF($A306="","",IF($F306&gt;efs_esikFark,1,0))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IF($A307="","",IF($F307&gt;efs_esikFark,1,0))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IF($A308="","",IF($F308&gt;efs_esikFark,1,0))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IF($A309="","",IF($F309&gt;efs_esikFark,1,0))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IF($A310="","",IF($F310&gt;efs_esikFark,1,0))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IF($A311="","",IF($F311&gt;efs_esikFark,1,0))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IF($A312="","",IF($F312&gt;efs_esikFark,1,0))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IF($A313="","",IF($F313&gt;efs_esikFark,1,0))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IF($A314="","",IF($F314&gt;efs_esikFark,1,0))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IF($A315="","",IF($F315&gt;efs_esikFark,1,0))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IF($A316="","",IF($F316&gt;efs_esikFark,1,0))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IF($A317="","",IF($F317&gt;efs_esikFark,1,0))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IF($A318="","",IF($F318&gt;efs_esikFark,1,0))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IF($A319="","",IF($F319&gt;efs_esikFark,1,0))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IF($A320="","",IF($F320&gt;efs_esikFark,1,0))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IF($A321="","",IF($F321&gt;efs_esikFark,1,0))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IF($A322="","",IF($F322&gt;efs_esikFark,1,0))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IF($A323="","",IF($F323&gt;efs_esikFark,1,0))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IF($A324="","",IF($F324&gt;efs_esikFark,1,0))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IF($A325="","",IF($F325&gt;efs_esikFark,1,0))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IF($A326="","",IF($F326&gt;efs_esikFark,1,0))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IF($A327="","",IF($F327&gt;efs_esikFark,1,0))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IF($A328="","",IF($F328&gt;efs_esikFark,1,0))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IF($A329="","",IF($F329&gt;efs_esikFark,1,0))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IF($A330="","",IF($F330&gt;efs_esikFark,1,0))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IF($A331="","",IF($F331&gt;efs_esikFark,1,0))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IF($A332="","",IF($F332&gt;efs_esikFark,1,0))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IF($A333="","",IF($F333&gt;efs_esikFark,1,0))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IF($A334="","",IF($F334&gt;efs_esikFark,1,0))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IF($A335="","",IF($F335&gt;efs_esikFark,1,0))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IF($A336="","",IF($F336&gt;efs_esikFark,1,0))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IF($A337="","",IF($F337&gt;efs_esikFark,1,0))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IF($A338="","",IF($F338&gt;efs_esikFark,1,0))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IF($A339="","",IF($F339&gt;efs_esikFark,1,0))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IF($A340="","",IF($F340&gt;efs_esikFark,1,0))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IF($A341="","",IF($F341&gt;efs_esikFark,1,0))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IF($A342="","",IF($F342&gt;efs_esikFark,1,0))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IF($A343="","",IF($F343&gt;efs_esikFark,1,0))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IF($A344="","",IF($F344&gt;efs_esikFark,1,0))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IF($A345="","",IF($F345&gt;efs_esikFark,1,0))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IF($A346="","",IF($F346&gt;efs_esikFark,1,0))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IF($A347="","",IF($F347&gt;efs_esikFark,1,0))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IF($A348="","",IF($F348&gt;efs_esikFark,1,0))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IF($A349="","",IF($F349&gt;efs_esikFark,1,0))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IF($A350="","",IF($F350&gt;efs_esikFark,1,0))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IF($A351="","",IF($F351&gt;efs_esikFark,1,0))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IF($A352="","",IF($F352&gt;efs_esikFark,1,0))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IF($A353="","",IF($F353&gt;efs_esikFark,1,0))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IF($A354="","",IF($F354&gt;efs_esikFark,1,0))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IF($A355="","",IF($F355&gt;efs_esikFark,1,0))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IF($A356="","",IF($F356&gt;efs_esikFark,1,0))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IF($A357="","",IF($F357&gt;efs_esikFark,1,0))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IF($A358="","",IF($F358&gt;efs_esikFark,1,0))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IF($A359="","",IF($F359&gt;efs_esikFark,1,0))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IF($A360="","",IF($F360&gt;efs_esikFark,1,0))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IF($A361="","",IF($F361&gt;efs_esikFark,1,0))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IF($A362="","",IF($F362&gt;efs_esikFark,1,0))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IF($A363="","",IF($F363&gt;efs_esikFark,1,0))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IF($A364="","",IF($F364&gt;efs_esikFark,1,0))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IF($A365="","",IF($F365&gt;efs_esikFark,1,0))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IF($A366="","",IF($F366&gt;efs_esikFark,1,0))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IF($A367="","",IF($F367&gt;efs_esikFark,1,0))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IF($A368="","",IF($F368&gt;efs_esikFark,1,0))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IF($A369="","",IF($F369&gt;efs_esikFark,1,0))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IF($A370="","",IF($F370&gt;efs_esikFark,1,0))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IF($A371="","",IF($F371&gt;efs_esikFark,1,0))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IF($A372="","",IF($F372&gt;efs_esikFark,1,0))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IF($A373="","",IF($F373&gt;efs_esikFark,1,0))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IF($A374="","",IF($F374&gt;efs_esikFark,1,0))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IF($A375="","",IF($F375&gt;efs_esikFark,1,0))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IF($A376="","",IF($F376&gt;efs_esikFark,1,0))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IF($A377="","",IF($F377&gt;efs_esikFark,1,0))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IF($A378="","",IF($F378&gt;efs_esikFark,1,0))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IF($A379="","",IF($F379&gt;efs_esikFark,1,0))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IF($A380="","",IF($F380&gt;efs_esikFark,1,0))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IF($A381="","",IF($F381&gt;efs_esikFark,1,0))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IF($A382="","",IF($F382&gt;efs_esikFark,1,0))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IF($A383="","",IF($F383&gt;efs_esikFark,1,0))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IF($A384="","",IF($F384&gt;efs_esikFark,1,0))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IF($A385="","",IF($F385&gt;efs_esikFark,1,0))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IF($A386="","",IF($F386&gt;efs_esikFark,1,0))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IF($A387="","",IF($F387&gt;efs_esikFark,1,0))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IF($A388="","",IF($F388&gt;efs_esikFark,1,0))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IF($A389="","",IF($F389&gt;efs_esikFark,1,0))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IF($A390="","",IF($F390&gt;efs_esikFark,1,0))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IF($A391="","",IF($F391&gt;efs_esikFark,1,0))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IF($A392="","",IF($F392&gt;efs_esikFark,1,0))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IF($A393="","",IF($F393&gt;efs_esikFark,1,0))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IF($A394="","",IF($F394&gt;efs_esikFark,1,0))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IF($A395="","",IF($F395&gt;efs_esikFark,1,0))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IF($A396="","",IF($F396&gt;efs_esikFark,1,0))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IF($A397="","",IF($F397&gt;efs_esikFark,1,0))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IF($A398="","",IF($F398&gt;efs_esikFark,1,0))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IF($A399="","",IF($F399&gt;efs_esikFark,1,0))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IF($A400="","",IF($F400&gt;efs_esikFark,1,0))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IF($A401="","",IF($F401&gt;efs_esikFark,1,0))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IF($A402="","",IF($F402&gt;efs_esikFark,1,0))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IF($A403="","",IF($F403&gt;efs_esikFark,1,0))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IF($A404="","",IF($F404&gt;efs_esikFark,1,0))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IF($A405="","",IF($F405&gt;efs_esikFark,1,0))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IF($A406="","",IF($F406&gt;efs_esikFark,1,0))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IF($A407="","",IF($F407&gt;efs_esikFark,1,0))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IF($A408="","",IF($F408&gt;efs_esikFark,1,0))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IF($A409="","",IF($F409&gt;efs_esikFark,1,0))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IF($A410="","",IF($F410&gt;efs_esikFark,1,0))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IF($A411="","",IF($F411&gt;efs_esikFark,1,0))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IF($A412="","",IF($F412&gt;efs_esikFark,1,0))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IF($A413="","",IF($F413&gt;efs_esikFark,1,0))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IF($A414="","",IF($F414&gt;efs_esikFark,1,0))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IF($A415="","",IF($F415&gt;efs_esikFark,1,0))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IF($A416="","",IF($F416&gt;efs_esikFark,1,0))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IF($A417="","",IF($F417&gt;efs_esikFark,1,0))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IF($A418="","",IF($F418&gt;efs_esikFark,1,0))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IF($A419="","",IF($F419&gt;efs_esikFark,1,0))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IF($A420="","",IF($F420&gt;efs_esikFark,1,0))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IF($A421="","",IF($F421&gt;efs_esikFark,1,0))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IF($A422="","",IF($F422&gt;efs_esikFark,1,0))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IF($A423="","",IF($F423&gt;efs_esikFark,1,0))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IF($A424="","",IF($F424&gt;efs_esikFark,1,0))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IF($A425="","",IF($F425&gt;efs_esikFark,1,0))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IF($A426="","",IF($F426&gt;efs_esikFark,1,0))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IF($A427="","",IF($F427&gt;efs_esikFark,1,0))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IF($A428="","",IF($F428&gt;efs_esikFark,1,0))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IF($A429="","",IF($F429&gt;efs_esikFark,1,0))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IF($A430="","",IF($F430&gt;efs_esikFark,1,0))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IF($A431="","",IF($F431&gt;efs_esikFark,1,0))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IF($A432="","",IF($F432&gt;efs_esikFark,1,0))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IF($A433="","",IF($F433&gt;efs_esikFark,1,0))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IF($A434="","",IF($F434&gt;efs_esikFark,1,0))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IF($A435="","",IF($F435&gt;efs_esikFark,1,0))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IF($A436="","",IF($F436&gt;efs_esikFark,1,0))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IF($A437="","",IF($F437&gt;efs_esikFark,1,0))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IF($A438="","",IF($F438&gt;efs_esikFark,1,0))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IF($A439="","",IF($F439&gt;efs_esikFark,1,0))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IF($A440="","",IF($F440&gt;efs_esikFark,1,0))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IF($A441="","",IF($F441&gt;efs_esikFark,1,0))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IF($A442="","",IF($F442&gt;efs_esikFark,1,0))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IF($A443="","",IF($F443&gt;efs_esikFark,1,0))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IF($A444="","",IF($F444&gt;efs_esikFark,1,0))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IF($A445="","",IF($F445&gt;efs_esikFark,1,0))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IF($A446="","",IF($F446&gt;efs_esikFark,1,0))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IF($A447="","",IF($F447&gt;efs_esikFark,1,0))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IF($A448="","",IF($F448&gt;efs_esikFark,1,0))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IF($A449="","",IF($F449&gt;efs_esikFark,1,0))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IF($A450="","",IF($F450&gt;efs_esikFark,1,0))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IF($A451="","",IF($F451&gt;efs_esikFark,1,0))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IF($A452="","",IF($F452&gt;efs_esikFark,1,0))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IF($A453="","",IF($F453&gt;efs_esikFark,1,0))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IF($A454="","",IF($F454&gt;efs_esikFark,1,0))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IF($A455="","",IF($F455&gt;efs_esikFark,1,0))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IF($A456="","",IF($F456&gt;efs_esikFark,1,0))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IF($A457="","",IF($F457&gt;efs_esikFark,1,0))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IF($A458="","",IF($F458&gt;efs_esikFark,1,0))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IF($A459="","",IF($F459&gt;efs_esikFark,1,0))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IF($A460="","",IF($F460&gt;efs_esikFark,1,0))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IF($A461="","",IF($F461&gt;efs_esikFark,1,0))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IF($A462="","",IF($F462&gt;efs_esikFark,1,0))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IF($A463="","",IF($F463&gt;efs_esikFark,1,0))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IF($A464="","",IF($F464&gt;efs_esikFark,1,0))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IF($A465="","",IF($F465&gt;efs_esikFark,1,0))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IF($A466="","",IF($F466&gt;efs_esikFark,1,0))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IF($A467="","",IF($F467&gt;efs_esikFark,1,0))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IF($A468="","",IF($F468&gt;efs_esikFark,1,0))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IF($A469="","",IF($F469&gt;efs_esikFark,1,0))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IF($A470="","",IF($F470&gt;efs_esikFark,1,0))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IF($A471="","",IF($F471&gt;efs_esikFark,1,0))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IF($A472="","",IF($F472&gt;efs_esikFark,1,0))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IF($A473="","",IF($F473&gt;efs_esikFark,1,0))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IF($A474="","",IF($F474&gt;efs_esikFark,1,0))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IF($A475="","",IF($F475&gt;efs_esikFark,1,0))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IF($A476="","",IF($F476&gt;efs_esikFark,1,0))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IF($A477="","",IF($F477&gt;efs_esikFark,1,0))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IF($A478="","",IF($F478&gt;efs_esikFark,1,0))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IF($A479="","",IF($F479&gt;efs_esikFark,1,0))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IF($A480="","",IF($F480&gt;efs_esikFark,1,0))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IF($A481="","",IF($F481&gt;efs_esikFark,1,0))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IF($A482="","",IF($F482&gt;efs_esikFark,1,0))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IF($A483="","",IF($F483&gt;efs_esikFark,1,0))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IF($A484="","",IF($F484&gt;efs_esikFark,1,0))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IF($A485="","",IF($F485&gt;efs_esikFark,1,0))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IF($A486="","",IF($F486&gt;efs_esikFark,1,0))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IF($A487="","",IF($F487&gt;efs_esikFark,1,0))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IF($A488="","",IF($F488&gt;efs_esikFark,1,0))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IF($A489="","",IF($F489&gt;efs_esikFark,1,0))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IF($A490="","",IF($F490&gt;efs_esikFark,1,0))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IF($A491="","",IF($F491&gt;efs_esikFark,1,0))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IF($A492="","",IF($F492&gt;efs_esikFark,1,0))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IF($A493="","",IF($F493&gt;efs_esikFark,1,0))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IF($A494="","",IF($F494&gt;efs_esikFark,1,0))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IF($A495="","",IF($F495&gt;efs_esikFark,1,0))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IF($A496="","",IF($F496&gt;efs_esikFark,1,0))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IF($A497="","",IF($F497&gt;efs_esikFark,1,0))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IF($A498="","",IF($F498&gt;efs_esikFark,1,0))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IF($A499="","",IF($F499&gt;efs_esikFark,1,0))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IF($A500="","",IF($F500&gt;efs_esikFark,1,0))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IF($A501="","",IF($F501&gt;efs_esikFark,1,0))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IF($A502="","",IF($F502&gt;efs_esikFark,1,0))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IF($A503="","",IF($F503&gt;efs_esikFark,1,0))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IF($A504="","",IF($F504&gt;efs_esikFark,1,0))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IF($A505="","",IF($F505&gt;efs_esikFark,1,0))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IF($A506="","",IF($F506&gt;efs_esikFark,1,0))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IF($A507="","",IF($F507&gt;efs_esikFark,1,0))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IF($A508="","",IF($F508&gt;efs_esikFark,1,0))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IF($A509="","",IF($F509&gt;efs_esikFark,1,0))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IF($A510="","",IF($F510&gt;efs_esikFark,1,0))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IF($A511="","",IF($F511&gt;efs_esikFark,1,0))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IF($A512="","",IF($F512&gt;efs_esikFark,1,0))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IF($A513="","",IF($F513&gt;efs_esikFark,1,0))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IF($A514="","",IF($F514&gt;efs_esikFark,1,0))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IF($A515="","",IF($F515&gt;efs_esikFark,1,0))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IF($A516="","",IF($F516&gt;efs_esikFark,1,0))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IF($A517="","",IF($F517&gt;efs_esikFark,1,0))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IF($A518="","",IF($F518&gt;efs_esikFark,1,0))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IF($A519="","",IF($F519&gt;efs_esikFark,1,0))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IF($A520="","",IF($F520&gt;efs_esikFark,1,0))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IF($A521="","",IF($F521&gt;efs_esikFark,1,0))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IF($A522="","",IF($F522&gt;efs_esikFark,1,0))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IF($A523="","",IF($F523&gt;efs_esikFark,1,0))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IF($A524="","",IF($F524&gt;efs_esikFark,1,0))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IF($A525="","",IF($F525&gt;efs_esikFark,1,0))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IF($A526="","",IF($F526&gt;efs_esikFark,1,0))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IF($A527="","",IF($F527&gt;efs_esikFark,1,0))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IF($A528="","",IF($F528&gt;efs_esikFark,1,0))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IF($A529="","",IF($F529&gt;efs_esikFark,1,0))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IF($A530="","",IF($F530&gt;efs_esikFark,1,0))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IF($A531="","",IF($F531&gt;efs_esikFark,1,0))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IF($A532="","",IF($F532&gt;efs_esikFark,1,0))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IF($A533="","",IF($F533&gt;efs_esikFark,1,0))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IF($A534="","",IF($F534&gt;efs_esikFark,1,0))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IF($A535="","",IF($F535&gt;efs_esikFark,1,0))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IF($A536="","",IF($F536&gt;efs_esikFark,1,0))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IF($A537="","",IF($F537&gt;efs_esikFark,1,0))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IF($A538="","",IF($F538&gt;efs_esikFark,1,0))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IF($A539="","",IF($F539&gt;efs_esikFark,1,0))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IF($A540="","",IF($F540&gt;efs_esikFark,1,0))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IF($A541="","",IF($F541&gt;efs_esikFark,1,0))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IF($A542="","",IF($F542&gt;efs_esikFark,1,0))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IF($A543="","",IF($F543&gt;efs_esikFark,1,0))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IF($A544="","",IF($F544&gt;efs_esikFark,1,0))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IF($A545="","",IF($F545&gt;efs_esikFark,1,0))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IF($A546="","",IF($F546&gt;efs_esikFark,1,0))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IF($A547="","",IF($F547&gt;efs_esikFark,1,0))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IF($A548="","",IF($F548&gt;efs_esikFark,1,0))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IF($A549="","",IF($F549&gt;efs_esikFark,1,0))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IF($A550="","",IF($F550&gt;efs_esikFark,1,0))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IF($A551="","",IF($F551&gt;efs_esikFark,1,0))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IF($A552="","",IF($F552&gt;efs_esikFark,1,0))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IF($A553="","",IF($F553&gt;efs_esikFark,1,0))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IF($A554="","",IF($F554&gt;efs_esikFark,1,0))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IF($A555="","",IF($F555&gt;efs_esikFark,1,0))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IF($A556="","",IF($F556&gt;efs_esikFark,1,0))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IF($A557="","",IF($F557&gt;efs_esikFark,1,0))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IF($A558="","",IF($F558&gt;efs_esikFark,1,0))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IF($A559="","",IF($F559&gt;efs_esikFark,1,0))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IF($A560="","",IF($F560&gt;efs_esikFark,1,0))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IF($A561="","",IF($F561&gt;efs_esikFark,1,0))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IF($A562="","",IF($F562&gt;efs_esikFark,1,0))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IF($A563="","",IF($F563&gt;efs_esikFark,1,0))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IF($A564="","",IF($F564&gt;efs_esikFark,1,0))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IF($A565="","",IF($F565&gt;efs_esikFark,1,0))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IF($A566="","",IF($F566&gt;efs_esikFark,1,0))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IF($A567="","",IF($F567&gt;efs_esikFark,1,0))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IF($A568="","",IF($F568&gt;efs_esikFark,1,0))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IF($A569="","",IF($F569&gt;efs_esikFark,1,0))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IF($A570="","",IF($F570&gt;efs_esikFark,1,0))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IF($A571="","",IF($F571&gt;efs_esikFark,1,0))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IF($A572="","",IF($F572&gt;efs_esikFark,1,0))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IF($A573="","",IF($F573&gt;efs_esikFark,1,0))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IF($A574="","",IF($F574&gt;efs_esikFark,1,0))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IF($A575="","",IF($F575&gt;efs_esikFark,1,0))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IF($A576="","",IF($F576&gt;efs_esikFark,1,0))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IF($A577="","",IF($F577&gt;efs_esikFark,1,0))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IF($A578="","",IF($F578&gt;efs_esikFark,1,0))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IF($A579="","",IF($F579&gt;efs_esikFark,1,0))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IF($A580="","",IF($F580&gt;efs_esikFark,1,0))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IF($A581="","",IF($F581&gt;efs_esikFark,1,0))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IF($A582="","",IF($F582&gt;efs_esikFark,1,0))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IF($A583="","",IF($F583&gt;efs_esikFark,1,0))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IF($A584="","",IF($F584&gt;efs_esikFark,1,0))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IF($A585="","",IF($F585&gt;efs_esikFark,1,0))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IF($A586="","",IF($F586&gt;efs_esikFark,1,0))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IF($A587="","",IF($F587&gt;efs_esikFark,1,0))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IF($A588="","",IF($F588&gt;efs_esikFark,1,0))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IF($A589="","",IF($F589&gt;efs_esikFark,1,0))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IF($A590="","",IF($F590&gt;efs_esikFark,1,0))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IF($A591="","",IF($F591&gt;efs_esikFark,1,0))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IF($A592="","",IF($F592&gt;efs_esikFark,1,0))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IF($A593="","",IF($F593&gt;efs_esikFark,1,0))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IF($A594="","",IF($F594&gt;efs_esikFark,1,0))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IF($A595="","",IF($F595&gt;efs_esikFark,1,0))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IF($A596="","",IF($F596&gt;efs_esikFark,1,0))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IF($A597="","",IF($F597&gt;efs_esikFark,1,0))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IF($A598="","",IF($F598&gt;efs_esikFark,1,0))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IF($A599="","",IF($F599&gt;efs_esikFark,1,0))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IF($A600="","",IF($F600&gt;efs_esikFark,1,0))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IF($A601="","",IF($F601&gt;efs_esikFark,1,0))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IF($A602="","",IF($F602&gt;efs_esikFark,1,0))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IF($A603="","",IF($F603&gt;efs_esikFark,1,0))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IF($A604="","",IF($F604&gt;efs_esikFark,1,0))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IF($A605="","",IF($F605&gt;efs_esikFark,1,0))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IF($A606="","",IF($F606&gt;efs_esikFark,1,0))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IF($A607="","",IF($F607&gt;efs_esikFark,1,0))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IF($A608="","",IF($F608&gt;efs_esikFark,1,0))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IF($A609="","",IF($F609&gt;efs_esikFark,1,0))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IF($A610="","",IF($F610&gt;efs_esikFark,1,0))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IF($A611="","",IF($F611&gt;efs_esikFark,1,0))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IF($A612="","",IF($F612&gt;efs_esikFark,1,0))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IF($A613="","",IF($F613&gt;efs_esikFark,1,0))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IF($A614="","",IF($F614&gt;efs_esikFark,1,0))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IF($A615="","",IF($F615&gt;efs_esikFark,1,0))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IF($A616="","",IF($F616&gt;efs_esikFark,1,0))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IF($A617="","",IF($F617&gt;efs_esikFark,1,0))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IF($A618="","",IF($F618&gt;efs_esikFark,1,0))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IF($A619="","",IF($F619&gt;efs_esikFark,1,0))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IF($A620="","",IF($F620&gt;efs_esikFark,1,0))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IF($A621="","",IF($F621&gt;efs_esikFark,1,0))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IF($A622="","",IF($F622&gt;efs_esikFark,1,0))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IF($A623="","",IF($F623&gt;efs_esikFark,1,0))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IF($A624="","",IF($F624&gt;efs_esikFark,1,0))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IF($A625="","",IF($F625&gt;efs_esikFark,1,0))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IF($A626="","",IF($F626&gt;efs_esikFark,1,0))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IF($A627="","",IF($F627&gt;efs_esikFark,1,0))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IF($A628="","",IF($F628&gt;efs_esikFark,1,0))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IF($A629="","",IF($F629&gt;efs_esikFark,1,0))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IF($A630="","",IF($F630&gt;efs_esikFark,1,0))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IF($A631="","",IF($F631&gt;efs_esikFark,1,0))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IF($A632="","",IF($F632&gt;efs_esikFark,1,0))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IF($A633="","",IF($F633&gt;efs_esikFark,1,0))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IF($A634="","",IF($F634&gt;efs_esikFark,1,0))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IF($A635="","",IF($F635&gt;efs_esikFark,1,0))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IF($A636="","",IF($F636&gt;efs_esikFark,1,0))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IF($A637="","",IF($F637&gt;efs_esikFark,1,0))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IF($A638="","",IF($F638&gt;efs_esikFark,1,0))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IF($A639="","",IF($F639&gt;efs_esikFark,1,0))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IF($A640="","",IF($F640&gt;efs_esikFark,1,0))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IF($A641="","",IF($F641&gt;efs_esikFark,1,0))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IF($A642="","",IF($F642&gt;efs_esikFark,1,0))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IF($A643="","",IF($F643&gt;efs_esikFark,1,0))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IF($A644="","",IF($F644&gt;efs_esikFark,1,0))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IF($A645="","",IF($F645&gt;efs_esikFark,1,0))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IF($A646="","",IF($F646&gt;efs_esikFark,1,0))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IF($A647="","",IF($F647&gt;efs_esikFark,1,0))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IF($A648="","",IF($F648&gt;efs_esikFark,1,0))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IF($A649="","",IF($F649&gt;efs_esikFark,1,0))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IF($A650="","",IF($F650&gt;efs_esikFark,1,0))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IF($A651="","",IF($F651&gt;efs_esikFark,1,0))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IF($A652="","",IF($F652&gt;efs_esikFark,1,0))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IF($A653="","",IF($F653&gt;efs_esikFark,1,0))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IF($A654="","",IF($F654&gt;efs_esikFark,1,0))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IF($A655="","",IF($F655&gt;efs_esikFark,1,0))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IF($A656="","",IF($F656&gt;efs_esikFark,1,0))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IF($A657="","",IF($F657&gt;efs_esikFark,1,0))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IF($A658="","",IF($F658&gt;efs_esikFark,1,0))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IF($A659="","",IF($F659&gt;efs_esikFark,1,0))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IF($A660="","",IF($F660&gt;efs_esikFark,1,0))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IF($A661="","",IF($F661&gt;efs_esikFark,1,0))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IF($A662="","",IF($F662&gt;efs_esikFark,1,0))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IF($A663="","",IF($F663&gt;efs_esikFark,1,0))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IF($A664="","",IF($F664&gt;efs_esikFark,1,0))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IF($A665="","",IF($F665&gt;efs_esikFark,1,0))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IF($A666="","",IF($F666&gt;efs_esikFark,1,0))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IF($A667="","",IF($F667&gt;efs_esikFark,1,0))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IF($A668="","",IF($F668&gt;efs_esikFark,1,0))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IF($A669="","",IF($F669&gt;efs_esikFark,1,0))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IF($A670="","",IF($F670&gt;efs_esikFark,1,0))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IF($A671="","",IF($F671&gt;efs_esikFark,1,0))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IF($A672="","",IF($F672&gt;efs_esikFark,1,0))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IF($A673="","",IF($F673&gt;efs_esikFark,1,0))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IF($A674="","",IF($F674&gt;efs_esikFark,1,0))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IF($A675="","",IF($F675&gt;efs_esikFark,1,0))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IF($A676="","",IF($F676&gt;efs_esikFark,1,0))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IF($A677="","",IF($F677&gt;efs_esikFark,1,0))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IF($A678="","",IF($F678&gt;efs_esikFark,1,0))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IF($A679="","",IF($F679&gt;efs_esikFark,1,0))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IF($A680="","",IF($F680&gt;efs_esikFark,1,0))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IF($A681="","",IF($F681&gt;efs_esikFark,1,0))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IF($A682="","",IF($F682&gt;efs_esikFark,1,0))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IF($A683="","",IF($F683&gt;efs_esikFark,1,0))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IF($A684="","",IF($F684&gt;efs_esikFark,1,0))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IF($A685="","",IF($F685&gt;efs_esikFark,1,0))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IF($A686="","",IF($F686&gt;efs_esikFark,1,0))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IF($A687="","",IF($F687&gt;efs_esikFark,1,0))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IF($A688="","",IF($F688&gt;efs_esikFark,1,0))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IF($A689="","",IF($F689&gt;efs_esikFark,1,0))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IF($A690="","",IF($F690&gt;efs_esikFark,1,0))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IF($A691="","",IF($F691&gt;efs_esikFark,1,0))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IF($A692="","",IF($F692&gt;efs_esikFark,1,0))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IF($A693="","",IF($F693&gt;efs_esikFark,1,0))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IF($A694="","",IF($F694&gt;efs_esikFark,1,0))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IF($A695="","",IF($F695&gt;efs_esikFark,1,0))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IF($A696="","",IF($F696&gt;efs_esikFark,1,0))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IF($A697="","",IF($F697&gt;efs_esikFark,1,0))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IF($A698="","",IF($F698&gt;efs_esikFark,1,0))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IF($A699="","",IF($F699&gt;efs_esikFark,1,0))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IF($A700="","",IF($F700&gt;efs_esikFark,1,0))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IF($A701="","",IF($F701&gt;efs_esikFark,1,0))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IF($A702="","",IF($F702&gt;efs_esikFark,1,0))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IF($A703="","",IF($F703&gt;efs_esikFark,1,0))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IF($A704="","",IF($F704&gt;efs_esikFark,1,0))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IF($A705="","",IF($F705&gt;efs_esikFark,1,0))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IF($A706="","",IF($F706&gt;efs_esikFark,1,0))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IF($A707="","",IF($F707&gt;efs_esikFark,1,0))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IF($A708="","",IF($F708&gt;efs_esikFark,1,0))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IF($A709="","",IF($F709&gt;efs_esikFark,1,0))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IF($A710="","",IF($F710&gt;efs_esikFark,1,0))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IF($A711="","",IF($F711&gt;efs_esikFark,1,0))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IF($A712="","",IF($F712&gt;efs_esikFark,1,0))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IF($A713="","",IF($F713&gt;efs_esikFark,1,0))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IF($A714="","",IF($F714&gt;efs_esikFark,1,0))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IF($A715="","",IF($F715&gt;efs_esikFark,1,0))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IF($A716="","",IF($F716&gt;efs_esikFark,1,0))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IF($A717="","",IF($F717&gt;efs_esikFark,1,0))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IF($A718="","",IF($F718&gt;efs_esikFark,1,0))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IF($A719="","",IF($F719&gt;efs_esikFark,1,0))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IF($A720="","",IF($F720&gt;efs_esikFark,1,0))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IF($A721="","",IF($F721&gt;efs_esikFark,1,0))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IF($A722="","",IF($F722&gt;efs_esikFark,1,0))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IF($A723="","",IF($F723&gt;efs_esikFark,1,0))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IF($A724="","",IF($F724&gt;efs_esikFark,1,0))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IF($A725="","",IF($F725&gt;efs_esikFark,1,0))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IF($A726="","",IF($F726&gt;efs_esikFark,1,0))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IF($A727="","",IF($F727&gt;efs_esikFark,1,0))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IF($A728="","",IF($F728&gt;efs_esikFark,1,0))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IF($A729="","",IF($F729&gt;efs_esikFark,1,0))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IF($A730="","",IF($F730&gt;efs_esikFark,1,0))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IF($A731="","",IF($F731&gt;efs_esikFark,1,0))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IF($A732="","",IF($F732&gt;efs_esikFark,1,0))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IF($A733="","",IF($F733&gt;efs_esikFark,1,0))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IF($A734="","",IF($F734&gt;efs_esikFark,1,0))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IF($A735="","",IF($F735&gt;efs_esikFark,1,0))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IF($A736="","",IF($F736&gt;efs_esikFark,1,0))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IF($A737="","",IF($F737&gt;efs_esikFark,1,0))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IF($A738="","",IF($F738&gt;efs_esikFark,1,0))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IF($A739="","",IF($F739&gt;efs_esikFark,1,0))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IF($A740="","",IF($F740&gt;efs_esikFark,1,0))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IF($A741="","",IF($F741&gt;efs_esikFark,1,0))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IF($A742="","",IF($F742&gt;efs_esikFark,1,0))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IF($A743="","",IF($F743&gt;efs_esikFark,1,0))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IF($A744="","",IF($F744&gt;efs_esikFark,1,0))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IF($A745="","",IF($F745&gt;efs_esikFark,1,0))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IF($A746="","",IF($F746&gt;efs_esikFark,1,0))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IF($A747="","",IF($F747&gt;efs_esikFark,1,0))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IF($A748="","",IF($F748&gt;efs_esikFark,1,0))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IF($A749="","",IF($F749&gt;efs_esikFark,1,0))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IF($A750="","",IF($F750&gt;efs_esikFark,1,0))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IF($A751="","",IF($F751&gt;efs_esikFark,1,0))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IF($A752="","",IF($F752&gt;efs_esikFark,1,0))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IF($A753="","",IF($F753&gt;efs_esikFark,1,0))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IF($A754="","",IF($F754&gt;efs_esikFark,1,0))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IF($A755="","",IF($F755&gt;efs_esikFark,1,0))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IF($A756="","",IF($F756&gt;efs_esikFark,1,0))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IF($A757="","",IF($F757&gt;efs_esikFark,1,0))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IF($A758="","",IF($F758&gt;efs_esikFark,1,0))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IF($A759="","",IF($F759&gt;efs_esikFark,1,0))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IF($A760="","",IF($F760&gt;efs_esikFark,1,0))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IF($A761="","",IF($F761&gt;efs_esikFark,1,0))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IF($A762="","",IF($F762&gt;efs_esikFark,1,0))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IF($A763="","",IF($F763&gt;efs_esikFark,1,0))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IF($A764="","",IF($F764&gt;efs_esikFark,1,0))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IF($A765="","",IF($F765&gt;efs_esikFark,1,0))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IF($A766="","",IF($F766&gt;efs_esikFark,1,0))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IF($A767="","",IF($F767&gt;efs_esikFark,1,0))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IF($A768="","",IF($F768&gt;efs_esikFark,1,0))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IF($A769="","",IF($F769&gt;efs_esikFark,1,0))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IF($A770="","",IF($F770&gt;efs_esikFark,1,0))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IF($A771="","",IF($F771&gt;efs_esikFark,1,0))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IF($A772="","",IF($F772&gt;efs_esikFark,1,0))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IF($A773="","",IF($F773&gt;efs_esikFark,1,0))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IF($A774="","",IF($F774&gt;efs_esikFark,1,0))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IF($A775="","",IF($F775&gt;efs_esikFark,1,0))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IF($A776="","",IF($F776&gt;efs_esikFark,1,0))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IF($A777="","",IF($F777&gt;efs_esikFark,1,0))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IF($A778="","",IF($F778&gt;efs_esikFark,1,0))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IF($A779="","",IF($F779&gt;efs_esikFark,1,0))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IF($A780="","",IF($F780&gt;efs_esikFark,1,0))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IF($A781="","",IF($F781&gt;efs_esikFark,1,0))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IF($A782="","",IF($F782&gt;efs_esikFark,1,0))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IF($A783="","",IF($F783&gt;efs_esikFark,1,0))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IF($A784="","",IF($F784&gt;efs_esikFark,1,0))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IF($A785="","",IF($F785&gt;efs_esikFark,1,0))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IF($A786="","",IF($F786&gt;efs_esikFark,1,0))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IF($A787="","",IF($F787&gt;efs_esikFark,1,0))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IF($A788="","",IF($F788&gt;efs_esikFark,1,0))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IF($A789="","",IF($F789&gt;efs_esikFark,1,0))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IF($A790="","",IF($F790&gt;efs_esikFark,1,0))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IF($A791="","",IF($F791&gt;efs_esikFark,1,0))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IF($A792="","",IF($F792&gt;efs_esikFark,1,0))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IF($A793="","",IF($F793&gt;efs_esikFark,1,0))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IF($A794="","",IF($F794&gt;efs_esikFark,1,0))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IF($A795="","",IF($F795&gt;efs_esikFark,1,0))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IF($A796="","",IF($F796&gt;efs_esikFark,1,0))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IF($A797="","",IF($F797&gt;efs_esikFark,1,0))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IF($A798="","",IF($F798&gt;efs_esikFark,1,0))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IF($A799="","",IF($F799&gt;efs_esikFark,1,0))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IF($A800="","",IF($F800&gt;efs_esikFark,1,0))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IF($A801="","",IF($F801&gt;efs_esikFark,1,0))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IF($A802="","",IF($F802&gt;efs_esikFark,1,0))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IF($A803="","",IF($F803&gt;efs_esikFark,1,0))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IF($A804="","",IF($F804&gt;efs_esikFark,1,0))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IF($A805="","",IF($F805&gt;efs_esikFark,1,0))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IF($A806="","",IF($F806&gt;efs_esikFark,1,0))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IF($A807="","",IF($F807&gt;efs_esikFark,1,0))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IF($A808="","",IF($F808&gt;efs_esikFark,1,0))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IF($A809="","",IF($F809&gt;efs_esikFark,1,0))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IF($A810="","",IF($F810&gt;efs_esikFark,1,0))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IF($A811="","",IF($F811&gt;efs_esikFark,1,0))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IF($A812="","",IF($F812&gt;efs_esikFark,1,0))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IF($A813="","",IF($F813&gt;efs_esikFark,1,0))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IF($A814="","",IF($F814&gt;efs_esikFark,1,0))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IF($A815="","",IF($F815&gt;efs_esikFark,1,0))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IF($A816="","",IF($F816&gt;efs_esikFark,1,0))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IF($A817="","",IF($F817&gt;efs_esikFark,1,0))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IF($A818="","",IF($F818&gt;efs_esikFark,1,0))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IF($A819="","",IF($F819&gt;efs_esikFark,1,0))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IF($A820="","",IF($F820&gt;efs_esikFark,1,0))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IF($A821="","",IF($F821&gt;efs_esikFark,1,0))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IF($A822="","",IF($F822&gt;efs_esikFark,1,0))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IF($A823="","",IF($F823&gt;efs_esikFark,1,0))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IF($A824="","",IF($F824&gt;efs_esikFark,1,0))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IF($A825="","",IF($F825&gt;efs_esikFark,1,0))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IF($A826="","",IF($F826&gt;efs_esikFark,1,0))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IF($A827="","",IF($F827&gt;efs_esikFark,1,0))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IF($A828="","",IF($F828&gt;efs_esikFark,1,0))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IF($A829="","",IF($F829&gt;efs_esikFark,1,0))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IF($A830="","",IF($F830&gt;efs_esikFark,1,0))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IF($A831="","",IF($F831&gt;efs_esikFark,1,0))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IF($A832="","",IF($F832&gt;efs_esikFark,1,0))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IF($A833="","",IF($F833&gt;efs_esikFark,1,0))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IF($A834="","",IF($F834&gt;efs_esikFark,1,0))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IF($A835="","",IF($F835&gt;efs_esikFark,1,0))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IF($A836="","",IF($F836&gt;efs_esikFark,1,0))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IF($A837="","",IF($F837&gt;efs_esikFark,1,0))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IF($A838="","",IF($F838&gt;efs_esikFark,1,0))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IF($A839="","",IF($F839&gt;efs_esikFark,1,0))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IF($A840="","",IF($F840&gt;efs_esikFark,1,0))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IF($A841="","",IF($F841&gt;efs_esikFark,1,0))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IF($A842="","",IF($F842&gt;efs_esikFark,1,0))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IF($A843="","",IF($F843&gt;efs_esikFark,1,0))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IF($A844="","",IF($F844&gt;efs_esikFark,1,0))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IF($A845="","",IF($F845&gt;efs_esikFark,1,0))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IF($A846="","",IF($F846&gt;efs_esikFark,1,0))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IF($A847="","",IF($F847&gt;efs_esikFark,1,0))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IF($A848="","",IF($F848&gt;efs_esikFark,1,0))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IF($A849="","",IF($F849&gt;efs_esikFark,1,0))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IF($A850="","",IF($F850&gt;efs_esikFark,1,0))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IF($A851="","",IF($F851&gt;efs_esikFark,1,0))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IF($A852="","",IF($F852&gt;efs_esikFark,1,0))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IF($A853="","",IF($F853&gt;efs_esikFark,1,0))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IF($A854="","",IF($F854&gt;efs_esikFark,1,0))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IF($A855="","",IF($F855&gt;efs_esikFark,1,0))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IF($A856="","",IF($F856&gt;efs_esikFark,1,0))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IF($A857="","",IF($F857&gt;efs_esikFark,1,0))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IF($A858="","",IF($F858&gt;efs_esikFark,1,0))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IF($A859="","",IF($F859&gt;efs_esikFark,1,0))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IF($A860="","",IF($F860&gt;efs_esikFark,1,0))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IF($A861="","",IF($F861&gt;efs_esikFark,1,0))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IF($A862="","",IF($F862&gt;efs_esikFark,1,0))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IF($A863="","",IF($F863&gt;efs_esikFark,1,0))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IF($A864="","",IF($F864&gt;efs_esikFark,1,0))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IF($A865="","",IF($F865&gt;efs_esikFark,1,0))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IF($A866="","",IF($F866&gt;efs_esikFark,1,0))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IF($A867="","",IF($F867&gt;efs_esikFark,1,0))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IF($A868="","",IF($F868&gt;efs_esikFark,1,0))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IF($A869="","",IF($F869&gt;efs_esikFark,1,0))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IF($A870="","",IF($F870&gt;efs_esikFark,1,0))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IF($A871="","",IF($F871&gt;efs_esikFark,1,0))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IF($A872="","",IF($F872&gt;efs_esikFark,1,0))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IF($A873="","",IF($F873&gt;efs_esikFark,1,0))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IF($A874="","",IF($F874&gt;efs_esikFark,1,0))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IF($A875="","",IF($F875&gt;efs_esikFark,1,0))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IF($A876="","",IF($F876&gt;efs_esikFark,1,0))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IF($A877="","",IF($F877&gt;efs_esikFark,1,0))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IF($A878="","",IF($F878&gt;efs_esikFark,1,0))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IF($A879="","",IF($F879&gt;efs_esikFark,1,0))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IF($A880="","",IF($F880&gt;efs_esikFark,1,0))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IF($A881="","",IF($F881&gt;efs_esikFark,1,0))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IF($A882="","",IF($F882&gt;efs_esikFark,1,0))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IF($A883="","",IF($F883&gt;efs_esikFark,1,0))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IF($A884="","",IF($F884&gt;efs_esikFark,1,0))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IF($A885="","",IF($F885&gt;efs_esikFark,1,0))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IF($A886="","",IF($F886&gt;efs_esikFark,1,0))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IF($A887="","",IF($F887&gt;efs_esikFark,1,0))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IF($A888="","",IF($F888&gt;efs_esikFark,1,0))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IF($A889="","",IF($F889&gt;efs_esikFark,1,0))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IF($A890="","",IF($F890&gt;efs_esikFark,1,0))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IF($A891="","",IF($F891&gt;efs_esikFark,1,0))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IF($A892="","",IF($F892&gt;efs_esikFark,1,0))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IF($A893="","",IF($F893&gt;efs_esikFark,1,0))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IF($A894="","",IF($F894&gt;efs_esikFark,1,0))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IF($A895="","",IF($F895&gt;efs_esikFark,1,0))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IF($A896="","",IF($F896&gt;efs_esikFark,1,0))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IF($A897="","",IF($F897&gt;efs_esikFark,1,0))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IF($A898="","",IF($F898&gt;efs_esikFark,1,0))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IF($A899="","",IF($F899&gt;efs_esikFark,1,0))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IF($A900="","",IF($F900&gt;efs_esikFark,1,0))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IF($A901="","",IF($F901&gt;efs_esikFark,1,0))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IF($A902="","",IF($F902&gt;efs_esikFark,1,0))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IF($A903="","",IF($F903&gt;efs_esikFark,1,0))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IF($A904="","",IF($F904&gt;efs_esikFark,1,0))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IF($A905="","",IF($F905&gt;efs_esikFark,1,0))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IF($A906="","",IF($F906&gt;efs_esikFark,1,0))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IF($A907="","",IF($F907&gt;efs_esikFark,1,0))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IF($A908="","",IF($F908&gt;efs_esikFark,1,0))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IF($A909="","",IF($F909&gt;efs_esikFark,1,0))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IF($A910="","",IF($F910&gt;efs_esikFark,1,0))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IF($A911="","",IF($F911&gt;efs_esikFark,1,0))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IF($A912="","",IF($F912&gt;efs_esikFark,1,0))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IF($A913="","",IF($F913&gt;efs_esikFark,1,0))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IF($A914="","",IF($F914&gt;efs_esikFark,1,0))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IF($A915="","",IF($F915&gt;efs_esikFark,1,0))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IF($A916="","",IF($F916&gt;efs_esikFark,1,0))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IF($A917="","",IF($F917&gt;efs_esikFark,1,0))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IF($A918="","",IF($F918&gt;efs_esikFark,1,0))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IF($A919="","",IF($F919&gt;efs_esikFark,1,0))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IF($A920="","",IF($F920&gt;efs_esikFark,1,0))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IF($A921="","",IF($F921&gt;efs_esikFark,1,0))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IF($A922="","",IF($F922&gt;efs_esikFark,1,0))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IF($A923="","",IF($F923&gt;efs_esikFark,1,0))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IF($A924="","",IF($F924&gt;efs_esikFark,1,0))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IF($A925="","",IF($F925&gt;efs_esikFark,1,0))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IF($A926="","",IF($F926&gt;efs_esikFark,1,0))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IF($A927="","",IF($F927&gt;efs_esikFark,1,0))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IF($A928="","",IF($F928&gt;efs_esikFark,1,0))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IF($A929="","",IF($F929&gt;efs_esikFark,1,0))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IF($A930="","",IF($F930&gt;efs_esikFark,1,0))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IF($A931="","",IF($F931&gt;efs_esikFark,1,0))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IF($A932="","",IF($F932&gt;efs_esikFark,1,0))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IF($A933="","",IF($F933&gt;efs_esikFark,1,0))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IF($A934="","",IF($F934&gt;efs_esikFark,1,0))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IF($A935="","",IF($F935&gt;efs_esikFark,1,0))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IF($A936="","",IF($F936&gt;efs_esikFark,1,0))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IF($A937="","",IF($F937&gt;efs_esikFark,1,0))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IF($A938="","",IF($F938&gt;efs_esikFark,1,0))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IF($A939="","",IF($F939&gt;efs_esikFark,1,0))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IF($A940="","",IF($F940&gt;efs_esikFark,1,0))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IF($A941="","",IF($F941&gt;efs_esikFark,1,0))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IF($A942="","",IF($F942&gt;efs_esikFark,1,0))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IF($A943="","",IF($F943&gt;efs_esikFark,1,0))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IF($A944="","",IF($F944&gt;efs_esikFark,1,0))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IF($A945="","",IF($F945&gt;efs_esikFark,1,0))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IF($A946="","",IF($F946&gt;efs_esikFark,1,0))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IF($A947="","",IF($F947&gt;efs_esikFark,1,0))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IF($A948="","",IF($F948&gt;efs_esikFark,1,0))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IF($A949="","",IF($F949&gt;efs_esikFark,1,0))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IF($A950="","",IF($F950&gt;efs_esikFark,1,0))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IF($A951="","",IF($F951&gt;efs_esikFark,1,0))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IF($A952="","",IF($F952&gt;efs_esikFark,1,0))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IF($A953="","",IF($F953&gt;efs_esikFark,1,0))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IF($A954="","",IF($F954&gt;efs_esikFark,1,0))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IF($A955="","",IF($F955&gt;efs_esikFark,1,0))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IF($A956="","",IF($F956&gt;efs_esikFark,1,0))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IF($A957="","",IF($F957&gt;efs_esikFark,1,0))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IF($A958="","",IF($F958&gt;efs_esikFark,1,0))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IF($A959="","",IF($F959&gt;efs_esikFark,1,0))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IF($A960="","",IF($F960&gt;efs_esikFark,1,0))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IF($A961="","",IF($F961&gt;efs_esikFark,1,0))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IF($A962="","",IF($F962&gt;efs_esikFark,1,0))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IF($A963="","",IF($F963&gt;efs_esikFark,1,0))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IF($A964="","",IF($F964&gt;efs_esikFark,1,0))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IF($A965="","",IF($F965&gt;efs_esikFark,1,0))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IF($A966="","",IF($F966&gt;efs_esikFark,1,0))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IF($A967="","",IF($F967&gt;efs_esikFark,1,0))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IF($A968="","",IF($F968&gt;efs_esikFark,1,0))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IF($A969="","",IF($F969&gt;efs_esikFark,1,0))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IF($A970="","",IF($F970&gt;efs_esikFark,1,0))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IF($A971="","",IF($F971&gt;efs_esikFark,1,0))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IF($A972="","",IF($F972&gt;efs_esikFark,1,0))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IF($A973="","",IF($F973&gt;efs_esikFark,1,0))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IF($A974="","",IF($F974&gt;efs_esikFark,1,0))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IF($A975="","",IF($F975&gt;efs_esikFark,1,0))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IF($A976="","",IF($F976&gt;efs_esikFark,1,0))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IF($A977="","",IF($F977&gt;efs_esikFark,1,0))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IF($A978="","",IF($F978&gt;efs_esikFark,1,0))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IF($A979="","",IF($F979&gt;efs_esikFark,1,0))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IF($A980="","",IF($F980&gt;efs_esikFark,1,0))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IF($A981="","",IF($F981&gt;efs_esikFark,1,0))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IF($A982="","",IF($F982&gt;efs_esikFark,1,0))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IF($A983="","",IF($F983&gt;efs_esikFark,1,0))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IF($A984="","",IF($F984&gt;efs_esikFark,1,0))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IF($A985="","",IF($F985&gt;efs_esikFark,1,0))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IF($A986="","",IF($F986&gt;efs_esikFark,1,0))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IF($A987="","",IF($F987&gt;efs_esikFark,1,0))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IF($A988="","",IF($F988&gt;efs_esikFark,1,0))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IF($A989="","",IF($F989&gt;efs_esikFark,1,0))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IF($A990="","",IF($F990&gt;efs_esikFark,1,0))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IF($A991="","",IF($F991&gt;efs_esikFark,1,0))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IF($A992="","",IF($F992&gt;efs_esikFark,1,0))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IF($A993="","",IF($F993&gt;efs_esikFark,1,0))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IF($A994="","",IF($F994&gt;efs_esikFark,1,0))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IF($A995="","",IF($F995&gt;efs_esikFark,1,0))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IF($A996="","",IF($F996&gt;efs_esikFark,1,0))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IF($A997="","",IF($F997&gt;efs_esikFark,1,0))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IF($A998="","",IF($F998&gt;efs_esikFark,1,0))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IF($A999="","",IF($F999&gt;efs_esikFark,1,0))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IF($A1000="","",IF($F1000&gt;efs_esikFark,1,0))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IF($A1001="","",IF($F1001&gt;efs_esikFark,1,0))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IF($A1002="","",IF($F1002&gt;efs_esikFark,1,0))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IF($A1003="","",IF($F1003&gt;efs_esikFark,1,0))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IF($A1004="","",IF($F1004&gt;efs_esikFark,1,0))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IF($A1005="","",IF($F1005&gt;efs_esikFark,1,0))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Toplu e-Fatura Satır Defteri ve PDF Kanıtı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IF($A16="","",IF($C16&lt;=efs_yuvarlamaEsik,1,0))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IF(OR($A16="",$B16&lt;&gt;"tutar_farki"),"",IF(ABS($C16-$D16)&lt;=toleransKurus,"KDV_ORAN",IF(ABS($C16-$E16*efs_kdvOran)&lt;=toleransKurus,"MATRAH",IF($F16=1,"YUVARLAMA","TANIMSIZ"))))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IF($A17="","",IF($C17&lt;=efs_yuvarlamaEsik,1,0))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IF(OR($A17="",$B17&lt;&gt;"tutar_farki"),"",IF(ABS($C17-$D17)&lt;=toleransKurus,"KDV_ORAN",IF(ABS($C17-$E17*efs_kdvOran)&lt;=toleransKurus,"MATRAH",IF($F17=1,"YUVARLAMA","TANIMSIZ"))))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IF($A18="","",IF($C18&lt;=efs_yuvarlamaEsik,1,0))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IF(OR($A18="",$B18&lt;&gt;"tutar_farki"),"",IF(ABS($C18-$D18)&lt;=toleransKurus,"KDV_ORAN",IF(ABS($C18-$E18*efs_kdvOran)&lt;=toleransKurus,"MATRAH",IF($F18=1,"YUVARLAMA","TANIMSIZ"))))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IF($A19="","",IF($C19&lt;=efs_yuvarlamaEsik,1,0))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IF(OR($A19="",$B19&lt;&gt;"tutar_farki"),"",IF(ABS($C19-$D19)&lt;=toleransKurus,"KDV_ORAN",IF(ABS($C19-$E19*efs_kdvOran)&lt;=toleransKurus,"MATRAH",IF($F19=1,"YUVARLAMA","TANIMSIZ"))))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IF($A20="","",IF($C20&lt;=efs_yuvarlamaEsik,1,0))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IF(OR($A20="",$B20&lt;&gt;"tutar_farki"),"",IF(ABS($C20-$D20)&lt;=toleransKurus,"KDV_ORAN",IF(ABS($C20-$E20*efs_kdvOran)&lt;=toleransKurus,"MATRAH",IF($F20=1,"YUVARLAMA","TANIMSIZ"))))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IF($A21="","",IF($C21&lt;=efs_yuvarlamaEsik,1,0))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IF(OR($A21="",$B21&lt;&gt;"tutar_farki"),"",IF(ABS($C21-$D21)&lt;=toleransKurus,"KDV_ORAN",IF(ABS($C21-$E21*efs_kdvOran)&lt;=toleransKurus,"MATRAH",IF($F21=1,"YUVARLAMA","TANIMSIZ"))))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IF($A22="","",IF($C22&lt;=efs_yuvarlamaEsik,1,0))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IF(OR($A22="",$B22&lt;&gt;"tutar_farki"),"",IF(ABS($C22-$D22)&lt;=toleransKurus,"KDV_ORAN",IF(ABS($C22-$E22*efs_kdvOran)&lt;=toleransKurus,"MATRAH",IF($F22=1,"YUVARLAMA","TANIMSIZ"))))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IF($A23="","",IF($C23&lt;=efs_yuvarlamaEsik,1,0))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IF(OR($A23="",$B23&lt;&gt;"tutar_farki"),"",IF(ABS($C23-$D23)&lt;=toleransKurus,"KDV_ORAN",IF(ABS($C23-$E23*efs_kdvOran)&lt;=toleransKurus,"MATRAH",IF($F23=1,"YUVARLAMA","TANIMSIZ"))))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IF($A24="","",IF($C24&lt;=efs_yuvarlamaEsik,1,0))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IF(OR($A24="",$B24&lt;&gt;"tutar_farki"),"",IF(ABS($C24-$D24)&lt;=toleransKurus,"KDV_ORAN",IF(ABS($C24-$E24*efs_kdvOran)&lt;=toleransKurus,"MATRAH",IF($F24=1,"YUVARLAMA","TANIMSIZ"))))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IF($A25="","",IF($C25&lt;=efs_yuvarlamaEsik,1,0))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IF(OR($A25="",$B25&lt;&gt;"tutar_farki"),"",IF(ABS($C25-$D25)&lt;=toleransKurus,"KDV_ORAN",IF(ABS($C25-$E25*efs_kdvOran)&lt;=toleransKurus,"MATRAH",IF($F25=1,"YUVARLAMA","TANIMSIZ"))))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IF($A26="","",IF($C26&lt;=efs_yuvarlamaEsik,1,0))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IF(OR($A26="",$B26&lt;&gt;"tutar_farki"),"",IF(ABS($C26-$D26)&lt;=toleransKurus,"KDV_ORAN",IF(ABS($C26-$E26*efs_kdvOran)&lt;=toleransKurus,"MATRAH",IF($F26=1,"YUVARLAMA","TANIMSIZ"))))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IF($A27="","",IF($C27&lt;=efs_yuvarlamaEsik,1,0))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IF(OR($A27="",$B27&lt;&gt;"tutar_farki"),"",IF(ABS($C27-$D27)&lt;=toleransKurus,"KDV_ORAN",IF(ABS($C27-$E27*efs_kdvOran)&lt;=toleransKurus,"MATRAH",IF($F27=1,"YUVARLAMA","TANIMSIZ"))))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IF($A28="","",IF($C28&lt;=efs_yuvarlamaEsik,1,0))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IF(OR($A28="",$B28&lt;&gt;"tutar_farki"),"",IF(ABS($C28-$D28)&lt;=toleransKurus,"KDV_ORAN",IF(ABS($C28-$E28*efs_kdvOran)&lt;=toleransKurus,"MATRAH",IF($F28=1,"YUVARLAMA","TANIMSIZ"))))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IF($A29="","",IF($C29&lt;=efs_yuvarlamaEsik,1,0))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IF(OR($A29="",$B29&lt;&gt;"tutar_farki"),"",IF(ABS($C29-$D29)&lt;=toleransKurus,"KDV_ORAN",IF(ABS($C29-$E29*efs_kdvOran)&lt;=toleransKurus,"MATRAH",IF($F29=1,"YUVARLAMA","TANIMSIZ"))))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IF($A30="","",IF($C30&lt;=efs_yuvarlamaEsik,1,0))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IF(OR($A30="",$B30&lt;&gt;"tutar_farki"),"",IF(ABS($C30-$D30)&lt;=toleransKurus,"KDV_ORAN",IF(ABS($C30-$E30*efs_kdvOran)&lt;=toleransKurus,"MATRAH",IF($F30=1,"YUVARLAMA","TANIMSIZ"))))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IF($A31="","",IF($C31&lt;=efs_yuvarlamaEsik,1,0))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IF(OR($A31="",$B31&lt;&gt;"tutar_farki"),"",IF(ABS($C31-$D31)&lt;=toleransKurus,"KDV_ORAN",IF(ABS($C31-$E31*efs_kdvOran)&lt;=toleransKurus,"MATRAH",IF($F31=1,"YUVARLAMA","TANIMSIZ"))))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IF($A32="","",IF($C32&lt;=efs_yuvarlamaEsik,1,0))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IF(OR($A32="",$B32&lt;&gt;"tutar_farki"),"",IF(ABS($C32-$D32)&lt;=toleransKurus,"KDV_ORAN",IF(ABS($C32-$E32*efs_kdvOran)&lt;=toleransKurus,"MATRAH",IF($F32=1,"YUVARLAMA","TANIMSIZ"))))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IF($A33="","",IF($C33&lt;=efs_yuvarlamaEsik,1,0))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IF(OR($A33="",$B33&lt;&gt;"tutar_farki"),"",IF(ABS($C33-$D33)&lt;=toleransKurus,"KDV_ORAN",IF(ABS($C33-$E33*efs_kdvOran)&lt;=toleransKurus,"MATRAH",IF($F33=1,"YUVARLAMA","TANIMSIZ"))))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IF($A34="","",IF($C34&lt;=efs_yuvarlamaEsik,1,0))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IF(OR($A34="",$B34&lt;&gt;"tutar_farki"),"",IF(ABS($C34-$D34)&lt;=toleransKurus,"KDV_ORAN",IF(ABS($C34-$E34*efs_kdvOran)&lt;=toleransKurus,"MATRAH",IF($F34=1,"YUVARLAMA","TANIMSIZ"))))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IF($A35="","",IF($C35&lt;=efs_yuvarlamaEsik,1,0))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IF(OR($A35="",$B35&lt;&gt;"tutar_farki"),"",IF(ABS($C35-$D35)&lt;=toleransKurus,"KDV_ORAN",IF(ABS($C35-$E35*efs_kdvOran)&lt;=toleransKurus,"MATRAH",IF($F35=1,"YUVARLAMA","TANIMSIZ"))))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IF($A36="","",IF($C36&lt;=efs_yuvarlamaEsik,1,0))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IF(OR($A36="",$B36&lt;&gt;"tutar_farki"),"",IF(ABS($C36-$D36)&lt;=toleransKurus,"KDV_ORAN",IF(ABS($C36-$E36*efs_kdvOran)&lt;=toleransKurus,"MATRAH",IF($F36=1,"YUVARLAMA","TANIMSIZ"))))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IF($A37="","",IF($C37&lt;=efs_yuvarlamaEsik,1,0))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IF(OR($A37="",$B37&lt;&gt;"tutar_farki"),"",IF(ABS($C37-$D37)&lt;=toleransKurus,"KDV_ORAN",IF(ABS($C37-$E37*efs_kdvOran)&lt;=toleransKurus,"MATRAH",IF($F37=1,"YUVARLAMA","TANIMSIZ"))))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IF($A38="","",IF($C38&lt;=efs_yuvarlamaEsik,1,0))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IF(OR($A38="",$B38&lt;&gt;"tutar_farki"),"",IF(ABS($C38-$D38)&lt;=toleransKurus,"KDV_ORAN",IF(ABS($C38-$E38*efs_kdvOran)&lt;=toleransKurus,"MATRAH",IF($F38=1,"YUVARLAMA","TANIMSIZ"))))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IF($A39="","",IF($C39&lt;=efs_yuvarlamaEsik,1,0))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IF(OR($A39="",$B39&lt;&gt;"tutar_farki"),"",IF(ABS($C39-$D39)&lt;=toleransKurus,"KDV_ORAN",IF(ABS($C39-$E39*efs_kdvOran)&lt;=toleransKurus,"MATRAH",IF($F39=1,"YUVARLAMA","TANIMSIZ"))))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IF($A40="","",IF($C40&lt;=efs_yuvarlamaEsik,1,0))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IF(OR($A40="",$B40&lt;&gt;"tutar_farki"),"",IF(ABS($C40-$D40)&lt;=toleransKurus,"KDV_ORAN",IF(ABS($C40-$E40*efs_kdvOran)&lt;=toleransKurus,"MATRAH",IF($F40=1,"YUVARLAMA","TANIMSIZ"))))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IF($A41="","",IF($C41&lt;=efs_yuvarlamaEsik,1,0))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IF(OR($A41="",$B41&lt;&gt;"tutar_farki"),"",IF(ABS($C41-$D41)&lt;=toleransKurus,"KDV_ORAN",IF(ABS($C41-$E41*efs_kdvOran)&lt;=toleransKurus,"MATRAH",IF($F41=1,"YUVARLAMA","TANIMSIZ"))))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IF($A42="","",IF($C42&lt;=efs_yuvarlamaEsik,1,0))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IF(OR($A42="",$B42&lt;&gt;"tutar_farki"),"",IF(ABS($C42-$D42)&lt;=toleransKurus,"KDV_ORAN",IF(ABS($C42-$E42*efs_kdvOran)&lt;=toleransKurus,"MATRAH",IF($F42=1,"YUVARLAMA","TANIMSIZ"))))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IF($A43="","",IF($C43&lt;=efs_yuvarlamaEsik,1,0))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IF(OR($A43="",$B43&lt;&gt;"tutar_farki"),"",IF(ABS($C43-$D43)&lt;=toleransKurus,"KDV_ORAN",IF(ABS($C43-$E43*efs_kdvOran)&lt;=toleransKurus,"MATRAH",IF($F43=1,"YUVARLAMA","TANIMSIZ"))))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IF($A44="","",IF($C44&lt;=efs_yuvarlamaEsik,1,0))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IF(OR($A44="",$B44&lt;&gt;"tutar_farki"),"",IF(ABS($C44-$D44)&lt;=toleransKurus,"KDV_ORAN",IF(ABS($C44-$E44*efs_kdvOran)&lt;=toleransKurus,"MATRAH",IF($F44=1,"YUVARLAMA","TANIMSIZ"))))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IF($A45="","",IF($C45&lt;=efs_yuvarlamaEsik,1,0))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IF(OR($A45="",$B45&lt;&gt;"tutar_farki"),"",IF(ABS($C45-$D45)&lt;=toleransKurus,"KDV_ORAN",IF(ABS($C45-$E45*efs_kdvOran)&lt;=toleransKurus,"MATRAH",IF($F45=1,"YUVARLAMA","TANIMSIZ"))))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IF($A46="","",IF($C46&lt;=efs_yuvarlamaEsik,1,0))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IF(OR($A46="",$B46&lt;&gt;"tutar_farki"),"",IF(ABS($C46-$D46)&lt;=toleransKurus,"KDV_ORAN",IF(ABS($C46-$E46*efs_kdvOran)&lt;=toleransKurus,"MATRAH",IF($F46=1,"YUVARLAMA","TANIMSIZ"))))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IF($A47="","",IF($C47&lt;=efs_yuvarlamaEsik,1,0))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IF(OR($A47="",$B47&lt;&gt;"tutar_farki"),"",IF(ABS($C47-$D47)&lt;=toleransKurus,"KDV_ORAN",IF(ABS($C47-$E47*efs_kdvOran)&lt;=toleransKurus,"MATRAH",IF($F47=1,"YUVARLAMA","TANIMSIZ"))))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IF($A48="","",IF($C48&lt;=efs_yuvarlamaEsik,1,0))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IF(OR($A48="",$B48&lt;&gt;"tutar_farki"),"",IF(ABS($C48-$D48)&lt;=toleransKurus,"KDV_ORAN",IF(ABS($C48-$E48*efs_kdvOran)&lt;=toleransKurus,"MATRAH",IF($F48=1,"YUVARLAMA","TANIMSIZ"))))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IF($A49="","",IF($C49&lt;=efs_yuvarlamaEsik,1,0))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IF(OR($A49="",$B49&lt;&gt;"tutar_farki"),"",IF(ABS($C49-$D49)&lt;=toleransKurus,"KDV_ORAN",IF(ABS($C49-$E49*efs_kdvOran)&lt;=toleransKurus,"MATRAH",IF($F49=1,"YUVARLAMA","TANIMSIZ"))))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IF($A50="","",IF($C50&lt;=efs_yuvarlamaEsik,1,0))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IF(OR($A50="",$B50&lt;&gt;"tutar_farki"),"",IF(ABS($C50-$D50)&lt;=toleransKurus,"KDV_ORAN",IF(ABS($C50-$E50*efs_kdvOran)&lt;=toleransKurus,"MATRAH",IF($F50=1,"YUVARLAMA","TANIMSIZ"))))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IF($A51="","",IF($C51&lt;=efs_yuvarlamaEsik,1,0))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IF(OR($A51="",$B51&lt;&gt;"tutar_farki"),"",IF(ABS($C51-$D51)&lt;=toleransKurus,"KDV_ORAN",IF(ABS($C51-$E51*efs_kdvOran)&lt;=toleransKurus,"MATRAH",IF($F51=1,"YUVARLAMA","TANIMSIZ"))))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IF($A52="","",IF($C52&lt;=efs_yuvarlamaEsik,1,0))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IF(OR($A52="",$B52&lt;&gt;"tutar_farki"),"",IF(ABS($C52-$D52)&lt;=toleransKurus,"KDV_ORAN",IF(ABS($C52-$E52*efs_kdvOran)&lt;=toleransKurus,"MATRAH",IF($F52=1,"YUVARLAMA","TANIMSIZ"))))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IF($A53="","",IF($C53&lt;=efs_yuvarlamaEsik,1,0))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IF(OR($A53="",$B53&lt;&gt;"tutar_farki"),"",IF(ABS($C53-$D53)&lt;=toleransKurus,"KDV_ORAN",IF(ABS($C53-$E53*efs_kdvOran)&lt;=toleransKurus,"MATRAH",IF($F53=1,"YUVARLAMA","TANIMSIZ"))))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IF($A54="","",IF($C54&lt;=efs_yuvarlamaEsik,1,0))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IF(OR($A54="",$B54&lt;&gt;"tutar_farki"),"",IF(ABS($C54-$D54)&lt;=toleransKurus,"KDV_ORAN",IF(ABS($C54-$E54*efs_kdvOran)&lt;=toleransKurus,"MATRAH",IF($F54=1,"YUVARLAMA","TANIMSIZ"))))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IF($A55="","",IF($C55&lt;=efs_yuvarlamaEsik,1,0))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IF(OR($A55="",$B55&lt;&gt;"tutar_farki"),"",IF(ABS($C55-$D55)&lt;=toleransKurus,"KDV_ORAN",IF(ABS($C55-$E55*efs_kdvOran)&lt;=toleransKurus,"MATRAH",IF($F55=1,"YUVARLAMA","TANIMSIZ"))))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IF($A56="","",IF($C56&lt;=efs_yuvarlamaEsik,1,0))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IF(OR($A56="",$B56&lt;&gt;"tutar_farki"),"",IF(ABS($C56-$D56)&lt;=toleransKurus,"KDV_ORAN",IF(ABS($C56-$E56*efs_kdvOran)&lt;=toleransKurus,"MATRAH",IF($F56=1,"YUVARLAMA","TANIMSIZ"))))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IF($A57="","",IF($C57&lt;=efs_yuvarlamaEsik,1,0))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IF(OR($A57="",$B57&lt;&gt;"tutar_farki"),"",IF(ABS($C57-$D57)&lt;=toleransKurus,"KDV_ORAN",IF(ABS($C57-$E57*efs_kdvOran)&lt;=toleransKurus,"MATRAH",IF($F57=1,"YUVARLAMA","TANIMSIZ"))))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IF($A58="","",IF($C58&lt;=efs_yuvarlamaEsik,1,0))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IF(OR($A58="",$B58&lt;&gt;"tutar_farki"),"",IF(ABS($C58-$D58)&lt;=toleransKurus,"KDV_ORAN",IF(ABS($C58-$E58*efs_kdvOran)&lt;=toleransKurus,"MATRAH",IF($F58=1,"YUVARLAMA","TANIMSIZ"))))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IF($A59="","",IF($C59&lt;=efs_yuvarlamaEsik,1,0))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IF(OR($A59="",$B59&lt;&gt;"tutar_farki"),"",IF(ABS($C59-$D59)&lt;=toleransKurus,"KDV_ORAN",IF(ABS($C59-$E59*efs_kdvOran)&lt;=toleransKurus,"MATRAH",IF($F59=1,"YUVARLAMA","TANIMSIZ"))))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IF($A60="","",IF($C60&lt;=efs_yuvarlamaEsik,1,0))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IF(OR($A60="",$B60&lt;&gt;"tutar_farki"),"",IF(ABS($C60-$D60)&lt;=toleransKurus,"KDV_ORAN",IF(ABS($C60-$E60*efs_kdvOran)&lt;=toleransKurus,"MATRAH",IF($F60=1,"YUVARLAMA","TANIMSIZ"))))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IF($A61="","",IF($C61&lt;=efs_yuvarlamaEsik,1,0))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IF(OR($A61="",$B61&lt;&gt;"tutar_farki"),"",IF(ABS($C61-$D61)&lt;=toleransKurus,"KDV_ORAN",IF(ABS($C61-$E61*efs_kdvOran)&lt;=toleransKurus,"MATRAH",IF($F61=1,"YUVARLAMA","TANIMSIZ"))))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IF($A62="","",IF($C62&lt;=efs_yuvarlamaEsik,1,0))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IF(OR($A62="",$B62&lt;&gt;"tutar_farki"),"",IF(ABS($C62-$D62)&lt;=toleransKurus,"KDV_ORAN",IF(ABS($C62-$E62*efs_kdvOran)&lt;=toleransKurus,"MATRAH",IF($F62=1,"YUVARLAMA","TANIMSIZ"))))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IF($A63="","",IF($C63&lt;=efs_yuvarlamaEsik,1,0))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IF(OR($A63="",$B63&lt;&gt;"tutar_farki"),"",IF(ABS($C63-$D63)&lt;=toleransKurus,"KDV_ORAN",IF(ABS($C63-$E63*efs_kdvOran)&lt;=toleransKurus,"MATRAH",IF($F63=1,"YUVARLAMA","TANIMSIZ"))))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IF($A64="","",IF($C64&lt;=efs_yuvarlamaEsik,1,0))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IF(OR($A64="",$B64&lt;&gt;"tutar_farki"),"",IF(ABS($C64-$D64)&lt;=toleransKurus,"KDV_ORAN",IF(ABS($C64-$E64*efs_kdvOran)&lt;=toleransKurus,"MATRAH",IF($F64=1,"YUVARLAMA","TANIMSIZ"))))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IF($A65="","",IF($C65&lt;=efs_yuvarlamaEsik,1,0))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IF(OR($A65="",$B65&lt;&gt;"tutar_farki"),"",IF(ABS($C65-$D65)&lt;=toleransKurus,"KDV_ORAN",IF(ABS($C65-$E65*efs_kdvOran)&lt;=toleransKurus,"MATRAH",IF($F65=1,"YUVARLAMA","TANIMSIZ"))))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IF($A66="","",IF($C66&lt;=efs_yuvarlamaEsik,1,0))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IF(OR($A66="",$B66&lt;&gt;"tutar_farki"),"",IF(ABS($C66-$D66)&lt;=toleransKurus,"KDV_ORAN",IF(ABS($C66-$E66*efs_kdvOran)&lt;=toleransKurus,"MATRAH",IF($F66=1,"YUVARLAMA","TANIMSIZ"))))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IF($A67="","",IF($C67&lt;=efs_yuvarlamaEsik,1,0))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IF(OR($A67="",$B67&lt;&gt;"tutar_farki"),"",IF(ABS($C67-$D67)&lt;=toleransKurus,"KDV_ORAN",IF(ABS($C67-$E67*efs_kdvOran)&lt;=toleransKurus,"MATRAH",IF($F67=1,"YUVARLAMA","TANIMSIZ"))))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IF($A68="","",IF($C68&lt;=efs_yuvarlamaEsik,1,0))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IF(OR($A68="",$B68&lt;&gt;"tutar_farki"),"",IF(ABS($C68-$D68)&lt;=toleransKurus,"KDV_ORAN",IF(ABS($C68-$E68*efs_kdvOran)&lt;=toleransKurus,"MATRAH",IF($F68=1,"YUVARLAMA","TANIMSIZ"))))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IF($A69="","",IF($C69&lt;=efs_yuvarlamaEsik,1,0))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IF(OR($A69="",$B69&lt;&gt;"tutar_farki"),"",IF(ABS($C69-$D69)&lt;=toleransKurus,"KDV_ORAN",IF(ABS($C69-$E69*efs_kdvOran)&lt;=toleransKurus,"MATRAH",IF($F69=1,"YUVARLAMA","TANIMSIZ"))))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IF($A70="","",IF($C70&lt;=efs_yuvarlamaEsik,1,0))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IF(OR($A70="",$B70&lt;&gt;"tutar_farki"),"",IF(ABS($C70-$D70)&lt;=toleransKurus,"KDV_ORAN",IF(ABS($C70-$E70*efs_kdvOran)&lt;=toleransKurus,"MATRAH",IF($F70=1,"YUVARLAMA","TANIMSIZ"))))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IF($A71="","",IF($C71&lt;=efs_yuvarlamaEsik,1,0))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IF(OR($A71="",$B71&lt;&gt;"tutar_farki"),"",IF(ABS($C71-$D71)&lt;=toleransKurus,"KDV_ORAN",IF(ABS($C71-$E71*efs_kdvOran)&lt;=toleransKurus,"MATRAH",IF($F71=1,"YUVARLAMA","TANIMSIZ"))))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IF($A72="","",IF($C72&lt;=efs_yuvarlamaEsik,1,0))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IF(OR($A72="",$B72&lt;&gt;"tutar_farki"),"",IF(ABS($C72-$D72)&lt;=toleransKurus,"KDV_ORAN",IF(ABS($C72-$E72*efs_kdvOran)&lt;=toleransKurus,"MATRAH",IF($F72=1,"YUVARLAMA","TANIMSIZ"))))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IF($A73="","",IF($C73&lt;=efs_yuvarlamaEsik,1,0))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IF(OR($A73="",$B73&lt;&gt;"tutar_farki"),"",IF(ABS($C73-$D73)&lt;=toleransKurus,"KDV_ORAN",IF(ABS($C73-$E73*efs_kdvOran)&lt;=toleransKurus,"MATRAH",IF($F73=1,"YUVARLAMA","TANIMSIZ"))))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IF($A74="","",IF($C74&lt;=efs_yuvarlamaEsik,1,0))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IF(OR($A74="",$B74&lt;&gt;"tutar_farki"),"",IF(ABS($C74-$D74)&lt;=toleransKurus,"KDV_ORAN",IF(ABS($C74-$E74*efs_kdvOran)&lt;=toleransKurus,"MATRAH",IF($F74=1,"YUVARLAMA","TANIMSIZ"))))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IF($A75="","",IF($C75&lt;=efs_yuvarlamaEsik,1,0))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IF(OR($A75="",$B75&lt;&gt;"tutar_farki"),"",IF(ABS($C75-$D75)&lt;=toleransKurus,"KDV_ORAN",IF(ABS($C75-$E75*efs_kdvOran)&lt;=toleransKurus,"MATRAH",IF($F75=1,"YUVARLAMA","TANIMSIZ"))))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IF($A76="","",IF($C76&lt;=efs_yuvarlamaEsik,1,0))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IF(OR($A76="",$B76&lt;&gt;"tutar_farki"),"",IF(ABS($C76-$D76)&lt;=toleransKurus,"KDV_ORAN",IF(ABS($C76-$E76*efs_kdvOran)&lt;=toleransKurus,"MATRAH",IF($F76=1,"YUVARLAMA","TANIMSIZ"))))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IF($A77="","",IF($C77&lt;=efs_yuvarlamaEsik,1,0))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IF(OR($A77="",$B77&lt;&gt;"tutar_farki"),"",IF(ABS($C77-$D77)&lt;=toleransKurus,"KDV_ORAN",IF(ABS($C77-$E77*efs_kdvOran)&lt;=toleransKurus,"MATRAH",IF($F77=1,"YUVARLAMA","TANIMSIZ"))))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IF($A78="","",IF($C78&lt;=efs_yuvarlamaEsik,1,0))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IF(OR($A78="",$B78&lt;&gt;"tutar_farki"),"",IF(ABS($C78-$D78)&lt;=toleransKurus,"KDV_ORAN",IF(ABS($C78-$E78*efs_kdvOran)&lt;=toleransKurus,"MATRAH",IF($F78=1,"YUVARLAMA","TANIMSIZ"))))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IF($A79="","",IF($C79&lt;=efs_yuvarlamaEsik,1,0))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IF(OR($A79="",$B79&lt;&gt;"tutar_farki"),"",IF(ABS($C79-$D79)&lt;=toleransKurus,"KDV_ORAN",IF(ABS($C79-$E79*efs_kdvOran)&lt;=toleransKurus,"MATRAH",IF($F79=1,"YUVARLAMA","TANIMSIZ"))))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IF($A80="","",IF($C80&lt;=efs_yuvarlamaEsik,1,0))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IF(OR($A80="",$B80&lt;&gt;"tutar_farki"),"",IF(ABS($C80-$D80)&lt;=toleransKurus,"KDV_ORAN",IF(ABS($C80-$E80*efs_kdvOran)&lt;=toleransKurus,"MATRAH",IF($F80=1,"YUVARLAMA","TANIMSIZ"))))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IF($A81="","",IF($C81&lt;=efs_yuvarlamaEsik,1,0))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IF(OR($A81="",$B81&lt;&gt;"tutar_farki"),"",IF(ABS($C81-$D81)&lt;=toleransKurus,"KDV_ORAN",IF(ABS($C81-$E81*efs_kdvOran)&lt;=toleransKurus,"MATRAH",IF($F81=1,"YUVARLAMA","TANIMSIZ"))))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IF($A82="","",IF($C82&lt;=efs_yuvarlamaEsik,1,0))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IF(OR($A82="",$B82&lt;&gt;"tutar_farki"),"",IF(ABS($C82-$D82)&lt;=toleransKurus,"KDV_ORAN",IF(ABS($C82-$E82*efs_kdvOran)&lt;=toleransKurus,"MATRAH",IF($F82=1,"YUVARLAMA","TANIMSIZ"))))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IF($A83="","",IF($C83&lt;=efs_yuvarlamaEsik,1,0))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IF(OR($A83="",$B83&lt;&gt;"tutar_farki"),"",IF(ABS($C83-$D83)&lt;=toleransKurus,"KDV_ORAN",IF(ABS($C83-$E83*efs_kdvOran)&lt;=toleransKurus,"MATRAH",IF($F83=1,"YUVARLAMA","TANIMSIZ"))))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IF($A84="","",IF($C84&lt;=efs_yuvarlamaEsik,1,0))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IF(OR($A84="",$B84&lt;&gt;"tutar_farki"),"",IF(ABS($C84-$D84)&lt;=toleransKurus,"KDV_ORAN",IF(ABS($C84-$E84*efs_kdvOran)&lt;=toleransKurus,"MATRAH",IF($F84=1,"YUVARLAMA","TANIMSIZ"))))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IF($A85="","",IF($C85&lt;=efs_yuvarlamaEsik,1,0))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IF(OR($A85="",$B85&lt;&gt;"tutar_farki"),"",IF(ABS($C85-$D85)&lt;=toleransKurus,"KDV_ORAN",IF(ABS($C85-$E85*efs_kdvOran)&lt;=toleransKurus,"MATRAH",IF($F85=1,"YUVARLAMA","TANIMSIZ"))))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IF($A86="","",IF($C86&lt;=efs_yuvarlamaEsik,1,0))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IF(OR($A86="",$B86&lt;&gt;"tutar_farki"),"",IF(ABS($C86-$D86)&lt;=toleransKurus,"KDV_ORAN",IF(ABS($C86-$E86*efs_kdvOran)&lt;=toleransKurus,"MATRAH",IF($F86=1,"YUVARLAMA","TANIMSIZ"))))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IF($A87="","",IF($C87&lt;=efs_yuvarlamaEsik,1,0))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IF(OR($A87="",$B87&lt;&gt;"tutar_farki"),"",IF(ABS($C87-$D87)&lt;=toleransKurus,"KDV_ORAN",IF(ABS($C87-$E87*efs_kdvOran)&lt;=toleransKurus,"MATRAH",IF($F87=1,"YUVARLAMA","TANIMSIZ"))))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IF($A88="","",IF($C88&lt;=efs_yuvarlamaEsik,1,0))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IF(OR($A88="",$B88&lt;&gt;"tutar_farki"),"",IF(ABS($C88-$D88)&lt;=toleransKurus,"KDV_ORAN",IF(ABS($C88-$E88*efs_kdvOran)&lt;=toleransKurus,"MATRAH",IF($F88=1,"YUVARLAMA","TANIMSIZ"))))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IF($A89="","",IF($C89&lt;=efs_yuvarlamaEsik,1,0))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IF(OR($A89="",$B89&lt;&gt;"tutar_farki"),"",IF(ABS($C89-$D89)&lt;=toleransKurus,"KDV_ORAN",IF(ABS($C89-$E89*efs_kdvOran)&lt;=toleransKurus,"MATRAH",IF($F89=1,"YUVARLAMA","TANIMSIZ"))))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IF($A90="","",IF($C90&lt;=efs_yuvarlamaEsik,1,0))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IF(OR($A90="",$B90&lt;&gt;"tutar_farki"),"",IF(ABS($C90-$D90)&lt;=toleransKurus,"KDV_ORAN",IF(ABS($C90-$E90*efs_kdvOran)&lt;=toleransKurus,"MATRAH",IF($F90=1,"YUVARLAMA","TANIMSIZ"))))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IF($A91="","",IF($C91&lt;=efs_yuvarlamaEsik,1,0))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IF(OR($A91="",$B91&lt;&gt;"tutar_farki"),"",IF(ABS($C91-$D91)&lt;=toleransKurus,"KDV_ORAN",IF(ABS($C91-$E91*efs_kdvOran)&lt;=toleransKurus,"MATRAH",IF($F91=1,"YUVARLAMA","TANIMSIZ"))))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IF($A92="","",IF($C92&lt;=efs_yuvarlamaEsik,1,0))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IF(OR($A92="",$B92&lt;&gt;"tutar_farki"),"",IF(ABS($C92-$D92)&lt;=toleransKurus,"KDV_ORAN",IF(ABS($C92-$E92*efs_kdvOran)&lt;=toleransKurus,"MATRAH",IF($F92=1,"YUVARLAMA","TANIMSIZ"))))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IF($A93="","",IF($C93&lt;=efs_yuvarlamaEsik,1,0))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IF(OR($A93="",$B93&lt;&gt;"tutar_farki"),"",IF(ABS($C93-$D93)&lt;=toleransKurus,"KDV_ORAN",IF(ABS($C93-$E93*efs_kdvOran)&lt;=toleransKurus,"MATRAH",IF($F93=1,"YUVARLAMA","TANIMSIZ"))))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IF($A94="","",IF($C94&lt;=efs_yuvarlamaEsik,1,0))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IF(OR($A94="",$B94&lt;&gt;"tutar_farki"),"",IF(ABS($C94-$D94)&lt;=toleransKurus,"KDV_ORAN",IF(ABS($C94-$E94*efs_kdvOran)&lt;=toleransKurus,"MATRAH",IF($F94=1,"YUVARLAMA","TANIMSIZ"))))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IF($A95="","",IF($C95&lt;=efs_yuvarlamaEsik,1,0))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IF(OR($A95="",$B95&lt;&gt;"tutar_farki"),"",IF(ABS($C95-$D95)&lt;=toleransKurus,"KDV_ORAN",IF(ABS($C95-$E95*efs_kdvOran)&lt;=toleransKurus,"MATRAH",IF($F95=1,"YUVARLAMA","TANIMSIZ"))))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IF($A96="","",IF($C96&lt;=efs_yuvarlamaEsik,1,0))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IF(OR($A96="",$B96&lt;&gt;"tutar_farki"),"",IF(ABS($C96-$D96)&lt;=toleransKurus,"KDV_ORAN",IF(ABS($C96-$E96*efs_kdvOran)&lt;=toleransKurus,"MATRAH",IF($F96=1,"YUVARLAMA","TANIMSIZ"))))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IF($A97="","",IF($C97&lt;=efs_yuvarlamaEsik,1,0))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IF(OR($A97="",$B97&lt;&gt;"tutar_farki"),"",IF(ABS($C97-$D97)&lt;=toleransKurus,"KDV_ORAN",IF(ABS($C97-$E97*efs_kdvOran)&lt;=toleransKurus,"MATRAH",IF($F97=1,"YUVARLAMA","TANIMSIZ"))))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IF($A98="","",IF($C98&lt;=efs_yuvarlamaEsik,1,0))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IF(OR($A98="",$B98&lt;&gt;"tutar_farki"),"",IF(ABS($C98-$D98)&lt;=toleransKurus,"KDV_ORAN",IF(ABS($C98-$E98*efs_kdvOran)&lt;=toleransKurus,"MATRAH",IF($F98=1,"YUVARLAMA","TANIMSIZ"))))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IF($A99="","",IF($C99&lt;=efs_yuvarlamaEsik,1,0))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IF(OR($A99="",$B99&lt;&gt;"tutar_farki"),"",IF(ABS($C99-$D99)&lt;=toleransKurus,"KDV_ORAN",IF(ABS($C99-$E99*efs_kdvOran)&lt;=toleransKurus,"MATRAH",IF($F99=1,"YUVARLAMA","TANIMSIZ"))))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IF($A100="","",IF($C100&lt;=efs_yuvarlamaEsik,1,0))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IF(OR($A100="",$B100&lt;&gt;"tutar_farki"),"",IF(ABS($C100-$D100)&lt;=toleransKurus,"KDV_ORAN",IF(ABS($C100-$E100*efs_kdvOran)&lt;=toleransKurus,"MATRAH",IF($F100=1,"YUVARLAMA","TANIMSIZ"))))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IF($A101="","",IF($C101&lt;=efs_yuvarlamaEsik,1,0))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IF(OR($A101="",$B101&lt;&gt;"tutar_farki"),"",IF(ABS($C101-$D101)&lt;=toleransKurus,"KDV_ORAN",IF(ABS($C101-$E101*efs_kdvOran)&lt;=toleransKurus,"MATRAH",IF($F101=1,"YUVARLAMA","TANIMSIZ"))))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IF($A102="","",IF($C102&lt;=efs_yuvarlamaEsik,1,0))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IF(OR($A102="",$B102&lt;&gt;"tutar_farki"),"",IF(ABS($C102-$D102)&lt;=toleransKurus,"KDV_ORAN",IF(ABS($C102-$E102*efs_kdvOran)&lt;=toleransKurus,"MATRAH",IF($F102=1,"YUVARLAMA","TANIMSIZ"))))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IF($A103="","",IF($C103&lt;=efs_yuvarlamaEsik,1,0))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IF(OR($A103="",$B103&lt;&gt;"tutar_farki"),"",IF(ABS($C103-$D103)&lt;=toleransKurus,"KDV_ORAN",IF(ABS($C103-$E103*efs_kdvOran)&lt;=toleransKurus,"MATRAH",IF($F103=1,"YUVARLAMA","TANIMSIZ"))))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IF($A104="","",IF($C104&lt;=efs_yuvarlamaEsik,1,0))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IF(OR($A104="",$B104&lt;&gt;"tutar_farki"),"",IF(ABS($C104-$D104)&lt;=toleransKurus,"KDV_ORAN",IF(ABS($C104-$E104*efs_kdvOran)&lt;=toleransKurus,"MATRAH",IF($F104=1,"YUVARLAMA","TANIMSIZ"))))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IF($A105="","",IF($C105&lt;=efs_yuvarlamaEsik,1,0))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IF(OR($A105="",$B105&lt;&gt;"tutar_farki"),"",IF(ABS($C105-$D105)&lt;=toleransKurus,"KDV_ORAN",IF(ABS($C105-$E105*efs_kdvOran)&lt;=toleransKurus,"MATRAH",IF($F105=1,"YUVARLAMA","TANIMSIZ"))))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IF($A106="","",IF($C106&lt;=efs_yuvarlamaEsik,1,0))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IF(OR($A106="",$B106&lt;&gt;"tutar_farki"),"",IF(ABS($C106-$D106)&lt;=toleransKurus,"KDV_ORAN",IF(ABS($C106-$E106*efs_kdvOran)&lt;=toleransKurus,"MATRAH",IF($F106=1,"YUVARLAMA","TANIMSIZ"))))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IF($A107="","",IF($C107&lt;=efs_yuvarlamaEsik,1,0))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IF(OR($A107="",$B107&lt;&gt;"tutar_farki"),"",IF(ABS($C107-$D107)&lt;=toleransKurus,"KDV_ORAN",IF(ABS($C107-$E107*efs_kdvOran)&lt;=toleransKurus,"MATRAH",IF($F107=1,"YUVARLAMA","TANIMSIZ"))))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IF($A108="","",IF($C108&lt;=efs_yuvarlamaEsik,1,0))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IF(OR($A108="",$B108&lt;&gt;"tutar_farki"),"",IF(ABS($C108-$D108)&lt;=toleransKurus,"KDV_ORAN",IF(ABS($C108-$E108*efs_kdvOran)&lt;=toleransKurus,"MATRAH",IF($F108=1,"YUVARLAMA","TANIMSIZ"))))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IF($A109="","",IF($C109&lt;=efs_yuvarlamaEsik,1,0))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IF(OR($A109="",$B109&lt;&gt;"tutar_farki"),"",IF(ABS($C109-$D109)&lt;=toleransKurus,"KDV_ORAN",IF(ABS($C109-$E109*efs_kdvOran)&lt;=toleransKurus,"MATRAH",IF($F109=1,"YUVARLAMA","TANIMSIZ"))))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IF($A110="","",IF($C110&lt;=efs_yuvarlamaEsik,1,0))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IF(OR($A110="",$B110&lt;&gt;"tutar_farki"),"",IF(ABS($C110-$D110)&lt;=toleransKurus,"KDV_ORAN",IF(ABS($C110-$E110*efs_kdvOran)&lt;=toleransKurus,"MATRAH",IF($F110=1,"YUVARLAMA","TANIMSIZ"))))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IF($A111="","",IF($C111&lt;=efs_yuvarlamaEsik,1,0))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IF(OR($A111="",$B111&lt;&gt;"tutar_farki"),"",IF(ABS($C111-$D111)&lt;=toleransKurus,"KDV_ORAN",IF(ABS($C111-$E111*efs_kdvOran)&lt;=toleransKurus,"MATRAH",IF($F111=1,"YUVARLAMA","TANIMSIZ"))))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IF($A112="","",IF($C112&lt;=efs_yuvarlamaEsik,1,0))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IF(OR($A112="",$B112&lt;&gt;"tutar_farki"),"",IF(ABS($C112-$D112)&lt;=toleransKurus,"KDV_ORAN",IF(ABS($C112-$E112*efs_kdvOran)&lt;=toleransKurus,"MATRAH",IF($F112=1,"YUVARLAMA","TANIMSIZ"))))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IF($A113="","",IF($C113&lt;=efs_yuvarlamaEsik,1,0))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IF(OR($A113="",$B113&lt;&gt;"tutar_farki"),"",IF(ABS($C113-$D113)&lt;=toleransKurus,"KDV_ORAN",IF(ABS($C113-$E113*efs_kdvOran)&lt;=toleransKurus,"MATRAH",IF($F113=1,"YUVARLAMA","TANIMSIZ"))))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IF($A114="","",IF($C114&lt;=efs_yuvarlamaEsik,1,0))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IF(OR($A114="",$B114&lt;&gt;"tutar_farki"),"",IF(ABS($C114-$D114)&lt;=toleransKurus,"KDV_ORAN",IF(ABS($C114-$E114*efs_kdvOran)&lt;=toleransKurus,"MATRAH",IF($F114=1,"YUVARLAMA","TANIMSIZ"))))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IF($A115="","",IF($C115&lt;=efs_yuvarlamaEsik,1,0))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IF(OR($A115="",$B115&lt;&gt;"tutar_farki"),"",IF(ABS($C115-$D115)&lt;=toleransKurus,"KDV_ORAN",IF(ABS($C115-$E115*efs_kdvOran)&lt;=toleransKurus,"MATRAH",IF($F115=1,"YUVARLAMA","TANIMSIZ"))))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IF($A116="","",IF($C116&lt;=efs_yuvarlamaEsik,1,0))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IF(OR($A116="",$B116&lt;&gt;"tutar_farki"),"",IF(ABS($C116-$D116)&lt;=toleransKurus,"KDV_ORAN",IF(ABS($C116-$E116*efs_kdvOran)&lt;=toleransKurus,"MATRAH",IF($F116=1,"YUVARLAMA","TANIMSIZ"))))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IF($A117="","",IF($C117&lt;=efs_yuvarlamaEsik,1,0))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IF(OR($A117="",$B117&lt;&gt;"tutar_farki"),"",IF(ABS($C117-$D117)&lt;=toleransKurus,"KDV_ORAN",IF(ABS($C117-$E117*efs_kdvOran)&lt;=toleransKurus,"MATRAH",IF($F117=1,"YUVARLAMA","TANIMSIZ"))))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IF($A118="","",IF($C118&lt;=efs_yuvarlamaEsik,1,0))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IF(OR($A118="",$B118&lt;&gt;"tutar_farki"),"",IF(ABS($C118-$D118)&lt;=toleransKurus,"KDV_ORAN",IF(ABS($C118-$E118*efs_kdvOran)&lt;=toleransKurus,"MATRAH",IF($F118=1,"YUVARLAMA","TANIMSIZ"))))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IF($A119="","",IF($C119&lt;=efs_yuvarlamaEsik,1,0))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IF(OR($A119="",$B119&lt;&gt;"tutar_farki"),"",IF(ABS($C119-$D119)&lt;=toleransKurus,"KDV_ORAN",IF(ABS($C119-$E119*efs_kdvOran)&lt;=toleransKurus,"MATRAH",IF($F119=1,"YUVARLAMA","TANIMSIZ"))))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IF($A120="","",IF($C120&lt;=efs_yuvarlamaEsik,1,0))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IF(OR($A120="",$B120&lt;&gt;"tutar_farki"),"",IF(ABS($C120-$D120)&lt;=toleransKurus,"KDV_ORAN",IF(ABS($C120-$E120*efs_kdvOran)&lt;=toleransKurus,"MATRAH",IF($F120=1,"YUVARLAMA","TANIMSIZ"))))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IF($A121="","",IF($C121&lt;=efs_yuvarlamaEsik,1,0))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IF(OR($A121="",$B121&lt;&gt;"tutar_farki"),"",IF(ABS($C121-$D121)&lt;=toleransKurus,"KDV_ORAN",IF(ABS($C121-$E121*efs_kdvOran)&lt;=toleransKurus,"MATRAH",IF($F121=1,"YUVARLAMA","TANIMSIZ"))))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IF($A122="","",IF($C122&lt;=efs_yuvarlamaEsik,1,0))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IF(OR($A122="",$B122&lt;&gt;"tutar_farki"),"",IF(ABS($C122-$D122)&lt;=toleransKurus,"KDV_ORAN",IF(ABS($C122-$E122*efs_kdvOran)&lt;=toleransKurus,"MATRAH",IF($F122=1,"YUVARLAMA","TANIMSIZ"))))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IF($A123="","",IF($C123&lt;=efs_yuvarlamaEsik,1,0))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IF(OR($A123="",$B123&lt;&gt;"tutar_farki"),"",IF(ABS($C123-$D123)&lt;=toleransKurus,"KDV_ORAN",IF(ABS($C123-$E123*efs_kdvOran)&lt;=toleransKurus,"MATRAH",IF($F123=1,"YUVARLAMA","TANIMSIZ"))))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IF($A124="","",IF($C124&lt;=efs_yuvarlamaEsik,1,0))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IF(OR($A124="",$B124&lt;&gt;"tutar_farki"),"",IF(ABS($C124-$D124)&lt;=toleransKurus,"KDV_ORAN",IF(ABS($C124-$E124*efs_kdvOran)&lt;=toleransKurus,"MATRAH",IF($F124=1,"YUVARLAMA","TANIMSIZ"))))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IF($A125="","",IF($C125&lt;=efs_yuvarlamaEsik,1,0))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IF(OR($A125="",$B125&lt;&gt;"tutar_farki"),"",IF(ABS($C125-$D125)&lt;=toleransKurus,"KDV_ORAN",IF(ABS($C125-$E125*efs_kdvOran)&lt;=toleransKurus,"MATRAH",IF($F125=1,"YUVARLAMA","TANIMSIZ"))))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IF($A126="","",IF($C126&lt;=efs_yuvarlamaEsik,1,0))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IF(OR($A126="",$B126&lt;&gt;"tutar_farki"),"",IF(ABS($C126-$D126)&lt;=toleransKurus,"KDV_ORAN",IF(ABS($C126-$E126*efs_kdvOran)&lt;=toleransKurus,"MATRAH",IF($F126=1,"YUVARLAMA","TANIMSIZ"))))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IF($A127="","",IF($C127&lt;=efs_yuvarlamaEsik,1,0))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IF(OR($A127="",$B127&lt;&gt;"tutar_farki"),"",IF(ABS($C127-$D127)&lt;=toleransKurus,"KDV_ORAN",IF(ABS($C127-$E127*efs_kdvOran)&lt;=toleransKurus,"MATRAH",IF($F127=1,"YUVARLAMA","TANIMSIZ"))))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IF($A128="","",IF($C128&lt;=efs_yuvarlamaEsik,1,0))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IF(OR($A128="",$B128&lt;&gt;"tutar_farki"),"",IF(ABS($C128-$D128)&lt;=toleransKurus,"KDV_ORAN",IF(ABS($C128-$E128*efs_kdvOran)&lt;=toleransKurus,"MATRAH",IF($F128=1,"YUVARLAMA","TANIMSIZ"))))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IF($A129="","",IF($C129&lt;=efs_yuvarlamaEsik,1,0))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IF(OR($A129="",$B129&lt;&gt;"tutar_farki"),"",IF(ABS($C129-$D129)&lt;=toleransKurus,"KDV_ORAN",IF(ABS($C129-$E129*efs_kdvOran)&lt;=toleransKurus,"MATRAH",IF($F129=1,"YUVARLAMA","TANIMSIZ"))))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IF($A130="","",IF($C130&lt;=efs_yuvarlamaEsik,1,0))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IF(OR($A130="",$B130&lt;&gt;"tutar_farki"),"",IF(ABS($C130-$D130)&lt;=toleransKurus,"KDV_ORAN",IF(ABS($C130-$E130*efs_kdvOran)&lt;=toleransKurus,"MATRAH",IF($F130=1,"YUVARLAMA","TANIMSIZ"))))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IF($A131="","",IF($C131&lt;=efs_yuvarlamaEsik,1,0))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IF(OR($A131="",$B131&lt;&gt;"tutar_farki"),"",IF(ABS($C131-$D131)&lt;=toleransKurus,"KDV_ORAN",IF(ABS($C131-$E131*efs_kdvOran)&lt;=toleransKurus,"MATRAH",IF($F131=1,"YUVARLAMA","TANIMSIZ"))))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IF($A132="","",IF($C132&lt;=efs_yuvarlamaEsik,1,0))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IF(OR($A132="",$B132&lt;&gt;"tutar_farki"),"",IF(ABS($C132-$D132)&lt;=toleransKurus,"KDV_ORAN",IF(ABS($C132-$E132*efs_kdvOran)&lt;=toleransKurus,"MATRAH",IF($F132=1,"YUVARLAMA","TANIMSIZ"))))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IF($A133="","",IF($C133&lt;=efs_yuvarlamaEsik,1,0))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IF(OR($A133="",$B133&lt;&gt;"tutar_farki"),"",IF(ABS($C133-$D133)&lt;=toleransKurus,"KDV_ORAN",IF(ABS($C133-$E133*efs_kdvOran)&lt;=toleransKurus,"MATRAH",IF($F133=1,"YUVARLAMA","TANIMSIZ"))))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IF($A134="","",IF($C134&lt;=efs_yuvarlamaEsik,1,0))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IF(OR($A134="",$B134&lt;&gt;"tutar_farki"),"",IF(ABS($C134-$D134)&lt;=toleransKurus,"KDV_ORAN",IF(ABS($C134-$E134*efs_kdvOran)&lt;=toleransKurus,"MATRAH",IF($F134=1,"YUVARLAMA","TANIMSIZ"))))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IF($A135="","",IF($C135&lt;=efs_yuvarlamaEsik,1,0))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IF(OR($A135="",$B135&lt;&gt;"tutar_farki"),"",IF(ABS($C135-$D135)&lt;=toleransKurus,"KDV_ORAN",IF(ABS($C135-$E135*efs_kdvOran)&lt;=toleransKurus,"MATRAH",IF($F135=1,"YUVARLAMA","TANIMSIZ"))))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IF($A136="","",IF($C136&lt;=efs_yuvarlamaEsik,1,0))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IF(OR($A136="",$B136&lt;&gt;"tutar_farki"),"",IF(ABS($C136-$D136)&lt;=toleransKurus,"KDV_ORAN",IF(ABS($C136-$E136*efs_kdvOran)&lt;=toleransKurus,"MATRAH",IF($F136=1,"YUVARLAMA","TANIMSIZ"))))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IF($A137="","",IF($C137&lt;=efs_yuvarlamaEsik,1,0))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IF(OR($A137="",$B137&lt;&gt;"tutar_farki"),"",IF(ABS($C137-$D137)&lt;=toleransKurus,"KDV_ORAN",IF(ABS($C137-$E137*efs_kdvOran)&lt;=toleransKurus,"MATRAH",IF($F137=1,"YUVARLAMA","TANIMSIZ"))))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IF($A138="","",IF($C138&lt;=efs_yuvarlamaEsik,1,0))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IF(OR($A138="",$B138&lt;&gt;"tutar_farki"),"",IF(ABS($C138-$D138)&lt;=toleransKurus,"KDV_ORAN",IF(ABS($C138-$E138*efs_kdvOran)&lt;=toleransKurus,"MATRAH",IF($F138=1,"YUVARLAMA","TANIMSIZ"))))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IF($A139="","",IF($C139&lt;=efs_yuvarlamaEsik,1,0))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IF(OR($A139="",$B139&lt;&gt;"tutar_farki"),"",IF(ABS($C139-$D139)&lt;=toleransKurus,"KDV_ORAN",IF(ABS($C139-$E139*efs_kdvOran)&lt;=toleransKurus,"MATRAH",IF($F139=1,"YUVARLAMA","TANIMSIZ"))))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IF($A140="","",IF($C140&lt;=efs_yuvarlamaEsik,1,0))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IF(OR($A140="",$B140&lt;&gt;"tutar_farki"),"",IF(ABS($C140-$D140)&lt;=toleransKurus,"KDV_ORAN",IF(ABS($C140-$E140*efs_kdvOran)&lt;=toleransKurus,"MATRAH",IF($F140=1,"YUVARLAMA","TANIMSIZ"))))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IF($A141="","",IF($C141&lt;=efs_yuvarlamaEsik,1,0))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IF(OR($A141="",$B141&lt;&gt;"tutar_farki"),"",IF(ABS($C141-$D141)&lt;=toleransKurus,"KDV_ORAN",IF(ABS($C141-$E141*efs_kdvOran)&lt;=toleransKurus,"MATRAH",IF($F141=1,"YUVARLAMA","TANIMSIZ"))))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IF($A142="","",IF($C142&lt;=efs_yuvarlamaEsik,1,0))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IF(OR($A142="",$B142&lt;&gt;"tutar_farki"),"",IF(ABS($C142-$D142)&lt;=toleransKurus,"KDV_ORAN",IF(ABS($C142-$E142*efs_kdvOran)&lt;=toleransKurus,"MATRAH",IF($F142=1,"YUVARLAMA","TANIMSIZ"))))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IF($A143="","",IF($C143&lt;=efs_yuvarlamaEsik,1,0))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IF(OR($A143="",$B143&lt;&gt;"tutar_farki"),"",IF(ABS($C143-$D143)&lt;=toleransKurus,"KDV_ORAN",IF(ABS($C143-$E143*efs_kdvOran)&lt;=toleransKurus,"MATRAH",IF($F143=1,"YUVARLAMA","TANIMSIZ"))))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IF($A144="","",IF($C144&lt;=efs_yuvarlamaEsik,1,0))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IF(OR($A144="",$B144&lt;&gt;"tutar_farki"),"",IF(ABS($C144-$D144)&lt;=toleransKurus,"KDV_ORAN",IF(ABS($C144-$E144*efs_kdvOran)&lt;=toleransKurus,"MATRAH",IF($F144=1,"YUVARLAMA","TANIMSIZ"))))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IF($A145="","",IF($C145&lt;=efs_yuvarlamaEsik,1,0))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IF(OR($A145="",$B145&lt;&gt;"tutar_farki"),"",IF(ABS($C145-$D145)&lt;=toleransKurus,"KDV_ORAN",IF(ABS($C145-$E145*efs_kdvOran)&lt;=toleransKurus,"MATRAH",IF($F145=1,"YUVARLAMA","TANIMSIZ"))))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IF($A146="","",IF($C146&lt;=efs_yuvarlamaEsik,1,0))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IF(OR($A146="",$B146&lt;&gt;"tutar_farki"),"",IF(ABS($C146-$D146)&lt;=toleransKurus,"KDV_ORAN",IF(ABS($C146-$E146*efs_kdvOran)&lt;=toleransKurus,"MATRAH",IF($F146=1,"YUVARLAMA","TANIMSIZ"))))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IF($A147="","",IF($C147&lt;=efs_yuvarlamaEsik,1,0))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IF(OR($A147="",$B147&lt;&gt;"tutar_farki"),"",IF(ABS($C147-$D147)&lt;=toleransKurus,"KDV_ORAN",IF(ABS($C147-$E147*efs_kdvOran)&lt;=toleransKurus,"MATRAH",IF($F147=1,"YUVARLAMA","TANIMSIZ"))))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IF($A148="","",IF($C148&lt;=efs_yuvarlamaEsik,1,0))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IF(OR($A148="",$B148&lt;&gt;"tutar_farki"),"",IF(ABS($C148-$D148)&lt;=toleransKurus,"KDV_ORAN",IF(ABS($C148-$E148*efs_kdvOran)&lt;=toleransKurus,"MATRAH",IF($F148=1,"YUVARLAMA","TANIMSIZ"))))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IF($A149="","",IF($C149&lt;=efs_yuvarlamaEsik,1,0))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IF(OR($A149="",$B149&lt;&gt;"tutar_farki"),"",IF(ABS($C149-$D149)&lt;=toleransKurus,"KDV_ORAN",IF(ABS($C149-$E149*efs_kdvOran)&lt;=toleransKurus,"MATRAH",IF($F149=1,"YUVARLAMA","TANIMSIZ"))))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IF($A150="","",IF($C150&lt;=efs_yuvarlamaEsik,1,0))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IF(OR($A150="",$B150&lt;&gt;"tutar_farki"),"",IF(ABS($C150-$D150)&lt;=toleransKurus,"KDV_ORAN",IF(ABS($C150-$E150*efs_kdvOran)&lt;=toleransKurus,"MATRAH",IF($F150=1,"YUVARLAMA","TANIMSIZ"))))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IF($A151="","",IF($C151&lt;=efs_yuvarlamaEsik,1,0))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IF(OR($A151="",$B151&lt;&gt;"tutar_farki"),"",IF(ABS($C151-$D151)&lt;=toleransKurus,"KDV_ORAN",IF(ABS($C151-$E151*efs_kdvOran)&lt;=toleransKurus,"MATRAH",IF($F151=1,"YUVARLAMA","TANIMSIZ"))))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IF($A152="","",IF($C152&lt;=efs_yuvarlamaEsik,1,0))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IF(OR($A152="",$B152&lt;&gt;"tutar_farki"),"",IF(ABS($C152-$D152)&lt;=toleransKurus,"KDV_ORAN",IF(ABS($C152-$E152*efs_kdvOran)&lt;=toleransKurus,"MATRAH",IF($F152=1,"YUVARLAMA","TANIMSIZ"))))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IF($A153="","",IF($C153&lt;=efs_yuvarlamaEsik,1,0))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IF(OR($A153="",$B153&lt;&gt;"tutar_farki"),"",IF(ABS($C153-$D153)&lt;=toleransKurus,"KDV_ORAN",IF(ABS($C153-$E153*efs_kdvOran)&lt;=toleransKurus,"MATRAH",IF($F153=1,"YUVARLAMA","TANIMSIZ"))))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IF($A154="","",IF($C154&lt;=efs_yuvarlamaEsik,1,0))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IF(OR($A154="",$B154&lt;&gt;"tutar_farki"),"",IF(ABS($C154-$D154)&lt;=toleransKurus,"KDV_ORAN",IF(ABS($C154-$E154*efs_kdvOran)&lt;=toleransKurus,"MATRAH",IF($F154=1,"YUVARLAMA","TANIMSIZ"))))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IF($A155="","",IF($C155&lt;=efs_yuvarlamaEsik,1,0))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IF(OR($A155="",$B155&lt;&gt;"tutar_farki"),"",IF(ABS($C155-$D155)&lt;=toleransKurus,"KDV_ORAN",IF(ABS($C155-$E155*efs_kdvOran)&lt;=toleransKurus,"MATRAH",IF($F155=1,"YUVARLAMA","TANIMSIZ"))))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IF($A156="","",IF($C156&lt;=efs_yuvarlamaEsik,1,0))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IF(OR($A156="",$B156&lt;&gt;"tutar_farki"),"",IF(ABS($C156-$D156)&lt;=toleransKurus,"KDV_ORAN",IF(ABS($C156-$E156*efs_kdvOran)&lt;=toleransKurus,"MATRAH",IF($F156=1,"YUVARLAMA","TANIMSIZ"))))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IF($A157="","",IF($C157&lt;=efs_yuvarlamaEsik,1,0))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IF(OR($A157="",$B157&lt;&gt;"tutar_farki"),"",IF(ABS($C157-$D157)&lt;=toleransKurus,"KDV_ORAN",IF(ABS($C157-$E157*efs_kdvOran)&lt;=toleransKurus,"MATRAH",IF($F157=1,"YUVARLAMA","TANIMSIZ"))))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IF($A158="","",IF($C158&lt;=efs_yuvarlamaEsik,1,0))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IF(OR($A158="",$B158&lt;&gt;"tutar_farki"),"",IF(ABS($C158-$D158)&lt;=toleransKurus,"KDV_ORAN",IF(ABS($C158-$E158*efs_kdvOran)&lt;=toleransKurus,"MATRAH",IF($F158=1,"YUVARLAMA","TANIMSIZ"))))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IF($A159="","",IF($C159&lt;=efs_yuvarlamaEsik,1,0))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IF(OR($A159="",$B159&lt;&gt;"tutar_farki"),"",IF(ABS($C159-$D159)&lt;=toleransKurus,"KDV_ORAN",IF(ABS($C159-$E159*efs_kdvOran)&lt;=toleransKurus,"MATRAH",IF($F159=1,"YUVARLAMA","TANIMSIZ"))))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IF($A160="","",IF($C160&lt;=efs_yuvarlamaEsik,1,0))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IF(OR($A160="",$B160&lt;&gt;"tutar_farki"),"",IF(ABS($C160-$D160)&lt;=toleransKurus,"KDV_ORAN",IF(ABS($C160-$E160*efs_kdvOran)&lt;=toleransKurus,"MATRAH",IF($F160=1,"YUVARLAMA","TANIMSIZ"))))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IF($A161="","",IF($C161&lt;=efs_yuvarlamaEsik,1,0))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IF(OR($A161="",$B161&lt;&gt;"tutar_farki"),"",IF(ABS($C161-$D161)&lt;=toleransKurus,"KDV_ORAN",IF(ABS($C161-$E161*efs_kdvOran)&lt;=toleransKurus,"MATRAH",IF($F161=1,"YUVARLAMA","TANIMSIZ"))))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IF($A162="","",IF($C162&lt;=efs_yuvarlamaEsik,1,0))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IF(OR($A162="",$B162&lt;&gt;"tutar_farki"),"",IF(ABS($C162-$D162)&lt;=toleransKurus,"KDV_ORAN",IF(ABS($C162-$E162*efs_kdvOran)&lt;=toleransKurus,"MATRAH",IF($F162=1,"YUVARLAMA","TANIMSIZ"))))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IF($A163="","",IF($C163&lt;=efs_yuvarlamaEsik,1,0))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IF(OR($A163="",$B163&lt;&gt;"tutar_farki"),"",IF(ABS($C163-$D163)&lt;=toleransKurus,"KDV_ORAN",IF(ABS($C163-$E163*efs_kdvOran)&lt;=toleransKurus,"MATRAH",IF($F163=1,"YUVARLAMA","TANIMSIZ"))))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IF($A164="","",IF($C164&lt;=efs_yuvarlamaEsik,1,0))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IF(OR($A164="",$B164&lt;&gt;"tutar_farki"),"",IF(ABS($C164-$D164)&lt;=toleransKurus,"KDV_ORAN",IF(ABS($C164-$E164*efs_kdvOran)&lt;=toleransKurus,"MATRAH",IF($F164=1,"YUVARLAMA","TANIMSIZ"))))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IF($A165="","",IF($C165&lt;=efs_yuvarlamaEsik,1,0))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IF(OR($A165="",$B165&lt;&gt;"tutar_farki"),"",IF(ABS($C165-$D165)&lt;=toleransKurus,"KDV_ORAN",IF(ABS($C165-$E165*efs_kdvOran)&lt;=toleransKurus,"MATRAH",IF($F165=1,"YUVARLAMA","TANIMSIZ"))))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IF($A166="","",IF($C166&lt;=efs_yuvarlamaEsik,1,0))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IF(OR($A166="",$B166&lt;&gt;"tutar_farki"),"",IF(ABS($C166-$D166)&lt;=toleransKurus,"KDV_ORAN",IF(ABS($C166-$E166*efs_kdvOran)&lt;=toleransKurus,"MATRAH",IF($F166=1,"YUVARLAMA","TANIMSIZ"))))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IF($A167="","",IF($C167&lt;=efs_yuvarlamaEsik,1,0))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IF(OR($A167="",$B167&lt;&gt;"tutar_farki"),"",IF(ABS($C167-$D167)&lt;=toleransKurus,"KDV_ORAN",IF(ABS($C167-$E167*efs_kdvOran)&lt;=toleransKurus,"MATRAH",IF($F167=1,"YUVARLAMA","TANIMSIZ"))))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IF($A168="","",IF($C168&lt;=efs_yuvarlamaEsik,1,0))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IF(OR($A168="",$B168&lt;&gt;"tutar_farki"),"",IF(ABS($C168-$D168)&lt;=toleransKurus,"KDV_ORAN",IF(ABS($C168-$E168*efs_kdvOran)&lt;=toleransKurus,"MATRAH",IF($F168=1,"YUVARLAMA","TANIMSIZ"))))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IF($A169="","",IF($C169&lt;=efs_yuvarlamaEsik,1,0))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IF(OR($A169="",$B169&lt;&gt;"tutar_farki"),"",IF(ABS($C169-$D169)&lt;=toleransKurus,"KDV_ORAN",IF(ABS($C169-$E169*efs_kdvOran)&lt;=toleransKurus,"MATRAH",IF($F169=1,"YUVARLAMA","TANIMSIZ"))))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IF($A170="","",IF($C170&lt;=efs_yuvarlamaEsik,1,0))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IF(OR($A170="",$B170&lt;&gt;"tutar_farki"),"",IF(ABS($C170-$D170)&lt;=toleransKurus,"KDV_ORAN",IF(ABS($C170-$E170*efs_kdvOran)&lt;=toleransKurus,"MATRAH",IF($F170=1,"YUVARLAMA","TANIMSIZ"))))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IF($A171="","",IF($C171&lt;=efs_yuvarlamaEsik,1,0))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IF(OR($A171="",$B171&lt;&gt;"tutar_farki"),"",IF(ABS($C171-$D171)&lt;=toleransKurus,"KDV_ORAN",IF(ABS($C171-$E171*efs_kdvOran)&lt;=toleransKurus,"MATRAH",IF($F171=1,"YUVARLAMA","TANIMSIZ"))))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IF($A172="","",IF($C172&lt;=efs_yuvarlamaEsik,1,0))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IF(OR($A172="",$B172&lt;&gt;"tutar_farki"),"",IF(ABS($C172-$D172)&lt;=toleransKurus,"KDV_ORAN",IF(ABS($C172-$E172*efs_kdvOran)&lt;=toleransKurus,"MATRAH",IF($F172=1,"YUVARLAMA","TANIMSIZ"))))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IF($A173="","",IF($C173&lt;=efs_yuvarlamaEsik,1,0))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IF(OR($A173="",$B173&lt;&gt;"tutar_farki"),"",IF(ABS($C173-$D173)&lt;=toleransKurus,"KDV_ORAN",IF(ABS($C173-$E173*efs_kdvOran)&lt;=toleransKurus,"MATRAH",IF($F173=1,"YUVARLAMA","TANIMSIZ"))))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IF($A174="","",IF($C174&lt;=efs_yuvarlamaEsik,1,0))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IF(OR($A174="",$B174&lt;&gt;"tutar_farki"),"",IF(ABS($C174-$D174)&lt;=toleransKurus,"KDV_ORAN",IF(ABS($C174-$E174*efs_kdvOran)&lt;=toleransKurus,"MATRAH",IF($F174=1,"YUVARLAMA","TANIMSIZ"))))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IF($A175="","",IF($C175&lt;=efs_yuvarlamaEsik,1,0))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IF(OR($A175="",$B175&lt;&gt;"tutar_farki"),"",IF(ABS($C175-$D175)&lt;=toleransKurus,"KDV_ORAN",IF(ABS($C175-$E175*efs_kdvOran)&lt;=toleransKurus,"MATRAH",IF($F175=1,"YUVARLAMA","TANIMSIZ"))))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IF($A176="","",IF($C176&lt;=efs_yuvarlamaEsik,1,0))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IF(OR($A176="",$B176&lt;&gt;"tutar_farki"),"",IF(ABS($C176-$D176)&lt;=toleransKurus,"KDV_ORAN",IF(ABS($C176-$E176*efs_kdvOran)&lt;=toleransKurus,"MATRAH",IF($F176=1,"YUVARLAMA","TANIMSIZ"))))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IF($A177="","",IF($C177&lt;=efs_yuvarlamaEsik,1,0))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IF(OR($A177="",$B177&lt;&gt;"tutar_farki"),"",IF(ABS($C177-$D177)&lt;=toleransKurus,"KDV_ORAN",IF(ABS($C177-$E177*efs_kdvOran)&lt;=toleransKurus,"MATRAH",IF($F177=1,"YUVARLAMA","TANIMSIZ"))))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IF($A178="","",IF($C178&lt;=efs_yuvarlamaEsik,1,0))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IF(OR($A178="",$B178&lt;&gt;"tutar_farki"),"",IF(ABS($C178-$D178)&lt;=toleransKurus,"KDV_ORAN",IF(ABS($C178-$E178*efs_kdvOran)&lt;=toleransKurus,"MATRAH",IF($F178=1,"YUVARLAMA","TANIMSIZ"))))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IF($A179="","",IF($C179&lt;=efs_yuvarlamaEsik,1,0))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IF(OR($A179="",$B179&lt;&gt;"tutar_farki"),"",IF(ABS($C179-$D179)&lt;=toleransKurus,"KDV_ORAN",IF(ABS($C179-$E179*efs_kdvOran)&lt;=toleransKurus,"MATRAH",IF($F179=1,"YUVARLAMA","TANIMSIZ"))))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IF($A180="","",IF($C180&lt;=efs_yuvarlamaEsik,1,0))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IF(OR($A180="",$B180&lt;&gt;"tutar_farki"),"",IF(ABS($C180-$D180)&lt;=toleransKurus,"KDV_ORAN",IF(ABS($C180-$E180*efs_kdvOran)&lt;=toleransKurus,"MATRAH",IF($F180=1,"YUVARLAMA","TANIMSIZ"))))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IF($A181="","",IF($C181&lt;=efs_yuvarlamaEsik,1,0))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IF(OR($A181="",$B181&lt;&gt;"tutar_farki"),"",IF(ABS($C181-$D181)&lt;=toleransKurus,"KDV_ORAN",IF(ABS($C181-$E181*efs_kdvOran)&lt;=toleransKurus,"MATRAH",IF($F181=1,"YUVARLAMA","TANIMSIZ"))))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IF($A182="","",IF($C182&lt;=efs_yuvarlamaEsik,1,0))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IF(OR($A182="",$B182&lt;&gt;"tutar_farki"),"",IF(ABS($C182-$D182)&lt;=toleransKurus,"KDV_ORAN",IF(ABS($C182-$E182*efs_kdvOran)&lt;=toleransKurus,"MATRAH",IF($F182=1,"YUVARLAMA","TANIMSIZ"))))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IF($A183="","",IF($C183&lt;=efs_yuvarlamaEsik,1,0))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IF(OR($A183="",$B183&lt;&gt;"tutar_farki"),"",IF(ABS($C183-$D183)&lt;=toleransKurus,"KDV_ORAN",IF(ABS($C183-$E183*efs_kdvOran)&lt;=toleransKurus,"MATRAH",IF($F183=1,"YUVARLAMA","TANIMSIZ"))))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IF($A184="","",IF($C184&lt;=efs_yuvarlamaEsik,1,0))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IF(OR($A184="",$B184&lt;&gt;"tutar_farki"),"",IF(ABS($C184-$D184)&lt;=toleransKurus,"KDV_ORAN",IF(ABS($C184-$E184*efs_kdvOran)&lt;=toleransKurus,"MATRAH",IF($F184=1,"YUVARLAMA","TANIMSIZ"))))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IF($A185="","",IF($C185&lt;=efs_yuvarlamaEsik,1,0))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IF(OR($A185="",$B185&lt;&gt;"tutar_farki"),"",IF(ABS($C185-$D185)&lt;=toleransKurus,"KDV_ORAN",IF(ABS($C185-$E185*efs_kdvOran)&lt;=toleransKurus,"MATRAH",IF($F185=1,"YUVARLAMA","TANIMSIZ"))))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IF($A186="","",IF($C186&lt;=efs_yuvarlamaEsik,1,0))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IF(OR($A186="",$B186&lt;&gt;"tutar_farki"),"",IF(ABS($C186-$D186)&lt;=toleransKurus,"KDV_ORAN",IF(ABS($C186-$E186*efs_kdvOran)&lt;=toleransKurus,"MATRAH",IF($F186=1,"YUVARLAMA","TANIMSIZ"))))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IF($A187="","",IF($C187&lt;=efs_yuvarlamaEsik,1,0))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IF(OR($A187="",$B187&lt;&gt;"tutar_farki"),"",IF(ABS($C187-$D187)&lt;=toleransKurus,"KDV_ORAN",IF(ABS($C187-$E187*efs_kdvOran)&lt;=toleransKurus,"MATRAH",IF($F187=1,"YUVARLAMA","TANIMSIZ"))))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IF($A188="","",IF($C188&lt;=efs_yuvarlamaEsik,1,0))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IF(OR($A188="",$B188&lt;&gt;"tutar_farki"),"",IF(ABS($C188-$D188)&lt;=toleransKurus,"KDV_ORAN",IF(ABS($C188-$E188*efs_kdvOran)&lt;=toleransKurus,"MATRAH",IF($F188=1,"YUVARLAMA","TANIMSIZ"))))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IF($A189="","",IF($C189&lt;=efs_yuvarlamaEsik,1,0))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IF(OR($A189="",$B189&lt;&gt;"tutar_farki"),"",IF(ABS($C189-$D189)&lt;=toleransKurus,"KDV_ORAN",IF(ABS($C189-$E189*efs_kdvOran)&lt;=toleransKurus,"MATRAH",IF($F189=1,"YUVARLAMA","TANIMSIZ"))))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IF($A190="","",IF($C190&lt;=efs_yuvarlamaEsik,1,0))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IF(OR($A190="",$B190&lt;&gt;"tutar_farki"),"",IF(ABS($C190-$D190)&lt;=toleransKurus,"KDV_ORAN",IF(ABS($C190-$E190*efs_kdvOran)&lt;=toleransKurus,"MATRAH",IF($F190=1,"YUVARLAMA","TANIMSIZ"))))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IF($A191="","",IF($C191&lt;=efs_yuvarlamaEsik,1,0))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IF(OR($A191="",$B191&lt;&gt;"tutar_farki"),"",IF(ABS($C191-$D191)&lt;=toleransKurus,"KDV_ORAN",IF(ABS($C191-$E191*efs_kdvOran)&lt;=toleransKurus,"MATRAH",IF($F191=1,"YUVARLAMA","TANIMSIZ"))))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IF($A192="","",IF($C192&lt;=efs_yuvarlamaEsik,1,0))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IF(OR($A192="",$B192&lt;&gt;"tutar_farki"),"",IF(ABS($C192-$D192)&lt;=toleransKurus,"KDV_ORAN",IF(ABS($C192-$E192*efs_kdvOran)&lt;=toleransKurus,"MATRAH",IF($F192=1,"YUVARLAMA","TANIMSIZ"))))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IF($A193="","",IF($C193&lt;=efs_yuvarlamaEsik,1,0))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IF(OR($A193="",$B193&lt;&gt;"tutar_farki"),"",IF(ABS($C193-$D193)&lt;=toleransKurus,"KDV_ORAN",IF(ABS($C193-$E193*efs_kdvOran)&lt;=toleransKurus,"MATRAH",IF($F193=1,"YUVARLAMA","TANIMSIZ"))))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IF($A194="","",IF($C194&lt;=efs_yuvarlamaEsik,1,0))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IF(OR($A194="",$B194&lt;&gt;"tutar_farki"),"",IF(ABS($C194-$D194)&lt;=toleransKurus,"KDV_ORAN",IF(ABS($C194-$E194*efs_kdvOran)&lt;=toleransKurus,"MATRAH",IF($F194=1,"YUVARLAMA","TANIMSIZ"))))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IF($A195="","",IF($C195&lt;=efs_yuvarlamaEsik,1,0))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IF(OR($A195="",$B195&lt;&gt;"tutar_farki"),"",IF(ABS($C195-$D195)&lt;=toleransKurus,"KDV_ORAN",IF(ABS($C195-$E195*efs_kdvOran)&lt;=toleransKurus,"MATRAH",IF($F195=1,"YUVARLAMA","TANIMSIZ"))))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IF($A196="","",IF($C196&lt;=efs_yuvarlamaEsik,1,0))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IF(OR($A196="",$B196&lt;&gt;"tutar_farki"),"",IF(ABS($C196-$D196)&lt;=toleransKurus,"KDV_ORAN",IF(ABS($C196-$E196*efs_kdvOran)&lt;=toleransKurus,"MATRAH",IF($F196=1,"YUVARLAMA","TANIMSIZ"))))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IF($A197="","",IF($C197&lt;=efs_yuvarlamaEsik,1,0))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IF(OR($A197="",$B197&lt;&gt;"tutar_farki"),"",IF(ABS($C197-$D197)&lt;=toleransKurus,"KDV_ORAN",IF(ABS($C197-$E197*efs_kdvOran)&lt;=toleransKurus,"MATRAH",IF($F197=1,"YUVARLAMA","TANIMSIZ"))))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IF($A198="","",IF($C198&lt;=efs_yuvarlamaEsik,1,0))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IF(OR($A198="",$B198&lt;&gt;"tutar_farki"),"",IF(ABS($C198-$D198)&lt;=toleransKurus,"KDV_ORAN",IF(ABS($C198-$E198*efs_kdvOran)&lt;=toleransKurus,"MATRAH",IF($F198=1,"YUVARLAMA","TANIMSIZ"))))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IF($A199="","",IF($C199&lt;=efs_yuvarlamaEsik,1,0))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IF(OR($A199="",$B199&lt;&gt;"tutar_farki"),"",IF(ABS($C199-$D199)&lt;=toleransKurus,"KDV_ORAN",IF(ABS($C199-$E199*efs_kdvOran)&lt;=toleransKurus,"MATRAH",IF($F199=1,"YUVARLAMA","TANIMSIZ"))))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IF($A200="","",IF($C200&lt;=efs_yuvarlamaEsik,1,0))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IF(OR($A200="",$B200&lt;&gt;"tutar_farki"),"",IF(ABS($C200-$D200)&lt;=toleransKurus,"KDV_ORAN",IF(ABS($C200-$E200*efs_kdvOran)&lt;=toleransKurus,"MATRAH",IF($F200=1,"YUVARLAMA","TANIMSIZ"))))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IF($A201="","",IF($C201&lt;=efs_yuvarlamaEsik,1,0))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IF(OR($A201="",$B201&lt;&gt;"tutar_farki"),"",IF(ABS($C201-$D201)&lt;=toleransKurus,"KDV_ORAN",IF(ABS($C201-$E201*efs_kdvOran)&lt;=toleransKurus,"MATRAH",IF($F201=1,"YUVARLAMA","TANIMSIZ"))))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IF($A202="","",IF($C202&lt;=efs_yuvarlamaEsik,1,0))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IF(OR($A202="",$B202&lt;&gt;"tutar_farki"),"",IF(ABS($C202-$D202)&lt;=toleransKurus,"KDV_ORAN",IF(ABS($C202-$E202*efs_kdvOran)&lt;=toleransKurus,"MATRAH",IF($F202=1,"YUVARLAMA","TANIMSIZ"))))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IF($A203="","",IF($C203&lt;=efs_yuvarlamaEsik,1,0))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IF(OR($A203="",$B203&lt;&gt;"tutar_farki"),"",IF(ABS($C203-$D203)&lt;=toleransKurus,"KDV_ORAN",IF(ABS($C203-$E203*efs_kdvOran)&lt;=toleransKurus,"MATRAH",IF($F203=1,"YUVARLAMA","TANIMSIZ"))))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IF($A204="","",IF($C204&lt;=efs_yuvarlamaEsik,1,0))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IF(OR($A204="",$B204&lt;&gt;"tutar_farki"),"",IF(ABS($C204-$D204)&lt;=toleransKurus,"KDV_ORAN",IF(ABS($C204-$E204*efs_kdvOran)&lt;=toleransKurus,"MATRAH",IF($F204=1,"YUVARLAMA","TANIMSIZ"))))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IF($A205="","",IF($C205&lt;=efs_yuvarlamaEsik,1,0))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IF(OR($A205="",$B205&lt;&gt;"tutar_farki"),"",IF(ABS($C205-$D205)&lt;=toleransKurus,"KDV_ORAN",IF(ABS($C205-$E205*efs_kdvOran)&lt;=toleransKurus,"MATRAH",IF($F205=1,"YUVARLAMA","TANIMSIZ"))))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IF($A206="","",IF($C206&lt;=efs_yuvarlamaEsik,1,0))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IF(OR($A206="",$B206&lt;&gt;"tutar_farki"),"",IF(ABS($C206-$D206)&lt;=toleransKurus,"KDV_ORAN",IF(ABS($C206-$E206*efs_kdvOran)&lt;=toleransKurus,"MATRAH",IF($F206=1,"YUVARLAMA","TANIMSIZ"))))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IF($A207="","",IF($C207&lt;=efs_yuvarlamaEsik,1,0))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IF(OR($A207="",$B207&lt;&gt;"tutar_farki"),"",IF(ABS($C207-$D207)&lt;=toleransKurus,"KDV_ORAN",IF(ABS($C207-$E207*efs_kdvOran)&lt;=toleransKurus,"MATRAH",IF($F207=1,"YUVARLAMA","TANIMSIZ"))))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IF($A208="","",IF($C208&lt;=efs_yuvarlamaEsik,1,0))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IF(OR($A208="",$B208&lt;&gt;"tutar_farki"),"",IF(ABS($C208-$D208)&lt;=toleransKurus,"KDV_ORAN",IF(ABS($C208-$E208*efs_kdvOran)&lt;=toleransKurus,"MATRAH",IF($F208=1,"YUVARLAMA","TANIMSIZ"))))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IF($A209="","",IF($C209&lt;=efs_yuvarlamaEsik,1,0))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IF(OR($A209="",$B209&lt;&gt;"tutar_farki"),"",IF(ABS($C209-$D209)&lt;=toleransKurus,"KDV_ORAN",IF(ABS($C209-$E209*efs_kdvOran)&lt;=toleransKurus,"MATRAH",IF($F209=1,"YUVARLAMA","TANIMSIZ"))))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IF($A210="","",IF($C210&lt;=efs_yuvarlamaEsik,1,0))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IF(OR($A210="",$B210&lt;&gt;"tutar_farki"),"",IF(ABS($C210-$D210)&lt;=toleransKurus,"KDV_ORAN",IF(ABS($C210-$E210*efs_kdvOran)&lt;=toleransKurus,"MATRAH",IF($F210=1,"YUVARLAMA","TANIMSIZ"))))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IF($A211="","",IF($C211&lt;=efs_yuvarlamaEsik,1,0))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IF(OR($A211="",$B211&lt;&gt;"tutar_farki"),"",IF(ABS($C211-$D211)&lt;=toleransKurus,"KDV_ORAN",IF(ABS($C211-$E211*efs_kdvOran)&lt;=toleransKurus,"MATRAH",IF($F211=1,"YUVARLAMA","TANIMSIZ"))))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IF($A212="","",IF($C212&lt;=efs_yuvarlamaEsik,1,0))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IF(OR($A212="",$B212&lt;&gt;"tutar_farki"),"",IF(ABS($C212-$D212)&lt;=toleransKurus,"KDV_ORAN",IF(ABS($C212-$E212*efs_kdvOran)&lt;=toleransKurus,"MATRAH",IF($F212=1,"YUVARLAMA","TANIMSIZ"))))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IF($A213="","",IF($C213&lt;=efs_yuvarlamaEsik,1,0))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IF(OR($A213="",$B213&lt;&gt;"tutar_farki"),"",IF(ABS($C213-$D213)&lt;=toleransKurus,"KDV_ORAN",IF(ABS($C213-$E213*efs_kdvOran)&lt;=toleransKurus,"MATRAH",IF($F213=1,"YUVARLAMA","TANIMSIZ"))))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IF($A214="","",IF($C214&lt;=efs_yuvarlamaEsik,1,0))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IF(OR($A214="",$B214&lt;&gt;"tutar_farki"),"",IF(ABS($C214-$D214)&lt;=toleransKurus,"KDV_ORAN",IF(ABS($C214-$E214*efs_kdvOran)&lt;=toleransKurus,"MATRAH",IF($F214=1,"YUVARLAMA","TANIMSIZ"))))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IF($A215="","",IF($C215&lt;=efs_yuvarlamaEsik,1,0))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IF(OR($A215="",$B215&lt;&gt;"tutar_farki"),"",IF(ABS($C215-$D215)&lt;=toleransKurus,"KDV_ORAN",IF(ABS($C215-$E215*efs_kdvOran)&lt;=toleransKurus,"MATRAH",IF($F215=1,"YUVARLAMA","TANIMSIZ"))))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IF($A216="","",IF($C216&lt;=efs_yuvarlamaEsik,1,0))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IF(OR($A216="",$B216&lt;&gt;"tutar_farki"),"",IF(ABS($C216-$D216)&lt;=toleransKurus,"KDV_ORAN",IF(ABS($C216-$E216*efs_kdvOran)&lt;=toleransKurus,"MATRAH",IF($F216=1,"YUVARLAMA","TANIMSIZ"))))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IF($A217="","",IF($C217&lt;=efs_yuvarlamaEsik,1,0))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IF(OR($A217="",$B217&lt;&gt;"tutar_farki"),"",IF(ABS($C217-$D217)&lt;=toleransKurus,"KDV_ORAN",IF(ABS($C217-$E217*efs_kdvOran)&lt;=toleransKurus,"MATRAH",IF($F217=1,"YUVARLAMA","TANIMSIZ"))))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IF($A218="","",IF($C218&lt;=efs_yuvarlamaEsik,1,0))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IF(OR($A218="",$B218&lt;&gt;"tutar_farki"),"",IF(ABS($C218-$D218)&lt;=toleransKurus,"KDV_ORAN",IF(ABS($C218-$E218*efs_kdvOran)&lt;=toleransKurus,"MATRAH",IF($F218=1,"YUVARLAMA","TANIMSIZ"))))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IF($A219="","",IF($C219&lt;=efs_yuvarlamaEsik,1,0))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IF(OR($A219="",$B219&lt;&gt;"tutar_farki"),"",IF(ABS($C219-$D219)&lt;=toleransKurus,"KDV_ORAN",IF(ABS($C219-$E219*efs_kdvOran)&lt;=toleransKurus,"MATRAH",IF($F219=1,"YUVARLAMA","TANIMSIZ"))))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IF($A220="","",IF($C220&lt;=efs_yuvarlamaEsik,1,0))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IF(OR($A220="",$B220&lt;&gt;"tutar_farki"),"",IF(ABS($C220-$D220)&lt;=toleransKurus,"KDV_ORAN",IF(ABS($C220-$E220*efs_kdvOran)&lt;=toleransKurus,"MATRAH",IF($F220=1,"YUVARLAMA","TANIMSIZ"))))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IF($A221="","",IF($C221&lt;=efs_yuvarlamaEsik,1,0))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IF(OR($A221="",$B221&lt;&gt;"tutar_farki"),"",IF(ABS($C221-$D221)&lt;=toleransKurus,"KDV_ORAN",IF(ABS($C221-$E221*efs_kdvOran)&lt;=toleransKurus,"MATRAH",IF($F221=1,"YUVARLAMA","TANIMSIZ"))))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IF($A222="","",IF($C222&lt;=efs_yuvarlamaEsik,1,0))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IF(OR($A222="",$B222&lt;&gt;"tutar_farki"),"",IF(ABS($C222-$D222)&lt;=toleransKurus,"KDV_ORAN",IF(ABS($C222-$E222*efs_kdvOran)&lt;=toleransKurus,"MATRAH",IF($F222=1,"YUVARLAMA","TANIMSIZ"))))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IF($A223="","",IF($C223&lt;=efs_yuvarlamaEsik,1,0))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IF(OR($A223="",$B223&lt;&gt;"tutar_farki"),"",IF(ABS($C223-$D223)&lt;=toleransKurus,"KDV_ORAN",IF(ABS($C223-$E223*efs_kdvOran)&lt;=toleransKurus,"MATRAH",IF($F223=1,"YUVARLAMA","TANIMSIZ"))))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IF($A224="","",IF($C224&lt;=efs_yuvarlamaEsik,1,0))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IF(OR($A224="",$B224&lt;&gt;"tutar_farki"),"",IF(ABS($C224-$D224)&lt;=toleransKurus,"KDV_ORAN",IF(ABS($C224-$E224*efs_kdvOran)&lt;=toleransKurus,"MATRAH",IF($F224=1,"YUVARLAMA","TANIMSIZ"))))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IF($A225="","",IF($C225&lt;=efs_yuvarlamaEsik,1,0))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IF(OR($A225="",$B225&lt;&gt;"tutar_farki"),"",IF(ABS($C225-$D225)&lt;=toleransKurus,"KDV_ORAN",IF(ABS($C225-$E225*efs_kdvOran)&lt;=toleransKurus,"MATRAH",IF($F225=1,"YUVARLAMA","TANIMSIZ"))))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IF($A226="","",IF($C226&lt;=efs_yuvarlamaEsik,1,0))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IF(OR($A226="",$B226&lt;&gt;"tutar_farki"),"",IF(ABS($C226-$D226)&lt;=toleransKurus,"KDV_ORAN",IF(ABS($C226-$E226*efs_kdvOran)&lt;=toleransKurus,"MATRAH",IF($F226=1,"YUVARLAMA","TANIMSIZ"))))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IF($A227="","",IF($C227&lt;=efs_yuvarlamaEsik,1,0))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IF(OR($A227="",$B227&lt;&gt;"tutar_farki"),"",IF(ABS($C227-$D227)&lt;=toleransKurus,"KDV_ORAN",IF(ABS($C227-$E227*efs_kdvOran)&lt;=toleransKurus,"MATRAH",IF($F227=1,"YUVARLAMA","TANIMSIZ"))))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IF($A228="","",IF($C228&lt;=efs_yuvarlamaEsik,1,0))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IF(OR($A228="",$B228&lt;&gt;"tutar_farki"),"",IF(ABS($C228-$D228)&lt;=toleransKurus,"KDV_ORAN",IF(ABS($C228-$E228*efs_kdvOran)&lt;=toleransKurus,"MATRAH",IF($F228=1,"YUVARLAMA","TANIMSIZ"))))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IF($A229="","",IF($C229&lt;=efs_yuvarlamaEsik,1,0))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IF(OR($A229="",$B229&lt;&gt;"tutar_farki"),"",IF(ABS($C229-$D229)&lt;=toleransKurus,"KDV_ORAN",IF(ABS($C229-$E229*efs_kdvOran)&lt;=toleransKurus,"MATRAH",IF($F229=1,"YUVARLAMA","TANIMSIZ"))))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IF($A230="","",IF($C230&lt;=efs_yuvarlamaEsik,1,0))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IF(OR($A230="",$B230&lt;&gt;"tutar_farki"),"",IF(ABS($C230-$D230)&lt;=toleransKurus,"KDV_ORAN",IF(ABS($C230-$E230*efs_kdvOran)&lt;=toleransKurus,"MATRAH",IF($F230=1,"YUVARLAMA","TANIMSIZ"))))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IF($A231="","",IF($C231&lt;=efs_yuvarlamaEsik,1,0))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IF(OR($A231="",$B231&lt;&gt;"tutar_farki"),"",IF(ABS($C231-$D231)&lt;=toleransKurus,"KDV_ORAN",IF(ABS($C231-$E231*efs_kdvOran)&lt;=toleransKurus,"MATRAH",IF($F231=1,"YUVARLAMA","TANIMSIZ"))))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IF($A232="","",IF($C232&lt;=efs_yuvarlamaEsik,1,0))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IF(OR($A232="",$B232&lt;&gt;"tutar_farki"),"",IF(ABS($C232-$D232)&lt;=toleransKurus,"KDV_ORAN",IF(ABS($C232-$E232*efs_kdvOran)&lt;=toleransKurus,"MATRAH",IF($F232=1,"YUVARLAMA","TANIMSIZ"))))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IF($A233="","",IF($C233&lt;=efs_yuvarlamaEsik,1,0))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IF(OR($A233="",$B233&lt;&gt;"tutar_farki"),"",IF(ABS($C233-$D233)&lt;=toleransKurus,"KDV_ORAN",IF(ABS($C233-$E233*efs_kdvOran)&lt;=toleransKurus,"MATRAH",IF($F233=1,"YUVARLAMA","TANIMSIZ"))))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IF($A234="","",IF($C234&lt;=efs_yuvarlamaEsik,1,0))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IF(OR($A234="",$B234&lt;&gt;"tutar_farki"),"",IF(ABS($C234-$D234)&lt;=toleransKurus,"KDV_ORAN",IF(ABS($C234-$E234*efs_kdvOran)&lt;=toleransKurus,"MATRAH",IF($F234=1,"YUVARLAMA","TANIMSIZ"))))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IF($A235="","",IF($C235&lt;=efs_yuvarlamaEsik,1,0))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IF(OR($A235="",$B235&lt;&gt;"tutar_farki"),"",IF(ABS($C235-$D235)&lt;=toleransKurus,"KDV_ORAN",IF(ABS($C235-$E235*efs_kdvOran)&lt;=toleransKurus,"MATRAH",IF($F235=1,"YUVARLAMA","TANIMSIZ"))))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IF($A236="","",IF($C236&lt;=efs_yuvarlamaEsik,1,0))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IF(OR($A236="",$B236&lt;&gt;"tutar_farki"),"",IF(ABS($C236-$D236)&lt;=toleransKurus,"KDV_ORAN",IF(ABS($C236-$E236*efs_kdvOran)&lt;=toleransKurus,"MATRAH",IF($F236=1,"YUVARLAMA","TANIMSIZ"))))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IF($A237="","",IF($C237&lt;=efs_yuvarlamaEsik,1,0))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IF(OR($A237="",$B237&lt;&gt;"tutar_farki"),"",IF(ABS($C237-$D237)&lt;=toleransKurus,"KDV_ORAN",IF(ABS($C237-$E237*efs_kdvOran)&lt;=toleransKurus,"MATRAH",IF($F237=1,"YUVARLAMA","TANIMSIZ"))))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IF($A238="","",IF($C238&lt;=efs_yuvarlamaEsik,1,0))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IF(OR($A238="",$B238&lt;&gt;"tutar_farki"),"",IF(ABS($C238-$D238)&lt;=toleransKurus,"KDV_ORAN",IF(ABS($C238-$E238*efs_kdvOran)&lt;=toleransKurus,"MATRAH",IF($F238=1,"YUVARLAMA","TANIMSIZ"))))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IF($A239="","",IF($C239&lt;=efs_yuvarlamaEsik,1,0))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IF(OR($A239="",$B239&lt;&gt;"tutar_farki"),"",IF(ABS($C239-$D239)&lt;=toleransKurus,"KDV_ORAN",IF(ABS($C239-$E239*efs_kdvOran)&lt;=toleransKurus,"MATRAH",IF($F239=1,"YUVARLAMA","TANIMSIZ"))))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IF($A240="","",IF($C240&lt;=efs_yuvarlamaEsik,1,0))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IF(OR($A240="",$B240&lt;&gt;"tutar_farki"),"",IF(ABS($C240-$D240)&lt;=toleransKurus,"KDV_ORAN",IF(ABS($C240-$E240*efs_kdvOran)&lt;=toleransKurus,"MATRAH",IF($F240=1,"YUVARLAMA","TANIMSIZ"))))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IF($A241="","",IF($C241&lt;=efs_yuvarlamaEsik,1,0))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IF(OR($A241="",$B241&lt;&gt;"tutar_farki"),"",IF(ABS($C241-$D241)&lt;=toleransKurus,"KDV_ORAN",IF(ABS($C241-$E241*efs_kdvOran)&lt;=toleransKurus,"MATRAH",IF($F241=1,"YUVARLAMA","TANIMSIZ"))))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IF($A242="","",IF($C242&lt;=efs_yuvarlamaEsik,1,0))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IF(OR($A242="",$B242&lt;&gt;"tutar_farki"),"",IF(ABS($C242-$D242)&lt;=toleransKurus,"KDV_ORAN",IF(ABS($C242-$E242*efs_kdvOran)&lt;=toleransKurus,"MATRAH",IF($F242=1,"YUVARLAMA","TANIMSIZ"))))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IF($A243="","",IF($C243&lt;=efs_yuvarlamaEsik,1,0))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IF(OR($A243="",$B243&lt;&gt;"tutar_farki"),"",IF(ABS($C243-$D243)&lt;=toleransKurus,"KDV_ORAN",IF(ABS($C243-$E243*efs_kdvOran)&lt;=toleransKurus,"MATRAH",IF($F243=1,"YUVARLAMA","TANIMSIZ"))))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IF($A244="","",IF($C244&lt;=efs_yuvarlamaEsik,1,0))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IF(OR($A244="",$B244&lt;&gt;"tutar_farki"),"",IF(ABS($C244-$D244)&lt;=toleransKurus,"KDV_ORAN",IF(ABS($C244-$E244*efs_kdvOran)&lt;=toleransKurus,"MATRAH",IF($F244=1,"YUVARLAMA","TANIMSIZ"))))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IF($A245="","",IF($C245&lt;=efs_yuvarlamaEsik,1,0))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IF(OR($A245="",$B245&lt;&gt;"tutar_farki"),"",IF(ABS($C245-$D245)&lt;=toleransKurus,"KDV_ORAN",IF(ABS($C245-$E245*efs_kdvOran)&lt;=toleransKurus,"MATRAH",IF($F245=1,"YUVARLAMA","TANIMSIZ"))))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IF($A246="","",IF($C246&lt;=efs_yuvarlamaEsik,1,0))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IF(OR($A246="",$B246&lt;&gt;"tutar_farki"),"",IF(ABS($C246-$D246)&lt;=toleransKurus,"KDV_ORAN",IF(ABS($C246-$E246*efs_kdvOran)&lt;=toleransKurus,"MATRAH",IF($F246=1,"YUVARLAMA","TANIMSIZ"))))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IF($A247="","",IF($C247&lt;=efs_yuvarlamaEsik,1,0))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IF(OR($A247="",$B247&lt;&gt;"tutar_farki"),"",IF(ABS($C247-$D247)&lt;=toleransKurus,"KDV_ORAN",IF(ABS($C247-$E247*efs_kdvOran)&lt;=toleransKurus,"MATRAH",IF($F247=1,"YUVARLAMA","TANIMSIZ"))))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IF($A248="","",IF($C248&lt;=efs_yuvarlamaEsik,1,0))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IF(OR($A248="",$B248&lt;&gt;"tutar_farki"),"",IF(ABS($C248-$D248)&lt;=toleransKurus,"KDV_ORAN",IF(ABS($C248-$E248*efs_kdvOran)&lt;=toleransKurus,"MATRAH",IF($F248=1,"YUVARLAMA","TANIMSIZ"))))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IF($A249="","",IF($C249&lt;=efs_yuvarlamaEsik,1,0))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IF(OR($A249="",$B249&lt;&gt;"tutar_farki"),"",IF(ABS($C249-$D249)&lt;=toleransKurus,"KDV_ORAN",IF(ABS($C249-$E249*efs_kdvOran)&lt;=toleransKurus,"MATRAH",IF($F249=1,"YUVARLAMA","TANIMSIZ"))))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IF($A250="","",IF($C250&lt;=efs_yuvarlamaEsik,1,0))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IF(OR($A250="",$B250&lt;&gt;"tutar_farki"),"",IF(ABS($C250-$D250)&lt;=toleransKurus,"KDV_ORAN",IF(ABS($C250-$E250*efs_kdvOran)&lt;=toleransKurus,"MATRAH",IF($F250=1,"YUVARLAMA","TANIMSIZ"))))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IF($A251="","",IF($C251&lt;=efs_yuvarlamaEsik,1,0))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IF(OR($A251="",$B251&lt;&gt;"tutar_farki"),"",IF(ABS($C251-$D251)&lt;=toleransKurus,"KDV_ORAN",IF(ABS($C251-$E251*efs_kdvOran)&lt;=toleransKurus,"MATRAH",IF($F251=1,"YUVARLAMA","TANIMSIZ"))))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IF($A252="","",IF($C252&lt;=efs_yuvarlamaEsik,1,0))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IF(OR($A252="",$B252&lt;&gt;"tutar_farki"),"",IF(ABS($C252-$D252)&lt;=toleransKurus,"KDV_ORAN",IF(ABS($C252-$E252*efs_kdvOran)&lt;=toleransKurus,"MATRAH",IF($F252=1,"YUVARLAMA","TANIMSIZ"))))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IF($A253="","",IF($C253&lt;=efs_yuvarlamaEsik,1,0))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IF(OR($A253="",$B253&lt;&gt;"tutar_farki"),"",IF(ABS($C253-$D253)&lt;=toleransKurus,"KDV_ORAN",IF(ABS($C253-$E253*efs_kdvOran)&lt;=toleransKurus,"MATRAH",IF($F253=1,"YUVARLAMA","TANIMSIZ"))))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IF($A254="","",IF($C254&lt;=efs_yuvarlamaEsik,1,0))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IF(OR($A254="",$B254&lt;&gt;"tutar_farki"),"",IF(ABS($C254-$D254)&lt;=toleransKurus,"KDV_ORAN",IF(ABS($C254-$E254*efs_kdvOran)&lt;=toleransKurus,"MATRAH",IF($F254=1,"YUVARLAMA","TANIMSIZ"))))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IF($A255="","",IF($C255&lt;=efs_yuvarlamaEsik,1,0))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IF(OR($A255="",$B255&lt;&gt;"tutar_farki"),"",IF(ABS($C255-$D255)&lt;=toleransKurus,"KDV_ORAN",IF(ABS($C255-$E255*efs_kdvOran)&lt;=toleransKurus,"MATRAH",IF($F255=1,"YUVARLAMA","TANIMSIZ"))))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IF($A256="","",IF($C256&lt;=efs_yuvarlamaEsik,1,0))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IF(OR($A256="",$B256&lt;&gt;"tutar_farki"),"",IF(ABS($C256-$D256)&lt;=toleransKurus,"KDV_ORAN",IF(ABS($C256-$E256*efs_kdvOran)&lt;=toleransKurus,"MATRAH",IF($F256=1,"YUVARLAMA","TANIMSIZ"))))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IF($A257="","",IF($C257&lt;=efs_yuvarlamaEsik,1,0))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IF(OR($A257="",$B257&lt;&gt;"tutar_farki"),"",IF(ABS($C257-$D257)&lt;=toleransKurus,"KDV_ORAN",IF(ABS($C257-$E257*efs_kdvOran)&lt;=toleransKurus,"MATRAH",IF($F257=1,"YUVARLAMA","TANIMSIZ"))))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IF($A258="","",IF($C258&lt;=efs_yuvarlamaEsik,1,0))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IF(OR($A258="",$B258&lt;&gt;"tutar_farki"),"",IF(ABS($C258-$D258)&lt;=toleransKurus,"KDV_ORAN",IF(ABS($C258-$E258*efs_kdvOran)&lt;=toleransKurus,"MATRAH",IF($F258=1,"YUVARLAMA","TANIMSIZ"))))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IF($A259="","",IF($C259&lt;=efs_yuvarlamaEsik,1,0))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IF(OR($A259="",$B259&lt;&gt;"tutar_farki"),"",IF(ABS($C259-$D259)&lt;=toleransKurus,"KDV_ORAN",IF(ABS($C259-$E259*efs_kdvOran)&lt;=toleransKurus,"MATRAH",IF($F259=1,"YUVARLAMA","TANIMSIZ"))))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IF($A260="","",IF($C260&lt;=efs_yuvarlamaEsik,1,0))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IF(OR($A260="",$B260&lt;&gt;"tutar_farki"),"",IF(ABS($C260-$D260)&lt;=toleransKurus,"KDV_ORAN",IF(ABS($C260-$E260*efs_kdvOran)&lt;=toleransKurus,"MATRAH",IF($F260=1,"YUVARLAMA","TANIMSIZ"))))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IF($A261="","",IF($C261&lt;=efs_yuvarlamaEsik,1,0))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IF(OR($A261="",$B261&lt;&gt;"tutar_farki"),"",IF(ABS($C261-$D261)&lt;=toleransKurus,"KDV_ORAN",IF(ABS($C261-$E261*efs_kdvOran)&lt;=toleransKurus,"MATRAH",IF($F261=1,"YUVARLAMA","TANIMSIZ"))))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IF($A262="","",IF($C262&lt;=efs_yuvarlamaEsik,1,0))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IF(OR($A262="",$B262&lt;&gt;"tutar_farki"),"",IF(ABS($C262-$D262)&lt;=toleransKurus,"KDV_ORAN",IF(ABS($C262-$E262*efs_kdvOran)&lt;=toleransKurus,"MATRAH",IF($F262=1,"YUVARLAMA","TANIMSIZ"))))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IF($A263="","",IF($C263&lt;=efs_yuvarlamaEsik,1,0))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IF(OR($A263="",$B263&lt;&gt;"tutar_farki"),"",IF(ABS($C263-$D263)&lt;=toleransKurus,"KDV_ORAN",IF(ABS($C263-$E263*efs_kdvOran)&lt;=toleransKurus,"MATRAH",IF($F263=1,"YUVARLAMA","TANIMSIZ"))))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IF($A264="","",IF($C264&lt;=efs_yuvarlamaEsik,1,0))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IF(OR($A264="",$B264&lt;&gt;"tutar_farki"),"",IF(ABS($C264-$D264)&lt;=toleransKurus,"KDV_ORAN",IF(ABS($C264-$E264*efs_kdvOran)&lt;=toleransKurus,"MATRAH",IF($F264=1,"YUVARLAMA","TANIMSIZ"))))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IF($A265="","",IF($C265&lt;=efs_yuvarlamaEsik,1,0))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IF(OR($A265="",$B265&lt;&gt;"tutar_farki"),"",IF(ABS($C265-$D265)&lt;=toleransKurus,"KDV_ORAN",IF(ABS($C265-$E265*efs_kdvOran)&lt;=toleransKurus,"MATRAH",IF($F265=1,"YUVARLAMA","TANIMSIZ"))))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IF($A266="","",IF($C266&lt;=efs_yuvarlamaEsik,1,0))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IF(OR($A266="",$B266&lt;&gt;"tutar_farki"),"",IF(ABS($C266-$D266)&lt;=toleransKurus,"KDV_ORAN",IF(ABS($C266-$E266*efs_kdvOran)&lt;=toleransKurus,"MATRAH",IF($F266=1,"YUVARLAMA","TANIMSIZ"))))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IF($A267="","",IF($C267&lt;=efs_yuvarlamaEsik,1,0))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IF(OR($A267="",$B267&lt;&gt;"tutar_farki"),"",IF(ABS($C267-$D267)&lt;=toleransKurus,"KDV_ORAN",IF(ABS($C267-$E267*efs_kdvOran)&lt;=toleransKurus,"MATRAH",IF($F267=1,"YUVARLAMA","TANIMSIZ"))))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IF($A268="","",IF($C268&lt;=efs_yuvarlamaEsik,1,0))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IF(OR($A268="",$B268&lt;&gt;"tutar_farki"),"",IF(ABS($C268-$D268)&lt;=toleransKurus,"KDV_ORAN",IF(ABS($C268-$E268*efs_kdvOran)&lt;=toleransKurus,"MATRAH",IF($F268=1,"YUVARLAMA","TANIMSIZ"))))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IF($A269="","",IF($C269&lt;=efs_yuvarlamaEsik,1,0))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IF(OR($A269="",$B269&lt;&gt;"tutar_farki"),"",IF(ABS($C269-$D269)&lt;=toleransKurus,"KDV_ORAN",IF(ABS($C269-$E269*efs_kdvOran)&lt;=toleransKurus,"MATRAH",IF($F269=1,"YUVARLAMA","TANIMSIZ"))))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IF($A270="","",IF($C270&lt;=efs_yuvarlamaEsik,1,0))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IF(OR($A270="",$B270&lt;&gt;"tutar_farki"),"",IF(ABS($C270-$D270)&lt;=toleransKurus,"KDV_ORAN",IF(ABS($C270-$E270*efs_kdvOran)&lt;=toleransKurus,"MATRAH",IF($F270=1,"YUVARLAMA","TANIMSIZ"))))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IF($A271="","",IF($C271&lt;=efs_yuvarlamaEsik,1,0))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IF(OR($A271="",$B271&lt;&gt;"tutar_farki"),"",IF(ABS($C271-$D271)&lt;=toleransKurus,"KDV_ORAN",IF(ABS($C271-$E271*efs_kdvOran)&lt;=toleransKurus,"MATRAH",IF($F271=1,"YUVARLAMA","TANIMSIZ"))))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IF($A272="","",IF($C272&lt;=efs_yuvarlamaEsik,1,0))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IF(OR($A272="",$B272&lt;&gt;"tutar_farki"),"",IF(ABS($C272-$D272)&lt;=toleransKurus,"KDV_ORAN",IF(ABS($C272-$E272*efs_kdvOran)&lt;=toleransKurus,"MATRAH",IF($F272=1,"YUVARLAMA","TANIMSIZ"))))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IF($A273="","",IF($C273&lt;=efs_yuvarlamaEsik,1,0))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IF(OR($A273="",$B273&lt;&gt;"tutar_farki"),"",IF(ABS($C273-$D273)&lt;=toleransKurus,"KDV_ORAN",IF(ABS($C273-$E273*efs_kdvOran)&lt;=toleransKurus,"MATRAH",IF($F273=1,"YUVARLAMA","TANIMSIZ"))))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IF($A274="","",IF($C274&lt;=efs_yuvarlamaEsik,1,0))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IF(OR($A274="",$B274&lt;&gt;"tutar_farki"),"",IF(ABS($C274-$D274)&lt;=toleransKurus,"KDV_ORAN",IF(ABS($C274-$E274*efs_kdvOran)&lt;=toleransKurus,"MATRAH",IF($F274=1,"YUVARLAMA","TANIMSIZ"))))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IF($A275="","",IF($C275&lt;=efs_yuvarlamaEsik,1,0))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IF(OR($A275="",$B275&lt;&gt;"tutar_farki"),"",IF(ABS($C275-$D275)&lt;=toleransKurus,"KDV_ORAN",IF(ABS($C275-$E275*efs_kdvOran)&lt;=toleransKurus,"MATRAH",IF($F275=1,"YUVARLAMA","TANIMSIZ"))))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IF($A276="","",IF($C276&lt;=efs_yuvarlamaEsik,1,0))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IF(OR($A276="",$B276&lt;&gt;"tutar_farki"),"",IF(ABS($C276-$D276)&lt;=toleransKurus,"KDV_ORAN",IF(ABS($C276-$E276*efs_kdvOran)&lt;=toleransKurus,"MATRAH",IF($F276=1,"YUVARLAMA","TANIMSIZ"))))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IF($A277="","",IF($C277&lt;=efs_yuvarlamaEsik,1,0))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IF(OR($A277="",$B277&lt;&gt;"tutar_farki"),"",IF(ABS($C277-$D277)&lt;=toleransKurus,"KDV_ORAN",IF(ABS($C277-$E277*efs_kdvOran)&lt;=toleransKurus,"MATRAH",IF($F277=1,"YUVARLAMA","TANIMSIZ"))))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IF($A278="","",IF($C278&lt;=efs_yuvarlamaEsik,1,0))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IF(OR($A278="",$B278&lt;&gt;"tutar_farki"),"",IF(ABS($C278-$D278)&lt;=toleransKurus,"KDV_ORAN",IF(ABS($C278-$E278*efs_kdvOran)&lt;=toleransKurus,"MATRAH",IF($F278=1,"YUVARLAMA","TANIMSIZ"))))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IF($A279="","",IF($C279&lt;=efs_yuvarlamaEsik,1,0))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IF(OR($A279="",$B279&lt;&gt;"tutar_farki"),"",IF(ABS($C279-$D279)&lt;=toleransKurus,"KDV_ORAN",IF(ABS($C279-$E279*efs_kdvOran)&lt;=toleransKurus,"MATRAH",IF($F279=1,"YUVARLAMA","TANIMSIZ"))))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IF($A280="","",IF($C280&lt;=efs_yuvarlamaEsik,1,0))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IF(OR($A280="",$B280&lt;&gt;"tutar_farki"),"",IF(ABS($C280-$D280)&lt;=toleransKurus,"KDV_ORAN",IF(ABS($C280-$E280*efs_kdvOran)&lt;=toleransKurus,"MATRAH",IF($F280=1,"YUVARLAMA","TANIMSIZ"))))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IF($A281="","",IF($C281&lt;=efs_yuvarlamaEsik,1,0))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IF(OR($A281="",$B281&lt;&gt;"tutar_farki"),"",IF(ABS($C281-$D281)&lt;=toleransKurus,"KDV_ORAN",IF(ABS($C281-$E281*efs_kdvOran)&lt;=toleransKurus,"MATRAH",IF($F281=1,"YUVARLAMA","TANIMSIZ"))))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IF($A282="","",IF($C282&lt;=efs_yuvarlamaEsik,1,0))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IF(OR($A282="",$B282&lt;&gt;"tutar_farki"),"",IF(ABS($C282-$D282)&lt;=toleransKurus,"KDV_ORAN",IF(ABS($C282-$E282*efs_kdvOran)&lt;=toleransKurus,"MATRAH",IF($F282=1,"YUVARLAMA","TANIMSIZ"))))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IF($A283="","",IF($C283&lt;=efs_yuvarlamaEsik,1,0))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IF(OR($A283="",$B283&lt;&gt;"tutar_farki"),"",IF(ABS($C283-$D283)&lt;=toleransKurus,"KDV_ORAN",IF(ABS($C283-$E283*efs_kdvOran)&lt;=toleransKurus,"MATRAH",IF($F283=1,"YUVARLAMA","TANIMSIZ"))))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IF($A284="","",IF($C284&lt;=efs_yuvarlamaEsik,1,0))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IF(OR($A284="",$B284&lt;&gt;"tutar_farki"),"",IF(ABS($C284-$D284)&lt;=toleransKurus,"KDV_ORAN",IF(ABS($C284-$E284*efs_kdvOran)&lt;=toleransKurus,"MATRAH",IF($F284=1,"YUVARLAMA","TANIMSIZ"))))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IF($A285="","",IF($C285&lt;=efs_yuvarlamaEsik,1,0))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IF(OR($A285="",$B285&lt;&gt;"tutar_farki"),"",IF(ABS($C285-$D285)&lt;=toleransKurus,"KDV_ORAN",IF(ABS($C285-$E285*efs_kdvOran)&lt;=toleransKurus,"MATRAH",IF($F285=1,"YUVARLAMA","TANIMSIZ"))))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IF($A286="","",IF($C286&lt;=efs_yuvarlamaEsik,1,0))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IF(OR($A286="",$B286&lt;&gt;"tutar_farki"),"",IF(ABS($C286-$D286)&lt;=toleransKurus,"KDV_ORAN",IF(ABS($C286-$E286*efs_kdvOran)&lt;=toleransKurus,"MATRAH",IF($F286=1,"YUVARLAMA","TANIMSIZ"))))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IF($A287="","",IF($C287&lt;=efs_yuvarlamaEsik,1,0))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IF(OR($A287="",$B287&lt;&gt;"tutar_farki"),"",IF(ABS($C287-$D287)&lt;=toleransKurus,"KDV_ORAN",IF(ABS($C287-$E287*efs_kdvOran)&lt;=toleransKurus,"MATRAH",IF($F287=1,"YUVARLAMA","TANIMSIZ"))))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IF($A288="","",IF($C288&lt;=efs_yuvarlamaEsik,1,0))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IF(OR($A288="",$B288&lt;&gt;"tutar_farki"),"",IF(ABS($C288-$D288)&lt;=toleransKurus,"KDV_ORAN",IF(ABS($C288-$E288*efs_kdvOran)&lt;=toleransKurus,"MATRAH",IF($F288=1,"YUVARLAMA","TANIMSIZ"))))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IF($A289="","",IF($C289&lt;=efs_yuvarlamaEsik,1,0))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IF(OR($A289="",$B289&lt;&gt;"tutar_farki"),"",IF(ABS($C289-$D289)&lt;=toleransKurus,"KDV_ORAN",IF(ABS($C289-$E289*efs_kdvOran)&lt;=toleransKurus,"MATRAH",IF($F289=1,"YUVARLAMA","TANIMSIZ"))))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IF($A290="","",IF($C290&lt;=efs_yuvarlamaEsik,1,0))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IF(OR($A290="",$B290&lt;&gt;"tutar_farki"),"",IF(ABS($C290-$D290)&lt;=toleransKurus,"KDV_ORAN",IF(ABS($C290-$E290*efs_kdvOran)&lt;=toleransKurus,"MATRAH",IF($F290=1,"YUVARLAMA","TANIMSIZ"))))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IF($A291="","",IF($C291&lt;=efs_yuvarlamaEsik,1,0))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IF(OR($A291="",$B291&lt;&gt;"tutar_farki"),"",IF(ABS($C291-$D291)&lt;=toleransKurus,"KDV_ORAN",IF(ABS($C291-$E291*efs_kdvOran)&lt;=toleransKurus,"MATRAH",IF($F291=1,"YUVARLAMA","TANIMSIZ"))))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IF($A292="","",IF($C292&lt;=efs_yuvarlamaEsik,1,0))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IF(OR($A292="",$B292&lt;&gt;"tutar_farki"),"",IF(ABS($C292-$D292)&lt;=toleransKurus,"KDV_ORAN",IF(ABS($C292-$E292*efs_kdvOran)&lt;=toleransKurus,"MATRAH",IF($F292=1,"YUVARLAMA","TANIMSIZ"))))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IF($A293="","",IF($C293&lt;=efs_yuvarlamaEsik,1,0))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IF(OR($A293="",$B293&lt;&gt;"tutar_farki"),"",IF(ABS($C293-$D293)&lt;=toleransKurus,"KDV_ORAN",IF(ABS($C293-$E293*efs_kdvOran)&lt;=toleransKurus,"MATRAH",IF($F293=1,"YUVARLAMA","TANIMSIZ"))))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IF($A294="","",IF($C294&lt;=efs_yuvarlamaEsik,1,0))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IF(OR($A294="",$B294&lt;&gt;"tutar_farki"),"",IF(ABS($C294-$D294)&lt;=toleransKurus,"KDV_ORAN",IF(ABS($C294-$E294*efs_kdvOran)&lt;=toleransKurus,"MATRAH",IF($F294=1,"YUVARLAMA","TANIMSIZ"))))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IF($A295="","",IF($C295&lt;=efs_yuvarlamaEsik,1,0))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IF(OR($A295="",$B295&lt;&gt;"tutar_farki"),"",IF(ABS($C295-$D295)&lt;=toleransKurus,"KDV_ORAN",IF(ABS($C295-$E295*efs_kdvOran)&lt;=toleransKurus,"MATRAH",IF($F295=1,"YUVARLAMA","TANIMSIZ"))))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IF($A296="","",IF($C296&lt;=efs_yuvarlamaEsik,1,0))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IF(OR($A296="",$B296&lt;&gt;"tutar_farki"),"",IF(ABS($C296-$D296)&lt;=toleransKurus,"KDV_ORAN",IF(ABS($C296-$E296*efs_kdvOran)&lt;=toleransKurus,"MATRAH",IF($F296=1,"YUVARLAMA","TANIMSIZ"))))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IF($A297="","",IF($C297&lt;=efs_yuvarlamaEsik,1,0))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IF(OR($A297="",$B297&lt;&gt;"tutar_farki"),"",IF(ABS($C297-$D297)&lt;=toleransKurus,"KDV_ORAN",IF(ABS($C297-$E297*efs_kdvOran)&lt;=toleransKurus,"MATRAH",IF($F297=1,"YUVARLAMA","TANIMSIZ"))))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IF($A298="","",IF($C298&lt;=efs_yuvarlamaEsik,1,0))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IF(OR($A298="",$B298&lt;&gt;"tutar_farki"),"",IF(ABS($C298-$D298)&lt;=toleransKurus,"KDV_ORAN",IF(ABS($C298-$E298*efs_kdvOran)&lt;=toleransKurus,"MATRAH",IF($F298=1,"YUVARLAMA","TANIMSIZ"))))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IF($A299="","",IF($C299&lt;=efs_yuvarlamaEsik,1,0))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IF(OR($A299="",$B299&lt;&gt;"tutar_farki"),"",IF(ABS($C299-$D299)&lt;=toleransKurus,"KDV_ORAN",IF(ABS($C299-$E299*efs_kdvOran)&lt;=toleransKurus,"MATRAH",IF($F299=1,"YUVARLAMA","TANIMSIZ"))))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IF($A300="","",IF($C300&lt;=efs_yuvarlamaEsik,1,0))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IF(OR($A300="",$B300&lt;&gt;"tutar_farki"),"",IF(ABS($C300-$D300)&lt;=toleransKurus,"KDV_ORAN",IF(ABS($C300-$E300*efs_kdvOran)&lt;=toleransKurus,"MATRAH",IF($F300=1,"YUVARLAMA","TANIMSIZ"))))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IF($A301="","",IF($C301&lt;=efs_yuvarlamaEsik,1,0))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IF(OR($A301="",$B301&lt;&gt;"tutar_farki"),"",IF(ABS($C301-$D301)&lt;=toleransKurus,"KDV_ORAN",IF(ABS($C301-$E301*efs_kdvOran)&lt;=toleransKurus,"MATRAH",IF($F301=1,"YUVARLAMA","TANIMSIZ"))))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IF($A302="","",IF($C302&lt;=efs_yuvarlamaEsik,1,0))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IF(OR($A302="",$B302&lt;&gt;"tutar_farki"),"",IF(ABS($C302-$D302)&lt;=toleransKurus,"KDV_ORAN",IF(ABS($C302-$E302*efs_kdvOran)&lt;=toleransKurus,"MATRAH",IF($F302=1,"YUVARLAMA","TANIMSIZ"))))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IF($A303="","",IF($C303&lt;=efs_yuvarlamaEsik,1,0))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IF(OR($A303="",$B303&lt;&gt;"tutar_farki"),"",IF(ABS($C303-$D303)&lt;=toleransKurus,"KDV_ORAN",IF(ABS($C303-$E303*efs_kdvOran)&lt;=toleransKurus,"MATRAH",IF($F303=1,"YUVARLAMA","TANIMSIZ"))))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IF($A304="","",IF($C304&lt;=efs_yuvarlamaEsik,1,0))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IF(OR($A304="",$B304&lt;&gt;"tutar_farki"),"",IF(ABS($C304-$D304)&lt;=toleransKurus,"KDV_ORAN",IF(ABS($C304-$E304*efs_kdvOran)&lt;=toleransKurus,"MATRAH",IF($F304=1,"YUVARLAMA","TANIMSIZ"))))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IF($A305="","",IF($C305&lt;=efs_yuvarlamaEsik,1,0))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IF(OR($A305="",$B305&lt;&gt;"tutar_farki"),"",IF(ABS($C305-$D305)&lt;=toleransKurus,"KDV_ORAN",IF(ABS($C305-$E305*efs_kdvOran)&lt;=toleransKurus,"MATRAH",IF($F305=1,"YUVARLAMA","TANIMSIZ"))))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IF($A306="","",IF($C306&lt;=efs_yuvarlamaEsik,1,0))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IF(OR($A306="",$B306&lt;&gt;"tutar_farki"),"",IF(ABS($C306-$D306)&lt;=toleransKurus,"KDV_ORAN",IF(ABS($C306-$E306*efs_kdvOran)&lt;=toleransKurus,"MATRAH",IF($F306=1,"YUVARLAMA","TANIMSIZ"))))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IF($A307="","",IF($C307&lt;=efs_yuvarlamaEsik,1,0))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IF(OR($A307="",$B307&lt;&gt;"tutar_farki"),"",IF(ABS($C307-$D307)&lt;=toleransKurus,"KDV_ORAN",IF(ABS($C307-$E307*efs_kdvOran)&lt;=toleransKurus,"MATRAH",IF($F307=1,"YUVARLAMA","TANIMSIZ"))))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IF($A308="","",IF($C308&lt;=efs_yuvarlamaEsik,1,0))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IF(OR($A308="",$B308&lt;&gt;"tutar_farki"),"",IF(ABS($C308-$D308)&lt;=toleransKurus,"KDV_ORAN",IF(ABS($C308-$E308*efs_kdvOran)&lt;=toleransKurus,"MATRAH",IF($F308=1,"YUVARLAMA","TANIMSIZ"))))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IF($A309="","",IF($C309&lt;=efs_yuvarlamaEsik,1,0))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IF(OR($A309="",$B309&lt;&gt;"tutar_farki"),"",IF(ABS($C309-$D309)&lt;=toleransKurus,"KDV_ORAN",IF(ABS($C309-$E309*efs_kdvOran)&lt;=toleransKurus,"MATRAH",IF($F309=1,"YUVARLAMA","TANIMSIZ"))))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IF($A310="","",IF($C310&lt;=efs_yuvarlamaEsik,1,0))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IF(OR($A310="",$B310&lt;&gt;"tutar_farki"),"",IF(ABS($C310-$D310)&lt;=toleransKurus,"KDV_ORAN",IF(ABS($C310-$E310*efs_kdvOran)&lt;=toleransKurus,"MATRAH",IF($F310=1,"YUVARLAMA","TANIMSIZ"))))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IF($A311="","",IF($C311&lt;=efs_yuvarlamaEsik,1,0))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IF(OR($A311="",$B311&lt;&gt;"tutar_farki"),"",IF(ABS($C311-$D311)&lt;=toleransKurus,"KDV_ORAN",IF(ABS($C311-$E311*efs_kdvOran)&lt;=toleransKurus,"MATRAH",IF($F311=1,"YUVARLAMA","TANIMSIZ"))))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IF($A312="","",IF($C312&lt;=efs_yuvarlamaEsik,1,0))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IF(OR($A312="",$B312&lt;&gt;"tutar_farki"),"",IF(ABS($C312-$D312)&lt;=toleransKurus,"KDV_ORAN",IF(ABS($C312-$E312*efs_kdvOran)&lt;=toleransKurus,"MATRAH",IF($F312=1,"YUVARLAMA","TANIMSIZ"))))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IF($A313="","",IF($C313&lt;=efs_yuvarlamaEsik,1,0))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IF(OR($A313="",$B313&lt;&gt;"tutar_farki"),"",IF(ABS($C313-$D313)&lt;=toleransKurus,"KDV_ORAN",IF(ABS($C313-$E313*efs_kdvOran)&lt;=toleransKurus,"MATRAH",IF($F313=1,"YUVARLAMA","TANIMSIZ"))))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IF($A314="","",IF($C314&lt;=efs_yuvarlamaEsik,1,0))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IF(OR($A314="",$B314&lt;&gt;"tutar_farki"),"",IF(ABS($C314-$D314)&lt;=toleransKurus,"KDV_ORAN",IF(ABS($C314-$E314*efs_kdvOran)&lt;=toleransKurus,"MATRAH",IF($F314=1,"YUVARLAMA","TANIMSIZ"))))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IF($A315="","",IF($C315&lt;=efs_yuvarlamaEsik,1,0))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IF(OR($A315="",$B315&lt;&gt;"tutar_farki"),"",IF(ABS($C315-$D315)&lt;=toleransKurus,"KDV_ORAN",IF(ABS($C315-$E315*efs_kdvOran)&lt;=toleransKurus,"MATRAH",IF($F315=1,"YUVARLAMA","TANIMSIZ"))))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IF($A316="","",IF($C316&lt;=efs_yuvarlamaEsik,1,0))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IF(OR($A316="",$B316&lt;&gt;"tutar_farki"),"",IF(ABS($C316-$D316)&lt;=toleransKurus,"KDV_ORAN",IF(ABS($C316-$E316*efs_kdvOran)&lt;=toleransKurus,"MATRAH",IF($F316=1,"YUVARLAMA","TANIMSIZ"))))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IF($A317="","",IF($C317&lt;=efs_yuvarlamaEsik,1,0))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IF(OR($A317="",$B317&lt;&gt;"tutar_farki"),"",IF(ABS($C317-$D317)&lt;=toleransKurus,"KDV_ORAN",IF(ABS($C317-$E317*efs_kdvOran)&lt;=toleransKurus,"MATRAH",IF($F317=1,"YUVARLAMA","TANIMSIZ"))))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IF($A318="","",IF($C318&lt;=efs_yuvarlamaEsik,1,0))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IF(OR($A318="",$B318&lt;&gt;"tutar_farki"),"",IF(ABS($C318-$D318)&lt;=toleransKurus,"KDV_ORAN",IF(ABS($C318-$E318*efs_kdvOran)&lt;=toleransKurus,"MATRAH",IF($F318=1,"YUVARLAMA","TANIMSIZ"))))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IF($A319="","",IF($C319&lt;=efs_yuvarlamaEsik,1,0))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IF(OR($A319="",$B319&lt;&gt;"tutar_farki"),"",IF(ABS($C319-$D319)&lt;=toleransKurus,"KDV_ORAN",IF(ABS($C319-$E319*efs_kdvOran)&lt;=toleransKurus,"MATRAH",IF($F319=1,"YUVARLAMA","TANIMSIZ"))))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IF($A320="","",IF($C320&lt;=efs_yuvarlamaEsik,1,0))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IF(OR($A320="",$B320&lt;&gt;"tutar_farki"),"",IF(ABS($C320-$D320)&lt;=toleransKurus,"KDV_ORAN",IF(ABS($C320-$E320*efs_kdvOran)&lt;=toleransKurus,"MATRAH",IF($F320=1,"YUVARLAMA","TANIMSIZ"))))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IF($A321="","",IF($C321&lt;=efs_yuvarlamaEsik,1,0))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IF(OR($A321="",$B321&lt;&gt;"tutar_farki"),"",IF(ABS($C321-$D321)&lt;=toleransKurus,"KDV_ORAN",IF(ABS($C321-$E321*efs_kdvOran)&lt;=toleransKurus,"MATRAH",IF($F321=1,"YUVARLAMA","TANIMSIZ"))))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IF($A322="","",IF($C322&lt;=efs_yuvarlamaEsik,1,0))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IF(OR($A322="",$B322&lt;&gt;"tutar_farki"),"",IF(ABS($C322-$D322)&lt;=toleransKurus,"KDV_ORAN",IF(ABS($C322-$E322*efs_kdvOran)&lt;=toleransKurus,"MATRAH",IF($F322=1,"YUVARLAMA","TANIMSIZ"))))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IF($A323="","",IF($C323&lt;=efs_yuvarlamaEsik,1,0))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IF(OR($A323="",$B323&lt;&gt;"tutar_farki"),"",IF(ABS($C323-$D323)&lt;=toleransKurus,"KDV_ORAN",IF(ABS($C323-$E323*efs_kdvOran)&lt;=toleransKurus,"MATRAH",IF($F323=1,"YUVARLAMA","TANIMSIZ"))))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IF($A324="","",IF($C324&lt;=efs_yuvarlamaEsik,1,0))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IF(OR($A324="",$B324&lt;&gt;"tutar_farki"),"",IF(ABS($C324-$D324)&lt;=toleransKurus,"KDV_ORAN",IF(ABS($C324-$E324*efs_kdvOran)&lt;=toleransKurus,"MATRAH",IF($F324=1,"YUVARLAMA","TANIMSIZ"))))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IF($A325="","",IF($C325&lt;=efs_yuvarlamaEsik,1,0))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IF(OR($A325="",$B325&lt;&gt;"tutar_farki"),"",IF(ABS($C325-$D325)&lt;=toleransKurus,"KDV_ORAN",IF(ABS($C325-$E325*efs_kdvOran)&lt;=toleransKurus,"MATRAH",IF($F325=1,"YUVARLAMA","TANIMSIZ"))))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IF($A326="","",IF($C326&lt;=efs_yuvarlamaEsik,1,0))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IF(OR($A326="",$B326&lt;&gt;"tutar_farki"),"",IF(ABS($C326-$D326)&lt;=toleransKurus,"KDV_ORAN",IF(ABS($C326-$E326*efs_kdvOran)&lt;=toleransKurus,"MATRAH",IF($F326=1,"YUVARLAMA","TANIMSIZ"))))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IF($A327="","",IF($C327&lt;=efs_yuvarlamaEsik,1,0))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IF(OR($A327="",$B327&lt;&gt;"tutar_farki"),"",IF(ABS($C327-$D327)&lt;=toleransKurus,"KDV_ORAN",IF(ABS($C327-$E327*efs_kdvOran)&lt;=toleransKurus,"MATRAH",IF($F327=1,"YUVARLAMA","TANIMSIZ"))))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IF($A328="","",IF($C328&lt;=efs_yuvarlamaEsik,1,0))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IF(OR($A328="",$B328&lt;&gt;"tutar_farki"),"",IF(ABS($C328-$D328)&lt;=toleransKurus,"KDV_ORAN",IF(ABS($C328-$E328*efs_kdvOran)&lt;=toleransKurus,"MATRAH",IF($F328=1,"YUVARLAMA","TANIMSIZ"))))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IF($A329="","",IF($C329&lt;=efs_yuvarlamaEsik,1,0))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IF(OR($A329="",$B329&lt;&gt;"tutar_farki"),"",IF(ABS($C329-$D329)&lt;=toleransKurus,"KDV_ORAN",IF(ABS($C329-$E329*efs_kdvOran)&lt;=toleransKurus,"MATRAH",IF($F329=1,"YUVARLAMA","TANIMSIZ"))))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IF($A330="","",IF($C330&lt;=efs_yuvarlamaEsik,1,0))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IF(OR($A330="",$B330&lt;&gt;"tutar_farki"),"",IF(ABS($C330-$D330)&lt;=toleransKurus,"KDV_ORAN",IF(ABS($C330-$E330*efs_kdvOran)&lt;=toleransKurus,"MATRAH",IF($F330=1,"YUVARLAMA","TANIMSIZ"))))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IF($A331="","",IF($C331&lt;=efs_yuvarlamaEsik,1,0))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IF(OR($A331="",$B331&lt;&gt;"tutar_farki"),"",IF(ABS($C331-$D331)&lt;=toleransKurus,"KDV_ORAN",IF(ABS($C331-$E331*efs_kdvOran)&lt;=toleransKurus,"MATRAH",IF($F331=1,"YUVARLAMA","TANIMSIZ"))))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IF($A332="","",IF($C332&lt;=efs_yuvarlamaEsik,1,0))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IF(OR($A332="",$B332&lt;&gt;"tutar_farki"),"",IF(ABS($C332-$D332)&lt;=toleransKurus,"KDV_ORAN",IF(ABS($C332-$E332*efs_kdvOran)&lt;=toleransKurus,"MATRAH",IF($F332=1,"YUVARLAMA","TANIMSIZ"))))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IF($A333="","",IF($C333&lt;=efs_yuvarlamaEsik,1,0))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IF(OR($A333="",$B333&lt;&gt;"tutar_farki"),"",IF(ABS($C333-$D333)&lt;=toleransKurus,"KDV_ORAN",IF(ABS($C333-$E333*efs_kdvOran)&lt;=toleransKurus,"MATRAH",IF($F333=1,"YUVARLAMA","TANIMSIZ"))))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IF($A334="","",IF($C334&lt;=efs_yuvarlamaEsik,1,0))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IF(OR($A334="",$B334&lt;&gt;"tutar_farki"),"",IF(ABS($C334-$D334)&lt;=toleransKurus,"KDV_ORAN",IF(ABS($C334-$E334*efs_kdvOran)&lt;=toleransKurus,"MATRAH",IF($F334=1,"YUVARLAMA","TANIMSIZ"))))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IF($A335="","",IF($C335&lt;=efs_yuvarlamaEsik,1,0))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IF(OR($A335="",$B335&lt;&gt;"tutar_farki"),"",IF(ABS($C335-$D335)&lt;=toleransKurus,"KDV_ORAN",IF(ABS($C335-$E335*efs_kdvOran)&lt;=toleransKurus,"MATRAH",IF($F335=1,"YUVARLAMA","TANIMSIZ"))))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IF($A336="","",IF($C336&lt;=efs_yuvarlamaEsik,1,0))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IF(OR($A336="",$B336&lt;&gt;"tutar_farki"),"",IF(ABS($C336-$D336)&lt;=toleransKurus,"KDV_ORAN",IF(ABS($C336-$E336*efs_kdvOran)&lt;=toleransKurus,"MATRAH",IF($F336=1,"YUVARLAMA","TANIMSIZ"))))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IF($A337="","",IF($C337&lt;=efs_yuvarlamaEsik,1,0))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IF(OR($A337="",$B337&lt;&gt;"tutar_farki"),"",IF(ABS($C337-$D337)&lt;=toleransKurus,"KDV_ORAN",IF(ABS($C337-$E337*efs_kdvOran)&lt;=toleransKurus,"MATRAH",IF($F337=1,"YUVARLAMA","TANIMSIZ"))))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IF($A338="","",IF($C338&lt;=efs_yuvarlamaEsik,1,0))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IF(OR($A338="",$B338&lt;&gt;"tutar_farki"),"",IF(ABS($C338-$D338)&lt;=toleransKurus,"KDV_ORAN",IF(ABS($C338-$E338*efs_kdvOran)&lt;=toleransKurus,"MATRAH",IF($F338=1,"YUVARLAMA","TANIMSIZ"))))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IF($A339="","",IF($C339&lt;=efs_yuvarlamaEsik,1,0))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IF(OR($A339="",$B339&lt;&gt;"tutar_farki"),"",IF(ABS($C339-$D339)&lt;=toleransKurus,"KDV_ORAN",IF(ABS($C339-$E339*efs_kdvOran)&lt;=toleransKurus,"MATRAH",IF($F339=1,"YUVARLAMA","TANIMSIZ"))))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IF($A340="","",IF($C340&lt;=efs_yuvarlamaEsik,1,0))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IF(OR($A340="",$B340&lt;&gt;"tutar_farki"),"",IF(ABS($C340-$D340)&lt;=toleransKurus,"KDV_ORAN",IF(ABS($C340-$E340*efs_kdvOran)&lt;=toleransKurus,"MATRAH",IF($F340=1,"YUVARLAMA","TANIMSIZ"))))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IF($A341="","",IF($C341&lt;=efs_yuvarlamaEsik,1,0))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IF(OR($A341="",$B341&lt;&gt;"tutar_farki"),"",IF(ABS($C341-$D341)&lt;=toleransKurus,"KDV_ORAN",IF(ABS($C341-$E341*efs_kdvOran)&lt;=toleransKurus,"MATRAH",IF($F341=1,"YUVARLAMA","TANIMSIZ"))))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IF($A342="","",IF($C342&lt;=efs_yuvarlamaEsik,1,0))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IF(OR($A342="",$B342&lt;&gt;"tutar_farki"),"",IF(ABS($C342-$D342)&lt;=toleransKurus,"KDV_ORAN",IF(ABS($C342-$E342*efs_kdvOran)&lt;=toleransKurus,"MATRAH",IF($F342=1,"YUVARLAMA","TANIMSIZ"))))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IF($A343="","",IF($C343&lt;=efs_yuvarlamaEsik,1,0))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IF(OR($A343="",$B343&lt;&gt;"tutar_farki"),"",IF(ABS($C343-$D343)&lt;=toleransKurus,"KDV_ORAN",IF(ABS($C343-$E343*efs_kdvOran)&lt;=toleransKurus,"MATRAH",IF($F343=1,"YUVARLAMA","TANIMSIZ"))))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IF($A344="","",IF($C344&lt;=efs_yuvarlamaEsik,1,0))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IF(OR($A344="",$B344&lt;&gt;"tutar_farki"),"",IF(ABS($C344-$D344)&lt;=toleransKurus,"KDV_ORAN",IF(ABS($C344-$E344*efs_kdvOran)&lt;=toleransKurus,"MATRAH",IF($F344=1,"YUVARLAMA","TANIMSIZ"))))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IF($A345="","",IF($C345&lt;=efs_yuvarlamaEsik,1,0))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IF(OR($A345="",$B345&lt;&gt;"tutar_farki"),"",IF(ABS($C345-$D345)&lt;=toleransKurus,"KDV_ORAN",IF(ABS($C345-$E345*efs_kdvOran)&lt;=toleransKurus,"MATRAH",IF($F345=1,"YUVARLAMA","TANIMSIZ"))))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IF($A346="","",IF($C346&lt;=efs_yuvarlamaEsik,1,0))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IF(OR($A346="",$B346&lt;&gt;"tutar_farki"),"",IF(ABS($C346-$D346)&lt;=toleransKurus,"KDV_ORAN",IF(ABS($C346-$E346*efs_kdvOran)&lt;=toleransKurus,"MATRAH",IF($F346=1,"YUVARLAMA","TANIMSIZ"))))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IF($A347="","",IF($C347&lt;=efs_yuvarlamaEsik,1,0))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IF(OR($A347="",$B347&lt;&gt;"tutar_farki"),"",IF(ABS($C347-$D347)&lt;=toleransKurus,"KDV_ORAN",IF(ABS($C347-$E347*efs_kdvOran)&lt;=toleransKurus,"MATRAH",IF($F347=1,"YUVARLAMA","TANIMSIZ"))))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IF($A348="","",IF($C348&lt;=efs_yuvarlamaEsik,1,0))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IF(OR($A348="",$B348&lt;&gt;"tutar_farki"),"",IF(ABS($C348-$D348)&lt;=toleransKurus,"KDV_ORAN",IF(ABS($C348-$E348*efs_kdvOran)&lt;=toleransKurus,"MATRAH",IF($F348=1,"YUVARLAMA","TANIMSIZ"))))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IF($A349="","",IF($C349&lt;=efs_yuvarlamaEsik,1,0))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IF(OR($A349="",$B349&lt;&gt;"tutar_farki"),"",IF(ABS($C349-$D349)&lt;=toleransKurus,"KDV_ORAN",IF(ABS($C349-$E349*efs_kdvOran)&lt;=toleransKurus,"MATRAH",IF($F349=1,"YUVARLAMA","TANIMSIZ"))))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IF($A350="","",IF($C350&lt;=efs_yuvarlamaEsik,1,0))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IF(OR($A350="",$B350&lt;&gt;"tutar_farki"),"",IF(ABS($C350-$D350)&lt;=toleransKurus,"KDV_ORAN",IF(ABS($C350-$E350*efs_kdvOran)&lt;=toleransKurus,"MATRAH",IF($F350=1,"YUVARLAMA","TANIMSIZ"))))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IF($A351="","",IF($C351&lt;=efs_yuvarlamaEsik,1,0))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IF(OR($A351="",$B351&lt;&gt;"tutar_farki"),"",IF(ABS($C351-$D351)&lt;=toleransKurus,"KDV_ORAN",IF(ABS($C351-$E351*efs_kdvOran)&lt;=toleransKurus,"MATRAH",IF($F351=1,"YUVARLAMA","TANIMSIZ"))))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IF($A352="","",IF($C352&lt;=efs_yuvarlamaEsik,1,0))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IF(OR($A352="",$B352&lt;&gt;"tutar_farki"),"",IF(ABS($C352-$D352)&lt;=toleransKurus,"KDV_ORAN",IF(ABS($C352-$E352*efs_kdvOran)&lt;=toleransKurus,"MATRAH",IF($F352=1,"YUVARLAMA","TANIMSIZ"))))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IF($A353="","",IF($C353&lt;=efs_yuvarlamaEsik,1,0))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IF(OR($A353="",$B353&lt;&gt;"tutar_farki"),"",IF(ABS($C353-$D353)&lt;=toleransKurus,"KDV_ORAN",IF(ABS($C353-$E353*efs_kdvOran)&lt;=toleransKurus,"MATRAH",IF($F353=1,"YUVARLAMA","TANIMSIZ"))))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IF($A354="","",IF($C354&lt;=efs_yuvarlamaEsik,1,0))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IF(OR($A354="",$B354&lt;&gt;"tutar_farki"),"",IF(ABS($C354-$D354)&lt;=toleransKurus,"KDV_ORAN",IF(ABS($C354-$E354*efs_kdvOran)&lt;=toleransKurus,"MATRAH",IF($F354=1,"YUVARLAMA","TANIMSIZ"))))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IF($A355="","",IF($C355&lt;=efs_yuvarlamaEsik,1,0))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IF(OR($A355="",$B355&lt;&gt;"tutar_farki"),"",IF(ABS($C355-$D355)&lt;=toleransKurus,"KDV_ORAN",IF(ABS($C355-$E355*efs_kdvOran)&lt;=toleransKurus,"MATRAH",IF($F355=1,"YUVARLAMA","TANIMSIZ"))))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IF($A356="","",IF($C356&lt;=efs_yuvarlamaEsik,1,0))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IF(OR($A356="",$B356&lt;&gt;"tutar_farki"),"",IF(ABS($C356-$D356)&lt;=toleransKurus,"KDV_ORAN",IF(ABS($C356-$E356*efs_kdvOran)&lt;=toleransKurus,"MATRAH",IF($F356=1,"YUVARLAMA","TANIMSIZ"))))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IF($A357="","",IF($C357&lt;=efs_yuvarlamaEsik,1,0))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IF(OR($A357="",$B357&lt;&gt;"tutar_farki"),"",IF(ABS($C357-$D357)&lt;=toleransKurus,"KDV_ORAN",IF(ABS($C357-$E357*efs_kdvOran)&lt;=toleransKurus,"MATRAH",IF($F357=1,"YUVARLAMA","TANIMSIZ"))))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IF($A358="","",IF($C358&lt;=efs_yuvarlamaEsik,1,0))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IF(OR($A358="",$B358&lt;&gt;"tutar_farki"),"",IF(ABS($C358-$D358)&lt;=toleransKurus,"KDV_ORAN",IF(ABS($C358-$E358*efs_kdvOran)&lt;=toleransKurus,"MATRAH",IF($F358=1,"YUVARLAMA","TANIMSIZ"))))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IF($A359="","",IF($C359&lt;=efs_yuvarlamaEsik,1,0))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IF(OR($A359="",$B359&lt;&gt;"tutar_farki"),"",IF(ABS($C359-$D359)&lt;=toleransKurus,"KDV_ORAN",IF(ABS($C359-$E359*efs_kdvOran)&lt;=toleransKurus,"MATRAH",IF($F359=1,"YUVARLAMA","TANIMSIZ"))))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IF($A360="","",IF($C360&lt;=efs_yuvarlamaEsik,1,0))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IF(OR($A360="",$B360&lt;&gt;"tutar_farki"),"",IF(ABS($C360-$D360)&lt;=toleransKurus,"KDV_ORAN",IF(ABS($C360-$E360*efs_kdvOran)&lt;=toleransKurus,"MATRAH",IF($F360=1,"YUVARLAMA","TANIMSIZ"))))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IF($A361="","",IF($C361&lt;=efs_yuvarlamaEsik,1,0))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IF(OR($A361="",$B361&lt;&gt;"tutar_farki"),"",IF(ABS($C361-$D361)&lt;=toleransKurus,"KDV_ORAN",IF(ABS($C361-$E361*efs_kdvOran)&lt;=toleransKurus,"MATRAH",IF($F361=1,"YUVARLAMA","TANIMSIZ"))))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IF($A362="","",IF($C362&lt;=efs_yuvarlamaEsik,1,0))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IF(OR($A362="",$B362&lt;&gt;"tutar_farki"),"",IF(ABS($C362-$D362)&lt;=toleransKurus,"KDV_ORAN",IF(ABS($C362-$E362*efs_kdvOran)&lt;=toleransKurus,"MATRAH",IF($F362=1,"YUVARLAMA","TANIMSIZ"))))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IF($A363="","",IF($C363&lt;=efs_yuvarlamaEsik,1,0))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IF(OR($A363="",$B363&lt;&gt;"tutar_farki"),"",IF(ABS($C363-$D363)&lt;=toleransKurus,"KDV_ORAN",IF(ABS($C363-$E363*efs_kdvOran)&lt;=toleransKurus,"MATRAH",IF($F363=1,"YUVARLAMA","TANIMSIZ"))))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IF($A364="","",IF($C364&lt;=efs_yuvarlamaEsik,1,0))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IF(OR($A364="",$B364&lt;&gt;"tutar_farki"),"",IF(ABS($C364-$D364)&lt;=toleransKurus,"KDV_ORAN",IF(ABS($C364-$E364*efs_kdvOran)&lt;=toleransKurus,"MATRAH",IF($F364=1,"YUVARLAMA","TANIMSIZ"))))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IF($A365="","",IF($C365&lt;=efs_yuvarlamaEsik,1,0))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IF(OR($A365="",$B365&lt;&gt;"tutar_farki"),"",IF(ABS($C365-$D365)&lt;=toleransKurus,"KDV_ORAN",IF(ABS($C365-$E365*efs_kdvOran)&lt;=toleransKurus,"MATRAH",IF($F365=1,"YUVARLAMA","TANIMSIZ"))))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IF($A366="","",IF($C366&lt;=efs_yuvarlamaEsik,1,0))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IF(OR($A366="",$B366&lt;&gt;"tutar_farki"),"",IF(ABS($C366-$D366)&lt;=toleransKurus,"KDV_ORAN",IF(ABS($C366-$E366*efs_kdvOran)&lt;=toleransKurus,"MATRAH",IF($F366=1,"YUVARLAMA","TANIMSIZ"))))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IF($A367="","",IF($C367&lt;=efs_yuvarlamaEsik,1,0))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IF(OR($A367="",$B367&lt;&gt;"tutar_farki"),"",IF(ABS($C367-$D367)&lt;=toleransKurus,"KDV_ORAN",IF(ABS($C367-$E367*efs_kdvOran)&lt;=toleransKurus,"MATRAH",IF($F367=1,"YUVARLAMA","TANIMSIZ"))))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IF($A368="","",IF($C368&lt;=efs_yuvarlamaEsik,1,0))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IF(OR($A368="",$B368&lt;&gt;"tutar_farki"),"",IF(ABS($C368-$D368)&lt;=toleransKurus,"KDV_ORAN",IF(ABS($C368-$E368*efs_kdvOran)&lt;=toleransKurus,"MATRAH",IF($F368=1,"YUVARLAMA","TANIMSIZ"))))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IF($A369="","",IF($C369&lt;=efs_yuvarlamaEsik,1,0))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IF(OR($A369="",$B369&lt;&gt;"tutar_farki"),"",IF(ABS($C369-$D369)&lt;=toleransKurus,"KDV_ORAN",IF(ABS($C369-$E369*efs_kdvOran)&lt;=toleransKurus,"MATRAH",IF($F369=1,"YUVARLAMA","TANIMSIZ"))))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IF($A370="","",IF($C370&lt;=efs_yuvarlamaEsik,1,0))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IF(OR($A370="",$B370&lt;&gt;"tutar_farki"),"",IF(ABS($C370-$D370)&lt;=toleransKurus,"KDV_ORAN",IF(ABS($C370-$E370*efs_kdvOran)&lt;=toleransKurus,"MATRAH",IF($F370=1,"YUVARLAMA","TANIMSIZ"))))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IF($A371="","",IF($C371&lt;=efs_yuvarlamaEsik,1,0))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IF(OR($A371="",$B371&lt;&gt;"tutar_farki"),"",IF(ABS($C371-$D371)&lt;=toleransKurus,"KDV_ORAN",IF(ABS($C371-$E371*efs_kdvOran)&lt;=toleransKurus,"MATRAH",IF($F371=1,"YUVARLAMA","TANIMSIZ"))))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IF($A372="","",IF($C372&lt;=efs_yuvarlamaEsik,1,0))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IF(OR($A372="",$B372&lt;&gt;"tutar_farki"),"",IF(ABS($C372-$D372)&lt;=toleransKurus,"KDV_ORAN",IF(ABS($C372-$E372*efs_kdvOran)&lt;=toleransKurus,"MATRAH",IF($F372=1,"YUVARLAMA","TANIMSIZ"))))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IF($A373="","",IF($C373&lt;=efs_yuvarlamaEsik,1,0))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IF(OR($A373="",$B373&lt;&gt;"tutar_farki"),"",IF(ABS($C373-$D373)&lt;=toleransKurus,"KDV_ORAN",IF(ABS($C373-$E373*efs_kdvOran)&lt;=toleransKurus,"MATRAH",IF($F373=1,"YUVARLAMA","TANIMSIZ"))))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IF($A374="","",IF($C374&lt;=efs_yuvarlamaEsik,1,0))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IF(OR($A374="",$B374&lt;&gt;"tutar_farki"),"",IF(ABS($C374-$D374)&lt;=toleransKurus,"KDV_ORAN",IF(ABS($C374-$E374*efs_kdvOran)&lt;=toleransKurus,"MATRAH",IF($F374=1,"YUVARLAMA","TANIMSIZ"))))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IF($A375="","",IF($C375&lt;=efs_yuvarlamaEsik,1,0))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IF(OR($A375="",$B375&lt;&gt;"tutar_farki"),"",IF(ABS($C375-$D375)&lt;=toleransKurus,"KDV_ORAN",IF(ABS($C375-$E375*efs_kdvOran)&lt;=toleransKurus,"MATRAH",IF($F375=1,"YUVARLAMA","TANIMSIZ"))))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IF($A376="","",IF($C376&lt;=efs_yuvarlamaEsik,1,0))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IF(OR($A376="",$B376&lt;&gt;"tutar_farki"),"",IF(ABS($C376-$D376)&lt;=toleransKurus,"KDV_ORAN",IF(ABS($C376-$E376*efs_kdvOran)&lt;=toleransKurus,"MATRAH",IF($F376=1,"YUVARLAMA","TANIMSIZ"))))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IF($A377="","",IF($C377&lt;=efs_yuvarlamaEsik,1,0))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IF(OR($A377="",$B377&lt;&gt;"tutar_farki"),"",IF(ABS($C377-$D377)&lt;=toleransKurus,"KDV_ORAN",IF(ABS($C377-$E377*efs_kdvOran)&lt;=toleransKurus,"MATRAH",IF($F377=1,"YUVARLAMA","TANIMSIZ"))))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IF($A378="","",IF($C378&lt;=efs_yuvarlamaEsik,1,0))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IF(OR($A378="",$B378&lt;&gt;"tutar_farki"),"",IF(ABS($C378-$D378)&lt;=toleransKurus,"KDV_ORAN",IF(ABS($C378-$E378*efs_kdvOran)&lt;=toleransKurus,"MATRAH",IF($F378=1,"YUVARLAMA","TANIMSIZ"))))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IF($A379="","",IF($C379&lt;=efs_yuvarlamaEsik,1,0))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IF(OR($A379="",$B379&lt;&gt;"tutar_farki"),"",IF(ABS($C379-$D379)&lt;=toleransKurus,"KDV_ORAN",IF(ABS($C379-$E379*efs_kdvOran)&lt;=toleransKurus,"MATRAH",IF($F379=1,"YUVARLAMA","TANIMSIZ"))))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IF($A380="","",IF($C380&lt;=efs_yuvarlamaEsik,1,0))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IF(OR($A380="",$B380&lt;&gt;"tutar_farki"),"",IF(ABS($C380-$D380)&lt;=toleransKurus,"KDV_ORAN",IF(ABS($C380-$E380*efs_kdvOran)&lt;=toleransKurus,"MATRAH",IF($F380=1,"YUVARLAMA","TANIMSIZ"))))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IF($A381="","",IF($C381&lt;=efs_yuvarlamaEsik,1,0))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IF(OR($A381="",$B381&lt;&gt;"tutar_farki"),"",IF(ABS($C381-$D381)&lt;=toleransKurus,"KDV_ORAN",IF(ABS($C381-$E381*efs_kdvOran)&lt;=toleransKurus,"MATRAH",IF($F381=1,"YUVARLAMA","TANIMSIZ"))))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IF($A382="","",IF($C382&lt;=efs_yuvarlamaEsik,1,0))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IF(OR($A382="",$B382&lt;&gt;"tutar_farki"),"",IF(ABS($C382-$D382)&lt;=toleransKurus,"KDV_ORAN",IF(ABS($C382-$E382*efs_kdvOran)&lt;=toleransKurus,"MATRAH",IF($F382=1,"YUVARLAMA","TANIMSIZ"))))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IF($A383="","",IF($C383&lt;=efs_yuvarlamaEsik,1,0))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IF(OR($A383="",$B383&lt;&gt;"tutar_farki"),"",IF(ABS($C383-$D383)&lt;=toleransKurus,"KDV_ORAN",IF(ABS($C383-$E383*efs_kdvOran)&lt;=toleransKurus,"MATRAH",IF($F383=1,"YUVARLAMA","TANIMSIZ"))))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IF($A384="","",IF($C384&lt;=efs_yuvarlamaEsik,1,0))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IF(OR($A384="",$B384&lt;&gt;"tutar_farki"),"",IF(ABS($C384-$D384)&lt;=toleransKurus,"KDV_ORAN",IF(ABS($C384-$E384*efs_kdvOran)&lt;=toleransKurus,"MATRAH",IF($F384=1,"YUVARLAMA","TANIMSIZ"))))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IF($A385="","",IF($C385&lt;=efs_yuvarlamaEsik,1,0))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IF(OR($A385="",$B385&lt;&gt;"tutar_farki"),"",IF(ABS($C385-$D385)&lt;=toleransKurus,"KDV_ORAN",IF(ABS($C385-$E385*efs_kdvOran)&lt;=toleransKurus,"MATRAH",IF($F385=1,"YUVARLAMA","TANIMSIZ"))))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IF($A386="","",IF($C386&lt;=efs_yuvarlamaEsik,1,0))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IF(OR($A386="",$B386&lt;&gt;"tutar_farki"),"",IF(ABS($C386-$D386)&lt;=toleransKurus,"KDV_ORAN",IF(ABS($C386-$E386*efs_kdvOran)&lt;=toleransKurus,"MATRAH",IF($F386=1,"YUVARLAMA","TANIMSIZ"))))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IF($A387="","",IF($C387&lt;=efs_yuvarlamaEsik,1,0))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IF(OR($A387="",$B387&lt;&gt;"tutar_farki"),"",IF(ABS($C387-$D387)&lt;=toleransKurus,"KDV_ORAN",IF(ABS($C387-$E387*efs_kdvOran)&lt;=toleransKurus,"MATRAH",IF($F387=1,"YUVARLAMA","TANIMSIZ"))))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IF($A388="","",IF($C388&lt;=efs_yuvarlamaEsik,1,0))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IF(OR($A388="",$B388&lt;&gt;"tutar_farki"),"",IF(ABS($C388-$D388)&lt;=toleransKurus,"KDV_ORAN",IF(ABS($C388-$E388*efs_kdvOran)&lt;=toleransKurus,"MATRAH",IF($F388=1,"YUVARLAMA","TANIMSIZ"))))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IF($A389="","",IF($C389&lt;=efs_yuvarlamaEsik,1,0))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IF(OR($A389="",$B389&lt;&gt;"tutar_farki"),"",IF(ABS($C389-$D389)&lt;=toleransKurus,"KDV_ORAN",IF(ABS($C389-$E389*efs_kdvOran)&lt;=toleransKurus,"MATRAH",IF($F389=1,"YUVARLAMA","TANIMSIZ"))))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IF($A390="","",IF($C390&lt;=efs_yuvarlamaEsik,1,0))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IF(OR($A390="",$B390&lt;&gt;"tutar_farki"),"",IF(ABS($C390-$D390)&lt;=toleransKurus,"KDV_ORAN",IF(ABS($C390-$E390*efs_kdvOran)&lt;=toleransKurus,"MATRAH",IF($F390=1,"YUVARLAMA","TANIMSIZ"))))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IF($A391="","",IF($C391&lt;=efs_yuvarlamaEsik,1,0))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IF(OR($A391="",$B391&lt;&gt;"tutar_farki"),"",IF(ABS($C391-$D391)&lt;=toleransKurus,"KDV_ORAN",IF(ABS($C391-$E391*efs_kdvOran)&lt;=toleransKurus,"MATRAH",IF($F391=1,"YUVARLAMA","TANIMSIZ"))))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IF($A392="","",IF($C392&lt;=efs_yuvarlamaEsik,1,0))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IF(OR($A392="",$B392&lt;&gt;"tutar_farki"),"",IF(ABS($C392-$D392)&lt;=toleransKurus,"KDV_ORAN",IF(ABS($C392-$E392*efs_kdvOran)&lt;=toleransKurus,"MATRAH",IF($F392=1,"YUVARLAMA","TANIMSIZ"))))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IF($A393="","",IF($C393&lt;=efs_yuvarlamaEsik,1,0))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IF(OR($A393="",$B393&lt;&gt;"tutar_farki"),"",IF(ABS($C393-$D393)&lt;=toleransKurus,"KDV_ORAN",IF(ABS($C393-$E393*efs_kdvOran)&lt;=toleransKurus,"MATRAH",IF($F393=1,"YUVARLAMA","TANIMSIZ"))))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IF($A394="","",IF($C394&lt;=efs_yuvarlamaEsik,1,0))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IF(OR($A394="",$B394&lt;&gt;"tutar_farki"),"",IF(ABS($C394-$D394)&lt;=toleransKurus,"KDV_ORAN",IF(ABS($C394-$E394*efs_kdvOran)&lt;=toleransKurus,"MATRAH",IF($F394=1,"YUVARLAMA","TANIMSIZ"))))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IF($A395="","",IF($C395&lt;=efs_yuvarlamaEsik,1,0))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IF(OR($A395="",$B395&lt;&gt;"tutar_farki"),"",IF(ABS($C395-$D395)&lt;=toleransKurus,"KDV_ORAN",IF(ABS($C395-$E395*efs_kdvOran)&lt;=toleransKurus,"MATRAH",IF($F395=1,"YUVARLAMA","TANIMSIZ"))))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IF($A396="","",IF($C396&lt;=efs_yuvarlamaEsik,1,0))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IF(OR($A396="",$B396&lt;&gt;"tutar_farki"),"",IF(ABS($C396-$D396)&lt;=toleransKurus,"KDV_ORAN",IF(ABS($C396-$E396*efs_kdvOran)&lt;=toleransKurus,"MATRAH",IF($F396=1,"YUVARLAMA","TANIMSIZ"))))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IF($A397="","",IF($C397&lt;=efs_yuvarlamaEsik,1,0))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IF(OR($A397="",$B397&lt;&gt;"tutar_farki"),"",IF(ABS($C397-$D397)&lt;=toleransKurus,"KDV_ORAN",IF(ABS($C397-$E397*efs_kdvOran)&lt;=toleransKurus,"MATRAH",IF($F397=1,"YUVARLAMA","TANIMSIZ"))))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IF($A398="","",IF($C398&lt;=efs_yuvarlamaEsik,1,0))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IF(OR($A398="",$B398&lt;&gt;"tutar_farki"),"",IF(ABS($C398-$D398)&lt;=toleransKurus,"KDV_ORAN",IF(ABS($C398-$E398*efs_kdvOran)&lt;=toleransKurus,"MATRAH",IF($F398=1,"YUVARLAMA","TANIMSIZ"))))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IF($A399="","",IF($C399&lt;=efs_yuvarlamaEsik,1,0))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IF(OR($A399="",$B399&lt;&gt;"tutar_farki"),"",IF(ABS($C399-$D399)&lt;=toleransKurus,"KDV_ORAN",IF(ABS($C399-$E399*efs_kdvOran)&lt;=toleransKurus,"MATRAH",IF($F399=1,"YUVARLAMA","TANIMSIZ"))))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IF($A400="","",IF($C400&lt;=efs_yuvarlamaEsik,1,0))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IF(OR($A400="",$B400&lt;&gt;"tutar_farki"),"",IF(ABS($C400-$D400)&lt;=toleransKurus,"KDV_ORAN",IF(ABS($C400-$E400*efs_kdvOran)&lt;=toleransKurus,"MATRAH",IF($F400=1,"YUVARLAMA","TANIMSIZ"))))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IF($A401="","",IF($C401&lt;=efs_yuvarlamaEsik,1,0))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IF(OR($A401="",$B401&lt;&gt;"tutar_farki"),"",IF(ABS($C401-$D401)&lt;=toleransKurus,"KDV_ORAN",IF(ABS($C401-$E401*efs_kdvOran)&lt;=toleransKurus,"MATRAH",IF($F401=1,"YUVARLAMA","TANIMSIZ"))))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IF($A402="","",IF($C402&lt;=efs_yuvarlamaEsik,1,0))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IF(OR($A402="",$B402&lt;&gt;"tutar_farki"),"",IF(ABS($C402-$D402)&lt;=toleransKurus,"KDV_ORAN",IF(ABS($C402-$E402*efs_kdvOran)&lt;=toleransKurus,"MATRAH",IF($F402=1,"YUVARLAMA","TANIMSIZ"))))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IF($A403="","",IF($C403&lt;=efs_yuvarlamaEsik,1,0))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IF(OR($A403="",$B403&lt;&gt;"tutar_farki"),"",IF(ABS($C403-$D403)&lt;=toleransKurus,"KDV_ORAN",IF(ABS($C403-$E403*efs_kdvOran)&lt;=toleransKurus,"MATRAH",IF($F403=1,"YUVARLAMA","TANIMSIZ"))))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IF($A404="","",IF($C404&lt;=efs_yuvarlamaEsik,1,0))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IF(OR($A404="",$B404&lt;&gt;"tutar_farki"),"",IF(ABS($C404-$D404)&lt;=toleransKurus,"KDV_ORAN",IF(ABS($C404-$E404*efs_kdvOran)&lt;=toleransKurus,"MATRAH",IF($F404=1,"YUVARLAMA","TANIMSIZ"))))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IF($A405="","",IF($C405&lt;=efs_yuvarlamaEsik,1,0))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IF(OR($A405="",$B405&lt;&gt;"tutar_farki"),"",IF(ABS($C405-$D405)&lt;=toleransKurus,"KDV_ORAN",IF(ABS($C405-$E405*efs_kdvOran)&lt;=toleransKurus,"MATRAH",IF($F405=1,"YUVARLAMA","TANIMSIZ"))))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IF($A406="","",IF($C406&lt;=efs_yuvarlamaEsik,1,0))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IF(OR($A406="",$B406&lt;&gt;"tutar_farki"),"",IF(ABS($C406-$D406)&lt;=toleransKurus,"KDV_ORAN",IF(ABS($C406-$E406*efs_kdvOran)&lt;=toleransKurus,"MATRAH",IF($F406=1,"YUVARLAMA","TANIMSIZ"))))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IF($A407="","",IF($C407&lt;=efs_yuvarlamaEsik,1,0))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IF(OR($A407="",$B407&lt;&gt;"tutar_farki"),"",IF(ABS($C407-$D407)&lt;=toleransKurus,"KDV_ORAN",IF(ABS($C407-$E407*efs_kdvOran)&lt;=toleransKurus,"MATRAH",IF($F407=1,"YUVARLAMA","TANIMSIZ"))))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IF($A408="","",IF($C408&lt;=efs_yuvarlamaEsik,1,0))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IF(OR($A408="",$B408&lt;&gt;"tutar_farki"),"",IF(ABS($C408-$D408)&lt;=toleransKurus,"KDV_ORAN",IF(ABS($C408-$E408*efs_kdvOran)&lt;=toleransKurus,"MATRAH",IF($F408=1,"YUVARLAMA","TANIMSIZ"))))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IF($A409="","",IF($C409&lt;=efs_yuvarlamaEsik,1,0))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IF(OR($A409="",$B409&lt;&gt;"tutar_farki"),"",IF(ABS($C409-$D409)&lt;=toleransKurus,"KDV_ORAN",IF(ABS($C409-$E409*efs_kdvOran)&lt;=toleransKurus,"MATRAH",IF($F409=1,"YUVARLAMA","TANIMSIZ"))))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IF($A410="","",IF($C410&lt;=efs_yuvarlamaEsik,1,0))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IF(OR($A410="",$B410&lt;&gt;"tutar_farki"),"",IF(ABS($C410-$D410)&lt;=toleransKurus,"KDV_ORAN",IF(ABS($C410-$E410*efs_kdvOran)&lt;=toleransKurus,"MATRAH",IF($F410=1,"YUVARLAMA","TANIMSIZ"))))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IF($A411="","",IF($C411&lt;=efs_yuvarlamaEsik,1,0))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IF(OR($A411="",$B411&lt;&gt;"tutar_farki"),"",IF(ABS($C411-$D411)&lt;=toleransKurus,"KDV_ORAN",IF(ABS($C411-$E411*efs_kdvOran)&lt;=toleransKurus,"MATRAH",IF($F411=1,"YUVARLAMA","TANIMSIZ"))))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IF($A412="","",IF($C412&lt;=efs_yuvarlamaEsik,1,0))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IF(OR($A412="",$B412&lt;&gt;"tutar_farki"),"",IF(ABS($C412-$D412)&lt;=toleransKurus,"KDV_ORAN",IF(ABS($C412-$E412*efs_kdvOran)&lt;=toleransKurus,"MATRAH",IF($F412=1,"YUVARLAMA","TANIMSIZ"))))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IF($A413="","",IF($C413&lt;=efs_yuvarlamaEsik,1,0))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IF(OR($A413="",$B413&lt;&gt;"tutar_farki"),"",IF(ABS($C413-$D413)&lt;=toleransKurus,"KDV_ORAN",IF(ABS($C413-$E413*efs_kdvOran)&lt;=toleransKurus,"MATRAH",IF($F413=1,"YUVARLAMA","TANIMSIZ"))))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IF($A414="","",IF($C414&lt;=efs_yuvarlamaEsik,1,0))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IF(OR($A414="",$B414&lt;&gt;"tutar_farki"),"",IF(ABS($C414-$D414)&lt;=toleransKurus,"KDV_ORAN",IF(ABS($C414-$E414*efs_kdvOran)&lt;=toleransKurus,"MATRAH",IF($F414=1,"YUVARLAMA","TANIMSIZ"))))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IF($A415="","",IF($C415&lt;=efs_yuvarlamaEsik,1,0))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IF(OR($A415="",$B415&lt;&gt;"tutar_farki"),"",IF(ABS($C415-$D415)&lt;=toleransKurus,"KDV_ORAN",IF(ABS($C415-$E415*efs_kdvOran)&lt;=toleransKurus,"MATRAH",IF($F415=1,"YUVARLAMA","TANIMSIZ"))))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IF($A416="","",IF($C416&lt;=efs_yuvarlamaEsik,1,0))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IF(OR($A416="",$B416&lt;&gt;"tutar_farki"),"",IF(ABS($C416-$D416)&lt;=toleransKurus,"KDV_ORAN",IF(ABS($C416-$E416*efs_kdvOran)&lt;=toleransKurus,"MATRAH",IF($F416=1,"YUVARLAMA","TANIMSIZ"))))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IF($A417="","",IF($C417&lt;=efs_yuvarlamaEsik,1,0))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IF(OR($A417="",$B417&lt;&gt;"tutar_farki"),"",IF(ABS($C417-$D417)&lt;=toleransKurus,"KDV_ORAN",IF(ABS($C417-$E417*efs_kdvOran)&lt;=toleransKurus,"MATRAH",IF($F417=1,"YUVARLAMA","TANIMSIZ"))))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IF($A418="","",IF($C418&lt;=efs_yuvarlamaEsik,1,0))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IF(OR($A418="",$B418&lt;&gt;"tutar_farki"),"",IF(ABS($C418-$D418)&lt;=toleransKurus,"KDV_ORAN",IF(ABS($C418-$E418*efs_kdvOran)&lt;=toleransKurus,"MATRAH",IF($F418=1,"YUVARLAMA","TANIMSIZ"))))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IF($A419="","",IF($C419&lt;=efs_yuvarlamaEsik,1,0))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IF(OR($A419="",$B419&lt;&gt;"tutar_farki"),"",IF(ABS($C419-$D419)&lt;=toleransKurus,"KDV_ORAN",IF(ABS($C419-$E419*efs_kdvOran)&lt;=toleransKurus,"MATRAH",IF($F419=1,"YUVARLAMA","TANIMSIZ"))))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IF($A420="","",IF($C420&lt;=efs_yuvarlamaEsik,1,0))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IF(OR($A420="",$B420&lt;&gt;"tutar_farki"),"",IF(ABS($C420-$D420)&lt;=toleransKurus,"KDV_ORAN",IF(ABS($C420-$E420*efs_kdvOran)&lt;=toleransKurus,"MATRAH",IF($F420=1,"YUVARLAMA","TANIMSIZ"))))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IF($A421="","",IF($C421&lt;=efs_yuvarlamaEsik,1,0))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IF(OR($A421="",$B421&lt;&gt;"tutar_farki"),"",IF(ABS($C421-$D421)&lt;=toleransKurus,"KDV_ORAN",IF(ABS($C421-$E421*efs_kdvOran)&lt;=toleransKurus,"MATRAH",IF($F421=1,"YUVARLAMA","TANIMSIZ"))))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IF($A422="","",IF($C422&lt;=efs_yuvarlamaEsik,1,0))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IF(OR($A422="",$B422&lt;&gt;"tutar_farki"),"",IF(ABS($C422-$D422)&lt;=toleransKurus,"KDV_ORAN",IF(ABS($C422-$E422*efs_kdvOran)&lt;=toleransKurus,"MATRAH",IF($F422=1,"YUVARLAMA","TANIMSIZ"))))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IF($A423="","",IF($C423&lt;=efs_yuvarlamaEsik,1,0))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IF(OR($A423="",$B423&lt;&gt;"tutar_farki"),"",IF(ABS($C423-$D423)&lt;=toleransKurus,"KDV_ORAN",IF(ABS($C423-$E423*efs_kdvOran)&lt;=toleransKurus,"MATRAH",IF($F423=1,"YUVARLAMA","TANIMSIZ"))))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IF($A424="","",IF($C424&lt;=efs_yuvarlamaEsik,1,0))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IF(OR($A424="",$B424&lt;&gt;"tutar_farki"),"",IF(ABS($C424-$D424)&lt;=toleransKurus,"KDV_ORAN",IF(ABS($C424-$E424*efs_kdvOran)&lt;=toleransKurus,"MATRAH",IF($F424=1,"YUVARLAMA","TANIMSIZ"))))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IF($A425="","",IF($C425&lt;=efs_yuvarlamaEsik,1,0))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IF(OR($A425="",$B425&lt;&gt;"tutar_farki"),"",IF(ABS($C425-$D425)&lt;=toleransKurus,"KDV_ORAN",IF(ABS($C425-$E425*efs_kdvOran)&lt;=toleransKurus,"MATRAH",IF($F425=1,"YUVARLAMA","TANIMSIZ"))))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IF($A426="","",IF($C426&lt;=efs_yuvarlamaEsik,1,0))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IF(OR($A426="",$B426&lt;&gt;"tutar_farki"),"",IF(ABS($C426-$D426)&lt;=toleransKurus,"KDV_ORAN",IF(ABS($C426-$E426*efs_kdvOran)&lt;=toleransKurus,"MATRAH",IF($F426=1,"YUVARLAMA","TANIMSIZ"))))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IF($A427="","",IF($C427&lt;=efs_yuvarlamaEsik,1,0))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IF(OR($A427="",$B427&lt;&gt;"tutar_farki"),"",IF(ABS($C427-$D427)&lt;=toleransKurus,"KDV_ORAN",IF(ABS($C427-$E427*efs_kdvOran)&lt;=toleransKurus,"MATRAH",IF($F427=1,"YUVARLAMA","TANIMSIZ"))))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IF($A428="","",IF($C428&lt;=efs_yuvarlamaEsik,1,0))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IF(OR($A428="",$B428&lt;&gt;"tutar_farki"),"",IF(ABS($C428-$D428)&lt;=toleransKurus,"KDV_ORAN",IF(ABS($C428-$E428*efs_kdvOran)&lt;=toleransKurus,"MATRAH",IF($F428=1,"YUVARLAMA","TANIMSIZ"))))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IF($A429="","",IF($C429&lt;=efs_yuvarlamaEsik,1,0))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IF(OR($A429="",$B429&lt;&gt;"tutar_farki"),"",IF(ABS($C429-$D429)&lt;=toleransKurus,"KDV_ORAN",IF(ABS($C429-$E429*efs_kdvOran)&lt;=toleransKurus,"MATRAH",IF($F429=1,"YUVARLAMA","TANIMSIZ"))))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IF($A430="","",IF($C430&lt;=efs_yuvarlamaEsik,1,0))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IF(OR($A430="",$B430&lt;&gt;"tutar_farki"),"",IF(ABS($C430-$D430)&lt;=toleransKurus,"KDV_ORAN",IF(ABS($C430-$E430*efs_kdvOran)&lt;=toleransKurus,"MATRAH",IF($F430=1,"YUVARLAMA","TANIMSIZ"))))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IF($A431="","",IF($C431&lt;=efs_yuvarlamaEsik,1,0))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IF(OR($A431="",$B431&lt;&gt;"tutar_farki"),"",IF(ABS($C431-$D431)&lt;=toleransKurus,"KDV_ORAN",IF(ABS($C431-$E431*efs_kdvOran)&lt;=toleransKurus,"MATRAH",IF($F431=1,"YUVARLAMA","TANIMSIZ"))))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IF($A432="","",IF($C432&lt;=efs_yuvarlamaEsik,1,0))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IF(OR($A432="",$B432&lt;&gt;"tutar_farki"),"",IF(ABS($C432-$D432)&lt;=toleransKurus,"KDV_ORAN",IF(ABS($C432-$E432*efs_kdvOran)&lt;=toleransKurus,"MATRAH",IF($F432=1,"YUVARLAMA","TANIMSIZ"))))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IF($A433="","",IF($C433&lt;=efs_yuvarlamaEsik,1,0))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IF(OR($A433="",$B433&lt;&gt;"tutar_farki"),"",IF(ABS($C433-$D433)&lt;=toleransKurus,"KDV_ORAN",IF(ABS($C433-$E433*efs_kdvOran)&lt;=toleransKurus,"MATRAH",IF($F433=1,"YUVARLAMA","TANIMSIZ"))))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IF($A434="","",IF($C434&lt;=efs_yuvarlamaEsik,1,0))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IF(OR($A434="",$B434&lt;&gt;"tutar_farki"),"",IF(ABS($C434-$D434)&lt;=toleransKurus,"KDV_ORAN",IF(ABS($C434-$E434*efs_kdvOran)&lt;=toleransKurus,"MATRAH",IF($F434=1,"YUVARLAMA","TANIMSIZ"))))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IF($A435="","",IF($C435&lt;=efs_yuvarlamaEsik,1,0))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IF(OR($A435="",$B435&lt;&gt;"tutar_farki"),"",IF(ABS($C435-$D435)&lt;=toleransKurus,"KDV_ORAN",IF(ABS($C435-$E435*efs_kdvOran)&lt;=toleransKurus,"MATRAH",IF($F435=1,"YUVARLAMA","TANIMSIZ"))))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IF($A436="","",IF($C436&lt;=efs_yuvarlamaEsik,1,0))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IF(OR($A436="",$B436&lt;&gt;"tutar_farki"),"",IF(ABS($C436-$D436)&lt;=toleransKurus,"KDV_ORAN",IF(ABS($C436-$E436*efs_kdvOran)&lt;=toleransKurus,"MATRAH",IF($F436=1,"YUVARLAMA","TANIMSIZ"))))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IF($A437="","",IF($C437&lt;=efs_yuvarlamaEsik,1,0))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IF(OR($A437="",$B437&lt;&gt;"tutar_farki"),"",IF(ABS($C437-$D437)&lt;=toleransKurus,"KDV_ORAN",IF(ABS($C437-$E437*efs_kdvOran)&lt;=toleransKurus,"MATRAH",IF($F437=1,"YUVARLAMA","TANIMSIZ"))))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IF($A438="","",IF($C438&lt;=efs_yuvarlamaEsik,1,0))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IF(OR($A438="",$B438&lt;&gt;"tutar_farki"),"",IF(ABS($C438-$D438)&lt;=toleransKurus,"KDV_ORAN",IF(ABS($C438-$E438*efs_kdvOran)&lt;=toleransKurus,"MATRAH",IF($F438=1,"YUVARLAMA","TANIMSIZ"))))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IF($A439="","",IF($C439&lt;=efs_yuvarlamaEsik,1,0))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IF(OR($A439="",$B439&lt;&gt;"tutar_farki"),"",IF(ABS($C439-$D439)&lt;=toleransKurus,"KDV_ORAN",IF(ABS($C439-$E439*efs_kdvOran)&lt;=toleransKurus,"MATRAH",IF($F439=1,"YUVARLAMA","TANIMSIZ"))))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IF($A440="","",IF($C440&lt;=efs_yuvarlamaEsik,1,0))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IF(OR($A440="",$B440&lt;&gt;"tutar_farki"),"",IF(ABS($C440-$D440)&lt;=toleransKurus,"KDV_ORAN",IF(ABS($C440-$E440*efs_kdvOran)&lt;=toleransKurus,"MATRAH",IF($F440=1,"YUVARLAMA","TANIMSIZ"))))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IF($A441="","",IF($C441&lt;=efs_yuvarlamaEsik,1,0))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IF(OR($A441="",$B441&lt;&gt;"tutar_farki"),"",IF(ABS($C441-$D441)&lt;=toleransKurus,"KDV_ORAN",IF(ABS($C441-$E441*efs_kdvOran)&lt;=toleransKurus,"MATRAH",IF($F441=1,"YUVARLAMA","TANIMSIZ"))))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IF($A442="","",IF($C442&lt;=efs_yuvarlamaEsik,1,0))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IF(OR($A442="",$B442&lt;&gt;"tutar_farki"),"",IF(ABS($C442-$D442)&lt;=toleransKurus,"KDV_ORAN",IF(ABS($C442-$E442*efs_kdvOran)&lt;=toleransKurus,"MATRAH",IF($F442=1,"YUVARLAMA","TANIMSIZ"))))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IF($A443="","",IF($C443&lt;=efs_yuvarlamaEsik,1,0))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IF(OR($A443="",$B443&lt;&gt;"tutar_farki"),"",IF(ABS($C443-$D443)&lt;=toleransKurus,"KDV_ORAN",IF(ABS($C443-$E443*efs_kdvOran)&lt;=toleransKurus,"MATRAH",IF($F443=1,"YUVARLAMA","TANIMSIZ"))))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IF($A444="","",IF($C444&lt;=efs_yuvarlamaEsik,1,0))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IF(OR($A444="",$B444&lt;&gt;"tutar_farki"),"",IF(ABS($C444-$D444)&lt;=toleransKurus,"KDV_ORAN",IF(ABS($C444-$E444*efs_kdvOran)&lt;=toleransKurus,"MATRAH",IF($F444=1,"YUVARLAMA","TANIMSIZ"))))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IF($A445="","",IF($C445&lt;=efs_yuvarlamaEsik,1,0))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IF(OR($A445="",$B445&lt;&gt;"tutar_farki"),"",IF(ABS($C445-$D445)&lt;=toleransKurus,"KDV_ORAN",IF(ABS($C445-$E445*efs_kdvOran)&lt;=toleransKurus,"MATRAH",IF($F445=1,"YUVARLAMA","TANIMSIZ"))))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IF($A446="","",IF($C446&lt;=efs_yuvarlamaEsik,1,0))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IF(OR($A446="",$B446&lt;&gt;"tutar_farki"),"",IF(ABS($C446-$D446)&lt;=toleransKurus,"KDV_ORAN",IF(ABS($C446-$E446*efs_kdvOran)&lt;=toleransKurus,"MATRAH",IF($F446=1,"YUVARLAMA","TANIMSIZ"))))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IF($A447="","",IF($C447&lt;=efs_yuvarlamaEsik,1,0))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IF(OR($A447="",$B447&lt;&gt;"tutar_farki"),"",IF(ABS($C447-$D447)&lt;=toleransKurus,"KDV_ORAN",IF(ABS($C447-$E447*efs_kdvOran)&lt;=toleransKurus,"MATRAH",IF($F447=1,"YUVARLAMA","TANIMSIZ"))))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IF($A448="","",IF($C448&lt;=efs_yuvarlamaEsik,1,0))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IF(OR($A448="",$B448&lt;&gt;"tutar_farki"),"",IF(ABS($C448-$D448)&lt;=toleransKurus,"KDV_ORAN",IF(ABS($C448-$E448*efs_kdvOran)&lt;=toleransKurus,"MATRAH",IF($F448=1,"YUVARLAMA","TANIMSIZ"))))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IF($A449="","",IF($C449&lt;=efs_yuvarlamaEsik,1,0))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IF(OR($A449="",$B449&lt;&gt;"tutar_farki"),"",IF(ABS($C449-$D449)&lt;=toleransKurus,"KDV_ORAN",IF(ABS($C449-$E449*efs_kdvOran)&lt;=toleransKurus,"MATRAH",IF($F449=1,"YUVARLAMA","TANIMSIZ"))))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IF($A450="","",IF($C450&lt;=efs_yuvarlamaEsik,1,0))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IF(OR($A450="",$B450&lt;&gt;"tutar_farki"),"",IF(ABS($C450-$D450)&lt;=toleransKurus,"KDV_ORAN",IF(ABS($C450-$E450*efs_kdvOran)&lt;=toleransKurus,"MATRAH",IF($F450=1,"YUVARLAMA","TANIMSIZ"))))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IF($A451="","",IF($C451&lt;=efs_yuvarlamaEsik,1,0))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IF(OR($A451="",$B451&lt;&gt;"tutar_farki"),"",IF(ABS($C451-$D451)&lt;=toleransKurus,"KDV_ORAN",IF(ABS($C451-$E451*efs_kdvOran)&lt;=toleransKurus,"MATRAH",IF($F451=1,"YUVARLAMA","TANIMSIZ"))))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IF($A452="","",IF($C452&lt;=efs_yuvarlamaEsik,1,0))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IF(OR($A452="",$B452&lt;&gt;"tutar_farki"),"",IF(ABS($C452-$D452)&lt;=toleransKurus,"KDV_ORAN",IF(ABS($C452-$E452*efs_kdvOran)&lt;=toleransKurus,"MATRAH",IF($F452=1,"YUVARLAMA","TANIMSIZ"))))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IF($A453="","",IF($C453&lt;=efs_yuvarlamaEsik,1,0))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IF(OR($A453="",$B453&lt;&gt;"tutar_farki"),"",IF(ABS($C453-$D453)&lt;=toleransKurus,"KDV_ORAN",IF(ABS($C453-$E453*efs_kdvOran)&lt;=toleransKurus,"MATRAH",IF($F453=1,"YUVARLAMA","TANIMSIZ"))))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IF($A454="","",IF($C454&lt;=efs_yuvarlamaEsik,1,0))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IF(OR($A454="",$B454&lt;&gt;"tutar_farki"),"",IF(ABS($C454-$D454)&lt;=toleransKurus,"KDV_ORAN",IF(ABS($C454-$E454*efs_kdvOran)&lt;=toleransKurus,"MATRAH",IF($F454=1,"YUVARLAMA","TANIMSIZ"))))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IF($A455="","",IF($C455&lt;=efs_yuvarlamaEsik,1,0))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IF(OR($A455="",$B455&lt;&gt;"tutar_farki"),"",IF(ABS($C455-$D455)&lt;=toleransKurus,"KDV_ORAN",IF(ABS($C455-$E455*efs_kdvOran)&lt;=toleransKurus,"MATRAH",IF($F455=1,"YUVARLAMA","TANIMSIZ"))))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IF($A456="","",IF($C456&lt;=efs_yuvarlamaEsik,1,0))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IF(OR($A456="",$B456&lt;&gt;"tutar_farki"),"",IF(ABS($C456-$D456)&lt;=toleransKurus,"KDV_ORAN",IF(ABS($C456-$E456*efs_kdvOran)&lt;=toleransKurus,"MATRAH",IF($F456=1,"YUVARLAMA","TANIMSIZ"))))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IF($A457="","",IF($C457&lt;=efs_yuvarlamaEsik,1,0))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IF(OR($A457="",$B457&lt;&gt;"tutar_farki"),"",IF(ABS($C457-$D457)&lt;=toleransKurus,"KDV_ORAN",IF(ABS($C457-$E457*efs_kdvOran)&lt;=toleransKurus,"MATRAH",IF($F457=1,"YUVARLAMA","TANIMSIZ"))))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IF($A458="","",IF($C458&lt;=efs_yuvarlamaEsik,1,0))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IF(OR($A458="",$B458&lt;&gt;"tutar_farki"),"",IF(ABS($C458-$D458)&lt;=toleransKurus,"KDV_ORAN",IF(ABS($C458-$E458*efs_kdvOran)&lt;=toleransKurus,"MATRAH",IF($F458=1,"YUVARLAMA","TANIMSIZ"))))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IF($A459="","",IF($C459&lt;=efs_yuvarlamaEsik,1,0))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IF(OR($A459="",$B459&lt;&gt;"tutar_farki"),"",IF(ABS($C459-$D459)&lt;=toleransKurus,"KDV_ORAN",IF(ABS($C459-$E459*efs_kdvOran)&lt;=toleransKurus,"MATRAH",IF($F459=1,"YUVARLAMA","TANIMSIZ"))))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IF($A460="","",IF($C460&lt;=efs_yuvarlamaEsik,1,0))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IF(OR($A460="",$B460&lt;&gt;"tutar_farki"),"",IF(ABS($C460-$D460)&lt;=toleransKurus,"KDV_ORAN",IF(ABS($C460-$E460*efs_kdvOran)&lt;=toleransKurus,"MATRAH",IF($F460=1,"YUVARLAMA","TANIMSIZ"))))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IF($A461="","",IF($C461&lt;=efs_yuvarlamaEsik,1,0))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IF(OR($A461="",$B461&lt;&gt;"tutar_farki"),"",IF(ABS($C461-$D461)&lt;=toleransKurus,"KDV_ORAN",IF(ABS($C461-$E461*efs_kdvOran)&lt;=toleransKurus,"MATRAH",IF($F461=1,"YUVARLAMA","TANIMSIZ"))))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IF($A462="","",IF($C462&lt;=efs_yuvarlamaEsik,1,0))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IF(OR($A462="",$B462&lt;&gt;"tutar_farki"),"",IF(ABS($C462-$D462)&lt;=toleransKurus,"KDV_ORAN",IF(ABS($C462-$E462*efs_kdvOran)&lt;=toleransKurus,"MATRAH",IF($F462=1,"YUVARLAMA","TANIMSIZ"))))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IF($A463="","",IF($C463&lt;=efs_yuvarlamaEsik,1,0))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IF(OR($A463="",$B463&lt;&gt;"tutar_farki"),"",IF(ABS($C463-$D463)&lt;=toleransKurus,"KDV_ORAN",IF(ABS($C463-$E463*efs_kdvOran)&lt;=toleransKurus,"MATRAH",IF($F463=1,"YUVARLAMA","TANIMSIZ"))))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IF($A464="","",IF($C464&lt;=efs_yuvarlamaEsik,1,0))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IF(OR($A464="",$B464&lt;&gt;"tutar_farki"),"",IF(ABS($C464-$D464)&lt;=toleransKurus,"KDV_ORAN",IF(ABS($C464-$E464*efs_kdvOran)&lt;=toleransKurus,"MATRAH",IF($F464=1,"YUVARLAMA","TANIMSIZ"))))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IF($A465="","",IF($C465&lt;=efs_yuvarlamaEsik,1,0))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IF(OR($A465="",$B465&lt;&gt;"tutar_farki"),"",IF(ABS($C465-$D465)&lt;=toleransKurus,"KDV_ORAN",IF(ABS($C465-$E465*efs_kdvOran)&lt;=toleransKurus,"MATRAH",IF($F465=1,"YUVARLAMA","TANIMSIZ"))))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IF($A466="","",IF($C466&lt;=efs_yuvarlamaEsik,1,0))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IF(OR($A466="",$B466&lt;&gt;"tutar_farki"),"",IF(ABS($C466-$D466)&lt;=toleransKurus,"KDV_ORAN",IF(ABS($C466-$E466*efs_kdvOran)&lt;=toleransKurus,"MATRAH",IF($F466=1,"YUVARLAMA","TANIMSIZ"))))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IF($A467="","",IF($C467&lt;=efs_yuvarlamaEsik,1,0))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IF(OR($A467="",$B467&lt;&gt;"tutar_farki"),"",IF(ABS($C467-$D467)&lt;=toleransKurus,"KDV_ORAN",IF(ABS($C467-$E467*efs_kdvOran)&lt;=toleransKurus,"MATRAH",IF($F467=1,"YUVARLAMA","TANIMSIZ"))))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IF($A468="","",IF($C468&lt;=efs_yuvarlamaEsik,1,0))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IF(OR($A468="",$B468&lt;&gt;"tutar_farki"),"",IF(ABS($C468-$D468)&lt;=toleransKurus,"KDV_ORAN",IF(ABS($C468-$E468*efs_kdvOran)&lt;=toleransKurus,"MATRAH",IF($F468=1,"YUVARLAMA","TANIMSIZ"))))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IF($A469="","",IF($C469&lt;=efs_yuvarlamaEsik,1,0))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IF(OR($A469="",$B469&lt;&gt;"tutar_farki"),"",IF(ABS($C469-$D469)&lt;=toleransKurus,"KDV_ORAN",IF(ABS($C469-$E469*efs_kdvOran)&lt;=toleransKurus,"MATRAH",IF($F469=1,"YUVARLAMA","TANIMSIZ"))))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IF($A470="","",IF($C470&lt;=efs_yuvarlamaEsik,1,0))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IF(OR($A470="",$B470&lt;&gt;"tutar_farki"),"",IF(ABS($C470-$D470)&lt;=toleransKurus,"KDV_ORAN",IF(ABS($C470-$E470*efs_kdvOran)&lt;=toleransKurus,"MATRAH",IF($F470=1,"YUVARLAMA","TANIMSIZ"))))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IF($A471="","",IF($C471&lt;=efs_yuvarlamaEsik,1,0))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IF(OR($A471="",$B471&lt;&gt;"tutar_farki"),"",IF(ABS($C471-$D471)&lt;=toleransKurus,"KDV_ORAN",IF(ABS($C471-$E471*efs_kdvOran)&lt;=toleransKurus,"MATRAH",IF($F471=1,"YUVARLAMA","TANIMSIZ"))))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IF($A472="","",IF($C472&lt;=efs_yuvarlamaEsik,1,0))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IF(OR($A472="",$B472&lt;&gt;"tutar_farki"),"",IF(ABS($C472-$D472)&lt;=toleransKurus,"KDV_ORAN",IF(ABS($C472-$E472*efs_kdvOran)&lt;=toleransKurus,"MATRAH",IF($F472=1,"YUVARLAMA","TANIMSIZ"))))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IF($A473="","",IF($C473&lt;=efs_yuvarlamaEsik,1,0))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IF(OR($A473="",$B473&lt;&gt;"tutar_farki"),"",IF(ABS($C473-$D473)&lt;=toleransKurus,"KDV_ORAN",IF(ABS($C473-$E473*efs_kdvOran)&lt;=toleransKurus,"MATRAH",IF($F473=1,"YUVARLAMA","TANIMSIZ"))))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IF($A474="","",IF($C474&lt;=efs_yuvarlamaEsik,1,0))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IF(OR($A474="",$B474&lt;&gt;"tutar_farki"),"",IF(ABS($C474-$D474)&lt;=toleransKurus,"KDV_ORAN",IF(ABS($C474-$E474*efs_kdvOran)&lt;=toleransKurus,"MATRAH",IF($F474=1,"YUVARLAMA","TANIMSIZ"))))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IF($A475="","",IF($C475&lt;=efs_yuvarlamaEsik,1,0))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IF(OR($A475="",$B475&lt;&gt;"tutar_farki"),"",IF(ABS($C475-$D475)&lt;=toleransKurus,"KDV_ORAN",IF(ABS($C475-$E475*efs_kdvOran)&lt;=toleransKurus,"MATRAH",IF($F475=1,"YUVARLAMA","TANIMSIZ"))))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IF($A476="","",IF($C476&lt;=efs_yuvarlamaEsik,1,0))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IF(OR($A476="",$B476&lt;&gt;"tutar_farki"),"",IF(ABS($C476-$D476)&lt;=toleransKurus,"KDV_ORAN",IF(ABS($C476-$E476*efs_kdvOran)&lt;=toleransKurus,"MATRAH",IF($F476=1,"YUVARLAMA","TANIMSIZ"))))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IF($A477="","",IF($C477&lt;=efs_yuvarlamaEsik,1,0))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IF(OR($A477="",$B477&lt;&gt;"tutar_farki"),"",IF(ABS($C477-$D477)&lt;=toleransKurus,"KDV_ORAN",IF(ABS($C477-$E477*efs_kdvOran)&lt;=toleransKurus,"MATRAH",IF($F477=1,"YUVARLAMA","TANIMSIZ"))))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IF($A478="","",IF($C478&lt;=efs_yuvarlamaEsik,1,0))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IF(OR($A478="",$B478&lt;&gt;"tutar_farki"),"",IF(ABS($C478-$D478)&lt;=toleransKurus,"KDV_ORAN",IF(ABS($C478-$E478*efs_kdvOran)&lt;=toleransKurus,"MATRAH",IF($F478=1,"YUVARLAMA","TANIMSIZ"))))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IF($A479="","",IF($C479&lt;=efs_yuvarlamaEsik,1,0))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IF(OR($A479="",$B479&lt;&gt;"tutar_farki"),"",IF(ABS($C479-$D479)&lt;=toleransKurus,"KDV_ORAN",IF(ABS($C479-$E479*efs_kdvOran)&lt;=toleransKurus,"MATRAH",IF($F479=1,"YUVARLAMA","TANIMSIZ"))))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IF($A480="","",IF($C480&lt;=efs_yuvarlamaEsik,1,0))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IF(OR($A480="",$B480&lt;&gt;"tutar_farki"),"",IF(ABS($C480-$D480)&lt;=toleransKurus,"KDV_ORAN",IF(ABS($C480-$E480*efs_kdvOran)&lt;=toleransKurus,"MATRAH",IF($F480=1,"YUVARLAMA","TANIMSIZ"))))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IF($A481="","",IF($C481&lt;=efs_yuvarlamaEsik,1,0))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IF(OR($A481="",$B481&lt;&gt;"tutar_farki"),"",IF(ABS($C481-$D481)&lt;=toleransKurus,"KDV_ORAN",IF(ABS($C481-$E481*efs_kdvOran)&lt;=toleransKurus,"MATRAH",IF($F481=1,"YUVARLAMA","TANIMSIZ"))))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IF($A482="","",IF($C482&lt;=efs_yuvarlamaEsik,1,0))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IF(OR($A482="",$B482&lt;&gt;"tutar_farki"),"",IF(ABS($C482-$D482)&lt;=toleransKurus,"KDV_ORAN",IF(ABS($C482-$E482*efs_kdvOran)&lt;=toleransKurus,"MATRAH",IF($F482=1,"YUVARLAMA","TANIMSIZ"))))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IF($A483="","",IF($C483&lt;=efs_yuvarlamaEsik,1,0))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IF(OR($A483="",$B483&lt;&gt;"tutar_farki"),"",IF(ABS($C483-$D483)&lt;=toleransKurus,"KDV_ORAN",IF(ABS($C483-$E483*efs_kdvOran)&lt;=toleransKurus,"MATRAH",IF($F483=1,"YUVARLAMA","TANIMSIZ"))))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IF($A484="","",IF($C484&lt;=efs_yuvarlamaEsik,1,0))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IF(OR($A484="",$B484&lt;&gt;"tutar_farki"),"",IF(ABS($C484-$D484)&lt;=toleransKurus,"KDV_ORAN",IF(ABS($C484-$E484*efs_kdvOran)&lt;=toleransKurus,"MATRAH",IF($F484=1,"YUVARLAMA","TANIMSIZ"))))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IF($A485="","",IF($C485&lt;=efs_yuvarlamaEsik,1,0))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IF(OR($A485="",$B485&lt;&gt;"tutar_farki"),"",IF(ABS($C485-$D485)&lt;=toleransKurus,"KDV_ORAN",IF(ABS($C485-$E485*efs_kdvOran)&lt;=toleransKurus,"MATRAH",IF($F485=1,"YUVARLAMA","TANIMSIZ"))))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IF($A486="","",IF($C486&lt;=efs_yuvarlamaEsik,1,0))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IF(OR($A486="",$B486&lt;&gt;"tutar_farki"),"",IF(ABS($C486-$D486)&lt;=toleransKurus,"KDV_ORAN",IF(ABS($C486-$E486*efs_kdvOran)&lt;=toleransKurus,"MATRAH",IF($F486=1,"YUVARLAMA","TANIMSIZ"))))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IF($A487="","",IF($C487&lt;=efs_yuvarlamaEsik,1,0))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IF(OR($A487="",$B487&lt;&gt;"tutar_farki"),"",IF(ABS($C487-$D487)&lt;=toleransKurus,"KDV_ORAN",IF(ABS($C487-$E487*efs_kdvOran)&lt;=toleransKurus,"MATRAH",IF($F487=1,"YUVARLAMA","TANIMSIZ"))))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IF($A488="","",IF($C488&lt;=efs_yuvarlamaEsik,1,0))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IF(OR($A488="",$B488&lt;&gt;"tutar_farki"),"",IF(ABS($C488-$D488)&lt;=toleransKurus,"KDV_ORAN",IF(ABS($C488-$E488*efs_kdvOran)&lt;=toleransKurus,"MATRAH",IF($F488=1,"YUVARLAMA","TANIMSIZ"))))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IF($A489="","",IF($C489&lt;=efs_yuvarlamaEsik,1,0))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IF(OR($A489="",$B489&lt;&gt;"tutar_farki"),"",IF(ABS($C489-$D489)&lt;=toleransKurus,"KDV_ORAN",IF(ABS($C489-$E489*efs_kdvOran)&lt;=toleransKurus,"MATRAH",IF($F489=1,"YUVARLAMA","TANIMSIZ"))))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IF($A490="","",IF($C490&lt;=efs_yuvarlamaEsik,1,0))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IF(OR($A490="",$B490&lt;&gt;"tutar_farki"),"",IF(ABS($C490-$D490)&lt;=toleransKurus,"KDV_ORAN",IF(ABS($C490-$E490*efs_kdvOran)&lt;=toleransKurus,"MATRAH",IF($F490=1,"YUVARLAMA","TANIMSIZ"))))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IF($A491="","",IF($C491&lt;=efs_yuvarlamaEsik,1,0))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IF(OR($A491="",$B491&lt;&gt;"tutar_farki"),"",IF(ABS($C491-$D491)&lt;=toleransKurus,"KDV_ORAN",IF(ABS($C491-$E491*efs_kdvOran)&lt;=toleransKurus,"MATRAH",IF($F491=1,"YUVARLAMA","TANIMSIZ"))))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IF($A492="","",IF($C492&lt;=efs_yuvarlamaEsik,1,0))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IF(OR($A492="",$B492&lt;&gt;"tutar_farki"),"",IF(ABS($C492-$D492)&lt;=toleransKurus,"KDV_ORAN",IF(ABS($C492-$E492*efs_kdvOran)&lt;=toleransKurus,"MATRAH",IF($F492=1,"YUVARLAMA","TANIMSIZ"))))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IF($A493="","",IF($C493&lt;=efs_yuvarlamaEsik,1,0))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IF(OR($A493="",$B493&lt;&gt;"tutar_farki"),"",IF(ABS($C493-$D493)&lt;=toleransKurus,"KDV_ORAN",IF(ABS($C493-$E493*efs_kdvOran)&lt;=toleransKurus,"MATRAH",IF($F493=1,"YUVARLAMA","TANIMSIZ"))))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IF($A494="","",IF($C494&lt;=efs_yuvarlamaEsik,1,0))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IF(OR($A494="",$B494&lt;&gt;"tutar_farki"),"",IF(ABS($C494-$D494)&lt;=toleransKurus,"KDV_ORAN",IF(ABS($C494-$E494*efs_kdvOran)&lt;=toleransKurus,"MATRAH",IF($F494=1,"YUVARLAMA","TANIMSIZ"))))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IF($A495="","",IF($C495&lt;=efs_yuvarlamaEsik,1,0))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IF(OR($A495="",$B495&lt;&gt;"tutar_farki"),"",IF(ABS($C495-$D495)&lt;=toleransKurus,"KDV_ORAN",IF(ABS($C495-$E495*efs_kdvOran)&lt;=toleransKurus,"MATRAH",IF($F495=1,"YUVARLAMA","TANIMSIZ"))))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IF($A496="","",IF($C496&lt;=efs_yuvarlamaEsik,1,0))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IF(OR($A496="",$B496&lt;&gt;"tutar_farki"),"",IF(ABS($C496-$D496)&lt;=toleransKurus,"KDV_ORAN",IF(ABS($C496-$E496*efs_kdvOran)&lt;=toleransKurus,"MATRAH",IF($F496=1,"YUVARLAMA","TANIMSIZ"))))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IF($A497="","",IF($C497&lt;=efs_yuvarlamaEsik,1,0))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IF(OR($A497="",$B497&lt;&gt;"tutar_farki"),"",IF(ABS($C497-$D497)&lt;=toleransKurus,"KDV_ORAN",IF(ABS($C497-$E497*efs_kdvOran)&lt;=toleransKurus,"MATRAH",IF($F497=1,"YUVARLAMA","TANIMSIZ"))))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IF($A498="","",IF($C498&lt;=efs_yuvarlamaEsik,1,0))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IF(OR($A498="",$B498&lt;&gt;"tutar_farki"),"",IF(ABS($C498-$D498)&lt;=toleransKurus,"KDV_ORAN",IF(ABS($C498-$E498*efs_kdvOran)&lt;=toleransKurus,"MATRAH",IF($F498=1,"YUVARLAMA","TANIMSIZ"))))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IF($A499="","",IF($C499&lt;=efs_yuvarlamaEsik,1,0))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IF(OR($A499="",$B499&lt;&gt;"tutar_farki"),"",IF(ABS($C499-$D499)&lt;=toleransKurus,"KDV_ORAN",IF(ABS($C499-$E499*efs_kdvOran)&lt;=toleransKurus,"MATRAH",IF($F499=1,"YUVARLAMA","TANIMSIZ"))))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IF($A500="","",IF($C500&lt;=efs_yuvarlamaEsik,1,0))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IF(OR($A500="",$B500&lt;&gt;"tutar_farki"),"",IF(ABS($C500-$D500)&lt;=toleransKurus,"KDV_ORAN",IF(ABS($C500-$E500*efs_kdvOran)&lt;=toleransKurus,"MATRAH",IF($F500=1,"YUVARLAMA","TANIMSIZ"))))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IF($A501="","",IF($C501&lt;=efs_yuvarlamaEsik,1,0))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IF(OR($A501="",$B501&lt;&gt;"tutar_farki"),"",IF(ABS($C501-$D501)&lt;=toleransKurus,"KDV_ORAN",IF(ABS($C501-$E501*efs_kdvOran)&lt;=toleransKurus,"MATRAH",IF($F501=1,"YUVARLAMA","TANIMSIZ"))))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IF($A502="","",IF($C502&lt;=efs_yuvarlamaEsik,1,0))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IF(OR($A502="",$B502&lt;&gt;"tutar_farki"),"",IF(ABS($C502-$D502)&lt;=toleransKurus,"KDV_ORAN",IF(ABS($C502-$E502*efs_kdvOran)&lt;=toleransKurus,"MATRAH",IF($F502=1,"YUVARLAMA","TANIMSIZ"))))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IF($A503="","",IF($C503&lt;=efs_yuvarlamaEsik,1,0))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IF(OR($A503="",$B503&lt;&gt;"tutar_farki"),"",IF(ABS($C503-$D503)&lt;=toleransKurus,"KDV_ORAN",IF(ABS($C503-$E503*efs_kdvOran)&lt;=toleransKurus,"MATRAH",IF($F503=1,"YUVARLAMA","TANIMSIZ"))))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IF($A504="","",IF($C504&lt;=efs_yuvarlamaEsik,1,0))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IF(OR($A504="",$B504&lt;&gt;"tutar_farki"),"",IF(ABS($C504-$D504)&lt;=toleransKurus,"KDV_ORAN",IF(ABS($C504-$E504*efs_kdvOran)&lt;=toleransKurus,"MATRAH",IF($F504=1,"YUVARLAMA","TANIMSIZ"))))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IF($A505="","",IF($C505&lt;=efs_yuvarlamaEsik,1,0))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IF(OR($A505="",$B505&lt;&gt;"tutar_farki"),"",IF(ABS($C505-$D505)&lt;=toleransKurus,"KDV_ORAN",IF(ABS($C505-$E505*efs_kdvOran)&lt;=toleransKurus,"MATRAH",IF($F505=1,"YUVARLAMA","TANIMSIZ"))))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IF($A506="","",IF($C506&lt;=efs_yuvarlamaEsik,1,0))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IF(OR($A506="",$B506&lt;&gt;"tutar_farki"),"",IF(ABS($C506-$D506)&lt;=toleransKurus,"KDV_ORAN",IF(ABS($C506-$E506*efs_kdvOran)&lt;=toleransKurus,"MATRAH",IF($F506=1,"YUVARLAMA","TANIMSIZ"))))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IF($A507="","",IF($C507&lt;=efs_yuvarlamaEsik,1,0))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IF(OR($A507="",$B507&lt;&gt;"tutar_farki"),"",IF(ABS($C507-$D507)&lt;=toleransKurus,"KDV_ORAN",IF(ABS($C507-$E507*efs_kdvOran)&lt;=toleransKurus,"MATRAH",IF($F507=1,"YUVARLAMA","TANIMSIZ"))))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IF($A508="","",IF($C508&lt;=efs_yuvarlamaEsik,1,0))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IF(OR($A508="",$B508&lt;&gt;"tutar_farki"),"",IF(ABS($C508-$D508)&lt;=toleransKurus,"KDV_ORAN",IF(ABS($C508-$E508*efs_kdvOran)&lt;=toleransKurus,"MATRAH",IF($F508=1,"YUVARLAMA","TANIMSIZ"))))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IF($A509="","",IF($C509&lt;=efs_yuvarlamaEsik,1,0))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IF(OR($A509="",$B509&lt;&gt;"tutar_farki"),"",IF(ABS($C509-$D509)&lt;=toleransKurus,"KDV_ORAN",IF(ABS($C509-$E509*efs_kdvOran)&lt;=toleransKurus,"MATRAH",IF($F509=1,"YUVARLAMA","TANIMSIZ"))))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IF($A510="","",IF($C510&lt;=efs_yuvarlamaEsik,1,0))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IF(OR($A510="",$B510&lt;&gt;"tutar_farki"),"",IF(ABS($C510-$D510)&lt;=toleransKurus,"KDV_ORAN",IF(ABS($C510-$E510*efs_kdvOran)&lt;=toleransKurus,"MATRAH",IF($F510=1,"YUVARLAMA","TANIMSIZ"))))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IF($A511="","",IF($C511&lt;=efs_yuvarlamaEsik,1,0))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IF(OR($A511="",$B511&lt;&gt;"tutar_farki"),"",IF(ABS($C511-$D511)&lt;=toleransKurus,"KDV_ORAN",IF(ABS($C511-$E511*efs_kdvOran)&lt;=toleransKurus,"MATRAH",IF($F511=1,"YUVARLAMA","TANIMSIZ"))))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IF($A512="","",IF($C512&lt;=efs_yuvarlamaEsik,1,0))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IF(OR($A512="",$B512&lt;&gt;"tutar_farki"),"",IF(ABS($C512-$D512)&lt;=toleransKurus,"KDV_ORAN",IF(ABS($C512-$E512*efs_kdvOran)&lt;=toleransKurus,"MATRAH",IF($F512=1,"YUVARLAMA","TANIMSIZ"))))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IF($A513="","",IF($C513&lt;=efs_yuvarlamaEsik,1,0))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IF(OR($A513="",$B513&lt;&gt;"tutar_farki"),"",IF(ABS($C513-$D513)&lt;=toleransKurus,"KDV_ORAN",IF(ABS($C513-$E513*efs_kdvOran)&lt;=toleransKurus,"MATRAH",IF($F513=1,"YUVARLAMA","TANIMSIZ"))))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IF($A514="","",IF($C514&lt;=efs_yuvarlamaEsik,1,0))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IF(OR($A514="",$B514&lt;&gt;"tutar_farki"),"",IF(ABS($C514-$D514)&lt;=toleransKurus,"KDV_ORAN",IF(ABS($C514-$E514*efs_kdvOran)&lt;=toleransKurus,"MATRAH",IF($F514=1,"YUVARLAMA","TANIMSIZ"))))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IF($A515="","",IF($C515&lt;=efs_yuvarlamaEsik,1,0))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IF(OR($A515="",$B515&lt;&gt;"tutar_farki"),"",IF(ABS($C515-$D515)&lt;=toleransKurus,"KDV_ORAN",IF(ABS($C515-$E515*efs_kdvOran)&lt;=toleransKurus,"MATRAH",IF($F515=1,"YUVARLAMA","TANIMSIZ"))))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IF($A516="","",IF($C516&lt;=efs_yuvarlamaEsik,1,0))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IF(OR($A516="",$B516&lt;&gt;"tutar_farki"),"",IF(ABS($C516-$D516)&lt;=toleransKurus,"KDV_ORAN",IF(ABS($C516-$E516*efs_kdvOran)&lt;=toleransKurus,"MATRAH",IF($F516=1,"YUVARLAMA","TANIMSIZ"))))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IF($A517="","",IF($C517&lt;=efs_yuvarlamaEsik,1,0))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IF(OR($A517="",$B517&lt;&gt;"tutar_farki"),"",IF(ABS($C517-$D517)&lt;=toleransKurus,"KDV_ORAN",IF(ABS($C517-$E517*efs_kdvOran)&lt;=toleransKurus,"MATRAH",IF($F517=1,"YUVARLAMA","TANIMSIZ"))))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IF($A518="","",IF($C518&lt;=efs_yuvarlamaEsik,1,0))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IF(OR($A518="",$B518&lt;&gt;"tutar_farki"),"",IF(ABS($C518-$D518)&lt;=toleransKurus,"KDV_ORAN",IF(ABS($C518-$E518*efs_kdvOran)&lt;=toleransKurus,"MATRAH",IF($F518=1,"YUVARLAMA","TANIMSIZ"))))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IF($A519="","",IF($C519&lt;=efs_yuvarlamaEsik,1,0))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IF(OR($A519="",$B519&lt;&gt;"tutar_farki"),"",IF(ABS($C519-$D519)&lt;=toleransKurus,"KDV_ORAN",IF(ABS($C519-$E519*efs_kdvOran)&lt;=toleransKurus,"MATRAH",IF($F519=1,"YUVARLAMA","TANIMSIZ"))))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IF($A520="","",IF($C520&lt;=efs_yuvarlamaEsik,1,0))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IF(OR($A520="",$B520&lt;&gt;"tutar_farki"),"",IF(ABS($C520-$D520)&lt;=toleransKurus,"KDV_ORAN",IF(ABS($C520-$E520*efs_kdvOran)&lt;=toleransKurus,"MATRAH",IF($F520=1,"YUVARLAMA","TANIMSIZ"))))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IF($A521="","",IF($C521&lt;=efs_yuvarlamaEsik,1,0))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IF(OR($A521="",$B521&lt;&gt;"tutar_farki"),"",IF(ABS($C521-$D521)&lt;=toleransKurus,"KDV_ORAN",IF(ABS($C521-$E521*efs_kdvOran)&lt;=toleransKurus,"MATRAH",IF($F521=1,"YUVARLAMA","TANIMSIZ"))))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IF($A522="","",IF($C522&lt;=efs_yuvarlamaEsik,1,0))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IF(OR($A522="",$B522&lt;&gt;"tutar_farki"),"",IF(ABS($C522-$D522)&lt;=toleransKurus,"KDV_ORAN",IF(ABS($C522-$E522*efs_kdvOran)&lt;=toleransKurus,"MATRAH",IF($F522=1,"YUVARLAMA","TANIMSIZ"))))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IF($A523="","",IF($C523&lt;=efs_yuvarlamaEsik,1,0))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IF(OR($A523="",$B523&lt;&gt;"tutar_farki"),"",IF(ABS($C523-$D523)&lt;=toleransKurus,"KDV_ORAN",IF(ABS($C523-$E523*efs_kdvOran)&lt;=toleransKurus,"MATRAH",IF($F523=1,"YUVARLAMA","TANIMSIZ"))))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IF($A524="","",IF($C524&lt;=efs_yuvarlamaEsik,1,0))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IF(OR($A524="",$B524&lt;&gt;"tutar_farki"),"",IF(ABS($C524-$D524)&lt;=toleransKurus,"KDV_ORAN",IF(ABS($C524-$E524*efs_kdvOran)&lt;=toleransKurus,"MATRAH",IF($F524=1,"YUVARLAMA","TANIMSIZ"))))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IF($A525="","",IF($C525&lt;=efs_yuvarlamaEsik,1,0))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IF(OR($A525="",$B525&lt;&gt;"tutar_farki"),"",IF(ABS($C525-$D525)&lt;=toleransKurus,"KDV_ORAN",IF(ABS($C525-$E525*efs_kdvOran)&lt;=toleransKurus,"MATRAH",IF($F525=1,"YUVARLAMA","TANIMSIZ"))))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IF($A526="","",IF($C526&lt;=efs_yuvarlamaEsik,1,0))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IF(OR($A526="",$B526&lt;&gt;"tutar_farki"),"",IF(ABS($C526-$D526)&lt;=toleransKurus,"KDV_ORAN",IF(ABS($C526-$E526*efs_kdvOran)&lt;=toleransKurus,"MATRAH",IF($F526=1,"YUVARLAMA","TANIMSIZ"))))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IF($A527="","",IF($C527&lt;=efs_yuvarlamaEsik,1,0))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IF(OR($A527="",$B527&lt;&gt;"tutar_farki"),"",IF(ABS($C527-$D527)&lt;=toleransKurus,"KDV_ORAN",IF(ABS($C527-$E527*efs_kdvOran)&lt;=toleransKurus,"MATRAH",IF($F527=1,"YUVARLAMA","TANIMSIZ"))))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IF($A528="","",IF($C528&lt;=efs_yuvarlamaEsik,1,0))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IF(OR($A528="",$B528&lt;&gt;"tutar_farki"),"",IF(ABS($C528-$D528)&lt;=toleransKurus,"KDV_ORAN",IF(ABS($C528-$E528*efs_kdvOran)&lt;=toleransKurus,"MATRAH",IF($F528=1,"YUVARLAMA","TANIMSIZ"))))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IF($A529="","",IF($C529&lt;=efs_yuvarlamaEsik,1,0))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IF(OR($A529="",$B529&lt;&gt;"tutar_farki"),"",IF(ABS($C529-$D529)&lt;=toleransKurus,"KDV_ORAN",IF(ABS($C529-$E529*efs_kdvOran)&lt;=toleransKurus,"MATRAH",IF($F529=1,"YUVARLAMA","TANIMSIZ"))))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IF($A530="","",IF($C530&lt;=efs_yuvarlamaEsik,1,0))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IF(OR($A530="",$B530&lt;&gt;"tutar_farki"),"",IF(ABS($C530-$D530)&lt;=toleransKurus,"KDV_ORAN",IF(ABS($C530-$E530*efs_kdvOran)&lt;=toleransKurus,"MATRAH",IF($F530=1,"YUVARLAMA","TANIMSIZ"))))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IF($A531="","",IF($C531&lt;=efs_yuvarlamaEsik,1,0))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IF(OR($A531="",$B531&lt;&gt;"tutar_farki"),"",IF(ABS($C531-$D531)&lt;=toleransKurus,"KDV_ORAN",IF(ABS($C531-$E531*efs_kdvOran)&lt;=toleransKurus,"MATRAH",IF($F531=1,"YUVARLAMA","TANIMSIZ"))))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IF($A532="","",IF($C532&lt;=efs_yuvarlamaEsik,1,0))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IF(OR($A532="",$B532&lt;&gt;"tutar_farki"),"",IF(ABS($C532-$D532)&lt;=toleransKurus,"KDV_ORAN",IF(ABS($C532-$E532*efs_kdvOran)&lt;=toleransKurus,"MATRAH",IF($F532=1,"YUVARLAMA","TANIMSIZ"))))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IF($A533="","",IF($C533&lt;=efs_yuvarlamaEsik,1,0))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IF(OR($A533="",$B533&lt;&gt;"tutar_farki"),"",IF(ABS($C533-$D533)&lt;=toleransKurus,"KDV_ORAN",IF(ABS($C533-$E533*efs_kdvOran)&lt;=toleransKurus,"MATRAH",IF($F533=1,"YUVARLAMA","TANIMSIZ"))))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IF($A534="","",IF($C534&lt;=efs_yuvarlamaEsik,1,0))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IF(OR($A534="",$B534&lt;&gt;"tutar_farki"),"",IF(ABS($C534-$D534)&lt;=toleransKurus,"KDV_ORAN",IF(ABS($C534-$E534*efs_kdvOran)&lt;=toleransKurus,"MATRAH",IF($F534=1,"YUVARLAMA","TANIMSIZ"))))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IF($A535="","",IF($C535&lt;=efs_yuvarlamaEsik,1,0))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IF(OR($A535="",$B535&lt;&gt;"tutar_farki"),"",IF(ABS($C535-$D535)&lt;=toleransKurus,"KDV_ORAN",IF(ABS($C535-$E535*efs_kdvOran)&lt;=toleransKurus,"MATRAH",IF($F535=1,"YUVARLAMA","TANIMSIZ"))))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IF($A536="","",IF($C536&lt;=efs_yuvarlamaEsik,1,0))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IF(OR($A536="",$B536&lt;&gt;"tutar_farki"),"",IF(ABS($C536-$D536)&lt;=toleransKurus,"KDV_ORAN",IF(ABS($C536-$E536*efs_kdvOran)&lt;=toleransKurus,"MATRAH",IF($F536=1,"YUVARLAMA","TANIMSIZ"))))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IF($A537="","",IF($C537&lt;=efs_yuvarlamaEsik,1,0))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IF(OR($A537="",$B537&lt;&gt;"tutar_farki"),"",IF(ABS($C537-$D537)&lt;=toleransKurus,"KDV_ORAN",IF(ABS($C537-$E537*efs_kdvOran)&lt;=toleransKurus,"MATRAH",IF($F537=1,"YUVARLAMA","TANIMSIZ"))))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IF($A538="","",IF($C538&lt;=efs_yuvarlamaEsik,1,0))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IF(OR($A538="",$B538&lt;&gt;"tutar_farki"),"",IF(ABS($C538-$D538)&lt;=toleransKurus,"KDV_ORAN",IF(ABS($C538-$E538*efs_kdvOran)&lt;=toleransKurus,"MATRAH",IF($F538=1,"YUVARLAMA","TANIMSIZ"))))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IF($A539="","",IF($C539&lt;=efs_yuvarlamaEsik,1,0))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IF(OR($A539="",$B539&lt;&gt;"tutar_farki"),"",IF(ABS($C539-$D539)&lt;=toleransKurus,"KDV_ORAN",IF(ABS($C539-$E539*efs_kdvOran)&lt;=toleransKurus,"MATRAH",IF($F539=1,"YUVARLAMA","TANIMSIZ"))))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IF($A540="","",IF($C540&lt;=efs_yuvarlamaEsik,1,0))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IF(OR($A540="",$B540&lt;&gt;"tutar_farki"),"",IF(ABS($C540-$D540)&lt;=toleransKurus,"KDV_ORAN",IF(ABS($C540-$E540*efs_kdvOran)&lt;=toleransKurus,"MATRAH",IF($F540=1,"YUVARLAMA","TANIMSIZ"))))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IF($A541="","",IF($C541&lt;=efs_yuvarlamaEsik,1,0))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IF(OR($A541="",$B541&lt;&gt;"tutar_farki"),"",IF(ABS($C541-$D541)&lt;=toleransKurus,"KDV_ORAN",IF(ABS($C541-$E541*efs_kdvOran)&lt;=toleransKurus,"MATRAH",IF($F541=1,"YUVARLAMA","TANIMSIZ"))))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IF($A542="","",IF($C542&lt;=efs_yuvarlamaEsik,1,0))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IF(OR($A542="",$B542&lt;&gt;"tutar_farki"),"",IF(ABS($C542-$D542)&lt;=toleransKurus,"KDV_ORAN",IF(ABS($C542-$E542*efs_kdvOran)&lt;=toleransKurus,"MATRAH",IF($F542=1,"YUVARLAMA","TANIMSIZ"))))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IF($A543="","",IF($C543&lt;=efs_yuvarlamaEsik,1,0))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IF(OR($A543="",$B543&lt;&gt;"tutar_farki"),"",IF(ABS($C543-$D543)&lt;=toleransKurus,"KDV_ORAN",IF(ABS($C543-$E543*efs_kdvOran)&lt;=toleransKurus,"MATRAH",IF($F543=1,"YUVARLAMA","TANIMSIZ"))))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IF($A544="","",IF($C544&lt;=efs_yuvarlamaEsik,1,0))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IF(OR($A544="",$B544&lt;&gt;"tutar_farki"),"",IF(ABS($C544-$D544)&lt;=toleransKurus,"KDV_ORAN",IF(ABS($C544-$E544*efs_kdvOran)&lt;=toleransKurus,"MATRAH",IF($F544=1,"YUVARLAMA","TANIMSIZ"))))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IF($A545="","",IF($C545&lt;=efs_yuvarlamaEsik,1,0))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IF(OR($A545="",$B545&lt;&gt;"tutar_farki"),"",IF(ABS($C545-$D545)&lt;=toleransKurus,"KDV_ORAN",IF(ABS($C545-$E545*efs_kdvOran)&lt;=toleransKurus,"MATRAH",IF($F545=1,"YUVARLAMA","TANIMSIZ"))))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IF($A546="","",IF($C546&lt;=efs_yuvarlamaEsik,1,0))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IF(OR($A546="",$B546&lt;&gt;"tutar_farki"),"",IF(ABS($C546-$D546)&lt;=toleransKurus,"KDV_ORAN",IF(ABS($C546-$E546*efs_kdvOran)&lt;=toleransKurus,"MATRAH",IF($F546=1,"YUVARLAMA","TANIMSIZ"))))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IF($A547="","",IF($C547&lt;=efs_yuvarlamaEsik,1,0))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IF(OR($A547="",$B547&lt;&gt;"tutar_farki"),"",IF(ABS($C547-$D547)&lt;=toleransKurus,"KDV_ORAN",IF(ABS($C547-$E547*efs_kdvOran)&lt;=toleransKurus,"MATRAH",IF($F547=1,"YUVARLAMA","TANIMSIZ"))))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IF($A548="","",IF($C548&lt;=efs_yuvarlamaEsik,1,0))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IF(OR($A548="",$B548&lt;&gt;"tutar_farki"),"",IF(ABS($C548-$D548)&lt;=toleransKurus,"KDV_ORAN",IF(ABS($C548-$E548*efs_kdvOran)&lt;=toleransKurus,"MATRAH",IF($F548=1,"YUVARLAMA","TANIMSIZ"))))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IF($A549="","",IF($C549&lt;=efs_yuvarlamaEsik,1,0))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IF(OR($A549="",$B549&lt;&gt;"tutar_farki"),"",IF(ABS($C549-$D549)&lt;=toleransKurus,"KDV_ORAN",IF(ABS($C549-$E549*efs_kdvOran)&lt;=toleransKurus,"MATRAH",IF($F549=1,"YUVARLAMA","TANIMSIZ"))))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IF($A550="","",IF($C550&lt;=efs_yuvarlamaEsik,1,0))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IF(OR($A550="",$B550&lt;&gt;"tutar_farki"),"",IF(ABS($C550-$D550)&lt;=toleransKurus,"KDV_ORAN",IF(ABS($C550-$E550*efs_kdvOran)&lt;=toleransKurus,"MATRAH",IF($F550=1,"YUVARLAMA","TANIMSIZ"))))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IF($A551="","",IF($C551&lt;=efs_yuvarlamaEsik,1,0))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IF(OR($A551="",$B551&lt;&gt;"tutar_farki"),"",IF(ABS($C551-$D551)&lt;=toleransKurus,"KDV_ORAN",IF(ABS($C551-$E551*efs_kdvOran)&lt;=toleransKurus,"MATRAH",IF($F551=1,"YUVARLAMA","TANIMSIZ"))))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IF($A552="","",IF($C552&lt;=efs_yuvarlamaEsik,1,0))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IF(OR($A552="",$B552&lt;&gt;"tutar_farki"),"",IF(ABS($C552-$D552)&lt;=toleransKurus,"KDV_ORAN",IF(ABS($C552-$E552*efs_kdvOran)&lt;=toleransKurus,"MATRAH",IF($F552=1,"YUVARLAMA","TANIMSIZ"))))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IF($A553="","",IF($C553&lt;=efs_yuvarlamaEsik,1,0))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IF(OR($A553="",$B553&lt;&gt;"tutar_farki"),"",IF(ABS($C553-$D553)&lt;=toleransKurus,"KDV_ORAN",IF(ABS($C553-$E553*efs_kdvOran)&lt;=toleransKurus,"MATRAH",IF($F553=1,"YUVARLAMA","TANIMSIZ"))))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IF($A554="","",IF($C554&lt;=efs_yuvarlamaEsik,1,0))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IF(OR($A554="",$B554&lt;&gt;"tutar_farki"),"",IF(ABS($C554-$D554)&lt;=toleransKurus,"KDV_ORAN",IF(ABS($C554-$E554*efs_kdvOran)&lt;=toleransKurus,"MATRAH",IF($F554=1,"YUVARLAMA","TANIMSIZ"))))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IF($A555="","",IF($C555&lt;=efs_yuvarlamaEsik,1,0))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IF(OR($A555="",$B555&lt;&gt;"tutar_farki"),"",IF(ABS($C555-$D555)&lt;=toleransKurus,"KDV_ORAN",IF(ABS($C555-$E555*efs_kdvOran)&lt;=toleransKurus,"MATRAH",IF($F555=1,"YUVARLAMA","TANIMSIZ"))))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IF($A556="","",IF($C556&lt;=efs_yuvarlamaEsik,1,0))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IF(OR($A556="",$B556&lt;&gt;"tutar_farki"),"",IF(ABS($C556-$D556)&lt;=toleransKurus,"KDV_ORAN",IF(ABS($C556-$E556*efs_kdvOran)&lt;=toleransKurus,"MATRAH",IF($F556=1,"YUVARLAMA","TANIMSIZ"))))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IF($A557="","",IF($C557&lt;=efs_yuvarlamaEsik,1,0))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IF(OR($A557="",$B557&lt;&gt;"tutar_farki"),"",IF(ABS($C557-$D557)&lt;=toleransKurus,"KDV_ORAN",IF(ABS($C557-$E557*efs_kdvOran)&lt;=toleransKurus,"MATRAH",IF($F557=1,"YUVARLAMA","TANIMSIZ"))))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IF($A558="","",IF($C558&lt;=efs_yuvarlamaEsik,1,0))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IF(OR($A558="",$B558&lt;&gt;"tutar_farki"),"",IF(ABS($C558-$D558)&lt;=toleransKurus,"KDV_ORAN",IF(ABS($C558-$E558*efs_kdvOran)&lt;=toleransKurus,"MATRAH",IF($F558=1,"YUVARLAMA","TANIMSIZ"))))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IF($A559="","",IF($C559&lt;=efs_yuvarlamaEsik,1,0))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IF(OR($A559="",$B559&lt;&gt;"tutar_farki"),"",IF(ABS($C559-$D559)&lt;=toleransKurus,"KDV_ORAN",IF(ABS($C559-$E559*efs_kdvOran)&lt;=toleransKurus,"MATRAH",IF($F559=1,"YUVARLAMA","TANIMSIZ"))))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IF($A560="","",IF($C560&lt;=efs_yuvarlamaEsik,1,0))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IF(OR($A560="",$B560&lt;&gt;"tutar_farki"),"",IF(ABS($C560-$D560)&lt;=toleransKurus,"KDV_ORAN",IF(ABS($C560-$E560*efs_kdvOran)&lt;=toleransKurus,"MATRAH",IF($F560=1,"YUVARLAMA","TANIMSIZ"))))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IF($A561="","",IF($C561&lt;=efs_yuvarlamaEsik,1,0))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IF(OR($A561="",$B561&lt;&gt;"tutar_farki"),"",IF(ABS($C561-$D561)&lt;=toleransKurus,"KDV_ORAN",IF(ABS($C561-$E561*efs_kdvOran)&lt;=toleransKurus,"MATRAH",IF($F561=1,"YUVARLAMA","TANIMSIZ"))))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IF($A562="","",IF($C562&lt;=efs_yuvarlamaEsik,1,0))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IF(OR($A562="",$B562&lt;&gt;"tutar_farki"),"",IF(ABS($C562-$D562)&lt;=toleransKurus,"KDV_ORAN",IF(ABS($C562-$E562*efs_kdvOran)&lt;=toleransKurus,"MATRAH",IF($F562=1,"YUVARLAMA","TANIMSIZ"))))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IF($A563="","",IF($C563&lt;=efs_yuvarlamaEsik,1,0))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IF(OR($A563="",$B563&lt;&gt;"tutar_farki"),"",IF(ABS($C563-$D563)&lt;=toleransKurus,"KDV_ORAN",IF(ABS($C563-$E563*efs_kdvOran)&lt;=toleransKurus,"MATRAH",IF($F563=1,"YUVARLAMA","TANIMSIZ"))))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IF($A564="","",IF($C564&lt;=efs_yuvarlamaEsik,1,0))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IF(OR($A564="",$B564&lt;&gt;"tutar_farki"),"",IF(ABS($C564-$D564)&lt;=toleransKurus,"KDV_ORAN",IF(ABS($C564-$E564*efs_kdvOran)&lt;=toleransKurus,"MATRAH",IF($F564=1,"YUVARLAMA","TANIMSIZ"))))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IF($A565="","",IF($C565&lt;=efs_yuvarlamaEsik,1,0))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IF(OR($A565="",$B565&lt;&gt;"tutar_farki"),"",IF(ABS($C565-$D565)&lt;=toleransKurus,"KDV_ORAN",IF(ABS($C565-$E565*efs_kdvOran)&lt;=toleransKurus,"MATRAH",IF($F565=1,"YUVARLAMA","TANIMSIZ"))))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IF($A566="","",IF($C566&lt;=efs_yuvarlamaEsik,1,0))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IF(OR($A566="",$B566&lt;&gt;"tutar_farki"),"",IF(ABS($C566-$D566)&lt;=toleransKurus,"KDV_ORAN",IF(ABS($C566-$E566*efs_kdvOran)&lt;=toleransKurus,"MATRAH",IF($F566=1,"YUVARLAMA","TANIMSIZ"))))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IF($A567="","",IF($C567&lt;=efs_yuvarlamaEsik,1,0))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IF(OR($A567="",$B567&lt;&gt;"tutar_farki"),"",IF(ABS($C567-$D567)&lt;=toleransKurus,"KDV_ORAN",IF(ABS($C567-$E567*efs_kdvOran)&lt;=toleransKurus,"MATRAH",IF($F567=1,"YUVARLAMA","TANIMSIZ"))))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IF($A568="","",IF($C568&lt;=efs_yuvarlamaEsik,1,0))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IF(OR($A568="",$B568&lt;&gt;"tutar_farki"),"",IF(ABS($C568-$D568)&lt;=toleransKurus,"KDV_ORAN",IF(ABS($C568-$E568*efs_kdvOran)&lt;=toleransKurus,"MATRAH",IF($F568=1,"YUVARLAMA","TANIMSIZ"))))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IF($A569="","",IF($C569&lt;=efs_yuvarlamaEsik,1,0))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IF(OR($A569="",$B569&lt;&gt;"tutar_farki"),"",IF(ABS($C569-$D569)&lt;=toleransKurus,"KDV_ORAN",IF(ABS($C569-$E569*efs_kdvOran)&lt;=toleransKurus,"MATRAH",IF($F569=1,"YUVARLAMA","TANIMSIZ"))))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IF($A570="","",IF($C570&lt;=efs_yuvarlamaEsik,1,0))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IF(OR($A570="",$B570&lt;&gt;"tutar_farki"),"",IF(ABS($C570-$D570)&lt;=toleransKurus,"KDV_ORAN",IF(ABS($C570-$E570*efs_kdvOran)&lt;=toleransKurus,"MATRAH",IF($F570=1,"YUVARLAMA","TANIMSIZ"))))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IF($A571="","",IF($C571&lt;=efs_yuvarlamaEsik,1,0))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IF(OR($A571="",$B571&lt;&gt;"tutar_farki"),"",IF(ABS($C571-$D571)&lt;=toleransKurus,"KDV_ORAN",IF(ABS($C571-$E571*efs_kdvOran)&lt;=toleransKurus,"MATRAH",IF($F571=1,"YUVARLAMA","TANIMSIZ"))))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IF($A572="","",IF($C572&lt;=efs_yuvarlamaEsik,1,0))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IF(OR($A572="",$B572&lt;&gt;"tutar_farki"),"",IF(ABS($C572-$D572)&lt;=toleransKurus,"KDV_ORAN",IF(ABS($C572-$E572*efs_kdvOran)&lt;=toleransKurus,"MATRAH",IF($F572=1,"YUVARLAMA","TANIMSIZ"))))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IF($A573="","",IF($C573&lt;=efs_yuvarlamaEsik,1,0))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IF(OR($A573="",$B573&lt;&gt;"tutar_farki"),"",IF(ABS($C573-$D573)&lt;=toleransKurus,"KDV_ORAN",IF(ABS($C573-$E573*efs_kdvOran)&lt;=toleransKurus,"MATRAH",IF($F573=1,"YUVARLAMA","TANIMSIZ"))))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IF($A574="","",IF($C574&lt;=efs_yuvarlamaEsik,1,0))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IF(OR($A574="",$B574&lt;&gt;"tutar_farki"),"",IF(ABS($C574-$D574)&lt;=toleransKurus,"KDV_ORAN",IF(ABS($C574-$E574*efs_kdvOran)&lt;=toleransKurus,"MATRAH",IF($F574=1,"YUVARLAMA","TANIMSIZ"))))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IF($A575="","",IF($C575&lt;=efs_yuvarlamaEsik,1,0))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IF(OR($A575="",$B575&lt;&gt;"tutar_farki"),"",IF(ABS($C575-$D575)&lt;=toleransKurus,"KDV_ORAN",IF(ABS($C575-$E575*efs_kdvOran)&lt;=toleransKurus,"MATRAH",IF($F575=1,"YUVARLAMA","TANIMSIZ"))))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IF($A576="","",IF($C576&lt;=efs_yuvarlamaEsik,1,0))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IF(OR($A576="",$B576&lt;&gt;"tutar_farki"),"",IF(ABS($C576-$D576)&lt;=toleransKurus,"KDV_ORAN",IF(ABS($C576-$E576*efs_kdvOran)&lt;=toleransKurus,"MATRAH",IF($F576=1,"YUVARLAMA","TANIMSIZ"))))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IF($A577="","",IF($C577&lt;=efs_yuvarlamaEsik,1,0))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IF(OR($A577="",$B577&lt;&gt;"tutar_farki"),"",IF(ABS($C577-$D577)&lt;=toleransKurus,"KDV_ORAN",IF(ABS($C577-$E577*efs_kdvOran)&lt;=toleransKurus,"MATRAH",IF($F577=1,"YUVARLAMA","TANIMSIZ"))))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IF($A578="","",IF($C578&lt;=efs_yuvarlamaEsik,1,0))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IF(OR($A578="",$B578&lt;&gt;"tutar_farki"),"",IF(ABS($C578-$D578)&lt;=toleransKurus,"KDV_ORAN",IF(ABS($C578-$E578*efs_kdvOran)&lt;=toleransKurus,"MATRAH",IF($F578=1,"YUVARLAMA","TANIMSIZ"))))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IF($A579="","",IF($C579&lt;=efs_yuvarlamaEsik,1,0))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IF(OR($A579="",$B579&lt;&gt;"tutar_farki"),"",IF(ABS($C579-$D579)&lt;=toleransKurus,"KDV_ORAN",IF(ABS($C579-$E579*efs_kdvOran)&lt;=toleransKurus,"MATRAH",IF($F579=1,"YUVARLAMA","TANIMSIZ"))))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IF($A580="","",IF($C580&lt;=efs_yuvarlamaEsik,1,0))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IF(OR($A580="",$B580&lt;&gt;"tutar_farki"),"",IF(ABS($C580-$D580)&lt;=toleransKurus,"KDV_ORAN",IF(ABS($C580-$E580*efs_kdvOran)&lt;=toleransKurus,"MATRAH",IF($F580=1,"YUVARLAMA","TANIMSIZ"))))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IF($A581="","",IF($C581&lt;=efs_yuvarlamaEsik,1,0))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IF(OR($A581="",$B581&lt;&gt;"tutar_farki"),"",IF(ABS($C581-$D581)&lt;=toleransKurus,"KDV_ORAN",IF(ABS($C581-$E581*efs_kdvOran)&lt;=toleransKurus,"MATRAH",IF($F581=1,"YUVARLAMA","TANIMSIZ"))))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IF($A582="","",IF($C582&lt;=efs_yuvarlamaEsik,1,0))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IF(OR($A582="",$B582&lt;&gt;"tutar_farki"),"",IF(ABS($C582-$D582)&lt;=toleransKurus,"KDV_ORAN",IF(ABS($C582-$E582*efs_kdvOran)&lt;=toleransKurus,"MATRAH",IF($F582=1,"YUVARLAMA","TANIMSIZ"))))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IF($A583="","",IF($C583&lt;=efs_yuvarlamaEsik,1,0))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IF(OR($A583="",$B583&lt;&gt;"tutar_farki"),"",IF(ABS($C583-$D583)&lt;=toleransKurus,"KDV_ORAN",IF(ABS($C583-$E583*efs_kdvOran)&lt;=toleransKurus,"MATRAH",IF($F583=1,"YUVARLAMA","TANIMSIZ"))))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IF($A584="","",IF($C584&lt;=efs_yuvarlamaEsik,1,0))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IF(OR($A584="",$B584&lt;&gt;"tutar_farki"),"",IF(ABS($C584-$D584)&lt;=toleransKurus,"KDV_ORAN",IF(ABS($C584-$E584*efs_kdvOran)&lt;=toleransKurus,"MATRAH",IF($F584=1,"YUVARLAMA","TANIMSIZ"))))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IF($A585="","",IF($C585&lt;=efs_yuvarlamaEsik,1,0))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IF(OR($A585="",$B585&lt;&gt;"tutar_farki"),"",IF(ABS($C585-$D585)&lt;=toleransKurus,"KDV_ORAN",IF(ABS($C585-$E585*efs_kdvOran)&lt;=toleransKurus,"MATRAH",IF($F585=1,"YUVARLAMA","TANIMSIZ"))))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IF($A586="","",IF($C586&lt;=efs_yuvarlamaEsik,1,0))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IF(OR($A586="",$B586&lt;&gt;"tutar_farki"),"",IF(ABS($C586-$D586)&lt;=toleransKurus,"KDV_ORAN",IF(ABS($C586-$E586*efs_kdvOran)&lt;=toleransKurus,"MATRAH",IF($F586=1,"YUVARLAMA","TANIMSIZ"))))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IF($A587="","",IF($C587&lt;=efs_yuvarlamaEsik,1,0))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IF(OR($A587="",$B587&lt;&gt;"tutar_farki"),"",IF(ABS($C587-$D587)&lt;=toleransKurus,"KDV_ORAN",IF(ABS($C587-$E587*efs_kdvOran)&lt;=toleransKurus,"MATRAH",IF($F587=1,"YUVARLAMA","TANIMSIZ"))))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IF($A588="","",IF($C588&lt;=efs_yuvarlamaEsik,1,0))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IF(OR($A588="",$B588&lt;&gt;"tutar_farki"),"",IF(ABS($C588-$D588)&lt;=toleransKurus,"KDV_ORAN",IF(ABS($C588-$E588*efs_kdvOran)&lt;=toleransKurus,"MATRAH",IF($F588=1,"YUVARLAMA","TANIMSIZ"))))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IF($A589="","",IF($C589&lt;=efs_yuvarlamaEsik,1,0))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IF(OR($A589="",$B589&lt;&gt;"tutar_farki"),"",IF(ABS($C589-$D589)&lt;=toleransKurus,"KDV_ORAN",IF(ABS($C589-$E589*efs_kdvOran)&lt;=toleransKurus,"MATRAH",IF($F589=1,"YUVARLAMA","TANIMSIZ"))))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IF($A590="","",IF($C590&lt;=efs_yuvarlamaEsik,1,0))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IF(OR($A590="",$B590&lt;&gt;"tutar_farki"),"",IF(ABS($C590-$D590)&lt;=toleransKurus,"KDV_ORAN",IF(ABS($C590-$E590*efs_kdvOran)&lt;=toleransKurus,"MATRAH",IF($F590=1,"YUVARLAMA","TANIMSIZ"))))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IF($A591="","",IF($C591&lt;=efs_yuvarlamaEsik,1,0))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IF(OR($A591="",$B591&lt;&gt;"tutar_farki"),"",IF(ABS($C591-$D591)&lt;=toleransKurus,"KDV_ORAN",IF(ABS($C591-$E591*efs_kdvOran)&lt;=toleransKurus,"MATRAH",IF($F591=1,"YUVARLAMA","TANIMSIZ"))))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IF($A592="","",IF($C592&lt;=efs_yuvarlamaEsik,1,0))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IF(OR($A592="",$B592&lt;&gt;"tutar_farki"),"",IF(ABS($C592-$D592)&lt;=toleransKurus,"KDV_ORAN",IF(ABS($C592-$E592*efs_kdvOran)&lt;=toleransKurus,"MATRAH",IF($F592=1,"YUVARLAMA","TANIMSIZ"))))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IF($A593="","",IF($C593&lt;=efs_yuvarlamaEsik,1,0))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IF(OR($A593="",$B593&lt;&gt;"tutar_farki"),"",IF(ABS($C593-$D593)&lt;=toleransKurus,"KDV_ORAN",IF(ABS($C593-$E593*efs_kdvOran)&lt;=toleransKurus,"MATRAH",IF($F593=1,"YUVARLAMA","TANIMSIZ"))))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IF($A594="","",IF($C594&lt;=efs_yuvarlamaEsik,1,0))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IF(OR($A594="",$B594&lt;&gt;"tutar_farki"),"",IF(ABS($C594-$D594)&lt;=toleransKurus,"KDV_ORAN",IF(ABS($C594-$E594*efs_kdvOran)&lt;=toleransKurus,"MATRAH",IF($F594=1,"YUVARLAMA","TANIMSIZ"))))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IF($A595="","",IF($C595&lt;=efs_yuvarlamaEsik,1,0))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IF(OR($A595="",$B595&lt;&gt;"tutar_farki"),"",IF(ABS($C595-$D595)&lt;=toleransKurus,"KDV_ORAN",IF(ABS($C595-$E595*efs_kdvOran)&lt;=toleransKurus,"MATRAH",IF($F595=1,"YUVARLAMA","TANIMSIZ"))))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IF($A596="","",IF($C596&lt;=efs_yuvarlamaEsik,1,0))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IF(OR($A596="",$B596&lt;&gt;"tutar_farki"),"",IF(ABS($C596-$D596)&lt;=toleransKurus,"KDV_ORAN",IF(ABS($C596-$E596*efs_kdvOran)&lt;=toleransKurus,"MATRAH",IF($F596=1,"YUVARLAMA","TANIMSIZ"))))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IF($A597="","",IF($C597&lt;=efs_yuvarlamaEsik,1,0))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IF(OR($A597="",$B597&lt;&gt;"tutar_farki"),"",IF(ABS($C597-$D597)&lt;=toleransKurus,"KDV_ORAN",IF(ABS($C597-$E597*efs_kdvOran)&lt;=toleransKurus,"MATRAH",IF($F597=1,"YUVARLAMA","TANIMSIZ"))))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IF($A598="","",IF($C598&lt;=efs_yuvarlamaEsik,1,0))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IF(OR($A598="",$B598&lt;&gt;"tutar_farki"),"",IF(ABS($C598-$D598)&lt;=toleransKurus,"KDV_ORAN",IF(ABS($C598-$E598*efs_kdvOran)&lt;=toleransKurus,"MATRAH",IF($F598=1,"YUVARLAMA","TANIMSIZ"))))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IF($A599="","",IF($C599&lt;=efs_yuvarlamaEsik,1,0))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IF(OR($A599="",$B599&lt;&gt;"tutar_farki"),"",IF(ABS($C599-$D599)&lt;=toleransKurus,"KDV_ORAN",IF(ABS($C599-$E599*efs_kdvOran)&lt;=toleransKurus,"MATRAH",IF($F599=1,"YUVARLAMA","TANIMSIZ"))))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IF($A600="","",IF($C600&lt;=efs_yuvarlamaEsik,1,0))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IF(OR($A600="",$B600&lt;&gt;"tutar_farki"),"",IF(ABS($C600-$D600)&lt;=toleransKurus,"KDV_ORAN",IF(ABS($C600-$E600*efs_kdvOran)&lt;=toleransKurus,"MATRAH",IF($F600=1,"YUVARLAMA","TANIMSIZ"))))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IF($A601="","",IF($C601&lt;=efs_yuvarlamaEsik,1,0))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IF(OR($A601="",$B601&lt;&gt;"tutar_farki"),"",IF(ABS($C601-$D601)&lt;=toleransKurus,"KDV_ORAN",IF(ABS($C601-$E601*efs_kdvOran)&lt;=toleransKurus,"MATRAH",IF($F601=1,"YUVARLAMA","TANIMSIZ"))))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IF($A602="","",IF($C602&lt;=efs_yuvarlamaEsik,1,0))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IF(OR($A602="",$B602&lt;&gt;"tutar_farki"),"",IF(ABS($C602-$D602)&lt;=toleransKurus,"KDV_ORAN",IF(ABS($C602-$E602*efs_kdvOran)&lt;=toleransKurus,"MATRAH",IF($F602=1,"YUVARLAMA","TANIMSIZ"))))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IF($A603="","",IF($C603&lt;=efs_yuvarlamaEsik,1,0))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IF(OR($A603="",$B603&lt;&gt;"tutar_farki"),"",IF(ABS($C603-$D603)&lt;=toleransKurus,"KDV_ORAN",IF(ABS($C603-$E603*efs_kdvOran)&lt;=toleransKurus,"MATRAH",IF($F603=1,"YUVARLAMA","TANIMSIZ"))))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IF($A604="","",IF($C604&lt;=efs_yuvarlamaEsik,1,0))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IF(OR($A604="",$B604&lt;&gt;"tutar_farki"),"",IF(ABS($C604-$D604)&lt;=toleransKurus,"KDV_ORAN",IF(ABS($C604-$E604*efs_kdvOran)&lt;=toleransKurus,"MATRAH",IF($F604=1,"YUVARLAMA","TANIMSIZ"))))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IF($A605="","",IF($C605&lt;=efs_yuvarlamaEsik,1,0))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IF(OR($A605="",$B605&lt;&gt;"tutar_farki"),"",IF(ABS($C605-$D605)&lt;=toleransKurus,"KDV_ORAN",IF(ABS($C605-$E605*efs_kdvOran)&lt;=toleransKurus,"MATRAH",IF($F605=1,"YUVARLAMA","TANIMSIZ"))))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IF($A606="","",IF($C606&lt;=efs_yuvarlamaEsik,1,0))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IF(OR($A606="",$B606&lt;&gt;"tutar_farki"),"",IF(ABS($C606-$D606)&lt;=toleransKurus,"KDV_ORAN",IF(ABS($C606-$E606*efs_kdvOran)&lt;=toleransKurus,"MATRAH",IF($F606=1,"YUVARLAMA","TANIMSIZ"))))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IF($A607="","",IF($C607&lt;=efs_yuvarlamaEsik,1,0))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IF(OR($A607="",$B607&lt;&gt;"tutar_farki"),"",IF(ABS($C607-$D607)&lt;=toleransKurus,"KDV_ORAN",IF(ABS($C607-$E607*efs_kdvOran)&lt;=toleransKurus,"MATRAH",IF($F607=1,"YUVARLAMA","TANIMSIZ"))))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IF($A608="","",IF($C608&lt;=efs_yuvarlamaEsik,1,0))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IF(OR($A608="",$B608&lt;&gt;"tutar_farki"),"",IF(ABS($C608-$D608)&lt;=toleransKurus,"KDV_ORAN",IF(ABS($C608-$E608*efs_kdvOran)&lt;=toleransKurus,"MATRAH",IF($F608=1,"YUVARLAMA","TANIMSIZ"))))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IF($A609="","",IF($C609&lt;=efs_yuvarlamaEsik,1,0))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IF(OR($A609="",$B609&lt;&gt;"tutar_farki"),"",IF(ABS($C609-$D609)&lt;=toleransKurus,"KDV_ORAN",IF(ABS($C609-$E609*efs_kdvOran)&lt;=toleransKurus,"MATRAH",IF($F609=1,"YUVARLAMA","TANIMSIZ"))))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IF($A610="","",IF($C610&lt;=efs_yuvarlamaEsik,1,0))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IF(OR($A610="",$B610&lt;&gt;"tutar_farki"),"",IF(ABS($C610-$D610)&lt;=toleransKurus,"KDV_ORAN",IF(ABS($C610-$E610*efs_kdvOran)&lt;=toleransKurus,"MATRAH",IF($F610=1,"YUVARLAMA","TANIMSIZ"))))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IF($A611="","",IF($C611&lt;=efs_yuvarlamaEsik,1,0))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IF(OR($A611="",$B611&lt;&gt;"tutar_farki"),"",IF(ABS($C611-$D611)&lt;=toleransKurus,"KDV_ORAN",IF(ABS($C611-$E611*efs_kdvOran)&lt;=toleransKurus,"MATRAH",IF($F611=1,"YUVARLAMA","TANIMSIZ"))))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IF($A612="","",IF($C612&lt;=efs_yuvarlamaEsik,1,0))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IF(OR($A612="",$B612&lt;&gt;"tutar_farki"),"",IF(ABS($C612-$D612)&lt;=toleransKurus,"KDV_ORAN",IF(ABS($C612-$E612*efs_kdvOran)&lt;=toleransKurus,"MATRAH",IF($F612=1,"YUVARLAMA","TANIMSIZ"))))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IF($A613="","",IF($C613&lt;=efs_yuvarlamaEsik,1,0))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IF(OR($A613="",$B613&lt;&gt;"tutar_farki"),"",IF(ABS($C613-$D613)&lt;=toleransKurus,"KDV_ORAN",IF(ABS($C613-$E613*efs_kdvOran)&lt;=toleransKurus,"MATRAH",IF($F613=1,"YUVARLAMA","TANIMSIZ"))))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IF($A614="","",IF($C614&lt;=efs_yuvarlamaEsik,1,0))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IF(OR($A614="",$B614&lt;&gt;"tutar_farki"),"",IF(ABS($C614-$D614)&lt;=toleransKurus,"KDV_ORAN",IF(ABS($C614-$E614*efs_kdvOran)&lt;=toleransKurus,"MATRAH",IF($F614=1,"YUVARLAMA","TANIMSIZ"))))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IF($A615="","",IF($C615&lt;=efs_yuvarlamaEsik,1,0))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IF(OR($A615="",$B615&lt;&gt;"tutar_farki"),"",IF(ABS($C615-$D615)&lt;=toleransKurus,"KDV_ORAN",IF(ABS($C615-$E615*efs_kdvOran)&lt;=toleransKurus,"MATRAH",IF($F615=1,"YUVARLAMA","TANIMSIZ"))))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IF($A616="","",IF($C616&lt;=efs_yuvarlamaEsik,1,0))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IF(OR($A616="",$B616&lt;&gt;"tutar_farki"),"",IF(ABS($C616-$D616)&lt;=toleransKurus,"KDV_ORAN",IF(ABS($C616-$E616*efs_kdvOran)&lt;=toleransKurus,"MATRAH",IF($F616=1,"YUVARLAMA","TANIMSIZ"))))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IF($A617="","",IF($C617&lt;=efs_yuvarlamaEsik,1,0))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IF(OR($A617="",$B617&lt;&gt;"tutar_farki"),"",IF(ABS($C617-$D617)&lt;=toleransKurus,"KDV_ORAN",IF(ABS($C617-$E617*efs_kdvOran)&lt;=toleransKurus,"MATRAH",IF($F617=1,"YUVARLAMA","TANIMSIZ"))))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IF($A618="","",IF($C618&lt;=efs_yuvarlamaEsik,1,0))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IF(OR($A618="",$B618&lt;&gt;"tutar_farki"),"",IF(ABS($C618-$D618)&lt;=toleransKurus,"KDV_ORAN",IF(ABS($C618-$E618*efs_kdvOran)&lt;=toleransKurus,"MATRAH",IF($F618=1,"YUVARLAMA","TANIMSIZ"))))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IF($A619="","",IF($C619&lt;=efs_yuvarlamaEsik,1,0))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IF(OR($A619="",$B619&lt;&gt;"tutar_farki"),"",IF(ABS($C619-$D619)&lt;=toleransKurus,"KDV_ORAN",IF(ABS($C619-$E619*efs_kdvOran)&lt;=toleransKurus,"MATRAH",IF($F619=1,"YUVARLAMA","TANIMSIZ"))))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IF($A620="","",IF($C620&lt;=efs_yuvarlamaEsik,1,0))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IF(OR($A620="",$B620&lt;&gt;"tutar_farki"),"",IF(ABS($C620-$D620)&lt;=toleransKurus,"KDV_ORAN",IF(ABS($C620-$E620*efs_kdvOran)&lt;=toleransKurus,"MATRAH",IF($F620=1,"YUVARLAMA","TANIMSIZ"))))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IF($A621="","",IF($C621&lt;=efs_yuvarlamaEsik,1,0))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IF(OR($A621="",$B621&lt;&gt;"tutar_farki"),"",IF(ABS($C621-$D621)&lt;=toleransKurus,"KDV_ORAN",IF(ABS($C621-$E621*efs_kdvOran)&lt;=toleransKurus,"MATRAH",IF($F621=1,"YUVARLAMA","TANIMSIZ"))))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IF($A622="","",IF($C622&lt;=efs_yuvarlamaEsik,1,0))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IF(OR($A622="",$B622&lt;&gt;"tutar_farki"),"",IF(ABS($C622-$D622)&lt;=toleransKurus,"KDV_ORAN",IF(ABS($C622-$E622*efs_kdvOran)&lt;=toleransKurus,"MATRAH",IF($F622=1,"YUVARLAMA","TANIMSIZ"))))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IF($A623="","",IF($C623&lt;=efs_yuvarlamaEsik,1,0))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IF(OR($A623="",$B623&lt;&gt;"tutar_farki"),"",IF(ABS($C623-$D623)&lt;=toleransKurus,"KDV_ORAN",IF(ABS($C623-$E623*efs_kdvOran)&lt;=toleransKurus,"MATRAH",IF($F623=1,"YUVARLAMA","TANIMSIZ"))))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IF($A624="","",IF($C624&lt;=efs_yuvarlamaEsik,1,0))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IF(OR($A624="",$B624&lt;&gt;"tutar_farki"),"",IF(ABS($C624-$D624)&lt;=toleransKurus,"KDV_ORAN",IF(ABS($C624-$E624*efs_kdvOran)&lt;=toleransKurus,"MATRAH",IF($F624=1,"YUVARLAMA","TANIMSIZ"))))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IF($A625="","",IF($C625&lt;=efs_yuvarlamaEsik,1,0))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IF(OR($A625="",$B625&lt;&gt;"tutar_farki"),"",IF(ABS($C625-$D625)&lt;=toleransKurus,"KDV_ORAN",IF(ABS($C625-$E625*efs_kdvOran)&lt;=toleransKurus,"MATRAH",IF($F625=1,"YUVARLAMA","TANIMSIZ"))))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IF($A626="","",IF($C626&lt;=efs_yuvarlamaEsik,1,0))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IF(OR($A626="",$B626&lt;&gt;"tutar_farki"),"",IF(ABS($C626-$D626)&lt;=toleransKurus,"KDV_ORAN",IF(ABS($C626-$E626*efs_kdvOran)&lt;=toleransKurus,"MATRAH",IF($F626=1,"YUVARLAMA","TANIMSIZ"))))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IF($A627="","",IF($C627&lt;=efs_yuvarlamaEsik,1,0))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IF(OR($A627="",$B627&lt;&gt;"tutar_farki"),"",IF(ABS($C627-$D627)&lt;=toleransKurus,"KDV_ORAN",IF(ABS($C627-$E627*efs_kdvOran)&lt;=toleransKurus,"MATRAH",IF($F627=1,"YUVARLAMA","TANIMSIZ"))))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IF($A628="","",IF($C628&lt;=efs_yuvarlamaEsik,1,0))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IF(OR($A628="",$B628&lt;&gt;"tutar_farki"),"",IF(ABS($C628-$D628)&lt;=toleransKurus,"KDV_ORAN",IF(ABS($C628-$E628*efs_kdvOran)&lt;=toleransKurus,"MATRAH",IF($F628=1,"YUVARLAMA","TANIMSIZ"))))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IF($A629="","",IF($C629&lt;=efs_yuvarlamaEsik,1,0))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IF(OR($A629="",$B629&lt;&gt;"tutar_farki"),"",IF(ABS($C629-$D629)&lt;=toleransKurus,"KDV_ORAN",IF(ABS($C629-$E629*efs_kdvOran)&lt;=toleransKurus,"MATRAH",IF($F629=1,"YUVARLAMA","TANIMSIZ"))))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IF($A630="","",IF($C630&lt;=efs_yuvarlamaEsik,1,0))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IF(OR($A630="",$B630&lt;&gt;"tutar_farki"),"",IF(ABS($C630-$D630)&lt;=toleransKurus,"KDV_ORAN",IF(ABS($C630-$E630*efs_kdvOran)&lt;=toleransKurus,"MATRAH",IF($F630=1,"YUVARLAMA","TANIMSIZ"))))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IF($A631="","",IF($C631&lt;=efs_yuvarlamaEsik,1,0))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IF(OR($A631="",$B631&lt;&gt;"tutar_farki"),"",IF(ABS($C631-$D631)&lt;=toleransKurus,"KDV_ORAN",IF(ABS($C631-$E631*efs_kdvOran)&lt;=toleransKurus,"MATRAH",IF($F631=1,"YUVARLAMA","TANIMSIZ"))))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IF($A632="","",IF($C632&lt;=efs_yuvarlamaEsik,1,0))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IF(OR($A632="",$B632&lt;&gt;"tutar_farki"),"",IF(ABS($C632-$D632)&lt;=toleransKurus,"KDV_ORAN",IF(ABS($C632-$E632*efs_kdvOran)&lt;=toleransKurus,"MATRAH",IF($F632=1,"YUVARLAMA","TANIMSIZ"))))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IF($A633="","",IF($C633&lt;=efs_yuvarlamaEsik,1,0))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IF(OR($A633="",$B633&lt;&gt;"tutar_farki"),"",IF(ABS($C633-$D633)&lt;=toleransKurus,"KDV_ORAN",IF(ABS($C633-$E633*efs_kdvOran)&lt;=toleransKurus,"MATRAH",IF($F633=1,"YUVARLAMA","TANIMSIZ"))))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IF($A634="","",IF($C634&lt;=efs_yuvarlamaEsik,1,0))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IF(OR($A634="",$B634&lt;&gt;"tutar_farki"),"",IF(ABS($C634-$D634)&lt;=toleransKurus,"KDV_ORAN",IF(ABS($C634-$E634*efs_kdvOran)&lt;=toleransKurus,"MATRAH",IF($F634=1,"YUVARLAMA","TANIMSIZ"))))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IF($A635="","",IF($C635&lt;=efs_yuvarlamaEsik,1,0))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IF(OR($A635="",$B635&lt;&gt;"tutar_farki"),"",IF(ABS($C635-$D635)&lt;=toleransKurus,"KDV_ORAN",IF(ABS($C635-$E635*efs_kdvOran)&lt;=toleransKurus,"MATRAH",IF($F635=1,"YUVARLAMA","TANIMSIZ"))))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IF($A636="","",IF($C636&lt;=efs_yuvarlamaEsik,1,0))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IF(OR($A636="",$B636&lt;&gt;"tutar_farki"),"",IF(ABS($C636-$D636)&lt;=toleransKurus,"KDV_ORAN",IF(ABS($C636-$E636*efs_kdvOran)&lt;=toleransKurus,"MATRAH",IF($F636=1,"YUVARLAMA","TANIMSIZ"))))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IF($A637="","",IF($C637&lt;=efs_yuvarlamaEsik,1,0))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IF(OR($A637="",$B637&lt;&gt;"tutar_farki"),"",IF(ABS($C637-$D637)&lt;=toleransKurus,"KDV_ORAN",IF(ABS($C637-$E637*efs_kdvOran)&lt;=toleransKurus,"MATRAH",IF($F637=1,"YUVARLAMA","TANIMSIZ"))))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IF($A638="","",IF($C638&lt;=efs_yuvarlamaEsik,1,0))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IF(OR($A638="",$B638&lt;&gt;"tutar_farki"),"",IF(ABS($C638-$D638)&lt;=toleransKurus,"KDV_ORAN",IF(ABS($C638-$E638*efs_kdvOran)&lt;=toleransKurus,"MATRAH",IF($F638=1,"YUVARLAMA","TANIMSIZ"))))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IF($A639="","",IF($C639&lt;=efs_yuvarlamaEsik,1,0))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IF(OR($A639="",$B639&lt;&gt;"tutar_farki"),"",IF(ABS($C639-$D639)&lt;=toleransKurus,"KDV_ORAN",IF(ABS($C639-$E639*efs_kdvOran)&lt;=toleransKurus,"MATRAH",IF($F639=1,"YUVARLAMA","TANIMSIZ"))))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IF($A640="","",IF($C640&lt;=efs_yuvarlamaEsik,1,0))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IF(OR($A640="",$B640&lt;&gt;"tutar_farki"),"",IF(ABS($C640-$D640)&lt;=toleransKurus,"KDV_ORAN",IF(ABS($C640-$E640*efs_kdvOran)&lt;=toleransKurus,"MATRAH",IF($F640=1,"YUVARLAMA","TANIMSIZ"))))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IF($A641="","",IF($C641&lt;=efs_yuvarlamaEsik,1,0))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IF(OR($A641="",$B641&lt;&gt;"tutar_farki"),"",IF(ABS($C641-$D641)&lt;=toleransKurus,"KDV_ORAN",IF(ABS($C641-$E641*efs_kdvOran)&lt;=toleransKurus,"MATRAH",IF($F641=1,"YUVARLAMA","TANIMSIZ"))))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IF($A642="","",IF($C642&lt;=efs_yuvarlamaEsik,1,0))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IF(OR($A642="",$B642&lt;&gt;"tutar_farki"),"",IF(ABS($C642-$D642)&lt;=toleransKurus,"KDV_ORAN",IF(ABS($C642-$E642*efs_kdvOran)&lt;=toleransKurus,"MATRAH",IF($F642=1,"YUVARLAMA","TANIMSIZ"))))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IF($A643="","",IF($C643&lt;=efs_yuvarlamaEsik,1,0))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IF(OR($A643="",$B643&lt;&gt;"tutar_farki"),"",IF(ABS($C643-$D643)&lt;=toleransKurus,"KDV_ORAN",IF(ABS($C643-$E643*efs_kdvOran)&lt;=toleransKurus,"MATRAH",IF($F643=1,"YUVARLAMA","TANIMSIZ"))))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IF($A644="","",IF($C644&lt;=efs_yuvarlamaEsik,1,0))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IF(OR($A644="",$B644&lt;&gt;"tutar_farki"),"",IF(ABS($C644-$D644)&lt;=toleransKurus,"KDV_ORAN",IF(ABS($C644-$E644*efs_kdvOran)&lt;=toleransKurus,"MATRAH",IF($F644=1,"YUVARLAMA","TANIMSIZ"))))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IF($A645="","",IF($C645&lt;=efs_yuvarlamaEsik,1,0))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IF(OR($A645="",$B645&lt;&gt;"tutar_farki"),"",IF(ABS($C645-$D645)&lt;=toleransKurus,"KDV_ORAN",IF(ABS($C645-$E645*efs_kdvOran)&lt;=toleransKurus,"MATRAH",IF($F645=1,"YUVARLAMA","TANIMSIZ"))))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IF($A646="","",IF($C646&lt;=efs_yuvarlamaEsik,1,0))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IF(OR($A646="",$B646&lt;&gt;"tutar_farki"),"",IF(ABS($C646-$D646)&lt;=toleransKurus,"KDV_ORAN",IF(ABS($C646-$E646*efs_kdvOran)&lt;=toleransKurus,"MATRAH",IF($F646=1,"YUVARLAMA","TANIMSIZ"))))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IF($A647="","",IF($C647&lt;=efs_yuvarlamaEsik,1,0))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IF(OR($A647="",$B647&lt;&gt;"tutar_farki"),"",IF(ABS($C647-$D647)&lt;=toleransKurus,"KDV_ORAN",IF(ABS($C647-$E647*efs_kdvOran)&lt;=toleransKurus,"MATRAH",IF($F647=1,"YUVARLAMA","TANIMSIZ"))))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IF($A648="","",IF($C648&lt;=efs_yuvarlamaEsik,1,0))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IF(OR($A648="",$B648&lt;&gt;"tutar_farki"),"",IF(ABS($C648-$D648)&lt;=toleransKurus,"KDV_ORAN",IF(ABS($C648-$E648*efs_kdvOran)&lt;=toleransKurus,"MATRAH",IF($F648=1,"YUVARLAMA","TANIMSIZ"))))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IF($A649="","",IF($C649&lt;=efs_yuvarlamaEsik,1,0))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IF(OR($A649="",$B649&lt;&gt;"tutar_farki"),"",IF(ABS($C649-$D649)&lt;=toleransKurus,"KDV_ORAN",IF(ABS($C649-$E649*efs_kdvOran)&lt;=toleransKurus,"MATRAH",IF($F649=1,"YUVARLAMA","TANIMSIZ"))))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IF($A650="","",IF($C650&lt;=efs_yuvarlamaEsik,1,0))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IF(OR($A650="",$B650&lt;&gt;"tutar_farki"),"",IF(ABS($C650-$D650)&lt;=toleransKurus,"KDV_ORAN",IF(ABS($C650-$E650*efs_kdvOran)&lt;=toleransKurus,"MATRAH",IF($F650=1,"YUVARLAMA","TANIMSIZ"))))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IF($A651="","",IF($C651&lt;=efs_yuvarlamaEsik,1,0))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IF(OR($A651="",$B651&lt;&gt;"tutar_farki"),"",IF(ABS($C651-$D651)&lt;=toleransKurus,"KDV_ORAN",IF(ABS($C651-$E651*efs_kdvOran)&lt;=toleransKurus,"MATRAH",IF($F651=1,"YUVARLAMA","TANIMSIZ"))))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IF($A652="","",IF($C652&lt;=efs_yuvarlamaEsik,1,0))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IF(OR($A652="",$B652&lt;&gt;"tutar_farki"),"",IF(ABS($C652-$D652)&lt;=toleransKurus,"KDV_ORAN",IF(ABS($C652-$E652*efs_kdvOran)&lt;=toleransKurus,"MATRAH",IF($F652=1,"YUVARLAMA","TANIMSIZ"))))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IF($A653="","",IF($C653&lt;=efs_yuvarlamaEsik,1,0))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IF(OR($A653="",$B653&lt;&gt;"tutar_farki"),"",IF(ABS($C653-$D653)&lt;=toleransKurus,"KDV_ORAN",IF(ABS($C653-$E653*efs_kdvOran)&lt;=toleransKurus,"MATRAH",IF($F653=1,"YUVARLAMA","TANIMSIZ"))))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IF($A654="","",IF($C654&lt;=efs_yuvarlamaEsik,1,0))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IF(OR($A654="",$B654&lt;&gt;"tutar_farki"),"",IF(ABS($C654-$D654)&lt;=toleransKurus,"KDV_ORAN",IF(ABS($C654-$E654*efs_kdvOran)&lt;=toleransKurus,"MATRAH",IF($F654=1,"YUVARLAMA","TANIMSIZ"))))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IF($A655="","",IF($C655&lt;=efs_yuvarlamaEsik,1,0))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IF(OR($A655="",$B655&lt;&gt;"tutar_farki"),"",IF(ABS($C655-$D655)&lt;=toleransKurus,"KDV_ORAN",IF(ABS($C655-$E655*efs_kdvOran)&lt;=toleransKurus,"MATRAH",IF($F655=1,"YUVARLAMA","TANIMSIZ"))))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IF($A656="","",IF($C656&lt;=efs_yuvarlamaEsik,1,0))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IF(OR($A656="",$B656&lt;&gt;"tutar_farki"),"",IF(ABS($C656-$D656)&lt;=toleransKurus,"KDV_ORAN",IF(ABS($C656-$E656*efs_kdvOran)&lt;=toleransKurus,"MATRAH",IF($F656=1,"YUVARLAMA","TANIMSIZ"))))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IF($A657="","",IF($C657&lt;=efs_yuvarlamaEsik,1,0))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IF(OR($A657="",$B657&lt;&gt;"tutar_farki"),"",IF(ABS($C657-$D657)&lt;=toleransKurus,"KDV_ORAN",IF(ABS($C657-$E657*efs_kdvOran)&lt;=toleransKurus,"MATRAH",IF($F657=1,"YUVARLAMA","TANIMSIZ"))))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IF($A658="","",IF($C658&lt;=efs_yuvarlamaEsik,1,0))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IF(OR($A658="",$B658&lt;&gt;"tutar_farki"),"",IF(ABS($C658-$D658)&lt;=toleransKurus,"KDV_ORAN",IF(ABS($C658-$E658*efs_kdvOran)&lt;=toleransKurus,"MATRAH",IF($F658=1,"YUVARLAMA","TANIMSIZ"))))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IF($A659="","",IF($C659&lt;=efs_yuvarlamaEsik,1,0))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IF(OR($A659="",$B659&lt;&gt;"tutar_farki"),"",IF(ABS($C659-$D659)&lt;=toleransKurus,"KDV_ORAN",IF(ABS($C659-$E659*efs_kdvOran)&lt;=toleransKurus,"MATRAH",IF($F659=1,"YUVARLAMA","TANIMSIZ"))))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IF($A660="","",IF($C660&lt;=efs_yuvarlamaEsik,1,0))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IF(OR($A660="",$B660&lt;&gt;"tutar_farki"),"",IF(ABS($C660-$D660)&lt;=toleransKurus,"KDV_ORAN",IF(ABS($C660-$E660*efs_kdvOran)&lt;=toleransKurus,"MATRAH",IF($F660=1,"YUVARLAMA","TANIMSIZ"))))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IF($A661="","",IF($C661&lt;=efs_yuvarlamaEsik,1,0))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IF(OR($A661="",$B661&lt;&gt;"tutar_farki"),"",IF(ABS($C661-$D661)&lt;=toleransKurus,"KDV_ORAN",IF(ABS($C661-$E661*efs_kdvOran)&lt;=toleransKurus,"MATRAH",IF($F661=1,"YUVARLAMA","TANIMSIZ"))))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IF($A662="","",IF($C662&lt;=efs_yuvarlamaEsik,1,0))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IF(OR($A662="",$B662&lt;&gt;"tutar_farki"),"",IF(ABS($C662-$D662)&lt;=toleransKurus,"KDV_ORAN",IF(ABS($C662-$E662*efs_kdvOran)&lt;=toleransKurus,"MATRAH",IF($F662=1,"YUVARLAMA","TANIMSIZ"))))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IF($A663="","",IF($C663&lt;=efs_yuvarlamaEsik,1,0))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IF(OR($A663="",$B663&lt;&gt;"tutar_farki"),"",IF(ABS($C663-$D663)&lt;=toleransKurus,"KDV_ORAN",IF(ABS($C663-$E663*efs_kdvOran)&lt;=toleransKurus,"MATRAH",IF($F663=1,"YUVARLAMA","TANIMSIZ"))))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IF($A664="","",IF($C664&lt;=efs_yuvarlamaEsik,1,0))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IF(OR($A664="",$B664&lt;&gt;"tutar_farki"),"",IF(ABS($C664-$D664)&lt;=toleransKurus,"KDV_ORAN",IF(ABS($C664-$E664*efs_kdvOran)&lt;=toleransKurus,"MATRAH",IF($F664=1,"YUVARLAMA","TANIMSIZ"))))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IF($A665="","",IF($C665&lt;=efs_yuvarlamaEsik,1,0))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IF(OR($A665="",$B665&lt;&gt;"tutar_farki"),"",IF(ABS($C665-$D665)&lt;=toleransKurus,"KDV_ORAN",IF(ABS($C665-$E665*efs_kdvOran)&lt;=toleransKurus,"MATRAH",IF($F665=1,"YUVARLAMA","TANIMSIZ"))))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IF($A666="","",IF($C666&lt;=efs_yuvarlamaEsik,1,0))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IF(OR($A666="",$B666&lt;&gt;"tutar_farki"),"",IF(ABS($C666-$D666)&lt;=toleransKurus,"KDV_ORAN",IF(ABS($C666-$E666*efs_kdvOran)&lt;=toleransKurus,"MATRAH",IF($F666=1,"YUVARLAMA","TANIMSIZ"))))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IF($A667="","",IF($C667&lt;=efs_yuvarlamaEsik,1,0))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IF(OR($A667="",$B667&lt;&gt;"tutar_farki"),"",IF(ABS($C667-$D667)&lt;=toleransKurus,"KDV_ORAN",IF(ABS($C667-$E667*efs_kdvOran)&lt;=toleransKurus,"MATRAH",IF($F667=1,"YUVARLAMA","TANIMSIZ"))))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IF($A668="","",IF($C668&lt;=efs_yuvarlamaEsik,1,0))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IF(OR($A668="",$B668&lt;&gt;"tutar_farki"),"",IF(ABS($C668-$D668)&lt;=toleransKurus,"KDV_ORAN",IF(ABS($C668-$E668*efs_kdvOran)&lt;=toleransKurus,"MATRAH",IF($F668=1,"YUVARLAMA","TANIMSIZ"))))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IF($A669="","",IF($C669&lt;=efs_yuvarlamaEsik,1,0))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IF(OR($A669="",$B669&lt;&gt;"tutar_farki"),"",IF(ABS($C669-$D669)&lt;=toleransKurus,"KDV_ORAN",IF(ABS($C669-$E669*efs_kdvOran)&lt;=toleransKurus,"MATRAH",IF($F669=1,"YUVARLAMA","TANIMSIZ"))))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IF($A670="","",IF($C670&lt;=efs_yuvarlamaEsik,1,0))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IF(OR($A670="",$B670&lt;&gt;"tutar_farki"),"",IF(ABS($C670-$D670)&lt;=toleransKurus,"KDV_ORAN",IF(ABS($C670-$E670*efs_kdvOran)&lt;=toleransKurus,"MATRAH",IF($F670=1,"YUVARLAMA","TANIMSIZ"))))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IF($A671="","",IF($C671&lt;=efs_yuvarlamaEsik,1,0))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IF(OR($A671="",$B671&lt;&gt;"tutar_farki"),"",IF(ABS($C671-$D671)&lt;=toleransKurus,"KDV_ORAN",IF(ABS($C671-$E671*efs_kdvOran)&lt;=toleransKurus,"MATRAH",IF($F671=1,"YUVARLAMA","TANIMSIZ"))))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IF($A672="","",IF($C672&lt;=efs_yuvarlamaEsik,1,0))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IF(OR($A672="",$B672&lt;&gt;"tutar_farki"),"",IF(ABS($C672-$D672)&lt;=toleransKurus,"KDV_ORAN",IF(ABS($C672-$E672*efs_kdvOran)&lt;=toleransKurus,"MATRAH",IF($F672=1,"YUVARLAMA","TANIMSIZ"))))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IF($A673="","",IF($C673&lt;=efs_yuvarlamaEsik,1,0))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IF(OR($A673="",$B673&lt;&gt;"tutar_farki"),"",IF(ABS($C673-$D673)&lt;=toleransKurus,"KDV_ORAN",IF(ABS($C673-$E673*efs_kdvOran)&lt;=toleransKurus,"MATRAH",IF($F673=1,"YUVARLAMA","TANIMSIZ"))))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IF($A674="","",IF($C674&lt;=efs_yuvarlamaEsik,1,0))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IF(OR($A674="",$B674&lt;&gt;"tutar_farki"),"",IF(ABS($C674-$D674)&lt;=toleransKurus,"KDV_ORAN",IF(ABS($C674-$E674*efs_kdvOran)&lt;=toleransKurus,"MATRAH",IF($F674=1,"YUVARLAMA","TANIMSIZ"))))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IF($A675="","",IF($C675&lt;=efs_yuvarlamaEsik,1,0))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IF(OR($A675="",$B675&lt;&gt;"tutar_farki"),"",IF(ABS($C675-$D675)&lt;=toleransKurus,"KDV_ORAN",IF(ABS($C675-$E675*efs_kdvOran)&lt;=toleransKurus,"MATRAH",IF($F675=1,"YUVARLAMA","TANIMSIZ"))))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IF($A676="","",IF($C676&lt;=efs_yuvarlamaEsik,1,0))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IF(OR($A676="",$B676&lt;&gt;"tutar_farki"),"",IF(ABS($C676-$D676)&lt;=toleransKurus,"KDV_ORAN",IF(ABS($C676-$E676*efs_kdvOran)&lt;=toleransKurus,"MATRAH",IF($F676=1,"YUVARLAMA","TANIMSIZ"))))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IF($A677="","",IF($C677&lt;=efs_yuvarlamaEsik,1,0))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IF(OR($A677="",$B677&lt;&gt;"tutar_farki"),"",IF(ABS($C677-$D677)&lt;=toleransKurus,"KDV_ORAN",IF(ABS($C677-$E677*efs_kdvOran)&lt;=toleransKurus,"MATRAH",IF($F677=1,"YUVARLAMA","TANIMSIZ"))))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IF($A678="","",IF($C678&lt;=efs_yuvarlamaEsik,1,0))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IF(OR($A678="",$B678&lt;&gt;"tutar_farki"),"",IF(ABS($C678-$D678)&lt;=toleransKurus,"KDV_ORAN",IF(ABS($C678-$E678*efs_kdvOran)&lt;=toleransKurus,"MATRAH",IF($F678=1,"YUVARLAMA","TANIMSIZ"))))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IF($A679="","",IF($C679&lt;=efs_yuvarlamaEsik,1,0))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IF(OR($A679="",$B679&lt;&gt;"tutar_farki"),"",IF(ABS($C679-$D679)&lt;=toleransKurus,"KDV_ORAN",IF(ABS($C679-$E679*efs_kdvOran)&lt;=toleransKurus,"MATRAH",IF($F679=1,"YUVARLAMA","TANIMSIZ"))))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IF($A680="","",IF($C680&lt;=efs_yuvarlamaEsik,1,0))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IF(OR($A680="",$B680&lt;&gt;"tutar_farki"),"",IF(ABS($C680-$D680)&lt;=toleransKurus,"KDV_ORAN",IF(ABS($C680-$E680*efs_kdvOran)&lt;=toleransKurus,"MATRAH",IF($F680=1,"YUVARLAMA","TANIMSIZ"))))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IF($A681="","",IF($C681&lt;=efs_yuvarlamaEsik,1,0))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IF(OR($A681="",$B681&lt;&gt;"tutar_farki"),"",IF(ABS($C681-$D681)&lt;=toleransKurus,"KDV_ORAN",IF(ABS($C681-$E681*efs_kdvOran)&lt;=toleransKurus,"MATRAH",IF($F681=1,"YUVARLAMA","TANIMSIZ"))))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IF($A682="","",IF($C682&lt;=efs_yuvarlamaEsik,1,0))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IF(OR($A682="",$B682&lt;&gt;"tutar_farki"),"",IF(ABS($C682-$D682)&lt;=toleransKurus,"KDV_ORAN",IF(ABS($C682-$E682*efs_kdvOran)&lt;=toleransKurus,"MATRAH",IF($F682=1,"YUVARLAMA","TANIMSIZ"))))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IF($A683="","",IF($C683&lt;=efs_yuvarlamaEsik,1,0))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IF(OR($A683="",$B683&lt;&gt;"tutar_farki"),"",IF(ABS($C683-$D683)&lt;=toleransKurus,"KDV_ORAN",IF(ABS($C683-$E683*efs_kdvOran)&lt;=toleransKurus,"MATRAH",IF($F683=1,"YUVARLAMA","TANIMSIZ"))))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IF($A684="","",IF($C684&lt;=efs_yuvarlamaEsik,1,0))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IF(OR($A684="",$B684&lt;&gt;"tutar_farki"),"",IF(ABS($C684-$D684)&lt;=toleransKurus,"KDV_ORAN",IF(ABS($C684-$E684*efs_kdvOran)&lt;=toleransKurus,"MATRAH",IF($F684=1,"YUVARLAMA","TANIMSIZ"))))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IF($A685="","",IF($C685&lt;=efs_yuvarlamaEsik,1,0))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IF(OR($A685="",$B685&lt;&gt;"tutar_farki"),"",IF(ABS($C685-$D685)&lt;=toleransKurus,"KDV_ORAN",IF(ABS($C685-$E685*efs_kdvOran)&lt;=toleransKurus,"MATRAH",IF($F685=1,"YUVARLAMA","TANIMSIZ"))))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IF($A686="","",IF($C686&lt;=efs_yuvarlamaEsik,1,0))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IF(OR($A686="",$B686&lt;&gt;"tutar_farki"),"",IF(ABS($C686-$D686)&lt;=toleransKurus,"KDV_ORAN",IF(ABS($C686-$E686*efs_kdvOran)&lt;=toleransKurus,"MATRAH",IF($F686=1,"YUVARLAMA","TANIMSIZ"))))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IF($A687="","",IF($C687&lt;=efs_yuvarlamaEsik,1,0))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IF(OR($A687="",$B687&lt;&gt;"tutar_farki"),"",IF(ABS($C687-$D687)&lt;=toleransKurus,"KDV_ORAN",IF(ABS($C687-$E687*efs_kdvOran)&lt;=toleransKurus,"MATRAH",IF($F687=1,"YUVARLAMA","TANIMSIZ"))))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IF($A688="","",IF($C688&lt;=efs_yuvarlamaEsik,1,0))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IF(OR($A688="",$B688&lt;&gt;"tutar_farki"),"",IF(ABS($C688-$D688)&lt;=toleransKurus,"KDV_ORAN",IF(ABS($C688-$E688*efs_kdvOran)&lt;=toleransKurus,"MATRAH",IF($F688=1,"YUVARLAMA","TANIMSIZ"))))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IF($A689="","",IF($C689&lt;=efs_yuvarlamaEsik,1,0))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IF(OR($A689="",$B689&lt;&gt;"tutar_farki"),"",IF(ABS($C689-$D689)&lt;=toleransKurus,"KDV_ORAN",IF(ABS($C689-$E689*efs_kdvOran)&lt;=toleransKurus,"MATRAH",IF($F689=1,"YUVARLAMA","TANIMSIZ"))))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IF($A690="","",IF($C690&lt;=efs_yuvarlamaEsik,1,0))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IF(OR($A690="",$B690&lt;&gt;"tutar_farki"),"",IF(ABS($C690-$D690)&lt;=toleransKurus,"KDV_ORAN",IF(ABS($C690-$E690*efs_kdvOran)&lt;=toleransKurus,"MATRAH",IF($F690=1,"YUVARLAMA","TANIMSIZ"))))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IF($A691="","",IF($C691&lt;=efs_yuvarlamaEsik,1,0))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IF(OR($A691="",$B691&lt;&gt;"tutar_farki"),"",IF(ABS($C691-$D691)&lt;=toleransKurus,"KDV_ORAN",IF(ABS($C691-$E691*efs_kdvOran)&lt;=toleransKurus,"MATRAH",IF($F691=1,"YUVARLAMA","TANIMSIZ"))))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IF($A692="","",IF($C692&lt;=efs_yuvarlamaEsik,1,0))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IF(OR($A692="",$B692&lt;&gt;"tutar_farki"),"",IF(ABS($C692-$D692)&lt;=toleransKurus,"KDV_ORAN",IF(ABS($C692-$E692*efs_kdvOran)&lt;=toleransKurus,"MATRAH",IF($F692=1,"YUVARLAMA","TANIMSIZ"))))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IF($A693="","",IF($C693&lt;=efs_yuvarlamaEsik,1,0))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IF(OR($A693="",$B693&lt;&gt;"tutar_farki"),"",IF(ABS($C693-$D693)&lt;=toleransKurus,"KDV_ORAN",IF(ABS($C693-$E693*efs_kdvOran)&lt;=toleransKurus,"MATRAH",IF($F693=1,"YUVARLAMA","TANIMSIZ"))))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IF($A694="","",IF($C694&lt;=efs_yuvarlamaEsik,1,0))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IF(OR($A694="",$B694&lt;&gt;"tutar_farki"),"",IF(ABS($C694-$D694)&lt;=toleransKurus,"KDV_ORAN",IF(ABS($C694-$E694*efs_kdvOran)&lt;=toleransKurus,"MATRAH",IF($F694=1,"YUVARLAMA","TANIMSIZ"))))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IF($A695="","",IF($C695&lt;=efs_yuvarlamaEsik,1,0))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IF(OR($A695="",$B695&lt;&gt;"tutar_farki"),"",IF(ABS($C695-$D695)&lt;=toleransKurus,"KDV_ORAN",IF(ABS($C695-$E695*efs_kdvOran)&lt;=toleransKurus,"MATRAH",IF($F695=1,"YUVARLAMA","TANIMSIZ"))))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IF($A696="","",IF($C696&lt;=efs_yuvarlamaEsik,1,0))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IF(OR($A696="",$B696&lt;&gt;"tutar_farki"),"",IF(ABS($C696-$D696)&lt;=toleransKurus,"KDV_ORAN",IF(ABS($C696-$E696*efs_kdvOran)&lt;=toleransKurus,"MATRAH",IF($F696=1,"YUVARLAMA","TANIMSIZ"))))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IF($A697="","",IF($C697&lt;=efs_yuvarlamaEsik,1,0))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IF(OR($A697="",$B697&lt;&gt;"tutar_farki"),"",IF(ABS($C697-$D697)&lt;=toleransKurus,"KDV_ORAN",IF(ABS($C697-$E697*efs_kdvOran)&lt;=toleransKurus,"MATRAH",IF($F697=1,"YUVARLAMA","TANIMSIZ"))))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IF($A698="","",IF($C698&lt;=efs_yuvarlamaEsik,1,0))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IF(OR($A698="",$B698&lt;&gt;"tutar_farki"),"",IF(ABS($C698-$D698)&lt;=toleransKurus,"KDV_ORAN",IF(ABS($C698-$E698*efs_kdvOran)&lt;=toleransKurus,"MATRAH",IF($F698=1,"YUVARLAMA","TANIMSIZ"))))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IF($A699="","",IF($C699&lt;=efs_yuvarlamaEsik,1,0))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IF(OR($A699="",$B699&lt;&gt;"tutar_farki"),"",IF(ABS($C699-$D699)&lt;=toleransKurus,"KDV_ORAN",IF(ABS($C699-$E699*efs_kdvOran)&lt;=toleransKurus,"MATRAH",IF($F699=1,"YUVARLAMA","TANIMSIZ"))))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IF($A700="","",IF($C700&lt;=efs_yuvarlamaEsik,1,0))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IF(OR($A700="",$B700&lt;&gt;"tutar_farki"),"",IF(ABS($C700-$D700)&lt;=toleransKurus,"KDV_ORAN",IF(ABS($C700-$E700*efs_kdvOran)&lt;=toleransKurus,"MATRAH",IF($F700=1,"YUVARLAMA","TANIMSIZ"))))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IF($A701="","",IF($C701&lt;=efs_yuvarlamaEsik,1,0))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IF(OR($A701="",$B701&lt;&gt;"tutar_farki"),"",IF(ABS($C701-$D701)&lt;=toleransKurus,"KDV_ORAN",IF(ABS($C701-$E701*efs_kdvOran)&lt;=toleransKurus,"MATRAH",IF($F701=1,"YUVARLAMA","TANIMSIZ"))))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IF($A702="","",IF($C702&lt;=efs_yuvarlamaEsik,1,0))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IF(OR($A702="",$B702&lt;&gt;"tutar_farki"),"",IF(ABS($C702-$D702)&lt;=toleransKurus,"KDV_ORAN",IF(ABS($C702-$E702*efs_kdvOran)&lt;=toleransKurus,"MATRAH",IF($F702=1,"YUVARLAMA","TANIMSIZ"))))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IF($A703="","",IF($C703&lt;=efs_yuvarlamaEsik,1,0))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IF(OR($A703="",$B703&lt;&gt;"tutar_farki"),"",IF(ABS($C703-$D703)&lt;=toleransKurus,"KDV_ORAN",IF(ABS($C703-$E703*efs_kdvOran)&lt;=toleransKurus,"MATRAH",IF($F703=1,"YUVARLAMA","TANIMSIZ"))))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IF($A704="","",IF($C704&lt;=efs_yuvarlamaEsik,1,0))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IF(OR($A704="",$B704&lt;&gt;"tutar_farki"),"",IF(ABS($C704-$D704)&lt;=toleransKurus,"KDV_ORAN",IF(ABS($C704-$E704*efs_kdvOran)&lt;=toleransKurus,"MATRAH",IF($F704=1,"YUVARLAMA","TANIMSIZ"))))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IF($A705="","",IF($C705&lt;=efs_yuvarlamaEsik,1,0))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IF(OR($A705="",$B705&lt;&gt;"tutar_farki"),"",IF(ABS($C705-$D705)&lt;=toleransKurus,"KDV_ORAN",IF(ABS($C705-$E705*efs_kdvOran)&lt;=toleransKurus,"MATRAH",IF($F705=1,"YUVARLAMA","TANIMSIZ"))))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IF($A706="","",IF($C706&lt;=efs_yuvarlamaEsik,1,0))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IF(OR($A706="",$B706&lt;&gt;"tutar_farki"),"",IF(ABS($C706-$D706)&lt;=toleransKurus,"KDV_ORAN",IF(ABS($C706-$E706*efs_kdvOran)&lt;=toleransKurus,"MATRAH",IF($F706=1,"YUVARLAMA","TANIMSIZ"))))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IF($A707="","",IF($C707&lt;=efs_yuvarlamaEsik,1,0))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IF(OR($A707="",$B707&lt;&gt;"tutar_farki"),"",IF(ABS($C707-$D707)&lt;=toleransKurus,"KDV_ORAN",IF(ABS($C707-$E707*efs_kdvOran)&lt;=toleransKurus,"MATRAH",IF($F707=1,"YUVARLAMA","TANIMSIZ"))))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IF($A708="","",IF($C708&lt;=efs_yuvarlamaEsik,1,0))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IF(OR($A708="",$B708&lt;&gt;"tutar_farki"),"",IF(ABS($C708-$D708)&lt;=toleransKurus,"KDV_ORAN",IF(ABS($C708-$E708*efs_kdvOran)&lt;=toleransKurus,"MATRAH",IF($F708=1,"YUVARLAMA","TANIMSIZ"))))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IF($A709="","",IF($C709&lt;=efs_yuvarlamaEsik,1,0))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IF(OR($A709="",$B709&lt;&gt;"tutar_farki"),"",IF(ABS($C709-$D709)&lt;=toleransKurus,"KDV_ORAN",IF(ABS($C709-$E709*efs_kdvOran)&lt;=toleransKurus,"MATRAH",IF($F709=1,"YUVARLAMA","TANIMSIZ"))))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IF($A710="","",IF($C710&lt;=efs_yuvarlamaEsik,1,0))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IF(OR($A710="",$B710&lt;&gt;"tutar_farki"),"",IF(ABS($C710-$D710)&lt;=toleransKurus,"KDV_ORAN",IF(ABS($C710-$E710*efs_kdvOran)&lt;=toleransKurus,"MATRAH",IF($F710=1,"YUVARLAMA","TANIMSIZ"))))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IF($A711="","",IF($C711&lt;=efs_yuvarlamaEsik,1,0))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IF(OR($A711="",$B711&lt;&gt;"tutar_farki"),"",IF(ABS($C711-$D711)&lt;=toleransKurus,"KDV_ORAN",IF(ABS($C711-$E711*efs_kdvOran)&lt;=toleransKurus,"MATRAH",IF($F711=1,"YUVARLAMA","TANIMSIZ"))))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IF($A712="","",IF($C712&lt;=efs_yuvarlamaEsik,1,0))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IF(OR($A712="",$B712&lt;&gt;"tutar_farki"),"",IF(ABS($C712-$D712)&lt;=toleransKurus,"KDV_ORAN",IF(ABS($C712-$E712*efs_kdvOran)&lt;=toleransKurus,"MATRAH",IF($F712=1,"YUVARLAMA","TANIMSIZ"))))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IF($A713="","",IF($C713&lt;=efs_yuvarlamaEsik,1,0))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IF(OR($A713="",$B713&lt;&gt;"tutar_farki"),"",IF(ABS($C713-$D713)&lt;=toleransKurus,"KDV_ORAN",IF(ABS($C713-$E713*efs_kdvOran)&lt;=toleransKurus,"MATRAH",IF($F713=1,"YUVARLAMA","TANIMSIZ"))))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IF($A714="","",IF($C714&lt;=efs_yuvarlamaEsik,1,0))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IF(OR($A714="",$B714&lt;&gt;"tutar_farki"),"",IF(ABS($C714-$D714)&lt;=toleransKurus,"KDV_ORAN",IF(ABS($C714-$E714*efs_kdvOran)&lt;=toleransKurus,"MATRAH",IF($F714=1,"YUVARLAMA","TANIMSIZ"))))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IF($A715="","",IF($C715&lt;=efs_yuvarlamaEsik,1,0))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IF(OR($A715="",$B715&lt;&gt;"tutar_farki"),"",IF(ABS($C715-$D715)&lt;=toleransKurus,"KDV_ORAN",IF(ABS($C715-$E715*efs_kdvOran)&lt;=toleransKurus,"MATRAH",IF($F715=1,"YUVARLAMA","TANIMSIZ"))))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IF($A716="","",IF($C716&lt;=efs_yuvarlamaEsik,1,0))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IF(OR($A716="",$B716&lt;&gt;"tutar_farki"),"",IF(ABS($C716-$D716)&lt;=toleransKurus,"KDV_ORAN",IF(ABS($C716-$E716*efs_kdvOran)&lt;=toleransKurus,"MATRAH",IF($F716=1,"YUVARLAMA","TANIMSIZ"))))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IF($A717="","",IF($C717&lt;=efs_yuvarlamaEsik,1,0))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IF(OR($A717="",$B717&lt;&gt;"tutar_farki"),"",IF(ABS($C717-$D717)&lt;=toleransKurus,"KDV_ORAN",IF(ABS($C717-$E717*efs_kdvOran)&lt;=toleransKurus,"MATRAH",IF($F717=1,"YUVARLAMA","TANIMSIZ"))))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IF($A718="","",IF($C718&lt;=efs_yuvarlamaEsik,1,0))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IF(OR($A718="",$B718&lt;&gt;"tutar_farki"),"",IF(ABS($C718-$D718)&lt;=toleransKurus,"KDV_ORAN",IF(ABS($C718-$E718*efs_kdvOran)&lt;=toleransKurus,"MATRAH",IF($F718=1,"YUVARLAMA","TANIMSIZ"))))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IF($A719="","",IF($C719&lt;=efs_yuvarlamaEsik,1,0))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IF(OR($A719="",$B719&lt;&gt;"tutar_farki"),"",IF(ABS($C719-$D719)&lt;=toleransKurus,"KDV_ORAN",IF(ABS($C719-$E719*efs_kdvOran)&lt;=toleransKurus,"MATRAH",IF($F719=1,"YUVARLAMA","TANIMSIZ"))))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IF($A720="","",IF($C720&lt;=efs_yuvarlamaEsik,1,0))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IF(OR($A720="",$B720&lt;&gt;"tutar_farki"),"",IF(ABS($C720-$D720)&lt;=toleransKurus,"KDV_ORAN",IF(ABS($C720-$E720*efs_kdvOran)&lt;=toleransKurus,"MATRAH",IF($F720=1,"YUVARLAMA","TANIMSIZ"))))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IF($A721="","",IF($C721&lt;=efs_yuvarlamaEsik,1,0))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IF(OR($A721="",$B721&lt;&gt;"tutar_farki"),"",IF(ABS($C721-$D721)&lt;=toleransKurus,"KDV_ORAN",IF(ABS($C721-$E721*efs_kdvOran)&lt;=toleransKurus,"MATRAH",IF($F721=1,"YUVARLAMA","TANIMSIZ"))))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IF($A722="","",IF($C722&lt;=efs_yuvarlamaEsik,1,0))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IF(OR($A722="",$B722&lt;&gt;"tutar_farki"),"",IF(ABS($C722-$D722)&lt;=toleransKurus,"KDV_ORAN",IF(ABS($C722-$E722*efs_kdvOran)&lt;=toleransKurus,"MATRAH",IF($F722=1,"YUVARLAMA","TANIMSIZ"))))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IF($A723="","",IF($C723&lt;=efs_yuvarlamaEsik,1,0))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IF(OR($A723="",$B723&lt;&gt;"tutar_farki"),"",IF(ABS($C723-$D723)&lt;=toleransKurus,"KDV_ORAN",IF(ABS($C723-$E723*efs_kdvOran)&lt;=toleransKurus,"MATRAH",IF($F723=1,"YUVARLAMA","TANIMSIZ"))))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IF($A724="","",IF($C724&lt;=efs_yuvarlamaEsik,1,0))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IF(OR($A724="",$B724&lt;&gt;"tutar_farki"),"",IF(ABS($C724-$D724)&lt;=toleransKurus,"KDV_ORAN",IF(ABS($C724-$E724*efs_kdvOran)&lt;=toleransKurus,"MATRAH",IF($F724=1,"YUVARLAMA","TANIMSIZ"))))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IF($A725="","",IF($C725&lt;=efs_yuvarlamaEsik,1,0))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IF(OR($A725="",$B725&lt;&gt;"tutar_farki"),"",IF(ABS($C725-$D725)&lt;=toleransKurus,"KDV_ORAN",IF(ABS($C725-$E725*efs_kdvOran)&lt;=toleransKurus,"MATRAH",IF($F725=1,"YUVARLAMA","TANIMSIZ"))))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IF($A726="","",IF($C726&lt;=efs_yuvarlamaEsik,1,0))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IF(OR($A726="",$B726&lt;&gt;"tutar_farki"),"",IF(ABS($C726-$D726)&lt;=toleransKurus,"KDV_ORAN",IF(ABS($C726-$E726*efs_kdvOran)&lt;=toleransKurus,"MATRAH",IF($F726=1,"YUVARLAMA","TANIMSIZ"))))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IF($A727="","",IF($C727&lt;=efs_yuvarlamaEsik,1,0))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IF(OR($A727="",$B727&lt;&gt;"tutar_farki"),"",IF(ABS($C727-$D727)&lt;=toleransKurus,"KDV_ORAN",IF(ABS($C727-$E727*efs_kdvOran)&lt;=toleransKurus,"MATRAH",IF($F727=1,"YUVARLAMA","TANIMSIZ"))))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IF($A728="","",IF($C728&lt;=efs_yuvarlamaEsik,1,0))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IF(OR($A728="",$B728&lt;&gt;"tutar_farki"),"",IF(ABS($C728-$D728)&lt;=toleransKurus,"KDV_ORAN",IF(ABS($C728-$E728*efs_kdvOran)&lt;=toleransKurus,"MATRAH",IF($F728=1,"YUVARLAMA","TANIMSIZ"))))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IF($A729="","",IF($C729&lt;=efs_yuvarlamaEsik,1,0))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IF(OR($A729="",$B729&lt;&gt;"tutar_farki"),"",IF(ABS($C729-$D729)&lt;=toleransKurus,"KDV_ORAN",IF(ABS($C729-$E729*efs_kdvOran)&lt;=toleransKurus,"MATRAH",IF($F729=1,"YUVARLAMA","TANIMSIZ"))))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IF($A730="","",IF($C730&lt;=efs_yuvarlamaEsik,1,0))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IF(OR($A730="",$B730&lt;&gt;"tutar_farki"),"",IF(ABS($C730-$D730)&lt;=toleransKurus,"KDV_ORAN",IF(ABS($C730-$E730*efs_kdvOran)&lt;=toleransKurus,"MATRAH",IF($F730=1,"YUVARLAMA","TANIMSIZ"))))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IF($A731="","",IF($C731&lt;=efs_yuvarlamaEsik,1,0))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IF(OR($A731="",$B731&lt;&gt;"tutar_farki"),"",IF(ABS($C731-$D731)&lt;=toleransKurus,"KDV_ORAN",IF(ABS($C731-$E731*efs_kdvOran)&lt;=toleransKurus,"MATRAH",IF($F731=1,"YUVARLAMA","TANIMSIZ"))))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IF($A732="","",IF($C732&lt;=efs_yuvarlamaEsik,1,0))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IF(OR($A732="",$B732&lt;&gt;"tutar_farki"),"",IF(ABS($C732-$D732)&lt;=toleransKurus,"KDV_ORAN",IF(ABS($C732-$E732*efs_kdvOran)&lt;=toleransKurus,"MATRAH",IF($F732=1,"YUVARLAMA","TANIMSIZ"))))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IF($A733="","",IF($C733&lt;=efs_yuvarlamaEsik,1,0))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IF(OR($A733="",$B733&lt;&gt;"tutar_farki"),"",IF(ABS($C733-$D733)&lt;=toleransKurus,"KDV_ORAN",IF(ABS($C733-$E733*efs_kdvOran)&lt;=toleransKurus,"MATRAH",IF($F733=1,"YUVARLAMA","TANIMSIZ"))))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IF($A734="","",IF($C734&lt;=efs_yuvarlamaEsik,1,0))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IF(OR($A734="",$B734&lt;&gt;"tutar_farki"),"",IF(ABS($C734-$D734)&lt;=toleransKurus,"KDV_ORAN",IF(ABS($C734-$E734*efs_kdvOran)&lt;=toleransKurus,"MATRAH",IF($F734=1,"YUVARLAMA","TANIMSIZ"))))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IF($A735="","",IF($C735&lt;=efs_yuvarlamaEsik,1,0))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IF(OR($A735="",$B735&lt;&gt;"tutar_farki"),"",IF(ABS($C735-$D735)&lt;=toleransKurus,"KDV_ORAN",IF(ABS($C735-$E735*efs_kdvOran)&lt;=toleransKurus,"MATRAH",IF($F735=1,"YUVARLAMA","TANIMSIZ"))))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IF($A736="","",IF($C736&lt;=efs_yuvarlamaEsik,1,0))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IF(OR($A736="",$B736&lt;&gt;"tutar_farki"),"",IF(ABS($C736-$D736)&lt;=toleransKurus,"KDV_ORAN",IF(ABS($C736-$E736*efs_kdvOran)&lt;=toleransKurus,"MATRAH",IF($F736=1,"YUVARLAMA","TANIMSIZ"))))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IF($A737="","",IF($C737&lt;=efs_yuvarlamaEsik,1,0))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IF(OR($A737="",$B737&lt;&gt;"tutar_farki"),"",IF(ABS($C737-$D737)&lt;=toleransKurus,"KDV_ORAN",IF(ABS($C737-$E737*efs_kdvOran)&lt;=toleransKurus,"MATRAH",IF($F737=1,"YUVARLAMA","TANIMSIZ"))))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IF($A738="","",IF($C738&lt;=efs_yuvarlamaEsik,1,0))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IF(OR($A738="",$B738&lt;&gt;"tutar_farki"),"",IF(ABS($C738-$D738)&lt;=toleransKurus,"KDV_ORAN",IF(ABS($C738-$E738*efs_kdvOran)&lt;=toleransKurus,"MATRAH",IF($F738=1,"YUVARLAMA","TANIMSIZ"))))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IF($A739="","",IF($C739&lt;=efs_yuvarlamaEsik,1,0))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IF(OR($A739="",$B739&lt;&gt;"tutar_farki"),"",IF(ABS($C739-$D739)&lt;=toleransKurus,"KDV_ORAN",IF(ABS($C739-$E739*efs_kdvOran)&lt;=toleransKurus,"MATRAH",IF($F739=1,"YUVARLAMA","TANIMSIZ"))))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IF($A740="","",IF($C740&lt;=efs_yuvarlamaEsik,1,0))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IF(OR($A740="",$B740&lt;&gt;"tutar_farki"),"",IF(ABS($C740-$D740)&lt;=toleransKurus,"KDV_ORAN",IF(ABS($C740-$E740*efs_kdvOran)&lt;=toleransKurus,"MATRAH",IF($F740=1,"YUVARLAMA","TANIMSIZ"))))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IF($A741="","",IF($C741&lt;=efs_yuvarlamaEsik,1,0))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IF(OR($A741="",$B741&lt;&gt;"tutar_farki"),"",IF(ABS($C741-$D741)&lt;=toleransKurus,"KDV_ORAN",IF(ABS($C741-$E741*efs_kdvOran)&lt;=toleransKurus,"MATRAH",IF($F741=1,"YUVARLAMA","TANIMSIZ"))))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IF($A742="","",IF($C742&lt;=efs_yuvarlamaEsik,1,0))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IF(OR($A742="",$B742&lt;&gt;"tutar_farki"),"",IF(ABS($C742-$D742)&lt;=toleransKurus,"KDV_ORAN",IF(ABS($C742-$E742*efs_kdvOran)&lt;=toleransKurus,"MATRAH",IF($F742=1,"YUVARLAMA","TANIMSIZ"))))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IF($A743="","",IF($C743&lt;=efs_yuvarlamaEsik,1,0))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IF(OR($A743="",$B743&lt;&gt;"tutar_farki"),"",IF(ABS($C743-$D743)&lt;=toleransKurus,"KDV_ORAN",IF(ABS($C743-$E743*efs_kdvOran)&lt;=toleransKurus,"MATRAH",IF($F743=1,"YUVARLAMA","TANIMSIZ"))))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IF($A744="","",IF($C744&lt;=efs_yuvarlamaEsik,1,0))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IF(OR($A744="",$B744&lt;&gt;"tutar_farki"),"",IF(ABS($C744-$D744)&lt;=toleransKurus,"KDV_ORAN",IF(ABS($C744-$E744*efs_kdvOran)&lt;=toleransKurus,"MATRAH",IF($F744=1,"YUVARLAMA","TANIMSIZ"))))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IF($A745="","",IF($C745&lt;=efs_yuvarlamaEsik,1,0))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IF(OR($A745="",$B745&lt;&gt;"tutar_farki"),"",IF(ABS($C745-$D745)&lt;=toleransKurus,"KDV_ORAN",IF(ABS($C745-$E745*efs_kdvOran)&lt;=toleransKurus,"MATRAH",IF($F745=1,"YUVARLAMA","TANIMSIZ"))))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IF($A746="","",IF($C746&lt;=efs_yuvarlamaEsik,1,0))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IF(OR($A746="",$B746&lt;&gt;"tutar_farki"),"",IF(ABS($C746-$D746)&lt;=toleransKurus,"KDV_ORAN",IF(ABS($C746-$E746*efs_kdvOran)&lt;=toleransKurus,"MATRAH",IF($F746=1,"YUVARLAMA","TANIMSIZ"))))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IF($A747="","",IF($C747&lt;=efs_yuvarlamaEsik,1,0))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IF(OR($A747="",$B747&lt;&gt;"tutar_farki"),"",IF(ABS($C747-$D747)&lt;=toleransKurus,"KDV_ORAN",IF(ABS($C747-$E747*efs_kdvOran)&lt;=toleransKurus,"MATRAH",IF($F747=1,"YUVARLAMA","TANIMSIZ"))))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IF($A748="","",IF($C748&lt;=efs_yuvarlamaEsik,1,0))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IF(OR($A748="",$B748&lt;&gt;"tutar_farki"),"",IF(ABS($C748-$D748)&lt;=toleransKurus,"KDV_ORAN",IF(ABS($C748-$E748*efs_kdvOran)&lt;=toleransKurus,"MATRAH",IF($F748=1,"YUVARLAMA","TANIMSIZ"))))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IF($A749="","",IF($C749&lt;=efs_yuvarlamaEsik,1,0))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IF(OR($A749="",$B749&lt;&gt;"tutar_farki"),"",IF(ABS($C749-$D749)&lt;=toleransKurus,"KDV_ORAN",IF(ABS($C749-$E749*efs_kdvOran)&lt;=toleransKurus,"MATRAH",IF($F749=1,"YUVARLAMA","TANIMSIZ"))))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IF($A750="","",IF($C750&lt;=efs_yuvarlamaEsik,1,0))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IF(OR($A750="",$B750&lt;&gt;"tutar_farki"),"",IF(ABS($C750-$D750)&lt;=toleransKurus,"KDV_ORAN",IF(ABS($C750-$E750*efs_kdvOran)&lt;=toleransKurus,"MATRAH",IF($F750=1,"YUVARLAMA","TANIMSIZ"))))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IF($A751="","",IF($C751&lt;=efs_yuvarlamaEsik,1,0))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IF(OR($A751="",$B751&lt;&gt;"tutar_farki"),"",IF(ABS($C751-$D751)&lt;=toleransKurus,"KDV_ORAN",IF(ABS($C751-$E751*efs_kdvOran)&lt;=toleransKurus,"MATRAH",IF($F751=1,"YUVARLAMA","TANIMSIZ"))))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IF($A752="","",IF($C752&lt;=efs_yuvarlamaEsik,1,0))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IF(OR($A752="",$B752&lt;&gt;"tutar_farki"),"",IF(ABS($C752-$D752)&lt;=toleransKurus,"KDV_ORAN",IF(ABS($C752-$E752*efs_kdvOran)&lt;=toleransKurus,"MATRAH",IF($F752=1,"YUVARLAMA","TANIMSIZ"))))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IF($A753="","",IF($C753&lt;=efs_yuvarlamaEsik,1,0))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IF(OR($A753="",$B753&lt;&gt;"tutar_farki"),"",IF(ABS($C753-$D753)&lt;=toleransKurus,"KDV_ORAN",IF(ABS($C753-$E753*efs_kdvOran)&lt;=toleransKurus,"MATRAH",IF($F753=1,"YUVARLAMA","TANIMSIZ"))))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IF($A754="","",IF($C754&lt;=efs_yuvarlamaEsik,1,0))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IF(OR($A754="",$B754&lt;&gt;"tutar_farki"),"",IF(ABS($C754-$D754)&lt;=toleransKurus,"KDV_ORAN",IF(ABS($C754-$E754*efs_kdvOran)&lt;=toleransKurus,"MATRAH",IF($F754=1,"YUVARLAMA","TANIMSIZ"))))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IF($A755="","",IF($C755&lt;=efs_yuvarlamaEsik,1,0))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IF(OR($A755="",$B755&lt;&gt;"tutar_farki"),"",IF(ABS($C755-$D755)&lt;=toleransKurus,"KDV_ORAN",IF(ABS($C755-$E755*efs_kdvOran)&lt;=toleransKurus,"MATRAH",IF($F755=1,"YUVARLAMA","TANIMSIZ"))))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IF($A756="","",IF($C756&lt;=efs_yuvarlamaEsik,1,0))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IF(OR($A756="",$B756&lt;&gt;"tutar_farki"),"",IF(ABS($C756-$D756)&lt;=toleransKurus,"KDV_ORAN",IF(ABS($C756-$E756*efs_kdvOran)&lt;=toleransKurus,"MATRAH",IF($F756=1,"YUVARLAMA","TANIMSIZ"))))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IF($A757="","",IF($C757&lt;=efs_yuvarlamaEsik,1,0))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IF(OR($A757="",$B757&lt;&gt;"tutar_farki"),"",IF(ABS($C757-$D757)&lt;=toleransKurus,"KDV_ORAN",IF(ABS($C757-$E757*efs_kdvOran)&lt;=toleransKurus,"MATRAH",IF($F757=1,"YUVARLAMA","TANIMSIZ"))))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IF($A758="","",IF($C758&lt;=efs_yuvarlamaEsik,1,0))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IF(OR($A758="",$B758&lt;&gt;"tutar_farki"),"",IF(ABS($C758-$D758)&lt;=toleransKurus,"KDV_ORAN",IF(ABS($C758-$E758*efs_kdvOran)&lt;=toleransKurus,"MATRAH",IF($F758=1,"YUVARLAMA","TANIMSIZ"))))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IF($A759="","",IF($C759&lt;=efs_yuvarlamaEsik,1,0))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IF(OR($A759="",$B759&lt;&gt;"tutar_farki"),"",IF(ABS($C759-$D759)&lt;=toleransKurus,"KDV_ORAN",IF(ABS($C759-$E759*efs_kdvOran)&lt;=toleransKurus,"MATRAH",IF($F759=1,"YUVARLAMA","TANIMSIZ"))))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IF($A760="","",IF($C760&lt;=efs_yuvarlamaEsik,1,0))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IF(OR($A760="",$B760&lt;&gt;"tutar_farki"),"",IF(ABS($C760-$D760)&lt;=toleransKurus,"KDV_ORAN",IF(ABS($C760-$E760*efs_kdvOran)&lt;=toleransKurus,"MATRAH",IF($F760=1,"YUVARLAMA","TANIMSIZ"))))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IF($A761="","",IF($C761&lt;=efs_yuvarlamaEsik,1,0))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IF(OR($A761="",$B761&lt;&gt;"tutar_farki"),"",IF(ABS($C761-$D761)&lt;=toleransKurus,"KDV_ORAN",IF(ABS($C761-$E761*efs_kdvOran)&lt;=toleransKurus,"MATRAH",IF($F761=1,"YUVARLAMA","TANIMSIZ"))))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IF($A762="","",IF($C762&lt;=efs_yuvarlamaEsik,1,0))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IF(OR($A762="",$B762&lt;&gt;"tutar_farki"),"",IF(ABS($C762-$D762)&lt;=toleransKurus,"KDV_ORAN",IF(ABS($C762-$E762*efs_kdvOran)&lt;=toleransKurus,"MATRAH",IF($F762=1,"YUVARLAMA","TANIMSIZ"))))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IF($A763="","",IF($C763&lt;=efs_yuvarlamaEsik,1,0))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IF(OR($A763="",$B763&lt;&gt;"tutar_farki"),"",IF(ABS($C763-$D763)&lt;=toleransKurus,"KDV_ORAN",IF(ABS($C763-$E763*efs_kdvOran)&lt;=toleransKurus,"MATRAH",IF($F763=1,"YUVARLAMA","TANIMSIZ"))))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IF($A764="","",IF($C764&lt;=efs_yuvarlamaEsik,1,0))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IF(OR($A764="",$B764&lt;&gt;"tutar_farki"),"",IF(ABS($C764-$D764)&lt;=toleransKurus,"KDV_ORAN",IF(ABS($C764-$E764*efs_kdvOran)&lt;=toleransKurus,"MATRAH",IF($F764=1,"YUVARLAMA","TANIMSIZ"))))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IF($A765="","",IF($C765&lt;=efs_yuvarlamaEsik,1,0))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IF(OR($A765="",$B765&lt;&gt;"tutar_farki"),"",IF(ABS($C765-$D765)&lt;=toleransKurus,"KDV_ORAN",IF(ABS($C765-$E765*efs_kdvOran)&lt;=toleransKurus,"MATRAH",IF($F765=1,"YUVARLAMA","TANIMSIZ"))))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IF($A766="","",IF($C766&lt;=efs_yuvarlamaEsik,1,0))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IF(OR($A766="",$B766&lt;&gt;"tutar_farki"),"",IF(ABS($C766-$D766)&lt;=toleransKurus,"KDV_ORAN",IF(ABS($C766-$E766*efs_kdvOran)&lt;=toleransKurus,"MATRAH",IF($F766=1,"YUVARLAMA","TANIMSIZ"))))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IF($A767="","",IF($C767&lt;=efs_yuvarlamaEsik,1,0))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IF(OR($A767="",$B767&lt;&gt;"tutar_farki"),"",IF(ABS($C767-$D767)&lt;=toleransKurus,"KDV_ORAN",IF(ABS($C767-$E767*efs_kdvOran)&lt;=toleransKurus,"MATRAH",IF($F767=1,"YUVARLAMA","TANIMSIZ"))))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IF($A768="","",IF($C768&lt;=efs_yuvarlamaEsik,1,0))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IF(OR($A768="",$B768&lt;&gt;"tutar_farki"),"",IF(ABS($C768-$D768)&lt;=toleransKurus,"KDV_ORAN",IF(ABS($C768-$E768*efs_kdvOran)&lt;=toleransKurus,"MATRAH",IF($F768=1,"YUVARLAMA","TANIMSIZ"))))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IF($A769="","",IF($C769&lt;=efs_yuvarlamaEsik,1,0))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IF(OR($A769="",$B769&lt;&gt;"tutar_farki"),"",IF(ABS($C769-$D769)&lt;=toleransKurus,"KDV_ORAN",IF(ABS($C769-$E769*efs_kdvOran)&lt;=toleransKurus,"MATRAH",IF($F769=1,"YUVARLAMA","TANIMSIZ"))))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IF($A770="","",IF($C770&lt;=efs_yuvarlamaEsik,1,0))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IF(OR($A770="",$B770&lt;&gt;"tutar_farki"),"",IF(ABS($C770-$D770)&lt;=toleransKurus,"KDV_ORAN",IF(ABS($C770-$E770*efs_kdvOran)&lt;=toleransKurus,"MATRAH",IF($F770=1,"YUVARLAMA","TANIMSIZ"))))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IF($A771="","",IF($C771&lt;=efs_yuvarlamaEsik,1,0))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IF(OR($A771="",$B771&lt;&gt;"tutar_farki"),"",IF(ABS($C771-$D771)&lt;=toleransKurus,"KDV_ORAN",IF(ABS($C771-$E771*efs_kdvOran)&lt;=toleransKurus,"MATRAH",IF($F771=1,"YUVARLAMA","TANIMSIZ"))))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IF($A772="","",IF($C772&lt;=efs_yuvarlamaEsik,1,0))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IF(OR($A772="",$B772&lt;&gt;"tutar_farki"),"",IF(ABS($C772-$D772)&lt;=toleransKurus,"KDV_ORAN",IF(ABS($C772-$E772*efs_kdvOran)&lt;=toleransKurus,"MATRAH",IF($F772=1,"YUVARLAMA","TANIMSIZ"))))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IF($A773="","",IF($C773&lt;=efs_yuvarlamaEsik,1,0))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IF(OR($A773="",$B773&lt;&gt;"tutar_farki"),"",IF(ABS($C773-$D773)&lt;=toleransKurus,"KDV_ORAN",IF(ABS($C773-$E773*efs_kdvOran)&lt;=toleransKurus,"MATRAH",IF($F773=1,"YUVARLAMA","TANIMSIZ"))))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IF($A774="","",IF($C774&lt;=efs_yuvarlamaEsik,1,0))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IF(OR($A774="",$B774&lt;&gt;"tutar_farki"),"",IF(ABS($C774-$D774)&lt;=toleransKurus,"KDV_ORAN",IF(ABS($C774-$E774*efs_kdvOran)&lt;=toleransKurus,"MATRAH",IF($F774=1,"YUVARLAMA","TANIMSIZ"))))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IF($A775="","",IF($C775&lt;=efs_yuvarlamaEsik,1,0))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IF(OR($A775="",$B775&lt;&gt;"tutar_farki"),"",IF(ABS($C775-$D775)&lt;=toleransKurus,"KDV_ORAN",IF(ABS($C775-$E775*efs_kdvOran)&lt;=toleransKurus,"MATRAH",IF($F775=1,"YUVARLAMA","TANIMSIZ"))))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IF($A776="","",IF($C776&lt;=efs_yuvarlamaEsik,1,0))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IF(OR($A776="",$B776&lt;&gt;"tutar_farki"),"",IF(ABS($C776-$D776)&lt;=toleransKurus,"KDV_ORAN",IF(ABS($C776-$E776*efs_kdvOran)&lt;=toleransKurus,"MATRAH",IF($F776=1,"YUVARLAMA","TANIMSIZ"))))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IF($A777="","",IF($C777&lt;=efs_yuvarlamaEsik,1,0))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IF(OR($A777="",$B777&lt;&gt;"tutar_farki"),"",IF(ABS($C777-$D777)&lt;=toleransKurus,"KDV_ORAN",IF(ABS($C777-$E777*efs_kdvOran)&lt;=toleransKurus,"MATRAH",IF($F777=1,"YUVARLAMA","TANIMSIZ"))))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IF($A778="","",IF($C778&lt;=efs_yuvarlamaEsik,1,0))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IF(OR($A778="",$B778&lt;&gt;"tutar_farki"),"",IF(ABS($C778-$D778)&lt;=toleransKurus,"KDV_ORAN",IF(ABS($C778-$E778*efs_kdvOran)&lt;=toleransKurus,"MATRAH",IF($F778=1,"YUVARLAMA","TANIMSIZ"))))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IF($A779="","",IF($C779&lt;=efs_yuvarlamaEsik,1,0))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IF(OR($A779="",$B779&lt;&gt;"tutar_farki"),"",IF(ABS($C779-$D779)&lt;=toleransKurus,"KDV_ORAN",IF(ABS($C779-$E779*efs_kdvOran)&lt;=toleransKurus,"MATRAH",IF($F779=1,"YUVARLAMA","TANIMSIZ"))))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IF($A780="","",IF($C780&lt;=efs_yuvarlamaEsik,1,0))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IF(OR($A780="",$B780&lt;&gt;"tutar_farki"),"",IF(ABS($C780-$D780)&lt;=toleransKurus,"KDV_ORAN",IF(ABS($C780-$E780*efs_kdvOran)&lt;=toleransKurus,"MATRAH",IF($F780=1,"YUVARLAMA","TANIMSIZ"))))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IF($A781="","",IF($C781&lt;=efs_yuvarlamaEsik,1,0))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IF(OR($A781="",$B781&lt;&gt;"tutar_farki"),"",IF(ABS($C781-$D781)&lt;=toleransKurus,"KDV_ORAN",IF(ABS($C781-$E781*efs_kdvOran)&lt;=toleransKurus,"MATRAH",IF($F781=1,"YUVARLAMA","TANIMSIZ"))))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IF($A782="","",IF($C782&lt;=efs_yuvarlamaEsik,1,0))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IF(OR($A782="",$B782&lt;&gt;"tutar_farki"),"",IF(ABS($C782-$D782)&lt;=toleransKurus,"KDV_ORAN",IF(ABS($C782-$E782*efs_kdvOran)&lt;=toleransKurus,"MATRAH",IF($F782=1,"YUVARLAMA","TANIMSIZ"))))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IF($A783="","",IF($C783&lt;=efs_yuvarlamaEsik,1,0))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IF(OR($A783="",$B783&lt;&gt;"tutar_farki"),"",IF(ABS($C783-$D783)&lt;=toleransKurus,"KDV_ORAN",IF(ABS($C783-$E783*efs_kdvOran)&lt;=toleransKurus,"MATRAH",IF($F783=1,"YUVARLAMA","TANIMSIZ"))))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IF($A784="","",IF($C784&lt;=efs_yuvarlamaEsik,1,0))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IF(OR($A784="",$B784&lt;&gt;"tutar_farki"),"",IF(ABS($C784-$D784)&lt;=toleransKurus,"KDV_ORAN",IF(ABS($C784-$E784*efs_kdvOran)&lt;=toleransKurus,"MATRAH",IF($F784=1,"YUVARLAMA","TANIMSIZ"))))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IF($A785="","",IF($C785&lt;=efs_yuvarlamaEsik,1,0))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IF(OR($A785="",$B785&lt;&gt;"tutar_farki"),"",IF(ABS($C785-$D785)&lt;=toleransKurus,"KDV_ORAN",IF(ABS($C785-$E785*efs_kdvOran)&lt;=toleransKurus,"MATRAH",IF($F785=1,"YUVARLAMA","TANIMSIZ"))))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IF($A786="","",IF($C786&lt;=efs_yuvarlamaEsik,1,0))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IF(OR($A786="",$B786&lt;&gt;"tutar_farki"),"",IF(ABS($C786-$D786)&lt;=toleransKurus,"KDV_ORAN",IF(ABS($C786-$E786*efs_kdvOran)&lt;=toleransKurus,"MATRAH",IF($F786=1,"YUVARLAMA","TANIMSIZ"))))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IF($A787="","",IF($C787&lt;=efs_yuvarlamaEsik,1,0))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IF(OR($A787="",$B787&lt;&gt;"tutar_farki"),"",IF(ABS($C787-$D787)&lt;=toleransKurus,"KDV_ORAN",IF(ABS($C787-$E787*efs_kdvOran)&lt;=toleransKurus,"MATRAH",IF($F787=1,"YUVARLAMA","TANIMSIZ"))))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IF($A788="","",IF($C788&lt;=efs_yuvarlamaEsik,1,0))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IF(OR($A788="",$B788&lt;&gt;"tutar_farki"),"",IF(ABS($C788-$D788)&lt;=toleransKurus,"KDV_ORAN",IF(ABS($C788-$E788*efs_kdvOran)&lt;=toleransKurus,"MATRAH",IF($F788=1,"YUVARLAMA","TANIMSIZ"))))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IF($A789="","",IF($C789&lt;=efs_yuvarlamaEsik,1,0))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IF(OR($A789="",$B789&lt;&gt;"tutar_farki"),"",IF(ABS($C789-$D789)&lt;=toleransKurus,"KDV_ORAN",IF(ABS($C789-$E789*efs_kdvOran)&lt;=toleransKurus,"MATRAH",IF($F789=1,"YUVARLAMA","TANIMSIZ"))))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IF($A790="","",IF($C790&lt;=efs_yuvarlamaEsik,1,0))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IF(OR($A790="",$B790&lt;&gt;"tutar_farki"),"",IF(ABS($C790-$D790)&lt;=toleransKurus,"KDV_ORAN",IF(ABS($C790-$E790*efs_kdvOran)&lt;=toleransKurus,"MATRAH",IF($F790=1,"YUVARLAMA","TANIMSIZ"))))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IF($A791="","",IF($C791&lt;=efs_yuvarlamaEsik,1,0))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IF(OR($A791="",$B791&lt;&gt;"tutar_farki"),"",IF(ABS($C791-$D791)&lt;=toleransKurus,"KDV_ORAN",IF(ABS($C791-$E791*efs_kdvOran)&lt;=toleransKurus,"MATRAH",IF($F791=1,"YUVARLAMA","TANIMSIZ"))))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IF($A792="","",IF($C792&lt;=efs_yuvarlamaEsik,1,0))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IF(OR($A792="",$B792&lt;&gt;"tutar_farki"),"",IF(ABS($C792-$D792)&lt;=toleransKurus,"KDV_ORAN",IF(ABS($C792-$E792*efs_kdvOran)&lt;=toleransKurus,"MATRAH",IF($F792=1,"YUVARLAMA","TANIMSIZ"))))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IF($A793="","",IF($C793&lt;=efs_yuvarlamaEsik,1,0))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IF(OR($A793="",$B793&lt;&gt;"tutar_farki"),"",IF(ABS($C793-$D793)&lt;=toleransKurus,"KDV_ORAN",IF(ABS($C793-$E793*efs_kdvOran)&lt;=toleransKurus,"MATRAH",IF($F793=1,"YUVARLAMA","TANIMSIZ"))))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IF($A794="","",IF($C794&lt;=efs_yuvarlamaEsik,1,0))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IF(OR($A794="",$B794&lt;&gt;"tutar_farki"),"",IF(ABS($C794-$D794)&lt;=toleransKurus,"KDV_ORAN",IF(ABS($C794-$E794*efs_kdvOran)&lt;=toleransKurus,"MATRAH",IF($F794=1,"YUVARLAMA","TANIMSIZ"))))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IF($A795="","",IF($C795&lt;=efs_yuvarlamaEsik,1,0))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IF(OR($A795="",$B795&lt;&gt;"tutar_farki"),"",IF(ABS($C795-$D795)&lt;=toleransKurus,"KDV_ORAN",IF(ABS($C795-$E795*efs_kdvOran)&lt;=toleransKurus,"MATRAH",IF($F795=1,"YUVARLAMA","TANIMSIZ"))))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IF($A796="","",IF($C796&lt;=efs_yuvarlamaEsik,1,0))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IF(OR($A796="",$B796&lt;&gt;"tutar_farki"),"",IF(ABS($C796-$D796)&lt;=toleransKurus,"KDV_ORAN",IF(ABS($C796-$E796*efs_kdvOran)&lt;=toleransKurus,"MATRAH",IF($F796=1,"YUVARLAMA","TANIMSIZ"))))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IF($A797="","",IF($C797&lt;=efs_yuvarlamaEsik,1,0))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IF(OR($A797="",$B797&lt;&gt;"tutar_farki"),"",IF(ABS($C797-$D797)&lt;=toleransKurus,"KDV_ORAN",IF(ABS($C797-$E797*efs_kdvOran)&lt;=toleransKurus,"MATRAH",IF($F797=1,"YUVARLAMA","TANIMSIZ"))))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IF($A798="","",IF($C798&lt;=efs_yuvarlamaEsik,1,0))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IF(OR($A798="",$B798&lt;&gt;"tutar_farki"),"",IF(ABS($C798-$D798)&lt;=toleransKurus,"KDV_ORAN",IF(ABS($C798-$E798*efs_kdvOran)&lt;=toleransKurus,"MATRAH",IF($F798=1,"YUVARLAMA","TANIMSIZ"))))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IF($A799="","",IF($C799&lt;=efs_yuvarlamaEsik,1,0))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IF(OR($A799="",$B799&lt;&gt;"tutar_farki"),"",IF(ABS($C799-$D799)&lt;=toleransKurus,"KDV_ORAN",IF(ABS($C799-$E799*efs_kdvOran)&lt;=toleransKurus,"MATRAH",IF($F799=1,"YUVARLAMA","TANIMSIZ"))))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IF($A800="","",IF($C800&lt;=efs_yuvarlamaEsik,1,0))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IF(OR($A800="",$B800&lt;&gt;"tutar_farki"),"",IF(ABS($C800-$D800)&lt;=toleransKurus,"KDV_ORAN",IF(ABS($C800-$E800*efs_kdvOran)&lt;=toleransKurus,"MATRAH",IF($F800=1,"YUVARLAMA","TANIMSIZ"))))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IF($A801="","",IF($C801&lt;=efs_yuvarlamaEsik,1,0))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IF(OR($A801="",$B801&lt;&gt;"tutar_farki"),"",IF(ABS($C801-$D801)&lt;=toleransKurus,"KDV_ORAN",IF(ABS($C801-$E801*efs_kdvOran)&lt;=toleransKurus,"MATRAH",IF($F801=1,"YUVARLAMA","TANIMSIZ"))))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IF($A802="","",IF($C802&lt;=efs_yuvarlamaEsik,1,0))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IF(OR($A802="",$B802&lt;&gt;"tutar_farki"),"",IF(ABS($C802-$D802)&lt;=toleransKurus,"KDV_ORAN",IF(ABS($C802-$E802*efs_kdvOran)&lt;=toleransKurus,"MATRAH",IF($F802=1,"YUVARLAMA","TANIMSIZ"))))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IF($A803="","",IF($C803&lt;=efs_yuvarlamaEsik,1,0))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IF(OR($A803="",$B803&lt;&gt;"tutar_farki"),"",IF(ABS($C803-$D803)&lt;=toleransKurus,"KDV_ORAN",IF(ABS($C803-$E803*efs_kdvOran)&lt;=toleransKurus,"MATRAH",IF($F803=1,"YUVARLAMA","TANIMSIZ"))))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IF($A804="","",IF($C804&lt;=efs_yuvarlamaEsik,1,0))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IF(OR($A804="",$B804&lt;&gt;"tutar_farki"),"",IF(ABS($C804-$D804)&lt;=toleransKurus,"KDV_ORAN",IF(ABS($C804-$E804*efs_kdvOran)&lt;=toleransKurus,"MATRAH",IF($F804=1,"YUVARLAMA","TANIMSIZ"))))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IF($A805="","",IF($C805&lt;=efs_yuvarlamaEsik,1,0))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IF(OR($A805="",$B805&lt;&gt;"tutar_farki"),"",IF(ABS($C805-$D805)&lt;=toleransKurus,"KDV_ORAN",IF(ABS($C805-$E805*efs_kdvOran)&lt;=toleransKurus,"MATRAH",IF($F805=1,"YUVARLAMA","TANIMSIZ"))))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IF($A806="","",IF($C806&lt;=efs_yuvarlamaEsik,1,0))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IF(OR($A806="",$B806&lt;&gt;"tutar_farki"),"",IF(ABS($C806-$D806)&lt;=toleransKurus,"KDV_ORAN",IF(ABS($C806-$E806*efs_kdvOran)&lt;=toleransKurus,"MATRAH",IF($F806=1,"YUVARLAMA","TANIMSIZ"))))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IF($A807="","",IF($C807&lt;=efs_yuvarlamaEsik,1,0))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IF(OR($A807="",$B807&lt;&gt;"tutar_farki"),"",IF(ABS($C807-$D807)&lt;=toleransKurus,"KDV_ORAN",IF(ABS($C807-$E807*efs_kdvOran)&lt;=toleransKurus,"MATRAH",IF($F807=1,"YUVARLAMA","TANIMSIZ"))))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IF($A808="","",IF($C808&lt;=efs_yuvarlamaEsik,1,0))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IF(OR($A808="",$B808&lt;&gt;"tutar_farki"),"",IF(ABS($C808-$D808)&lt;=toleransKurus,"KDV_ORAN",IF(ABS($C808-$E808*efs_kdvOran)&lt;=toleransKurus,"MATRAH",IF($F808=1,"YUVARLAMA","TANIMSIZ"))))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IF($A809="","",IF($C809&lt;=efs_yuvarlamaEsik,1,0))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IF(OR($A809="",$B809&lt;&gt;"tutar_farki"),"",IF(ABS($C809-$D809)&lt;=toleransKurus,"KDV_ORAN",IF(ABS($C809-$E809*efs_kdvOran)&lt;=toleransKurus,"MATRAH",IF($F809=1,"YUVARLAMA","TANIMSIZ"))))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IF($A810="","",IF($C810&lt;=efs_yuvarlamaEsik,1,0))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IF(OR($A810="",$B810&lt;&gt;"tutar_farki"),"",IF(ABS($C810-$D810)&lt;=toleransKurus,"KDV_ORAN",IF(ABS($C810-$E810*efs_kdvOran)&lt;=toleransKurus,"MATRAH",IF($F810=1,"YUVARLAMA","TANIMSIZ"))))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IF($A811="","",IF($C811&lt;=efs_yuvarlamaEsik,1,0))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IF(OR($A811="",$B811&lt;&gt;"tutar_farki"),"",IF(ABS($C811-$D811)&lt;=toleransKurus,"KDV_ORAN",IF(ABS($C811-$E811*efs_kdvOran)&lt;=toleransKurus,"MATRAH",IF($F811=1,"YUVARLAMA","TANIMSIZ"))))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IF($A812="","",IF($C812&lt;=efs_yuvarlamaEsik,1,0))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IF(OR($A812="",$B812&lt;&gt;"tutar_farki"),"",IF(ABS($C812-$D812)&lt;=toleransKurus,"KDV_ORAN",IF(ABS($C812-$E812*efs_kdvOran)&lt;=toleransKurus,"MATRAH",IF($F812=1,"YUVARLAMA","TANIMSIZ"))))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IF($A813="","",IF($C813&lt;=efs_yuvarlamaEsik,1,0))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IF(OR($A813="",$B813&lt;&gt;"tutar_farki"),"",IF(ABS($C813-$D813)&lt;=toleransKurus,"KDV_ORAN",IF(ABS($C813-$E813*efs_kdvOran)&lt;=toleransKurus,"MATRAH",IF($F813=1,"YUVARLAMA","TANIMSIZ"))))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IF($A814="","",IF($C814&lt;=efs_yuvarlamaEsik,1,0))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IF(OR($A814="",$B814&lt;&gt;"tutar_farki"),"",IF(ABS($C814-$D814)&lt;=toleransKurus,"KDV_ORAN",IF(ABS($C814-$E814*efs_kdvOran)&lt;=toleransKurus,"MATRAH",IF($F814=1,"YUVARLAMA","TANIMSIZ"))))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IF($A815="","",IF($C815&lt;=efs_yuvarlamaEsik,1,0))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IF(OR($A815="",$B815&lt;&gt;"tutar_farki"),"",IF(ABS($C815-$D815)&lt;=toleransKurus,"KDV_ORAN",IF(ABS($C815-$E815*efs_kdvOran)&lt;=toleransKurus,"MATRAH",IF($F815=1,"YUVARLAMA","TANIMSIZ"))))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IF($A816="","",IF($C816&lt;=efs_yuvarlamaEsik,1,0))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IF(OR($A816="",$B816&lt;&gt;"tutar_farki"),"",IF(ABS($C816-$D816)&lt;=toleransKurus,"KDV_ORAN",IF(ABS($C816-$E816*efs_kdvOran)&lt;=toleransKurus,"MATRAH",IF($F816=1,"YUVARLAMA","TANIMSIZ"))))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IF($A817="","",IF($C817&lt;=efs_yuvarlamaEsik,1,0))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IF(OR($A817="",$B817&lt;&gt;"tutar_farki"),"",IF(ABS($C817-$D817)&lt;=toleransKurus,"KDV_ORAN",IF(ABS($C817-$E817*efs_kdvOran)&lt;=toleransKurus,"MATRAH",IF($F817=1,"YUVARLAMA","TANIMSIZ"))))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IF($A818="","",IF($C818&lt;=efs_yuvarlamaEsik,1,0))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IF(OR($A818="",$B818&lt;&gt;"tutar_farki"),"",IF(ABS($C818-$D818)&lt;=toleransKurus,"KDV_ORAN",IF(ABS($C818-$E818*efs_kdvOran)&lt;=toleransKurus,"MATRAH",IF($F818=1,"YUVARLAMA","TANIMSIZ"))))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IF($A819="","",IF($C819&lt;=efs_yuvarlamaEsik,1,0))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IF(OR($A819="",$B819&lt;&gt;"tutar_farki"),"",IF(ABS($C819-$D819)&lt;=toleransKurus,"KDV_ORAN",IF(ABS($C819-$E819*efs_kdvOran)&lt;=toleransKurus,"MATRAH",IF($F819=1,"YUVARLAMA","TANIMSIZ"))))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IF($A820="","",IF($C820&lt;=efs_yuvarlamaEsik,1,0))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IF(OR($A820="",$B820&lt;&gt;"tutar_farki"),"",IF(ABS($C820-$D820)&lt;=toleransKurus,"KDV_ORAN",IF(ABS($C820-$E820*efs_kdvOran)&lt;=toleransKurus,"MATRAH",IF($F820=1,"YUVARLAMA","TANIMSIZ"))))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IF($A821="","",IF($C821&lt;=efs_yuvarlamaEsik,1,0))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IF(OR($A821="",$B821&lt;&gt;"tutar_farki"),"",IF(ABS($C821-$D821)&lt;=toleransKurus,"KDV_ORAN",IF(ABS($C821-$E821*efs_kdvOran)&lt;=toleransKurus,"MATRAH",IF($F821=1,"YUVARLAMA","TANIMSIZ"))))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IF($A822="","",IF($C822&lt;=efs_yuvarlamaEsik,1,0))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IF(OR($A822="",$B822&lt;&gt;"tutar_farki"),"",IF(ABS($C822-$D822)&lt;=toleransKurus,"KDV_ORAN",IF(ABS($C822-$E822*efs_kdvOran)&lt;=toleransKurus,"MATRAH",IF($F822=1,"YUVARLAMA","TANIMSIZ"))))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IF($A823="","",IF($C823&lt;=efs_yuvarlamaEsik,1,0))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IF(OR($A823="",$B823&lt;&gt;"tutar_farki"),"",IF(ABS($C823-$D823)&lt;=toleransKurus,"KDV_ORAN",IF(ABS($C823-$E823*efs_kdvOran)&lt;=toleransKurus,"MATRAH",IF($F823=1,"YUVARLAMA","TANIMSIZ"))))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IF($A824="","",IF($C824&lt;=efs_yuvarlamaEsik,1,0))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IF(OR($A824="",$B824&lt;&gt;"tutar_farki"),"",IF(ABS($C824-$D824)&lt;=toleransKurus,"KDV_ORAN",IF(ABS($C824-$E824*efs_kdvOran)&lt;=toleransKurus,"MATRAH",IF($F824=1,"YUVARLAMA","TANIMSIZ"))))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IF($A825="","",IF($C825&lt;=efs_yuvarlamaEsik,1,0))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IF(OR($A825="",$B825&lt;&gt;"tutar_farki"),"",IF(ABS($C825-$D825)&lt;=toleransKurus,"KDV_ORAN",IF(ABS($C825-$E825*efs_kdvOran)&lt;=toleransKurus,"MATRAH",IF($F825=1,"YUVARLAMA","TANIMSIZ"))))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IF($A826="","",IF($C826&lt;=efs_yuvarlamaEsik,1,0))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IF(OR($A826="",$B826&lt;&gt;"tutar_farki"),"",IF(ABS($C826-$D826)&lt;=toleransKurus,"KDV_ORAN",IF(ABS($C826-$E826*efs_kdvOran)&lt;=toleransKurus,"MATRAH",IF($F826=1,"YUVARLAMA","TANIMSIZ"))))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IF($A827="","",IF($C827&lt;=efs_yuvarlamaEsik,1,0))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IF(OR($A827="",$B827&lt;&gt;"tutar_farki"),"",IF(ABS($C827-$D827)&lt;=toleransKurus,"KDV_ORAN",IF(ABS($C827-$E827*efs_kdvOran)&lt;=toleransKurus,"MATRAH",IF($F827=1,"YUVARLAMA","TANIMSIZ"))))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IF($A828="","",IF($C828&lt;=efs_yuvarlamaEsik,1,0))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IF(OR($A828="",$B828&lt;&gt;"tutar_farki"),"",IF(ABS($C828-$D828)&lt;=toleransKurus,"KDV_ORAN",IF(ABS($C828-$E828*efs_kdvOran)&lt;=toleransKurus,"MATRAH",IF($F828=1,"YUVARLAMA","TANIMSIZ"))))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IF($A829="","",IF($C829&lt;=efs_yuvarlamaEsik,1,0))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IF(OR($A829="",$B829&lt;&gt;"tutar_farki"),"",IF(ABS($C829-$D829)&lt;=toleransKurus,"KDV_ORAN",IF(ABS($C829-$E829*efs_kdvOran)&lt;=toleransKurus,"MATRAH",IF($F829=1,"YUVARLAMA","TANIMSIZ"))))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IF($A830="","",IF($C830&lt;=efs_yuvarlamaEsik,1,0))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IF(OR($A830="",$B830&lt;&gt;"tutar_farki"),"",IF(ABS($C830-$D830)&lt;=toleransKurus,"KDV_ORAN",IF(ABS($C830-$E830*efs_kdvOran)&lt;=toleransKurus,"MATRAH",IF($F830=1,"YUVARLAMA","TANIMSIZ"))))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IF($A831="","",IF($C831&lt;=efs_yuvarlamaEsik,1,0))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IF(OR($A831="",$B831&lt;&gt;"tutar_farki"),"",IF(ABS($C831-$D831)&lt;=toleransKurus,"KDV_ORAN",IF(ABS($C831-$E831*efs_kdvOran)&lt;=toleransKurus,"MATRAH",IF($F831=1,"YUVARLAMA","TANIMSIZ"))))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IF($A832="","",IF($C832&lt;=efs_yuvarlamaEsik,1,0))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IF(OR($A832="",$B832&lt;&gt;"tutar_farki"),"",IF(ABS($C832-$D832)&lt;=toleransKurus,"KDV_ORAN",IF(ABS($C832-$E832*efs_kdvOran)&lt;=toleransKurus,"MATRAH",IF($F832=1,"YUVARLAMA","TANIMSIZ"))))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IF($A833="","",IF($C833&lt;=efs_yuvarlamaEsik,1,0))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IF(OR($A833="",$B833&lt;&gt;"tutar_farki"),"",IF(ABS($C833-$D833)&lt;=toleransKurus,"KDV_ORAN",IF(ABS($C833-$E833*efs_kdvOran)&lt;=toleransKurus,"MATRAH",IF($F833=1,"YUVARLAMA","TANIMSIZ"))))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IF($A834="","",IF($C834&lt;=efs_yuvarlamaEsik,1,0))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IF(OR($A834="",$B834&lt;&gt;"tutar_farki"),"",IF(ABS($C834-$D834)&lt;=toleransKurus,"KDV_ORAN",IF(ABS($C834-$E834*efs_kdvOran)&lt;=toleransKurus,"MATRAH",IF($F834=1,"YUVARLAMA","TANIMSIZ"))))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IF($A835="","",IF($C835&lt;=efs_yuvarlamaEsik,1,0))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IF(OR($A835="",$B835&lt;&gt;"tutar_farki"),"",IF(ABS($C835-$D835)&lt;=toleransKurus,"KDV_ORAN",IF(ABS($C835-$E835*efs_kdvOran)&lt;=toleransKurus,"MATRAH",IF($F835=1,"YUVARLAMA","TANIMSIZ"))))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IF($A836="","",IF($C836&lt;=efs_yuvarlamaEsik,1,0))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IF(OR($A836="",$B836&lt;&gt;"tutar_farki"),"",IF(ABS($C836-$D836)&lt;=toleransKurus,"KDV_ORAN",IF(ABS($C836-$E836*efs_kdvOran)&lt;=toleransKurus,"MATRAH",IF($F836=1,"YUVARLAMA","TANIMSIZ"))))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IF($A837="","",IF($C837&lt;=efs_yuvarlamaEsik,1,0))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IF(OR($A837="",$B837&lt;&gt;"tutar_farki"),"",IF(ABS($C837-$D837)&lt;=toleransKurus,"KDV_ORAN",IF(ABS($C837-$E837*efs_kdvOran)&lt;=toleransKurus,"MATRAH",IF($F837=1,"YUVARLAMA","TANIMSIZ"))))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IF($A838="","",IF($C838&lt;=efs_yuvarlamaEsik,1,0))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IF(OR($A838="",$B838&lt;&gt;"tutar_farki"),"",IF(ABS($C838-$D838)&lt;=toleransKurus,"KDV_ORAN",IF(ABS($C838-$E838*efs_kdvOran)&lt;=toleransKurus,"MATRAH",IF($F838=1,"YUVARLAMA","TANIMSIZ"))))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IF($A839="","",IF($C839&lt;=efs_yuvarlamaEsik,1,0))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IF(OR($A839="",$B839&lt;&gt;"tutar_farki"),"",IF(ABS($C839-$D839)&lt;=toleransKurus,"KDV_ORAN",IF(ABS($C839-$E839*efs_kdvOran)&lt;=toleransKurus,"MATRAH",IF($F839=1,"YUVARLAMA","TANIMSIZ"))))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IF($A840="","",IF($C840&lt;=efs_yuvarlamaEsik,1,0))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IF(OR($A840="",$B840&lt;&gt;"tutar_farki"),"",IF(ABS($C840-$D840)&lt;=toleransKurus,"KDV_ORAN",IF(ABS($C840-$E840*efs_kdvOran)&lt;=toleransKurus,"MATRAH",IF($F840=1,"YUVARLAMA","TANIMSIZ"))))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IF($A841="","",IF($C841&lt;=efs_yuvarlamaEsik,1,0))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IF(OR($A841="",$B841&lt;&gt;"tutar_farki"),"",IF(ABS($C841-$D841)&lt;=toleransKurus,"KDV_ORAN",IF(ABS($C841-$E841*efs_kdvOran)&lt;=toleransKurus,"MATRAH",IF($F841=1,"YUVARLAMA","TANIMSIZ"))))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IF($A842="","",IF($C842&lt;=efs_yuvarlamaEsik,1,0))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IF(OR($A842="",$B842&lt;&gt;"tutar_farki"),"",IF(ABS($C842-$D842)&lt;=toleransKurus,"KDV_ORAN",IF(ABS($C842-$E842*efs_kdvOran)&lt;=toleransKurus,"MATRAH",IF($F842=1,"YUVARLAMA","TANIMSIZ"))))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IF($A843="","",IF($C843&lt;=efs_yuvarlamaEsik,1,0))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IF(OR($A843="",$B843&lt;&gt;"tutar_farki"),"",IF(ABS($C843-$D843)&lt;=toleransKurus,"KDV_ORAN",IF(ABS($C843-$E843*efs_kdvOran)&lt;=toleransKurus,"MATRAH",IF($F843=1,"YUVARLAMA","TANIMSIZ"))))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IF($A844="","",IF($C844&lt;=efs_yuvarlamaEsik,1,0))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IF(OR($A844="",$B844&lt;&gt;"tutar_farki"),"",IF(ABS($C844-$D844)&lt;=toleransKurus,"KDV_ORAN",IF(ABS($C844-$E844*efs_kdvOran)&lt;=toleransKurus,"MATRAH",IF($F844=1,"YUVARLAMA","TANIMSIZ"))))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IF($A845="","",IF($C845&lt;=efs_yuvarlamaEsik,1,0))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IF(OR($A845="",$B845&lt;&gt;"tutar_farki"),"",IF(ABS($C845-$D845)&lt;=toleransKurus,"KDV_ORAN",IF(ABS($C845-$E845*efs_kdvOran)&lt;=toleransKurus,"MATRAH",IF($F845=1,"YUVARLAMA","TANIMSIZ"))))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IF($A846="","",IF($C846&lt;=efs_yuvarlamaEsik,1,0))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IF(OR($A846="",$B846&lt;&gt;"tutar_farki"),"",IF(ABS($C846-$D846)&lt;=toleransKurus,"KDV_ORAN",IF(ABS($C846-$E846*efs_kdvOran)&lt;=toleransKurus,"MATRAH",IF($F846=1,"YUVARLAMA","TANIMSIZ"))))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IF($A847="","",IF($C847&lt;=efs_yuvarlamaEsik,1,0))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IF(OR($A847="",$B847&lt;&gt;"tutar_farki"),"",IF(ABS($C847-$D847)&lt;=toleransKurus,"KDV_ORAN",IF(ABS($C847-$E847*efs_kdvOran)&lt;=toleransKurus,"MATRAH",IF($F847=1,"YUVARLAMA","TANIMSIZ"))))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IF($A848="","",IF($C848&lt;=efs_yuvarlamaEsik,1,0))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IF(OR($A848="",$B848&lt;&gt;"tutar_farki"),"",IF(ABS($C848-$D848)&lt;=toleransKurus,"KDV_ORAN",IF(ABS($C848-$E848*efs_kdvOran)&lt;=toleransKurus,"MATRAH",IF($F848=1,"YUVARLAMA","TANIMSIZ"))))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IF($A849="","",IF($C849&lt;=efs_yuvarlamaEsik,1,0))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IF(OR($A849="",$B849&lt;&gt;"tutar_farki"),"",IF(ABS($C849-$D849)&lt;=toleransKurus,"KDV_ORAN",IF(ABS($C849-$E849*efs_kdvOran)&lt;=toleransKurus,"MATRAH",IF($F849=1,"YUVARLAMA","TANIMSIZ"))))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IF($A850="","",IF($C850&lt;=efs_yuvarlamaEsik,1,0))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IF(OR($A850="",$B850&lt;&gt;"tutar_farki"),"",IF(ABS($C850-$D850)&lt;=toleransKurus,"KDV_ORAN",IF(ABS($C850-$E850*efs_kdvOran)&lt;=toleransKurus,"MATRAH",IF($F850=1,"YUVARLAMA","TANIMSIZ"))))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IF($A851="","",IF($C851&lt;=efs_yuvarlamaEsik,1,0))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IF(OR($A851="",$B851&lt;&gt;"tutar_farki"),"",IF(ABS($C851-$D851)&lt;=toleransKurus,"KDV_ORAN",IF(ABS($C851-$E851*efs_kdvOran)&lt;=toleransKurus,"MATRAH",IF($F851=1,"YUVARLAMA","TANIMSIZ"))))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IF($A852="","",IF($C852&lt;=efs_yuvarlamaEsik,1,0))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IF(OR($A852="",$B852&lt;&gt;"tutar_farki"),"",IF(ABS($C852-$D852)&lt;=toleransKurus,"KDV_ORAN",IF(ABS($C852-$E852*efs_kdvOran)&lt;=toleransKurus,"MATRAH",IF($F852=1,"YUVARLAMA","TANIMSIZ"))))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IF($A853="","",IF($C853&lt;=efs_yuvarlamaEsik,1,0))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IF(OR($A853="",$B853&lt;&gt;"tutar_farki"),"",IF(ABS($C853-$D853)&lt;=toleransKurus,"KDV_ORAN",IF(ABS($C853-$E853*efs_kdvOran)&lt;=toleransKurus,"MATRAH",IF($F853=1,"YUVARLAMA","TANIMSIZ"))))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IF($A854="","",IF($C854&lt;=efs_yuvarlamaEsik,1,0))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IF(OR($A854="",$B854&lt;&gt;"tutar_farki"),"",IF(ABS($C854-$D854)&lt;=toleransKurus,"KDV_ORAN",IF(ABS($C854-$E854*efs_kdvOran)&lt;=toleransKurus,"MATRAH",IF($F854=1,"YUVARLAMA","TANIMSIZ"))))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IF($A855="","",IF($C855&lt;=efs_yuvarlamaEsik,1,0))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IF(OR($A855="",$B855&lt;&gt;"tutar_farki"),"",IF(ABS($C855-$D855)&lt;=toleransKurus,"KDV_ORAN",IF(ABS($C855-$E855*efs_kdvOran)&lt;=toleransKurus,"MATRAH",IF($F855=1,"YUVARLAMA","TANIMSIZ"))))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IF($A856="","",IF($C856&lt;=efs_yuvarlamaEsik,1,0))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IF(OR($A856="",$B856&lt;&gt;"tutar_farki"),"",IF(ABS($C856-$D856)&lt;=toleransKurus,"KDV_ORAN",IF(ABS($C856-$E856*efs_kdvOran)&lt;=toleransKurus,"MATRAH",IF($F856=1,"YUVARLAMA","TANIMSIZ"))))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IF($A857="","",IF($C857&lt;=efs_yuvarlamaEsik,1,0))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IF(OR($A857="",$B857&lt;&gt;"tutar_farki"),"",IF(ABS($C857-$D857)&lt;=toleransKurus,"KDV_ORAN",IF(ABS($C857-$E857*efs_kdvOran)&lt;=toleransKurus,"MATRAH",IF($F857=1,"YUVARLAMA","TANIMSIZ"))))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IF($A858="","",IF($C858&lt;=efs_yuvarlamaEsik,1,0))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IF(OR($A858="",$B858&lt;&gt;"tutar_farki"),"",IF(ABS($C858-$D858)&lt;=toleransKurus,"KDV_ORAN",IF(ABS($C858-$E858*efs_kdvOran)&lt;=toleransKurus,"MATRAH",IF($F858=1,"YUVARLAMA","TANIMSIZ"))))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IF($A859="","",IF($C859&lt;=efs_yuvarlamaEsik,1,0))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IF(OR($A859="",$B859&lt;&gt;"tutar_farki"),"",IF(ABS($C859-$D859)&lt;=toleransKurus,"KDV_ORAN",IF(ABS($C859-$E859*efs_kdvOran)&lt;=toleransKurus,"MATRAH",IF($F859=1,"YUVARLAMA","TANIMSIZ"))))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IF($A860="","",IF($C860&lt;=efs_yuvarlamaEsik,1,0))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IF(OR($A860="",$B860&lt;&gt;"tutar_farki"),"",IF(ABS($C860-$D860)&lt;=toleransKurus,"KDV_ORAN",IF(ABS($C860-$E860*efs_kdvOran)&lt;=toleransKurus,"MATRAH",IF($F860=1,"YUVARLAMA","TANIMSIZ"))))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IF($A861="","",IF($C861&lt;=efs_yuvarlamaEsik,1,0))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IF(OR($A861="",$B861&lt;&gt;"tutar_farki"),"",IF(ABS($C861-$D861)&lt;=toleransKurus,"KDV_ORAN",IF(ABS($C861-$E861*efs_kdvOran)&lt;=toleransKurus,"MATRAH",IF($F861=1,"YUVARLAMA","TANIMSIZ"))))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IF($A862="","",IF($C862&lt;=efs_yuvarlamaEsik,1,0))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IF(OR($A862="",$B862&lt;&gt;"tutar_farki"),"",IF(ABS($C862-$D862)&lt;=toleransKurus,"KDV_ORAN",IF(ABS($C862-$E862*efs_kdvOran)&lt;=toleransKurus,"MATRAH",IF($F862=1,"YUVARLAMA","TANIMSIZ"))))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IF($A863="","",IF($C863&lt;=efs_yuvarlamaEsik,1,0))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IF(OR($A863="",$B863&lt;&gt;"tutar_farki"),"",IF(ABS($C863-$D863)&lt;=toleransKurus,"KDV_ORAN",IF(ABS($C863-$E863*efs_kdvOran)&lt;=toleransKurus,"MATRAH",IF($F863=1,"YUVARLAMA","TANIMSIZ"))))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IF($A864="","",IF($C864&lt;=efs_yuvarlamaEsik,1,0))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IF(OR($A864="",$B864&lt;&gt;"tutar_farki"),"",IF(ABS($C864-$D864)&lt;=toleransKurus,"KDV_ORAN",IF(ABS($C864-$E864*efs_kdvOran)&lt;=toleransKurus,"MATRAH",IF($F864=1,"YUVARLAMA","TANIMSIZ"))))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IF($A865="","",IF($C865&lt;=efs_yuvarlamaEsik,1,0))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IF(OR($A865="",$B865&lt;&gt;"tutar_farki"),"",IF(ABS($C865-$D865)&lt;=toleransKurus,"KDV_ORAN",IF(ABS($C865-$E865*efs_kdvOran)&lt;=toleransKurus,"MATRAH",IF($F865=1,"YUVARLAMA","TANIMSIZ"))))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IF($A866="","",IF($C866&lt;=efs_yuvarlamaEsik,1,0))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IF(OR($A866="",$B866&lt;&gt;"tutar_farki"),"",IF(ABS($C866-$D866)&lt;=toleransKurus,"KDV_ORAN",IF(ABS($C866-$E866*efs_kdvOran)&lt;=toleransKurus,"MATRAH",IF($F866=1,"YUVARLAMA","TANIMSIZ"))))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IF($A867="","",IF($C867&lt;=efs_yuvarlamaEsik,1,0))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IF(OR($A867="",$B867&lt;&gt;"tutar_farki"),"",IF(ABS($C867-$D867)&lt;=toleransKurus,"KDV_ORAN",IF(ABS($C867-$E867*efs_kdvOran)&lt;=toleransKurus,"MATRAH",IF($F867=1,"YUVARLAMA","TANIMSIZ"))))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IF($A868="","",IF($C868&lt;=efs_yuvarlamaEsik,1,0))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IF(OR($A868="",$B868&lt;&gt;"tutar_farki"),"",IF(ABS($C868-$D868)&lt;=toleransKurus,"KDV_ORAN",IF(ABS($C868-$E868*efs_kdvOran)&lt;=toleransKurus,"MATRAH",IF($F868=1,"YUVARLAMA","TANIMSIZ"))))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IF($A869="","",IF($C869&lt;=efs_yuvarlamaEsik,1,0))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IF(OR($A869="",$B869&lt;&gt;"tutar_farki"),"",IF(ABS($C869-$D869)&lt;=toleransKurus,"KDV_ORAN",IF(ABS($C869-$E869*efs_kdvOran)&lt;=toleransKurus,"MATRAH",IF($F869=1,"YUVARLAMA","TANIMSIZ"))))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IF($A870="","",IF($C870&lt;=efs_yuvarlamaEsik,1,0))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IF(OR($A870="",$B870&lt;&gt;"tutar_farki"),"",IF(ABS($C870-$D870)&lt;=toleransKurus,"KDV_ORAN",IF(ABS($C870-$E870*efs_kdvOran)&lt;=toleransKurus,"MATRAH",IF($F870=1,"YUVARLAMA","TANIMSIZ"))))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IF($A871="","",IF($C871&lt;=efs_yuvarlamaEsik,1,0))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IF(OR($A871="",$B871&lt;&gt;"tutar_farki"),"",IF(ABS($C871-$D871)&lt;=toleransKurus,"KDV_ORAN",IF(ABS($C871-$E871*efs_kdvOran)&lt;=toleransKurus,"MATRAH",IF($F871=1,"YUVARLAMA","TANIMSIZ"))))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IF($A872="","",IF($C872&lt;=efs_yuvarlamaEsik,1,0))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IF(OR($A872="",$B872&lt;&gt;"tutar_farki"),"",IF(ABS($C872-$D872)&lt;=toleransKurus,"KDV_ORAN",IF(ABS($C872-$E872*efs_kdvOran)&lt;=toleransKurus,"MATRAH",IF($F872=1,"YUVARLAMA","TANIMSIZ"))))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IF($A873="","",IF($C873&lt;=efs_yuvarlamaEsik,1,0))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IF(OR($A873="",$B873&lt;&gt;"tutar_farki"),"",IF(ABS($C873-$D873)&lt;=toleransKurus,"KDV_ORAN",IF(ABS($C873-$E873*efs_kdvOran)&lt;=toleransKurus,"MATRAH",IF($F873=1,"YUVARLAMA","TANIMSIZ"))))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IF($A874="","",IF($C874&lt;=efs_yuvarlamaEsik,1,0))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IF(OR($A874="",$B874&lt;&gt;"tutar_farki"),"",IF(ABS($C874-$D874)&lt;=toleransKurus,"KDV_ORAN",IF(ABS($C874-$E874*efs_kdvOran)&lt;=toleransKurus,"MATRAH",IF($F874=1,"YUVARLAMA","TANIMSIZ"))))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IF($A875="","",IF($C875&lt;=efs_yuvarlamaEsik,1,0))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IF(OR($A875="",$B875&lt;&gt;"tutar_farki"),"",IF(ABS($C875-$D875)&lt;=toleransKurus,"KDV_ORAN",IF(ABS($C875-$E875*efs_kdvOran)&lt;=toleransKurus,"MATRAH",IF($F875=1,"YUVARLAMA","TANIMSIZ"))))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IF($A876="","",IF($C876&lt;=efs_yuvarlamaEsik,1,0))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IF(OR($A876="",$B876&lt;&gt;"tutar_farki"),"",IF(ABS($C876-$D876)&lt;=toleransKurus,"KDV_ORAN",IF(ABS($C876-$E876*efs_kdvOran)&lt;=toleransKurus,"MATRAH",IF($F876=1,"YUVARLAMA","TANIMSIZ"))))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IF($A877="","",IF($C877&lt;=efs_yuvarlamaEsik,1,0))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IF(OR($A877="",$B877&lt;&gt;"tutar_farki"),"",IF(ABS($C877-$D877)&lt;=toleransKurus,"KDV_ORAN",IF(ABS($C877-$E877*efs_kdvOran)&lt;=toleransKurus,"MATRAH",IF($F877=1,"YUVARLAMA","TANIMSIZ"))))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IF($A878="","",IF($C878&lt;=efs_yuvarlamaEsik,1,0))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IF(OR($A878="",$B878&lt;&gt;"tutar_farki"),"",IF(ABS($C878-$D878)&lt;=toleransKurus,"KDV_ORAN",IF(ABS($C878-$E878*efs_kdvOran)&lt;=toleransKurus,"MATRAH",IF($F878=1,"YUVARLAMA","TANIMSIZ"))))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IF($A879="","",IF($C879&lt;=efs_yuvarlamaEsik,1,0))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IF(OR($A879="",$B879&lt;&gt;"tutar_farki"),"",IF(ABS($C879-$D879)&lt;=toleransKurus,"KDV_ORAN",IF(ABS($C879-$E879*efs_kdvOran)&lt;=toleransKurus,"MATRAH",IF($F879=1,"YUVARLAMA","TANIMSIZ"))))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IF($A880="","",IF($C880&lt;=efs_yuvarlamaEsik,1,0))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IF(OR($A880="",$B880&lt;&gt;"tutar_farki"),"",IF(ABS($C880-$D880)&lt;=toleransKurus,"KDV_ORAN",IF(ABS($C880-$E880*efs_kdvOran)&lt;=toleransKurus,"MATRAH",IF($F880=1,"YUVARLAMA","TANIMSIZ"))))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IF($A881="","",IF($C881&lt;=efs_yuvarlamaEsik,1,0))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IF(OR($A881="",$B881&lt;&gt;"tutar_farki"),"",IF(ABS($C881-$D881)&lt;=toleransKurus,"KDV_ORAN",IF(ABS($C881-$E881*efs_kdvOran)&lt;=toleransKurus,"MATRAH",IF($F881=1,"YUVARLAMA","TANIMSIZ"))))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IF($A882="","",IF($C882&lt;=efs_yuvarlamaEsik,1,0))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IF(OR($A882="",$B882&lt;&gt;"tutar_farki"),"",IF(ABS($C882-$D882)&lt;=toleransKurus,"KDV_ORAN",IF(ABS($C882-$E882*efs_kdvOran)&lt;=toleransKurus,"MATRAH",IF($F882=1,"YUVARLAMA","TANIMSIZ"))))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IF($A883="","",IF($C883&lt;=efs_yuvarlamaEsik,1,0))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IF(OR($A883="",$B883&lt;&gt;"tutar_farki"),"",IF(ABS($C883-$D883)&lt;=toleransKurus,"KDV_ORAN",IF(ABS($C883-$E883*efs_kdvOran)&lt;=toleransKurus,"MATRAH",IF($F883=1,"YUVARLAMA","TANIMSIZ"))))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IF($A884="","",IF($C884&lt;=efs_yuvarlamaEsik,1,0))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IF(OR($A884="",$B884&lt;&gt;"tutar_farki"),"",IF(ABS($C884-$D884)&lt;=toleransKurus,"KDV_ORAN",IF(ABS($C884-$E884*efs_kdvOran)&lt;=toleransKurus,"MATRAH",IF($F884=1,"YUVARLAMA","TANIMSIZ"))))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IF($A885="","",IF($C885&lt;=efs_yuvarlamaEsik,1,0))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IF(OR($A885="",$B885&lt;&gt;"tutar_farki"),"",IF(ABS($C885-$D885)&lt;=toleransKurus,"KDV_ORAN",IF(ABS($C885-$E885*efs_kdvOran)&lt;=toleransKurus,"MATRAH",IF($F885=1,"YUVARLAMA","TANIMSIZ"))))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IF($A886="","",IF($C886&lt;=efs_yuvarlamaEsik,1,0))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IF(OR($A886="",$B886&lt;&gt;"tutar_farki"),"",IF(ABS($C886-$D886)&lt;=toleransKurus,"KDV_ORAN",IF(ABS($C886-$E886*efs_kdvOran)&lt;=toleransKurus,"MATRAH",IF($F886=1,"YUVARLAMA","TANIMSIZ"))))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IF($A887="","",IF($C887&lt;=efs_yuvarlamaEsik,1,0))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IF(OR($A887="",$B887&lt;&gt;"tutar_farki"),"",IF(ABS($C887-$D887)&lt;=toleransKurus,"KDV_ORAN",IF(ABS($C887-$E887*efs_kdvOran)&lt;=toleransKurus,"MATRAH",IF($F887=1,"YUVARLAMA","TANIMSIZ"))))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IF($A888="","",IF($C888&lt;=efs_yuvarlamaEsik,1,0))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IF(OR($A888="",$B888&lt;&gt;"tutar_farki"),"",IF(ABS($C888-$D888)&lt;=toleransKurus,"KDV_ORAN",IF(ABS($C888-$E888*efs_kdvOran)&lt;=toleransKurus,"MATRAH",IF($F888=1,"YUVARLAMA","TANIMSIZ"))))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IF($A889="","",IF($C889&lt;=efs_yuvarlamaEsik,1,0))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IF(OR($A889="",$B889&lt;&gt;"tutar_farki"),"",IF(ABS($C889-$D889)&lt;=toleransKurus,"KDV_ORAN",IF(ABS($C889-$E889*efs_kdvOran)&lt;=toleransKurus,"MATRAH",IF($F889=1,"YUVARLAMA","TANIMSIZ"))))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IF($A890="","",IF($C890&lt;=efs_yuvarlamaEsik,1,0))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IF(OR($A890="",$B890&lt;&gt;"tutar_farki"),"",IF(ABS($C890-$D890)&lt;=toleransKurus,"KDV_ORAN",IF(ABS($C890-$E890*efs_kdvOran)&lt;=toleransKurus,"MATRAH",IF($F890=1,"YUVARLAMA","TANIMSIZ"))))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IF($A891="","",IF($C891&lt;=efs_yuvarlamaEsik,1,0))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IF(OR($A891="",$B891&lt;&gt;"tutar_farki"),"",IF(ABS($C891-$D891)&lt;=toleransKurus,"KDV_ORAN",IF(ABS($C891-$E891*efs_kdvOran)&lt;=toleransKurus,"MATRAH",IF($F891=1,"YUVARLAMA","TANIMSIZ"))))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IF($A892="","",IF($C892&lt;=efs_yuvarlamaEsik,1,0))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IF(OR($A892="",$B892&lt;&gt;"tutar_farki"),"",IF(ABS($C892-$D892)&lt;=toleransKurus,"KDV_ORAN",IF(ABS($C892-$E892*efs_kdvOran)&lt;=toleransKurus,"MATRAH",IF($F892=1,"YUVARLAMA","TANIMSIZ"))))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IF($A893="","",IF($C893&lt;=efs_yuvarlamaEsik,1,0))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IF(OR($A893="",$B893&lt;&gt;"tutar_farki"),"",IF(ABS($C893-$D893)&lt;=toleransKurus,"KDV_ORAN",IF(ABS($C893-$E893*efs_kdvOran)&lt;=toleransKurus,"MATRAH",IF($F893=1,"YUVARLAMA","TANIMSIZ"))))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IF($A894="","",IF($C894&lt;=efs_yuvarlamaEsik,1,0))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IF(OR($A894="",$B894&lt;&gt;"tutar_farki"),"",IF(ABS($C894-$D894)&lt;=toleransKurus,"KDV_ORAN",IF(ABS($C894-$E894*efs_kdvOran)&lt;=toleransKurus,"MATRAH",IF($F894=1,"YUVARLAMA","TANIMSIZ"))))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IF($A895="","",IF($C895&lt;=efs_yuvarlamaEsik,1,0))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IF(OR($A895="",$B895&lt;&gt;"tutar_farki"),"",IF(ABS($C895-$D895)&lt;=toleransKurus,"KDV_ORAN",IF(ABS($C895-$E895*efs_kdvOran)&lt;=toleransKurus,"MATRAH",IF($F895=1,"YUVARLAMA","TANIMSIZ"))))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IF($A896="","",IF($C896&lt;=efs_yuvarlamaEsik,1,0))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IF(OR($A896="",$B896&lt;&gt;"tutar_farki"),"",IF(ABS($C896-$D896)&lt;=toleransKurus,"KDV_ORAN",IF(ABS($C896-$E896*efs_kdvOran)&lt;=toleransKurus,"MATRAH",IF($F896=1,"YUVARLAMA","TANIMSIZ"))))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IF($A897="","",IF($C897&lt;=efs_yuvarlamaEsik,1,0))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IF(OR($A897="",$B897&lt;&gt;"tutar_farki"),"",IF(ABS($C897-$D897)&lt;=toleransKurus,"KDV_ORAN",IF(ABS($C897-$E897*efs_kdvOran)&lt;=toleransKurus,"MATRAH",IF($F897=1,"YUVARLAMA","TANIMSIZ"))))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IF($A898="","",IF($C898&lt;=efs_yuvarlamaEsik,1,0))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IF(OR($A898="",$B898&lt;&gt;"tutar_farki"),"",IF(ABS($C898-$D898)&lt;=toleransKurus,"KDV_ORAN",IF(ABS($C898-$E898*efs_kdvOran)&lt;=toleransKurus,"MATRAH",IF($F898=1,"YUVARLAMA","TANIMSIZ"))))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IF($A899="","",IF($C899&lt;=efs_yuvarlamaEsik,1,0))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IF(OR($A899="",$B899&lt;&gt;"tutar_farki"),"",IF(ABS($C899-$D899)&lt;=toleransKurus,"KDV_ORAN",IF(ABS($C899-$E899*efs_kdvOran)&lt;=toleransKurus,"MATRAH",IF($F899=1,"YUVARLAMA","TANIMSIZ"))))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IF($A900="","",IF($C900&lt;=efs_yuvarlamaEsik,1,0))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IF(OR($A900="",$B900&lt;&gt;"tutar_farki"),"",IF(ABS($C900-$D900)&lt;=toleransKurus,"KDV_ORAN",IF(ABS($C900-$E900*efs_kdvOran)&lt;=toleransKurus,"MATRAH",IF($F900=1,"YUVARLAMA","TANIMSIZ"))))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IF($A901="","",IF($C901&lt;=efs_yuvarlamaEsik,1,0))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IF(OR($A901="",$B901&lt;&gt;"tutar_farki"),"",IF(ABS($C901-$D901)&lt;=toleransKurus,"KDV_ORAN",IF(ABS($C901-$E901*efs_kdvOran)&lt;=toleransKurus,"MATRAH",IF($F901=1,"YUVARLAMA","TANIMSIZ"))))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IF($A902="","",IF($C902&lt;=efs_yuvarlamaEsik,1,0))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IF(OR($A902="",$B902&lt;&gt;"tutar_farki"),"",IF(ABS($C902-$D902)&lt;=toleransKurus,"KDV_ORAN",IF(ABS($C902-$E902*efs_kdvOran)&lt;=toleransKurus,"MATRAH",IF($F902=1,"YUVARLAMA","TANIMSIZ"))))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IF($A903="","",IF($C903&lt;=efs_yuvarlamaEsik,1,0))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IF(OR($A903="",$B903&lt;&gt;"tutar_farki"),"",IF(ABS($C903-$D903)&lt;=toleransKurus,"KDV_ORAN",IF(ABS($C903-$E903*efs_kdvOran)&lt;=toleransKurus,"MATRAH",IF($F903=1,"YUVARLAMA","TANIMSIZ"))))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IF($A904="","",IF($C904&lt;=efs_yuvarlamaEsik,1,0))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IF(OR($A904="",$B904&lt;&gt;"tutar_farki"),"",IF(ABS($C904-$D904)&lt;=toleransKurus,"KDV_ORAN",IF(ABS($C904-$E904*efs_kdvOran)&lt;=toleransKurus,"MATRAH",IF($F904=1,"YUVARLAMA","TANIMSIZ"))))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IF($A905="","",IF($C905&lt;=efs_yuvarlamaEsik,1,0))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IF(OR($A905="",$B905&lt;&gt;"tutar_farki"),"",IF(ABS($C905-$D905)&lt;=toleransKurus,"KDV_ORAN",IF(ABS($C905-$E905*efs_kdvOran)&lt;=toleransKurus,"MATRAH",IF($F905=1,"YUVARLAMA","TANIMSIZ"))))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IF($A906="","",IF($C906&lt;=efs_yuvarlamaEsik,1,0))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IF(OR($A906="",$B906&lt;&gt;"tutar_farki"),"",IF(ABS($C906-$D906)&lt;=toleransKurus,"KDV_ORAN",IF(ABS($C906-$E906*efs_kdvOran)&lt;=toleransKurus,"MATRAH",IF($F906=1,"YUVARLAMA","TANIMSIZ"))))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IF($A907="","",IF($C907&lt;=efs_yuvarlamaEsik,1,0))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IF(OR($A907="",$B907&lt;&gt;"tutar_farki"),"",IF(ABS($C907-$D907)&lt;=toleransKurus,"KDV_ORAN",IF(ABS($C907-$E907*efs_kdvOran)&lt;=toleransKurus,"MATRAH",IF($F907=1,"YUVARLAMA","TANIMSIZ"))))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IF($A908="","",IF($C908&lt;=efs_yuvarlamaEsik,1,0))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IF(OR($A908="",$B908&lt;&gt;"tutar_farki"),"",IF(ABS($C908-$D908)&lt;=toleransKurus,"KDV_ORAN",IF(ABS($C908-$E908*efs_kdvOran)&lt;=toleransKurus,"MATRAH",IF($F908=1,"YUVARLAMA","TANIMSIZ"))))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IF($A909="","",IF($C909&lt;=efs_yuvarlamaEsik,1,0))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IF(OR($A909="",$B909&lt;&gt;"tutar_farki"),"",IF(ABS($C909-$D909)&lt;=toleransKurus,"KDV_ORAN",IF(ABS($C909-$E909*efs_kdvOran)&lt;=toleransKurus,"MATRAH",IF($F909=1,"YUVARLAMA","TANIMSIZ"))))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IF($A910="","",IF($C910&lt;=efs_yuvarlamaEsik,1,0))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IF(OR($A910="",$B910&lt;&gt;"tutar_farki"),"",IF(ABS($C910-$D910)&lt;=toleransKurus,"KDV_ORAN",IF(ABS($C910-$E910*efs_kdvOran)&lt;=toleransKurus,"MATRAH",IF($F910=1,"YUVARLAMA","TANIMSIZ"))))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IF($A911="","",IF($C911&lt;=efs_yuvarlamaEsik,1,0))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IF(OR($A911="",$B911&lt;&gt;"tutar_farki"),"",IF(ABS($C911-$D911)&lt;=toleransKurus,"KDV_ORAN",IF(ABS($C911-$E911*efs_kdvOran)&lt;=toleransKurus,"MATRAH",IF($F911=1,"YUVARLAMA","TANIMSIZ"))))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IF($A912="","",IF($C912&lt;=efs_yuvarlamaEsik,1,0))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IF(OR($A912="",$B912&lt;&gt;"tutar_farki"),"",IF(ABS($C912-$D912)&lt;=toleransKurus,"KDV_ORAN",IF(ABS($C912-$E912*efs_kdvOran)&lt;=toleransKurus,"MATRAH",IF($F912=1,"YUVARLAMA","TANIMSIZ"))))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IF($A913="","",IF($C913&lt;=efs_yuvarlamaEsik,1,0))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IF(OR($A913="",$B913&lt;&gt;"tutar_farki"),"",IF(ABS($C913-$D913)&lt;=toleransKurus,"KDV_ORAN",IF(ABS($C913-$E913*efs_kdvOran)&lt;=toleransKurus,"MATRAH",IF($F913=1,"YUVARLAMA","TANIMSIZ"))))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IF($A914="","",IF($C914&lt;=efs_yuvarlamaEsik,1,0))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IF(OR($A914="",$B914&lt;&gt;"tutar_farki"),"",IF(ABS($C914-$D914)&lt;=toleransKurus,"KDV_ORAN",IF(ABS($C914-$E914*efs_kdvOran)&lt;=toleransKurus,"MATRAH",IF($F914=1,"YUVARLAMA","TANIMSIZ"))))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IF($A915="","",IF($C915&lt;=efs_yuvarlamaEsik,1,0))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IF(OR($A915="",$B915&lt;&gt;"tutar_farki"),"",IF(ABS($C915-$D915)&lt;=toleransKurus,"KDV_ORAN",IF(ABS($C915-$E915*efs_kdvOran)&lt;=toleransKurus,"MATRAH",IF($F915=1,"YUVARLAMA","TANIMSIZ"))))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IF($A916="","",IF($C916&lt;=efs_yuvarlamaEsik,1,0))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IF(OR($A916="",$B916&lt;&gt;"tutar_farki"),"",IF(ABS($C916-$D916)&lt;=toleransKurus,"KDV_ORAN",IF(ABS($C916-$E916*efs_kdvOran)&lt;=toleransKurus,"MATRAH",IF($F916=1,"YUVARLAMA","TANIMSIZ"))))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IF($A917="","",IF($C917&lt;=efs_yuvarlamaEsik,1,0))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IF(OR($A917="",$B917&lt;&gt;"tutar_farki"),"",IF(ABS($C917-$D917)&lt;=toleransKurus,"KDV_ORAN",IF(ABS($C917-$E917*efs_kdvOran)&lt;=toleransKurus,"MATRAH",IF($F917=1,"YUVARLAMA","TANIMSIZ"))))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IF($A918="","",IF($C918&lt;=efs_yuvarlamaEsik,1,0))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IF(OR($A918="",$B918&lt;&gt;"tutar_farki"),"",IF(ABS($C918-$D918)&lt;=toleransKurus,"KDV_ORAN",IF(ABS($C918-$E918*efs_kdvOran)&lt;=toleransKurus,"MATRAH",IF($F918=1,"YUVARLAMA","TANIMSIZ"))))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IF($A919="","",IF($C919&lt;=efs_yuvarlamaEsik,1,0))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IF(OR($A919="",$B919&lt;&gt;"tutar_farki"),"",IF(ABS($C919-$D919)&lt;=toleransKurus,"KDV_ORAN",IF(ABS($C919-$E919*efs_kdvOran)&lt;=toleransKurus,"MATRAH",IF($F919=1,"YUVARLAMA","TANIMSIZ"))))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IF($A920="","",IF($C920&lt;=efs_yuvarlamaEsik,1,0))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IF(OR($A920="",$B920&lt;&gt;"tutar_farki"),"",IF(ABS($C920-$D920)&lt;=toleransKurus,"KDV_ORAN",IF(ABS($C920-$E920*efs_kdvOran)&lt;=toleransKurus,"MATRAH",IF($F920=1,"YUVARLAMA","TANIMSIZ"))))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IF($A921="","",IF($C921&lt;=efs_yuvarlamaEsik,1,0))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IF(OR($A921="",$B921&lt;&gt;"tutar_farki"),"",IF(ABS($C921-$D921)&lt;=toleransKurus,"KDV_ORAN",IF(ABS($C921-$E921*efs_kdvOran)&lt;=toleransKurus,"MATRAH",IF($F921=1,"YUVARLAMA","TANIMSIZ"))))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IF($A922="","",IF($C922&lt;=efs_yuvarlamaEsik,1,0))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IF(OR($A922="",$B922&lt;&gt;"tutar_farki"),"",IF(ABS($C922-$D922)&lt;=toleransKurus,"KDV_ORAN",IF(ABS($C922-$E922*efs_kdvOran)&lt;=toleransKurus,"MATRAH",IF($F922=1,"YUVARLAMA","TANIMSIZ"))))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IF($A923="","",IF($C923&lt;=efs_yuvarlamaEsik,1,0))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IF(OR($A923="",$B923&lt;&gt;"tutar_farki"),"",IF(ABS($C923-$D923)&lt;=toleransKurus,"KDV_ORAN",IF(ABS($C923-$E923*efs_kdvOran)&lt;=toleransKurus,"MATRAH",IF($F923=1,"YUVARLAMA","TANIMSIZ"))))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IF($A924="","",IF($C924&lt;=efs_yuvarlamaEsik,1,0))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IF(OR($A924="",$B924&lt;&gt;"tutar_farki"),"",IF(ABS($C924-$D924)&lt;=toleransKurus,"KDV_ORAN",IF(ABS($C924-$E924*efs_kdvOran)&lt;=toleransKurus,"MATRAH",IF($F924=1,"YUVARLAMA","TANIMSIZ"))))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IF($A925="","",IF($C925&lt;=efs_yuvarlamaEsik,1,0))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IF(OR($A925="",$B925&lt;&gt;"tutar_farki"),"",IF(ABS($C925-$D925)&lt;=toleransKurus,"KDV_ORAN",IF(ABS($C925-$E925*efs_kdvOran)&lt;=toleransKurus,"MATRAH",IF($F925=1,"YUVARLAMA","TANIMSIZ"))))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IF($A926="","",IF($C926&lt;=efs_yuvarlamaEsik,1,0))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IF(OR($A926="",$B926&lt;&gt;"tutar_farki"),"",IF(ABS($C926-$D926)&lt;=toleransKurus,"KDV_ORAN",IF(ABS($C926-$E926*efs_kdvOran)&lt;=toleransKurus,"MATRAH",IF($F926=1,"YUVARLAMA","TANIMSIZ"))))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IF($A927="","",IF($C927&lt;=efs_yuvarlamaEsik,1,0))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IF(OR($A927="",$B927&lt;&gt;"tutar_farki"),"",IF(ABS($C927-$D927)&lt;=toleransKurus,"KDV_ORAN",IF(ABS($C927-$E927*efs_kdvOran)&lt;=toleransKurus,"MATRAH",IF($F927=1,"YUVARLAMA","TANIMSIZ"))))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IF($A928="","",IF($C928&lt;=efs_yuvarlamaEsik,1,0))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IF(OR($A928="",$B928&lt;&gt;"tutar_farki"),"",IF(ABS($C928-$D928)&lt;=toleransKurus,"KDV_ORAN",IF(ABS($C928-$E928*efs_kdvOran)&lt;=toleransKurus,"MATRAH",IF($F928=1,"YUVARLAMA","TANIMSIZ"))))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IF($A929="","",IF($C929&lt;=efs_yuvarlamaEsik,1,0))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IF(OR($A929="",$B929&lt;&gt;"tutar_farki"),"",IF(ABS($C929-$D929)&lt;=toleransKurus,"KDV_ORAN",IF(ABS($C929-$E929*efs_kdvOran)&lt;=toleransKurus,"MATRAH",IF($F929=1,"YUVARLAMA","TANIMSIZ"))))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IF($A930="","",IF($C930&lt;=efs_yuvarlamaEsik,1,0))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IF(OR($A930="",$B930&lt;&gt;"tutar_farki"),"",IF(ABS($C930-$D930)&lt;=toleransKurus,"KDV_ORAN",IF(ABS($C930-$E930*efs_kdvOran)&lt;=toleransKurus,"MATRAH",IF($F930=1,"YUVARLAMA","TANIMSIZ"))))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IF($A931="","",IF($C931&lt;=efs_yuvarlamaEsik,1,0))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IF(OR($A931="",$B931&lt;&gt;"tutar_farki"),"",IF(ABS($C931-$D931)&lt;=toleransKurus,"KDV_ORAN",IF(ABS($C931-$E931*efs_kdvOran)&lt;=toleransKurus,"MATRAH",IF($F931=1,"YUVARLAMA","TANIMSIZ"))))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IF($A932="","",IF($C932&lt;=efs_yuvarlamaEsik,1,0))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IF(OR($A932="",$B932&lt;&gt;"tutar_farki"),"",IF(ABS($C932-$D932)&lt;=toleransKurus,"KDV_ORAN",IF(ABS($C932-$E932*efs_kdvOran)&lt;=toleransKurus,"MATRAH",IF($F932=1,"YUVARLAMA","TANIMSIZ"))))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IF($A933="","",IF($C933&lt;=efs_yuvarlamaEsik,1,0))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IF(OR($A933="",$B933&lt;&gt;"tutar_farki"),"",IF(ABS($C933-$D933)&lt;=toleransKurus,"KDV_ORAN",IF(ABS($C933-$E933*efs_kdvOran)&lt;=toleransKurus,"MATRAH",IF($F933=1,"YUVARLAMA","TANIMSIZ"))))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IF($A934="","",IF($C934&lt;=efs_yuvarlamaEsik,1,0))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IF(OR($A934="",$B934&lt;&gt;"tutar_farki"),"",IF(ABS($C934-$D934)&lt;=toleransKurus,"KDV_ORAN",IF(ABS($C934-$E934*efs_kdvOran)&lt;=toleransKurus,"MATRAH",IF($F934=1,"YUVARLAMA","TANIMSIZ"))))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IF($A935="","",IF($C935&lt;=efs_yuvarlamaEsik,1,0))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IF(OR($A935="",$B935&lt;&gt;"tutar_farki"),"",IF(ABS($C935-$D935)&lt;=toleransKurus,"KDV_ORAN",IF(ABS($C935-$E935*efs_kdvOran)&lt;=toleransKurus,"MATRAH",IF($F935=1,"YUVARLAMA","TANIMSIZ"))))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IF($A936="","",IF($C936&lt;=efs_yuvarlamaEsik,1,0))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IF(OR($A936="",$B936&lt;&gt;"tutar_farki"),"",IF(ABS($C936-$D936)&lt;=toleransKurus,"KDV_ORAN",IF(ABS($C936-$E936*efs_kdvOran)&lt;=toleransKurus,"MATRAH",IF($F936=1,"YUVARLAMA","TANIMSIZ"))))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IF($A937="","",IF($C937&lt;=efs_yuvarlamaEsik,1,0))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IF(OR($A937="",$B937&lt;&gt;"tutar_farki"),"",IF(ABS($C937-$D937)&lt;=toleransKurus,"KDV_ORAN",IF(ABS($C937-$E937*efs_kdvOran)&lt;=toleransKurus,"MATRAH",IF($F937=1,"YUVARLAMA","TANIMSIZ"))))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IF($A938="","",IF($C938&lt;=efs_yuvarlamaEsik,1,0))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IF(OR($A938="",$B938&lt;&gt;"tutar_farki"),"",IF(ABS($C938-$D938)&lt;=toleransKurus,"KDV_ORAN",IF(ABS($C938-$E938*efs_kdvOran)&lt;=toleransKurus,"MATRAH",IF($F938=1,"YUVARLAMA","TANIMSIZ"))))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IF($A939="","",IF($C939&lt;=efs_yuvarlamaEsik,1,0))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IF(OR($A939="",$B939&lt;&gt;"tutar_farki"),"",IF(ABS($C939-$D939)&lt;=toleransKurus,"KDV_ORAN",IF(ABS($C939-$E939*efs_kdvOran)&lt;=toleransKurus,"MATRAH",IF($F939=1,"YUVARLAMA","TANIMSIZ"))))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IF($A940="","",IF($C940&lt;=efs_yuvarlamaEsik,1,0))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IF(OR($A940="",$B940&lt;&gt;"tutar_farki"),"",IF(ABS($C940-$D940)&lt;=toleransKurus,"KDV_ORAN",IF(ABS($C940-$E940*efs_kdvOran)&lt;=toleransKurus,"MATRAH",IF($F940=1,"YUVARLAMA","TANIMSIZ"))))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IF($A941="","",IF($C941&lt;=efs_yuvarlamaEsik,1,0))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IF(OR($A941="",$B941&lt;&gt;"tutar_farki"),"",IF(ABS($C941-$D941)&lt;=toleransKurus,"KDV_ORAN",IF(ABS($C941-$E941*efs_kdvOran)&lt;=toleransKurus,"MATRAH",IF($F941=1,"YUVARLAMA","TANIMSIZ"))))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IF($A942="","",IF($C942&lt;=efs_yuvarlamaEsik,1,0))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IF(OR($A942="",$B942&lt;&gt;"tutar_farki"),"",IF(ABS($C942-$D942)&lt;=toleransKurus,"KDV_ORAN",IF(ABS($C942-$E942*efs_kdvOran)&lt;=toleransKurus,"MATRAH",IF($F942=1,"YUVARLAMA","TANIMSIZ"))))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IF($A943="","",IF($C943&lt;=efs_yuvarlamaEsik,1,0))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IF(OR($A943="",$B943&lt;&gt;"tutar_farki"),"",IF(ABS($C943-$D943)&lt;=toleransKurus,"KDV_ORAN",IF(ABS($C943-$E943*efs_kdvOran)&lt;=toleransKurus,"MATRAH",IF($F943=1,"YUVARLAMA","TANIMSIZ"))))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IF($A944="","",IF($C944&lt;=efs_yuvarlamaEsik,1,0))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IF(OR($A944="",$B944&lt;&gt;"tutar_farki"),"",IF(ABS($C944-$D944)&lt;=toleransKurus,"KDV_ORAN",IF(ABS($C944-$E944*efs_kdvOran)&lt;=toleransKurus,"MATRAH",IF($F944=1,"YUVARLAMA","TANIMSIZ"))))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IF($A945="","",IF($C945&lt;=efs_yuvarlamaEsik,1,0))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IF(OR($A945="",$B945&lt;&gt;"tutar_farki"),"",IF(ABS($C945-$D945)&lt;=toleransKurus,"KDV_ORAN",IF(ABS($C945-$E945*efs_kdvOran)&lt;=toleransKurus,"MATRAH",IF($F945=1,"YUVARLAMA","TANIMSIZ"))))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IF($A946="","",IF($C946&lt;=efs_yuvarlamaEsik,1,0))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IF(OR($A946="",$B946&lt;&gt;"tutar_farki"),"",IF(ABS($C946-$D946)&lt;=toleransKurus,"KDV_ORAN",IF(ABS($C946-$E946*efs_kdvOran)&lt;=toleransKurus,"MATRAH",IF($F946=1,"YUVARLAMA","TANIMSIZ"))))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IF($A947="","",IF($C947&lt;=efs_yuvarlamaEsik,1,0))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IF(OR($A947="",$B947&lt;&gt;"tutar_farki"),"",IF(ABS($C947-$D947)&lt;=toleransKurus,"KDV_ORAN",IF(ABS($C947-$E947*efs_kdvOran)&lt;=toleransKurus,"MATRAH",IF($F947=1,"YUVARLAMA","TANIMSIZ"))))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IF($A948="","",IF($C948&lt;=efs_yuvarlamaEsik,1,0))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IF(OR($A948="",$B948&lt;&gt;"tutar_farki"),"",IF(ABS($C948-$D948)&lt;=toleransKurus,"KDV_ORAN",IF(ABS($C948-$E948*efs_kdvOran)&lt;=toleransKurus,"MATRAH",IF($F948=1,"YUVARLAMA","TANIMSIZ"))))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IF($A949="","",IF($C949&lt;=efs_yuvarlamaEsik,1,0))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IF(OR($A949="",$B949&lt;&gt;"tutar_farki"),"",IF(ABS($C949-$D949)&lt;=toleransKurus,"KDV_ORAN",IF(ABS($C949-$E949*efs_kdvOran)&lt;=toleransKurus,"MATRAH",IF($F949=1,"YUVARLAMA","TANIMSIZ"))))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IF($A950="","",IF($C950&lt;=efs_yuvarlamaEsik,1,0))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IF(OR($A950="",$B950&lt;&gt;"tutar_farki"),"",IF(ABS($C950-$D950)&lt;=toleransKurus,"KDV_ORAN",IF(ABS($C950-$E950*efs_kdvOran)&lt;=toleransKurus,"MATRAH",IF($F950=1,"YUVARLAMA","TANIMSIZ"))))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IF($A951="","",IF($C951&lt;=efs_yuvarlamaEsik,1,0))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IF(OR($A951="",$B951&lt;&gt;"tutar_farki"),"",IF(ABS($C951-$D951)&lt;=toleransKurus,"KDV_ORAN",IF(ABS($C951-$E951*efs_kdvOran)&lt;=toleransKurus,"MATRAH",IF($F951=1,"YUVARLAMA","TANIMSIZ"))))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IF($A952="","",IF($C952&lt;=efs_yuvarlamaEsik,1,0))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IF(OR($A952="",$B952&lt;&gt;"tutar_farki"),"",IF(ABS($C952-$D952)&lt;=toleransKurus,"KDV_ORAN",IF(ABS($C952-$E952*efs_kdvOran)&lt;=toleransKurus,"MATRAH",IF($F952=1,"YUVARLAMA","TANIMSIZ"))))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IF($A953="","",IF($C953&lt;=efs_yuvarlamaEsik,1,0))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IF(OR($A953="",$B953&lt;&gt;"tutar_farki"),"",IF(ABS($C953-$D953)&lt;=toleransKurus,"KDV_ORAN",IF(ABS($C953-$E953*efs_kdvOran)&lt;=toleransKurus,"MATRAH",IF($F953=1,"YUVARLAMA","TANIMSIZ"))))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IF($A954="","",IF($C954&lt;=efs_yuvarlamaEsik,1,0))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IF(OR($A954="",$B954&lt;&gt;"tutar_farki"),"",IF(ABS($C954-$D954)&lt;=toleransKurus,"KDV_ORAN",IF(ABS($C954-$E954*efs_kdvOran)&lt;=toleransKurus,"MATRAH",IF($F954=1,"YUVARLAMA","TANIMSIZ"))))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IF($A955="","",IF($C955&lt;=efs_yuvarlamaEsik,1,0))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IF(OR($A955="",$B955&lt;&gt;"tutar_farki"),"",IF(ABS($C955-$D955)&lt;=toleransKurus,"KDV_ORAN",IF(ABS($C955-$E955*efs_kdvOran)&lt;=toleransKurus,"MATRAH",IF($F955=1,"YUVARLAMA","TANIMSIZ"))))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IF($A956="","",IF($C956&lt;=efs_yuvarlamaEsik,1,0))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IF(OR($A956="",$B956&lt;&gt;"tutar_farki"),"",IF(ABS($C956-$D956)&lt;=toleransKurus,"KDV_ORAN",IF(ABS($C956-$E956*efs_kdvOran)&lt;=toleransKurus,"MATRAH",IF($F956=1,"YUVARLAMA","TANIMSIZ"))))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IF($A957="","",IF($C957&lt;=efs_yuvarlamaEsik,1,0))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IF(OR($A957="",$B957&lt;&gt;"tutar_farki"),"",IF(ABS($C957-$D957)&lt;=toleransKurus,"KDV_ORAN",IF(ABS($C957-$E957*efs_kdvOran)&lt;=toleransKurus,"MATRAH",IF($F957=1,"YUVARLAMA","TANIMSIZ"))))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IF($A958="","",IF($C958&lt;=efs_yuvarlamaEsik,1,0))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IF(OR($A958="",$B958&lt;&gt;"tutar_farki"),"",IF(ABS($C958-$D958)&lt;=toleransKurus,"KDV_ORAN",IF(ABS($C958-$E958*efs_kdvOran)&lt;=toleransKurus,"MATRAH",IF($F958=1,"YUVARLAMA","TANIMSIZ"))))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IF($A959="","",IF($C959&lt;=efs_yuvarlamaEsik,1,0))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IF(OR($A959="",$B959&lt;&gt;"tutar_farki"),"",IF(ABS($C959-$D959)&lt;=toleransKurus,"KDV_ORAN",IF(ABS($C959-$E959*efs_kdvOran)&lt;=toleransKurus,"MATRAH",IF($F959=1,"YUVARLAMA","TANIMSIZ"))))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IF($A960="","",IF($C960&lt;=efs_yuvarlamaEsik,1,0))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IF(OR($A960="",$B960&lt;&gt;"tutar_farki"),"",IF(ABS($C960-$D960)&lt;=toleransKurus,"KDV_ORAN",IF(ABS($C960-$E960*efs_kdvOran)&lt;=toleransKurus,"MATRAH",IF($F960=1,"YUVARLAMA","TANIMSIZ"))))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IF($A961="","",IF($C961&lt;=efs_yuvarlamaEsik,1,0))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IF(OR($A961="",$B961&lt;&gt;"tutar_farki"),"",IF(ABS($C961-$D961)&lt;=toleransKurus,"KDV_ORAN",IF(ABS($C961-$E961*efs_kdvOran)&lt;=toleransKurus,"MATRAH",IF($F961=1,"YUVARLAMA","TANIMSIZ"))))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IF($A962="","",IF($C962&lt;=efs_yuvarlamaEsik,1,0))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IF(OR($A962="",$B962&lt;&gt;"tutar_farki"),"",IF(ABS($C962-$D962)&lt;=toleransKurus,"KDV_ORAN",IF(ABS($C962-$E962*efs_kdvOran)&lt;=toleransKurus,"MATRAH",IF($F962=1,"YUVARLAMA","TANIMSIZ"))))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IF($A963="","",IF($C963&lt;=efs_yuvarlamaEsik,1,0))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IF(OR($A963="",$B963&lt;&gt;"tutar_farki"),"",IF(ABS($C963-$D963)&lt;=toleransKurus,"KDV_ORAN",IF(ABS($C963-$E963*efs_kdvOran)&lt;=toleransKurus,"MATRAH",IF($F963=1,"YUVARLAMA","TANIMSIZ"))))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IF($A964="","",IF($C964&lt;=efs_yuvarlamaEsik,1,0))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IF(OR($A964="",$B964&lt;&gt;"tutar_farki"),"",IF(ABS($C964-$D964)&lt;=toleransKurus,"KDV_ORAN",IF(ABS($C964-$E964*efs_kdvOran)&lt;=toleransKurus,"MATRAH",IF($F964=1,"YUVARLAMA","TANIMSIZ"))))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IF($A965="","",IF($C965&lt;=efs_yuvarlamaEsik,1,0))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IF(OR($A965="",$B965&lt;&gt;"tutar_farki"),"",IF(ABS($C965-$D965)&lt;=toleransKurus,"KDV_ORAN",IF(ABS($C965-$E965*efs_kdvOran)&lt;=toleransKurus,"MATRAH",IF($F965=1,"YUVARLAMA","TANIMSIZ"))))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IF($A966="","",IF($C966&lt;=efs_yuvarlamaEsik,1,0))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IF(OR($A966="",$B966&lt;&gt;"tutar_farki"),"",IF(ABS($C966-$D966)&lt;=toleransKurus,"KDV_ORAN",IF(ABS($C966-$E966*efs_kdvOran)&lt;=toleransKurus,"MATRAH",IF($F966=1,"YUVARLAMA","TANIMSIZ"))))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IF($A967="","",IF($C967&lt;=efs_yuvarlamaEsik,1,0))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IF(OR($A967="",$B967&lt;&gt;"tutar_farki"),"",IF(ABS($C967-$D967)&lt;=toleransKurus,"KDV_ORAN",IF(ABS($C967-$E967*efs_kdvOran)&lt;=toleransKurus,"MATRAH",IF($F967=1,"YUVARLAMA","TANIMSIZ"))))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IF($A968="","",IF($C968&lt;=efs_yuvarlamaEsik,1,0))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IF(OR($A968="",$B968&lt;&gt;"tutar_farki"),"",IF(ABS($C968-$D968)&lt;=toleransKurus,"KDV_ORAN",IF(ABS($C968-$E968*efs_kdvOran)&lt;=toleransKurus,"MATRAH",IF($F968=1,"YUVARLAMA","TANIMSIZ"))))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IF($A969="","",IF($C969&lt;=efs_yuvarlamaEsik,1,0))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IF(OR($A969="",$B969&lt;&gt;"tutar_farki"),"",IF(ABS($C969-$D969)&lt;=toleransKurus,"KDV_ORAN",IF(ABS($C969-$E969*efs_kdvOran)&lt;=toleransKurus,"MATRAH",IF($F969=1,"YUVARLAMA","TANIMSIZ"))))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IF($A970="","",IF($C970&lt;=efs_yuvarlamaEsik,1,0))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IF(OR($A970="",$B970&lt;&gt;"tutar_farki"),"",IF(ABS($C970-$D970)&lt;=toleransKurus,"KDV_ORAN",IF(ABS($C970-$E970*efs_kdvOran)&lt;=toleransKurus,"MATRAH",IF($F970=1,"YUVARLAMA","TANIMSIZ"))))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IF($A971="","",IF($C971&lt;=efs_yuvarlamaEsik,1,0))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IF(OR($A971="",$B971&lt;&gt;"tutar_farki"),"",IF(ABS($C971-$D971)&lt;=toleransKurus,"KDV_ORAN",IF(ABS($C971-$E971*efs_kdvOran)&lt;=toleransKurus,"MATRAH",IF($F971=1,"YUVARLAMA","TANIMSIZ"))))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IF($A972="","",IF($C972&lt;=efs_yuvarlamaEsik,1,0))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IF(OR($A972="",$B972&lt;&gt;"tutar_farki"),"",IF(ABS($C972-$D972)&lt;=toleransKurus,"KDV_ORAN",IF(ABS($C972-$E972*efs_kdvOran)&lt;=toleransKurus,"MATRAH",IF($F972=1,"YUVARLAMA","TANIMSIZ"))))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IF($A973="","",IF($C973&lt;=efs_yuvarlamaEsik,1,0))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IF(OR($A973="",$B973&lt;&gt;"tutar_farki"),"",IF(ABS($C973-$D973)&lt;=toleransKurus,"KDV_ORAN",IF(ABS($C973-$E973*efs_kdvOran)&lt;=toleransKurus,"MATRAH",IF($F973=1,"YUVARLAMA","TANIMSIZ"))))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IF($A974="","",IF($C974&lt;=efs_yuvarlamaEsik,1,0))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IF(OR($A974="",$B974&lt;&gt;"tutar_farki"),"",IF(ABS($C974-$D974)&lt;=toleransKurus,"KDV_ORAN",IF(ABS($C974-$E974*efs_kdvOran)&lt;=toleransKurus,"MATRAH",IF($F974=1,"YUVARLAMA","TANIMSIZ"))))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IF($A975="","",IF($C975&lt;=efs_yuvarlamaEsik,1,0))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IF(OR($A975="",$B975&lt;&gt;"tutar_farki"),"",IF(ABS($C975-$D975)&lt;=toleransKurus,"KDV_ORAN",IF(ABS($C975-$E975*efs_kdvOran)&lt;=toleransKurus,"MATRAH",IF($F975=1,"YUVARLAMA","TANIMSIZ"))))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IF($A976="","",IF($C976&lt;=efs_yuvarlamaEsik,1,0))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IF(OR($A976="",$B976&lt;&gt;"tutar_farki"),"",IF(ABS($C976-$D976)&lt;=toleransKurus,"KDV_ORAN",IF(ABS($C976-$E976*efs_kdvOran)&lt;=toleransKurus,"MATRAH",IF($F976=1,"YUVARLAMA","TANIMSIZ"))))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IF($A977="","",IF($C977&lt;=efs_yuvarlamaEsik,1,0))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IF(OR($A977="",$B977&lt;&gt;"tutar_farki"),"",IF(ABS($C977-$D977)&lt;=toleransKurus,"KDV_ORAN",IF(ABS($C977-$E977*efs_kdvOran)&lt;=toleransKurus,"MATRAH",IF($F977=1,"YUVARLAMA","TANIMSIZ"))))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IF($A978="","",IF($C978&lt;=efs_yuvarlamaEsik,1,0))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IF(OR($A978="",$B978&lt;&gt;"tutar_farki"),"",IF(ABS($C978-$D978)&lt;=toleransKurus,"KDV_ORAN",IF(ABS($C978-$E978*efs_kdvOran)&lt;=toleransKurus,"MATRAH",IF($F978=1,"YUVARLAMA","TANIMSIZ"))))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IF($A979="","",IF($C979&lt;=efs_yuvarlamaEsik,1,0))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IF(OR($A979="",$B979&lt;&gt;"tutar_farki"),"",IF(ABS($C979-$D979)&lt;=toleransKurus,"KDV_ORAN",IF(ABS($C979-$E979*efs_kdvOran)&lt;=toleransKurus,"MATRAH",IF($F979=1,"YUVARLAMA","TANIMSIZ"))))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IF($A980="","",IF($C980&lt;=efs_yuvarlamaEsik,1,0))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IF(OR($A980="",$B980&lt;&gt;"tutar_farki"),"",IF(ABS($C980-$D980)&lt;=toleransKurus,"KDV_ORAN",IF(ABS($C980-$E980*efs_kdvOran)&lt;=toleransKurus,"MATRAH",IF($F980=1,"YUVARLAMA","TANIMSIZ"))))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IF($A981="","",IF($C981&lt;=efs_yuvarlamaEsik,1,0))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IF(OR($A981="",$B981&lt;&gt;"tutar_farki"),"",IF(ABS($C981-$D981)&lt;=toleransKurus,"KDV_ORAN",IF(ABS($C981-$E981*efs_kdvOran)&lt;=toleransKurus,"MATRAH",IF($F981=1,"YUVARLAMA","TANIMSIZ"))))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IF($A982="","",IF($C982&lt;=efs_yuvarlamaEsik,1,0))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IF(OR($A982="",$B982&lt;&gt;"tutar_farki"),"",IF(ABS($C982-$D982)&lt;=toleransKurus,"KDV_ORAN",IF(ABS($C982-$E982*efs_kdvOran)&lt;=toleransKurus,"MATRAH",IF($F982=1,"YUVARLAMA","TANIMSIZ"))))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IF($A983="","",IF($C983&lt;=efs_yuvarlamaEsik,1,0))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IF(OR($A983="",$B983&lt;&gt;"tutar_farki"),"",IF(ABS($C983-$D983)&lt;=toleransKurus,"KDV_ORAN",IF(ABS($C983-$E983*efs_kdvOran)&lt;=toleransKurus,"MATRAH",IF($F983=1,"YUVARLAMA","TANIMSIZ"))))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IF($A984="","",IF($C984&lt;=efs_yuvarlamaEsik,1,0))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IF(OR($A984="",$B984&lt;&gt;"tutar_farki"),"",IF(ABS($C984-$D984)&lt;=toleransKurus,"KDV_ORAN",IF(ABS($C984-$E984*efs_kdvOran)&lt;=toleransKurus,"MATRAH",IF($F984=1,"YUVARLAMA","TANIMSIZ"))))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IF($A985="","",IF($C985&lt;=efs_yuvarlamaEsik,1,0))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IF(OR($A985="",$B985&lt;&gt;"tutar_farki"),"",IF(ABS($C985-$D985)&lt;=toleransKurus,"KDV_ORAN",IF(ABS($C985-$E985*efs_kdvOran)&lt;=toleransKurus,"MATRAH",IF($F985=1,"YUVARLAMA","TANIMSIZ"))))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IF($A986="","",IF($C986&lt;=efs_yuvarlamaEsik,1,0))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IF(OR($A986="",$B986&lt;&gt;"tutar_farki"),"",IF(ABS($C986-$D986)&lt;=toleransKurus,"KDV_ORAN",IF(ABS($C986-$E986*efs_kdvOran)&lt;=toleransKurus,"MATRAH",IF($F986=1,"YUVARLAMA","TANIMSIZ"))))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IF($A987="","",IF($C987&lt;=efs_yuvarlamaEsik,1,0))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IF(OR($A987="",$B987&lt;&gt;"tutar_farki"),"",IF(ABS($C987-$D987)&lt;=toleransKurus,"KDV_ORAN",IF(ABS($C987-$E987*efs_kdvOran)&lt;=toleransKurus,"MATRAH",IF($F987=1,"YUVARLAMA","TANIMSIZ"))))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IF($A988="","",IF($C988&lt;=efs_yuvarlamaEsik,1,0))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IF(OR($A988="",$B988&lt;&gt;"tutar_farki"),"",IF(ABS($C988-$D988)&lt;=toleransKurus,"KDV_ORAN",IF(ABS($C988-$E988*efs_kdvOran)&lt;=toleransKurus,"MATRAH",IF($F988=1,"YUVARLAMA","TANIMSIZ"))))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IF($A989="","",IF($C989&lt;=efs_yuvarlamaEsik,1,0))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IF(OR($A989="",$B989&lt;&gt;"tutar_farki"),"",IF(ABS($C989-$D989)&lt;=toleransKurus,"KDV_ORAN",IF(ABS($C989-$E989*efs_kdvOran)&lt;=toleransKurus,"MATRAH",IF($F989=1,"YUVARLAMA","TANIMSIZ"))))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IF($A990="","",IF($C990&lt;=efs_yuvarlamaEsik,1,0))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IF(OR($A990="",$B990&lt;&gt;"tutar_farki"),"",IF(ABS($C990-$D990)&lt;=toleransKurus,"KDV_ORAN",IF(ABS($C990-$E990*efs_kdvOran)&lt;=toleransKurus,"MATRAH",IF($F990=1,"YUVARLAMA","TANIMSIZ"))))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IF($A991="","",IF($C991&lt;=efs_yuvarlamaEsik,1,0))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IF(OR($A991="",$B991&lt;&gt;"tutar_farki"),"",IF(ABS($C991-$D991)&lt;=toleransKurus,"KDV_ORAN",IF(ABS($C991-$E991*efs_kdvOran)&lt;=toleransKurus,"MATRAH",IF($F991=1,"YUVARLAMA","TANIMSIZ"))))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IF($A992="","",IF($C992&lt;=efs_yuvarlamaEsik,1,0))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IF(OR($A992="",$B992&lt;&gt;"tutar_farki"),"",IF(ABS($C992-$D992)&lt;=toleransKurus,"KDV_ORAN",IF(ABS($C992-$E992*efs_kdvOran)&lt;=toleransKurus,"MATRAH",IF($F992=1,"YUVARLAMA","TANIMSIZ"))))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IF($A993="","",IF($C993&lt;=efs_yuvarlamaEsik,1,0))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IF(OR($A993="",$B993&lt;&gt;"tutar_farki"),"",IF(ABS($C993-$D993)&lt;=toleransKurus,"KDV_ORAN",IF(ABS($C993-$E993*efs_kdvOran)&lt;=toleransKurus,"MATRAH",IF($F993=1,"YUVARLAMA","TANIMSIZ"))))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IF($A994="","",IF($C994&lt;=efs_yuvarlamaEsik,1,0))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IF(OR($A994="",$B994&lt;&gt;"tutar_farki"),"",IF(ABS($C994-$D994)&lt;=toleransKurus,"KDV_ORAN",IF(ABS($C994-$E994*efs_kdvOran)&lt;=toleransKurus,"MATRAH",IF($F994=1,"YUVARLAMA","TANIMSIZ"))))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IF($A995="","",IF($C995&lt;=efs_yuvarlamaEsik,1,0))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IF(OR($A995="",$B995&lt;&gt;"tutar_farki"),"",IF(ABS($C995-$D995)&lt;=toleransKurus,"KDV_ORAN",IF(ABS($C995-$E995*efs_kdvOran)&lt;=toleransKurus,"MATRAH",IF($F995=1,"YUVARLAMA","TANIMSIZ"))))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IF($A996="","",IF($C996&lt;=efs_yuvarlamaEsik,1,0))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IF(OR($A996="",$B996&lt;&gt;"tutar_farki"),"",IF(ABS($C996-$D996)&lt;=toleransKurus,"KDV_ORAN",IF(ABS($C996-$E996*efs_kdvOran)&lt;=toleransKurus,"MATRAH",IF($F996=1,"YUVARLAMA","TANIMSIZ"))))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IF($A997="","",IF($C997&lt;=efs_yuvarlamaEsik,1,0))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IF(OR($A997="",$B997&lt;&gt;"tutar_farki"),"",IF(ABS($C997-$D997)&lt;=toleransKurus,"KDV_ORAN",IF(ABS($C997-$E997*efs_kdvOran)&lt;=toleransKurus,"MATRAH",IF($F997=1,"YUVARLAMA","TANIMSIZ"))))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IF($A998="","",IF($C998&lt;=efs_yuvarlamaEsik,1,0))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IF(OR($A998="",$B998&lt;&gt;"tutar_farki"),"",IF(ABS($C998-$D998)&lt;=toleransKurus,"KDV_ORAN",IF(ABS($C998-$E998*efs_kdvOran)&lt;=toleransKurus,"MATRAH",IF($F998=1,"YUVARLAMA","TANIMSIZ"))))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IF($A999="","",IF($C999&lt;=efs_yuvarlamaEsik,1,0))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IF(OR($A999="",$B999&lt;&gt;"tutar_farki"),"",IF(ABS($C999-$D999)&lt;=toleransKurus,"KDV_ORAN",IF(ABS($C999-$E999*efs_kdvOran)&lt;=toleransKurus,"MATRAH",IF($F999=1,"YUVARLAMA","TANIMSIZ"))))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IF($A1000="","",IF($C1000&lt;=efs_yuvarlamaEsik,1,0))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IF(OR($A1000="",$B1000&lt;&gt;"tutar_farki"),"",IF(ABS($C1000-$D1000)&lt;=toleransKurus,"KDV_ORAN",IF(ABS($C1000-$E1000*efs_kdvOran)&lt;=toleransKurus,"MATRAH",IF($F1000=1,"YUVARLAMA","TANIMSIZ"))))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IF($A1001="","",IF($C1001&lt;=efs_yuvarlamaEsik,1,0))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IF(OR($A1001="",$B1001&lt;&gt;"tutar_farki"),"",IF(ABS($C1001-$D1001)&lt;=toleransKurus,"KDV_ORAN",IF(ABS($C1001-$E1001*efs_kdvOran)&lt;=toleransKurus,"MATRAH",IF($F1001=1,"YUVARLAMA","TANIMSIZ"))))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IF($A1002="","",IF($C1002&lt;=efs_yuvarlamaEsik,1,0))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IF(OR($A1002="",$B1002&lt;&gt;"tutar_farki"),"",IF(ABS($C1002-$D1002)&lt;=toleransKurus,"KDV_ORAN",IF(ABS($C1002-$E1002*efs_kdvOran)&lt;=toleransKurus,"MATRAH",IF($F1002=1,"YUVARLAMA","TANIMSIZ"))))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IF($A1003="","",IF($C1003&lt;=efs_yuvarlamaEsik,1,0))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IF(OR($A1003="",$B1003&lt;&gt;"tutar_farki"),"",IF(ABS($C1003-$D1003)&lt;=toleransKurus,"KDV_ORAN",IF(ABS($C1003-$E1003*efs_kdvOran)&lt;=toleransKurus,"MATRAH",IF($F1003=1,"YUVARLAMA","TANIMSIZ"))))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IF($A1004="","",IF($C1004&lt;=efs_yuvarlamaEsik,1,0))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IF(OR($A1004="",$B1004&lt;&gt;"tutar_farki"),"",IF(ABS($C1004-$D1004)&lt;=toleransKurus,"KDV_ORAN",IF(ABS($C1004-$E1004*efs_kdvOran)&lt;=toleransKurus,"MATRAH",IF($F1004=1,"YUVARLAMA","TANIMSIZ"))))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IF($A1005="","",IF($C1005&lt;=efs_yuvarlamaEsik,1,0))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IF(OR($A1005="",$B1005&lt;&gt;"tutar_farki"),"",IF(ABS($C1005-$D1005)&lt;=toleransKurus,"KDV_ORAN",IF(ABS($C1005-$E1005*efs_kdvOran)&lt;=toleransKurus,"MATRAH",IF($F1005=1,"YUVARLAMA","TANIMSIZ"))))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IF($A1006="","",IF($C1006&lt;=efs_yuvarlamaEsik,1,0))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IF(OR($A1006="",$B1006&lt;&gt;"tutar_farki"),"",IF(ABS($C1006-$D1006)&lt;=toleransKurus,"KDV_ORAN",IF(ABS($C1006-$E1006*efs_kdvOran)&lt;=toleransKurus,"MATRAH",IF($F1006=1,"YUVARLAMA","TANIMSIZ"))))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IF($A1007="","",IF($C1007&lt;=efs_yuvarlamaEsik,1,0))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IF(OR($A1007="",$B1007&lt;&gt;"tutar_farki"),"",IF(ABS($C1007-$D1007)&lt;=toleransKurus,"KDV_ORAN",IF(ABS($C1007-$E1007*efs_kdvOran)&lt;=toleransKurus,"MATRAH",IF($F1007=1,"YUVARLAMA","TANIMSIZ"))))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IF($A1008="","",IF($C1008&lt;=efs_yuvarlamaEsik,1,0))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IF(OR($A1008="",$B1008&lt;&gt;"tutar_farki"),"",IF(ABS($C1008-$D1008)&lt;=toleransKurus,"KDV_ORAN",IF(ABS($C1008-$E1008*efs_kdvOran)&lt;=toleransKurus,"MATRAH",IF($F1008=1,"YUVARLAMA","TANIMSIZ"))))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IF($A1009="","",IF($C1009&lt;=efs_yuvarlamaEsik,1,0))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IF(OR($A1009="",$B1009&lt;&gt;"tutar_farki"),"",IF(ABS($C1009-$D1009)&lt;=toleransKurus,"KDV_ORAN",IF(ABS($C1009-$E1009*efs_kdvOran)&lt;=toleransKurus,"MATRAH",IF($F1009=1,"YUVARLAMA","TANIMSIZ"))))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IF($A1010="","",IF($C1010&lt;=efs_yuvarlamaEsik,1,0))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IF(OR($A1010="",$B1010&lt;&gt;"tutar_farki"),"",IF(ABS($C1010-$D1010)&lt;=toleransKurus,"KDV_ORAN",IF(ABS($C1010-$E1010*efs_kdvOran)&lt;=toleransKurus,"MATRAH",IF($F1010=1,"YUVARLAMA","TANIMSIZ"))))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IF($A1011="","",IF($C1011&lt;=efs_yuvarlamaEsik,1,0))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IF(OR($A1011="",$B1011&lt;&gt;"tutar_farki"),"",IF(ABS($C1011-$D1011)&lt;=toleransKurus,"KDV_ORAN",IF(ABS($C1011-$E1011*efs_kdvOran)&lt;=toleransKurus,"MATRAH",IF($F1011=1,"YUVARLAMA","TANIMSIZ"))))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IF($A1012="","",IF($C1012&lt;=efs_yuvarlamaEsik,1,0))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IF(OR($A1012="",$B1012&lt;&gt;"tutar_farki"),"",IF(ABS($C1012-$D1012)&lt;=toleransKurus,"KDV_ORAN",IF(ABS($C1012-$E1012*efs_kdvOran)&lt;=toleransKurus,"MATRAH",IF($F1012=1,"YUVARLAMA","TANIMSIZ"))))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IF($A1013="","",IF($C1013&lt;=efs_yuvarlamaEsik,1,0))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IF(OR($A1013="",$B1013&lt;&gt;"tutar_farki"),"",IF(ABS($C1013-$D1013)&lt;=toleransKurus,"KDV_ORAN",IF(ABS($C1013-$E1013*efs_kdvOran)&lt;=toleransKurus,"MATRAH",IF($F1013=1,"YUVARLAMA","TANIMSIZ"))))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IF($A1014="","",IF($C1014&lt;=efs_yuvarlamaEsik,1,0))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IF(OR($A1014="",$B1014&lt;&gt;"tutar_farki"),"",IF(ABS($C1014-$D1014)&lt;=toleransKurus,"KDV_ORAN",IF(ABS($C1014-$E1014*efs_kdvOran)&lt;=toleransKurus,"MATRAH",IF($F1014=1,"YUVARLAMA","TANIMSIZ"))))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IF($A1015="","",IF($C1015&lt;=efs_yuvarlamaEsik,1,0))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IF(OR($A1015="",$B1015&lt;&gt;"tutar_farki"),"",IF(ABS($C1015-$D1015)&lt;=toleransKurus,"KDV_ORAN",IF(ABS($C1015-$E1015*efs_kdvOran)&lt;=toleransKurus,"MATRAH",IF($F1015=1,"YUVARLAMA","TANIMSIZ"))))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Toplu e-Fatura Satır Defteri ve PDF Kanıtı</t>
        </is>
      </c>
    </row>
    <row r="3">
      <c r="A3" s="24" t="inlineStr">
        <is>
          <t>Karar Destek Paneli</t>
        </is>
      </c>
      <c r="C3" s="25" t="inlineStr">
        <is>
          <t>Rapor Tarihi</t>
        </is>
      </c>
      <c r="D3" s="70">
        <f>raporTarihi</f>
        <v/>
      </c>
    </row>
    <row r="4">
      <c r="A4" s="5" t="inlineStr">
        <is>
          <t>KARAR</t>
        </is>
      </c>
      <c r="B4" s="27">
        <f>efs_kararKapi</f>
        <v/>
      </c>
    </row>
    <row r="6">
      <c r="A6" s="28" t="inlineStr">
        <is>
          <t>Eşleşme Oranı</t>
        </is>
      </c>
      <c r="B6" s="71">
        <f>efs_eslesmeOrani</f>
        <v/>
      </c>
      <c r="D6" s="17" t="inlineStr">
        <is>
          <t>Modül Yorumları</t>
        </is>
      </c>
    </row>
    <row r="7">
      <c r="A7" s="28" t="inlineStr">
        <is>
          <t>e-Fatura Toplam (A)</t>
        </is>
      </c>
      <c r="B7" s="72">
        <f>IFERROR(SUM(tblVeriA[Toplam]),0)</f>
        <v/>
      </c>
      <c r="D7" s="8">
        <f>efs_modulT1Yorum</f>
        <v/>
      </c>
    </row>
    <row r="8">
      <c r="A8" s="28" t="inlineStr">
        <is>
          <t>Muhasebe Toplam (B)</t>
        </is>
      </c>
      <c r="B8" s="72">
        <f>IFERROR(SUM(tblVeriB[Tutar]),0)</f>
        <v/>
      </c>
      <c r="D8" s="8">
        <f>efs_modulT2Yorum</f>
        <v/>
      </c>
    </row>
    <row r="9">
      <c r="A9" s="28" t="inlineStr">
        <is>
          <t>Mutabakat Farkı</t>
        </is>
      </c>
      <c r="B9" s="72">
        <f>efs_mutabakatFarki</f>
        <v/>
      </c>
      <c r="D9" s="8">
        <f>efs_modulO1Yorum</f>
        <v/>
      </c>
    </row>
    <row r="10">
      <c r="A10" s="28" t="inlineStr">
        <is>
          <t>Eşleşti Adet</t>
        </is>
      </c>
      <c r="B10" s="31">
        <f>COUNTIF(tblEslesme[Kova],"eslesti")</f>
        <v/>
      </c>
      <c r="D10" s="8">
        <f>efs_modulO2Yorum</f>
        <v/>
      </c>
    </row>
    <row r="11">
      <c r="A11" s="28" t="inlineStr">
        <is>
          <t>Tolerans İçinde</t>
        </is>
      </c>
      <c r="B11" s="31">
        <f>COUNTIF(tblEslesme[Kova],"tolerans_icinde")</f>
        <v/>
      </c>
      <c r="D11" s="8">
        <f>efs_modulO3Yorum</f>
        <v/>
      </c>
    </row>
    <row r="12">
      <c r="A12" s="28" t="inlineStr">
        <is>
          <t>Tutar Farkı Adet</t>
        </is>
      </c>
      <c r="B12" s="31">
        <f>COUNTIF(tblEslesme[Kova],"tutar_farki")</f>
        <v/>
      </c>
      <c r="D12" s="8">
        <f>efs_modulO6Yorum</f>
        <v/>
      </c>
    </row>
    <row r="13">
      <c r="A13" s="28" t="inlineStr">
        <is>
          <t>Eşleşmedi Adet</t>
        </is>
      </c>
      <c r="B13" s="31">
        <f>COUNTIF(tblEslesme[Kova],"eslesmedi")</f>
        <v/>
      </c>
      <c r="D13" s="8">
        <f>efs_modulO8Yorum</f>
        <v/>
      </c>
    </row>
    <row r="14">
      <c r="A14" s="28" t="inlineStr">
        <is>
          <t>Kova Bütünlük</t>
        </is>
      </c>
      <c r="B14" s="32">
        <f>efs_kovaButunluk</f>
        <v/>
      </c>
      <c r="D14" s="8">
        <f>efs_modulI1Yorum</f>
        <v/>
      </c>
    </row>
    <row r="15">
      <c r="A15" s="28" t="inlineStr">
        <is>
          <t>Anomali Sayısı</t>
        </is>
      </c>
      <c r="B15" s="31">
        <f>efs_modulO1</f>
        <v/>
      </c>
      <c r="D15" s="8">
        <f>efs_modulI2Yorum</f>
        <v/>
      </c>
    </row>
    <row r="16">
      <c r="A16" s="28" t="inlineStr">
        <is>
          <t>Ort. Tutar Farkı</t>
        </is>
      </c>
      <c r="B16" s="72">
        <f>efs_modulT2</f>
        <v/>
      </c>
    </row>
    <row r="17">
      <c r="A17" s="28" t="inlineStr">
        <is>
          <t>Fark P90</t>
        </is>
      </c>
      <c r="B17" s="72">
        <f>efs_modulI2</f>
        <v/>
      </c>
    </row>
    <row r="18">
      <c r="A18" s="28" t="inlineStr">
        <is>
          <t>Tahmin Aralık</t>
        </is>
      </c>
      <c r="B18" s="72">
        <f>efs_modulI1</f>
        <v/>
      </c>
    </row>
    <row r="19">
      <c r="A19" s="28" t="inlineStr">
        <is>
          <t>VKN Yoğunlaşma</t>
        </is>
      </c>
      <c r="B19" s="71">
        <f>efs_modulO6</f>
        <v/>
      </c>
    </row>
    <row r="20">
      <c r="A20" s="28" t="inlineStr">
        <is>
          <t>Veri Kalite</t>
        </is>
      </c>
      <c r="B20" s="31">
        <f>efs_modulO8</f>
        <v/>
      </c>
    </row>
    <row r="21">
      <c r="A21" s="28" t="inlineStr">
        <is>
          <t>Duplike Uyarı</t>
        </is>
      </c>
      <c r="B21" s="31">
        <f>COUNTIF(tblAnahtarA[Duplike],"EVET")</f>
        <v/>
      </c>
    </row>
    <row r="23">
      <c r="A23" s="17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19" t="n">
        <v>28</v>
      </c>
      <c r="D25" s="7" t="inlineStr">
        <is>
          <t>KDV oran</t>
        </is>
      </c>
      <c r="E25" s="19" t="n">
        <v>2</v>
      </c>
      <c r="G25" s="19" t="n">
        <v>1</v>
      </c>
      <c r="H25" s="73" t="n">
        <v>40</v>
      </c>
      <c r="J25" s="7" t="inlineStr">
        <is>
          <t>Tolerans sıkı</t>
        </is>
      </c>
      <c r="K25" s="73" t="n">
        <v>120</v>
      </c>
    </row>
    <row r="26">
      <c r="A26" s="7" t="inlineStr">
        <is>
          <t>Tolerans</t>
        </is>
      </c>
      <c r="B26" s="19" t="n">
        <v>3</v>
      </c>
      <c r="D26" s="7" t="inlineStr">
        <is>
          <t>Matrah</t>
        </is>
      </c>
      <c r="E26" s="19" t="n">
        <v>1</v>
      </c>
      <c r="G26" s="19" t="n">
        <v>2</v>
      </c>
      <c r="H26" s="73" t="n">
        <v>48.5</v>
      </c>
      <c r="J26" s="7" t="inlineStr">
        <is>
          <t>KDV +1pp</t>
        </is>
      </c>
      <c r="K26" s="73" t="n">
        <v>95</v>
      </c>
    </row>
    <row r="27">
      <c r="A27" s="7" t="inlineStr">
        <is>
          <t>Tutar farkı</t>
        </is>
      </c>
      <c r="B27" s="19" t="n">
        <v>5</v>
      </c>
      <c r="D27" s="7" t="inlineStr">
        <is>
          <t>Yuvarlama</t>
        </is>
      </c>
      <c r="E27" s="19" t="n">
        <v>1</v>
      </c>
      <c r="G27" s="19" t="n">
        <v>3</v>
      </c>
      <c r="H27" s="73" t="n">
        <v>57</v>
      </c>
      <c r="J27" s="7" t="inlineStr">
        <is>
          <t>Matrah sapma</t>
        </is>
      </c>
      <c r="K27" s="73" t="n">
        <v>80</v>
      </c>
    </row>
    <row r="28">
      <c r="A28" s="7" t="inlineStr">
        <is>
          <t>Eşleşmedi</t>
        </is>
      </c>
      <c r="B28" s="19" t="n">
        <v>4</v>
      </c>
      <c r="D28" s="7" t="inlineStr">
        <is>
          <t>VKN</t>
        </is>
      </c>
      <c r="E28" s="19" t="n">
        <v>0</v>
      </c>
      <c r="G28" s="19" t="n">
        <v>4</v>
      </c>
      <c r="H28" s="73" t="n">
        <v>65.5</v>
      </c>
      <c r="J28" s="7" t="inlineStr">
        <is>
          <t>Yuvarlama</t>
        </is>
      </c>
      <c r="K28" s="73" t="n">
        <v>45</v>
      </c>
    </row>
    <row r="29">
      <c r="D29" s="7" t="inlineStr">
        <is>
          <t>Tarih</t>
        </is>
      </c>
      <c r="E29" s="19" t="n">
        <v>0</v>
      </c>
      <c r="G29" s="19" t="n">
        <v>5</v>
      </c>
      <c r="H29" s="73" t="n">
        <v>74</v>
      </c>
      <c r="J29" s="7" t="inlineStr">
        <is>
          <t>UUID eksik</t>
        </is>
      </c>
      <c r="K29" s="73" t="n">
        <v>200</v>
      </c>
    </row>
    <row r="30">
      <c r="D30" s="7" t="inlineStr">
        <is>
          <t>Tanımsız</t>
        </is>
      </c>
      <c r="E30" s="19" t="n">
        <v>1</v>
      </c>
      <c r="G30" s="19" t="n">
        <v>6</v>
      </c>
      <c r="H30" s="73" t="n">
        <v>82.5</v>
      </c>
    </row>
    <row r="31">
      <c r="G31" s="19" t="n">
        <v>7</v>
      </c>
      <c r="H31" s="73" t="n">
        <v>91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&amp;LToplu e-Fatura Satır Defteri ve PDF Kanıtı | 1.0.0&amp;CExcelArşiv&amp;RSayfa &amp;P / &amp;N</oddFooter>
    <evenHeader/>
    <evenFooter>&amp;LToplu e-Fatura Satır Defteri ve PDF Kanıtı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Toplu e-Fatura Satır Defteri ve PDF Kanıtı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IF($B6&lt;&gt;"tutar_farki","",IF(ABS($C6)&gt;efs_esikFark,"YUKSEK","NORMAL"))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IF($B7&lt;&gt;"tutar_farki","",IF(ABS($C7)&gt;efs_esikFark,"YUKSEK","NORMAL"))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IF($B8&lt;&gt;"tutar_farki","",IF(ABS($C8)&gt;efs_esikFark,"YUKSEK","NORMAL"))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IF($B9&lt;&gt;"tutar_farki","",IF(ABS($C9)&gt;efs_esikFark,"YUKSEK","NORMAL"))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IF($B10&lt;&gt;"tutar_farki","",IF(ABS($C10)&gt;efs_esikFark,"YUKSEK","NORMAL"))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IF($B11&lt;&gt;"tutar_farki","",IF(ABS($C11)&gt;efs_esikFark,"YUKSEK","NORMAL"))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IF($B12&lt;&gt;"tutar_farki","",IF(ABS($C12)&gt;efs_esikFark,"YUKSEK","NORMAL"))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IF($B13&lt;&gt;"tutar_farki","",IF(ABS($C13)&gt;efs_esikFark,"YUKSEK","NORMAL"))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IF($B14&lt;&gt;"tutar_farki","",IF(ABS($C14)&gt;efs_esikFark,"YUKSEK","NORMAL"))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IF($B15&lt;&gt;"tutar_farki","",IF(ABS($C15)&gt;efs_esikFark,"YUKSEK","NORMAL"))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IF($B16&lt;&gt;"tutar_farki","",IF(ABS($C16)&gt;efs_esikFark,"YUKSEK","NORMAL"))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IF($B17&lt;&gt;"tutar_farki","",IF(ABS($C17)&gt;efs_esikFark,"YUKSEK","NORMAL"))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IF($B18&lt;&gt;"tutar_farki","",IF(ABS($C18)&gt;efs_esikFark,"YUKSEK","NORMAL"))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IF($B19&lt;&gt;"tutar_farki","",IF(ABS($C19)&gt;efs_esikFark,"YUKSEK","NORMAL"))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IF($B20&lt;&gt;"tutar_farki","",IF(ABS($C20)&gt;efs_esikFark,"YUKSEK","NORMAL"))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IF($B21&lt;&gt;"tutar_farki","",IF(ABS($C21)&gt;efs_esikFark,"YUKSEK","NORMAL"))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IF($B22&lt;&gt;"tutar_farki","",IF(ABS($C22)&gt;efs_esikFark,"YUKSEK","NORMAL"))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IF($B23&lt;&gt;"tutar_farki","",IF(ABS($C23)&gt;efs_esikFark,"YUKSEK","NORMAL"))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IF($B24&lt;&gt;"tutar_farki","",IF(ABS($C24)&gt;efs_esikFark,"YUKSEK","NORMAL"))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IF($B25&lt;&gt;"tutar_farki","",IF(ABS($C25)&gt;efs_esikFark,"YUKSEK","NORMAL"))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IF($B26&lt;&gt;"tutar_farki","",IF(ABS($C26)&gt;efs_esikFark,"YUKSEK","NORMAL"))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IF($B27&lt;&gt;"tutar_farki","",IF(ABS($C27)&gt;efs_esikFark,"YUKSEK","NORMAL"))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IF($B28&lt;&gt;"tutar_farki","",IF(ABS($C28)&gt;efs_esikFark,"YUKSEK","NORMAL"))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IF($B29&lt;&gt;"tutar_farki","",IF(ABS($C29)&gt;efs_esikFark,"YUKSEK","NORMAL"))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IF($B30&lt;&gt;"tutar_farki","",IF(ABS($C30)&gt;efs_esikFark,"YUKSEK","NORMAL"))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IF($B31&lt;&gt;"tutar_farki","",IF(ABS($C31)&gt;efs_esikFark,"YUKSEK","NORMAL"))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IF($B32&lt;&gt;"tutar_farki","",IF(ABS($C32)&gt;efs_esikFark,"YUKSEK","NORMAL"))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IF($B33&lt;&gt;"tutar_farki","",IF(ABS($C33)&gt;efs_esikFark,"YUKSEK","NORMAL"))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IF($B34&lt;&gt;"tutar_farki","",IF(ABS($C34)&gt;efs_esikFark,"YUKSEK","NORMAL"))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IF($B35&lt;&gt;"tutar_farki","",IF(ABS($C35)&gt;efs_esikFark,"YUKSEK","NORMAL"))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IF($B36&lt;&gt;"tutar_farki","",IF(ABS($C36)&gt;efs_esikFark,"YUKSEK","NORMAL"))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IF($B37&lt;&gt;"tutar_farki","",IF(ABS($C37)&gt;efs_esikFark,"YUKSEK","NORMAL"))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IF($B38&lt;&gt;"tutar_farki","",IF(ABS($C38)&gt;efs_esikFark,"YUKSEK","NORMAL"))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IF($B39&lt;&gt;"tutar_farki","",IF(ABS($C39)&gt;efs_esikFark,"YUKSEK","NORMAL"))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IF($B40&lt;&gt;"tutar_farki","",IF(ABS($C40)&gt;efs_esikFark,"YUKSEK","NORMAL"))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IF($B41&lt;&gt;"tutar_farki","",IF(ABS($C41)&gt;efs_esikFark,"YUKSEK","NORMAL"))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IF($B42&lt;&gt;"tutar_farki","",IF(ABS($C42)&gt;efs_esikFark,"YUKSEK","NORMAL"))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IF($B43&lt;&gt;"tutar_farki","",IF(ABS($C43)&gt;efs_esikFark,"YUKSEK","NORMAL"))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IF($B44&lt;&gt;"tutar_farki","",IF(ABS($C44)&gt;efs_esikFark,"YUKSEK","NORMAL"))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IF($B45&lt;&gt;"tutar_farki","",IF(ABS($C45)&gt;efs_esikFark,"YUKSEK","NORMAL"))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IF($B46&lt;&gt;"tutar_farki","",IF(ABS($C46)&gt;efs_esikFark,"YUKSEK","NORMAL"))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IF($B47&lt;&gt;"tutar_farki","",IF(ABS($C47)&gt;efs_esikFark,"YUKSEK","NORMAL"))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IF($B48&lt;&gt;"tutar_farki","",IF(ABS($C48)&gt;efs_esikFark,"YUKSEK","NORMAL"))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IF($B49&lt;&gt;"tutar_farki","",IF(ABS($C49)&gt;efs_esikFark,"YUKSEK","NORMAL"))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IF($B50&lt;&gt;"tutar_farki","",IF(ABS($C50)&gt;efs_esikFark,"YUKSEK","NORMAL"))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IF($B51&lt;&gt;"tutar_farki","",IF(ABS($C51)&gt;efs_esikFark,"YUKSEK","NORMAL"))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IF($B52&lt;&gt;"tutar_farki","",IF(ABS($C52)&gt;efs_esikFark,"YUKSEK","NORMAL"))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IF($B53&lt;&gt;"tutar_farki","",IF(ABS($C53)&gt;efs_esikFark,"YUKSEK","NORMAL"))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IF($B54&lt;&gt;"tutar_farki","",IF(ABS($C54)&gt;efs_esikFark,"YUKSEK","NORMAL"))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IF($B55&lt;&gt;"tutar_farki","",IF(ABS($C55)&gt;efs_esikFark,"YUKSEK","NORMAL"))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IF($B56&lt;&gt;"tutar_farki","",IF(ABS($C56)&gt;efs_esikFark,"YUKSEK","NORMAL"))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IF($B57&lt;&gt;"tutar_farki","",IF(ABS($C57)&gt;efs_esikFark,"YUKSEK","NORMAL"))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IF($B58&lt;&gt;"tutar_farki","",IF(ABS($C58)&gt;efs_esikFark,"YUKSEK","NORMAL"))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IF($B59&lt;&gt;"tutar_farki","",IF(ABS($C59)&gt;efs_esikFark,"YUKSEK","NORMAL"))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IF($B60&lt;&gt;"tutar_farki","",IF(ABS($C60)&gt;efs_esikFark,"YUKSEK","NORMAL"))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IF($B61&lt;&gt;"tutar_farki","",IF(ABS($C61)&gt;efs_esikFark,"YUKSEK","NORMAL"))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IF($B62&lt;&gt;"tutar_farki","",IF(ABS($C62)&gt;efs_esikFark,"YUKSEK","NORMAL"))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IF($B63&lt;&gt;"tutar_farki","",IF(ABS($C63)&gt;efs_esikFark,"YUKSEK","NORMAL"))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IF($B64&lt;&gt;"tutar_farki","",IF(ABS($C64)&gt;efs_esikFark,"YUKSEK","NORMAL"))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IF($B65&lt;&gt;"tutar_farki","",IF(ABS($C65)&gt;efs_esikFark,"YUKSEK","NORMAL"))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IF($B66&lt;&gt;"tutar_farki","",IF(ABS($C66)&gt;efs_esikFark,"YUKSEK","NORMAL"))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IF($B67&lt;&gt;"tutar_farki","",IF(ABS($C67)&gt;efs_esikFark,"YUKSEK","NORMAL"))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IF($B68&lt;&gt;"tutar_farki","",IF(ABS($C68)&gt;efs_esikFark,"YUKSEK","NORMAL"))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IF($B69&lt;&gt;"tutar_farki","",IF(ABS($C69)&gt;efs_esikFark,"YUKSEK","NORMAL"))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IF($B70&lt;&gt;"tutar_farki","",IF(ABS($C70)&gt;efs_esikFark,"YUKSEK","NORMAL"))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IF($B71&lt;&gt;"tutar_farki","",IF(ABS($C71)&gt;efs_esikFark,"YUKSEK","NORMAL"))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IF($B72&lt;&gt;"tutar_farki","",IF(ABS($C72)&gt;efs_esikFark,"YUKSEK","NORMAL"))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IF($B73&lt;&gt;"tutar_farki","",IF(ABS($C73)&gt;efs_esikFark,"YUKSEK","NORMAL"))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IF($B74&lt;&gt;"tutar_farki","",IF(ABS($C74)&gt;efs_esikFark,"YUKSEK","NORMAL"))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IF($B75&lt;&gt;"tutar_farki","",IF(ABS($C75)&gt;efs_esikFark,"YUKSEK","NORMAL"))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IF($B76&lt;&gt;"tutar_farki","",IF(ABS($C76)&gt;efs_esikFark,"YUKSEK","NORMAL"))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IF($B77&lt;&gt;"tutar_farki","",IF(ABS($C77)&gt;efs_esikFark,"YUKSEK","NORMAL"))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IF($B78&lt;&gt;"tutar_farki","",IF(ABS($C78)&gt;efs_esikFark,"YUKSEK","NORMAL"))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IF($B79&lt;&gt;"tutar_farki","",IF(ABS($C79)&gt;efs_esikFark,"YUKSEK","NORMAL"))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IF($B80&lt;&gt;"tutar_farki","",IF(ABS($C80)&gt;efs_esikFark,"YUKSEK","NORMAL"))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IF($B81&lt;&gt;"tutar_farki","",IF(ABS($C81)&gt;efs_esikFark,"YUKSEK","NORMAL"))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IF($B82&lt;&gt;"tutar_farki","",IF(ABS($C82)&gt;efs_esikFark,"YUKSEK","NORMAL"))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IF($B83&lt;&gt;"tutar_farki","",IF(ABS($C83)&gt;efs_esikFark,"YUKSEK","NORMAL"))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IF($B84&lt;&gt;"tutar_farki","",IF(ABS($C84)&gt;efs_esikFark,"YUKSEK","NORMAL"))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IF($B85&lt;&gt;"tutar_farki","",IF(ABS($C85)&gt;efs_esikFark,"YUKSEK","NORMAL"))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IF($B86&lt;&gt;"tutar_farki","",IF(ABS($C86)&gt;efs_esikFark,"YUKSEK","NORMAL"))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IF($B87&lt;&gt;"tutar_farki","",IF(ABS($C87)&gt;efs_esikFark,"YUKSEK","NORMAL"))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IF($B88&lt;&gt;"tutar_farki","",IF(ABS($C88)&gt;efs_esikFark,"YUKSEK","NORMAL"))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IF($B89&lt;&gt;"tutar_farki","",IF(ABS($C89)&gt;efs_esikFark,"YUKSEK","NORMAL"))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IF($B90&lt;&gt;"tutar_farki","",IF(ABS($C90)&gt;efs_esikFark,"YUKSEK","NORMAL"))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IF($B91&lt;&gt;"tutar_farki","",IF(ABS($C91)&gt;efs_esikFark,"YUKSEK","NORMAL"))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IF($B92&lt;&gt;"tutar_farki","",IF(ABS($C92)&gt;efs_esikFark,"YUKSEK","NORMAL"))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IF($B93&lt;&gt;"tutar_farki","",IF(ABS($C93)&gt;efs_esikFark,"YUKSEK","NORMAL"))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IF($B94&lt;&gt;"tutar_farki","",IF(ABS($C94)&gt;efs_esikFark,"YUKSEK","NORMAL"))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IF($B95&lt;&gt;"tutar_farki","",IF(ABS($C95)&gt;efs_esikFark,"YUKSEK","NORMAL"))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IF($B96&lt;&gt;"tutar_farki","",IF(ABS($C96)&gt;efs_esikFark,"YUKSEK","NORMAL"))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IF($B97&lt;&gt;"tutar_farki","",IF(ABS($C97)&gt;efs_esikFark,"YUKSEK","NORMAL"))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IF($B98&lt;&gt;"tutar_farki","",IF(ABS($C98)&gt;efs_esikFark,"YUKSEK","NORMAL"))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IF($B99&lt;&gt;"tutar_farki","",IF(ABS($C99)&gt;efs_esikFark,"YUKSEK","NORMAL"))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IF($B100&lt;&gt;"tutar_farki","",IF(ABS($C100)&gt;efs_esikFark,"YUKSEK","NORMAL"))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IF($B101&lt;&gt;"tutar_farki","",IF(ABS($C101)&gt;efs_esikFark,"YUKSEK","NORMAL"))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IF($B102&lt;&gt;"tutar_farki","",IF(ABS($C102)&gt;efs_esikFark,"YUKSEK","NORMAL"))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IF($B103&lt;&gt;"tutar_farki","",IF(ABS($C103)&gt;efs_esikFark,"YUKSEK","NORMAL"))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IF($B104&lt;&gt;"tutar_farki","",IF(ABS($C104)&gt;efs_esikFark,"YUKSEK","NORMAL"))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IF($B105&lt;&gt;"tutar_farki","",IF(ABS($C105)&gt;efs_esikFark,"YUKSEK","NORMAL"))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IF($B106&lt;&gt;"tutar_farki","",IF(ABS($C106)&gt;efs_esikFark,"YUKSEK","NORMAL"))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IF($B107&lt;&gt;"tutar_farki","",IF(ABS($C107)&gt;efs_esikFark,"YUKSEK","NORMAL"))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IF($B108&lt;&gt;"tutar_farki","",IF(ABS($C108)&gt;efs_esikFark,"YUKSEK","NORMAL"))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IF($B109&lt;&gt;"tutar_farki","",IF(ABS($C109)&gt;efs_esikFark,"YUKSEK","NORMAL"))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IF($B110&lt;&gt;"tutar_farki","",IF(ABS($C110)&gt;efs_esikFark,"YUKSEK","NORMAL"))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IF($B111&lt;&gt;"tutar_farki","",IF(ABS($C111)&gt;efs_esikFark,"YUKSEK","NORMAL"))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IF($B112&lt;&gt;"tutar_farki","",IF(ABS($C112)&gt;efs_esikFark,"YUKSEK","NORMAL"))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IF($B113&lt;&gt;"tutar_farki","",IF(ABS($C113)&gt;efs_esikFark,"YUKSEK","NORMAL"))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IF($B114&lt;&gt;"tutar_farki","",IF(ABS($C114)&gt;efs_esikFark,"YUKSEK","NORMAL"))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IF($B115&lt;&gt;"tutar_farki","",IF(ABS($C115)&gt;efs_esikFark,"YUKSEK","NORMAL"))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IF($B116&lt;&gt;"tutar_farki","",IF(ABS($C116)&gt;efs_esikFark,"YUKSEK","NORMAL"))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IF($B117&lt;&gt;"tutar_farki","",IF(ABS($C117)&gt;efs_esikFark,"YUKSEK","NORMAL"))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IF($B118&lt;&gt;"tutar_farki","",IF(ABS($C118)&gt;efs_esikFark,"YUKSEK","NORMAL"))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IF($B119&lt;&gt;"tutar_farki","",IF(ABS($C119)&gt;efs_esikFark,"YUKSEK","NORMAL"))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IF($B120&lt;&gt;"tutar_farki","",IF(ABS($C120)&gt;efs_esikFark,"YUKSEK","NORMAL"))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IF($B121&lt;&gt;"tutar_farki","",IF(ABS($C121)&gt;efs_esikFark,"YUKSEK","NORMAL"))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IF($B122&lt;&gt;"tutar_farki","",IF(ABS($C122)&gt;efs_esikFark,"YUKSEK","NORMAL"))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IF($B123&lt;&gt;"tutar_farki","",IF(ABS($C123)&gt;efs_esikFark,"YUKSEK","NORMAL"))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IF($B124&lt;&gt;"tutar_farki","",IF(ABS($C124)&gt;efs_esikFark,"YUKSEK","NORMAL"))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IF($B125&lt;&gt;"tutar_farki","",IF(ABS($C125)&gt;efs_esikFark,"YUKSEK","NORMAL"))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IF($B126&lt;&gt;"tutar_farki","",IF(ABS($C126)&gt;efs_esikFark,"YUKSEK","NORMAL"))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IF($B127&lt;&gt;"tutar_farki","",IF(ABS($C127)&gt;efs_esikFark,"YUKSEK","NORMAL"))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IF($B128&lt;&gt;"tutar_farki","",IF(ABS($C128)&gt;efs_esikFark,"YUKSEK","NORMAL"))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IF($B129&lt;&gt;"tutar_farki","",IF(ABS($C129)&gt;efs_esikFark,"YUKSEK","NORMAL"))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IF($B130&lt;&gt;"tutar_farki","",IF(ABS($C130)&gt;efs_esikFark,"YUKSEK","NORMAL"))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IF($B131&lt;&gt;"tutar_farki","",IF(ABS($C131)&gt;efs_esikFark,"YUKSEK","NORMAL"))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IF($B132&lt;&gt;"tutar_farki","",IF(ABS($C132)&gt;efs_esikFark,"YUKSEK","NORMAL"))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IF($B133&lt;&gt;"tutar_farki","",IF(ABS($C133)&gt;efs_esikFark,"YUKSEK","NORMAL"))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IF($B134&lt;&gt;"tutar_farki","",IF(ABS($C134)&gt;efs_esikFark,"YUKSEK","NORMAL"))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IF($B135&lt;&gt;"tutar_farki","",IF(ABS($C135)&gt;efs_esikFark,"YUKSEK","NORMAL"))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IF($B136&lt;&gt;"tutar_farki","",IF(ABS($C136)&gt;efs_esikFark,"YUKSEK","NORMAL"))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IF($B137&lt;&gt;"tutar_farki","",IF(ABS($C137)&gt;efs_esikFark,"YUKSEK","NORMAL"))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IF($B138&lt;&gt;"tutar_farki","",IF(ABS($C138)&gt;efs_esikFark,"YUKSEK","NORMAL"))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IF($B139&lt;&gt;"tutar_farki","",IF(ABS($C139)&gt;efs_esikFark,"YUKSEK","NORMAL"))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IF($B140&lt;&gt;"tutar_farki","",IF(ABS($C140)&gt;efs_esikFark,"YUKSEK","NORMAL"))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IF($B141&lt;&gt;"tutar_farki","",IF(ABS($C141)&gt;efs_esikFark,"YUKSEK","NORMAL"))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IF($B142&lt;&gt;"tutar_farki","",IF(ABS($C142)&gt;efs_esikFark,"YUKSEK","NORMAL"))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IF($B143&lt;&gt;"tutar_farki","",IF(ABS($C143)&gt;efs_esikFark,"YUKSEK","NORMAL"))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IF($B144&lt;&gt;"tutar_farki","",IF(ABS($C144)&gt;efs_esikFark,"YUKSEK","NORMAL"))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IF($B145&lt;&gt;"tutar_farki","",IF(ABS($C145)&gt;efs_esikFark,"YUKSEK","NORMAL"))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IF($B146&lt;&gt;"tutar_farki","",IF(ABS($C146)&gt;efs_esikFark,"YUKSEK","NORMAL"))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IF($B147&lt;&gt;"tutar_farki","",IF(ABS($C147)&gt;efs_esikFark,"YUKSEK","NORMAL"))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IF($B148&lt;&gt;"tutar_farki","",IF(ABS($C148)&gt;efs_esikFark,"YUKSEK","NORMAL"))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IF($B149&lt;&gt;"tutar_farki","",IF(ABS($C149)&gt;efs_esikFark,"YUKSEK","NORMAL"))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IF($B150&lt;&gt;"tutar_farki","",IF(ABS($C150)&gt;efs_esikFark,"YUKSEK","NORMAL"))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IF($B151&lt;&gt;"tutar_farki","",IF(ABS($C151)&gt;efs_esikFark,"YUKSEK","NORMAL"))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IF($B152&lt;&gt;"tutar_farki","",IF(ABS($C152)&gt;efs_esikFark,"YUKSEK","NORMAL"))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IF($B153&lt;&gt;"tutar_farki","",IF(ABS($C153)&gt;efs_esikFark,"YUKSEK","NORMAL"))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IF($B154&lt;&gt;"tutar_farki","",IF(ABS($C154)&gt;efs_esikFark,"YUKSEK","NORMAL"))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IF($B155&lt;&gt;"tutar_farki","",IF(ABS($C155)&gt;efs_esikFark,"YUKSEK","NORMAL"))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IF($B156&lt;&gt;"tutar_farki","",IF(ABS($C156)&gt;efs_esikFark,"YUKSEK","NORMAL"))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IF($B157&lt;&gt;"tutar_farki","",IF(ABS($C157)&gt;efs_esikFark,"YUKSEK","NORMAL"))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IF($B158&lt;&gt;"tutar_farki","",IF(ABS($C158)&gt;efs_esikFark,"YUKSEK","NORMAL"))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IF($B159&lt;&gt;"tutar_farki","",IF(ABS($C159)&gt;efs_esikFark,"YUKSEK","NORMAL"))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IF($B160&lt;&gt;"tutar_farki","",IF(ABS($C160)&gt;efs_esikFark,"YUKSEK","NORMAL"))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IF($B161&lt;&gt;"tutar_farki","",IF(ABS($C161)&gt;efs_esikFark,"YUKSEK","NORMAL"))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IF($B162&lt;&gt;"tutar_farki","",IF(ABS($C162)&gt;efs_esikFark,"YUKSEK","NORMAL"))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IF($B163&lt;&gt;"tutar_farki","",IF(ABS($C163)&gt;efs_esikFark,"YUKSEK","NORMAL"))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IF($B164&lt;&gt;"tutar_farki","",IF(ABS($C164)&gt;efs_esikFark,"YUKSEK","NORMAL"))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IF($B165&lt;&gt;"tutar_farki","",IF(ABS($C165)&gt;efs_esikFark,"YUKSEK","NORMAL"))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IF($B166&lt;&gt;"tutar_farki","",IF(ABS($C166)&gt;efs_esikFark,"YUKSEK","NORMAL"))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IF($B167&lt;&gt;"tutar_farki","",IF(ABS($C167)&gt;efs_esikFark,"YUKSEK","NORMAL"))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IF($B168&lt;&gt;"tutar_farki","",IF(ABS($C168)&gt;efs_esikFark,"YUKSEK","NORMAL"))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IF($B169&lt;&gt;"tutar_farki","",IF(ABS($C169)&gt;efs_esikFark,"YUKSEK","NORMAL"))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IF($B170&lt;&gt;"tutar_farki","",IF(ABS($C170)&gt;efs_esikFark,"YUKSEK","NORMAL"))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IF($B171&lt;&gt;"tutar_farki","",IF(ABS($C171)&gt;efs_esikFark,"YUKSEK","NORMAL"))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IF($B172&lt;&gt;"tutar_farki","",IF(ABS($C172)&gt;efs_esikFark,"YUKSEK","NORMAL"))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IF($B173&lt;&gt;"tutar_farki","",IF(ABS($C173)&gt;efs_esikFark,"YUKSEK","NORMAL"))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IF($B174&lt;&gt;"tutar_farki","",IF(ABS($C174)&gt;efs_esikFark,"YUKSEK","NORMAL"))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IF($B175&lt;&gt;"tutar_farki","",IF(ABS($C175)&gt;efs_esikFark,"YUKSEK","NORMAL"))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IF($B176&lt;&gt;"tutar_farki","",IF(ABS($C176)&gt;efs_esikFark,"YUKSEK","NORMAL"))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IF($B177&lt;&gt;"tutar_farki","",IF(ABS($C177)&gt;efs_esikFark,"YUKSEK","NORMAL"))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IF($B178&lt;&gt;"tutar_farki","",IF(ABS($C178)&gt;efs_esikFark,"YUKSEK","NORMAL"))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IF($B179&lt;&gt;"tutar_farki","",IF(ABS($C179)&gt;efs_esikFark,"YUKSEK","NORMAL"))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IF($B180&lt;&gt;"tutar_farki","",IF(ABS($C180)&gt;efs_esikFark,"YUKSEK","NORMAL"))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IF($B181&lt;&gt;"tutar_farki","",IF(ABS($C181)&gt;efs_esikFark,"YUKSEK","NORMAL"))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IF($B182&lt;&gt;"tutar_farki","",IF(ABS($C182)&gt;efs_esikFark,"YUKSEK","NORMAL"))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IF($B183&lt;&gt;"tutar_farki","",IF(ABS($C183)&gt;efs_esikFark,"YUKSEK","NORMAL"))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IF($B184&lt;&gt;"tutar_farki","",IF(ABS($C184)&gt;efs_esikFark,"YUKSEK","NORMAL"))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IF($B185&lt;&gt;"tutar_farki","",IF(ABS($C185)&gt;efs_esikFark,"YUKSEK","NORMAL"))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IF($B186&lt;&gt;"tutar_farki","",IF(ABS($C186)&gt;efs_esikFark,"YUKSEK","NORMAL"))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IF($B187&lt;&gt;"tutar_farki","",IF(ABS($C187)&gt;efs_esikFark,"YUKSEK","NORMAL"))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IF($B188&lt;&gt;"tutar_farki","",IF(ABS($C188)&gt;efs_esikFark,"YUKSEK","NORMAL"))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IF($B189&lt;&gt;"tutar_farki","",IF(ABS($C189)&gt;efs_esikFark,"YUKSEK","NORMAL"))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IF($B190&lt;&gt;"tutar_farki","",IF(ABS($C190)&gt;efs_esikFark,"YUKSEK","NORMAL"))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IF($B191&lt;&gt;"tutar_farki","",IF(ABS($C191)&gt;efs_esikFark,"YUKSEK","NORMAL"))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IF($B192&lt;&gt;"tutar_farki","",IF(ABS($C192)&gt;efs_esikFark,"YUKSEK","NORMAL"))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IF($B193&lt;&gt;"tutar_farki","",IF(ABS($C193)&gt;efs_esikFark,"YUKSEK","NORMAL"))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IF($B194&lt;&gt;"tutar_farki","",IF(ABS($C194)&gt;efs_esikFark,"YUKSEK","NORMAL"))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IF($B195&lt;&gt;"tutar_farki","",IF(ABS($C195)&gt;efs_esikFark,"YUKSEK","NORMAL"))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IF($B196&lt;&gt;"tutar_farki","",IF(ABS($C196)&gt;efs_esikFark,"YUKSEK","NORMAL"))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IF($B197&lt;&gt;"tutar_farki","",IF(ABS($C197)&gt;efs_esikFark,"YUKSEK","NORMAL"))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IF($B198&lt;&gt;"tutar_farki","",IF(ABS($C198)&gt;efs_esikFark,"YUKSEK","NORMAL"))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IF($B199&lt;&gt;"tutar_farki","",IF(ABS($C199)&gt;efs_esikFark,"YUKSEK","NORMAL"))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IF($B200&lt;&gt;"tutar_farki","",IF(ABS($C200)&gt;efs_esikFark,"YUKSEK","NORMAL"))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IF($B201&lt;&gt;"tutar_farki","",IF(ABS($C201)&gt;efs_esikFark,"YUKSEK","NORMAL"))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IF($B202&lt;&gt;"tutar_farki","",IF(ABS($C202)&gt;efs_esikFark,"YUKSEK","NORMAL"))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IF($B203&lt;&gt;"tutar_farki","",IF(ABS($C203)&gt;efs_esikFark,"YUKSEK","NORMAL"))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IF($B204&lt;&gt;"tutar_farki","",IF(ABS($C204)&gt;efs_esikFark,"YUKSEK","NORMAL"))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IF($B205&lt;&gt;"tutar_farki","",IF(ABS($C205)&gt;efs_esikFark,"YUKSEK","NORMAL"))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IF($B206&lt;&gt;"tutar_farki","",IF(ABS($C206)&gt;efs_esikFark,"YUKSEK","NORMAL"))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IF($B207&lt;&gt;"tutar_farki","",IF(ABS($C207)&gt;efs_esikFark,"YUKSEK","NORMAL"))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IF($B208&lt;&gt;"tutar_farki","",IF(ABS($C208)&gt;efs_esikFark,"YUKSEK","NORMAL"))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IF($B209&lt;&gt;"tutar_farki","",IF(ABS($C209)&gt;efs_esikFark,"YUKSEK","NORMAL"))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IF($B210&lt;&gt;"tutar_farki","",IF(ABS($C210)&gt;efs_esikFark,"YUKSEK","NORMAL"))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IF($B211&lt;&gt;"tutar_farki","",IF(ABS($C211)&gt;efs_esikFark,"YUKSEK","NORMAL"))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IF($B212&lt;&gt;"tutar_farki","",IF(ABS($C212)&gt;efs_esikFark,"YUKSEK","NORMAL"))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IF($B213&lt;&gt;"tutar_farki","",IF(ABS($C213)&gt;efs_esikFark,"YUKSEK","NORMAL"))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IF($B214&lt;&gt;"tutar_farki","",IF(ABS($C214)&gt;efs_esikFark,"YUKSEK","NORMAL"))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IF($B215&lt;&gt;"tutar_farki","",IF(ABS($C215)&gt;efs_esikFark,"YUKSEK","NORMAL"))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IF($B216&lt;&gt;"tutar_farki","",IF(ABS($C216)&gt;efs_esikFark,"YUKSEK","NORMAL"))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IF($B217&lt;&gt;"tutar_farki","",IF(ABS($C217)&gt;efs_esikFark,"YUKSEK","NORMAL"))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IF($B218&lt;&gt;"tutar_farki","",IF(ABS($C218)&gt;efs_esikFark,"YUKSEK","NORMAL"))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IF($B219&lt;&gt;"tutar_farki","",IF(ABS($C219)&gt;efs_esikFark,"YUKSEK","NORMAL"))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IF($B220&lt;&gt;"tutar_farki","",IF(ABS($C220)&gt;efs_esikFark,"YUKSEK","NORMAL"))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IF($B221&lt;&gt;"tutar_farki","",IF(ABS($C221)&gt;efs_esikFark,"YUKSEK","NORMAL"))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IF($B222&lt;&gt;"tutar_farki","",IF(ABS($C222)&gt;efs_esikFark,"YUKSEK","NORMAL"))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IF($B223&lt;&gt;"tutar_farki","",IF(ABS($C223)&gt;efs_esikFark,"YUKSEK","NORMAL"))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IF($B224&lt;&gt;"tutar_farki","",IF(ABS($C224)&gt;efs_esikFark,"YUKSEK","NORMAL"))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IF($B225&lt;&gt;"tutar_farki","",IF(ABS($C225)&gt;efs_esikFark,"YUKSEK","NORMAL"))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IF($B226&lt;&gt;"tutar_farki","",IF(ABS($C226)&gt;efs_esikFark,"YUKSEK","NORMAL"))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IF($B227&lt;&gt;"tutar_farki","",IF(ABS($C227)&gt;efs_esikFark,"YUKSEK","NORMAL"))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IF($B228&lt;&gt;"tutar_farki","",IF(ABS($C228)&gt;efs_esikFark,"YUKSEK","NORMAL"))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IF($B229&lt;&gt;"tutar_farki","",IF(ABS($C229)&gt;efs_esikFark,"YUKSEK","NORMAL"))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IF($B230&lt;&gt;"tutar_farki","",IF(ABS($C230)&gt;efs_esikFark,"YUKSEK","NORMAL"))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IF($B231&lt;&gt;"tutar_farki","",IF(ABS($C231)&gt;efs_esikFark,"YUKSEK","NORMAL"))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IF($B232&lt;&gt;"tutar_farki","",IF(ABS($C232)&gt;efs_esikFark,"YUKSEK","NORMAL"))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IF($B233&lt;&gt;"tutar_farki","",IF(ABS($C233)&gt;efs_esikFark,"YUKSEK","NORMAL"))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IF($B234&lt;&gt;"tutar_farki","",IF(ABS($C234)&gt;efs_esikFark,"YUKSEK","NORMAL"))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IF($B235&lt;&gt;"tutar_farki","",IF(ABS($C235)&gt;efs_esikFark,"YUKSEK","NORMAL"))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IF($B236&lt;&gt;"tutar_farki","",IF(ABS($C236)&gt;efs_esikFark,"YUKSEK","NORMAL"))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IF($B237&lt;&gt;"tutar_farki","",IF(ABS($C237)&gt;efs_esikFark,"YUKSEK","NORMAL"))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IF($B238&lt;&gt;"tutar_farki","",IF(ABS($C238)&gt;efs_esikFark,"YUKSEK","NORMAL"))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IF($B239&lt;&gt;"tutar_farki","",IF(ABS($C239)&gt;efs_esikFark,"YUKSEK","NORMAL"))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IF($B240&lt;&gt;"tutar_farki","",IF(ABS($C240)&gt;efs_esikFark,"YUKSEK","NORMAL"))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IF($B241&lt;&gt;"tutar_farki","",IF(ABS($C241)&gt;efs_esikFark,"YUKSEK","NORMAL"))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IF($B242&lt;&gt;"tutar_farki","",IF(ABS($C242)&gt;efs_esikFark,"YUKSEK","NORMAL"))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IF($B243&lt;&gt;"tutar_farki","",IF(ABS($C243)&gt;efs_esikFark,"YUKSEK","NORMAL"))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IF($B244&lt;&gt;"tutar_farki","",IF(ABS($C244)&gt;efs_esikFark,"YUKSEK","NORMAL"))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IF($B245&lt;&gt;"tutar_farki","",IF(ABS($C245)&gt;efs_esikFark,"YUKSEK","NORMAL"))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IF($B246&lt;&gt;"tutar_farki","",IF(ABS($C246)&gt;efs_esikFark,"YUKSEK","NORMAL"))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IF($B247&lt;&gt;"tutar_farki","",IF(ABS($C247)&gt;efs_esikFark,"YUKSEK","NORMAL"))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IF($B248&lt;&gt;"tutar_farki","",IF(ABS($C248)&gt;efs_esikFark,"YUKSEK","NORMAL"))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IF($B249&lt;&gt;"tutar_farki","",IF(ABS($C249)&gt;efs_esikFark,"YUKSEK","NORMAL"))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IF($B250&lt;&gt;"tutar_farki","",IF(ABS($C250)&gt;efs_esikFark,"YUKSEK","NORMAL"))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IF($B251&lt;&gt;"tutar_farki","",IF(ABS($C251)&gt;efs_esikFark,"YUKSEK","NORMAL"))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IF($B252&lt;&gt;"tutar_farki","",IF(ABS($C252)&gt;efs_esikFark,"YUKSEK","NORMAL"))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IF($B253&lt;&gt;"tutar_farki","",IF(ABS($C253)&gt;efs_esikFark,"YUKSEK","NORMAL"))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IF($B254&lt;&gt;"tutar_farki","",IF(ABS($C254)&gt;efs_esikFark,"YUKSEK","NORMAL"))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IF($B255&lt;&gt;"tutar_farki","",IF(ABS($C255)&gt;efs_esikFark,"YUKSEK","NORMAL"))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IF($B256&lt;&gt;"tutar_farki","",IF(ABS($C256)&gt;efs_esikFark,"YUKSEK","NORMAL"))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IF($B257&lt;&gt;"tutar_farki","",IF(ABS($C257)&gt;efs_esikFark,"YUKSEK","NORMAL"))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IF($B258&lt;&gt;"tutar_farki","",IF(ABS($C258)&gt;efs_esikFark,"YUKSEK","NORMAL"))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IF($B259&lt;&gt;"tutar_farki","",IF(ABS($C259)&gt;efs_esikFark,"YUKSEK","NORMAL"))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IF($B260&lt;&gt;"tutar_farki","",IF(ABS($C260)&gt;efs_esikFark,"YUKSEK","NORMAL"))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IF($B261&lt;&gt;"tutar_farki","",IF(ABS($C261)&gt;efs_esikFark,"YUKSEK","NORMAL"))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IF($B262&lt;&gt;"tutar_farki","",IF(ABS($C262)&gt;efs_esikFark,"YUKSEK","NORMAL"))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IF($B263&lt;&gt;"tutar_farki","",IF(ABS($C263)&gt;efs_esikFark,"YUKSEK","NORMAL"))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IF($B264&lt;&gt;"tutar_farki","",IF(ABS($C264)&gt;efs_esikFark,"YUKSEK","NORMAL"))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IF($B265&lt;&gt;"tutar_farki","",IF(ABS($C265)&gt;efs_esikFark,"YUKSEK","NORMAL"))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IF($B266&lt;&gt;"tutar_farki","",IF(ABS($C266)&gt;efs_esikFark,"YUKSEK","NORMAL"))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IF($B267&lt;&gt;"tutar_farki","",IF(ABS($C267)&gt;efs_esikFark,"YUKSEK","NORMAL"))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IF($B268&lt;&gt;"tutar_farki","",IF(ABS($C268)&gt;efs_esikFark,"YUKSEK","NORMAL"))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IF($B269&lt;&gt;"tutar_farki","",IF(ABS($C269)&gt;efs_esikFark,"YUKSEK","NORMAL"))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IF($B270&lt;&gt;"tutar_farki","",IF(ABS($C270)&gt;efs_esikFark,"YUKSEK","NORMAL"))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IF($B271&lt;&gt;"tutar_farki","",IF(ABS($C271)&gt;efs_esikFark,"YUKSEK","NORMAL"))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IF($B272&lt;&gt;"tutar_farki","",IF(ABS($C272)&gt;efs_esikFark,"YUKSEK","NORMAL"))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IF($B273&lt;&gt;"tutar_farki","",IF(ABS($C273)&gt;efs_esikFark,"YUKSEK","NORMAL"))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IF($B274&lt;&gt;"tutar_farki","",IF(ABS($C274)&gt;efs_esikFark,"YUKSEK","NORMAL"))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IF($B275&lt;&gt;"tutar_farki","",IF(ABS($C275)&gt;efs_esikFark,"YUKSEK","NORMAL"))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IF($B276&lt;&gt;"tutar_farki","",IF(ABS($C276)&gt;efs_esikFark,"YUKSEK","NORMAL"))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IF($B277&lt;&gt;"tutar_farki","",IF(ABS($C277)&gt;efs_esikFark,"YUKSEK","NORMAL"))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IF($B278&lt;&gt;"tutar_farki","",IF(ABS($C278)&gt;efs_esikFark,"YUKSEK","NORMAL"))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IF($B279&lt;&gt;"tutar_farki","",IF(ABS($C279)&gt;efs_esikFark,"YUKSEK","NORMAL"))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IF($B280&lt;&gt;"tutar_farki","",IF(ABS($C280)&gt;efs_esikFark,"YUKSEK","NORMAL"))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IF($B281&lt;&gt;"tutar_farki","",IF(ABS($C281)&gt;efs_esikFark,"YUKSEK","NORMAL"))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IF($B282&lt;&gt;"tutar_farki","",IF(ABS($C282)&gt;efs_esikFark,"YUKSEK","NORMAL"))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IF($B283&lt;&gt;"tutar_farki","",IF(ABS($C283)&gt;efs_esikFark,"YUKSEK","NORMAL"))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IF($B284&lt;&gt;"tutar_farki","",IF(ABS($C284)&gt;efs_esikFark,"YUKSEK","NORMAL"))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IF($B285&lt;&gt;"tutar_farki","",IF(ABS($C285)&gt;efs_esikFark,"YUKSEK","NORMAL"))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IF($B286&lt;&gt;"tutar_farki","",IF(ABS($C286)&gt;efs_esikFark,"YUKSEK","NORMAL"))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IF($B287&lt;&gt;"tutar_farki","",IF(ABS($C287)&gt;efs_esikFark,"YUKSEK","NORMAL"))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IF($B288&lt;&gt;"tutar_farki","",IF(ABS($C288)&gt;efs_esikFark,"YUKSEK","NORMAL"))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IF($B289&lt;&gt;"tutar_farki","",IF(ABS($C289)&gt;efs_esikFark,"YUKSEK","NORMAL"))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IF($B290&lt;&gt;"tutar_farki","",IF(ABS($C290)&gt;efs_esikFark,"YUKSEK","NORMAL"))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IF($B291&lt;&gt;"tutar_farki","",IF(ABS($C291)&gt;efs_esikFark,"YUKSEK","NORMAL"))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IF($B292&lt;&gt;"tutar_farki","",IF(ABS($C292)&gt;efs_esikFark,"YUKSEK","NORMAL"))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IF($B293&lt;&gt;"tutar_farki","",IF(ABS($C293)&gt;efs_esikFark,"YUKSEK","NORMAL"))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IF($B294&lt;&gt;"tutar_farki","",IF(ABS($C294)&gt;efs_esikFark,"YUKSEK","NORMAL"))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IF($B295&lt;&gt;"tutar_farki","",IF(ABS($C295)&gt;efs_esikFark,"YUKSEK","NORMAL"))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IF($B296&lt;&gt;"tutar_farki","",IF(ABS($C296)&gt;efs_esikFark,"YUKSEK","NORMAL"))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IF($B297&lt;&gt;"tutar_farki","",IF(ABS($C297)&gt;efs_esikFark,"YUKSEK","NORMAL"))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IF($B298&lt;&gt;"tutar_farki","",IF(ABS($C298)&gt;efs_esikFark,"YUKSEK","NORMAL"))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IF($B299&lt;&gt;"tutar_farki","",IF(ABS($C299)&gt;efs_esikFark,"YUKSEK","NORMAL"))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IF($B300&lt;&gt;"tutar_farki","",IF(ABS($C300)&gt;efs_esikFark,"YUKSEK","NORMAL"))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IF($B301&lt;&gt;"tutar_farki","",IF(ABS($C301)&gt;efs_esikFark,"YUKSEK","NORMAL"))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IF($B302&lt;&gt;"tutar_farki","",IF(ABS($C302)&gt;efs_esikFark,"YUKSEK","NORMAL"))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IF($B303&lt;&gt;"tutar_farki","",IF(ABS($C303)&gt;efs_esikFark,"YUKSEK","NORMAL"))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IF($B304&lt;&gt;"tutar_farki","",IF(ABS($C304)&gt;efs_esikFark,"YUKSEK","NORMAL"))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IF($B305&lt;&gt;"tutar_farki","",IF(ABS($C305)&gt;efs_esikFark,"YUKSEK","NORMAL"))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IF($B306&lt;&gt;"tutar_farki","",IF(ABS($C306)&gt;efs_esikFark,"YUKSEK","NORMAL"))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IF($B307&lt;&gt;"tutar_farki","",IF(ABS($C307)&gt;efs_esikFark,"YUKSEK","NORMAL"))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IF($B308&lt;&gt;"tutar_farki","",IF(ABS($C308)&gt;efs_esikFark,"YUKSEK","NORMAL"))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IF($B309&lt;&gt;"tutar_farki","",IF(ABS($C309)&gt;efs_esikFark,"YUKSEK","NORMAL"))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IF($B310&lt;&gt;"tutar_farki","",IF(ABS($C310)&gt;efs_esikFark,"YUKSEK","NORMAL"))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IF($B311&lt;&gt;"tutar_farki","",IF(ABS($C311)&gt;efs_esikFark,"YUKSEK","NORMAL"))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IF($B312&lt;&gt;"tutar_farki","",IF(ABS($C312)&gt;efs_esikFark,"YUKSEK","NORMAL"))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IF($B313&lt;&gt;"tutar_farki","",IF(ABS($C313)&gt;efs_esikFark,"YUKSEK","NORMAL"))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IF($B314&lt;&gt;"tutar_farki","",IF(ABS($C314)&gt;efs_esikFark,"YUKSEK","NORMAL"))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IF($B315&lt;&gt;"tutar_farki","",IF(ABS($C315)&gt;efs_esikFark,"YUKSEK","NORMAL"))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IF($B316&lt;&gt;"tutar_farki","",IF(ABS($C316)&gt;efs_esikFark,"YUKSEK","NORMAL"))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IF($B317&lt;&gt;"tutar_farki","",IF(ABS($C317)&gt;efs_esikFark,"YUKSEK","NORMAL"))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IF($B318&lt;&gt;"tutar_farki","",IF(ABS($C318)&gt;efs_esikFark,"YUKSEK","NORMAL"))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IF($B319&lt;&gt;"tutar_farki","",IF(ABS($C319)&gt;efs_esikFark,"YUKSEK","NORMAL"))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IF($B320&lt;&gt;"tutar_farki","",IF(ABS($C320)&gt;efs_esikFark,"YUKSEK","NORMAL"))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IF($B321&lt;&gt;"tutar_farki","",IF(ABS($C321)&gt;efs_esikFark,"YUKSEK","NORMAL"))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IF($B322&lt;&gt;"tutar_farki","",IF(ABS($C322)&gt;efs_esikFark,"YUKSEK","NORMAL"))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IF($B323&lt;&gt;"tutar_farki","",IF(ABS($C323)&gt;efs_esikFark,"YUKSEK","NORMAL"))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IF($B324&lt;&gt;"tutar_farki","",IF(ABS($C324)&gt;efs_esikFark,"YUKSEK","NORMAL"))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IF($B325&lt;&gt;"tutar_farki","",IF(ABS($C325)&gt;efs_esikFark,"YUKSEK","NORMAL"))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IF($B326&lt;&gt;"tutar_farki","",IF(ABS($C326)&gt;efs_esikFark,"YUKSEK","NORMAL"))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IF($B327&lt;&gt;"tutar_farki","",IF(ABS($C327)&gt;efs_esikFark,"YUKSEK","NORMAL"))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IF($B328&lt;&gt;"tutar_farki","",IF(ABS($C328)&gt;efs_esikFark,"YUKSEK","NORMAL"))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IF($B329&lt;&gt;"tutar_farki","",IF(ABS($C329)&gt;efs_esikFark,"YUKSEK","NORMAL"))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IF($B330&lt;&gt;"tutar_farki","",IF(ABS($C330)&gt;efs_esikFark,"YUKSEK","NORMAL"))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IF($B331&lt;&gt;"tutar_farki","",IF(ABS($C331)&gt;efs_esikFark,"YUKSEK","NORMAL"))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IF($B332&lt;&gt;"tutar_farki","",IF(ABS($C332)&gt;efs_esikFark,"YUKSEK","NORMAL"))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IF($B333&lt;&gt;"tutar_farki","",IF(ABS($C333)&gt;efs_esikFark,"YUKSEK","NORMAL"))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IF($B334&lt;&gt;"tutar_farki","",IF(ABS($C334)&gt;efs_esikFark,"YUKSEK","NORMAL"))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IF($B335&lt;&gt;"tutar_farki","",IF(ABS($C335)&gt;efs_esikFark,"YUKSEK","NORMAL"))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IF($B336&lt;&gt;"tutar_farki","",IF(ABS($C336)&gt;efs_esikFark,"YUKSEK","NORMAL"))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IF($B337&lt;&gt;"tutar_farki","",IF(ABS($C337)&gt;efs_esikFark,"YUKSEK","NORMAL"))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IF($B338&lt;&gt;"tutar_farki","",IF(ABS($C338)&gt;efs_esikFark,"YUKSEK","NORMAL"))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IF($B339&lt;&gt;"tutar_farki","",IF(ABS($C339)&gt;efs_esikFark,"YUKSEK","NORMAL"))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IF($B340&lt;&gt;"tutar_farki","",IF(ABS($C340)&gt;efs_esikFark,"YUKSEK","NORMAL"))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IF($B341&lt;&gt;"tutar_farki","",IF(ABS($C341)&gt;efs_esikFark,"YUKSEK","NORMAL"))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IF($B342&lt;&gt;"tutar_farki","",IF(ABS($C342)&gt;efs_esikFark,"YUKSEK","NORMAL"))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IF($B343&lt;&gt;"tutar_farki","",IF(ABS($C343)&gt;efs_esikFark,"YUKSEK","NORMAL"))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IF($B344&lt;&gt;"tutar_farki","",IF(ABS($C344)&gt;efs_esikFark,"YUKSEK","NORMAL"))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IF($B345&lt;&gt;"tutar_farki","",IF(ABS($C345)&gt;efs_esikFark,"YUKSEK","NORMAL"))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IF($B346&lt;&gt;"tutar_farki","",IF(ABS($C346)&gt;efs_esikFark,"YUKSEK","NORMAL"))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IF($B347&lt;&gt;"tutar_farki","",IF(ABS($C347)&gt;efs_esikFark,"YUKSEK","NORMAL"))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IF($B348&lt;&gt;"tutar_farki","",IF(ABS($C348)&gt;efs_esikFark,"YUKSEK","NORMAL"))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IF($B349&lt;&gt;"tutar_farki","",IF(ABS($C349)&gt;efs_esikFark,"YUKSEK","NORMAL"))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IF($B350&lt;&gt;"tutar_farki","",IF(ABS($C350)&gt;efs_esikFark,"YUKSEK","NORMAL"))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IF($B351&lt;&gt;"tutar_farki","",IF(ABS($C351)&gt;efs_esikFark,"YUKSEK","NORMAL"))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IF($B352&lt;&gt;"tutar_farki","",IF(ABS($C352)&gt;efs_esikFark,"YUKSEK","NORMAL"))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IF($B353&lt;&gt;"tutar_farki","",IF(ABS($C353)&gt;efs_esikFark,"YUKSEK","NORMAL"))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IF($B354&lt;&gt;"tutar_farki","",IF(ABS($C354)&gt;efs_esikFark,"YUKSEK","NORMAL"))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IF($B355&lt;&gt;"tutar_farki","",IF(ABS($C355)&gt;efs_esikFark,"YUKSEK","NORMAL"))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IF($B356&lt;&gt;"tutar_farki","",IF(ABS($C356)&gt;efs_esikFark,"YUKSEK","NORMAL"))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IF($B357&lt;&gt;"tutar_farki","",IF(ABS($C357)&gt;efs_esikFark,"YUKSEK","NORMAL"))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IF($B358&lt;&gt;"tutar_farki","",IF(ABS($C358)&gt;efs_esikFark,"YUKSEK","NORMAL"))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IF($B359&lt;&gt;"tutar_farki","",IF(ABS($C359)&gt;efs_esikFark,"YUKSEK","NORMAL"))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IF($B360&lt;&gt;"tutar_farki","",IF(ABS($C360)&gt;efs_esikFark,"YUKSEK","NORMAL"))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IF($B361&lt;&gt;"tutar_farki","",IF(ABS($C361)&gt;efs_esikFark,"YUKSEK","NORMAL"))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IF($B362&lt;&gt;"tutar_farki","",IF(ABS($C362)&gt;efs_esikFark,"YUKSEK","NORMAL"))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IF($B363&lt;&gt;"tutar_farki","",IF(ABS($C363)&gt;efs_esikFark,"YUKSEK","NORMAL"))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IF($B364&lt;&gt;"tutar_farki","",IF(ABS($C364)&gt;efs_esikFark,"YUKSEK","NORMAL"))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IF($B365&lt;&gt;"tutar_farki","",IF(ABS($C365)&gt;efs_esikFark,"YUKSEK","NORMAL"))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IF($B366&lt;&gt;"tutar_farki","",IF(ABS($C366)&gt;efs_esikFark,"YUKSEK","NORMAL"))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IF($B367&lt;&gt;"tutar_farki","",IF(ABS($C367)&gt;efs_esikFark,"YUKSEK","NORMAL"))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IF($B368&lt;&gt;"tutar_farki","",IF(ABS($C368)&gt;efs_esikFark,"YUKSEK","NORMAL"))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IF($B369&lt;&gt;"tutar_farki","",IF(ABS($C369)&gt;efs_esikFark,"YUKSEK","NORMAL"))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IF($B370&lt;&gt;"tutar_farki","",IF(ABS($C370)&gt;efs_esikFark,"YUKSEK","NORMAL"))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IF($B371&lt;&gt;"tutar_farki","",IF(ABS($C371)&gt;efs_esikFark,"YUKSEK","NORMAL"))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IF($B372&lt;&gt;"tutar_farki","",IF(ABS($C372)&gt;efs_esikFark,"YUKSEK","NORMAL"))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IF($B373&lt;&gt;"tutar_farki","",IF(ABS($C373)&gt;efs_esikFark,"YUKSEK","NORMAL"))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IF($B374&lt;&gt;"tutar_farki","",IF(ABS($C374)&gt;efs_esikFark,"YUKSEK","NORMAL"))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IF($B375&lt;&gt;"tutar_farki","",IF(ABS($C375)&gt;efs_esikFark,"YUKSEK","NORMAL"))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IF($B376&lt;&gt;"tutar_farki","",IF(ABS($C376)&gt;efs_esikFark,"YUKSEK","NORMAL"))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IF($B377&lt;&gt;"tutar_farki","",IF(ABS($C377)&gt;efs_esikFark,"YUKSEK","NORMAL"))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IF($B378&lt;&gt;"tutar_farki","",IF(ABS($C378)&gt;efs_esikFark,"YUKSEK","NORMAL"))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IF($B379&lt;&gt;"tutar_farki","",IF(ABS($C379)&gt;efs_esikFark,"YUKSEK","NORMAL"))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IF($B380&lt;&gt;"tutar_farki","",IF(ABS($C380)&gt;efs_esikFark,"YUKSEK","NORMAL"))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IF($B381&lt;&gt;"tutar_farki","",IF(ABS($C381)&gt;efs_esikFark,"YUKSEK","NORMAL"))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IF($B382&lt;&gt;"tutar_farki","",IF(ABS($C382)&gt;efs_esikFark,"YUKSEK","NORMAL"))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IF($B383&lt;&gt;"tutar_farki","",IF(ABS($C383)&gt;efs_esikFark,"YUKSEK","NORMAL"))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IF($B384&lt;&gt;"tutar_farki","",IF(ABS($C384)&gt;efs_esikFark,"YUKSEK","NORMAL"))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IF($B385&lt;&gt;"tutar_farki","",IF(ABS($C385)&gt;efs_esikFark,"YUKSEK","NORMAL"))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IF($B386&lt;&gt;"tutar_farki","",IF(ABS($C386)&gt;efs_esikFark,"YUKSEK","NORMAL"))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IF($B387&lt;&gt;"tutar_farki","",IF(ABS($C387)&gt;efs_esikFark,"YUKSEK","NORMAL"))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IF($B388&lt;&gt;"tutar_farki","",IF(ABS($C388)&gt;efs_esikFark,"YUKSEK","NORMAL"))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IF($B389&lt;&gt;"tutar_farki","",IF(ABS($C389)&gt;efs_esikFark,"YUKSEK","NORMAL"))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IF($B390&lt;&gt;"tutar_farki","",IF(ABS($C390)&gt;efs_esikFark,"YUKSEK","NORMAL"))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IF($B391&lt;&gt;"tutar_farki","",IF(ABS($C391)&gt;efs_esikFark,"YUKSEK","NORMAL"))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IF($B392&lt;&gt;"tutar_farki","",IF(ABS($C392)&gt;efs_esikFark,"YUKSEK","NORMAL"))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IF($B393&lt;&gt;"tutar_farki","",IF(ABS($C393)&gt;efs_esikFark,"YUKSEK","NORMAL"))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IF($B394&lt;&gt;"tutar_farki","",IF(ABS($C394)&gt;efs_esikFark,"YUKSEK","NORMAL"))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IF($B395&lt;&gt;"tutar_farki","",IF(ABS($C395)&gt;efs_esikFark,"YUKSEK","NORMAL"))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IF($B396&lt;&gt;"tutar_farki","",IF(ABS($C396)&gt;efs_esikFark,"YUKSEK","NORMAL"))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IF($B397&lt;&gt;"tutar_farki","",IF(ABS($C397)&gt;efs_esikFark,"YUKSEK","NORMAL"))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IF($B398&lt;&gt;"tutar_farki","",IF(ABS($C398)&gt;efs_esikFark,"YUKSEK","NORMAL"))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IF($B399&lt;&gt;"tutar_farki","",IF(ABS($C399)&gt;efs_esikFark,"YUKSEK","NORMAL"))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IF($B400&lt;&gt;"tutar_farki","",IF(ABS($C400)&gt;efs_esikFark,"YUKSEK","NORMAL"))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IF($B401&lt;&gt;"tutar_farki","",IF(ABS($C401)&gt;efs_esikFark,"YUKSEK","NORMAL"))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IF($B402&lt;&gt;"tutar_farki","",IF(ABS($C402)&gt;efs_esikFark,"YUKSEK","NORMAL"))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IF($B403&lt;&gt;"tutar_farki","",IF(ABS($C403)&gt;efs_esikFark,"YUKSEK","NORMAL"))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IF($B404&lt;&gt;"tutar_farki","",IF(ABS($C404)&gt;efs_esikFark,"YUKSEK","NORMAL"))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IF($B405&lt;&gt;"tutar_farki","",IF(ABS($C405)&gt;efs_esikFark,"YUKSEK","NORMAL"))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IF($B406&lt;&gt;"tutar_farki","",IF(ABS($C406)&gt;efs_esikFark,"YUKSEK","NORMAL"))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IF($B407&lt;&gt;"tutar_farki","",IF(ABS($C407)&gt;efs_esikFark,"YUKSEK","NORMAL"))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IF($B408&lt;&gt;"tutar_farki","",IF(ABS($C408)&gt;efs_esikFark,"YUKSEK","NORMAL"))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IF($B409&lt;&gt;"tutar_farki","",IF(ABS($C409)&gt;efs_esikFark,"YUKSEK","NORMAL"))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IF($B410&lt;&gt;"tutar_farki","",IF(ABS($C410)&gt;efs_esikFark,"YUKSEK","NORMAL"))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IF($B411&lt;&gt;"tutar_farki","",IF(ABS($C411)&gt;efs_esikFark,"YUKSEK","NORMAL"))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IF($B412&lt;&gt;"tutar_farki","",IF(ABS($C412)&gt;efs_esikFark,"YUKSEK","NORMAL"))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IF($B413&lt;&gt;"tutar_farki","",IF(ABS($C413)&gt;efs_esikFark,"YUKSEK","NORMAL"))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IF($B414&lt;&gt;"tutar_farki","",IF(ABS($C414)&gt;efs_esikFark,"YUKSEK","NORMAL"))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IF($B415&lt;&gt;"tutar_farki","",IF(ABS($C415)&gt;efs_esikFark,"YUKSEK","NORMAL"))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IF($B416&lt;&gt;"tutar_farki","",IF(ABS($C416)&gt;efs_esikFark,"YUKSEK","NORMAL"))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IF($B417&lt;&gt;"tutar_farki","",IF(ABS($C417)&gt;efs_esikFark,"YUKSEK","NORMAL"))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IF($B418&lt;&gt;"tutar_farki","",IF(ABS($C418)&gt;efs_esikFark,"YUKSEK","NORMAL"))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IF($B419&lt;&gt;"tutar_farki","",IF(ABS($C419)&gt;efs_esikFark,"YUKSEK","NORMAL"))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IF($B420&lt;&gt;"tutar_farki","",IF(ABS($C420)&gt;efs_esikFark,"YUKSEK","NORMAL"))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IF($B421&lt;&gt;"tutar_farki","",IF(ABS($C421)&gt;efs_esikFark,"YUKSEK","NORMAL"))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IF($B422&lt;&gt;"tutar_farki","",IF(ABS($C422)&gt;efs_esikFark,"YUKSEK","NORMAL"))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IF($B423&lt;&gt;"tutar_farki","",IF(ABS($C423)&gt;efs_esikFark,"YUKSEK","NORMAL"))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IF($B424&lt;&gt;"tutar_farki","",IF(ABS($C424)&gt;efs_esikFark,"YUKSEK","NORMAL"))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IF($B425&lt;&gt;"tutar_farki","",IF(ABS($C425)&gt;efs_esikFark,"YUKSEK","NORMAL"))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IF($B426&lt;&gt;"tutar_farki","",IF(ABS($C426)&gt;efs_esikFark,"YUKSEK","NORMAL"))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IF($B427&lt;&gt;"tutar_farki","",IF(ABS($C427)&gt;efs_esikFark,"YUKSEK","NORMAL"))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IF($B428&lt;&gt;"tutar_farki","",IF(ABS($C428)&gt;efs_esikFark,"YUKSEK","NORMAL"))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IF($B429&lt;&gt;"tutar_farki","",IF(ABS($C429)&gt;efs_esikFark,"YUKSEK","NORMAL"))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IF($B430&lt;&gt;"tutar_farki","",IF(ABS($C430)&gt;efs_esikFark,"YUKSEK","NORMAL"))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IF($B431&lt;&gt;"tutar_farki","",IF(ABS($C431)&gt;efs_esikFark,"YUKSEK","NORMAL"))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IF($B432&lt;&gt;"tutar_farki","",IF(ABS($C432)&gt;efs_esikFark,"YUKSEK","NORMAL"))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IF($B433&lt;&gt;"tutar_farki","",IF(ABS($C433)&gt;efs_esikFark,"YUKSEK","NORMAL"))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IF($B434&lt;&gt;"tutar_farki","",IF(ABS($C434)&gt;efs_esikFark,"YUKSEK","NORMAL"))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IF($B435&lt;&gt;"tutar_farki","",IF(ABS($C435)&gt;efs_esikFark,"YUKSEK","NORMAL"))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IF($B436&lt;&gt;"tutar_farki","",IF(ABS($C436)&gt;efs_esikFark,"YUKSEK","NORMAL"))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IF($B437&lt;&gt;"tutar_farki","",IF(ABS($C437)&gt;efs_esikFark,"YUKSEK","NORMAL"))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IF($B438&lt;&gt;"tutar_farki","",IF(ABS($C438)&gt;efs_esikFark,"YUKSEK","NORMAL"))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IF($B439&lt;&gt;"tutar_farki","",IF(ABS($C439)&gt;efs_esikFark,"YUKSEK","NORMAL"))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IF($B440&lt;&gt;"tutar_farki","",IF(ABS($C440)&gt;efs_esikFark,"YUKSEK","NORMAL"))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IF($B441&lt;&gt;"tutar_farki","",IF(ABS($C441)&gt;efs_esikFark,"YUKSEK","NORMAL"))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IF($B442&lt;&gt;"tutar_farki","",IF(ABS($C442)&gt;efs_esikFark,"YUKSEK","NORMAL"))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IF($B443&lt;&gt;"tutar_farki","",IF(ABS($C443)&gt;efs_esikFark,"YUKSEK","NORMAL"))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IF($B444&lt;&gt;"tutar_farki","",IF(ABS($C444)&gt;efs_esikFark,"YUKSEK","NORMAL"))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IF($B445&lt;&gt;"tutar_farki","",IF(ABS($C445)&gt;efs_esikFark,"YUKSEK","NORMAL"))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IF($B446&lt;&gt;"tutar_farki","",IF(ABS($C446)&gt;efs_esikFark,"YUKSEK","NORMAL"))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IF($B447&lt;&gt;"tutar_farki","",IF(ABS($C447)&gt;efs_esikFark,"YUKSEK","NORMAL"))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IF($B448&lt;&gt;"tutar_farki","",IF(ABS($C448)&gt;efs_esikFark,"YUKSEK","NORMAL"))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IF($B449&lt;&gt;"tutar_farki","",IF(ABS($C449)&gt;efs_esikFark,"YUKSEK","NORMAL"))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IF($B450&lt;&gt;"tutar_farki","",IF(ABS($C450)&gt;efs_esikFark,"YUKSEK","NORMAL"))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IF($B451&lt;&gt;"tutar_farki","",IF(ABS($C451)&gt;efs_esikFark,"YUKSEK","NORMAL"))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IF($B452&lt;&gt;"tutar_farki","",IF(ABS($C452)&gt;efs_esikFark,"YUKSEK","NORMAL"))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IF($B453&lt;&gt;"tutar_farki","",IF(ABS($C453)&gt;efs_esikFark,"YUKSEK","NORMAL"))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IF($B454&lt;&gt;"tutar_farki","",IF(ABS($C454)&gt;efs_esikFark,"YUKSEK","NORMAL"))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IF($B455&lt;&gt;"tutar_farki","",IF(ABS($C455)&gt;efs_esikFark,"YUKSEK","NORMAL"))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IF($B456&lt;&gt;"tutar_farki","",IF(ABS($C456)&gt;efs_esikFark,"YUKSEK","NORMAL"))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IF($B457&lt;&gt;"tutar_farki","",IF(ABS($C457)&gt;efs_esikFark,"YUKSEK","NORMAL"))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IF($B458&lt;&gt;"tutar_farki","",IF(ABS($C458)&gt;efs_esikFark,"YUKSEK","NORMAL"))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IF($B459&lt;&gt;"tutar_farki","",IF(ABS($C459)&gt;efs_esikFark,"YUKSEK","NORMAL"))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IF($B460&lt;&gt;"tutar_farki","",IF(ABS($C460)&gt;efs_esikFark,"YUKSEK","NORMAL"))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IF($B461&lt;&gt;"tutar_farki","",IF(ABS($C461)&gt;efs_esikFark,"YUKSEK","NORMAL"))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IF($B462&lt;&gt;"tutar_farki","",IF(ABS($C462)&gt;efs_esikFark,"YUKSEK","NORMAL"))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IF($B463&lt;&gt;"tutar_farki","",IF(ABS($C463)&gt;efs_esikFark,"YUKSEK","NORMAL"))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IF($B464&lt;&gt;"tutar_farki","",IF(ABS($C464)&gt;efs_esikFark,"YUKSEK","NORMAL"))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IF($B465&lt;&gt;"tutar_farki","",IF(ABS($C465)&gt;efs_esikFark,"YUKSEK","NORMAL"))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IF($B466&lt;&gt;"tutar_farki","",IF(ABS($C466)&gt;efs_esikFark,"YUKSEK","NORMAL"))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IF($B467&lt;&gt;"tutar_farki","",IF(ABS($C467)&gt;efs_esikFark,"YUKSEK","NORMAL"))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IF($B468&lt;&gt;"tutar_farki","",IF(ABS($C468)&gt;efs_esikFark,"YUKSEK","NORMAL"))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IF($B469&lt;&gt;"tutar_farki","",IF(ABS($C469)&gt;efs_esikFark,"YUKSEK","NORMAL"))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IF($B470&lt;&gt;"tutar_farki","",IF(ABS($C470)&gt;efs_esikFark,"YUKSEK","NORMAL"))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IF($B471&lt;&gt;"tutar_farki","",IF(ABS($C471)&gt;efs_esikFark,"YUKSEK","NORMAL"))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IF($B472&lt;&gt;"tutar_farki","",IF(ABS($C472)&gt;efs_esikFark,"YUKSEK","NORMAL"))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IF($B473&lt;&gt;"tutar_farki","",IF(ABS($C473)&gt;efs_esikFark,"YUKSEK","NORMAL"))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IF($B474&lt;&gt;"tutar_farki","",IF(ABS($C474)&gt;efs_esikFark,"YUKSEK","NORMAL"))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IF($B475&lt;&gt;"tutar_farki","",IF(ABS($C475)&gt;efs_esikFark,"YUKSEK","NORMAL"))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IF($B476&lt;&gt;"tutar_farki","",IF(ABS($C476)&gt;efs_esikFark,"YUKSEK","NORMAL"))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IF($B477&lt;&gt;"tutar_farki","",IF(ABS($C477)&gt;efs_esikFark,"YUKSEK","NORMAL"))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IF($B478&lt;&gt;"tutar_farki","",IF(ABS($C478)&gt;efs_esikFark,"YUKSEK","NORMAL"))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IF($B479&lt;&gt;"tutar_farki","",IF(ABS($C479)&gt;efs_esikFark,"YUKSEK","NORMAL"))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IF($B480&lt;&gt;"tutar_farki","",IF(ABS($C480)&gt;efs_esikFark,"YUKSEK","NORMAL"))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IF($B481&lt;&gt;"tutar_farki","",IF(ABS($C481)&gt;efs_esikFark,"YUKSEK","NORMAL"))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IF($B482&lt;&gt;"tutar_farki","",IF(ABS($C482)&gt;efs_esikFark,"YUKSEK","NORMAL"))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IF($B483&lt;&gt;"tutar_farki","",IF(ABS($C483)&gt;efs_esikFark,"YUKSEK","NORMAL"))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IF($B484&lt;&gt;"tutar_farki","",IF(ABS($C484)&gt;efs_esikFark,"YUKSEK","NORMAL"))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IF($B485&lt;&gt;"tutar_farki","",IF(ABS($C485)&gt;efs_esikFark,"YUKSEK","NORMAL"))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IF($B486&lt;&gt;"tutar_farki","",IF(ABS($C486)&gt;efs_esikFark,"YUKSEK","NORMAL"))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IF($B487&lt;&gt;"tutar_farki","",IF(ABS($C487)&gt;efs_esikFark,"YUKSEK","NORMAL"))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IF($B488&lt;&gt;"tutar_farki","",IF(ABS($C488)&gt;efs_esikFark,"YUKSEK","NORMAL"))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IF($B489&lt;&gt;"tutar_farki","",IF(ABS($C489)&gt;efs_esikFark,"YUKSEK","NORMAL"))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IF($B490&lt;&gt;"tutar_farki","",IF(ABS($C490)&gt;efs_esikFark,"YUKSEK","NORMAL"))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IF($B491&lt;&gt;"tutar_farki","",IF(ABS($C491)&gt;efs_esikFark,"YUKSEK","NORMAL"))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IF($B492&lt;&gt;"tutar_farki","",IF(ABS($C492)&gt;efs_esikFark,"YUKSEK","NORMAL"))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IF($B493&lt;&gt;"tutar_farki","",IF(ABS($C493)&gt;efs_esikFark,"YUKSEK","NORMAL"))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IF($B494&lt;&gt;"tutar_farki","",IF(ABS($C494)&gt;efs_esikFark,"YUKSEK","NORMAL"))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IF($B495&lt;&gt;"tutar_farki","",IF(ABS($C495)&gt;efs_esikFark,"YUKSEK","NORMAL"))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IF($B496&lt;&gt;"tutar_farki","",IF(ABS($C496)&gt;efs_esikFark,"YUKSEK","NORMAL"))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IF($B497&lt;&gt;"tutar_farki","",IF(ABS($C497)&gt;efs_esikFark,"YUKSEK","NORMAL"))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IF($B498&lt;&gt;"tutar_farki","",IF(ABS($C498)&gt;efs_esikFark,"YUKSEK","NORMAL"))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IF($B499&lt;&gt;"tutar_farki","",IF(ABS($C499)&gt;efs_esikFark,"YUKSEK","NORMAL"))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IF($B500&lt;&gt;"tutar_farki","",IF(ABS($C500)&gt;efs_esikFark,"YUKSEK","NORMAL"))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IF($B501&lt;&gt;"tutar_farki","",IF(ABS($C501)&gt;efs_esikFark,"YUKSEK","NORMAL"))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IF($B502&lt;&gt;"tutar_farki","",IF(ABS($C502)&gt;efs_esikFark,"YUKSEK","NORMAL"))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IF($B503&lt;&gt;"tutar_farki","",IF(ABS($C503)&gt;efs_esikFark,"YUKSEK","NORMAL"))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IF($B504&lt;&gt;"tutar_farki","",IF(ABS($C504)&gt;efs_esikFark,"YUKSEK","NORMAL"))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IF($B505&lt;&gt;"tutar_farki","",IF(ABS($C505)&gt;efs_esikFark,"YUKSEK","NORMAL"))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IF($B506&lt;&gt;"tutar_farki","",IF(ABS($C506)&gt;efs_esikFark,"YUKSEK","NORMAL"))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IF($B507&lt;&gt;"tutar_farki","",IF(ABS($C507)&gt;efs_esikFark,"YUKSEK","NORMAL"))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IF($B508&lt;&gt;"tutar_farki","",IF(ABS($C508)&gt;efs_esikFark,"YUKSEK","NORMAL"))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IF($B509&lt;&gt;"tutar_farki","",IF(ABS($C509)&gt;efs_esikFark,"YUKSEK","NORMAL"))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IF($B510&lt;&gt;"tutar_farki","",IF(ABS($C510)&gt;efs_esikFark,"YUKSEK","NORMAL"))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IF($B511&lt;&gt;"tutar_farki","",IF(ABS($C511)&gt;efs_esikFark,"YUKSEK","NORMAL"))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IF($B512&lt;&gt;"tutar_farki","",IF(ABS($C512)&gt;efs_esikFark,"YUKSEK","NORMAL"))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IF($B513&lt;&gt;"tutar_farki","",IF(ABS($C513)&gt;efs_esikFark,"YUKSEK","NORMAL"))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IF($B514&lt;&gt;"tutar_farki","",IF(ABS($C514)&gt;efs_esikFark,"YUKSEK","NORMAL"))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IF($B515&lt;&gt;"tutar_farki","",IF(ABS($C515)&gt;efs_esikFark,"YUKSEK","NORMAL"))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IF($B516&lt;&gt;"tutar_farki","",IF(ABS($C516)&gt;efs_esikFark,"YUKSEK","NORMAL"))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IF($B517&lt;&gt;"tutar_farki","",IF(ABS($C517)&gt;efs_esikFark,"YUKSEK","NORMAL"))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IF($B518&lt;&gt;"tutar_farki","",IF(ABS($C518)&gt;efs_esikFark,"YUKSEK","NORMAL"))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IF($B519&lt;&gt;"tutar_farki","",IF(ABS($C519)&gt;efs_esikFark,"YUKSEK","NORMAL"))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IF($B520&lt;&gt;"tutar_farki","",IF(ABS($C520)&gt;efs_esikFark,"YUKSEK","NORMAL"))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IF($B521&lt;&gt;"tutar_farki","",IF(ABS($C521)&gt;efs_esikFark,"YUKSEK","NORMAL"))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IF($B522&lt;&gt;"tutar_farki","",IF(ABS($C522)&gt;efs_esikFark,"YUKSEK","NORMAL"))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IF($B523&lt;&gt;"tutar_farki","",IF(ABS($C523)&gt;efs_esikFark,"YUKSEK","NORMAL"))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IF($B524&lt;&gt;"tutar_farki","",IF(ABS($C524)&gt;efs_esikFark,"YUKSEK","NORMAL"))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IF($B525&lt;&gt;"tutar_farki","",IF(ABS($C525)&gt;efs_esikFark,"YUKSEK","NORMAL"))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IF($B526&lt;&gt;"tutar_farki","",IF(ABS($C526)&gt;efs_esikFark,"YUKSEK","NORMAL"))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IF($B527&lt;&gt;"tutar_farki","",IF(ABS($C527)&gt;efs_esikFark,"YUKSEK","NORMAL"))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IF($B528&lt;&gt;"tutar_farki","",IF(ABS($C528)&gt;efs_esikFark,"YUKSEK","NORMAL"))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IF($B529&lt;&gt;"tutar_farki","",IF(ABS($C529)&gt;efs_esikFark,"YUKSEK","NORMAL"))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IF($B530&lt;&gt;"tutar_farki","",IF(ABS($C530)&gt;efs_esikFark,"YUKSEK","NORMAL"))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IF($B531&lt;&gt;"tutar_farki","",IF(ABS($C531)&gt;efs_esikFark,"YUKSEK","NORMAL"))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IF($B532&lt;&gt;"tutar_farki","",IF(ABS($C532)&gt;efs_esikFark,"YUKSEK","NORMAL"))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IF($B533&lt;&gt;"tutar_farki","",IF(ABS($C533)&gt;efs_esikFark,"YUKSEK","NORMAL"))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IF($B534&lt;&gt;"tutar_farki","",IF(ABS($C534)&gt;efs_esikFark,"YUKSEK","NORMAL"))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IF($B535&lt;&gt;"tutar_farki","",IF(ABS($C535)&gt;efs_esikFark,"YUKSEK","NORMAL"))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IF($B536&lt;&gt;"tutar_farki","",IF(ABS($C536)&gt;efs_esikFark,"YUKSEK","NORMAL"))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IF($B537&lt;&gt;"tutar_farki","",IF(ABS($C537)&gt;efs_esikFark,"YUKSEK","NORMAL"))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IF($B538&lt;&gt;"tutar_farki","",IF(ABS($C538)&gt;efs_esikFark,"YUKSEK","NORMAL"))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IF($B539&lt;&gt;"tutar_farki","",IF(ABS($C539)&gt;efs_esikFark,"YUKSEK","NORMAL"))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IF($B540&lt;&gt;"tutar_farki","",IF(ABS($C540)&gt;efs_esikFark,"YUKSEK","NORMAL"))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IF($B541&lt;&gt;"tutar_farki","",IF(ABS($C541)&gt;efs_esikFark,"YUKSEK","NORMAL"))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IF($B542&lt;&gt;"tutar_farki","",IF(ABS($C542)&gt;efs_esikFark,"YUKSEK","NORMAL"))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IF($B543&lt;&gt;"tutar_farki","",IF(ABS($C543)&gt;efs_esikFark,"YUKSEK","NORMAL"))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IF($B544&lt;&gt;"tutar_farki","",IF(ABS($C544)&gt;efs_esikFark,"YUKSEK","NORMAL"))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IF($B545&lt;&gt;"tutar_farki","",IF(ABS($C545)&gt;efs_esikFark,"YUKSEK","NORMAL"))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IF($B546&lt;&gt;"tutar_farki","",IF(ABS($C546)&gt;efs_esikFark,"YUKSEK","NORMAL"))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IF($B547&lt;&gt;"tutar_farki","",IF(ABS($C547)&gt;efs_esikFark,"YUKSEK","NORMAL"))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IF($B548&lt;&gt;"tutar_farki","",IF(ABS($C548)&gt;efs_esikFark,"YUKSEK","NORMAL"))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IF($B549&lt;&gt;"tutar_farki","",IF(ABS($C549)&gt;efs_esikFark,"YUKSEK","NORMAL"))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IF($B550&lt;&gt;"tutar_farki","",IF(ABS($C550)&gt;efs_esikFark,"YUKSEK","NORMAL"))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IF($B551&lt;&gt;"tutar_farki","",IF(ABS($C551)&gt;efs_esikFark,"YUKSEK","NORMAL"))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IF($B552&lt;&gt;"tutar_farki","",IF(ABS($C552)&gt;efs_esikFark,"YUKSEK","NORMAL"))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IF($B553&lt;&gt;"tutar_farki","",IF(ABS($C553)&gt;efs_esikFark,"YUKSEK","NORMAL"))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IF($B554&lt;&gt;"tutar_farki","",IF(ABS($C554)&gt;efs_esikFark,"YUKSEK","NORMAL"))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IF($B555&lt;&gt;"tutar_farki","",IF(ABS($C555)&gt;efs_esikFark,"YUKSEK","NORMAL"))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IF($B556&lt;&gt;"tutar_farki","",IF(ABS($C556)&gt;efs_esikFark,"YUKSEK","NORMAL"))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IF($B557&lt;&gt;"tutar_farki","",IF(ABS($C557)&gt;efs_esikFark,"YUKSEK","NORMAL"))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IF($B558&lt;&gt;"tutar_farki","",IF(ABS($C558)&gt;efs_esikFark,"YUKSEK","NORMAL"))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IF($B559&lt;&gt;"tutar_farki","",IF(ABS($C559)&gt;efs_esikFark,"YUKSEK","NORMAL"))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IF($B560&lt;&gt;"tutar_farki","",IF(ABS($C560)&gt;efs_esikFark,"YUKSEK","NORMAL"))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IF($B561&lt;&gt;"tutar_farki","",IF(ABS($C561)&gt;efs_esikFark,"YUKSEK","NORMAL"))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IF($B562&lt;&gt;"tutar_farki","",IF(ABS($C562)&gt;efs_esikFark,"YUKSEK","NORMAL"))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IF($B563&lt;&gt;"tutar_farki","",IF(ABS($C563)&gt;efs_esikFark,"YUKSEK","NORMAL"))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IF($B564&lt;&gt;"tutar_farki","",IF(ABS($C564)&gt;efs_esikFark,"YUKSEK","NORMAL"))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IF($B565&lt;&gt;"tutar_farki","",IF(ABS($C565)&gt;efs_esikFark,"YUKSEK","NORMAL"))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IF($B566&lt;&gt;"tutar_farki","",IF(ABS($C566)&gt;efs_esikFark,"YUKSEK","NORMAL"))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IF($B567&lt;&gt;"tutar_farki","",IF(ABS($C567)&gt;efs_esikFark,"YUKSEK","NORMAL"))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IF($B568&lt;&gt;"tutar_farki","",IF(ABS($C568)&gt;efs_esikFark,"YUKSEK","NORMAL"))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IF($B569&lt;&gt;"tutar_farki","",IF(ABS($C569)&gt;efs_esikFark,"YUKSEK","NORMAL"))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IF($B570&lt;&gt;"tutar_farki","",IF(ABS($C570)&gt;efs_esikFark,"YUKSEK","NORMAL"))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IF($B571&lt;&gt;"tutar_farki","",IF(ABS($C571)&gt;efs_esikFark,"YUKSEK","NORMAL"))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IF($B572&lt;&gt;"tutar_farki","",IF(ABS($C572)&gt;efs_esikFark,"YUKSEK","NORMAL"))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IF($B573&lt;&gt;"tutar_farki","",IF(ABS($C573)&gt;efs_esikFark,"YUKSEK","NORMAL"))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IF($B574&lt;&gt;"tutar_farki","",IF(ABS($C574)&gt;efs_esikFark,"YUKSEK","NORMAL"))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IF($B575&lt;&gt;"tutar_farki","",IF(ABS($C575)&gt;efs_esikFark,"YUKSEK","NORMAL"))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IF($B576&lt;&gt;"tutar_farki","",IF(ABS($C576)&gt;efs_esikFark,"YUKSEK","NORMAL"))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IF($B577&lt;&gt;"tutar_farki","",IF(ABS($C577)&gt;efs_esikFark,"YUKSEK","NORMAL"))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IF($B578&lt;&gt;"tutar_farki","",IF(ABS($C578)&gt;efs_esikFark,"YUKSEK","NORMAL"))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IF($B579&lt;&gt;"tutar_farki","",IF(ABS($C579)&gt;efs_esikFark,"YUKSEK","NORMAL"))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IF($B580&lt;&gt;"tutar_farki","",IF(ABS($C580)&gt;efs_esikFark,"YUKSEK","NORMAL"))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IF($B581&lt;&gt;"tutar_farki","",IF(ABS($C581)&gt;efs_esikFark,"YUKSEK","NORMAL"))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IF($B582&lt;&gt;"tutar_farki","",IF(ABS($C582)&gt;efs_esikFark,"YUKSEK","NORMAL"))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IF($B583&lt;&gt;"tutar_farki","",IF(ABS($C583)&gt;efs_esikFark,"YUKSEK","NORMAL"))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IF($B584&lt;&gt;"tutar_farki","",IF(ABS($C584)&gt;efs_esikFark,"YUKSEK","NORMAL"))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IF($B585&lt;&gt;"tutar_farki","",IF(ABS($C585)&gt;efs_esikFark,"YUKSEK","NORMAL"))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IF($B586&lt;&gt;"tutar_farki","",IF(ABS($C586)&gt;efs_esikFark,"YUKSEK","NORMAL"))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IF($B587&lt;&gt;"tutar_farki","",IF(ABS($C587)&gt;efs_esikFark,"YUKSEK","NORMAL"))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IF($B588&lt;&gt;"tutar_farki","",IF(ABS($C588)&gt;efs_esikFark,"YUKSEK","NORMAL"))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IF($B589&lt;&gt;"tutar_farki","",IF(ABS($C589)&gt;efs_esikFark,"YUKSEK","NORMAL"))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IF($B590&lt;&gt;"tutar_farki","",IF(ABS($C590)&gt;efs_esikFark,"YUKSEK","NORMAL"))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IF($B591&lt;&gt;"tutar_farki","",IF(ABS($C591)&gt;efs_esikFark,"YUKSEK","NORMAL"))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IF($B592&lt;&gt;"tutar_farki","",IF(ABS($C592)&gt;efs_esikFark,"YUKSEK","NORMAL"))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IF($B593&lt;&gt;"tutar_farki","",IF(ABS($C593)&gt;efs_esikFark,"YUKSEK","NORMAL"))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IF($B594&lt;&gt;"tutar_farki","",IF(ABS($C594)&gt;efs_esikFark,"YUKSEK","NORMAL"))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IF($B595&lt;&gt;"tutar_farki","",IF(ABS($C595)&gt;efs_esikFark,"YUKSEK","NORMAL"))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IF($B596&lt;&gt;"tutar_farki","",IF(ABS($C596)&gt;efs_esikFark,"YUKSEK","NORMAL"))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IF($B597&lt;&gt;"tutar_farki","",IF(ABS($C597)&gt;efs_esikFark,"YUKSEK","NORMAL"))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IF($B598&lt;&gt;"tutar_farki","",IF(ABS($C598)&gt;efs_esikFark,"YUKSEK","NORMAL"))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IF($B599&lt;&gt;"tutar_farki","",IF(ABS($C599)&gt;efs_esikFark,"YUKSEK","NORMAL"))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IF($B600&lt;&gt;"tutar_farki","",IF(ABS($C600)&gt;efs_esikFark,"YUKSEK","NORMAL"))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IF($B601&lt;&gt;"tutar_farki","",IF(ABS($C601)&gt;efs_esikFark,"YUKSEK","NORMAL"))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IF($B602&lt;&gt;"tutar_farki","",IF(ABS($C602)&gt;efs_esikFark,"YUKSEK","NORMAL"))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IF($B603&lt;&gt;"tutar_farki","",IF(ABS($C603)&gt;efs_esikFark,"YUKSEK","NORMAL"))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IF($B604&lt;&gt;"tutar_farki","",IF(ABS($C604)&gt;efs_esikFark,"YUKSEK","NORMAL"))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IF($B605&lt;&gt;"tutar_farki","",IF(ABS($C605)&gt;efs_esikFark,"YUKSEK","NORMAL"))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IF($B606&lt;&gt;"tutar_farki","",IF(ABS($C606)&gt;efs_esikFark,"YUKSEK","NORMAL"))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IF($B607&lt;&gt;"tutar_farki","",IF(ABS($C607)&gt;efs_esikFark,"YUKSEK","NORMAL"))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IF($B608&lt;&gt;"tutar_farki","",IF(ABS($C608)&gt;efs_esikFark,"YUKSEK","NORMAL"))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IF($B609&lt;&gt;"tutar_farki","",IF(ABS($C609)&gt;efs_esikFark,"YUKSEK","NORMAL"))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IF($B610&lt;&gt;"tutar_farki","",IF(ABS($C610)&gt;efs_esikFark,"YUKSEK","NORMAL"))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IF($B611&lt;&gt;"tutar_farki","",IF(ABS($C611)&gt;efs_esikFark,"YUKSEK","NORMAL"))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IF($B612&lt;&gt;"tutar_farki","",IF(ABS($C612)&gt;efs_esikFark,"YUKSEK","NORMAL"))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IF($B613&lt;&gt;"tutar_farki","",IF(ABS($C613)&gt;efs_esikFark,"YUKSEK","NORMAL"))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IF($B614&lt;&gt;"tutar_farki","",IF(ABS($C614)&gt;efs_esikFark,"YUKSEK","NORMAL"))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IF($B615&lt;&gt;"tutar_farki","",IF(ABS($C615)&gt;efs_esikFark,"YUKSEK","NORMAL"))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IF($B616&lt;&gt;"tutar_farki","",IF(ABS($C616)&gt;efs_esikFark,"YUKSEK","NORMAL"))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IF($B617&lt;&gt;"tutar_farki","",IF(ABS($C617)&gt;efs_esikFark,"YUKSEK","NORMAL"))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IF($B618&lt;&gt;"tutar_farki","",IF(ABS($C618)&gt;efs_esikFark,"YUKSEK","NORMAL"))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IF($B619&lt;&gt;"tutar_farki","",IF(ABS($C619)&gt;efs_esikFark,"YUKSEK","NORMAL"))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IF($B620&lt;&gt;"tutar_farki","",IF(ABS($C620)&gt;efs_esikFark,"YUKSEK","NORMAL"))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IF($B621&lt;&gt;"tutar_farki","",IF(ABS($C621)&gt;efs_esikFark,"YUKSEK","NORMAL"))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IF($B622&lt;&gt;"tutar_farki","",IF(ABS($C622)&gt;efs_esikFark,"YUKSEK","NORMAL"))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IF($B623&lt;&gt;"tutar_farki","",IF(ABS($C623)&gt;efs_esikFark,"YUKSEK","NORMAL"))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IF($B624&lt;&gt;"tutar_farki","",IF(ABS($C624)&gt;efs_esikFark,"YUKSEK","NORMAL"))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IF($B625&lt;&gt;"tutar_farki","",IF(ABS($C625)&gt;efs_esikFark,"YUKSEK","NORMAL"))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IF($B626&lt;&gt;"tutar_farki","",IF(ABS($C626)&gt;efs_esikFark,"YUKSEK","NORMAL"))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IF($B627&lt;&gt;"tutar_farki","",IF(ABS($C627)&gt;efs_esikFark,"YUKSEK","NORMAL"))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IF($B628&lt;&gt;"tutar_farki","",IF(ABS($C628)&gt;efs_esikFark,"YUKSEK","NORMAL"))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IF($B629&lt;&gt;"tutar_farki","",IF(ABS($C629)&gt;efs_esikFark,"YUKSEK","NORMAL"))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IF($B630&lt;&gt;"tutar_farki","",IF(ABS($C630)&gt;efs_esikFark,"YUKSEK","NORMAL"))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IF($B631&lt;&gt;"tutar_farki","",IF(ABS($C631)&gt;efs_esikFark,"YUKSEK","NORMAL"))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IF($B632&lt;&gt;"tutar_farki","",IF(ABS($C632)&gt;efs_esikFark,"YUKSEK","NORMAL"))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IF($B633&lt;&gt;"tutar_farki","",IF(ABS($C633)&gt;efs_esikFark,"YUKSEK","NORMAL"))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IF($B634&lt;&gt;"tutar_farki","",IF(ABS($C634)&gt;efs_esikFark,"YUKSEK","NORMAL"))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IF($B635&lt;&gt;"tutar_farki","",IF(ABS($C635)&gt;efs_esikFark,"YUKSEK","NORMAL"))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IF($B636&lt;&gt;"tutar_farki","",IF(ABS($C636)&gt;efs_esikFark,"YUKSEK","NORMAL"))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IF($B637&lt;&gt;"tutar_farki","",IF(ABS($C637)&gt;efs_esikFark,"YUKSEK","NORMAL"))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IF($B638&lt;&gt;"tutar_farki","",IF(ABS($C638)&gt;efs_esikFark,"YUKSEK","NORMAL"))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IF($B639&lt;&gt;"tutar_farki","",IF(ABS($C639)&gt;efs_esikFark,"YUKSEK","NORMAL"))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IF($B640&lt;&gt;"tutar_farki","",IF(ABS($C640)&gt;efs_esikFark,"YUKSEK","NORMAL"))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IF($B641&lt;&gt;"tutar_farki","",IF(ABS($C641)&gt;efs_esikFark,"YUKSEK","NORMAL"))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IF($B642&lt;&gt;"tutar_farki","",IF(ABS($C642)&gt;efs_esikFark,"YUKSEK","NORMAL"))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IF($B643&lt;&gt;"tutar_farki","",IF(ABS($C643)&gt;efs_esikFark,"YUKSEK","NORMAL"))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IF($B644&lt;&gt;"tutar_farki","",IF(ABS($C644)&gt;efs_esikFark,"YUKSEK","NORMAL"))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IF($B645&lt;&gt;"tutar_farki","",IF(ABS($C645)&gt;efs_esikFark,"YUKSEK","NORMAL"))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IF($B646&lt;&gt;"tutar_farki","",IF(ABS($C646)&gt;efs_esikFark,"YUKSEK","NORMAL"))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IF($B647&lt;&gt;"tutar_farki","",IF(ABS($C647)&gt;efs_esikFark,"YUKSEK","NORMAL"))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IF($B648&lt;&gt;"tutar_farki","",IF(ABS($C648)&gt;efs_esikFark,"YUKSEK","NORMAL"))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IF($B649&lt;&gt;"tutar_farki","",IF(ABS($C649)&gt;efs_esikFark,"YUKSEK","NORMAL"))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IF($B650&lt;&gt;"tutar_farki","",IF(ABS($C650)&gt;efs_esikFark,"YUKSEK","NORMAL"))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IF($B651&lt;&gt;"tutar_farki","",IF(ABS($C651)&gt;efs_esikFark,"YUKSEK","NORMAL"))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IF($B652&lt;&gt;"tutar_farki","",IF(ABS($C652)&gt;efs_esikFark,"YUKSEK","NORMAL"))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IF($B653&lt;&gt;"tutar_farki","",IF(ABS($C653)&gt;efs_esikFark,"YUKSEK","NORMAL"))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IF($B654&lt;&gt;"tutar_farki","",IF(ABS($C654)&gt;efs_esikFark,"YUKSEK","NORMAL"))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IF($B655&lt;&gt;"tutar_farki","",IF(ABS($C655)&gt;efs_esikFark,"YUKSEK","NORMAL"))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IF($B656&lt;&gt;"tutar_farki","",IF(ABS($C656)&gt;efs_esikFark,"YUKSEK","NORMAL"))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IF($B657&lt;&gt;"tutar_farki","",IF(ABS($C657)&gt;efs_esikFark,"YUKSEK","NORMAL"))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IF($B658&lt;&gt;"tutar_farki","",IF(ABS($C658)&gt;efs_esikFark,"YUKSEK","NORMAL"))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IF($B659&lt;&gt;"tutar_farki","",IF(ABS($C659)&gt;efs_esikFark,"YUKSEK","NORMAL"))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IF($B660&lt;&gt;"tutar_farki","",IF(ABS($C660)&gt;efs_esikFark,"YUKSEK","NORMAL"))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IF($B661&lt;&gt;"tutar_farki","",IF(ABS($C661)&gt;efs_esikFark,"YUKSEK","NORMAL"))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IF($B662&lt;&gt;"tutar_farki","",IF(ABS($C662)&gt;efs_esikFark,"YUKSEK","NORMAL"))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IF($B663&lt;&gt;"tutar_farki","",IF(ABS($C663)&gt;efs_esikFark,"YUKSEK","NORMAL"))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IF($B664&lt;&gt;"tutar_farki","",IF(ABS($C664)&gt;efs_esikFark,"YUKSEK","NORMAL"))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IF($B665&lt;&gt;"tutar_farki","",IF(ABS($C665)&gt;efs_esikFark,"YUKSEK","NORMAL"))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IF($B666&lt;&gt;"tutar_farki","",IF(ABS($C666)&gt;efs_esikFark,"YUKSEK","NORMAL"))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IF($B667&lt;&gt;"tutar_farki","",IF(ABS($C667)&gt;efs_esikFark,"YUKSEK","NORMAL"))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IF($B668&lt;&gt;"tutar_farki","",IF(ABS($C668)&gt;efs_esikFark,"YUKSEK","NORMAL"))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IF($B669&lt;&gt;"tutar_farki","",IF(ABS($C669)&gt;efs_esikFark,"YUKSEK","NORMAL"))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IF($B670&lt;&gt;"tutar_farki","",IF(ABS($C670)&gt;efs_esikFark,"YUKSEK","NORMAL"))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IF($B671&lt;&gt;"tutar_farki","",IF(ABS($C671)&gt;efs_esikFark,"YUKSEK","NORMAL"))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IF($B672&lt;&gt;"tutar_farki","",IF(ABS($C672)&gt;efs_esikFark,"YUKSEK","NORMAL"))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IF($B673&lt;&gt;"tutar_farki","",IF(ABS($C673)&gt;efs_esikFark,"YUKSEK","NORMAL"))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IF($B674&lt;&gt;"tutar_farki","",IF(ABS($C674)&gt;efs_esikFark,"YUKSEK","NORMAL"))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IF($B675&lt;&gt;"tutar_farki","",IF(ABS($C675)&gt;efs_esikFark,"YUKSEK","NORMAL"))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IF($B676&lt;&gt;"tutar_farki","",IF(ABS($C676)&gt;efs_esikFark,"YUKSEK","NORMAL"))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IF($B677&lt;&gt;"tutar_farki","",IF(ABS($C677)&gt;efs_esikFark,"YUKSEK","NORMAL"))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IF($B678&lt;&gt;"tutar_farki","",IF(ABS($C678)&gt;efs_esikFark,"YUKSEK","NORMAL"))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IF($B679&lt;&gt;"tutar_farki","",IF(ABS($C679)&gt;efs_esikFark,"YUKSEK","NORMAL"))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IF($B680&lt;&gt;"tutar_farki","",IF(ABS($C680)&gt;efs_esikFark,"YUKSEK","NORMAL"))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IF($B681&lt;&gt;"tutar_farki","",IF(ABS($C681)&gt;efs_esikFark,"YUKSEK","NORMAL"))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IF($B682&lt;&gt;"tutar_farki","",IF(ABS($C682)&gt;efs_esikFark,"YUKSEK","NORMAL"))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IF($B683&lt;&gt;"tutar_farki","",IF(ABS($C683)&gt;efs_esikFark,"YUKSEK","NORMAL"))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IF($B684&lt;&gt;"tutar_farki","",IF(ABS($C684)&gt;efs_esikFark,"YUKSEK","NORMAL"))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IF($B685&lt;&gt;"tutar_farki","",IF(ABS($C685)&gt;efs_esikFark,"YUKSEK","NORMAL"))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IF($B686&lt;&gt;"tutar_farki","",IF(ABS($C686)&gt;efs_esikFark,"YUKSEK","NORMAL"))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IF($B687&lt;&gt;"tutar_farki","",IF(ABS($C687)&gt;efs_esikFark,"YUKSEK","NORMAL"))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IF($B688&lt;&gt;"tutar_farki","",IF(ABS($C688)&gt;efs_esikFark,"YUKSEK","NORMAL"))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IF($B689&lt;&gt;"tutar_farki","",IF(ABS($C689)&gt;efs_esikFark,"YUKSEK","NORMAL"))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IF($B690&lt;&gt;"tutar_farki","",IF(ABS($C690)&gt;efs_esikFark,"YUKSEK","NORMAL"))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IF($B691&lt;&gt;"tutar_farki","",IF(ABS($C691)&gt;efs_esikFark,"YUKSEK","NORMAL"))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IF($B692&lt;&gt;"tutar_farki","",IF(ABS($C692)&gt;efs_esikFark,"YUKSEK","NORMAL"))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IF($B693&lt;&gt;"tutar_farki","",IF(ABS($C693)&gt;efs_esikFark,"YUKSEK","NORMAL"))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IF($B694&lt;&gt;"tutar_farki","",IF(ABS($C694)&gt;efs_esikFark,"YUKSEK","NORMAL"))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IF($B695&lt;&gt;"tutar_farki","",IF(ABS($C695)&gt;efs_esikFark,"YUKSEK","NORMAL"))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IF($B696&lt;&gt;"tutar_farki","",IF(ABS($C696)&gt;efs_esikFark,"YUKSEK","NORMAL"))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IF($B697&lt;&gt;"tutar_farki","",IF(ABS($C697)&gt;efs_esikFark,"YUKSEK","NORMAL"))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IF($B698&lt;&gt;"tutar_farki","",IF(ABS($C698)&gt;efs_esikFark,"YUKSEK","NORMAL"))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IF($B699&lt;&gt;"tutar_farki","",IF(ABS($C699)&gt;efs_esikFark,"YUKSEK","NORMAL"))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IF($B700&lt;&gt;"tutar_farki","",IF(ABS($C700)&gt;efs_esikFark,"YUKSEK","NORMAL"))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IF($B701&lt;&gt;"tutar_farki","",IF(ABS($C701)&gt;efs_esikFark,"YUKSEK","NORMAL"))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IF($B702&lt;&gt;"tutar_farki","",IF(ABS($C702)&gt;efs_esikFark,"YUKSEK","NORMAL"))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IF($B703&lt;&gt;"tutar_farki","",IF(ABS($C703)&gt;efs_esikFark,"YUKSEK","NORMAL"))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IF($B704&lt;&gt;"tutar_farki","",IF(ABS($C704)&gt;efs_esikFark,"YUKSEK","NORMAL"))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IF($B705&lt;&gt;"tutar_farki","",IF(ABS($C705)&gt;efs_esikFark,"YUKSEK","NORMAL"))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IF($B706&lt;&gt;"tutar_farki","",IF(ABS($C706)&gt;efs_esikFark,"YUKSEK","NORMAL"))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IF($B707&lt;&gt;"tutar_farki","",IF(ABS($C707)&gt;efs_esikFark,"YUKSEK","NORMAL"))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IF($B708&lt;&gt;"tutar_farki","",IF(ABS($C708)&gt;efs_esikFark,"YUKSEK","NORMAL"))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IF($B709&lt;&gt;"tutar_farki","",IF(ABS($C709)&gt;efs_esikFark,"YUKSEK","NORMAL"))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IF($B710&lt;&gt;"tutar_farki","",IF(ABS($C710)&gt;efs_esikFark,"YUKSEK","NORMAL"))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IF($B711&lt;&gt;"tutar_farki","",IF(ABS($C711)&gt;efs_esikFark,"YUKSEK","NORMAL"))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IF($B712&lt;&gt;"tutar_farki","",IF(ABS($C712)&gt;efs_esikFark,"YUKSEK","NORMAL"))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IF($B713&lt;&gt;"tutar_farki","",IF(ABS($C713)&gt;efs_esikFark,"YUKSEK","NORMAL"))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IF($B714&lt;&gt;"tutar_farki","",IF(ABS($C714)&gt;efs_esikFark,"YUKSEK","NORMAL"))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IF($B715&lt;&gt;"tutar_farki","",IF(ABS($C715)&gt;efs_esikFark,"YUKSEK","NORMAL"))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IF($B716&lt;&gt;"tutar_farki","",IF(ABS($C716)&gt;efs_esikFark,"YUKSEK","NORMAL"))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IF($B717&lt;&gt;"tutar_farki","",IF(ABS($C717)&gt;efs_esikFark,"YUKSEK","NORMAL"))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IF($B718&lt;&gt;"tutar_farki","",IF(ABS($C718)&gt;efs_esikFark,"YUKSEK","NORMAL"))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IF($B719&lt;&gt;"tutar_farki","",IF(ABS($C719)&gt;efs_esikFark,"YUKSEK","NORMAL"))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IF($B720&lt;&gt;"tutar_farki","",IF(ABS($C720)&gt;efs_esikFark,"YUKSEK","NORMAL"))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IF($B721&lt;&gt;"tutar_farki","",IF(ABS($C721)&gt;efs_esikFark,"YUKSEK","NORMAL"))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IF($B722&lt;&gt;"tutar_farki","",IF(ABS($C722)&gt;efs_esikFark,"YUKSEK","NORMAL"))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IF($B723&lt;&gt;"tutar_farki","",IF(ABS($C723)&gt;efs_esikFark,"YUKSEK","NORMAL"))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IF($B724&lt;&gt;"tutar_farki","",IF(ABS($C724)&gt;efs_esikFark,"YUKSEK","NORMAL"))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IF($B725&lt;&gt;"tutar_farki","",IF(ABS($C725)&gt;efs_esikFark,"YUKSEK","NORMAL"))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IF($B726&lt;&gt;"tutar_farki","",IF(ABS($C726)&gt;efs_esikFark,"YUKSEK","NORMAL"))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IF($B727&lt;&gt;"tutar_farki","",IF(ABS($C727)&gt;efs_esikFark,"YUKSEK","NORMAL"))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IF($B728&lt;&gt;"tutar_farki","",IF(ABS($C728)&gt;efs_esikFark,"YUKSEK","NORMAL"))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IF($B729&lt;&gt;"tutar_farki","",IF(ABS($C729)&gt;efs_esikFark,"YUKSEK","NORMAL"))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IF($B730&lt;&gt;"tutar_farki","",IF(ABS($C730)&gt;efs_esikFark,"YUKSEK","NORMAL"))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IF($B731&lt;&gt;"tutar_farki","",IF(ABS($C731)&gt;efs_esikFark,"YUKSEK","NORMAL"))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IF($B732&lt;&gt;"tutar_farki","",IF(ABS($C732)&gt;efs_esikFark,"YUKSEK","NORMAL"))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IF($B733&lt;&gt;"tutar_farki","",IF(ABS($C733)&gt;efs_esikFark,"YUKSEK","NORMAL"))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IF($B734&lt;&gt;"tutar_farki","",IF(ABS($C734)&gt;efs_esikFark,"YUKSEK","NORMAL"))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IF($B735&lt;&gt;"tutar_farki","",IF(ABS($C735)&gt;efs_esikFark,"YUKSEK","NORMAL"))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IF($B736&lt;&gt;"tutar_farki","",IF(ABS($C736)&gt;efs_esikFark,"YUKSEK","NORMAL"))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IF($B737&lt;&gt;"tutar_farki","",IF(ABS($C737)&gt;efs_esikFark,"YUKSEK","NORMAL"))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IF($B738&lt;&gt;"tutar_farki","",IF(ABS($C738)&gt;efs_esikFark,"YUKSEK","NORMAL"))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IF($B739&lt;&gt;"tutar_farki","",IF(ABS($C739)&gt;efs_esikFark,"YUKSEK","NORMAL"))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IF($B740&lt;&gt;"tutar_farki","",IF(ABS($C740)&gt;efs_esikFark,"YUKSEK","NORMAL"))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IF($B741&lt;&gt;"tutar_farki","",IF(ABS($C741)&gt;efs_esikFark,"YUKSEK","NORMAL"))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IF($B742&lt;&gt;"tutar_farki","",IF(ABS($C742)&gt;efs_esikFark,"YUKSEK","NORMAL"))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IF($B743&lt;&gt;"tutar_farki","",IF(ABS($C743)&gt;efs_esikFark,"YUKSEK","NORMAL"))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IF($B744&lt;&gt;"tutar_farki","",IF(ABS($C744)&gt;efs_esikFark,"YUKSEK","NORMAL"))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IF($B745&lt;&gt;"tutar_farki","",IF(ABS($C745)&gt;efs_esikFark,"YUKSEK","NORMAL"))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IF($B746&lt;&gt;"tutar_farki","",IF(ABS($C746)&gt;efs_esikFark,"YUKSEK","NORMAL"))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IF($B747&lt;&gt;"tutar_farki","",IF(ABS($C747)&gt;efs_esikFark,"YUKSEK","NORMAL"))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IF($B748&lt;&gt;"tutar_farki","",IF(ABS($C748)&gt;efs_esikFark,"YUKSEK","NORMAL"))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IF($B749&lt;&gt;"tutar_farki","",IF(ABS($C749)&gt;efs_esikFark,"YUKSEK","NORMAL"))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IF($B750&lt;&gt;"tutar_farki","",IF(ABS($C750)&gt;efs_esikFark,"YUKSEK","NORMAL"))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IF($B751&lt;&gt;"tutar_farki","",IF(ABS($C751)&gt;efs_esikFark,"YUKSEK","NORMAL"))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IF($B752&lt;&gt;"tutar_farki","",IF(ABS($C752)&gt;efs_esikFark,"YUKSEK","NORMAL"))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IF($B753&lt;&gt;"tutar_farki","",IF(ABS($C753)&gt;efs_esikFark,"YUKSEK","NORMAL"))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IF($B754&lt;&gt;"tutar_farki","",IF(ABS($C754)&gt;efs_esikFark,"YUKSEK","NORMAL"))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IF($B755&lt;&gt;"tutar_farki","",IF(ABS($C755)&gt;efs_esikFark,"YUKSEK","NORMAL"))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IF($B756&lt;&gt;"tutar_farki","",IF(ABS($C756)&gt;efs_esikFark,"YUKSEK","NORMAL"))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IF($B757&lt;&gt;"tutar_farki","",IF(ABS($C757)&gt;efs_esikFark,"YUKSEK","NORMAL"))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IF($B758&lt;&gt;"tutar_farki","",IF(ABS($C758)&gt;efs_esikFark,"YUKSEK","NORMAL"))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IF($B759&lt;&gt;"tutar_farki","",IF(ABS($C759)&gt;efs_esikFark,"YUKSEK","NORMAL"))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IF($B760&lt;&gt;"tutar_farki","",IF(ABS($C760)&gt;efs_esikFark,"YUKSEK","NORMAL"))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IF($B761&lt;&gt;"tutar_farki","",IF(ABS($C761)&gt;efs_esikFark,"YUKSEK","NORMAL"))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IF($B762&lt;&gt;"tutar_farki","",IF(ABS($C762)&gt;efs_esikFark,"YUKSEK","NORMAL"))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IF($B763&lt;&gt;"tutar_farki","",IF(ABS($C763)&gt;efs_esikFark,"YUKSEK","NORMAL"))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IF($B764&lt;&gt;"tutar_farki","",IF(ABS($C764)&gt;efs_esikFark,"YUKSEK","NORMAL"))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IF($B765&lt;&gt;"tutar_farki","",IF(ABS($C765)&gt;efs_esikFark,"YUKSEK","NORMAL"))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IF($B766&lt;&gt;"tutar_farki","",IF(ABS($C766)&gt;efs_esikFark,"YUKSEK","NORMAL"))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IF($B767&lt;&gt;"tutar_farki","",IF(ABS($C767)&gt;efs_esikFark,"YUKSEK","NORMAL"))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IF($B768&lt;&gt;"tutar_farki","",IF(ABS($C768)&gt;efs_esikFark,"YUKSEK","NORMAL"))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IF($B769&lt;&gt;"tutar_farki","",IF(ABS($C769)&gt;efs_esikFark,"YUKSEK","NORMAL"))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IF($B770&lt;&gt;"tutar_farki","",IF(ABS($C770)&gt;efs_esikFark,"YUKSEK","NORMAL"))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IF($B771&lt;&gt;"tutar_farki","",IF(ABS($C771)&gt;efs_esikFark,"YUKSEK","NORMAL"))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IF($B772&lt;&gt;"tutar_farki","",IF(ABS($C772)&gt;efs_esikFark,"YUKSEK","NORMAL"))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IF($B773&lt;&gt;"tutar_farki","",IF(ABS($C773)&gt;efs_esikFark,"YUKSEK","NORMAL"))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IF($B774&lt;&gt;"tutar_farki","",IF(ABS($C774)&gt;efs_esikFark,"YUKSEK","NORMAL"))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IF($B775&lt;&gt;"tutar_farki","",IF(ABS($C775)&gt;efs_esikFark,"YUKSEK","NORMAL"))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IF($B776&lt;&gt;"tutar_farki","",IF(ABS($C776)&gt;efs_esikFark,"YUKSEK","NORMAL"))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IF($B777&lt;&gt;"tutar_farki","",IF(ABS($C777)&gt;efs_esikFark,"YUKSEK","NORMAL"))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IF($B778&lt;&gt;"tutar_farki","",IF(ABS($C778)&gt;efs_esikFark,"YUKSEK","NORMAL"))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IF($B779&lt;&gt;"tutar_farki","",IF(ABS($C779)&gt;efs_esikFark,"YUKSEK","NORMAL"))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IF($B780&lt;&gt;"tutar_farki","",IF(ABS($C780)&gt;efs_esikFark,"YUKSEK","NORMAL"))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IF($B781&lt;&gt;"tutar_farki","",IF(ABS($C781)&gt;efs_esikFark,"YUKSEK","NORMAL"))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IF($B782&lt;&gt;"tutar_farki","",IF(ABS($C782)&gt;efs_esikFark,"YUKSEK","NORMAL"))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IF($B783&lt;&gt;"tutar_farki","",IF(ABS($C783)&gt;efs_esikFark,"YUKSEK","NORMAL"))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IF($B784&lt;&gt;"tutar_farki","",IF(ABS($C784)&gt;efs_esikFark,"YUKSEK","NORMAL"))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IF($B785&lt;&gt;"tutar_farki","",IF(ABS($C785)&gt;efs_esikFark,"YUKSEK","NORMAL"))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IF($B786&lt;&gt;"tutar_farki","",IF(ABS($C786)&gt;efs_esikFark,"YUKSEK","NORMAL"))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IF($B787&lt;&gt;"tutar_farki","",IF(ABS($C787)&gt;efs_esikFark,"YUKSEK","NORMAL"))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IF($B788&lt;&gt;"tutar_farki","",IF(ABS($C788)&gt;efs_esikFark,"YUKSEK","NORMAL"))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IF($B789&lt;&gt;"tutar_farki","",IF(ABS($C789)&gt;efs_esikFark,"YUKSEK","NORMAL"))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IF($B790&lt;&gt;"tutar_farki","",IF(ABS($C790)&gt;efs_esikFark,"YUKSEK","NORMAL"))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IF($B791&lt;&gt;"tutar_farki","",IF(ABS($C791)&gt;efs_esikFark,"YUKSEK","NORMAL"))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IF($B792&lt;&gt;"tutar_farki","",IF(ABS($C792)&gt;efs_esikFark,"YUKSEK","NORMAL"))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IF($B793&lt;&gt;"tutar_farki","",IF(ABS($C793)&gt;efs_esikFark,"YUKSEK","NORMAL"))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IF($B794&lt;&gt;"tutar_farki","",IF(ABS($C794)&gt;efs_esikFark,"YUKSEK","NORMAL"))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IF($B795&lt;&gt;"tutar_farki","",IF(ABS($C795)&gt;efs_esikFark,"YUKSEK","NORMAL"))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IF($B796&lt;&gt;"tutar_farki","",IF(ABS($C796)&gt;efs_esikFark,"YUKSEK","NORMAL"))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IF($B797&lt;&gt;"tutar_farki","",IF(ABS($C797)&gt;efs_esikFark,"YUKSEK","NORMAL"))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IF($B798&lt;&gt;"tutar_farki","",IF(ABS($C798)&gt;efs_esikFark,"YUKSEK","NORMAL"))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IF($B799&lt;&gt;"tutar_farki","",IF(ABS($C799)&gt;efs_esikFark,"YUKSEK","NORMAL"))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IF($B800&lt;&gt;"tutar_farki","",IF(ABS($C800)&gt;efs_esikFark,"YUKSEK","NORMAL"))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IF($B801&lt;&gt;"tutar_farki","",IF(ABS($C801)&gt;efs_esikFark,"YUKSEK","NORMAL"))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IF($B802&lt;&gt;"tutar_farki","",IF(ABS($C802)&gt;efs_esikFark,"YUKSEK","NORMAL"))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IF($B803&lt;&gt;"tutar_farki","",IF(ABS($C803)&gt;efs_esikFark,"YUKSEK","NORMAL"))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IF($B804&lt;&gt;"tutar_farki","",IF(ABS($C804)&gt;efs_esikFark,"YUKSEK","NORMAL"))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IF($B805&lt;&gt;"tutar_farki","",IF(ABS($C805)&gt;efs_esikFark,"YUKSEK","NORMAL"))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IF($B806&lt;&gt;"tutar_farki","",IF(ABS($C806)&gt;efs_esikFark,"YUKSEK","NORMAL"))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IF($B807&lt;&gt;"tutar_farki","",IF(ABS($C807)&gt;efs_esikFark,"YUKSEK","NORMAL"))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IF($B808&lt;&gt;"tutar_farki","",IF(ABS($C808)&gt;efs_esikFark,"YUKSEK","NORMAL"))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IF($B809&lt;&gt;"tutar_farki","",IF(ABS($C809)&gt;efs_esikFark,"YUKSEK","NORMAL"))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IF($B810&lt;&gt;"tutar_farki","",IF(ABS($C810)&gt;efs_esikFark,"YUKSEK","NORMAL"))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IF($B811&lt;&gt;"tutar_farki","",IF(ABS($C811)&gt;efs_esikFark,"YUKSEK","NORMAL"))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IF($B812&lt;&gt;"tutar_farki","",IF(ABS($C812)&gt;efs_esikFark,"YUKSEK","NORMAL"))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IF($B813&lt;&gt;"tutar_farki","",IF(ABS($C813)&gt;efs_esikFark,"YUKSEK","NORMAL"))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IF($B814&lt;&gt;"tutar_farki","",IF(ABS($C814)&gt;efs_esikFark,"YUKSEK","NORMAL"))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IF($B815&lt;&gt;"tutar_farki","",IF(ABS($C815)&gt;efs_esikFark,"YUKSEK","NORMAL"))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IF($B816&lt;&gt;"tutar_farki","",IF(ABS($C816)&gt;efs_esikFark,"YUKSEK","NORMAL"))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IF($B817&lt;&gt;"tutar_farki","",IF(ABS($C817)&gt;efs_esikFark,"YUKSEK","NORMAL"))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IF($B818&lt;&gt;"tutar_farki","",IF(ABS($C818)&gt;efs_esikFark,"YUKSEK","NORMAL"))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IF($B819&lt;&gt;"tutar_farki","",IF(ABS($C819)&gt;efs_esikFark,"YUKSEK","NORMAL"))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IF($B820&lt;&gt;"tutar_farki","",IF(ABS($C820)&gt;efs_esikFark,"YUKSEK","NORMAL"))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IF($B821&lt;&gt;"tutar_farki","",IF(ABS($C821)&gt;efs_esikFark,"YUKSEK","NORMAL"))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IF($B822&lt;&gt;"tutar_farki","",IF(ABS($C822)&gt;efs_esikFark,"YUKSEK","NORMAL"))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IF($B823&lt;&gt;"tutar_farki","",IF(ABS($C823)&gt;efs_esikFark,"YUKSEK","NORMAL"))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IF($B824&lt;&gt;"tutar_farki","",IF(ABS($C824)&gt;efs_esikFark,"YUKSEK","NORMAL"))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IF($B825&lt;&gt;"tutar_farki","",IF(ABS($C825)&gt;efs_esikFark,"YUKSEK","NORMAL"))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IF($B826&lt;&gt;"tutar_farki","",IF(ABS($C826)&gt;efs_esikFark,"YUKSEK","NORMAL"))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IF($B827&lt;&gt;"tutar_farki","",IF(ABS($C827)&gt;efs_esikFark,"YUKSEK","NORMAL"))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IF($B828&lt;&gt;"tutar_farki","",IF(ABS($C828)&gt;efs_esikFark,"YUKSEK","NORMAL"))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IF($B829&lt;&gt;"tutar_farki","",IF(ABS($C829)&gt;efs_esikFark,"YUKSEK","NORMAL"))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IF($B830&lt;&gt;"tutar_farki","",IF(ABS($C830)&gt;efs_esikFark,"YUKSEK","NORMAL"))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IF($B831&lt;&gt;"tutar_farki","",IF(ABS($C831)&gt;efs_esikFark,"YUKSEK","NORMAL"))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IF($B832&lt;&gt;"tutar_farki","",IF(ABS($C832)&gt;efs_esikFark,"YUKSEK","NORMAL"))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IF($B833&lt;&gt;"tutar_farki","",IF(ABS($C833)&gt;efs_esikFark,"YUKSEK","NORMAL"))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IF($B834&lt;&gt;"tutar_farki","",IF(ABS($C834)&gt;efs_esikFark,"YUKSEK","NORMAL"))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IF($B835&lt;&gt;"tutar_farki","",IF(ABS($C835)&gt;efs_esikFark,"YUKSEK","NORMAL"))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IF($B836&lt;&gt;"tutar_farki","",IF(ABS($C836)&gt;efs_esikFark,"YUKSEK","NORMAL"))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IF($B837&lt;&gt;"tutar_farki","",IF(ABS($C837)&gt;efs_esikFark,"YUKSEK","NORMAL"))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IF($B838&lt;&gt;"tutar_farki","",IF(ABS($C838)&gt;efs_esikFark,"YUKSEK","NORMAL"))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IF($B839&lt;&gt;"tutar_farki","",IF(ABS($C839)&gt;efs_esikFark,"YUKSEK","NORMAL"))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IF($B840&lt;&gt;"tutar_farki","",IF(ABS($C840)&gt;efs_esikFark,"YUKSEK","NORMAL"))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IF($B841&lt;&gt;"tutar_farki","",IF(ABS($C841)&gt;efs_esikFark,"YUKSEK","NORMAL"))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IF($B842&lt;&gt;"tutar_farki","",IF(ABS($C842)&gt;efs_esikFark,"YUKSEK","NORMAL"))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IF($B843&lt;&gt;"tutar_farki","",IF(ABS($C843)&gt;efs_esikFark,"YUKSEK","NORMAL"))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IF($B844&lt;&gt;"tutar_farki","",IF(ABS($C844)&gt;efs_esikFark,"YUKSEK","NORMAL"))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IF($B845&lt;&gt;"tutar_farki","",IF(ABS($C845)&gt;efs_esikFark,"YUKSEK","NORMAL"))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IF($B846&lt;&gt;"tutar_farki","",IF(ABS($C846)&gt;efs_esikFark,"YUKSEK","NORMAL"))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IF($B847&lt;&gt;"tutar_farki","",IF(ABS($C847)&gt;efs_esikFark,"YUKSEK","NORMAL"))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IF($B848&lt;&gt;"tutar_farki","",IF(ABS($C848)&gt;efs_esikFark,"YUKSEK","NORMAL"))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IF($B849&lt;&gt;"tutar_farki","",IF(ABS($C849)&gt;efs_esikFark,"YUKSEK","NORMAL"))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IF($B850&lt;&gt;"tutar_farki","",IF(ABS($C850)&gt;efs_esikFark,"YUKSEK","NORMAL"))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IF($B851&lt;&gt;"tutar_farki","",IF(ABS($C851)&gt;efs_esikFark,"YUKSEK","NORMAL"))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IF($B852&lt;&gt;"tutar_farki","",IF(ABS($C852)&gt;efs_esikFark,"YUKSEK","NORMAL"))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IF($B853&lt;&gt;"tutar_farki","",IF(ABS($C853)&gt;efs_esikFark,"YUKSEK","NORMAL"))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IF($B854&lt;&gt;"tutar_farki","",IF(ABS($C854)&gt;efs_esikFark,"YUKSEK","NORMAL"))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IF($B855&lt;&gt;"tutar_farki","",IF(ABS($C855)&gt;efs_esikFark,"YUKSEK","NORMAL"))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IF($B856&lt;&gt;"tutar_farki","",IF(ABS($C856)&gt;efs_esikFark,"YUKSEK","NORMAL"))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IF($B857&lt;&gt;"tutar_farki","",IF(ABS($C857)&gt;efs_esikFark,"YUKSEK","NORMAL"))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IF($B858&lt;&gt;"tutar_farki","",IF(ABS($C858)&gt;efs_esikFark,"YUKSEK","NORMAL"))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IF($B859&lt;&gt;"tutar_farki","",IF(ABS($C859)&gt;efs_esikFark,"YUKSEK","NORMAL"))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IF($B860&lt;&gt;"tutar_farki","",IF(ABS($C860)&gt;efs_esikFark,"YUKSEK","NORMAL"))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IF($B861&lt;&gt;"tutar_farki","",IF(ABS($C861)&gt;efs_esikFark,"YUKSEK","NORMAL"))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IF($B862&lt;&gt;"tutar_farki","",IF(ABS($C862)&gt;efs_esikFark,"YUKSEK","NORMAL"))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IF($B863&lt;&gt;"tutar_farki","",IF(ABS($C863)&gt;efs_esikFark,"YUKSEK","NORMAL"))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IF($B864&lt;&gt;"tutar_farki","",IF(ABS($C864)&gt;efs_esikFark,"YUKSEK","NORMAL"))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IF($B865&lt;&gt;"tutar_farki","",IF(ABS($C865)&gt;efs_esikFark,"YUKSEK","NORMAL"))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IF($B866&lt;&gt;"tutar_farki","",IF(ABS($C866)&gt;efs_esikFark,"YUKSEK","NORMAL"))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IF($B867&lt;&gt;"tutar_farki","",IF(ABS($C867)&gt;efs_esikFark,"YUKSEK","NORMAL"))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IF($B868&lt;&gt;"tutar_farki","",IF(ABS($C868)&gt;efs_esikFark,"YUKSEK","NORMAL"))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IF($B869&lt;&gt;"tutar_farki","",IF(ABS($C869)&gt;efs_esikFark,"YUKSEK","NORMAL"))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IF($B870&lt;&gt;"tutar_farki","",IF(ABS($C870)&gt;efs_esikFark,"YUKSEK","NORMAL"))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IF($B871&lt;&gt;"tutar_farki","",IF(ABS($C871)&gt;efs_esikFark,"YUKSEK","NORMAL"))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IF($B872&lt;&gt;"tutar_farki","",IF(ABS($C872)&gt;efs_esikFark,"YUKSEK","NORMAL"))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IF($B873&lt;&gt;"tutar_farki","",IF(ABS($C873)&gt;efs_esikFark,"YUKSEK","NORMAL"))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IF($B874&lt;&gt;"tutar_farki","",IF(ABS($C874)&gt;efs_esikFark,"YUKSEK","NORMAL"))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IF($B875&lt;&gt;"tutar_farki","",IF(ABS($C875)&gt;efs_esikFark,"YUKSEK","NORMAL"))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IF($B876&lt;&gt;"tutar_farki","",IF(ABS($C876)&gt;efs_esikFark,"YUKSEK","NORMAL"))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IF($B877&lt;&gt;"tutar_farki","",IF(ABS($C877)&gt;efs_esikFark,"YUKSEK","NORMAL"))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IF($B878&lt;&gt;"tutar_farki","",IF(ABS($C878)&gt;efs_esikFark,"YUKSEK","NORMAL"))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IF($B879&lt;&gt;"tutar_farki","",IF(ABS($C879)&gt;efs_esikFark,"YUKSEK","NORMAL"))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IF($B880&lt;&gt;"tutar_farki","",IF(ABS($C880)&gt;efs_esikFark,"YUKSEK","NORMAL"))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IF($B881&lt;&gt;"tutar_farki","",IF(ABS($C881)&gt;efs_esikFark,"YUKSEK","NORMAL"))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IF($B882&lt;&gt;"tutar_farki","",IF(ABS($C882)&gt;efs_esikFark,"YUKSEK","NORMAL"))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IF($B883&lt;&gt;"tutar_farki","",IF(ABS($C883)&gt;efs_esikFark,"YUKSEK","NORMAL"))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IF($B884&lt;&gt;"tutar_farki","",IF(ABS($C884)&gt;efs_esikFark,"YUKSEK","NORMAL"))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IF($B885&lt;&gt;"tutar_farki","",IF(ABS($C885)&gt;efs_esikFark,"YUKSEK","NORMAL"))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IF($B886&lt;&gt;"tutar_farki","",IF(ABS($C886)&gt;efs_esikFark,"YUKSEK","NORMAL"))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IF($B887&lt;&gt;"tutar_farki","",IF(ABS($C887)&gt;efs_esikFark,"YUKSEK","NORMAL"))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IF($B888&lt;&gt;"tutar_farki","",IF(ABS($C888)&gt;efs_esikFark,"YUKSEK","NORMAL"))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IF($B889&lt;&gt;"tutar_farki","",IF(ABS($C889)&gt;efs_esikFark,"YUKSEK","NORMAL"))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IF($B890&lt;&gt;"tutar_farki","",IF(ABS($C890)&gt;efs_esikFark,"YUKSEK","NORMAL"))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IF($B891&lt;&gt;"tutar_farki","",IF(ABS($C891)&gt;efs_esikFark,"YUKSEK","NORMAL"))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IF($B892&lt;&gt;"tutar_farki","",IF(ABS($C892)&gt;efs_esikFark,"YUKSEK","NORMAL"))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IF($B893&lt;&gt;"tutar_farki","",IF(ABS($C893)&gt;efs_esikFark,"YUKSEK","NORMAL"))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IF($B894&lt;&gt;"tutar_farki","",IF(ABS($C894)&gt;efs_esikFark,"YUKSEK","NORMAL"))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IF($B895&lt;&gt;"tutar_farki","",IF(ABS($C895)&gt;efs_esikFark,"YUKSEK","NORMAL"))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IF($B896&lt;&gt;"tutar_farki","",IF(ABS($C896)&gt;efs_esikFark,"YUKSEK","NORMAL"))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IF($B897&lt;&gt;"tutar_farki","",IF(ABS($C897)&gt;efs_esikFark,"YUKSEK","NORMAL"))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IF($B898&lt;&gt;"tutar_farki","",IF(ABS($C898)&gt;efs_esikFark,"YUKSEK","NORMAL"))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IF($B899&lt;&gt;"tutar_farki","",IF(ABS($C899)&gt;efs_esikFark,"YUKSEK","NORMAL"))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IF($B900&lt;&gt;"tutar_farki","",IF(ABS($C900)&gt;efs_esikFark,"YUKSEK","NORMAL"))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IF($B901&lt;&gt;"tutar_farki","",IF(ABS($C901)&gt;efs_esikFark,"YUKSEK","NORMAL"))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IF($B902&lt;&gt;"tutar_farki","",IF(ABS($C902)&gt;efs_esikFark,"YUKSEK","NORMAL"))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IF($B903&lt;&gt;"tutar_farki","",IF(ABS($C903)&gt;efs_esikFark,"YUKSEK","NORMAL"))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IF($B904&lt;&gt;"tutar_farki","",IF(ABS($C904)&gt;efs_esikFark,"YUKSEK","NORMAL"))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IF($B905&lt;&gt;"tutar_farki","",IF(ABS($C905)&gt;efs_esikFark,"YUKSEK","NORMAL"))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IF($B906&lt;&gt;"tutar_farki","",IF(ABS($C906)&gt;efs_esikFark,"YUKSEK","NORMAL"))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IF($B907&lt;&gt;"tutar_farki","",IF(ABS($C907)&gt;efs_esikFark,"YUKSEK","NORMAL"))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IF($B908&lt;&gt;"tutar_farki","",IF(ABS($C908)&gt;efs_esikFark,"YUKSEK","NORMAL"))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IF($B909&lt;&gt;"tutar_farki","",IF(ABS($C909)&gt;efs_esikFark,"YUKSEK","NORMAL"))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IF($B910&lt;&gt;"tutar_farki","",IF(ABS($C910)&gt;efs_esikFark,"YUKSEK","NORMAL"))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IF($B911&lt;&gt;"tutar_farki","",IF(ABS($C911)&gt;efs_esikFark,"YUKSEK","NORMAL"))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IF($B912&lt;&gt;"tutar_farki","",IF(ABS($C912)&gt;efs_esikFark,"YUKSEK","NORMAL"))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IF($B913&lt;&gt;"tutar_farki","",IF(ABS($C913)&gt;efs_esikFark,"YUKSEK","NORMAL"))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IF($B914&lt;&gt;"tutar_farki","",IF(ABS($C914)&gt;efs_esikFark,"YUKSEK","NORMAL"))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IF($B915&lt;&gt;"tutar_farki","",IF(ABS($C915)&gt;efs_esikFark,"YUKSEK","NORMAL"))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IF($B916&lt;&gt;"tutar_farki","",IF(ABS($C916)&gt;efs_esikFark,"YUKSEK","NORMAL"))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IF($B917&lt;&gt;"tutar_farki","",IF(ABS($C917)&gt;efs_esikFark,"YUKSEK","NORMAL"))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IF($B918&lt;&gt;"tutar_farki","",IF(ABS($C918)&gt;efs_esikFark,"YUKSEK","NORMAL"))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IF($B919&lt;&gt;"tutar_farki","",IF(ABS($C919)&gt;efs_esikFark,"YUKSEK","NORMAL"))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IF($B920&lt;&gt;"tutar_farki","",IF(ABS($C920)&gt;efs_esikFark,"YUKSEK","NORMAL"))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IF($B921&lt;&gt;"tutar_farki","",IF(ABS($C921)&gt;efs_esikFark,"YUKSEK","NORMAL"))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IF($B922&lt;&gt;"tutar_farki","",IF(ABS($C922)&gt;efs_esikFark,"YUKSEK","NORMAL"))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IF($B923&lt;&gt;"tutar_farki","",IF(ABS($C923)&gt;efs_esikFark,"YUKSEK","NORMAL"))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IF($B924&lt;&gt;"tutar_farki","",IF(ABS($C924)&gt;efs_esikFark,"YUKSEK","NORMAL"))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IF($B925&lt;&gt;"tutar_farki","",IF(ABS($C925)&gt;efs_esikFark,"YUKSEK","NORMAL"))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IF($B926&lt;&gt;"tutar_farki","",IF(ABS($C926)&gt;efs_esikFark,"YUKSEK","NORMAL"))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IF($B927&lt;&gt;"tutar_farki","",IF(ABS($C927)&gt;efs_esikFark,"YUKSEK","NORMAL"))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IF($B928&lt;&gt;"tutar_farki","",IF(ABS($C928)&gt;efs_esikFark,"YUKSEK","NORMAL"))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IF($B929&lt;&gt;"tutar_farki","",IF(ABS($C929)&gt;efs_esikFark,"YUKSEK","NORMAL"))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IF($B930&lt;&gt;"tutar_farki","",IF(ABS($C930)&gt;efs_esikFark,"YUKSEK","NORMAL"))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IF($B931&lt;&gt;"tutar_farki","",IF(ABS($C931)&gt;efs_esikFark,"YUKSEK","NORMAL"))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IF($B932&lt;&gt;"tutar_farki","",IF(ABS($C932)&gt;efs_esikFark,"YUKSEK","NORMAL"))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IF($B933&lt;&gt;"tutar_farki","",IF(ABS($C933)&gt;efs_esikFark,"YUKSEK","NORMAL"))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IF($B934&lt;&gt;"tutar_farki","",IF(ABS($C934)&gt;efs_esikFark,"YUKSEK","NORMAL"))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IF($B935&lt;&gt;"tutar_farki","",IF(ABS($C935)&gt;efs_esikFark,"YUKSEK","NORMAL"))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IF($B936&lt;&gt;"tutar_farki","",IF(ABS($C936)&gt;efs_esikFark,"YUKSEK","NORMAL"))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IF($B937&lt;&gt;"tutar_farki","",IF(ABS($C937)&gt;efs_esikFark,"YUKSEK","NORMAL"))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IF($B938&lt;&gt;"tutar_farki","",IF(ABS($C938)&gt;efs_esikFark,"YUKSEK","NORMAL"))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IF($B939&lt;&gt;"tutar_farki","",IF(ABS($C939)&gt;efs_esikFark,"YUKSEK","NORMAL"))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IF($B940&lt;&gt;"tutar_farki","",IF(ABS($C940)&gt;efs_esikFark,"YUKSEK","NORMAL"))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IF($B941&lt;&gt;"tutar_farki","",IF(ABS($C941)&gt;efs_esikFark,"YUKSEK","NORMAL"))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IF($B942&lt;&gt;"tutar_farki","",IF(ABS($C942)&gt;efs_esikFark,"YUKSEK","NORMAL"))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IF($B943&lt;&gt;"tutar_farki","",IF(ABS($C943)&gt;efs_esikFark,"YUKSEK","NORMAL"))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IF($B944&lt;&gt;"tutar_farki","",IF(ABS($C944)&gt;efs_esikFark,"YUKSEK","NORMAL"))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IF($B945&lt;&gt;"tutar_farki","",IF(ABS($C945)&gt;efs_esikFark,"YUKSEK","NORMAL"))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IF($B946&lt;&gt;"tutar_farki","",IF(ABS($C946)&gt;efs_esikFark,"YUKSEK","NORMAL"))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IF($B947&lt;&gt;"tutar_farki","",IF(ABS($C947)&gt;efs_esikFark,"YUKSEK","NORMAL"))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IF($B948&lt;&gt;"tutar_farki","",IF(ABS($C948)&gt;efs_esikFark,"YUKSEK","NORMAL"))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IF($B949&lt;&gt;"tutar_farki","",IF(ABS($C949)&gt;efs_esikFark,"YUKSEK","NORMAL"))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IF($B950&lt;&gt;"tutar_farki","",IF(ABS($C950)&gt;efs_esikFark,"YUKSEK","NORMAL"))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IF($B951&lt;&gt;"tutar_farki","",IF(ABS($C951)&gt;efs_esikFark,"YUKSEK","NORMAL"))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IF($B952&lt;&gt;"tutar_farki","",IF(ABS($C952)&gt;efs_esikFark,"YUKSEK","NORMAL"))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IF($B953&lt;&gt;"tutar_farki","",IF(ABS($C953)&gt;efs_esikFark,"YUKSEK","NORMAL"))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IF($B954&lt;&gt;"tutar_farki","",IF(ABS($C954)&gt;efs_esikFark,"YUKSEK","NORMAL"))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IF($B955&lt;&gt;"tutar_farki","",IF(ABS($C955)&gt;efs_esikFark,"YUKSEK","NORMAL"))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IF($B956&lt;&gt;"tutar_farki","",IF(ABS($C956)&gt;efs_esikFark,"YUKSEK","NORMAL"))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IF($B957&lt;&gt;"tutar_farki","",IF(ABS($C957)&gt;efs_esikFark,"YUKSEK","NORMAL"))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IF($B958&lt;&gt;"tutar_farki","",IF(ABS($C958)&gt;efs_esikFark,"YUKSEK","NORMAL"))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IF($B959&lt;&gt;"tutar_farki","",IF(ABS($C959)&gt;efs_esikFark,"YUKSEK","NORMAL"))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IF($B960&lt;&gt;"tutar_farki","",IF(ABS($C960)&gt;efs_esikFark,"YUKSEK","NORMAL"))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IF($B961&lt;&gt;"tutar_farki","",IF(ABS($C961)&gt;efs_esikFark,"YUKSEK","NORMAL"))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IF($B962&lt;&gt;"tutar_farki","",IF(ABS($C962)&gt;efs_esikFark,"YUKSEK","NORMAL"))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IF($B963&lt;&gt;"tutar_farki","",IF(ABS($C963)&gt;efs_esikFark,"YUKSEK","NORMAL"))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IF($B964&lt;&gt;"tutar_farki","",IF(ABS($C964)&gt;efs_esikFark,"YUKSEK","NORMAL"))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IF($B965&lt;&gt;"tutar_farki","",IF(ABS($C965)&gt;efs_esikFark,"YUKSEK","NORMAL"))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IF($B966&lt;&gt;"tutar_farki","",IF(ABS($C966)&gt;efs_esikFark,"YUKSEK","NORMAL"))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IF($B967&lt;&gt;"tutar_farki","",IF(ABS($C967)&gt;efs_esikFark,"YUKSEK","NORMAL"))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IF($B968&lt;&gt;"tutar_farki","",IF(ABS($C968)&gt;efs_esikFark,"YUKSEK","NORMAL"))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IF($B969&lt;&gt;"tutar_farki","",IF(ABS($C969)&gt;efs_esikFark,"YUKSEK","NORMAL"))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IF($B970&lt;&gt;"tutar_farki","",IF(ABS($C970)&gt;efs_esikFark,"YUKSEK","NORMAL"))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IF($B971&lt;&gt;"tutar_farki","",IF(ABS($C971)&gt;efs_esikFark,"YUKSEK","NORMAL"))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IF($B972&lt;&gt;"tutar_farki","",IF(ABS($C972)&gt;efs_esikFark,"YUKSEK","NORMAL"))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IF($B973&lt;&gt;"tutar_farki","",IF(ABS($C973)&gt;efs_esikFark,"YUKSEK","NORMAL"))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IF($B974&lt;&gt;"tutar_farki","",IF(ABS($C974)&gt;efs_esikFark,"YUKSEK","NORMAL"))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IF($B975&lt;&gt;"tutar_farki","",IF(ABS($C975)&gt;efs_esikFark,"YUKSEK","NORMAL"))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IF($B976&lt;&gt;"tutar_farki","",IF(ABS($C976)&gt;efs_esikFark,"YUKSEK","NORMAL"))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IF($B977&lt;&gt;"tutar_farki","",IF(ABS($C977)&gt;efs_esikFark,"YUKSEK","NORMAL"))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IF($B978&lt;&gt;"tutar_farki","",IF(ABS($C978)&gt;efs_esikFark,"YUKSEK","NORMAL"))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IF($B979&lt;&gt;"tutar_farki","",IF(ABS($C979)&gt;efs_esikFark,"YUKSEK","NORMAL"))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IF($B980&lt;&gt;"tutar_farki","",IF(ABS($C980)&gt;efs_esikFark,"YUKSEK","NORMAL"))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IF($B981&lt;&gt;"tutar_farki","",IF(ABS($C981)&gt;efs_esikFark,"YUKSEK","NORMAL"))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IF($B982&lt;&gt;"tutar_farki","",IF(ABS($C982)&gt;efs_esikFark,"YUKSEK","NORMAL"))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IF($B983&lt;&gt;"tutar_farki","",IF(ABS($C983)&gt;efs_esikFark,"YUKSEK","NORMAL"))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IF($B984&lt;&gt;"tutar_farki","",IF(ABS($C984)&gt;efs_esikFark,"YUKSEK","NORMAL"))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IF($B985&lt;&gt;"tutar_farki","",IF(ABS($C985)&gt;efs_esikFark,"YUKSEK","NORMAL"))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IF($B986&lt;&gt;"tutar_farki","",IF(ABS($C986)&gt;efs_esikFark,"YUKSEK","NORMAL"))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IF($B987&lt;&gt;"tutar_farki","",IF(ABS($C987)&gt;efs_esikFark,"YUKSEK","NORMAL"))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IF($B988&lt;&gt;"tutar_farki","",IF(ABS($C988)&gt;efs_esikFark,"YUKSEK","NORMAL"))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IF($B989&lt;&gt;"tutar_farki","",IF(ABS($C989)&gt;efs_esikFark,"YUKSEK","NORMAL"))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IF($B990&lt;&gt;"tutar_farki","",IF(ABS($C990)&gt;efs_esikFark,"YUKSEK","NORMAL"))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IF($B991&lt;&gt;"tutar_farki","",IF(ABS($C991)&gt;efs_esikFark,"YUKSEK","NORMAL"))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IF($B992&lt;&gt;"tutar_farki","",IF(ABS($C992)&gt;efs_esikFark,"YUKSEK","NORMAL"))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IF($B993&lt;&gt;"tutar_farki","",IF(ABS($C993)&gt;efs_esikFark,"YUKSEK","NORMAL"))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IF($B994&lt;&gt;"tutar_farki","",IF(ABS($C994)&gt;efs_esikFark,"YUKSEK","NORMAL"))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IF($B995&lt;&gt;"tutar_farki","",IF(ABS($C995)&gt;efs_esikFark,"YUKSEK","NORMAL"))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IF($B996&lt;&gt;"tutar_farki","",IF(ABS($C996)&gt;efs_esikFark,"YUKSEK","NORMAL"))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IF($B997&lt;&gt;"tutar_farki","",IF(ABS($C997)&gt;efs_esikFark,"YUKSEK","NORMAL"))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IF($B998&lt;&gt;"tutar_farki","",IF(ABS($C998)&gt;efs_esikFark,"YUKSEK","NORMAL"))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IF($B999&lt;&gt;"tutar_farki","",IF(ABS($C999)&gt;efs_esikFark,"YUKSEK","NORMAL"))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IF($B1000&lt;&gt;"tutar_farki","",IF(ABS($C1000)&gt;efs_esikFark,"YUKSEK","NORMAL"))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IF($B1001&lt;&gt;"tutar_farki","",IF(ABS($C1001)&gt;efs_esikFark,"YUKSEK","NORMAL"))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IF($B1002&lt;&gt;"tutar_farki","",IF(ABS($C1002)&gt;efs_esikFark,"YUKSEK","NORMAL"))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IF($B1003&lt;&gt;"tutar_farki","",IF(ABS($C1003)&gt;efs_esikFark,"YUKSEK","NORMAL"))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IF($B1004&lt;&gt;"tutar_farki","",IF(ABS($C1004)&gt;efs_esikFark,"YUKSEK","NORMAL"))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IF($B1005&lt;&gt;"tutar_farki","",IF(ABS($C1005)&gt;efs_esikFark,"YUKSEK","NORMAL"))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Toplu e-Fatura Satır Defteri ve PDF Kanıtı</t>
        </is>
      </c>
    </row>
    <row r="3" ht="28" customHeight="1">
      <c r="A3" s="35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efs_eslesmeOrani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efs_mutabakatFarki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efs_kovaButunluk</f>
        <v/>
      </c>
    </row>
    <row r="16">
      <c r="A16" s="7" t="inlineStr">
        <is>
          <t>Kanıt Özeti</t>
        </is>
      </c>
      <c r="B16" s="20">
        <f>efs_kanitRaporu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efs_kvkkBeyani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&amp;LToplu e-Fatura Satır Defteri ve PDF Kanıtı | Kanıt&amp;CExcelArşiv&amp;RSayfa &amp;P / &amp;N</oddFooter>
    <evenHeader/>
    <evenFooter>&amp;LToplu e-Fatura Satır Defteri ve PDF Kanıtı | Kanıt&amp;CExcelArşiv&amp;RSayfa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Toplu e-Fatura Satır Defteri ve PDF Kanıtı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Toplu e-Fatura Satır Defteri ve PDF Kanıtı</t>
        </is>
      </c>
    </row>
    <row r="3">
      <c r="A3" s="40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Tireli/tiresiz UUID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Toplu e-Fatura Satır Defteri ve PDF Kanıtı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Toplu e-Fatura Satır Defteri ve PDF Kanıtı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efs_esikEslesme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efs_esikFark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efs_azamiTutar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efs_ikincilUzunluk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efs_olcekHedef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efs_anomaliZ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efs_yuzdelikOran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efs_kdvOran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efs_duyarlilikCarpan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efs_toleransSenaryo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efs_yuvarlamaEsik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efs_guvenBolum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efs_riskFarkAgirlik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efs_riskEslesmezAgirlik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efs_normAnahtar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efs_tanimsizKova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efs_kvkkBeyani</t>
        </is>
      </c>
      <c r="B24" s="13" t="inlineStr">
        <is>
          <t>Veri cihazdan çıkmaz; XML/API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efs_kanitRaporu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efs_dosyaSurumu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efs_firmaUnvan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efs_fiyatModeli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efs_yapistirCalistir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efs_mutabakatFarki</t>
        </is>
      </c>
      <c r="I29" s="20">
        <f>IFERROR(SUM(tblVeriA[Toplam])-SUM(tblVeriB[Tutar]),0)</f>
        <v/>
      </c>
    </row>
    <row r="30">
      <c r="H30" s="7" t="inlineStr">
        <is>
          <t>efs_eslesmeOrani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efs_kovaButunluk</t>
        </is>
      </c>
      <c r="I31" s="20">
        <f>ESLESTIRME!C2</f>
        <v/>
      </c>
    </row>
    <row r="32">
      <c r="H32" s="7" t="inlineStr">
        <is>
          <t>efs_kararKapi</t>
        </is>
      </c>
      <c r="I32" s="20">
        <f>IF(COUNTA(tblVeriA[UUID])=0,"VERİ YOK",IF(OR(COUNTIF(tblVeriA[Toplam],"&lt;0")&gt;0,COUNTIF(tblVeriB[Tutar],"&lt;0")&gt;0),"İNCELE",IF(OR(COUNTIF(tblVeriA[Toplam],"&gt;"&amp;efs_azamiTutar)&gt;0,COUNTIF(tblVeriB[Tutar],"&gt;"&amp;efs_azamiTutar)&gt;0),"İNCELE",IF(efs_eslesmeOrani&lt;efs_esikEslesme,"DURDUR",IF(COUNTIF(tblEslesme[Kova],"tutar_farki")&gt;0,"İNCELE","UYGUN")))))</f>
        <v/>
      </c>
    </row>
    <row r="33">
      <c r="H33" s="7" t="inlineStr">
        <is>
          <t>efs_modulT1</t>
        </is>
      </c>
      <c r="I33" s="20">
        <f>efs_eslesmeOrani</f>
        <v/>
      </c>
    </row>
    <row r="34">
      <c r="H34" s="7" t="inlineStr">
        <is>
          <t>efs_modulT2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efs_modulO1</t>
        </is>
      </c>
      <c r="I35" s="20">
        <f>COUNTIF(tblEslesme[EsikUstu],1)</f>
        <v/>
      </c>
    </row>
    <row r="36">
      <c r="H36" s="7" t="inlineStr">
        <is>
          <t>efs_modulO2</t>
        </is>
      </c>
      <c r="I36" s="20">
        <f>IFERROR(ABS(efs_mutabakatFarki)*efs_duyarlilikCarpan,0)</f>
        <v/>
      </c>
    </row>
    <row r="37">
      <c r="H37" s="7" t="inlineStr">
        <is>
          <t>efs_modulO3</t>
        </is>
      </c>
      <c r="I37" s="20">
        <f>IFERROR(efs_toleransSenaryo*COUNTIF(tblEslesme[Kova],"tutar_farki"),0)</f>
        <v/>
      </c>
    </row>
    <row r="38">
      <c r="H38" s="7" t="inlineStr">
        <is>
          <t>efs_modulO6</t>
        </is>
      </c>
      <c r="I38" s="20">
        <f>IF(COUNTA(tblVeriA[UUID])=0,0,COUNTA(tblVeriA[VKN])/COUNTA(tblVeriA[UUID]))</f>
        <v/>
      </c>
    </row>
    <row r="39">
      <c r="H39" s="7" t="inlineStr">
        <is>
          <t>efs_modulO8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efs_modulI1</t>
        </is>
      </c>
      <c r="I40" s="20">
        <f>IFERROR(PERCENTILE(tblVeriA[Toplam],efs_yuzdelikOran),0)</f>
        <v/>
      </c>
    </row>
    <row r="41">
      <c r="H41" s="7" t="inlineStr">
        <is>
          <t>efs_modulI2</t>
        </is>
      </c>
      <c r="I41" s="20">
        <f>IFERROR(PERCENTILE(tblEslesme[AbsFark],efs_yuzdelikOran),0)</f>
        <v/>
      </c>
    </row>
    <row r="43">
      <c r="H43" s="17" t="inlineStr">
        <is>
          <t>Canli Yorumlar</t>
        </is>
      </c>
    </row>
    <row r="44">
      <c r="H44" s="7" t="inlineStr">
        <is>
          <t>efs_modulT1Yorum</t>
        </is>
      </c>
      <c r="I44" s="8">
        <f>IF(COUNTA(tblVeriA[UUID])=0,"Veri yok",_xlfn.TEXTJOIN(" ",TRUE,"Eşleşme oranı",TEXT(efs_modulT1,"0.0%")))</f>
        <v/>
      </c>
    </row>
    <row r="45">
      <c r="H45" s="7" t="inlineStr">
        <is>
          <t>efs_modulT2Yorum</t>
        </is>
      </c>
      <c r="I45" s="8">
        <f>IFERROR(_xlfn.TEXTJOIN(" ",TRUE,"Ort. tutar farkı",TEXT(efs_modulT2,"0.00"),"TL"),"-")</f>
        <v/>
      </c>
    </row>
    <row r="46">
      <c r="H46" s="7" t="inlineStr">
        <is>
          <t>efs_modulO1Yorum</t>
        </is>
      </c>
      <c r="I46" s="8">
        <f>IF(efs_modulO1=0,"Anomali yok",_xlfn.TEXTJOIN(" ",TRUE,efs_modulO1,"anomali satırı"))</f>
        <v/>
      </c>
    </row>
    <row r="47">
      <c r="H47" s="7" t="inlineStr">
        <is>
          <t>efs_modulO2Yorum</t>
        </is>
      </c>
      <c r="I47" s="8">
        <f>IFERROR(_xlfn.TEXTJOIN(" ",TRUE,"Duyarlılık etkisi",TEXT(efs_modulO2,"0.00"),"TL"),"-")</f>
        <v/>
      </c>
    </row>
    <row r="48">
      <c r="H48" s="7" t="inlineStr">
        <is>
          <t>efs_modulO3Yorum</t>
        </is>
      </c>
      <c r="I48" s="8">
        <f>IFERROR(_xlfn.TEXTJOIN(" ",TRUE,"Senaryo etki",TEXT(efs_modulO3,"0.00"),"TL"),"-")</f>
        <v/>
      </c>
    </row>
    <row r="49">
      <c r="H49" s="7" t="inlineStr">
        <is>
          <t>efs_modulO6Yorum</t>
        </is>
      </c>
      <c r="I49" s="8">
        <f>IFERROR(_xlfn.TEXTJOIN(" ",TRUE,"VKN doluluk",TEXT(efs_modulO6,"0.0%")),"-")</f>
        <v/>
      </c>
    </row>
    <row r="50">
      <c r="H50" s="7" t="inlineStr">
        <is>
          <t>efs_modulO8Yorum</t>
        </is>
      </c>
      <c r="I50" s="8">
        <f>IFERROR(_xlfn.TEXTJOIN(" ",TRUE,"Veri kalite",TEXT(efs_modulO8,"0")),"-")</f>
        <v/>
      </c>
    </row>
    <row r="51">
      <c r="H51" s="7" t="inlineStr">
        <is>
          <t>efs_modulI1Yorum</t>
        </is>
      </c>
      <c r="I51" s="8">
        <f>IFERROR(_xlfn.TEXTJOIN(" ",TRUE,"Tahmin aralık",TEXT(efs_modulI1,"0.00"),"TL"),"-")</f>
        <v/>
      </c>
    </row>
    <row r="52">
      <c r="H52" s="7" t="inlineStr">
        <is>
          <t>efs_modulI2Yorum</t>
        </is>
      </c>
      <c r="I52" s="8">
        <f>IFERROR(_xlfn.TEXTJOIN(" ",TRUE,"Fark P90",TEXT(efs_modulI2,"0.00"),"TL"),"-")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Toplu e-Fatura Satır Defteri ve PDF Kanıtı</t>
        </is>
      </c>
    </row>
    <row r="3">
      <c r="A3" s="24" t="inlineStr">
        <is>
          <t>Kullanım Kılavuzu</t>
        </is>
      </c>
    </row>
    <row r="5">
      <c r="A5" s="8" t="inlineStr">
        <is>
          <t>1. VERI_A: e-Fatura satırlarını (UUID, fatura numarası, tutar) sarı hücrelere yapıştırın.</t>
        </is>
      </c>
    </row>
    <row r="6">
      <c r="A6" s="8" t="inlineStr">
        <is>
          <t>2. VERI_B: Muhasebe satırlarını girin — XML veya API gerekmez.</t>
        </is>
      </c>
    </row>
    <row r="7">
      <c r="A7" s="8" t="inlineStr">
        <is>
          <t>3. ANAHTAR: UUID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Karar, KPI ve grafikleri izleyin.</t>
        </is>
      </c>
    </row>
    <row r="12">
      <c r="A12" s="8" t="inlineStr">
        <is>
          <t>8. KANIT_RAPORU: Dönem dosyasına A4 PDF olarak yazdırın.</t>
        </is>
      </c>
    </row>
    <row r="14">
      <c r="A14" s="21" t="inlineStr">
        <is>
          <t>Sık yapılan hatalar</t>
        </is>
      </c>
    </row>
    <row r="15">
      <c r="A15" s="7" t="inlineStr">
        <is>
          <t>• UUID'yi eksik yapıştırmak (tire farkı normalize edilir ama boş olamaz)</t>
        </is>
      </c>
    </row>
    <row r="16">
      <c r="A16" s="7" t="inlineStr">
        <is>
          <t>• A ve B dönemlerini karıştırmak</t>
        </is>
      </c>
    </row>
    <row r="17">
      <c r="A17" s="7" t="inlineStr">
        <is>
          <t>• Toplam yerine yalnızca matrahı B tarafına yazmak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L1"/>
    <mergeCell ref="A12:J12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2026-08-14T17:52:06Z</dcterms:created>
  <dcterms:modified xmlns:dcterms="http://purl.org/dc/terms/" xmlns:xsi="http://www.w3.org/2001/XMLSchema-instance" xsi:type="dcterms:W3CDTF">2026-09-25T14:12:47Z</dcterms:modified>
</cp:coreProperties>
</file>