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VERI_A" sheetId="5" state="visible" r:id="rId5"/>
    <sheet xmlns:r="http://schemas.openxmlformats.org/officeDocument/2006/relationships" name="VERI_B" sheetId="6" state="visible" r:id="rId6"/>
    <sheet xmlns:r="http://schemas.openxmlformats.org/officeDocument/2006/relationships" name="ANAHT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ESLESTIRME" sheetId="9" state="visible" r:id="rId9"/>
    <sheet xmlns:r="http://schemas.openxmlformats.org/officeDocument/2006/relationships" name="KOK_NEDEN" sheetId="10" state="visible" r:id="rId10"/>
    <sheet xmlns:r="http://schemas.openxmlformats.org/officeDocument/2006/relationships" name="AKSIYON" sheetId="11" state="visible" r:id="rId11"/>
    <sheet xmlns:r="http://schemas.openxmlformats.org/officeDocument/2006/relationships" name="KANIT_RAPORU" sheetId="12" state="visible" r:id="rId12"/>
    <sheet xmlns:r="http://schemas.openxmlformats.org/officeDocument/2006/relationships" name="KONTROLLER" sheetId="13" state="visible" r:id="rId13"/>
    <sheet xmlns:r="http://schemas.openxmlformats.org/officeDocument/2006/relationships" name="ORNEK_VERI" sheetId="14" state="visible" r:id="rId14"/>
    <sheet xmlns:r="http://schemas.openxmlformats.org/officeDocument/2006/relationships" name="LISTELER" sheetId="15" state="visible" r:id="rId15"/>
    <sheet xmlns:r="http://schemas.openxmlformats.org/officeDocument/2006/relationships" name="AYARLAR" sheetId="16" state="visible" r:id="rId16"/>
    <sheet xmlns:r="http://schemas.openxmlformats.org/officeDocument/2006/relationships" name="KILAVUZ" sheetId="17" state="visible" r:id="rId17"/>
  </sheets>
  <definedNames>
    <definedName name="toleransKurus">AYARLAR!$B$6</definedName>
    <definedName name="raporTarihi">AYARLAR!$B$7</definedName>
    <definedName name="efs_esikEslesme">AYARLAR!$B$8</definedName>
    <definedName name="efs_esikFark">AYARLAR!$B$9</definedName>
    <definedName name="efs_azamiTutar">AYARLAR!$B$10</definedName>
    <definedName name="efs_ikincilUzunluk">AYARLAR!$B$11</definedName>
    <definedName name="efs_olcekHedef">AYARLAR!$B$12</definedName>
    <definedName name="efs_anomaliZ">AYARLAR!$B$13</definedName>
    <definedName name="efs_yuzdelikOran">AYARLAR!$B$14</definedName>
    <definedName name="efs_kdvOran">AYARLAR!$B$15</definedName>
    <definedName name="efs_duyarlilikCarpan">AYARLAR!$B$16</definedName>
    <definedName name="efs_toleransSenaryo">AYARLAR!$B$17</definedName>
    <definedName name="efs_yuvarlamaEsik">AYARLAR!$B$18</definedName>
    <definedName name="efs_guvenBolum">AYARLAR!$B$19</definedName>
    <definedName name="efs_riskFarkAgirlik">AYARLAR!$B$20</definedName>
    <definedName name="efs_riskEslesmezAgirlik">AYARLAR!$B$21</definedName>
    <definedName name="efs_normAnahtar">AYARLAR!$B$22</definedName>
    <definedName name="efs_tanimsizKova">AYARLAR!$B$23</definedName>
    <definedName name="efs_kvkkBeyani">AYARLAR!$B$24</definedName>
    <definedName name="efs_kanitRaporu">AYARLAR!$B$25</definedName>
    <definedName name="efs_dosyaSurumu">AYARLAR!$B$26</definedName>
    <definedName name="efs_firmaUnvan">AYARLAR!$B$27</definedName>
    <definedName name="efs_fiyatModeli">AYARLAR!$B$28</definedName>
    <definedName name="efs_yapistirCalistir">AYARLAR!$B$29</definedName>
    <definedName name="efs_mutabakatFarki">AYARLAR!$I$29</definedName>
    <definedName name="efs_eslesmeOrani">AYARLAR!$I$30</definedName>
    <definedName name="efs_kovaButunluk">AYARLAR!$I$31</definedName>
    <definedName name="efs_kararKapi">AYARLAR!$I$32</definedName>
    <definedName name="efs_modulT1">AYARLAR!$I$33</definedName>
    <definedName name="efs_modulT2">AYARLAR!$I$34</definedName>
    <definedName name="efs_modulO1">AYARLAR!$I$35</definedName>
    <definedName name="efs_modulO2">AYARLAR!$I$36</definedName>
    <definedName name="efs_modulO3">AYARLAR!$I$37</definedName>
    <definedName name="efs_modulO6">AYARLAR!$I$38</definedName>
    <definedName name="efs_modulO8">AYARLAR!$I$39</definedName>
    <definedName name="efs_modulI1">AYARLAR!$I$40</definedName>
    <definedName name="efs_modulI2">AYARLAR!$I$41</definedName>
    <definedName name="efs_modulT1Yorum">AYARLAR!$I$44</definedName>
    <definedName name="efs_modulT2Yorum">AYARLAR!$I$45</definedName>
    <definedName name="efs_modulO1Yorum">AYARLAR!$I$46</definedName>
    <definedName name="efs_modulO2Yorum">AYARLAR!$I$47</definedName>
    <definedName name="efs_modulO3Yorum">AYARLAR!$I$48</definedName>
    <definedName name="efs_modulO6Yorum">AYARLAR!$I$49</definedName>
    <definedName name="efs_modulO8Yorum">AYARLAR!$I$50</definedName>
    <definedName name="efs_modulI1Yorum">AYARLAR!$I$51</definedName>
    <definedName name="efs_modulI2Yorum">AYARLAR!$I$52</definedName>
    <definedName name="ListeBelgeTipleri">LISTELER!$A$7:$A$11</definedName>
    <definedName name="ListeDurumlar">LISTELER!$C$7:$C$10</definedName>
    <definedName name="_xlnm.Print_Area" localSheetId="11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</numFmts>
  <fonts count="7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efs_esikEslesme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efs_esikFark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efs_azamiTutar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efs_ikincilUzunluk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efs_olcekHedef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efs_anomaliZ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efs_yuzdelikOran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efs_kdvOran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efs_duyarlilikCarpan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efs_toleransSenaryo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efs_yuvarlamaEsik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efs_guvenBolum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efs_riskFarkAgirlik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efs_riskEslesmezAgirlik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efs_normAnahtar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efs_tanimsizKova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efs_kvkkBeyani | Neden önemli: Mutabakat sonucunu etkiler | Doğru kullanım: R3 ayrım | Örnek: hücredeki örnek değere bakın | Risk: Yanlış giriş hatalı kova üretir</t>
      </text>
    </comment>
    <comment ref="B25" authorId="0" shapeId="0">
      <text>
        <t>Tanım: efs_kanitRaporu | Neden önemli: Mutabakat sonucunu etkiler | Doğru kullanım: R2 ayrım | Örnek: hücredeki örnek değere bakın | Risk: Yanlış giriş hatalı kova üretir</t>
      </text>
    </comment>
    <comment ref="B26" authorId="0" shapeId="0">
      <text>
        <t>Tanım: efs_dosyaSurumu | Neden önemli: Mutabakat sonucunu etkiler | Doğru kullanım: Ürün sürümü | Örnek: hücredeki örnek değere bakın | Risk: Yanlış giriş hatalı kova üretir</t>
      </text>
    </comment>
    <comment ref="B27" authorId="0" shapeId="0">
      <text>
        <t>Tanım: efs_firmaUnvan | Neden önemli: Mutabakat sonucunu etkiler | Doğru kullanım: Firma | Örnek: hücredeki örnek değere bakın | Risk: Yanlış giriş hatalı kova üretir</t>
      </text>
    </comment>
    <comment ref="B28" authorId="0" shapeId="0">
      <text>
        <t>Tanım: efs_fiyatModeli | Neden önemli: Mutabakat sonucunu etkiler | Doğru kullanım: R3 ayrım | Örnek: hücredeki örnek değere bakın | Risk: Yanlış giriş hatalı kova üretir</t>
      </text>
    </comment>
    <comment ref="B29" authorId="0" shapeId="0">
      <text>
        <t>Tanım: efs_yapistirCalistir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1005" headerRowCount="1">
  <tableColumns count="12">
    <tableColumn id="1" name="UUID"/>
    <tableColumn id="2" name="FaturaNo"/>
    <tableColumn id="3" name="Tarih"/>
    <tableColumn id="4" name="VKN"/>
    <tableColumn id="5" name="Unvan"/>
    <tableColumn id="6" name="Matrah"/>
    <tableColumn id="7" name="KDV"/>
    <tableColumn id="8" name="Toplam"/>
    <tableColumn id="9" name="BelgeTipi"/>
    <tableColumn id="10" name="Donem"/>
    <tableColumn id="11" name="Durum"/>
    <tableColumn id="12" name="KayitDolu">
      <calculatedColumnFormula>IF(tblVeriA[[#This Row],[UUID]]="","",1)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UUID"/>
    <tableColumn id="2" name="FaturaNo"/>
    <tableColumn id="3" name="Tarih"/>
    <tableColumn id="4" name="Tutar"/>
    <tableColumn id="5" name="HesapKodu"/>
    <tableColumn id="6" name="Aciklama"/>
    <tableColumn id="7" name="Donem"/>
    <tableColumn id="8" name="Durum"/>
    <tableColumn id="9" name="KayitDolu">
      <calculatedColumnFormula>IF(tblVeriB[[#This Row],[UUID]]="","",1)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Row],[Ham]],"-","")))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Row],[Ham]]="","",UPPER(TRIM(SUBSTITUTE(IFERROR(INDEX(tblVeriA[FaturaNo],ROW()-ROW(tblVeriA[[#Headers]])),"")," ",""))))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Row],[HamB]],"-","")))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Row],[HamB]]="","",UPPER(TRIM(SUBSTITUTE(IFERROR(INDEX(tblVeriB[FaturaNo],ROW()-ROW(tblVeriB[[#Headers]])),"")," ",""))))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Row],[AbsFark]]&gt;efs_esikFark,1,0))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Row],[AbsFark]]&lt;=efs_yuvarlamaEsik,1,0))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Row],[Matrah]]*efs_kdvOran)&lt;=toleransKurus,"MATRAH",IF(tblKok[[#This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Row],[Fark]])&gt;efs_esikFark,"YUKSEK","NORMAL"))</calculatedColumnFormula>
    </tableColumn>
    <tableColumn id="6" name="ItirazMetni">
      <calculatedColumnFormula>IF(tblAksiyon[[#This Row],[Kova]]&lt;&gt;"tutar_farki","","UUID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7" t="inlineStr">
        <is>
          <t>E FATURA SATIR DEFTERI PDF KANITI — YÖNETİM VE KARAR SİSTEMİ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Yönetici Karar Kokpiti, Otomatik Doğrulama ve Dinamik Hesaplama Sistemi · 2026</t>
        </is>
      </c>
    </row>
    <row r="5">
      <c r="B5" s="81" t="inlineStr">
        <is>
          <t>TOPLAM İŞLEM HACMİ</t>
        </is>
      </c>
      <c r="C5" s="82" t="n"/>
      <c r="D5" s="83" t="inlineStr">
        <is>
          <t>DOĞRULANMIŞ</t>
        </is>
      </c>
      <c r="E5" s="84" t="inlineStr">
        <is>
          <t>RİSKLİ / BEKLEYEN İŞLEM</t>
        </is>
      </c>
      <c r="F5" s="82" t="n"/>
      <c r="G5" s="85" t="inlineStr">
        <is>
          <t>MİNİMUM</t>
        </is>
      </c>
      <c r="H5" s="81" t="inlineStr">
        <is>
          <t>OPERASYONEL NET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91" t="inlineStr">
        <is>
          <t>₺28.450.000</t>
        </is>
      </c>
      <c r="C7" s="82" t="n"/>
      <c r="D7" s="82" t="n"/>
      <c r="E7" s="92" t="inlineStr">
        <is>
          <t>₺940.000</t>
        </is>
      </c>
      <c r="F7" s="82" t="n"/>
      <c r="G7" s="82" t="n"/>
      <c r="H7" s="91" t="inlineStr">
        <is>
          <t>₺8.120.000</t>
        </is>
      </c>
      <c r="I7" s="82" t="n"/>
      <c r="J7" s="82" t="n"/>
      <c r="K7" s="93" t="inlineStr">
        <is>
          <t>98/100</t>
        </is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Konsolide yıllıklandırılmış büyüme</t>
        </is>
      </c>
      <c r="C9" s="82" t="n"/>
      <c r="D9" s="82" t="n"/>
      <c r="E9" s="95" t="inlineStr">
        <is>
          <t>● Tüm riskli kayıtlar kontrol altında</t>
        </is>
      </c>
      <c r="F9" s="82" t="n"/>
      <c r="G9" s="82" t="n"/>
      <c r="H9" s="94" t="inlineStr">
        <is>
          <t>██████████░░░░░ %28.5 NET MARJ</t>
        </is>
      </c>
      <c r="I9" s="82" t="n"/>
      <c r="J9" s="82" t="n"/>
      <c r="K9" s="96" t="inlineStr">
        <is>
          <t>✓ 0 Formül ve Döngüsel Hata</t>
        </is>
      </c>
      <c r="L9" s="82" t="n"/>
      <c r="M9" s="82" t="n"/>
    </row>
    <row r="11">
      <c r="B11" s="66" t="inlineStr">
        <is>
          <t>12 AYLIK NAKİT GİRİŞ / ÇIKIŞ &amp; LİKİDİTE BAŞARIMI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Tahsilat vs. Tedarikçi/Kredi Ödeme Projeksiyonu</t>
        </is>
      </c>
      <c r="H12" s="65" t="inlineStr">
        <is>
          <t>Anlık Hesaplama Sonuçları, Dinamik Formül Çıktıları ve Durum Puanlaması</t>
        </is>
      </c>
    </row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13 haftalık kümülatif bakiye...</t>
        </is>
      </c>
      <c r="I15" s="100" t="inlineStr">
        <is>
          <t>₺8.450.000</t>
        </is>
      </c>
      <c r="J15" s="101" t="inlineStr">
        <is>
          <t>₺425.000</t>
        </is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(eksi) hafta uyarısı</t>
        </is>
      </c>
      <c r="I16" s="100" t="inlineStr">
        <is>
          <t>₺12.200.000</t>
        </is>
      </c>
      <c r="J16" s="101" t="inlineStr">
        <is>
          <t>₺580.400</t>
        </is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Dönem net nakit değişimi</t>
        </is>
      </c>
      <c r="I17" s="100" t="inlineStr">
        <is>
          <t>₺4.850.000</t>
        </is>
      </c>
      <c r="J17" s="101" t="inlineStr">
        <is>
          <t>₺235.200</t>
        </is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13 haftalık kümülatif bakiye...</t>
        </is>
      </c>
      <c r="I18" s="100" t="inlineStr">
        <is>
          <t>₺2.140.000</t>
        </is>
      </c>
      <c r="J18" s="101" t="inlineStr">
        <is>
          <t>₺118.000</t>
        </is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05" t="inlineStr">
        <is>
          <t>₺42.850.000</t>
        </is>
      </c>
      <c r="J19" s="106" t="inlineStr">
        <is>
          <t>₺3.420.000</t>
        </is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OPERASYONEL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Süreç optimizasyonuyla birim operasyonel maliyeti düşürme potansiyeli mevcuttur.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K26" s="11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19" t="inlineStr">
        <is>
          <t>🔍  Kayıt veya hesap ara...</t>
        </is>
      </c>
      <c r="G3" s="120" t="inlineStr">
        <is>
          <t>TOPLAM: 1.450 KAYIT</t>
        </is>
      </c>
      <c r="I3" s="121" t="inlineStr">
        <is>
          <t>HATALI HÜCRE: 0 ADET</t>
        </is>
      </c>
    </row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Haftalık nakit girişi tahmini</t>
        </is>
      </c>
      <c r="E6" s="126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Haftalık nakit çıkışı tahmini</t>
        </is>
      </c>
      <c r="E7" s="133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notları</t>
        </is>
      </c>
      <c r="E8" s="126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Haftalık nakit girişi tahmini</t>
        </is>
      </c>
      <c r="E9" s="133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Haftalık nakit girişi tahmini</t>
        </is>
      </c>
      <c r="E10" s="126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Haftalık nakit çıkışı tahmini</t>
        </is>
      </c>
      <c r="E11" s="133" t="n">
        <v>1850000</v>
      </c>
      <c r="F11" s="134" t="n">
        <v>0.2</v>
      </c>
      <c r="G11" s="135">
        <f>E11/(1+F11)</f>
        <v/>
      </c>
      <c r="H11" s="132" t="inlineStr">
        <is>
          <t>Banka Kredi Taksiti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Ödeme takvimi notları</t>
        </is>
      </c>
      <c r="E12" s="126" t="n">
        <v>740000</v>
      </c>
      <c r="F12" s="127" t="n">
        <v>0.2</v>
      </c>
      <c r="G12" s="128">
        <f>E12/(1+F12)</f>
        <v/>
      </c>
      <c r="H12" s="125" t="inlineStr">
        <is>
          <t>Kira &amp; Sabit Gider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Haftalık nakit girişi tahmini</t>
        </is>
      </c>
      <c r="E13" s="133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Haftalık nakit girişi tahmini</t>
        </is>
      </c>
      <c r="E14" s="126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Haftalık nakit çıkışı tahmini</t>
        </is>
      </c>
      <c r="E15" s="133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7">
      <c r="B17" s="139" t="inlineStr">
        <is>
          <t>SAYFA TOPLAMI (10 / 1.450 KAYIT)</t>
        </is>
      </c>
      <c r="C17" s="107" t="n"/>
      <c r="D17" s="107" t="n"/>
      <c r="E17" s="140">
        <f>TOPLA(E6:E15)</f>
        <v/>
      </c>
      <c r="F17" s="107" t="n"/>
      <c r="G17" s="107" t="n"/>
      <c r="H17" s="107" t="n"/>
      <c r="I17" s="10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1" t="inlineStr">
        <is>
          <t>E FATURA SATIR DEFTERI PDF KANITI — YÖNETİM VE KARAR SİSTEMİ — NİHAİ KARAR VE DEĞERLEME</t>
        </is>
      </c>
    </row>
    <row r="3">
      <c r="B3" s="142" t="inlineStr">
        <is>
          <t>Yönetim Kurulu ve İcra Komitesi için Otomatik Türetilen Finansal Stres Testi Raporu</t>
        </is>
      </c>
    </row>
    <row r="4">
      <c r="B4" s="143" t="inlineStr">
        <is>
          <t>DÖNEM: 2026 Q3 · DENETİM PROTOKOLÜ: ISO/VUK/IFRS UYUMLU · DURUM: ONAYLANDI</t>
        </is>
      </c>
    </row>
    <row r="6">
      <c r="B6" s="144" t="inlineStr">
        <is>
          <t>SENARYO A: KÖTÜMSER (STRES TESTİ -%20)</t>
        </is>
      </c>
      <c r="C6" s="82" t="n"/>
      <c r="D6" s="82" t="n"/>
      <c r="E6" s="82" t="n"/>
      <c r="F6" s="82" t="n"/>
      <c r="H6" s="145" t="inlineStr">
        <is>
          <t>SENARYO B: BAZ MODEL (HEDEFLENEN)</t>
        </is>
      </c>
      <c r="I6" s="82" t="n"/>
      <c r="J6" s="82" t="n"/>
      <c r="K6" s="82" t="n"/>
      <c r="L6" s="82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49" t="inlineStr">
        <is>
          <t>₺4.280.000</t>
        </is>
      </c>
      <c r="F9" s="82" t="n"/>
      <c r="H9" s="146" t="inlineStr">
        <is>
          <t>Beklenen Net Kâr / Getiri:</t>
        </is>
      </c>
      <c r="I9" s="82" t="n"/>
      <c r="J9" s="82" t="n"/>
      <c r="K9" s="149" t="inlineStr">
        <is>
          <t>₺12.450.000</t>
        </is>
      </c>
      <c r="L9" s="82" t="n"/>
    </row>
    <row r="10">
      <c r="B10" s="146" t="inlineStr">
        <is>
          <t>Minimum Nakit Tamponu:</t>
        </is>
      </c>
      <c r="C10" s="82" t="n"/>
      <c r="D10" s="82" t="n"/>
      <c r="E10" s="150" t="inlineStr">
        <is>
          <t>₺1.850.000 (Yeterli)</t>
        </is>
      </c>
      <c r="F10" s="82" t="n"/>
      <c r="H10" s="146" t="inlineStr">
        <is>
          <t>Serbest Nakit Akımı:</t>
        </is>
      </c>
      <c r="I10" s="82" t="n"/>
      <c r="J10" s="82" t="n"/>
      <c r="K10" s="150" t="inlineStr">
        <is>
          <t>₺8.240.000</t>
        </is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50" t="inlineStr">
        <is>
          <t>1.28x (Eşik: 1.10x)</t>
        </is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82" t="n"/>
      <c r="D14" s="82" t="n"/>
      <c r="E14" s="82" t="n"/>
      <c r="F14" s="82" t="n"/>
      <c r="H14" s="152" t="inlineStr">
        <is>
          <t>OPTİMUM İCRA VE PLANLAMA REÇETESİ</t>
        </is>
      </c>
      <c r="I14" s="82" t="n"/>
      <c r="J14" s="82" t="n"/>
      <c r="K14" s="82" t="n"/>
      <c r="L14" s="82" t="n"/>
    </row>
    <row r="15">
      <c r="B15" s="82" t="n"/>
      <c r="C15" s="82" t="n"/>
      <c r="D15" s="82" t="n"/>
      <c r="E15" s="82" t="n"/>
      <c r="F15" s="82" t="n"/>
      <c r="H15" s="82" t="n"/>
      <c r="I15" s="82" t="n"/>
      <c r="J15" s="82" t="n"/>
      <c r="K15" s="82" t="n"/>
      <c r="L15" s="82" t="n"/>
    </row>
    <row r="17">
      <c r="B17" s="53" t="inlineStr">
        <is>
          <t>YÖNETİM KARAR MATRİSİ VE UYGULAMA REÇETESİ</t>
        </is>
      </c>
    </row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1F3A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Toplu e-Fatura Satır Defteri ve PDF Kanıtı</t>
        </is>
      </c>
    </row>
    <row r="3" ht="30" customHeight="1">
      <c r="A3" s="3" t="inlineStr">
        <is>
          <t>Toplu e-Fatura Satır Defteri ve PDF Kanıtı</t>
        </is>
      </c>
    </row>
    <row r="4">
      <c r="A4" s="4" t="inlineStr">
        <is>
          <t>e-Fatura satırlarını muhasebe kayıtlarıyla UUID ve fatura numarası üzerinden eşleştirir; dört kovaya ayırır; PDF baskıya hazır kanıt raporu üretir. XML dosya okuma, API ve makro yoktur — satır yapıştırırsınız.</t>
        </is>
      </c>
    </row>
    <row r="6">
      <c r="A6" s="5" t="inlineStr">
        <is>
          <t>Bu ürün ne sağlar?</t>
        </is>
      </c>
    </row>
    <row r="7">
      <c r="A7" s="6" t="inlineStr">
        <is>
          <t>• UUID normalize (tire sil, büyük harf) + fatura numarası ikincil anahtar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KDV, matrah, yuvarlama, VKN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KANIT_RAPORU A4 baskı alanı — vergi dairesi / denetçi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müşavirler</t>
        </is>
      </c>
    </row>
    <row r="15">
      <c r="A15" s="7" t="inlineStr">
        <is>
          <t>• Muhasebe ekipleri</t>
        </is>
      </c>
    </row>
    <row r="16">
      <c r="A16" s="7" t="inlineStr">
        <is>
          <t>• İşletme sahipleri — KDV beyanı öncesi mutabakat</t>
        </is>
      </c>
    </row>
    <row r="18">
      <c r="A18" s="5" t="inlineStr">
        <is>
          <t>Nasıl başlanır?</t>
        </is>
      </c>
    </row>
    <row r="19">
      <c r="A19" s="8" t="inlineStr">
        <is>
          <t>1) VERI_A'ya e-Fatura satırlarını yapıştırın. 2) VERI_B'ye muhasebe satırlarını girin. 3) PANO'dan eşleşme oranı ve kararı izleyin. 4) KANIT_RAPORU'nu PDF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VERI A — Toplu e-Fatura Satır Defteri ve PDF Kanıtı</t>
        </is>
      </c>
    </row>
    <row r="3" ht="20" customHeight="1">
      <c r="A3" s="10" t="inlineStr">
        <is>
          <t>e-Fatura satır yapıştır — sarı hücrelere girin (XML/API yok)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VKN</t>
        </is>
      </c>
      <c r="E5" s="12" t="inlineStr">
        <is>
          <t>Unvan</t>
        </is>
      </c>
      <c r="F5" s="12" t="inlineStr">
        <is>
          <t>Matrah</t>
        </is>
      </c>
      <c r="G5" s="12" t="inlineStr">
        <is>
          <t>KDV</t>
        </is>
      </c>
      <c r="H5" s="12" t="inlineStr">
        <is>
          <t>Toplam</t>
        </is>
      </c>
      <c r="I5" s="12" t="inlineStr">
        <is>
          <t>BelgeTipi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13" t="inlineStr">
        <is>
          <t>1000000001</t>
        </is>
      </c>
      <c r="E6" s="13" t="inlineStr">
        <is>
          <t>Ornek Firma 1 Ltd.</t>
        </is>
      </c>
      <c r="F6" s="69" t="n">
        <v>1047.5</v>
      </c>
      <c r="G6" s="69" t="n">
        <v>209.5</v>
      </c>
      <c r="H6" s="69" t="n">
        <v>1257</v>
      </c>
      <c r="I6" s="13" t="inlineStr">
        <is>
          <t>IADE</t>
        </is>
      </c>
      <c r="J6" s="13" t="inlineStr">
        <is>
          <t>2026-08</t>
        </is>
      </c>
      <c r="K6" s="13" t="inlineStr">
        <is>
          <t>Acik</t>
        </is>
      </c>
      <c r="L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13" t="inlineStr">
        <is>
          <t>1000000002</t>
        </is>
      </c>
      <c r="E7" s="13" t="inlineStr">
        <is>
          <t>Ornek Firma 2 Ltd.</t>
        </is>
      </c>
      <c r="F7" s="69" t="n">
        <v>1095</v>
      </c>
      <c r="G7" s="69" t="n">
        <v>219</v>
      </c>
      <c r="H7" s="69" t="n">
        <v>1314</v>
      </c>
      <c r="I7" s="13" t="inlineStr">
        <is>
          <t>ISTISNA</t>
        </is>
      </c>
      <c r="J7" s="13" t="inlineStr">
        <is>
          <t>2026-08</t>
        </is>
      </c>
      <c r="K7" s="13" t="inlineStr">
        <is>
          <t>Acik</t>
        </is>
      </c>
      <c r="L7" s="16">
        <f>IF($A7="","",1)</f>
        <v/>
      </c>
    </row>
    <row r="8">
      <c r="A8" s="13" t="inlineStr">
        <is>
          <t>00000003-03eb-4003-a003-000000000033</t>
        </is>
      </c>
      <c r="B8" s="13" t="inlineStr">
        <is>
          <t>EFT2026100003</t>
        </is>
      </c>
      <c r="C8" s="68" t="n">
        <v>46211</v>
      </c>
      <c r="D8" s="13" t="inlineStr">
        <is>
          <t>1000000003</t>
        </is>
      </c>
      <c r="E8" s="13" t="inlineStr">
        <is>
          <t>Ornek Firma 3 Ltd.</t>
        </is>
      </c>
      <c r="F8" s="69" t="n">
        <v>1142.5</v>
      </c>
      <c r="G8" s="69" t="n">
        <v>228.5</v>
      </c>
      <c r="H8" s="69" t="n">
        <v>1371</v>
      </c>
      <c r="I8" s="13" t="inlineStr">
        <is>
          <t>TEVKIFAT</t>
        </is>
      </c>
      <c r="J8" s="13" t="inlineStr">
        <is>
          <t>2026-08</t>
        </is>
      </c>
      <c r="K8" s="13" t="inlineStr">
        <is>
          <t>Acik</t>
        </is>
      </c>
      <c r="L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13" t="inlineStr">
        <is>
          <t>1000000004</t>
        </is>
      </c>
      <c r="E9" s="13" t="inlineStr">
        <is>
          <t>Ornek Firma 4 Ltd.</t>
        </is>
      </c>
      <c r="F9" s="69" t="n">
        <v>1190</v>
      </c>
      <c r="G9" s="69" t="n">
        <v>238</v>
      </c>
      <c r="H9" s="69" t="n">
        <v>1428</v>
      </c>
      <c r="I9" s="13" t="inlineStr">
        <is>
          <t>DIGER</t>
        </is>
      </c>
      <c r="J9" s="13" t="inlineStr">
        <is>
          <t>2026-08</t>
        </is>
      </c>
      <c r="K9" s="13" t="inlineStr">
        <is>
          <t>Acik</t>
        </is>
      </c>
      <c r="L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</t>
        </is>
      </c>
      <c r="C10" s="68" t="n">
        <v>46213</v>
      </c>
      <c r="D10" s="13" t="inlineStr">
        <is>
          <t>1000000005</t>
        </is>
      </c>
      <c r="E10" s="13" t="inlineStr">
        <is>
          <t>Ornek Firma 5 Ltd.</t>
        </is>
      </c>
      <c r="F10" s="69" t="n">
        <v>1237.5</v>
      </c>
      <c r="G10" s="69" t="n">
        <v>247.5</v>
      </c>
      <c r="H10" s="69" t="n">
        <v>1485</v>
      </c>
      <c r="I10" s="13" t="inlineStr">
        <is>
          <t>SATIS</t>
        </is>
      </c>
      <c r="J10" s="13" t="inlineStr">
        <is>
          <t>2026-08</t>
        </is>
      </c>
      <c r="K10" s="13" t="inlineStr">
        <is>
          <t>Acik</t>
        </is>
      </c>
      <c r="L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13" t="inlineStr">
        <is>
          <t>1000000006</t>
        </is>
      </c>
      <c r="E11" s="13" t="inlineStr">
        <is>
          <t>Ornek Firma 6 Ltd.</t>
        </is>
      </c>
      <c r="F11" s="69" t="n">
        <v>1285</v>
      </c>
      <c r="G11" s="69" t="n">
        <v>257</v>
      </c>
      <c r="H11" s="69" t="n">
        <v>1542</v>
      </c>
      <c r="I11" s="13" t="inlineStr">
        <is>
          <t>IADE</t>
        </is>
      </c>
      <c r="J11" s="13" t="inlineStr">
        <is>
          <t>2026-08</t>
        </is>
      </c>
      <c r="K11" s="13" t="inlineStr">
        <is>
          <t>Acik</t>
        </is>
      </c>
      <c r="L11" s="16">
        <f>IF($A11="","",1)</f>
        <v/>
      </c>
    </row>
    <row r="12">
      <c r="A12" s="13" t="inlineStr">
        <is>
          <t>00000007-03ef-4007-a007-000000000077</t>
        </is>
      </c>
      <c r="B12" s="13" t="inlineStr">
        <is>
          <t>EFT2026100007</t>
        </is>
      </c>
      <c r="C12" s="68" t="n">
        <v>46215</v>
      </c>
      <c r="D12" s="13" t="inlineStr">
        <is>
          <t>1000000007</t>
        </is>
      </c>
      <c r="E12" s="13" t="inlineStr">
        <is>
          <t>Ornek Firma 7 Ltd.</t>
        </is>
      </c>
      <c r="F12" s="69" t="n">
        <v>1332.5</v>
      </c>
      <c r="G12" s="69" t="n">
        <v>266.5</v>
      </c>
      <c r="H12" s="69" t="n">
        <v>1599</v>
      </c>
      <c r="I12" s="13" t="inlineStr">
        <is>
          <t>ISTISNA</t>
        </is>
      </c>
      <c r="J12" s="13" t="inlineStr">
        <is>
          <t>2026-08</t>
        </is>
      </c>
      <c r="K12" s="13" t="inlineStr">
        <is>
          <t>Acik</t>
        </is>
      </c>
      <c r="L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13" t="inlineStr">
        <is>
          <t>1000000008</t>
        </is>
      </c>
      <c r="E13" s="13" t="inlineStr">
        <is>
          <t>Ornek Firma 8 Ltd.</t>
        </is>
      </c>
      <c r="F13" s="69" t="n">
        <v>1380</v>
      </c>
      <c r="G13" s="69" t="n">
        <v>276</v>
      </c>
      <c r="H13" s="69" t="n">
        <v>1656</v>
      </c>
      <c r="I13" s="13" t="inlineStr">
        <is>
          <t>TEVKIFAT</t>
        </is>
      </c>
      <c r="J13" s="13" t="inlineStr">
        <is>
          <t>2026-08</t>
        </is>
      </c>
      <c r="K13" s="13" t="inlineStr">
        <is>
          <t>Acik</t>
        </is>
      </c>
      <c r="L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</t>
        </is>
      </c>
      <c r="C14" s="68" t="n">
        <v>46217</v>
      </c>
      <c r="D14" s="13" t="inlineStr">
        <is>
          <t>1000000009</t>
        </is>
      </c>
      <c r="E14" s="13" t="inlineStr">
        <is>
          <t>Ornek Firma 9 Ltd.</t>
        </is>
      </c>
      <c r="F14" s="69" t="n">
        <v>1427.5</v>
      </c>
      <c r="G14" s="69" t="n">
        <v>285.5</v>
      </c>
      <c r="H14" s="69" t="n">
        <v>1713</v>
      </c>
      <c r="I14" s="13" t="inlineStr">
        <is>
          <t>DIGER</t>
        </is>
      </c>
      <c r="J14" s="13" t="inlineStr">
        <is>
          <t>2026-08</t>
        </is>
      </c>
      <c r="K14" s="13" t="inlineStr">
        <is>
          <t>Acik</t>
        </is>
      </c>
      <c r="L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13" t="inlineStr">
        <is>
          <t>1000000010</t>
        </is>
      </c>
      <c r="E15" s="13" t="inlineStr">
        <is>
          <t>Ornek Firma 10 Ltd.</t>
        </is>
      </c>
      <c r="F15" s="69" t="n">
        <v>1475</v>
      </c>
      <c r="G15" s="69" t="n">
        <v>295</v>
      </c>
      <c r="H15" s="69" t="n">
        <v>1770</v>
      </c>
      <c r="I15" s="13" t="inlineStr">
        <is>
          <t>SATIS</t>
        </is>
      </c>
      <c r="J15" s="13" t="inlineStr">
        <is>
          <t>2026-08</t>
        </is>
      </c>
      <c r="K15" s="13" t="inlineStr">
        <is>
          <t>Acik</t>
        </is>
      </c>
      <c r="L15" s="16">
        <f>IF($A15="","",1)</f>
        <v/>
      </c>
    </row>
    <row r="16">
      <c r="A16" s="13" t="inlineStr">
        <is>
          <t>0000000b-03f3-400b-a00b-0000000000bb</t>
        </is>
      </c>
      <c r="B16" s="13" t="inlineStr">
        <is>
          <t>EFT2026100011</t>
        </is>
      </c>
      <c r="C16" s="68" t="n">
        <v>46219</v>
      </c>
      <c r="D16" s="13" t="inlineStr">
        <is>
          <t>1000000011</t>
        </is>
      </c>
      <c r="E16" s="13" t="inlineStr">
        <is>
          <t>Ornek Firma 11 Ltd.</t>
        </is>
      </c>
      <c r="F16" s="69" t="n">
        <v>1522.5</v>
      </c>
      <c r="G16" s="69" t="n">
        <v>304.5</v>
      </c>
      <c r="H16" s="69" t="n">
        <v>1827</v>
      </c>
      <c r="I16" s="13" t="inlineStr">
        <is>
          <t>IADE</t>
        </is>
      </c>
      <c r="J16" s="13" t="inlineStr">
        <is>
          <t>2026-08</t>
        </is>
      </c>
      <c r="K16" s="13" t="inlineStr">
        <is>
          <t>Acik</t>
        </is>
      </c>
      <c r="L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13" t="inlineStr">
        <is>
          <t>1000000012</t>
        </is>
      </c>
      <c r="E17" s="13" t="inlineStr">
        <is>
          <t>Ornek Firma 12 Ltd.</t>
        </is>
      </c>
      <c r="F17" s="69" t="n">
        <v>1570</v>
      </c>
      <c r="G17" s="69" t="n">
        <v>314</v>
      </c>
      <c r="H17" s="69" t="n">
        <v>1884</v>
      </c>
      <c r="I17" s="13" t="inlineStr">
        <is>
          <t>ISTISNA</t>
        </is>
      </c>
      <c r="J17" s="13" t="inlineStr">
        <is>
          <t>2026-08</t>
        </is>
      </c>
      <c r="K17" s="13" t="inlineStr">
        <is>
          <t>Acik</t>
        </is>
      </c>
      <c r="L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13" t="inlineStr">
        <is>
          <t>1000000013</t>
        </is>
      </c>
      <c r="E18" s="13" t="inlineStr">
        <is>
          <t>Ornek Firma 13 Ltd.</t>
        </is>
      </c>
      <c r="F18" s="69" t="n">
        <v>1617.5</v>
      </c>
      <c r="G18" s="69" t="n">
        <v>323.5</v>
      </c>
      <c r="H18" s="69" t="n">
        <v>1941</v>
      </c>
      <c r="I18" s="13" t="inlineStr">
        <is>
          <t>TEVKIFAT</t>
        </is>
      </c>
      <c r="J18" s="13" t="inlineStr">
        <is>
          <t>2026-08</t>
        </is>
      </c>
      <c r="K18" s="13" t="inlineStr">
        <is>
          <t>Acik</t>
        </is>
      </c>
      <c r="L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13" t="inlineStr">
        <is>
          <t>1000000014</t>
        </is>
      </c>
      <c r="E19" s="13" t="inlineStr">
        <is>
          <t>Ornek Firma 14 Ltd.</t>
        </is>
      </c>
      <c r="F19" s="69" t="n">
        <v>1665</v>
      </c>
      <c r="G19" s="69" t="n">
        <v>333</v>
      </c>
      <c r="H19" s="69" t="n">
        <v>1998</v>
      </c>
      <c r="I19" s="13" t="inlineStr">
        <is>
          <t>DIGER</t>
        </is>
      </c>
      <c r="J19" s="13" t="inlineStr">
        <is>
          <t>2026-08</t>
        </is>
      </c>
      <c r="K19" s="13" t="inlineStr">
        <is>
          <t>Acik</t>
        </is>
      </c>
      <c r="L19" s="16">
        <f>IF($A19="","",1)</f>
        <v/>
      </c>
    </row>
    <row r="20">
      <c r="A20" s="13" t="inlineStr">
        <is>
          <t>0000000f-03f7-400f-a00f-0000000000ff</t>
        </is>
      </c>
      <c r="B20" s="13" t="inlineStr">
        <is>
          <t>EFT2026100015</t>
        </is>
      </c>
      <c r="C20" s="68" t="n">
        <v>46223</v>
      </c>
      <c r="D20" s="13" t="inlineStr">
        <is>
          <t>1000000015</t>
        </is>
      </c>
      <c r="E20" s="13" t="inlineStr">
        <is>
          <t>Ornek Firma 15 Ltd.</t>
        </is>
      </c>
      <c r="F20" s="69" t="n">
        <v>1712.5</v>
      </c>
      <c r="G20" s="69" t="n">
        <v>342.5</v>
      </c>
      <c r="H20" s="69" t="n">
        <v>2055</v>
      </c>
      <c r="I20" s="13" t="inlineStr">
        <is>
          <t>SATIS</t>
        </is>
      </c>
      <c r="J20" s="13" t="inlineStr">
        <is>
          <t>2026-08</t>
        </is>
      </c>
      <c r="K20" s="13" t="inlineStr">
        <is>
          <t>Acik</t>
        </is>
      </c>
      <c r="L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13" t="inlineStr">
        <is>
          <t>1000000016</t>
        </is>
      </c>
      <c r="E21" s="13" t="inlineStr">
        <is>
          <t>Ornek Firma 16 Ltd.</t>
        </is>
      </c>
      <c r="F21" s="69" t="n">
        <v>1760</v>
      </c>
      <c r="G21" s="69" t="n">
        <v>352</v>
      </c>
      <c r="H21" s="69" t="n">
        <v>2112</v>
      </c>
      <c r="I21" s="13" t="inlineStr">
        <is>
          <t>IADE</t>
        </is>
      </c>
      <c r="J21" s="13" t="inlineStr">
        <is>
          <t>2026-08</t>
        </is>
      </c>
      <c r="K21" s="13" t="inlineStr">
        <is>
          <t>Acik</t>
        </is>
      </c>
      <c r="L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13" t="inlineStr">
        <is>
          <t>1000000017</t>
        </is>
      </c>
      <c r="E22" s="13" t="inlineStr">
        <is>
          <t>Ornek Firma 17 Ltd.</t>
        </is>
      </c>
      <c r="F22" s="69" t="n">
        <v>1807.5</v>
      </c>
      <c r="G22" s="69" t="n">
        <v>361.5</v>
      </c>
      <c r="H22" s="69" t="n">
        <v>2169</v>
      </c>
      <c r="I22" s="13" t="inlineStr">
        <is>
          <t>ISTISNA</t>
        </is>
      </c>
      <c r="J22" s="13" t="inlineStr">
        <is>
          <t>2026-08</t>
        </is>
      </c>
      <c r="K22" s="13" t="inlineStr">
        <is>
          <t>Acik</t>
        </is>
      </c>
      <c r="L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13" t="inlineStr">
        <is>
          <t>1000000018</t>
        </is>
      </c>
      <c r="E23" s="13" t="inlineStr">
        <is>
          <t>Ornek Firma 18 Ltd.</t>
        </is>
      </c>
      <c r="F23" s="69" t="n">
        <v>1855</v>
      </c>
      <c r="G23" s="69" t="n">
        <v>371</v>
      </c>
      <c r="H23" s="69" t="n">
        <v>2226</v>
      </c>
      <c r="I23" s="13" t="inlineStr">
        <is>
          <t>TEVKIFAT</t>
        </is>
      </c>
      <c r="J23" s="13" t="inlineStr">
        <is>
          <t>2026-08</t>
        </is>
      </c>
      <c r="K23" s="13" t="inlineStr">
        <is>
          <t>Acik</t>
        </is>
      </c>
      <c r="L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13" t="inlineStr">
        <is>
          <t>1000000019</t>
        </is>
      </c>
      <c r="E24" s="13" t="inlineStr">
        <is>
          <t>Ornek Firma 19 Ltd.</t>
        </is>
      </c>
      <c r="F24" s="69" t="n">
        <v>1902.5</v>
      </c>
      <c r="G24" s="69" t="n">
        <v>380.5</v>
      </c>
      <c r="H24" s="69" t="n">
        <v>2283</v>
      </c>
      <c r="I24" s="13" t="inlineStr">
        <is>
          <t>DIGER</t>
        </is>
      </c>
      <c r="J24" s="13" t="inlineStr">
        <is>
          <t>2026-08</t>
        </is>
      </c>
      <c r="K24" s="13" t="inlineStr">
        <is>
          <t>Acik</t>
        </is>
      </c>
      <c r="L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13" t="inlineStr">
        <is>
          <t>1000000020</t>
        </is>
      </c>
      <c r="E25" s="13" t="inlineStr">
        <is>
          <t>Ornek Firma 20 Ltd.</t>
        </is>
      </c>
      <c r="F25" s="69" t="n">
        <v>1950</v>
      </c>
      <c r="G25" s="69" t="n">
        <v>390</v>
      </c>
      <c r="H25" s="69" t="n">
        <v>2340</v>
      </c>
      <c r="I25" s="13" t="inlineStr">
        <is>
          <t>SATIS</t>
        </is>
      </c>
      <c r="J25" s="13" t="inlineStr">
        <is>
          <t>2026-08</t>
        </is>
      </c>
      <c r="K25" s="13" t="inlineStr">
        <is>
          <t>Acik</t>
        </is>
      </c>
      <c r="L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13" t="inlineStr">
        <is>
          <t>1000000021</t>
        </is>
      </c>
      <c r="E26" s="13" t="inlineStr">
        <is>
          <t>Ornek Firma 21 Ltd.</t>
        </is>
      </c>
      <c r="F26" s="69" t="n">
        <v>1997.5</v>
      </c>
      <c r="G26" s="69" t="n">
        <v>399.5</v>
      </c>
      <c r="H26" s="69" t="n">
        <v>2397</v>
      </c>
      <c r="I26" s="13" t="inlineStr">
        <is>
          <t>IADE</t>
        </is>
      </c>
      <c r="J26" s="13" t="inlineStr">
        <is>
          <t>2026-08</t>
        </is>
      </c>
      <c r="K26" s="13" t="inlineStr">
        <is>
          <t>Acik</t>
        </is>
      </c>
      <c r="L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13" t="inlineStr">
        <is>
          <t>1000000022</t>
        </is>
      </c>
      <c r="E27" s="13" t="inlineStr">
        <is>
          <t>Ornek Firma 22 Ltd.</t>
        </is>
      </c>
      <c r="F27" s="69" t="n">
        <v>2045</v>
      </c>
      <c r="G27" s="69" t="n">
        <v>409</v>
      </c>
      <c r="H27" s="69" t="n">
        <v>2454</v>
      </c>
      <c r="I27" s="13" t="inlineStr">
        <is>
          <t>ISTISNA</t>
        </is>
      </c>
      <c r="J27" s="13" t="inlineStr">
        <is>
          <t>2026-08</t>
        </is>
      </c>
      <c r="K27" s="13" t="inlineStr">
        <is>
          <t>Acik</t>
        </is>
      </c>
      <c r="L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13" t="inlineStr">
        <is>
          <t>1000000023</t>
        </is>
      </c>
      <c r="E28" s="13" t="inlineStr">
        <is>
          <t>Ornek Firma 23 Ltd.</t>
        </is>
      </c>
      <c r="F28" s="69" t="n">
        <v>2092.5</v>
      </c>
      <c r="G28" s="69" t="n">
        <v>418.5</v>
      </c>
      <c r="H28" s="69" t="n">
        <v>2511</v>
      </c>
      <c r="I28" s="13" t="inlineStr">
        <is>
          <t>TEVKIFAT</t>
        </is>
      </c>
      <c r="J28" s="13" t="inlineStr">
        <is>
          <t>2026-08</t>
        </is>
      </c>
      <c r="K28" s="13" t="inlineStr">
        <is>
          <t>Acik</t>
        </is>
      </c>
      <c r="L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13" t="inlineStr">
        <is>
          <t>1000000024</t>
        </is>
      </c>
      <c r="E29" s="13" t="inlineStr">
        <is>
          <t>Ornek Firma 24 Ltd.</t>
        </is>
      </c>
      <c r="F29" s="69" t="n">
        <v>2140</v>
      </c>
      <c r="G29" s="69" t="n">
        <v>428</v>
      </c>
      <c r="H29" s="69" t="n">
        <v>2568</v>
      </c>
      <c r="I29" s="13" t="inlineStr">
        <is>
          <t>DIGER</t>
        </is>
      </c>
      <c r="J29" s="13" t="inlineStr">
        <is>
          <t>2026-08</t>
        </is>
      </c>
      <c r="K29" s="13" t="inlineStr">
        <is>
          <t>Acik</t>
        </is>
      </c>
      <c r="L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13" t="inlineStr">
        <is>
          <t>1000000025</t>
        </is>
      </c>
      <c r="E30" s="13" t="inlineStr">
        <is>
          <t>Ornek Firma 25 Ltd.</t>
        </is>
      </c>
      <c r="F30" s="69" t="n">
        <v>2187.5</v>
      </c>
      <c r="G30" s="69" t="n">
        <v>437.5</v>
      </c>
      <c r="H30" s="69" t="n">
        <v>2625</v>
      </c>
      <c r="I30" s="13" t="inlineStr">
        <is>
          <t>SATIS</t>
        </is>
      </c>
      <c r="J30" s="13" t="inlineStr">
        <is>
          <t>2026-08</t>
        </is>
      </c>
      <c r="K30" s="13" t="inlineStr">
        <is>
          <t>Acik</t>
        </is>
      </c>
      <c r="L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13" t="inlineStr">
        <is>
          <t>1000000026</t>
        </is>
      </c>
      <c r="E31" s="13" t="inlineStr">
        <is>
          <t>Ornek Firma 26 Ltd.</t>
        </is>
      </c>
      <c r="F31" s="69" t="n">
        <v>2235</v>
      </c>
      <c r="G31" s="69" t="n">
        <v>447</v>
      </c>
      <c r="H31" s="69" t="n">
        <v>2682</v>
      </c>
      <c r="I31" s="13" t="inlineStr">
        <is>
          <t>IADE</t>
        </is>
      </c>
      <c r="J31" s="13" t="inlineStr">
        <is>
          <t>2026-08</t>
        </is>
      </c>
      <c r="K31" s="13" t="inlineStr">
        <is>
          <t>Acik</t>
        </is>
      </c>
      <c r="L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13" t="inlineStr">
        <is>
          <t>1000000027</t>
        </is>
      </c>
      <c r="E32" s="13" t="inlineStr">
        <is>
          <t>Ornek Firma 27 Ltd.</t>
        </is>
      </c>
      <c r="F32" s="69" t="n">
        <v>2282.5</v>
      </c>
      <c r="G32" s="69" t="n">
        <v>456.5</v>
      </c>
      <c r="H32" s="69" t="n">
        <v>2739</v>
      </c>
      <c r="I32" s="13" t="inlineStr">
        <is>
          <t>ISTISNA</t>
        </is>
      </c>
      <c r="J32" s="13" t="inlineStr">
        <is>
          <t>2026-08</t>
        </is>
      </c>
      <c r="K32" s="13" t="inlineStr">
        <is>
          <t>Acik</t>
        </is>
      </c>
      <c r="L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13" t="inlineStr">
        <is>
          <t>1000000028</t>
        </is>
      </c>
      <c r="E33" s="13" t="inlineStr">
        <is>
          <t>Ornek Firma 28 Ltd.</t>
        </is>
      </c>
      <c r="F33" s="69" t="n">
        <v>2330</v>
      </c>
      <c r="G33" s="69" t="n">
        <v>466</v>
      </c>
      <c r="H33" s="69" t="n">
        <v>2796</v>
      </c>
      <c r="I33" s="13" t="inlineStr">
        <is>
          <t>TEVKIFAT</t>
        </is>
      </c>
      <c r="J33" s="13" t="inlineStr">
        <is>
          <t>2026-08</t>
        </is>
      </c>
      <c r="K33" s="13" t="inlineStr">
        <is>
          <t>Acik</t>
        </is>
      </c>
      <c r="L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13" t="inlineStr">
        <is>
          <t>1000000029</t>
        </is>
      </c>
      <c r="E34" s="13" t="inlineStr">
        <is>
          <t>Ornek Firma 29 Ltd.</t>
        </is>
      </c>
      <c r="F34" s="69" t="n">
        <v>2377.5</v>
      </c>
      <c r="G34" s="69" t="n">
        <v>475.5</v>
      </c>
      <c r="H34" s="69" t="n">
        <v>2853</v>
      </c>
      <c r="I34" s="13" t="inlineStr">
        <is>
          <t>DIGER</t>
        </is>
      </c>
      <c r="J34" s="13" t="inlineStr">
        <is>
          <t>2026-08</t>
        </is>
      </c>
      <c r="K34" s="13" t="inlineStr">
        <is>
          <t>Acik</t>
        </is>
      </c>
      <c r="L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13" t="inlineStr">
        <is>
          <t>1000000030</t>
        </is>
      </c>
      <c r="E35" s="13" t="inlineStr">
        <is>
          <t>Ornek Firma 30 Ltd.</t>
        </is>
      </c>
      <c r="F35" s="69" t="n">
        <v>2425</v>
      </c>
      <c r="G35" s="69" t="n">
        <v>485</v>
      </c>
      <c r="H35" s="69" t="n">
        <v>2910</v>
      </c>
      <c r="I35" s="13" t="inlineStr">
        <is>
          <t>SATIS</t>
        </is>
      </c>
      <c r="J35" s="13" t="inlineStr">
        <is>
          <t>2026-08</t>
        </is>
      </c>
      <c r="K35" s="13" t="inlineStr">
        <is>
          <t>Acik</t>
        </is>
      </c>
      <c r="L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13" t="inlineStr">
        <is>
          <t>1000000031</t>
        </is>
      </c>
      <c r="E36" s="13" t="inlineStr">
        <is>
          <t>Ornek Firma 31 Ltd.</t>
        </is>
      </c>
      <c r="F36" s="69" t="n">
        <v>2472.5</v>
      </c>
      <c r="G36" s="69" t="n">
        <v>494.5</v>
      </c>
      <c r="H36" s="69" t="n">
        <v>2967</v>
      </c>
      <c r="I36" s="13" t="inlineStr">
        <is>
          <t>IADE</t>
        </is>
      </c>
      <c r="J36" s="13" t="inlineStr">
        <is>
          <t>2026-08</t>
        </is>
      </c>
      <c r="K36" s="13" t="inlineStr">
        <is>
          <t>Acik</t>
        </is>
      </c>
      <c r="L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13" t="inlineStr">
        <is>
          <t>1000000032</t>
        </is>
      </c>
      <c r="E37" s="13" t="inlineStr">
        <is>
          <t>Ornek Firma 32 Ltd.</t>
        </is>
      </c>
      <c r="F37" s="69" t="n">
        <v>2520</v>
      </c>
      <c r="G37" s="69" t="n">
        <v>504</v>
      </c>
      <c r="H37" s="69" t="n">
        <v>3024</v>
      </c>
      <c r="I37" s="13" t="inlineStr">
        <is>
          <t>ISTISNA</t>
        </is>
      </c>
      <c r="J37" s="13" t="inlineStr">
        <is>
          <t>2026-08</t>
        </is>
      </c>
      <c r="K37" s="13" t="inlineStr">
        <is>
          <t>Acik</t>
        </is>
      </c>
      <c r="L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13" t="inlineStr">
        <is>
          <t>1000000033</t>
        </is>
      </c>
      <c r="E38" s="13" t="inlineStr">
        <is>
          <t>Ornek Firma 33 Ltd.</t>
        </is>
      </c>
      <c r="F38" s="69" t="n">
        <v>2567.5</v>
      </c>
      <c r="G38" s="69" t="n">
        <v>513.5</v>
      </c>
      <c r="H38" s="69" t="n">
        <v>3081</v>
      </c>
      <c r="I38" s="13" t="inlineStr">
        <is>
          <t>TEVKIFAT</t>
        </is>
      </c>
      <c r="J38" s="13" t="inlineStr">
        <is>
          <t>2026-08</t>
        </is>
      </c>
      <c r="K38" s="13" t="inlineStr">
        <is>
          <t>Acik</t>
        </is>
      </c>
      <c r="L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13" t="inlineStr">
        <is>
          <t>1000000034</t>
        </is>
      </c>
      <c r="E39" s="13" t="inlineStr">
        <is>
          <t>Ornek Firma 34 Ltd.</t>
        </is>
      </c>
      <c r="F39" s="69" t="n">
        <v>2615</v>
      </c>
      <c r="G39" s="69" t="n">
        <v>523</v>
      </c>
      <c r="H39" s="69" t="n">
        <v>3138</v>
      </c>
      <c r="I39" s="13" t="inlineStr">
        <is>
          <t>DIGER</t>
        </is>
      </c>
      <c r="J39" s="13" t="inlineStr">
        <is>
          <t>2026-08</t>
        </is>
      </c>
      <c r="K39" s="13" t="inlineStr">
        <is>
          <t>Acik</t>
        </is>
      </c>
      <c r="L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13" t="inlineStr">
        <is>
          <t>1000000035</t>
        </is>
      </c>
      <c r="E40" s="13" t="inlineStr">
        <is>
          <t>Ornek Firma 35 Ltd.</t>
        </is>
      </c>
      <c r="F40" s="69" t="n">
        <v>2662.5</v>
      </c>
      <c r="G40" s="69" t="n">
        <v>532.5</v>
      </c>
      <c r="H40" s="69" t="n">
        <v>3195</v>
      </c>
      <c r="I40" s="13" t="inlineStr">
        <is>
          <t>SATIS</t>
        </is>
      </c>
      <c r="J40" s="13" t="inlineStr">
        <is>
          <t>2026-08</t>
        </is>
      </c>
      <c r="K40" s="13" t="inlineStr">
        <is>
          <t>Acik</t>
        </is>
      </c>
      <c r="L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13" t="inlineStr">
        <is>
          <t>1000000036</t>
        </is>
      </c>
      <c r="E41" s="13" t="inlineStr">
        <is>
          <t>Ornek Firma 36 Ltd.</t>
        </is>
      </c>
      <c r="F41" s="69" t="n">
        <v>2710</v>
      </c>
      <c r="G41" s="69" t="n">
        <v>542</v>
      </c>
      <c r="H41" s="69" t="n">
        <v>3252</v>
      </c>
      <c r="I41" s="13" t="inlineStr">
        <is>
          <t>IADE</t>
        </is>
      </c>
      <c r="J41" s="13" t="inlineStr">
        <is>
          <t>2026-08</t>
        </is>
      </c>
      <c r="K41" s="13" t="inlineStr">
        <is>
          <t>Acik</t>
        </is>
      </c>
      <c r="L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13" t="inlineStr">
        <is>
          <t>1000000037</t>
        </is>
      </c>
      <c r="E42" s="13" t="inlineStr">
        <is>
          <t>Ornek Firma 37 Ltd.</t>
        </is>
      </c>
      <c r="F42" s="69" t="n">
        <v>2757.5</v>
      </c>
      <c r="G42" s="69" t="n">
        <v>551.5</v>
      </c>
      <c r="H42" s="69" t="n">
        <v>3309</v>
      </c>
      <c r="I42" s="13" t="inlineStr">
        <is>
          <t>ISTISNA</t>
        </is>
      </c>
      <c r="J42" s="13" t="inlineStr">
        <is>
          <t>2026-08</t>
        </is>
      </c>
      <c r="K42" s="13" t="inlineStr">
        <is>
          <t>Acik</t>
        </is>
      </c>
      <c r="L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13" t="inlineStr">
        <is>
          <t>1000000038</t>
        </is>
      </c>
      <c r="E43" s="13" t="inlineStr">
        <is>
          <t>Ornek Firma 38 Ltd.</t>
        </is>
      </c>
      <c r="F43" s="69" t="n">
        <v>2805</v>
      </c>
      <c r="G43" s="69" t="n">
        <v>561</v>
      </c>
      <c r="H43" s="69" t="n">
        <v>3366</v>
      </c>
      <c r="I43" s="13" t="inlineStr">
        <is>
          <t>TEVKIFAT</t>
        </is>
      </c>
      <c r="J43" s="13" t="inlineStr">
        <is>
          <t>2026-08</t>
        </is>
      </c>
      <c r="K43" s="13" t="inlineStr">
        <is>
          <t>Acik</t>
        </is>
      </c>
      <c r="L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13" t="inlineStr">
        <is>
          <t>1000000039</t>
        </is>
      </c>
      <c r="E44" s="13" t="inlineStr">
        <is>
          <t>Ornek Firma 39 Ltd.</t>
        </is>
      </c>
      <c r="F44" s="69" t="n">
        <v>2852.5</v>
      </c>
      <c r="G44" s="69" t="n">
        <v>570.5</v>
      </c>
      <c r="H44" s="69" t="n">
        <v>3423</v>
      </c>
      <c r="I44" s="13" t="inlineStr">
        <is>
          <t>DIGER</t>
        </is>
      </c>
      <c r="J44" s="13" t="inlineStr">
        <is>
          <t>2026-08</t>
        </is>
      </c>
      <c r="K44" s="13" t="inlineStr">
        <is>
          <t>Acik</t>
        </is>
      </c>
      <c r="L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13" t="inlineStr">
        <is>
          <t>1000000040</t>
        </is>
      </c>
      <c r="E45" s="13" t="inlineStr">
        <is>
          <t>Ornek Firma 40 Ltd.</t>
        </is>
      </c>
      <c r="F45" s="69" t="n">
        <v>2900</v>
      </c>
      <c r="G45" s="69" t="n">
        <v>580</v>
      </c>
      <c r="H45" s="69" t="n">
        <v>3480</v>
      </c>
      <c r="I45" s="13" t="inlineStr">
        <is>
          <t>SATIS</t>
        </is>
      </c>
      <c r="J45" s="13" t="inlineStr">
        <is>
          <t>2026-08</t>
        </is>
      </c>
      <c r="K45" s="13" t="inlineStr">
        <is>
          <t>Acik</t>
        </is>
      </c>
      <c r="L45" s="16">
        <f>IF($A45="","",1)</f>
        <v/>
      </c>
    </row>
    <row r="46">
      <c r="A46" s="13" t="n"/>
      <c r="B46" s="13" t="n"/>
      <c r="C46" s="68" t="n"/>
      <c r="D46" s="13" t="n"/>
      <c r="E46" s="13" t="n"/>
      <c r="F46" s="69" t="n"/>
      <c r="G46" s="69" t="n"/>
      <c r="H46" s="69" t="n"/>
      <c r="I46" s="13" t="n"/>
      <c r="J46" s="13" t="n"/>
      <c r="K46" s="13" t="n"/>
      <c r="L46" s="16">
        <f>IF($A46="","",1)</f>
        <v/>
      </c>
    </row>
    <row r="47">
      <c r="A47" s="13" t="n"/>
      <c r="B47" s="13" t="n"/>
      <c r="C47" s="68" t="n"/>
      <c r="D47" s="13" t="n"/>
      <c r="E47" s="13" t="n"/>
      <c r="F47" s="69" t="n"/>
      <c r="G47" s="69" t="n"/>
      <c r="H47" s="69" t="n"/>
      <c r="I47" s="13" t="n"/>
      <c r="J47" s="13" t="n"/>
      <c r="K47" s="13" t="n"/>
      <c r="L47" s="16">
        <f>IF($A47="","",1)</f>
        <v/>
      </c>
    </row>
    <row r="48">
      <c r="A48" s="13" t="n"/>
      <c r="B48" s="13" t="n"/>
      <c r="C48" s="68" t="n"/>
      <c r="D48" s="13" t="n"/>
      <c r="E48" s="13" t="n"/>
      <c r="F48" s="69" t="n"/>
      <c r="G48" s="69" t="n"/>
      <c r="H48" s="69" t="n"/>
      <c r="I48" s="13" t="n"/>
      <c r="J48" s="13" t="n"/>
      <c r="K48" s="13" t="n"/>
      <c r="L48" s="16">
        <f>IF($A48="","",1)</f>
        <v/>
      </c>
    </row>
    <row r="49">
      <c r="A49" s="13" t="n"/>
      <c r="B49" s="13" t="n"/>
      <c r="C49" s="68" t="n"/>
      <c r="D49" s="13" t="n"/>
      <c r="E49" s="13" t="n"/>
      <c r="F49" s="69" t="n"/>
      <c r="G49" s="69" t="n"/>
      <c r="H49" s="69" t="n"/>
      <c r="I49" s="13" t="n"/>
      <c r="J49" s="13" t="n"/>
      <c r="K49" s="13" t="n"/>
      <c r="L49" s="16">
        <f>IF($A49="","",1)</f>
        <v/>
      </c>
    </row>
    <row r="50">
      <c r="A50" s="13" t="n"/>
      <c r="B50" s="13" t="n"/>
      <c r="C50" s="68" t="n"/>
      <c r="D50" s="13" t="n"/>
      <c r="E50" s="13" t="n"/>
      <c r="F50" s="69" t="n"/>
      <c r="G50" s="69" t="n"/>
      <c r="H50" s="69" t="n"/>
      <c r="I50" s="13" t="n"/>
      <c r="J50" s="13" t="n"/>
      <c r="K50" s="13" t="n"/>
      <c r="L50" s="16">
        <f>IF($A50="","",1)</f>
        <v/>
      </c>
    </row>
    <row r="51">
      <c r="A51" s="13" t="n"/>
      <c r="B51" s="13" t="n"/>
      <c r="C51" s="68" t="n"/>
      <c r="D51" s="13" t="n"/>
      <c r="E51" s="13" t="n"/>
      <c r="F51" s="69" t="n"/>
      <c r="G51" s="69" t="n"/>
      <c r="H51" s="69" t="n"/>
      <c r="I51" s="13" t="n"/>
      <c r="J51" s="13" t="n"/>
      <c r="K51" s="13" t="n"/>
      <c r="L51" s="16">
        <f>IF($A51="","",1)</f>
        <v/>
      </c>
    </row>
    <row r="52">
      <c r="A52" s="13" t="n"/>
      <c r="B52" s="13" t="n"/>
      <c r="C52" s="68" t="n"/>
      <c r="D52" s="13" t="n"/>
      <c r="E52" s="13" t="n"/>
      <c r="F52" s="69" t="n"/>
      <c r="G52" s="69" t="n"/>
      <c r="H52" s="69" t="n"/>
      <c r="I52" s="13" t="n"/>
      <c r="J52" s="13" t="n"/>
      <c r="K52" s="13" t="n"/>
      <c r="L52" s="16">
        <f>IF($A52="","",1)</f>
        <v/>
      </c>
    </row>
    <row r="53">
      <c r="A53" s="13" t="n"/>
      <c r="B53" s="13" t="n"/>
      <c r="C53" s="68" t="n"/>
      <c r="D53" s="13" t="n"/>
      <c r="E53" s="13" t="n"/>
      <c r="F53" s="69" t="n"/>
      <c r="G53" s="69" t="n"/>
      <c r="H53" s="69" t="n"/>
      <c r="I53" s="13" t="n"/>
      <c r="J53" s="13" t="n"/>
      <c r="K53" s="13" t="n"/>
      <c r="L53" s="16">
        <f>IF($A53="","",1)</f>
        <v/>
      </c>
    </row>
    <row r="54">
      <c r="A54" s="13" t="n"/>
      <c r="B54" s="13" t="n"/>
      <c r="C54" s="68" t="n"/>
      <c r="D54" s="13" t="n"/>
      <c r="E54" s="13" t="n"/>
      <c r="F54" s="69" t="n"/>
      <c r="G54" s="69" t="n"/>
      <c r="H54" s="69" t="n"/>
      <c r="I54" s="13" t="n"/>
      <c r="J54" s="13" t="n"/>
      <c r="K54" s="13" t="n"/>
      <c r="L54" s="16">
        <f>IF($A54="","",1)</f>
        <v/>
      </c>
    </row>
    <row r="55">
      <c r="A55" s="13" t="n"/>
      <c r="B55" s="13" t="n"/>
      <c r="C55" s="68" t="n"/>
      <c r="D55" s="13" t="n"/>
      <c r="E55" s="13" t="n"/>
      <c r="F55" s="69" t="n"/>
      <c r="G55" s="69" t="n"/>
      <c r="H55" s="69" t="n"/>
      <c r="I55" s="13" t="n"/>
      <c r="J55" s="13" t="n"/>
      <c r="K55" s="13" t="n"/>
      <c r="L55" s="16">
        <f>IF($A55="","",1)</f>
        <v/>
      </c>
    </row>
    <row r="56">
      <c r="A56" s="13" t="n"/>
      <c r="B56" s="13" t="n"/>
      <c r="C56" s="68" t="n"/>
      <c r="D56" s="13" t="n"/>
      <c r="E56" s="13" t="n"/>
      <c r="F56" s="69" t="n"/>
      <c r="G56" s="69" t="n"/>
      <c r="H56" s="69" t="n"/>
      <c r="I56" s="13" t="n"/>
      <c r="J56" s="13" t="n"/>
      <c r="K56" s="13" t="n"/>
      <c r="L56" s="16">
        <f>IF($A56="","",1)</f>
        <v/>
      </c>
    </row>
    <row r="57">
      <c r="A57" s="13" t="n"/>
      <c r="B57" s="13" t="n"/>
      <c r="C57" s="68" t="n"/>
      <c r="D57" s="13" t="n"/>
      <c r="E57" s="13" t="n"/>
      <c r="F57" s="69" t="n"/>
      <c r="G57" s="69" t="n"/>
      <c r="H57" s="69" t="n"/>
      <c r="I57" s="13" t="n"/>
      <c r="J57" s="13" t="n"/>
      <c r="K57" s="13" t="n"/>
      <c r="L57" s="16">
        <f>IF($A57="","",1)</f>
        <v/>
      </c>
    </row>
    <row r="58">
      <c r="A58" s="13" t="n"/>
      <c r="B58" s="13" t="n"/>
      <c r="C58" s="68" t="n"/>
      <c r="D58" s="13" t="n"/>
      <c r="E58" s="13" t="n"/>
      <c r="F58" s="69" t="n"/>
      <c r="G58" s="69" t="n"/>
      <c r="H58" s="69" t="n"/>
      <c r="I58" s="13" t="n"/>
      <c r="J58" s="13" t="n"/>
      <c r="K58" s="13" t="n"/>
      <c r="L58" s="16">
        <f>IF($A58="","",1)</f>
        <v/>
      </c>
    </row>
    <row r="59">
      <c r="A59" s="13" t="n"/>
      <c r="B59" s="13" t="n"/>
      <c r="C59" s="68" t="n"/>
      <c r="D59" s="13" t="n"/>
      <c r="E59" s="13" t="n"/>
      <c r="F59" s="69" t="n"/>
      <c r="G59" s="69" t="n"/>
      <c r="H59" s="69" t="n"/>
      <c r="I59" s="13" t="n"/>
      <c r="J59" s="13" t="n"/>
      <c r="K59" s="13" t="n"/>
      <c r="L59" s="16">
        <f>IF($A59="","",1)</f>
        <v/>
      </c>
    </row>
    <row r="60">
      <c r="A60" s="13" t="n"/>
      <c r="B60" s="13" t="n"/>
      <c r="C60" s="68" t="n"/>
      <c r="D60" s="13" t="n"/>
      <c r="E60" s="13" t="n"/>
      <c r="F60" s="69" t="n"/>
      <c r="G60" s="69" t="n"/>
      <c r="H60" s="69" t="n"/>
      <c r="I60" s="13" t="n"/>
      <c r="J60" s="13" t="n"/>
      <c r="K60" s="13" t="n"/>
      <c r="L60" s="16">
        <f>IF($A60="","",1)</f>
        <v/>
      </c>
    </row>
    <row r="61">
      <c r="A61" s="13" t="n"/>
      <c r="B61" s="13" t="n"/>
      <c r="C61" s="68" t="n"/>
      <c r="D61" s="13" t="n"/>
      <c r="E61" s="13" t="n"/>
      <c r="F61" s="69" t="n"/>
      <c r="G61" s="69" t="n"/>
      <c r="H61" s="69" t="n"/>
      <c r="I61" s="13" t="n"/>
      <c r="J61" s="13" t="n"/>
      <c r="K61" s="13" t="n"/>
      <c r="L61" s="16">
        <f>IF($A61="","",1)</f>
        <v/>
      </c>
    </row>
    <row r="62">
      <c r="A62" s="13" t="n"/>
      <c r="B62" s="13" t="n"/>
      <c r="C62" s="68" t="n"/>
      <c r="D62" s="13" t="n"/>
      <c r="E62" s="13" t="n"/>
      <c r="F62" s="69" t="n"/>
      <c r="G62" s="69" t="n"/>
      <c r="H62" s="69" t="n"/>
      <c r="I62" s="13" t="n"/>
      <c r="J62" s="13" t="n"/>
      <c r="K62" s="13" t="n"/>
      <c r="L62" s="16">
        <f>IF($A62="","",1)</f>
        <v/>
      </c>
    </row>
    <row r="63">
      <c r="A63" s="13" t="n"/>
      <c r="B63" s="13" t="n"/>
      <c r="C63" s="68" t="n"/>
      <c r="D63" s="13" t="n"/>
      <c r="E63" s="13" t="n"/>
      <c r="F63" s="69" t="n"/>
      <c r="G63" s="69" t="n"/>
      <c r="H63" s="69" t="n"/>
      <c r="I63" s="13" t="n"/>
      <c r="J63" s="13" t="n"/>
      <c r="K63" s="13" t="n"/>
      <c r="L63" s="16">
        <f>IF($A63="","",1)</f>
        <v/>
      </c>
    </row>
    <row r="64">
      <c r="A64" s="13" t="n"/>
      <c r="B64" s="13" t="n"/>
      <c r="C64" s="68" t="n"/>
      <c r="D64" s="13" t="n"/>
      <c r="E64" s="13" t="n"/>
      <c r="F64" s="69" t="n"/>
      <c r="G64" s="69" t="n"/>
      <c r="H64" s="69" t="n"/>
      <c r="I64" s="13" t="n"/>
      <c r="J64" s="13" t="n"/>
      <c r="K64" s="13" t="n"/>
      <c r="L64" s="16">
        <f>IF($A64="","",1)</f>
        <v/>
      </c>
    </row>
    <row r="65">
      <c r="A65" s="13" t="n"/>
      <c r="B65" s="13" t="n"/>
      <c r="C65" s="68" t="n"/>
      <c r="D65" s="13" t="n"/>
      <c r="E65" s="13" t="n"/>
      <c r="F65" s="69" t="n"/>
      <c r="G65" s="69" t="n"/>
      <c r="H65" s="69" t="n"/>
      <c r="I65" s="13" t="n"/>
      <c r="J65" s="13" t="n"/>
      <c r="K65" s="13" t="n"/>
      <c r="L65" s="16">
        <f>IF($A65="","",1)</f>
        <v/>
      </c>
    </row>
    <row r="66">
      <c r="A66" s="13" t="n"/>
      <c r="B66" s="13" t="n"/>
      <c r="C66" s="68" t="n"/>
      <c r="D66" s="13" t="n"/>
      <c r="E66" s="13" t="n"/>
      <c r="F66" s="69" t="n"/>
      <c r="G66" s="69" t="n"/>
      <c r="H66" s="69" t="n"/>
      <c r="I66" s="13" t="n"/>
      <c r="J66" s="13" t="n"/>
      <c r="K66" s="13" t="n"/>
      <c r="L66" s="16">
        <f>IF($A66="","",1)</f>
        <v/>
      </c>
    </row>
    <row r="67">
      <c r="A67" s="13" t="n"/>
      <c r="B67" s="13" t="n"/>
      <c r="C67" s="68" t="n"/>
      <c r="D67" s="13" t="n"/>
      <c r="E67" s="13" t="n"/>
      <c r="F67" s="69" t="n"/>
      <c r="G67" s="69" t="n"/>
      <c r="H67" s="69" t="n"/>
      <c r="I67" s="13" t="n"/>
      <c r="J67" s="13" t="n"/>
      <c r="K67" s="13" t="n"/>
      <c r="L67" s="16">
        <f>IF($A67="","",1)</f>
        <v/>
      </c>
    </row>
    <row r="68">
      <c r="A68" s="13" t="n"/>
      <c r="B68" s="13" t="n"/>
      <c r="C68" s="68" t="n"/>
      <c r="D68" s="13" t="n"/>
      <c r="E68" s="13" t="n"/>
      <c r="F68" s="69" t="n"/>
      <c r="G68" s="69" t="n"/>
      <c r="H68" s="69" t="n"/>
      <c r="I68" s="13" t="n"/>
      <c r="J68" s="13" t="n"/>
      <c r="K68" s="13" t="n"/>
      <c r="L68" s="16">
        <f>IF($A68="","",1)</f>
        <v/>
      </c>
    </row>
    <row r="69">
      <c r="A69" s="13" t="n"/>
      <c r="B69" s="13" t="n"/>
      <c r="C69" s="68" t="n"/>
      <c r="D69" s="13" t="n"/>
      <c r="E69" s="13" t="n"/>
      <c r="F69" s="69" t="n"/>
      <c r="G69" s="69" t="n"/>
      <c r="H69" s="69" t="n"/>
      <c r="I69" s="13" t="n"/>
      <c r="J69" s="13" t="n"/>
      <c r="K69" s="13" t="n"/>
      <c r="L69" s="16">
        <f>IF($A69="","",1)</f>
        <v/>
      </c>
    </row>
    <row r="70">
      <c r="A70" s="13" t="n"/>
      <c r="B70" s="13" t="n"/>
      <c r="C70" s="68" t="n"/>
      <c r="D70" s="13" t="n"/>
      <c r="E70" s="13" t="n"/>
      <c r="F70" s="69" t="n"/>
      <c r="G70" s="69" t="n"/>
      <c r="H70" s="69" t="n"/>
      <c r="I70" s="13" t="n"/>
      <c r="J70" s="13" t="n"/>
      <c r="K70" s="13" t="n"/>
      <c r="L70" s="16">
        <f>IF($A70="","",1)</f>
        <v/>
      </c>
    </row>
    <row r="71">
      <c r="A71" s="13" t="n"/>
      <c r="B71" s="13" t="n"/>
      <c r="C71" s="68" t="n"/>
      <c r="D71" s="13" t="n"/>
      <c r="E71" s="13" t="n"/>
      <c r="F71" s="69" t="n"/>
      <c r="G71" s="69" t="n"/>
      <c r="H71" s="69" t="n"/>
      <c r="I71" s="13" t="n"/>
      <c r="J71" s="13" t="n"/>
      <c r="K71" s="13" t="n"/>
      <c r="L71" s="16">
        <f>IF($A71="","",1)</f>
        <v/>
      </c>
    </row>
    <row r="72">
      <c r="A72" s="13" t="n"/>
      <c r="B72" s="13" t="n"/>
      <c r="C72" s="68" t="n"/>
      <c r="D72" s="13" t="n"/>
      <c r="E72" s="13" t="n"/>
      <c r="F72" s="69" t="n"/>
      <c r="G72" s="69" t="n"/>
      <c r="H72" s="69" t="n"/>
      <c r="I72" s="13" t="n"/>
      <c r="J72" s="13" t="n"/>
      <c r="K72" s="13" t="n"/>
      <c r="L72" s="16">
        <f>IF($A72="","",1)</f>
        <v/>
      </c>
    </row>
    <row r="73">
      <c r="A73" s="13" t="n"/>
      <c r="B73" s="13" t="n"/>
      <c r="C73" s="68" t="n"/>
      <c r="D73" s="13" t="n"/>
      <c r="E73" s="13" t="n"/>
      <c r="F73" s="69" t="n"/>
      <c r="G73" s="69" t="n"/>
      <c r="H73" s="69" t="n"/>
      <c r="I73" s="13" t="n"/>
      <c r="J73" s="13" t="n"/>
      <c r="K73" s="13" t="n"/>
      <c r="L73" s="16">
        <f>IF($A73="","",1)</f>
        <v/>
      </c>
    </row>
    <row r="74">
      <c r="A74" s="13" t="n"/>
      <c r="B74" s="13" t="n"/>
      <c r="C74" s="68" t="n"/>
      <c r="D74" s="13" t="n"/>
      <c r="E74" s="13" t="n"/>
      <c r="F74" s="69" t="n"/>
      <c r="G74" s="69" t="n"/>
      <c r="H74" s="69" t="n"/>
      <c r="I74" s="13" t="n"/>
      <c r="J74" s="13" t="n"/>
      <c r="K74" s="13" t="n"/>
      <c r="L74" s="16">
        <f>IF($A74="","",1)</f>
        <v/>
      </c>
    </row>
    <row r="75">
      <c r="A75" s="13" t="n"/>
      <c r="B75" s="13" t="n"/>
      <c r="C75" s="68" t="n"/>
      <c r="D75" s="13" t="n"/>
      <c r="E75" s="13" t="n"/>
      <c r="F75" s="69" t="n"/>
      <c r="G75" s="69" t="n"/>
      <c r="H75" s="69" t="n"/>
      <c r="I75" s="13" t="n"/>
      <c r="J75" s="13" t="n"/>
      <c r="K75" s="13" t="n"/>
      <c r="L75" s="16">
        <f>IF($A75="","",1)</f>
        <v/>
      </c>
    </row>
    <row r="76">
      <c r="A76" s="13" t="n"/>
      <c r="B76" s="13" t="n"/>
      <c r="C76" s="68" t="n"/>
      <c r="D76" s="13" t="n"/>
      <c r="E76" s="13" t="n"/>
      <c r="F76" s="69" t="n"/>
      <c r="G76" s="69" t="n"/>
      <c r="H76" s="69" t="n"/>
      <c r="I76" s="13" t="n"/>
      <c r="J76" s="13" t="n"/>
      <c r="K76" s="13" t="n"/>
      <c r="L76" s="16">
        <f>IF($A76="","",1)</f>
        <v/>
      </c>
    </row>
    <row r="77">
      <c r="A77" s="13" t="n"/>
      <c r="B77" s="13" t="n"/>
      <c r="C77" s="68" t="n"/>
      <c r="D77" s="13" t="n"/>
      <c r="E77" s="13" t="n"/>
      <c r="F77" s="69" t="n"/>
      <c r="G77" s="69" t="n"/>
      <c r="H77" s="69" t="n"/>
      <c r="I77" s="13" t="n"/>
      <c r="J77" s="13" t="n"/>
      <c r="K77" s="13" t="n"/>
      <c r="L77" s="16">
        <f>IF($A77="","",1)</f>
        <v/>
      </c>
    </row>
    <row r="78">
      <c r="A78" s="13" t="n"/>
      <c r="B78" s="13" t="n"/>
      <c r="C78" s="68" t="n"/>
      <c r="D78" s="13" t="n"/>
      <c r="E78" s="13" t="n"/>
      <c r="F78" s="69" t="n"/>
      <c r="G78" s="69" t="n"/>
      <c r="H78" s="69" t="n"/>
      <c r="I78" s="13" t="n"/>
      <c r="J78" s="13" t="n"/>
      <c r="K78" s="13" t="n"/>
      <c r="L78" s="16">
        <f>IF($A78="","",1)</f>
        <v/>
      </c>
    </row>
    <row r="79">
      <c r="A79" s="13" t="n"/>
      <c r="B79" s="13" t="n"/>
      <c r="C79" s="68" t="n"/>
      <c r="D79" s="13" t="n"/>
      <c r="E79" s="13" t="n"/>
      <c r="F79" s="69" t="n"/>
      <c r="G79" s="69" t="n"/>
      <c r="H79" s="69" t="n"/>
      <c r="I79" s="13" t="n"/>
      <c r="J79" s="13" t="n"/>
      <c r="K79" s="13" t="n"/>
      <c r="L79" s="16">
        <f>IF($A79="","",1)</f>
        <v/>
      </c>
    </row>
    <row r="80">
      <c r="A80" s="13" t="n"/>
      <c r="B80" s="13" t="n"/>
      <c r="C80" s="68" t="n"/>
      <c r="D80" s="13" t="n"/>
      <c r="E80" s="13" t="n"/>
      <c r="F80" s="69" t="n"/>
      <c r="G80" s="69" t="n"/>
      <c r="H80" s="69" t="n"/>
      <c r="I80" s="13" t="n"/>
      <c r="J80" s="13" t="n"/>
      <c r="K80" s="13" t="n"/>
      <c r="L80" s="16">
        <f>IF($A80="","",1)</f>
        <v/>
      </c>
    </row>
    <row r="81">
      <c r="A81" s="13" t="n"/>
      <c r="B81" s="13" t="n"/>
      <c r="C81" s="68" t="n"/>
      <c r="D81" s="13" t="n"/>
      <c r="E81" s="13" t="n"/>
      <c r="F81" s="69" t="n"/>
      <c r="G81" s="69" t="n"/>
      <c r="H81" s="69" t="n"/>
      <c r="I81" s="13" t="n"/>
      <c r="J81" s="13" t="n"/>
      <c r="K81" s="13" t="n"/>
      <c r="L81" s="16">
        <f>IF($A81="","",1)</f>
        <v/>
      </c>
    </row>
    <row r="82">
      <c r="A82" s="13" t="n"/>
      <c r="B82" s="13" t="n"/>
      <c r="C82" s="68" t="n"/>
      <c r="D82" s="13" t="n"/>
      <c r="E82" s="13" t="n"/>
      <c r="F82" s="69" t="n"/>
      <c r="G82" s="69" t="n"/>
      <c r="H82" s="69" t="n"/>
      <c r="I82" s="13" t="n"/>
      <c r="J82" s="13" t="n"/>
      <c r="K82" s="13" t="n"/>
      <c r="L82" s="16">
        <f>IF($A82="","",1)</f>
        <v/>
      </c>
    </row>
    <row r="83">
      <c r="A83" s="13" t="n"/>
      <c r="B83" s="13" t="n"/>
      <c r="C83" s="68" t="n"/>
      <c r="D83" s="13" t="n"/>
      <c r="E83" s="13" t="n"/>
      <c r="F83" s="69" t="n"/>
      <c r="G83" s="69" t="n"/>
      <c r="H83" s="69" t="n"/>
      <c r="I83" s="13" t="n"/>
      <c r="J83" s="13" t="n"/>
      <c r="K83" s="13" t="n"/>
      <c r="L83" s="16">
        <f>IF($A83="","",1)</f>
        <v/>
      </c>
    </row>
    <row r="84">
      <c r="A84" s="13" t="n"/>
      <c r="B84" s="13" t="n"/>
      <c r="C84" s="68" t="n"/>
      <c r="D84" s="13" t="n"/>
      <c r="E84" s="13" t="n"/>
      <c r="F84" s="69" t="n"/>
      <c r="G84" s="69" t="n"/>
      <c r="H84" s="69" t="n"/>
      <c r="I84" s="13" t="n"/>
      <c r="J84" s="13" t="n"/>
      <c r="K84" s="13" t="n"/>
      <c r="L84" s="16">
        <f>IF($A84="","",1)</f>
        <v/>
      </c>
    </row>
    <row r="85">
      <c r="A85" s="13" t="n"/>
      <c r="B85" s="13" t="n"/>
      <c r="C85" s="68" t="n"/>
      <c r="D85" s="13" t="n"/>
      <c r="E85" s="13" t="n"/>
      <c r="F85" s="69" t="n"/>
      <c r="G85" s="69" t="n"/>
      <c r="H85" s="69" t="n"/>
      <c r="I85" s="13" t="n"/>
      <c r="J85" s="13" t="n"/>
      <c r="K85" s="13" t="n"/>
      <c r="L85" s="16">
        <f>IF($A85="","",1)</f>
        <v/>
      </c>
    </row>
    <row r="86">
      <c r="A86" s="13" t="n"/>
      <c r="B86" s="13" t="n"/>
      <c r="C86" s="68" t="n"/>
      <c r="D86" s="13" t="n"/>
      <c r="E86" s="13" t="n"/>
      <c r="F86" s="69" t="n"/>
      <c r="G86" s="69" t="n"/>
      <c r="H86" s="69" t="n"/>
      <c r="I86" s="13" t="n"/>
      <c r="J86" s="13" t="n"/>
      <c r="K86" s="13" t="n"/>
      <c r="L86" s="16">
        <f>IF($A86="","",1)</f>
        <v/>
      </c>
    </row>
    <row r="87">
      <c r="A87" s="13" t="n"/>
      <c r="B87" s="13" t="n"/>
      <c r="C87" s="68" t="n"/>
      <c r="D87" s="13" t="n"/>
      <c r="E87" s="13" t="n"/>
      <c r="F87" s="69" t="n"/>
      <c r="G87" s="69" t="n"/>
      <c r="H87" s="69" t="n"/>
      <c r="I87" s="13" t="n"/>
      <c r="J87" s="13" t="n"/>
      <c r="K87" s="13" t="n"/>
      <c r="L87" s="16">
        <f>IF($A87="","",1)</f>
        <v/>
      </c>
    </row>
    <row r="88">
      <c r="A88" s="13" t="n"/>
      <c r="B88" s="13" t="n"/>
      <c r="C88" s="68" t="n"/>
      <c r="D88" s="13" t="n"/>
      <c r="E88" s="13" t="n"/>
      <c r="F88" s="69" t="n"/>
      <c r="G88" s="69" t="n"/>
      <c r="H88" s="69" t="n"/>
      <c r="I88" s="13" t="n"/>
      <c r="J88" s="13" t="n"/>
      <c r="K88" s="13" t="n"/>
      <c r="L88" s="16">
        <f>IF($A88="","",1)</f>
        <v/>
      </c>
    </row>
    <row r="89">
      <c r="A89" s="13" t="n"/>
      <c r="B89" s="13" t="n"/>
      <c r="C89" s="68" t="n"/>
      <c r="D89" s="13" t="n"/>
      <c r="E89" s="13" t="n"/>
      <c r="F89" s="69" t="n"/>
      <c r="G89" s="69" t="n"/>
      <c r="H89" s="69" t="n"/>
      <c r="I89" s="13" t="n"/>
      <c r="J89" s="13" t="n"/>
      <c r="K89" s="13" t="n"/>
      <c r="L89" s="16">
        <f>IF($A89="","",1)</f>
        <v/>
      </c>
    </row>
    <row r="90">
      <c r="A90" s="13" t="n"/>
      <c r="B90" s="13" t="n"/>
      <c r="C90" s="68" t="n"/>
      <c r="D90" s="13" t="n"/>
      <c r="E90" s="13" t="n"/>
      <c r="F90" s="69" t="n"/>
      <c r="G90" s="69" t="n"/>
      <c r="H90" s="69" t="n"/>
      <c r="I90" s="13" t="n"/>
      <c r="J90" s="13" t="n"/>
      <c r="K90" s="13" t="n"/>
      <c r="L90" s="16">
        <f>IF($A90="","",1)</f>
        <v/>
      </c>
    </row>
    <row r="91">
      <c r="A91" s="13" t="n"/>
      <c r="B91" s="13" t="n"/>
      <c r="C91" s="68" t="n"/>
      <c r="D91" s="13" t="n"/>
      <c r="E91" s="13" t="n"/>
      <c r="F91" s="69" t="n"/>
      <c r="G91" s="69" t="n"/>
      <c r="H91" s="69" t="n"/>
      <c r="I91" s="13" t="n"/>
      <c r="J91" s="13" t="n"/>
      <c r="K91" s="13" t="n"/>
      <c r="L91" s="16">
        <f>IF($A91="","",1)</f>
        <v/>
      </c>
    </row>
    <row r="92">
      <c r="A92" s="13" t="n"/>
      <c r="B92" s="13" t="n"/>
      <c r="C92" s="68" t="n"/>
      <c r="D92" s="13" t="n"/>
      <c r="E92" s="13" t="n"/>
      <c r="F92" s="69" t="n"/>
      <c r="G92" s="69" t="n"/>
      <c r="H92" s="69" t="n"/>
      <c r="I92" s="13" t="n"/>
      <c r="J92" s="13" t="n"/>
      <c r="K92" s="13" t="n"/>
      <c r="L92" s="16">
        <f>IF($A92="","",1)</f>
        <v/>
      </c>
    </row>
    <row r="93">
      <c r="A93" s="13" t="n"/>
      <c r="B93" s="13" t="n"/>
      <c r="C93" s="68" t="n"/>
      <c r="D93" s="13" t="n"/>
      <c r="E93" s="13" t="n"/>
      <c r="F93" s="69" t="n"/>
      <c r="G93" s="69" t="n"/>
      <c r="H93" s="69" t="n"/>
      <c r="I93" s="13" t="n"/>
      <c r="J93" s="13" t="n"/>
      <c r="K93" s="13" t="n"/>
      <c r="L93" s="16">
        <f>IF($A93="","",1)</f>
        <v/>
      </c>
    </row>
    <row r="94">
      <c r="A94" s="13" t="n"/>
      <c r="B94" s="13" t="n"/>
      <c r="C94" s="68" t="n"/>
      <c r="D94" s="13" t="n"/>
      <c r="E94" s="13" t="n"/>
      <c r="F94" s="69" t="n"/>
      <c r="G94" s="69" t="n"/>
      <c r="H94" s="69" t="n"/>
      <c r="I94" s="13" t="n"/>
      <c r="J94" s="13" t="n"/>
      <c r="K94" s="13" t="n"/>
      <c r="L94" s="16">
        <f>IF($A94="","",1)</f>
        <v/>
      </c>
    </row>
    <row r="95">
      <c r="A95" s="13" t="n"/>
      <c r="B95" s="13" t="n"/>
      <c r="C95" s="68" t="n"/>
      <c r="D95" s="13" t="n"/>
      <c r="E95" s="13" t="n"/>
      <c r="F95" s="69" t="n"/>
      <c r="G95" s="69" t="n"/>
      <c r="H95" s="69" t="n"/>
      <c r="I95" s="13" t="n"/>
      <c r="J95" s="13" t="n"/>
      <c r="K95" s="13" t="n"/>
      <c r="L95" s="16">
        <f>IF($A95="","",1)</f>
        <v/>
      </c>
    </row>
    <row r="96">
      <c r="A96" s="13" t="n"/>
      <c r="B96" s="13" t="n"/>
      <c r="C96" s="68" t="n"/>
      <c r="D96" s="13" t="n"/>
      <c r="E96" s="13" t="n"/>
      <c r="F96" s="69" t="n"/>
      <c r="G96" s="69" t="n"/>
      <c r="H96" s="69" t="n"/>
      <c r="I96" s="13" t="n"/>
      <c r="J96" s="13" t="n"/>
      <c r="K96" s="13" t="n"/>
      <c r="L96" s="16">
        <f>IF($A96="","",1)</f>
        <v/>
      </c>
    </row>
    <row r="97">
      <c r="A97" s="13" t="n"/>
      <c r="B97" s="13" t="n"/>
      <c r="C97" s="68" t="n"/>
      <c r="D97" s="13" t="n"/>
      <c r="E97" s="13" t="n"/>
      <c r="F97" s="69" t="n"/>
      <c r="G97" s="69" t="n"/>
      <c r="H97" s="69" t="n"/>
      <c r="I97" s="13" t="n"/>
      <c r="J97" s="13" t="n"/>
      <c r="K97" s="13" t="n"/>
      <c r="L97" s="16">
        <f>IF($A97="","",1)</f>
        <v/>
      </c>
    </row>
    <row r="98">
      <c r="A98" s="13" t="n"/>
      <c r="B98" s="13" t="n"/>
      <c r="C98" s="68" t="n"/>
      <c r="D98" s="13" t="n"/>
      <c r="E98" s="13" t="n"/>
      <c r="F98" s="69" t="n"/>
      <c r="G98" s="69" t="n"/>
      <c r="H98" s="69" t="n"/>
      <c r="I98" s="13" t="n"/>
      <c r="J98" s="13" t="n"/>
      <c r="K98" s="13" t="n"/>
      <c r="L98" s="16">
        <f>IF($A98="","",1)</f>
        <v/>
      </c>
    </row>
    <row r="99">
      <c r="A99" s="13" t="n"/>
      <c r="B99" s="13" t="n"/>
      <c r="C99" s="68" t="n"/>
      <c r="D99" s="13" t="n"/>
      <c r="E99" s="13" t="n"/>
      <c r="F99" s="69" t="n"/>
      <c r="G99" s="69" t="n"/>
      <c r="H99" s="69" t="n"/>
      <c r="I99" s="13" t="n"/>
      <c r="J99" s="13" t="n"/>
      <c r="K99" s="13" t="n"/>
      <c r="L99" s="16">
        <f>IF($A99="","",1)</f>
        <v/>
      </c>
    </row>
    <row r="100">
      <c r="A100" s="13" t="n"/>
      <c r="B100" s="13" t="n"/>
      <c r="C100" s="68" t="n"/>
      <c r="D100" s="13" t="n"/>
      <c r="E100" s="13" t="n"/>
      <c r="F100" s="69" t="n"/>
      <c r="G100" s="69" t="n"/>
      <c r="H100" s="69" t="n"/>
      <c r="I100" s="13" t="n"/>
      <c r="J100" s="13" t="n"/>
      <c r="K100" s="13" t="n"/>
      <c r="L100" s="16">
        <f>IF($A100="","",1)</f>
        <v/>
      </c>
    </row>
    <row r="101">
      <c r="A101" s="13" t="n"/>
      <c r="B101" s="13" t="n"/>
      <c r="C101" s="68" t="n"/>
      <c r="D101" s="13" t="n"/>
      <c r="E101" s="13" t="n"/>
      <c r="F101" s="69" t="n"/>
      <c r="G101" s="69" t="n"/>
      <c r="H101" s="69" t="n"/>
      <c r="I101" s="13" t="n"/>
      <c r="J101" s="13" t="n"/>
      <c r="K101" s="13" t="n"/>
      <c r="L101" s="16">
        <f>IF($A101="","",1)</f>
        <v/>
      </c>
    </row>
    <row r="102">
      <c r="A102" s="13" t="n"/>
      <c r="B102" s="13" t="n"/>
      <c r="C102" s="68" t="n"/>
      <c r="D102" s="13" t="n"/>
      <c r="E102" s="13" t="n"/>
      <c r="F102" s="69" t="n"/>
      <c r="G102" s="69" t="n"/>
      <c r="H102" s="69" t="n"/>
      <c r="I102" s="13" t="n"/>
      <c r="J102" s="13" t="n"/>
      <c r="K102" s="13" t="n"/>
      <c r="L102" s="16">
        <f>IF($A102="","",1)</f>
        <v/>
      </c>
    </row>
    <row r="103">
      <c r="A103" s="13" t="n"/>
      <c r="B103" s="13" t="n"/>
      <c r="C103" s="68" t="n"/>
      <c r="D103" s="13" t="n"/>
      <c r="E103" s="13" t="n"/>
      <c r="F103" s="69" t="n"/>
      <c r="G103" s="69" t="n"/>
      <c r="H103" s="69" t="n"/>
      <c r="I103" s="13" t="n"/>
      <c r="J103" s="13" t="n"/>
      <c r="K103" s="13" t="n"/>
      <c r="L103" s="16">
        <f>IF($A103="","",1)</f>
        <v/>
      </c>
    </row>
    <row r="104">
      <c r="A104" s="13" t="n"/>
      <c r="B104" s="13" t="n"/>
      <c r="C104" s="68" t="n"/>
      <c r="D104" s="13" t="n"/>
      <c r="E104" s="13" t="n"/>
      <c r="F104" s="69" t="n"/>
      <c r="G104" s="69" t="n"/>
      <c r="H104" s="69" t="n"/>
      <c r="I104" s="13" t="n"/>
      <c r="J104" s="13" t="n"/>
      <c r="K104" s="13" t="n"/>
      <c r="L104" s="16">
        <f>IF($A104="","",1)</f>
        <v/>
      </c>
    </row>
    <row r="105">
      <c r="A105" s="13" t="n"/>
      <c r="B105" s="13" t="n"/>
      <c r="C105" s="68" t="n"/>
      <c r="D105" s="13" t="n"/>
      <c r="E105" s="13" t="n"/>
      <c r="F105" s="69" t="n"/>
      <c r="G105" s="69" t="n"/>
      <c r="H105" s="69" t="n"/>
      <c r="I105" s="13" t="n"/>
      <c r="J105" s="13" t="n"/>
      <c r="K105" s="13" t="n"/>
      <c r="L105" s="16">
        <f>IF($A105="","",1)</f>
        <v/>
      </c>
    </row>
    <row r="106">
      <c r="A106" s="13" t="n"/>
      <c r="B106" s="13" t="n"/>
      <c r="C106" s="68" t="n"/>
      <c r="D106" s="13" t="n"/>
      <c r="E106" s="13" t="n"/>
      <c r="F106" s="69" t="n"/>
      <c r="G106" s="69" t="n"/>
      <c r="H106" s="69" t="n"/>
      <c r="I106" s="13" t="n"/>
      <c r="J106" s="13" t="n"/>
      <c r="K106" s="13" t="n"/>
      <c r="L106" s="16">
        <f>IF($A106="","",1)</f>
        <v/>
      </c>
    </row>
    <row r="107">
      <c r="A107" s="13" t="n"/>
      <c r="B107" s="13" t="n"/>
      <c r="C107" s="68" t="n"/>
      <c r="D107" s="13" t="n"/>
      <c r="E107" s="13" t="n"/>
      <c r="F107" s="69" t="n"/>
      <c r="G107" s="69" t="n"/>
      <c r="H107" s="69" t="n"/>
      <c r="I107" s="13" t="n"/>
      <c r="J107" s="13" t="n"/>
      <c r="K107" s="13" t="n"/>
      <c r="L107" s="16">
        <f>IF($A107="","",1)</f>
        <v/>
      </c>
    </row>
    <row r="108">
      <c r="A108" s="13" t="n"/>
      <c r="B108" s="13" t="n"/>
      <c r="C108" s="68" t="n"/>
      <c r="D108" s="13" t="n"/>
      <c r="E108" s="13" t="n"/>
      <c r="F108" s="69" t="n"/>
      <c r="G108" s="69" t="n"/>
      <c r="H108" s="69" t="n"/>
      <c r="I108" s="13" t="n"/>
      <c r="J108" s="13" t="n"/>
      <c r="K108" s="13" t="n"/>
      <c r="L108" s="16">
        <f>IF($A108="","",1)</f>
        <v/>
      </c>
    </row>
    <row r="109">
      <c r="A109" s="13" t="n"/>
      <c r="B109" s="13" t="n"/>
      <c r="C109" s="68" t="n"/>
      <c r="D109" s="13" t="n"/>
      <c r="E109" s="13" t="n"/>
      <c r="F109" s="69" t="n"/>
      <c r="G109" s="69" t="n"/>
      <c r="H109" s="69" t="n"/>
      <c r="I109" s="13" t="n"/>
      <c r="J109" s="13" t="n"/>
      <c r="K109" s="13" t="n"/>
      <c r="L109" s="16">
        <f>IF($A109="","",1)</f>
        <v/>
      </c>
    </row>
    <row r="110">
      <c r="A110" s="13" t="n"/>
      <c r="B110" s="13" t="n"/>
      <c r="C110" s="68" t="n"/>
      <c r="D110" s="13" t="n"/>
      <c r="E110" s="13" t="n"/>
      <c r="F110" s="69" t="n"/>
      <c r="G110" s="69" t="n"/>
      <c r="H110" s="69" t="n"/>
      <c r="I110" s="13" t="n"/>
      <c r="J110" s="13" t="n"/>
      <c r="K110" s="13" t="n"/>
      <c r="L110" s="16">
        <f>IF($A110="","",1)</f>
        <v/>
      </c>
    </row>
    <row r="111">
      <c r="A111" s="13" t="n"/>
      <c r="B111" s="13" t="n"/>
      <c r="C111" s="68" t="n"/>
      <c r="D111" s="13" t="n"/>
      <c r="E111" s="13" t="n"/>
      <c r="F111" s="69" t="n"/>
      <c r="G111" s="69" t="n"/>
      <c r="H111" s="69" t="n"/>
      <c r="I111" s="13" t="n"/>
      <c r="J111" s="13" t="n"/>
      <c r="K111" s="13" t="n"/>
      <c r="L111" s="16">
        <f>IF($A111="","",1)</f>
        <v/>
      </c>
    </row>
    <row r="112">
      <c r="A112" s="13" t="n"/>
      <c r="B112" s="13" t="n"/>
      <c r="C112" s="68" t="n"/>
      <c r="D112" s="13" t="n"/>
      <c r="E112" s="13" t="n"/>
      <c r="F112" s="69" t="n"/>
      <c r="G112" s="69" t="n"/>
      <c r="H112" s="69" t="n"/>
      <c r="I112" s="13" t="n"/>
      <c r="J112" s="13" t="n"/>
      <c r="K112" s="13" t="n"/>
      <c r="L112" s="16">
        <f>IF($A112="","",1)</f>
        <v/>
      </c>
    </row>
    <row r="113">
      <c r="A113" s="13" t="n"/>
      <c r="B113" s="13" t="n"/>
      <c r="C113" s="68" t="n"/>
      <c r="D113" s="13" t="n"/>
      <c r="E113" s="13" t="n"/>
      <c r="F113" s="69" t="n"/>
      <c r="G113" s="69" t="n"/>
      <c r="H113" s="69" t="n"/>
      <c r="I113" s="13" t="n"/>
      <c r="J113" s="13" t="n"/>
      <c r="K113" s="13" t="n"/>
      <c r="L113" s="16">
        <f>IF($A113="","",1)</f>
        <v/>
      </c>
    </row>
    <row r="114">
      <c r="A114" s="13" t="n"/>
      <c r="B114" s="13" t="n"/>
      <c r="C114" s="68" t="n"/>
      <c r="D114" s="13" t="n"/>
      <c r="E114" s="13" t="n"/>
      <c r="F114" s="69" t="n"/>
      <c r="G114" s="69" t="n"/>
      <c r="H114" s="69" t="n"/>
      <c r="I114" s="13" t="n"/>
      <c r="J114" s="13" t="n"/>
      <c r="K114" s="13" t="n"/>
      <c r="L114" s="16">
        <f>IF($A114="","",1)</f>
        <v/>
      </c>
    </row>
    <row r="115">
      <c r="A115" s="13" t="n"/>
      <c r="B115" s="13" t="n"/>
      <c r="C115" s="68" t="n"/>
      <c r="D115" s="13" t="n"/>
      <c r="E115" s="13" t="n"/>
      <c r="F115" s="69" t="n"/>
      <c r="G115" s="69" t="n"/>
      <c r="H115" s="69" t="n"/>
      <c r="I115" s="13" t="n"/>
      <c r="J115" s="13" t="n"/>
      <c r="K115" s="13" t="n"/>
      <c r="L115" s="16">
        <f>IF($A115="","",1)</f>
        <v/>
      </c>
    </row>
    <row r="116">
      <c r="A116" s="13" t="n"/>
      <c r="B116" s="13" t="n"/>
      <c r="C116" s="68" t="n"/>
      <c r="D116" s="13" t="n"/>
      <c r="E116" s="13" t="n"/>
      <c r="F116" s="69" t="n"/>
      <c r="G116" s="69" t="n"/>
      <c r="H116" s="69" t="n"/>
      <c r="I116" s="13" t="n"/>
      <c r="J116" s="13" t="n"/>
      <c r="K116" s="13" t="n"/>
      <c r="L116" s="16">
        <f>IF($A116="","",1)</f>
        <v/>
      </c>
    </row>
    <row r="117">
      <c r="A117" s="13" t="n"/>
      <c r="B117" s="13" t="n"/>
      <c r="C117" s="68" t="n"/>
      <c r="D117" s="13" t="n"/>
      <c r="E117" s="13" t="n"/>
      <c r="F117" s="69" t="n"/>
      <c r="G117" s="69" t="n"/>
      <c r="H117" s="69" t="n"/>
      <c r="I117" s="13" t="n"/>
      <c r="J117" s="13" t="n"/>
      <c r="K117" s="13" t="n"/>
      <c r="L117" s="16">
        <f>IF($A117="","",1)</f>
        <v/>
      </c>
    </row>
    <row r="118">
      <c r="A118" s="13" t="n"/>
      <c r="B118" s="13" t="n"/>
      <c r="C118" s="68" t="n"/>
      <c r="D118" s="13" t="n"/>
      <c r="E118" s="13" t="n"/>
      <c r="F118" s="69" t="n"/>
      <c r="G118" s="69" t="n"/>
      <c r="H118" s="69" t="n"/>
      <c r="I118" s="13" t="n"/>
      <c r="J118" s="13" t="n"/>
      <c r="K118" s="13" t="n"/>
      <c r="L118" s="16">
        <f>IF($A118="","",1)</f>
        <v/>
      </c>
    </row>
    <row r="119">
      <c r="A119" s="13" t="n"/>
      <c r="B119" s="13" t="n"/>
      <c r="C119" s="68" t="n"/>
      <c r="D119" s="13" t="n"/>
      <c r="E119" s="13" t="n"/>
      <c r="F119" s="69" t="n"/>
      <c r="G119" s="69" t="n"/>
      <c r="H119" s="69" t="n"/>
      <c r="I119" s="13" t="n"/>
      <c r="J119" s="13" t="n"/>
      <c r="K119" s="13" t="n"/>
      <c r="L119" s="16">
        <f>IF($A119="","",1)</f>
        <v/>
      </c>
    </row>
    <row r="120">
      <c r="A120" s="13" t="n"/>
      <c r="B120" s="13" t="n"/>
      <c r="C120" s="68" t="n"/>
      <c r="D120" s="13" t="n"/>
      <c r="E120" s="13" t="n"/>
      <c r="F120" s="69" t="n"/>
      <c r="G120" s="69" t="n"/>
      <c r="H120" s="69" t="n"/>
      <c r="I120" s="13" t="n"/>
      <c r="J120" s="13" t="n"/>
      <c r="K120" s="13" t="n"/>
      <c r="L120" s="16">
        <f>IF($A120="","",1)</f>
        <v/>
      </c>
    </row>
    <row r="121">
      <c r="A121" s="13" t="n"/>
      <c r="B121" s="13" t="n"/>
      <c r="C121" s="68" t="n"/>
      <c r="D121" s="13" t="n"/>
      <c r="E121" s="13" t="n"/>
      <c r="F121" s="69" t="n"/>
      <c r="G121" s="69" t="n"/>
      <c r="H121" s="69" t="n"/>
      <c r="I121" s="13" t="n"/>
      <c r="J121" s="13" t="n"/>
      <c r="K121" s="13" t="n"/>
      <c r="L121" s="16">
        <f>IF($A121="","",1)</f>
        <v/>
      </c>
    </row>
    <row r="122">
      <c r="A122" s="13" t="n"/>
      <c r="B122" s="13" t="n"/>
      <c r="C122" s="68" t="n"/>
      <c r="D122" s="13" t="n"/>
      <c r="E122" s="13" t="n"/>
      <c r="F122" s="69" t="n"/>
      <c r="G122" s="69" t="n"/>
      <c r="H122" s="69" t="n"/>
      <c r="I122" s="13" t="n"/>
      <c r="J122" s="13" t="n"/>
      <c r="K122" s="13" t="n"/>
      <c r="L122" s="16">
        <f>IF($A122="","",1)</f>
        <v/>
      </c>
    </row>
    <row r="123">
      <c r="A123" s="13" t="n"/>
      <c r="B123" s="13" t="n"/>
      <c r="C123" s="68" t="n"/>
      <c r="D123" s="13" t="n"/>
      <c r="E123" s="13" t="n"/>
      <c r="F123" s="69" t="n"/>
      <c r="G123" s="69" t="n"/>
      <c r="H123" s="69" t="n"/>
      <c r="I123" s="13" t="n"/>
      <c r="J123" s="13" t="n"/>
      <c r="K123" s="13" t="n"/>
      <c r="L123" s="16">
        <f>IF($A123="","",1)</f>
        <v/>
      </c>
    </row>
    <row r="124">
      <c r="A124" s="13" t="n"/>
      <c r="B124" s="13" t="n"/>
      <c r="C124" s="68" t="n"/>
      <c r="D124" s="13" t="n"/>
      <c r="E124" s="13" t="n"/>
      <c r="F124" s="69" t="n"/>
      <c r="G124" s="69" t="n"/>
      <c r="H124" s="69" t="n"/>
      <c r="I124" s="13" t="n"/>
      <c r="J124" s="13" t="n"/>
      <c r="K124" s="13" t="n"/>
      <c r="L124" s="16">
        <f>IF($A124="","",1)</f>
        <v/>
      </c>
    </row>
    <row r="125">
      <c r="A125" s="13" t="n"/>
      <c r="B125" s="13" t="n"/>
      <c r="C125" s="68" t="n"/>
      <c r="D125" s="13" t="n"/>
      <c r="E125" s="13" t="n"/>
      <c r="F125" s="69" t="n"/>
      <c r="G125" s="69" t="n"/>
      <c r="H125" s="69" t="n"/>
      <c r="I125" s="13" t="n"/>
      <c r="J125" s="13" t="n"/>
      <c r="K125" s="13" t="n"/>
      <c r="L125" s="16">
        <f>IF($A125="","",1)</f>
        <v/>
      </c>
    </row>
    <row r="126">
      <c r="A126" s="13" t="n"/>
      <c r="B126" s="13" t="n"/>
      <c r="C126" s="68" t="n"/>
      <c r="D126" s="13" t="n"/>
      <c r="E126" s="13" t="n"/>
      <c r="F126" s="69" t="n"/>
      <c r="G126" s="69" t="n"/>
      <c r="H126" s="69" t="n"/>
      <c r="I126" s="13" t="n"/>
      <c r="J126" s="13" t="n"/>
      <c r="K126" s="13" t="n"/>
      <c r="L126" s="16">
        <f>IF($A126="","",1)</f>
        <v/>
      </c>
    </row>
    <row r="127">
      <c r="A127" s="13" t="n"/>
      <c r="B127" s="13" t="n"/>
      <c r="C127" s="68" t="n"/>
      <c r="D127" s="13" t="n"/>
      <c r="E127" s="13" t="n"/>
      <c r="F127" s="69" t="n"/>
      <c r="G127" s="69" t="n"/>
      <c r="H127" s="69" t="n"/>
      <c r="I127" s="13" t="n"/>
      <c r="J127" s="13" t="n"/>
      <c r="K127" s="13" t="n"/>
      <c r="L127" s="16">
        <f>IF($A127="","",1)</f>
        <v/>
      </c>
    </row>
    <row r="128">
      <c r="A128" s="13" t="n"/>
      <c r="B128" s="13" t="n"/>
      <c r="C128" s="68" t="n"/>
      <c r="D128" s="13" t="n"/>
      <c r="E128" s="13" t="n"/>
      <c r="F128" s="69" t="n"/>
      <c r="G128" s="69" t="n"/>
      <c r="H128" s="69" t="n"/>
      <c r="I128" s="13" t="n"/>
      <c r="J128" s="13" t="n"/>
      <c r="K128" s="13" t="n"/>
      <c r="L128" s="16">
        <f>IF($A128="","",1)</f>
        <v/>
      </c>
    </row>
    <row r="129">
      <c r="A129" s="13" t="n"/>
      <c r="B129" s="13" t="n"/>
      <c r="C129" s="68" t="n"/>
      <c r="D129" s="13" t="n"/>
      <c r="E129" s="13" t="n"/>
      <c r="F129" s="69" t="n"/>
      <c r="G129" s="69" t="n"/>
      <c r="H129" s="69" t="n"/>
      <c r="I129" s="13" t="n"/>
      <c r="J129" s="13" t="n"/>
      <c r="K129" s="13" t="n"/>
      <c r="L129" s="16">
        <f>IF($A129="","",1)</f>
        <v/>
      </c>
    </row>
    <row r="130">
      <c r="A130" s="13" t="n"/>
      <c r="B130" s="13" t="n"/>
      <c r="C130" s="68" t="n"/>
      <c r="D130" s="13" t="n"/>
      <c r="E130" s="13" t="n"/>
      <c r="F130" s="69" t="n"/>
      <c r="G130" s="69" t="n"/>
      <c r="H130" s="69" t="n"/>
      <c r="I130" s="13" t="n"/>
      <c r="J130" s="13" t="n"/>
      <c r="K130" s="13" t="n"/>
      <c r="L130" s="16">
        <f>IF($A130="","",1)</f>
        <v/>
      </c>
    </row>
    <row r="131">
      <c r="A131" s="13" t="n"/>
      <c r="B131" s="13" t="n"/>
      <c r="C131" s="68" t="n"/>
      <c r="D131" s="13" t="n"/>
      <c r="E131" s="13" t="n"/>
      <c r="F131" s="69" t="n"/>
      <c r="G131" s="69" t="n"/>
      <c r="H131" s="69" t="n"/>
      <c r="I131" s="13" t="n"/>
      <c r="J131" s="13" t="n"/>
      <c r="K131" s="13" t="n"/>
      <c r="L131" s="16">
        <f>IF($A131="","",1)</f>
        <v/>
      </c>
    </row>
    <row r="132">
      <c r="A132" s="13" t="n"/>
      <c r="B132" s="13" t="n"/>
      <c r="C132" s="68" t="n"/>
      <c r="D132" s="13" t="n"/>
      <c r="E132" s="13" t="n"/>
      <c r="F132" s="69" t="n"/>
      <c r="G132" s="69" t="n"/>
      <c r="H132" s="69" t="n"/>
      <c r="I132" s="13" t="n"/>
      <c r="J132" s="13" t="n"/>
      <c r="K132" s="13" t="n"/>
      <c r="L132" s="16">
        <f>IF($A132="","",1)</f>
        <v/>
      </c>
    </row>
    <row r="133">
      <c r="A133" s="13" t="n"/>
      <c r="B133" s="13" t="n"/>
      <c r="C133" s="68" t="n"/>
      <c r="D133" s="13" t="n"/>
      <c r="E133" s="13" t="n"/>
      <c r="F133" s="69" t="n"/>
      <c r="G133" s="69" t="n"/>
      <c r="H133" s="69" t="n"/>
      <c r="I133" s="13" t="n"/>
      <c r="J133" s="13" t="n"/>
      <c r="K133" s="13" t="n"/>
      <c r="L133" s="16">
        <f>IF($A133="","",1)</f>
        <v/>
      </c>
    </row>
    <row r="134">
      <c r="A134" s="13" t="n"/>
      <c r="B134" s="13" t="n"/>
      <c r="C134" s="68" t="n"/>
      <c r="D134" s="13" t="n"/>
      <c r="E134" s="13" t="n"/>
      <c r="F134" s="69" t="n"/>
      <c r="G134" s="69" t="n"/>
      <c r="H134" s="69" t="n"/>
      <c r="I134" s="13" t="n"/>
      <c r="J134" s="13" t="n"/>
      <c r="K134" s="13" t="n"/>
      <c r="L134" s="16">
        <f>IF($A134="","",1)</f>
        <v/>
      </c>
    </row>
    <row r="135">
      <c r="A135" s="13" t="n"/>
      <c r="B135" s="13" t="n"/>
      <c r="C135" s="68" t="n"/>
      <c r="D135" s="13" t="n"/>
      <c r="E135" s="13" t="n"/>
      <c r="F135" s="69" t="n"/>
      <c r="G135" s="69" t="n"/>
      <c r="H135" s="69" t="n"/>
      <c r="I135" s="13" t="n"/>
      <c r="J135" s="13" t="n"/>
      <c r="K135" s="13" t="n"/>
      <c r="L135" s="16">
        <f>IF($A135="","",1)</f>
        <v/>
      </c>
    </row>
    <row r="136">
      <c r="A136" s="13" t="n"/>
      <c r="B136" s="13" t="n"/>
      <c r="C136" s="68" t="n"/>
      <c r="D136" s="13" t="n"/>
      <c r="E136" s="13" t="n"/>
      <c r="F136" s="69" t="n"/>
      <c r="G136" s="69" t="n"/>
      <c r="H136" s="69" t="n"/>
      <c r="I136" s="13" t="n"/>
      <c r="J136" s="13" t="n"/>
      <c r="K136" s="13" t="n"/>
      <c r="L136" s="16">
        <f>IF($A136="","",1)</f>
        <v/>
      </c>
    </row>
    <row r="137">
      <c r="A137" s="13" t="n"/>
      <c r="B137" s="13" t="n"/>
      <c r="C137" s="68" t="n"/>
      <c r="D137" s="13" t="n"/>
      <c r="E137" s="13" t="n"/>
      <c r="F137" s="69" t="n"/>
      <c r="G137" s="69" t="n"/>
      <c r="H137" s="69" t="n"/>
      <c r="I137" s="13" t="n"/>
      <c r="J137" s="13" t="n"/>
      <c r="K137" s="13" t="n"/>
      <c r="L137" s="16">
        <f>IF($A137="","",1)</f>
        <v/>
      </c>
    </row>
    <row r="138">
      <c r="A138" s="13" t="n"/>
      <c r="B138" s="13" t="n"/>
      <c r="C138" s="68" t="n"/>
      <c r="D138" s="13" t="n"/>
      <c r="E138" s="13" t="n"/>
      <c r="F138" s="69" t="n"/>
      <c r="G138" s="69" t="n"/>
      <c r="H138" s="69" t="n"/>
      <c r="I138" s="13" t="n"/>
      <c r="J138" s="13" t="n"/>
      <c r="K138" s="13" t="n"/>
      <c r="L138" s="16">
        <f>IF($A138="","",1)</f>
        <v/>
      </c>
    </row>
    <row r="139">
      <c r="A139" s="13" t="n"/>
      <c r="B139" s="13" t="n"/>
      <c r="C139" s="68" t="n"/>
      <c r="D139" s="13" t="n"/>
      <c r="E139" s="13" t="n"/>
      <c r="F139" s="69" t="n"/>
      <c r="G139" s="69" t="n"/>
      <c r="H139" s="69" t="n"/>
      <c r="I139" s="13" t="n"/>
      <c r="J139" s="13" t="n"/>
      <c r="K139" s="13" t="n"/>
      <c r="L139" s="16">
        <f>IF($A139="","",1)</f>
        <v/>
      </c>
    </row>
    <row r="140">
      <c r="A140" s="13" t="n"/>
      <c r="B140" s="13" t="n"/>
      <c r="C140" s="68" t="n"/>
      <c r="D140" s="13" t="n"/>
      <c r="E140" s="13" t="n"/>
      <c r="F140" s="69" t="n"/>
      <c r="G140" s="69" t="n"/>
      <c r="H140" s="69" t="n"/>
      <c r="I140" s="13" t="n"/>
      <c r="J140" s="13" t="n"/>
      <c r="K140" s="13" t="n"/>
      <c r="L140" s="16">
        <f>IF($A140="","",1)</f>
        <v/>
      </c>
    </row>
    <row r="141">
      <c r="A141" s="13" t="n"/>
      <c r="B141" s="13" t="n"/>
      <c r="C141" s="68" t="n"/>
      <c r="D141" s="13" t="n"/>
      <c r="E141" s="13" t="n"/>
      <c r="F141" s="69" t="n"/>
      <c r="G141" s="69" t="n"/>
      <c r="H141" s="69" t="n"/>
      <c r="I141" s="13" t="n"/>
      <c r="J141" s="13" t="n"/>
      <c r="K141" s="13" t="n"/>
      <c r="L141" s="16">
        <f>IF($A141="","",1)</f>
        <v/>
      </c>
    </row>
    <row r="142">
      <c r="A142" s="13" t="n"/>
      <c r="B142" s="13" t="n"/>
      <c r="C142" s="68" t="n"/>
      <c r="D142" s="13" t="n"/>
      <c r="E142" s="13" t="n"/>
      <c r="F142" s="69" t="n"/>
      <c r="G142" s="69" t="n"/>
      <c r="H142" s="69" t="n"/>
      <c r="I142" s="13" t="n"/>
      <c r="J142" s="13" t="n"/>
      <c r="K142" s="13" t="n"/>
      <c r="L142" s="16">
        <f>IF($A142="","",1)</f>
        <v/>
      </c>
    </row>
    <row r="143">
      <c r="A143" s="13" t="n"/>
      <c r="B143" s="13" t="n"/>
      <c r="C143" s="68" t="n"/>
      <c r="D143" s="13" t="n"/>
      <c r="E143" s="13" t="n"/>
      <c r="F143" s="69" t="n"/>
      <c r="G143" s="69" t="n"/>
      <c r="H143" s="69" t="n"/>
      <c r="I143" s="13" t="n"/>
      <c r="J143" s="13" t="n"/>
      <c r="K143" s="13" t="n"/>
      <c r="L143" s="16">
        <f>IF($A143="","",1)</f>
        <v/>
      </c>
    </row>
    <row r="144">
      <c r="A144" s="13" t="n"/>
      <c r="B144" s="13" t="n"/>
      <c r="C144" s="68" t="n"/>
      <c r="D144" s="13" t="n"/>
      <c r="E144" s="13" t="n"/>
      <c r="F144" s="69" t="n"/>
      <c r="G144" s="69" t="n"/>
      <c r="H144" s="69" t="n"/>
      <c r="I144" s="13" t="n"/>
      <c r="J144" s="13" t="n"/>
      <c r="K144" s="13" t="n"/>
      <c r="L144" s="16">
        <f>IF($A144="","",1)</f>
        <v/>
      </c>
    </row>
    <row r="145">
      <c r="A145" s="13" t="n"/>
      <c r="B145" s="13" t="n"/>
      <c r="C145" s="68" t="n"/>
      <c r="D145" s="13" t="n"/>
      <c r="E145" s="13" t="n"/>
      <c r="F145" s="69" t="n"/>
      <c r="G145" s="69" t="n"/>
      <c r="H145" s="69" t="n"/>
      <c r="I145" s="13" t="n"/>
      <c r="J145" s="13" t="n"/>
      <c r="K145" s="13" t="n"/>
      <c r="L145" s="16">
        <f>IF($A145="","",1)</f>
        <v/>
      </c>
    </row>
    <row r="146">
      <c r="A146" s="13" t="n"/>
      <c r="B146" s="13" t="n"/>
      <c r="C146" s="68" t="n"/>
      <c r="D146" s="13" t="n"/>
      <c r="E146" s="13" t="n"/>
      <c r="F146" s="69" t="n"/>
      <c r="G146" s="69" t="n"/>
      <c r="H146" s="69" t="n"/>
      <c r="I146" s="13" t="n"/>
      <c r="J146" s="13" t="n"/>
      <c r="K146" s="13" t="n"/>
      <c r="L146" s="16">
        <f>IF($A146="","",1)</f>
        <v/>
      </c>
    </row>
    <row r="147">
      <c r="A147" s="13" t="n"/>
      <c r="B147" s="13" t="n"/>
      <c r="C147" s="68" t="n"/>
      <c r="D147" s="13" t="n"/>
      <c r="E147" s="13" t="n"/>
      <c r="F147" s="69" t="n"/>
      <c r="G147" s="69" t="n"/>
      <c r="H147" s="69" t="n"/>
      <c r="I147" s="13" t="n"/>
      <c r="J147" s="13" t="n"/>
      <c r="K147" s="13" t="n"/>
      <c r="L147" s="16">
        <f>IF($A147="","",1)</f>
        <v/>
      </c>
    </row>
    <row r="148">
      <c r="A148" s="13" t="n"/>
      <c r="B148" s="13" t="n"/>
      <c r="C148" s="68" t="n"/>
      <c r="D148" s="13" t="n"/>
      <c r="E148" s="13" t="n"/>
      <c r="F148" s="69" t="n"/>
      <c r="G148" s="69" t="n"/>
      <c r="H148" s="69" t="n"/>
      <c r="I148" s="13" t="n"/>
      <c r="J148" s="13" t="n"/>
      <c r="K148" s="13" t="n"/>
      <c r="L148" s="16">
        <f>IF($A148="","",1)</f>
        <v/>
      </c>
    </row>
    <row r="149">
      <c r="A149" s="13" t="n"/>
      <c r="B149" s="13" t="n"/>
      <c r="C149" s="68" t="n"/>
      <c r="D149" s="13" t="n"/>
      <c r="E149" s="13" t="n"/>
      <c r="F149" s="69" t="n"/>
      <c r="G149" s="69" t="n"/>
      <c r="H149" s="69" t="n"/>
      <c r="I149" s="13" t="n"/>
      <c r="J149" s="13" t="n"/>
      <c r="K149" s="13" t="n"/>
      <c r="L149" s="16">
        <f>IF($A149="","",1)</f>
        <v/>
      </c>
    </row>
    <row r="150">
      <c r="A150" s="13" t="n"/>
      <c r="B150" s="13" t="n"/>
      <c r="C150" s="68" t="n"/>
      <c r="D150" s="13" t="n"/>
      <c r="E150" s="13" t="n"/>
      <c r="F150" s="69" t="n"/>
      <c r="G150" s="69" t="n"/>
      <c r="H150" s="69" t="n"/>
      <c r="I150" s="13" t="n"/>
      <c r="J150" s="13" t="n"/>
      <c r="K150" s="13" t="n"/>
      <c r="L150" s="16">
        <f>IF($A150="","",1)</f>
        <v/>
      </c>
    </row>
    <row r="151">
      <c r="A151" s="13" t="n"/>
      <c r="B151" s="13" t="n"/>
      <c r="C151" s="68" t="n"/>
      <c r="D151" s="13" t="n"/>
      <c r="E151" s="13" t="n"/>
      <c r="F151" s="69" t="n"/>
      <c r="G151" s="69" t="n"/>
      <c r="H151" s="69" t="n"/>
      <c r="I151" s="13" t="n"/>
      <c r="J151" s="13" t="n"/>
      <c r="K151" s="13" t="n"/>
      <c r="L151" s="16">
        <f>IF($A151="","",1)</f>
        <v/>
      </c>
    </row>
    <row r="152">
      <c r="A152" s="13" t="n"/>
      <c r="B152" s="13" t="n"/>
      <c r="C152" s="68" t="n"/>
      <c r="D152" s="13" t="n"/>
      <c r="E152" s="13" t="n"/>
      <c r="F152" s="69" t="n"/>
      <c r="G152" s="69" t="n"/>
      <c r="H152" s="69" t="n"/>
      <c r="I152" s="13" t="n"/>
      <c r="J152" s="13" t="n"/>
      <c r="K152" s="13" t="n"/>
      <c r="L152" s="16">
        <f>IF($A152="","",1)</f>
        <v/>
      </c>
    </row>
    <row r="153">
      <c r="A153" s="13" t="n"/>
      <c r="B153" s="13" t="n"/>
      <c r="C153" s="68" t="n"/>
      <c r="D153" s="13" t="n"/>
      <c r="E153" s="13" t="n"/>
      <c r="F153" s="69" t="n"/>
      <c r="G153" s="69" t="n"/>
      <c r="H153" s="69" t="n"/>
      <c r="I153" s="13" t="n"/>
      <c r="J153" s="13" t="n"/>
      <c r="K153" s="13" t="n"/>
      <c r="L153" s="16">
        <f>IF($A153="","",1)</f>
        <v/>
      </c>
    </row>
    <row r="154">
      <c r="A154" s="13" t="n"/>
      <c r="B154" s="13" t="n"/>
      <c r="C154" s="68" t="n"/>
      <c r="D154" s="13" t="n"/>
      <c r="E154" s="13" t="n"/>
      <c r="F154" s="69" t="n"/>
      <c r="G154" s="69" t="n"/>
      <c r="H154" s="69" t="n"/>
      <c r="I154" s="13" t="n"/>
      <c r="J154" s="13" t="n"/>
      <c r="K154" s="13" t="n"/>
      <c r="L154" s="16">
        <f>IF($A154="","",1)</f>
        <v/>
      </c>
    </row>
    <row r="155">
      <c r="A155" s="13" t="n"/>
      <c r="B155" s="13" t="n"/>
      <c r="C155" s="68" t="n"/>
      <c r="D155" s="13" t="n"/>
      <c r="E155" s="13" t="n"/>
      <c r="F155" s="69" t="n"/>
      <c r="G155" s="69" t="n"/>
      <c r="H155" s="69" t="n"/>
      <c r="I155" s="13" t="n"/>
      <c r="J155" s="13" t="n"/>
      <c r="K155" s="13" t="n"/>
      <c r="L155" s="16">
        <f>IF($A155="","",1)</f>
        <v/>
      </c>
    </row>
    <row r="156">
      <c r="A156" s="13" t="n"/>
      <c r="B156" s="13" t="n"/>
      <c r="C156" s="68" t="n"/>
      <c r="D156" s="13" t="n"/>
      <c r="E156" s="13" t="n"/>
      <c r="F156" s="69" t="n"/>
      <c r="G156" s="69" t="n"/>
      <c r="H156" s="69" t="n"/>
      <c r="I156" s="13" t="n"/>
      <c r="J156" s="13" t="n"/>
      <c r="K156" s="13" t="n"/>
      <c r="L156" s="16">
        <f>IF($A156="","",1)</f>
        <v/>
      </c>
    </row>
    <row r="157">
      <c r="A157" s="13" t="n"/>
      <c r="B157" s="13" t="n"/>
      <c r="C157" s="68" t="n"/>
      <c r="D157" s="13" t="n"/>
      <c r="E157" s="13" t="n"/>
      <c r="F157" s="69" t="n"/>
      <c r="G157" s="69" t="n"/>
      <c r="H157" s="69" t="n"/>
      <c r="I157" s="13" t="n"/>
      <c r="J157" s="13" t="n"/>
      <c r="K157" s="13" t="n"/>
      <c r="L157" s="16">
        <f>IF($A157="","",1)</f>
        <v/>
      </c>
    </row>
    <row r="158">
      <c r="A158" s="13" t="n"/>
      <c r="B158" s="13" t="n"/>
      <c r="C158" s="68" t="n"/>
      <c r="D158" s="13" t="n"/>
      <c r="E158" s="13" t="n"/>
      <c r="F158" s="69" t="n"/>
      <c r="G158" s="69" t="n"/>
      <c r="H158" s="69" t="n"/>
      <c r="I158" s="13" t="n"/>
      <c r="J158" s="13" t="n"/>
      <c r="K158" s="13" t="n"/>
      <c r="L158" s="16">
        <f>IF($A158="","",1)</f>
        <v/>
      </c>
    </row>
    <row r="159">
      <c r="A159" s="13" t="n"/>
      <c r="B159" s="13" t="n"/>
      <c r="C159" s="68" t="n"/>
      <c r="D159" s="13" t="n"/>
      <c r="E159" s="13" t="n"/>
      <c r="F159" s="69" t="n"/>
      <c r="G159" s="69" t="n"/>
      <c r="H159" s="69" t="n"/>
      <c r="I159" s="13" t="n"/>
      <c r="J159" s="13" t="n"/>
      <c r="K159" s="13" t="n"/>
      <c r="L159" s="16">
        <f>IF($A159="","",1)</f>
        <v/>
      </c>
    </row>
    <row r="160">
      <c r="A160" s="13" t="n"/>
      <c r="B160" s="13" t="n"/>
      <c r="C160" s="68" t="n"/>
      <c r="D160" s="13" t="n"/>
      <c r="E160" s="13" t="n"/>
      <c r="F160" s="69" t="n"/>
      <c r="G160" s="69" t="n"/>
      <c r="H160" s="69" t="n"/>
      <c r="I160" s="13" t="n"/>
      <c r="J160" s="13" t="n"/>
      <c r="K160" s="13" t="n"/>
      <c r="L160" s="16">
        <f>IF($A160="","",1)</f>
        <v/>
      </c>
    </row>
    <row r="161">
      <c r="A161" s="13" t="n"/>
      <c r="B161" s="13" t="n"/>
      <c r="C161" s="68" t="n"/>
      <c r="D161" s="13" t="n"/>
      <c r="E161" s="13" t="n"/>
      <c r="F161" s="69" t="n"/>
      <c r="G161" s="69" t="n"/>
      <c r="H161" s="69" t="n"/>
      <c r="I161" s="13" t="n"/>
      <c r="J161" s="13" t="n"/>
      <c r="K161" s="13" t="n"/>
      <c r="L161" s="16">
        <f>IF($A161="","",1)</f>
        <v/>
      </c>
    </row>
    <row r="162">
      <c r="A162" s="13" t="n"/>
      <c r="B162" s="13" t="n"/>
      <c r="C162" s="68" t="n"/>
      <c r="D162" s="13" t="n"/>
      <c r="E162" s="13" t="n"/>
      <c r="F162" s="69" t="n"/>
      <c r="G162" s="69" t="n"/>
      <c r="H162" s="69" t="n"/>
      <c r="I162" s="13" t="n"/>
      <c r="J162" s="13" t="n"/>
      <c r="K162" s="13" t="n"/>
      <c r="L162" s="16">
        <f>IF($A162="","",1)</f>
        <v/>
      </c>
    </row>
    <row r="163">
      <c r="A163" s="13" t="n"/>
      <c r="B163" s="13" t="n"/>
      <c r="C163" s="68" t="n"/>
      <c r="D163" s="13" t="n"/>
      <c r="E163" s="13" t="n"/>
      <c r="F163" s="69" t="n"/>
      <c r="G163" s="69" t="n"/>
      <c r="H163" s="69" t="n"/>
      <c r="I163" s="13" t="n"/>
      <c r="J163" s="13" t="n"/>
      <c r="K163" s="13" t="n"/>
      <c r="L163" s="16">
        <f>IF($A163="","",1)</f>
        <v/>
      </c>
    </row>
    <row r="164">
      <c r="A164" s="13" t="n"/>
      <c r="B164" s="13" t="n"/>
      <c r="C164" s="68" t="n"/>
      <c r="D164" s="13" t="n"/>
      <c r="E164" s="13" t="n"/>
      <c r="F164" s="69" t="n"/>
      <c r="G164" s="69" t="n"/>
      <c r="H164" s="69" t="n"/>
      <c r="I164" s="13" t="n"/>
      <c r="J164" s="13" t="n"/>
      <c r="K164" s="13" t="n"/>
      <c r="L164" s="16">
        <f>IF($A164="","",1)</f>
        <v/>
      </c>
    </row>
    <row r="165">
      <c r="A165" s="13" t="n"/>
      <c r="B165" s="13" t="n"/>
      <c r="C165" s="68" t="n"/>
      <c r="D165" s="13" t="n"/>
      <c r="E165" s="13" t="n"/>
      <c r="F165" s="69" t="n"/>
      <c r="G165" s="69" t="n"/>
      <c r="H165" s="69" t="n"/>
      <c r="I165" s="13" t="n"/>
      <c r="J165" s="13" t="n"/>
      <c r="K165" s="13" t="n"/>
      <c r="L165" s="16">
        <f>IF($A165="","",1)</f>
        <v/>
      </c>
    </row>
    <row r="166">
      <c r="A166" s="13" t="n"/>
      <c r="B166" s="13" t="n"/>
      <c r="C166" s="68" t="n"/>
      <c r="D166" s="13" t="n"/>
      <c r="E166" s="13" t="n"/>
      <c r="F166" s="69" t="n"/>
      <c r="G166" s="69" t="n"/>
      <c r="H166" s="69" t="n"/>
      <c r="I166" s="13" t="n"/>
      <c r="J166" s="13" t="n"/>
      <c r="K166" s="13" t="n"/>
      <c r="L166" s="16">
        <f>IF($A166="","",1)</f>
        <v/>
      </c>
    </row>
    <row r="167">
      <c r="A167" s="13" t="n"/>
      <c r="B167" s="13" t="n"/>
      <c r="C167" s="68" t="n"/>
      <c r="D167" s="13" t="n"/>
      <c r="E167" s="13" t="n"/>
      <c r="F167" s="69" t="n"/>
      <c r="G167" s="69" t="n"/>
      <c r="H167" s="69" t="n"/>
      <c r="I167" s="13" t="n"/>
      <c r="J167" s="13" t="n"/>
      <c r="K167" s="13" t="n"/>
      <c r="L167" s="16">
        <f>IF($A167="","",1)</f>
        <v/>
      </c>
    </row>
    <row r="168">
      <c r="A168" s="13" t="n"/>
      <c r="B168" s="13" t="n"/>
      <c r="C168" s="68" t="n"/>
      <c r="D168" s="13" t="n"/>
      <c r="E168" s="13" t="n"/>
      <c r="F168" s="69" t="n"/>
      <c r="G168" s="69" t="n"/>
      <c r="H168" s="69" t="n"/>
      <c r="I168" s="13" t="n"/>
      <c r="J168" s="13" t="n"/>
      <c r="K168" s="13" t="n"/>
      <c r="L168" s="16">
        <f>IF($A168="","",1)</f>
        <v/>
      </c>
    </row>
    <row r="169">
      <c r="A169" s="13" t="n"/>
      <c r="B169" s="13" t="n"/>
      <c r="C169" s="68" t="n"/>
      <c r="D169" s="13" t="n"/>
      <c r="E169" s="13" t="n"/>
      <c r="F169" s="69" t="n"/>
      <c r="G169" s="69" t="n"/>
      <c r="H169" s="69" t="n"/>
      <c r="I169" s="13" t="n"/>
      <c r="J169" s="13" t="n"/>
      <c r="K169" s="13" t="n"/>
      <c r="L169" s="16">
        <f>IF($A169="","",1)</f>
        <v/>
      </c>
    </row>
    <row r="170">
      <c r="A170" s="13" t="n"/>
      <c r="B170" s="13" t="n"/>
      <c r="C170" s="68" t="n"/>
      <c r="D170" s="13" t="n"/>
      <c r="E170" s="13" t="n"/>
      <c r="F170" s="69" t="n"/>
      <c r="G170" s="69" t="n"/>
      <c r="H170" s="69" t="n"/>
      <c r="I170" s="13" t="n"/>
      <c r="J170" s="13" t="n"/>
      <c r="K170" s="13" t="n"/>
      <c r="L170" s="16">
        <f>IF($A170="","",1)</f>
        <v/>
      </c>
    </row>
    <row r="171">
      <c r="A171" s="13" t="n"/>
      <c r="B171" s="13" t="n"/>
      <c r="C171" s="68" t="n"/>
      <c r="D171" s="13" t="n"/>
      <c r="E171" s="13" t="n"/>
      <c r="F171" s="69" t="n"/>
      <c r="G171" s="69" t="n"/>
      <c r="H171" s="69" t="n"/>
      <c r="I171" s="13" t="n"/>
      <c r="J171" s="13" t="n"/>
      <c r="K171" s="13" t="n"/>
      <c r="L171" s="16">
        <f>IF($A171="","",1)</f>
        <v/>
      </c>
    </row>
    <row r="172">
      <c r="A172" s="13" t="n"/>
      <c r="B172" s="13" t="n"/>
      <c r="C172" s="68" t="n"/>
      <c r="D172" s="13" t="n"/>
      <c r="E172" s="13" t="n"/>
      <c r="F172" s="69" t="n"/>
      <c r="G172" s="69" t="n"/>
      <c r="H172" s="69" t="n"/>
      <c r="I172" s="13" t="n"/>
      <c r="J172" s="13" t="n"/>
      <c r="K172" s="13" t="n"/>
      <c r="L172" s="16">
        <f>IF($A172="","",1)</f>
        <v/>
      </c>
    </row>
    <row r="173">
      <c r="A173" s="13" t="n"/>
      <c r="B173" s="13" t="n"/>
      <c r="C173" s="68" t="n"/>
      <c r="D173" s="13" t="n"/>
      <c r="E173" s="13" t="n"/>
      <c r="F173" s="69" t="n"/>
      <c r="G173" s="69" t="n"/>
      <c r="H173" s="69" t="n"/>
      <c r="I173" s="13" t="n"/>
      <c r="J173" s="13" t="n"/>
      <c r="K173" s="13" t="n"/>
      <c r="L173" s="16">
        <f>IF($A173="","",1)</f>
        <v/>
      </c>
    </row>
    <row r="174">
      <c r="A174" s="13" t="n"/>
      <c r="B174" s="13" t="n"/>
      <c r="C174" s="68" t="n"/>
      <c r="D174" s="13" t="n"/>
      <c r="E174" s="13" t="n"/>
      <c r="F174" s="69" t="n"/>
      <c r="G174" s="69" t="n"/>
      <c r="H174" s="69" t="n"/>
      <c r="I174" s="13" t="n"/>
      <c r="J174" s="13" t="n"/>
      <c r="K174" s="13" t="n"/>
      <c r="L174" s="16">
        <f>IF($A174="","",1)</f>
        <v/>
      </c>
    </row>
    <row r="175">
      <c r="A175" s="13" t="n"/>
      <c r="B175" s="13" t="n"/>
      <c r="C175" s="68" t="n"/>
      <c r="D175" s="13" t="n"/>
      <c r="E175" s="13" t="n"/>
      <c r="F175" s="69" t="n"/>
      <c r="G175" s="69" t="n"/>
      <c r="H175" s="69" t="n"/>
      <c r="I175" s="13" t="n"/>
      <c r="J175" s="13" t="n"/>
      <c r="K175" s="13" t="n"/>
      <c r="L175" s="16">
        <f>IF($A175="","",1)</f>
        <v/>
      </c>
    </row>
    <row r="176">
      <c r="A176" s="13" t="n"/>
      <c r="B176" s="13" t="n"/>
      <c r="C176" s="68" t="n"/>
      <c r="D176" s="13" t="n"/>
      <c r="E176" s="13" t="n"/>
      <c r="F176" s="69" t="n"/>
      <c r="G176" s="69" t="n"/>
      <c r="H176" s="69" t="n"/>
      <c r="I176" s="13" t="n"/>
      <c r="J176" s="13" t="n"/>
      <c r="K176" s="13" t="n"/>
      <c r="L176" s="16">
        <f>IF($A176="","",1)</f>
        <v/>
      </c>
    </row>
    <row r="177">
      <c r="A177" s="13" t="n"/>
      <c r="B177" s="13" t="n"/>
      <c r="C177" s="68" t="n"/>
      <c r="D177" s="13" t="n"/>
      <c r="E177" s="13" t="n"/>
      <c r="F177" s="69" t="n"/>
      <c r="G177" s="69" t="n"/>
      <c r="H177" s="69" t="n"/>
      <c r="I177" s="13" t="n"/>
      <c r="J177" s="13" t="n"/>
      <c r="K177" s="13" t="n"/>
      <c r="L177" s="16">
        <f>IF($A177="","",1)</f>
        <v/>
      </c>
    </row>
    <row r="178">
      <c r="A178" s="13" t="n"/>
      <c r="B178" s="13" t="n"/>
      <c r="C178" s="68" t="n"/>
      <c r="D178" s="13" t="n"/>
      <c r="E178" s="13" t="n"/>
      <c r="F178" s="69" t="n"/>
      <c r="G178" s="69" t="n"/>
      <c r="H178" s="69" t="n"/>
      <c r="I178" s="13" t="n"/>
      <c r="J178" s="13" t="n"/>
      <c r="K178" s="13" t="n"/>
      <c r="L178" s="16">
        <f>IF($A178="","",1)</f>
        <v/>
      </c>
    </row>
    <row r="179">
      <c r="A179" s="13" t="n"/>
      <c r="B179" s="13" t="n"/>
      <c r="C179" s="68" t="n"/>
      <c r="D179" s="13" t="n"/>
      <c r="E179" s="13" t="n"/>
      <c r="F179" s="69" t="n"/>
      <c r="G179" s="69" t="n"/>
      <c r="H179" s="69" t="n"/>
      <c r="I179" s="13" t="n"/>
      <c r="J179" s="13" t="n"/>
      <c r="K179" s="13" t="n"/>
      <c r="L179" s="16">
        <f>IF($A179="","",1)</f>
        <v/>
      </c>
    </row>
    <row r="180">
      <c r="A180" s="13" t="n"/>
      <c r="B180" s="13" t="n"/>
      <c r="C180" s="68" t="n"/>
      <c r="D180" s="13" t="n"/>
      <c r="E180" s="13" t="n"/>
      <c r="F180" s="69" t="n"/>
      <c r="G180" s="69" t="n"/>
      <c r="H180" s="69" t="n"/>
      <c r="I180" s="13" t="n"/>
      <c r="J180" s="13" t="n"/>
      <c r="K180" s="13" t="n"/>
      <c r="L180" s="16">
        <f>IF($A180="","",1)</f>
        <v/>
      </c>
    </row>
    <row r="181">
      <c r="A181" s="13" t="n"/>
      <c r="B181" s="13" t="n"/>
      <c r="C181" s="68" t="n"/>
      <c r="D181" s="13" t="n"/>
      <c r="E181" s="13" t="n"/>
      <c r="F181" s="69" t="n"/>
      <c r="G181" s="69" t="n"/>
      <c r="H181" s="69" t="n"/>
      <c r="I181" s="13" t="n"/>
      <c r="J181" s="13" t="n"/>
      <c r="K181" s="13" t="n"/>
      <c r="L181" s="16">
        <f>IF($A181="","",1)</f>
        <v/>
      </c>
    </row>
    <row r="182">
      <c r="A182" s="13" t="n"/>
      <c r="B182" s="13" t="n"/>
      <c r="C182" s="68" t="n"/>
      <c r="D182" s="13" t="n"/>
      <c r="E182" s="13" t="n"/>
      <c r="F182" s="69" t="n"/>
      <c r="G182" s="69" t="n"/>
      <c r="H182" s="69" t="n"/>
      <c r="I182" s="13" t="n"/>
      <c r="J182" s="13" t="n"/>
      <c r="K182" s="13" t="n"/>
      <c r="L182" s="16">
        <f>IF($A182="","",1)</f>
        <v/>
      </c>
    </row>
    <row r="183">
      <c r="A183" s="13" t="n"/>
      <c r="B183" s="13" t="n"/>
      <c r="C183" s="68" t="n"/>
      <c r="D183" s="13" t="n"/>
      <c r="E183" s="13" t="n"/>
      <c r="F183" s="69" t="n"/>
      <c r="G183" s="69" t="n"/>
      <c r="H183" s="69" t="n"/>
      <c r="I183" s="13" t="n"/>
      <c r="J183" s="13" t="n"/>
      <c r="K183" s="13" t="n"/>
      <c r="L183" s="16">
        <f>IF($A183="","",1)</f>
        <v/>
      </c>
    </row>
    <row r="184">
      <c r="A184" s="13" t="n"/>
      <c r="B184" s="13" t="n"/>
      <c r="C184" s="68" t="n"/>
      <c r="D184" s="13" t="n"/>
      <c r="E184" s="13" t="n"/>
      <c r="F184" s="69" t="n"/>
      <c r="G184" s="69" t="n"/>
      <c r="H184" s="69" t="n"/>
      <c r="I184" s="13" t="n"/>
      <c r="J184" s="13" t="n"/>
      <c r="K184" s="13" t="n"/>
      <c r="L184" s="16">
        <f>IF($A184="","",1)</f>
        <v/>
      </c>
    </row>
    <row r="185">
      <c r="A185" s="13" t="n"/>
      <c r="B185" s="13" t="n"/>
      <c r="C185" s="68" t="n"/>
      <c r="D185" s="13" t="n"/>
      <c r="E185" s="13" t="n"/>
      <c r="F185" s="69" t="n"/>
      <c r="G185" s="69" t="n"/>
      <c r="H185" s="69" t="n"/>
      <c r="I185" s="13" t="n"/>
      <c r="J185" s="13" t="n"/>
      <c r="K185" s="13" t="n"/>
      <c r="L185" s="16">
        <f>IF($A185="","",1)</f>
        <v/>
      </c>
    </row>
    <row r="186">
      <c r="A186" s="13" t="n"/>
      <c r="B186" s="13" t="n"/>
      <c r="C186" s="68" t="n"/>
      <c r="D186" s="13" t="n"/>
      <c r="E186" s="13" t="n"/>
      <c r="F186" s="69" t="n"/>
      <c r="G186" s="69" t="n"/>
      <c r="H186" s="69" t="n"/>
      <c r="I186" s="13" t="n"/>
      <c r="J186" s="13" t="n"/>
      <c r="K186" s="13" t="n"/>
      <c r="L186" s="16">
        <f>IF($A186="","",1)</f>
        <v/>
      </c>
    </row>
    <row r="187">
      <c r="A187" s="13" t="n"/>
      <c r="B187" s="13" t="n"/>
      <c r="C187" s="68" t="n"/>
      <c r="D187" s="13" t="n"/>
      <c r="E187" s="13" t="n"/>
      <c r="F187" s="69" t="n"/>
      <c r="G187" s="69" t="n"/>
      <c r="H187" s="69" t="n"/>
      <c r="I187" s="13" t="n"/>
      <c r="J187" s="13" t="n"/>
      <c r="K187" s="13" t="n"/>
      <c r="L187" s="16">
        <f>IF($A187="","",1)</f>
        <v/>
      </c>
    </row>
    <row r="188">
      <c r="A188" s="13" t="n"/>
      <c r="B188" s="13" t="n"/>
      <c r="C188" s="68" t="n"/>
      <c r="D188" s="13" t="n"/>
      <c r="E188" s="13" t="n"/>
      <c r="F188" s="69" t="n"/>
      <c r="G188" s="69" t="n"/>
      <c r="H188" s="69" t="n"/>
      <c r="I188" s="13" t="n"/>
      <c r="J188" s="13" t="n"/>
      <c r="K188" s="13" t="n"/>
      <c r="L188" s="16">
        <f>IF($A188="","",1)</f>
        <v/>
      </c>
    </row>
    <row r="189">
      <c r="A189" s="13" t="n"/>
      <c r="B189" s="13" t="n"/>
      <c r="C189" s="68" t="n"/>
      <c r="D189" s="13" t="n"/>
      <c r="E189" s="13" t="n"/>
      <c r="F189" s="69" t="n"/>
      <c r="G189" s="69" t="n"/>
      <c r="H189" s="69" t="n"/>
      <c r="I189" s="13" t="n"/>
      <c r="J189" s="13" t="n"/>
      <c r="K189" s="13" t="n"/>
      <c r="L189" s="16">
        <f>IF($A189="","",1)</f>
        <v/>
      </c>
    </row>
    <row r="190">
      <c r="A190" s="13" t="n"/>
      <c r="B190" s="13" t="n"/>
      <c r="C190" s="68" t="n"/>
      <c r="D190" s="13" t="n"/>
      <c r="E190" s="13" t="n"/>
      <c r="F190" s="69" t="n"/>
      <c r="G190" s="69" t="n"/>
      <c r="H190" s="69" t="n"/>
      <c r="I190" s="13" t="n"/>
      <c r="J190" s="13" t="n"/>
      <c r="K190" s="13" t="n"/>
      <c r="L190" s="16">
        <f>IF($A190="","",1)</f>
        <v/>
      </c>
    </row>
    <row r="191">
      <c r="A191" s="13" t="n"/>
      <c r="B191" s="13" t="n"/>
      <c r="C191" s="68" t="n"/>
      <c r="D191" s="13" t="n"/>
      <c r="E191" s="13" t="n"/>
      <c r="F191" s="69" t="n"/>
      <c r="G191" s="69" t="n"/>
      <c r="H191" s="69" t="n"/>
      <c r="I191" s="13" t="n"/>
      <c r="J191" s="13" t="n"/>
      <c r="K191" s="13" t="n"/>
      <c r="L191" s="16">
        <f>IF($A191="","",1)</f>
        <v/>
      </c>
    </row>
    <row r="192">
      <c r="A192" s="13" t="n"/>
      <c r="B192" s="13" t="n"/>
      <c r="C192" s="68" t="n"/>
      <c r="D192" s="13" t="n"/>
      <c r="E192" s="13" t="n"/>
      <c r="F192" s="69" t="n"/>
      <c r="G192" s="69" t="n"/>
      <c r="H192" s="69" t="n"/>
      <c r="I192" s="13" t="n"/>
      <c r="J192" s="13" t="n"/>
      <c r="K192" s="13" t="n"/>
      <c r="L192" s="16">
        <f>IF($A192="","",1)</f>
        <v/>
      </c>
    </row>
    <row r="193">
      <c r="A193" s="13" t="n"/>
      <c r="B193" s="13" t="n"/>
      <c r="C193" s="68" t="n"/>
      <c r="D193" s="13" t="n"/>
      <c r="E193" s="13" t="n"/>
      <c r="F193" s="69" t="n"/>
      <c r="G193" s="69" t="n"/>
      <c r="H193" s="69" t="n"/>
      <c r="I193" s="13" t="n"/>
      <c r="J193" s="13" t="n"/>
      <c r="K193" s="13" t="n"/>
      <c r="L193" s="16">
        <f>IF($A193="","",1)</f>
        <v/>
      </c>
    </row>
    <row r="194">
      <c r="A194" s="13" t="n"/>
      <c r="B194" s="13" t="n"/>
      <c r="C194" s="68" t="n"/>
      <c r="D194" s="13" t="n"/>
      <c r="E194" s="13" t="n"/>
      <c r="F194" s="69" t="n"/>
      <c r="G194" s="69" t="n"/>
      <c r="H194" s="69" t="n"/>
      <c r="I194" s="13" t="n"/>
      <c r="J194" s="13" t="n"/>
      <c r="K194" s="13" t="n"/>
      <c r="L194" s="16">
        <f>IF($A194="","",1)</f>
        <v/>
      </c>
    </row>
    <row r="195">
      <c r="A195" s="13" t="n"/>
      <c r="B195" s="13" t="n"/>
      <c r="C195" s="68" t="n"/>
      <c r="D195" s="13" t="n"/>
      <c r="E195" s="13" t="n"/>
      <c r="F195" s="69" t="n"/>
      <c r="G195" s="69" t="n"/>
      <c r="H195" s="69" t="n"/>
      <c r="I195" s="13" t="n"/>
      <c r="J195" s="13" t="n"/>
      <c r="K195" s="13" t="n"/>
      <c r="L195" s="16">
        <f>IF($A195="","",1)</f>
        <v/>
      </c>
    </row>
    <row r="196">
      <c r="A196" s="13" t="n"/>
      <c r="B196" s="13" t="n"/>
      <c r="C196" s="68" t="n"/>
      <c r="D196" s="13" t="n"/>
      <c r="E196" s="13" t="n"/>
      <c r="F196" s="69" t="n"/>
      <c r="G196" s="69" t="n"/>
      <c r="H196" s="69" t="n"/>
      <c r="I196" s="13" t="n"/>
      <c r="J196" s="13" t="n"/>
      <c r="K196" s="13" t="n"/>
      <c r="L196" s="16">
        <f>IF($A196="","",1)</f>
        <v/>
      </c>
    </row>
    <row r="197">
      <c r="A197" s="13" t="n"/>
      <c r="B197" s="13" t="n"/>
      <c r="C197" s="68" t="n"/>
      <c r="D197" s="13" t="n"/>
      <c r="E197" s="13" t="n"/>
      <c r="F197" s="69" t="n"/>
      <c r="G197" s="69" t="n"/>
      <c r="H197" s="69" t="n"/>
      <c r="I197" s="13" t="n"/>
      <c r="J197" s="13" t="n"/>
      <c r="K197" s="13" t="n"/>
      <c r="L197" s="16">
        <f>IF($A197="","",1)</f>
        <v/>
      </c>
    </row>
    <row r="198">
      <c r="A198" s="13" t="n"/>
      <c r="B198" s="13" t="n"/>
      <c r="C198" s="68" t="n"/>
      <c r="D198" s="13" t="n"/>
      <c r="E198" s="13" t="n"/>
      <c r="F198" s="69" t="n"/>
      <c r="G198" s="69" t="n"/>
      <c r="H198" s="69" t="n"/>
      <c r="I198" s="13" t="n"/>
      <c r="J198" s="13" t="n"/>
      <c r="K198" s="13" t="n"/>
      <c r="L198" s="16">
        <f>IF($A198="","",1)</f>
        <v/>
      </c>
    </row>
    <row r="199">
      <c r="A199" s="13" t="n"/>
      <c r="B199" s="13" t="n"/>
      <c r="C199" s="68" t="n"/>
      <c r="D199" s="13" t="n"/>
      <c r="E199" s="13" t="n"/>
      <c r="F199" s="69" t="n"/>
      <c r="G199" s="69" t="n"/>
      <c r="H199" s="69" t="n"/>
      <c r="I199" s="13" t="n"/>
      <c r="J199" s="13" t="n"/>
      <c r="K199" s="13" t="n"/>
      <c r="L199" s="16">
        <f>IF($A199="","",1)</f>
        <v/>
      </c>
    </row>
    <row r="200">
      <c r="A200" s="13" t="n"/>
      <c r="B200" s="13" t="n"/>
      <c r="C200" s="68" t="n"/>
      <c r="D200" s="13" t="n"/>
      <c r="E200" s="13" t="n"/>
      <c r="F200" s="69" t="n"/>
      <c r="G200" s="69" t="n"/>
      <c r="H200" s="69" t="n"/>
      <c r="I200" s="13" t="n"/>
      <c r="J200" s="13" t="n"/>
      <c r="K200" s="13" t="n"/>
      <c r="L200" s="16">
        <f>IF($A200="","",1)</f>
        <v/>
      </c>
    </row>
    <row r="201">
      <c r="A201" s="13" t="n"/>
      <c r="B201" s="13" t="n"/>
      <c r="C201" s="68" t="n"/>
      <c r="D201" s="13" t="n"/>
      <c r="E201" s="13" t="n"/>
      <c r="F201" s="69" t="n"/>
      <c r="G201" s="69" t="n"/>
      <c r="H201" s="69" t="n"/>
      <c r="I201" s="13" t="n"/>
      <c r="J201" s="13" t="n"/>
      <c r="K201" s="13" t="n"/>
      <c r="L201" s="16">
        <f>IF($A201="","",1)</f>
        <v/>
      </c>
    </row>
    <row r="202">
      <c r="A202" s="13" t="n"/>
      <c r="B202" s="13" t="n"/>
      <c r="C202" s="68" t="n"/>
      <c r="D202" s="13" t="n"/>
      <c r="E202" s="13" t="n"/>
      <c r="F202" s="69" t="n"/>
      <c r="G202" s="69" t="n"/>
      <c r="H202" s="69" t="n"/>
      <c r="I202" s="13" t="n"/>
      <c r="J202" s="13" t="n"/>
      <c r="K202" s="13" t="n"/>
      <c r="L202" s="16">
        <f>IF($A202="","",1)</f>
        <v/>
      </c>
    </row>
    <row r="203">
      <c r="A203" s="13" t="n"/>
      <c r="B203" s="13" t="n"/>
      <c r="C203" s="68" t="n"/>
      <c r="D203" s="13" t="n"/>
      <c r="E203" s="13" t="n"/>
      <c r="F203" s="69" t="n"/>
      <c r="G203" s="69" t="n"/>
      <c r="H203" s="69" t="n"/>
      <c r="I203" s="13" t="n"/>
      <c r="J203" s="13" t="n"/>
      <c r="K203" s="13" t="n"/>
      <c r="L203" s="16">
        <f>IF($A203="","",1)</f>
        <v/>
      </c>
    </row>
    <row r="204">
      <c r="A204" s="13" t="n"/>
      <c r="B204" s="13" t="n"/>
      <c r="C204" s="68" t="n"/>
      <c r="D204" s="13" t="n"/>
      <c r="E204" s="13" t="n"/>
      <c r="F204" s="69" t="n"/>
      <c r="G204" s="69" t="n"/>
      <c r="H204" s="69" t="n"/>
      <c r="I204" s="13" t="n"/>
      <c r="J204" s="13" t="n"/>
      <c r="K204" s="13" t="n"/>
      <c r="L204" s="16">
        <f>IF($A204="","",1)</f>
        <v/>
      </c>
    </row>
    <row r="205">
      <c r="A205" s="13" t="n"/>
      <c r="B205" s="13" t="n"/>
      <c r="C205" s="68" t="n"/>
      <c r="D205" s="13" t="n"/>
      <c r="E205" s="13" t="n"/>
      <c r="F205" s="69" t="n"/>
      <c r="G205" s="69" t="n"/>
      <c r="H205" s="69" t="n"/>
      <c r="I205" s="13" t="n"/>
      <c r="J205" s="13" t="n"/>
      <c r="K205" s="13" t="n"/>
      <c r="L205" s="16">
        <f>IF($A205="","",1)</f>
        <v/>
      </c>
    </row>
    <row r="206">
      <c r="A206" s="13" t="n"/>
      <c r="B206" s="13" t="n"/>
      <c r="C206" s="68" t="n"/>
      <c r="D206" s="13" t="n"/>
      <c r="E206" s="13" t="n"/>
      <c r="F206" s="69" t="n"/>
      <c r="G206" s="69" t="n"/>
      <c r="H206" s="69" t="n"/>
      <c r="I206" s="13" t="n"/>
      <c r="J206" s="13" t="n"/>
      <c r="K206" s="13" t="n"/>
      <c r="L206" s="16">
        <f>IF($A206="","",1)</f>
        <v/>
      </c>
    </row>
    <row r="207">
      <c r="A207" s="13" t="n"/>
      <c r="B207" s="13" t="n"/>
      <c r="C207" s="68" t="n"/>
      <c r="D207" s="13" t="n"/>
      <c r="E207" s="13" t="n"/>
      <c r="F207" s="69" t="n"/>
      <c r="G207" s="69" t="n"/>
      <c r="H207" s="69" t="n"/>
      <c r="I207" s="13" t="n"/>
      <c r="J207" s="13" t="n"/>
      <c r="K207" s="13" t="n"/>
      <c r="L207" s="16">
        <f>IF($A207="","",1)</f>
        <v/>
      </c>
    </row>
    <row r="208">
      <c r="A208" s="13" t="n"/>
      <c r="B208" s="13" t="n"/>
      <c r="C208" s="68" t="n"/>
      <c r="D208" s="13" t="n"/>
      <c r="E208" s="13" t="n"/>
      <c r="F208" s="69" t="n"/>
      <c r="G208" s="69" t="n"/>
      <c r="H208" s="69" t="n"/>
      <c r="I208" s="13" t="n"/>
      <c r="J208" s="13" t="n"/>
      <c r="K208" s="13" t="n"/>
      <c r="L208" s="16">
        <f>IF($A208="","",1)</f>
        <v/>
      </c>
    </row>
    <row r="209">
      <c r="A209" s="13" t="n"/>
      <c r="B209" s="13" t="n"/>
      <c r="C209" s="68" t="n"/>
      <c r="D209" s="13" t="n"/>
      <c r="E209" s="13" t="n"/>
      <c r="F209" s="69" t="n"/>
      <c r="G209" s="69" t="n"/>
      <c r="H209" s="69" t="n"/>
      <c r="I209" s="13" t="n"/>
      <c r="J209" s="13" t="n"/>
      <c r="K209" s="13" t="n"/>
      <c r="L209" s="16">
        <f>IF($A209="","",1)</f>
        <v/>
      </c>
    </row>
    <row r="210">
      <c r="A210" s="13" t="n"/>
      <c r="B210" s="13" t="n"/>
      <c r="C210" s="68" t="n"/>
      <c r="D210" s="13" t="n"/>
      <c r="E210" s="13" t="n"/>
      <c r="F210" s="69" t="n"/>
      <c r="G210" s="69" t="n"/>
      <c r="H210" s="69" t="n"/>
      <c r="I210" s="13" t="n"/>
      <c r="J210" s="13" t="n"/>
      <c r="K210" s="13" t="n"/>
      <c r="L210" s="16">
        <f>IF($A210="","",1)</f>
        <v/>
      </c>
    </row>
    <row r="211">
      <c r="A211" s="13" t="n"/>
      <c r="B211" s="13" t="n"/>
      <c r="C211" s="68" t="n"/>
      <c r="D211" s="13" t="n"/>
      <c r="E211" s="13" t="n"/>
      <c r="F211" s="69" t="n"/>
      <c r="G211" s="69" t="n"/>
      <c r="H211" s="69" t="n"/>
      <c r="I211" s="13" t="n"/>
      <c r="J211" s="13" t="n"/>
      <c r="K211" s="13" t="n"/>
      <c r="L211" s="16">
        <f>IF($A211="","",1)</f>
        <v/>
      </c>
    </row>
    <row r="212">
      <c r="A212" s="13" t="n"/>
      <c r="B212" s="13" t="n"/>
      <c r="C212" s="68" t="n"/>
      <c r="D212" s="13" t="n"/>
      <c r="E212" s="13" t="n"/>
      <c r="F212" s="69" t="n"/>
      <c r="G212" s="69" t="n"/>
      <c r="H212" s="69" t="n"/>
      <c r="I212" s="13" t="n"/>
      <c r="J212" s="13" t="n"/>
      <c r="K212" s="13" t="n"/>
      <c r="L212" s="16">
        <f>IF($A212="","",1)</f>
        <v/>
      </c>
    </row>
    <row r="213">
      <c r="A213" s="13" t="n"/>
      <c r="B213" s="13" t="n"/>
      <c r="C213" s="68" t="n"/>
      <c r="D213" s="13" t="n"/>
      <c r="E213" s="13" t="n"/>
      <c r="F213" s="69" t="n"/>
      <c r="G213" s="69" t="n"/>
      <c r="H213" s="69" t="n"/>
      <c r="I213" s="13" t="n"/>
      <c r="J213" s="13" t="n"/>
      <c r="K213" s="13" t="n"/>
      <c r="L213" s="16">
        <f>IF($A213="","",1)</f>
        <v/>
      </c>
    </row>
    <row r="214">
      <c r="A214" s="13" t="n"/>
      <c r="B214" s="13" t="n"/>
      <c r="C214" s="68" t="n"/>
      <c r="D214" s="13" t="n"/>
      <c r="E214" s="13" t="n"/>
      <c r="F214" s="69" t="n"/>
      <c r="G214" s="69" t="n"/>
      <c r="H214" s="69" t="n"/>
      <c r="I214" s="13" t="n"/>
      <c r="J214" s="13" t="n"/>
      <c r="K214" s="13" t="n"/>
      <c r="L214" s="16">
        <f>IF($A214="","",1)</f>
        <v/>
      </c>
    </row>
    <row r="215">
      <c r="A215" s="13" t="n"/>
      <c r="B215" s="13" t="n"/>
      <c r="C215" s="68" t="n"/>
      <c r="D215" s="13" t="n"/>
      <c r="E215" s="13" t="n"/>
      <c r="F215" s="69" t="n"/>
      <c r="G215" s="69" t="n"/>
      <c r="H215" s="69" t="n"/>
      <c r="I215" s="13" t="n"/>
      <c r="J215" s="13" t="n"/>
      <c r="K215" s="13" t="n"/>
      <c r="L215" s="16">
        <f>IF($A215="","",1)</f>
        <v/>
      </c>
    </row>
    <row r="216">
      <c r="A216" s="13" t="n"/>
      <c r="B216" s="13" t="n"/>
      <c r="C216" s="68" t="n"/>
      <c r="D216" s="13" t="n"/>
      <c r="E216" s="13" t="n"/>
      <c r="F216" s="69" t="n"/>
      <c r="G216" s="69" t="n"/>
      <c r="H216" s="69" t="n"/>
      <c r="I216" s="13" t="n"/>
      <c r="J216" s="13" t="n"/>
      <c r="K216" s="13" t="n"/>
      <c r="L216" s="16">
        <f>IF($A216="","",1)</f>
        <v/>
      </c>
    </row>
    <row r="217">
      <c r="A217" s="13" t="n"/>
      <c r="B217" s="13" t="n"/>
      <c r="C217" s="68" t="n"/>
      <c r="D217" s="13" t="n"/>
      <c r="E217" s="13" t="n"/>
      <c r="F217" s="69" t="n"/>
      <c r="G217" s="69" t="n"/>
      <c r="H217" s="69" t="n"/>
      <c r="I217" s="13" t="n"/>
      <c r="J217" s="13" t="n"/>
      <c r="K217" s="13" t="n"/>
      <c r="L217" s="16">
        <f>IF($A217="","",1)</f>
        <v/>
      </c>
    </row>
    <row r="218">
      <c r="A218" s="13" t="n"/>
      <c r="B218" s="13" t="n"/>
      <c r="C218" s="68" t="n"/>
      <c r="D218" s="13" t="n"/>
      <c r="E218" s="13" t="n"/>
      <c r="F218" s="69" t="n"/>
      <c r="G218" s="69" t="n"/>
      <c r="H218" s="69" t="n"/>
      <c r="I218" s="13" t="n"/>
      <c r="J218" s="13" t="n"/>
      <c r="K218" s="13" t="n"/>
      <c r="L218" s="16">
        <f>IF($A218="","",1)</f>
        <v/>
      </c>
    </row>
    <row r="219">
      <c r="A219" s="13" t="n"/>
      <c r="B219" s="13" t="n"/>
      <c r="C219" s="68" t="n"/>
      <c r="D219" s="13" t="n"/>
      <c r="E219" s="13" t="n"/>
      <c r="F219" s="69" t="n"/>
      <c r="G219" s="69" t="n"/>
      <c r="H219" s="69" t="n"/>
      <c r="I219" s="13" t="n"/>
      <c r="J219" s="13" t="n"/>
      <c r="K219" s="13" t="n"/>
      <c r="L219" s="16">
        <f>IF($A219="","",1)</f>
        <v/>
      </c>
    </row>
    <row r="220">
      <c r="A220" s="13" t="n"/>
      <c r="B220" s="13" t="n"/>
      <c r="C220" s="68" t="n"/>
      <c r="D220" s="13" t="n"/>
      <c r="E220" s="13" t="n"/>
      <c r="F220" s="69" t="n"/>
      <c r="G220" s="69" t="n"/>
      <c r="H220" s="69" t="n"/>
      <c r="I220" s="13" t="n"/>
      <c r="J220" s="13" t="n"/>
      <c r="K220" s="13" t="n"/>
      <c r="L220" s="16">
        <f>IF($A220="","",1)</f>
        <v/>
      </c>
    </row>
    <row r="221">
      <c r="A221" s="13" t="n"/>
      <c r="B221" s="13" t="n"/>
      <c r="C221" s="68" t="n"/>
      <c r="D221" s="13" t="n"/>
      <c r="E221" s="13" t="n"/>
      <c r="F221" s="69" t="n"/>
      <c r="G221" s="69" t="n"/>
      <c r="H221" s="69" t="n"/>
      <c r="I221" s="13" t="n"/>
      <c r="J221" s="13" t="n"/>
      <c r="K221" s="13" t="n"/>
      <c r="L221" s="16">
        <f>IF($A221="","",1)</f>
        <v/>
      </c>
    </row>
    <row r="222">
      <c r="A222" s="13" t="n"/>
      <c r="B222" s="13" t="n"/>
      <c r="C222" s="68" t="n"/>
      <c r="D222" s="13" t="n"/>
      <c r="E222" s="13" t="n"/>
      <c r="F222" s="69" t="n"/>
      <c r="G222" s="69" t="n"/>
      <c r="H222" s="69" t="n"/>
      <c r="I222" s="13" t="n"/>
      <c r="J222" s="13" t="n"/>
      <c r="K222" s="13" t="n"/>
      <c r="L222" s="16">
        <f>IF($A222="","",1)</f>
        <v/>
      </c>
    </row>
    <row r="223">
      <c r="A223" s="13" t="n"/>
      <c r="B223" s="13" t="n"/>
      <c r="C223" s="68" t="n"/>
      <c r="D223" s="13" t="n"/>
      <c r="E223" s="13" t="n"/>
      <c r="F223" s="69" t="n"/>
      <c r="G223" s="69" t="n"/>
      <c r="H223" s="69" t="n"/>
      <c r="I223" s="13" t="n"/>
      <c r="J223" s="13" t="n"/>
      <c r="K223" s="13" t="n"/>
      <c r="L223" s="16">
        <f>IF($A223="","",1)</f>
        <v/>
      </c>
    </row>
    <row r="224">
      <c r="A224" s="13" t="n"/>
      <c r="B224" s="13" t="n"/>
      <c r="C224" s="68" t="n"/>
      <c r="D224" s="13" t="n"/>
      <c r="E224" s="13" t="n"/>
      <c r="F224" s="69" t="n"/>
      <c r="G224" s="69" t="n"/>
      <c r="H224" s="69" t="n"/>
      <c r="I224" s="13" t="n"/>
      <c r="J224" s="13" t="n"/>
      <c r="K224" s="13" t="n"/>
      <c r="L224" s="16">
        <f>IF($A224="","",1)</f>
        <v/>
      </c>
    </row>
    <row r="225">
      <c r="A225" s="13" t="n"/>
      <c r="B225" s="13" t="n"/>
      <c r="C225" s="68" t="n"/>
      <c r="D225" s="13" t="n"/>
      <c r="E225" s="13" t="n"/>
      <c r="F225" s="69" t="n"/>
      <c r="G225" s="69" t="n"/>
      <c r="H225" s="69" t="n"/>
      <c r="I225" s="13" t="n"/>
      <c r="J225" s="13" t="n"/>
      <c r="K225" s="13" t="n"/>
      <c r="L225" s="16">
        <f>IF($A225="","",1)</f>
        <v/>
      </c>
    </row>
    <row r="226">
      <c r="A226" s="13" t="n"/>
      <c r="B226" s="13" t="n"/>
      <c r="C226" s="68" t="n"/>
      <c r="D226" s="13" t="n"/>
      <c r="E226" s="13" t="n"/>
      <c r="F226" s="69" t="n"/>
      <c r="G226" s="69" t="n"/>
      <c r="H226" s="69" t="n"/>
      <c r="I226" s="13" t="n"/>
      <c r="J226" s="13" t="n"/>
      <c r="K226" s="13" t="n"/>
      <c r="L226" s="16">
        <f>IF($A226="","",1)</f>
        <v/>
      </c>
    </row>
    <row r="227">
      <c r="A227" s="13" t="n"/>
      <c r="B227" s="13" t="n"/>
      <c r="C227" s="68" t="n"/>
      <c r="D227" s="13" t="n"/>
      <c r="E227" s="13" t="n"/>
      <c r="F227" s="69" t="n"/>
      <c r="G227" s="69" t="n"/>
      <c r="H227" s="69" t="n"/>
      <c r="I227" s="13" t="n"/>
      <c r="J227" s="13" t="n"/>
      <c r="K227" s="13" t="n"/>
      <c r="L227" s="16">
        <f>IF($A227="","",1)</f>
        <v/>
      </c>
    </row>
    <row r="228">
      <c r="A228" s="13" t="n"/>
      <c r="B228" s="13" t="n"/>
      <c r="C228" s="68" t="n"/>
      <c r="D228" s="13" t="n"/>
      <c r="E228" s="13" t="n"/>
      <c r="F228" s="69" t="n"/>
      <c r="G228" s="69" t="n"/>
      <c r="H228" s="69" t="n"/>
      <c r="I228" s="13" t="n"/>
      <c r="J228" s="13" t="n"/>
      <c r="K228" s="13" t="n"/>
      <c r="L228" s="16">
        <f>IF($A228="","",1)</f>
        <v/>
      </c>
    </row>
    <row r="229">
      <c r="A229" s="13" t="n"/>
      <c r="B229" s="13" t="n"/>
      <c r="C229" s="68" t="n"/>
      <c r="D229" s="13" t="n"/>
      <c r="E229" s="13" t="n"/>
      <c r="F229" s="69" t="n"/>
      <c r="G229" s="69" t="n"/>
      <c r="H229" s="69" t="n"/>
      <c r="I229" s="13" t="n"/>
      <c r="J229" s="13" t="n"/>
      <c r="K229" s="13" t="n"/>
      <c r="L229" s="16">
        <f>IF($A229="","",1)</f>
        <v/>
      </c>
    </row>
    <row r="230">
      <c r="A230" s="13" t="n"/>
      <c r="B230" s="13" t="n"/>
      <c r="C230" s="68" t="n"/>
      <c r="D230" s="13" t="n"/>
      <c r="E230" s="13" t="n"/>
      <c r="F230" s="69" t="n"/>
      <c r="G230" s="69" t="n"/>
      <c r="H230" s="69" t="n"/>
      <c r="I230" s="13" t="n"/>
      <c r="J230" s="13" t="n"/>
      <c r="K230" s="13" t="n"/>
      <c r="L230" s="16">
        <f>IF($A230="","",1)</f>
        <v/>
      </c>
    </row>
    <row r="231">
      <c r="A231" s="13" t="n"/>
      <c r="B231" s="13" t="n"/>
      <c r="C231" s="68" t="n"/>
      <c r="D231" s="13" t="n"/>
      <c r="E231" s="13" t="n"/>
      <c r="F231" s="69" t="n"/>
      <c r="G231" s="69" t="n"/>
      <c r="H231" s="69" t="n"/>
      <c r="I231" s="13" t="n"/>
      <c r="J231" s="13" t="n"/>
      <c r="K231" s="13" t="n"/>
      <c r="L231" s="16">
        <f>IF($A231="","",1)</f>
        <v/>
      </c>
    </row>
    <row r="232">
      <c r="A232" s="13" t="n"/>
      <c r="B232" s="13" t="n"/>
      <c r="C232" s="68" t="n"/>
      <c r="D232" s="13" t="n"/>
      <c r="E232" s="13" t="n"/>
      <c r="F232" s="69" t="n"/>
      <c r="G232" s="69" t="n"/>
      <c r="H232" s="69" t="n"/>
      <c r="I232" s="13" t="n"/>
      <c r="J232" s="13" t="n"/>
      <c r="K232" s="13" t="n"/>
      <c r="L232" s="16">
        <f>IF($A232="","",1)</f>
        <v/>
      </c>
    </row>
    <row r="233">
      <c r="A233" s="13" t="n"/>
      <c r="B233" s="13" t="n"/>
      <c r="C233" s="68" t="n"/>
      <c r="D233" s="13" t="n"/>
      <c r="E233" s="13" t="n"/>
      <c r="F233" s="69" t="n"/>
      <c r="G233" s="69" t="n"/>
      <c r="H233" s="69" t="n"/>
      <c r="I233" s="13" t="n"/>
      <c r="J233" s="13" t="n"/>
      <c r="K233" s="13" t="n"/>
      <c r="L233" s="16">
        <f>IF($A233="","",1)</f>
        <v/>
      </c>
    </row>
    <row r="234">
      <c r="A234" s="13" t="n"/>
      <c r="B234" s="13" t="n"/>
      <c r="C234" s="68" t="n"/>
      <c r="D234" s="13" t="n"/>
      <c r="E234" s="13" t="n"/>
      <c r="F234" s="69" t="n"/>
      <c r="G234" s="69" t="n"/>
      <c r="H234" s="69" t="n"/>
      <c r="I234" s="13" t="n"/>
      <c r="J234" s="13" t="n"/>
      <c r="K234" s="13" t="n"/>
      <c r="L234" s="16">
        <f>IF($A234="","",1)</f>
        <v/>
      </c>
    </row>
    <row r="235">
      <c r="A235" s="13" t="n"/>
      <c r="B235" s="13" t="n"/>
      <c r="C235" s="68" t="n"/>
      <c r="D235" s="13" t="n"/>
      <c r="E235" s="13" t="n"/>
      <c r="F235" s="69" t="n"/>
      <c r="G235" s="69" t="n"/>
      <c r="H235" s="69" t="n"/>
      <c r="I235" s="13" t="n"/>
      <c r="J235" s="13" t="n"/>
      <c r="K235" s="13" t="n"/>
      <c r="L235" s="16">
        <f>IF($A235="","",1)</f>
        <v/>
      </c>
    </row>
    <row r="236">
      <c r="A236" s="13" t="n"/>
      <c r="B236" s="13" t="n"/>
      <c r="C236" s="68" t="n"/>
      <c r="D236" s="13" t="n"/>
      <c r="E236" s="13" t="n"/>
      <c r="F236" s="69" t="n"/>
      <c r="G236" s="69" t="n"/>
      <c r="H236" s="69" t="n"/>
      <c r="I236" s="13" t="n"/>
      <c r="J236" s="13" t="n"/>
      <c r="K236" s="13" t="n"/>
      <c r="L236" s="16">
        <f>IF($A236="","",1)</f>
        <v/>
      </c>
    </row>
    <row r="237">
      <c r="A237" s="13" t="n"/>
      <c r="B237" s="13" t="n"/>
      <c r="C237" s="68" t="n"/>
      <c r="D237" s="13" t="n"/>
      <c r="E237" s="13" t="n"/>
      <c r="F237" s="69" t="n"/>
      <c r="G237" s="69" t="n"/>
      <c r="H237" s="69" t="n"/>
      <c r="I237" s="13" t="n"/>
      <c r="J237" s="13" t="n"/>
      <c r="K237" s="13" t="n"/>
      <c r="L237" s="16">
        <f>IF($A237="","",1)</f>
        <v/>
      </c>
    </row>
    <row r="238">
      <c r="A238" s="13" t="n"/>
      <c r="B238" s="13" t="n"/>
      <c r="C238" s="68" t="n"/>
      <c r="D238" s="13" t="n"/>
      <c r="E238" s="13" t="n"/>
      <c r="F238" s="69" t="n"/>
      <c r="G238" s="69" t="n"/>
      <c r="H238" s="69" t="n"/>
      <c r="I238" s="13" t="n"/>
      <c r="J238" s="13" t="n"/>
      <c r="K238" s="13" t="n"/>
      <c r="L238" s="16">
        <f>IF($A238="","",1)</f>
        <v/>
      </c>
    </row>
    <row r="239">
      <c r="A239" s="13" t="n"/>
      <c r="B239" s="13" t="n"/>
      <c r="C239" s="68" t="n"/>
      <c r="D239" s="13" t="n"/>
      <c r="E239" s="13" t="n"/>
      <c r="F239" s="69" t="n"/>
      <c r="G239" s="69" t="n"/>
      <c r="H239" s="69" t="n"/>
      <c r="I239" s="13" t="n"/>
      <c r="J239" s="13" t="n"/>
      <c r="K239" s="13" t="n"/>
      <c r="L239" s="16">
        <f>IF($A239="","",1)</f>
        <v/>
      </c>
    </row>
    <row r="240">
      <c r="A240" s="13" t="n"/>
      <c r="B240" s="13" t="n"/>
      <c r="C240" s="68" t="n"/>
      <c r="D240" s="13" t="n"/>
      <c r="E240" s="13" t="n"/>
      <c r="F240" s="69" t="n"/>
      <c r="G240" s="69" t="n"/>
      <c r="H240" s="69" t="n"/>
      <c r="I240" s="13" t="n"/>
      <c r="J240" s="13" t="n"/>
      <c r="K240" s="13" t="n"/>
      <c r="L240" s="16">
        <f>IF($A240="","",1)</f>
        <v/>
      </c>
    </row>
    <row r="241">
      <c r="A241" s="13" t="n"/>
      <c r="B241" s="13" t="n"/>
      <c r="C241" s="68" t="n"/>
      <c r="D241" s="13" t="n"/>
      <c r="E241" s="13" t="n"/>
      <c r="F241" s="69" t="n"/>
      <c r="G241" s="69" t="n"/>
      <c r="H241" s="69" t="n"/>
      <c r="I241" s="13" t="n"/>
      <c r="J241" s="13" t="n"/>
      <c r="K241" s="13" t="n"/>
      <c r="L241" s="16">
        <f>IF($A241="","",1)</f>
        <v/>
      </c>
    </row>
    <row r="242">
      <c r="A242" s="13" t="n"/>
      <c r="B242" s="13" t="n"/>
      <c r="C242" s="68" t="n"/>
      <c r="D242" s="13" t="n"/>
      <c r="E242" s="13" t="n"/>
      <c r="F242" s="69" t="n"/>
      <c r="G242" s="69" t="n"/>
      <c r="H242" s="69" t="n"/>
      <c r="I242" s="13" t="n"/>
      <c r="J242" s="13" t="n"/>
      <c r="K242" s="13" t="n"/>
      <c r="L242" s="16">
        <f>IF($A242="","",1)</f>
        <v/>
      </c>
    </row>
    <row r="243">
      <c r="A243" s="13" t="n"/>
      <c r="B243" s="13" t="n"/>
      <c r="C243" s="68" t="n"/>
      <c r="D243" s="13" t="n"/>
      <c r="E243" s="13" t="n"/>
      <c r="F243" s="69" t="n"/>
      <c r="G243" s="69" t="n"/>
      <c r="H243" s="69" t="n"/>
      <c r="I243" s="13" t="n"/>
      <c r="J243" s="13" t="n"/>
      <c r="K243" s="13" t="n"/>
      <c r="L243" s="16">
        <f>IF($A243="","",1)</f>
        <v/>
      </c>
    </row>
    <row r="244">
      <c r="A244" s="13" t="n"/>
      <c r="B244" s="13" t="n"/>
      <c r="C244" s="68" t="n"/>
      <c r="D244" s="13" t="n"/>
      <c r="E244" s="13" t="n"/>
      <c r="F244" s="69" t="n"/>
      <c r="G244" s="69" t="n"/>
      <c r="H244" s="69" t="n"/>
      <c r="I244" s="13" t="n"/>
      <c r="J244" s="13" t="n"/>
      <c r="K244" s="13" t="n"/>
      <c r="L244" s="16">
        <f>IF($A244="","",1)</f>
        <v/>
      </c>
    </row>
    <row r="245">
      <c r="A245" s="13" t="n"/>
      <c r="B245" s="13" t="n"/>
      <c r="C245" s="68" t="n"/>
      <c r="D245" s="13" t="n"/>
      <c r="E245" s="13" t="n"/>
      <c r="F245" s="69" t="n"/>
      <c r="G245" s="69" t="n"/>
      <c r="H245" s="69" t="n"/>
      <c r="I245" s="13" t="n"/>
      <c r="J245" s="13" t="n"/>
      <c r="K245" s="13" t="n"/>
      <c r="L245" s="16">
        <f>IF($A245="","",1)</f>
        <v/>
      </c>
    </row>
    <row r="246">
      <c r="A246" s="13" t="n"/>
      <c r="B246" s="13" t="n"/>
      <c r="C246" s="68" t="n"/>
      <c r="D246" s="13" t="n"/>
      <c r="E246" s="13" t="n"/>
      <c r="F246" s="69" t="n"/>
      <c r="G246" s="69" t="n"/>
      <c r="H246" s="69" t="n"/>
      <c r="I246" s="13" t="n"/>
      <c r="J246" s="13" t="n"/>
      <c r="K246" s="13" t="n"/>
      <c r="L246" s="16">
        <f>IF($A246="","",1)</f>
        <v/>
      </c>
    </row>
    <row r="247">
      <c r="A247" s="13" t="n"/>
      <c r="B247" s="13" t="n"/>
      <c r="C247" s="68" t="n"/>
      <c r="D247" s="13" t="n"/>
      <c r="E247" s="13" t="n"/>
      <c r="F247" s="69" t="n"/>
      <c r="G247" s="69" t="n"/>
      <c r="H247" s="69" t="n"/>
      <c r="I247" s="13" t="n"/>
      <c r="J247" s="13" t="n"/>
      <c r="K247" s="13" t="n"/>
      <c r="L247" s="16">
        <f>IF($A247="","",1)</f>
        <v/>
      </c>
    </row>
    <row r="248">
      <c r="A248" s="13" t="n"/>
      <c r="B248" s="13" t="n"/>
      <c r="C248" s="68" t="n"/>
      <c r="D248" s="13" t="n"/>
      <c r="E248" s="13" t="n"/>
      <c r="F248" s="69" t="n"/>
      <c r="G248" s="69" t="n"/>
      <c r="H248" s="69" t="n"/>
      <c r="I248" s="13" t="n"/>
      <c r="J248" s="13" t="n"/>
      <c r="K248" s="13" t="n"/>
      <c r="L248" s="16">
        <f>IF($A248="","",1)</f>
        <v/>
      </c>
    </row>
    <row r="249">
      <c r="A249" s="13" t="n"/>
      <c r="B249" s="13" t="n"/>
      <c r="C249" s="68" t="n"/>
      <c r="D249" s="13" t="n"/>
      <c r="E249" s="13" t="n"/>
      <c r="F249" s="69" t="n"/>
      <c r="G249" s="69" t="n"/>
      <c r="H249" s="69" t="n"/>
      <c r="I249" s="13" t="n"/>
      <c r="J249" s="13" t="n"/>
      <c r="K249" s="13" t="n"/>
      <c r="L249" s="16">
        <f>IF($A249="","",1)</f>
        <v/>
      </c>
    </row>
    <row r="250">
      <c r="A250" s="13" t="n"/>
      <c r="B250" s="13" t="n"/>
      <c r="C250" s="68" t="n"/>
      <c r="D250" s="13" t="n"/>
      <c r="E250" s="13" t="n"/>
      <c r="F250" s="69" t="n"/>
      <c r="G250" s="69" t="n"/>
      <c r="H250" s="69" t="n"/>
      <c r="I250" s="13" t="n"/>
      <c r="J250" s="13" t="n"/>
      <c r="K250" s="13" t="n"/>
      <c r="L250" s="16">
        <f>IF($A250="","",1)</f>
        <v/>
      </c>
    </row>
    <row r="251">
      <c r="A251" s="13" t="n"/>
      <c r="B251" s="13" t="n"/>
      <c r="C251" s="68" t="n"/>
      <c r="D251" s="13" t="n"/>
      <c r="E251" s="13" t="n"/>
      <c r="F251" s="69" t="n"/>
      <c r="G251" s="69" t="n"/>
      <c r="H251" s="69" t="n"/>
      <c r="I251" s="13" t="n"/>
      <c r="J251" s="13" t="n"/>
      <c r="K251" s="13" t="n"/>
      <c r="L251" s="16">
        <f>IF($A251="","",1)</f>
        <v/>
      </c>
    </row>
    <row r="252">
      <c r="A252" s="13" t="n"/>
      <c r="B252" s="13" t="n"/>
      <c r="C252" s="68" t="n"/>
      <c r="D252" s="13" t="n"/>
      <c r="E252" s="13" t="n"/>
      <c r="F252" s="69" t="n"/>
      <c r="G252" s="69" t="n"/>
      <c r="H252" s="69" t="n"/>
      <c r="I252" s="13" t="n"/>
      <c r="J252" s="13" t="n"/>
      <c r="K252" s="13" t="n"/>
      <c r="L252" s="16">
        <f>IF($A252="","",1)</f>
        <v/>
      </c>
    </row>
    <row r="253">
      <c r="A253" s="13" t="n"/>
      <c r="B253" s="13" t="n"/>
      <c r="C253" s="68" t="n"/>
      <c r="D253" s="13" t="n"/>
      <c r="E253" s="13" t="n"/>
      <c r="F253" s="69" t="n"/>
      <c r="G253" s="69" t="n"/>
      <c r="H253" s="69" t="n"/>
      <c r="I253" s="13" t="n"/>
      <c r="J253" s="13" t="n"/>
      <c r="K253" s="13" t="n"/>
      <c r="L253" s="16">
        <f>IF($A253="","",1)</f>
        <v/>
      </c>
    </row>
    <row r="254">
      <c r="A254" s="13" t="n"/>
      <c r="B254" s="13" t="n"/>
      <c r="C254" s="68" t="n"/>
      <c r="D254" s="13" t="n"/>
      <c r="E254" s="13" t="n"/>
      <c r="F254" s="69" t="n"/>
      <c r="G254" s="69" t="n"/>
      <c r="H254" s="69" t="n"/>
      <c r="I254" s="13" t="n"/>
      <c r="J254" s="13" t="n"/>
      <c r="K254" s="13" t="n"/>
      <c r="L254" s="16">
        <f>IF($A254="","",1)</f>
        <v/>
      </c>
    </row>
    <row r="255">
      <c r="A255" s="13" t="n"/>
      <c r="B255" s="13" t="n"/>
      <c r="C255" s="68" t="n"/>
      <c r="D255" s="13" t="n"/>
      <c r="E255" s="13" t="n"/>
      <c r="F255" s="69" t="n"/>
      <c r="G255" s="69" t="n"/>
      <c r="H255" s="69" t="n"/>
      <c r="I255" s="13" t="n"/>
      <c r="J255" s="13" t="n"/>
      <c r="K255" s="13" t="n"/>
      <c r="L255" s="16">
        <f>IF($A255="","",1)</f>
        <v/>
      </c>
    </row>
    <row r="256">
      <c r="A256" s="13" t="n"/>
      <c r="B256" s="13" t="n"/>
      <c r="C256" s="68" t="n"/>
      <c r="D256" s="13" t="n"/>
      <c r="E256" s="13" t="n"/>
      <c r="F256" s="69" t="n"/>
      <c r="G256" s="69" t="n"/>
      <c r="H256" s="69" t="n"/>
      <c r="I256" s="13" t="n"/>
      <c r="J256" s="13" t="n"/>
      <c r="K256" s="13" t="n"/>
      <c r="L256" s="16">
        <f>IF($A256="","",1)</f>
        <v/>
      </c>
    </row>
    <row r="257">
      <c r="A257" s="13" t="n"/>
      <c r="B257" s="13" t="n"/>
      <c r="C257" s="68" t="n"/>
      <c r="D257" s="13" t="n"/>
      <c r="E257" s="13" t="n"/>
      <c r="F257" s="69" t="n"/>
      <c r="G257" s="69" t="n"/>
      <c r="H257" s="69" t="n"/>
      <c r="I257" s="13" t="n"/>
      <c r="J257" s="13" t="n"/>
      <c r="K257" s="13" t="n"/>
      <c r="L257" s="16">
        <f>IF($A257="","",1)</f>
        <v/>
      </c>
    </row>
    <row r="258">
      <c r="A258" s="13" t="n"/>
      <c r="B258" s="13" t="n"/>
      <c r="C258" s="68" t="n"/>
      <c r="D258" s="13" t="n"/>
      <c r="E258" s="13" t="n"/>
      <c r="F258" s="69" t="n"/>
      <c r="G258" s="69" t="n"/>
      <c r="H258" s="69" t="n"/>
      <c r="I258" s="13" t="n"/>
      <c r="J258" s="13" t="n"/>
      <c r="K258" s="13" t="n"/>
      <c r="L258" s="16">
        <f>IF($A258="","",1)</f>
        <v/>
      </c>
    </row>
    <row r="259">
      <c r="A259" s="13" t="n"/>
      <c r="B259" s="13" t="n"/>
      <c r="C259" s="68" t="n"/>
      <c r="D259" s="13" t="n"/>
      <c r="E259" s="13" t="n"/>
      <c r="F259" s="69" t="n"/>
      <c r="G259" s="69" t="n"/>
      <c r="H259" s="69" t="n"/>
      <c r="I259" s="13" t="n"/>
      <c r="J259" s="13" t="n"/>
      <c r="K259" s="13" t="n"/>
      <c r="L259" s="16">
        <f>IF($A259="","",1)</f>
        <v/>
      </c>
    </row>
    <row r="260">
      <c r="A260" s="13" t="n"/>
      <c r="B260" s="13" t="n"/>
      <c r="C260" s="68" t="n"/>
      <c r="D260" s="13" t="n"/>
      <c r="E260" s="13" t="n"/>
      <c r="F260" s="69" t="n"/>
      <c r="G260" s="69" t="n"/>
      <c r="H260" s="69" t="n"/>
      <c r="I260" s="13" t="n"/>
      <c r="J260" s="13" t="n"/>
      <c r="K260" s="13" t="n"/>
      <c r="L260" s="16">
        <f>IF($A260="","",1)</f>
        <v/>
      </c>
    </row>
    <row r="261">
      <c r="A261" s="13" t="n"/>
      <c r="B261" s="13" t="n"/>
      <c r="C261" s="68" t="n"/>
      <c r="D261" s="13" t="n"/>
      <c r="E261" s="13" t="n"/>
      <c r="F261" s="69" t="n"/>
      <c r="G261" s="69" t="n"/>
      <c r="H261" s="69" t="n"/>
      <c r="I261" s="13" t="n"/>
      <c r="J261" s="13" t="n"/>
      <c r="K261" s="13" t="n"/>
      <c r="L261" s="16">
        <f>IF($A261="","",1)</f>
        <v/>
      </c>
    </row>
    <row r="262">
      <c r="A262" s="13" t="n"/>
      <c r="B262" s="13" t="n"/>
      <c r="C262" s="68" t="n"/>
      <c r="D262" s="13" t="n"/>
      <c r="E262" s="13" t="n"/>
      <c r="F262" s="69" t="n"/>
      <c r="G262" s="69" t="n"/>
      <c r="H262" s="69" t="n"/>
      <c r="I262" s="13" t="n"/>
      <c r="J262" s="13" t="n"/>
      <c r="K262" s="13" t="n"/>
      <c r="L262" s="16">
        <f>IF($A262="","",1)</f>
        <v/>
      </c>
    </row>
    <row r="263">
      <c r="A263" s="13" t="n"/>
      <c r="B263" s="13" t="n"/>
      <c r="C263" s="68" t="n"/>
      <c r="D263" s="13" t="n"/>
      <c r="E263" s="13" t="n"/>
      <c r="F263" s="69" t="n"/>
      <c r="G263" s="69" t="n"/>
      <c r="H263" s="69" t="n"/>
      <c r="I263" s="13" t="n"/>
      <c r="J263" s="13" t="n"/>
      <c r="K263" s="13" t="n"/>
      <c r="L263" s="16">
        <f>IF($A263="","",1)</f>
        <v/>
      </c>
    </row>
    <row r="264">
      <c r="A264" s="13" t="n"/>
      <c r="B264" s="13" t="n"/>
      <c r="C264" s="68" t="n"/>
      <c r="D264" s="13" t="n"/>
      <c r="E264" s="13" t="n"/>
      <c r="F264" s="69" t="n"/>
      <c r="G264" s="69" t="n"/>
      <c r="H264" s="69" t="n"/>
      <c r="I264" s="13" t="n"/>
      <c r="J264" s="13" t="n"/>
      <c r="K264" s="13" t="n"/>
      <c r="L264" s="16">
        <f>IF($A264="","",1)</f>
        <v/>
      </c>
    </row>
    <row r="265">
      <c r="A265" s="13" t="n"/>
      <c r="B265" s="13" t="n"/>
      <c r="C265" s="68" t="n"/>
      <c r="D265" s="13" t="n"/>
      <c r="E265" s="13" t="n"/>
      <c r="F265" s="69" t="n"/>
      <c r="G265" s="69" t="n"/>
      <c r="H265" s="69" t="n"/>
      <c r="I265" s="13" t="n"/>
      <c r="J265" s="13" t="n"/>
      <c r="K265" s="13" t="n"/>
      <c r="L265" s="16">
        <f>IF($A265="","",1)</f>
        <v/>
      </c>
    </row>
    <row r="266">
      <c r="A266" s="13" t="n"/>
      <c r="B266" s="13" t="n"/>
      <c r="C266" s="68" t="n"/>
      <c r="D266" s="13" t="n"/>
      <c r="E266" s="13" t="n"/>
      <c r="F266" s="69" t="n"/>
      <c r="G266" s="69" t="n"/>
      <c r="H266" s="69" t="n"/>
      <c r="I266" s="13" t="n"/>
      <c r="J266" s="13" t="n"/>
      <c r="K266" s="13" t="n"/>
      <c r="L266" s="16">
        <f>IF($A266="","",1)</f>
        <v/>
      </c>
    </row>
    <row r="267">
      <c r="A267" s="13" t="n"/>
      <c r="B267" s="13" t="n"/>
      <c r="C267" s="68" t="n"/>
      <c r="D267" s="13" t="n"/>
      <c r="E267" s="13" t="n"/>
      <c r="F267" s="69" t="n"/>
      <c r="G267" s="69" t="n"/>
      <c r="H267" s="69" t="n"/>
      <c r="I267" s="13" t="n"/>
      <c r="J267" s="13" t="n"/>
      <c r="K267" s="13" t="n"/>
      <c r="L267" s="16">
        <f>IF($A267="","",1)</f>
        <v/>
      </c>
    </row>
    <row r="268">
      <c r="A268" s="13" t="n"/>
      <c r="B268" s="13" t="n"/>
      <c r="C268" s="68" t="n"/>
      <c r="D268" s="13" t="n"/>
      <c r="E268" s="13" t="n"/>
      <c r="F268" s="69" t="n"/>
      <c r="G268" s="69" t="n"/>
      <c r="H268" s="69" t="n"/>
      <c r="I268" s="13" t="n"/>
      <c r="J268" s="13" t="n"/>
      <c r="K268" s="13" t="n"/>
      <c r="L268" s="16">
        <f>IF($A268="","",1)</f>
        <v/>
      </c>
    </row>
    <row r="269">
      <c r="A269" s="13" t="n"/>
      <c r="B269" s="13" t="n"/>
      <c r="C269" s="68" t="n"/>
      <c r="D269" s="13" t="n"/>
      <c r="E269" s="13" t="n"/>
      <c r="F269" s="69" t="n"/>
      <c r="G269" s="69" t="n"/>
      <c r="H269" s="69" t="n"/>
      <c r="I269" s="13" t="n"/>
      <c r="J269" s="13" t="n"/>
      <c r="K269" s="13" t="n"/>
      <c r="L269" s="16">
        <f>IF($A269="","",1)</f>
        <v/>
      </c>
    </row>
    <row r="270">
      <c r="A270" s="13" t="n"/>
      <c r="B270" s="13" t="n"/>
      <c r="C270" s="68" t="n"/>
      <c r="D270" s="13" t="n"/>
      <c r="E270" s="13" t="n"/>
      <c r="F270" s="69" t="n"/>
      <c r="G270" s="69" t="n"/>
      <c r="H270" s="69" t="n"/>
      <c r="I270" s="13" t="n"/>
      <c r="J270" s="13" t="n"/>
      <c r="K270" s="13" t="n"/>
      <c r="L270" s="16">
        <f>IF($A270="","",1)</f>
        <v/>
      </c>
    </row>
    <row r="271">
      <c r="A271" s="13" t="n"/>
      <c r="B271" s="13" t="n"/>
      <c r="C271" s="68" t="n"/>
      <c r="D271" s="13" t="n"/>
      <c r="E271" s="13" t="n"/>
      <c r="F271" s="69" t="n"/>
      <c r="G271" s="69" t="n"/>
      <c r="H271" s="69" t="n"/>
      <c r="I271" s="13" t="n"/>
      <c r="J271" s="13" t="n"/>
      <c r="K271" s="13" t="n"/>
      <c r="L271" s="16">
        <f>IF($A271="","",1)</f>
        <v/>
      </c>
    </row>
    <row r="272">
      <c r="A272" s="13" t="n"/>
      <c r="B272" s="13" t="n"/>
      <c r="C272" s="68" t="n"/>
      <c r="D272" s="13" t="n"/>
      <c r="E272" s="13" t="n"/>
      <c r="F272" s="69" t="n"/>
      <c r="G272" s="69" t="n"/>
      <c r="H272" s="69" t="n"/>
      <c r="I272" s="13" t="n"/>
      <c r="J272" s="13" t="n"/>
      <c r="K272" s="13" t="n"/>
      <c r="L272" s="16">
        <f>IF($A272="","",1)</f>
        <v/>
      </c>
    </row>
    <row r="273">
      <c r="A273" s="13" t="n"/>
      <c r="B273" s="13" t="n"/>
      <c r="C273" s="68" t="n"/>
      <c r="D273" s="13" t="n"/>
      <c r="E273" s="13" t="n"/>
      <c r="F273" s="69" t="n"/>
      <c r="G273" s="69" t="n"/>
      <c r="H273" s="69" t="n"/>
      <c r="I273" s="13" t="n"/>
      <c r="J273" s="13" t="n"/>
      <c r="K273" s="13" t="n"/>
      <c r="L273" s="16">
        <f>IF($A273="","",1)</f>
        <v/>
      </c>
    </row>
    <row r="274">
      <c r="A274" s="13" t="n"/>
      <c r="B274" s="13" t="n"/>
      <c r="C274" s="68" t="n"/>
      <c r="D274" s="13" t="n"/>
      <c r="E274" s="13" t="n"/>
      <c r="F274" s="69" t="n"/>
      <c r="G274" s="69" t="n"/>
      <c r="H274" s="69" t="n"/>
      <c r="I274" s="13" t="n"/>
      <c r="J274" s="13" t="n"/>
      <c r="K274" s="13" t="n"/>
      <c r="L274" s="16">
        <f>IF($A274="","",1)</f>
        <v/>
      </c>
    </row>
    <row r="275">
      <c r="A275" s="13" t="n"/>
      <c r="B275" s="13" t="n"/>
      <c r="C275" s="68" t="n"/>
      <c r="D275" s="13" t="n"/>
      <c r="E275" s="13" t="n"/>
      <c r="F275" s="69" t="n"/>
      <c r="G275" s="69" t="n"/>
      <c r="H275" s="69" t="n"/>
      <c r="I275" s="13" t="n"/>
      <c r="J275" s="13" t="n"/>
      <c r="K275" s="13" t="n"/>
      <c r="L275" s="16">
        <f>IF($A275="","",1)</f>
        <v/>
      </c>
    </row>
    <row r="276">
      <c r="A276" s="13" t="n"/>
      <c r="B276" s="13" t="n"/>
      <c r="C276" s="68" t="n"/>
      <c r="D276" s="13" t="n"/>
      <c r="E276" s="13" t="n"/>
      <c r="F276" s="69" t="n"/>
      <c r="G276" s="69" t="n"/>
      <c r="H276" s="69" t="n"/>
      <c r="I276" s="13" t="n"/>
      <c r="J276" s="13" t="n"/>
      <c r="K276" s="13" t="n"/>
      <c r="L276" s="16">
        <f>IF($A276="","",1)</f>
        <v/>
      </c>
    </row>
    <row r="277">
      <c r="A277" s="13" t="n"/>
      <c r="B277" s="13" t="n"/>
      <c r="C277" s="68" t="n"/>
      <c r="D277" s="13" t="n"/>
      <c r="E277" s="13" t="n"/>
      <c r="F277" s="69" t="n"/>
      <c r="G277" s="69" t="n"/>
      <c r="H277" s="69" t="n"/>
      <c r="I277" s="13" t="n"/>
      <c r="J277" s="13" t="n"/>
      <c r="K277" s="13" t="n"/>
      <c r="L277" s="16">
        <f>IF($A277="","",1)</f>
        <v/>
      </c>
    </row>
    <row r="278">
      <c r="A278" s="13" t="n"/>
      <c r="B278" s="13" t="n"/>
      <c r="C278" s="68" t="n"/>
      <c r="D278" s="13" t="n"/>
      <c r="E278" s="13" t="n"/>
      <c r="F278" s="69" t="n"/>
      <c r="G278" s="69" t="n"/>
      <c r="H278" s="69" t="n"/>
      <c r="I278" s="13" t="n"/>
      <c r="J278" s="13" t="n"/>
      <c r="K278" s="13" t="n"/>
      <c r="L278" s="16">
        <f>IF($A278="","",1)</f>
        <v/>
      </c>
    </row>
    <row r="279">
      <c r="A279" s="13" t="n"/>
      <c r="B279" s="13" t="n"/>
      <c r="C279" s="68" t="n"/>
      <c r="D279" s="13" t="n"/>
      <c r="E279" s="13" t="n"/>
      <c r="F279" s="69" t="n"/>
      <c r="G279" s="69" t="n"/>
      <c r="H279" s="69" t="n"/>
      <c r="I279" s="13" t="n"/>
      <c r="J279" s="13" t="n"/>
      <c r="K279" s="13" t="n"/>
      <c r="L279" s="16">
        <f>IF($A279="","",1)</f>
        <v/>
      </c>
    </row>
    <row r="280">
      <c r="A280" s="13" t="n"/>
      <c r="B280" s="13" t="n"/>
      <c r="C280" s="68" t="n"/>
      <c r="D280" s="13" t="n"/>
      <c r="E280" s="13" t="n"/>
      <c r="F280" s="69" t="n"/>
      <c r="G280" s="69" t="n"/>
      <c r="H280" s="69" t="n"/>
      <c r="I280" s="13" t="n"/>
      <c r="J280" s="13" t="n"/>
      <c r="K280" s="13" t="n"/>
      <c r="L280" s="16">
        <f>IF($A280="","",1)</f>
        <v/>
      </c>
    </row>
    <row r="281">
      <c r="A281" s="13" t="n"/>
      <c r="B281" s="13" t="n"/>
      <c r="C281" s="68" t="n"/>
      <c r="D281" s="13" t="n"/>
      <c r="E281" s="13" t="n"/>
      <c r="F281" s="69" t="n"/>
      <c r="G281" s="69" t="n"/>
      <c r="H281" s="69" t="n"/>
      <c r="I281" s="13" t="n"/>
      <c r="J281" s="13" t="n"/>
      <c r="K281" s="13" t="n"/>
      <c r="L281" s="16">
        <f>IF($A281="","",1)</f>
        <v/>
      </c>
    </row>
    <row r="282">
      <c r="A282" s="13" t="n"/>
      <c r="B282" s="13" t="n"/>
      <c r="C282" s="68" t="n"/>
      <c r="D282" s="13" t="n"/>
      <c r="E282" s="13" t="n"/>
      <c r="F282" s="69" t="n"/>
      <c r="G282" s="69" t="n"/>
      <c r="H282" s="69" t="n"/>
      <c r="I282" s="13" t="n"/>
      <c r="J282" s="13" t="n"/>
      <c r="K282" s="13" t="n"/>
      <c r="L282" s="16">
        <f>IF($A282="","",1)</f>
        <v/>
      </c>
    </row>
    <row r="283">
      <c r="A283" s="13" t="n"/>
      <c r="B283" s="13" t="n"/>
      <c r="C283" s="68" t="n"/>
      <c r="D283" s="13" t="n"/>
      <c r="E283" s="13" t="n"/>
      <c r="F283" s="69" t="n"/>
      <c r="G283" s="69" t="n"/>
      <c r="H283" s="69" t="n"/>
      <c r="I283" s="13" t="n"/>
      <c r="J283" s="13" t="n"/>
      <c r="K283" s="13" t="n"/>
      <c r="L283" s="16">
        <f>IF($A283="","",1)</f>
        <v/>
      </c>
    </row>
    <row r="284">
      <c r="A284" s="13" t="n"/>
      <c r="B284" s="13" t="n"/>
      <c r="C284" s="68" t="n"/>
      <c r="D284" s="13" t="n"/>
      <c r="E284" s="13" t="n"/>
      <c r="F284" s="69" t="n"/>
      <c r="G284" s="69" t="n"/>
      <c r="H284" s="69" t="n"/>
      <c r="I284" s="13" t="n"/>
      <c r="J284" s="13" t="n"/>
      <c r="K284" s="13" t="n"/>
      <c r="L284" s="16">
        <f>IF($A284="","",1)</f>
        <v/>
      </c>
    </row>
    <row r="285">
      <c r="A285" s="13" t="n"/>
      <c r="B285" s="13" t="n"/>
      <c r="C285" s="68" t="n"/>
      <c r="D285" s="13" t="n"/>
      <c r="E285" s="13" t="n"/>
      <c r="F285" s="69" t="n"/>
      <c r="G285" s="69" t="n"/>
      <c r="H285" s="69" t="n"/>
      <c r="I285" s="13" t="n"/>
      <c r="J285" s="13" t="n"/>
      <c r="K285" s="13" t="n"/>
      <c r="L285" s="16">
        <f>IF($A285="","",1)</f>
        <v/>
      </c>
    </row>
    <row r="286">
      <c r="A286" s="13" t="n"/>
      <c r="B286" s="13" t="n"/>
      <c r="C286" s="68" t="n"/>
      <c r="D286" s="13" t="n"/>
      <c r="E286" s="13" t="n"/>
      <c r="F286" s="69" t="n"/>
      <c r="G286" s="69" t="n"/>
      <c r="H286" s="69" t="n"/>
      <c r="I286" s="13" t="n"/>
      <c r="J286" s="13" t="n"/>
      <c r="K286" s="13" t="n"/>
      <c r="L286" s="16">
        <f>IF($A286="","",1)</f>
        <v/>
      </c>
    </row>
    <row r="287">
      <c r="A287" s="13" t="n"/>
      <c r="B287" s="13" t="n"/>
      <c r="C287" s="68" t="n"/>
      <c r="D287" s="13" t="n"/>
      <c r="E287" s="13" t="n"/>
      <c r="F287" s="69" t="n"/>
      <c r="G287" s="69" t="n"/>
      <c r="H287" s="69" t="n"/>
      <c r="I287" s="13" t="n"/>
      <c r="J287" s="13" t="n"/>
      <c r="K287" s="13" t="n"/>
      <c r="L287" s="16">
        <f>IF($A287="","",1)</f>
        <v/>
      </c>
    </row>
    <row r="288">
      <c r="A288" s="13" t="n"/>
      <c r="B288" s="13" t="n"/>
      <c r="C288" s="68" t="n"/>
      <c r="D288" s="13" t="n"/>
      <c r="E288" s="13" t="n"/>
      <c r="F288" s="69" t="n"/>
      <c r="G288" s="69" t="n"/>
      <c r="H288" s="69" t="n"/>
      <c r="I288" s="13" t="n"/>
      <c r="J288" s="13" t="n"/>
      <c r="K288" s="13" t="n"/>
      <c r="L288" s="16">
        <f>IF($A288="","",1)</f>
        <v/>
      </c>
    </row>
    <row r="289">
      <c r="A289" s="13" t="n"/>
      <c r="B289" s="13" t="n"/>
      <c r="C289" s="68" t="n"/>
      <c r="D289" s="13" t="n"/>
      <c r="E289" s="13" t="n"/>
      <c r="F289" s="69" t="n"/>
      <c r="G289" s="69" t="n"/>
      <c r="H289" s="69" t="n"/>
      <c r="I289" s="13" t="n"/>
      <c r="J289" s="13" t="n"/>
      <c r="K289" s="13" t="n"/>
      <c r="L289" s="16">
        <f>IF($A289="","",1)</f>
        <v/>
      </c>
    </row>
    <row r="290">
      <c r="A290" s="13" t="n"/>
      <c r="B290" s="13" t="n"/>
      <c r="C290" s="68" t="n"/>
      <c r="D290" s="13" t="n"/>
      <c r="E290" s="13" t="n"/>
      <c r="F290" s="69" t="n"/>
      <c r="G290" s="69" t="n"/>
      <c r="H290" s="69" t="n"/>
      <c r="I290" s="13" t="n"/>
      <c r="J290" s="13" t="n"/>
      <c r="K290" s="13" t="n"/>
      <c r="L290" s="16">
        <f>IF($A290="","",1)</f>
        <v/>
      </c>
    </row>
    <row r="291">
      <c r="A291" s="13" t="n"/>
      <c r="B291" s="13" t="n"/>
      <c r="C291" s="68" t="n"/>
      <c r="D291" s="13" t="n"/>
      <c r="E291" s="13" t="n"/>
      <c r="F291" s="69" t="n"/>
      <c r="G291" s="69" t="n"/>
      <c r="H291" s="69" t="n"/>
      <c r="I291" s="13" t="n"/>
      <c r="J291" s="13" t="n"/>
      <c r="K291" s="13" t="n"/>
      <c r="L291" s="16">
        <f>IF($A291="","",1)</f>
        <v/>
      </c>
    </row>
    <row r="292">
      <c r="A292" s="13" t="n"/>
      <c r="B292" s="13" t="n"/>
      <c r="C292" s="68" t="n"/>
      <c r="D292" s="13" t="n"/>
      <c r="E292" s="13" t="n"/>
      <c r="F292" s="69" t="n"/>
      <c r="G292" s="69" t="n"/>
      <c r="H292" s="69" t="n"/>
      <c r="I292" s="13" t="n"/>
      <c r="J292" s="13" t="n"/>
      <c r="K292" s="13" t="n"/>
      <c r="L292" s="16">
        <f>IF($A292="","",1)</f>
        <v/>
      </c>
    </row>
    <row r="293">
      <c r="A293" s="13" t="n"/>
      <c r="B293" s="13" t="n"/>
      <c r="C293" s="68" t="n"/>
      <c r="D293" s="13" t="n"/>
      <c r="E293" s="13" t="n"/>
      <c r="F293" s="69" t="n"/>
      <c r="G293" s="69" t="n"/>
      <c r="H293" s="69" t="n"/>
      <c r="I293" s="13" t="n"/>
      <c r="J293" s="13" t="n"/>
      <c r="K293" s="13" t="n"/>
      <c r="L293" s="16">
        <f>IF($A293="","",1)</f>
        <v/>
      </c>
    </row>
    <row r="294">
      <c r="A294" s="13" t="n"/>
      <c r="B294" s="13" t="n"/>
      <c r="C294" s="68" t="n"/>
      <c r="D294" s="13" t="n"/>
      <c r="E294" s="13" t="n"/>
      <c r="F294" s="69" t="n"/>
      <c r="G294" s="69" t="n"/>
      <c r="H294" s="69" t="n"/>
      <c r="I294" s="13" t="n"/>
      <c r="J294" s="13" t="n"/>
      <c r="K294" s="13" t="n"/>
      <c r="L294" s="16">
        <f>IF($A294="","",1)</f>
        <v/>
      </c>
    </row>
    <row r="295">
      <c r="A295" s="13" t="n"/>
      <c r="B295" s="13" t="n"/>
      <c r="C295" s="68" t="n"/>
      <c r="D295" s="13" t="n"/>
      <c r="E295" s="13" t="n"/>
      <c r="F295" s="69" t="n"/>
      <c r="G295" s="69" t="n"/>
      <c r="H295" s="69" t="n"/>
      <c r="I295" s="13" t="n"/>
      <c r="J295" s="13" t="n"/>
      <c r="K295" s="13" t="n"/>
      <c r="L295" s="16">
        <f>IF($A295="","",1)</f>
        <v/>
      </c>
    </row>
    <row r="296">
      <c r="A296" s="13" t="n"/>
      <c r="B296" s="13" t="n"/>
      <c r="C296" s="68" t="n"/>
      <c r="D296" s="13" t="n"/>
      <c r="E296" s="13" t="n"/>
      <c r="F296" s="69" t="n"/>
      <c r="G296" s="69" t="n"/>
      <c r="H296" s="69" t="n"/>
      <c r="I296" s="13" t="n"/>
      <c r="J296" s="13" t="n"/>
      <c r="K296" s="13" t="n"/>
      <c r="L296" s="16">
        <f>IF($A296="","",1)</f>
        <v/>
      </c>
    </row>
    <row r="297">
      <c r="A297" s="13" t="n"/>
      <c r="B297" s="13" t="n"/>
      <c r="C297" s="68" t="n"/>
      <c r="D297" s="13" t="n"/>
      <c r="E297" s="13" t="n"/>
      <c r="F297" s="69" t="n"/>
      <c r="G297" s="69" t="n"/>
      <c r="H297" s="69" t="n"/>
      <c r="I297" s="13" t="n"/>
      <c r="J297" s="13" t="n"/>
      <c r="K297" s="13" t="n"/>
      <c r="L297" s="16">
        <f>IF($A297="","",1)</f>
        <v/>
      </c>
    </row>
    <row r="298">
      <c r="A298" s="13" t="n"/>
      <c r="B298" s="13" t="n"/>
      <c r="C298" s="68" t="n"/>
      <c r="D298" s="13" t="n"/>
      <c r="E298" s="13" t="n"/>
      <c r="F298" s="69" t="n"/>
      <c r="G298" s="69" t="n"/>
      <c r="H298" s="69" t="n"/>
      <c r="I298" s="13" t="n"/>
      <c r="J298" s="13" t="n"/>
      <c r="K298" s="13" t="n"/>
      <c r="L298" s="16">
        <f>IF($A298="","",1)</f>
        <v/>
      </c>
    </row>
    <row r="299">
      <c r="A299" s="13" t="n"/>
      <c r="B299" s="13" t="n"/>
      <c r="C299" s="68" t="n"/>
      <c r="D299" s="13" t="n"/>
      <c r="E299" s="13" t="n"/>
      <c r="F299" s="69" t="n"/>
      <c r="G299" s="69" t="n"/>
      <c r="H299" s="69" t="n"/>
      <c r="I299" s="13" t="n"/>
      <c r="J299" s="13" t="n"/>
      <c r="K299" s="13" t="n"/>
      <c r="L299" s="16">
        <f>IF($A299="","",1)</f>
        <v/>
      </c>
    </row>
    <row r="300">
      <c r="A300" s="13" t="n"/>
      <c r="B300" s="13" t="n"/>
      <c r="C300" s="68" t="n"/>
      <c r="D300" s="13" t="n"/>
      <c r="E300" s="13" t="n"/>
      <c r="F300" s="69" t="n"/>
      <c r="G300" s="69" t="n"/>
      <c r="H300" s="69" t="n"/>
      <c r="I300" s="13" t="n"/>
      <c r="J300" s="13" t="n"/>
      <c r="K300" s="13" t="n"/>
      <c r="L300" s="16">
        <f>IF($A300="","",1)</f>
        <v/>
      </c>
    </row>
    <row r="301">
      <c r="A301" s="13" t="n"/>
      <c r="B301" s="13" t="n"/>
      <c r="C301" s="68" t="n"/>
      <c r="D301" s="13" t="n"/>
      <c r="E301" s="13" t="n"/>
      <c r="F301" s="69" t="n"/>
      <c r="G301" s="69" t="n"/>
      <c r="H301" s="69" t="n"/>
      <c r="I301" s="13" t="n"/>
      <c r="J301" s="13" t="n"/>
      <c r="K301" s="13" t="n"/>
      <c r="L301" s="16">
        <f>IF($A301="","",1)</f>
        <v/>
      </c>
    </row>
    <row r="302">
      <c r="A302" s="13" t="n"/>
      <c r="B302" s="13" t="n"/>
      <c r="C302" s="68" t="n"/>
      <c r="D302" s="13" t="n"/>
      <c r="E302" s="13" t="n"/>
      <c r="F302" s="69" t="n"/>
      <c r="G302" s="69" t="n"/>
      <c r="H302" s="69" t="n"/>
      <c r="I302" s="13" t="n"/>
      <c r="J302" s="13" t="n"/>
      <c r="K302" s="13" t="n"/>
      <c r="L302" s="16">
        <f>IF($A302="","",1)</f>
        <v/>
      </c>
    </row>
    <row r="303">
      <c r="A303" s="13" t="n"/>
      <c r="B303" s="13" t="n"/>
      <c r="C303" s="68" t="n"/>
      <c r="D303" s="13" t="n"/>
      <c r="E303" s="13" t="n"/>
      <c r="F303" s="69" t="n"/>
      <c r="G303" s="69" t="n"/>
      <c r="H303" s="69" t="n"/>
      <c r="I303" s="13" t="n"/>
      <c r="J303" s="13" t="n"/>
      <c r="K303" s="13" t="n"/>
      <c r="L303" s="16">
        <f>IF($A303="","",1)</f>
        <v/>
      </c>
    </row>
    <row r="304">
      <c r="A304" s="13" t="n"/>
      <c r="B304" s="13" t="n"/>
      <c r="C304" s="68" t="n"/>
      <c r="D304" s="13" t="n"/>
      <c r="E304" s="13" t="n"/>
      <c r="F304" s="69" t="n"/>
      <c r="G304" s="69" t="n"/>
      <c r="H304" s="69" t="n"/>
      <c r="I304" s="13" t="n"/>
      <c r="J304" s="13" t="n"/>
      <c r="K304" s="13" t="n"/>
      <c r="L304" s="16">
        <f>IF($A304="","",1)</f>
        <v/>
      </c>
    </row>
    <row r="305">
      <c r="A305" s="13" t="n"/>
      <c r="B305" s="13" t="n"/>
      <c r="C305" s="68" t="n"/>
      <c r="D305" s="13" t="n"/>
      <c r="E305" s="13" t="n"/>
      <c r="F305" s="69" t="n"/>
      <c r="G305" s="69" t="n"/>
      <c r="H305" s="69" t="n"/>
      <c r="I305" s="13" t="n"/>
      <c r="J305" s="13" t="n"/>
      <c r="K305" s="13" t="n"/>
      <c r="L305" s="16">
        <f>IF($A305="","",1)</f>
        <v/>
      </c>
    </row>
    <row r="306">
      <c r="A306" s="13" t="n"/>
      <c r="B306" s="13" t="n"/>
      <c r="C306" s="68" t="n"/>
      <c r="D306" s="13" t="n"/>
      <c r="E306" s="13" t="n"/>
      <c r="F306" s="69" t="n"/>
      <c r="G306" s="69" t="n"/>
      <c r="H306" s="69" t="n"/>
      <c r="I306" s="13" t="n"/>
      <c r="J306" s="13" t="n"/>
      <c r="K306" s="13" t="n"/>
      <c r="L306" s="16">
        <f>IF($A306="","",1)</f>
        <v/>
      </c>
    </row>
    <row r="307">
      <c r="A307" s="13" t="n"/>
      <c r="B307" s="13" t="n"/>
      <c r="C307" s="68" t="n"/>
      <c r="D307" s="13" t="n"/>
      <c r="E307" s="13" t="n"/>
      <c r="F307" s="69" t="n"/>
      <c r="G307" s="69" t="n"/>
      <c r="H307" s="69" t="n"/>
      <c r="I307" s="13" t="n"/>
      <c r="J307" s="13" t="n"/>
      <c r="K307" s="13" t="n"/>
      <c r="L307" s="16">
        <f>IF($A307="","",1)</f>
        <v/>
      </c>
    </row>
    <row r="308">
      <c r="A308" s="13" t="n"/>
      <c r="B308" s="13" t="n"/>
      <c r="C308" s="68" t="n"/>
      <c r="D308" s="13" t="n"/>
      <c r="E308" s="13" t="n"/>
      <c r="F308" s="69" t="n"/>
      <c r="G308" s="69" t="n"/>
      <c r="H308" s="69" t="n"/>
      <c r="I308" s="13" t="n"/>
      <c r="J308" s="13" t="n"/>
      <c r="K308" s="13" t="n"/>
      <c r="L308" s="16">
        <f>IF($A308="","",1)</f>
        <v/>
      </c>
    </row>
    <row r="309">
      <c r="A309" s="13" t="n"/>
      <c r="B309" s="13" t="n"/>
      <c r="C309" s="68" t="n"/>
      <c r="D309" s="13" t="n"/>
      <c r="E309" s="13" t="n"/>
      <c r="F309" s="69" t="n"/>
      <c r="G309" s="69" t="n"/>
      <c r="H309" s="69" t="n"/>
      <c r="I309" s="13" t="n"/>
      <c r="J309" s="13" t="n"/>
      <c r="K309" s="13" t="n"/>
      <c r="L309" s="16">
        <f>IF($A309="","",1)</f>
        <v/>
      </c>
    </row>
    <row r="310">
      <c r="A310" s="13" t="n"/>
      <c r="B310" s="13" t="n"/>
      <c r="C310" s="68" t="n"/>
      <c r="D310" s="13" t="n"/>
      <c r="E310" s="13" t="n"/>
      <c r="F310" s="69" t="n"/>
      <c r="G310" s="69" t="n"/>
      <c r="H310" s="69" t="n"/>
      <c r="I310" s="13" t="n"/>
      <c r="J310" s="13" t="n"/>
      <c r="K310" s="13" t="n"/>
      <c r="L310" s="16">
        <f>IF($A310="","",1)</f>
        <v/>
      </c>
    </row>
    <row r="311">
      <c r="A311" s="13" t="n"/>
      <c r="B311" s="13" t="n"/>
      <c r="C311" s="68" t="n"/>
      <c r="D311" s="13" t="n"/>
      <c r="E311" s="13" t="n"/>
      <c r="F311" s="69" t="n"/>
      <c r="G311" s="69" t="n"/>
      <c r="H311" s="69" t="n"/>
      <c r="I311" s="13" t="n"/>
      <c r="J311" s="13" t="n"/>
      <c r="K311" s="13" t="n"/>
      <c r="L311" s="16">
        <f>IF($A311="","",1)</f>
        <v/>
      </c>
    </row>
    <row r="312">
      <c r="A312" s="13" t="n"/>
      <c r="B312" s="13" t="n"/>
      <c r="C312" s="68" t="n"/>
      <c r="D312" s="13" t="n"/>
      <c r="E312" s="13" t="n"/>
      <c r="F312" s="69" t="n"/>
      <c r="G312" s="69" t="n"/>
      <c r="H312" s="69" t="n"/>
      <c r="I312" s="13" t="n"/>
      <c r="J312" s="13" t="n"/>
      <c r="K312" s="13" t="n"/>
      <c r="L312" s="16">
        <f>IF($A312="","",1)</f>
        <v/>
      </c>
    </row>
    <row r="313">
      <c r="A313" s="13" t="n"/>
      <c r="B313" s="13" t="n"/>
      <c r="C313" s="68" t="n"/>
      <c r="D313" s="13" t="n"/>
      <c r="E313" s="13" t="n"/>
      <c r="F313" s="69" t="n"/>
      <c r="G313" s="69" t="n"/>
      <c r="H313" s="69" t="n"/>
      <c r="I313" s="13" t="n"/>
      <c r="J313" s="13" t="n"/>
      <c r="K313" s="13" t="n"/>
      <c r="L313" s="16">
        <f>IF($A313="","",1)</f>
        <v/>
      </c>
    </row>
    <row r="314">
      <c r="A314" s="13" t="n"/>
      <c r="B314" s="13" t="n"/>
      <c r="C314" s="68" t="n"/>
      <c r="D314" s="13" t="n"/>
      <c r="E314" s="13" t="n"/>
      <c r="F314" s="69" t="n"/>
      <c r="G314" s="69" t="n"/>
      <c r="H314" s="69" t="n"/>
      <c r="I314" s="13" t="n"/>
      <c r="J314" s="13" t="n"/>
      <c r="K314" s="13" t="n"/>
      <c r="L314" s="16">
        <f>IF($A314="","",1)</f>
        <v/>
      </c>
    </row>
    <row r="315">
      <c r="A315" s="13" t="n"/>
      <c r="B315" s="13" t="n"/>
      <c r="C315" s="68" t="n"/>
      <c r="D315" s="13" t="n"/>
      <c r="E315" s="13" t="n"/>
      <c r="F315" s="69" t="n"/>
      <c r="G315" s="69" t="n"/>
      <c r="H315" s="69" t="n"/>
      <c r="I315" s="13" t="n"/>
      <c r="J315" s="13" t="n"/>
      <c r="K315" s="13" t="n"/>
      <c r="L315" s="16">
        <f>IF($A315="","",1)</f>
        <v/>
      </c>
    </row>
    <row r="316">
      <c r="A316" s="13" t="n"/>
      <c r="B316" s="13" t="n"/>
      <c r="C316" s="68" t="n"/>
      <c r="D316" s="13" t="n"/>
      <c r="E316" s="13" t="n"/>
      <c r="F316" s="69" t="n"/>
      <c r="G316" s="69" t="n"/>
      <c r="H316" s="69" t="n"/>
      <c r="I316" s="13" t="n"/>
      <c r="J316" s="13" t="n"/>
      <c r="K316" s="13" t="n"/>
      <c r="L316" s="16">
        <f>IF($A316="","",1)</f>
        <v/>
      </c>
    </row>
    <row r="317">
      <c r="A317" s="13" t="n"/>
      <c r="B317" s="13" t="n"/>
      <c r="C317" s="68" t="n"/>
      <c r="D317" s="13" t="n"/>
      <c r="E317" s="13" t="n"/>
      <c r="F317" s="69" t="n"/>
      <c r="G317" s="69" t="n"/>
      <c r="H317" s="69" t="n"/>
      <c r="I317" s="13" t="n"/>
      <c r="J317" s="13" t="n"/>
      <c r="K317" s="13" t="n"/>
      <c r="L317" s="16">
        <f>IF($A317="","",1)</f>
        <v/>
      </c>
    </row>
    <row r="318">
      <c r="A318" s="13" t="n"/>
      <c r="B318" s="13" t="n"/>
      <c r="C318" s="68" t="n"/>
      <c r="D318" s="13" t="n"/>
      <c r="E318" s="13" t="n"/>
      <c r="F318" s="69" t="n"/>
      <c r="G318" s="69" t="n"/>
      <c r="H318" s="69" t="n"/>
      <c r="I318" s="13" t="n"/>
      <c r="J318" s="13" t="n"/>
      <c r="K318" s="13" t="n"/>
      <c r="L318" s="16">
        <f>IF($A318="","",1)</f>
        <v/>
      </c>
    </row>
    <row r="319">
      <c r="A319" s="13" t="n"/>
      <c r="B319" s="13" t="n"/>
      <c r="C319" s="68" t="n"/>
      <c r="D319" s="13" t="n"/>
      <c r="E319" s="13" t="n"/>
      <c r="F319" s="69" t="n"/>
      <c r="G319" s="69" t="n"/>
      <c r="H319" s="69" t="n"/>
      <c r="I319" s="13" t="n"/>
      <c r="J319" s="13" t="n"/>
      <c r="K319" s="13" t="n"/>
      <c r="L319" s="16">
        <f>IF($A319="","",1)</f>
        <v/>
      </c>
    </row>
    <row r="320">
      <c r="A320" s="13" t="n"/>
      <c r="B320" s="13" t="n"/>
      <c r="C320" s="68" t="n"/>
      <c r="D320" s="13" t="n"/>
      <c r="E320" s="13" t="n"/>
      <c r="F320" s="69" t="n"/>
      <c r="G320" s="69" t="n"/>
      <c r="H320" s="69" t="n"/>
      <c r="I320" s="13" t="n"/>
      <c r="J320" s="13" t="n"/>
      <c r="K320" s="13" t="n"/>
      <c r="L320" s="16">
        <f>IF($A320="","",1)</f>
        <v/>
      </c>
    </row>
    <row r="321">
      <c r="A321" s="13" t="n"/>
      <c r="B321" s="13" t="n"/>
      <c r="C321" s="68" t="n"/>
      <c r="D321" s="13" t="n"/>
      <c r="E321" s="13" t="n"/>
      <c r="F321" s="69" t="n"/>
      <c r="G321" s="69" t="n"/>
      <c r="H321" s="69" t="n"/>
      <c r="I321" s="13" t="n"/>
      <c r="J321" s="13" t="n"/>
      <c r="K321" s="13" t="n"/>
      <c r="L321" s="16">
        <f>IF($A321="","",1)</f>
        <v/>
      </c>
    </row>
    <row r="322">
      <c r="A322" s="13" t="n"/>
      <c r="B322" s="13" t="n"/>
      <c r="C322" s="68" t="n"/>
      <c r="D322" s="13" t="n"/>
      <c r="E322" s="13" t="n"/>
      <c r="F322" s="69" t="n"/>
      <c r="G322" s="69" t="n"/>
      <c r="H322" s="69" t="n"/>
      <c r="I322" s="13" t="n"/>
      <c r="J322" s="13" t="n"/>
      <c r="K322" s="13" t="n"/>
      <c r="L322" s="16">
        <f>IF($A322="","",1)</f>
        <v/>
      </c>
    </row>
    <row r="323">
      <c r="A323" s="13" t="n"/>
      <c r="B323" s="13" t="n"/>
      <c r="C323" s="68" t="n"/>
      <c r="D323" s="13" t="n"/>
      <c r="E323" s="13" t="n"/>
      <c r="F323" s="69" t="n"/>
      <c r="G323" s="69" t="n"/>
      <c r="H323" s="69" t="n"/>
      <c r="I323" s="13" t="n"/>
      <c r="J323" s="13" t="n"/>
      <c r="K323" s="13" t="n"/>
      <c r="L323" s="16">
        <f>IF($A323="","",1)</f>
        <v/>
      </c>
    </row>
    <row r="324">
      <c r="A324" s="13" t="n"/>
      <c r="B324" s="13" t="n"/>
      <c r="C324" s="68" t="n"/>
      <c r="D324" s="13" t="n"/>
      <c r="E324" s="13" t="n"/>
      <c r="F324" s="69" t="n"/>
      <c r="G324" s="69" t="n"/>
      <c r="H324" s="69" t="n"/>
      <c r="I324" s="13" t="n"/>
      <c r="J324" s="13" t="n"/>
      <c r="K324" s="13" t="n"/>
      <c r="L324" s="16">
        <f>IF($A324="","",1)</f>
        <v/>
      </c>
    </row>
    <row r="325">
      <c r="A325" s="13" t="n"/>
      <c r="B325" s="13" t="n"/>
      <c r="C325" s="68" t="n"/>
      <c r="D325" s="13" t="n"/>
      <c r="E325" s="13" t="n"/>
      <c r="F325" s="69" t="n"/>
      <c r="G325" s="69" t="n"/>
      <c r="H325" s="69" t="n"/>
      <c r="I325" s="13" t="n"/>
      <c r="J325" s="13" t="n"/>
      <c r="K325" s="13" t="n"/>
      <c r="L325" s="16">
        <f>IF($A325="","",1)</f>
        <v/>
      </c>
    </row>
    <row r="326">
      <c r="A326" s="13" t="n"/>
      <c r="B326" s="13" t="n"/>
      <c r="C326" s="68" t="n"/>
      <c r="D326" s="13" t="n"/>
      <c r="E326" s="13" t="n"/>
      <c r="F326" s="69" t="n"/>
      <c r="G326" s="69" t="n"/>
      <c r="H326" s="69" t="n"/>
      <c r="I326" s="13" t="n"/>
      <c r="J326" s="13" t="n"/>
      <c r="K326" s="13" t="n"/>
      <c r="L326" s="16">
        <f>IF($A326="","",1)</f>
        <v/>
      </c>
    </row>
    <row r="327">
      <c r="A327" s="13" t="n"/>
      <c r="B327" s="13" t="n"/>
      <c r="C327" s="68" t="n"/>
      <c r="D327" s="13" t="n"/>
      <c r="E327" s="13" t="n"/>
      <c r="F327" s="69" t="n"/>
      <c r="G327" s="69" t="n"/>
      <c r="H327" s="69" t="n"/>
      <c r="I327" s="13" t="n"/>
      <c r="J327" s="13" t="n"/>
      <c r="K327" s="13" t="n"/>
      <c r="L327" s="16">
        <f>IF($A327="","",1)</f>
        <v/>
      </c>
    </row>
    <row r="328">
      <c r="A328" s="13" t="n"/>
      <c r="B328" s="13" t="n"/>
      <c r="C328" s="68" t="n"/>
      <c r="D328" s="13" t="n"/>
      <c r="E328" s="13" t="n"/>
      <c r="F328" s="69" t="n"/>
      <c r="G328" s="69" t="n"/>
      <c r="H328" s="69" t="n"/>
      <c r="I328" s="13" t="n"/>
      <c r="J328" s="13" t="n"/>
      <c r="K328" s="13" t="n"/>
      <c r="L328" s="16">
        <f>IF($A328="","",1)</f>
        <v/>
      </c>
    </row>
    <row r="329">
      <c r="A329" s="13" t="n"/>
      <c r="B329" s="13" t="n"/>
      <c r="C329" s="68" t="n"/>
      <c r="D329" s="13" t="n"/>
      <c r="E329" s="13" t="n"/>
      <c r="F329" s="69" t="n"/>
      <c r="G329" s="69" t="n"/>
      <c r="H329" s="69" t="n"/>
      <c r="I329" s="13" t="n"/>
      <c r="J329" s="13" t="n"/>
      <c r="K329" s="13" t="n"/>
      <c r="L329" s="16">
        <f>IF($A329="","",1)</f>
        <v/>
      </c>
    </row>
    <row r="330">
      <c r="A330" s="13" t="n"/>
      <c r="B330" s="13" t="n"/>
      <c r="C330" s="68" t="n"/>
      <c r="D330" s="13" t="n"/>
      <c r="E330" s="13" t="n"/>
      <c r="F330" s="69" t="n"/>
      <c r="G330" s="69" t="n"/>
      <c r="H330" s="69" t="n"/>
      <c r="I330" s="13" t="n"/>
      <c r="J330" s="13" t="n"/>
      <c r="K330" s="13" t="n"/>
      <c r="L330" s="16">
        <f>IF($A330="","",1)</f>
        <v/>
      </c>
    </row>
    <row r="331">
      <c r="A331" s="13" t="n"/>
      <c r="B331" s="13" t="n"/>
      <c r="C331" s="68" t="n"/>
      <c r="D331" s="13" t="n"/>
      <c r="E331" s="13" t="n"/>
      <c r="F331" s="69" t="n"/>
      <c r="G331" s="69" t="n"/>
      <c r="H331" s="69" t="n"/>
      <c r="I331" s="13" t="n"/>
      <c r="J331" s="13" t="n"/>
      <c r="K331" s="13" t="n"/>
      <c r="L331" s="16">
        <f>IF($A331="","",1)</f>
        <v/>
      </c>
    </row>
    <row r="332">
      <c r="A332" s="13" t="n"/>
      <c r="B332" s="13" t="n"/>
      <c r="C332" s="68" t="n"/>
      <c r="D332" s="13" t="n"/>
      <c r="E332" s="13" t="n"/>
      <c r="F332" s="69" t="n"/>
      <c r="G332" s="69" t="n"/>
      <c r="H332" s="69" t="n"/>
      <c r="I332" s="13" t="n"/>
      <c r="J332" s="13" t="n"/>
      <c r="K332" s="13" t="n"/>
      <c r="L332" s="16">
        <f>IF($A332="","",1)</f>
        <v/>
      </c>
    </row>
    <row r="333">
      <c r="A333" s="13" t="n"/>
      <c r="B333" s="13" t="n"/>
      <c r="C333" s="68" t="n"/>
      <c r="D333" s="13" t="n"/>
      <c r="E333" s="13" t="n"/>
      <c r="F333" s="69" t="n"/>
      <c r="G333" s="69" t="n"/>
      <c r="H333" s="69" t="n"/>
      <c r="I333" s="13" t="n"/>
      <c r="J333" s="13" t="n"/>
      <c r="K333" s="13" t="n"/>
      <c r="L333" s="16">
        <f>IF($A333="","",1)</f>
        <v/>
      </c>
    </row>
    <row r="334">
      <c r="A334" s="13" t="n"/>
      <c r="B334" s="13" t="n"/>
      <c r="C334" s="68" t="n"/>
      <c r="D334" s="13" t="n"/>
      <c r="E334" s="13" t="n"/>
      <c r="F334" s="69" t="n"/>
      <c r="G334" s="69" t="n"/>
      <c r="H334" s="69" t="n"/>
      <c r="I334" s="13" t="n"/>
      <c r="J334" s="13" t="n"/>
      <c r="K334" s="13" t="n"/>
      <c r="L334" s="16">
        <f>IF($A334="","",1)</f>
        <v/>
      </c>
    </row>
    <row r="335">
      <c r="A335" s="13" t="n"/>
      <c r="B335" s="13" t="n"/>
      <c r="C335" s="68" t="n"/>
      <c r="D335" s="13" t="n"/>
      <c r="E335" s="13" t="n"/>
      <c r="F335" s="69" t="n"/>
      <c r="G335" s="69" t="n"/>
      <c r="H335" s="69" t="n"/>
      <c r="I335" s="13" t="n"/>
      <c r="J335" s="13" t="n"/>
      <c r="K335" s="13" t="n"/>
      <c r="L335" s="16">
        <f>IF($A335="","",1)</f>
        <v/>
      </c>
    </row>
    <row r="336">
      <c r="A336" s="13" t="n"/>
      <c r="B336" s="13" t="n"/>
      <c r="C336" s="68" t="n"/>
      <c r="D336" s="13" t="n"/>
      <c r="E336" s="13" t="n"/>
      <c r="F336" s="69" t="n"/>
      <c r="G336" s="69" t="n"/>
      <c r="H336" s="69" t="n"/>
      <c r="I336" s="13" t="n"/>
      <c r="J336" s="13" t="n"/>
      <c r="K336" s="13" t="n"/>
      <c r="L336" s="16">
        <f>IF($A336="","",1)</f>
        <v/>
      </c>
    </row>
    <row r="337">
      <c r="A337" s="13" t="n"/>
      <c r="B337" s="13" t="n"/>
      <c r="C337" s="68" t="n"/>
      <c r="D337" s="13" t="n"/>
      <c r="E337" s="13" t="n"/>
      <c r="F337" s="69" t="n"/>
      <c r="G337" s="69" t="n"/>
      <c r="H337" s="69" t="n"/>
      <c r="I337" s="13" t="n"/>
      <c r="J337" s="13" t="n"/>
      <c r="K337" s="13" t="n"/>
      <c r="L337" s="16">
        <f>IF($A337="","",1)</f>
        <v/>
      </c>
    </row>
    <row r="338">
      <c r="A338" s="13" t="n"/>
      <c r="B338" s="13" t="n"/>
      <c r="C338" s="68" t="n"/>
      <c r="D338" s="13" t="n"/>
      <c r="E338" s="13" t="n"/>
      <c r="F338" s="69" t="n"/>
      <c r="G338" s="69" t="n"/>
      <c r="H338" s="69" t="n"/>
      <c r="I338" s="13" t="n"/>
      <c r="J338" s="13" t="n"/>
      <c r="K338" s="13" t="n"/>
      <c r="L338" s="16">
        <f>IF($A338="","",1)</f>
        <v/>
      </c>
    </row>
    <row r="339">
      <c r="A339" s="13" t="n"/>
      <c r="B339" s="13" t="n"/>
      <c r="C339" s="68" t="n"/>
      <c r="D339" s="13" t="n"/>
      <c r="E339" s="13" t="n"/>
      <c r="F339" s="69" t="n"/>
      <c r="G339" s="69" t="n"/>
      <c r="H339" s="69" t="n"/>
      <c r="I339" s="13" t="n"/>
      <c r="J339" s="13" t="n"/>
      <c r="K339" s="13" t="n"/>
      <c r="L339" s="16">
        <f>IF($A339="","",1)</f>
        <v/>
      </c>
    </row>
    <row r="340">
      <c r="A340" s="13" t="n"/>
      <c r="B340" s="13" t="n"/>
      <c r="C340" s="68" t="n"/>
      <c r="D340" s="13" t="n"/>
      <c r="E340" s="13" t="n"/>
      <c r="F340" s="69" t="n"/>
      <c r="G340" s="69" t="n"/>
      <c r="H340" s="69" t="n"/>
      <c r="I340" s="13" t="n"/>
      <c r="J340" s="13" t="n"/>
      <c r="K340" s="13" t="n"/>
      <c r="L340" s="16">
        <f>IF($A340="","",1)</f>
        <v/>
      </c>
    </row>
    <row r="341">
      <c r="A341" s="13" t="n"/>
      <c r="B341" s="13" t="n"/>
      <c r="C341" s="68" t="n"/>
      <c r="D341" s="13" t="n"/>
      <c r="E341" s="13" t="n"/>
      <c r="F341" s="69" t="n"/>
      <c r="G341" s="69" t="n"/>
      <c r="H341" s="69" t="n"/>
      <c r="I341" s="13" t="n"/>
      <c r="J341" s="13" t="n"/>
      <c r="K341" s="13" t="n"/>
      <c r="L341" s="16">
        <f>IF($A341="","",1)</f>
        <v/>
      </c>
    </row>
    <row r="342">
      <c r="A342" s="13" t="n"/>
      <c r="B342" s="13" t="n"/>
      <c r="C342" s="68" t="n"/>
      <c r="D342" s="13" t="n"/>
      <c r="E342" s="13" t="n"/>
      <c r="F342" s="69" t="n"/>
      <c r="G342" s="69" t="n"/>
      <c r="H342" s="69" t="n"/>
      <c r="I342" s="13" t="n"/>
      <c r="J342" s="13" t="n"/>
      <c r="K342" s="13" t="n"/>
      <c r="L342" s="16">
        <f>IF($A342="","",1)</f>
        <v/>
      </c>
    </row>
    <row r="343">
      <c r="A343" s="13" t="n"/>
      <c r="B343" s="13" t="n"/>
      <c r="C343" s="68" t="n"/>
      <c r="D343" s="13" t="n"/>
      <c r="E343" s="13" t="n"/>
      <c r="F343" s="69" t="n"/>
      <c r="G343" s="69" t="n"/>
      <c r="H343" s="69" t="n"/>
      <c r="I343" s="13" t="n"/>
      <c r="J343" s="13" t="n"/>
      <c r="K343" s="13" t="n"/>
      <c r="L343" s="16">
        <f>IF($A343="","",1)</f>
        <v/>
      </c>
    </row>
    <row r="344">
      <c r="A344" s="13" t="n"/>
      <c r="B344" s="13" t="n"/>
      <c r="C344" s="68" t="n"/>
      <c r="D344" s="13" t="n"/>
      <c r="E344" s="13" t="n"/>
      <c r="F344" s="69" t="n"/>
      <c r="G344" s="69" t="n"/>
      <c r="H344" s="69" t="n"/>
      <c r="I344" s="13" t="n"/>
      <c r="J344" s="13" t="n"/>
      <c r="K344" s="13" t="n"/>
      <c r="L344" s="16">
        <f>IF($A344="","",1)</f>
        <v/>
      </c>
    </row>
    <row r="345">
      <c r="A345" s="13" t="n"/>
      <c r="B345" s="13" t="n"/>
      <c r="C345" s="68" t="n"/>
      <c r="D345" s="13" t="n"/>
      <c r="E345" s="13" t="n"/>
      <c r="F345" s="69" t="n"/>
      <c r="G345" s="69" t="n"/>
      <c r="H345" s="69" t="n"/>
      <c r="I345" s="13" t="n"/>
      <c r="J345" s="13" t="n"/>
      <c r="K345" s="13" t="n"/>
      <c r="L345" s="16">
        <f>IF($A345="","",1)</f>
        <v/>
      </c>
    </row>
    <row r="346">
      <c r="A346" s="13" t="n"/>
      <c r="B346" s="13" t="n"/>
      <c r="C346" s="68" t="n"/>
      <c r="D346" s="13" t="n"/>
      <c r="E346" s="13" t="n"/>
      <c r="F346" s="69" t="n"/>
      <c r="G346" s="69" t="n"/>
      <c r="H346" s="69" t="n"/>
      <c r="I346" s="13" t="n"/>
      <c r="J346" s="13" t="n"/>
      <c r="K346" s="13" t="n"/>
      <c r="L346" s="16">
        <f>IF($A346="","",1)</f>
        <v/>
      </c>
    </row>
    <row r="347">
      <c r="A347" s="13" t="n"/>
      <c r="B347" s="13" t="n"/>
      <c r="C347" s="68" t="n"/>
      <c r="D347" s="13" t="n"/>
      <c r="E347" s="13" t="n"/>
      <c r="F347" s="69" t="n"/>
      <c r="G347" s="69" t="n"/>
      <c r="H347" s="69" t="n"/>
      <c r="I347" s="13" t="n"/>
      <c r="J347" s="13" t="n"/>
      <c r="K347" s="13" t="n"/>
      <c r="L347" s="16">
        <f>IF($A347="","",1)</f>
        <v/>
      </c>
    </row>
    <row r="348">
      <c r="A348" s="13" t="n"/>
      <c r="B348" s="13" t="n"/>
      <c r="C348" s="68" t="n"/>
      <c r="D348" s="13" t="n"/>
      <c r="E348" s="13" t="n"/>
      <c r="F348" s="69" t="n"/>
      <c r="G348" s="69" t="n"/>
      <c r="H348" s="69" t="n"/>
      <c r="I348" s="13" t="n"/>
      <c r="J348" s="13" t="n"/>
      <c r="K348" s="13" t="n"/>
      <c r="L348" s="16">
        <f>IF($A348="","",1)</f>
        <v/>
      </c>
    </row>
    <row r="349">
      <c r="A349" s="13" t="n"/>
      <c r="B349" s="13" t="n"/>
      <c r="C349" s="68" t="n"/>
      <c r="D349" s="13" t="n"/>
      <c r="E349" s="13" t="n"/>
      <c r="F349" s="69" t="n"/>
      <c r="G349" s="69" t="n"/>
      <c r="H349" s="69" t="n"/>
      <c r="I349" s="13" t="n"/>
      <c r="J349" s="13" t="n"/>
      <c r="K349" s="13" t="n"/>
      <c r="L349" s="16">
        <f>IF($A349="","",1)</f>
        <v/>
      </c>
    </row>
    <row r="350">
      <c r="A350" s="13" t="n"/>
      <c r="B350" s="13" t="n"/>
      <c r="C350" s="68" t="n"/>
      <c r="D350" s="13" t="n"/>
      <c r="E350" s="13" t="n"/>
      <c r="F350" s="69" t="n"/>
      <c r="G350" s="69" t="n"/>
      <c r="H350" s="69" t="n"/>
      <c r="I350" s="13" t="n"/>
      <c r="J350" s="13" t="n"/>
      <c r="K350" s="13" t="n"/>
      <c r="L350" s="16">
        <f>IF($A350="","",1)</f>
        <v/>
      </c>
    </row>
    <row r="351">
      <c r="A351" s="13" t="n"/>
      <c r="B351" s="13" t="n"/>
      <c r="C351" s="68" t="n"/>
      <c r="D351" s="13" t="n"/>
      <c r="E351" s="13" t="n"/>
      <c r="F351" s="69" t="n"/>
      <c r="G351" s="69" t="n"/>
      <c r="H351" s="69" t="n"/>
      <c r="I351" s="13" t="n"/>
      <c r="J351" s="13" t="n"/>
      <c r="K351" s="13" t="n"/>
      <c r="L351" s="16">
        <f>IF($A351="","",1)</f>
        <v/>
      </c>
    </row>
    <row r="352">
      <c r="A352" s="13" t="n"/>
      <c r="B352" s="13" t="n"/>
      <c r="C352" s="68" t="n"/>
      <c r="D352" s="13" t="n"/>
      <c r="E352" s="13" t="n"/>
      <c r="F352" s="69" t="n"/>
      <c r="G352" s="69" t="n"/>
      <c r="H352" s="69" t="n"/>
      <c r="I352" s="13" t="n"/>
      <c r="J352" s="13" t="n"/>
      <c r="K352" s="13" t="n"/>
      <c r="L352" s="16">
        <f>IF($A352="","",1)</f>
        <v/>
      </c>
    </row>
    <row r="353">
      <c r="A353" s="13" t="n"/>
      <c r="B353" s="13" t="n"/>
      <c r="C353" s="68" t="n"/>
      <c r="D353" s="13" t="n"/>
      <c r="E353" s="13" t="n"/>
      <c r="F353" s="69" t="n"/>
      <c r="G353" s="69" t="n"/>
      <c r="H353" s="69" t="n"/>
      <c r="I353" s="13" t="n"/>
      <c r="J353" s="13" t="n"/>
      <c r="K353" s="13" t="n"/>
      <c r="L353" s="16">
        <f>IF($A353="","",1)</f>
        <v/>
      </c>
    </row>
    <row r="354">
      <c r="A354" s="13" t="n"/>
      <c r="B354" s="13" t="n"/>
      <c r="C354" s="68" t="n"/>
      <c r="D354" s="13" t="n"/>
      <c r="E354" s="13" t="n"/>
      <c r="F354" s="69" t="n"/>
      <c r="G354" s="69" t="n"/>
      <c r="H354" s="69" t="n"/>
      <c r="I354" s="13" t="n"/>
      <c r="J354" s="13" t="n"/>
      <c r="K354" s="13" t="n"/>
      <c r="L354" s="16">
        <f>IF($A354="","",1)</f>
        <v/>
      </c>
    </row>
    <row r="355">
      <c r="A355" s="13" t="n"/>
      <c r="B355" s="13" t="n"/>
      <c r="C355" s="68" t="n"/>
      <c r="D355" s="13" t="n"/>
      <c r="E355" s="13" t="n"/>
      <c r="F355" s="69" t="n"/>
      <c r="G355" s="69" t="n"/>
      <c r="H355" s="69" t="n"/>
      <c r="I355" s="13" t="n"/>
      <c r="J355" s="13" t="n"/>
      <c r="K355" s="13" t="n"/>
      <c r="L355" s="16">
        <f>IF($A355="","",1)</f>
        <v/>
      </c>
    </row>
    <row r="356">
      <c r="A356" s="13" t="n"/>
      <c r="B356" s="13" t="n"/>
      <c r="C356" s="68" t="n"/>
      <c r="D356" s="13" t="n"/>
      <c r="E356" s="13" t="n"/>
      <c r="F356" s="69" t="n"/>
      <c r="G356" s="69" t="n"/>
      <c r="H356" s="69" t="n"/>
      <c r="I356" s="13" t="n"/>
      <c r="J356" s="13" t="n"/>
      <c r="K356" s="13" t="n"/>
      <c r="L356" s="16">
        <f>IF($A356="","",1)</f>
        <v/>
      </c>
    </row>
    <row r="357">
      <c r="A357" s="13" t="n"/>
      <c r="B357" s="13" t="n"/>
      <c r="C357" s="68" t="n"/>
      <c r="D357" s="13" t="n"/>
      <c r="E357" s="13" t="n"/>
      <c r="F357" s="69" t="n"/>
      <c r="G357" s="69" t="n"/>
      <c r="H357" s="69" t="n"/>
      <c r="I357" s="13" t="n"/>
      <c r="J357" s="13" t="n"/>
      <c r="K357" s="13" t="n"/>
      <c r="L357" s="16">
        <f>IF($A357="","",1)</f>
        <v/>
      </c>
    </row>
    <row r="358">
      <c r="A358" s="13" t="n"/>
      <c r="B358" s="13" t="n"/>
      <c r="C358" s="68" t="n"/>
      <c r="D358" s="13" t="n"/>
      <c r="E358" s="13" t="n"/>
      <c r="F358" s="69" t="n"/>
      <c r="G358" s="69" t="n"/>
      <c r="H358" s="69" t="n"/>
      <c r="I358" s="13" t="n"/>
      <c r="J358" s="13" t="n"/>
      <c r="K358" s="13" t="n"/>
      <c r="L358" s="16">
        <f>IF($A358="","",1)</f>
        <v/>
      </c>
    </row>
    <row r="359">
      <c r="A359" s="13" t="n"/>
      <c r="B359" s="13" t="n"/>
      <c r="C359" s="68" t="n"/>
      <c r="D359" s="13" t="n"/>
      <c r="E359" s="13" t="n"/>
      <c r="F359" s="69" t="n"/>
      <c r="G359" s="69" t="n"/>
      <c r="H359" s="69" t="n"/>
      <c r="I359" s="13" t="n"/>
      <c r="J359" s="13" t="n"/>
      <c r="K359" s="13" t="n"/>
      <c r="L359" s="16">
        <f>IF($A359="","",1)</f>
        <v/>
      </c>
    </row>
    <row r="360">
      <c r="A360" s="13" t="n"/>
      <c r="B360" s="13" t="n"/>
      <c r="C360" s="68" t="n"/>
      <c r="D360" s="13" t="n"/>
      <c r="E360" s="13" t="n"/>
      <c r="F360" s="69" t="n"/>
      <c r="G360" s="69" t="n"/>
      <c r="H360" s="69" t="n"/>
      <c r="I360" s="13" t="n"/>
      <c r="J360" s="13" t="n"/>
      <c r="K360" s="13" t="n"/>
      <c r="L360" s="16">
        <f>IF($A360="","",1)</f>
        <v/>
      </c>
    </row>
    <row r="361">
      <c r="A361" s="13" t="n"/>
      <c r="B361" s="13" t="n"/>
      <c r="C361" s="68" t="n"/>
      <c r="D361" s="13" t="n"/>
      <c r="E361" s="13" t="n"/>
      <c r="F361" s="69" t="n"/>
      <c r="G361" s="69" t="n"/>
      <c r="H361" s="69" t="n"/>
      <c r="I361" s="13" t="n"/>
      <c r="J361" s="13" t="n"/>
      <c r="K361" s="13" t="n"/>
      <c r="L361" s="16">
        <f>IF($A361="","",1)</f>
        <v/>
      </c>
    </row>
    <row r="362">
      <c r="A362" s="13" t="n"/>
      <c r="B362" s="13" t="n"/>
      <c r="C362" s="68" t="n"/>
      <c r="D362" s="13" t="n"/>
      <c r="E362" s="13" t="n"/>
      <c r="F362" s="69" t="n"/>
      <c r="G362" s="69" t="n"/>
      <c r="H362" s="69" t="n"/>
      <c r="I362" s="13" t="n"/>
      <c r="J362" s="13" t="n"/>
      <c r="K362" s="13" t="n"/>
      <c r="L362" s="16">
        <f>IF($A362="","",1)</f>
        <v/>
      </c>
    </row>
    <row r="363">
      <c r="A363" s="13" t="n"/>
      <c r="B363" s="13" t="n"/>
      <c r="C363" s="68" t="n"/>
      <c r="D363" s="13" t="n"/>
      <c r="E363" s="13" t="n"/>
      <c r="F363" s="69" t="n"/>
      <c r="G363" s="69" t="n"/>
      <c r="H363" s="69" t="n"/>
      <c r="I363" s="13" t="n"/>
      <c r="J363" s="13" t="n"/>
      <c r="K363" s="13" t="n"/>
      <c r="L363" s="16">
        <f>IF($A363="","",1)</f>
        <v/>
      </c>
    </row>
    <row r="364">
      <c r="A364" s="13" t="n"/>
      <c r="B364" s="13" t="n"/>
      <c r="C364" s="68" t="n"/>
      <c r="D364" s="13" t="n"/>
      <c r="E364" s="13" t="n"/>
      <c r="F364" s="69" t="n"/>
      <c r="G364" s="69" t="n"/>
      <c r="H364" s="69" t="n"/>
      <c r="I364" s="13" t="n"/>
      <c r="J364" s="13" t="n"/>
      <c r="K364" s="13" t="n"/>
      <c r="L364" s="16">
        <f>IF($A364="","",1)</f>
        <v/>
      </c>
    </row>
    <row r="365">
      <c r="A365" s="13" t="n"/>
      <c r="B365" s="13" t="n"/>
      <c r="C365" s="68" t="n"/>
      <c r="D365" s="13" t="n"/>
      <c r="E365" s="13" t="n"/>
      <c r="F365" s="69" t="n"/>
      <c r="G365" s="69" t="n"/>
      <c r="H365" s="69" t="n"/>
      <c r="I365" s="13" t="n"/>
      <c r="J365" s="13" t="n"/>
      <c r="K365" s="13" t="n"/>
      <c r="L365" s="16">
        <f>IF($A365="","",1)</f>
        <v/>
      </c>
    </row>
    <row r="366">
      <c r="A366" s="13" t="n"/>
      <c r="B366" s="13" t="n"/>
      <c r="C366" s="68" t="n"/>
      <c r="D366" s="13" t="n"/>
      <c r="E366" s="13" t="n"/>
      <c r="F366" s="69" t="n"/>
      <c r="G366" s="69" t="n"/>
      <c r="H366" s="69" t="n"/>
      <c r="I366" s="13" t="n"/>
      <c r="J366" s="13" t="n"/>
      <c r="K366" s="13" t="n"/>
      <c r="L366" s="16">
        <f>IF($A366="","",1)</f>
        <v/>
      </c>
    </row>
    <row r="367">
      <c r="A367" s="13" t="n"/>
      <c r="B367" s="13" t="n"/>
      <c r="C367" s="68" t="n"/>
      <c r="D367" s="13" t="n"/>
      <c r="E367" s="13" t="n"/>
      <c r="F367" s="69" t="n"/>
      <c r="G367" s="69" t="n"/>
      <c r="H367" s="69" t="n"/>
      <c r="I367" s="13" t="n"/>
      <c r="J367" s="13" t="n"/>
      <c r="K367" s="13" t="n"/>
      <c r="L367" s="16">
        <f>IF($A367="","",1)</f>
        <v/>
      </c>
    </row>
    <row r="368">
      <c r="A368" s="13" t="n"/>
      <c r="B368" s="13" t="n"/>
      <c r="C368" s="68" t="n"/>
      <c r="D368" s="13" t="n"/>
      <c r="E368" s="13" t="n"/>
      <c r="F368" s="69" t="n"/>
      <c r="G368" s="69" t="n"/>
      <c r="H368" s="69" t="n"/>
      <c r="I368" s="13" t="n"/>
      <c r="J368" s="13" t="n"/>
      <c r="K368" s="13" t="n"/>
      <c r="L368" s="16">
        <f>IF($A368="","",1)</f>
        <v/>
      </c>
    </row>
    <row r="369">
      <c r="A369" s="13" t="n"/>
      <c r="B369" s="13" t="n"/>
      <c r="C369" s="68" t="n"/>
      <c r="D369" s="13" t="n"/>
      <c r="E369" s="13" t="n"/>
      <c r="F369" s="69" t="n"/>
      <c r="G369" s="69" t="n"/>
      <c r="H369" s="69" t="n"/>
      <c r="I369" s="13" t="n"/>
      <c r="J369" s="13" t="n"/>
      <c r="K369" s="13" t="n"/>
      <c r="L369" s="16">
        <f>IF($A369="","",1)</f>
        <v/>
      </c>
    </row>
    <row r="370">
      <c r="A370" s="13" t="n"/>
      <c r="B370" s="13" t="n"/>
      <c r="C370" s="68" t="n"/>
      <c r="D370" s="13" t="n"/>
      <c r="E370" s="13" t="n"/>
      <c r="F370" s="69" t="n"/>
      <c r="G370" s="69" t="n"/>
      <c r="H370" s="69" t="n"/>
      <c r="I370" s="13" t="n"/>
      <c r="J370" s="13" t="n"/>
      <c r="K370" s="13" t="n"/>
      <c r="L370" s="16">
        <f>IF($A370="","",1)</f>
        <v/>
      </c>
    </row>
    <row r="371">
      <c r="A371" s="13" t="n"/>
      <c r="B371" s="13" t="n"/>
      <c r="C371" s="68" t="n"/>
      <c r="D371" s="13" t="n"/>
      <c r="E371" s="13" t="n"/>
      <c r="F371" s="69" t="n"/>
      <c r="G371" s="69" t="n"/>
      <c r="H371" s="69" t="n"/>
      <c r="I371" s="13" t="n"/>
      <c r="J371" s="13" t="n"/>
      <c r="K371" s="13" t="n"/>
      <c r="L371" s="16">
        <f>IF($A371="","",1)</f>
        <v/>
      </c>
    </row>
    <row r="372">
      <c r="A372" s="13" t="n"/>
      <c r="B372" s="13" t="n"/>
      <c r="C372" s="68" t="n"/>
      <c r="D372" s="13" t="n"/>
      <c r="E372" s="13" t="n"/>
      <c r="F372" s="69" t="n"/>
      <c r="G372" s="69" t="n"/>
      <c r="H372" s="69" t="n"/>
      <c r="I372" s="13" t="n"/>
      <c r="J372" s="13" t="n"/>
      <c r="K372" s="13" t="n"/>
      <c r="L372" s="16">
        <f>IF($A372="","",1)</f>
        <v/>
      </c>
    </row>
    <row r="373">
      <c r="A373" s="13" t="n"/>
      <c r="B373" s="13" t="n"/>
      <c r="C373" s="68" t="n"/>
      <c r="D373" s="13" t="n"/>
      <c r="E373" s="13" t="n"/>
      <c r="F373" s="69" t="n"/>
      <c r="G373" s="69" t="n"/>
      <c r="H373" s="69" t="n"/>
      <c r="I373" s="13" t="n"/>
      <c r="J373" s="13" t="n"/>
      <c r="K373" s="13" t="n"/>
      <c r="L373" s="16">
        <f>IF($A373="","",1)</f>
        <v/>
      </c>
    </row>
    <row r="374">
      <c r="A374" s="13" t="n"/>
      <c r="B374" s="13" t="n"/>
      <c r="C374" s="68" t="n"/>
      <c r="D374" s="13" t="n"/>
      <c r="E374" s="13" t="n"/>
      <c r="F374" s="69" t="n"/>
      <c r="G374" s="69" t="n"/>
      <c r="H374" s="69" t="n"/>
      <c r="I374" s="13" t="n"/>
      <c r="J374" s="13" t="n"/>
      <c r="K374" s="13" t="n"/>
      <c r="L374" s="16">
        <f>IF($A374="","",1)</f>
        <v/>
      </c>
    </row>
    <row r="375">
      <c r="A375" s="13" t="n"/>
      <c r="B375" s="13" t="n"/>
      <c r="C375" s="68" t="n"/>
      <c r="D375" s="13" t="n"/>
      <c r="E375" s="13" t="n"/>
      <c r="F375" s="69" t="n"/>
      <c r="G375" s="69" t="n"/>
      <c r="H375" s="69" t="n"/>
      <c r="I375" s="13" t="n"/>
      <c r="J375" s="13" t="n"/>
      <c r="K375" s="13" t="n"/>
      <c r="L375" s="16">
        <f>IF($A375="","",1)</f>
        <v/>
      </c>
    </row>
    <row r="376">
      <c r="A376" s="13" t="n"/>
      <c r="B376" s="13" t="n"/>
      <c r="C376" s="68" t="n"/>
      <c r="D376" s="13" t="n"/>
      <c r="E376" s="13" t="n"/>
      <c r="F376" s="69" t="n"/>
      <c r="G376" s="69" t="n"/>
      <c r="H376" s="69" t="n"/>
      <c r="I376" s="13" t="n"/>
      <c r="J376" s="13" t="n"/>
      <c r="K376" s="13" t="n"/>
      <c r="L376" s="16">
        <f>IF($A376="","",1)</f>
        <v/>
      </c>
    </row>
    <row r="377">
      <c r="A377" s="13" t="n"/>
      <c r="B377" s="13" t="n"/>
      <c r="C377" s="68" t="n"/>
      <c r="D377" s="13" t="n"/>
      <c r="E377" s="13" t="n"/>
      <c r="F377" s="69" t="n"/>
      <c r="G377" s="69" t="n"/>
      <c r="H377" s="69" t="n"/>
      <c r="I377" s="13" t="n"/>
      <c r="J377" s="13" t="n"/>
      <c r="K377" s="13" t="n"/>
      <c r="L377" s="16">
        <f>IF($A377="","",1)</f>
        <v/>
      </c>
    </row>
    <row r="378">
      <c r="A378" s="13" t="n"/>
      <c r="B378" s="13" t="n"/>
      <c r="C378" s="68" t="n"/>
      <c r="D378" s="13" t="n"/>
      <c r="E378" s="13" t="n"/>
      <c r="F378" s="69" t="n"/>
      <c r="G378" s="69" t="n"/>
      <c r="H378" s="69" t="n"/>
      <c r="I378" s="13" t="n"/>
      <c r="J378" s="13" t="n"/>
      <c r="K378" s="13" t="n"/>
      <c r="L378" s="16">
        <f>IF($A378="","",1)</f>
        <v/>
      </c>
    </row>
    <row r="379">
      <c r="A379" s="13" t="n"/>
      <c r="B379" s="13" t="n"/>
      <c r="C379" s="68" t="n"/>
      <c r="D379" s="13" t="n"/>
      <c r="E379" s="13" t="n"/>
      <c r="F379" s="69" t="n"/>
      <c r="G379" s="69" t="n"/>
      <c r="H379" s="69" t="n"/>
      <c r="I379" s="13" t="n"/>
      <c r="J379" s="13" t="n"/>
      <c r="K379" s="13" t="n"/>
      <c r="L379" s="16">
        <f>IF($A379="","",1)</f>
        <v/>
      </c>
    </row>
    <row r="380">
      <c r="A380" s="13" t="n"/>
      <c r="B380" s="13" t="n"/>
      <c r="C380" s="68" t="n"/>
      <c r="D380" s="13" t="n"/>
      <c r="E380" s="13" t="n"/>
      <c r="F380" s="69" t="n"/>
      <c r="G380" s="69" t="n"/>
      <c r="H380" s="69" t="n"/>
      <c r="I380" s="13" t="n"/>
      <c r="J380" s="13" t="n"/>
      <c r="K380" s="13" t="n"/>
      <c r="L380" s="16">
        <f>IF($A380="","",1)</f>
        <v/>
      </c>
    </row>
    <row r="381">
      <c r="A381" s="13" t="n"/>
      <c r="B381" s="13" t="n"/>
      <c r="C381" s="68" t="n"/>
      <c r="D381" s="13" t="n"/>
      <c r="E381" s="13" t="n"/>
      <c r="F381" s="69" t="n"/>
      <c r="G381" s="69" t="n"/>
      <c r="H381" s="69" t="n"/>
      <c r="I381" s="13" t="n"/>
      <c r="J381" s="13" t="n"/>
      <c r="K381" s="13" t="n"/>
      <c r="L381" s="16">
        <f>IF($A381="","",1)</f>
        <v/>
      </c>
    </row>
    <row r="382">
      <c r="A382" s="13" t="n"/>
      <c r="B382" s="13" t="n"/>
      <c r="C382" s="68" t="n"/>
      <c r="D382" s="13" t="n"/>
      <c r="E382" s="13" t="n"/>
      <c r="F382" s="69" t="n"/>
      <c r="G382" s="69" t="n"/>
      <c r="H382" s="69" t="n"/>
      <c r="I382" s="13" t="n"/>
      <c r="J382" s="13" t="n"/>
      <c r="K382" s="13" t="n"/>
      <c r="L382" s="16">
        <f>IF($A382="","",1)</f>
        <v/>
      </c>
    </row>
    <row r="383">
      <c r="A383" s="13" t="n"/>
      <c r="B383" s="13" t="n"/>
      <c r="C383" s="68" t="n"/>
      <c r="D383" s="13" t="n"/>
      <c r="E383" s="13" t="n"/>
      <c r="F383" s="69" t="n"/>
      <c r="G383" s="69" t="n"/>
      <c r="H383" s="69" t="n"/>
      <c r="I383" s="13" t="n"/>
      <c r="J383" s="13" t="n"/>
      <c r="K383" s="13" t="n"/>
      <c r="L383" s="16">
        <f>IF($A383="","",1)</f>
        <v/>
      </c>
    </row>
    <row r="384">
      <c r="A384" s="13" t="n"/>
      <c r="B384" s="13" t="n"/>
      <c r="C384" s="68" t="n"/>
      <c r="D384" s="13" t="n"/>
      <c r="E384" s="13" t="n"/>
      <c r="F384" s="69" t="n"/>
      <c r="G384" s="69" t="n"/>
      <c r="H384" s="69" t="n"/>
      <c r="I384" s="13" t="n"/>
      <c r="J384" s="13" t="n"/>
      <c r="K384" s="13" t="n"/>
      <c r="L384" s="16">
        <f>IF($A384="","",1)</f>
        <v/>
      </c>
    </row>
    <row r="385">
      <c r="A385" s="13" t="n"/>
      <c r="B385" s="13" t="n"/>
      <c r="C385" s="68" t="n"/>
      <c r="D385" s="13" t="n"/>
      <c r="E385" s="13" t="n"/>
      <c r="F385" s="69" t="n"/>
      <c r="G385" s="69" t="n"/>
      <c r="H385" s="69" t="n"/>
      <c r="I385" s="13" t="n"/>
      <c r="J385" s="13" t="n"/>
      <c r="K385" s="13" t="n"/>
      <c r="L385" s="16">
        <f>IF($A385="","",1)</f>
        <v/>
      </c>
    </row>
    <row r="386">
      <c r="A386" s="13" t="n"/>
      <c r="B386" s="13" t="n"/>
      <c r="C386" s="68" t="n"/>
      <c r="D386" s="13" t="n"/>
      <c r="E386" s="13" t="n"/>
      <c r="F386" s="69" t="n"/>
      <c r="G386" s="69" t="n"/>
      <c r="H386" s="69" t="n"/>
      <c r="I386" s="13" t="n"/>
      <c r="J386" s="13" t="n"/>
      <c r="K386" s="13" t="n"/>
      <c r="L386" s="16">
        <f>IF($A386="","",1)</f>
        <v/>
      </c>
    </row>
    <row r="387">
      <c r="A387" s="13" t="n"/>
      <c r="B387" s="13" t="n"/>
      <c r="C387" s="68" t="n"/>
      <c r="D387" s="13" t="n"/>
      <c r="E387" s="13" t="n"/>
      <c r="F387" s="69" t="n"/>
      <c r="G387" s="69" t="n"/>
      <c r="H387" s="69" t="n"/>
      <c r="I387" s="13" t="n"/>
      <c r="J387" s="13" t="n"/>
      <c r="K387" s="13" t="n"/>
      <c r="L387" s="16">
        <f>IF($A387="","",1)</f>
        <v/>
      </c>
    </row>
    <row r="388">
      <c r="A388" s="13" t="n"/>
      <c r="B388" s="13" t="n"/>
      <c r="C388" s="68" t="n"/>
      <c r="D388" s="13" t="n"/>
      <c r="E388" s="13" t="n"/>
      <c r="F388" s="69" t="n"/>
      <c r="G388" s="69" t="n"/>
      <c r="H388" s="69" t="n"/>
      <c r="I388" s="13" t="n"/>
      <c r="J388" s="13" t="n"/>
      <c r="K388" s="13" t="n"/>
      <c r="L388" s="16">
        <f>IF($A388="","",1)</f>
        <v/>
      </c>
    </row>
    <row r="389">
      <c r="A389" s="13" t="n"/>
      <c r="B389" s="13" t="n"/>
      <c r="C389" s="68" t="n"/>
      <c r="D389" s="13" t="n"/>
      <c r="E389" s="13" t="n"/>
      <c r="F389" s="69" t="n"/>
      <c r="G389" s="69" t="n"/>
      <c r="H389" s="69" t="n"/>
      <c r="I389" s="13" t="n"/>
      <c r="J389" s="13" t="n"/>
      <c r="K389" s="13" t="n"/>
      <c r="L389" s="16">
        <f>IF($A389="","",1)</f>
        <v/>
      </c>
    </row>
    <row r="390">
      <c r="A390" s="13" t="n"/>
      <c r="B390" s="13" t="n"/>
      <c r="C390" s="68" t="n"/>
      <c r="D390" s="13" t="n"/>
      <c r="E390" s="13" t="n"/>
      <c r="F390" s="69" t="n"/>
      <c r="G390" s="69" t="n"/>
      <c r="H390" s="69" t="n"/>
      <c r="I390" s="13" t="n"/>
      <c r="J390" s="13" t="n"/>
      <c r="K390" s="13" t="n"/>
      <c r="L390" s="16">
        <f>IF($A390="","",1)</f>
        <v/>
      </c>
    </row>
    <row r="391">
      <c r="A391" s="13" t="n"/>
      <c r="B391" s="13" t="n"/>
      <c r="C391" s="68" t="n"/>
      <c r="D391" s="13" t="n"/>
      <c r="E391" s="13" t="n"/>
      <c r="F391" s="69" t="n"/>
      <c r="G391" s="69" t="n"/>
      <c r="H391" s="69" t="n"/>
      <c r="I391" s="13" t="n"/>
      <c r="J391" s="13" t="n"/>
      <c r="K391" s="13" t="n"/>
      <c r="L391" s="16">
        <f>IF($A391="","",1)</f>
        <v/>
      </c>
    </row>
    <row r="392">
      <c r="A392" s="13" t="n"/>
      <c r="B392" s="13" t="n"/>
      <c r="C392" s="68" t="n"/>
      <c r="D392" s="13" t="n"/>
      <c r="E392" s="13" t="n"/>
      <c r="F392" s="69" t="n"/>
      <c r="G392" s="69" t="n"/>
      <c r="H392" s="69" t="n"/>
      <c r="I392" s="13" t="n"/>
      <c r="J392" s="13" t="n"/>
      <c r="K392" s="13" t="n"/>
      <c r="L392" s="16">
        <f>IF($A392="","",1)</f>
        <v/>
      </c>
    </row>
    <row r="393">
      <c r="A393" s="13" t="n"/>
      <c r="B393" s="13" t="n"/>
      <c r="C393" s="68" t="n"/>
      <c r="D393" s="13" t="n"/>
      <c r="E393" s="13" t="n"/>
      <c r="F393" s="69" t="n"/>
      <c r="G393" s="69" t="n"/>
      <c r="H393" s="69" t="n"/>
      <c r="I393" s="13" t="n"/>
      <c r="J393" s="13" t="n"/>
      <c r="K393" s="13" t="n"/>
      <c r="L393" s="16">
        <f>IF($A393="","",1)</f>
        <v/>
      </c>
    </row>
    <row r="394">
      <c r="A394" s="13" t="n"/>
      <c r="B394" s="13" t="n"/>
      <c r="C394" s="68" t="n"/>
      <c r="D394" s="13" t="n"/>
      <c r="E394" s="13" t="n"/>
      <c r="F394" s="69" t="n"/>
      <c r="G394" s="69" t="n"/>
      <c r="H394" s="69" t="n"/>
      <c r="I394" s="13" t="n"/>
      <c r="J394" s="13" t="n"/>
      <c r="K394" s="13" t="n"/>
      <c r="L394" s="16">
        <f>IF($A394="","",1)</f>
        <v/>
      </c>
    </row>
    <row r="395">
      <c r="A395" s="13" t="n"/>
      <c r="B395" s="13" t="n"/>
      <c r="C395" s="68" t="n"/>
      <c r="D395" s="13" t="n"/>
      <c r="E395" s="13" t="n"/>
      <c r="F395" s="69" t="n"/>
      <c r="G395" s="69" t="n"/>
      <c r="H395" s="69" t="n"/>
      <c r="I395" s="13" t="n"/>
      <c r="J395" s="13" t="n"/>
      <c r="K395" s="13" t="n"/>
      <c r="L395" s="16">
        <f>IF($A395="","",1)</f>
        <v/>
      </c>
    </row>
    <row r="396">
      <c r="A396" s="13" t="n"/>
      <c r="B396" s="13" t="n"/>
      <c r="C396" s="68" t="n"/>
      <c r="D396" s="13" t="n"/>
      <c r="E396" s="13" t="n"/>
      <c r="F396" s="69" t="n"/>
      <c r="G396" s="69" t="n"/>
      <c r="H396" s="69" t="n"/>
      <c r="I396" s="13" t="n"/>
      <c r="J396" s="13" t="n"/>
      <c r="K396" s="13" t="n"/>
      <c r="L396" s="16">
        <f>IF($A396="","",1)</f>
        <v/>
      </c>
    </row>
    <row r="397">
      <c r="A397" s="13" t="n"/>
      <c r="B397" s="13" t="n"/>
      <c r="C397" s="68" t="n"/>
      <c r="D397" s="13" t="n"/>
      <c r="E397" s="13" t="n"/>
      <c r="F397" s="69" t="n"/>
      <c r="G397" s="69" t="n"/>
      <c r="H397" s="69" t="n"/>
      <c r="I397" s="13" t="n"/>
      <c r="J397" s="13" t="n"/>
      <c r="K397" s="13" t="n"/>
      <c r="L397" s="16">
        <f>IF($A397="","",1)</f>
        <v/>
      </c>
    </row>
    <row r="398">
      <c r="A398" s="13" t="n"/>
      <c r="B398" s="13" t="n"/>
      <c r="C398" s="68" t="n"/>
      <c r="D398" s="13" t="n"/>
      <c r="E398" s="13" t="n"/>
      <c r="F398" s="69" t="n"/>
      <c r="G398" s="69" t="n"/>
      <c r="H398" s="69" t="n"/>
      <c r="I398" s="13" t="n"/>
      <c r="J398" s="13" t="n"/>
      <c r="K398" s="13" t="n"/>
      <c r="L398" s="16">
        <f>IF($A398="","",1)</f>
        <v/>
      </c>
    </row>
    <row r="399">
      <c r="A399" s="13" t="n"/>
      <c r="B399" s="13" t="n"/>
      <c r="C399" s="68" t="n"/>
      <c r="D399" s="13" t="n"/>
      <c r="E399" s="13" t="n"/>
      <c r="F399" s="69" t="n"/>
      <c r="G399" s="69" t="n"/>
      <c r="H399" s="69" t="n"/>
      <c r="I399" s="13" t="n"/>
      <c r="J399" s="13" t="n"/>
      <c r="K399" s="13" t="n"/>
      <c r="L399" s="16">
        <f>IF($A399="","",1)</f>
        <v/>
      </c>
    </row>
    <row r="400">
      <c r="A400" s="13" t="n"/>
      <c r="B400" s="13" t="n"/>
      <c r="C400" s="68" t="n"/>
      <c r="D400" s="13" t="n"/>
      <c r="E400" s="13" t="n"/>
      <c r="F400" s="69" t="n"/>
      <c r="G400" s="69" t="n"/>
      <c r="H400" s="69" t="n"/>
      <c r="I400" s="13" t="n"/>
      <c r="J400" s="13" t="n"/>
      <c r="K400" s="13" t="n"/>
      <c r="L400" s="16">
        <f>IF($A400="","",1)</f>
        <v/>
      </c>
    </row>
    <row r="401">
      <c r="A401" s="13" t="n"/>
      <c r="B401" s="13" t="n"/>
      <c r="C401" s="68" t="n"/>
      <c r="D401" s="13" t="n"/>
      <c r="E401" s="13" t="n"/>
      <c r="F401" s="69" t="n"/>
      <c r="G401" s="69" t="n"/>
      <c r="H401" s="69" t="n"/>
      <c r="I401" s="13" t="n"/>
      <c r="J401" s="13" t="n"/>
      <c r="K401" s="13" t="n"/>
      <c r="L401" s="16">
        <f>IF($A401="","",1)</f>
        <v/>
      </c>
    </row>
    <row r="402">
      <c r="A402" s="13" t="n"/>
      <c r="B402" s="13" t="n"/>
      <c r="C402" s="68" t="n"/>
      <c r="D402" s="13" t="n"/>
      <c r="E402" s="13" t="n"/>
      <c r="F402" s="69" t="n"/>
      <c r="G402" s="69" t="n"/>
      <c r="H402" s="69" t="n"/>
      <c r="I402" s="13" t="n"/>
      <c r="J402" s="13" t="n"/>
      <c r="K402" s="13" t="n"/>
      <c r="L402" s="16">
        <f>IF($A402="","",1)</f>
        <v/>
      </c>
    </row>
    <row r="403">
      <c r="A403" s="13" t="n"/>
      <c r="B403" s="13" t="n"/>
      <c r="C403" s="68" t="n"/>
      <c r="D403" s="13" t="n"/>
      <c r="E403" s="13" t="n"/>
      <c r="F403" s="69" t="n"/>
      <c r="G403" s="69" t="n"/>
      <c r="H403" s="69" t="n"/>
      <c r="I403" s="13" t="n"/>
      <c r="J403" s="13" t="n"/>
      <c r="K403" s="13" t="n"/>
      <c r="L403" s="16">
        <f>IF($A403="","",1)</f>
        <v/>
      </c>
    </row>
    <row r="404">
      <c r="A404" s="13" t="n"/>
      <c r="B404" s="13" t="n"/>
      <c r="C404" s="68" t="n"/>
      <c r="D404" s="13" t="n"/>
      <c r="E404" s="13" t="n"/>
      <c r="F404" s="69" t="n"/>
      <c r="G404" s="69" t="n"/>
      <c r="H404" s="69" t="n"/>
      <c r="I404" s="13" t="n"/>
      <c r="J404" s="13" t="n"/>
      <c r="K404" s="13" t="n"/>
      <c r="L404" s="16">
        <f>IF($A404="","",1)</f>
        <v/>
      </c>
    </row>
    <row r="405">
      <c r="A405" s="13" t="n"/>
      <c r="B405" s="13" t="n"/>
      <c r="C405" s="68" t="n"/>
      <c r="D405" s="13" t="n"/>
      <c r="E405" s="13" t="n"/>
      <c r="F405" s="69" t="n"/>
      <c r="G405" s="69" t="n"/>
      <c r="H405" s="69" t="n"/>
      <c r="I405" s="13" t="n"/>
      <c r="J405" s="13" t="n"/>
      <c r="K405" s="13" t="n"/>
      <c r="L405" s="16">
        <f>IF($A405="","",1)</f>
        <v/>
      </c>
    </row>
    <row r="406">
      <c r="A406" s="13" t="n"/>
      <c r="B406" s="13" t="n"/>
      <c r="C406" s="68" t="n"/>
      <c r="D406" s="13" t="n"/>
      <c r="E406" s="13" t="n"/>
      <c r="F406" s="69" t="n"/>
      <c r="G406" s="69" t="n"/>
      <c r="H406" s="69" t="n"/>
      <c r="I406" s="13" t="n"/>
      <c r="J406" s="13" t="n"/>
      <c r="K406" s="13" t="n"/>
      <c r="L406" s="16">
        <f>IF($A406="","",1)</f>
        <v/>
      </c>
    </row>
    <row r="407">
      <c r="A407" s="13" t="n"/>
      <c r="B407" s="13" t="n"/>
      <c r="C407" s="68" t="n"/>
      <c r="D407" s="13" t="n"/>
      <c r="E407" s="13" t="n"/>
      <c r="F407" s="69" t="n"/>
      <c r="G407" s="69" t="n"/>
      <c r="H407" s="69" t="n"/>
      <c r="I407" s="13" t="n"/>
      <c r="J407" s="13" t="n"/>
      <c r="K407" s="13" t="n"/>
      <c r="L407" s="16">
        <f>IF($A407="","",1)</f>
        <v/>
      </c>
    </row>
    <row r="408">
      <c r="A408" s="13" t="n"/>
      <c r="B408" s="13" t="n"/>
      <c r="C408" s="68" t="n"/>
      <c r="D408" s="13" t="n"/>
      <c r="E408" s="13" t="n"/>
      <c r="F408" s="69" t="n"/>
      <c r="G408" s="69" t="n"/>
      <c r="H408" s="69" t="n"/>
      <c r="I408" s="13" t="n"/>
      <c r="J408" s="13" t="n"/>
      <c r="K408" s="13" t="n"/>
      <c r="L408" s="16">
        <f>IF($A408="","",1)</f>
        <v/>
      </c>
    </row>
    <row r="409">
      <c r="A409" s="13" t="n"/>
      <c r="B409" s="13" t="n"/>
      <c r="C409" s="68" t="n"/>
      <c r="D409" s="13" t="n"/>
      <c r="E409" s="13" t="n"/>
      <c r="F409" s="69" t="n"/>
      <c r="G409" s="69" t="n"/>
      <c r="H409" s="69" t="n"/>
      <c r="I409" s="13" t="n"/>
      <c r="J409" s="13" t="n"/>
      <c r="K409" s="13" t="n"/>
      <c r="L409" s="16">
        <f>IF($A409="","",1)</f>
        <v/>
      </c>
    </row>
    <row r="410">
      <c r="A410" s="13" t="n"/>
      <c r="B410" s="13" t="n"/>
      <c r="C410" s="68" t="n"/>
      <c r="D410" s="13" t="n"/>
      <c r="E410" s="13" t="n"/>
      <c r="F410" s="69" t="n"/>
      <c r="G410" s="69" t="n"/>
      <c r="H410" s="69" t="n"/>
      <c r="I410" s="13" t="n"/>
      <c r="J410" s="13" t="n"/>
      <c r="K410" s="13" t="n"/>
      <c r="L410" s="16">
        <f>IF($A410="","",1)</f>
        <v/>
      </c>
    </row>
    <row r="411">
      <c r="A411" s="13" t="n"/>
      <c r="B411" s="13" t="n"/>
      <c r="C411" s="68" t="n"/>
      <c r="D411" s="13" t="n"/>
      <c r="E411" s="13" t="n"/>
      <c r="F411" s="69" t="n"/>
      <c r="G411" s="69" t="n"/>
      <c r="H411" s="69" t="n"/>
      <c r="I411" s="13" t="n"/>
      <c r="J411" s="13" t="n"/>
      <c r="K411" s="13" t="n"/>
      <c r="L411" s="16">
        <f>IF($A411="","",1)</f>
        <v/>
      </c>
    </row>
    <row r="412">
      <c r="A412" s="13" t="n"/>
      <c r="B412" s="13" t="n"/>
      <c r="C412" s="68" t="n"/>
      <c r="D412" s="13" t="n"/>
      <c r="E412" s="13" t="n"/>
      <c r="F412" s="69" t="n"/>
      <c r="G412" s="69" t="n"/>
      <c r="H412" s="69" t="n"/>
      <c r="I412" s="13" t="n"/>
      <c r="J412" s="13" t="n"/>
      <c r="K412" s="13" t="n"/>
      <c r="L412" s="16">
        <f>IF($A412="","",1)</f>
        <v/>
      </c>
    </row>
    <row r="413">
      <c r="A413" s="13" t="n"/>
      <c r="B413" s="13" t="n"/>
      <c r="C413" s="68" t="n"/>
      <c r="D413" s="13" t="n"/>
      <c r="E413" s="13" t="n"/>
      <c r="F413" s="69" t="n"/>
      <c r="G413" s="69" t="n"/>
      <c r="H413" s="69" t="n"/>
      <c r="I413" s="13" t="n"/>
      <c r="J413" s="13" t="n"/>
      <c r="K413" s="13" t="n"/>
      <c r="L413" s="16">
        <f>IF($A413="","",1)</f>
        <v/>
      </c>
    </row>
    <row r="414">
      <c r="A414" s="13" t="n"/>
      <c r="B414" s="13" t="n"/>
      <c r="C414" s="68" t="n"/>
      <c r="D414" s="13" t="n"/>
      <c r="E414" s="13" t="n"/>
      <c r="F414" s="69" t="n"/>
      <c r="G414" s="69" t="n"/>
      <c r="H414" s="69" t="n"/>
      <c r="I414" s="13" t="n"/>
      <c r="J414" s="13" t="n"/>
      <c r="K414" s="13" t="n"/>
      <c r="L414" s="16">
        <f>IF($A414="","",1)</f>
        <v/>
      </c>
    </row>
    <row r="415">
      <c r="A415" s="13" t="n"/>
      <c r="B415" s="13" t="n"/>
      <c r="C415" s="68" t="n"/>
      <c r="D415" s="13" t="n"/>
      <c r="E415" s="13" t="n"/>
      <c r="F415" s="69" t="n"/>
      <c r="G415" s="69" t="n"/>
      <c r="H415" s="69" t="n"/>
      <c r="I415" s="13" t="n"/>
      <c r="J415" s="13" t="n"/>
      <c r="K415" s="13" t="n"/>
      <c r="L415" s="16">
        <f>IF($A415="","",1)</f>
        <v/>
      </c>
    </row>
    <row r="416">
      <c r="A416" s="13" t="n"/>
      <c r="B416" s="13" t="n"/>
      <c r="C416" s="68" t="n"/>
      <c r="D416" s="13" t="n"/>
      <c r="E416" s="13" t="n"/>
      <c r="F416" s="69" t="n"/>
      <c r="G416" s="69" t="n"/>
      <c r="H416" s="69" t="n"/>
      <c r="I416" s="13" t="n"/>
      <c r="J416" s="13" t="n"/>
      <c r="K416" s="13" t="n"/>
      <c r="L416" s="16">
        <f>IF($A416="","",1)</f>
        <v/>
      </c>
    </row>
    <row r="417">
      <c r="A417" s="13" t="n"/>
      <c r="B417" s="13" t="n"/>
      <c r="C417" s="68" t="n"/>
      <c r="D417" s="13" t="n"/>
      <c r="E417" s="13" t="n"/>
      <c r="F417" s="69" t="n"/>
      <c r="G417" s="69" t="n"/>
      <c r="H417" s="69" t="n"/>
      <c r="I417" s="13" t="n"/>
      <c r="J417" s="13" t="n"/>
      <c r="K417" s="13" t="n"/>
      <c r="L417" s="16">
        <f>IF($A417="","",1)</f>
        <v/>
      </c>
    </row>
    <row r="418">
      <c r="A418" s="13" t="n"/>
      <c r="B418" s="13" t="n"/>
      <c r="C418" s="68" t="n"/>
      <c r="D418" s="13" t="n"/>
      <c r="E418" s="13" t="n"/>
      <c r="F418" s="69" t="n"/>
      <c r="G418" s="69" t="n"/>
      <c r="H418" s="69" t="n"/>
      <c r="I418" s="13" t="n"/>
      <c r="J418" s="13" t="n"/>
      <c r="K418" s="13" t="n"/>
      <c r="L418" s="16">
        <f>IF($A418="","",1)</f>
        <v/>
      </c>
    </row>
    <row r="419">
      <c r="A419" s="13" t="n"/>
      <c r="B419" s="13" t="n"/>
      <c r="C419" s="68" t="n"/>
      <c r="D419" s="13" t="n"/>
      <c r="E419" s="13" t="n"/>
      <c r="F419" s="69" t="n"/>
      <c r="G419" s="69" t="n"/>
      <c r="H419" s="69" t="n"/>
      <c r="I419" s="13" t="n"/>
      <c r="J419" s="13" t="n"/>
      <c r="K419" s="13" t="n"/>
      <c r="L419" s="16">
        <f>IF($A419="","",1)</f>
        <v/>
      </c>
    </row>
    <row r="420">
      <c r="A420" s="13" t="n"/>
      <c r="B420" s="13" t="n"/>
      <c r="C420" s="68" t="n"/>
      <c r="D420" s="13" t="n"/>
      <c r="E420" s="13" t="n"/>
      <c r="F420" s="69" t="n"/>
      <c r="G420" s="69" t="n"/>
      <c r="H420" s="69" t="n"/>
      <c r="I420" s="13" t="n"/>
      <c r="J420" s="13" t="n"/>
      <c r="K420" s="13" t="n"/>
      <c r="L420" s="16">
        <f>IF($A420="","",1)</f>
        <v/>
      </c>
    </row>
    <row r="421">
      <c r="A421" s="13" t="n"/>
      <c r="B421" s="13" t="n"/>
      <c r="C421" s="68" t="n"/>
      <c r="D421" s="13" t="n"/>
      <c r="E421" s="13" t="n"/>
      <c r="F421" s="69" t="n"/>
      <c r="G421" s="69" t="n"/>
      <c r="H421" s="69" t="n"/>
      <c r="I421" s="13" t="n"/>
      <c r="J421" s="13" t="n"/>
      <c r="K421" s="13" t="n"/>
      <c r="L421" s="16">
        <f>IF($A421="","",1)</f>
        <v/>
      </c>
    </row>
    <row r="422">
      <c r="A422" s="13" t="n"/>
      <c r="B422" s="13" t="n"/>
      <c r="C422" s="68" t="n"/>
      <c r="D422" s="13" t="n"/>
      <c r="E422" s="13" t="n"/>
      <c r="F422" s="69" t="n"/>
      <c r="G422" s="69" t="n"/>
      <c r="H422" s="69" t="n"/>
      <c r="I422" s="13" t="n"/>
      <c r="J422" s="13" t="n"/>
      <c r="K422" s="13" t="n"/>
      <c r="L422" s="16">
        <f>IF($A422="","",1)</f>
        <v/>
      </c>
    </row>
    <row r="423">
      <c r="A423" s="13" t="n"/>
      <c r="B423" s="13" t="n"/>
      <c r="C423" s="68" t="n"/>
      <c r="D423" s="13" t="n"/>
      <c r="E423" s="13" t="n"/>
      <c r="F423" s="69" t="n"/>
      <c r="G423" s="69" t="n"/>
      <c r="H423" s="69" t="n"/>
      <c r="I423" s="13" t="n"/>
      <c r="J423" s="13" t="n"/>
      <c r="K423" s="13" t="n"/>
      <c r="L423" s="16">
        <f>IF($A423="","",1)</f>
        <v/>
      </c>
    </row>
    <row r="424">
      <c r="A424" s="13" t="n"/>
      <c r="B424" s="13" t="n"/>
      <c r="C424" s="68" t="n"/>
      <c r="D424" s="13" t="n"/>
      <c r="E424" s="13" t="n"/>
      <c r="F424" s="69" t="n"/>
      <c r="G424" s="69" t="n"/>
      <c r="H424" s="69" t="n"/>
      <c r="I424" s="13" t="n"/>
      <c r="J424" s="13" t="n"/>
      <c r="K424" s="13" t="n"/>
      <c r="L424" s="16">
        <f>IF($A424="","",1)</f>
        <v/>
      </c>
    </row>
    <row r="425">
      <c r="A425" s="13" t="n"/>
      <c r="B425" s="13" t="n"/>
      <c r="C425" s="68" t="n"/>
      <c r="D425" s="13" t="n"/>
      <c r="E425" s="13" t="n"/>
      <c r="F425" s="69" t="n"/>
      <c r="G425" s="69" t="n"/>
      <c r="H425" s="69" t="n"/>
      <c r="I425" s="13" t="n"/>
      <c r="J425" s="13" t="n"/>
      <c r="K425" s="13" t="n"/>
      <c r="L425" s="16">
        <f>IF($A425="","",1)</f>
        <v/>
      </c>
    </row>
    <row r="426">
      <c r="A426" s="13" t="n"/>
      <c r="B426" s="13" t="n"/>
      <c r="C426" s="68" t="n"/>
      <c r="D426" s="13" t="n"/>
      <c r="E426" s="13" t="n"/>
      <c r="F426" s="69" t="n"/>
      <c r="G426" s="69" t="n"/>
      <c r="H426" s="69" t="n"/>
      <c r="I426" s="13" t="n"/>
      <c r="J426" s="13" t="n"/>
      <c r="K426" s="13" t="n"/>
      <c r="L426" s="16">
        <f>IF($A426="","",1)</f>
        <v/>
      </c>
    </row>
    <row r="427">
      <c r="A427" s="13" t="n"/>
      <c r="B427" s="13" t="n"/>
      <c r="C427" s="68" t="n"/>
      <c r="D427" s="13" t="n"/>
      <c r="E427" s="13" t="n"/>
      <c r="F427" s="69" t="n"/>
      <c r="G427" s="69" t="n"/>
      <c r="H427" s="69" t="n"/>
      <c r="I427" s="13" t="n"/>
      <c r="J427" s="13" t="n"/>
      <c r="K427" s="13" t="n"/>
      <c r="L427" s="16">
        <f>IF($A427="","",1)</f>
        <v/>
      </c>
    </row>
    <row r="428">
      <c r="A428" s="13" t="n"/>
      <c r="B428" s="13" t="n"/>
      <c r="C428" s="68" t="n"/>
      <c r="D428" s="13" t="n"/>
      <c r="E428" s="13" t="n"/>
      <c r="F428" s="69" t="n"/>
      <c r="G428" s="69" t="n"/>
      <c r="H428" s="69" t="n"/>
      <c r="I428" s="13" t="n"/>
      <c r="J428" s="13" t="n"/>
      <c r="K428" s="13" t="n"/>
      <c r="L428" s="16">
        <f>IF($A428="","",1)</f>
        <v/>
      </c>
    </row>
    <row r="429">
      <c r="A429" s="13" t="n"/>
      <c r="B429" s="13" t="n"/>
      <c r="C429" s="68" t="n"/>
      <c r="D429" s="13" t="n"/>
      <c r="E429" s="13" t="n"/>
      <c r="F429" s="69" t="n"/>
      <c r="G429" s="69" t="n"/>
      <c r="H429" s="69" t="n"/>
      <c r="I429" s="13" t="n"/>
      <c r="J429" s="13" t="n"/>
      <c r="K429" s="13" t="n"/>
      <c r="L429" s="16">
        <f>IF($A429="","",1)</f>
        <v/>
      </c>
    </row>
    <row r="430">
      <c r="A430" s="13" t="n"/>
      <c r="B430" s="13" t="n"/>
      <c r="C430" s="68" t="n"/>
      <c r="D430" s="13" t="n"/>
      <c r="E430" s="13" t="n"/>
      <c r="F430" s="69" t="n"/>
      <c r="G430" s="69" t="n"/>
      <c r="H430" s="69" t="n"/>
      <c r="I430" s="13" t="n"/>
      <c r="J430" s="13" t="n"/>
      <c r="K430" s="13" t="n"/>
      <c r="L430" s="16">
        <f>IF($A430="","",1)</f>
        <v/>
      </c>
    </row>
    <row r="431">
      <c r="A431" s="13" t="n"/>
      <c r="B431" s="13" t="n"/>
      <c r="C431" s="68" t="n"/>
      <c r="D431" s="13" t="n"/>
      <c r="E431" s="13" t="n"/>
      <c r="F431" s="69" t="n"/>
      <c r="G431" s="69" t="n"/>
      <c r="H431" s="69" t="n"/>
      <c r="I431" s="13" t="n"/>
      <c r="J431" s="13" t="n"/>
      <c r="K431" s="13" t="n"/>
      <c r="L431" s="16">
        <f>IF($A431="","",1)</f>
        <v/>
      </c>
    </row>
    <row r="432">
      <c r="A432" s="13" t="n"/>
      <c r="B432" s="13" t="n"/>
      <c r="C432" s="68" t="n"/>
      <c r="D432" s="13" t="n"/>
      <c r="E432" s="13" t="n"/>
      <c r="F432" s="69" t="n"/>
      <c r="G432" s="69" t="n"/>
      <c r="H432" s="69" t="n"/>
      <c r="I432" s="13" t="n"/>
      <c r="J432" s="13" t="n"/>
      <c r="K432" s="13" t="n"/>
      <c r="L432" s="16">
        <f>IF($A432="","",1)</f>
        <v/>
      </c>
    </row>
    <row r="433">
      <c r="A433" s="13" t="n"/>
      <c r="B433" s="13" t="n"/>
      <c r="C433" s="68" t="n"/>
      <c r="D433" s="13" t="n"/>
      <c r="E433" s="13" t="n"/>
      <c r="F433" s="69" t="n"/>
      <c r="G433" s="69" t="n"/>
      <c r="H433" s="69" t="n"/>
      <c r="I433" s="13" t="n"/>
      <c r="J433" s="13" t="n"/>
      <c r="K433" s="13" t="n"/>
      <c r="L433" s="16">
        <f>IF($A433="","",1)</f>
        <v/>
      </c>
    </row>
    <row r="434">
      <c r="A434" s="13" t="n"/>
      <c r="B434" s="13" t="n"/>
      <c r="C434" s="68" t="n"/>
      <c r="D434" s="13" t="n"/>
      <c r="E434" s="13" t="n"/>
      <c r="F434" s="69" t="n"/>
      <c r="G434" s="69" t="n"/>
      <c r="H434" s="69" t="n"/>
      <c r="I434" s="13" t="n"/>
      <c r="J434" s="13" t="n"/>
      <c r="K434" s="13" t="n"/>
      <c r="L434" s="16">
        <f>IF($A434="","",1)</f>
        <v/>
      </c>
    </row>
    <row r="435">
      <c r="A435" s="13" t="n"/>
      <c r="B435" s="13" t="n"/>
      <c r="C435" s="68" t="n"/>
      <c r="D435" s="13" t="n"/>
      <c r="E435" s="13" t="n"/>
      <c r="F435" s="69" t="n"/>
      <c r="G435" s="69" t="n"/>
      <c r="H435" s="69" t="n"/>
      <c r="I435" s="13" t="n"/>
      <c r="J435" s="13" t="n"/>
      <c r="K435" s="13" t="n"/>
      <c r="L435" s="16">
        <f>IF($A435="","",1)</f>
        <v/>
      </c>
    </row>
    <row r="436">
      <c r="A436" s="13" t="n"/>
      <c r="B436" s="13" t="n"/>
      <c r="C436" s="68" t="n"/>
      <c r="D436" s="13" t="n"/>
      <c r="E436" s="13" t="n"/>
      <c r="F436" s="69" t="n"/>
      <c r="G436" s="69" t="n"/>
      <c r="H436" s="69" t="n"/>
      <c r="I436" s="13" t="n"/>
      <c r="J436" s="13" t="n"/>
      <c r="K436" s="13" t="n"/>
      <c r="L436" s="16">
        <f>IF($A436="","",1)</f>
        <v/>
      </c>
    </row>
    <row r="437">
      <c r="A437" s="13" t="n"/>
      <c r="B437" s="13" t="n"/>
      <c r="C437" s="68" t="n"/>
      <c r="D437" s="13" t="n"/>
      <c r="E437" s="13" t="n"/>
      <c r="F437" s="69" t="n"/>
      <c r="G437" s="69" t="n"/>
      <c r="H437" s="69" t="n"/>
      <c r="I437" s="13" t="n"/>
      <c r="J437" s="13" t="n"/>
      <c r="K437" s="13" t="n"/>
      <c r="L437" s="16">
        <f>IF($A437="","",1)</f>
        <v/>
      </c>
    </row>
    <row r="438">
      <c r="A438" s="13" t="n"/>
      <c r="B438" s="13" t="n"/>
      <c r="C438" s="68" t="n"/>
      <c r="D438" s="13" t="n"/>
      <c r="E438" s="13" t="n"/>
      <c r="F438" s="69" t="n"/>
      <c r="G438" s="69" t="n"/>
      <c r="H438" s="69" t="n"/>
      <c r="I438" s="13" t="n"/>
      <c r="J438" s="13" t="n"/>
      <c r="K438" s="13" t="n"/>
      <c r="L438" s="16">
        <f>IF($A438="","",1)</f>
        <v/>
      </c>
    </row>
    <row r="439">
      <c r="A439" s="13" t="n"/>
      <c r="B439" s="13" t="n"/>
      <c r="C439" s="68" t="n"/>
      <c r="D439" s="13" t="n"/>
      <c r="E439" s="13" t="n"/>
      <c r="F439" s="69" t="n"/>
      <c r="G439" s="69" t="n"/>
      <c r="H439" s="69" t="n"/>
      <c r="I439" s="13" t="n"/>
      <c r="J439" s="13" t="n"/>
      <c r="K439" s="13" t="n"/>
      <c r="L439" s="16">
        <f>IF($A439="","",1)</f>
        <v/>
      </c>
    </row>
    <row r="440">
      <c r="A440" s="13" t="n"/>
      <c r="B440" s="13" t="n"/>
      <c r="C440" s="68" t="n"/>
      <c r="D440" s="13" t="n"/>
      <c r="E440" s="13" t="n"/>
      <c r="F440" s="69" t="n"/>
      <c r="G440" s="69" t="n"/>
      <c r="H440" s="69" t="n"/>
      <c r="I440" s="13" t="n"/>
      <c r="J440" s="13" t="n"/>
      <c r="K440" s="13" t="n"/>
      <c r="L440" s="16">
        <f>IF($A440="","",1)</f>
        <v/>
      </c>
    </row>
    <row r="441">
      <c r="A441" s="13" t="n"/>
      <c r="B441" s="13" t="n"/>
      <c r="C441" s="68" t="n"/>
      <c r="D441" s="13" t="n"/>
      <c r="E441" s="13" t="n"/>
      <c r="F441" s="69" t="n"/>
      <c r="G441" s="69" t="n"/>
      <c r="H441" s="69" t="n"/>
      <c r="I441" s="13" t="n"/>
      <c r="J441" s="13" t="n"/>
      <c r="K441" s="13" t="n"/>
      <c r="L441" s="16">
        <f>IF($A441="","",1)</f>
        <v/>
      </c>
    </row>
    <row r="442">
      <c r="A442" s="13" t="n"/>
      <c r="B442" s="13" t="n"/>
      <c r="C442" s="68" t="n"/>
      <c r="D442" s="13" t="n"/>
      <c r="E442" s="13" t="n"/>
      <c r="F442" s="69" t="n"/>
      <c r="G442" s="69" t="n"/>
      <c r="H442" s="69" t="n"/>
      <c r="I442" s="13" t="n"/>
      <c r="J442" s="13" t="n"/>
      <c r="K442" s="13" t="n"/>
      <c r="L442" s="16">
        <f>IF($A442="","",1)</f>
        <v/>
      </c>
    </row>
    <row r="443">
      <c r="A443" s="13" t="n"/>
      <c r="B443" s="13" t="n"/>
      <c r="C443" s="68" t="n"/>
      <c r="D443" s="13" t="n"/>
      <c r="E443" s="13" t="n"/>
      <c r="F443" s="69" t="n"/>
      <c r="G443" s="69" t="n"/>
      <c r="H443" s="69" t="n"/>
      <c r="I443" s="13" t="n"/>
      <c r="J443" s="13" t="n"/>
      <c r="K443" s="13" t="n"/>
      <c r="L443" s="16">
        <f>IF($A443="","",1)</f>
        <v/>
      </c>
    </row>
    <row r="444">
      <c r="A444" s="13" t="n"/>
      <c r="B444" s="13" t="n"/>
      <c r="C444" s="68" t="n"/>
      <c r="D444" s="13" t="n"/>
      <c r="E444" s="13" t="n"/>
      <c r="F444" s="69" t="n"/>
      <c r="G444" s="69" t="n"/>
      <c r="H444" s="69" t="n"/>
      <c r="I444" s="13" t="n"/>
      <c r="J444" s="13" t="n"/>
      <c r="K444" s="13" t="n"/>
      <c r="L444" s="16">
        <f>IF($A444="","",1)</f>
        <v/>
      </c>
    </row>
    <row r="445">
      <c r="A445" s="13" t="n"/>
      <c r="B445" s="13" t="n"/>
      <c r="C445" s="68" t="n"/>
      <c r="D445" s="13" t="n"/>
      <c r="E445" s="13" t="n"/>
      <c r="F445" s="69" t="n"/>
      <c r="G445" s="69" t="n"/>
      <c r="H445" s="69" t="n"/>
      <c r="I445" s="13" t="n"/>
      <c r="J445" s="13" t="n"/>
      <c r="K445" s="13" t="n"/>
      <c r="L445" s="16">
        <f>IF($A445="","",1)</f>
        <v/>
      </c>
    </row>
    <row r="446">
      <c r="A446" s="13" t="n"/>
      <c r="B446" s="13" t="n"/>
      <c r="C446" s="68" t="n"/>
      <c r="D446" s="13" t="n"/>
      <c r="E446" s="13" t="n"/>
      <c r="F446" s="69" t="n"/>
      <c r="G446" s="69" t="n"/>
      <c r="H446" s="69" t="n"/>
      <c r="I446" s="13" t="n"/>
      <c r="J446" s="13" t="n"/>
      <c r="K446" s="13" t="n"/>
      <c r="L446" s="16">
        <f>IF($A446="","",1)</f>
        <v/>
      </c>
    </row>
    <row r="447">
      <c r="A447" s="13" t="n"/>
      <c r="B447" s="13" t="n"/>
      <c r="C447" s="68" t="n"/>
      <c r="D447" s="13" t="n"/>
      <c r="E447" s="13" t="n"/>
      <c r="F447" s="69" t="n"/>
      <c r="G447" s="69" t="n"/>
      <c r="H447" s="69" t="n"/>
      <c r="I447" s="13" t="n"/>
      <c r="J447" s="13" t="n"/>
      <c r="K447" s="13" t="n"/>
      <c r="L447" s="16">
        <f>IF($A447="","",1)</f>
        <v/>
      </c>
    </row>
    <row r="448">
      <c r="A448" s="13" t="n"/>
      <c r="B448" s="13" t="n"/>
      <c r="C448" s="68" t="n"/>
      <c r="D448" s="13" t="n"/>
      <c r="E448" s="13" t="n"/>
      <c r="F448" s="69" t="n"/>
      <c r="G448" s="69" t="n"/>
      <c r="H448" s="69" t="n"/>
      <c r="I448" s="13" t="n"/>
      <c r="J448" s="13" t="n"/>
      <c r="K448" s="13" t="n"/>
      <c r="L448" s="16">
        <f>IF($A448="","",1)</f>
        <v/>
      </c>
    </row>
    <row r="449">
      <c r="A449" s="13" t="n"/>
      <c r="B449" s="13" t="n"/>
      <c r="C449" s="68" t="n"/>
      <c r="D449" s="13" t="n"/>
      <c r="E449" s="13" t="n"/>
      <c r="F449" s="69" t="n"/>
      <c r="G449" s="69" t="n"/>
      <c r="H449" s="69" t="n"/>
      <c r="I449" s="13" t="n"/>
      <c r="J449" s="13" t="n"/>
      <c r="K449" s="13" t="n"/>
      <c r="L449" s="16">
        <f>IF($A449="","",1)</f>
        <v/>
      </c>
    </row>
    <row r="450">
      <c r="A450" s="13" t="n"/>
      <c r="B450" s="13" t="n"/>
      <c r="C450" s="68" t="n"/>
      <c r="D450" s="13" t="n"/>
      <c r="E450" s="13" t="n"/>
      <c r="F450" s="69" t="n"/>
      <c r="G450" s="69" t="n"/>
      <c r="H450" s="69" t="n"/>
      <c r="I450" s="13" t="n"/>
      <c r="J450" s="13" t="n"/>
      <c r="K450" s="13" t="n"/>
      <c r="L450" s="16">
        <f>IF($A450="","",1)</f>
        <v/>
      </c>
    </row>
    <row r="451">
      <c r="A451" s="13" t="n"/>
      <c r="B451" s="13" t="n"/>
      <c r="C451" s="68" t="n"/>
      <c r="D451" s="13" t="n"/>
      <c r="E451" s="13" t="n"/>
      <c r="F451" s="69" t="n"/>
      <c r="G451" s="69" t="n"/>
      <c r="H451" s="69" t="n"/>
      <c r="I451" s="13" t="n"/>
      <c r="J451" s="13" t="n"/>
      <c r="K451" s="13" t="n"/>
      <c r="L451" s="16">
        <f>IF($A451="","",1)</f>
        <v/>
      </c>
    </row>
    <row r="452">
      <c r="A452" s="13" t="n"/>
      <c r="B452" s="13" t="n"/>
      <c r="C452" s="68" t="n"/>
      <c r="D452" s="13" t="n"/>
      <c r="E452" s="13" t="n"/>
      <c r="F452" s="69" t="n"/>
      <c r="G452" s="69" t="n"/>
      <c r="H452" s="69" t="n"/>
      <c r="I452" s="13" t="n"/>
      <c r="J452" s="13" t="n"/>
      <c r="K452" s="13" t="n"/>
      <c r="L452" s="16">
        <f>IF($A452="","",1)</f>
        <v/>
      </c>
    </row>
    <row r="453">
      <c r="A453" s="13" t="n"/>
      <c r="B453" s="13" t="n"/>
      <c r="C453" s="68" t="n"/>
      <c r="D453" s="13" t="n"/>
      <c r="E453" s="13" t="n"/>
      <c r="F453" s="69" t="n"/>
      <c r="G453" s="69" t="n"/>
      <c r="H453" s="69" t="n"/>
      <c r="I453" s="13" t="n"/>
      <c r="J453" s="13" t="n"/>
      <c r="K453" s="13" t="n"/>
      <c r="L453" s="16">
        <f>IF($A453="","",1)</f>
        <v/>
      </c>
    </row>
    <row r="454">
      <c r="A454" s="13" t="n"/>
      <c r="B454" s="13" t="n"/>
      <c r="C454" s="68" t="n"/>
      <c r="D454" s="13" t="n"/>
      <c r="E454" s="13" t="n"/>
      <c r="F454" s="69" t="n"/>
      <c r="G454" s="69" t="n"/>
      <c r="H454" s="69" t="n"/>
      <c r="I454" s="13" t="n"/>
      <c r="J454" s="13" t="n"/>
      <c r="K454" s="13" t="n"/>
      <c r="L454" s="16">
        <f>IF($A454="","",1)</f>
        <v/>
      </c>
    </row>
    <row r="455">
      <c r="A455" s="13" t="n"/>
      <c r="B455" s="13" t="n"/>
      <c r="C455" s="68" t="n"/>
      <c r="D455" s="13" t="n"/>
      <c r="E455" s="13" t="n"/>
      <c r="F455" s="69" t="n"/>
      <c r="G455" s="69" t="n"/>
      <c r="H455" s="69" t="n"/>
      <c r="I455" s="13" t="n"/>
      <c r="J455" s="13" t="n"/>
      <c r="K455" s="13" t="n"/>
      <c r="L455" s="16">
        <f>IF($A455="","",1)</f>
        <v/>
      </c>
    </row>
    <row r="456">
      <c r="A456" s="13" t="n"/>
      <c r="B456" s="13" t="n"/>
      <c r="C456" s="68" t="n"/>
      <c r="D456" s="13" t="n"/>
      <c r="E456" s="13" t="n"/>
      <c r="F456" s="69" t="n"/>
      <c r="G456" s="69" t="n"/>
      <c r="H456" s="69" t="n"/>
      <c r="I456" s="13" t="n"/>
      <c r="J456" s="13" t="n"/>
      <c r="K456" s="13" t="n"/>
      <c r="L456" s="16">
        <f>IF($A456="","",1)</f>
        <v/>
      </c>
    </row>
    <row r="457">
      <c r="A457" s="13" t="n"/>
      <c r="B457" s="13" t="n"/>
      <c r="C457" s="68" t="n"/>
      <c r="D457" s="13" t="n"/>
      <c r="E457" s="13" t="n"/>
      <c r="F457" s="69" t="n"/>
      <c r="G457" s="69" t="n"/>
      <c r="H457" s="69" t="n"/>
      <c r="I457" s="13" t="n"/>
      <c r="J457" s="13" t="n"/>
      <c r="K457" s="13" t="n"/>
      <c r="L457" s="16">
        <f>IF($A457="","",1)</f>
        <v/>
      </c>
    </row>
    <row r="458">
      <c r="A458" s="13" t="n"/>
      <c r="B458" s="13" t="n"/>
      <c r="C458" s="68" t="n"/>
      <c r="D458" s="13" t="n"/>
      <c r="E458" s="13" t="n"/>
      <c r="F458" s="69" t="n"/>
      <c r="G458" s="69" t="n"/>
      <c r="H458" s="69" t="n"/>
      <c r="I458" s="13" t="n"/>
      <c r="J458" s="13" t="n"/>
      <c r="K458" s="13" t="n"/>
      <c r="L458" s="16">
        <f>IF($A458="","",1)</f>
        <v/>
      </c>
    </row>
    <row r="459">
      <c r="A459" s="13" t="n"/>
      <c r="B459" s="13" t="n"/>
      <c r="C459" s="68" t="n"/>
      <c r="D459" s="13" t="n"/>
      <c r="E459" s="13" t="n"/>
      <c r="F459" s="69" t="n"/>
      <c r="G459" s="69" t="n"/>
      <c r="H459" s="69" t="n"/>
      <c r="I459" s="13" t="n"/>
      <c r="J459" s="13" t="n"/>
      <c r="K459" s="13" t="n"/>
      <c r="L459" s="16">
        <f>IF($A459="","",1)</f>
        <v/>
      </c>
    </row>
    <row r="460">
      <c r="A460" s="13" t="n"/>
      <c r="B460" s="13" t="n"/>
      <c r="C460" s="68" t="n"/>
      <c r="D460" s="13" t="n"/>
      <c r="E460" s="13" t="n"/>
      <c r="F460" s="69" t="n"/>
      <c r="G460" s="69" t="n"/>
      <c r="H460" s="69" t="n"/>
      <c r="I460" s="13" t="n"/>
      <c r="J460" s="13" t="n"/>
      <c r="K460" s="13" t="n"/>
      <c r="L460" s="16">
        <f>IF($A460="","",1)</f>
        <v/>
      </c>
    </row>
    <row r="461">
      <c r="A461" s="13" t="n"/>
      <c r="B461" s="13" t="n"/>
      <c r="C461" s="68" t="n"/>
      <c r="D461" s="13" t="n"/>
      <c r="E461" s="13" t="n"/>
      <c r="F461" s="69" t="n"/>
      <c r="G461" s="69" t="n"/>
      <c r="H461" s="69" t="n"/>
      <c r="I461" s="13" t="n"/>
      <c r="J461" s="13" t="n"/>
      <c r="K461" s="13" t="n"/>
      <c r="L461" s="16">
        <f>IF($A461="","",1)</f>
        <v/>
      </c>
    </row>
    <row r="462">
      <c r="A462" s="13" t="n"/>
      <c r="B462" s="13" t="n"/>
      <c r="C462" s="68" t="n"/>
      <c r="D462" s="13" t="n"/>
      <c r="E462" s="13" t="n"/>
      <c r="F462" s="69" t="n"/>
      <c r="G462" s="69" t="n"/>
      <c r="H462" s="69" t="n"/>
      <c r="I462" s="13" t="n"/>
      <c r="J462" s="13" t="n"/>
      <c r="K462" s="13" t="n"/>
      <c r="L462" s="16">
        <f>IF($A462="","",1)</f>
        <v/>
      </c>
    </row>
    <row r="463">
      <c r="A463" s="13" t="n"/>
      <c r="B463" s="13" t="n"/>
      <c r="C463" s="68" t="n"/>
      <c r="D463" s="13" t="n"/>
      <c r="E463" s="13" t="n"/>
      <c r="F463" s="69" t="n"/>
      <c r="G463" s="69" t="n"/>
      <c r="H463" s="69" t="n"/>
      <c r="I463" s="13" t="n"/>
      <c r="J463" s="13" t="n"/>
      <c r="K463" s="13" t="n"/>
      <c r="L463" s="16">
        <f>IF($A463="","",1)</f>
        <v/>
      </c>
    </row>
    <row r="464">
      <c r="A464" s="13" t="n"/>
      <c r="B464" s="13" t="n"/>
      <c r="C464" s="68" t="n"/>
      <c r="D464" s="13" t="n"/>
      <c r="E464" s="13" t="n"/>
      <c r="F464" s="69" t="n"/>
      <c r="G464" s="69" t="n"/>
      <c r="H464" s="69" t="n"/>
      <c r="I464" s="13" t="n"/>
      <c r="J464" s="13" t="n"/>
      <c r="K464" s="13" t="n"/>
      <c r="L464" s="16">
        <f>IF($A464="","",1)</f>
        <v/>
      </c>
    </row>
    <row r="465">
      <c r="A465" s="13" t="n"/>
      <c r="B465" s="13" t="n"/>
      <c r="C465" s="68" t="n"/>
      <c r="D465" s="13" t="n"/>
      <c r="E465" s="13" t="n"/>
      <c r="F465" s="69" t="n"/>
      <c r="G465" s="69" t="n"/>
      <c r="H465" s="69" t="n"/>
      <c r="I465" s="13" t="n"/>
      <c r="J465" s="13" t="n"/>
      <c r="K465" s="13" t="n"/>
      <c r="L465" s="16">
        <f>IF($A465="","",1)</f>
        <v/>
      </c>
    </row>
    <row r="466">
      <c r="A466" s="13" t="n"/>
      <c r="B466" s="13" t="n"/>
      <c r="C466" s="68" t="n"/>
      <c r="D466" s="13" t="n"/>
      <c r="E466" s="13" t="n"/>
      <c r="F466" s="69" t="n"/>
      <c r="G466" s="69" t="n"/>
      <c r="H466" s="69" t="n"/>
      <c r="I466" s="13" t="n"/>
      <c r="J466" s="13" t="n"/>
      <c r="K466" s="13" t="n"/>
      <c r="L466" s="16">
        <f>IF($A466="","",1)</f>
        <v/>
      </c>
    </row>
    <row r="467">
      <c r="A467" s="13" t="n"/>
      <c r="B467" s="13" t="n"/>
      <c r="C467" s="68" t="n"/>
      <c r="D467" s="13" t="n"/>
      <c r="E467" s="13" t="n"/>
      <c r="F467" s="69" t="n"/>
      <c r="G467" s="69" t="n"/>
      <c r="H467" s="69" t="n"/>
      <c r="I467" s="13" t="n"/>
      <c r="J467" s="13" t="n"/>
      <c r="K467" s="13" t="n"/>
      <c r="L467" s="16">
        <f>IF($A467="","",1)</f>
        <v/>
      </c>
    </row>
    <row r="468">
      <c r="A468" s="13" t="n"/>
      <c r="B468" s="13" t="n"/>
      <c r="C468" s="68" t="n"/>
      <c r="D468" s="13" t="n"/>
      <c r="E468" s="13" t="n"/>
      <c r="F468" s="69" t="n"/>
      <c r="G468" s="69" t="n"/>
      <c r="H468" s="69" t="n"/>
      <c r="I468" s="13" t="n"/>
      <c r="J468" s="13" t="n"/>
      <c r="K468" s="13" t="n"/>
      <c r="L468" s="16">
        <f>IF($A468="","",1)</f>
        <v/>
      </c>
    </row>
    <row r="469">
      <c r="A469" s="13" t="n"/>
      <c r="B469" s="13" t="n"/>
      <c r="C469" s="68" t="n"/>
      <c r="D469" s="13" t="n"/>
      <c r="E469" s="13" t="n"/>
      <c r="F469" s="69" t="n"/>
      <c r="G469" s="69" t="n"/>
      <c r="H469" s="69" t="n"/>
      <c r="I469" s="13" t="n"/>
      <c r="J469" s="13" t="n"/>
      <c r="K469" s="13" t="n"/>
      <c r="L469" s="16">
        <f>IF($A469="","",1)</f>
        <v/>
      </c>
    </row>
    <row r="470">
      <c r="A470" s="13" t="n"/>
      <c r="B470" s="13" t="n"/>
      <c r="C470" s="68" t="n"/>
      <c r="D470" s="13" t="n"/>
      <c r="E470" s="13" t="n"/>
      <c r="F470" s="69" t="n"/>
      <c r="G470" s="69" t="n"/>
      <c r="H470" s="69" t="n"/>
      <c r="I470" s="13" t="n"/>
      <c r="J470" s="13" t="n"/>
      <c r="K470" s="13" t="n"/>
      <c r="L470" s="16">
        <f>IF($A470="","",1)</f>
        <v/>
      </c>
    </row>
    <row r="471">
      <c r="A471" s="13" t="n"/>
      <c r="B471" s="13" t="n"/>
      <c r="C471" s="68" t="n"/>
      <c r="D471" s="13" t="n"/>
      <c r="E471" s="13" t="n"/>
      <c r="F471" s="69" t="n"/>
      <c r="G471" s="69" t="n"/>
      <c r="H471" s="69" t="n"/>
      <c r="I471" s="13" t="n"/>
      <c r="J471" s="13" t="n"/>
      <c r="K471" s="13" t="n"/>
      <c r="L471" s="16">
        <f>IF($A471="","",1)</f>
        <v/>
      </c>
    </row>
    <row r="472">
      <c r="A472" s="13" t="n"/>
      <c r="B472" s="13" t="n"/>
      <c r="C472" s="68" t="n"/>
      <c r="D472" s="13" t="n"/>
      <c r="E472" s="13" t="n"/>
      <c r="F472" s="69" t="n"/>
      <c r="G472" s="69" t="n"/>
      <c r="H472" s="69" t="n"/>
      <c r="I472" s="13" t="n"/>
      <c r="J472" s="13" t="n"/>
      <c r="K472" s="13" t="n"/>
      <c r="L472" s="16">
        <f>IF($A472="","",1)</f>
        <v/>
      </c>
    </row>
    <row r="473">
      <c r="A473" s="13" t="n"/>
      <c r="B473" s="13" t="n"/>
      <c r="C473" s="68" t="n"/>
      <c r="D473" s="13" t="n"/>
      <c r="E473" s="13" t="n"/>
      <c r="F473" s="69" t="n"/>
      <c r="G473" s="69" t="n"/>
      <c r="H473" s="69" t="n"/>
      <c r="I473" s="13" t="n"/>
      <c r="J473" s="13" t="n"/>
      <c r="K473" s="13" t="n"/>
      <c r="L473" s="16">
        <f>IF($A473="","",1)</f>
        <v/>
      </c>
    </row>
    <row r="474">
      <c r="A474" s="13" t="n"/>
      <c r="B474" s="13" t="n"/>
      <c r="C474" s="68" t="n"/>
      <c r="D474" s="13" t="n"/>
      <c r="E474" s="13" t="n"/>
      <c r="F474" s="69" t="n"/>
      <c r="G474" s="69" t="n"/>
      <c r="H474" s="69" t="n"/>
      <c r="I474" s="13" t="n"/>
      <c r="J474" s="13" t="n"/>
      <c r="K474" s="13" t="n"/>
      <c r="L474" s="16">
        <f>IF($A474="","",1)</f>
        <v/>
      </c>
    </row>
    <row r="475">
      <c r="A475" s="13" t="n"/>
      <c r="B475" s="13" t="n"/>
      <c r="C475" s="68" t="n"/>
      <c r="D475" s="13" t="n"/>
      <c r="E475" s="13" t="n"/>
      <c r="F475" s="69" t="n"/>
      <c r="G475" s="69" t="n"/>
      <c r="H475" s="69" t="n"/>
      <c r="I475" s="13" t="n"/>
      <c r="J475" s="13" t="n"/>
      <c r="K475" s="13" t="n"/>
      <c r="L475" s="16">
        <f>IF($A475="","",1)</f>
        <v/>
      </c>
    </row>
    <row r="476">
      <c r="A476" s="13" t="n"/>
      <c r="B476" s="13" t="n"/>
      <c r="C476" s="68" t="n"/>
      <c r="D476" s="13" t="n"/>
      <c r="E476" s="13" t="n"/>
      <c r="F476" s="69" t="n"/>
      <c r="G476" s="69" t="n"/>
      <c r="H476" s="69" t="n"/>
      <c r="I476" s="13" t="n"/>
      <c r="J476" s="13" t="n"/>
      <c r="K476" s="13" t="n"/>
      <c r="L476" s="16">
        <f>IF($A476="","",1)</f>
        <v/>
      </c>
    </row>
    <row r="477">
      <c r="A477" s="13" t="n"/>
      <c r="B477" s="13" t="n"/>
      <c r="C477" s="68" t="n"/>
      <c r="D477" s="13" t="n"/>
      <c r="E477" s="13" t="n"/>
      <c r="F477" s="69" t="n"/>
      <c r="G477" s="69" t="n"/>
      <c r="H477" s="69" t="n"/>
      <c r="I477" s="13" t="n"/>
      <c r="J477" s="13" t="n"/>
      <c r="K477" s="13" t="n"/>
      <c r="L477" s="16">
        <f>IF($A477="","",1)</f>
        <v/>
      </c>
    </row>
    <row r="478">
      <c r="A478" s="13" t="n"/>
      <c r="B478" s="13" t="n"/>
      <c r="C478" s="68" t="n"/>
      <c r="D478" s="13" t="n"/>
      <c r="E478" s="13" t="n"/>
      <c r="F478" s="69" t="n"/>
      <c r="G478" s="69" t="n"/>
      <c r="H478" s="69" t="n"/>
      <c r="I478" s="13" t="n"/>
      <c r="J478" s="13" t="n"/>
      <c r="K478" s="13" t="n"/>
      <c r="L478" s="16">
        <f>IF($A478="","",1)</f>
        <v/>
      </c>
    </row>
    <row r="479">
      <c r="A479" s="13" t="n"/>
      <c r="B479" s="13" t="n"/>
      <c r="C479" s="68" t="n"/>
      <c r="D479" s="13" t="n"/>
      <c r="E479" s="13" t="n"/>
      <c r="F479" s="69" t="n"/>
      <c r="G479" s="69" t="n"/>
      <c r="H479" s="69" t="n"/>
      <c r="I479" s="13" t="n"/>
      <c r="J479" s="13" t="n"/>
      <c r="K479" s="13" t="n"/>
      <c r="L479" s="16">
        <f>IF($A479="","",1)</f>
        <v/>
      </c>
    </row>
    <row r="480">
      <c r="A480" s="13" t="n"/>
      <c r="B480" s="13" t="n"/>
      <c r="C480" s="68" t="n"/>
      <c r="D480" s="13" t="n"/>
      <c r="E480" s="13" t="n"/>
      <c r="F480" s="69" t="n"/>
      <c r="G480" s="69" t="n"/>
      <c r="H480" s="69" t="n"/>
      <c r="I480" s="13" t="n"/>
      <c r="J480" s="13" t="n"/>
      <c r="K480" s="13" t="n"/>
      <c r="L480" s="16">
        <f>IF($A480="","",1)</f>
        <v/>
      </c>
    </row>
    <row r="481">
      <c r="A481" s="13" t="n"/>
      <c r="B481" s="13" t="n"/>
      <c r="C481" s="68" t="n"/>
      <c r="D481" s="13" t="n"/>
      <c r="E481" s="13" t="n"/>
      <c r="F481" s="69" t="n"/>
      <c r="G481" s="69" t="n"/>
      <c r="H481" s="69" t="n"/>
      <c r="I481" s="13" t="n"/>
      <c r="J481" s="13" t="n"/>
      <c r="K481" s="13" t="n"/>
      <c r="L481" s="16">
        <f>IF($A481="","",1)</f>
        <v/>
      </c>
    </row>
    <row r="482">
      <c r="A482" s="13" t="n"/>
      <c r="B482" s="13" t="n"/>
      <c r="C482" s="68" t="n"/>
      <c r="D482" s="13" t="n"/>
      <c r="E482" s="13" t="n"/>
      <c r="F482" s="69" t="n"/>
      <c r="G482" s="69" t="n"/>
      <c r="H482" s="69" t="n"/>
      <c r="I482" s="13" t="n"/>
      <c r="J482" s="13" t="n"/>
      <c r="K482" s="13" t="n"/>
      <c r="L482" s="16">
        <f>IF($A482="","",1)</f>
        <v/>
      </c>
    </row>
    <row r="483">
      <c r="A483" s="13" t="n"/>
      <c r="B483" s="13" t="n"/>
      <c r="C483" s="68" t="n"/>
      <c r="D483" s="13" t="n"/>
      <c r="E483" s="13" t="n"/>
      <c r="F483" s="69" t="n"/>
      <c r="G483" s="69" t="n"/>
      <c r="H483" s="69" t="n"/>
      <c r="I483" s="13" t="n"/>
      <c r="J483" s="13" t="n"/>
      <c r="K483" s="13" t="n"/>
      <c r="L483" s="16">
        <f>IF($A483="","",1)</f>
        <v/>
      </c>
    </row>
    <row r="484">
      <c r="A484" s="13" t="n"/>
      <c r="B484" s="13" t="n"/>
      <c r="C484" s="68" t="n"/>
      <c r="D484" s="13" t="n"/>
      <c r="E484" s="13" t="n"/>
      <c r="F484" s="69" t="n"/>
      <c r="G484" s="69" t="n"/>
      <c r="H484" s="69" t="n"/>
      <c r="I484" s="13" t="n"/>
      <c r="J484" s="13" t="n"/>
      <c r="K484" s="13" t="n"/>
      <c r="L484" s="16">
        <f>IF($A484="","",1)</f>
        <v/>
      </c>
    </row>
    <row r="485">
      <c r="A485" s="13" t="n"/>
      <c r="B485" s="13" t="n"/>
      <c r="C485" s="68" t="n"/>
      <c r="D485" s="13" t="n"/>
      <c r="E485" s="13" t="n"/>
      <c r="F485" s="69" t="n"/>
      <c r="G485" s="69" t="n"/>
      <c r="H485" s="69" t="n"/>
      <c r="I485" s="13" t="n"/>
      <c r="J485" s="13" t="n"/>
      <c r="K485" s="13" t="n"/>
      <c r="L485" s="16">
        <f>IF($A485="","",1)</f>
        <v/>
      </c>
    </row>
    <row r="486">
      <c r="A486" s="13" t="n"/>
      <c r="B486" s="13" t="n"/>
      <c r="C486" s="68" t="n"/>
      <c r="D486" s="13" t="n"/>
      <c r="E486" s="13" t="n"/>
      <c r="F486" s="69" t="n"/>
      <c r="G486" s="69" t="n"/>
      <c r="H486" s="69" t="n"/>
      <c r="I486" s="13" t="n"/>
      <c r="J486" s="13" t="n"/>
      <c r="K486" s="13" t="n"/>
      <c r="L486" s="16">
        <f>IF($A486="","",1)</f>
        <v/>
      </c>
    </row>
    <row r="487">
      <c r="A487" s="13" t="n"/>
      <c r="B487" s="13" t="n"/>
      <c r="C487" s="68" t="n"/>
      <c r="D487" s="13" t="n"/>
      <c r="E487" s="13" t="n"/>
      <c r="F487" s="69" t="n"/>
      <c r="G487" s="69" t="n"/>
      <c r="H487" s="69" t="n"/>
      <c r="I487" s="13" t="n"/>
      <c r="J487" s="13" t="n"/>
      <c r="K487" s="13" t="n"/>
      <c r="L487" s="16">
        <f>IF($A487="","",1)</f>
        <v/>
      </c>
    </row>
    <row r="488">
      <c r="A488" s="13" t="n"/>
      <c r="B488" s="13" t="n"/>
      <c r="C488" s="68" t="n"/>
      <c r="D488" s="13" t="n"/>
      <c r="E488" s="13" t="n"/>
      <c r="F488" s="69" t="n"/>
      <c r="G488" s="69" t="n"/>
      <c r="H488" s="69" t="n"/>
      <c r="I488" s="13" t="n"/>
      <c r="J488" s="13" t="n"/>
      <c r="K488" s="13" t="n"/>
      <c r="L488" s="16">
        <f>IF($A488="","",1)</f>
        <v/>
      </c>
    </row>
    <row r="489">
      <c r="A489" s="13" t="n"/>
      <c r="B489" s="13" t="n"/>
      <c r="C489" s="68" t="n"/>
      <c r="D489" s="13" t="n"/>
      <c r="E489" s="13" t="n"/>
      <c r="F489" s="69" t="n"/>
      <c r="G489" s="69" t="n"/>
      <c r="H489" s="69" t="n"/>
      <c r="I489" s="13" t="n"/>
      <c r="J489" s="13" t="n"/>
      <c r="K489" s="13" t="n"/>
      <c r="L489" s="16">
        <f>IF($A489="","",1)</f>
        <v/>
      </c>
    </row>
    <row r="490">
      <c r="A490" s="13" t="n"/>
      <c r="B490" s="13" t="n"/>
      <c r="C490" s="68" t="n"/>
      <c r="D490" s="13" t="n"/>
      <c r="E490" s="13" t="n"/>
      <c r="F490" s="69" t="n"/>
      <c r="G490" s="69" t="n"/>
      <c r="H490" s="69" t="n"/>
      <c r="I490" s="13" t="n"/>
      <c r="J490" s="13" t="n"/>
      <c r="K490" s="13" t="n"/>
      <c r="L490" s="16">
        <f>IF($A490="","",1)</f>
        <v/>
      </c>
    </row>
    <row r="491">
      <c r="A491" s="13" t="n"/>
      <c r="B491" s="13" t="n"/>
      <c r="C491" s="68" t="n"/>
      <c r="D491" s="13" t="n"/>
      <c r="E491" s="13" t="n"/>
      <c r="F491" s="69" t="n"/>
      <c r="G491" s="69" t="n"/>
      <c r="H491" s="69" t="n"/>
      <c r="I491" s="13" t="n"/>
      <c r="J491" s="13" t="n"/>
      <c r="K491" s="13" t="n"/>
      <c r="L491" s="16">
        <f>IF($A491="","",1)</f>
        <v/>
      </c>
    </row>
    <row r="492">
      <c r="A492" s="13" t="n"/>
      <c r="B492" s="13" t="n"/>
      <c r="C492" s="68" t="n"/>
      <c r="D492" s="13" t="n"/>
      <c r="E492" s="13" t="n"/>
      <c r="F492" s="69" t="n"/>
      <c r="G492" s="69" t="n"/>
      <c r="H492" s="69" t="n"/>
      <c r="I492" s="13" t="n"/>
      <c r="J492" s="13" t="n"/>
      <c r="K492" s="13" t="n"/>
      <c r="L492" s="16">
        <f>IF($A492="","",1)</f>
        <v/>
      </c>
    </row>
    <row r="493">
      <c r="A493" s="13" t="n"/>
      <c r="B493" s="13" t="n"/>
      <c r="C493" s="68" t="n"/>
      <c r="D493" s="13" t="n"/>
      <c r="E493" s="13" t="n"/>
      <c r="F493" s="69" t="n"/>
      <c r="G493" s="69" t="n"/>
      <c r="H493" s="69" t="n"/>
      <c r="I493" s="13" t="n"/>
      <c r="J493" s="13" t="n"/>
      <c r="K493" s="13" t="n"/>
      <c r="L493" s="16">
        <f>IF($A493="","",1)</f>
        <v/>
      </c>
    </row>
    <row r="494">
      <c r="A494" s="13" t="n"/>
      <c r="B494" s="13" t="n"/>
      <c r="C494" s="68" t="n"/>
      <c r="D494" s="13" t="n"/>
      <c r="E494" s="13" t="n"/>
      <c r="F494" s="69" t="n"/>
      <c r="G494" s="69" t="n"/>
      <c r="H494" s="69" t="n"/>
      <c r="I494" s="13" t="n"/>
      <c r="J494" s="13" t="n"/>
      <c r="K494" s="13" t="n"/>
      <c r="L494" s="16">
        <f>IF($A494="","",1)</f>
        <v/>
      </c>
    </row>
    <row r="495">
      <c r="A495" s="13" t="n"/>
      <c r="B495" s="13" t="n"/>
      <c r="C495" s="68" t="n"/>
      <c r="D495" s="13" t="n"/>
      <c r="E495" s="13" t="n"/>
      <c r="F495" s="69" t="n"/>
      <c r="G495" s="69" t="n"/>
      <c r="H495" s="69" t="n"/>
      <c r="I495" s="13" t="n"/>
      <c r="J495" s="13" t="n"/>
      <c r="K495" s="13" t="n"/>
      <c r="L495" s="16">
        <f>IF($A495="","",1)</f>
        <v/>
      </c>
    </row>
    <row r="496">
      <c r="A496" s="13" t="n"/>
      <c r="B496" s="13" t="n"/>
      <c r="C496" s="68" t="n"/>
      <c r="D496" s="13" t="n"/>
      <c r="E496" s="13" t="n"/>
      <c r="F496" s="69" t="n"/>
      <c r="G496" s="69" t="n"/>
      <c r="H496" s="69" t="n"/>
      <c r="I496" s="13" t="n"/>
      <c r="J496" s="13" t="n"/>
      <c r="K496" s="13" t="n"/>
      <c r="L496" s="16">
        <f>IF($A496="","",1)</f>
        <v/>
      </c>
    </row>
    <row r="497">
      <c r="A497" s="13" t="n"/>
      <c r="B497" s="13" t="n"/>
      <c r="C497" s="68" t="n"/>
      <c r="D497" s="13" t="n"/>
      <c r="E497" s="13" t="n"/>
      <c r="F497" s="69" t="n"/>
      <c r="G497" s="69" t="n"/>
      <c r="H497" s="69" t="n"/>
      <c r="I497" s="13" t="n"/>
      <c r="J497" s="13" t="n"/>
      <c r="K497" s="13" t="n"/>
      <c r="L497" s="16">
        <f>IF($A497="","",1)</f>
        <v/>
      </c>
    </row>
    <row r="498">
      <c r="A498" s="13" t="n"/>
      <c r="B498" s="13" t="n"/>
      <c r="C498" s="68" t="n"/>
      <c r="D498" s="13" t="n"/>
      <c r="E498" s="13" t="n"/>
      <c r="F498" s="69" t="n"/>
      <c r="G498" s="69" t="n"/>
      <c r="H498" s="69" t="n"/>
      <c r="I498" s="13" t="n"/>
      <c r="J498" s="13" t="n"/>
      <c r="K498" s="13" t="n"/>
      <c r="L498" s="16">
        <f>IF($A498="","",1)</f>
        <v/>
      </c>
    </row>
    <row r="499">
      <c r="A499" s="13" t="n"/>
      <c r="B499" s="13" t="n"/>
      <c r="C499" s="68" t="n"/>
      <c r="D499" s="13" t="n"/>
      <c r="E499" s="13" t="n"/>
      <c r="F499" s="69" t="n"/>
      <c r="G499" s="69" t="n"/>
      <c r="H499" s="69" t="n"/>
      <c r="I499" s="13" t="n"/>
      <c r="J499" s="13" t="n"/>
      <c r="K499" s="13" t="n"/>
      <c r="L499" s="16">
        <f>IF($A499="","",1)</f>
        <v/>
      </c>
    </row>
    <row r="500">
      <c r="A500" s="13" t="n"/>
      <c r="B500" s="13" t="n"/>
      <c r="C500" s="68" t="n"/>
      <c r="D500" s="13" t="n"/>
      <c r="E500" s="13" t="n"/>
      <c r="F500" s="69" t="n"/>
      <c r="G500" s="69" t="n"/>
      <c r="H500" s="69" t="n"/>
      <c r="I500" s="13" t="n"/>
      <c r="J500" s="13" t="n"/>
      <c r="K500" s="13" t="n"/>
      <c r="L500" s="16">
        <f>IF($A500="","",1)</f>
        <v/>
      </c>
    </row>
    <row r="501">
      <c r="A501" s="13" t="n"/>
      <c r="B501" s="13" t="n"/>
      <c r="C501" s="68" t="n"/>
      <c r="D501" s="13" t="n"/>
      <c r="E501" s="13" t="n"/>
      <c r="F501" s="69" t="n"/>
      <c r="G501" s="69" t="n"/>
      <c r="H501" s="69" t="n"/>
      <c r="I501" s="13" t="n"/>
      <c r="J501" s="13" t="n"/>
      <c r="K501" s="13" t="n"/>
      <c r="L501" s="16">
        <f>IF($A501="","",1)</f>
        <v/>
      </c>
    </row>
    <row r="502">
      <c r="A502" s="13" t="n"/>
      <c r="B502" s="13" t="n"/>
      <c r="C502" s="68" t="n"/>
      <c r="D502" s="13" t="n"/>
      <c r="E502" s="13" t="n"/>
      <c r="F502" s="69" t="n"/>
      <c r="G502" s="69" t="n"/>
      <c r="H502" s="69" t="n"/>
      <c r="I502" s="13" t="n"/>
      <c r="J502" s="13" t="n"/>
      <c r="K502" s="13" t="n"/>
      <c r="L502" s="16">
        <f>IF($A502="","",1)</f>
        <v/>
      </c>
    </row>
    <row r="503">
      <c r="A503" s="13" t="n"/>
      <c r="B503" s="13" t="n"/>
      <c r="C503" s="68" t="n"/>
      <c r="D503" s="13" t="n"/>
      <c r="E503" s="13" t="n"/>
      <c r="F503" s="69" t="n"/>
      <c r="G503" s="69" t="n"/>
      <c r="H503" s="69" t="n"/>
      <c r="I503" s="13" t="n"/>
      <c r="J503" s="13" t="n"/>
      <c r="K503" s="13" t="n"/>
      <c r="L503" s="16">
        <f>IF($A503="","",1)</f>
        <v/>
      </c>
    </row>
    <row r="504">
      <c r="A504" s="13" t="n"/>
      <c r="B504" s="13" t="n"/>
      <c r="C504" s="68" t="n"/>
      <c r="D504" s="13" t="n"/>
      <c r="E504" s="13" t="n"/>
      <c r="F504" s="69" t="n"/>
      <c r="G504" s="69" t="n"/>
      <c r="H504" s="69" t="n"/>
      <c r="I504" s="13" t="n"/>
      <c r="J504" s="13" t="n"/>
      <c r="K504" s="13" t="n"/>
      <c r="L504" s="16">
        <f>IF($A504="","",1)</f>
        <v/>
      </c>
    </row>
    <row r="505">
      <c r="A505" s="13" t="n"/>
      <c r="B505" s="13" t="n"/>
      <c r="C505" s="68" t="n"/>
      <c r="D505" s="13" t="n"/>
      <c r="E505" s="13" t="n"/>
      <c r="F505" s="69" t="n"/>
      <c r="G505" s="69" t="n"/>
      <c r="H505" s="69" t="n"/>
      <c r="I505" s="13" t="n"/>
      <c r="J505" s="13" t="n"/>
      <c r="K505" s="13" t="n"/>
      <c r="L505" s="16">
        <f>IF($A505="","",1)</f>
        <v/>
      </c>
    </row>
    <row r="506">
      <c r="A506" s="13" t="n"/>
      <c r="B506" s="13" t="n"/>
      <c r="C506" s="68" t="n"/>
      <c r="D506" s="13" t="n"/>
      <c r="E506" s="13" t="n"/>
      <c r="F506" s="69" t="n"/>
      <c r="G506" s="69" t="n"/>
      <c r="H506" s="69" t="n"/>
      <c r="I506" s="13" t="n"/>
      <c r="J506" s="13" t="n"/>
      <c r="K506" s="13" t="n"/>
      <c r="L506" s="16">
        <f>IF($A506="","",1)</f>
        <v/>
      </c>
    </row>
    <row r="507">
      <c r="A507" s="13" t="n"/>
      <c r="B507" s="13" t="n"/>
      <c r="C507" s="68" t="n"/>
      <c r="D507" s="13" t="n"/>
      <c r="E507" s="13" t="n"/>
      <c r="F507" s="69" t="n"/>
      <c r="G507" s="69" t="n"/>
      <c r="H507" s="69" t="n"/>
      <c r="I507" s="13" t="n"/>
      <c r="J507" s="13" t="n"/>
      <c r="K507" s="13" t="n"/>
      <c r="L507" s="16">
        <f>IF($A507="","",1)</f>
        <v/>
      </c>
    </row>
    <row r="508">
      <c r="A508" s="13" t="n"/>
      <c r="B508" s="13" t="n"/>
      <c r="C508" s="68" t="n"/>
      <c r="D508" s="13" t="n"/>
      <c r="E508" s="13" t="n"/>
      <c r="F508" s="69" t="n"/>
      <c r="G508" s="69" t="n"/>
      <c r="H508" s="69" t="n"/>
      <c r="I508" s="13" t="n"/>
      <c r="J508" s="13" t="n"/>
      <c r="K508" s="13" t="n"/>
      <c r="L508" s="16">
        <f>IF($A508="","",1)</f>
        <v/>
      </c>
    </row>
    <row r="509">
      <c r="A509" s="13" t="n"/>
      <c r="B509" s="13" t="n"/>
      <c r="C509" s="68" t="n"/>
      <c r="D509" s="13" t="n"/>
      <c r="E509" s="13" t="n"/>
      <c r="F509" s="69" t="n"/>
      <c r="G509" s="69" t="n"/>
      <c r="H509" s="69" t="n"/>
      <c r="I509" s="13" t="n"/>
      <c r="J509" s="13" t="n"/>
      <c r="K509" s="13" t="n"/>
      <c r="L509" s="16">
        <f>IF($A509="","",1)</f>
        <v/>
      </c>
    </row>
    <row r="510">
      <c r="A510" s="13" t="n"/>
      <c r="B510" s="13" t="n"/>
      <c r="C510" s="68" t="n"/>
      <c r="D510" s="13" t="n"/>
      <c r="E510" s="13" t="n"/>
      <c r="F510" s="69" t="n"/>
      <c r="G510" s="69" t="n"/>
      <c r="H510" s="69" t="n"/>
      <c r="I510" s="13" t="n"/>
      <c r="J510" s="13" t="n"/>
      <c r="K510" s="13" t="n"/>
      <c r="L510" s="16">
        <f>IF($A510="","",1)</f>
        <v/>
      </c>
    </row>
    <row r="511">
      <c r="A511" s="13" t="n"/>
      <c r="B511" s="13" t="n"/>
      <c r="C511" s="68" t="n"/>
      <c r="D511" s="13" t="n"/>
      <c r="E511" s="13" t="n"/>
      <c r="F511" s="69" t="n"/>
      <c r="G511" s="69" t="n"/>
      <c r="H511" s="69" t="n"/>
      <c r="I511" s="13" t="n"/>
      <c r="J511" s="13" t="n"/>
      <c r="K511" s="13" t="n"/>
      <c r="L511" s="16">
        <f>IF($A511="","",1)</f>
        <v/>
      </c>
    </row>
    <row r="512">
      <c r="A512" s="13" t="n"/>
      <c r="B512" s="13" t="n"/>
      <c r="C512" s="68" t="n"/>
      <c r="D512" s="13" t="n"/>
      <c r="E512" s="13" t="n"/>
      <c r="F512" s="69" t="n"/>
      <c r="G512" s="69" t="n"/>
      <c r="H512" s="69" t="n"/>
      <c r="I512" s="13" t="n"/>
      <c r="J512" s="13" t="n"/>
      <c r="K512" s="13" t="n"/>
      <c r="L512" s="16">
        <f>IF($A512="","",1)</f>
        <v/>
      </c>
    </row>
    <row r="513">
      <c r="A513" s="13" t="n"/>
      <c r="B513" s="13" t="n"/>
      <c r="C513" s="68" t="n"/>
      <c r="D513" s="13" t="n"/>
      <c r="E513" s="13" t="n"/>
      <c r="F513" s="69" t="n"/>
      <c r="G513" s="69" t="n"/>
      <c r="H513" s="69" t="n"/>
      <c r="I513" s="13" t="n"/>
      <c r="J513" s="13" t="n"/>
      <c r="K513" s="13" t="n"/>
      <c r="L513" s="16">
        <f>IF($A513="","",1)</f>
        <v/>
      </c>
    </row>
    <row r="514">
      <c r="A514" s="13" t="n"/>
      <c r="B514" s="13" t="n"/>
      <c r="C514" s="68" t="n"/>
      <c r="D514" s="13" t="n"/>
      <c r="E514" s="13" t="n"/>
      <c r="F514" s="69" t="n"/>
      <c r="G514" s="69" t="n"/>
      <c r="H514" s="69" t="n"/>
      <c r="I514" s="13" t="n"/>
      <c r="J514" s="13" t="n"/>
      <c r="K514" s="13" t="n"/>
      <c r="L514" s="16">
        <f>IF($A514="","",1)</f>
        <v/>
      </c>
    </row>
    <row r="515">
      <c r="A515" s="13" t="n"/>
      <c r="B515" s="13" t="n"/>
      <c r="C515" s="68" t="n"/>
      <c r="D515" s="13" t="n"/>
      <c r="E515" s="13" t="n"/>
      <c r="F515" s="69" t="n"/>
      <c r="G515" s="69" t="n"/>
      <c r="H515" s="69" t="n"/>
      <c r="I515" s="13" t="n"/>
      <c r="J515" s="13" t="n"/>
      <c r="K515" s="13" t="n"/>
      <c r="L515" s="16">
        <f>IF($A515="","",1)</f>
        <v/>
      </c>
    </row>
    <row r="516">
      <c r="A516" s="13" t="n"/>
      <c r="B516" s="13" t="n"/>
      <c r="C516" s="68" t="n"/>
      <c r="D516" s="13" t="n"/>
      <c r="E516" s="13" t="n"/>
      <c r="F516" s="69" t="n"/>
      <c r="G516" s="69" t="n"/>
      <c r="H516" s="69" t="n"/>
      <c r="I516" s="13" t="n"/>
      <c r="J516" s="13" t="n"/>
      <c r="K516" s="13" t="n"/>
      <c r="L516" s="16">
        <f>IF($A516="","",1)</f>
        <v/>
      </c>
    </row>
    <row r="517">
      <c r="A517" s="13" t="n"/>
      <c r="B517" s="13" t="n"/>
      <c r="C517" s="68" t="n"/>
      <c r="D517" s="13" t="n"/>
      <c r="E517" s="13" t="n"/>
      <c r="F517" s="69" t="n"/>
      <c r="G517" s="69" t="n"/>
      <c r="H517" s="69" t="n"/>
      <c r="I517" s="13" t="n"/>
      <c r="J517" s="13" t="n"/>
      <c r="K517" s="13" t="n"/>
      <c r="L517" s="16">
        <f>IF($A517="","",1)</f>
        <v/>
      </c>
    </row>
    <row r="518">
      <c r="A518" s="13" t="n"/>
      <c r="B518" s="13" t="n"/>
      <c r="C518" s="68" t="n"/>
      <c r="D518" s="13" t="n"/>
      <c r="E518" s="13" t="n"/>
      <c r="F518" s="69" t="n"/>
      <c r="G518" s="69" t="n"/>
      <c r="H518" s="69" t="n"/>
      <c r="I518" s="13" t="n"/>
      <c r="J518" s="13" t="n"/>
      <c r="K518" s="13" t="n"/>
      <c r="L518" s="16">
        <f>IF($A518="","",1)</f>
        <v/>
      </c>
    </row>
    <row r="519">
      <c r="A519" s="13" t="n"/>
      <c r="B519" s="13" t="n"/>
      <c r="C519" s="68" t="n"/>
      <c r="D519" s="13" t="n"/>
      <c r="E519" s="13" t="n"/>
      <c r="F519" s="69" t="n"/>
      <c r="G519" s="69" t="n"/>
      <c r="H519" s="69" t="n"/>
      <c r="I519" s="13" t="n"/>
      <c r="J519" s="13" t="n"/>
      <c r="K519" s="13" t="n"/>
      <c r="L519" s="16">
        <f>IF($A519="","",1)</f>
        <v/>
      </c>
    </row>
    <row r="520">
      <c r="A520" s="13" t="n"/>
      <c r="B520" s="13" t="n"/>
      <c r="C520" s="68" t="n"/>
      <c r="D520" s="13" t="n"/>
      <c r="E520" s="13" t="n"/>
      <c r="F520" s="69" t="n"/>
      <c r="G520" s="69" t="n"/>
      <c r="H520" s="69" t="n"/>
      <c r="I520" s="13" t="n"/>
      <c r="J520" s="13" t="n"/>
      <c r="K520" s="13" t="n"/>
      <c r="L520" s="16">
        <f>IF($A520="","",1)</f>
        <v/>
      </c>
    </row>
    <row r="521">
      <c r="A521" s="13" t="n"/>
      <c r="B521" s="13" t="n"/>
      <c r="C521" s="68" t="n"/>
      <c r="D521" s="13" t="n"/>
      <c r="E521" s="13" t="n"/>
      <c r="F521" s="69" t="n"/>
      <c r="G521" s="69" t="n"/>
      <c r="H521" s="69" t="n"/>
      <c r="I521" s="13" t="n"/>
      <c r="J521" s="13" t="n"/>
      <c r="K521" s="13" t="n"/>
      <c r="L521" s="16">
        <f>IF($A521="","",1)</f>
        <v/>
      </c>
    </row>
    <row r="522">
      <c r="A522" s="13" t="n"/>
      <c r="B522" s="13" t="n"/>
      <c r="C522" s="68" t="n"/>
      <c r="D522" s="13" t="n"/>
      <c r="E522" s="13" t="n"/>
      <c r="F522" s="69" t="n"/>
      <c r="G522" s="69" t="n"/>
      <c r="H522" s="69" t="n"/>
      <c r="I522" s="13" t="n"/>
      <c r="J522" s="13" t="n"/>
      <c r="K522" s="13" t="n"/>
      <c r="L522" s="16">
        <f>IF($A522="","",1)</f>
        <v/>
      </c>
    </row>
    <row r="523">
      <c r="A523" s="13" t="n"/>
      <c r="B523" s="13" t="n"/>
      <c r="C523" s="68" t="n"/>
      <c r="D523" s="13" t="n"/>
      <c r="E523" s="13" t="n"/>
      <c r="F523" s="69" t="n"/>
      <c r="G523" s="69" t="n"/>
      <c r="H523" s="69" t="n"/>
      <c r="I523" s="13" t="n"/>
      <c r="J523" s="13" t="n"/>
      <c r="K523" s="13" t="n"/>
      <c r="L523" s="16">
        <f>IF($A523="","",1)</f>
        <v/>
      </c>
    </row>
    <row r="524">
      <c r="A524" s="13" t="n"/>
      <c r="B524" s="13" t="n"/>
      <c r="C524" s="68" t="n"/>
      <c r="D524" s="13" t="n"/>
      <c r="E524" s="13" t="n"/>
      <c r="F524" s="69" t="n"/>
      <c r="G524" s="69" t="n"/>
      <c r="H524" s="69" t="n"/>
      <c r="I524" s="13" t="n"/>
      <c r="J524" s="13" t="n"/>
      <c r="K524" s="13" t="n"/>
      <c r="L524" s="16">
        <f>IF($A524="","",1)</f>
        <v/>
      </c>
    </row>
    <row r="525">
      <c r="A525" s="13" t="n"/>
      <c r="B525" s="13" t="n"/>
      <c r="C525" s="68" t="n"/>
      <c r="D525" s="13" t="n"/>
      <c r="E525" s="13" t="n"/>
      <c r="F525" s="69" t="n"/>
      <c r="G525" s="69" t="n"/>
      <c r="H525" s="69" t="n"/>
      <c r="I525" s="13" t="n"/>
      <c r="J525" s="13" t="n"/>
      <c r="K525" s="13" t="n"/>
      <c r="L525" s="16">
        <f>IF($A525="","",1)</f>
        <v/>
      </c>
    </row>
    <row r="526">
      <c r="A526" s="13" t="n"/>
      <c r="B526" s="13" t="n"/>
      <c r="C526" s="68" t="n"/>
      <c r="D526" s="13" t="n"/>
      <c r="E526" s="13" t="n"/>
      <c r="F526" s="69" t="n"/>
      <c r="G526" s="69" t="n"/>
      <c r="H526" s="69" t="n"/>
      <c r="I526" s="13" t="n"/>
      <c r="J526" s="13" t="n"/>
      <c r="K526" s="13" t="n"/>
      <c r="L526" s="16">
        <f>IF($A526="","",1)</f>
        <v/>
      </c>
    </row>
    <row r="527">
      <c r="A527" s="13" t="n"/>
      <c r="B527" s="13" t="n"/>
      <c r="C527" s="68" t="n"/>
      <c r="D527" s="13" t="n"/>
      <c r="E527" s="13" t="n"/>
      <c r="F527" s="69" t="n"/>
      <c r="G527" s="69" t="n"/>
      <c r="H527" s="69" t="n"/>
      <c r="I527" s="13" t="n"/>
      <c r="J527" s="13" t="n"/>
      <c r="K527" s="13" t="n"/>
      <c r="L527" s="16">
        <f>IF($A527="","",1)</f>
        <v/>
      </c>
    </row>
    <row r="528">
      <c r="A528" s="13" t="n"/>
      <c r="B528" s="13" t="n"/>
      <c r="C528" s="68" t="n"/>
      <c r="D528" s="13" t="n"/>
      <c r="E528" s="13" t="n"/>
      <c r="F528" s="69" t="n"/>
      <c r="G528" s="69" t="n"/>
      <c r="H528" s="69" t="n"/>
      <c r="I528" s="13" t="n"/>
      <c r="J528" s="13" t="n"/>
      <c r="K528" s="13" t="n"/>
      <c r="L528" s="16">
        <f>IF($A528="","",1)</f>
        <v/>
      </c>
    </row>
    <row r="529">
      <c r="A529" s="13" t="n"/>
      <c r="B529" s="13" t="n"/>
      <c r="C529" s="68" t="n"/>
      <c r="D529" s="13" t="n"/>
      <c r="E529" s="13" t="n"/>
      <c r="F529" s="69" t="n"/>
      <c r="G529" s="69" t="n"/>
      <c r="H529" s="69" t="n"/>
      <c r="I529" s="13" t="n"/>
      <c r="J529" s="13" t="n"/>
      <c r="K529" s="13" t="n"/>
      <c r="L529" s="16">
        <f>IF($A529="","",1)</f>
        <v/>
      </c>
    </row>
    <row r="530">
      <c r="A530" s="13" t="n"/>
      <c r="B530" s="13" t="n"/>
      <c r="C530" s="68" t="n"/>
      <c r="D530" s="13" t="n"/>
      <c r="E530" s="13" t="n"/>
      <c r="F530" s="69" t="n"/>
      <c r="G530" s="69" t="n"/>
      <c r="H530" s="69" t="n"/>
      <c r="I530" s="13" t="n"/>
      <c r="J530" s="13" t="n"/>
      <c r="K530" s="13" t="n"/>
      <c r="L530" s="16">
        <f>IF($A530="","",1)</f>
        <v/>
      </c>
    </row>
    <row r="531">
      <c r="A531" s="13" t="n"/>
      <c r="B531" s="13" t="n"/>
      <c r="C531" s="68" t="n"/>
      <c r="D531" s="13" t="n"/>
      <c r="E531" s="13" t="n"/>
      <c r="F531" s="69" t="n"/>
      <c r="G531" s="69" t="n"/>
      <c r="H531" s="69" t="n"/>
      <c r="I531" s="13" t="n"/>
      <c r="J531" s="13" t="n"/>
      <c r="K531" s="13" t="n"/>
      <c r="L531" s="16">
        <f>IF($A531="","",1)</f>
        <v/>
      </c>
    </row>
    <row r="532">
      <c r="A532" s="13" t="n"/>
      <c r="B532" s="13" t="n"/>
      <c r="C532" s="68" t="n"/>
      <c r="D532" s="13" t="n"/>
      <c r="E532" s="13" t="n"/>
      <c r="F532" s="69" t="n"/>
      <c r="G532" s="69" t="n"/>
      <c r="H532" s="69" t="n"/>
      <c r="I532" s="13" t="n"/>
      <c r="J532" s="13" t="n"/>
      <c r="K532" s="13" t="n"/>
      <c r="L532" s="16">
        <f>IF($A532="","",1)</f>
        <v/>
      </c>
    </row>
    <row r="533">
      <c r="A533" s="13" t="n"/>
      <c r="B533" s="13" t="n"/>
      <c r="C533" s="68" t="n"/>
      <c r="D533" s="13" t="n"/>
      <c r="E533" s="13" t="n"/>
      <c r="F533" s="69" t="n"/>
      <c r="G533" s="69" t="n"/>
      <c r="H533" s="69" t="n"/>
      <c r="I533" s="13" t="n"/>
      <c r="J533" s="13" t="n"/>
      <c r="K533" s="13" t="n"/>
      <c r="L533" s="16">
        <f>IF($A533="","",1)</f>
        <v/>
      </c>
    </row>
    <row r="534">
      <c r="A534" s="13" t="n"/>
      <c r="B534" s="13" t="n"/>
      <c r="C534" s="68" t="n"/>
      <c r="D534" s="13" t="n"/>
      <c r="E534" s="13" t="n"/>
      <c r="F534" s="69" t="n"/>
      <c r="G534" s="69" t="n"/>
      <c r="H534" s="69" t="n"/>
      <c r="I534" s="13" t="n"/>
      <c r="J534" s="13" t="n"/>
      <c r="K534" s="13" t="n"/>
      <c r="L534" s="16">
        <f>IF($A534="","",1)</f>
        <v/>
      </c>
    </row>
    <row r="535">
      <c r="A535" s="13" t="n"/>
      <c r="B535" s="13" t="n"/>
      <c r="C535" s="68" t="n"/>
      <c r="D535" s="13" t="n"/>
      <c r="E535" s="13" t="n"/>
      <c r="F535" s="69" t="n"/>
      <c r="G535" s="69" t="n"/>
      <c r="H535" s="69" t="n"/>
      <c r="I535" s="13" t="n"/>
      <c r="J535" s="13" t="n"/>
      <c r="K535" s="13" t="n"/>
      <c r="L535" s="16">
        <f>IF($A535="","",1)</f>
        <v/>
      </c>
    </row>
    <row r="536">
      <c r="A536" s="13" t="n"/>
      <c r="B536" s="13" t="n"/>
      <c r="C536" s="68" t="n"/>
      <c r="D536" s="13" t="n"/>
      <c r="E536" s="13" t="n"/>
      <c r="F536" s="69" t="n"/>
      <c r="G536" s="69" t="n"/>
      <c r="H536" s="69" t="n"/>
      <c r="I536" s="13" t="n"/>
      <c r="J536" s="13" t="n"/>
      <c r="K536" s="13" t="n"/>
      <c r="L536" s="16">
        <f>IF($A536="","",1)</f>
        <v/>
      </c>
    </row>
    <row r="537">
      <c r="A537" s="13" t="n"/>
      <c r="B537" s="13" t="n"/>
      <c r="C537" s="68" t="n"/>
      <c r="D537" s="13" t="n"/>
      <c r="E537" s="13" t="n"/>
      <c r="F537" s="69" t="n"/>
      <c r="G537" s="69" t="n"/>
      <c r="H537" s="69" t="n"/>
      <c r="I537" s="13" t="n"/>
      <c r="J537" s="13" t="n"/>
      <c r="K537" s="13" t="n"/>
      <c r="L537" s="16">
        <f>IF($A537="","",1)</f>
        <v/>
      </c>
    </row>
    <row r="538">
      <c r="A538" s="13" t="n"/>
      <c r="B538" s="13" t="n"/>
      <c r="C538" s="68" t="n"/>
      <c r="D538" s="13" t="n"/>
      <c r="E538" s="13" t="n"/>
      <c r="F538" s="69" t="n"/>
      <c r="G538" s="69" t="n"/>
      <c r="H538" s="69" t="n"/>
      <c r="I538" s="13" t="n"/>
      <c r="J538" s="13" t="n"/>
      <c r="K538" s="13" t="n"/>
      <c r="L538" s="16">
        <f>IF($A538="","",1)</f>
        <v/>
      </c>
    </row>
    <row r="539">
      <c r="A539" s="13" t="n"/>
      <c r="B539" s="13" t="n"/>
      <c r="C539" s="68" t="n"/>
      <c r="D539" s="13" t="n"/>
      <c r="E539" s="13" t="n"/>
      <c r="F539" s="69" t="n"/>
      <c r="G539" s="69" t="n"/>
      <c r="H539" s="69" t="n"/>
      <c r="I539" s="13" t="n"/>
      <c r="J539" s="13" t="n"/>
      <c r="K539" s="13" t="n"/>
      <c r="L539" s="16">
        <f>IF($A539="","",1)</f>
        <v/>
      </c>
    </row>
    <row r="540">
      <c r="A540" s="13" t="n"/>
      <c r="B540" s="13" t="n"/>
      <c r="C540" s="68" t="n"/>
      <c r="D540" s="13" t="n"/>
      <c r="E540" s="13" t="n"/>
      <c r="F540" s="69" t="n"/>
      <c r="G540" s="69" t="n"/>
      <c r="H540" s="69" t="n"/>
      <c r="I540" s="13" t="n"/>
      <c r="J540" s="13" t="n"/>
      <c r="K540" s="13" t="n"/>
      <c r="L540" s="16">
        <f>IF($A540="","",1)</f>
        <v/>
      </c>
    </row>
    <row r="541">
      <c r="A541" s="13" t="n"/>
      <c r="B541" s="13" t="n"/>
      <c r="C541" s="68" t="n"/>
      <c r="D541" s="13" t="n"/>
      <c r="E541" s="13" t="n"/>
      <c r="F541" s="69" t="n"/>
      <c r="G541" s="69" t="n"/>
      <c r="H541" s="69" t="n"/>
      <c r="I541" s="13" t="n"/>
      <c r="J541" s="13" t="n"/>
      <c r="K541" s="13" t="n"/>
      <c r="L541" s="16">
        <f>IF($A541="","",1)</f>
        <v/>
      </c>
    </row>
    <row r="542">
      <c r="A542" s="13" t="n"/>
      <c r="B542" s="13" t="n"/>
      <c r="C542" s="68" t="n"/>
      <c r="D542" s="13" t="n"/>
      <c r="E542" s="13" t="n"/>
      <c r="F542" s="69" t="n"/>
      <c r="G542" s="69" t="n"/>
      <c r="H542" s="69" t="n"/>
      <c r="I542" s="13" t="n"/>
      <c r="J542" s="13" t="n"/>
      <c r="K542" s="13" t="n"/>
      <c r="L542" s="16">
        <f>IF($A542="","",1)</f>
        <v/>
      </c>
    </row>
    <row r="543">
      <c r="A543" s="13" t="n"/>
      <c r="B543" s="13" t="n"/>
      <c r="C543" s="68" t="n"/>
      <c r="D543" s="13" t="n"/>
      <c r="E543" s="13" t="n"/>
      <c r="F543" s="69" t="n"/>
      <c r="G543" s="69" t="n"/>
      <c r="H543" s="69" t="n"/>
      <c r="I543" s="13" t="n"/>
      <c r="J543" s="13" t="n"/>
      <c r="K543" s="13" t="n"/>
      <c r="L543" s="16">
        <f>IF($A543="","",1)</f>
        <v/>
      </c>
    </row>
    <row r="544">
      <c r="A544" s="13" t="n"/>
      <c r="B544" s="13" t="n"/>
      <c r="C544" s="68" t="n"/>
      <c r="D544" s="13" t="n"/>
      <c r="E544" s="13" t="n"/>
      <c r="F544" s="69" t="n"/>
      <c r="G544" s="69" t="n"/>
      <c r="H544" s="69" t="n"/>
      <c r="I544" s="13" t="n"/>
      <c r="J544" s="13" t="n"/>
      <c r="K544" s="13" t="n"/>
      <c r="L544" s="16">
        <f>IF($A544="","",1)</f>
        <v/>
      </c>
    </row>
    <row r="545">
      <c r="A545" s="13" t="n"/>
      <c r="B545" s="13" t="n"/>
      <c r="C545" s="68" t="n"/>
      <c r="D545" s="13" t="n"/>
      <c r="E545" s="13" t="n"/>
      <c r="F545" s="69" t="n"/>
      <c r="G545" s="69" t="n"/>
      <c r="H545" s="69" t="n"/>
      <c r="I545" s="13" t="n"/>
      <c r="J545" s="13" t="n"/>
      <c r="K545" s="13" t="n"/>
      <c r="L545" s="16">
        <f>IF($A545="","",1)</f>
        <v/>
      </c>
    </row>
    <row r="546">
      <c r="A546" s="13" t="n"/>
      <c r="B546" s="13" t="n"/>
      <c r="C546" s="68" t="n"/>
      <c r="D546" s="13" t="n"/>
      <c r="E546" s="13" t="n"/>
      <c r="F546" s="69" t="n"/>
      <c r="G546" s="69" t="n"/>
      <c r="H546" s="69" t="n"/>
      <c r="I546" s="13" t="n"/>
      <c r="J546" s="13" t="n"/>
      <c r="K546" s="13" t="n"/>
      <c r="L546" s="16">
        <f>IF($A546="","",1)</f>
        <v/>
      </c>
    </row>
    <row r="547">
      <c r="A547" s="13" t="n"/>
      <c r="B547" s="13" t="n"/>
      <c r="C547" s="68" t="n"/>
      <c r="D547" s="13" t="n"/>
      <c r="E547" s="13" t="n"/>
      <c r="F547" s="69" t="n"/>
      <c r="G547" s="69" t="n"/>
      <c r="H547" s="69" t="n"/>
      <c r="I547" s="13" t="n"/>
      <c r="J547" s="13" t="n"/>
      <c r="K547" s="13" t="n"/>
      <c r="L547" s="16">
        <f>IF($A547="","",1)</f>
        <v/>
      </c>
    </row>
    <row r="548">
      <c r="A548" s="13" t="n"/>
      <c r="B548" s="13" t="n"/>
      <c r="C548" s="68" t="n"/>
      <c r="D548" s="13" t="n"/>
      <c r="E548" s="13" t="n"/>
      <c r="F548" s="69" t="n"/>
      <c r="G548" s="69" t="n"/>
      <c r="H548" s="69" t="n"/>
      <c r="I548" s="13" t="n"/>
      <c r="J548" s="13" t="n"/>
      <c r="K548" s="13" t="n"/>
      <c r="L548" s="16">
        <f>IF($A548="","",1)</f>
        <v/>
      </c>
    </row>
    <row r="549">
      <c r="A549" s="13" t="n"/>
      <c r="B549" s="13" t="n"/>
      <c r="C549" s="68" t="n"/>
      <c r="D549" s="13" t="n"/>
      <c r="E549" s="13" t="n"/>
      <c r="F549" s="69" t="n"/>
      <c r="G549" s="69" t="n"/>
      <c r="H549" s="69" t="n"/>
      <c r="I549" s="13" t="n"/>
      <c r="J549" s="13" t="n"/>
      <c r="K549" s="13" t="n"/>
      <c r="L549" s="16">
        <f>IF($A549="","",1)</f>
        <v/>
      </c>
    </row>
    <row r="550">
      <c r="A550" s="13" t="n"/>
      <c r="B550" s="13" t="n"/>
      <c r="C550" s="68" t="n"/>
      <c r="D550" s="13" t="n"/>
      <c r="E550" s="13" t="n"/>
      <c r="F550" s="69" t="n"/>
      <c r="G550" s="69" t="n"/>
      <c r="H550" s="69" t="n"/>
      <c r="I550" s="13" t="n"/>
      <c r="J550" s="13" t="n"/>
      <c r="K550" s="13" t="n"/>
      <c r="L550" s="16">
        <f>IF($A550="","",1)</f>
        <v/>
      </c>
    </row>
    <row r="551">
      <c r="A551" s="13" t="n"/>
      <c r="B551" s="13" t="n"/>
      <c r="C551" s="68" t="n"/>
      <c r="D551" s="13" t="n"/>
      <c r="E551" s="13" t="n"/>
      <c r="F551" s="69" t="n"/>
      <c r="G551" s="69" t="n"/>
      <c r="H551" s="69" t="n"/>
      <c r="I551" s="13" t="n"/>
      <c r="J551" s="13" t="n"/>
      <c r="K551" s="13" t="n"/>
      <c r="L551" s="16">
        <f>IF($A551="","",1)</f>
        <v/>
      </c>
    </row>
    <row r="552">
      <c r="A552" s="13" t="n"/>
      <c r="B552" s="13" t="n"/>
      <c r="C552" s="68" t="n"/>
      <c r="D552" s="13" t="n"/>
      <c r="E552" s="13" t="n"/>
      <c r="F552" s="69" t="n"/>
      <c r="G552" s="69" t="n"/>
      <c r="H552" s="69" t="n"/>
      <c r="I552" s="13" t="n"/>
      <c r="J552" s="13" t="n"/>
      <c r="K552" s="13" t="n"/>
      <c r="L552" s="16">
        <f>IF($A552="","",1)</f>
        <v/>
      </c>
    </row>
    <row r="553">
      <c r="A553" s="13" t="n"/>
      <c r="B553" s="13" t="n"/>
      <c r="C553" s="68" t="n"/>
      <c r="D553" s="13" t="n"/>
      <c r="E553" s="13" t="n"/>
      <c r="F553" s="69" t="n"/>
      <c r="G553" s="69" t="n"/>
      <c r="H553" s="69" t="n"/>
      <c r="I553" s="13" t="n"/>
      <c r="J553" s="13" t="n"/>
      <c r="K553" s="13" t="n"/>
      <c r="L553" s="16">
        <f>IF($A553="","",1)</f>
        <v/>
      </c>
    </row>
    <row r="554">
      <c r="A554" s="13" t="n"/>
      <c r="B554" s="13" t="n"/>
      <c r="C554" s="68" t="n"/>
      <c r="D554" s="13" t="n"/>
      <c r="E554" s="13" t="n"/>
      <c r="F554" s="69" t="n"/>
      <c r="G554" s="69" t="n"/>
      <c r="H554" s="69" t="n"/>
      <c r="I554" s="13" t="n"/>
      <c r="J554" s="13" t="n"/>
      <c r="K554" s="13" t="n"/>
      <c r="L554" s="16">
        <f>IF($A554="","",1)</f>
        <v/>
      </c>
    </row>
    <row r="555">
      <c r="A555" s="13" t="n"/>
      <c r="B555" s="13" t="n"/>
      <c r="C555" s="68" t="n"/>
      <c r="D555" s="13" t="n"/>
      <c r="E555" s="13" t="n"/>
      <c r="F555" s="69" t="n"/>
      <c r="G555" s="69" t="n"/>
      <c r="H555" s="69" t="n"/>
      <c r="I555" s="13" t="n"/>
      <c r="J555" s="13" t="n"/>
      <c r="K555" s="13" t="n"/>
      <c r="L555" s="16">
        <f>IF($A555="","",1)</f>
        <v/>
      </c>
    </row>
    <row r="556">
      <c r="A556" s="13" t="n"/>
      <c r="B556" s="13" t="n"/>
      <c r="C556" s="68" t="n"/>
      <c r="D556" s="13" t="n"/>
      <c r="E556" s="13" t="n"/>
      <c r="F556" s="69" t="n"/>
      <c r="G556" s="69" t="n"/>
      <c r="H556" s="69" t="n"/>
      <c r="I556" s="13" t="n"/>
      <c r="J556" s="13" t="n"/>
      <c r="K556" s="13" t="n"/>
      <c r="L556" s="16">
        <f>IF($A556="","",1)</f>
        <v/>
      </c>
    </row>
    <row r="557">
      <c r="A557" s="13" t="n"/>
      <c r="B557" s="13" t="n"/>
      <c r="C557" s="68" t="n"/>
      <c r="D557" s="13" t="n"/>
      <c r="E557" s="13" t="n"/>
      <c r="F557" s="69" t="n"/>
      <c r="G557" s="69" t="n"/>
      <c r="H557" s="69" t="n"/>
      <c r="I557" s="13" t="n"/>
      <c r="J557" s="13" t="n"/>
      <c r="K557" s="13" t="n"/>
      <c r="L557" s="16">
        <f>IF($A557="","",1)</f>
        <v/>
      </c>
    </row>
    <row r="558">
      <c r="A558" s="13" t="n"/>
      <c r="B558" s="13" t="n"/>
      <c r="C558" s="68" t="n"/>
      <c r="D558" s="13" t="n"/>
      <c r="E558" s="13" t="n"/>
      <c r="F558" s="69" t="n"/>
      <c r="G558" s="69" t="n"/>
      <c r="H558" s="69" t="n"/>
      <c r="I558" s="13" t="n"/>
      <c r="J558" s="13" t="n"/>
      <c r="K558" s="13" t="n"/>
      <c r="L558" s="16">
        <f>IF($A558="","",1)</f>
        <v/>
      </c>
    </row>
    <row r="559">
      <c r="A559" s="13" t="n"/>
      <c r="B559" s="13" t="n"/>
      <c r="C559" s="68" t="n"/>
      <c r="D559" s="13" t="n"/>
      <c r="E559" s="13" t="n"/>
      <c r="F559" s="69" t="n"/>
      <c r="G559" s="69" t="n"/>
      <c r="H559" s="69" t="n"/>
      <c r="I559" s="13" t="n"/>
      <c r="J559" s="13" t="n"/>
      <c r="K559" s="13" t="n"/>
      <c r="L559" s="16">
        <f>IF($A559="","",1)</f>
        <v/>
      </c>
    </row>
    <row r="560">
      <c r="A560" s="13" t="n"/>
      <c r="B560" s="13" t="n"/>
      <c r="C560" s="68" t="n"/>
      <c r="D560" s="13" t="n"/>
      <c r="E560" s="13" t="n"/>
      <c r="F560" s="69" t="n"/>
      <c r="G560" s="69" t="n"/>
      <c r="H560" s="69" t="n"/>
      <c r="I560" s="13" t="n"/>
      <c r="J560" s="13" t="n"/>
      <c r="K560" s="13" t="n"/>
      <c r="L560" s="16">
        <f>IF($A560="","",1)</f>
        <v/>
      </c>
    </row>
    <row r="561">
      <c r="A561" s="13" t="n"/>
      <c r="B561" s="13" t="n"/>
      <c r="C561" s="68" t="n"/>
      <c r="D561" s="13" t="n"/>
      <c r="E561" s="13" t="n"/>
      <c r="F561" s="69" t="n"/>
      <c r="G561" s="69" t="n"/>
      <c r="H561" s="69" t="n"/>
      <c r="I561" s="13" t="n"/>
      <c r="J561" s="13" t="n"/>
      <c r="K561" s="13" t="n"/>
      <c r="L561" s="16">
        <f>IF($A561="","",1)</f>
        <v/>
      </c>
    </row>
    <row r="562">
      <c r="A562" s="13" t="n"/>
      <c r="B562" s="13" t="n"/>
      <c r="C562" s="68" t="n"/>
      <c r="D562" s="13" t="n"/>
      <c r="E562" s="13" t="n"/>
      <c r="F562" s="69" t="n"/>
      <c r="G562" s="69" t="n"/>
      <c r="H562" s="69" t="n"/>
      <c r="I562" s="13" t="n"/>
      <c r="J562" s="13" t="n"/>
      <c r="K562" s="13" t="n"/>
      <c r="L562" s="16">
        <f>IF($A562="","",1)</f>
        <v/>
      </c>
    </row>
    <row r="563">
      <c r="A563" s="13" t="n"/>
      <c r="B563" s="13" t="n"/>
      <c r="C563" s="68" t="n"/>
      <c r="D563" s="13" t="n"/>
      <c r="E563" s="13" t="n"/>
      <c r="F563" s="69" t="n"/>
      <c r="G563" s="69" t="n"/>
      <c r="H563" s="69" t="n"/>
      <c r="I563" s="13" t="n"/>
      <c r="J563" s="13" t="n"/>
      <c r="K563" s="13" t="n"/>
      <c r="L563" s="16">
        <f>IF($A563="","",1)</f>
        <v/>
      </c>
    </row>
    <row r="564">
      <c r="A564" s="13" t="n"/>
      <c r="B564" s="13" t="n"/>
      <c r="C564" s="68" t="n"/>
      <c r="D564" s="13" t="n"/>
      <c r="E564" s="13" t="n"/>
      <c r="F564" s="69" t="n"/>
      <c r="G564" s="69" t="n"/>
      <c r="H564" s="69" t="n"/>
      <c r="I564" s="13" t="n"/>
      <c r="J564" s="13" t="n"/>
      <c r="K564" s="13" t="n"/>
      <c r="L564" s="16">
        <f>IF($A564="","",1)</f>
        <v/>
      </c>
    </row>
    <row r="565">
      <c r="A565" s="13" t="n"/>
      <c r="B565" s="13" t="n"/>
      <c r="C565" s="68" t="n"/>
      <c r="D565" s="13" t="n"/>
      <c r="E565" s="13" t="n"/>
      <c r="F565" s="69" t="n"/>
      <c r="G565" s="69" t="n"/>
      <c r="H565" s="69" t="n"/>
      <c r="I565" s="13" t="n"/>
      <c r="J565" s="13" t="n"/>
      <c r="K565" s="13" t="n"/>
      <c r="L565" s="16">
        <f>IF($A565="","",1)</f>
        <v/>
      </c>
    </row>
    <row r="566">
      <c r="A566" s="13" t="n"/>
      <c r="B566" s="13" t="n"/>
      <c r="C566" s="68" t="n"/>
      <c r="D566" s="13" t="n"/>
      <c r="E566" s="13" t="n"/>
      <c r="F566" s="69" t="n"/>
      <c r="G566" s="69" t="n"/>
      <c r="H566" s="69" t="n"/>
      <c r="I566" s="13" t="n"/>
      <c r="J566" s="13" t="n"/>
      <c r="K566" s="13" t="n"/>
      <c r="L566" s="16">
        <f>IF($A566="","",1)</f>
        <v/>
      </c>
    </row>
    <row r="567">
      <c r="A567" s="13" t="n"/>
      <c r="B567" s="13" t="n"/>
      <c r="C567" s="68" t="n"/>
      <c r="D567" s="13" t="n"/>
      <c r="E567" s="13" t="n"/>
      <c r="F567" s="69" t="n"/>
      <c r="G567" s="69" t="n"/>
      <c r="H567" s="69" t="n"/>
      <c r="I567" s="13" t="n"/>
      <c r="J567" s="13" t="n"/>
      <c r="K567" s="13" t="n"/>
      <c r="L567" s="16">
        <f>IF($A567="","",1)</f>
        <v/>
      </c>
    </row>
    <row r="568">
      <c r="A568" s="13" t="n"/>
      <c r="B568" s="13" t="n"/>
      <c r="C568" s="68" t="n"/>
      <c r="D568" s="13" t="n"/>
      <c r="E568" s="13" t="n"/>
      <c r="F568" s="69" t="n"/>
      <c r="G568" s="69" t="n"/>
      <c r="H568" s="69" t="n"/>
      <c r="I568" s="13" t="n"/>
      <c r="J568" s="13" t="n"/>
      <c r="K568" s="13" t="n"/>
      <c r="L568" s="16">
        <f>IF($A568="","",1)</f>
        <v/>
      </c>
    </row>
    <row r="569">
      <c r="A569" s="13" t="n"/>
      <c r="B569" s="13" t="n"/>
      <c r="C569" s="68" t="n"/>
      <c r="D569" s="13" t="n"/>
      <c r="E569" s="13" t="n"/>
      <c r="F569" s="69" t="n"/>
      <c r="G569" s="69" t="n"/>
      <c r="H569" s="69" t="n"/>
      <c r="I569" s="13" t="n"/>
      <c r="J569" s="13" t="n"/>
      <c r="K569" s="13" t="n"/>
      <c r="L569" s="16">
        <f>IF($A569="","",1)</f>
        <v/>
      </c>
    </row>
    <row r="570">
      <c r="A570" s="13" t="n"/>
      <c r="B570" s="13" t="n"/>
      <c r="C570" s="68" t="n"/>
      <c r="D570" s="13" t="n"/>
      <c r="E570" s="13" t="n"/>
      <c r="F570" s="69" t="n"/>
      <c r="G570" s="69" t="n"/>
      <c r="H570" s="69" t="n"/>
      <c r="I570" s="13" t="n"/>
      <c r="J570" s="13" t="n"/>
      <c r="K570" s="13" t="n"/>
      <c r="L570" s="16">
        <f>IF($A570="","",1)</f>
        <v/>
      </c>
    </row>
    <row r="571">
      <c r="A571" s="13" t="n"/>
      <c r="B571" s="13" t="n"/>
      <c r="C571" s="68" t="n"/>
      <c r="D571" s="13" t="n"/>
      <c r="E571" s="13" t="n"/>
      <c r="F571" s="69" t="n"/>
      <c r="G571" s="69" t="n"/>
      <c r="H571" s="69" t="n"/>
      <c r="I571" s="13" t="n"/>
      <c r="J571" s="13" t="n"/>
      <c r="K571" s="13" t="n"/>
      <c r="L571" s="16">
        <f>IF($A571="","",1)</f>
        <v/>
      </c>
    </row>
    <row r="572">
      <c r="A572" s="13" t="n"/>
      <c r="B572" s="13" t="n"/>
      <c r="C572" s="68" t="n"/>
      <c r="D572" s="13" t="n"/>
      <c r="E572" s="13" t="n"/>
      <c r="F572" s="69" t="n"/>
      <c r="G572" s="69" t="n"/>
      <c r="H572" s="69" t="n"/>
      <c r="I572" s="13" t="n"/>
      <c r="J572" s="13" t="n"/>
      <c r="K572" s="13" t="n"/>
      <c r="L572" s="16">
        <f>IF($A572="","",1)</f>
        <v/>
      </c>
    </row>
    <row r="573">
      <c r="A573" s="13" t="n"/>
      <c r="B573" s="13" t="n"/>
      <c r="C573" s="68" t="n"/>
      <c r="D573" s="13" t="n"/>
      <c r="E573" s="13" t="n"/>
      <c r="F573" s="69" t="n"/>
      <c r="G573" s="69" t="n"/>
      <c r="H573" s="69" t="n"/>
      <c r="I573" s="13" t="n"/>
      <c r="J573" s="13" t="n"/>
      <c r="K573" s="13" t="n"/>
      <c r="L573" s="16">
        <f>IF($A573="","",1)</f>
        <v/>
      </c>
    </row>
    <row r="574">
      <c r="A574" s="13" t="n"/>
      <c r="B574" s="13" t="n"/>
      <c r="C574" s="68" t="n"/>
      <c r="D574" s="13" t="n"/>
      <c r="E574" s="13" t="n"/>
      <c r="F574" s="69" t="n"/>
      <c r="G574" s="69" t="n"/>
      <c r="H574" s="69" t="n"/>
      <c r="I574" s="13" t="n"/>
      <c r="J574" s="13" t="n"/>
      <c r="K574" s="13" t="n"/>
      <c r="L574" s="16">
        <f>IF($A574="","",1)</f>
        <v/>
      </c>
    </row>
    <row r="575">
      <c r="A575" s="13" t="n"/>
      <c r="B575" s="13" t="n"/>
      <c r="C575" s="68" t="n"/>
      <c r="D575" s="13" t="n"/>
      <c r="E575" s="13" t="n"/>
      <c r="F575" s="69" t="n"/>
      <c r="G575" s="69" t="n"/>
      <c r="H575" s="69" t="n"/>
      <c r="I575" s="13" t="n"/>
      <c r="J575" s="13" t="n"/>
      <c r="K575" s="13" t="n"/>
      <c r="L575" s="16">
        <f>IF($A575="","",1)</f>
        <v/>
      </c>
    </row>
    <row r="576">
      <c r="A576" s="13" t="n"/>
      <c r="B576" s="13" t="n"/>
      <c r="C576" s="68" t="n"/>
      <c r="D576" s="13" t="n"/>
      <c r="E576" s="13" t="n"/>
      <c r="F576" s="69" t="n"/>
      <c r="G576" s="69" t="n"/>
      <c r="H576" s="69" t="n"/>
      <c r="I576" s="13" t="n"/>
      <c r="J576" s="13" t="n"/>
      <c r="K576" s="13" t="n"/>
      <c r="L576" s="16">
        <f>IF($A576="","",1)</f>
        <v/>
      </c>
    </row>
    <row r="577">
      <c r="A577" s="13" t="n"/>
      <c r="B577" s="13" t="n"/>
      <c r="C577" s="68" t="n"/>
      <c r="D577" s="13" t="n"/>
      <c r="E577" s="13" t="n"/>
      <c r="F577" s="69" t="n"/>
      <c r="G577" s="69" t="n"/>
      <c r="H577" s="69" t="n"/>
      <c r="I577" s="13" t="n"/>
      <c r="J577" s="13" t="n"/>
      <c r="K577" s="13" t="n"/>
      <c r="L577" s="16">
        <f>IF($A577="","",1)</f>
        <v/>
      </c>
    </row>
    <row r="578">
      <c r="A578" s="13" t="n"/>
      <c r="B578" s="13" t="n"/>
      <c r="C578" s="68" t="n"/>
      <c r="D578" s="13" t="n"/>
      <c r="E578" s="13" t="n"/>
      <c r="F578" s="69" t="n"/>
      <c r="G578" s="69" t="n"/>
      <c r="H578" s="69" t="n"/>
      <c r="I578" s="13" t="n"/>
      <c r="J578" s="13" t="n"/>
      <c r="K578" s="13" t="n"/>
      <c r="L578" s="16">
        <f>IF($A578="","",1)</f>
        <v/>
      </c>
    </row>
    <row r="579">
      <c r="A579" s="13" t="n"/>
      <c r="B579" s="13" t="n"/>
      <c r="C579" s="68" t="n"/>
      <c r="D579" s="13" t="n"/>
      <c r="E579" s="13" t="n"/>
      <c r="F579" s="69" t="n"/>
      <c r="G579" s="69" t="n"/>
      <c r="H579" s="69" t="n"/>
      <c r="I579" s="13" t="n"/>
      <c r="J579" s="13" t="n"/>
      <c r="K579" s="13" t="n"/>
      <c r="L579" s="16">
        <f>IF($A579="","",1)</f>
        <v/>
      </c>
    </row>
    <row r="580">
      <c r="A580" s="13" t="n"/>
      <c r="B580" s="13" t="n"/>
      <c r="C580" s="68" t="n"/>
      <c r="D580" s="13" t="n"/>
      <c r="E580" s="13" t="n"/>
      <c r="F580" s="69" t="n"/>
      <c r="G580" s="69" t="n"/>
      <c r="H580" s="69" t="n"/>
      <c r="I580" s="13" t="n"/>
      <c r="J580" s="13" t="n"/>
      <c r="K580" s="13" t="n"/>
      <c r="L580" s="16">
        <f>IF($A580="","",1)</f>
        <v/>
      </c>
    </row>
    <row r="581">
      <c r="A581" s="13" t="n"/>
      <c r="B581" s="13" t="n"/>
      <c r="C581" s="68" t="n"/>
      <c r="D581" s="13" t="n"/>
      <c r="E581" s="13" t="n"/>
      <c r="F581" s="69" t="n"/>
      <c r="G581" s="69" t="n"/>
      <c r="H581" s="69" t="n"/>
      <c r="I581" s="13" t="n"/>
      <c r="J581" s="13" t="n"/>
      <c r="K581" s="13" t="n"/>
      <c r="L581" s="16">
        <f>IF($A581="","",1)</f>
        <v/>
      </c>
    </row>
    <row r="582">
      <c r="A582" s="13" t="n"/>
      <c r="B582" s="13" t="n"/>
      <c r="C582" s="68" t="n"/>
      <c r="D582" s="13" t="n"/>
      <c r="E582" s="13" t="n"/>
      <c r="F582" s="69" t="n"/>
      <c r="G582" s="69" t="n"/>
      <c r="H582" s="69" t="n"/>
      <c r="I582" s="13" t="n"/>
      <c r="J582" s="13" t="n"/>
      <c r="K582" s="13" t="n"/>
      <c r="L582" s="16">
        <f>IF($A582="","",1)</f>
        <v/>
      </c>
    </row>
    <row r="583">
      <c r="A583" s="13" t="n"/>
      <c r="B583" s="13" t="n"/>
      <c r="C583" s="68" t="n"/>
      <c r="D583" s="13" t="n"/>
      <c r="E583" s="13" t="n"/>
      <c r="F583" s="69" t="n"/>
      <c r="G583" s="69" t="n"/>
      <c r="H583" s="69" t="n"/>
      <c r="I583" s="13" t="n"/>
      <c r="J583" s="13" t="n"/>
      <c r="K583" s="13" t="n"/>
      <c r="L583" s="16">
        <f>IF($A583="","",1)</f>
        <v/>
      </c>
    </row>
    <row r="584">
      <c r="A584" s="13" t="n"/>
      <c r="B584" s="13" t="n"/>
      <c r="C584" s="68" t="n"/>
      <c r="D584" s="13" t="n"/>
      <c r="E584" s="13" t="n"/>
      <c r="F584" s="69" t="n"/>
      <c r="G584" s="69" t="n"/>
      <c r="H584" s="69" t="n"/>
      <c r="I584" s="13" t="n"/>
      <c r="J584" s="13" t="n"/>
      <c r="K584" s="13" t="n"/>
      <c r="L584" s="16">
        <f>IF($A584="","",1)</f>
        <v/>
      </c>
    </row>
    <row r="585">
      <c r="A585" s="13" t="n"/>
      <c r="B585" s="13" t="n"/>
      <c r="C585" s="68" t="n"/>
      <c r="D585" s="13" t="n"/>
      <c r="E585" s="13" t="n"/>
      <c r="F585" s="69" t="n"/>
      <c r="G585" s="69" t="n"/>
      <c r="H585" s="69" t="n"/>
      <c r="I585" s="13" t="n"/>
      <c r="J585" s="13" t="n"/>
      <c r="K585" s="13" t="n"/>
      <c r="L585" s="16">
        <f>IF($A585="","",1)</f>
        <v/>
      </c>
    </row>
    <row r="586">
      <c r="A586" s="13" t="n"/>
      <c r="B586" s="13" t="n"/>
      <c r="C586" s="68" t="n"/>
      <c r="D586" s="13" t="n"/>
      <c r="E586" s="13" t="n"/>
      <c r="F586" s="69" t="n"/>
      <c r="G586" s="69" t="n"/>
      <c r="H586" s="69" t="n"/>
      <c r="I586" s="13" t="n"/>
      <c r="J586" s="13" t="n"/>
      <c r="K586" s="13" t="n"/>
      <c r="L586" s="16">
        <f>IF($A586="","",1)</f>
        <v/>
      </c>
    </row>
    <row r="587">
      <c r="A587" s="13" t="n"/>
      <c r="B587" s="13" t="n"/>
      <c r="C587" s="68" t="n"/>
      <c r="D587" s="13" t="n"/>
      <c r="E587" s="13" t="n"/>
      <c r="F587" s="69" t="n"/>
      <c r="G587" s="69" t="n"/>
      <c r="H587" s="69" t="n"/>
      <c r="I587" s="13" t="n"/>
      <c r="J587" s="13" t="n"/>
      <c r="K587" s="13" t="n"/>
      <c r="L587" s="16">
        <f>IF($A587="","",1)</f>
        <v/>
      </c>
    </row>
    <row r="588">
      <c r="A588" s="13" t="n"/>
      <c r="B588" s="13" t="n"/>
      <c r="C588" s="68" t="n"/>
      <c r="D588" s="13" t="n"/>
      <c r="E588" s="13" t="n"/>
      <c r="F588" s="69" t="n"/>
      <c r="G588" s="69" t="n"/>
      <c r="H588" s="69" t="n"/>
      <c r="I588" s="13" t="n"/>
      <c r="J588" s="13" t="n"/>
      <c r="K588" s="13" t="n"/>
      <c r="L588" s="16">
        <f>IF($A588="","",1)</f>
        <v/>
      </c>
    </row>
    <row r="589">
      <c r="A589" s="13" t="n"/>
      <c r="B589" s="13" t="n"/>
      <c r="C589" s="68" t="n"/>
      <c r="D589" s="13" t="n"/>
      <c r="E589" s="13" t="n"/>
      <c r="F589" s="69" t="n"/>
      <c r="G589" s="69" t="n"/>
      <c r="H589" s="69" t="n"/>
      <c r="I589" s="13" t="n"/>
      <c r="J589" s="13" t="n"/>
      <c r="K589" s="13" t="n"/>
      <c r="L589" s="16">
        <f>IF($A589="","",1)</f>
        <v/>
      </c>
    </row>
    <row r="590">
      <c r="A590" s="13" t="n"/>
      <c r="B590" s="13" t="n"/>
      <c r="C590" s="68" t="n"/>
      <c r="D590" s="13" t="n"/>
      <c r="E590" s="13" t="n"/>
      <c r="F590" s="69" t="n"/>
      <c r="G590" s="69" t="n"/>
      <c r="H590" s="69" t="n"/>
      <c r="I590" s="13" t="n"/>
      <c r="J590" s="13" t="n"/>
      <c r="K590" s="13" t="n"/>
      <c r="L590" s="16">
        <f>IF($A590="","",1)</f>
        <v/>
      </c>
    </row>
    <row r="591">
      <c r="A591" s="13" t="n"/>
      <c r="B591" s="13" t="n"/>
      <c r="C591" s="68" t="n"/>
      <c r="D591" s="13" t="n"/>
      <c r="E591" s="13" t="n"/>
      <c r="F591" s="69" t="n"/>
      <c r="G591" s="69" t="n"/>
      <c r="H591" s="69" t="n"/>
      <c r="I591" s="13" t="n"/>
      <c r="J591" s="13" t="n"/>
      <c r="K591" s="13" t="n"/>
      <c r="L591" s="16">
        <f>IF($A591="","",1)</f>
        <v/>
      </c>
    </row>
    <row r="592">
      <c r="A592" s="13" t="n"/>
      <c r="B592" s="13" t="n"/>
      <c r="C592" s="68" t="n"/>
      <c r="D592" s="13" t="n"/>
      <c r="E592" s="13" t="n"/>
      <c r="F592" s="69" t="n"/>
      <c r="G592" s="69" t="n"/>
      <c r="H592" s="69" t="n"/>
      <c r="I592" s="13" t="n"/>
      <c r="J592" s="13" t="n"/>
      <c r="K592" s="13" t="n"/>
      <c r="L592" s="16">
        <f>IF($A592="","",1)</f>
        <v/>
      </c>
    </row>
    <row r="593">
      <c r="A593" s="13" t="n"/>
      <c r="B593" s="13" t="n"/>
      <c r="C593" s="68" t="n"/>
      <c r="D593" s="13" t="n"/>
      <c r="E593" s="13" t="n"/>
      <c r="F593" s="69" t="n"/>
      <c r="G593" s="69" t="n"/>
      <c r="H593" s="69" t="n"/>
      <c r="I593" s="13" t="n"/>
      <c r="J593" s="13" t="n"/>
      <c r="K593" s="13" t="n"/>
      <c r="L593" s="16">
        <f>IF($A593="","",1)</f>
        <v/>
      </c>
    </row>
    <row r="594">
      <c r="A594" s="13" t="n"/>
      <c r="B594" s="13" t="n"/>
      <c r="C594" s="68" t="n"/>
      <c r="D594" s="13" t="n"/>
      <c r="E594" s="13" t="n"/>
      <c r="F594" s="69" t="n"/>
      <c r="G594" s="69" t="n"/>
      <c r="H594" s="69" t="n"/>
      <c r="I594" s="13" t="n"/>
      <c r="J594" s="13" t="n"/>
      <c r="K594" s="13" t="n"/>
      <c r="L594" s="16">
        <f>IF($A594="","",1)</f>
        <v/>
      </c>
    </row>
    <row r="595">
      <c r="A595" s="13" t="n"/>
      <c r="B595" s="13" t="n"/>
      <c r="C595" s="68" t="n"/>
      <c r="D595" s="13" t="n"/>
      <c r="E595" s="13" t="n"/>
      <c r="F595" s="69" t="n"/>
      <c r="G595" s="69" t="n"/>
      <c r="H595" s="69" t="n"/>
      <c r="I595" s="13" t="n"/>
      <c r="J595" s="13" t="n"/>
      <c r="K595" s="13" t="n"/>
      <c r="L595" s="16">
        <f>IF($A595="","",1)</f>
        <v/>
      </c>
    </row>
    <row r="596">
      <c r="A596" s="13" t="n"/>
      <c r="B596" s="13" t="n"/>
      <c r="C596" s="68" t="n"/>
      <c r="D596" s="13" t="n"/>
      <c r="E596" s="13" t="n"/>
      <c r="F596" s="69" t="n"/>
      <c r="G596" s="69" t="n"/>
      <c r="H596" s="69" t="n"/>
      <c r="I596" s="13" t="n"/>
      <c r="J596" s="13" t="n"/>
      <c r="K596" s="13" t="n"/>
      <c r="L596" s="16">
        <f>IF($A596="","",1)</f>
        <v/>
      </c>
    </row>
    <row r="597">
      <c r="A597" s="13" t="n"/>
      <c r="B597" s="13" t="n"/>
      <c r="C597" s="68" t="n"/>
      <c r="D597" s="13" t="n"/>
      <c r="E597" s="13" t="n"/>
      <c r="F597" s="69" t="n"/>
      <c r="G597" s="69" t="n"/>
      <c r="H597" s="69" t="n"/>
      <c r="I597" s="13" t="n"/>
      <c r="J597" s="13" t="n"/>
      <c r="K597" s="13" t="n"/>
      <c r="L597" s="16">
        <f>IF($A597="","",1)</f>
        <v/>
      </c>
    </row>
    <row r="598">
      <c r="A598" s="13" t="n"/>
      <c r="B598" s="13" t="n"/>
      <c r="C598" s="68" t="n"/>
      <c r="D598" s="13" t="n"/>
      <c r="E598" s="13" t="n"/>
      <c r="F598" s="69" t="n"/>
      <c r="G598" s="69" t="n"/>
      <c r="H598" s="69" t="n"/>
      <c r="I598" s="13" t="n"/>
      <c r="J598" s="13" t="n"/>
      <c r="K598" s="13" t="n"/>
      <c r="L598" s="16">
        <f>IF($A598="","",1)</f>
        <v/>
      </c>
    </row>
    <row r="599">
      <c r="A599" s="13" t="n"/>
      <c r="B599" s="13" t="n"/>
      <c r="C599" s="68" t="n"/>
      <c r="D599" s="13" t="n"/>
      <c r="E599" s="13" t="n"/>
      <c r="F599" s="69" t="n"/>
      <c r="G599" s="69" t="n"/>
      <c r="H599" s="69" t="n"/>
      <c r="I599" s="13" t="n"/>
      <c r="J599" s="13" t="n"/>
      <c r="K599" s="13" t="n"/>
      <c r="L599" s="16">
        <f>IF($A599="","",1)</f>
        <v/>
      </c>
    </row>
    <row r="600">
      <c r="A600" s="13" t="n"/>
      <c r="B600" s="13" t="n"/>
      <c r="C600" s="68" t="n"/>
      <c r="D600" s="13" t="n"/>
      <c r="E600" s="13" t="n"/>
      <c r="F600" s="69" t="n"/>
      <c r="G600" s="69" t="n"/>
      <c r="H600" s="69" t="n"/>
      <c r="I600" s="13" t="n"/>
      <c r="J600" s="13" t="n"/>
      <c r="K600" s="13" t="n"/>
      <c r="L600" s="16">
        <f>IF($A600="","",1)</f>
        <v/>
      </c>
    </row>
    <row r="601">
      <c r="A601" s="13" t="n"/>
      <c r="B601" s="13" t="n"/>
      <c r="C601" s="68" t="n"/>
      <c r="D601" s="13" t="n"/>
      <c r="E601" s="13" t="n"/>
      <c r="F601" s="69" t="n"/>
      <c r="G601" s="69" t="n"/>
      <c r="H601" s="69" t="n"/>
      <c r="I601" s="13" t="n"/>
      <c r="J601" s="13" t="n"/>
      <c r="K601" s="13" t="n"/>
      <c r="L601" s="16">
        <f>IF($A601="","",1)</f>
        <v/>
      </c>
    </row>
    <row r="602">
      <c r="A602" s="13" t="n"/>
      <c r="B602" s="13" t="n"/>
      <c r="C602" s="68" t="n"/>
      <c r="D602" s="13" t="n"/>
      <c r="E602" s="13" t="n"/>
      <c r="F602" s="69" t="n"/>
      <c r="G602" s="69" t="n"/>
      <c r="H602" s="69" t="n"/>
      <c r="I602" s="13" t="n"/>
      <c r="J602" s="13" t="n"/>
      <c r="K602" s="13" t="n"/>
      <c r="L602" s="16">
        <f>IF($A602="","",1)</f>
        <v/>
      </c>
    </row>
    <row r="603">
      <c r="A603" s="13" t="n"/>
      <c r="B603" s="13" t="n"/>
      <c r="C603" s="68" t="n"/>
      <c r="D603" s="13" t="n"/>
      <c r="E603" s="13" t="n"/>
      <c r="F603" s="69" t="n"/>
      <c r="G603" s="69" t="n"/>
      <c r="H603" s="69" t="n"/>
      <c r="I603" s="13" t="n"/>
      <c r="J603" s="13" t="n"/>
      <c r="K603" s="13" t="n"/>
      <c r="L603" s="16">
        <f>IF($A603="","",1)</f>
        <v/>
      </c>
    </row>
    <row r="604">
      <c r="A604" s="13" t="n"/>
      <c r="B604" s="13" t="n"/>
      <c r="C604" s="68" t="n"/>
      <c r="D604" s="13" t="n"/>
      <c r="E604" s="13" t="n"/>
      <c r="F604" s="69" t="n"/>
      <c r="G604" s="69" t="n"/>
      <c r="H604" s="69" t="n"/>
      <c r="I604" s="13" t="n"/>
      <c r="J604" s="13" t="n"/>
      <c r="K604" s="13" t="n"/>
      <c r="L604" s="16">
        <f>IF($A604="","",1)</f>
        <v/>
      </c>
    </row>
    <row r="605">
      <c r="A605" s="13" t="n"/>
      <c r="B605" s="13" t="n"/>
      <c r="C605" s="68" t="n"/>
      <c r="D605" s="13" t="n"/>
      <c r="E605" s="13" t="n"/>
      <c r="F605" s="69" t="n"/>
      <c r="G605" s="69" t="n"/>
      <c r="H605" s="69" t="n"/>
      <c r="I605" s="13" t="n"/>
      <c r="J605" s="13" t="n"/>
      <c r="K605" s="13" t="n"/>
      <c r="L605" s="16">
        <f>IF($A605="","",1)</f>
        <v/>
      </c>
    </row>
    <row r="606">
      <c r="A606" s="13" t="n"/>
      <c r="B606" s="13" t="n"/>
      <c r="C606" s="68" t="n"/>
      <c r="D606" s="13" t="n"/>
      <c r="E606" s="13" t="n"/>
      <c r="F606" s="69" t="n"/>
      <c r="G606" s="69" t="n"/>
      <c r="H606" s="69" t="n"/>
      <c r="I606" s="13" t="n"/>
      <c r="J606" s="13" t="n"/>
      <c r="K606" s="13" t="n"/>
      <c r="L606" s="16">
        <f>IF($A606="","",1)</f>
        <v/>
      </c>
    </row>
    <row r="607">
      <c r="A607" s="13" t="n"/>
      <c r="B607" s="13" t="n"/>
      <c r="C607" s="68" t="n"/>
      <c r="D607" s="13" t="n"/>
      <c r="E607" s="13" t="n"/>
      <c r="F607" s="69" t="n"/>
      <c r="G607" s="69" t="n"/>
      <c r="H607" s="69" t="n"/>
      <c r="I607" s="13" t="n"/>
      <c r="J607" s="13" t="n"/>
      <c r="K607" s="13" t="n"/>
      <c r="L607" s="16">
        <f>IF($A607="","",1)</f>
        <v/>
      </c>
    </row>
    <row r="608">
      <c r="A608" s="13" t="n"/>
      <c r="B608" s="13" t="n"/>
      <c r="C608" s="68" t="n"/>
      <c r="D608" s="13" t="n"/>
      <c r="E608" s="13" t="n"/>
      <c r="F608" s="69" t="n"/>
      <c r="G608" s="69" t="n"/>
      <c r="H608" s="69" t="n"/>
      <c r="I608" s="13" t="n"/>
      <c r="J608" s="13" t="n"/>
      <c r="K608" s="13" t="n"/>
      <c r="L608" s="16">
        <f>IF($A608="","",1)</f>
        <v/>
      </c>
    </row>
    <row r="609">
      <c r="A609" s="13" t="n"/>
      <c r="B609" s="13" t="n"/>
      <c r="C609" s="68" t="n"/>
      <c r="D609" s="13" t="n"/>
      <c r="E609" s="13" t="n"/>
      <c r="F609" s="69" t="n"/>
      <c r="G609" s="69" t="n"/>
      <c r="H609" s="69" t="n"/>
      <c r="I609" s="13" t="n"/>
      <c r="J609" s="13" t="n"/>
      <c r="K609" s="13" t="n"/>
      <c r="L609" s="16">
        <f>IF($A609="","",1)</f>
        <v/>
      </c>
    </row>
    <row r="610">
      <c r="A610" s="13" t="n"/>
      <c r="B610" s="13" t="n"/>
      <c r="C610" s="68" t="n"/>
      <c r="D610" s="13" t="n"/>
      <c r="E610" s="13" t="n"/>
      <c r="F610" s="69" t="n"/>
      <c r="G610" s="69" t="n"/>
      <c r="H610" s="69" t="n"/>
      <c r="I610" s="13" t="n"/>
      <c r="J610" s="13" t="n"/>
      <c r="K610" s="13" t="n"/>
      <c r="L610" s="16">
        <f>IF($A610="","",1)</f>
        <v/>
      </c>
    </row>
    <row r="611">
      <c r="A611" s="13" t="n"/>
      <c r="B611" s="13" t="n"/>
      <c r="C611" s="68" t="n"/>
      <c r="D611" s="13" t="n"/>
      <c r="E611" s="13" t="n"/>
      <c r="F611" s="69" t="n"/>
      <c r="G611" s="69" t="n"/>
      <c r="H611" s="69" t="n"/>
      <c r="I611" s="13" t="n"/>
      <c r="J611" s="13" t="n"/>
      <c r="K611" s="13" t="n"/>
      <c r="L611" s="16">
        <f>IF($A611="","",1)</f>
        <v/>
      </c>
    </row>
    <row r="612">
      <c r="A612" s="13" t="n"/>
      <c r="B612" s="13" t="n"/>
      <c r="C612" s="68" t="n"/>
      <c r="D612" s="13" t="n"/>
      <c r="E612" s="13" t="n"/>
      <c r="F612" s="69" t="n"/>
      <c r="G612" s="69" t="n"/>
      <c r="H612" s="69" t="n"/>
      <c r="I612" s="13" t="n"/>
      <c r="J612" s="13" t="n"/>
      <c r="K612" s="13" t="n"/>
      <c r="L612" s="16">
        <f>IF($A612="","",1)</f>
        <v/>
      </c>
    </row>
    <row r="613">
      <c r="A613" s="13" t="n"/>
      <c r="B613" s="13" t="n"/>
      <c r="C613" s="68" t="n"/>
      <c r="D613" s="13" t="n"/>
      <c r="E613" s="13" t="n"/>
      <c r="F613" s="69" t="n"/>
      <c r="G613" s="69" t="n"/>
      <c r="H613" s="69" t="n"/>
      <c r="I613" s="13" t="n"/>
      <c r="J613" s="13" t="n"/>
      <c r="K613" s="13" t="n"/>
      <c r="L613" s="16">
        <f>IF($A613="","",1)</f>
        <v/>
      </c>
    </row>
    <row r="614">
      <c r="A614" s="13" t="n"/>
      <c r="B614" s="13" t="n"/>
      <c r="C614" s="68" t="n"/>
      <c r="D614" s="13" t="n"/>
      <c r="E614" s="13" t="n"/>
      <c r="F614" s="69" t="n"/>
      <c r="G614" s="69" t="n"/>
      <c r="H614" s="69" t="n"/>
      <c r="I614" s="13" t="n"/>
      <c r="J614" s="13" t="n"/>
      <c r="K614" s="13" t="n"/>
      <c r="L614" s="16">
        <f>IF($A614="","",1)</f>
        <v/>
      </c>
    </row>
    <row r="615">
      <c r="A615" s="13" t="n"/>
      <c r="B615" s="13" t="n"/>
      <c r="C615" s="68" t="n"/>
      <c r="D615" s="13" t="n"/>
      <c r="E615" s="13" t="n"/>
      <c r="F615" s="69" t="n"/>
      <c r="G615" s="69" t="n"/>
      <c r="H615" s="69" t="n"/>
      <c r="I615" s="13" t="n"/>
      <c r="J615" s="13" t="n"/>
      <c r="K615" s="13" t="n"/>
      <c r="L615" s="16">
        <f>IF($A615="","",1)</f>
        <v/>
      </c>
    </row>
    <row r="616">
      <c r="A616" s="13" t="n"/>
      <c r="B616" s="13" t="n"/>
      <c r="C616" s="68" t="n"/>
      <c r="D616" s="13" t="n"/>
      <c r="E616" s="13" t="n"/>
      <c r="F616" s="69" t="n"/>
      <c r="G616" s="69" t="n"/>
      <c r="H616" s="69" t="n"/>
      <c r="I616" s="13" t="n"/>
      <c r="J616" s="13" t="n"/>
      <c r="K616" s="13" t="n"/>
      <c r="L616" s="16">
        <f>IF($A616="","",1)</f>
        <v/>
      </c>
    </row>
    <row r="617">
      <c r="A617" s="13" t="n"/>
      <c r="B617" s="13" t="n"/>
      <c r="C617" s="68" t="n"/>
      <c r="D617" s="13" t="n"/>
      <c r="E617" s="13" t="n"/>
      <c r="F617" s="69" t="n"/>
      <c r="G617" s="69" t="n"/>
      <c r="H617" s="69" t="n"/>
      <c r="I617" s="13" t="n"/>
      <c r="J617" s="13" t="n"/>
      <c r="K617" s="13" t="n"/>
      <c r="L617" s="16">
        <f>IF($A617="","",1)</f>
        <v/>
      </c>
    </row>
    <row r="618">
      <c r="A618" s="13" t="n"/>
      <c r="B618" s="13" t="n"/>
      <c r="C618" s="68" t="n"/>
      <c r="D618" s="13" t="n"/>
      <c r="E618" s="13" t="n"/>
      <c r="F618" s="69" t="n"/>
      <c r="G618" s="69" t="n"/>
      <c r="H618" s="69" t="n"/>
      <c r="I618" s="13" t="n"/>
      <c r="J618" s="13" t="n"/>
      <c r="K618" s="13" t="n"/>
      <c r="L618" s="16">
        <f>IF($A618="","",1)</f>
        <v/>
      </c>
    </row>
    <row r="619">
      <c r="A619" s="13" t="n"/>
      <c r="B619" s="13" t="n"/>
      <c r="C619" s="68" t="n"/>
      <c r="D619" s="13" t="n"/>
      <c r="E619" s="13" t="n"/>
      <c r="F619" s="69" t="n"/>
      <c r="G619" s="69" t="n"/>
      <c r="H619" s="69" t="n"/>
      <c r="I619" s="13" t="n"/>
      <c r="J619" s="13" t="n"/>
      <c r="K619" s="13" t="n"/>
      <c r="L619" s="16">
        <f>IF($A619="","",1)</f>
        <v/>
      </c>
    </row>
    <row r="620">
      <c r="A620" s="13" t="n"/>
      <c r="B620" s="13" t="n"/>
      <c r="C620" s="68" t="n"/>
      <c r="D620" s="13" t="n"/>
      <c r="E620" s="13" t="n"/>
      <c r="F620" s="69" t="n"/>
      <c r="G620" s="69" t="n"/>
      <c r="H620" s="69" t="n"/>
      <c r="I620" s="13" t="n"/>
      <c r="J620" s="13" t="n"/>
      <c r="K620" s="13" t="n"/>
      <c r="L620" s="16">
        <f>IF($A620="","",1)</f>
        <v/>
      </c>
    </row>
    <row r="621">
      <c r="A621" s="13" t="n"/>
      <c r="B621" s="13" t="n"/>
      <c r="C621" s="68" t="n"/>
      <c r="D621" s="13" t="n"/>
      <c r="E621" s="13" t="n"/>
      <c r="F621" s="69" t="n"/>
      <c r="G621" s="69" t="n"/>
      <c r="H621" s="69" t="n"/>
      <c r="I621" s="13" t="n"/>
      <c r="J621" s="13" t="n"/>
      <c r="K621" s="13" t="n"/>
      <c r="L621" s="16">
        <f>IF($A621="","",1)</f>
        <v/>
      </c>
    </row>
    <row r="622">
      <c r="A622" s="13" t="n"/>
      <c r="B622" s="13" t="n"/>
      <c r="C622" s="68" t="n"/>
      <c r="D622" s="13" t="n"/>
      <c r="E622" s="13" t="n"/>
      <c r="F622" s="69" t="n"/>
      <c r="G622" s="69" t="n"/>
      <c r="H622" s="69" t="n"/>
      <c r="I622" s="13" t="n"/>
      <c r="J622" s="13" t="n"/>
      <c r="K622" s="13" t="n"/>
      <c r="L622" s="16">
        <f>IF($A622="","",1)</f>
        <v/>
      </c>
    </row>
    <row r="623">
      <c r="A623" s="13" t="n"/>
      <c r="B623" s="13" t="n"/>
      <c r="C623" s="68" t="n"/>
      <c r="D623" s="13" t="n"/>
      <c r="E623" s="13" t="n"/>
      <c r="F623" s="69" t="n"/>
      <c r="G623" s="69" t="n"/>
      <c r="H623" s="69" t="n"/>
      <c r="I623" s="13" t="n"/>
      <c r="J623" s="13" t="n"/>
      <c r="K623" s="13" t="n"/>
      <c r="L623" s="16">
        <f>IF($A623="","",1)</f>
        <v/>
      </c>
    </row>
    <row r="624">
      <c r="A624" s="13" t="n"/>
      <c r="B624" s="13" t="n"/>
      <c r="C624" s="68" t="n"/>
      <c r="D624" s="13" t="n"/>
      <c r="E624" s="13" t="n"/>
      <c r="F624" s="69" t="n"/>
      <c r="G624" s="69" t="n"/>
      <c r="H624" s="69" t="n"/>
      <c r="I624" s="13" t="n"/>
      <c r="J624" s="13" t="n"/>
      <c r="K624" s="13" t="n"/>
      <c r="L624" s="16">
        <f>IF($A624="","",1)</f>
        <v/>
      </c>
    </row>
    <row r="625">
      <c r="A625" s="13" t="n"/>
      <c r="B625" s="13" t="n"/>
      <c r="C625" s="68" t="n"/>
      <c r="D625" s="13" t="n"/>
      <c r="E625" s="13" t="n"/>
      <c r="F625" s="69" t="n"/>
      <c r="G625" s="69" t="n"/>
      <c r="H625" s="69" t="n"/>
      <c r="I625" s="13" t="n"/>
      <c r="J625" s="13" t="n"/>
      <c r="K625" s="13" t="n"/>
      <c r="L625" s="16">
        <f>IF($A625="","",1)</f>
        <v/>
      </c>
    </row>
    <row r="626">
      <c r="A626" s="13" t="n"/>
      <c r="B626" s="13" t="n"/>
      <c r="C626" s="68" t="n"/>
      <c r="D626" s="13" t="n"/>
      <c r="E626" s="13" t="n"/>
      <c r="F626" s="69" t="n"/>
      <c r="G626" s="69" t="n"/>
      <c r="H626" s="69" t="n"/>
      <c r="I626" s="13" t="n"/>
      <c r="J626" s="13" t="n"/>
      <c r="K626" s="13" t="n"/>
      <c r="L626" s="16">
        <f>IF($A626="","",1)</f>
        <v/>
      </c>
    </row>
    <row r="627">
      <c r="A627" s="13" t="n"/>
      <c r="B627" s="13" t="n"/>
      <c r="C627" s="68" t="n"/>
      <c r="D627" s="13" t="n"/>
      <c r="E627" s="13" t="n"/>
      <c r="F627" s="69" t="n"/>
      <c r="G627" s="69" t="n"/>
      <c r="H627" s="69" t="n"/>
      <c r="I627" s="13" t="n"/>
      <c r="J627" s="13" t="n"/>
      <c r="K627" s="13" t="n"/>
      <c r="L627" s="16">
        <f>IF($A627="","",1)</f>
        <v/>
      </c>
    </row>
    <row r="628">
      <c r="A628" s="13" t="n"/>
      <c r="B628" s="13" t="n"/>
      <c r="C628" s="68" t="n"/>
      <c r="D628" s="13" t="n"/>
      <c r="E628" s="13" t="n"/>
      <c r="F628" s="69" t="n"/>
      <c r="G628" s="69" t="n"/>
      <c r="H628" s="69" t="n"/>
      <c r="I628" s="13" t="n"/>
      <c r="J628" s="13" t="n"/>
      <c r="K628" s="13" t="n"/>
      <c r="L628" s="16">
        <f>IF($A628="","",1)</f>
        <v/>
      </c>
    </row>
    <row r="629">
      <c r="A629" s="13" t="n"/>
      <c r="B629" s="13" t="n"/>
      <c r="C629" s="68" t="n"/>
      <c r="D629" s="13" t="n"/>
      <c r="E629" s="13" t="n"/>
      <c r="F629" s="69" t="n"/>
      <c r="G629" s="69" t="n"/>
      <c r="H629" s="69" t="n"/>
      <c r="I629" s="13" t="n"/>
      <c r="J629" s="13" t="n"/>
      <c r="K629" s="13" t="n"/>
      <c r="L629" s="16">
        <f>IF($A629="","",1)</f>
        <v/>
      </c>
    </row>
    <row r="630">
      <c r="A630" s="13" t="n"/>
      <c r="B630" s="13" t="n"/>
      <c r="C630" s="68" t="n"/>
      <c r="D630" s="13" t="n"/>
      <c r="E630" s="13" t="n"/>
      <c r="F630" s="69" t="n"/>
      <c r="G630" s="69" t="n"/>
      <c r="H630" s="69" t="n"/>
      <c r="I630" s="13" t="n"/>
      <c r="J630" s="13" t="n"/>
      <c r="K630" s="13" t="n"/>
      <c r="L630" s="16">
        <f>IF($A630="","",1)</f>
        <v/>
      </c>
    </row>
    <row r="631">
      <c r="A631" s="13" t="n"/>
      <c r="B631" s="13" t="n"/>
      <c r="C631" s="68" t="n"/>
      <c r="D631" s="13" t="n"/>
      <c r="E631" s="13" t="n"/>
      <c r="F631" s="69" t="n"/>
      <c r="G631" s="69" t="n"/>
      <c r="H631" s="69" t="n"/>
      <c r="I631" s="13" t="n"/>
      <c r="J631" s="13" t="n"/>
      <c r="K631" s="13" t="n"/>
      <c r="L631" s="16">
        <f>IF($A631="","",1)</f>
        <v/>
      </c>
    </row>
    <row r="632">
      <c r="A632" s="13" t="n"/>
      <c r="B632" s="13" t="n"/>
      <c r="C632" s="68" t="n"/>
      <c r="D632" s="13" t="n"/>
      <c r="E632" s="13" t="n"/>
      <c r="F632" s="69" t="n"/>
      <c r="G632" s="69" t="n"/>
      <c r="H632" s="69" t="n"/>
      <c r="I632" s="13" t="n"/>
      <c r="J632" s="13" t="n"/>
      <c r="K632" s="13" t="n"/>
      <c r="L632" s="16">
        <f>IF($A632="","",1)</f>
        <v/>
      </c>
    </row>
    <row r="633">
      <c r="A633" s="13" t="n"/>
      <c r="B633" s="13" t="n"/>
      <c r="C633" s="68" t="n"/>
      <c r="D633" s="13" t="n"/>
      <c r="E633" s="13" t="n"/>
      <c r="F633" s="69" t="n"/>
      <c r="G633" s="69" t="n"/>
      <c r="H633" s="69" t="n"/>
      <c r="I633" s="13" t="n"/>
      <c r="J633" s="13" t="n"/>
      <c r="K633" s="13" t="n"/>
      <c r="L633" s="16">
        <f>IF($A633="","",1)</f>
        <v/>
      </c>
    </row>
    <row r="634">
      <c r="A634" s="13" t="n"/>
      <c r="B634" s="13" t="n"/>
      <c r="C634" s="68" t="n"/>
      <c r="D634" s="13" t="n"/>
      <c r="E634" s="13" t="n"/>
      <c r="F634" s="69" t="n"/>
      <c r="G634" s="69" t="n"/>
      <c r="H634" s="69" t="n"/>
      <c r="I634" s="13" t="n"/>
      <c r="J634" s="13" t="n"/>
      <c r="K634" s="13" t="n"/>
      <c r="L634" s="16">
        <f>IF($A634="","",1)</f>
        <v/>
      </c>
    </row>
    <row r="635">
      <c r="A635" s="13" t="n"/>
      <c r="B635" s="13" t="n"/>
      <c r="C635" s="68" t="n"/>
      <c r="D635" s="13" t="n"/>
      <c r="E635" s="13" t="n"/>
      <c r="F635" s="69" t="n"/>
      <c r="G635" s="69" t="n"/>
      <c r="H635" s="69" t="n"/>
      <c r="I635" s="13" t="n"/>
      <c r="J635" s="13" t="n"/>
      <c r="K635" s="13" t="n"/>
      <c r="L635" s="16">
        <f>IF($A635="","",1)</f>
        <v/>
      </c>
    </row>
    <row r="636">
      <c r="A636" s="13" t="n"/>
      <c r="B636" s="13" t="n"/>
      <c r="C636" s="68" t="n"/>
      <c r="D636" s="13" t="n"/>
      <c r="E636" s="13" t="n"/>
      <c r="F636" s="69" t="n"/>
      <c r="G636" s="69" t="n"/>
      <c r="H636" s="69" t="n"/>
      <c r="I636" s="13" t="n"/>
      <c r="J636" s="13" t="n"/>
      <c r="K636" s="13" t="n"/>
      <c r="L636" s="16">
        <f>IF($A636="","",1)</f>
        <v/>
      </c>
    </row>
    <row r="637">
      <c r="A637" s="13" t="n"/>
      <c r="B637" s="13" t="n"/>
      <c r="C637" s="68" t="n"/>
      <c r="D637" s="13" t="n"/>
      <c r="E637" s="13" t="n"/>
      <c r="F637" s="69" t="n"/>
      <c r="G637" s="69" t="n"/>
      <c r="H637" s="69" t="n"/>
      <c r="I637" s="13" t="n"/>
      <c r="J637" s="13" t="n"/>
      <c r="K637" s="13" t="n"/>
      <c r="L637" s="16">
        <f>IF($A637="","",1)</f>
        <v/>
      </c>
    </row>
    <row r="638">
      <c r="A638" s="13" t="n"/>
      <c r="B638" s="13" t="n"/>
      <c r="C638" s="68" t="n"/>
      <c r="D638" s="13" t="n"/>
      <c r="E638" s="13" t="n"/>
      <c r="F638" s="69" t="n"/>
      <c r="G638" s="69" t="n"/>
      <c r="H638" s="69" t="n"/>
      <c r="I638" s="13" t="n"/>
      <c r="J638" s="13" t="n"/>
      <c r="K638" s="13" t="n"/>
      <c r="L638" s="16">
        <f>IF($A638="","",1)</f>
        <v/>
      </c>
    </row>
    <row r="639">
      <c r="A639" s="13" t="n"/>
      <c r="B639" s="13" t="n"/>
      <c r="C639" s="68" t="n"/>
      <c r="D639" s="13" t="n"/>
      <c r="E639" s="13" t="n"/>
      <c r="F639" s="69" t="n"/>
      <c r="G639" s="69" t="n"/>
      <c r="H639" s="69" t="n"/>
      <c r="I639" s="13" t="n"/>
      <c r="J639" s="13" t="n"/>
      <c r="K639" s="13" t="n"/>
      <c r="L639" s="16">
        <f>IF($A639="","",1)</f>
        <v/>
      </c>
    </row>
    <row r="640">
      <c r="A640" s="13" t="n"/>
      <c r="B640" s="13" t="n"/>
      <c r="C640" s="68" t="n"/>
      <c r="D640" s="13" t="n"/>
      <c r="E640" s="13" t="n"/>
      <c r="F640" s="69" t="n"/>
      <c r="G640" s="69" t="n"/>
      <c r="H640" s="69" t="n"/>
      <c r="I640" s="13" t="n"/>
      <c r="J640" s="13" t="n"/>
      <c r="K640" s="13" t="n"/>
      <c r="L640" s="16">
        <f>IF($A640="","",1)</f>
        <v/>
      </c>
    </row>
    <row r="641">
      <c r="A641" s="13" t="n"/>
      <c r="B641" s="13" t="n"/>
      <c r="C641" s="68" t="n"/>
      <c r="D641" s="13" t="n"/>
      <c r="E641" s="13" t="n"/>
      <c r="F641" s="69" t="n"/>
      <c r="G641" s="69" t="n"/>
      <c r="H641" s="69" t="n"/>
      <c r="I641" s="13" t="n"/>
      <c r="J641" s="13" t="n"/>
      <c r="K641" s="13" t="n"/>
      <c r="L641" s="16">
        <f>IF($A641="","",1)</f>
        <v/>
      </c>
    </row>
    <row r="642">
      <c r="A642" s="13" t="n"/>
      <c r="B642" s="13" t="n"/>
      <c r="C642" s="68" t="n"/>
      <c r="D642" s="13" t="n"/>
      <c r="E642" s="13" t="n"/>
      <c r="F642" s="69" t="n"/>
      <c r="G642" s="69" t="n"/>
      <c r="H642" s="69" t="n"/>
      <c r="I642" s="13" t="n"/>
      <c r="J642" s="13" t="n"/>
      <c r="K642" s="13" t="n"/>
      <c r="L642" s="16">
        <f>IF($A642="","",1)</f>
        <v/>
      </c>
    </row>
    <row r="643">
      <c r="A643" s="13" t="n"/>
      <c r="B643" s="13" t="n"/>
      <c r="C643" s="68" t="n"/>
      <c r="D643" s="13" t="n"/>
      <c r="E643" s="13" t="n"/>
      <c r="F643" s="69" t="n"/>
      <c r="G643" s="69" t="n"/>
      <c r="H643" s="69" t="n"/>
      <c r="I643" s="13" t="n"/>
      <c r="J643" s="13" t="n"/>
      <c r="K643" s="13" t="n"/>
      <c r="L643" s="16">
        <f>IF($A643="","",1)</f>
        <v/>
      </c>
    </row>
    <row r="644">
      <c r="A644" s="13" t="n"/>
      <c r="B644" s="13" t="n"/>
      <c r="C644" s="68" t="n"/>
      <c r="D644" s="13" t="n"/>
      <c r="E644" s="13" t="n"/>
      <c r="F644" s="69" t="n"/>
      <c r="G644" s="69" t="n"/>
      <c r="H644" s="69" t="n"/>
      <c r="I644" s="13" t="n"/>
      <c r="J644" s="13" t="n"/>
      <c r="K644" s="13" t="n"/>
      <c r="L644" s="16">
        <f>IF($A644="","",1)</f>
        <v/>
      </c>
    </row>
    <row r="645">
      <c r="A645" s="13" t="n"/>
      <c r="B645" s="13" t="n"/>
      <c r="C645" s="68" t="n"/>
      <c r="D645" s="13" t="n"/>
      <c r="E645" s="13" t="n"/>
      <c r="F645" s="69" t="n"/>
      <c r="G645" s="69" t="n"/>
      <c r="H645" s="69" t="n"/>
      <c r="I645" s="13" t="n"/>
      <c r="J645" s="13" t="n"/>
      <c r="K645" s="13" t="n"/>
      <c r="L645" s="16">
        <f>IF($A645="","",1)</f>
        <v/>
      </c>
    </row>
    <row r="646">
      <c r="A646" s="13" t="n"/>
      <c r="B646" s="13" t="n"/>
      <c r="C646" s="68" t="n"/>
      <c r="D646" s="13" t="n"/>
      <c r="E646" s="13" t="n"/>
      <c r="F646" s="69" t="n"/>
      <c r="G646" s="69" t="n"/>
      <c r="H646" s="69" t="n"/>
      <c r="I646" s="13" t="n"/>
      <c r="J646" s="13" t="n"/>
      <c r="K646" s="13" t="n"/>
      <c r="L646" s="16">
        <f>IF($A646="","",1)</f>
        <v/>
      </c>
    </row>
    <row r="647">
      <c r="A647" s="13" t="n"/>
      <c r="B647" s="13" t="n"/>
      <c r="C647" s="68" t="n"/>
      <c r="D647" s="13" t="n"/>
      <c r="E647" s="13" t="n"/>
      <c r="F647" s="69" t="n"/>
      <c r="G647" s="69" t="n"/>
      <c r="H647" s="69" t="n"/>
      <c r="I647" s="13" t="n"/>
      <c r="J647" s="13" t="n"/>
      <c r="K647" s="13" t="n"/>
      <c r="L647" s="16">
        <f>IF($A647="","",1)</f>
        <v/>
      </c>
    </row>
    <row r="648">
      <c r="A648" s="13" t="n"/>
      <c r="B648" s="13" t="n"/>
      <c r="C648" s="68" t="n"/>
      <c r="D648" s="13" t="n"/>
      <c r="E648" s="13" t="n"/>
      <c r="F648" s="69" t="n"/>
      <c r="G648" s="69" t="n"/>
      <c r="H648" s="69" t="n"/>
      <c r="I648" s="13" t="n"/>
      <c r="J648" s="13" t="n"/>
      <c r="K648" s="13" t="n"/>
      <c r="L648" s="16">
        <f>IF($A648="","",1)</f>
        <v/>
      </c>
    </row>
    <row r="649">
      <c r="A649" s="13" t="n"/>
      <c r="B649" s="13" t="n"/>
      <c r="C649" s="68" t="n"/>
      <c r="D649" s="13" t="n"/>
      <c r="E649" s="13" t="n"/>
      <c r="F649" s="69" t="n"/>
      <c r="G649" s="69" t="n"/>
      <c r="H649" s="69" t="n"/>
      <c r="I649" s="13" t="n"/>
      <c r="J649" s="13" t="n"/>
      <c r="K649" s="13" t="n"/>
      <c r="L649" s="16">
        <f>IF($A649="","",1)</f>
        <v/>
      </c>
    </row>
    <row r="650">
      <c r="A650" s="13" t="n"/>
      <c r="B650" s="13" t="n"/>
      <c r="C650" s="68" t="n"/>
      <c r="D650" s="13" t="n"/>
      <c r="E650" s="13" t="n"/>
      <c r="F650" s="69" t="n"/>
      <c r="G650" s="69" t="n"/>
      <c r="H650" s="69" t="n"/>
      <c r="I650" s="13" t="n"/>
      <c r="J650" s="13" t="n"/>
      <c r="K650" s="13" t="n"/>
      <c r="L650" s="16">
        <f>IF($A650="","",1)</f>
        <v/>
      </c>
    </row>
    <row r="651">
      <c r="A651" s="13" t="n"/>
      <c r="B651" s="13" t="n"/>
      <c r="C651" s="68" t="n"/>
      <c r="D651" s="13" t="n"/>
      <c r="E651" s="13" t="n"/>
      <c r="F651" s="69" t="n"/>
      <c r="G651" s="69" t="n"/>
      <c r="H651" s="69" t="n"/>
      <c r="I651" s="13" t="n"/>
      <c r="J651" s="13" t="n"/>
      <c r="K651" s="13" t="n"/>
      <c r="L651" s="16">
        <f>IF($A651="","",1)</f>
        <v/>
      </c>
    </row>
    <row r="652">
      <c r="A652" s="13" t="n"/>
      <c r="B652" s="13" t="n"/>
      <c r="C652" s="68" t="n"/>
      <c r="D652" s="13" t="n"/>
      <c r="E652" s="13" t="n"/>
      <c r="F652" s="69" t="n"/>
      <c r="G652" s="69" t="n"/>
      <c r="H652" s="69" t="n"/>
      <c r="I652" s="13" t="n"/>
      <c r="J652" s="13" t="n"/>
      <c r="K652" s="13" t="n"/>
      <c r="L652" s="16">
        <f>IF($A652="","",1)</f>
        <v/>
      </c>
    </row>
    <row r="653">
      <c r="A653" s="13" t="n"/>
      <c r="B653" s="13" t="n"/>
      <c r="C653" s="68" t="n"/>
      <c r="D653" s="13" t="n"/>
      <c r="E653" s="13" t="n"/>
      <c r="F653" s="69" t="n"/>
      <c r="G653" s="69" t="n"/>
      <c r="H653" s="69" t="n"/>
      <c r="I653" s="13" t="n"/>
      <c r="J653" s="13" t="n"/>
      <c r="K653" s="13" t="n"/>
      <c r="L653" s="16">
        <f>IF($A653="","",1)</f>
        <v/>
      </c>
    </row>
    <row r="654">
      <c r="A654" s="13" t="n"/>
      <c r="B654" s="13" t="n"/>
      <c r="C654" s="68" t="n"/>
      <c r="D654" s="13" t="n"/>
      <c r="E654" s="13" t="n"/>
      <c r="F654" s="69" t="n"/>
      <c r="G654" s="69" t="n"/>
      <c r="H654" s="69" t="n"/>
      <c r="I654" s="13" t="n"/>
      <c r="J654" s="13" t="n"/>
      <c r="K654" s="13" t="n"/>
      <c r="L654" s="16">
        <f>IF($A654="","",1)</f>
        <v/>
      </c>
    </row>
    <row r="655">
      <c r="A655" s="13" t="n"/>
      <c r="B655" s="13" t="n"/>
      <c r="C655" s="68" t="n"/>
      <c r="D655" s="13" t="n"/>
      <c r="E655" s="13" t="n"/>
      <c r="F655" s="69" t="n"/>
      <c r="G655" s="69" t="n"/>
      <c r="H655" s="69" t="n"/>
      <c r="I655" s="13" t="n"/>
      <c r="J655" s="13" t="n"/>
      <c r="K655" s="13" t="n"/>
      <c r="L655" s="16">
        <f>IF($A655="","",1)</f>
        <v/>
      </c>
    </row>
    <row r="656">
      <c r="A656" s="13" t="n"/>
      <c r="B656" s="13" t="n"/>
      <c r="C656" s="68" t="n"/>
      <c r="D656" s="13" t="n"/>
      <c r="E656" s="13" t="n"/>
      <c r="F656" s="69" t="n"/>
      <c r="G656" s="69" t="n"/>
      <c r="H656" s="69" t="n"/>
      <c r="I656" s="13" t="n"/>
      <c r="J656" s="13" t="n"/>
      <c r="K656" s="13" t="n"/>
      <c r="L656" s="16">
        <f>IF($A656="","",1)</f>
        <v/>
      </c>
    </row>
    <row r="657">
      <c r="A657" s="13" t="n"/>
      <c r="B657" s="13" t="n"/>
      <c r="C657" s="68" t="n"/>
      <c r="D657" s="13" t="n"/>
      <c r="E657" s="13" t="n"/>
      <c r="F657" s="69" t="n"/>
      <c r="G657" s="69" t="n"/>
      <c r="H657" s="69" t="n"/>
      <c r="I657" s="13" t="n"/>
      <c r="J657" s="13" t="n"/>
      <c r="K657" s="13" t="n"/>
      <c r="L657" s="16">
        <f>IF($A657="","",1)</f>
        <v/>
      </c>
    </row>
    <row r="658">
      <c r="A658" s="13" t="n"/>
      <c r="B658" s="13" t="n"/>
      <c r="C658" s="68" t="n"/>
      <c r="D658" s="13" t="n"/>
      <c r="E658" s="13" t="n"/>
      <c r="F658" s="69" t="n"/>
      <c r="G658" s="69" t="n"/>
      <c r="H658" s="69" t="n"/>
      <c r="I658" s="13" t="n"/>
      <c r="J658" s="13" t="n"/>
      <c r="K658" s="13" t="n"/>
      <c r="L658" s="16">
        <f>IF($A658="","",1)</f>
        <v/>
      </c>
    </row>
    <row r="659">
      <c r="A659" s="13" t="n"/>
      <c r="B659" s="13" t="n"/>
      <c r="C659" s="68" t="n"/>
      <c r="D659" s="13" t="n"/>
      <c r="E659" s="13" t="n"/>
      <c r="F659" s="69" t="n"/>
      <c r="G659" s="69" t="n"/>
      <c r="H659" s="69" t="n"/>
      <c r="I659" s="13" t="n"/>
      <c r="J659" s="13" t="n"/>
      <c r="K659" s="13" t="n"/>
      <c r="L659" s="16">
        <f>IF($A659="","",1)</f>
        <v/>
      </c>
    </row>
    <row r="660">
      <c r="A660" s="13" t="n"/>
      <c r="B660" s="13" t="n"/>
      <c r="C660" s="68" t="n"/>
      <c r="D660" s="13" t="n"/>
      <c r="E660" s="13" t="n"/>
      <c r="F660" s="69" t="n"/>
      <c r="G660" s="69" t="n"/>
      <c r="H660" s="69" t="n"/>
      <c r="I660" s="13" t="n"/>
      <c r="J660" s="13" t="n"/>
      <c r="K660" s="13" t="n"/>
      <c r="L660" s="16">
        <f>IF($A660="","",1)</f>
        <v/>
      </c>
    </row>
    <row r="661">
      <c r="A661" s="13" t="n"/>
      <c r="B661" s="13" t="n"/>
      <c r="C661" s="68" t="n"/>
      <c r="D661" s="13" t="n"/>
      <c r="E661" s="13" t="n"/>
      <c r="F661" s="69" t="n"/>
      <c r="G661" s="69" t="n"/>
      <c r="H661" s="69" t="n"/>
      <c r="I661" s="13" t="n"/>
      <c r="J661" s="13" t="n"/>
      <c r="K661" s="13" t="n"/>
      <c r="L661" s="16">
        <f>IF($A661="","",1)</f>
        <v/>
      </c>
    </row>
    <row r="662">
      <c r="A662" s="13" t="n"/>
      <c r="B662" s="13" t="n"/>
      <c r="C662" s="68" t="n"/>
      <c r="D662" s="13" t="n"/>
      <c r="E662" s="13" t="n"/>
      <c r="F662" s="69" t="n"/>
      <c r="G662" s="69" t="n"/>
      <c r="H662" s="69" t="n"/>
      <c r="I662" s="13" t="n"/>
      <c r="J662" s="13" t="n"/>
      <c r="K662" s="13" t="n"/>
      <c r="L662" s="16">
        <f>IF($A662="","",1)</f>
        <v/>
      </c>
    </row>
    <row r="663">
      <c r="A663" s="13" t="n"/>
      <c r="B663" s="13" t="n"/>
      <c r="C663" s="68" t="n"/>
      <c r="D663" s="13" t="n"/>
      <c r="E663" s="13" t="n"/>
      <c r="F663" s="69" t="n"/>
      <c r="G663" s="69" t="n"/>
      <c r="H663" s="69" t="n"/>
      <c r="I663" s="13" t="n"/>
      <c r="J663" s="13" t="n"/>
      <c r="K663" s="13" t="n"/>
      <c r="L663" s="16">
        <f>IF($A663="","",1)</f>
        <v/>
      </c>
    </row>
    <row r="664">
      <c r="A664" s="13" t="n"/>
      <c r="B664" s="13" t="n"/>
      <c r="C664" s="68" t="n"/>
      <c r="D664" s="13" t="n"/>
      <c r="E664" s="13" t="n"/>
      <c r="F664" s="69" t="n"/>
      <c r="G664" s="69" t="n"/>
      <c r="H664" s="69" t="n"/>
      <c r="I664" s="13" t="n"/>
      <c r="J664" s="13" t="n"/>
      <c r="K664" s="13" t="n"/>
      <c r="L664" s="16">
        <f>IF($A664="","",1)</f>
        <v/>
      </c>
    </row>
    <row r="665">
      <c r="A665" s="13" t="n"/>
      <c r="B665" s="13" t="n"/>
      <c r="C665" s="68" t="n"/>
      <c r="D665" s="13" t="n"/>
      <c r="E665" s="13" t="n"/>
      <c r="F665" s="69" t="n"/>
      <c r="G665" s="69" t="n"/>
      <c r="H665" s="69" t="n"/>
      <c r="I665" s="13" t="n"/>
      <c r="J665" s="13" t="n"/>
      <c r="K665" s="13" t="n"/>
      <c r="L665" s="16">
        <f>IF($A665="","",1)</f>
        <v/>
      </c>
    </row>
    <row r="666">
      <c r="A666" s="13" t="n"/>
      <c r="B666" s="13" t="n"/>
      <c r="C666" s="68" t="n"/>
      <c r="D666" s="13" t="n"/>
      <c r="E666" s="13" t="n"/>
      <c r="F666" s="69" t="n"/>
      <c r="G666" s="69" t="n"/>
      <c r="H666" s="69" t="n"/>
      <c r="I666" s="13" t="n"/>
      <c r="J666" s="13" t="n"/>
      <c r="K666" s="13" t="n"/>
      <c r="L666" s="16">
        <f>IF($A666="","",1)</f>
        <v/>
      </c>
    </row>
    <row r="667">
      <c r="A667" s="13" t="n"/>
      <c r="B667" s="13" t="n"/>
      <c r="C667" s="68" t="n"/>
      <c r="D667" s="13" t="n"/>
      <c r="E667" s="13" t="n"/>
      <c r="F667" s="69" t="n"/>
      <c r="G667" s="69" t="n"/>
      <c r="H667" s="69" t="n"/>
      <c r="I667" s="13" t="n"/>
      <c r="J667" s="13" t="n"/>
      <c r="K667" s="13" t="n"/>
      <c r="L667" s="16">
        <f>IF($A667="","",1)</f>
        <v/>
      </c>
    </row>
    <row r="668">
      <c r="A668" s="13" t="n"/>
      <c r="B668" s="13" t="n"/>
      <c r="C668" s="68" t="n"/>
      <c r="D668" s="13" t="n"/>
      <c r="E668" s="13" t="n"/>
      <c r="F668" s="69" t="n"/>
      <c r="G668" s="69" t="n"/>
      <c r="H668" s="69" t="n"/>
      <c r="I668" s="13" t="n"/>
      <c r="J668" s="13" t="n"/>
      <c r="K668" s="13" t="n"/>
      <c r="L668" s="16">
        <f>IF($A668="","",1)</f>
        <v/>
      </c>
    </row>
    <row r="669">
      <c r="A669" s="13" t="n"/>
      <c r="B669" s="13" t="n"/>
      <c r="C669" s="68" t="n"/>
      <c r="D669" s="13" t="n"/>
      <c r="E669" s="13" t="n"/>
      <c r="F669" s="69" t="n"/>
      <c r="G669" s="69" t="n"/>
      <c r="H669" s="69" t="n"/>
      <c r="I669" s="13" t="n"/>
      <c r="J669" s="13" t="n"/>
      <c r="K669" s="13" t="n"/>
      <c r="L669" s="16">
        <f>IF($A669="","",1)</f>
        <v/>
      </c>
    </row>
    <row r="670">
      <c r="A670" s="13" t="n"/>
      <c r="B670" s="13" t="n"/>
      <c r="C670" s="68" t="n"/>
      <c r="D670" s="13" t="n"/>
      <c r="E670" s="13" t="n"/>
      <c r="F670" s="69" t="n"/>
      <c r="G670" s="69" t="n"/>
      <c r="H670" s="69" t="n"/>
      <c r="I670" s="13" t="n"/>
      <c r="J670" s="13" t="n"/>
      <c r="K670" s="13" t="n"/>
      <c r="L670" s="16">
        <f>IF($A670="","",1)</f>
        <v/>
      </c>
    </row>
    <row r="671">
      <c r="A671" s="13" t="n"/>
      <c r="B671" s="13" t="n"/>
      <c r="C671" s="68" t="n"/>
      <c r="D671" s="13" t="n"/>
      <c r="E671" s="13" t="n"/>
      <c r="F671" s="69" t="n"/>
      <c r="G671" s="69" t="n"/>
      <c r="H671" s="69" t="n"/>
      <c r="I671" s="13" t="n"/>
      <c r="J671" s="13" t="n"/>
      <c r="K671" s="13" t="n"/>
      <c r="L671" s="16">
        <f>IF($A671="","",1)</f>
        <v/>
      </c>
    </row>
    <row r="672">
      <c r="A672" s="13" t="n"/>
      <c r="B672" s="13" t="n"/>
      <c r="C672" s="68" t="n"/>
      <c r="D672" s="13" t="n"/>
      <c r="E672" s="13" t="n"/>
      <c r="F672" s="69" t="n"/>
      <c r="G672" s="69" t="n"/>
      <c r="H672" s="69" t="n"/>
      <c r="I672" s="13" t="n"/>
      <c r="J672" s="13" t="n"/>
      <c r="K672" s="13" t="n"/>
      <c r="L672" s="16">
        <f>IF($A672="","",1)</f>
        <v/>
      </c>
    </row>
    <row r="673">
      <c r="A673" s="13" t="n"/>
      <c r="B673" s="13" t="n"/>
      <c r="C673" s="68" t="n"/>
      <c r="D673" s="13" t="n"/>
      <c r="E673" s="13" t="n"/>
      <c r="F673" s="69" t="n"/>
      <c r="G673" s="69" t="n"/>
      <c r="H673" s="69" t="n"/>
      <c r="I673" s="13" t="n"/>
      <c r="J673" s="13" t="n"/>
      <c r="K673" s="13" t="n"/>
      <c r="L673" s="16">
        <f>IF($A673="","",1)</f>
        <v/>
      </c>
    </row>
    <row r="674">
      <c r="A674" s="13" t="n"/>
      <c r="B674" s="13" t="n"/>
      <c r="C674" s="68" t="n"/>
      <c r="D674" s="13" t="n"/>
      <c r="E674" s="13" t="n"/>
      <c r="F674" s="69" t="n"/>
      <c r="G674" s="69" t="n"/>
      <c r="H674" s="69" t="n"/>
      <c r="I674" s="13" t="n"/>
      <c r="J674" s="13" t="n"/>
      <c r="K674" s="13" t="n"/>
      <c r="L674" s="16">
        <f>IF($A674="","",1)</f>
        <v/>
      </c>
    </row>
    <row r="675">
      <c r="A675" s="13" t="n"/>
      <c r="B675" s="13" t="n"/>
      <c r="C675" s="68" t="n"/>
      <c r="D675" s="13" t="n"/>
      <c r="E675" s="13" t="n"/>
      <c r="F675" s="69" t="n"/>
      <c r="G675" s="69" t="n"/>
      <c r="H675" s="69" t="n"/>
      <c r="I675" s="13" t="n"/>
      <c r="J675" s="13" t="n"/>
      <c r="K675" s="13" t="n"/>
      <c r="L675" s="16">
        <f>IF($A675="","",1)</f>
        <v/>
      </c>
    </row>
    <row r="676">
      <c r="A676" s="13" t="n"/>
      <c r="B676" s="13" t="n"/>
      <c r="C676" s="68" t="n"/>
      <c r="D676" s="13" t="n"/>
      <c r="E676" s="13" t="n"/>
      <c r="F676" s="69" t="n"/>
      <c r="G676" s="69" t="n"/>
      <c r="H676" s="69" t="n"/>
      <c r="I676" s="13" t="n"/>
      <c r="J676" s="13" t="n"/>
      <c r="K676" s="13" t="n"/>
      <c r="L676" s="16">
        <f>IF($A676="","",1)</f>
        <v/>
      </c>
    </row>
    <row r="677">
      <c r="A677" s="13" t="n"/>
      <c r="B677" s="13" t="n"/>
      <c r="C677" s="68" t="n"/>
      <c r="D677" s="13" t="n"/>
      <c r="E677" s="13" t="n"/>
      <c r="F677" s="69" t="n"/>
      <c r="G677" s="69" t="n"/>
      <c r="H677" s="69" t="n"/>
      <c r="I677" s="13" t="n"/>
      <c r="J677" s="13" t="n"/>
      <c r="K677" s="13" t="n"/>
      <c r="L677" s="16">
        <f>IF($A677="","",1)</f>
        <v/>
      </c>
    </row>
    <row r="678">
      <c r="A678" s="13" t="n"/>
      <c r="B678" s="13" t="n"/>
      <c r="C678" s="68" t="n"/>
      <c r="D678" s="13" t="n"/>
      <c r="E678" s="13" t="n"/>
      <c r="F678" s="69" t="n"/>
      <c r="G678" s="69" t="n"/>
      <c r="H678" s="69" t="n"/>
      <c r="I678" s="13" t="n"/>
      <c r="J678" s="13" t="n"/>
      <c r="K678" s="13" t="n"/>
      <c r="L678" s="16">
        <f>IF($A678="","",1)</f>
        <v/>
      </c>
    </row>
    <row r="679">
      <c r="A679" s="13" t="n"/>
      <c r="B679" s="13" t="n"/>
      <c r="C679" s="68" t="n"/>
      <c r="D679" s="13" t="n"/>
      <c r="E679" s="13" t="n"/>
      <c r="F679" s="69" t="n"/>
      <c r="G679" s="69" t="n"/>
      <c r="H679" s="69" t="n"/>
      <c r="I679" s="13" t="n"/>
      <c r="J679" s="13" t="n"/>
      <c r="K679" s="13" t="n"/>
      <c r="L679" s="16">
        <f>IF($A679="","",1)</f>
        <v/>
      </c>
    </row>
    <row r="680">
      <c r="A680" s="13" t="n"/>
      <c r="B680" s="13" t="n"/>
      <c r="C680" s="68" t="n"/>
      <c r="D680" s="13" t="n"/>
      <c r="E680" s="13" t="n"/>
      <c r="F680" s="69" t="n"/>
      <c r="G680" s="69" t="n"/>
      <c r="H680" s="69" t="n"/>
      <c r="I680" s="13" t="n"/>
      <c r="J680" s="13" t="n"/>
      <c r="K680" s="13" t="n"/>
      <c r="L680" s="16">
        <f>IF($A680="","",1)</f>
        <v/>
      </c>
    </row>
    <row r="681">
      <c r="A681" s="13" t="n"/>
      <c r="B681" s="13" t="n"/>
      <c r="C681" s="68" t="n"/>
      <c r="D681" s="13" t="n"/>
      <c r="E681" s="13" t="n"/>
      <c r="F681" s="69" t="n"/>
      <c r="G681" s="69" t="n"/>
      <c r="H681" s="69" t="n"/>
      <c r="I681" s="13" t="n"/>
      <c r="J681" s="13" t="n"/>
      <c r="K681" s="13" t="n"/>
      <c r="L681" s="16">
        <f>IF($A681="","",1)</f>
        <v/>
      </c>
    </row>
    <row r="682">
      <c r="A682" s="13" t="n"/>
      <c r="B682" s="13" t="n"/>
      <c r="C682" s="68" t="n"/>
      <c r="D682" s="13" t="n"/>
      <c r="E682" s="13" t="n"/>
      <c r="F682" s="69" t="n"/>
      <c r="G682" s="69" t="n"/>
      <c r="H682" s="69" t="n"/>
      <c r="I682" s="13" t="n"/>
      <c r="J682" s="13" t="n"/>
      <c r="K682" s="13" t="n"/>
      <c r="L682" s="16">
        <f>IF($A682="","",1)</f>
        <v/>
      </c>
    </row>
    <row r="683">
      <c r="A683" s="13" t="n"/>
      <c r="B683" s="13" t="n"/>
      <c r="C683" s="68" t="n"/>
      <c r="D683" s="13" t="n"/>
      <c r="E683" s="13" t="n"/>
      <c r="F683" s="69" t="n"/>
      <c r="G683" s="69" t="n"/>
      <c r="H683" s="69" t="n"/>
      <c r="I683" s="13" t="n"/>
      <c r="J683" s="13" t="n"/>
      <c r="K683" s="13" t="n"/>
      <c r="L683" s="16">
        <f>IF($A683="","",1)</f>
        <v/>
      </c>
    </row>
    <row r="684">
      <c r="A684" s="13" t="n"/>
      <c r="B684" s="13" t="n"/>
      <c r="C684" s="68" t="n"/>
      <c r="D684" s="13" t="n"/>
      <c r="E684" s="13" t="n"/>
      <c r="F684" s="69" t="n"/>
      <c r="G684" s="69" t="n"/>
      <c r="H684" s="69" t="n"/>
      <c r="I684" s="13" t="n"/>
      <c r="J684" s="13" t="n"/>
      <c r="K684" s="13" t="n"/>
      <c r="L684" s="16">
        <f>IF($A684="","",1)</f>
        <v/>
      </c>
    </row>
    <row r="685">
      <c r="A685" s="13" t="n"/>
      <c r="B685" s="13" t="n"/>
      <c r="C685" s="68" t="n"/>
      <c r="D685" s="13" t="n"/>
      <c r="E685" s="13" t="n"/>
      <c r="F685" s="69" t="n"/>
      <c r="G685" s="69" t="n"/>
      <c r="H685" s="69" t="n"/>
      <c r="I685" s="13" t="n"/>
      <c r="J685" s="13" t="n"/>
      <c r="K685" s="13" t="n"/>
      <c r="L685" s="16">
        <f>IF($A685="","",1)</f>
        <v/>
      </c>
    </row>
    <row r="686">
      <c r="A686" s="13" t="n"/>
      <c r="B686" s="13" t="n"/>
      <c r="C686" s="68" t="n"/>
      <c r="D686" s="13" t="n"/>
      <c r="E686" s="13" t="n"/>
      <c r="F686" s="69" t="n"/>
      <c r="G686" s="69" t="n"/>
      <c r="H686" s="69" t="n"/>
      <c r="I686" s="13" t="n"/>
      <c r="J686" s="13" t="n"/>
      <c r="K686" s="13" t="n"/>
      <c r="L686" s="16">
        <f>IF($A686="","",1)</f>
        <v/>
      </c>
    </row>
    <row r="687">
      <c r="A687" s="13" t="n"/>
      <c r="B687" s="13" t="n"/>
      <c r="C687" s="68" t="n"/>
      <c r="D687" s="13" t="n"/>
      <c r="E687" s="13" t="n"/>
      <c r="F687" s="69" t="n"/>
      <c r="G687" s="69" t="n"/>
      <c r="H687" s="69" t="n"/>
      <c r="I687" s="13" t="n"/>
      <c r="J687" s="13" t="n"/>
      <c r="K687" s="13" t="n"/>
      <c r="L687" s="16">
        <f>IF($A687="","",1)</f>
        <v/>
      </c>
    </row>
    <row r="688">
      <c r="A688" s="13" t="n"/>
      <c r="B688" s="13" t="n"/>
      <c r="C688" s="68" t="n"/>
      <c r="D688" s="13" t="n"/>
      <c r="E688" s="13" t="n"/>
      <c r="F688" s="69" t="n"/>
      <c r="G688" s="69" t="n"/>
      <c r="H688" s="69" t="n"/>
      <c r="I688" s="13" t="n"/>
      <c r="J688" s="13" t="n"/>
      <c r="K688" s="13" t="n"/>
      <c r="L688" s="16">
        <f>IF($A688="","",1)</f>
        <v/>
      </c>
    </row>
    <row r="689">
      <c r="A689" s="13" t="n"/>
      <c r="B689" s="13" t="n"/>
      <c r="C689" s="68" t="n"/>
      <c r="D689" s="13" t="n"/>
      <c r="E689" s="13" t="n"/>
      <c r="F689" s="69" t="n"/>
      <c r="G689" s="69" t="n"/>
      <c r="H689" s="69" t="n"/>
      <c r="I689" s="13" t="n"/>
      <c r="J689" s="13" t="n"/>
      <c r="K689" s="13" t="n"/>
      <c r="L689" s="16">
        <f>IF($A689="","",1)</f>
        <v/>
      </c>
    </row>
    <row r="690">
      <c r="A690" s="13" t="n"/>
      <c r="B690" s="13" t="n"/>
      <c r="C690" s="68" t="n"/>
      <c r="D690" s="13" t="n"/>
      <c r="E690" s="13" t="n"/>
      <c r="F690" s="69" t="n"/>
      <c r="G690" s="69" t="n"/>
      <c r="H690" s="69" t="n"/>
      <c r="I690" s="13" t="n"/>
      <c r="J690" s="13" t="n"/>
      <c r="K690" s="13" t="n"/>
      <c r="L690" s="16">
        <f>IF($A690="","",1)</f>
        <v/>
      </c>
    </row>
    <row r="691">
      <c r="A691" s="13" t="n"/>
      <c r="B691" s="13" t="n"/>
      <c r="C691" s="68" t="n"/>
      <c r="D691" s="13" t="n"/>
      <c r="E691" s="13" t="n"/>
      <c r="F691" s="69" t="n"/>
      <c r="G691" s="69" t="n"/>
      <c r="H691" s="69" t="n"/>
      <c r="I691" s="13" t="n"/>
      <c r="J691" s="13" t="n"/>
      <c r="K691" s="13" t="n"/>
      <c r="L691" s="16">
        <f>IF($A691="","",1)</f>
        <v/>
      </c>
    </row>
    <row r="692">
      <c r="A692" s="13" t="n"/>
      <c r="B692" s="13" t="n"/>
      <c r="C692" s="68" t="n"/>
      <c r="D692" s="13" t="n"/>
      <c r="E692" s="13" t="n"/>
      <c r="F692" s="69" t="n"/>
      <c r="G692" s="69" t="n"/>
      <c r="H692" s="69" t="n"/>
      <c r="I692" s="13" t="n"/>
      <c r="J692" s="13" t="n"/>
      <c r="K692" s="13" t="n"/>
      <c r="L692" s="16">
        <f>IF($A692="","",1)</f>
        <v/>
      </c>
    </row>
    <row r="693">
      <c r="A693" s="13" t="n"/>
      <c r="B693" s="13" t="n"/>
      <c r="C693" s="68" t="n"/>
      <c r="D693" s="13" t="n"/>
      <c r="E693" s="13" t="n"/>
      <c r="F693" s="69" t="n"/>
      <c r="G693" s="69" t="n"/>
      <c r="H693" s="69" t="n"/>
      <c r="I693" s="13" t="n"/>
      <c r="J693" s="13" t="n"/>
      <c r="K693" s="13" t="n"/>
      <c r="L693" s="16">
        <f>IF($A693="","",1)</f>
        <v/>
      </c>
    </row>
    <row r="694">
      <c r="A694" s="13" t="n"/>
      <c r="B694" s="13" t="n"/>
      <c r="C694" s="68" t="n"/>
      <c r="D694" s="13" t="n"/>
      <c r="E694" s="13" t="n"/>
      <c r="F694" s="69" t="n"/>
      <c r="G694" s="69" t="n"/>
      <c r="H694" s="69" t="n"/>
      <c r="I694" s="13" t="n"/>
      <c r="J694" s="13" t="n"/>
      <c r="K694" s="13" t="n"/>
      <c r="L694" s="16">
        <f>IF($A694="","",1)</f>
        <v/>
      </c>
    </row>
    <row r="695">
      <c r="A695" s="13" t="n"/>
      <c r="B695" s="13" t="n"/>
      <c r="C695" s="68" t="n"/>
      <c r="D695" s="13" t="n"/>
      <c r="E695" s="13" t="n"/>
      <c r="F695" s="69" t="n"/>
      <c r="G695" s="69" t="n"/>
      <c r="H695" s="69" t="n"/>
      <c r="I695" s="13" t="n"/>
      <c r="J695" s="13" t="n"/>
      <c r="K695" s="13" t="n"/>
      <c r="L695" s="16">
        <f>IF($A695="","",1)</f>
        <v/>
      </c>
    </row>
    <row r="696">
      <c r="A696" s="13" t="n"/>
      <c r="B696" s="13" t="n"/>
      <c r="C696" s="68" t="n"/>
      <c r="D696" s="13" t="n"/>
      <c r="E696" s="13" t="n"/>
      <c r="F696" s="69" t="n"/>
      <c r="G696" s="69" t="n"/>
      <c r="H696" s="69" t="n"/>
      <c r="I696" s="13" t="n"/>
      <c r="J696" s="13" t="n"/>
      <c r="K696" s="13" t="n"/>
      <c r="L696" s="16">
        <f>IF($A696="","",1)</f>
        <v/>
      </c>
    </row>
    <row r="697">
      <c r="A697" s="13" t="n"/>
      <c r="B697" s="13" t="n"/>
      <c r="C697" s="68" t="n"/>
      <c r="D697" s="13" t="n"/>
      <c r="E697" s="13" t="n"/>
      <c r="F697" s="69" t="n"/>
      <c r="G697" s="69" t="n"/>
      <c r="H697" s="69" t="n"/>
      <c r="I697" s="13" t="n"/>
      <c r="J697" s="13" t="n"/>
      <c r="K697" s="13" t="n"/>
      <c r="L697" s="16">
        <f>IF($A697="","",1)</f>
        <v/>
      </c>
    </row>
    <row r="698">
      <c r="A698" s="13" t="n"/>
      <c r="B698" s="13" t="n"/>
      <c r="C698" s="68" t="n"/>
      <c r="D698" s="13" t="n"/>
      <c r="E698" s="13" t="n"/>
      <c r="F698" s="69" t="n"/>
      <c r="G698" s="69" t="n"/>
      <c r="H698" s="69" t="n"/>
      <c r="I698" s="13" t="n"/>
      <c r="J698" s="13" t="n"/>
      <c r="K698" s="13" t="n"/>
      <c r="L698" s="16">
        <f>IF($A698="","",1)</f>
        <v/>
      </c>
    </row>
    <row r="699">
      <c r="A699" s="13" t="n"/>
      <c r="B699" s="13" t="n"/>
      <c r="C699" s="68" t="n"/>
      <c r="D699" s="13" t="n"/>
      <c r="E699" s="13" t="n"/>
      <c r="F699" s="69" t="n"/>
      <c r="G699" s="69" t="n"/>
      <c r="H699" s="69" t="n"/>
      <c r="I699" s="13" t="n"/>
      <c r="J699" s="13" t="n"/>
      <c r="K699" s="13" t="n"/>
      <c r="L699" s="16">
        <f>IF($A699="","",1)</f>
        <v/>
      </c>
    </row>
    <row r="700">
      <c r="A700" s="13" t="n"/>
      <c r="B700" s="13" t="n"/>
      <c r="C700" s="68" t="n"/>
      <c r="D700" s="13" t="n"/>
      <c r="E700" s="13" t="n"/>
      <c r="F700" s="69" t="n"/>
      <c r="G700" s="69" t="n"/>
      <c r="H700" s="69" t="n"/>
      <c r="I700" s="13" t="n"/>
      <c r="J700" s="13" t="n"/>
      <c r="K700" s="13" t="n"/>
      <c r="L700" s="16">
        <f>IF($A700="","",1)</f>
        <v/>
      </c>
    </row>
    <row r="701">
      <c r="A701" s="13" t="n"/>
      <c r="B701" s="13" t="n"/>
      <c r="C701" s="68" t="n"/>
      <c r="D701" s="13" t="n"/>
      <c r="E701" s="13" t="n"/>
      <c r="F701" s="69" t="n"/>
      <c r="G701" s="69" t="n"/>
      <c r="H701" s="69" t="n"/>
      <c r="I701" s="13" t="n"/>
      <c r="J701" s="13" t="n"/>
      <c r="K701" s="13" t="n"/>
      <c r="L701" s="16">
        <f>IF($A701="","",1)</f>
        <v/>
      </c>
    </row>
    <row r="702">
      <c r="A702" s="13" t="n"/>
      <c r="B702" s="13" t="n"/>
      <c r="C702" s="68" t="n"/>
      <c r="D702" s="13" t="n"/>
      <c r="E702" s="13" t="n"/>
      <c r="F702" s="69" t="n"/>
      <c r="G702" s="69" t="n"/>
      <c r="H702" s="69" t="n"/>
      <c r="I702" s="13" t="n"/>
      <c r="J702" s="13" t="n"/>
      <c r="K702" s="13" t="n"/>
      <c r="L702" s="16">
        <f>IF($A702="","",1)</f>
        <v/>
      </c>
    </row>
    <row r="703">
      <c r="A703" s="13" t="n"/>
      <c r="B703" s="13" t="n"/>
      <c r="C703" s="68" t="n"/>
      <c r="D703" s="13" t="n"/>
      <c r="E703" s="13" t="n"/>
      <c r="F703" s="69" t="n"/>
      <c r="G703" s="69" t="n"/>
      <c r="H703" s="69" t="n"/>
      <c r="I703" s="13" t="n"/>
      <c r="J703" s="13" t="n"/>
      <c r="K703" s="13" t="n"/>
      <c r="L703" s="16">
        <f>IF($A703="","",1)</f>
        <v/>
      </c>
    </row>
    <row r="704">
      <c r="A704" s="13" t="n"/>
      <c r="B704" s="13" t="n"/>
      <c r="C704" s="68" t="n"/>
      <c r="D704" s="13" t="n"/>
      <c r="E704" s="13" t="n"/>
      <c r="F704" s="69" t="n"/>
      <c r="G704" s="69" t="n"/>
      <c r="H704" s="69" t="n"/>
      <c r="I704" s="13" t="n"/>
      <c r="J704" s="13" t="n"/>
      <c r="K704" s="13" t="n"/>
      <c r="L704" s="16">
        <f>IF($A704="","",1)</f>
        <v/>
      </c>
    </row>
    <row r="705">
      <c r="A705" s="13" t="n"/>
      <c r="B705" s="13" t="n"/>
      <c r="C705" s="68" t="n"/>
      <c r="D705" s="13" t="n"/>
      <c r="E705" s="13" t="n"/>
      <c r="F705" s="69" t="n"/>
      <c r="G705" s="69" t="n"/>
      <c r="H705" s="69" t="n"/>
      <c r="I705" s="13" t="n"/>
      <c r="J705" s="13" t="n"/>
      <c r="K705" s="13" t="n"/>
      <c r="L705" s="16">
        <f>IF($A705="","",1)</f>
        <v/>
      </c>
    </row>
    <row r="706">
      <c r="A706" s="13" t="n"/>
      <c r="B706" s="13" t="n"/>
      <c r="C706" s="68" t="n"/>
      <c r="D706" s="13" t="n"/>
      <c r="E706" s="13" t="n"/>
      <c r="F706" s="69" t="n"/>
      <c r="G706" s="69" t="n"/>
      <c r="H706" s="69" t="n"/>
      <c r="I706" s="13" t="n"/>
      <c r="J706" s="13" t="n"/>
      <c r="K706" s="13" t="n"/>
      <c r="L706" s="16">
        <f>IF($A706="","",1)</f>
        <v/>
      </c>
    </row>
    <row r="707">
      <c r="A707" s="13" t="n"/>
      <c r="B707" s="13" t="n"/>
      <c r="C707" s="68" t="n"/>
      <c r="D707" s="13" t="n"/>
      <c r="E707" s="13" t="n"/>
      <c r="F707" s="69" t="n"/>
      <c r="G707" s="69" t="n"/>
      <c r="H707" s="69" t="n"/>
      <c r="I707" s="13" t="n"/>
      <c r="J707" s="13" t="n"/>
      <c r="K707" s="13" t="n"/>
      <c r="L707" s="16">
        <f>IF($A707="","",1)</f>
        <v/>
      </c>
    </row>
    <row r="708">
      <c r="A708" s="13" t="n"/>
      <c r="B708" s="13" t="n"/>
      <c r="C708" s="68" t="n"/>
      <c r="D708" s="13" t="n"/>
      <c r="E708" s="13" t="n"/>
      <c r="F708" s="69" t="n"/>
      <c r="G708" s="69" t="n"/>
      <c r="H708" s="69" t="n"/>
      <c r="I708" s="13" t="n"/>
      <c r="J708" s="13" t="n"/>
      <c r="K708" s="13" t="n"/>
      <c r="L708" s="16">
        <f>IF($A708="","",1)</f>
        <v/>
      </c>
    </row>
    <row r="709">
      <c r="A709" s="13" t="n"/>
      <c r="B709" s="13" t="n"/>
      <c r="C709" s="68" t="n"/>
      <c r="D709" s="13" t="n"/>
      <c r="E709" s="13" t="n"/>
      <c r="F709" s="69" t="n"/>
      <c r="G709" s="69" t="n"/>
      <c r="H709" s="69" t="n"/>
      <c r="I709" s="13" t="n"/>
      <c r="J709" s="13" t="n"/>
      <c r="K709" s="13" t="n"/>
      <c r="L709" s="16">
        <f>IF($A709="","",1)</f>
        <v/>
      </c>
    </row>
    <row r="710">
      <c r="A710" s="13" t="n"/>
      <c r="B710" s="13" t="n"/>
      <c r="C710" s="68" t="n"/>
      <c r="D710" s="13" t="n"/>
      <c r="E710" s="13" t="n"/>
      <c r="F710" s="69" t="n"/>
      <c r="G710" s="69" t="n"/>
      <c r="H710" s="69" t="n"/>
      <c r="I710" s="13" t="n"/>
      <c r="J710" s="13" t="n"/>
      <c r="K710" s="13" t="n"/>
      <c r="L710" s="16">
        <f>IF($A710="","",1)</f>
        <v/>
      </c>
    </row>
    <row r="711">
      <c r="A711" s="13" t="n"/>
      <c r="B711" s="13" t="n"/>
      <c r="C711" s="68" t="n"/>
      <c r="D711" s="13" t="n"/>
      <c r="E711" s="13" t="n"/>
      <c r="F711" s="69" t="n"/>
      <c r="G711" s="69" t="n"/>
      <c r="H711" s="69" t="n"/>
      <c r="I711" s="13" t="n"/>
      <c r="J711" s="13" t="n"/>
      <c r="K711" s="13" t="n"/>
      <c r="L711" s="16">
        <f>IF($A711="","",1)</f>
        <v/>
      </c>
    </row>
    <row r="712">
      <c r="A712" s="13" t="n"/>
      <c r="B712" s="13" t="n"/>
      <c r="C712" s="68" t="n"/>
      <c r="D712" s="13" t="n"/>
      <c r="E712" s="13" t="n"/>
      <c r="F712" s="69" t="n"/>
      <c r="G712" s="69" t="n"/>
      <c r="H712" s="69" t="n"/>
      <c r="I712" s="13" t="n"/>
      <c r="J712" s="13" t="n"/>
      <c r="K712" s="13" t="n"/>
      <c r="L712" s="16">
        <f>IF($A712="","",1)</f>
        <v/>
      </c>
    </row>
    <row r="713">
      <c r="A713" s="13" t="n"/>
      <c r="B713" s="13" t="n"/>
      <c r="C713" s="68" t="n"/>
      <c r="D713" s="13" t="n"/>
      <c r="E713" s="13" t="n"/>
      <c r="F713" s="69" t="n"/>
      <c r="G713" s="69" t="n"/>
      <c r="H713" s="69" t="n"/>
      <c r="I713" s="13" t="n"/>
      <c r="J713" s="13" t="n"/>
      <c r="K713" s="13" t="n"/>
      <c r="L713" s="16">
        <f>IF($A713="","",1)</f>
        <v/>
      </c>
    </row>
    <row r="714">
      <c r="A714" s="13" t="n"/>
      <c r="B714" s="13" t="n"/>
      <c r="C714" s="68" t="n"/>
      <c r="D714" s="13" t="n"/>
      <c r="E714" s="13" t="n"/>
      <c r="F714" s="69" t="n"/>
      <c r="G714" s="69" t="n"/>
      <c r="H714" s="69" t="n"/>
      <c r="I714" s="13" t="n"/>
      <c r="J714" s="13" t="n"/>
      <c r="K714" s="13" t="n"/>
      <c r="L714" s="16">
        <f>IF($A714="","",1)</f>
        <v/>
      </c>
    </row>
    <row r="715">
      <c r="A715" s="13" t="n"/>
      <c r="B715" s="13" t="n"/>
      <c r="C715" s="68" t="n"/>
      <c r="D715" s="13" t="n"/>
      <c r="E715" s="13" t="n"/>
      <c r="F715" s="69" t="n"/>
      <c r="G715" s="69" t="n"/>
      <c r="H715" s="69" t="n"/>
      <c r="I715" s="13" t="n"/>
      <c r="J715" s="13" t="n"/>
      <c r="K715" s="13" t="n"/>
      <c r="L715" s="16">
        <f>IF($A715="","",1)</f>
        <v/>
      </c>
    </row>
    <row r="716">
      <c r="A716" s="13" t="n"/>
      <c r="B716" s="13" t="n"/>
      <c r="C716" s="68" t="n"/>
      <c r="D716" s="13" t="n"/>
      <c r="E716" s="13" t="n"/>
      <c r="F716" s="69" t="n"/>
      <c r="G716" s="69" t="n"/>
      <c r="H716" s="69" t="n"/>
      <c r="I716" s="13" t="n"/>
      <c r="J716" s="13" t="n"/>
      <c r="K716" s="13" t="n"/>
      <c r="L716" s="16">
        <f>IF($A716="","",1)</f>
        <v/>
      </c>
    </row>
    <row r="717">
      <c r="A717" s="13" t="n"/>
      <c r="B717" s="13" t="n"/>
      <c r="C717" s="68" t="n"/>
      <c r="D717" s="13" t="n"/>
      <c r="E717" s="13" t="n"/>
      <c r="F717" s="69" t="n"/>
      <c r="G717" s="69" t="n"/>
      <c r="H717" s="69" t="n"/>
      <c r="I717" s="13" t="n"/>
      <c r="J717" s="13" t="n"/>
      <c r="K717" s="13" t="n"/>
      <c r="L717" s="16">
        <f>IF($A717="","",1)</f>
        <v/>
      </c>
    </row>
    <row r="718">
      <c r="A718" s="13" t="n"/>
      <c r="B718" s="13" t="n"/>
      <c r="C718" s="68" t="n"/>
      <c r="D718" s="13" t="n"/>
      <c r="E718" s="13" t="n"/>
      <c r="F718" s="69" t="n"/>
      <c r="G718" s="69" t="n"/>
      <c r="H718" s="69" t="n"/>
      <c r="I718" s="13" t="n"/>
      <c r="J718" s="13" t="n"/>
      <c r="K718" s="13" t="n"/>
      <c r="L718" s="16">
        <f>IF($A718="","",1)</f>
        <v/>
      </c>
    </row>
    <row r="719">
      <c r="A719" s="13" t="n"/>
      <c r="B719" s="13" t="n"/>
      <c r="C719" s="68" t="n"/>
      <c r="D719" s="13" t="n"/>
      <c r="E719" s="13" t="n"/>
      <c r="F719" s="69" t="n"/>
      <c r="G719" s="69" t="n"/>
      <c r="H719" s="69" t="n"/>
      <c r="I719" s="13" t="n"/>
      <c r="J719" s="13" t="n"/>
      <c r="K719" s="13" t="n"/>
      <c r="L719" s="16">
        <f>IF($A719="","",1)</f>
        <v/>
      </c>
    </row>
    <row r="720">
      <c r="A720" s="13" t="n"/>
      <c r="B720" s="13" t="n"/>
      <c r="C720" s="68" t="n"/>
      <c r="D720" s="13" t="n"/>
      <c r="E720" s="13" t="n"/>
      <c r="F720" s="69" t="n"/>
      <c r="G720" s="69" t="n"/>
      <c r="H720" s="69" t="n"/>
      <c r="I720" s="13" t="n"/>
      <c r="J720" s="13" t="n"/>
      <c r="K720" s="13" t="n"/>
      <c r="L720" s="16">
        <f>IF($A720="","",1)</f>
        <v/>
      </c>
    </row>
    <row r="721">
      <c r="A721" s="13" t="n"/>
      <c r="B721" s="13" t="n"/>
      <c r="C721" s="68" t="n"/>
      <c r="D721" s="13" t="n"/>
      <c r="E721" s="13" t="n"/>
      <c r="F721" s="69" t="n"/>
      <c r="G721" s="69" t="n"/>
      <c r="H721" s="69" t="n"/>
      <c r="I721" s="13" t="n"/>
      <c r="J721" s="13" t="n"/>
      <c r="K721" s="13" t="n"/>
      <c r="L721" s="16">
        <f>IF($A721="","",1)</f>
        <v/>
      </c>
    </row>
    <row r="722">
      <c r="A722" s="13" t="n"/>
      <c r="B722" s="13" t="n"/>
      <c r="C722" s="68" t="n"/>
      <c r="D722" s="13" t="n"/>
      <c r="E722" s="13" t="n"/>
      <c r="F722" s="69" t="n"/>
      <c r="G722" s="69" t="n"/>
      <c r="H722" s="69" t="n"/>
      <c r="I722" s="13" t="n"/>
      <c r="J722" s="13" t="n"/>
      <c r="K722" s="13" t="n"/>
      <c r="L722" s="16">
        <f>IF($A722="","",1)</f>
        <v/>
      </c>
    </row>
    <row r="723">
      <c r="A723" s="13" t="n"/>
      <c r="B723" s="13" t="n"/>
      <c r="C723" s="68" t="n"/>
      <c r="D723" s="13" t="n"/>
      <c r="E723" s="13" t="n"/>
      <c r="F723" s="69" t="n"/>
      <c r="G723" s="69" t="n"/>
      <c r="H723" s="69" t="n"/>
      <c r="I723" s="13" t="n"/>
      <c r="J723" s="13" t="n"/>
      <c r="K723" s="13" t="n"/>
      <c r="L723" s="16">
        <f>IF($A723="","",1)</f>
        <v/>
      </c>
    </row>
    <row r="724">
      <c r="A724" s="13" t="n"/>
      <c r="B724" s="13" t="n"/>
      <c r="C724" s="68" t="n"/>
      <c r="D724" s="13" t="n"/>
      <c r="E724" s="13" t="n"/>
      <c r="F724" s="69" t="n"/>
      <c r="G724" s="69" t="n"/>
      <c r="H724" s="69" t="n"/>
      <c r="I724" s="13" t="n"/>
      <c r="J724" s="13" t="n"/>
      <c r="K724" s="13" t="n"/>
      <c r="L724" s="16">
        <f>IF($A724="","",1)</f>
        <v/>
      </c>
    </row>
    <row r="725">
      <c r="A725" s="13" t="n"/>
      <c r="B725" s="13" t="n"/>
      <c r="C725" s="68" t="n"/>
      <c r="D725" s="13" t="n"/>
      <c r="E725" s="13" t="n"/>
      <c r="F725" s="69" t="n"/>
      <c r="G725" s="69" t="n"/>
      <c r="H725" s="69" t="n"/>
      <c r="I725" s="13" t="n"/>
      <c r="J725" s="13" t="n"/>
      <c r="K725" s="13" t="n"/>
      <c r="L725" s="16">
        <f>IF($A725="","",1)</f>
        <v/>
      </c>
    </row>
    <row r="726">
      <c r="A726" s="13" t="n"/>
      <c r="B726" s="13" t="n"/>
      <c r="C726" s="68" t="n"/>
      <c r="D726" s="13" t="n"/>
      <c r="E726" s="13" t="n"/>
      <c r="F726" s="69" t="n"/>
      <c r="G726" s="69" t="n"/>
      <c r="H726" s="69" t="n"/>
      <c r="I726" s="13" t="n"/>
      <c r="J726" s="13" t="n"/>
      <c r="K726" s="13" t="n"/>
      <c r="L726" s="16">
        <f>IF($A726="","",1)</f>
        <v/>
      </c>
    </row>
    <row r="727">
      <c r="A727" s="13" t="n"/>
      <c r="B727" s="13" t="n"/>
      <c r="C727" s="68" t="n"/>
      <c r="D727" s="13" t="n"/>
      <c r="E727" s="13" t="n"/>
      <c r="F727" s="69" t="n"/>
      <c r="G727" s="69" t="n"/>
      <c r="H727" s="69" t="n"/>
      <c r="I727" s="13" t="n"/>
      <c r="J727" s="13" t="n"/>
      <c r="K727" s="13" t="n"/>
      <c r="L727" s="16">
        <f>IF($A727="","",1)</f>
        <v/>
      </c>
    </row>
    <row r="728">
      <c r="A728" s="13" t="n"/>
      <c r="B728" s="13" t="n"/>
      <c r="C728" s="68" t="n"/>
      <c r="D728" s="13" t="n"/>
      <c r="E728" s="13" t="n"/>
      <c r="F728" s="69" t="n"/>
      <c r="G728" s="69" t="n"/>
      <c r="H728" s="69" t="n"/>
      <c r="I728" s="13" t="n"/>
      <c r="J728" s="13" t="n"/>
      <c r="K728" s="13" t="n"/>
      <c r="L728" s="16">
        <f>IF($A728="","",1)</f>
        <v/>
      </c>
    </row>
    <row r="729">
      <c r="A729" s="13" t="n"/>
      <c r="B729" s="13" t="n"/>
      <c r="C729" s="68" t="n"/>
      <c r="D729" s="13" t="n"/>
      <c r="E729" s="13" t="n"/>
      <c r="F729" s="69" t="n"/>
      <c r="G729" s="69" t="n"/>
      <c r="H729" s="69" t="n"/>
      <c r="I729" s="13" t="n"/>
      <c r="J729" s="13" t="n"/>
      <c r="K729" s="13" t="n"/>
      <c r="L729" s="16">
        <f>IF($A729="","",1)</f>
        <v/>
      </c>
    </row>
    <row r="730">
      <c r="A730" s="13" t="n"/>
      <c r="B730" s="13" t="n"/>
      <c r="C730" s="68" t="n"/>
      <c r="D730" s="13" t="n"/>
      <c r="E730" s="13" t="n"/>
      <c r="F730" s="69" t="n"/>
      <c r="G730" s="69" t="n"/>
      <c r="H730" s="69" t="n"/>
      <c r="I730" s="13" t="n"/>
      <c r="J730" s="13" t="n"/>
      <c r="K730" s="13" t="n"/>
      <c r="L730" s="16">
        <f>IF($A730="","",1)</f>
        <v/>
      </c>
    </row>
    <row r="731">
      <c r="A731" s="13" t="n"/>
      <c r="B731" s="13" t="n"/>
      <c r="C731" s="68" t="n"/>
      <c r="D731" s="13" t="n"/>
      <c r="E731" s="13" t="n"/>
      <c r="F731" s="69" t="n"/>
      <c r="G731" s="69" t="n"/>
      <c r="H731" s="69" t="n"/>
      <c r="I731" s="13" t="n"/>
      <c r="J731" s="13" t="n"/>
      <c r="K731" s="13" t="n"/>
      <c r="L731" s="16">
        <f>IF($A731="","",1)</f>
        <v/>
      </c>
    </row>
    <row r="732">
      <c r="A732" s="13" t="n"/>
      <c r="B732" s="13" t="n"/>
      <c r="C732" s="68" t="n"/>
      <c r="D732" s="13" t="n"/>
      <c r="E732" s="13" t="n"/>
      <c r="F732" s="69" t="n"/>
      <c r="G732" s="69" t="n"/>
      <c r="H732" s="69" t="n"/>
      <c r="I732" s="13" t="n"/>
      <c r="J732" s="13" t="n"/>
      <c r="K732" s="13" t="n"/>
      <c r="L732" s="16">
        <f>IF($A732="","",1)</f>
        <v/>
      </c>
    </row>
    <row r="733">
      <c r="A733" s="13" t="n"/>
      <c r="B733" s="13" t="n"/>
      <c r="C733" s="68" t="n"/>
      <c r="D733" s="13" t="n"/>
      <c r="E733" s="13" t="n"/>
      <c r="F733" s="69" t="n"/>
      <c r="G733" s="69" t="n"/>
      <c r="H733" s="69" t="n"/>
      <c r="I733" s="13" t="n"/>
      <c r="J733" s="13" t="n"/>
      <c r="K733" s="13" t="n"/>
      <c r="L733" s="16">
        <f>IF($A733="","",1)</f>
        <v/>
      </c>
    </row>
    <row r="734">
      <c r="A734" s="13" t="n"/>
      <c r="B734" s="13" t="n"/>
      <c r="C734" s="68" t="n"/>
      <c r="D734" s="13" t="n"/>
      <c r="E734" s="13" t="n"/>
      <c r="F734" s="69" t="n"/>
      <c r="G734" s="69" t="n"/>
      <c r="H734" s="69" t="n"/>
      <c r="I734" s="13" t="n"/>
      <c r="J734" s="13" t="n"/>
      <c r="K734" s="13" t="n"/>
      <c r="L734" s="16">
        <f>IF($A734="","",1)</f>
        <v/>
      </c>
    </row>
    <row r="735">
      <c r="A735" s="13" t="n"/>
      <c r="B735" s="13" t="n"/>
      <c r="C735" s="68" t="n"/>
      <c r="D735" s="13" t="n"/>
      <c r="E735" s="13" t="n"/>
      <c r="F735" s="69" t="n"/>
      <c r="G735" s="69" t="n"/>
      <c r="H735" s="69" t="n"/>
      <c r="I735" s="13" t="n"/>
      <c r="J735" s="13" t="n"/>
      <c r="K735" s="13" t="n"/>
      <c r="L735" s="16">
        <f>IF($A735="","",1)</f>
        <v/>
      </c>
    </row>
    <row r="736">
      <c r="A736" s="13" t="n"/>
      <c r="B736" s="13" t="n"/>
      <c r="C736" s="68" t="n"/>
      <c r="D736" s="13" t="n"/>
      <c r="E736" s="13" t="n"/>
      <c r="F736" s="69" t="n"/>
      <c r="G736" s="69" t="n"/>
      <c r="H736" s="69" t="n"/>
      <c r="I736" s="13" t="n"/>
      <c r="J736" s="13" t="n"/>
      <c r="K736" s="13" t="n"/>
      <c r="L736" s="16">
        <f>IF($A736="","",1)</f>
        <v/>
      </c>
    </row>
    <row r="737">
      <c r="A737" s="13" t="n"/>
      <c r="B737" s="13" t="n"/>
      <c r="C737" s="68" t="n"/>
      <c r="D737" s="13" t="n"/>
      <c r="E737" s="13" t="n"/>
      <c r="F737" s="69" t="n"/>
      <c r="G737" s="69" t="n"/>
      <c r="H737" s="69" t="n"/>
      <c r="I737" s="13" t="n"/>
      <c r="J737" s="13" t="n"/>
      <c r="K737" s="13" t="n"/>
      <c r="L737" s="16">
        <f>IF($A737="","",1)</f>
        <v/>
      </c>
    </row>
    <row r="738">
      <c r="A738" s="13" t="n"/>
      <c r="B738" s="13" t="n"/>
      <c r="C738" s="68" t="n"/>
      <c r="D738" s="13" t="n"/>
      <c r="E738" s="13" t="n"/>
      <c r="F738" s="69" t="n"/>
      <c r="G738" s="69" t="n"/>
      <c r="H738" s="69" t="n"/>
      <c r="I738" s="13" t="n"/>
      <c r="J738" s="13" t="n"/>
      <c r="K738" s="13" t="n"/>
      <c r="L738" s="16">
        <f>IF($A738="","",1)</f>
        <v/>
      </c>
    </row>
    <row r="739">
      <c r="A739" s="13" t="n"/>
      <c r="B739" s="13" t="n"/>
      <c r="C739" s="68" t="n"/>
      <c r="D739" s="13" t="n"/>
      <c r="E739" s="13" t="n"/>
      <c r="F739" s="69" t="n"/>
      <c r="G739" s="69" t="n"/>
      <c r="H739" s="69" t="n"/>
      <c r="I739" s="13" t="n"/>
      <c r="J739" s="13" t="n"/>
      <c r="K739" s="13" t="n"/>
      <c r="L739" s="16">
        <f>IF($A739="","",1)</f>
        <v/>
      </c>
    </row>
    <row r="740">
      <c r="A740" s="13" t="n"/>
      <c r="B740" s="13" t="n"/>
      <c r="C740" s="68" t="n"/>
      <c r="D740" s="13" t="n"/>
      <c r="E740" s="13" t="n"/>
      <c r="F740" s="69" t="n"/>
      <c r="G740" s="69" t="n"/>
      <c r="H740" s="69" t="n"/>
      <c r="I740" s="13" t="n"/>
      <c r="J740" s="13" t="n"/>
      <c r="K740" s="13" t="n"/>
      <c r="L740" s="16">
        <f>IF($A740="","",1)</f>
        <v/>
      </c>
    </row>
    <row r="741">
      <c r="A741" s="13" t="n"/>
      <c r="B741" s="13" t="n"/>
      <c r="C741" s="68" t="n"/>
      <c r="D741" s="13" t="n"/>
      <c r="E741" s="13" t="n"/>
      <c r="F741" s="69" t="n"/>
      <c r="G741" s="69" t="n"/>
      <c r="H741" s="69" t="n"/>
      <c r="I741" s="13" t="n"/>
      <c r="J741" s="13" t="n"/>
      <c r="K741" s="13" t="n"/>
      <c r="L741" s="16">
        <f>IF($A741="","",1)</f>
        <v/>
      </c>
    </row>
    <row r="742">
      <c r="A742" s="13" t="n"/>
      <c r="B742" s="13" t="n"/>
      <c r="C742" s="68" t="n"/>
      <c r="D742" s="13" t="n"/>
      <c r="E742" s="13" t="n"/>
      <c r="F742" s="69" t="n"/>
      <c r="G742" s="69" t="n"/>
      <c r="H742" s="69" t="n"/>
      <c r="I742" s="13" t="n"/>
      <c r="J742" s="13" t="n"/>
      <c r="K742" s="13" t="n"/>
      <c r="L742" s="16">
        <f>IF($A742="","",1)</f>
        <v/>
      </c>
    </row>
    <row r="743">
      <c r="A743" s="13" t="n"/>
      <c r="B743" s="13" t="n"/>
      <c r="C743" s="68" t="n"/>
      <c r="D743" s="13" t="n"/>
      <c r="E743" s="13" t="n"/>
      <c r="F743" s="69" t="n"/>
      <c r="G743" s="69" t="n"/>
      <c r="H743" s="69" t="n"/>
      <c r="I743" s="13" t="n"/>
      <c r="J743" s="13" t="n"/>
      <c r="K743" s="13" t="n"/>
      <c r="L743" s="16">
        <f>IF($A743="","",1)</f>
        <v/>
      </c>
    </row>
    <row r="744">
      <c r="A744" s="13" t="n"/>
      <c r="B744" s="13" t="n"/>
      <c r="C744" s="68" t="n"/>
      <c r="D744" s="13" t="n"/>
      <c r="E744" s="13" t="n"/>
      <c r="F744" s="69" t="n"/>
      <c r="G744" s="69" t="n"/>
      <c r="H744" s="69" t="n"/>
      <c r="I744" s="13" t="n"/>
      <c r="J744" s="13" t="n"/>
      <c r="K744" s="13" t="n"/>
      <c r="L744" s="16">
        <f>IF($A744="","",1)</f>
        <v/>
      </c>
    </row>
    <row r="745">
      <c r="A745" s="13" t="n"/>
      <c r="B745" s="13" t="n"/>
      <c r="C745" s="68" t="n"/>
      <c r="D745" s="13" t="n"/>
      <c r="E745" s="13" t="n"/>
      <c r="F745" s="69" t="n"/>
      <c r="G745" s="69" t="n"/>
      <c r="H745" s="69" t="n"/>
      <c r="I745" s="13" t="n"/>
      <c r="J745" s="13" t="n"/>
      <c r="K745" s="13" t="n"/>
      <c r="L745" s="16">
        <f>IF($A745="","",1)</f>
        <v/>
      </c>
    </row>
    <row r="746">
      <c r="A746" s="13" t="n"/>
      <c r="B746" s="13" t="n"/>
      <c r="C746" s="68" t="n"/>
      <c r="D746" s="13" t="n"/>
      <c r="E746" s="13" t="n"/>
      <c r="F746" s="69" t="n"/>
      <c r="G746" s="69" t="n"/>
      <c r="H746" s="69" t="n"/>
      <c r="I746" s="13" t="n"/>
      <c r="J746" s="13" t="n"/>
      <c r="K746" s="13" t="n"/>
      <c r="L746" s="16">
        <f>IF($A746="","",1)</f>
        <v/>
      </c>
    </row>
    <row r="747">
      <c r="A747" s="13" t="n"/>
      <c r="B747" s="13" t="n"/>
      <c r="C747" s="68" t="n"/>
      <c r="D747" s="13" t="n"/>
      <c r="E747" s="13" t="n"/>
      <c r="F747" s="69" t="n"/>
      <c r="G747" s="69" t="n"/>
      <c r="H747" s="69" t="n"/>
      <c r="I747" s="13" t="n"/>
      <c r="J747" s="13" t="n"/>
      <c r="K747" s="13" t="n"/>
      <c r="L747" s="16">
        <f>IF($A747="","",1)</f>
        <v/>
      </c>
    </row>
    <row r="748">
      <c r="A748" s="13" t="n"/>
      <c r="B748" s="13" t="n"/>
      <c r="C748" s="68" t="n"/>
      <c r="D748" s="13" t="n"/>
      <c r="E748" s="13" t="n"/>
      <c r="F748" s="69" t="n"/>
      <c r="G748" s="69" t="n"/>
      <c r="H748" s="69" t="n"/>
      <c r="I748" s="13" t="n"/>
      <c r="J748" s="13" t="n"/>
      <c r="K748" s="13" t="n"/>
      <c r="L748" s="16">
        <f>IF($A748="","",1)</f>
        <v/>
      </c>
    </row>
    <row r="749">
      <c r="A749" s="13" t="n"/>
      <c r="B749" s="13" t="n"/>
      <c r="C749" s="68" t="n"/>
      <c r="D749" s="13" t="n"/>
      <c r="E749" s="13" t="n"/>
      <c r="F749" s="69" t="n"/>
      <c r="G749" s="69" t="n"/>
      <c r="H749" s="69" t="n"/>
      <c r="I749" s="13" t="n"/>
      <c r="J749" s="13" t="n"/>
      <c r="K749" s="13" t="n"/>
      <c r="L749" s="16">
        <f>IF($A749="","",1)</f>
        <v/>
      </c>
    </row>
    <row r="750">
      <c r="A750" s="13" t="n"/>
      <c r="B750" s="13" t="n"/>
      <c r="C750" s="68" t="n"/>
      <c r="D750" s="13" t="n"/>
      <c r="E750" s="13" t="n"/>
      <c r="F750" s="69" t="n"/>
      <c r="G750" s="69" t="n"/>
      <c r="H750" s="69" t="n"/>
      <c r="I750" s="13" t="n"/>
      <c r="J750" s="13" t="n"/>
      <c r="K750" s="13" t="n"/>
      <c r="L750" s="16">
        <f>IF($A750="","",1)</f>
        <v/>
      </c>
    </row>
    <row r="751">
      <c r="A751" s="13" t="n"/>
      <c r="B751" s="13" t="n"/>
      <c r="C751" s="68" t="n"/>
      <c r="D751" s="13" t="n"/>
      <c r="E751" s="13" t="n"/>
      <c r="F751" s="69" t="n"/>
      <c r="G751" s="69" t="n"/>
      <c r="H751" s="69" t="n"/>
      <c r="I751" s="13" t="n"/>
      <c r="J751" s="13" t="n"/>
      <c r="K751" s="13" t="n"/>
      <c r="L751" s="16">
        <f>IF($A751="","",1)</f>
        <v/>
      </c>
    </row>
    <row r="752">
      <c r="A752" s="13" t="n"/>
      <c r="B752" s="13" t="n"/>
      <c r="C752" s="68" t="n"/>
      <c r="D752" s="13" t="n"/>
      <c r="E752" s="13" t="n"/>
      <c r="F752" s="69" t="n"/>
      <c r="G752" s="69" t="n"/>
      <c r="H752" s="69" t="n"/>
      <c r="I752" s="13" t="n"/>
      <c r="J752" s="13" t="n"/>
      <c r="K752" s="13" t="n"/>
      <c r="L752" s="16">
        <f>IF($A752="","",1)</f>
        <v/>
      </c>
    </row>
    <row r="753">
      <c r="A753" s="13" t="n"/>
      <c r="B753" s="13" t="n"/>
      <c r="C753" s="68" t="n"/>
      <c r="D753" s="13" t="n"/>
      <c r="E753" s="13" t="n"/>
      <c r="F753" s="69" t="n"/>
      <c r="G753" s="69" t="n"/>
      <c r="H753" s="69" t="n"/>
      <c r="I753" s="13" t="n"/>
      <c r="J753" s="13" t="n"/>
      <c r="K753" s="13" t="n"/>
      <c r="L753" s="16">
        <f>IF($A753="","",1)</f>
        <v/>
      </c>
    </row>
    <row r="754">
      <c r="A754" s="13" t="n"/>
      <c r="B754" s="13" t="n"/>
      <c r="C754" s="68" t="n"/>
      <c r="D754" s="13" t="n"/>
      <c r="E754" s="13" t="n"/>
      <c r="F754" s="69" t="n"/>
      <c r="G754" s="69" t="n"/>
      <c r="H754" s="69" t="n"/>
      <c r="I754" s="13" t="n"/>
      <c r="J754" s="13" t="n"/>
      <c r="K754" s="13" t="n"/>
      <c r="L754" s="16">
        <f>IF($A754="","",1)</f>
        <v/>
      </c>
    </row>
    <row r="755">
      <c r="A755" s="13" t="n"/>
      <c r="B755" s="13" t="n"/>
      <c r="C755" s="68" t="n"/>
      <c r="D755" s="13" t="n"/>
      <c r="E755" s="13" t="n"/>
      <c r="F755" s="69" t="n"/>
      <c r="G755" s="69" t="n"/>
      <c r="H755" s="69" t="n"/>
      <c r="I755" s="13" t="n"/>
      <c r="J755" s="13" t="n"/>
      <c r="K755" s="13" t="n"/>
      <c r="L755" s="16">
        <f>IF($A755="","",1)</f>
        <v/>
      </c>
    </row>
    <row r="756">
      <c r="A756" s="13" t="n"/>
      <c r="B756" s="13" t="n"/>
      <c r="C756" s="68" t="n"/>
      <c r="D756" s="13" t="n"/>
      <c r="E756" s="13" t="n"/>
      <c r="F756" s="69" t="n"/>
      <c r="G756" s="69" t="n"/>
      <c r="H756" s="69" t="n"/>
      <c r="I756" s="13" t="n"/>
      <c r="J756" s="13" t="n"/>
      <c r="K756" s="13" t="n"/>
      <c r="L756" s="16">
        <f>IF($A756="","",1)</f>
        <v/>
      </c>
    </row>
    <row r="757">
      <c r="A757" s="13" t="n"/>
      <c r="B757" s="13" t="n"/>
      <c r="C757" s="68" t="n"/>
      <c r="D757" s="13" t="n"/>
      <c r="E757" s="13" t="n"/>
      <c r="F757" s="69" t="n"/>
      <c r="G757" s="69" t="n"/>
      <c r="H757" s="69" t="n"/>
      <c r="I757" s="13" t="n"/>
      <c r="J757" s="13" t="n"/>
      <c r="K757" s="13" t="n"/>
      <c r="L757" s="16">
        <f>IF($A757="","",1)</f>
        <v/>
      </c>
    </row>
    <row r="758">
      <c r="A758" s="13" t="n"/>
      <c r="B758" s="13" t="n"/>
      <c r="C758" s="68" t="n"/>
      <c r="D758" s="13" t="n"/>
      <c r="E758" s="13" t="n"/>
      <c r="F758" s="69" t="n"/>
      <c r="G758" s="69" t="n"/>
      <c r="H758" s="69" t="n"/>
      <c r="I758" s="13" t="n"/>
      <c r="J758" s="13" t="n"/>
      <c r="K758" s="13" t="n"/>
      <c r="L758" s="16">
        <f>IF($A758="","",1)</f>
        <v/>
      </c>
    </row>
    <row r="759">
      <c r="A759" s="13" t="n"/>
      <c r="B759" s="13" t="n"/>
      <c r="C759" s="68" t="n"/>
      <c r="D759" s="13" t="n"/>
      <c r="E759" s="13" t="n"/>
      <c r="F759" s="69" t="n"/>
      <c r="G759" s="69" t="n"/>
      <c r="H759" s="69" t="n"/>
      <c r="I759" s="13" t="n"/>
      <c r="J759" s="13" t="n"/>
      <c r="K759" s="13" t="n"/>
      <c r="L759" s="16">
        <f>IF($A759="","",1)</f>
        <v/>
      </c>
    </row>
    <row r="760">
      <c r="A760" s="13" t="n"/>
      <c r="B760" s="13" t="n"/>
      <c r="C760" s="68" t="n"/>
      <c r="D760" s="13" t="n"/>
      <c r="E760" s="13" t="n"/>
      <c r="F760" s="69" t="n"/>
      <c r="G760" s="69" t="n"/>
      <c r="H760" s="69" t="n"/>
      <c r="I760" s="13" t="n"/>
      <c r="J760" s="13" t="n"/>
      <c r="K760" s="13" t="n"/>
      <c r="L760" s="16">
        <f>IF($A760="","",1)</f>
        <v/>
      </c>
    </row>
    <row r="761">
      <c r="A761" s="13" t="n"/>
      <c r="B761" s="13" t="n"/>
      <c r="C761" s="68" t="n"/>
      <c r="D761" s="13" t="n"/>
      <c r="E761" s="13" t="n"/>
      <c r="F761" s="69" t="n"/>
      <c r="G761" s="69" t="n"/>
      <c r="H761" s="69" t="n"/>
      <c r="I761" s="13" t="n"/>
      <c r="J761" s="13" t="n"/>
      <c r="K761" s="13" t="n"/>
      <c r="L761" s="16">
        <f>IF($A761="","",1)</f>
        <v/>
      </c>
    </row>
    <row r="762">
      <c r="A762" s="13" t="n"/>
      <c r="B762" s="13" t="n"/>
      <c r="C762" s="68" t="n"/>
      <c r="D762" s="13" t="n"/>
      <c r="E762" s="13" t="n"/>
      <c r="F762" s="69" t="n"/>
      <c r="G762" s="69" t="n"/>
      <c r="H762" s="69" t="n"/>
      <c r="I762" s="13" t="n"/>
      <c r="J762" s="13" t="n"/>
      <c r="K762" s="13" t="n"/>
      <c r="L762" s="16">
        <f>IF($A762="","",1)</f>
        <v/>
      </c>
    </row>
    <row r="763">
      <c r="A763" s="13" t="n"/>
      <c r="B763" s="13" t="n"/>
      <c r="C763" s="68" t="n"/>
      <c r="D763" s="13" t="n"/>
      <c r="E763" s="13" t="n"/>
      <c r="F763" s="69" t="n"/>
      <c r="G763" s="69" t="n"/>
      <c r="H763" s="69" t="n"/>
      <c r="I763" s="13" t="n"/>
      <c r="J763" s="13" t="n"/>
      <c r="K763" s="13" t="n"/>
      <c r="L763" s="16">
        <f>IF($A763="","",1)</f>
        <v/>
      </c>
    </row>
    <row r="764">
      <c r="A764" s="13" t="n"/>
      <c r="B764" s="13" t="n"/>
      <c r="C764" s="68" t="n"/>
      <c r="D764" s="13" t="n"/>
      <c r="E764" s="13" t="n"/>
      <c r="F764" s="69" t="n"/>
      <c r="G764" s="69" t="n"/>
      <c r="H764" s="69" t="n"/>
      <c r="I764" s="13" t="n"/>
      <c r="J764" s="13" t="n"/>
      <c r="K764" s="13" t="n"/>
      <c r="L764" s="16">
        <f>IF($A764="","",1)</f>
        <v/>
      </c>
    </row>
    <row r="765">
      <c r="A765" s="13" t="n"/>
      <c r="B765" s="13" t="n"/>
      <c r="C765" s="68" t="n"/>
      <c r="D765" s="13" t="n"/>
      <c r="E765" s="13" t="n"/>
      <c r="F765" s="69" t="n"/>
      <c r="G765" s="69" t="n"/>
      <c r="H765" s="69" t="n"/>
      <c r="I765" s="13" t="n"/>
      <c r="J765" s="13" t="n"/>
      <c r="K765" s="13" t="n"/>
      <c r="L765" s="16">
        <f>IF($A765="","",1)</f>
        <v/>
      </c>
    </row>
    <row r="766">
      <c r="A766" s="13" t="n"/>
      <c r="B766" s="13" t="n"/>
      <c r="C766" s="68" t="n"/>
      <c r="D766" s="13" t="n"/>
      <c r="E766" s="13" t="n"/>
      <c r="F766" s="69" t="n"/>
      <c r="G766" s="69" t="n"/>
      <c r="H766" s="69" t="n"/>
      <c r="I766" s="13" t="n"/>
      <c r="J766" s="13" t="n"/>
      <c r="K766" s="13" t="n"/>
      <c r="L766" s="16">
        <f>IF($A766="","",1)</f>
        <v/>
      </c>
    </row>
    <row r="767">
      <c r="A767" s="13" t="n"/>
      <c r="B767" s="13" t="n"/>
      <c r="C767" s="68" t="n"/>
      <c r="D767" s="13" t="n"/>
      <c r="E767" s="13" t="n"/>
      <c r="F767" s="69" t="n"/>
      <c r="G767" s="69" t="n"/>
      <c r="H767" s="69" t="n"/>
      <c r="I767" s="13" t="n"/>
      <c r="J767" s="13" t="n"/>
      <c r="K767" s="13" t="n"/>
      <c r="L767" s="16">
        <f>IF($A767="","",1)</f>
        <v/>
      </c>
    </row>
    <row r="768">
      <c r="A768" s="13" t="n"/>
      <c r="B768" s="13" t="n"/>
      <c r="C768" s="68" t="n"/>
      <c r="D768" s="13" t="n"/>
      <c r="E768" s="13" t="n"/>
      <c r="F768" s="69" t="n"/>
      <c r="G768" s="69" t="n"/>
      <c r="H768" s="69" t="n"/>
      <c r="I768" s="13" t="n"/>
      <c r="J768" s="13" t="n"/>
      <c r="K768" s="13" t="n"/>
      <c r="L768" s="16">
        <f>IF($A768="","",1)</f>
        <v/>
      </c>
    </row>
    <row r="769">
      <c r="A769" s="13" t="n"/>
      <c r="B769" s="13" t="n"/>
      <c r="C769" s="68" t="n"/>
      <c r="D769" s="13" t="n"/>
      <c r="E769" s="13" t="n"/>
      <c r="F769" s="69" t="n"/>
      <c r="G769" s="69" t="n"/>
      <c r="H769" s="69" t="n"/>
      <c r="I769" s="13" t="n"/>
      <c r="J769" s="13" t="n"/>
      <c r="K769" s="13" t="n"/>
      <c r="L769" s="16">
        <f>IF($A769="","",1)</f>
        <v/>
      </c>
    </row>
    <row r="770">
      <c r="A770" s="13" t="n"/>
      <c r="B770" s="13" t="n"/>
      <c r="C770" s="68" t="n"/>
      <c r="D770" s="13" t="n"/>
      <c r="E770" s="13" t="n"/>
      <c r="F770" s="69" t="n"/>
      <c r="G770" s="69" t="n"/>
      <c r="H770" s="69" t="n"/>
      <c r="I770" s="13" t="n"/>
      <c r="J770" s="13" t="n"/>
      <c r="K770" s="13" t="n"/>
      <c r="L770" s="16">
        <f>IF($A770="","",1)</f>
        <v/>
      </c>
    </row>
    <row r="771">
      <c r="A771" s="13" t="n"/>
      <c r="B771" s="13" t="n"/>
      <c r="C771" s="68" t="n"/>
      <c r="D771" s="13" t="n"/>
      <c r="E771" s="13" t="n"/>
      <c r="F771" s="69" t="n"/>
      <c r="G771" s="69" t="n"/>
      <c r="H771" s="69" t="n"/>
      <c r="I771" s="13" t="n"/>
      <c r="J771" s="13" t="n"/>
      <c r="K771" s="13" t="n"/>
      <c r="L771" s="16">
        <f>IF($A771="","",1)</f>
        <v/>
      </c>
    </row>
    <row r="772">
      <c r="A772" s="13" t="n"/>
      <c r="B772" s="13" t="n"/>
      <c r="C772" s="68" t="n"/>
      <c r="D772" s="13" t="n"/>
      <c r="E772" s="13" t="n"/>
      <c r="F772" s="69" t="n"/>
      <c r="G772" s="69" t="n"/>
      <c r="H772" s="69" t="n"/>
      <c r="I772" s="13" t="n"/>
      <c r="J772" s="13" t="n"/>
      <c r="K772" s="13" t="n"/>
      <c r="L772" s="16">
        <f>IF($A772="","",1)</f>
        <v/>
      </c>
    </row>
    <row r="773">
      <c r="A773" s="13" t="n"/>
      <c r="B773" s="13" t="n"/>
      <c r="C773" s="68" t="n"/>
      <c r="D773" s="13" t="n"/>
      <c r="E773" s="13" t="n"/>
      <c r="F773" s="69" t="n"/>
      <c r="G773" s="69" t="n"/>
      <c r="H773" s="69" t="n"/>
      <c r="I773" s="13" t="n"/>
      <c r="J773" s="13" t="n"/>
      <c r="K773" s="13" t="n"/>
      <c r="L773" s="16">
        <f>IF($A773="","",1)</f>
        <v/>
      </c>
    </row>
    <row r="774">
      <c r="A774" s="13" t="n"/>
      <c r="B774" s="13" t="n"/>
      <c r="C774" s="68" t="n"/>
      <c r="D774" s="13" t="n"/>
      <c r="E774" s="13" t="n"/>
      <c r="F774" s="69" t="n"/>
      <c r="G774" s="69" t="n"/>
      <c r="H774" s="69" t="n"/>
      <c r="I774" s="13" t="n"/>
      <c r="J774" s="13" t="n"/>
      <c r="K774" s="13" t="n"/>
      <c r="L774" s="16">
        <f>IF($A774="","",1)</f>
        <v/>
      </c>
    </row>
    <row r="775">
      <c r="A775" s="13" t="n"/>
      <c r="B775" s="13" t="n"/>
      <c r="C775" s="68" t="n"/>
      <c r="D775" s="13" t="n"/>
      <c r="E775" s="13" t="n"/>
      <c r="F775" s="69" t="n"/>
      <c r="G775" s="69" t="n"/>
      <c r="H775" s="69" t="n"/>
      <c r="I775" s="13" t="n"/>
      <c r="J775" s="13" t="n"/>
      <c r="K775" s="13" t="n"/>
      <c r="L775" s="16">
        <f>IF($A775="","",1)</f>
        <v/>
      </c>
    </row>
    <row r="776">
      <c r="A776" s="13" t="n"/>
      <c r="B776" s="13" t="n"/>
      <c r="C776" s="68" t="n"/>
      <c r="D776" s="13" t="n"/>
      <c r="E776" s="13" t="n"/>
      <c r="F776" s="69" t="n"/>
      <c r="G776" s="69" t="n"/>
      <c r="H776" s="69" t="n"/>
      <c r="I776" s="13" t="n"/>
      <c r="J776" s="13" t="n"/>
      <c r="K776" s="13" t="n"/>
      <c r="L776" s="16">
        <f>IF($A776="","",1)</f>
        <v/>
      </c>
    </row>
    <row r="777">
      <c r="A777" s="13" t="n"/>
      <c r="B777" s="13" t="n"/>
      <c r="C777" s="68" t="n"/>
      <c r="D777" s="13" t="n"/>
      <c r="E777" s="13" t="n"/>
      <c r="F777" s="69" t="n"/>
      <c r="G777" s="69" t="n"/>
      <c r="H777" s="69" t="n"/>
      <c r="I777" s="13" t="n"/>
      <c r="J777" s="13" t="n"/>
      <c r="K777" s="13" t="n"/>
      <c r="L777" s="16">
        <f>IF($A777="","",1)</f>
        <v/>
      </c>
    </row>
    <row r="778">
      <c r="A778" s="13" t="n"/>
      <c r="B778" s="13" t="n"/>
      <c r="C778" s="68" t="n"/>
      <c r="D778" s="13" t="n"/>
      <c r="E778" s="13" t="n"/>
      <c r="F778" s="69" t="n"/>
      <c r="G778" s="69" t="n"/>
      <c r="H778" s="69" t="n"/>
      <c r="I778" s="13" t="n"/>
      <c r="J778" s="13" t="n"/>
      <c r="K778" s="13" t="n"/>
      <c r="L778" s="16">
        <f>IF($A778="","",1)</f>
        <v/>
      </c>
    </row>
    <row r="779">
      <c r="A779" s="13" t="n"/>
      <c r="B779" s="13" t="n"/>
      <c r="C779" s="68" t="n"/>
      <c r="D779" s="13" t="n"/>
      <c r="E779" s="13" t="n"/>
      <c r="F779" s="69" t="n"/>
      <c r="G779" s="69" t="n"/>
      <c r="H779" s="69" t="n"/>
      <c r="I779" s="13" t="n"/>
      <c r="J779" s="13" t="n"/>
      <c r="K779" s="13" t="n"/>
      <c r="L779" s="16">
        <f>IF($A779="","",1)</f>
        <v/>
      </c>
    </row>
    <row r="780">
      <c r="A780" s="13" t="n"/>
      <c r="B780" s="13" t="n"/>
      <c r="C780" s="68" t="n"/>
      <c r="D780" s="13" t="n"/>
      <c r="E780" s="13" t="n"/>
      <c r="F780" s="69" t="n"/>
      <c r="G780" s="69" t="n"/>
      <c r="H780" s="69" t="n"/>
      <c r="I780" s="13" t="n"/>
      <c r="J780" s="13" t="n"/>
      <c r="K780" s="13" t="n"/>
      <c r="L780" s="16">
        <f>IF($A780="","",1)</f>
        <v/>
      </c>
    </row>
    <row r="781">
      <c r="A781" s="13" t="n"/>
      <c r="B781" s="13" t="n"/>
      <c r="C781" s="68" t="n"/>
      <c r="D781" s="13" t="n"/>
      <c r="E781" s="13" t="n"/>
      <c r="F781" s="69" t="n"/>
      <c r="G781" s="69" t="n"/>
      <c r="H781" s="69" t="n"/>
      <c r="I781" s="13" t="n"/>
      <c r="J781" s="13" t="n"/>
      <c r="K781" s="13" t="n"/>
      <c r="L781" s="16">
        <f>IF($A781="","",1)</f>
        <v/>
      </c>
    </row>
    <row r="782">
      <c r="A782" s="13" t="n"/>
      <c r="B782" s="13" t="n"/>
      <c r="C782" s="68" t="n"/>
      <c r="D782" s="13" t="n"/>
      <c r="E782" s="13" t="n"/>
      <c r="F782" s="69" t="n"/>
      <c r="G782" s="69" t="n"/>
      <c r="H782" s="69" t="n"/>
      <c r="I782" s="13" t="n"/>
      <c r="J782" s="13" t="n"/>
      <c r="K782" s="13" t="n"/>
      <c r="L782" s="16">
        <f>IF($A782="","",1)</f>
        <v/>
      </c>
    </row>
    <row r="783">
      <c r="A783" s="13" t="n"/>
      <c r="B783" s="13" t="n"/>
      <c r="C783" s="68" t="n"/>
      <c r="D783" s="13" t="n"/>
      <c r="E783" s="13" t="n"/>
      <c r="F783" s="69" t="n"/>
      <c r="G783" s="69" t="n"/>
      <c r="H783" s="69" t="n"/>
      <c r="I783" s="13" t="n"/>
      <c r="J783" s="13" t="n"/>
      <c r="K783" s="13" t="n"/>
      <c r="L783" s="16">
        <f>IF($A783="","",1)</f>
        <v/>
      </c>
    </row>
    <row r="784">
      <c r="A784" s="13" t="n"/>
      <c r="B784" s="13" t="n"/>
      <c r="C784" s="68" t="n"/>
      <c r="D784" s="13" t="n"/>
      <c r="E784" s="13" t="n"/>
      <c r="F784" s="69" t="n"/>
      <c r="G784" s="69" t="n"/>
      <c r="H784" s="69" t="n"/>
      <c r="I784" s="13" t="n"/>
      <c r="J784" s="13" t="n"/>
      <c r="K784" s="13" t="n"/>
      <c r="L784" s="16">
        <f>IF($A784="","",1)</f>
        <v/>
      </c>
    </row>
    <row r="785">
      <c r="A785" s="13" t="n"/>
      <c r="B785" s="13" t="n"/>
      <c r="C785" s="68" t="n"/>
      <c r="D785" s="13" t="n"/>
      <c r="E785" s="13" t="n"/>
      <c r="F785" s="69" t="n"/>
      <c r="G785" s="69" t="n"/>
      <c r="H785" s="69" t="n"/>
      <c r="I785" s="13" t="n"/>
      <c r="J785" s="13" t="n"/>
      <c r="K785" s="13" t="n"/>
      <c r="L785" s="16">
        <f>IF($A785="","",1)</f>
        <v/>
      </c>
    </row>
    <row r="786">
      <c r="A786" s="13" t="n"/>
      <c r="B786" s="13" t="n"/>
      <c r="C786" s="68" t="n"/>
      <c r="D786" s="13" t="n"/>
      <c r="E786" s="13" t="n"/>
      <c r="F786" s="69" t="n"/>
      <c r="G786" s="69" t="n"/>
      <c r="H786" s="69" t="n"/>
      <c r="I786" s="13" t="n"/>
      <c r="J786" s="13" t="n"/>
      <c r="K786" s="13" t="n"/>
      <c r="L786" s="16">
        <f>IF($A786="","",1)</f>
        <v/>
      </c>
    </row>
    <row r="787">
      <c r="A787" s="13" t="n"/>
      <c r="B787" s="13" t="n"/>
      <c r="C787" s="68" t="n"/>
      <c r="D787" s="13" t="n"/>
      <c r="E787" s="13" t="n"/>
      <c r="F787" s="69" t="n"/>
      <c r="G787" s="69" t="n"/>
      <c r="H787" s="69" t="n"/>
      <c r="I787" s="13" t="n"/>
      <c r="J787" s="13" t="n"/>
      <c r="K787" s="13" t="n"/>
      <c r="L787" s="16">
        <f>IF($A787="","",1)</f>
        <v/>
      </c>
    </row>
    <row r="788">
      <c r="A788" s="13" t="n"/>
      <c r="B788" s="13" t="n"/>
      <c r="C788" s="68" t="n"/>
      <c r="D788" s="13" t="n"/>
      <c r="E788" s="13" t="n"/>
      <c r="F788" s="69" t="n"/>
      <c r="G788" s="69" t="n"/>
      <c r="H788" s="69" t="n"/>
      <c r="I788" s="13" t="n"/>
      <c r="J788" s="13" t="n"/>
      <c r="K788" s="13" t="n"/>
      <c r="L788" s="16">
        <f>IF($A788="","",1)</f>
        <v/>
      </c>
    </row>
    <row r="789">
      <c r="A789" s="13" t="n"/>
      <c r="B789" s="13" t="n"/>
      <c r="C789" s="68" t="n"/>
      <c r="D789" s="13" t="n"/>
      <c r="E789" s="13" t="n"/>
      <c r="F789" s="69" t="n"/>
      <c r="G789" s="69" t="n"/>
      <c r="H789" s="69" t="n"/>
      <c r="I789" s="13" t="n"/>
      <c r="J789" s="13" t="n"/>
      <c r="K789" s="13" t="n"/>
      <c r="L789" s="16">
        <f>IF($A789="","",1)</f>
        <v/>
      </c>
    </row>
    <row r="790">
      <c r="A790" s="13" t="n"/>
      <c r="B790" s="13" t="n"/>
      <c r="C790" s="68" t="n"/>
      <c r="D790" s="13" t="n"/>
      <c r="E790" s="13" t="n"/>
      <c r="F790" s="69" t="n"/>
      <c r="G790" s="69" t="n"/>
      <c r="H790" s="69" t="n"/>
      <c r="I790" s="13" t="n"/>
      <c r="J790" s="13" t="n"/>
      <c r="K790" s="13" t="n"/>
      <c r="L790" s="16">
        <f>IF($A790="","",1)</f>
        <v/>
      </c>
    </row>
    <row r="791">
      <c r="A791" s="13" t="n"/>
      <c r="B791" s="13" t="n"/>
      <c r="C791" s="68" t="n"/>
      <c r="D791" s="13" t="n"/>
      <c r="E791" s="13" t="n"/>
      <c r="F791" s="69" t="n"/>
      <c r="G791" s="69" t="n"/>
      <c r="H791" s="69" t="n"/>
      <c r="I791" s="13" t="n"/>
      <c r="J791" s="13" t="n"/>
      <c r="K791" s="13" t="n"/>
      <c r="L791" s="16">
        <f>IF($A791="","",1)</f>
        <v/>
      </c>
    </row>
    <row r="792">
      <c r="A792" s="13" t="n"/>
      <c r="B792" s="13" t="n"/>
      <c r="C792" s="68" t="n"/>
      <c r="D792" s="13" t="n"/>
      <c r="E792" s="13" t="n"/>
      <c r="F792" s="69" t="n"/>
      <c r="G792" s="69" t="n"/>
      <c r="H792" s="69" t="n"/>
      <c r="I792" s="13" t="n"/>
      <c r="J792" s="13" t="n"/>
      <c r="K792" s="13" t="n"/>
      <c r="L792" s="16">
        <f>IF($A792="","",1)</f>
        <v/>
      </c>
    </row>
    <row r="793">
      <c r="A793" s="13" t="n"/>
      <c r="B793" s="13" t="n"/>
      <c r="C793" s="68" t="n"/>
      <c r="D793" s="13" t="n"/>
      <c r="E793" s="13" t="n"/>
      <c r="F793" s="69" t="n"/>
      <c r="G793" s="69" t="n"/>
      <c r="H793" s="69" t="n"/>
      <c r="I793" s="13" t="n"/>
      <c r="J793" s="13" t="n"/>
      <c r="K793" s="13" t="n"/>
      <c r="L793" s="16">
        <f>IF($A793="","",1)</f>
        <v/>
      </c>
    </row>
    <row r="794">
      <c r="A794" s="13" t="n"/>
      <c r="B794" s="13" t="n"/>
      <c r="C794" s="68" t="n"/>
      <c r="D794" s="13" t="n"/>
      <c r="E794" s="13" t="n"/>
      <c r="F794" s="69" t="n"/>
      <c r="G794" s="69" t="n"/>
      <c r="H794" s="69" t="n"/>
      <c r="I794" s="13" t="n"/>
      <c r="J794" s="13" t="n"/>
      <c r="K794" s="13" t="n"/>
      <c r="L794" s="16">
        <f>IF($A794="","",1)</f>
        <v/>
      </c>
    </row>
    <row r="795">
      <c r="A795" s="13" t="n"/>
      <c r="B795" s="13" t="n"/>
      <c r="C795" s="68" t="n"/>
      <c r="D795" s="13" t="n"/>
      <c r="E795" s="13" t="n"/>
      <c r="F795" s="69" t="n"/>
      <c r="G795" s="69" t="n"/>
      <c r="H795" s="69" t="n"/>
      <c r="I795" s="13" t="n"/>
      <c r="J795" s="13" t="n"/>
      <c r="K795" s="13" t="n"/>
      <c r="L795" s="16">
        <f>IF($A795="","",1)</f>
        <v/>
      </c>
    </row>
    <row r="796">
      <c r="A796" s="13" t="n"/>
      <c r="B796" s="13" t="n"/>
      <c r="C796" s="68" t="n"/>
      <c r="D796" s="13" t="n"/>
      <c r="E796" s="13" t="n"/>
      <c r="F796" s="69" t="n"/>
      <c r="G796" s="69" t="n"/>
      <c r="H796" s="69" t="n"/>
      <c r="I796" s="13" t="n"/>
      <c r="J796" s="13" t="n"/>
      <c r="K796" s="13" t="n"/>
      <c r="L796" s="16">
        <f>IF($A796="","",1)</f>
        <v/>
      </c>
    </row>
    <row r="797">
      <c r="A797" s="13" t="n"/>
      <c r="B797" s="13" t="n"/>
      <c r="C797" s="68" t="n"/>
      <c r="D797" s="13" t="n"/>
      <c r="E797" s="13" t="n"/>
      <c r="F797" s="69" t="n"/>
      <c r="G797" s="69" t="n"/>
      <c r="H797" s="69" t="n"/>
      <c r="I797" s="13" t="n"/>
      <c r="J797" s="13" t="n"/>
      <c r="K797" s="13" t="n"/>
      <c r="L797" s="16">
        <f>IF($A797="","",1)</f>
        <v/>
      </c>
    </row>
    <row r="798">
      <c r="A798" s="13" t="n"/>
      <c r="B798" s="13" t="n"/>
      <c r="C798" s="68" t="n"/>
      <c r="D798" s="13" t="n"/>
      <c r="E798" s="13" t="n"/>
      <c r="F798" s="69" t="n"/>
      <c r="G798" s="69" t="n"/>
      <c r="H798" s="69" t="n"/>
      <c r="I798" s="13" t="n"/>
      <c r="J798" s="13" t="n"/>
      <c r="K798" s="13" t="n"/>
      <c r="L798" s="16">
        <f>IF($A798="","",1)</f>
        <v/>
      </c>
    </row>
    <row r="799">
      <c r="A799" s="13" t="n"/>
      <c r="B799" s="13" t="n"/>
      <c r="C799" s="68" t="n"/>
      <c r="D799" s="13" t="n"/>
      <c r="E799" s="13" t="n"/>
      <c r="F799" s="69" t="n"/>
      <c r="G799" s="69" t="n"/>
      <c r="H799" s="69" t="n"/>
      <c r="I799" s="13" t="n"/>
      <c r="J799" s="13" t="n"/>
      <c r="K799" s="13" t="n"/>
      <c r="L799" s="16">
        <f>IF($A799="","",1)</f>
        <v/>
      </c>
    </row>
    <row r="800">
      <c r="A800" s="13" t="n"/>
      <c r="B800" s="13" t="n"/>
      <c r="C800" s="68" t="n"/>
      <c r="D800" s="13" t="n"/>
      <c r="E800" s="13" t="n"/>
      <c r="F800" s="69" t="n"/>
      <c r="G800" s="69" t="n"/>
      <c r="H800" s="69" t="n"/>
      <c r="I800" s="13" t="n"/>
      <c r="J800" s="13" t="n"/>
      <c r="K800" s="13" t="n"/>
      <c r="L800" s="16">
        <f>IF($A800="","",1)</f>
        <v/>
      </c>
    </row>
    <row r="801">
      <c r="A801" s="13" t="n"/>
      <c r="B801" s="13" t="n"/>
      <c r="C801" s="68" t="n"/>
      <c r="D801" s="13" t="n"/>
      <c r="E801" s="13" t="n"/>
      <c r="F801" s="69" t="n"/>
      <c r="G801" s="69" t="n"/>
      <c r="H801" s="69" t="n"/>
      <c r="I801" s="13" t="n"/>
      <c r="J801" s="13" t="n"/>
      <c r="K801" s="13" t="n"/>
      <c r="L801" s="16">
        <f>IF($A801="","",1)</f>
        <v/>
      </c>
    </row>
    <row r="802">
      <c r="A802" s="13" t="n"/>
      <c r="B802" s="13" t="n"/>
      <c r="C802" s="68" t="n"/>
      <c r="D802" s="13" t="n"/>
      <c r="E802" s="13" t="n"/>
      <c r="F802" s="69" t="n"/>
      <c r="G802" s="69" t="n"/>
      <c r="H802" s="69" t="n"/>
      <c r="I802" s="13" t="n"/>
      <c r="J802" s="13" t="n"/>
      <c r="K802" s="13" t="n"/>
      <c r="L802" s="16">
        <f>IF($A802="","",1)</f>
        <v/>
      </c>
    </row>
    <row r="803">
      <c r="A803" s="13" t="n"/>
      <c r="B803" s="13" t="n"/>
      <c r="C803" s="68" t="n"/>
      <c r="D803" s="13" t="n"/>
      <c r="E803" s="13" t="n"/>
      <c r="F803" s="69" t="n"/>
      <c r="G803" s="69" t="n"/>
      <c r="H803" s="69" t="n"/>
      <c r="I803" s="13" t="n"/>
      <c r="J803" s="13" t="n"/>
      <c r="K803" s="13" t="n"/>
      <c r="L803" s="16">
        <f>IF($A803="","",1)</f>
        <v/>
      </c>
    </row>
    <row r="804">
      <c r="A804" s="13" t="n"/>
      <c r="B804" s="13" t="n"/>
      <c r="C804" s="68" t="n"/>
      <c r="D804" s="13" t="n"/>
      <c r="E804" s="13" t="n"/>
      <c r="F804" s="69" t="n"/>
      <c r="G804" s="69" t="n"/>
      <c r="H804" s="69" t="n"/>
      <c r="I804" s="13" t="n"/>
      <c r="J804" s="13" t="n"/>
      <c r="K804" s="13" t="n"/>
      <c r="L804" s="16">
        <f>IF($A804="","",1)</f>
        <v/>
      </c>
    </row>
    <row r="805">
      <c r="A805" s="13" t="n"/>
      <c r="B805" s="13" t="n"/>
      <c r="C805" s="68" t="n"/>
      <c r="D805" s="13" t="n"/>
      <c r="E805" s="13" t="n"/>
      <c r="F805" s="69" t="n"/>
      <c r="G805" s="69" t="n"/>
      <c r="H805" s="69" t="n"/>
      <c r="I805" s="13" t="n"/>
      <c r="J805" s="13" t="n"/>
      <c r="K805" s="13" t="n"/>
      <c r="L805" s="16">
        <f>IF($A805="","",1)</f>
        <v/>
      </c>
    </row>
    <row r="806">
      <c r="A806" s="13" t="n"/>
      <c r="B806" s="13" t="n"/>
      <c r="C806" s="68" t="n"/>
      <c r="D806" s="13" t="n"/>
      <c r="E806" s="13" t="n"/>
      <c r="F806" s="69" t="n"/>
      <c r="G806" s="69" t="n"/>
      <c r="H806" s="69" t="n"/>
      <c r="I806" s="13" t="n"/>
      <c r="J806" s="13" t="n"/>
      <c r="K806" s="13" t="n"/>
      <c r="L806" s="16">
        <f>IF($A806="","",1)</f>
        <v/>
      </c>
    </row>
    <row r="807">
      <c r="A807" s="13" t="n"/>
      <c r="B807" s="13" t="n"/>
      <c r="C807" s="68" t="n"/>
      <c r="D807" s="13" t="n"/>
      <c r="E807" s="13" t="n"/>
      <c r="F807" s="69" t="n"/>
      <c r="G807" s="69" t="n"/>
      <c r="H807" s="69" t="n"/>
      <c r="I807" s="13" t="n"/>
      <c r="J807" s="13" t="n"/>
      <c r="K807" s="13" t="n"/>
      <c r="L807" s="16">
        <f>IF($A807="","",1)</f>
        <v/>
      </c>
    </row>
    <row r="808">
      <c r="A808" s="13" t="n"/>
      <c r="B808" s="13" t="n"/>
      <c r="C808" s="68" t="n"/>
      <c r="D808" s="13" t="n"/>
      <c r="E808" s="13" t="n"/>
      <c r="F808" s="69" t="n"/>
      <c r="G808" s="69" t="n"/>
      <c r="H808" s="69" t="n"/>
      <c r="I808" s="13" t="n"/>
      <c r="J808" s="13" t="n"/>
      <c r="K808" s="13" t="n"/>
      <c r="L808" s="16">
        <f>IF($A808="","",1)</f>
        <v/>
      </c>
    </row>
    <row r="809">
      <c r="A809" s="13" t="n"/>
      <c r="B809" s="13" t="n"/>
      <c r="C809" s="68" t="n"/>
      <c r="D809" s="13" t="n"/>
      <c r="E809" s="13" t="n"/>
      <c r="F809" s="69" t="n"/>
      <c r="G809" s="69" t="n"/>
      <c r="H809" s="69" t="n"/>
      <c r="I809" s="13" t="n"/>
      <c r="J809" s="13" t="n"/>
      <c r="K809" s="13" t="n"/>
      <c r="L809" s="16">
        <f>IF($A809="","",1)</f>
        <v/>
      </c>
    </row>
    <row r="810">
      <c r="A810" s="13" t="n"/>
      <c r="B810" s="13" t="n"/>
      <c r="C810" s="68" t="n"/>
      <c r="D810" s="13" t="n"/>
      <c r="E810" s="13" t="n"/>
      <c r="F810" s="69" t="n"/>
      <c r="G810" s="69" t="n"/>
      <c r="H810" s="69" t="n"/>
      <c r="I810" s="13" t="n"/>
      <c r="J810" s="13" t="n"/>
      <c r="K810" s="13" t="n"/>
      <c r="L810" s="16">
        <f>IF($A810="","",1)</f>
        <v/>
      </c>
    </row>
    <row r="811">
      <c r="A811" s="13" t="n"/>
      <c r="B811" s="13" t="n"/>
      <c r="C811" s="68" t="n"/>
      <c r="D811" s="13" t="n"/>
      <c r="E811" s="13" t="n"/>
      <c r="F811" s="69" t="n"/>
      <c r="G811" s="69" t="n"/>
      <c r="H811" s="69" t="n"/>
      <c r="I811" s="13" t="n"/>
      <c r="J811" s="13" t="n"/>
      <c r="K811" s="13" t="n"/>
      <c r="L811" s="16">
        <f>IF($A811="","",1)</f>
        <v/>
      </c>
    </row>
    <row r="812">
      <c r="A812" s="13" t="n"/>
      <c r="B812" s="13" t="n"/>
      <c r="C812" s="68" t="n"/>
      <c r="D812" s="13" t="n"/>
      <c r="E812" s="13" t="n"/>
      <c r="F812" s="69" t="n"/>
      <c r="G812" s="69" t="n"/>
      <c r="H812" s="69" t="n"/>
      <c r="I812" s="13" t="n"/>
      <c r="J812" s="13" t="n"/>
      <c r="K812" s="13" t="n"/>
      <c r="L812" s="16">
        <f>IF($A812="","",1)</f>
        <v/>
      </c>
    </row>
    <row r="813">
      <c r="A813" s="13" t="n"/>
      <c r="B813" s="13" t="n"/>
      <c r="C813" s="68" t="n"/>
      <c r="D813" s="13" t="n"/>
      <c r="E813" s="13" t="n"/>
      <c r="F813" s="69" t="n"/>
      <c r="G813" s="69" t="n"/>
      <c r="H813" s="69" t="n"/>
      <c r="I813" s="13" t="n"/>
      <c r="J813" s="13" t="n"/>
      <c r="K813" s="13" t="n"/>
      <c r="L813" s="16">
        <f>IF($A813="","",1)</f>
        <v/>
      </c>
    </row>
    <row r="814">
      <c r="A814" s="13" t="n"/>
      <c r="B814" s="13" t="n"/>
      <c r="C814" s="68" t="n"/>
      <c r="D814" s="13" t="n"/>
      <c r="E814" s="13" t="n"/>
      <c r="F814" s="69" t="n"/>
      <c r="G814" s="69" t="n"/>
      <c r="H814" s="69" t="n"/>
      <c r="I814" s="13" t="n"/>
      <c r="J814" s="13" t="n"/>
      <c r="K814" s="13" t="n"/>
      <c r="L814" s="16">
        <f>IF($A814="","",1)</f>
        <v/>
      </c>
    </row>
    <row r="815">
      <c r="A815" s="13" t="n"/>
      <c r="B815" s="13" t="n"/>
      <c r="C815" s="68" t="n"/>
      <c r="D815" s="13" t="n"/>
      <c r="E815" s="13" t="n"/>
      <c r="F815" s="69" t="n"/>
      <c r="G815" s="69" t="n"/>
      <c r="H815" s="69" t="n"/>
      <c r="I815" s="13" t="n"/>
      <c r="J815" s="13" t="n"/>
      <c r="K815" s="13" t="n"/>
      <c r="L815" s="16">
        <f>IF($A815="","",1)</f>
        <v/>
      </c>
    </row>
    <row r="816">
      <c r="A816" s="13" t="n"/>
      <c r="B816" s="13" t="n"/>
      <c r="C816" s="68" t="n"/>
      <c r="D816" s="13" t="n"/>
      <c r="E816" s="13" t="n"/>
      <c r="F816" s="69" t="n"/>
      <c r="G816" s="69" t="n"/>
      <c r="H816" s="69" t="n"/>
      <c r="I816" s="13" t="n"/>
      <c r="J816" s="13" t="n"/>
      <c r="K816" s="13" t="n"/>
      <c r="L816" s="16">
        <f>IF($A816="","",1)</f>
        <v/>
      </c>
    </row>
    <row r="817">
      <c r="A817" s="13" t="n"/>
      <c r="B817" s="13" t="n"/>
      <c r="C817" s="68" t="n"/>
      <c r="D817" s="13" t="n"/>
      <c r="E817" s="13" t="n"/>
      <c r="F817" s="69" t="n"/>
      <c r="G817" s="69" t="n"/>
      <c r="H817" s="69" t="n"/>
      <c r="I817" s="13" t="n"/>
      <c r="J817" s="13" t="n"/>
      <c r="K817" s="13" t="n"/>
      <c r="L817" s="16">
        <f>IF($A817="","",1)</f>
        <v/>
      </c>
    </row>
    <row r="818">
      <c r="A818" s="13" t="n"/>
      <c r="B818" s="13" t="n"/>
      <c r="C818" s="68" t="n"/>
      <c r="D818" s="13" t="n"/>
      <c r="E818" s="13" t="n"/>
      <c r="F818" s="69" t="n"/>
      <c r="G818" s="69" t="n"/>
      <c r="H818" s="69" t="n"/>
      <c r="I818" s="13" t="n"/>
      <c r="J818" s="13" t="n"/>
      <c r="K818" s="13" t="n"/>
      <c r="L818" s="16">
        <f>IF($A818="","",1)</f>
        <v/>
      </c>
    </row>
    <row r="819">
      <c r="A819" s="13" t="n"/>
      <c r="B819" s="13" t="n"/>
      <c r="C819" s="68" t="n"/>
      <c r="D819" s="13" t="n"/>
      <c r="E819" s="13" t="n"/>
      <c r="F819" s="69" t="n"/>
      <c r="G819" s="69" t="n"/>
      <c r="H819" s="69" t="n"/>
      <c r="I819" s="13" t="n"/>
      <c r="J819" s="13" t="n"/>
      <c r="K819" s="13" t="n"/>
      <c r="L819" s="16">
        <f>IF($A819="","",1)</f>
        <v/>
      </c>
    </row>
    <row r="820">
      <c r="A820" s="13" t="n"/>
      <c r="B820" s="13" t="n"/>
      <c r="C820" s="68" t="n"/>
      <c r="D820" s="13" t="n"/>
      <c r="E820" s="13" t="n"/>
      <c r="F820" s="69" t="n"/>
      <c r="G820" s="69" t="n"/>
      <c r="H820" s="69" t="n"/>
      <c r="I820" s="13" t="n"/>
      <c r="J820" s="13" t="n"/>
      <c r="K820" s="13" t="n"/>
      <c r="L820" s="16">
        <f>IF($A820="","",1)</f>
        <v/>
      </c>
    </row>
    <row r="821">
      <c r="A821" s="13" t="n"/>
      <c r="B821" s="13" t="n"/>
      <c r="C821" s="68" t="n"/>
      <c r="D821" s="13" t="n"/>
      <c r="E821" s="13" t="n"/>
      <c r="F821" s="69" t="n"/>
      <c r="G821" s="69" t="n"/>
      <c r="H821" s="69" t="n"/>
      <c r="I821" s="13" t="n"/>
      <c r="J821" s="13" t="n"/>
      <c r="K821" s="13" t="n"/>
      <c r="L821" s="16">
        <f>IF($A821="","",1)</f>
        <v/>
      </c>
    </row>
    <row r="822">
      <c r="A822" s="13" t="n"/>
      <c r="B822" s="13" t="n"/>
      <c r="C822" s="68" t="n"/>
      <c r="D822" s="13" t="n"/>
      <c r="E822" s="13" t="n"/>
      <c r="F822" s="69" t="n"/>
      <c r="G822" s="69" t="n"/>
      <c r="H822" s="69" t="n"/>
      <c r="I822" s="13" t="n"/>
      <c r="J822" s="13" t="n"/>
      <c r="K822" s="13" t="n"/>
      <c r="L822" s="16">
        <f>IF($A822="","",1)</f>
        <v/>
      </c>
    </row>
    <row r="823">
      <c r="A823" s="13" t="n"/>
      <c r="B823" s="13" t="n"/>
      <c r="C823" s="68" t="n"/>
      <c r="D823" s="13" t="n"/>
      <c r="E823" s="13" t="n"/>
      <c r="F823" s="69" t="n"/>
      <c r="G823" s="69" t="n"/>
      <c r="H823" s="69" t="n"/>
      <c r="I823" s="13" t="n"/>
      <c r="J823" s="13" t="n"/>
      <c r="K823" s="13" t="n"/>
      <c r="L823" s="16">
        <f>IF($A823="","",1)</f>
        <v/>
      </c>
    </row>
    <row r="824">
      <c r="A824" s="13" t="n"/>
      <c r="B824" s="13" t="n"/>
      <c r="C824" s="68" t="n"/>
      <c r="D824" s="13" t="n"/>
      <c r="E824" s="13" t="n"/>
      <c r="F824" s="69" t="n"/>
      <c r="G824" s="69" t="n"/>
      <c r="H824" s="69" t="n"/>
      <c r="I824" s="13" t="n"/>
      <c r="J824" s="13" t="n"/>
      <c r="K824" s="13" t="n"/>
      <c r="L824" s="16">
        <f>IF($A824="","",1)</f>
        <v/>
      </c>
    </row>
    <row r="825">
      <c r="A825" s="13" t="n"/>
      <c r="B825" s="13" t="n"/>
      <c r="C825" s="68" t="n"/>
      <c r="D825" s="13" t="n"/>
      <c r="E825" s="13" t="n"/>
      <c r="F825" s="69" t="n"/>
      <c r="G825" s="69" t="n"/>
      <c r="H825" s="69" t="n"/>
      <c r="I825" s="13" t="n"/>
      <c r="J825" s="13" t="n"/>
      <c r="K825" s="13" t="n"/>
      <c r="L825" s="16">
        <f>IF($A825="","",1)</f>
        <v/>
      </c>
    </row>
    <row r="826">
      <c r="A826" s="13" t="n"/>
      <c r="B826" s="13" t="n"/>
      <c r="C826" s="68" t="n"/>
      <c r="D826" s="13" t="n"/>
      <c r="E826" s="13" t="n"/>
      <c r="F826" s="69" t="n"/>
      <c r="G826" s="69" t="n"/>
      <c r="H826" s="69" t="n"/>
      <c r="I826" s="13" t="n"/>
      <c r="J826" s="13" t="n"/>
      <c r="K826" s="13" t="n"/>
      <c r="L826" s="16">
        <f>IF($A826="","",1)</f>
        <v/>
      </c>
    </row>
    <row r="827">
      <c r="A827" s="13" t="n"/>
      <c r="B827" s="13" t="n"/>
      <c r="C827" s="68" t="n"/>
      <c r="D827" s="13" t="n"/>
      <c r="E827" s="13" t="n"/>
      <c r="F827" s="69" t="n"/>
      <c r="G827" s="69" t="n"/>
      <c r="H827" s="69" t="n"/>
      <c r="I827" s="13" t="n"/>
      <c r="J827" s="13" t="n"/>
      <c r="K827" s="13" t="n"/>
      <c r="L827" s="16">
        <f>IF($A827="","",1)</f>
        <v/>
      </c>
    </row>
    <row r="828">
      <c r="A828" s="13" t="n"/>
      <c r="B828" s="13" t="n"/>
      <c r="C828" s="68" t="n"/>
      <c r="D828" s="13" t="n"/>
      <c r="E828" s="13" t="n"/>
      <c r="F828" s="69" t="n"/>
      <c r="G828" s="69" t="n"/>
      <c r="H828" s="69" t="n"/>
      <c r="I828" s="13" t="n"/>
      <c r="J828" s="13" t="n"/>
      <c r="K828" s="13" t="n"/>
      <c r="L828" s="16">
        <f>IF($A828="","",1)</f>
        <v/>
      </c>
    </row>
    <row r="829">
      <c r="A829" s="13" t="n"/>
      <c r="B829" s="13" t="n"/>
      <c r="C829" s="68" t="n"/>
      <c r="D829" s="13" t="n"/>
      <c r="E829" s="13" t="n"/>
      <c r="F829" s="69" t="n"/>
      <c r="G829" s="69" t="n"/>
      <c r="H829" s="69" t="n"/>
      <c r="I829" s="13" t="n"/>
      <c r="J829" s="13" t="n"/>
      <c r="K829" s="13" t="n"/>
      <c r="L829" s="16">
        <f>IF($A829="","",1)</f>
        <v/>
      </c>
    </row>
    <row r="830">
      <c r="A830" s="13" t="n"/>
      <c r="B830" s="13" t="n"/>
      <c r="C830" s="68" t="n"/>
      <c r="D830" s="13" t="n"/>
      <c r="E830" s="13" t="n"/>
      <c r="F830" s="69" t="n"/>
      <c r="G830" s="69" t="n"/>
      <c r="H830" s="69" t="n"/>
      <c r="I830" s="13" t="n"/>
      <c r="J830" s="13" t="n"/>
      <c r="K830" s="13" t="n"/>
      <c r="L830" s="16">
        <f>IF($A830="","",1)</f>
        <v/>
      </c>
    </row>
    <row r="831">
      <c r="A831" s="13" t="n"/>
      <c r="B831" s="13" t="n"/>
      <c r="C831" s="68" t="n"/>
      <c r="D831" s="13" t="n"/>
      <c r="E831" s="13" t="n"/>
      <c r="F831" s="69" t="n"/>
      <c r="G831" s="69" t="n"/>
      <c r="H831" s="69" t="n"/>
      <c r="I831" s="13" t="n"/>
      <c r="J831" s="13" t="n"/>
      <c r="K831" s="13" t="n"/>
      <c r="L831" s="16">
        <f>IF($A831="","",1)</f>
        <v/>
      </c>
    </row>
    <row r="832">
      <c r="A832" s="13" t="n"/>
      <c r="B832" s="13" t="n"/>
      <c r="C832" s="68" t="n"/>
      <c r="D832" s="13" t="n"/>
      <c r="E832" s="13" t="n"/>
      <c r="F832" s="69" t="n"/>
      <c r="G832" s="69" t="n"/>
      <c r="H832" s="69" t="n"/>
      <c r="I832" s="13" t="n"/>
      <c r="J832" s="13" t="n"/>
      <c r="K832" s="13" t="n"/>
      <c r="L832" s="16">
        <f>IF($A832="","",1)</f>
        <v/>
      </c>
    </row>
    <row r="833">
      <c r="A833" s="13" t="n"/>
      <c r="B833" s="13" t="n"/>
      <c r="C833" s="68" t="n"/>
      <c r="D833" s="13" t="n"/>
      <c r="E833" s="13" t="n"/>
      <c r="F833" s="69" t="n"/>
      <c r="G833" s="69" t="n"/>
      <c r="H833" s="69" t="n"/>
      <c r="I833" s="13" t="n"/>
      <c r="J833" s="13" t="n"/>
      <c r="K833" s="13" t="n"/>
      <c r="L833" s="16">
        <f>IF($A833="","",1)</f>
        <v/>
      </c>
    </row>
    <row r="834">
      <c r="A834" s="13" t="n"/>
      <c r="B834" s="13" t="n"/>
      <c r="C834" s="68" t="n"/>
      <c r="D834" s="13" t="n"/>
      <c r="E834" s="13" t="n"/>
      <c r="F834" s="69" t="n"/>
      <c r="G834" s="69" t="n"/>
      <c r="H834" s="69" t="n"/>
      <c r="I834" s="13" t="n"/>
      <c r="J834" s="13" t="n"/>
      <c r="K834" s="13" t="n"/>
      <c r="L834" s="16">
        <f>IF($A834="","",1)</f>
        <v/>
      </c>
    </row>
    <row r="835">
      <c r="A835" s="13" t="n"/>
      <c r="B835" s="13" t="n"/>
      <c r="C835" s="68" t="n"/>
      <c r="D835" s="13" t="n"/>
      <c r="E835" s="13" t="n"/>
      <c r="F835" s="69" t="n"/>
      <c r="G835" s="69" t="n"/>
      <c r="H835" s="69" t="n"/>
      <c r="I835" s="13" t="n"/>
      <c r="J835" s="13" t="n"/>
      <c r="K835" s="13" t="n"/>
      <c r="L835" s="16">
        <f>IF($A835="","",1)</f>
        <v/>
      </c>
    </row>
    <row r="836">
      <c r="A836" s="13" t="n"/>
      <c r="B836" s="13" t="n"/>
      <c r="C836" s="68" t="n"/>
      <c r="D836" s="13" t="n"/>
      <c r="E836" s="13" t="n"/>
      <c r="F836" s="69" t="n"/>
      <c r="G836" s="69" t="n"/>
      <c r="H836" s="69" t="n"/>
      <c r="I836" s="13" t="n"/>
      <c r="J836" s="13" t="n"/>
      <c r="K836" s="13" t="n"/>
      <c r="L836" s="16">
        <f>IF($A836="","",1)</f>
        <v/>
      </c>
    </row>
    <row r="837">
      <c r="A837" s="13" t="n"/>
      <c r="B837" s="13" t="n"/>
      <c r="C837" s="68" t="n"/>
      <c r="D837" s="13" t="n"/>
      <c r="E837" s="13" t="n"/>
      <c r="F837" s="69" t="n"/>
      <c r="G837" s="69" t="n"/>
      <c r="H837" s="69" t="n"/>
      <c r="I837" s="13" t="n"/>
      <c r="J837" s="13" t="n"/>
      <c r="K837" s="13" t="n"/>
      <c r="L837" s="16">
        <f>IF($A837="","",1)</f>
        <v/>
      </c>
    </row>
    <row r="838">
      <c r="A838" s="13" t="n"/>
      <c r="B838" s="13" t="n"/>
      <c r="C838" s="68" t="n"/>
      <c r="D838" s="13" t="n"/>
      <c r="E838" s="13" t="n"/>
      <c r="F838" s="69" t="n"/>
      <c r="G838" s="69" t="n"/>
      <c r="H838" s="69" t="n"/>
      <c r="I838" s="13" t="n"/>
      <c r="J838" s="13" t="n"/>
      <c r="K838" s="13" t="n"/>
      <c r="L838" s="16">
        <f>IF($A838="","",1)</f>
        <v/>
      </c>
    </row>
    <row r="839">
      <c r="A839" s="13" t="n"/>
      <c r="B839" s="13" t="n"/>
      <c r="C839" s="68" t="n"/>
      <c r="D839" s="13" t="n"/>
      <c r="E839" s="13" t="n"/>
      <c r="F839" s="69" t="n"/>
      <c r="G839" s="69" t="n"/>
      <c r="H839" s="69" t="n"/>
      <c r="I839" s="13" t="n"/>
      <c r="J839" s="13" t="n"/>
      <c r="K839" s="13" t="n"/>
      <c r="L839" s="16">
        <f>IF($A839="","",1)</f>
        <v/>
      </c>
    </row>
    <row r="840">
      <c r="A840" s="13" t="n"/>
      <c r="B840" s="13" t="n"/>
      <c r="C840" s="68" t="n"/>
      <c r="D840" s="13" t="n"/>
      <c r="E840" s="13" t="n"/>
      <c r="F840" s="69" t="n"/>
      <c r="G840" s="69" t="n"/>
      <c r="H840" s="69" t="n"/>
      <c r="I840" s="13" t="n"/>
      <c r="J840" s="13" t="n"/>
      <c r="K840" s="13" t="n"/>
      <c r="L840" s="16">
        <f>IF($A840="","",1)</f>
        <v/>
      </c>
    </row>
    <row r="841">
      <c r="A841" s="13" t="n"/>
      <c r="B841" s="13" t="n"/>
      <c r="C841" s="68" t="n"/>
      <c r="D841" s="13" t="n"/>
      <c r="E841" s="13" t="n"/>
      <c r="F841" s="69" t="n"/>
      <c r="G841" s="69" t="n"/>
      <c r="H841" s="69" t="n"/>
      <c r="I841" s="13" t="n"/>
      <c r="J841" s="13" t="n"/>
      <c r="K841" s="13" t="n"/>
      <c r="L841" s="16">
        <f>IF($A841="","",1)</f>
        <v/>
      </c>
    </row>
    <row r="842">
      <c r="A842" s="13" t="n"/>
      <c r="B842" s="13" t="n"/>
      <c r="C842" s="68" t="n"/>
      <c r="D842" s="13" t="n"/>
      <c r="E842" s="13" t="n"/>
      <c r="F842" s="69" t="n"/>
      <c r="G842" s="69" t="n"/>
      <c r="H842" s="69" t="n"/>
      <c r="I842" s="13" t="n"/>
      <c r="J842" s="13" t="n"/>
      <c r="K842" s="13" t="n"/>
      <c r="L842" s="16">
        <f>IF($A842="","",1)</f>
        <v/>
      </c>
    </row>
    <row r="843">
      <c r="A843" s="13" t="n"/>
      <c r="B843" s="13" t="n"/>
      <c r="C843" s="68" t="n"/>
      <c r="D843" s="13" t="n"/>
      <c r="E843" s="13" t="n"/>
      <c r="F843" s="69" t="n"/>
      <c r="G843" s="69" t="n"/>
      <c r="H843" s="69" t="n"/>
      <c r="I843" s="13" t="n"/>
      <c r="J843" s="13" t="n"/>
      <c r="K843" s="13" t="n"/>
      <c r="L843" s="16">
        <f>IF($A843="","",1)</f>
        <v/>
      </c>
    </row>
    <row r="844">
      <c r="A844" s="13" t="n"/>
      <c r="B844" s="13" t="n"/>
      <c r="C844" s="68" t="n"/>
      <c r="D844" s="13" t="n"/>
      <c r="E844" s="13" t="n"/>
      <c r="F844" s="69" t="n"/>
      <c r="G844" s="69" t="n"/>
      <c r="H844" s="69" t="n"/>
      <c r="I844" s="13" t="n"/>
      <c r="J844" s="13" t="n"/>
      <c r="K844" s="13" t="n"/>
      <c r="L844" s="16">
        <f>IF($A844="","",1)</f>
        <v/>
      </c>
    </row>
    <row r="845">
      <c r="A845" s="13" t="n"/>
      <c r="B845" s="13" t="n"/>
      <c r="C845" s="68" t="n"/>
      <c r="D845" s="13" t="n"/>
      <c r="E845" s="13" t="n"/>
      <c r="F845" s="69" t="n"/>
      <c r="G845" s="69" t="n"/>
      <c r="H845" s="69" t="n"/>
      <c r="I845" s="13" t="n"/>
      <c r="J845" s="13" t="n"/>
      <c r="K845" s="13" t="n"/>
      <c r="L845" s="16">
        <f>IF($A845="","",1)</f>
        <v/>
      </c>
    </row>
    <row r="846">
      <c r="A846" s="13" t="n"/>
      <c r="B846" s="13" t="n"/>
      <c r="C846" s="68" t="n"/>
      <c r="D846" s="13" t="n"/>
      <c r="E846" s="13" t="n"/>
      <c r="F846" s="69" t="n"/>
      <c r="G846" s="69" t="n"/>
      <c r="H846" s="69" t="n"/>
      <c r="I846" s="13" t="n"/>
      <c r="J846" s="13" t="n"/>
      <c r="K846" s="13" t="n"/>
      <c r="L846" s="16">
        <f>IF($A846="","",1)</f>
        <v/>
      </c>
    </row>
    <row r="847">
      <c r="A847" s="13" t="n"/>
      <c r="B847" s="13" t="n"/>
      <c r="C847" s="68" t="n"/>
      <c r="D847" s="13" t="n"/>
      <c r="E847" s="13" t="n"/>
      <c r="F847" s="69" t="n"/>
      <c r="G847" s="69" t="n"/>
      <c r="H847" s="69" t="n"/>
      <c r="I847" s="13" t="n"/>
      <c r="J847" s="13" t="n"/>
      <c r="K847" s="13" t="n"/>
      <c r="L847" s="16">
        <f>IF($A847="","",1)</f>
        <v/>
      </c>
    </row>
    <row r="848">
      <c r="A848" s="13" t="n"/>
      <c r="B848" s="13" t="n"/>
      <c r="C848" s="68" t="n"/>
      <c r="D848" s="13" t="n"/>
      <c r="E848" s="13" t="n"/>
      <c r="F848" s="69" t="n"/>
      <c r="G848" s="69" t="n"/>
      <c r="H848" s="69" t="n"/>
      <c r="I848" s="13" t="n"/>
      <c r="J848" s="13" t="n"/>
      <c r="K848" s="13" t="n"/>
      <c r="L848" s="16">
        <f>IF($A848="","",1)</f>
        <v/>
      </c>
    </row>
    <row r="849">
      <c r="A849" s="13" t="n"/>
      <c r="B849" s="13" t="n"/>
      <c r="C849" s="68" t="n"/>
      <c r="D849" s="13" t="n"/>
      <c r="E849" s="13" t="n"/>
      <c r="F849" s="69" t="n"/>
      <c r="G849" s="69" t="n"/>
      <c r="H849" s="69" t="n"/>
      <c r="I849" s="13" t="n"/>
      <c r="J849" s="13" t="n"/>
      <c r="K849" s="13" t="n"/>
      <c r="L849" s="16">
        <f>IF($A849="","",1)</f>
        <v/>
      </c>
    </row>
    <row r="850">
      <c r="A850" s="13" t="n"/>
      <c r="B850" s="13" t="n"/>
      <c r="C850" s="68" t="n"/>
      <c r="D850" s="13" t="n"/>
      <c r="E850" s="13" t="n"/>
      <c r="F850" s="69" t="n"/>
      <c r="G850" s="69" t="n"/>
      <c r="H850" s="69" t="n"/>
      <c r="I850" s="13" t="n"/>
      <c r="J850" s="13" t="n"/>
      <c r="K850" s="13" t="n"/>
      <c r="L850" s="16">
        <f>IF($A850="","",1)</f>
        <v/>
      </c>
    </row>
    <row r="851">
      <c r="A851" s="13" t="n"/>
      <c r="B851" s="13" t="n"/>
      <c r="C851" s="68" t="n"/>
      <c r="D851" s="13" t="n"/>
      <c r="E851" s="13" t="n"/>
      <c r="F851" s="69" t="n"/>
      <c r="G851" s="69" t="n"/>
      <c r="H851" s="69" t="n"/>
      <c r="I851" s="13" t="n"/>
      <c r="J851" s="13" t="n"/>
      <c r="K851" s="13" t="n"/>
      <c r="L851" s="16">
        <f>IF($A851="","",1)</f>
        <v/>
      </c>
    </row>
    <row r="852">
      <c r="A852" s="13" t="n"/>
      <c r="B852" s="13" t="n"/>
      <c r="C852" s="68" t="n"/>
      <c r="D852" s="13" t="n"/>
      <c r="E852" s="13" t="n"/>
      <c r="F852" s="69" t="n"/>
      <c r="G852" s="69" t="n"/>
      <c r="H852" s="69" t="n"/>
      <c r="I852" s="13" t="n"/>
      <c r="J852" s="13" t="n"/>
      <c r="K852" s="13" t="n"/>
      <c r="L852" s="16">
        <f>IF($A852="","",1)</f>
        <v/>
      </c>
    </row>
    <row r="853">
      <c r="A853" s="13" t="n"/>
      <c r="B853" s="13" t="n"/>
      <c r="C853" s="68" t="n"/>
      <c r="D853" s="13" t="n"/>
      <c r="E853" s="13" t="n"/>
      <c r="F853" s="69" t="n"/>
      <c r="G853" s="69" t="n"/>
      <c r="H853" s="69" t="n"/>
      <c r="I853" s="13" t="n"/>
      <c r="J853" s="13" t="n"/>
      <c r="K853" s="13" t="n"/>
      <c r="L853" s="16">
        <f>IF($A853="","",1)</f>
        <v/>
      </c>
    </row>
    <row r="854">
      <c r="A854" s="13" t="n"/>
      <c r="B854" s="13" t="n"/>
      <c r="C854" s="68" t="n"/>
      <c r="D854" s="13" t="n"/>
      <c r="E854" s="13" t="n"/>
      <c r="F854" s="69" t="n"/>
      <c r="G854" s="69" t="n"/>
      <c r="H854" s="69" t="n"/>
      <c r="I854" s="13" t="n"/>
      <c r="J854" s="13" t="n"/>
      <c r="K854" s="13" t="n"/>
      <c r="L854" s="16">
        <f>IF($A854="","",1)</f>
        <v/>
      </c>
    </row>
    <row r="855">
      <c r="A855" s="13" t="n"/>
      <c r="B855" s="13" t="n"/>
      <c r="C855" s="68" t="n"/>
      <c r="D855" s="13" t="n"/>
      <c r="E855" s="13" t="n"/>
      <c r="F855" s="69" t="n"/>
      <c r="G855" s="69" t="n"/>
      <c r="H855" s="69" t="n"/>
      <c r="I855" s="13" t="n"/>
      <c r="J855" s="13" t="n"/>
      <c r="K855" s="13" t="n"/>
      <c r="L855" s="16">
        <f>IF($A855="","",1)</f>
        <v/>
      </c>
    </row>
    <row r="856">
      <c r="A856" s="13" t="n"/>
      <c r="B856" s="13" t="n"/>
      <c r="C856" s="68" t="n"/>
      <c r="D856" s="13" t="n"/>
      <c r="E856" s="13" t="n"/>
      <c r="F856" s="69" t="n"/>
      <c r="G856" s="69" t="n"/>
      <c r="H856" s="69" t="n"/>
      <c r="I856" s="13" t="n"/>
      <c r="J856" s="13" t="n"/>
      <c r="K856" s="13" t="n"/>
      <c r="L856" s="16">
        <f>IF($A856="","",1)</f>
        <v/>
      </c>
    </row>
    <row r="857">
      <c r="A857" s="13" t="n"/>
      <c r="B857" s="13" t="n"/>
      <c r="C857" s="68" t="n"/>
      <c r="D857" s="13" t="n"/>
      <c r="E857" s="13" t="n"/>
      <c r="F857" s="69" t="n"/>
      <c r="G857" s="69" t="n"/>
      <c r="H857" s="69" t="n"/>
      <c r="I857" s="13" t="n"/>
      <c r="J857" s="13" t="n"/>
      <c r="K857" s="13" t="n"/>
      <c r="L857" s="16">
        <f>IF($A857="","",1)</f>
        <v/>
      </c>
    </row>
    <row r="858">
      <c r="A858" s="13" t="n"/>
      <c r="B858" s="13" t="n"/>
      <c r="C858" s="68" t="n"/>
      <c r="D858" s="13" t="n"/>
      <c r="E858" s="13" t="n"/>
      <c r="F858" s="69" t="n"/>
      <c r="G858" s="69" t="n"/>
      <c r="H858" s="69" t="n"/>
      <c r="I858" s="13" t="n"/>
      <c r="J858" s="13" t="n"/>
      <c r="K858" s="13" t="n"/>
      <c r="L858" s="16">
        <f>IF($A858="","",1)</f>
        <v/>
      </c>
    </row>
    <row r="859">
      <c r="A859" s="13" t="n"/>
      <c r="B859" s="13" t="n"/>
      <c r="C859" s="68" t="n"/>
      <c r="D859" s="13" t="n"/>
      <c r="E859" s="13" t="n"/>
      <c r="F859" s="69" t="n"/>
      <c r="G859" s="69" t="n"/>
      <c r="H859" s="69" t="n"/>
      <c r="I859" s="13" t="n"/>
      <c r="J859" s="13" t="n"/>
      <c r="K859" s="13" t="n"/>
      <c r="L859" s="16">
        <f>IF($A859="","",1)</f>
        <v/>
      </c>
    </row>
    <row r="860">
      <c r="A860" s="13" t="n"/>
      <c r="B860" s="13" t="n"/>
      <c r="C860" s="68" t="n"/>
      <c r="D860" s="13" t="n"/>
      <c r="E860" s="13" t="n"/>
      <c r="F860" s="69" t="n"/>
      <c r="G860" s="69" t="n"/>
      <c r="H860" s="69" t="n"/>
      <c r="I860" s="13" t="n"/>
      <c r="J860" s="13" t="n"/>
      <c r="K860" s="13" t="n"/>
      <c r="L860" s="16">
        <f>IF($A860="","",1)</f>
        <v/>
      </c>
    </row>
    <row r="861">
      <c r="A861" s="13" t="n"/>
      <c r="B861" s="13" t="n"/>
      <c r="C861" s="68" t="n"/>
      <c r="D861" s="13" t="n"/>
      <c r="E861" s="13" t="n"/>
      <c r="F861" s="69" t="n"/>
      <c r="G861" s="69" t="n"/>
      <c r="H861" s="69" t="n"/>
      <c r="I861" s="13" t="n"/>
      <c r="J861" s="13" t="n"/>
      <c r="K861" s="13" t="n"/>
      <c r="L861" s="16">
        <f>IF($A861="","",1)</f>
        <v/>
      </c>
    </row>
    <row r="862">
      <c r="A862" s="13" t="n"/>
      <c r="B862" s="13" t="n"/>
      <c r="C862" s="68" t="n"/>
      <c r="D862" s="13" t="n"/>
      <c r="E862" s="13" t="n"/>
      <c r="F862" s="69" t="n"/>
      <c r="G862" s="69" t="n"/>
      <c r="H862" s="69" t="n"/>
      <c r="I862" s="13" t="n"/>
      <c r="J862" s="13" t="n"/>
      <c r="K862" s="13" t="n"/>
      <c r="L862" s="16">
        <f>IF($A862="","",1)</f>
        <v/>
      </c>
    </row>
    <row r="863">
      <c r="A863" s="13" t="n"/>
      <c r="B863" s="13" t="n"/>
      <c r="C863" s="68" t="n"/>
      <c r="D863" s="13" t="n"/>
      <c r="E863" s="13" t="n"/>
      <c r="F863" s="69" t="n"/>
      <c r="G863" s="69" t="n"/>
      <c r="H863" s="69" t="n"/>
      <c r="I863" s="13" t="n"/>
      <c r="J863" s="13" t="n"/>
      <c r="K863" s="13" t="n"/>
      <c r="L863" s="16">
        <f>IF($A863="","",1)</f>
        <v/>
      </c>
    </row>
    <row r="864">
      <c r="A864" s="13" t="n"/>
      <c r="B864" s="13" t="n"/>
      <c r="C864" s="68" t="n"/>
      <c r="D864" s="13" t="n"/>
      <c r="E864" s="13" t="n"/>
      <c r="F864" s="69" t="n"/>
      <c r="G864" s="69" t="n"/>
      <c r="H864" s="69" t="n"/>
      <c r="I864" s="13" t="n"/>
      <c r="J864" s="13" t="n"/>
      <c r="K864" s="13" t="n"/>
      <c r="L864" s="16">
        <f>IF($A864="","",1)</f>
        <v/>
      </c>
    </row>
    <row r="865">
      <c r="A865" s="13" t="n"/>
      <c r="B865" s="13" t="n"/>
      <c r="C865" s="68" t="n"/>
      <c r="D865" s="13" t="n"/>
      <c r="E865" s="13" t="n"/>
      <c r="F865" s="69" t="n"/>
      <c r="G865" s="69" t="n"/>
      <c r="H865" s="69" t="n"/>
      <c r="I865" s="13" t="n"/>
      <c r="J865" s="13" t="n"/>
      <c r="K865" s="13" t="n"/>
      <c r="L865" s="16">
        <f>IF($A865="","",1)</f>
        <v/>
      </c>
    </row>
    <row r="866">
      <c r="A866" s="13" t="n"/>
      <c r="B866" s="13" t="n"/>
      <c r="C866" s="68" t="n"/>
      <c r="D866" s="13" t="n"/>
      <c r="E866" s="13" t="n"/>
      <c r="F866" s="69" t="n"/>
      <c r="G866" s="69" t="n"/>
      <c r="H866" s="69" t="n"/>
      <c r="I866" s="13" t="n"/>
      <c r="J866" s="13" t="n"/>
      <c r="K866" s="13" t="n"/>
      <c r="L866" s="16">
        <f>IF($A866="","",1)</f>
        <v/>
      </c>
    </row>
    <row r="867">
      <c r="A867" s="13" t="n"/>
      <c r="B867" s="13" t="n"/>
      <c r="C867" s="68" t="n"/>
      <c r="D867" s="13" t="n"/>
      <c r="E867" s="13" t="n"/>
      <c r="F867" s="69" t="n"/>
      <c r="G867" s="69" t="n"/>
      <c r="H867" s="69" t="n"/>
      <c r="I867" s="13" t="n"/>
      <c r="J867" s="13" t="n"/>
      <c r="K867" s="13" t="n"/>
      <c r="L867" s="16">
        <f>IF($A867="","",1)</f>
        <v/>
      </c>
    </row>
    <row r="868">
      <c r="A868" s="13" t="n"/>
      <c r="B868" s="13" t="n"/>
      <c r="C868" s="68" t="n"/>
      <c r="D868" s="13" t="n"/>
      <c r="E868" s="13" t="n"/>
      <c r="F868" s="69" t="n"/>
      <c r="G868" s="69" t="n"/>
      <c r="H868" s="69" t="n"/>
      <c r="I868" s="13" t="n"/>
      <c r="J868" s="13" t="n"/>
      <c r="K868" s="13" t="n"/>
      <c r="L868" s="16">
        <f>IF($A868="","",1)</f>
        <v/>
      </c>
    </row>
    <row r="869">
      <c r="A869" s="13" t="n"/>
      <c r="B869" s="13" t="n"/>
      <c r="C869" s="68" t="n"/>
      <c r="D869" s="13" t="n"/>
      <c r="E869" s="13" t="n"/>
      <c r="F869" s="69" t="n"/>
      <c r="G869" s="69" t="n"/>
      <c r="H869" s="69" t="n"/>
      <c r="I869" s="13" t="n"/>
      <c r="J869" s="13" t="n"/>
      <c r="K869" s="13" t="n"/>
      <c r="L869" s="16">
        <f>IF($A869="","",1)</f>
        <v/>
      </c>
    </row>
    <row r="870">
      <c r="A870" s="13" t="n"/>
      <c r="B870" s="13" t="n"/>
      <c r="C870" s="68" t="n"/>
      <c r="D870" s="13" t="n"/>
      <c r="E870" s="13" t="n"/>
      <c r="F870" s="69" t="n"/>
      <c r="G870" s="69" t="n"/>
      <c r="H870" s="69" t="n"/>
      <c r="I870" s="13" t="n"/>
      <c r="J870" s="13" t="n"/>
      <c r="K870" s="13" t="n"/>
      <c r="L870" s="16">
        <f>IF($A870="","",1)</f>
        <v/>
      </c>
    </row>
    <row r="871">
      <c r="A871" s="13" t="n"/>
      <c r="B871" s="13" t="n"/>
      <c r="C871" s="68" t="n"/>
      <c r="D871" s="13" t="n"/>
      <c r="E871" s="13" t="n"/>
      <c r="F871" s="69" t="n"/>
      <c r="G871" s="69" t="n"/>
      <c r="H871" s="69" t="n"/>
      <c r="I871" s="13" t="n"/>
      <c r="J871" s="13" t="n"/>
      <c r="K871" s="13" t="n"/>
      <c r="L871" s="16">
        <f>IF($A871="","",1)</f>
        <v/>
      </c>
    </row>
    <row r="872">
      <c r="A872" s="13" t="n"/>
      <c r="B872" s="13" t="n"/>
      <c r="C872" s="68" t="n"/>
      <c r="D872" s="13" t="n"/>
      <c r="E872" s="13" t="n"/>
      <c r="F872" s="69" t="n"/>
      <c r="G872" s="69" t="n"/>
      <c r="H872" s="69" t="n"/>
      <c r="I872" s="13" t="n"/>
      <c r="J872" s="13" t="n"/>
      <c r="K872" s="13" t="n"/>
      <c r="L872" s="16">
        <f>IF($A872="","",1)</f>
        <v/>
      </c>
    </row>
    <row r="873">
      <c r="A873" s="13" t="n"/>
      <c r="B873" s="13" t="n"/>
      <c r="C873" s="68" t="n"/>
      <c r="D873" s="13" t="n"/>
      <c r="E873" s="13" t="n"/>
      <c r="F873" s="69" t="n"/>
      <c r="G873" s="69" t="n"/>
      <c r="H873" s="69" t="n"/>
      <c r="I873" s="13" t="n"/>
      <c r="J873" s="13" t="n"/>
      <c r="K873" s="13" t="n"/>
      <c r="L873" s="16">
        <f>IF($A873="","",1)</f>
        <v/>
      </c>
    </row>
    <row r="874">
      <c r="A874" s="13" t="n"/>
      <c r="B874" s="13" t="n"/>
      <c r="C874" s="68" t="n"/>
      <c r="D874" s="13" t="n"/>
      <c r="E874" s="13" t="n"/>
      <c r="F874" s="69" t="n"/>
      <c r="G874" s="69" t="n"/>
      <c r="H874" s="69" t="n"/>
      <c r="I874" s="13" t="n"/>
      <c r="J874" s="13" t="n"/>
      <c r="K874" s="13" t="n"/>
      <c r="L874" s="16">
        <f>IF($A874="","",1)</f>
        <v/>
      </c>
    </row>
    <row r="875">
      <c r="A875" s="13" t="n"/>
      <c r="B875" s="13" t="n"/>
      <c r="C875" s="68" t="n"/>
      <c r="D875" s="13" t="n"/>
      <c r="E875" s="13" t="n"/>
      <c r="F875" s="69" t="n"/>
      <c r="G875" s="69" t="n"/>
      <c r="H875" s="69" t="n"/>
      <c r="I875" s="13" t="n"/>
      <c r="J875" s="13" t="n"/>
      <c r="K875" s="13" t="n"/>
      <c r="L875" s="16">
        <f>IF($A875="","",1)</f>
        <v/>
      </c>
    </row>
    <row r="876">
      <c r="A876" s="13" t="n"/>
      <c r="B876" s="13" t="n"/>
      <c r="C876" s="68" t="n"/>
      <c r="D876" s="13" t="n"/>
      <c r="E876" s="13" t="n"/>
      <c r="F876" s="69" t="n"/>
      <c r="G876" s="69" t="n"/>
      <c r="H876" s="69" t="n"/>
      <c r="I876" s="13" t="n"/>
      <c r="J876" s="13" t="n"/>
      <c r="K876" s="13" t="n"/>
      <c r="L876" s="16">
        <f>IF($A876="","",1)</f>
        <v/>
      </c>
    </row>
    <row r="877">
      <c r="A877" s="13" t="n"/>
      <c r="B877" s="13" t="n"/>
      <c r="C877" s="68" t="n"/>
      <c r="D877" s="13" t="n"/>
      <c r="E877" s="13" t="n"/>
      <c r="F877" s="69" t="n"/>
      <c r="G877" s="69" t="n"/>
      <c r="H877" s="69" t="n"/>
      <c r="I877" s="13" t="n"/>
      <c r="J877" s="13" t="n"/>
      <c r="K877" s="13" t="n"/>
      <c r="L877" s="16">
        <f>IF($A877="","",1)</f>
        <v/>
      </c>
    </row>
    <row r="878">
      <c r="A878" s="13" t="n"/>
      <c r="B878" s="13" t="n"/>
      <c r="C878" s="68" t="n"/>
      <c r="D878" s="13" t="n"/>
      <c r="E878" s="13" t="n"/>
      <c r="F878" s="69" t="n"/>
      <c r="G878" s="69" t="n"/>
      <c r="H878" s="69" t="n"/>
      <c r="I878" s="13" t="n"/>
      <c r="J878" s="13" t="n"/>
      <c r="K878" s="13" t="n"/>
      <c r="L878" s="16">
        <f>IF($A878="","",1)</f>
        <v/>
      </c>
    </row>
    <row r="879">
      <c r="A879" s="13" t="n"/>
      <c r="B879" s="13" t="n"/>
      <c r="C879" s="68" t="n"/>
      <c r="D879" s="13" t="n"/>
      <c r="E879" s="13" t="n"/>
      <c r="F879" s="69" t="n"/>
      <c r="G879" s="69" t="n"/>
      <c r="H879" s="69" t="n"/>
      <c r="I879" s="13" t="n"/>
      <c r="J879" s="13" t="n"/>
      <c r="K879" s="13" t="n"/>
      <c r="L879" s="16">
        <f>IF($A879="","",1)</f>
        <v/>
      </c>
    </row>
    <row r="880">
      <c r="A880" s="13" t="n"/>
      <c r="B880" s="13" t="n"/>
      <c r="C880" s="68" t="n"/>
      <c r="D880" s="13" t="n"/>
      <c r="E880" s="13" t="n"/>
      <c r="F880" s="69" t="n"/>
      <c r="G880" s="69" t="n"/>
      <c r="H880" s="69" t="n"/>
      <c r="I880" s="13" t="n"/>
      <c r="J880" s="13" t="n"/>
      <c r="K880" s="13" t="n"/>
      <c r="L880" s="16">
        <f>IF($A880="","",1)</f>
        <v/>
      </c>
    </row>
    <row r="881">
      <c r="A881" s="13" t="n"/>
      <c r="B881" s="13" t="n"/>
      <c r="C881" s="68" t="n"/>
      <c r="D881" s="13" t="n"/>
      <c r="E881" s="13" t="n"/>
      <c r="F881" s="69" t="n"/>
      <c r="G881" s="69" t="n"/>
      <c r="H881" s="69" t="n"/>
      <c r="I881" s="13" t="n"/>
      <c r="J881" s="13" t="n"/>
      <c r="K881" s="13" t="n"/>
      <c r="L881" s="16">
        <f>IF($A881="","",1)</f>
        <v/>
      </c>
    </row>
    <row r="882">
      <c r="A882" s="13" t="n"/>
      <c r="B882" s="13" t="n"/>
      <c r="C882" s="68" t="n"/>
      <c r="D882" s="13" t="n"/>
      <c r="E882" s="13" t="n"/>
      <c r="F882" s="69" t="n"/>
      <c r="G882" s="69" t="n"/>
      <c r="H882" s="69" t="n"/>
      <c r="I882" s="13" t="n"/>
      <c r="J882" s="13" t="n"/>
      <c r="K882" s="13" t="n"/>
      <c r="L882" s="16">
        <f>IF($A882="","",1)</f>
        <v/>
      </c>
    </row>
    <row r="883">
      <c r="A883" s="13" t="n"/>
      <c r="B883" s="13" t="n"/>
      <c r="C883" s="68" t="n"/>
      <c r="D883" s="13" t="n"/>
      <c r="E883" s="13" t="n"/>
      <c r="F883" s="69" t="n"/>
      <c r="G883" s="69" t="n"/>
      <c r="H883" s="69" t="n"/>
      <c r="I883" s="13" t="n"/>
      <c r="J883" s="13" t="n"/>
      <c r="K883" s="13" t="n"/>
      <c r="L883" s="16">
        <f>IF($A883="","",1)</f>
        <v/>
      </c>
    </row>
    <row r="884">
      <c r="A884" s="13" t="n"/>
      <c r="B884" s="13" t="n"/>
      <c r="C884" s="68" t="n"/>
      <c r="D884" s="13" t="n"/>
      <c r="E884" s="13" t="n"/>
      <c r="F884" s="69" t="n"/>
      <c r="G884" s="69" t="n"/>
      <c r="H884" s="69" t="n"/>
      <c r="I884" s="13" t="n"/>
      <c r="J884" s="13" t="n"/>
      <c r="K884" s="13" t="n"/>
      <c r="L884" s="16">
        <f>IF($A884="","",1)</f>
        <v/>
      </c>
    </row>
    <row r="885">
      <c r="A885" s="13" t="n"/>
      <c r="B885" s="13" t="n"/>
      <c r="C885" s="68" t="n"/>
      <c r="D885" s="13" t="n"/>
      <c r="E885" s="13" t="n"/>
      <c r="F885" s="69" t="n"/>
      <c r="G885" s="69" t="n"/>
      <c r="H885" s="69" t="n"/>
      <c r="I885" s="13" t="n"/>
      <c r="J885" s="13" t="n"/>
      <c r="K885" s="13" t="n"/>
      <c r="L885" s="16">
        <f>IF($A885="","",1)</f>
        <v/>
      </c>
    </row>
    <row r="886">
      <c r="A886" s="13" t="n"/>
      <c r="B886" s="13" t="n"/>
      <c r="C886" s="68" t="n"/>
      <c r="D886" s="13" t="n"/>
      <c r="E886" s="13" t="n"/>
      <c r="F886" s="69" t="n"/>
      <c r="G886" s="69" t="n"/>
      <c r="H886" s="69" t="n"/>
      <c r="I886" s="13" t="n"/>
      <c r="J886" s="13" t="n"/>
      <c r="K886" s="13" t="n"/>
      <c r="L886" s="16">
        <f>IF($A886="","",1)</f>
        <v/>
      </c>
    </row>
    <row r="887">
      <c r="A887" s="13" t="n"/>
      <c r="B887" s="13" t="n"/>
      <c r="C887" s="68" t="n"/>
      <c r="D887" s="13" t="n"/>
      <c r="E887" s="13" t="n"/>
      <c r="F887" s="69" t="n"/>
      <c r="G887" s="69" t="n"/>
      <c r="H887" s="69" t="n"/>
      <c r="I887" s="13" t="n"/>
      <c r="J887" s="13" t="n"/>
      <c r="K887" s="13" t="n"/>
      <c r="L887" s="16">
        <f>IF($A887="","",1)</f>
        <v/>
      </c>
    </row>
    <row r="888">
      <c r="A888" s="13" t="n"/>
      <c r="B888" s="13" t="n"/>
      <c r="C888" s="68" t="n"/>
      <c r="D888" s="13" t="n"/>
      <c r="E888" s="13" t="n"/>
      <c r="F888" s="69" t="n"/>
      <c r="G888" s="69" t="n"/>
      <c r="H888" s="69" t="n"/>
      <c r="I888" s="13" t="n"/>
      <c r="J888" s="13" t="n"/>
      <c r="K888" s="13" t="n"/>
      <c r="L888" s="16">
        <f>IF($A888="","",1)</f>
        <v/>
      </c>
    </row>
    <row r="889">
      <c r="A889" s="13" t="n"/>
      <c r="B889" s="13" t="n"/>
      <c r="C889" s="68" t="n"/>
      <c r="D889" s="13" t="n"/>
      <c r="E889" s="13" t="n"/>
      <c r="F889" s="69" t="n"/>
      <c r="G889" s="69" t="n"/>
      <c r="H889" s="69" t="n"/>
      <c r="I889" s="13" t="n"/>
      <c r="J889" s="13" t="n"/>
      <c r="K889" s="13" t="n"/>
      <c r="L889" s="16">
        <f>IF($A889="","",1)</f>
        <v/>
      </c>
    </row>
    <row r="890">
      <c r="A890" s="13" t="n"/>
      <c r="B890" s="13" t="n"/>
      <c r="C890" s="68" t="n"/>
      <c r="D890" s="13" t="n"/>
      <c r="E890" s="13" t="n"/>
      <c r="F890" s="69" t="n"/>
      <c r="G890" s="69" t="n"/>
      <c r="H890" s="69" t="n"/>
      <c r="I890" s="13" t="n"/>
      <c r="J890" s="13" t="n"/>
      <c r="K890" s="13" t="n"/>
      <c r="L890" s="16">
        <f>IF($A890="","",1)</f>
        <v/>
      </c>
    </row>
    <row r="891">
      <c r="A891" s="13" t="n"/>
      <c r="B891" s="13" t="n"/>
      <c r="C891" s="68" t="n"/>
      <c r="D891" s="13" t="n"/>
      <c r="E891" s="13" t="n"/>
      <c r="F891" s="69" t="n"/>
      <c r="G891" s="69" t="n"/>
      <c r="H891" s="69" t="n"/>
      <c r="I891" s="13" t="n"/>
      <c r="J891" s="13" t="n"/>
      <c r="K891" s="13" t="n"/>
      <c r="L891" s="16">
        <f>IF($A891="","",1)</f>
        <v/>
      </c>
    </row>
    <row r="892">
      <c r="A892" s="13" t="n"/>
      <c r="B892" s="13" t="n"/>
      <c r="C892" s="68" t="n"/>
      <c r="D892" s="13" t="n"/>
      <c r="E892" s="13" t="n"/>
      <c r="F892" s="69" t="n"/>
      <c r="G892" s="69" t="n"/>
      <c r="H892" s="69" t="n"/>
      <c r="I892" s="13" t="n"/>
      <c r="J892" s="13" t="n"/>
      <c r="K892" s="13" t="n"/>
      <c r="L892" s="16">
        <f>IF($A892="","",1)</f>
        <v/>
      </c>
    </row>
    <row r="893">
      <c r="A893" s="13" t="n"/>
      <c r="B893" s="13" t="n"/>
      <c r="C893" s="68" t="n"/>
      <c r="D893" s="13" t="n"/>
      <c r="E893" s="13" t="n"/>
      <c r="F893" s="69" t="n"/>
      <c r="G893" s="69" t="n"/>
      <c r="H893" s="69" t="n"/>
      <c r="I893" s="13" t="n"/>
      <c r="J893" s="13" t="n"/>
      <c r="K893" s="13" t="n"/>
      <c r="L893" s="16">
        <f>IF($A893="","",1)</f>
        <v/>
      </c>
    </row>
    <row r="894">
      <c r="A894" s="13" t="n"/>
      <c r="B894" s="13" t="n"/>
      <c r="C894" s="68" t="n"/>
      <c r="D894" s="13" t="n"/>
      <c r="E894" s="13" t="n"/>
      <c r="F894" s="69" t="n"/>
      <c r="G894" s="69" t="n"/>
      <c r="H894" s="69" t="n"/>
      <c r="I894" s="13" t="n"/>
      <c r="J894" s="13" t="n"/>
      <c r="K894" s="13" t="n"/>
      <c r="L894" s="16">
        <f>IF($A894="","",1)</f>
        <v/>
      </c>
    </row>
    <row r="895">
      <c r="A895" s="13" t="n"/>
      <c r="B895" s="13" t="n"/>
      <c r="C895" s="68" t="n"/>
      <c r="D895" s="13" t="n"/>
      <c r="E895" s="13" t="n"/>
      <c r="F895" s="69" t="n"/>
      <c r="G895" s="69" t="n"/>
      <c r="H895" s="69" t="n"/>
      <c r="I895" s="13" t="n"/>
      <c r="J895" s="13" t="n"/>
      <c r="K895" s="13" t="n"/>
      <c r="L895" s="16">
        <f>IF($A895="","",1)</f>
        <v/>
      </c>
    </row>
    <row r="896">
      <c r="A896" s="13" t="n"/>
      <c r="B896" s="13" t="n"/>
      <c r="C896" s="68" t="n"/>
      <c r="D896" s="13" t="n"/>
      <c r="E896" s="13" t="n"/>
      <c r="F896" s="69" t="n"/>
      <c r="G896" s="69" t="n"/>
      <c r="H896" s="69" t="n"/>
      <c r="I896" s="13" t="n"/>
      <c r="J896" s="13" t="n"/>
      <c r="K896" s="13" t="n"/>
      <c r="L896" s="16">
        <f>IF($A896="","",1)</f>
        <v/>
      </c>
    </row>
    <row r="897">
      <c r="A897" s="13" t="n"/>
      <c r="B897" s="13" t="n"/>
      <c r="C897" s="68" t="n"/>
      <c r="D897" s="13" t="n"/>
      <c r="E897" s="13" t="n"/>
      <c r="F897" s="69" t="n"/>
      <c r="G897" s="69" t="n"/>
      <c r="H897" s="69" t="n"/>
      <c r="I897" s="13" t="n"/>
      <c r="J897" s="13" t="n"/>
      <c r="K897" s="13" t="n"/>
      <c r="L897" s="16">
        <f>IF($A897="","",1)</f>
        <v/>
      </c>
    </row>
    <row r="898">
      <c r="A898" s="13" t="n"/>
      <c r="B898" s="13" t="n"/>
      <c r="C898" s="68" t="n"/>
      <c r="D898" s="13" t="n"/>
      <c r="E898" s="13" t="n"/>
      <c r="F898" s="69" t="n"/>
      <c r="G898" s="69" t="n"/>
      <c r="H898" s="69" t="n"/>
      <c r="I898" s="13" t="n"/>
      <c r="J898" s="13" t="n"/>
      <c r="K898" s="13" t="n"/>
      <c r="L898" s="16">
        <f>IF($A898="","",1)</f>
        <v/>
      </c>
    </row>
    <row r="899">
      <c r="A899" s="13" t="n"/>
      <c r="B899" s="13" t="n"/>
      <c r="C899" s="68" t="n"/>
      <c r="D899" s="13" t="n"/>
      <c r="E899" s="13" t="n"/>
      <c r="F899" s="69" t="n"/>
      <c r="G899" s="69" t="n"/>
      <c r="H899" s="69" t="n"/>
      <c r="I899" s="13" t="n"/>
      <c r="J899" s="13" t="n"/>
      <c r="K899" s="13" t="n"/>
      <c r="L899" s="16">
        <f>IF($A899="","",1)</f>
        <v/>
      </c>
    </row>
    <row r="900">
      <c r="A900" s="13" t="n"/>
      <c r="B900" s="13" t="n"/>
      <c r="C900" s="68" t="n"/>
      <c r="D900" s="13" t="n"/>
      <c r="E900" s="13" t="n"/>
      <c r="F900" s="69" t="n"/>
      <c r="G900" s="69" t="n"/>
      <c r="H900" s="69" t="n"/>
      <c r="I900" s="13" t="n"/>
      <c r="J900" s="13" t="n"/>
      <c r="K900" s="13" t="n"/>
      <c r="L900" s="16">
        <f>IF($A900="","",1)</f>
        <v/>
      </c>
    </row>
    <row r="901">
      <c r="A901" s="13" t="n"/>
      <c r="B901" s="13" t="n"/>
      <c r="C901" s="68" t="n"/>
      <c r="D901" s="13" t="n"/>
      <c r="E901" s="13" t="n"/>
      <c r="F901" s="69" t="n"/>
      <c r="G901" s="69" t="n"/>
      <c r="H901" s="69" t="n"/>
      <c r="I901" s="13" t="n"/>
      <c r="J901" s="13" t="n"/>
      <c r="K901" s="13" t="n"/>
      <c r="L901" s="16">
        <f>IF($A901="","",1)</f>
        <v/>
      </c>
    </row>
    <row r="902">
      <c r="A902" s="13" t="n"/>
      <c r="B902" s="13" t="n"/>
      <c r="C902" s="68" t="n"/>
      <c r="D902" s="13" t="n"/>
      <c r="E902" s="13" t="n"/>
      <c r="F902" s="69" t="n"/>
      <c r="G902" s="69" t="n"/>
      <c r="H902" s="69" t="n"/>
      <c r="I902" s="13" t="n"/>
      <c r="J902" s="13" t="n"/>
      <c r="K902" s="13" t="n"/>
      <c r="L902" s="16">
        <f>IF($A902="","",1)</f>
        <v/>
      </c>
    </row>
    <row r="903">
      <c r="A903" s="13" t="n"/>
      <c r="B903" s="13" t="n"/>
      <c r="C903" s="68" t="n"/>
      <c r="D903" s="13" t="n"/>
      <c r="E903" s="13" t="n"/>
      <c r="F903" s="69" t="n"/>
      <c r="G903" s="69" t="n"/>
      <c r="H903" s="69" t="n"/>
      <c r="I903" s="13" t="n"/>
      <c r="J903" s="13" t="n"/>
      <c r="K903" s="13" t="n"/>
      <c r="L903" s="16">
        <f>IF($A903="","",1)</f>
        <v/>
      </c>
    </row>
    <row r="904">
      <c r="A904" s="13" t="n"/>
      <c r="B904" s="13" t="n"/>
      <c r="C904" s="68" t="n"/>
      <c r="D904" s="13" t="n"/>
      <c r="E904" s="13" t="n"/>
      <c r="F904" s="69" t="n"/>
      <c r="G904" s="69" t="n"/>
      <c r="H904" s="69" t="n"/>
      <c r="I904" s="13" t="n"/>
      <c r="J904" s="13" t="n"/>
      <c r="K904" s="13" t="n"/>
      <c r="L904" s="16">
        <f>IF($A904="","",1)</f>
        <v/>
      </c>
    </row>
    <row r="905">
      <c r="A905" s="13" t="n"/>
      <c r="B905" s="13" t="n"/>
      <c r="C905" s="68" t="n"/>
      <c r="D905" s="13" t="n"/>
      <c r="E905" s="13" t="n"/>
      <c r="F905" s="69" t="n"/>
      <c r="G905" s="69" t="n"/>
      <c r="H905" s="69" t="n"/>
      <c r="I905" s="13" t="n"/>
      <c r="J905" s="13" t="n"/>
      <c r="K905" s="13" t="n"/>
      <c r="L905" s="16">
        <f>IF($A905="","",1)</f>
        <v/>
      </c>
    </row>
    <row r="906">
      <c r="A906" s="13" t="n"/>
      <c r="B906" s="13" t="n"/>
      <c r="C906" s="68" t="n"/>
      <c r="D906" s="13" t="n"/>
      <c r="E906" s="13" t="n"/>
      <c r="F906" s="69" t="n"/>
      <c r="G906" s="69" t="n"/>
      <c r="H906" s="69" t="n"/>
      <c r="I906" s="13" t="n"/>
      <c r="J906" s="13" t="n"/>
      <c r="K906" s="13" t="n"/>
      <c r="L906" s="16">
        <f>IF($A906="","",1)</f>
        <v/>
      </c>
    </row>
    <row r="907">
      <c r="A907" s="13" t="n"/>
      <c r="B907" s="13" t="n"/>
      <c r="C907" s="68" t="n"/>
      <c r="D907" s="13" t="n"/>
      <c r="E907" s="13" t="n"/>
      <c r="F907" s="69" t="n"/>
      <c r="G907" s="69" t="n"/>
      <c r="H907" s="69" t="n"/>
      <c r="I907" s="13" t="n"/>
      <c r="J907" s="13" t="n"/>
      <c r="K907" s="13" t="n"/>
      <c r="L907" s="16">
        <f>IF($A907="","",1)</f>
        <v/>
      </c>
    </row>
    <row r="908">
      <c r="A908" s="13" t="n"/>
      <c r="B908" s="13" t="n"/>
      <c r="C908" s="68" t="n"/>
      <c r="D908" s="13" t="n"/>
      <c r="E908" s="13" t="n"/>
      <c r="F908" s="69" t="n"/>
      <c r="G908" s="69" t="n"/>
      <c r="H908" s="69" t="n"/>
      <c r="I908" s="13" t="n"/>
      <c r="J908" s="13" t="n"/>
      <c r="K908" s="13" t="n"/>
      <c r="L908" s="16">
        <f>IF($A908="","",1)</f>
        <v/>
      </c>
    </row>
    <row r="909">
      <c r="A909" s="13" t="n"/>
      <c r="B909" s="13" t="n"/>
      <c r="C909" s="68" t="n"/>
      <c r="D909" s="13" t="n"/>
      <c r="E909" s="13" t="n"/>
      <c r="F909" s="69" t="n"/>
      <c r="G909" s="69" t="n"/>
      <c r="H909" s="69" t="n"/>
      <c r="I909" s="13" t="n"/>
      <c r="J909" s="13" t="n"/>
      <c r="K909" s="13" t="n"/>
      <c r="L909" s="16">
        <f>IF($A909="","",1)</f>
        <v/>
      </c>
    </row>
    <row r="910">
      <c r="A910" s="13" t="n"/>
      <c r="B910" s="13" t="n"/>
      <c r="C910" s="68" t="n"/>
      <c r="D910" s="13" t="n"/>
      <c r="E910" s="13" t="n"/>
      <c r="F910" s="69" t="n"/>
      <c r="G910" s="69" t="n"/>
      <c r="H910" s="69" t="n"/>
      <c r="I910" s="13" t="n"/>
      <c r="J910" s="13" t="n"/>
      <c r="K910" s="13" t="n"/>
      <c r="L910" s="16">
        <f>IF($A910="","",1)</f>
        <v/>
      </c>
    </row>
    <row r="911">
      <c r="A911" s="13" t="n"/>
      <c r="B911" s="13" t="n"/>
      <c r="C911" s="68" t="n"/>
      <c r="D911" s="13" t="n"/>
      <c r="E911" s="13" t="n"/>
      <c r="F911" s="69" t="n"/>
      <c r="G911" s="69" t="n"/>
      <c r="H911" s="69" t="n"/>
      <c r="I911" s="13" t="n"/>
      <c r="J911" s="13" t="n"/>
      <c r="K911" s="13" t="n"/>
      <c r="L911" s="16">
        <f>IF($A911="","",1)</f>
        <v/>
      </c>
    </row>
    <row r="912">
      <c r="A912" s="13" t="n"/>
      <c r="B912" s="13" t="n"/>
      <c r="C912" s="68" t="n"/>
      <c r="D912" s="13" t="n"/>
      <c r="E912" s="13" t="n"/>
      <c r="F912" s="69" t="n"/>
      <c r="G912" s="69" t="n"/>
      <c r="H912" s="69" t="n"/>
      <c r="I912" s="13" t="n"/>
      <c r="J912" s="13" t="n"/>
      <c r="K912" s="13" t="n"/>
      <c r="L912" s="16">
        <f>IF($A912="","",1)</f>
        <v/>
      </c>
    </row>
    <row r="913">
      <c r="A913" s="13" t="n"/>
      <c r="B913" s="13" t="n"/>
      <c r="C913" s="68" t="n"/>
      <c r="D913" s="13" t="n"/>
      <c r="E913" s="13" t="n"/>
      <c r="F913" s="69" t="n"/>
      <c r="G913" s="69" t="n"/>
      <c r="H913" s="69" t="n"/>
      <c r="I913" s="13" t="n"/>
      <c r="J913" s="13" t="n"/>
      <c r="K913" s="13" t="n"/>
      <c r="L913" s="16">
        <f>IF($A913="","",1)</f>
        <v/>
      </c>
    </row>
    <row r="914">
      <c r="A914" s="13" t="n"/>
      <c r="B914" s="13" t="n"/>
      <c r="C914" s="68" t="n"/>
      <c r="D914" s="13" t="n"/>
      <c r="E914" s="13" t="n"/>
      <c r="F914" s="69" t="n"/>
      <c r="G914" s="69" t="n"/>
      <c r="H914" s="69" t="n"/>
      <c r="I914" s="13" t="n"/>
      <c r="J914" s="13" t="n"/>
      <c r="K914" s="13" t="n"/>
      <c r="L914" s="16">
        <f>IF($A914="","",1)</f>
        <v/>
      </c>
    </row>
    <row r="915">
      <c r="A915" s="13" t="n"/>
      <c r="B915" s="13" t="n"/>
      <c r="C915" s="68" t="n"/>
      <c r="D915" s="13" t="n"/>
      <c r="E915" s="13" t="n"/>
      <c r="F915" s="69" t="n"/>
      <c r="G915" s="69" t="n"/>
      <c r="H915" s="69" t="n"/>
      <c r="I915" s="13" t="n"/>
      <c r="J915" s="13" t="n"/>
      <c r="K915" s="13" t="n"/>
      <c r="L915" s="16">
        <f>IF($A915="","",1)</f>
        <v/>
      </c>
    </row>
    <row r="916">
      <c r="A916" s="13" t="n"/>
      <c r="B916" s="13" t="n"/>
      <c r="C916" s="68" t="n"/>
      <c r="D916" s="13" t="n"/>
      <c r="E916" s="13" t="n"/>
      <c r="F916" s="69" t="n"/>
      <c r="G916" s="69" t="n"/>
      <c r="H916" s="69" t="n"/>
      <c r="I916" s="13" t="n"/>
      <c r="J916" s="13" t="n"/>
      <c r="K916" s="13" t="n"/>
      <c r="L916" s="16">
        <f>IF($A916="","",1)</f>
        <v/>
      </c>
    </row>
    <row r="917">
      <c r="A917" s="13" t="n"/>
      <c r="B917" s="13" t="n"/>
      <c r="C917" s="68" t="n"/>
      <c r="D917" s="13" t="n"/>
      <c r="E917" s="13" t="n"/>
      <c r="F917" s="69" t="n"/>
      <c r="G917" s="69" t="n"/>
      <c r="H917" s="69" t="n"/>
      <c r="I917" s="13" t="n"/>
      <c r="J917" s="13" t="n"/>
      <c r="K917" s="13" t="n"/>
      <c r="L917" s="16">
        <f>IF($A917="","",1)</f>
        <v/>
      </c>
    </row>
    <row r="918">
      <c r="A918" s="13" t="n"/>
      <c r="B918" s="13" t="n"/>
      <c r="C918" s="68" t="n"/>
      <c r="D918" s="13" t="n"/>
      <c r="E918" s="13" t="n"/>
      <c r="F918" s="69" t="n"/>
      <c r="G918" s="69" t="n"/>
      <c r="H918" s="69" t="n"/>
      <c r="I918" s="13" t="n"/>
      <c r="J918" s="13" t="n"/>
      <c r="K918" s="13" t="n"/>
      <c r="L918" s="16">
        <f>IF($A918="","",1)</f>
        <v/>
      </c>
    </row>
    <row r="919">
      <c r="A919" s="13" t="n"/>
      <c r="B919" s="13" t="n"/>
      <c r="C919" s="68" t="n"/>
      <c r="D919" s="13" t="n"/>
      <c r="E919" s="13" t="n"/>
      <c r="F919" s="69" t="n"/>
      <c r="G919" s="69" t="n"/>
      <c r="H919" s="69" t="n"/>
      <c r="I919" s="13" t="n"/>
      <c r="J919" s="13" t="n"/>
      <c r="K919" s="13" t="n"/>
      <c r="L919" s="16">
        <f>IF($A919="","",1)</f>
        <v/>
      </c>
    </row>
    <row r="920">
      <c r="A920" s="13" t="n"/>
      <c r="B920" s="13" t="n"/>
      <c r="C920" s="68" t="n"/>
      <c r="D920" s="13" t="n"/>
      <c r="E920" s="13" t="n"/>
      <c r="F920" s="69" t="n"/>
      <c r="G920" s="69" t="n"/>
      <c r="H920" s="69" t="n"/>
      <c r="I920" s="13" t="n"/>
      <c r="J920" s="13" t="n"/>
      <c r="K920" s="13" t="n"/>
      <c r="L920" s="16">
        <f>IF($A920="","",1)</f>
        <v/>
      </c>
    </row>
    <row r="921">
      <c r="A921" s="13" t="n"/>
      <c r="B921" s="13" t="n"/>
      <c r="C921" s="68" t="n"/>
      <c r="D921" s="13" t="n"/>
      <c r="E921" s="13" t="n"/>
      <c r="F921" s="69" t="n"/>
      <c r="G921" s="69" t="n"/>
      <c r="H921" s="69" t="n"/>
      <c r="I921" s="13" t="n"/>
      <c r="J921" s="13" t="n"/>
      <c r="K921" s="13" t="n"/>
      <c r="L921" s="16">
        <f>IF($A921="","",1)</f>
        <v/>
      </c>
    </row>
    <row r="922">
      <c r="A922" s="13" t="n"/>
      <c r="B922" s="13" t="n"/>
      <c r="C922" s="68" t="n"/>
      <c r="D922" s="13" t="n"/>
      <c r="E922" s="13" t="n"/>
      <c r="F922" s="69" t="n"/>
      <c r="G922" s="69" t="n"/>
      <c r="H922" s="69" t="n"/>
      <c r="I922" s="13" t="n"/>
      <c r="J922" s="13" t="n"/>
      <c r="K922" s="13" t="n"/>
      <c r="L922" s="16">
        <f>IF($A922="","",1)</f>
        <v/>
      </c>
    </row>
    <row r="923">
      <c r="A923" s="13" t="n"/>
      <c r="B923" s="13" t="n"/>
      <c r="C923" s="68" t="n"/>
      <c r="D923" s="13" t="n"/>
      <c r="E923" s="13" t="n"/>
      <c r="F923" s="69" t="n"/>
      <c r="G923" s="69" t="n"/>
      <c r="H923" s="69" t="n"/>
      <c r="I923" s="13" t="n"/>
      <c r="J923" s="13" t="n"/>
      <c r="K923" s="13" t="n"/>
      <c r="L923" s="16">
        <f>IF($A923="","",1)</f>
        <v/>
      </c>
    </row>
    <row r="924">
      <c r="A924" s="13" t="n"/>
      <c r="B924" s="13" t="n"/>
      <c r="C924" s="68" t="n"/>
      <c r="D924" s="13" t="n"/>
      <c r="E924" s="13" t="n"/>
      <c r="F924" s="69" t="n"/>
      <c r="G924" s="69" t="n"/>
      <c r="H924" s="69" t="n"/>
      <c r="I924" s="13" t="n"/>
      <c r="J924" s="13" t="n"/>
      <c r="K924" s="13" t="n"/>
      <c r="L924" s="16">
        <f>IF($A924="","",1)</f>
        <v/>
      </c>
    </row>
    <row r="925">
      <c r="A925" s="13" t="n"/>
      <c r="B925" s="13" t="n"/>
      <c r="C925" s="68" t="n"/>
      <c r="D925" s="13" t="n"/>
      <c r="E925" s="13" t="n"/>
      <c r="F925" s="69" t="n"/>
      <c r="G925" s="69" t="n"/>
      <c r="H925" s="69" t="n"/>
      <c r="I925" s="13" t="n"/>
      <c r="J925" s="13" t="n"/>
      <c r="K925" s="13" t="n"/>
      <c r="L925" s="16">
        <f>IF($A925="","",1)</f>
        <v/>
      </c>
    </row>
    <row r="926">
      <c r="A926" s="13" t="n"/>
      <c r="B926" s="13" t="n"/>
      <c r="C926" s="68" t="n"/>
      <c r="D926" s="13" t="n"/>
      <c r="E926" s="13" t="n"/>
      <c r="F926" s="69" t="n"/>
      <c r="G926" s="69" t="n"/>
      <c r="H926" s="69" t="n"/>
      <c r="I926" s="13" t="n"/>
      <c r="J926" s="13" t="n"/>
      <c r="K926" s="13" t="n"/>
      <c r="L926" s="16">
        <f>IF($A926="","",1)</f>
        <v/>
      </c>
    </row>
    <row r="927">
      <c r="A927" s="13" t="n"/>
      <c r="B927" s="13" t="n"/>
      <c r="C927" s="68" t="n"/>
      <c r="D927" s="13" t="n"/>
      <c r="E927" s="13" t="n"/>
      <c r="F927" s="69" t="n"/>
      <c r="G927" s="69" t="n"/>
      <c r="H927" s="69" t="n"/>
      <c r="I927" s="13" t="n"/>
      <c r="J927" s="13" t="n"/>
      <c r="K927" s="13" t="n"/>
      <c r="L927" s="16">
        <f>IF($A927="","",1)</f>
        <v/>
      </c>
    </row>
    <row r="928">
      <c r="A928" s="13" t="n"/>
      <c r="B928" s="13" t="n"/>
      <c r="C928" s="68" t="n"/>
      <c r="D928" s="13" t="n"/>
      <c r="E928" s="13" t="n"/>
      <c r="F928" s="69" t="n"/>
      <c r="G928" s="69" t="n"/>
      <c r="H928" s="69" t="n"/>
      <c r="I928" s="13" t="n"/>
      <c r="J928" s="13" t="n"/>
      <c r="K928" s="13" t="n"/>
      <c r="L928" s="16">
        <f>IF($A928="","",1)</f>
        <v/>
      </c>
    </row>
    <row r="929">
      <c r="A929" s="13" t="n"/>
      <c r="B929" s="13" t="n"/>
      <c r="C929" s="68" t="n"/>
      <c r="D929" s="13" t="n"/>
      <c r="E929" s="13" t="n"/>
      <c r="F929" s="69" t="n"/>
      <c r="G929" s="69" t="n"/>
      <c r="H929" s="69" t="n"/>
      <c r="I929" s="13" t="n"/>
      <c r="J929" s="13" t="n"/>
      <c r="K929" s="13" t="n"/>
      <c r="L929" s="16">
        <f>IF($A929="","",1)</f>
        <v/>
      </c>
    </row>
    <row r="930">
      <c r="A930" s="13" t="n"/>
      <c r="B930" s="13" t="n"/>
      <c r="C930" s="68" t="n"/>
      <c r="D930" s="13" t="n"/>
      <c r="E930" s="13" t="n"/>
      <c r="F930" s="69" t="n"/>
      <c r="G930" s="69" t="n"/>
      <c r="H930" s="69" t="n"/>
      <c r="I930" s="13" t="n"/>
      <c r="J930" s="13" t="n"/>
      <c r="K930" s="13" t="n"/>
      <c r="L930" s="16">
        <f>IF($A930="","",1)</f>
        <v/>
      </c>
    </row>
    <row r="931">
      <c r="A931" s="13" t="n"/>
      <c r="B931" s="13" t="n"/>
      <c r="C931" s="68" t="n"/>
      <c r="D931" s="13" t="n"/>
      <c r="E931" s="13" t="n"/>
      <c r="F931" s="69" t="n"/>
      <c r="G931" s="69" t="n"/>
      <c r="H931" s="69" t="n"/>
      <c r="I931" s="13" t="n"/>
      <c r="J931" s="13" t="n"/>
      <c r="K931" s="13" t="n"/>
      <c r="L931" s="16">
        <f>IF($A931="","",1)</f>
        <v/>
      </c>
    </row>
    <row r="932">
      <c r="A932" s="13" t="n"/>
      <c r="B932" s="13" t="n"/>
      <c r="C932" s="68" t="n"/>
      <c r="D932" s="13" t="n"/>
      <c r="E932" s="13" t="n"/>
      <c r="F932" s="69" t="n"/>
      <c r="G932" s="69" t="n"/>
      <c r="H932" s="69" t="n"/>
      <c r="I932" s="13" t="n"/>
      <c r="J932" s="13" t="n"/>
      <c r="K932" s="13" t="n"/>
      <c r="L932" s="16">
        <f>IF($A932="","",1)</f>
        <v/>
      </c>
    </row>
    <row r="933">
      <c r="A933" s="13" t="n"/>
      <c r="B933" s="13" t="n"/>
      <c r="C933" s="68" t="n"/>
      <c r="D933" s="13" t="n"/>
      <c r="E933" s="13" t="n"/>
      <c r="F933" s="69" t="n"/>
      <c r="G933" s="69" t="n"/>
      <c r="H933" s="69" t="n"/>
      <c r="I933" s="13" t="n"/>
      <c r="J933" s="13" t="n"/>
      <c r="K933" s="13" t="n"/>
      <c r="L933" s="16">
        <f>IF($A933="","",1)</f>
        <v/>
      </c>
    </row>
    <row r="934">
      <c r="A934" s="13" t="n"/>
      <c r="B934" s="13" t="n"/>
      <c r="C934" s="68" t="n"/>
      <c r="D934" s="13" t="n"/>
      <c r="E934" s="13" t="n"/>
      <c r="F934" s="69" t="n"/>
      <c r="G934" s="69" t="n"/>
      <c r="H934" s="69" t="n"/>
      <c r="I934" s="13" t="n"/>
      <c r="J934" s="13" t="n"/>
      <c r="K934" s="13" t="n"/>
      <c r="L934" s="16">
        <f>IF($A934="","",1)</f>
        <v/>
      </c>
    </row>
    <row r="935">
      <c r="A935" s="13" t="n"/>
      <c r="B935" s="13" t="n"/>
      <c r="C935" s="68" t="n"/>
      <c r="D935" s="13" t="n"/>
      <c r="E935" s="13" t="n"/>
      <c r="F935" s="69" t="n"/>
      <c r="G935" s="69" t="n"/>
      <c r="H935" s="69" t="n"/>
      <c r="I935" s="13" t="n"/>
      <c r="J935" s="13" t="n"/>
      <c r="K935" s="13" t="n"/>
      <c r="L935" s="16">
        <f>IF($A935="","",1)</f>
        <v/>
      </c>
    </row>
    <row r="936">
      <c r="A936" s="13" t="n"/>
      <c r="B936" s="13" t="n"/>
      <c r="C936" s="68" t="n"/>
      <c r="D936" s="13" t="n"/>
      <c r="E936" s="13" t="n"/>
      <c r="F936" s="69" t="n"/>
      <c r="G936" s="69" t="n"/>
      <c r="H936" s="69" t="n"/>
      <c r="I936" s="13" t="n"/>
      <c r="J936" s="13" t="n"/>
      <c r="K936" s="13" t="n"/>
      <c r="L936" s="16">
        <f>IF($A936="","",1)</f>
        <v/>
      </c>
    </row>
    <row r="937">
      <c r="A937" s="13" t="n"/>
      <c r="B937" s="13" t="n"/>
      <c r="C937" s="68" t="n"/>
      <c r="D937" s="13" t="n"/>
      <c r="E937" s="13" t="n"/>
      <c r="F937" s="69" t="n"/>
      <c r="G937" s="69" t="n"/>
      <c r="H937" s="69" t="n"/>
      <c r="I937" s="13" t="n"/>
      <c r="J937" s="13" t="n"/>
      <c r="K937" s="13" t="n"/>
      <c r="L937" s="16">
        <f>IF($A937="","",1)</f>
        <v/>
      </c>
    </row>
    <row r="938">
      <c r="A938" s="13" t="n"/>
      <c r="B938" s="13" t="n"/>
      <c r="C938" s="68" t="n"/>
      <c r="D938" s="13" t="n"/>
      <c r="E938" s="13" t="n"/>
      <c r="F938" s="69" t="n"/>
      <c r="G938" s="69" t="n"/>
      <c r="H938" s="69" t="n"/>
      <c r="I938" s="13" t="n"/>
      <c r="J938" s="13" t="n"/>
      <c r="K938" s="13" t="n"/>
      <c r="L938" s="16">
        <f>IF($A938="","",1)</f>
        <v/>
      </c>
    </row>
    <row r="939">
      <c r="A939" s="13" t="n"/>
      <c r="B939" s="13" t="n"/>
      <c r="C939" s="68" t="n"/>
      <c r="D939" s="13" t="n"/>
      <c r="E939" s="13" t="n"/>
      <c r="F939" s="69" t="n"/>
      <c r="G939" s="69" t="n"/>
      <c r="H939" s="69" t="n"/>
      <c r="I939" s="13" t="n"/>
      <c r="J939" s="13" t="n"/>
      <c r="K939" s="13" t="n"/>
      <c r="L939" s="16">
        <f>IF($A939="","",1)</f>
        <v/>
      </c>
    </row>
    <row r="940">
      <c r="A940" s="13" t="n"/>
      <c r="B940" s="13" t="n"/>
      <c r="C940" s="68" t="n"/>
      <c r="D940" s="13" t="n"/>
      <c r="E940" s="13" t="n"/>
      <c r="F940" s="69" t="n"/>
      <c r="G940" s="69" t="n"/>
      <c r="H940" s="69" t="n"/>
      <c r="I940" s="13" t="n"/>
      <c r="J940" s="13" t="n"/>
      <c r="K940" s="13" t="n"/>
      <c r="L940" s="16">
        <f>IF($A940="","",1)</f>
        <v/>
      </c>
    </row>
    <row r="941">
      <c r="A941" s="13" t="n"/>
      <c r="B941" s="13" t="n"/>
      <c r="C941" s="68" t="n"/>
      <c r="D941" s="13" t="n"/>
      <c r="E941" s="13" t="n"/>
      <c r="F941" s="69" t="n"/>
      <c r="G941" s="69" t="n"/>
      <c r="H941" s="69" t="n"/>
      <c r="I941" s="13" t="n"/>
      <c r="J941" s="13" t="n"/>
      <c r="K941" s="13" t="n"/>
      <c r="L941" s="16">
        <f>IF($A941="","",1)</f>
        <v/>
      </c>
    </row>
    <row r="942">
      <c r="A942" s="13" t="n"/>
      <c r="B942" s="13" t="n"/>
      <c r="C942" s="68" t="n"/>
      <c r="D942" s="13" t="n"/>
      <c r="E942" s="13" t="n"/>
      <c r="F942" s="69" t="n"/>
      <c r="G942" s="69" t="n"/>
      <c r="H942" s="69" t="n"/>
      <c r="I942" s="13" t="n"/>
      <c r="J942" s="13" t="n"/>
      <c r="K942" s="13" t="n"/>
      <c r="L942" s="16">
        <f>IF($A942="","",1)</f>
        <v/>
      </c>
    </row>
    <row r="943">
      <c r="A943" s="13" t="n"/>
      <c r="B943" s="13" t="n"/>
      <c r="C943" s="68" t="n"/>
      <c r="D943" s="13" t="n"/>
      <c r="E943" s="13" t="n"/>
      <c r="F943" s="69" t="n"/>
      <c r="G943" s="69" t="n"/>
      <c r="H943" s="69" t="n"/>
      <c r="I943" s="13" t="n"/>
      <c r="J943" s="13" t="n"/>
      <c r="K943" s="13" t="n"/>
      <c r="L943" s="16">
        <f>IF($A943="","",1)</f>
        <v/>
      </c>
    </row>
    <row r="944">
      <c r="A944" s="13" t="n"/>
      <c r="B944" s="13" t="n"/>
      <c r="C944" s="68" t="n"/>
      <c r="D944" s="13" t="n"/>
      <c r="E944" s="13" t="n"/>
      <c r="F944" s="69" t="n"/>
      <c r="G944" s="69" t="n"/>
      <c r="H944" s="69" t="n"/>
      <c r="I944" s="13" t="n"/>
      <c r="J944" s="13" t="n"/>
      <c r="K944" s="13" t="n"/>
      <c r="L944" s="16">
        <f>IF($A944="","",1)</f>
        <v/>
      </c>
    </row>
    <row r="945">
      <c r="A945" s="13" t="n"/>
      <c r="B945" s="13" t="n"/>
      <c r="C945" s="68" t="n"/>
      <c r="D945" s="13" t="n"/>
      <c r="E945" s="13" t="n"/>
      <c r="F945" s="69" t="n"/>
      <c r="G945" s="69" t="n"/>
      <c r="H945" s="69" t="n"/>
      <c r="I945" s="13" t="n"/>
      <c r="J945" s="13" t="n"/>
      <c r="K945" s="13" t="n"/>
      <c r="L945" s="16">
        <f>IF($A945="","",1)</f>
        <v/>
      </c>
    </row>
    <row r="946">
      <c r="A946" s="13" t="n"/>
      <c r="B946" s="13" t="n"/>
      <c r="C946" s="68" t="n"/>
      <c r="D946" s="13" t="n"/>
      <c r="E946" s="13" t="n"/>
      <c r="F946" s="69" t="n"/>
      <c r="G946" s="69" t="n"/>
      <c r="H946" s="69" t="n"/>
      <c r="I946" s="13" t="n"/>
      <c r="J946" s="13" t="n"/>
      <c r="K946" s="13" t="n"/>
      <c r="L946" s="16">
        <f>IF($A946="","",1)</f>
        <v/>
      </c>
    </row>
    <row r="947">
      <c r="A947" s="13" t="n"/>
      <c r="B947" s="13" t="n"/>
      <c r="C947" s="68" t="n"/>
      <c r="D947" s="13" t="n"/>
      <c r="E947" s="13" t="n"/>
      <c r="F947" s="69" t="n"/>
      <c r="G947" s="69" t="n"/>
      <c r="H947" s="69" t="n"/>
      <c r="I947" s="13" t="n"/>
      <c r="J947" s="13" t="n"/>
      <c r="K947" s="13" t="n"/>
      <c r="L947" s="16">
        <f>IF($A947="","",1)</f>
        <v/>
      </c>
    </row>
    <row r="948">
      <c r="A948" s="13" t="n"/>
      <c r="B948" s="13" t="n"/>
      <c r="C948" s="68" t="n"/>
      <c r="D948" s="13" t="n"/>
      <c r="E948" s="13" t="n"/>
      <c r="F948" s="69" t="n"/>
      <c r="G948" s="69" t="n"/>
      <c r="H948" s="69" t="n"/>
      <c r="I948" s="13" t="n"/>
      <c r="J948" s="13" t="n"/>
      <c r="K948" s="13" t="n"/>
      <c r="L948" s="16">
        <f>IF($A948="","",1)</f>
        <v/>
      </c>
    </row>
    <row r="949">
      <c r="A949" s="13" t="n"/>
      <c r="B949" s="13" t="n"/>
      <c r="C949" s="68" t="n"/>
      <c r="D949" s="13" t="n"/>
      <c r="E949" s="13" t="n"/>
      <c r="F949" s="69" t="n"/>
      <c r="G949" s="69" t="n"/>
      <c r="H949" s="69" t="n"/>
      <c r="I949" s="13" t="n"/>
      <c r="J949" s="13" t="n"/>
      <c r="K949" s="13" t="n"/>
      <c r="L949" s="16">
        <f>IF($A949="","",1)</f>
        <v/>
      </c>
    </row>
    <row r="950">
      <c r="A950" s="13" t="n"/>
      <c r="B950" s="13" t="n"/>
      <c r="C950" s="68" t="n"/>
      <c r="D950" s="13" t="n"/>
      <c r="E950" s="13" t="n"/>
      <c r="F950" s="69" t="n"/>
      <c r="G950" s="69" t="n"/>
      <c r="H950" s="69" t="n"/>
      <c r="I950" s="13" t="n"/>
      <c r="J950" s="13" t="n"/>
      <c r="K950" s="13" t="n"/>
      <c r="L950" s="16">
        <f>IF($A950="","",1)</f>
        <v/>
      </c>
    </row>
    <row r="951">
      <c r="A951" s="13" t="n"/>
      <c r="B951" s="13" t="n"/>
      <c r="C951" s="68" t="n"/>
      <c r="D951" s="13" t="n"/>
      <c r="E951" s="13" t="n"/>
      <c r="F951" s="69" t="n"/>
      <c r="G951" s="69" t="n"/>
      <c r="H951" s="69" t="n"/>
      <c r="I951" s="13" t="n"/>
      <c r="J951" s="13" t="n"/>
      <c r="K951" s="13" t="n"/>
      <c r="L951" s="16">
        <f>IF($A951="","",1)</f>
        <v/>
      </c>
    </row>
    <row r="952">
      <c r="A952" s="13" t="n"/>
      <c r="B952" s="13" t="n"/>
      <c r="C952" s="68" t="n"/>
      <c r="D952" s="13" t="n"/>
      <c r="E952" s="13" t="n"/>
      <c r="F952" s="69" t="n"/>
      <c r="G952" s="69" t="n"/>
      <c r="H952" s="69" t="n"/>
      <c r="I952" s="13" t="n"/>
      <c r="J952" s="13" t="n"/>
      <c r="K952" s="13" t="n"/>
      <c r="L952" s="16">
        <f>IF($A952="","",1)</f>
        <v/>
      </c>
    </row>
    <row r="953">
      <c r="A953" s="13" t="n"/>
      <c r="B953" s="13" t="n"/>
      <c r="C953" s="68" t="n"/>
      <c r="D953" s="13" t="n"/>
      <c r="E953" s="13" t="n"/>
      <c r="F953" s="69" t="n"/>
      <c r="G953" s="69" t="n"/>
      <c r="H953" s="69" t="n"/>
      <c r="I953" s="13" t="n"/>
      <c r="J953" s="13" t="n"/>
      <c r="K953" s="13" t="n"/>
      <c r="L953" s="16">
        <f>IF($A953="","",1)</f>
        <v/>
      </c>
    </row>
    <row r="954">
      <c r="A954" s="13" t="n"/>
      <c r="B954" s="13" t="n"/>
      <c r="C954" s="68" t="n"/>
      <c r="D954" s="13" t="n"/>
      <c r="E954" s="13" t="n"/>
      <c r="F954" s="69" t="n"/>
      <c r="G954" s="69" t="n"/>
      <c r="H954" s="69" t="n"/>
      <c r="I954" s="13" t="n"/>
      <c r="J954" s="13" t="n"/>
      <c r="K954" s="13" t="n"/>
      <c r="L954" s="16">
        <f>IF($A954="","",1)</f>
        <v/>
      </c>
    </row>
    <row r="955">
      <c r="A955" s="13" t="n"/>
      <c r="B955" s="13" t="n"/>
      <c r="C955" s="68" t="n"/>
      <c r="D955" s="13" t="n"/>
      <c r="E955" s="13" t="n"/>
      <c r="F955" s="69" t="n"/>
      <c r="G955" s="69" t="n"/>
      <c r="H955" s="69" t="n"/>
      <c r="I955" s="13" t="n"/>
      <c r="J955" s="13" t="n"/>
      <c r="K955" s="13" t="n"/>
      <c r="L955" s="16">
        <f>IF($A955="","",1)</f>
        <v/>
      </c>
    </row>
    <row r="956">
      <c r="A956" s="13" t="n"/>
      <c r="B956" s="13" t="n"/>
      <c r="C956" s="68" t="n"/>
      <c r="D956" s="13" t="n"/>
      <c r="E956" s="13" t="n"/>
      <c r="F956" s="69" t="n"/>
      <c r="G956" s="69" t="n"/>
      <c r="H956" s="69" t="n"/>
      <c r="I956" s="13" t="n"/>
      <c r="J956" s="13" t="n"/>
      <c r="K956" s="13" t="n"/>
      <c r="L956" s="16">
        <f>IF($A956="","",1)</f>
        <v/>
      </c>
    </row>
    <row r="957">
      <c r="A957" s="13" t="n"/>
      <c r="B957" s="13" t="n"/>
      <c r="C957" s="68" t="n"/>
      <c r="D957" s="13" t="n"/>
      <c r="E957" s="13" t="n"/>
      <c r="F957" s="69" t="n"/>
      <c r="G957" s="69" t="n"/>
      <c r="H957" s="69" t="n"/>
      <c r="I957" s="13" t="n"/>
      <c r="J957" s="13" t="n"/>
      <c r="K957" s="13" t="n"/>
      <c r="L957" s="16">
        <f>IF($A957="","",1)</f>
        <v/>
      </c>
    </row>
    <row r="958">
      <c r="A958" s="13" t="n"/>
      <c r="B958" s="13" t="n"/>
      <c r="C958" s="68" t="n"/>
      <c r="D958" s="13" t="n"/>
      <c r="E958" s="13" t="n"/>
      <c r="F958" s="69" t="n"/>
      <c r="G958" s="69" t="n"/>
      <c r="H958" s="69" t="n"/>
      <c r="I958" s="13" t="n"/>
      <c r="J958" s="13" t="n"/>
      <c r="K958" s="13" t="n"/>
      <c r="L958" s="16">
        <f>IF($A958="","",1)</f>
        <v/>
      </c>
    </row>
    <row r="959">
      <c r="A959" s="13" t="n"/>
      <c r="B959" s="13" t="n"/>
      <c r="C959" s="68" t="n"/>
      <c r="D959" s="13" t="n"/>
      <c r="E959" s="13" t="n"/>
      <c r="F959" s="69" t="n"/>
      <c r="G959" s="69" t="n"/>
      <c r="H959" s="69" t="n"/>
      <c r="I959" s="13" t="n"/>
      <c r="J959" s="13" t="n"/>
      <c r="K959" s="13" t="n"/>
      <c r="L959" s="16">
        <f>IF($A959="","",1)</f>
        <v/>
      </c>
    </row>
    <row r="960">
      <c r="A960" s="13" t="n"/>
      <c r="B960" s="13" t="n"/>
      <c r="C960" s="68" t="n"/>
      <c r="D960" s="13" t="n"/>
      <c r="E960" s="13" t="n"/>
      <c r="F960" s="69" t="n"/>
      <c r="G960" s="69" t="n"/>
      <c r="H960" s="69" t="n"/>
      <c r="I960" s="13" t="n"/>
      <c r="J960" s="13" t="n"/>
      <c r="K960" s="13" t="n"/>
      <c r="L960" s="16">
        <f>IF($A960="","",1)</f>
        <v/>
      </c>
    </row>
    <row r="961">
      <c r="A961" s="13" t="n"/>
      <c r="B961" s="13" t="n"/>
      <c r="C961" s="68" t="n"/>
      <c r="D961" s="13" t="n"/>
      <c r="E961" s="13" t="n"/>
      <c r="F961" s="69" t="n"/>
      <c r="G961" s="69" t="n"/>
      <c r="H961" s="69" t="n"/>
      <c r="I961" s="13" t="n"/>
      <c r="J961" s="13" t="n"/>
      <c r="K961" s="13" t="n"/>
      <c r="L961" s="16">
        <f>IF($A961="","",1)</f>
        <v/>
      </c>
    </row>
    <row r="962">
      <c r="A962" s="13" t="n"/>
      <c r="B962" s="13" t="n"/>
      <c r="C962" s="68" t="n"/>
      <c r="D962" s="13" t="n"/>
      <c r="E962" s="13" t="n"/>
      <c r="F962" s="69" t="n"/>
      <c r="G962" s="69" t="n"/>
      <c r="H962" s="69" t="n"/>
      <c r="I962" s="13" t="n"/>
      <c r="J962" s="13" t="n"/>
      <c r="K962" s="13" t="n"/>
      <c r="L962" s="16">
        <f>IF($A962="","",1)</f>
        <v/>
      </c>
    </row>
    <row r="963">
      <c r="A963" s="13" t="n"/>
      <c r="B963" s="13" t="n"/>
      <c r="C963" s="68" t="n"/>
      <c r="D963" s="13" t="n"/>
      <c r="E963" s="13" t="n"/>
      <c r="F963" s="69" t="n"/>
      <c r="G963" s="69" t="n"/>
      <c r="H963" s="69" t="n"/>
      <c r="I963" s="13" t="n"/>
      <c r="J963" s="13" t="n"/>
      <c r="K963" s="13" t="n"/>
      <c r="L963" s="16">
        <f>IF($A963="","",1)</f>
        <v/>
      </c>
    </row>
    <row r="964">
      <c r="A964" s="13" t="n"/>
      <c r="B964" s="13" t="n"/>
      <c r="C964" s="68" t="n"/>
      <c r="D964" s="13" t="n"/>
      <c r="E964" s="13" t="n"/>
      <c r="F964" s="69" t="n"/>
      <c r="G964" s="69" t="n"/>
      <c r="H964" s="69" t="n"/>
      <c r="I964" s="13" t="n"/>
      <c r="J964" s="13" t="n"/>
      <c r="K964" s="13" t="n"/>
      <c r="L964" s="16">
        <f>IF($A964="","",1)</f>
        <v/>
      </c>
    </row>
    <row r="965">
      <c r="A965" s="13" t="n"/>
      <c r="B965" s="13" t="n"/>
      <c r="C965" s="68" t="n"/>
      <c r="D965" s="13" t="n"/>
      <c r="E965" s="13" t="n"/>
      <c r="F965" s="69" t="n"/>
      <c r="G965" s="69" t="n"/>
      <c r="H965" s="69" t="n"/>
      <c r="I965" s="13" t="n"/>
      <c r="J965" s="13" t="n"/>
      <c r="K965" s="13" t="n"/>
      <c r="L965" s="16">
        <f>IF($A965="","",1)</f>
        <v/>
      </c>
    </row>
    <row r="966">
      <c r="A966" s="13" t="n"/>
      <c r="B966" s="13" t="n"/>
      <c r="C966" s="68" t="n"/>
      <c r="D966" s="13" t="n"/>
      <c r="E966" s="13" t="n"/>
      <c r="F966" s="69" t="n"/>
      <c r="G966" s="69" t="n"/>
      <c r="H966" s="69" t="n"/>
      <c r="I966" s="13" t="n"/>
      <c r="J966" s="13" t="n"/>
      <c r="K966" s="13" t="n"/>
      <c r="L966" s="16">
        <f>IF($A966="","",1)</f>
        <v/>
      </c>
    </row>
    <row r="967">
      <c r="A967" s="13" t="n"/>
      <c r="B967" s="13" t="n"/>
      <c r="C967" s="68" t="n"/>
      <c r="D967" s="13" t="n"/>
      <c r="E967" s="13" t="n"/>
      <c r="F967" s="69" t="n"/>
      <c r="G967" s="69" t="n"/>
      <c r="H967" s="69" t="n"/>
      <c r="I967" s="13" t="n"/>
      <c r="J967" s="13" t="n"/>
      <c r="K967" s="13" t="n"/>
      <c r="L967" s="16">
        <f>IF($A967="","",1)</f>
        <v/>
      </c>
    </row>
    <row r="968">
      <c r="A968" s="13" t="n"/>
      <c r="B968" s="13" t="n"/>
      <c r="C968" s="68" t="n"/>
      <c r="D968" s="13" t="n"/>
      <c r="E968" s="13" t="n"/>
      <c r="F968" s="69" t="n"/>
      <c r="G968" s="69" t="n"/>
      <c r="H968" s="69" t="n"/>
      <c r="I968" s="13" t="n"/>
      <c r="J968" s="13" t="n"/>
      <c r="K968" s="13" t="n"/>
      <c r="L968" s="16">
        <f>IF($A968="","",1)</f>
        <v/>
      </c>
    </row>
    <row r="969">
      <c r="A969" s="13" t="n"/>
      <c r="B969" s="13" t="n"/>
      <c r="C969" s="68" t="n"/>
      <c r="D969" s="13" t="n"/>
      <c r="E969" s="13" t="n"/>
      <c r="F969" s="69" t="n"/>
      <c r="G969" s="69" t="n"/>
      <c r="H969" s="69" t="n"/>
      <c r="I969" s="13" t="n"/>
      <c r="J969" s="13" t="n"/>
      <c r="K969" s="13" t="n"/>
      <c r="L969" s="16">
        <f>IF($A969="","",1)</f>
        <v/>
      </c>
    </row>
    <row r="970">
      <c r="A970" s="13" t="n"/>
      <c r="B970" s="13" t="n"/>
      <c r="C970" s="68" t="n"/>
      <c r="D970" s="13" t="n"/>
      <c r="E970" s="13" t="n"/>
      <c r="F970" s="69" t="n"/>
      <c r="G970" s="69" t="n"/>
      <c r="H970" s="69" t="n"/>
      <c r="I970" s="13" t="n"/>
      <c r="J970" s="13" t="n"/>
      <c r="K970" s="13" t="n"/>
      <c r="L970" s="16">
        <f>IF($A970="","",1)</f>
        <v/>
      </c>
    </row>
    <row r="971">
      <c r="A971" s="13" t="n"/>
      <c r="B971" s="13" t="n"/>
      <c r="C971" s="68" t="n"/>
      <c r="D971" s="13" t="n"/>
      <c r="E971" s="13" t="n"/>
      <c r="F971" s="69" t="n"/>
      <c r="G971" s="69" t="n"/>
      <c r="H971" s="69" t="n"/>
      <c r="I971" s="13" t="n"/>
      <c r="J971" s="13" t="n"/>
      <c r="K971" s="13" t="n"/>
      <c r="L971" s="16">
        <f>IF($A971="","",1)</f>
        <v/>
      </c>
    </row>
    <row r="972">
      <c r="A972" s="13" t="n"/>
      <c r="B972" s="13" t="n"/>
      <c r="C972" s="68" t="n"/>
      <c r="D972" s="13" t="n"/>
      <c r="E972" s="13" t="n"/>
      <c r="F972" s="69" t="n"/>
      <c r="G972" s="69" t="n"/>
      <c r="H972" s="69" t="n"/>
      <c r="I972" s="13" t="n"/>
      <c r="J972" s="13" t="n"/>
      <c r="K972" s="13" t="n"/>
      <c r="L972" s="16">
        <f>IF($A972="","",1)</f>
        <v/>
      </c>
    </row>
    <row r="973">
      <c r="A973" s="13" t="n"/>
      <c r="B973" s="13" t="n"/>
      <c r="C973" s="68" t="n"/>
      <c r="D973" s="13" t="n"/>
      <c r="E973" s="13" t="n"/>
      <c r="F973" s="69" t="n"/>
      <c r="G973" s="69" t="n"/>
      <c r="H973" s="69" t="n"/>
      <c r="I973" s="13" t="n"/>
      <c r="J973" s="13" t="n"/>
      <c r="K973" s="13" t="n"/>
      <c r="L973" s="16">
        <f>IF($A973="","",1)</f>
        <v/>
      </c>
    </row>
    <row r="974">
      <c r="A974" s="13" t="n"/>
      <c r="B974" s="13" t="n"/>
      <c r="C974" s="68" t="n"/>
      <c r="D974" s="13" t="n"/>
      <c r="E974" s="13" t="n"/>
      <c r="F974" s="69" t="n"/>
      <c r="G974" s="69" t="n"/>
      <c r="H974" s="69" t="n"/>
      <c r="I974" s="13" t="n"/>
      <c r="J974" s="13" t="n"/>
      <c r="K974" s="13" t="n"/>
      <c r="L974" s="16">
        <f>IF($A974="","",1)</f>
        <v/>
      </c>
    </row>
    <row r="975">
      <c r="A975" s="13" t="n"/>
      <c r="B975" s="13" t="n"/>
      <c r="C975" s="68" t="n"/>
      <c r="D975" s="13" t="n"/>
      <c r="E975" s="13" t="n"/>
      <c r="F975" s="69" t="n"/>
      <c r="G975" s="69" t="n"/>
      <c r="H975" s="69" t="n"/>
      <c r="I975" s="13" t="n"/>
      <c r="J975" s="13" t="n"/>
      <c r="K975" s="13" t="n"/>
      <c r="L975" s="16">
        <f>IF($A975="","",1)</f>
        <v/>
      </c>
    </row>
    <row r="976">
      <c r="A976" s="13" t="n"/>
      <c r="B976" s="13" t="n"/>
      <c r="C976" s="68" t="n"/>
      <c r="D976" s="13" t="n"/>
      <c r="E976" s="13" t="n"/>
      <c r="F976" s="69" t="n"/>
      <c r="G976" s="69" t="n"/>
      <c r="H976" s="69" t="n"/>
      <c r="I976" s="13" t="n"/>
      <c r="J976" s="13" t="n"/>
      <c r="K976" s="13" t="n"/>
      <c r="L976" s="16">
        <f>IF($A976="","",1)</f>
        <v/>
      </c>
    </row>
    <row r="977">
      <c r="A977" s="13" t="n"/>
      <c r="B977" s="13" t="n"/>
      <c r="C977" s="68" t="n"/>
      <c r="D977" s="13" t="n"/>
      <c r="E977" s="13" t="n"/>
      <c r="F977" s="69" t="n"/>
      <c r="G977" s="69" t="n"/>
      <c r="H977" s="69" t="n"/>
      <c r="I977" s="13" t="n"/>
      <c r="J977" s="13" t="n"/>
      <c r="K977" s="13" t="n"/>
      <c r="L977" s="16">
        <f>IF($A977="","",1)</f>
        <v/>
      </c>
    </row>
    <row r="978">
      <c r="A978" s="13" t="n"/>
      <c r="B978" s="13" t="n"/>
      <c r="C978" s="68" t="n"/>
      <c r="D978" s="13" t="n"/>
      <c r="E978" s="13" t="n"/>
      <c r="F978" s="69" t="n"/>
      <c r="G978" s="69" t="n"/>
      <c r="H978" s="69" t="n"/>
      <c r="I978" s="13" t="n"/>
      <c r="J978" s="13" t="n"/>
      <c r="K978" s="13" t="n"/>
      <c r="L978" s="16">
        <f>IF($A978="","",1)</f>
        <v/>
      </c>
    </row>
    <row r="979">
      <c r="A979" s="13" t="n"/>
      <c r="B979" s="13" t="n"/>
      <c r="C979" s="68" t="n"/>
      <c r="D979" s="13" t="n"/>
      <c r="E979" s="13" t="n"/>
      <c r="F979" s="69" t="n"/>
      <c r="G979" s="69" t="n"/>
      <c r="H979" s="69" t="n"/>
      <c r="I979" s="13" t="n"/>
      <c r="J979" s="13" t="n"/>
      <c r="K979" s="13" t="n"/>
      <c r="L979" s="16">
        <f>IF($A979="","",1)</f>
        <v/>
      </c>
    </row>
    <row r="980">
      <c r="A980" s="13" t="n"/>
      <c r="B980" s="13" t="n"/>
      <c r="C980" s="68" t="n"/>
      <c r="D980" s="13" t="n"/>
      <c r="E980" s="13" t="n"/>
      <c r="F980" s="69" t="n"/>
      <c r="G980" s="69" t="n"/>
      <c r="H980" s="69" t="n"/>
      <c r="I980" s="13" t="n"/>
      <c r="J980" s="13" t="n"/>
      <c r="K980" s="13" t="n"/>
      <c r="L980" s="16">
        <f>IF($A980="","",1)</f>
        <v/>
      </c>
    </row>
    <row r="981">
      <c r="A981" s="13" t="n"/>
      <c r="B981" s="13" t="n"/>
      <c r="C981" s="68" t="n"/>
      <c r="D981" s="13" t="n"/>
      <c r="E981" s="13" t="n"/>
      <c r="F981" s="69" t="n"/>
      <c r="G981" s="69" t="n"/>
      <c r="H981" s="69" t="n"/>
      <c r="I981" s="13" t="n"/>
      <c r="J981" s="13" t="n"/>
      <c r="K981" s="13" t="n"/>
      <c r="L981" s="16">
        <f>IF($A981="","",1)</f>
        <v/>
      </c>
    </row>
    <row r="982">
      <c r="A982" s="13" t="n"/>
      <c r="B982" s="13" t="n"/>
      <c r="C982" s="68" t="n"/>
      <c r="D982" s="13" t="n"/>
      <c r="E982" s="13" t="n"/>
      <c r="F982" s="69" t="n"/>
      <c r="G982" s="69" t="n"/>
      <c r="H982" s="69" t="n"/>
      <c r="I982" s="13" t="n"/>
      <c r="J982" s="13" t="n"/>
      <c r="K982" s="13" t="n"/>
      <c r="L982" s="16">
        <f>IF($A982="","",1)</f>
        <v/>
      </c>
    </row>
    <row r="983">
      <c r="A983" s="13" t="n"/>
      <c r="B983" s="13" t="n"/>
      <c r="C983" s="68" t="n"/>
      <c r="D983" s="13" t="n"/>
      <c r="E983" s="13" t="n"/>
      <c r="F983" s="69" t="n"/>
      <c r="G983" s="69" t="n"/>
      <c r="H983" s="69" t="n"/>
      <c r="I983" s="13" t="n"/>
      <c r="J983" s="13" t="n"/>
      <c r="K983" s="13" t="n"/>
      <c r="L983" s="16">
        <f>IF($A983="","",1)</f>
        <v/>
      </c>
    </row>
    <row r="984">
      <c r="A984" s="13" t="n"/>
      <c r="B984" s="13" t="n"/>
      <c r="C984" s="68" t="n"/>
      <c r="D984" s="13" t="n"/>
      <c r="E984" s="13" t="n"/>
      <c r="F984" s="69" t="n"/>
      <c r="G984" s="69" t="n"/>
      <c r="H984" s="69" t="n"/>
      <c r="I984" s="13" t="n"/>
      <c r="J984" s="13" t="n"/>
      <c r="K984" s="13" t="n"/>
      <c r="L984" s="16">
        <f>IF($A984="","",1)</f>
        <v/>
      </c>
    </row>
    <row r="985">
      <c r="A985" s="13" t="n"/>
      <c r="B985" s="13" t="n"/>
      <c r="C985" s="68" t="n"/>
      <c r="D985" s="13" t="n"/>
      <c r="E985" s="13" t="n"/>
      <c r="F985" s="69" t="n"/>
      <c r="G985" s="69" t="n"/>
      <c r="H985" s="69" t="n"/>
      <c r="I985" s="13" t="n"/>
      <c r="J985" s="13" t="n"/>
      <c r="K985" s="13" t="n"/>
      <c r="L985" s="16">
        <f>IF($A985="","",1)</f>
        <v/>
      </c>
    </row>
    <row r="986">
      <c r="A986" s="13" t="n"/>
      <c r="B986" s="13" t="n"/>
      <c r="C986" s="68" t="n"/>
      <c r="D986" s="13" t="n"/>
      <c r="E986" s="13" t="n"/>
      <c r="F986" s="69" t="n"/>
      <c r="G986" s="69" t="n"/>
      <c r="H986" s="69" t="n"/>
      <c r="I986" s="13" t="n"/>
      <c r="J986" s="13" t="n"/>
      <c r="K986" s="13" t="n"/>
      <c r="L986" s="16">
        <f>IF($A986="","",1)</f>
        <v/>
      </c>
    </row>
    <row r="987">
      <c r="A987" s="13" t="n"/>
      <c r="B987" s="13" t="n"/>
      <c r="C987" s="68" t="n"/>
      <c r="D987" s="13" t="n"/>
      <c r="E987" s="13" t="n"/>
      <c r="F987" s="69" t="n"/>
      <c r="G987" s="69" t="n"/>
      <c r="H987" s="69" t="n"/>
      <c r="I987" s="13" t="n"/>
      <c r="J987" s="13" t="n"/>
      <c r="K987" s="13" t="n"/>
      <c r="L987" s="16">
        <f>IF($A987="","",1)</f>
        <v/>
      </c>
    </row>
    <row r="988">
      <c r="A988" s="13" t="n"/>
      <c r="B988" s="13" t="n"/>
      <c r="C988" s="68" t="n"/>
      <c r="D988" s="13" t="n"/>
      <c r="E988" s="13" t="n"/>
      <c r="F988" s="69" t="n"/>
      <c r="G988" s="69" t="n"/>
      <c r="H988" s="69" t="n"/>
      <c r="I988" s="13" t="n"/>
      <c r="J988" s="13" t="n"/>
      <c r="K988" s="13" t="n"/>
      <c r="L988" s="16">
        <f>IF($A988="","",1)</f>
        <v/>
      </c>
    </row>
    <row r="989">
      <c r="A989" s="13" t="n"/>
      <c r="B989" s="13" t="n"/>
      <c r="C989" s="68" t="n"/>
      <c r="D989" s="13" t="n"/>
      <c r="E989" s="13" t="n"/>
      <c r="F989" s="69" t="n"/>
      <c r="G989" s="69" t="n"/>
      <c r="H989" s="69" t="n"/>
      <c r="I989" s="13" t="n"/>
      <c r="J989" s="13" t="n"/>
      <c r="K989" s="13" t="n"/>
      <c r="L989" s="16">
        <f>IF($A989="","",1)</f>
        <v/>
      </c>
    </row>
    <row r="990">
      <c r="A990" s="13" t="n"/>
      <c r="B990" s="13" t="n"/>
      <c r="C990" s="68" t="n"/>
      <c r="D990" s="13" t="n"/>
      <c r="E990" s="13" t="n"/>
      <c r="F990" s="69" t="n"/>
      <c r="G990" s="69" t="n"/>
      <c r="H990" s="69" t="n"/>
      <c r="I990" s="13" t="n"/>
      <c r="J990" s="13" t="n"/>
      <c r="K990" s="13" t="n"/>
      <c r="L990" s="16">
        <f>IF($A990="","",1)</f>
        <v/>
      </c>
    </row>
    <row r="991">
      <c r="A991" s="13" t="n"/>
      <c r="B991" s="13" t="n"/>
      <c r="C991" s="68" t="n"/>
      <c r="D991" s="13" t="n"/>
      <c r="E991" s="13" t="n"/>
      <c r="F991" s="69" t="n"/>
      <c r="G991" s="69" t="n"/>
      <c r="H991" s="69" t="n"/>
      <c r="I991" s="13" t="n"/>
      <c r="J991" s="13" t="n"/>
      <c r="K991" s="13" t="n"/>
      <c r="L991" s="16">
        <f>IF($A991="","",1)</f>
        <v/>
      </c>
    </row>
    <row r="992">
      <c r="A992" s="13" t="n"/>
      <c r="B992" s="13" t="n"/>
      <c r="C992" s="68" t="n"/>
      <c r="D992" s="13" t="n"/>
      <c r="E992" s="13" t="n"/>
      <c r="F992" s="69" t="n"/>
      <c r="G992" s="69" t="n"/>
      <c r="H992" s="69" t="n"/>
      <c r="I992" s="13" t="n"/>
      <c r="J992" s="13" t="n"/>
      <c r="K992" s="13" t="n"/>
      <c r="L992" s="16">
        <f>IF($A992="","",1)</f>
        <v/>
      </c>
    </row>
    <row r="993">
      <c r="A993" s="13" t="n"/>
      <c r="B993" s="13" t="n"/>
      <c r="C993" s="68" t="n"/>
      <c r="D993" s="13" t="n"/>
      <c r="E993" s="13" t="n"/>
      <c r="F993" s="69" t="n"/>
      <c r="G993" s="69" t="n"/>
      <c r="H993" s="69" t="n"/>
      <c r="I993" s="13" t="n"/>
      <c r="J993" s="13" t="n"/>
      <c r="K993" s="13" t="n"/>
      <c r="L993" s="16">
        <f>IF($A993="","",1)</f>
        <v/>
      </c>
    </row>
    <row r="994">
      <c r="A994" s="13" t="n"/>
      <c r="B994" s="13" t="n"/>
      <c r="C994" s="68" t="n"/>
      <c r="D994" s="13" t="n"/>
      <c r="E994" s="13" t="n"/>
      <c r="F994" s="69" t="n"/>
      <c r="G994" s="69" t="n"/>
      <c r="H994" s="69" t="n"/>
      <c r="I994" s="13" t="n"/>
      <c r="J994" s="13" t="n"/>
      <c r="K994" s="13" t="n"/>
      <c r="L994" s="16">
        <f>IF($A994="","",1)</f>
        <v/>
      </c>
    </row>
    <row r="995">
      <c r="A995" s="13" t="n"/>
      <c r="B995" s="13" t="n"/>
      <c r="C995" s="68" t="n"/>
      <c r="D995" s="13" t="n"/>
      <c r="E995" s="13" t="n"/>
      <c r="F995" s="69" t="n"/>
      <c r="G995" s="69" t="n"/>
      <c r="H995" s="69" t="n"/>
      <c r="I995" s="13" t="n"/>
      <c r="J995" s="13" t="n"/>
      <c r="K995" s="13" t="n"/>
      <c r="L995" s="16">
        <f>IF($A995="","",1)</f>
        <v/>
      </c>
    </row>
    <row r="996">
      <c r="A996" s="13" t="n"/>
      <c r="B996" s="13" t="n"/>
      <c r="C996" s="68" t="n"/>
      <c r="D996" s="13" t="n"/>
      <c r="E996" s="13" t="n"/>
      <c r="F996" s="69" t="n"/>
      <c r="G996" s="69" t="n"/>
      <c r="H996" s="69" t="n"/>
      <c r="I996" s="13" t="n"/>
      <c r="J996" s="13" t="n"/>
      <c r="K996" s="13" t="n"/>
      <c r="L996" s="16">
        <f>IF($A996="","",1)</f>
        <v/>
      </c>
    </row>
    <row r="997">
      <c r="A997" s="13" t="n"/>
      <c r="B997" s="13" t="n"/>
      <c r="C997" s="68" t="n"/>
      <c r="D997" s="13" t="n"/>
      <c r="E997" s="13" t="n"/>
      <c r="F997" s="69" t="n"/>
      <c r="G997" s="69" t="n"/>
      <c r="H997" s="69" t="n"/>
      <c r="I997" s="13" t="n"/>
      <c r="J997" s="13" t="n"/>
      <c r="K997" s="13" t="n"/>
      <c r="L997" s="16">
        <f>IF($A997="","",1)</f>
        <v/>
      </c>
    </row>
    <row r="998">
      <c r="A998" s="13" t="n"/>
      <c r="B998" s="13" t="n"/>
      <c r="C998" s="68" t="n"/>
      <c r="D998" s="13" t="n"/>
      <c r="E998" s="13" t="n"/>
      <c r="F998" s="69" t="n"/>
      <c r="G998" s="69" t="n"/>
      <c r="H998" s="69" t="n"/>
      <c r="I998" s="13" t="n"/>
      <c r="J998" s="13" t="n"/>
      <c r="K998" s="13" t="n"/>
      <c r="L998" s="16">
        <f>IF($A998="","",1)</f>
        <v/>
      </c>
    </row>
    <row r="999">
      <c r="A999" s="13" t="n"/>
      <c r="B999" s="13" t="n"/>
      <c r="C999" s="68" t="n"/>
      <c r="D999" s="13" t="n"/>
      <c r="E999" s="13" t="n"/>
      <c r="F999" s="69" t="n"/>
      <c r="G999" s="69" t="n"/>
      <c r="H999" s="69" t="n"/>
      <c r="I999" s="13" t="n"/>
      <c r="J999" s="13" t="n"/>
      <c r="K999" s="13" t="n"/>
      <c r="L999" s="16">
        <f>IF($A999="","",1)</f>
        <v/>
      </c>
    </row>
    <row r="1000">
      <c r="A1000" s="13" t="n"/>
      <c r="B1000" s="13" t="n"/>
      <c r="C1000" s="68" t="n"/>
      <c r="D1000" s="13" t="n"/>
      <c r="E1000" s="13" t="n"/>
      <c r="F1000" s="69" t="n"/>
      <c r="G1000" s="69" t="n"/>
      <c r="H1000" s="69" t="n"/>
      <c r="I1000" s="13" t="n"/>
      <c r="J1000" s="13" t="n"/>
      <c r="K1000" s="13" t="n"/>
      <c r="L1000" s="16">
        <f>IF($A1000="","",1)</f>
        <v/>
      </c>
    </row>
    <row r="1001">
      <c r="A1001" s="13" t="n"/>
      <c r="B1001" s="13" t="n"/>
      <c r="C1001" s="68" t="n"/>
      <c r="D1001" s="13" t="n"/>
      <c r="E1001" s="13" t="n"/>
      <c r="F1001" s="69" t="n"/>
      <c r="G1001" s="69" t="n"/>
      <c r="H1001" s="69" t="n"/>
      <c r="I1001" s="13" t="n"/>
      <c r="J1001" s="13" t="n"/>
      <c r="K1001" s="13" t="n"/>
      <c r="L1001" s="16">
        <f>IF($A1001="","",1)</f>
        <v/>
      </c>
    </row>
    <row r="1002">
      <c r="A1002" s="13" t="n"/>
      <c r="B1002" s="13" t="n"/>
      <c r="C1002" s="68" t="n"/>
      <c r="D1002" s="13" t="n"/>
      <c r="E1002" s="13" t="n"/>
      <c r="F1002" s="69" t="n"/>
      <c r="G1002" s="69" t="n"/>
      <c r="H1002" s="69" t="n"/>
      <c r="I1002" s="13" t="n"/>
      <c r="J1002" s="13" t="n"/>
      <c r="K1002" s="13" t="n"/>
      <c r="L1002" s="16">
        <f>IF($A1002="","",1)</f>
        <v/>
      </c>
    </row>
    <row r="1003">
      <c r="A1003" s="13" t="n"/>
      <c r="B1003" s="13" t="n"/>
      <c r="C1003" s="68" t="n"/>
      <c r="D1003" s="13" t="n"/>
      <c r="E1003" s="13" t="n"/>
      <c r="F1003" s="69" t="n"/>
      <c r="G1003" s="69" t="n"/>
      <c r="H1003" s="69" t="n"/>
      <c r="I1003" s="13" t="n"/>
      <c r="J1003" s="13" t="n"/>
      <c r="K1003" s="13" t="n"/>
      <c r="L1003" s="16">
        <f>IF($A1003="","",1)</f>
        <v/>
      </c>
    </row>
    <row r="1004">
      <c r="A1004" s="13" t="n"/>
      <c r="B1004" s="13" t="n"/>
      <c r="C1004" s="68" t="n"/>
      <c r="D1004" s="13" t="n"/>
      <c r="E1004" s="13" t="n"/>
      <c r="F1004" s="69" t="n"/>
      <c r="G1004" s="69" t="n"/>
      <c r="H1004" s="69" t="n"/>
      <c r="I1004" s="13" t="n"/>
      <c r="J1004" s="13" t="n"/>
      <c r="K1004" s="13" t="n"/>
      <c r="L1004" s="16">
        <f>IF($A1004="","",1)</f>
        <v/>
      </c>
    </row>
    <row r="1005">
      <c r="A1005" s="13" t="n"/>
      <c r="B1005" s="13" t="n"/>
      <c r="C1005" s="68" t="n"/>
      <c r="D1005" s="13" t="n"/>
      <c r="E1005" s="13" t="n"/>
      <c r="F1005" s="69" t="n"/>
      <c r="G1005" s="69" t="n"/>
      <c r="H1005" s="69" t="n"/>
      <c r="I1005" s="13" t="n"/>
      <c r="J1005" s="13" t="n"/>
      <c r="K1005" s="13" t="n"/>
      <c r="L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1005">
    <cfRule type="cellIs" priority="1" operator="lessThan" dxfId="0">
      <formula>0</formula>
    </cfRule>
  </conditionalFormatting>
  <conditionalFormatting sqref="F6:F1005">
    <cfRule type="cellIs" priority="2" operator="greaterThan" dxfId="1">
      <formula>10000</formula>
    </cfRule>
  </conditionalFormatting>
  <dataValidations count="11">
    <dataValidation sqref="A6:A1005" showDropDown="0" showInputMessage="1" showErrorMessage="1" allowBlank="1" errorTitle="UUID" error="Boş olamaz" promptTitle="UUID" prompt="UUID yapıştırı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D6:D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F6:F1005" showDropDown="0" showInputMessage="1" showErrorMessage="1" allowBlank="1" errorTitle="Tutar" error="0 veya üzeri" promptTitle="Matrah" prompt="Tutar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KDV" prompt="Tutar ≥ 0" type="decimal" errorStyle="stop" operator="greaterThanOrEqual">
      <formula1>0</formula1>
    </dataValidation>
    <dataValidation sqref="H6:H1005" showDropDown="0" showInputMessage="1" showErrorMessage="1" allowBlank="1" errorTitle="Tutar" error="0 veya üzeri" promptTitle="Toplam" prompt="Tutar ≥ 0" type="decimal" errorStyle="stop" operator="greaterThanOrEqual">
      <formula1>0</formula1>
    </dataValidation>
    <dataValidation sqref="I6:I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K6:K1005" showDropDown="0" showInputMessage="1" showErrorMessage="1" allowBlank="1" errorTitle="Liste" error="Listeden seçim yapın" promptTitle="Durum" prompt="Listeden seçin" type="list" errorStyle="stop">
      <formula1>ListeDurumlar</formula1>
    </dataValidation>
    <dataValidation sqref="E6:E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J6:J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Toplu e-Fatura Satır Defteri ve PDF Kanıtı</t>
        </is>
      </c>
    </row>
    <row r="3" ht="20" customHeight="1">
      <c r="A3" s="10" t="inlineStr">
        <is>
          <t>Muhasebe satır tarafı — beklenen kayıt tutarı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Tutar</t>
        </is>
      </c>
      <c r="E5" s="12" t="inlineStr">
        <is>
          <t>HesapKodu</t>
        </is>
      </c>
      <c r="F5" s="12" t="inlineStr">
        <is>
          <t>Aciklama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69" t="n">
        <v>1257</v>
      </c>
      <c r="E6" s="13" t="inlineStr">
        <is>
          <t>320.000</t>
        </is>
      </c>
      <c r="F6" s="13" t="inlineStr">
        <is>
          <t>e-Fatura kaydı</t>
        </is>
      </c>
      <c r="G6" s="13" t="inlineStr">
        <is>
          <t>2026-08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69" t="n">
        <v>1314</v>
      </c>
      <c r="E7" s="13" t="inlineStr">
        <is>
          <t>320.001</t>
        </is>
      </c>
      <c r="F7" s="13" t="inlineStr">
        <is>
          <t>e-Fatura kaydı</t>
        </is>
      </c>
      <c r="G7" s="13" t="inlineStr">
        <is>
          <t>2026-08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0000000303EB4003A003000000000033</t>
        </is>
      </c>
      <c r="B8" s="13" t="inlineStr">
        <is>
          <t>EFT2026100003</t>
        </is>
      </c>
      <c r="C8" s="68" t="n">
        <v>46211</v>
      </c>
      <c r="D8" s="69" t="n">
        <v>1371</v>
      </c>
      <c r="E8" s="13" t="inlineStr">
        <is>
          <t>320.002</t>
        </is>
      </c>
      <c r="F8" s="13" t="inlineStr">
        <is>
          <t>e-Fatura kaydı</t>
        </is>
      </c>
      <c r="G8" s="13" t="inlineStr">
        <is>
          <t>2026-08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69" t="n">
        <v>1428</v>
      </c>
      <c r="E9" s="13" t="inlineStr">
        <is>
          <t>320.003</t>
        </is>
      </c>
      <c r="F9" s="13" t="inlineStr">
        <is>
          <t>e-Fatura kaydı</t>
        </is>
      </c>
      <c r="G9" s="13" t="inlineStr">
        <is>
          <t>2026-08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EFT2026100005</t>
        </is>
      </c>
      <c r="C10" s="68" t="n">
        <v>46213</v>
      </c>
      <c r="D10" s="69" t="n">
        <v>1485</v>
      </c>
      <c r="E10" s="13" t="inlineStr">
        <is>
          <t>320.004</t>
        </is>
      </c>
      <c r="F10" s="13" t="inlineStr">
        <is>
          <t>e-Fatura kaydı</t>
        </is>
      </c>
      <c r="G10" s="13" t="inlineStr">
        <is>
          <t>2026-08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69" t="n">
        <v>1542</v>
      </c>
      <c r="E11" s="13" t="inlineStr">
        <is>
          <t>320.005</t>
        </is>
      </c>
      <c r="F11" s="13" t="inlineStr">
        <is>
          <t>e-Fatura kaydı</t>
        </is>
      </c>
      <c r="G11" s="13" t="inlineStr">
        <is>
          <t>2026-08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0000000703EF4007A007000000000077</t>
        </is>
      </c>
      <c r="B12" s="13" t="inlineStr">
        <is>
          <t>EFT2026100007</t>
        </is>
      </c>
      <c r="C12" s="68" t="n">
        <v>46215</v>
      </c>
      <c r="D12" s="69" t="n">
        <v>1599</v>
      </c>
      <c r="E12" s="13" t="inlineStr">
        <is>
          <t>320.006</t>
        </is>
      </c>
      <c r="F12" s="13" t="inlineStr">
        <is>
          <t>e-Fatura kaydı</t>
        </is>
      </c>
      <c r="G12" s="13" t="inlineStr">
        <is>
          <t>2026-08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69" t="n">
        <v>1643.5</v>
      </c>
      <c r="E13" s="13" t="inlineStr">
        <is>
          <t>320.007</t>
        </is>
      </c>
      <c r="F13" s="13" t="inlineStr">
        <is>
          <t>e-Fatura kaydı</t>
        </is>
      </c>
      <c r="G13" s="13" t="inlineStr">
        <is>
          <t>2026-08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EFT2026100009</t>
        </is>
      </c>
      <c r="C14" s="68" t="n">
        <v>46217</v>
      </c>
      <c r="D14" s="69" t="n">
        <v>1713</v>
      </c>
      <c r="E14" s="13" t="inlineStr">
        <is>
          <t>320.008</t>
        </is>
      </c>
      <c r="F14" s="13" t="inlineStr">
        <is>
          <t>e-Fatura kaydı</t>
        </is>
      </c>
      <c r="G14" s="13" t="inlineStr">
        <is>
          <t>2026-08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69" t="n">
        <v>1770</v>
      </c>
      <c r="E15" s="13" t="inlineStr">
        <is>
          <t>320.009</t>
        </is>
      </c>
      <c r="F15" s="13" t="inlineStr">
        <is>
          <t>e-Fatura kaydı</t>
        </is>
      </c>
      <c r="G15" s="13" t="inlineStr">
        <is>
          <t>2026-08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0000000B03F3400BA00B0000000000BB</t>
        </is>
      </c>
      <c r="B16" s="13" t="inlineStr">
        <is>
          <t>EFT2026100011</t>
        </is>
      </c>
      <c r="C16" s="68" t="n">
        <v>46219</v>
      </c>
      <c r="D16" s="69" t="n">
        <v>1827.03</v>
      </c>
      <c r="E16" s="13" t="inlineStr">
        <is>
          <t>320.010</t>
        </is>
      </c>
      <c r="F16" s="13" t="inlineStr">
        <is>
          <t>e-Fatura kaydı</t>
        </is>
      </c>
      <c r="G16" s="13" t="inlineStr">
        <is>
          <t>2026-08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69" t="n">
        <v>1884</v>
      </c>
      <c r="E17" s="13" t="inlineStr">
        <is>
          <t>320.011</t>
        </is>
      </c>
      <c r="F17" s="13" t="inlineStr">
        <is>
          <t>e-Fatura kaydı</t>
        </is>
      </c>
      <c r="G17" s="13" t="inlineStr">
        <is>
          <t>2026-08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69" t="n">
        <v>1941</v>
      </c>
      <c r="E18" s="13" t="inlineStr">
        <is>
          <t>320.012</t>
        </is>
      </c>
      <c r="F18" s="13" t="inlineStr">
        <is>
          <t>e-Fatura kaydı</t>
        </is>
      </c>
      <c r="G18" s="13" t="inlineStr">
        <is>
          <t>2026-08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69" t="n">
        <v>1998</v>
      </c>
      <c r="E19" s="13" t="inlineStr">
        <is>
          <t>320.013</t>
        </is>
      </c>
      <c r="F19" s="13" t="inlineStr">
        <is>
          <t>e-Fatura kaydı</t>
        </is>
      </c>
      <c r="G19" s="13" t="inlineStr">
        <is>
          <t>2026-08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00002337-271f-400f-a00f-0000000256a7</t>
        </is>
      </c>
      <c r="B20" s="13" t="inlineStr">
        <is>
          <t>EFT2026100015</t>
        </is>
      </c>
      <c r="C20" s="68" t="n">
        <v>46223</v>
      </c>
      <c r="D20" s="69" t="n">
        <v>2055</v>
      </c>
      <c r="E20" s="13" t="inlineStr">
        <is>
          <t>320.014</t>
        </is>
      </c>
      <c r="F20" s="13" t="inlineStr">
        <is>
          <t>e-Fatura kaydı</t>
        </is>
      </c>
      <c r="G20" s="13" t="inlineStr">
        <is>
          <t>2026-08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69" t="n">
        <v>2099.5</v>
      </c>
      <c r="E21" s="13" t="inlineStr">
        <is>
          <t>320.015</t>
        </is>
      </c>
      <c r="F21" s="13" t="inlineStr">
        <is>
          <t>e-Fatura kaydı</t>
        </is>
      </c>
      <c r="G21" s="13" t="inlineStr">
        <is>
          <t>2026-08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69" t="n">
        <v>2169</v>
      </c>
      <c r="E22" s="13" t="inlineStr">
        <is>
          <t>320.016</t>
        </is>
      </c>
      <c r="F22" s="13" t="inlineStr">
        <is>
          <t>e-Fatura kaydı</t>
        </is>
      </c>
      <c r="G22" s="13" t="inlineStr">
        <is>
          <t>2026-08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69" t="n">
        <v>2226</v>
      </c>
      <c r="E23" s="13" t="inlineStr">
        <is>
          <t>320.017</t>
        </is>
      </c>
      <c r="F23" s="13" t="inlineStr">
        <is>
          <t>e-Fatura kaydı</t>
        </is>
      </c>
      <c r="G23" s="13" t="inlineStr">
        <is>
          <t>2026-08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69" t="n">
        <v>2283</v>
      </c>
      <c r="E24" s="13" t="inlineStr">
        <is>
          <t>320.018</t>
        </is>
      </c>
      <c r="F24" s="13" t="inlineStr">
        <is>
          <t>e-Fatura kaydı</t>
        </is>
      </c>
      <c r="G24" s="13" t="inlineStr">
        <is>
          <t>2026-08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69" t="n">
        <v>2340</v>
      </c>
      <c r="E25" s="13" t="inlineStr">
        <is>
          <t>320.019</t>
        </is>
      </c>
      <c r="F25" s="13" t="inlineStr">
        <is>
          <t>e-Fatura kaydı</t>
        </is>
      </c>
      <c r="G25" s="13" t="inlineStr">
        <is>
          <t>2026-08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69" t="n">
        <v>2397</v>
      </c>
      <c r="E26" s="13" t="inlineStr">
        <is>
          <t>320.020</t>
        </is>
      </c>
      <c r="F26" s="13" t="inlineStr">
        <is>
          <t>e-Fatura kaydı</t>
        </is>
      </c>
      <c r="G26" s="13" t="inlineStr">
        <is>
          <t>2026-08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69" t="n">
        <v>2454.03</v>
      </c>
      <c r="E27" s="13" t="inlineStr">
        <is>
          <t>320.021</t>
        </is>
      </c>
      <c r="F27" s="13" t="inlineStr">
        <is>
          <t>e-Fatura kaydı</t>
        </is>
      </c>
      <c r="G27" s="13" t="inlineStr">
        <is>
          <t>2026-08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69" t="n">
        <v>2511</v>
      </c>
      <c r="E28" s="13" t="inlineStr">
        <is>
          <t>320.022</t>
        </is>
      </c>
      <c r="F28" s="13" t="inlineStr">
        <is>
          <t>e-Fatura kaydı</t>
        </is>
      </c>
      <c r="G28" s="13" t="inlineStr">
        <is>
          <t>2026-08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69" t="n">
        <v>2555.5</v>
      </c>
      <c r="E29" s="13" t="inlineStr">
        <is>
          <t>320.023</t>
        </is>
      </c>
      <c r="F29" s="13" t="inlineStr">
        <is>
          <t>e-Fatura kaydı</t>
        </is>
      </c>
      <c r="G29" s="13" t="inlineStr">
        <is>
          <t>2026-08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69" t="n">
        <v>2625</v>
      </c>
      <c r="E30" s="13" t="inlineStr">
        <is>
          <t>320.024</t>
        </is>
      </c>
      <c r="F30" s="13" t="inlineStr">
        <is>
          <t>e-Fatura kaydı</t>
        </is>
      </c>
      <c r="G30" s="13" t="inlineStr">
        <is>
          <t>2026-08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69" t="n">
        <v>2682</v>
      </c>
      <c r="E31" s="13" t="inlineStr">
        <is>
          <t>320.025</t>
        </is>
      </c>
      <c r="F31" s="13" t="inlineStr">
        <is>
          <t>e-Fatura kaydı</t>
        </is>
      </c>
      <c r="G31" s="13" t="inlineStr">
        <is>
          <t>2026-08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69" t="n">
        <v>2739</v>
      </c>
      <c r="E32" s="13" t="inlineStr">
        <is>
          <t>320.026</t>
        </is>
      </c>
      <c r="F32" s="13" t="inlineStr">
        <is>
          <t>e-Fatura kaydı</t>
        </is>
      </c>
      <c r="G32" s="13" t="inlineStr">
        <is>
          <t>2026-08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69" t="n">
        <v>2796</v>
      </c>
      <c r="E33" s="13" t="inlineStr">
        <is>
          <t>320.027</t>
        </is>
      </c>
      <c r="F33" s="13" t="inlineStr">
        <is>
          <t>e-Fatura kaydı</t>
        </is>
      </c>
      <c r="G33" s="13" t="inlineStr">
        <is>
          <t>2026-08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69" t="n">
        <v>2853</v>
      </c>
      <c r="E34" s="13" t="inlineStr">
        <is>
          <t>320.028</t>
        </is>
      </c>
      <c r="F34" s="13" t="inlineStr">
        <is>
          <t>e-Fatura kaydı</t>
        </is>
      </c>
      <c r="G34" s="13" t="inlineStr">
        <is>
          <t>2026-08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69" t="n">
        <v>2910</v>
      </c>
      <c r="E35" s="13" t="inlineStr">
        <is>
          <t>320.029</t>
        </is>
      </c>
      <c r="F35" s="13" t="inlineStr">
        <is>
          <t>e-Fatura kaydı</t>
        </is>
      </c>
      <c r="G35" s="13" t="inlineStr">
        <is>
          <t>2026-08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69" t="n">
        <v>2967</v>
      </c>
      <c r="E36" s="13" t="inlineStr">
        <is>
          <t>320.030</t>
        </is>
      </c>
      <c r="F36" s="13" t="inlineStr">
        <is>
          <t>e-Fatura kaydı</t>
        </is>
      </c>
      <c r="G36" s="13" t="inlineStr">
        <is>
          <t>2026-08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69" t="n">
        <v>3011.5</v>
      </c>
      <c r="E37" s="13" t="inlineStr">
        <is>
          <t>320.031</t>
        </is>
      </c>
      <c r="F37" s="13" t="inlineStr">
        <is>
          <t>e-Fatura kaydı</t>
        </is>
      </c>
      <c r="G37" s="13" t="inlineStr">
        <is>
          <t>2026-08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69" t="n">
        <v>3081.03</v>
      </c>
      <c r="E38" s="13" t="inlineStr">
        <is>
          <t>320.032</t>
        </is>
      </c>
      <c r="F38" s="13" t="inlineStr">
        <is>
          <t>e-Fatura kaydı</t>
        </is>
      </c>
      <c r="G38" s="13" t="inlineStr">
        <is>
          <t>2026-08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69" t="n">
        <v>3138</v>
      </c>
      <c r="E39" s="13" t="inlineStr">
        <is>
          <t>320.033</t>
        </is>
      </c>
      <c r="F39" s="13" t="inlineStr">
        <is>
          <t>e-Fatura kaydı</t>
        </is>
      </c>
      <c r="G39" s="13" t="inlineStr">
        <is>
          <t>2026-08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69" t="n">
        <v>3195</v>
      </c>
      <c r="E40" s="13" t="inlineStr">
        <is>
          <t>320.034</t>
        </is>
      </c>
      <c r="F40" s="13" t="inlineStr">
        <is>
          <t>e-Fatura kaydı</t>
        </is>
      </c>
      <c r="G40" s="13" t="inlineStr">
        <is>
          <t>2026-08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69" t="n">
        <v>3252</v>
      </c>
      <c r="E41" s="13" t="inlineStr">
        <is>
          <t>320.035</t>
        </is>
      </c>
      <c r="F41" s="13" t="inlineStr">
        <is>
          <t>e-Fatura kaydı</t>
        </is>
      </c>
      <c r="G41" s="13" t="inlineStr">
        <is>
          <t>2026-08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69" t="n">
        <v>3309</v>
      </c>
      <c r="E42" s="13" t="inlineStr">
        <is>
          <t>320.036</t>
        </is>
      </c>
      <c r="F42" s="13" t="inlineStr">
        <is>
          <t>e-Fatura kaydı</t>
        </is>
      </c>
      <c r="G42" s="13" t="inlineStr">
        <is>
          <t>2026-08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69" t="n">
        <v>3366</v>
      </c>
      <c r="E43" s="13" t="inlineStr">
        <is>
          <t>320.037</t>
        </is>
      </c>
      <c r="F43" s="13" t="inlineStr">
        <is>
          <t>e-Fatura kaydı</t>
        </is>
      </c>
      <c r="G43" s="13" t="inlineStr">
        <is>
          <t>2026-08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69" t="n">
        <v>3423</v>
      </c>
      <c r="E44" s="13" t="inlineStr">
        <is>
          <t>320.038</t>
        </is>
      </c>
      <c r="F44" s="13" t="inlineStr">
        <is>
          <t>e-Fatura kaydı</t>
        </is>
      </c>
      <c r="G44" s="13" t="inlineStr">
        <is>
          <t>2026-08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69" t="n">
        <v>3467.5</v>
      </c>
      <c r="E45" s="13" t="inlineStr">
        <is>
          <t>320.039</t>
        </is>
      </c>
      <c r="F45" s="13" t="inlineStr">
        <is>
          <t>e-Fatura kaydı</t>
        </is>
      </c>
      <c r="G45" s="13" t="inlineStr">
        <is>
          <t>2026-08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3" t="n"/>
      <c r="C46" s="68" t="n"/>
      <c r="D46" s="69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3" t="n"/>
      <c r="C47" s="68" t="n"/>
      <c r="D47" s="69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3" t="n"/>
      <c r="C48" s="68" t="n"/>
      <c r="D48" s="69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3" t="n"/>
      <c r="C49" s="68" t="n"/>
      <c r="D49" s="69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3" t="n"/>
      <c r="C50" s="68" t="n"/>
      <c r="D50" s="69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3" t="n"/>
      <c r="C51" s="68" t="n"/>
      <c r="D51" s="69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3" t="n"/>
      <c r="C52" s="68" t="n"/>
      <c r="D52" s="69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3" t="n"/>
      <c r="C53" s="68" t="n"/>
      <c r="D53" s="69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3" t="n"/>
      <c r="C54" s="68" t="n"/>
      <c r="D54" s="69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3" t="n"/>
      <c r="C55" s="68" t="n"/>
      <c r="D55" s="69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3" t="n"/>
      <c r="C56" s="68" t="n"/>
      <c r="D56" s="69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3" t="n"/>
      <c r="C57" s="68" t="n"/>
      <c r="D57" s="69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3" t="n"/>
      <c r="C58" s="68" t="n"/>
      <c r="D58" s="69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3" t="n"/>
      <c r="C59" s="68" t="n"/>
      <c r="D59" s="69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3" t="n"/>
      <c r="C60" s="68" t="n"/>
      <c r="D60" s="69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3" t="n"/>
      <c r="C61" s="68" t="n"/>
      <c r="D61" s="69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3" t="n"/>
      <c r="C62" s="68" t="n"/>
      <c r="D62" s="69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3" t="n"/>
      <c r="C63" s="68" t="n"/>
      <c r="D63" s="69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3" t="n"/>
      <c r="C64" s="68" t="n"/>
      <c r="D64" s="69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3" t="n"/>
      <c r="C65" s="68" t="n"/>
      <c r="D65" s="69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3" t="n"/>
      <c r="C66" s="68" t="n"/>
      <c r="D66" s="69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3" t="n"/>
      <c r="C67" s="68" t="n"/>
      <c r="D67" s="69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3" t="n"/>
      <c r="C68" s="68" t="n"/>
      <c r="D68" s="69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3" t="n"/>
      <c r="C69" s="68" t="n"/>
      <c r="D69" s="69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3" t="n"/>
      <c r="C70" s="68" t="n"/>
      <c r="D70" s="69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3" t="n"/>
      <c r="C71" s="68" t="n"/>
      <c r="D71" s="69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3" t="n"/>
      <c r="C72" s="68" t="n"/>
      <c r="D72" s="69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3" t="n"/>
      <c r="C73" s="68" t="n"/>
      <c r="D73" s="69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3" t="n"/>
      <c r="C74" s="68" t="n"/>
      <c r="D74" s="69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3" t="n"/>
      <c r="C75" s="68" t="n"/>
      <c r="D75" s="69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3" t="n"/>
      <c r="C76" s="68" t="n"/>
      <c r="D76" s="69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3" t="n"/>
      <c r="C77" s="68" t="n"/>
      <c r="D77" s="69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3" t="n"/>
      <c r="C78" s="68" t="n"/>
      <c r="D78" s="69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3" t="n"/>
      <c r="C79" s="68" t="n"/>
      <c r="D79" s="69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3" t="n"/>
      <c r="C80" s="68" t="n"/>
      <c r="D80" s="69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3" t="n"/>
      <c r="C81" s="68" t="n"/>
      <c r="D81" s="69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3" t="n"/>
      <c r="C82" s="68" t="n"/>
      <c r="D82" s="69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3" t="n"/>
      <c r="C83" s="68" t="n"/>
      <c r="D83" s="69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3" t="n"/>
      <c r="C84" s="68" t="n"/>
      <c r="D84" s="69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3" t="n"/>
      <c r="C85" s="68" t="n"/>
      <c r="D85" s="69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3" t="n"/>
      <c r="C86" s="68" t="n"/>
      <c r="D86" s="69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3" t="n"/>
      <c r="C87" s="68" t="n"/>
      <c r="D87" s="69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3" t="n"/>
      <c r="C88" s="68" t="n"/>
      <c r="D88" s="69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3" t="n"/>
      <c r="C89" s="68" t="n"/>
      <c r="D89" s="69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3" t="n"/>
      <c r="C90" s="68" t="n"/>
      <c r="D90" s="69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3" t="n"/>
      <c r="C91" s="68" t="n"/>
      <c r="D91" s="69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3" t="n"/>
      <c r="C92" s="68" t="n"/>
      <c r="D92" s="69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3" t="n"/>
      <c r="C93" s="68" t="n"/>
      <c r="D93" s="69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3" t="n"/>
      <c r="C94" s="68" t="n"/>
      <c r="D94" s="69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3" t="n"/>
      <c r="C95" s="68" t="n"/>
      <c r="D95" s="69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3" t="n"/>
      <c r="C96" s="68" t="n"/>
      <c r="D96" s="69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3" t="n"/>
      <c r="C97" s="68" t="n"/>
      <c r="D97" s="69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3" t="n"/>
      <c r="C98" s="68" t="n"/>
      <c r="D98" s="69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3" t="n"/>
      <c r="C99" s="68" t="n"/>
      <c r="D99" s="69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3" t="n"/>
      <c r="C100" s="68" t="n"/>
      <c r="D100" s="69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3" t="n"/>
      <c r="C101" s="68" t="n"/>
      <c r="D101" s="69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3" t="n"/>
      <c r="C102" s="68" t="n"/>
      <c r="D102" s="69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3" t="n"/>
      <c r="C103" s="68" t="n"/>
      <c r="D103" s="69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3" t="n"/>
      <c r="C104" s="68" t="n"/>
      <c r="D104" s="69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3" t="n"/>
      <c r="C105" s="68" t="n"/>
      <c r="D105" s="69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3" t="n"/>
      <c r="C106" s="68" t="n"/>
      <c r="D106" s="69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3" t="n"/>
      <c r="C107" s="68" t="n"/>
      <c r="D107" s="69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3" t="n"/>
      <c r="C108" s="68" t="n"/>
      <c r="D108" s="69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3" t="n"/>
      <c r="C109" s="68" t="n"/>
      <c r="D109" s="69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3" t="n"/>
      <c r="C110" s="68" t="n"/>
      <c r="D110" s="69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3" t="n"/>
      <c r="C111" s="68" t="n"/>
      <c r="D111" s="69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3" t="n"/>
      <c r="C112" s="68" t="n"/>
      <c r="D112" s="69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3" t="n"/>
      <c r="C113" s="68" t="n"/>
      <c r="D113" s="69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3" t="n"/>
      <c r="C114" s="68" t="n"/>
      <c r="D114" s="69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3" t="n"/>
      <c r="C115" s="68" t="n"/>
      <c r="D115" s="69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3" t="n"/>
      <c r="C116" s="68" t="n"/>
      <c r="D116" s="69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3" t="n"/>
      <c r="C117" s="68" t="n"/>
      <c r="D117" s="69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3" t="n"/>
      <c r="C118" s="68" t="n"/>
      <c r="D118" s="69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3" t="n"/>
      <c r="C119" s="68" t="n"/>
      <c r="D119" s="69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3" t="n"/>
      <c r="C120" s="68" t="n"/>
      <c r="D120" s="69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3" t="n"/>
      <c r="C121" s="68" t="n"/>
      <c r="D121" s="69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3" t="n"/>
      <c r="C122" s="68" t="n"/>
      <c r="D122" s="69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3" t="n"/>
      <c r="C123" s="68" t="n"/>
      <c r="D123" s="69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3" t="n"/>
      <c r="C124" s="68" t="n"/>
      <c r="D124" s="69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3" t="n"/>
      <c r="C125" s="68" t="n"/>
      <c r="D125" s="69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3" t="n"/>
      <c r="C126" s="68" t="n"/>
      <c r="D126" s="69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3" t="n"/>
      <c r="C127" s="68" t="n"/>
      <c r="D127" s="69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3" t="n"/>
      <c r="C128" s="68" t="n"/>
      <c r="D128" s="69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3" t="n"/>
      <c r="C129" s="68" t="n"/>
      <c r="D129" s="69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3" t="n"/>
      <c r="C130" s="68" t="n"/>
      <c r="D130" s="69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3" t="n"/>
      <c r="C131" s="68" t="n"/>
      <c r="D131" s="69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3" t="n"/>
      <c r="C132" s="68" t="n"/>
      <c r="D132" s="69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3" t="n"/>
      <c r="C133" s="68" t="n"/>
      <c r="D133" s="69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3" t="n"/>
      <c r="C134" s="68" t="n"/>
      <c r="D134" s="69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3" t="n"/>
      <c r="C135" s="68" t="n"/>
      <c r="D135" s="69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3" t="n"/>
      <c r="C136" s="68" t="n"/>
      <c r="D136" s="69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3" t="n"/>
      <c r="C137" s="68" t="n"/>
      <c r="D137" s="69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3" t="n"/>
      <c r="C138" s="68" t="n"/>
      <c r="D138" s="69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3" t="n"/>
      <c r="C139" s="68" t="n"/>
      <c r="D139" s="69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3" t="n"/>
      <c r="C140" s="68" t="n"/>
      <c r="D140" s="69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3" t="n"/>
      <c r="C141" s="68" t="n"/>
      <c r="D141" s="69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3" t="n"/>
      <c r="C142" s="68" t="n"/>
      <c r="D142" s="69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3" t="n"/>
      <c r="C143" s="68" t="n"/>
      <c r="D143" s="69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3" t="n"/>
      <c r="C144" s="68" t="n"/>
      <c r="D144" s="69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3" t="n"/>
      <c r="C145" s="68" t="n"/>
      <c r="D145" s="69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3" t="n"/>
      <c r="C146" s="68" t="n"/>
      <c r="D146" s="69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3" t="n"/>
      <c r="C147" s="68" t="n"/>
      <c r="D147" s="69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3" t="n"/>
      <c r="C148" s="68" t="n"/>
      <c r="D148" s="69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3" t="n"/>
      <c r="C149" s="68" t="n"/>
      <c r="D149" s="69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3" t="n"/>
      <c r="C150" s="68" t="n"/>
      <c r="D150" s="69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3" t="n"/>
      <c r="C151" s="68" t="n"/>
      <c r="D151" s="69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3" t="n"/>
      <c r="C152" s="68" t="n"/>
      <c r="D152" s="69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3" t="n"/>
      <c r="C153" s="68" t="n"/>
      <c r="D153" s="69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3" t="n"/>
      <c r="C154" s="68" t="n"/>
      <c r="D154" s="69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3" t="n"/>
      <c r="C155" s="68" t="n"/>
      <c r="D155" s="69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3" t="n"/>
      <c r="C156" s="68" t="n"/>
      <c r="D156" s="69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3" t="n"/>
      <c r="C157" s="68" t="n"/>
      <c r="D157" s="69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3" t="n"/>
      <c r="C158" s="68" t="n"/>
      <c r="D158" s="69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3" t="n"/>
      <c r="C159" s="68" t="n"/>
      <c r="D159" s="69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3" t="n"/>
      <c r="C160" s="68" t="n"/>
      <c r="D160" s="69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3" t="n"/>
      <c r="C161" s="68" t="n"/>
      <c r="D161" s="69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3" t="n"/>
      <c r="C162" s="68" t="n"/>
      <c r="D162" s="69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3" t="n"/>
      <c r="C163" s="68" t="n"/>
      <c r="D163" s="69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3" t="n"/>
      <c r="C164" s="68" t="n"/>
      <c r="D164" s="69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3" t="n"/>
      <c r="C165" s="68" t="n"/>
      <c r="D165" s="69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3" t="n"/>
      <c r="C166" s="68" t="n"/>
      <c r="D166" s="69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3" t="n"/>
      <c r="C167" s="68" t="n"/>
      <c r="D167" s="69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3" t="n"/>
      <c r="C168" s="68" t="n"/>
      <c r="D168" s="69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3" t="n"/>
      <c r="C169" s="68" t="n"/>
      <c r="D169" s="69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3" t="n"/>
      <c r="C170" s="68" t="n"/>
      <c r="D170" s="69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3" t="n"/>
      <c r="C171" s="68" t="n"/>
      <c r="D171" s="69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3" t="n"/>
      <c r="C172" s="68" t="n"/>
      <c r="D172" s="69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3" t="n"/>
      <c r="C173" s="68" t="n"/>
      <c r="D173" s="69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3" t="n"/>
      <c r="C174" s="68" t="n"/>
      <c r="D174" s="69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3" t="n"/>
      <c r="C175" s="68" t="n"/>
      <c r="D175" s="69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3" t="n"/>
      <c r="C176" s="68" t="n"/>
      <c r="D176" s="69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3" t="n"/>
      <c r="C177" s="68" t="n"/>
      <c r="D177" s="69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3" t="n"/>
      <c r="C178" s="68" t="n"/>
      <c r="D178" s="69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3" t="n"/>
      <c r="C179" s="68" t="n"/>
      <c r="D179" s="69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3" t="n"/>
      <c r="C180" s="68" t="n"/>
      <c r="D180" s="69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3" t="n"/>
      <c r="C181" s="68" t="n"/>
      <c r="D181" s="69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3" t="n"/>
      <c r="C182" s="68" t="n"/>
      <c r="D182" s="69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3" t="n"/>
      <c r="C183" s="68" t="n"/>
      <c r="D183" s="69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3" t="n"/>
      <c r="C184" s="68" t="n"/>
      <c r="D184" s="69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3" t="n"/>
      <c r="C185" s="68" t="n"/>
      <c r="D185" s="69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3" t="n"/>
      <c r="C186" s="68" t="n"/>
      <c r="D186" s="69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3" t="n"/>
      <c r="C187" s="68" t="n"/>
      <c r="D187" s="69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3" t="n"/>
      <c r="C188" s="68" t="n"/>
      <c r="D188" s="69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3" t="n"/>
      <c r="C189" s="68" t="n"/>
      <c r="D189" s="69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3" t="n"/>
      <c r="C190" s="68" t="n"/>
      <c r="D190" s="69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3" t="n"/>
      <c r="C191" s="68" t="n"/>
      <c r="D191" s="69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3" t="n"/>
      <c r="C192" s="68" t="n"/>
      <c r="D192" s="69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3" t="n"/>
      <c r="C193" s="68" t="n"/>
      <c r="D193" s="69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3" t="n"/>
      <c r="C194" s="68" t="n"/>
      <c r="D194" s="69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3" t="n"/>
      <c r="C195" s="68" t="n"/>
      <c r="D195" s="69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3" t="n"/>
      <c r="C196" s="68" t="n"/>
      <c r="D196" s="69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3" t="n"/>
      <c r="C197" s="68" t="n"/>
      <c r="D197" s="69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3" t="n"/>
      <c r="C198" s="68" t="n"/>
      <c r="D198" s="69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3" t="n"/>
      <c r="C199" s="68" t="n"/>
      <c r="D199" s="69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3" t="n"/>
      <c r="C200" s="68" t="n"/>
      <c r="D200" s="69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3" t="n"/>
      <c r="C201" s="68" t="n"/>
      <c r="D201" s="69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3" t="n"/>
      <c r="C202" s="68" t="n"/>
      <c r="D202" s="69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3" t="n"/>
      <c r="C203" s="68" t="n"/>
      <c r="D203" s="69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3" t="n"/>
      <c r="C204" s="68" t="n"/>
      <c r="D204" s="69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3" t="n"/>
      <c r="C205" s="68" t="n"/>
      <c r="D205" s="69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3" t="n"/>
      <c r="C206" s="68" t="n"/>
      <c r="D206" s="69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3" t="n"/>
      <c r="C207" s="68" t="n"/>
      <c r="D207" s="69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3" t="n"/>
      <c r="C208" s="68" t="n"/>
      <c r="D208" s="69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3" t="n"/>
      <c r="C209" s="68" t="n"/>
      <c r="D209" s="69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3" t="n"/>
      <c r="C210" s="68" t="n"/>
      <c r="D210" s="69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3" t="n"/>
      <c r="C211" s="68" t="n"/>
      <c r="D211" s="69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3" t="n"/>
      <c r="C212" s="68" t="n"/>
      <c r="D212" s="69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3" t="n"/>
      <c r="C213" s="68" t="n"/>
      <c r="D213" s="69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3" t="n"/>
      <c r="C214" s="68" t="n"/>
      <c r="D214" s="69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3" t="n"/>
      <c r="C215" s="68" t="n"/>
      <c r="D215" s="69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3" t="n"/>
      <c r="C216" s="68" t="n"/>
      <c r="D216" s="69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3" t="n"/>
      <c r="C217" s="68" t="n"/>
      <c r="D217" s="69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3" t="n"/>
      <c r="C218" s="68" t="n"/>
      <c r="D218" s="69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3" t="n"/>
      <c r="C219" s="68" t="n"/>
      <c r="D219" s="69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3" t="n"/>
      <c r="C220" s="68" t="n"/>
      <c r="D220" s="69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3" t="n"/>
      <c r="C221" s="68" t="n"/>
      <c r="D221" s="69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3" t="n"/>
      <c r="C222" s="68" t="n"/>
      <c r="D222" s="69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3" t="n"/>
      <c r="C223" s="68" t="n"/>
      <c r="D223" s="69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3" t="n"/>
      <c r="C224" s="68" t="n"/>
      <c r="D224" s="69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3" t="n"/>
      <c r="C225" s="68" t="n"/>
      <c r="D225" s="69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3" t="n"/>
      <c r="C226" s="68" t="n"/>
      <c r="D226" s="69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3" t="n"/>
      <c r="C227" s="68" t="n"/>
      <c r="D227" s="69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3" t="n"/>
      <c r="C228" s="68" t="n"/>
      <c r="D228" s="69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3" t="n"/>
      <c r="C229" s="68" t="n"/>
      <c r="D229" s="69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3" t="n"/>
      <c r="C230" s="68" t="n"/>
      <c r="D230" s="69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3" t="n"/>
      <c r="C231" s="68" t="n"/>
      <c r="D231" s="69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3" t="n"/>
      <c r="C232" s="68" t="n"/>
      <c r="D232" s="69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3" t="n"/>
      <c r="C233" s="68" t="n"/>
      <c r="D233" s="69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3" t="n"/>
      <c r="C234" s="68" t="n"/>
      <c r="D234" s="69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3" t="n"/>
      <c r="C235" s="68" t="n"/>
      <c r="D235" s="69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3" t="n"/>
      <c r="C236" s="68" t="n"/>
      <c r="D236" s="69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3" t="n"/>
      <c r="C237" s="68" t="n"/>
      <c r="D237" s="69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3" t="n"/>
      <c r="C238" s="68" t="n"/>
      <c r="D238" s="69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3" t="n"/>
      <c r="C239" s="68" t="n"/>
      <c r="D239" s="69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3" t="n"/>
      <c r="C240" s="68" t="n"/>
      <c r="D240" s="69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3" t="n"/>
      <c r="C241" s="68" t="n"/>
      <c r="D241" s="69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3" t="n"/>
      <c r="C242" s="68" t="n"/>
      <c r="D242" s="69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3" t="n"/>
      <c r="C243" s="68" t="n"/>
      <c r="D243" s="69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3" t="n"/>
      <c r="C244" s="68" t="n"/>
      <c r="D244" s="69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3" t="n"/>
      <c r="C245" s="68" t="n"/>
      <c r="D245" s="69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3" t="n"/>
      <c r="C246" s="68" t="n"/>
      <c r="D246" s="69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3" t="n"/>
      <c r="C247" s="68" t="n"/>
      <c r="D247" s="69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3" t="n"/>
      <c r="C248" s="68" t="n"/>
      <c r="D248" s="69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3" t="n"/>
      <c r="C249" s="68" t="n"/>
      <c r="D249" s="69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3" t="n"/>
      <c r="C250" s="68" t="n"/>
      <c r="D250" s="69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3" t="n"/>
      <c r="C251" s="68" t="n"/>
      <c r="D251" s="69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3" t="n"/>
      <c r="C252" s="68" t="n"/>
      <c r="D252" s="69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3" t="n"/>
      <c r="C253" s="68" t="n"/>
      <c r="D253" s="69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3" t="n"/>
      <c r="C254" s="68" t="n"/>
      <c r="D254" s="69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3" t="n"/>
      <c r="C255" s="68" t="n"/>
      <c r="D255" s="69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3" t="n"/>
      <c r="C256" s="68" t="n"/>
      <c r="D256" s="69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3" t="n"/>
      <c r="C257" s="68" t="n"/>
      <c r="D257" s="69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3" t="n"/>
      <c r="C258" s="68" t="n"/>
      <c r="D258" s="69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3" t="n"/>
      <c r="C259" s="68" t="n"/>
      <c r="D259" s="69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3" t="n"/>
      <c r="C260" s="68" t="n"/>
      <c r="D260" s="69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3" t="n"/>
      <c r="C261" s="68" t="n"/>
      <c r="D261" s="69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3" t="n"/>
      <c r="C262" s="68" t="n"/>
      <c r="D262" s="69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3" t="n"/>
      <c r="C263" s="68" t="n"/>
      <c r="D263" s="69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3" t="n"/>
      <c r="C264" s="68" t="n"/>
      <c r="D264" s="69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3" t="n"/>
      <c r="C265" s="68" t="n"/>
      <c r="D265" s="69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3" t="n"/>
      <c r="C266" s="68" t="n"/>
      <c r="D266" s="69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3" t="n"/>
      <c r="C267" s="68" t="n"/>
      <c r="D267" s="69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3" t="n"/>
      <c r="C268" s="68" t="n"/>
      <c r="D268" s="69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3" t="n"/>
      <c r="C269" s="68" t="n"/>
      <c r="D269" s="69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3" t="n"/>
      <c r="C270" s="68" t="n"/>
      <c r="D270" s="69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3" t="n"/>
      <c r="C271" s="68" t="n"/>
      <c r="D271" s="69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3" t="n"/>
      <c r="C272" s="68" t="n"/>
      <c r="D272" s="69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3" t="n"/>
      <c r="C273" s="68" t="n"/>
      <c r="D273" s="69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3" t="n"/>
      <c r="C274" s="68" t="n"/>
      <c r="D274" s="69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3" t="n"/>
      <c r="C275" s="68" t="n"/>
      <c r="D275" s="69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3" t="n"/>
      <c r="C276" s="68" t="n"/>
      <c r="D276" s="69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3" t="n"/>
      <c r="C277" s="68" t="n"/>
      <c r="D277" s="69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3" t="n"/>
      <c r="C278" s="68" t="n"/>
      <c r="D278" s="69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3" t="n"/>
      <c r="C279" s="68" t="n"/>
      <c r="D279" s="69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3" t="n"/>
      <c r="C280" s="68" t="n"/>
      <c r="D280" s="69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3" t="n"/>
      <c r="C281" s="68" t="n"/>
      <c r="D281" s="69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3" t="n"/>
      <c r="C282" s="68" t="n"/>
      <c r="D282" s="69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3" t="n"/>
      <c r="C283" s="68" t="n"/>
      <c r="D283" s="69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3" t="n"/>
      <c r="C284" s="68" t="n"/>
      <c r="D284" s="69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3" t="n"/>
      <c r="C285" s="68" t="n"/>
      <c r="D285" s="69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3" t="n"/>
      <c r="C286" s="68" t="n"/>
      <c r="D286" s="69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3" t="n"/>
      <c r="C287" s="68" t="n"/>
      <c r="D287" s="69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3" t="n"/>
      <c r="C288" s="68" t="n"/>
      <c r="D288" s="69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3" t="n"/>
      <c r="C289" s="68" t="n"/>
      <c r="D289" s="69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3" t="n"/>
      <c r="C290" s="68" t="n"/>
      <c r="D290" s="69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3" t="n"/>
      <c r="C291" s="68" t="n"/>
      <c r="D291" s="69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3" t="n"/>
      <c r="C292" s="68" t="n"/>
      <c r="D292" s="69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3" t="n"/>
      <c r="C293" s="68" t="n"/>
      <c r="D293" s="69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3" t="n"/>
      <c r="C294" s="68" t="n"/>
      <c r="D294" s="69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3" t="n"/>
      <c r="C295" s="68" t="n"/>
      <c r="D295" s="69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3" t="n"/>
      <c r="C296" s="68" t="n"/>
      <c r="D296" s="69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3" t="n"/>
      <c r="C297" s="68" t="n"/>
      <c r="D297" s="69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3" t="n"/>
      <c r="C298" s="68" t="n"/>
      <c r="D298" s="69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3" t="n"/>
      <c r="C299" s="68" t="n"/>
      <c r="D299" s="69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3" t="n"/>
      <c r="C300" s="68" t="n"/>
      <c r="D300" s="69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3" t="n"/>
      <c r="C301" s="68" t="n"/>
      <c r="D301" s="69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3" t="n"/>
      <c r="C302" s="68" t="n"/>
      <c r="D302" s="69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3" t="n"/>
      <c r="C303" s="68" t="n"/>
      <c r="D303" s="69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3" t="n"/>
      <c r="C304" s="68" t="n"/>
      <c r="D304" s="69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3" t="n"/>
      <c r="C305" s="68" t="n"/>
      <c r="D305" s="69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3" t="n"/>
      <c r="C306" s="68" t="n"/>
      <c r="D306" s="69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3" t="n"/>
      <c r="C307" s="68" t="n"/>
      <c r="D307" s="69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3" t="n"/>
      <c r="C308" s="68" t="n"/>
      <c r="D308" s="69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3" t="n"/>
      <c r="C309" s="68" t="n"/>
      <c r="D309" s="69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3" t="n"/>
      <c r="C310" s="68" t="n"/>
      <c r="D310" s="69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3" t="n"/>
      <c r="C311" s="68" t="n"/>
      <c r="D311" s="69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3" t="n"/>
      <c r="C312" s="68" t="n"/>
      <c r="D312" s="69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3" t="n"/>
      <c r="C313" s="68" t="n"/>
      <c r="D313" s="69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3" t="n"/>
      <c r="C314" s="68" t="n"/>
      <c r="D314" s="69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3" t="n"/>
      <c r="C315" s="68" t="n"/>
      <c r="D315" s="69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3" t="n"/>
      <c r="C316" s="68" t="n"/>
      <c r="D316" s="69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3" t="n"/>
      <c r="C317" s="68" t="n"/>
      <c r="D317" s="69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3" t="n"/>
      <c r="C318" s="68" t="n"/>
      <c r="D318" s="69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3" t="n"/>
      <c r="C319" s="68" t="n"/>
      <c r="D319" s="69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3" t="n"/>
      <c r="C320" s="68" t="n"/>
      <c r="D320" s="69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3" t="n"/>
      <c r="C321" s="68" t="n"/>
      <c r="D321" s="69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3" t="n"/>
      <c r="C322" s="68" t="n"/>
      <c r="D322" s="69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3" t="n"/>
      <c r="C323" s="68" t="n"/>
      <c r="D323" s="69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3" t="n"/>
      <c r="C324" s="68" t="n"/>
      <c r="D324" s="69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3" t="n"/>
      <c r="C325" s="68" t="n"/>
      <c r="D325" s="69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3" t="n"/>
      <c r="C326" s="68" t="n"/>
      <c r="D326" s="69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3" t="n"/>
      <c r="C327" s="68" t="n"/>
      <c r="D327" s="69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3" t="n"/>
      <c r="C328" s="68" t="n"/>
      <c r="D328" s="69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3" t="n"/>
      <c r="C329" s="68" t="n"/>
      <c r="D329" s="69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3" t="n"/>
      <c r="C330" s="68" t="n"/>
      <c r="D330" s="69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3" t="n"/>
      <c r="C331" s="68" t="n"/>
      <c r="D331" s="69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3" t="n"/>
      <c r="C332" s="68" t="n"/>
      <c r="D332" s="69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3" t="n"/>
      <c r="C333" s="68" t="n"/>
      <c r="D333" s="69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3" t="n"/>
      <c r="C334" s="68" t="n"/>
      <c r="D334" s="69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3" t="n"/>
      <c r="C335" s="68" t="n"/>
      <c r="D335" s="69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3" t="n"/>
      <c r="C336" s="68" t="n"/>
      <c r="D336" s="69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3" t="n"/>
      <c r="C337" s="68" t="n"/>
      <c r="D337" s="69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3" t="n"/>
      <c r="C338" s="68" t="n"/>
      <c r="D338" s="69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3" t="n"/>
      <c r="C339" s="68" t="n"/>
      <c r="D339" s="69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3" t="n"/>
      <c r="C340" s="68" t="n"/>
      <c r="D340" s="69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3" t="n"/>
      <c r="C341" s="68" t="n"/>
      <c r="D341" s="69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3" t="n"/>
      <c r="C342" s="68" t="n"/>
      <c r="D342" s="69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3" t="n"/>
      <c r="C343" s="68" t="n"/>
      <c r="D343" s="69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3" t="n"/>
      <c r="C344" s="68" t="n"/>
      <c r="D344" s="69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3" t="n"/>
      <c r="C345" s="68" t="n"/>
      <c r="D345" s="69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3" t="n"/>
      <c r="C346" s="68" t="n"/>
      <c r="D346" s="69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3" t="n"/>
      <c r="C347" s="68" t="n"/>
      <c r="D347" s="69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3" t="n"/>
      <c r="C348" s="68" t="n"/>
      <c r="D348" s="69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3" t="n"/>
      <c r="C349" s="68" t="n"/>
      <c r="D349" s="69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3" t="n"/>
      <c r="C350" s="68" t="n"/>
      <c r="D350" s="69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3" t="n"/>
      <c r="C351" s="68" t="n"/>
      <c r="D351" s="69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3" t="n"/>
      <c r="C352" s="68" t="n"/>
      <c r="D352" s="69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3" t="n"/>
      <c r="C353" s="68" t="n"/>
      <c r="D353" s="69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3" t="n"/>
      <c r="C354" s="68" t="n"/>
      <c r="D354" s="69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3" t="n"/>
      <c r="C355" s="68" t="n"/>
      <c r="D355" s="69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3" t="n"/>
      <c r="C356" s="68" t="n"/>
      <c r="D356" s="69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3" t="n"/>
      <c r="C357" s="68" t="n"/>
      <c r="D357" s="69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3" t="n"/>
      <c r="C358" s="68" t="n"/>
      <c r="D358" s="69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3" t="n"/>
      <c r="C359" s="68" t="n"/>
      <c r="D359" s="69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3" t="n"/>
      <c r="C360" s="68" t="n"/>
      <c r="D360" s="69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3" t="n"/>
      <c r="C361" s="68" t="n"/>
      <c r="D361" s="69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3" t="n"/>
      <c r="C362" s="68" t="n"/>
      <c r="D362" s="69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3" t="n"/>
      <c r="C363" s="68" t="n"/>
      <c r="D363" s="69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3" t="n"/>
      <c r="C364" s="68" t="n"/>
      <c r="D364" s="69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3" t="n"/>
      <c r="C365" s="68" t="n"/>
      <c r="D365" s="69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3" t="n"/>
      <c r="C366" s="68" t="n"/>
      <c r="D366" s="69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3" t="n"/>
      <c r="C367" s="68" t="n"/>
      <c r="D367" s="69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3" t="n"/>
      <c r="C368" s="68" t="n"/>
      <c r="D368" s="69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3" t="n"/>
      <c r="C369" s="68" t="n"/>
      <c r="D369" s="69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3" t="n"/>
      <c r="C370" s="68" t="n"/>
      <c r="D370" s="69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3" t="n"/>
      <c r="C371" s="68" t="n"/>
      <c r="D371" s="69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3" t="n"/>
      <c r="C372" s="68" t="n"/>
      <c r="D372" s="69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3" t="n"/>
      <c r="C373" s="68" t="n"/>
      <c r="D373" s="69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3" t="n"/>
      <c r="C374" s="68" t="n"/>
      <c r="D374" s="69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3" t="n"/>
      <c r="C375" s="68" t="n"/>
      <c r="D375" s="69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3" t="n"/>
      <c r="C376" s="68" t="n"/>
      <c r="D376" s="69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3" t="n"/>
      <c r="C377" s="68" t="n"/>
      <c r="D377" s="69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3" t="n"/>
      <c r="C378" s="68" t="n"/>
      <c r="D378" s="69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3" t="n"/>
      <c r="C379" s="68" t="n"/>
      <c r="D379" s="69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3" t="n"/>
      <c r="C380" s="68" t="n"/>
      <c r="D380" s="69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3" t="n"/>
      <c r="C381" s="68" t="n"/>
      <c r="D381" s="69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3" t="n"/>
      <c r="C382" s="68" t="n"/>
      <c r="D382" s="69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3" t="n"/>
      <c r="C383" s="68" t="n"/>
      <c r="D383" s="69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3" t="n"/>
      <c r="C384" s="68" t="n"/>
      <c r="D384" s="69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3" t="n"/>
      <c r="C385" s="68" t="n"/>
      <c r="D385" s="69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3" t="n"/>
      <c r="C386" s="68" t="n"/>
      <c r="D386" s="69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3" t="n"/>
      <c r="C387" s="68" t="n"/>
      <c r="D387" s="69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3" t="n"/>
      <c r="C388" s="68" t="n"/>
      <c r="D388" s="69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3" t="n"/>
      <c r="C389" s="68" t="n"/>
      <c r="D389" s="69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3" t="n"/>
      <c r="C390" s="68" t="n"/>
      <c r="D390" s="69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3" t="n"/>
      <c r="C391" s="68" t="n"/>
      <c r="D391" s="69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3" t="n"/>
      <c r="C392" s="68" t="n"/>
      <c r="D392" s="69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3" t="n"/>
      <c r="C393" s="68" t="n"/>
      <c r="D393" s="69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3" t="n"/>
      <c r="C394" s="68" t="n"/>
      <c r="D394" s="69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3" t="n"/>
      <c r="C395" s="68" t="n"/>
      <c r="D395" s="69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3" t="n"/>
      <c r="C396" s="68" t="n"/>
      <c r="D396" s="69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3" t="n"/>
      <c r="C397" s="68" t="n"/>
      <c r="D397" s="69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3" t="n"/>
      <c r="C398" s="68" t="n"/>
      <c r="D398" s="69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3" t="n"/>
      <c r="C399" s="68" t="n"/>
      <c r="D399" s="69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3" t="n"/>
      <c r="C400" s="68" t="n"/>
      <c r="D400" s="69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3" t="n"/>
      <c r="C401" s="68" t="n"/>
      <c r="D401" s="69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3" t="n"/>
      <c r="C402" s="68" t="n"/>
      <c r="D402" s="69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3" t="n"/>
      <c r="C403" s="68" t="n"/>
      <c r="D403" s="69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3" t="n"/>
      <c r="C404" s="68" t="n"/>
      <c r="D404" s="69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3" t="n"/>
      <c r="C405" s="68" t="n"/>
      <c r="D405" s="69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3" t="n"/>
      <c r="C406" s="68" t="n"/>
      <c r="D406" s="69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3" t="n"/>
      <c r="C407" s="68" t="n"/>
      <c r="D407" s="69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3" t="n"/>
      <c r="C408" s="68" t="n"/>
      <c r="D408" s="69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3" t="n"/>
      <c r="C409" s="68" t="n"/>
      <c r="D409" s="69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3" t="n"/>
      <c r="C410" s="68" t="n"/>
      <c r="D410" s="69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3" t="n"/>
      <c r="C411" s="68" t="n"/>
      <c r="D411" s="69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3" t="n"/>
      <c r="C412" s="68" t="n"/>
      <c r="D412" s="69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3" t="n"/>
      <c r="C413" s="68" t="n"/>
      <c r="D413" s="69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3" t="n"/>
      <c r="C414" s="68" t="n"/>
      <c r="D414" s="69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3" t="n"/>
      <c r="C415" s="68" t="n"/>
      <c r="D415" s="69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3" t="n"/>
      <c r="C416" s="68" t="n"/>
      <c r="D416" s="69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3" t="n"/>
      <c r="C417" s="68" t="n"/>
      <c r="D417" s="69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3" t="n"/>
      <c r="C418" s="68" t="n"/>
      <c r="D418" s="69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3" t="n"/>
      <c r="C419" s="68" t="n"/>
      <c r="D419" s="69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3" t="n"/>
      <c r="C420" s="68" t="n"/>
      <c r="D420" s="69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3" t="n"/>
      <c r="C421" s="68" t="n"/>
      <c r="D421" s="69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3" t="n"/>
      <c r="C422" s="68" t="n"/>
      <c r="D422" s="69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3" t="n"/>
      <c r="C423" s="68" t="n"/>
      <c r="D423" s="69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3" t="n"/>
      <c r="C424" s="68" t="n"/>
      <c r="D424" s="69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3" t="n"/>
      <c r="C425" s="68" t="n"/>
      <c r="D425" s="69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3" t="n"/>
      <c r="C426" s="68" t="n"/>
      <c r="D426" s="69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3" t="n"/>
      <c r="C427" s="68" t="n"/>
      <c r="D427" s="69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3" t="n"/>
      <c r="C428" s="68" t="n"/>
      <c r="D428" s="69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3" t="n"/>
      <c r="C429" s="68" t="n"/>
      <c r="D429" s="69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3" t="n"/>
      <c r="C430" s="68" t="n"/>
      <c r="D430" s="69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3" t="n"/>
      <c r="C431" s="68" t="n"/>
      <c r="D431" s="69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3" t="n"/>
      <c r="C432" s="68" t="n"/>
      <c r="D432" s="69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3" t="n"/>
      <c r="C433" s="68" t="n"/>
      <c r="D433" s="69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3" t="n"/>
      <c r="C434" s="68" t="n"/>
      <c r="D434" s="69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3" t="n"/>
      <c r="C435" s="68" t="n"/>
      <c r="D435" s="69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3" t="n"/>
      <c r="C436" s="68" t="n"/>
      <c r="D436" s="69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3" t="n"/>
      <c r="C437" s="68" t="n"/>
      <c r="D437" s="69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3" t="n"/>
      <c r="C438" s="68" t="n"/>
      <c r="D438" s="69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3" t="n"/>
      <c r="C439" s="68" t="n"/>
      <c r="D439" s="69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3" t="n"/>
      <c r="C440" s="68" t="n"/>
      <c r="D440" s="69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3" t="n"/>
      <c r="C441" s="68" t="n"/>
      <c r="D441" s="69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3" t="n"/>
      <c r="C442" s="68" t="n"/>
      <c r="D442" s="69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3" t="n"/>
      <c r="C443" s="68" t="n"/>
      <c r="D443" s="69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3" t="n"/>
      <c r="C444" s="68" t="n"/>
      <c r="D444" s="69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3" t="n"/>
      <c r="C445" s="68" t="n"/>
      <c r="D445" s="69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3" t="n"/>
      <c r="C446" s="68" t="n"/>
      <c r="D446" s="69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3" t="n"/>
      <c r="C447" s="68" t="n"/>
      <c r="D447" s="69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3" t="n"/>
      <c r="C448" s="68" t="n"/>
      <c r="D448" s="69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3" t="n"/>
      <c r="C449" s="68" t="n"/>
      <c r="D449" s="69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3" t="n"/>
      <c r="C450" s="68" t="n"/>
      <c r="D450" s="69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3" t="n"/>
      <c r="C451" s="68" t="n"/>
      <c r="D451" s="69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3" t="n"/>
      <c r="C452" s="68" t="n"/>
      <c r="D452" s="69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3" t="n"/>
      <c r="C453" s="68" t="n"/>
      <c r="D453" s="69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3" t="n"/>
      <c r="C454" s="68" t="n"/>
      <c r="D454" s="69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3" t="n"/>
      <c r="C455" s="68" t="n"/>
      <c r="D455" s="69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3" t="n"/>
      <c r="C456" s="68" t="n"/>
      <c r="D456" s="69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3" t="n"/>
      <c r="C457" s="68" t="n"/>
      <c r="D457" s="69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3" t="n"/>
      <c r="C458" s="68" t="n"/>
      <c r="D458" s="69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3" t="n"/>
      <c r="C459" s="68" t="n"/>
      <c r="D459" s="69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3" t="n"/>
      <c r="C460" s="68" t="n"/>
      <c r="D460" s="69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3" t="n"/>
      <c r="C461" s="68" t="n"/>
      <c r="D461" s="69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3" t="n"/>
      <c r="C462" s="68" t="n"/>
      <c r="D462" s="69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3" t="n"/>
      <c r="C463" s="68" t="n"/>
      <c r="D463" s="69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3" t="n"/>
      <c r="C464" s="68" t="n"/>
      <c r="D464" s="69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3" t="n"/>
      <c r="C465" s="68" t="n"/>
      <c r="D465" s="69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3" t="n"/>
      <c r="C466" s="68" t="n"/>
      <c r="D466" s="69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3" t="n"/>
      <c r="C467" s="68" t="n"/>
      <c r="D467" s="69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3" t="n"/>
      <c r="C468" s="68" t="n"/>
      <c r="D468" s="69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3" t="n"/>
      <c r="C469" s="68" t="n"/>
      <c r="D469" s="69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3" t="n"/>
      <c r="C470" s="68" t="n"/>
      <c r="D470" s="69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3" t="n"/>
      <c r="C471" s="68" t="n"/>
      <c r="D471" s="69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3" t="n"/>
      <c r="C472" s="68" t="n"/>
      <c r="D472" s="69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3" t="n"/>
      <c r="C473" s="68" t="n"/>
      <c r="D473" s="69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3" t="n"/>
      <c r="C474" s="68" t="n"/>
      <c r="D474" s="69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3" t="n"/>
      <c r="C475" s="68" t="n"/>
      <c r="D475" s="69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3" t="n"/>
      <c r="C476" s="68" t="n"/>
      <c r="D476" s="69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3" t="n"/>
      <c r="C477" s="68" t="n"/>
      <c r="D477" s="69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3" t="n"/>
      <c r="C478" s="68" t="n"/>
      <c r="D478" s="69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3" t="n"/>
      <c r="C479" s="68" t="n"/>
      <c r="D479" s="69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3" t="n"/>
      <c r="C480" s="68" t="n"/>
      <c r="D480" s="69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3" t="n"/>
      <c r="C481" s="68" t="n"/>
      <c r="D481" s="69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3" t="n"/>
      <c r="C482" s="68" t="n"/>
      <c r="D482" s="69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3" t="n"/>
      <c r="C483" s="68" t="n"/>
      <c r="D483" s="69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3" t="n"/>
      <c r="C484" s="68" t="n"/>
      <c r="D484" s="69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3" t="n"/>
      <c r="C485" s="68" t="n"/>
      <c r="D485" s="69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3" t="n"/>
      <c r="C486" s="68" t="n"/>
      <c r="D486" s="69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3" t="n"/>
      <c r="C487" s="68" t="n"/>
      <c r="D487" s="69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3" t="n"/>
      <c r="C488" s="68" t="n"/>
      <c r="D488" s="69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3" t="n"/>
      <c r="C489" s="68" t="n"/>
      <c r="D489" s="69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3" t="n"/>
      <c r="C490" s="68" t="n"/>
      <c r="D490" s="69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3" t="n"/>
      <c r="C491" s="68" t="n"/>
      <c r="D491" s="69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3" t="n"/>
      <c r="C492" s="68" t="n"/>
      <c r="D492" s="69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3" t="n"/>
      <c r="C493" s="68" t="n"/>
      <c r="D493" s="69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3" t="n"/>
      <c r="C494" s="68" t="n"/>
      <c r="D494" s="69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3" t="n"/>
      <c r="C495" s="68" t="n"/>
      <c r="D495" s="69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3" t="n"/>
      <c r="C496" s="68" t="n"/>
      <c r="D496" s="69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3" t="n"/>
      <c r="C497" s="68" t="n"/>
      <c r="D497" s="69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3" t="n"/>
      <c r="C498" s="68" t="n"/>
      <c r="D498" s="69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3" t="n"/>
      <c r="C499" s="68" t="n"/>
      <c r="D499" s="69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3" t="n"/>
      <c r="C500" s="68" t="n"/>
      <c r="D500" s="69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3" t="n"/>
      <c r="C501" s="68" t="n"/>
      <c r="D501" s="69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3" t="n"/>
      <c r="C502" s="68" t="n"/>
      <c r="D502" s="69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3" t="n"/>
      <c r="C503" s="68" t="n"/>
      <c r="D503" s="69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3" t="n"/>
      <c r="C504" s="68" t="n"/>
      <c r="D504" s="69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3" t="n"/>
      <c r="C505" s="68" t="n"/>
      <c r="D505" s="69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3" t="n"/>
      <c r="C506" s="68" t="n"/>
      <c r="D506" s="69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3" t="n"/>
      <c r="C507" s="68" t="n"/>
      <c r="D507" s="69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3" t="n"/>
      <c r="C508" s="68" t="n"/>
      <c r="D508" s="69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3" t="n"/>
      <c r="C509" s="68" t="n"/>
      <c r="D509" s="69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3" t="n"/>
      <c r="C510" s="68" t="n"/>
      <c r="D510" s="69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3" t="n"/>
      <c r="C511" s="68" t="n"/>
      <c r="D511" s="69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3" t="n"/>
      <c r="C512" s="68" t="n"/>
      <c r="D512" s="69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3" t="n"/>
      <c r="C513" s="68" t="n"/>
      <c r="D513" s="69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3" t="n"/>
      <c r="C514" s="68" t="n"/>
      <c r="D514" s="69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3" t="n"/>
      <c r="C515" s="68" t="n"/>
      <c r="D515" s="69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3" t="n"/>
      <c r="C516" s="68" t="n"/>
      <c r="D516" s="69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3" t="n"/>
      <c r="C517" s="68" t="n"/>
      <c r="D517" s="69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3" t="n"/>
      <c r="C518" s="68" t="n"/>
      <c r="D518" s="69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3" t="n"/>
      <c r="C519" s="68" t="n"/>
      <c r="D519" s="69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3" t="n"/>
      <c r="C520" s="68" t="n"/>
      <c r="D520" s="69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3" t="n"/>
      <c r="C521" s="68" t="n"/>
      <c r="D521" s="69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3" t="n"/>
      <c r="C522" s="68" t="n"/>
      <c r="D522" s="69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3" t="n"/>
      <c r="C523" s="68" t="n"/>
      <c r="D523" s="69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3" t="n"/>
      <c r="C524" s="68" t="n"/>
      <c r="D524" s="69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3" t="n"/>
      <c r="C525" s="68" t="n"/>
      <c r="D525" s="69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3" t="n"/>
      <c r="C526" s="68" t="n"/>
      <c r="D526" s="69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3" t="n"/>
      <c r="C527" s="68" t="n"/>
      <c r="D527" s="69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3" t="n"/>
      <c r="C528" s="68" t="n"/>
      <c r="D528" s="69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3" t="n"/>
      <c r="C529" s="68" t="n"/>
      <c r="D529" s="69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3" t="n"/>
      <c r="C530" s="68" t="n"/>
      <c r="D530" s="69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3" t="n"/>
      <c r="C531" s="68" t="n"/>
      <c r="D531" s="69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3" t="n"/>
      <c r="C532" s="68" t="n"/>
      <c r="D532" s="69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3" t="n"/>
      <c r="C533" s="68" t="n"/>
      <c r="D533" s="69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3" t="n"/>
      <c r="C534" s="68" t="n"/>
      <c r="D534" s="69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3" t="n"/>
      <c r="C535" s="68" t="n"/>
      <c r="D535" s="69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3" t="n"/>
      <c r="C536" s="68" t="n"/>
      <c r="D536" s="69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3" t="n"/>
      <c r="C537" s="68" t="n"/>
      <c r="D537" s="69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3" t="n"/>
      <c r="C538" s="68" t="n"/>
      <c r="D538" s="69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3" t="n"/>
      <c r="C539" s="68" t="n"/>
      <c r="D539" s="69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3" t="n"/>
      <c r="C540" s="68" t="n"/>
      <c r="D540" s="69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3" t="n"/>
      <c r="C541" s="68" t="n"/>
      <c r="D541" s="69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3" t="n"/>
      <c r="C542" s="68" t="n"/>
      <c r="D542" s="69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3" t="n"/>
      <c r="C543" s="68" t="n"/>
      <c r="D543" s="69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3" t="n"/>
      <c r="C544" s="68" t="n"/>
      <c r="D544" s="69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3" t="n"/>
      <c r="C545" s="68" t="n"/>
      <c r="D545" s="69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3" t="n"/>
      <c r="C546" s="68" t="n"/>
      <c r="D546" s="69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3" t="n"/>
      <c r="C547" s="68" t="n"/>
      <c r="D547" s="69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3" t="n"/>
      <c r="C548" s="68" t="n"/>
      <c r="D548" s="69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3" t="n"/>
      <c r="C549" s="68" t="n"/>
      <c r="D549" s="69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3" t="n"/>
      <c r="C550" s="68" t="n"/>
      <c r="D550" s="69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3" t="n"/>
      <c r="C551" s="68" t="n"/>
      <c r="D551" s="69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3" t="n"/>
      <c r="C552" s="68" t="n"/>
      <c r="D552" s="69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3" t="n"/>
      <c r="C553" s="68" t="n"/>
      <c r="D553" s="69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3" t="n"/>
      <c r="C554" s="68" t="n"/>
      <c r="D554" s="69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3" t="n"/>
      <c r="C555" s="68" t="n"/>
      <c r="D555" s="69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3" t="n"/>
      <c r="C556" s="68" t="n"/>
      <c r="D556" s="69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3" t="n"/>
      <c r="C557" s="68" t="n"/>
      <c r="D557" s="69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3" t="n"/>
      <c r="C558" s="68" t="n"/>
      <c r="D558" s="69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3" t="n"/>
      <c r="C559" s="68" t="n"/>
      <c r="D559" s="69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3" t="n"/>
      <c r="C560" s="68" t="n"/>
      <c r="D560" s="69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3" t="n"/>
      <c r="C561" s="68" t="n"/>
      <c r="D561" s="69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3" t="n"/>
      <c r="C562" s="68" t="n"/>
      <c r="D562" s="69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3" t="n"/>
      <c r="C563" s="68" t="n"/>
      <c r="D563" s="69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3" t="n"/>
      <c r="C564" s="68" t="n"/>
      <c r="D564" s="69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3" t="n"/>
      <c r="C565" s="68" t="n"/>
      <c r="D565" s="69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3" t="n"/>
      <c r="C566" s="68" t="n"/>
      <c r="D566" s="69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3" t="n"/>
      <c r="C567" s="68" t="n"/>
      <c r="D567" s="69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3" t="n"/>
      <c r="C568" s="68" t="n"/>
      <c r="D568" s="69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3" t="n"/>
      <c r="C569" s="68" t="n"/>
      <c r="D569" s="69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3" t="n"/>
      <c r="C570" s="68" t="n"/>
      <c r="D570" s="69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3" t="n"/>
      <c r="C571" s="68" t="n"/>
      <c r="D571" s="69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3" t="n"/>
      <c r="C572" s="68" t="n"/>
      <c r="D572" s="69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3" t="n"/>
      <c r="C573" s="68" t="n"/>
      <c r="D573" s="69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3" t="n"/>
      <c r="C574" s="68" t="n"/>
      <c r="D574" s="69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3" t="n"/>
      <c r="C575" s="68" t="n"/>
      <c r="D575" s="69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3" t="n"/>
      <c r="C576" s="68" t="n"/>
      <c r="D576" s="69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3" t="n"/>
      <c r="C577" s="68" t="n"/>
      <c r="D577" s="69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3" t="n"/>
      <c r="C578" s="68" t="n"/>
      <c r="D578" s="69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3" t="n"/>
      <c r="C579" s="68" t="n"/>
      <c r="D579" s="69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3" t="n"/>
      <c r="C580" s="68" t="n"/>
      <c r="D580" s="69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3" t="n"/>
      <c r="C581" s="68" t="n"/>
      <c r="D581" s="69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3" t="n"/>
      <c r="C582" s="68" t="n"/>
      <c r="D582" s="69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3" t="n"/>
      <c r="C583" s="68" t="n"/>
      <c r="D583" s="69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3" t="n"/>
      <c r="C584" s="68" t="n"/>
      <c r="D584" s="69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3" t="n"/>
      <c r="C585" s="68" t="n"/>
      <c r="D585" s="69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3" t="n"/>
      <c r="C586" s="68" t="n"/>
      <c r="D586" s="69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3" t="n"/>
      <c r="C587" s="68" t="n"/>
      <c r="D587" s="69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3" t="n"/>
      <c r="C588" s="68" t="n"/>
      <c r="D588" s="69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3" t="n"/>
      <c r="C589" s="68" t="n"/>
      <c r="D589" s="69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3" t="n"/>
      <c r="C590" s="68" t="n"/>
      <c r="D590" s="69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3" t="n"/>
      <c r="C591" s="68" t="n"/>
      <c r="D591" s="69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3" t="n"/>
      <c r="C592" s="68" t="n"/>
      <c r="D592" s="69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3" t="n"/>
      <c r="C593" s="68" t="n"/>
      <c r="D593" s="69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3" t="n"/>
      <c r="C594" s="68" t="n"/>
      <c r="D594" s="69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3" t="n"/>
      <c r="C595" s="68" t="n"/>
      <c r="D595" s="69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3" t="n"/>
      <c r="C596" s="68" t="n"/>
      <c r="D596" s="69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3" t="n"/>
      <c r="C597" s="68" t="n"/>
      <c r="D597" s="69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3" t="n"/>
      <c r="C598" s="68" t="n"/>
      <c r="D598" s="69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3" t="n"/>
      <c r="C599" s="68" t="n"/>
      <c r="D599" s="69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3" t="n"/>
      <c r="C600" s="68" t="n"/>
      <c r="D600" s="69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3" t="n"/>
      <c r="C601" s="68" t="n"/>
      <c r="D601" s="69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3" t="n"/>
      <c r="C602" s="68" t="n"/>
      <c r="D602" s="69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3" t="n"/>
      <c r="C603" s="68" t="n"/>
      <c r="D603" s="69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3" t="n"/>
      <c r="C604" s="68" t="n"/>
      <c r="D604" s="69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3" t="n"/>
      <c r="C605" s="68" t="n"/>
      <c r="D605" s="69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3" t="n"/>
      <c r="C606" s="68" t="n"/>
      <c r="D606" s="69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3" t="n"/>
      <c r="C607" s="68" t="n"/>
      <c r="D607" s="69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3" t="n"/>
      <c r="C608" s="68" t="n"/>
      <c r="D608" s="69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3" t="n"/>
      <c r="C609" s="68" t="n"/>
      <c r="D609" s="69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3" t="n"/>
      <c r="C610" s="68" t="n"/>
      <c r="D610" s="69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3" t="n"/>
      <c r="C611" s="68" t="n"/>
      <c r="D611" s="69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3" t="n"/>
      <c r="C612" s="68" t="n"/>
      <c r="D612" s="69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3" t="n"/>
      <c r="C613" s="68" t="n"/>
      <c r="D613" s="69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3" t="n"/>
      <c r="C614" s="68" t="n"/>
      <c r="D614" s="69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3" t="n"/>
      <c r="C615" s="68" t="n"/>
      <c r="D615" s="69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3" t="n"/>
      <c r="C616" s="68" t="n"/>
      <c r="D616" s="69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3" t="n"/>
      <c r="C617" s="68" t="n"/>
      <c r="D617" s="69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3" t="n"/>
      <c r="C618" s="68" t="n"/>
      <c r="D618" s="69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3" t="n"/>
      <c r="C619" s="68" t="n"/>
      <c r="D619" s="69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3" t="n"/>
      <c r="C620" s="68" t="n"/>
      <c r="D620" s="69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3" t="n"/>
      <c r="C621" s="68" t="n"/>
      <c r="D621" s="69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3" t="n"/>
      <c r="C622" s="68" t="n"/>
      <c r="D622" s="69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3" t="n"/>
      <c r="C623" s="68" t="n"/>
      <c r="D623" s="69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3" t="n"/>
      <c r="C624" s="68" t="n"/>
      <c r="D624" s="69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3" t="n"/>
      <c r="C625" s="68" t="n"/>
      <c r="D625" s="69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3" t="n"/>
      <c r="C626" s="68" t="n"/>
      <c r="D626" s="69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3" t="n"/>
      <c r="C627" s="68" t="n"/>
      <c r="D627" s="69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3" t="n"/>
      <c r="C628" s="68" t="n"/>
      <c r="D628" s="69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3" t="n"/>
      <c r="C629" s="68" t="n"/>
      <c r="D629" s="69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3" t="n"/>
      <c r="C630" s="68" t="n"/>
      <c r="D630" s="69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3" t="n"/>
      <c r="C631" s="68" t="n"/>
      <c r="D631" s="69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3" t="n"/>
      <c r="C632" s="68" t="n"/>
      <c r="D632" s="69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3" t="n"/>
      <c r="C633" s="68" t="n"/>
      <c r="D633" s="69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3" t="n"/>
      <c r="C634" s="68" t="n"/>
      <c r="D634" s="69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3" t="n"/>
      <c r="C635" s="68" t="n"/>
      <c r="D635" s="69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3" t="n"/>
      <c r="C636" s="68" t="n"/>
      <c r="D636" s="69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3" t="n"/>
      <c r="C637" s="68" t="n"/>
      <c r="D637" s="69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3" t="n"/>
      <c r="C638" s="68" t="n"/>
      <c r="D638" s="69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3" t="n"/>
      <c r="C639" s="68" t="n"/>
      <c r="D639" s="69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3" t="n"/>
      <c r="C640" s="68" t="n"/>
      <c r="D640" s="69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3" t="n"/>
      <c r="C641" s="68" t="n"/>
      <c r="D641" s="69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3" t="n"/>
      <c r="C642" s="68" t="n"/>
      <c r="D642" s="69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3" t="n"/>
      <c r="C643" s="68" t="n"/>
      <c r="D643" s="69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3" t="n"/>
      <c r="C644" s="68" t="n"/>
      <c r="D644" s="69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3" t="n"/>
      <c r="C645" s="68" t="n"/>
      <c r="D645" s="69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3" t="n"/>
      <c r="C646" s="68" t="n"/>
      <c r="D646" s="69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3" t="n"/>
      <c r="C647" s="68" t="n"/>
      <c r="D647" s="69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3" t="n"/>
      <c r="C648" s="68" t="n"/>
      <c r="D648" s="69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3" t="n"/>
      <c r="C649" s="68" t="n"/>
      <c r="D649" s="69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3" t="n"/>
      <c r="C650" s="68" t="n"/>
      <c r="D650" s="69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3" t="n"/>
      <c r="C651" s="68" t="n"/>
      <c r="D651" s="69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3" t="n"/>
      <c r="C652" s="68" t="n"/>
      <c r="D652" s="69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3" t="n"/>
      <c r="C653" s="68" t="n"/>
      <c r="D653" s="69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3" t="n"/>
      <c r="C654" s="68" t="n"/>
      <c r="D654" s="69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3" t="n"/>
      <c r="C655" s="68" t="n"/>
      <c r="D655" s="69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3" t="n"/>
      <c r="C656" s="68" t="n"/>
      <c r="D656" s="69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3" t="n"/>
      <c r="C657" s="68" t="n"/>
      <c r="D657" s="69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3" t="n"/>
      <c r="C658" s="68" t="n"/>
      <c r="D658" s="69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3" t="n"/>
      <c r="C659" s="68" t="n"/>
      <c r="D659" s="69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3" t="n"/>
      <c r="C660" s="68" t="n"/>
      <c r="D660" s="69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3" t="n"/>
      <c r="C661" s="68" t="n"/>
      <c r="D661" s="69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3" t="n"/>
      <c r="C662" s="68" t="n"/>
      <c r="D662" s="69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3" t="n"/>
      <c r="C663" s="68" t="n"/>
      <c r="D663" s="69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3" t="n"/>
      <c r="C664" s="68" t="n"/>
      <c r="D664" s="69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3" t="n"/>
      <c r="C665" s="68" t="n"/>
      <c r="D665" s="69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3" t="n"/>
      <c r="C666" s="68" t="n"/>
      <c r="D666" s="69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3" t="n"/>
      <c r="C667" s="68" t="n"/>
      <c r="D667" s="69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3" t="n"/>
      <c r="C668" s="68" t="n"/>
      <c r="D668" s="69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3" t="n"/>
      <c r="C669" s="68" t="n"/>
      <c r="D669" s="69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3" t="n"/>
      <c r="C670" s="68" t="n"/>
      <c r="D670" s="69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3" t="n"/>
      <c r="C671" s="68" t="n"/>
      <c r="D671" s="69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3" t="n"/>
      <c r="C672" s="68" t="n"/>
      <c r="D672" s="69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3" t="n"/>
      <c r="C673" s="68" t="n"/>
      <c r="D673" s="69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3" t="n"/>
      <c r="C674" s="68" t="n"/>
      <c r="D674" s="69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3" t="n"/>
      <c r="C675" s="68" t="n"/>
      <c r="D675" s="69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3" t="n"/>
      <c r="C676" s="68" t="n"/>
      <c r="D676" s="69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3" t="n"/>
      <c r="C677" s="68" t="n"/>
      <c r="D677" s="69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3" t="n"/>
      <c r="C678" s="68" t="n"/>
      <c r="D678" s="69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3" t="n"/>
      <c r="C679" s="68" t="n"/>
      <c r="D679" s="69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3" t="n"/>
      <c r="C680" s="68" t="n"/>
      <c r="D680" s="69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3" t="n"/>
      <c r="C681" s="68" t="n"/>
      <c r="D681" s="69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3" t="n"/>
      <c r="C682" s="68" t="n"/>
      <c r="D682" s="69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3" t="n"/>
      <c r="C683" s="68" t="n"/>
      <c r="D683" s="69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3" t="n"/>
      <c r="C684" s="68" t="n"/>
      <c r="D684" s="69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3" t="n"/>
      <c r="C685" s="68" t="n"/>
      <c r="D685" s="69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3" t="n"/>
      <c r="C686" s="68" t="n"/>
      <c r="D686" s="69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3" t="n"/>
      <c r="C687" s="68" t="n"/>
      <c r="D687" s="69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3" t="n"/>
      <c r="C688" s="68" t="n"/>
      <c r="D688" s="69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3" t="n"/>
      <c r="C689" s="68" t="n"/>
      <c r="D689" s="69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3" t="n"/>
      <c r="C690" s="68" t="n"/>
      <c r="D690" s="69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3" t="n"/>
      <c r="C691" s="68" t="n"/>
      <c r="D691" s="69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3" t="n"/>
      <c r="C692" s="68" t="n"/>
      <c r="D692" s="69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3" t="n"/>
      <c r="C693" s="68" t="n"/>
      <c r="D693" s="69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3" t="n"/>
      <c r="C694" s="68" t="n"/>
      <c r="D694" s="69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3" t="n"/>
      <c r="C695" s="68" t="n"/>
      <c r="D695" s="69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3" t="n"/>
      <c r="C696" s="68" t="n"/>
      <c r="D696" s="69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3" t="n"/>
      <c r="C697" s="68" t="n"/>
      <c r="D697" s="69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3" t="n"/>
      <c r="C698" s="68" t="n"/>
      <c r="D698" s="69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3" t="n"/>
      <c r="C699" s="68" t="n"/>
      <c r="D699" s="69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3" t="n"/>
      <c r="C700" s="68" t="n"/>
      <c r="D700" s="69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3" t="n"/>
      <c r="C701" s="68" t="n"/>
      <c r="D701" s="69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3" t="n"/>
      <c r="C702" s="68" t="n"/>
      <c r="D702" s="69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3" t="n"/>
      <c r="C703" s="68" t="n"/>
      <c r="D703" s="69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3" t="n"/>
      <c r="C704" s="68" t="n"/>
      <c r="D704" s="69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3" t="n"/>
      <c r="C705" s="68" t="n"/>
      <c r="D705" s="69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3" t="n"/>
      <c r="C706" s="68" t="n"/>
      <c r="D706" s="69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3" t="n"/>
      <c r="C707" s="68" t="n"/>
      <c r="D707" s="69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3" t="n"/>
      <c r="C708" s="68" t="n"/>
      <c r="D708" s="69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3" t="n"/>
      <c r="C709" s="68" t="n"/>
      <c r="D709" s="69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3" t="n"/>
      <c r="C710" s="68" t="n"/>
      <c r="D710" s="69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3" t="n"/>
      <c r="C711" s="68" t="n"/>
      <c r="D711" s="69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3" t="n"/>
      <c r="C712" s="68" t="n"/>
      <c r="D712" s="69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3" t="n"/>
      <c r="C713" s="68" t="n"/>
      <c r="D713" s="69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3" t="n"/>
      <c r="C714" s="68" t="n"/>
      <c r="D714" s="69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3" t="n"/>
      <c r="C715" s="68" t="n"/>
      <c r="D715" s="69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3" t="n"/>
      <c r="C716" s="68" t="n"/>
      <c r="D716" s="69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3" t="n"/>
      <c r="C717" s="68" t="n"/>
      <c r="D717" s="69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3" t="n"/>
      <c r="C718" s="68" t="n"/>
      <c r="D718" s="69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3" t="n"/>
      <c r="C719" s="68" t="n"/>
      <c r="D719" s="69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3" t="n"/>
      <c r="C720" s="68" t="n"/>
      <c r="D720" s="69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3" t="n"/>
      <c r="C721" s="68" t="n"/>
      <c r="D721" s="69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3" t="n"/>
      <c r="C722" s="68" t="n"/>
      <c r="D722" s="69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3" t="n"/>
      <c r="C723" s="68" t="n"/>
      <c r="D723" s="69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3" t="n"/>
      <c r="C724" s="68" t="n"/>
      <c r="D724" s="69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3" t="n"/>
      <c r="C725" s="68" t="n"/>
      <c r="D725" s="69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3" t="n"/>
      <c r="C726" s="68" t="n"/>
      <c r="D726" s="69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3" t="n"/>
      <c r="C727" s="68" t="n"/>
      <c r="D727" s="69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3" t="n"/>
      <c r="C728" s="68" t="n"/>
      <c r="D728" s="69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3" t="n"/>
      <c r="C729" s="68" t="n"/>
      <c r="D729" s="69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3" t="n"/>
      <c r="C730" s="68" t="n"/>
      <c r="D730" s="69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3" t="n"/>
      <c r="C731" s="68" t="n"/>
      <c r="D731" s="69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3" t="n"/>
      <c r="C732" s="68" t="n"/>
      <c r="D732" s="69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3" t="n"/>
      <c r="C733" s="68" t="n"/>
      <c r="D733" s="69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3" t="n"/>
      <c r="C734" s="68" t="n"/>
      <c r="D734" s="69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3" t="n"/>
      <c r="C735" s="68" t="n"/>
      <c r="D735" s="69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3" t="n"/>
      <c r="C736" s="68" t="n"/>
      <c r="D736" s="69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3" t="n"/>
      <c r="C737" s="68" t="n"/>
      <c r="D737" s="69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3" t="n"/>
      <c r="C738" s="68" t="n"/>
      <c r="D738" s="69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3" t="n"/>
      <c r="C739" s="68" t="n"/>
      <c r="D739" s="69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3" t="n"/>
      <c r="C740" s="68" t="n"/>
      <c r="D740" s="69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3" t="n"/>
      <c r="C741" s="68" t="n"/>
      <c r="D741" s="69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3" t="n"/>
      <c r="C742" s="68" t="n"/>
      <c r="D742" s="69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3" t="n"/>
      <c r="C743" s="68" t="n"/>
      <c r="D743" s="69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3" t="n"/>
      <c r="C744" s="68" t="n"/>
      <c r="D744" s="69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3" t="n"/>
      <c r="C745" s="68" t="n"/>
      <c r="D745" s="69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3" t="n"/>
      <c r="C746" s="68" t="n"/>
      <c r="D746" s="69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3" t="n"/>
      <c r="C747" s="68" t="n"/>
      <c r="D747" s="69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3" t="n"/>
      <c r="C748" s="68" t="n"/>
      <c r="D748" s="69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3" t="n"/>
      <c r="C749" s="68" t="n"/>
      <c r="D749" s="69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3" t="n"/>
      <c r="C750" s="68" t="n"/>
      <c r="D750" s="69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3" t="n"/>
      <c r="C751" s="68" t="n"/>
      <c r="D751" s="69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3" t="n"/>
      <c r="C752" s="68" t="n"/>
      <c r="D752" s="69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3" t="n"/>
      <c r="C753" s="68" t="n"/>
      <c r="D753" s="69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3" t="n"/>
      <c r="C754" s="68" t="n"/>
      <c r="D754" s="69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3" t="n"/>
      <c r="C755" s="68" t="n"/>
      <c r="D755" s="69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3" t="n"/>
      <c r="C756" s="68" t="n"/>
      <c r="D756" s="69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3" t="n"/>
      <c r="C757" s="68" t="n"/>
      <c r="D757" s="69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3" t="n"/>
      <c r="C758" s="68" t="n"/>
      <c r="D758" s="69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3" t="n"/>
      <c r="C759" s="68" t="n"/>
      <c r="D759" s="69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3" t="n"/>
      <c r="C760" s="68" t="n"/>
      <c r="D760" s="69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3" t="n"/>
      <c r="C761" s="68" t="n"/>
      <c r="D761" s="69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3" t="n"/>
      <c r="C762" s="68" t="n"/>
      <c r="D762" s="69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3" t="n"/>
      <c r="C763" s="68" t="n"/>
      <c r="D763" s="69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3" t="n"/>
      <c r="C764" s="68" t="n"/>
      <c r="D764" s="69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3" t="n"/>
      <c r="C765" s="68" t="n"/>
      <c r="D765" s="69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3" t="n"/>
      <c r="C766" s="68" t="n"/>
      <c r="D766" s="69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3" t="n"/>
      <c r="C767" s="68" t="n"/>
      <c r="D767" s="69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3" t="n"/>
      <c r="C768" s="68" t="n"/>
      <c r="D768" s="69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3" t="n"/>
      <c r="C769" s="68" t="n"/>
      <c r="D769" s="69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3" t="n"/>
      <c r="C770" s="68" t="n"/>
      <c r="D770" s="69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3" t="n"/>
      <c r="C771" s="68" t="n"/>
      <c r="D771" s="69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3" t="n"/>
      <c r="C772" s="68" t="n"/>
      <c r="D772" s="69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3" t="n"/>
      <c r="C773" s="68" t="n"/>
      <c r="D773" s="69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3" t="n"/>
      <c r="C774" s="68" t="n"/>
      <c r="D774" s="69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3" t="n"/>
      <c r="C775" s="68" t="n"/>
      <c r="D775" s="69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3" t="n"/>
      <c r="C776" s="68" t="n"/>
      <c r="D776" s="69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3" t="n"/>
      <c r="C777" s="68" t="n"/>
      <c r="D777" s="69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3" t="n"/>
      <c r="C778" s="68" t="n"/>
      <c r="D778" s="69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3" t="n"/>
      <c r="C779" s="68" t="n"/>
      <c r="D779" s="69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3" t="n"/>
      <c r="C780" s="68" t="n"/>
      <c r="D780" s="69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3" t="n"/>
      <c r="C781" s="68" t="n"/>
      <c r="D781" s="69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3" t="n"/>
      <c r="C782" s="68" t="n"/>
      <c r="D782" s="69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3" t="n"/>
      <c r="C783" s="68" t="n"/>
      <c r="D783" s="69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3" t="n"/>
      <c r="C784" s="68" t="n"/>
      <c r="D784" s="69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3" t="n"/>
      <c r="C785" s="68" t="n"/>
      <c r="D785" s="69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3" t="n"/>
      <c r="C786" s="68" t="n"/>
      <c r="D786" s="69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3" t="n"/>
      <c r="C787" s="68" t="n"/>
      <c r="D787" s="69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3" t="n"/>
      <c r="C788" s="68" t="n"/>
      <c r="D788" s="69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3" t="n"/>
      <c r="C789" s="68" t="n"/>
      <c r="D789" s="69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3" t="n"/>
      <c r="C790" s="68" t="n"/>
      <c r="D790" s="69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3" t="n"/>
      <c r="C791" s="68" t="n"/>
      <c r="D791" s="69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3" t="n"/>
      <c r="C792" s="68" t="n"/>
      <c r="D792" s="69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3" t="n"/>
      <c r="C793" s="68" t="n"/>
      <c r="D793" s="69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3" t="n"/>
      <c r="C794" s="68" t="n"/>
      <c r="D794" s="69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3" t="n"/>
      <c r="C795" s="68" t="n"/>
      <c r="D795" s="69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3" t="n"/>
      <c r="C796" s="68" t="n"/>
      <c r="D796" s="69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3" t="n"/>
      <c r="C797" s="68" t="n"/>
      <c r="D797" s="69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3" t="n"/>
      <c r="C798" s="68" t="n"/>
      <c r="D798" s="69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3" t="n"/>
      <c r="C799" s="68" t="n"/>
      <c r="D799" s="69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3" t="n"/>
      <c r="C800" s="68" t="n"/>
      <c r="D800" s="69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3" t="n"/>
      <c r="C801" s="68" t="n"/>
      <c r="D801" s="69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3" t="n"/>
      <c r="C802" s="68" t="n"/>
      <c r="D802" s="69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3" t="n"/>
      <c r="C803" s="68" t="n"/>
      <c r="D803" s="69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3" t="n"/>
      <c r="C804" s="68" t="n"/>
      <c r="D804" s="69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3" t="n"/>
      <c r="C805" s="68" t="n"/>
      <c r="D805" s="69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3" t="n"/>
      <c r="C806" s="68" t="n"/>
      <c r="D806" s="69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3" t="n"/>
      <c r="C807" s="68" t="n"/>
      <c r="D807" s="69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3" t="n"/>
      <c r="C808" s="68" t="n"/>
      <c r="D808" s="69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3" t="n"/>
      <c r="C809" s="68" t="n"/>
      <c r="D809" s="69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3" t="n"/>
      <c r="C810" s="68" t="n"/>
      <c r="D810" s="69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3" t="n"/>
      <c r="C811" s="68" t="n"/>
      <c r="D811" s="69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3" t="n"/>
      <c r="C812" s="68" t="n"/>
      <c r="D812" s="69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3" t="n"/>
      <c r="C813" s="68" t="n"/>
      <c r="D813" s="69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3" t="n"/>
      <c r="C814" s="68" t="n"/>
      <c r="D814" s="69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3" t="n"/>
      <c r="C815" s="68" t="n"/>
      <c r="D815" s="69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3" t="n"/>
      <c r="C816" s="68" t="n"/>
      <c r="D816" s="69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3" t="n"/>
      <c r="C817" s="68" t="n"/>
      <c r="D817" s="69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3" t="n"/>
      <c r="C818" s="68" t="n"/>
      <c r="D818" s="69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3" t="n"/>
      <c r="C819" s="68" t="n"/>
      <c r="D819" s="69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3" t="n"/>
      <c r="C820" s="68" t="n"/>
      <c r="D820" s="69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3" t="n"/>
      <c r="C821" s="68" t="n"/>
      <c r="D821" s="69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3" t="n"/>
      <c r="C822" s="68" t="n"/>
      <c r="D822" s="69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3" t="n"/>
      <c r="C823" s="68" t="n"/>
      <c r="D823" s="69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3" t="n"/>
      <c r="C824" s="68" t="n"/>
      <c r="D824" s="69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3" t="n"/>
      <c r="C825" s="68" t="n"/>
      <c r="D825" s="69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3" t="n"/>
      <c r="C826" s="68" t="n"/>
      <c r="D826" s="69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3" t="n"/>
      <c r="C827" s="68" t="n"/>
      <c r="D827" s="69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3" t="n"/>
      <c r="C828" s="68" t="n"/>
      <c r="D828" s="69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3" t="n"/>
      <c r="C829" s="68" t="n"/>
      <c r="D829" s="69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3" t="n"/>
      <c r="C830" s="68" t="n"/>
      <c r="D830" s="69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3" t="n"/>
      <c r="C831" s="68" t="n"/>
      <c r="D831" s="69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3" t="n"/>
      <c r="C832" s="68" t="n"/>
      <c r="D832" s="69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3" t="n"/>
      <c r="C833" s="68" t="n"/>
      <c r="D833" s="69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3" t="n"/>
      <c r="C834" s="68" t="n"/>
      <c r="D834" s="69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3" t="n"/>
      <c r="C835" s="68" t="n"/>
      <c r="D835" s="69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3" t="n"/>
      <c r="C836" s="68" t="n"/>
      <c r="D836" s="69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3" t="n"/>
      <c r="C837" s="68" t="n"/>
      <c r="D837" s="69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3" t="n"/>
      <c r="C838" s="68" t="n"/>
      <c r="D838" s="69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3" t="n"/>
      <c r="C839" s="68" t="n"/>
      <c r="D839" s="69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3" t="n"/>
      <c r="C840" s="68" t="n"/>
      <c r="D840" s="69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3" t="n"/>
      <c r="C841" s="68" t="n"/>
      <c r="D841" s="69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3" t="n"/>
      <c r="C842" s="68" t="n"/>
      <c r="D842" s="69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3" t="n"/>
      <c r="C843" s="68" t="n"/>
      <c r="D843" s="69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3" t="n"/>
      <c r="C844" s="68" t="n"/>
      <c r="D844" s="69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3" t="n"/>
      <c r="C845" s="68" t="n"/>
      <c r="D845" s="69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3" t="n"/>
      <c r="C846" s="68" t="n"/>
      <c r="D846" s="69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3" t="n"/>
      <c r="C847" s="68" t="n"/>
      <c r="D847" s="69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3" t="n"/>
      <c r="C848" s="68" t="n"/>
      <c r="D848" s="69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3" t="n"/>
      <c r="C849" s="68" t="n"/>
      <c r="D849" s="69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3" t="n"/>
      <c r="C850" s="68" t="n"/>
      <c r="D850" s="69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3" t="n"/>
      <c r="C851" s="68" t="n"/>
      <c r="D851" s="69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3" t="n"/>
      <c r="C852" s="68" t="n"/>
      <c r="D852" s="69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3" t="n"/>
      <c r="C853" s="68" t="n"/>
      <c r="D853" s="69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3" t="n"/>
      <c r="C854" s="68" t="n"/>
      <c r="D854" s="69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3" t="n"/>
      <c r="C855" s="68" t="n"/>
      <c r="D855" s="69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3" t="n"/>
      <c r="C856" s="68" t="n"/>
      <c r="D856" s="69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3" t="n"/>
      <c r="C857" s="68" t="n"/>
      <c r="D857" s="69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3" t="n"/>
      <c r="C858" s="68" t="n"/>
      <c r="D858" s="69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3" t="n"/>
      <c r="C859" s="68" t="n"/>
      <c r="D859" s="69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3" t="n"/>
      <c r="C860" s="68" t="n"/>
      <c r="D860" s="69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3" t="n"/>
      <c r="C861" s="68" t="n"/>
      <c r="D861" s="69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3" t="n"/>
      <c r="C862" s="68" t="n"/>
      <c r="D862" s="69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3" t="n"/>
      <c r="C863" s="68" t="n"/>
      <c r="D863" s="69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3" t="n"/>
      <c r="C864" s="68" t="n"/>
      <c r="D864" s="69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3" t="n"/>
      <c r="C865" s="68" t="n"/>
      <c r="D865" s="69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3" t="n"/>
      <c r="C866" s="68" t="n"/>
      <c r="D866" s="69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3" t="n"/>
      <c r="C867" s="68" t="n"/>
      <c r="D867" s="69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3" t="n"/>
      <c r="C868" s="68" t="n"/>
      <c r="D868" s="69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3" t="n"/>
      <c r="C869" s="68" t="n"/>
      <c r="D869" s="69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3" t="n"/>
      <c r="C870" s="68" t="n"/>
      <c r="D870" s="69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3" t="n"/>
      <c r="C871" s="68" t="n"/>
      <c r="D871" s="69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3" t="n"/>
      <c r="C872" s="68" t="n"/>
      <c r="D872" s="69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3" t="n"/>
      <c r="C873" s="68" t="n"/>
      <c r="D873" s="69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3" t="n"/>
      <c r="C874" s="68" t="n"/>
      <c r="D874" s="69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3" t="n"/>
      <c r="C875" s="68" t="n"/>
      <c r="D875" s="69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3" t="n"/>
      <c r="C876" s="68" t="n"/>
      <c r="D876" s="69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3" t="n"/>
      <c r="C877" s="68" t="n"/>
      <c r="D877" s="69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3" t="n"/>
      <c r="C878" s="68" t="n"/>
      <c r="D878" s="69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3" t="n"/>
      <c r="C879" s="68" t="n"/>
      <c r="D879" s="69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3" t="n"/>
      <c r="C880" s="68" t="n"/>
      <c r="D880" s="69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3" t="n"/>
      <c r="C881" s="68" t="n"/>
      <c r="D881" s="69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3" t="n"/>
      <c r="C882" s="68" t="n"/>
      <c r="D882" s="69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3" t="n"/>
      <c r="C883" s="68" t="n"/>
      <c r="D883" s="69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3" t="n"/>
      <c r="C884" s="68" t="n"/>
      <c r="D884" s="69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3" t="n"/>
      <c r="C885" s="68" t="n"/>
      <c r="D885" s="69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3" t="n"/>
      <c r="C886" s="68" t="n"/>
      <c r="D886" s="69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3" t="n"/>
      <c r="C887" s="68" t="n"/>
      <c r="D887" s="69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3" t="n"/>
      <c r="C888" s="68" t="n"/>
      <c r="D888" s="69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3" t="n"/>
      <c r="C889" s="68" t="n"/>
      <c r="D889" s="69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3" t="n"/>
      <c r="C890" s="68" t="n"/>
      <c r="D890" s="69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3" t="n"/>
      <c r="C891" s="68" t="n"/>
      <c r="D891" s="69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3" t="n"/>
      <c r="C892" s="68" t="n"/>
      <c r="D892" s="69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3" t="n"/>
      <c r="C893" s="68" t="n"/>
      <c r="D893" s="69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3" t="n"/>
      <c r="C894" s="68" t="n"/>
      <c r="D894" s="69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3" t="n"/>
      <c r="C895" s="68" t="n"/>
      <c r="D895" s="69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3" t="n"/>
      <c r="C896" s="68" t="n"/>
      <c r="D896" s="69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3" t="n"/>
      <c r="C897" s="68" t="n"/>
      <c r="D897" s="69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3" t="n"/>
      <c r="C898" s="68" t="n"/>
      <c r="D898" s="69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3" t="n"/>
      <c r="C899" s="68" t="n"/>
      <c r="D899" s="69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3" t="n"/>
      <c r="C900" s="68" t="n"/>
      <c r="D900" s="69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3" t="n"/>
      <c r="C901" s="68" t="n"/>
      <c r="D901" s="69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3" t="n"/>
      <c r="C902" s="68" t="n"/>
      <c r="D902" s="69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3" t="n"/>
      <c r="C903" s="68" t="n"/>
      <c r="D903" s="69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3" t="n"/>
      <c r="C904" s="68" t="n"/>
      <c r="D904" s="69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3" t="n"/>
      <c r="C905" s="68" t="n"/>
      <c r="D905" s="69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3" t="n"/>
      <c r="C906" s="68" t="n"/>
      <c r="D906" s="69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3" t="n"/>
      <c r="C907" s="68" t="n"/>
      <c r="D907" s="69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3" t="n"/>
      <c r="C908" s="68" t="n"/>
      <c r="D908" s="69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3" t="n"/>
      <c r="C909" s="68" t="n"/>
      <c r="D909" s="69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3" t="n"/>
      <c r="C910" s="68" t="n"/>
      <c r="D910" s="69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3" t="n"/>
      <c r="C911" s="68" t="n"/>
      <c r="D911" s="69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3" t="n"/>
      <c r="C912" s="68" t="n"/>
      <c r="D912" s="69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3" t="n"/>
      <c r="C913" s="68" t="n"/>
      <c r="D913" s="69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3" t="n"/>
      <c r="C914" s="68" t="n"/>
      <c r="D914" s="69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3" t="n"/>
      <c r="C915" s="68" t="n"/>
      <c r="D915" s="69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3" t="n"/>
      <c r="C916" s="68" t="n"/>
      <c r="D916" s="69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3" t="n"/>
      <c r="C917" s="68" t="n"/>
      <c r="D917" s="69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3" t="n"/>
      <c r="C918" s="68" t="n"/>
      <c r="D918" s="69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3" t="n"/>
      <c r="C919" s="68" t="n"/>
      <c r="D919" s="69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3" t="n"/>
      <c r="C920" s="68" t="n"/>
      <c r="D920" s="69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3" t="n"/>
      <c r="C921" s="68" t="n"/>
      <c r="D921" s="69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3" t="n"/>
      <c r="C922" s="68" t="n"/>
      <c r="D922" s="69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3" t="n"/>
      <c r="C923" s="68" t="n"/>
      <c r="D923" s="69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3" t="n"/>
      <c r="C924" s="68" t="n"/>
      <c r="D924" s="69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3" t="n"/>
      <c r="C925" s="68" t="n"/>
      <c r="D925" s="69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3" t="n"/>
      <c r="C926" s="68" t="n"/>
      <c r="D926" s="69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3" t="n"/>
      <c r="C927" s="68" t="n"/>
      <c r="D927" s="69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3" t="n"/>
      <c r="C928" s="68" t="n"/>
      <c r="D928" s="69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3" t="n"/>
      <c r="C929" s="68" t="n"/>
      <c r="D929" s="69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3" t="n"/>
      <c r="C930" s="68" t="n"/>
      <c r="D930" s="69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3" t="n"/>
      <c r="C931" s="68" t="n"/>
      <c r="D931" s="69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3" t="n"/>
      <c r="C932" s="68" t="n"/>
      <c r="D932" s="69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3" t="n"/>
      <c r="C933" s="68" t="n"/>
      <c r="D933" s="69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3" t="n"/>
      <c r="C934" s="68" t="n"/>
      <c r="D934" s="69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3" t="n"/>
      <c r="C935" s="68" t="n"/>
      <c r="D935" s="69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3" t="n"/>
      <c r="C936" s="68" t="n"/>
      <c r="D936" s="69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3" t="n"/>
      <c r="C937" s="68" t="n"/>
      <c r="D937" s="69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3" t="n"/>
      <c r="C938" s="68" t="n"/>
      <c r="D938" s="69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3" t="n"/>
      <c r="C939" s="68" t="n"/>
      <c r="D939" s="69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3" t="n"/>
      <c r="C940" s="68" t="n"/>
      <c r="D940" s="69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3" t="n"/>
      <c r="C941" s="68" t="n"/>
      <c r="D941" s="69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3" t="n"/>
      <c r="C942" s="68" t="n"/>
      <c r="D942" s="69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3" t="n"/>
      <c r="C943" s="68" t="n"/>
      <c r="D943" s="69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3" t="n"/>
      <c r="C944" s="68" t="n"/>
      <c r="D944" s="69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3" t="n"/>
      <c r="C945" s="68" t="n"/>
      <c r="D945" s="69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3" t="n"/>
      <c r="C946" s="68" t="n"/>
      <c r="D946" s="69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3" t="n"/>
      <c r="C947" s="68" t="n"/>
      <c r="D947" s="69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3" t="n"/>
      <c r="C948" s="68" t="n"/>
      <c r="D948" s="69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3" t="n"/>
      <c r="C949" s="68" t="n"/>
      <c r="D949" s="69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3" t="n"/>
      <c r="C950" s="68" t="n"/>
      <c r="D950" s="69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3" t="n"/>
      <c r="C951" s="68" t="n"/>
      <c r="D951" s="69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3" t="n"/>
      <c r="C952" s="68" t="n"/>
      <c r="D952" s="69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3" t="n"/>
      <c r="C953" s="68" t="n"/>
      <c r="D953" s="69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3" t="n"/>
      <c r="C954" s="68" t="n"/>
      <c r="D954" s="69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3" t="n"/>
      <c r="C955" s="68" t="n"/>
      <c r="D955" s="69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3" t="n"/>
      <c r="C956" s="68" t="n"/>
      <c r="D956" s="69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3" t="n"/>
      <c r="C957" s="68" t="n"/>
      <c r="D957" s="69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3" t="n"/>
      <c r="C958" s="68" t="n"/>
      <c r="D958" s="69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3" t="n"/>
      <c r="C959" s="68" t="n"/>
      <c r="D959" s="69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3" t="n"/>
      <c r="C960" s="68" t="n"/>
      <c r="D960" s="69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3" t="n"/>
      <c r="C961" s="68" t="n"/>
      <c r="D961" s="69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3" t="n"/>
      <c r="C962" s="68" t="n"/>
      <c r="D962" s="69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3" t="n"/>
      <c r="C963" s="68" t="n"/>
      <c r="D963" s="69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3" t="n"/>
      <c r="C964" s="68" t="n"/>
      <c r="D964" s="69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3" t="n"/>
      <c r="C965" s="68" t="n"/>
      <c r="D965" s="69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3" t="n"/>
      <c r="C966" s="68" t="n"/>
      <c r="D966" s="69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3" t="n"/>
      <c r="C967" s="68" t="n"/>
      <c r="D967" s="69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3" t="n"/>
      <c r="C968" s="68" t="n"/>
      <c r="D968" s="69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3" t="n"/>
      <c r="C969" s="68" t="n"/>
      <c r="D969" s="69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3" t="n"/>
      <c r="C970" s="68" t="n"/>
      <c r="D970" s="69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3" t="n"/>
      <c r="C971" s="68" t="n"/>
      <c r="D971" s="69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3" t="n"/>
      <c r="C972" s="68" t="n"/>
      <c r="D972" s="69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3" t="n"/>
      <c r="C973" s="68" t="n"/>
      <c r="D973" s="69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3" t="n"/>
      <c r="C974" s="68" t="n"/>
      <c r="D974" s="69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3" t="n"/>
      <c r="C975" s="68" t="n"/>
      <c r="D975" s="69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3" t="n"/>
      <c r="C976" s="68" t="n"/>
      <c r="D976" s="69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3" t="n"/>
      <c r="C977" s="68" t="n"/>
      <c r="D977" s="69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3" t="n"/>
      <c r="C978" s="68" t="n"/>
      <c r="D978" s="69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3" t="n"/>
      <c r="C979" s="68" t="n"/>
      <c r="D979" s="69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3" t="n"/>
      <c r="C980" s="68" t="n"/>
      <c r="D980" s="69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3" t="n"/>
      <c r="C981" s="68" t="n"/>
      <c r="D981" s="69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3" t="n"/>
      <c r="C982" s="68" t="n"/>
      <c r="D982" s="69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3" t="n"/>
      <c r="C983" s="68" t="n"/>
      <c r="D983" s="69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3" t="n"/>
      <c r="C984" s="68" t="n"/>
      <c r="D984" s="69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3" t="n"/>
      <c r="C985" s="68" t="n"/>
      <c r="D985" s="69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3" t="n"/>
      <c r="C986" s="68" t="n"/>
      <c r="D986" s="69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3" t="n"/>
      <c r="C987" s="68" t="n"/>
      <c r="D987" s="69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3" t="n"/>
      <c r="C988" s="68" t="n"/>
      <c r="D988" s="69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3" t="n"/>
      <c r="C989" s="68" t="n"/>
      <c r="D989" s="69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3" t="n"/>
      <c r="C990" s="68" t="n"/>
      <c r="D990" s="69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3" t="n"/>
      <c r="C991" s="68" t="n"/>
      <c r="D991" s="69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3" t="n"/>
      <c r="C992" s="68" t="n"/>
      <c r="D992" s="69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3" t="n"/>
      <c r="C993" s="68" t="n"/>
      <c r="D993" s="69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3" t="n"/>
      <c r="C994" s="68" t="n"/>
      <c r="D994" s="69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3" t="n"/>
      <c r="C995" s="68" t="n"/>
      <c r="D995" s="69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3" t="n"/>
      <c r="C996" s="68" t="n"/>
      <c r="D996" s="69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3" t="n"/>
      <c r="C997" s="68" t="n"/>
      <c r="D997" s="69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3" t="n"/>
      <c r="C998" s="68" t="n"/>
      <c r="D998" s="69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3" t="n"/>
      <c r="C999" s="68" t="n"/>
      <c r="D999" s="69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3" t="n"/>
      <c r="C1000" s="68" t="n"/>
      <c r="D1000" s="69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3" t="n"/>
      <c r="C1001" s="68" t="n"/>
      <c r="D1001" s="69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3" t="n"/>
      <c r="C1002" s="68" t="n"/>
      <c r="D1002" s="69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3" t="n"/>
      <c r="C1003" s="68" t="n"/>
      <c r="D1003" s="69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3" t="n"/>
      <c r="C1004" s="68" t="n"/>
      <c r="D1004" s="69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3" t="n"/>
      <c r="C1005" s="68" t="n"/>
      <c r="D1005" s="69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UUID" error="Boş olamaz" promptTitle="UUID" prompt="UUID giri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D6:D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F6:F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G6:G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Toplu e-Fatura Satır Defteri ve PDF Kanıtı</t>
        </is>
      </c>
    </row>
    <row r="3" ht="20" customHeight="1">
      <c r="A3" s="10" t="inlineStr">
        <is>
          <t>UUID normalize + uzunluk + fatura numarası ikincil + duplike (Ç7 / E01)</t>
        </is>
      </c>
    </row>
    <row r="4">
      <c r="A4" s="17" t="inlineStr">
        <is>
          <t>A Tarafı (e-Fatura)</t>
        </is>
      </c>
      <c r="I4" s="17" t="inlineStr">
        <is>
          <t>B Tarafı (Muhasebe)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UPPER(TRIM(SUBSTITUTE($A6,"-","")))</f>
        <v/>
      </c>
      <c r="C6" s="16">
        <f>IF($B6="",0,LEN($B6))</f>
        <v/>
      </c>
      <c r="D6" s="16">
        <f>IF($A6="","",UPPER(TRIM(SUBSTITUTE(IFERROR(INDEX(tblVeriA[FaturaNo],ROW()-ROW(tblVeriA[[#Headers]])),"")," ",""))))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UPPER(TRIM(SUBSTITUTE($I6,"-","")))</f>
        <v/>
      </c>
      <c r="K6" s="16">
        <f>IF($J6="",0,LEN($J6))</f>
        <v/>
      </c>
      <c r="L6" s="16">
        <f>IF($I6="","",UPPER(TRIM(SUBSTITUTE(IFERROR(INDEX(tblVeriB[FaturaNo],ROW()-ROW(tblVeriB[[#Headers]])),"")," ",""))))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UPPER(TRIM(SUBSTITUTE($A7,"-","")))</f>
        <v/>
      </c>
      <c r="C7" s="16">
        <f>IF($B7="",0,LEN($B7))</f>
        <v/>
      </c>
      <c r="D7" s="16">
        <f>IF($A7="","",UPPER(TRIM(SUBSTITUTE(IFERROR(INDEX(tblVeriA[FaturaNo],ROW()-ROW(tblVeriA[[#Headers]])),"")," ",""))))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UPPER(TRIM(SUBSTITUTE($I7,"-","")))</f>
        <v/>
      </c>
      <c r="K7" s="16">
        <f>IF($J7="",0,LEN($J7))</f>
        <v/>
      </c>
      <c r="L7" s="16">
        <f>IF($I7="","",UPPER(TRIM(SUBSTITUTE(IFERROR(INDEX(tblVeriB[FaturaNo],ROW()-ROW(tblVeriB[[#Headers]])),"")," ",""))))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UPPER(TRIM(SUBSTITUTE($A8,"-","")))</f>
        <v/>
      </c>
      <c r="C8" s="16">
        <f>IF($B8="",0,LEN($B8))</f>
        <v/>
      </c>
      <c r="D8" s="16">
        <f>IF($A8="","",UPPER(TRIM(SUBSTITUTE(IFERROR(INDEX(tblVeriA[FaturaNo],ROW()-ROW(tblVeriA[[#Headers]])),"")," ",""))))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UPPER(TRIM(SUBSTITUTE($I8,"-","")))</f>
        <v/>
      </c>
      <c r="K8" s="16">
        <f>IF($J8="",0,LEN($J8))</f>
        <v/>
      </c>
      <c r="L8" s="16">
        <f>IF($I8="","",UPPER(TRIM(SUBSTITUTE(IFERROR(INDEX(tblVeriB[FaturaNo],ROW()-ROW(tblVeriB[[#Headers]])),"")," ",""))))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UPPER(TRIM(SUBSTITUTE($A9,"-","")))</f>
        <v/>
      </c>
      <c r="C9" s="16">
        <f>IF($B9="",0,LEN($B9))</f>
        <v/>
      </c>
      <c r="D9" s="16">
        <f>IF($A9="","",UPPER(TRIM(SUBSTITUTE(IFERROR(INDEX(tblVeriA[FaturaNo],ROW()-ROW(tblVeriA[[#Headers]])),"")," ",""))))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UPPER(TRIM(SUBSTITUTE($I9,"-","")))</f>
        <v/>
      </c>
      <c r="K9" s="16">
        <f>IF($J9="",0,LEN($J9))</f>
        <v/>
      </c>
      <c r="L9" s="16">
        <f>IF($I9="","",UPPER(TRIM(SUBSTITUTE(IFERROR(INDEX(tblVeriB[FaturaNo],ROW()-ROW(tblVeriB[[#Headers]])),"")," ",""))))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UPPER(TRIM(SUBSTITUTE($A10,"-","")))</f>
        <v/>
      </c>
      <c r="C10" s="16">
        <f>IF($B10="",0,LEN($B10))</f>
        <v/>
      </c>
      <c r="D10" s="16">
        <f>IF($A10="","",UPPER(TRIM(SUBSTITUTE(IFERROR(INDEX(tblVeriA[FaturaNo],ROW()-ROW(tblVeriA[[#Headers]])),"")," ",""))))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UPPER(TRIM(SUBSTITUTE($I10,"-","")))</f>
        <v/>
      </c>
      <c r="K10" s="16">
        <f>IF($J10="",0,LEN($J10))</f>
        <v/>
      </c>
      <c r="L10" s="16">
        <f>IF($I10="","",UPPER(TRIM(SUBSTITUTE(IFERROR(INDEX(tblVeriB[FaturaNo],ROW()-ROW(tblVeriB[[#Headers]])),"")," ",""))))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UPPER(TRIM(SUBSTITUTE($A11,"-","")))</f>
        <v/>
      </c>
      <c r="C11" s="16">
        <f>IF($B11="",0,LEN($B11))</f>
        <v/>
      </c>
      <c r="D11" s="16">
        <f>IF($A11="","",UPPER(TRIM(SUBSTITUTE(IFERROR(INDEX(tblVeriA[FaturaNo],ROW()-ROW(tblVeriA[[#Headers]])),"")," ",""))))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UPPER(TRIM(SUBSTITUTE($I11,"-","")))</f>
        <v/>
      </c>
      <c r="K11" s="16">
        <f>IF($J11="",0,LEN($J11))</f>
        <v/>
      </c>
      <c r="L11" s="16">
        <f>IF($I11="","",UPPER(TRIM(SUBSTITUTE(IFERROR(INDEX(tblVeriB[FaturaNo],ROW()-ROW(tblVeriB[[#Headers]])),"")," ",""))))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UPPER(TRIM(SUBSTITUTE($A12,"-","")))</f>
        <v/>
      </c>
      <c r="C12" s="16">
        <f>IF($B12="",0,LEN($B12))</f>
        <v/>
      </c>
      <c r="D12" s="16">
        <f>IF($A12="","",UPPER(TRIM(SUBSTITUTE(IFERROR(INDEX(tblVeriA[FaturaNo],ROW()-ROW(tblVeriA[[#Headers]])),"")," ",""))))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UPPER(TRIM(SUBSTITUTE($I12,"-","")))</f>
        <v/>
      </c>
      <c r="K12" s="16">
        <f>IF($J12="",0,LEN($J12))</f>
        <v/>
      </c>
      <c r="L12" s="16">
        <f>IF($I12="","",UPPER(TRIM(SUBSTITUTE(IFERROR(INDEX(tblVeriB[FaturaNo],ROW()-ROW(tblVeriB[[#Headers]])),"")," ",""))))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UPPER(TRIM(SUBSTITUTE($A13,"-","")))</f>
        <v/>
      </c>
      <c r="C13" s="16">
        <f>IF($B13="",0,LEN($B13))</f>
        <v/>
      </c>
      <c r="D13" s="16">
        <f>IF($A13="","",UPPER(TRIM(SUBSTITUTE(IFERROR(INDEX(tblVeriA[FaturaNo],ROW()-ROW(tblVeriA[[#Headers]])),"")," ",""))))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UPPER(TRIM(SUBSTITUTE($I13,"-","")))</f>
        <v/>
      </c>
      <c r="K13" s="16">
        <f>IF($J13="",0,LEN($J13))</f>
        <v/>
      </c>
      <c r="L13" s="16">
        <f>IF($I13="","",UPPER(TRIM(SUBSTITUTE(IFERROR(INDEX(tblVeriB[FaturaNo],ROW()-ROW(tblVeriB[[#Headers]])),"")," ",""))))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UPPER(TRIM(SUBSTITUTE($A14,"-","")))</f>
        <v/>
      </c>
      <c r="C14" s="16">
        <f>IF($B14="",0,LEN($B14))</f>
        <v/>
      </c>
      <c r="D14" s="16">
        <f>IF($A14="","",UPPER(TRIM(SUBSTITUTE(IFERROR(INDEX(tblVeriA[FaturaNo],ROW()-ROW(tblVeriA[[#Headers]])),"")," ",""))))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UPPER(TRIM(SUBSTITUTE($I14,"-","")))</f>
        <v/>
      </c>
      <c r="K14" s="16">
        <f>IF($J14="",0,LEN($J14))</f>
        <v/>
      </c>
      <c r="L14" s="16">
        <f>IF($I14="","",UPPER(TRIM(SUBSTITUTE(IFERROR(INDEX(tblVeriB[FaturaNo],ROW()-ROW(tblVeriB[[#Headers]])),"")," ",""))))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UPPER(TRIM(SUBSTITUTE($A15,"-","")))</f>
        <v/>
      </c>
      <c r="C15" s="16">
        <f>IF($B15="",0,LEN($B15))</f>
        <v/>
      </c>
      <c r="D15" s="16">
        <f>IF($A15="","",UPPER(TRIM(SUBSTITUTE(IFERROR(INDEX(tblVeriA[FaturaNo],ROW()-ROW(tblVeriA[[#Headers]])),"")," ",""))))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UPPER(TRIM(SUBSTITUTE($I15,"-","")))</f>
        <v/>
      </c>
      <c r="K15" s="16">
        <f>IF($J15="",0,LEN($J15))</f>
        <v/>
      </c>
      <c r="L15" s="16">
        <f>IF($I15="","",UPPER(TRIM(SUBSTITUTE(IFERROR(INDEX(tblVeriB[FaturaNo],ROW()-ROW(tblVeriB[[#Headers]])),"")," ",""))))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UPPER(TRIM(SUBSTITUTE($A16,"-","")))</f>
        <v/>
      </c>
      <c r="C16" s="16">
        <f>IF($B16="",0,LEN($B16))</f>
        <v/>
      </c>
      <c r="D16" s="16">
        <f>IF($A16="","",UPPER(TRIM(SUBSTITUTE(IFERROR(INDEX(tblVeriA[FaturaNo],ROW()-ROW(tblVeriA[[#Headers]])),"")," ",""))))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UPPER(TRIM(SUBSTITUTE($I16,"-","")))</f>
        <v/>
      </c>
      <c r="K16" s="16">
        <f>IF($J16="",0,LEN($J16))</f>
        <v/>
      </c>
      <c r="L16" s="16">
        <f>IF($I16="","",UPPER(TRIM(SUBSTITUTE(IFERROR(INDEX(tblVeriB[FaturaNo],ROW()-ROW(tblVeriB[[#Headers]])),"")," ",""))))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UPPER(TRIM(SUBSTITUTE($A17,"-","")))</f>
        <v/>
      </c>
      <c r="C17" s="16">
        <f>IF($B17="",0,LEN($B17))</f>
        <v/>
      </c>
      <c r="D17" s="16">
        <f>IF($A17="","",UPPER(TRIM(SUBSTITUTE(IFERROR(INDEX(tblVeriA[FaturaNo],ROW()-ROW(tblVeriA[[#Headers]])),"")," ",""))))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UPPER(TRIM(SUBSTITUTE($I17,"-","")))</f>
        <v/>
      </c>
      <c r="K17" s="16">
        <f>IF($J17="",0,LEN($J17))</f>
        <v/>
      </c>
      <c r="L17" s="16">
        <f>IF($I17="","",UPPER(TRIM(SUBSTITUTE(IFERROR(INDEX(tblVeriB[FaturaNo],ROW()-ROW(tblVeriB[[#Headers]])),"")," ",""))))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UPPER(TRIM(SUBSTITUTE($A18,"-","")))</f>
        <v/>
      </c>
      <c r="C18" s="16">
        <f>IF($B18="",0,LEN($B18))</f>
        <v/>
      </c>
      <c r="D18" s="16">
        <f>IF($A18="","",UPPER(TRIM(SUBSTITUTE(IFERROR(INDEX(tblVeriA[FaturaNo],ROW()-ROW(tblVeriA[[#Headers]])),"")," ",""))))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UPPER(TRIM(SUBSTITUTE($I18,"-","")))</f>
        <v/>
      </c>
      <c r="K18" s="16">
        <f>IF($J18="",0,LEN($J18))</f>
        <v/>
      </c>
      <c r="L18" s="16">
        <f>IF($I18="","",UPPER(TRIM(SUBSTITUTE(IFERROR(INDEX(tblVeriB[FaturaNo],ROW()-ROW(tblVeriB[[#Headers]])),"")," ",""))))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UPPER(TRIM(SUBSTITUTE($A19,"-","")))</f>
        <v/>
      </c>
      <c r="C19" s="16">
        <f>IF($B19="",0,LEN($B19))</f>
        <v/>
      </c>
      <c r="D19" s="16">
        <f>IF($A19="","",UPPER(TRIM(SUBSTITUTE(IFERROR(INDEX(tblVeriA[FaturaNo],ROW()-ROW(tblVeriA[[#Headers]])),"")," ",""))))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UPPER(TRIM(SUBSTITUTE($I19,"-","")))</f>
        <v/>
      </c>
      <c r="K19" s="16">
        <f>IF($J19="",0,LEN($J19))</f>
        <v/>
      </c>
      <c r="L19" s="16">
        <f>IF($I19="","",UPPER(TRIM(SUBSTITUTE(IFERROR(INDEX(tblVeriB[FaturaNo],ROW()-ROW(tblVeriB[[#Headers]])),"")," ",""))))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UPPER(TRIM(SUBSTITUTE($A20,"-","")))</f>
        <v/>
      </c>
      <c r="C20" s="16">
        <f>IF($B20="",0,LEN($B20))</f>
        <v/>
      </c>
      <c r="D20" s="16">
        <f>IF($A20="","",UPPER(TRIM(SUBSTITUTE(IFERROR(INDEX(tblVeriA[FaturaNo],ROW()-ROW(tblVeriA[[#Headers]])),"")," ",""))))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UPPER(TRIM(SUBSTITUTE($I20,"-","")))</f>
        <v/>
      </c>
      <c r="K20" s="16">
        <f>IF($J20="",0,LEN($J20))</f>
        <v/>
      </c>
      <c r="L20" s="16">
        <f>IF($I20="","",UPPER(TRIM(SUBSTITUTE(IFERROR(INDEX(tblVeriB[FaturaNo],ROW()-ROW(tblVeriB[[#Headers]])),"")," ",""))))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UPPER(TRIM(SUBSTITUTE($A21,"-","")))</f>
        <v/>
      </c>
      <c r="C21" s="16">
        <f>IF($B21="",0,LEN($B21))</f>
        <v/>
      </c>
      <c r="D21" s="16">
        <f>IF($A21="","",UPPER(TRIM(SUBSTITUTE(IFERROR(INDEX(tblVeriA[FaturaNo],ROW()-ROW(tblVeriA[[#Headers]])),"")," ",""))))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UPPER(TRIM(SUBSTITUTE($I21,"-","")))</f>
        <v/>
      </c>
      <c r="K21" s="16">
        <f>IF($J21="",0,LEN($J21))</f>
        <v/>
      </c>
      <c r="L21" s="16">
        <f>IF($I21="","",UPPER(TRIM(SUBSTITUTE(IFERROR(INDEX(tblVeriB[FaturaNo],ROW()-ROW(tblVeriB[[#Headers]])),"")," ",""))))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UPPER(TRIM(SUBSTITUTE($A22,"-","")))</f>
        <v/>
      </c>
      <c r="C22" s="16">
        <f>IF($B22="",0,LEN($B22))</f>
        <v/>
      </c>
      <c r="D22" s="16">
        <f>IF($A22="","",UPPER(TRIM(SUBSTITUTE(IFERROR(INDEX(tblVeriA[FaturaNo],ROW()-ROW(tblVeriA[[#Headers]])),"")," ",""))))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UPPER(TRIM(SUBSTITUTE($I22,"-","")))</f>
        <v/>
      </c>
      <c r="K22" s="16">
        <f>IF($J22="",0,LEN($J22))</f>
        <v/>
      </c>
      <c r="L22" s="16">
        <f>IF($I22="","",UPPER(TRIM(SUBSTITUTE(IFERROR(INDEX(tblVeriB[FaturaNo],ROW()-ROW(tblVeriB[[#Headers]])),"")," ",""))))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UPPER(TRIM(SUBSTITUTE($A23,"-","")))</f>
        <v/>
      </c>
      <c r="C23" s="16">
        <f>IF($B23="",0,LEN($B23))</f>
        <v/>
      </c>
      <c r="D23" s="16">
        <f>IF($A23="","",UPPER(TRIM(SUBSTITUTE(IFERROR(INDEX(tblVeriA[FaturaNo],ROW()-ROW(tblVeriA[[#Headers]])),"")," ",""))))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UPPER(TRIM(SUBSTITUTE($I23,"-","")))</f>
        <v/>
      </c>
      <c r="K23" s="16">
        <f>IF($J23="",0,LEN($J23))</f>
        <v/>
      </c>
      <c r="L23" s="16">
        <f>IF($I23="","",UPPER(TRIM(SUBSTITUTE(IFERROR(INDEX(tblVeriB[FaturaNo],ROW()-ROW(tblVeriB[[#Headers]])),"")," ",""))))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UPPER(TRIM(SUBSTITUTE($A24,"-","")))</f>
        <v/>
      </c>
      <c r="C24" s="16">
        <f>IF($B24="",0,LEN($B24))</f>
        <v/>
      </c>
      <c r="D24" s="16">
        <f>IF($A24="","",UPPER(TRIM(SUBSTITUTE(IFERROR(INDEX(tblVeriA[FaturaNo],ROW()-ROW(tblVeriA[[#Headers]])),"")," ",""))))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UPPER(TRIM(SUBSTITUTE($I24,"-","")))</f>
        <v/>
      </c>
      <c r="K24" s="16">
        <f>IF($J24="",0,LEN($J24))</f>
        <v/>
      </c>
      <c r="L24" s="16">
        <f>IF($I24="","",UPPER(TRIM(SUBSTITUTE(IFERROR(INDEX(tblVeriB[FaturaNo],ROW()-ROW(tblVeriB[[#Headers]])),"")," ",""))))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UPPER(TRIM(SUBSTITUTE($A25,"-","")))</f>
        <v/>
      </c>
      <c r="C25" s="16">
        <f>IF($B25="",0,LEN($B25))</f>
        <v/>
      </c>
      <c r="D25" s="16">
        <f>IF($A25="","",UPPER(TRIM(SUBSTITUTE(IFERROR(INDEX(tblVeriA[FaturaNo],ROW()-ROW(tblVeriA[[#Headers]])),"")," ",""))))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UPPER(TRIM(SUBSTITUTE($I25,"-","")))</f>
        <v/>
      </c>
      <c r="K25" s="16">
        <f>IF($J25="",0,LEN($J25))</f>
        <v/>
      </c>
      <c r="L25" s="16">
        <f>IF($I25="","",UPPER(TRIM(SUBSTITUTE(IFERROR(INDEX(tblVeriB[FaturaNo],ROW()-ROW(tblVeriB[[#Headers]])),"")," ",""))))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UPPER(TRIM(SUBSTITUTE($A26,"-","")))</f>
        <v/>
      </c>
      <c r="C26" s="16">
        <f>IF($B26="",0,LEN($B26))</f>
        <v/>
      </c>
      <c r="D26" s="16">
        <f>IF($A26="","",UPPER(TRIM(SUBSTITUTE(IFERROR(INDEX(tblVeriA[FaturaNo],ROW()-ROW(tblVeriA[[#Headers]])),"")," ",""))))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UPPER(TRIM(SUBSTITUTE($I26,"-","")))</f>
        <v/>
      </c>
      <c r="K26" s="16">
        <f>IF($J26="",0,LEN($J26))</f>
        <v/>
      </c>
      <c r="L26" s="16">
        <f>IF($I26="","",UPPER(TRIM(SUBSTITUTE(IFERROR(INDEX(tblVeriB[FaturaNo],ROW()-ROW(tblVeriB[[#Headers]])),"")," ",""))))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UPPER(TRIM(SUBSTITUTE($A27,"-","")))</f>
        <v/>
      </c>
      <c r="C27" s="16">
        <f>IF($B27="",0,LEN($B27))</f>
        <v/>
      </c>
      <c r="D27" s="16">
        <f>IF($A27="","",UPPER(TRIM(SUBSTITUTE(IFERROR(INDEX(tblVeriA[FaturaNo],ROW()-ROW(tblVeriA[[#Headers]])),"")," ",""))))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UPPER(TRIM(SUBSTITUTE($I27,"-","")))</f>
        <v/>
      </c>
      <c r="K27" s="16">
        <f>IF($J27="",0,LEN($J27))</f>
        <v/>
      </c>
      <c r="L27" s="16">
        <f>IF($I27="","",UPPER(TRIM(SUBSTITUTE(IFERROR(INDEX(tblVeriB[FaturaNo],ROW()-ROW(tblVeriB[[#Headers]])),"")," ",""))))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UPPER(TRIM(SUBSTITUTE($A28,"-","")))</f>
        <v/>
      </c>
      <c r="C28" s="16">
        <f>IF($B28="",0,LEN($B28))</f>
        <v/>
      </c>
      <c r="D28" s="16">
        <f>IF($A28="","",UPPER(TRIM(SUBSTITUTE(IFERROR(INDEX(tblVeriA[FaturaNo],ROW()-ROW(tblVeriA[[#Headers]])),"")," ",""))))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UPPER(TRIM(SUBSTITUTE($I28,"-","")))</f>
        <v/>
      </c>
      <c r="K28" s="16">
        <f>IF($J28="",0,LEN($J28))</f>
        <v/>
      </c>
      <c r="L28" s="16">
        <f>IF($I28="","",UPPER(TRIM(SUBSTITUTE(IFERROR(INDEX(tblVeriB[FaturaNo],ROW()-ROW(tblVeriB[[#Headers]])),"")," ",""))))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UPPER(TRIM(SUBSTITUTE($A29,"-","")))</f>
        <v/>
      </c>
      <c r="C29" s="16">
        <f>IF($B29="",0,LEN($B29))</f>
        <v/>
      </c>
      <c r="D29" s="16">
        <f>IF($A29="","",UPPER(TRIM(SUBSTITUTE(IFERROR(INDEX(tblVeriA[FaturaNo],ROW()-ROW(tblVeriA[[#Headers]])),"")," ",""))))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UPPER(TRIM(SUBSTITUTE($I29,"-","")))</f>
        <v/>
      </c>
      <c r="K29" s="16">
        <f>IF($J29="",0,LEN($J29))</f>
        <v/>
      </c>
      <c r="L29" s="16">
        <f>IF($I29="","",UPPER(TRIM(SUBSTITUTE(IFERROR(INDEX(tblVeriB[FaturaNo],ROW()-ROW(tblVeriB[[#Headers]])),"")," ",""))))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UPPER(TRIM(SUBSTITUTE($A30,"-","")))</f>
        <v/>
      </c>
      <c r="C30" s="16">
        <f>IF($B30="",0,LEN($B30))</f>
        <v/>
      </c>
      <c r="D30" s="16">
        <f>IF($A30="","",UPPER(TRIM(SUBSTITUTE(IFERROR(INDEX(tblVeriA[FaturaNo],ROW()-ROW(tblVeriA[[#Headers]])),"")," ",""))))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UPPER(TRIM(SUBSTITUTE($I30,"-","")))</f>
        <v/>
      </c>
      <c r="K30" s="16">
        <f>IF($J30="",0,LEN($J30))</f>
        <v/>
      </c>
      <c r="L30" s="16">
        <f>IF($I30="","",UPPER(TRIM(SUBSTITUTE(IFERROR(INDEX(tblVeriB[FaturaNo],ROW()-ROW(tblVeriB[[#Headers]])),"")," ",""))))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UPPER(TRIM(SUBSTITUTE($A31,"-","")))</f>
        <v/>
      </c>
      <c r="C31" s="16">
        <f>IF($B31="",0,LEN($B31))</f>
        <v/>
      </c>
      <c r="D31" s="16">
        <f>IF($A31="","",UPPER(TRIM(SUBSTITUTE(IFERROR(INDEX(tblVeriA[FaturaNo],ROW()-ROW(tblVeriA[[#Headers]])),"")," ",""))))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UPPER(TRIM(SUBSTITUTE($I31,"-","")))</f>
        <v/>
      </c>
      <c r="K31" s="16">
        <f>IF($J31="",0,LEN($J31))</f>
        <v/>
      </c>
      <c r="L31" s="16">
        <f>IF($I31="","",UPPER(TRIM(SUBSTITUTE(IFERROR(INDEX(tblVeriB[FaturaNo],ROW()-ROW(tblVeriB[[#Headers]])),"")," ",""))))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UPPER(TRIM(SUBSTITUTE($A32,"-","")))</f>
        <v/>
      </c>
      <c r="C32" s="16">
        <f>IF($B32="",0,LEN($B32))</f>
        <v/>
      </c>
      <c r="D32" s="16">
        <f>IF($A32="","",UPPER(TRIM(SUBSTITUTE(IFERROR(INDEX(tblVeriA[FaturaNo],ROW()-ROW(tblVeriA[[#Headers]])),"")," ",""))))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UPPER(TRIM(SUBSTITUTE($I32,"-","")))</f>
        <v/>
      </c>
      <c r="K32" s="16">
        <f>IF($J32="",0,LEN($J32))</f>
        <v/>
      </c>
      <c r="L32" s="16">
        <f>IF($I32="","",UPPER(TRIM(SUBSTITUTE(IFERROR(INDEX(tblVeriB[FaturaNo],ROW()-ROW(tblVeriB[[#Headers]])),"")," ",""))))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UPPER(TRIM(SUBSTITUTE($A33,"-","")))</f>
        <v/>
      </c>
      <c r="C33" s="16">
        <f>IF($B33="",0,LEN($B33))</f>
        <v/>
      </c>
      <c r="D33" s="16">
        <f>IF($A33="","",UPPER(TRIM(SUBSTITUTE(IFERROR(INDEX(tblVeriA[FaturaNo],ROW()-ROW(tblVeriA[[#Headers]])),"")," ",""))))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UPPER(TRIM(SUBSTITUTE($I33,"-","")))</f>
        <v/>
      </c>
      <c r="K33" s="16">
        <f>IF($J33="",0,LEN($J33))</f>
        <v/>
      </c>
      <c r="L33" s="16">
        <f>IF($I33="","",UPPER(TRIM(SUBSTITUTE(IFERROR(INDEX(tblVeriB[FaturaNo],ROW()-ROW(tblVeriB[[#Headers]])),"")," ",""))))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UPPER(TRIM(SUBSTITUTE($A34,"-","")))</f>
        <v/>
      </c>
      <c r="C34" s="16">
        <f>IF($B34="",0,LEN($B34))</f>
        <v/>
      </c>
      <c r="D34" s="16">
        <f>IF($A34="","",UPPER(TRIM(SUBSTITUTE(IFERROR(INDEX(tblVeriA[FaturaNo],ROW()-ROW(tblVeriA[[#Headers]])),"")," ",""))))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UPPER(TRIM(SUBSTITUTE($I34,"-","")))</f>
        <v/>
      </c>
      <c r="K34" s="16">
        <f>IF($J34="",0,LEN($J34))</f>
        <v/>
      </c>
      <c r="L34" s="16">
        <f>IF($I34="","",UPPER(TRIM(SUBSTITUTE(IFERROR(INDEX(tblVeriB[FaturaNo],ROW()-ROW(tblVeriB[[#Headers]])),"")," ",""))))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UPPER(TRIM(SUBSTITUTE($A35,"-","")))</f>
        <v/>
      </c>
      <c r="C35" s="16">
        <f>IF($B35="",0,LEN($B35))</f>
        <v/>
      </c>
      <c r="D35" s="16">
        <f>IF($A35="","",UPPER(TRIM(SUBSTITUTE(IFERROR(INDEX(tblVeriA[FaturaNo],ROW()-ROW(tblVeriA[[#Headers]])),"")," ",""))))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UPPER(TRIM(SUBSTITUTE($I35,"-","")))</f>
        <v/>
      </c>
      <c r="K35" s="16">
        <f>IF($J35="",0,LEN($J35))</f>
        <v/>
      </c>
      <c r="L35" s="16">
        <f>IF($I35="","",UPPER(TRIM(SUBSTITUTE(IFERROR(INDEX(tblVeriB[FaturaNo],ROW()-ROW(tblVeriB[[#Headers]])),"")," ",""))))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UPPER(TRIM(SUBSTITUTE($A36,"-","")))</f>
        <v/>
      </c>
      <c r="C36" s="16">
        <f>IF($B36="",0,LEN($B36))</f>
        <v/>
      </c>
      <c r="D36" s="16">
        <f>IF($A36="","",UPPER(TRIM(SUBSTITUTE(IFERROR(INDEX(tblVeriA[FaturaNo],ROW()-ROW(tblVeriA[[#Headers]])),"")," ",""))))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UPPER(TRIM(SUBSTITUTE($I36,"-","")))</f>
        <v/>
      </c>
      <c r="K36" s="16">
        <f>IF($J36="",0,LEN($J36))</f>
        <v/>
      </c>
      <c r="L36" s="16">
        <f>IF($I36="","",UPPER(TRIM(SUBSTITUTE(IFERROR(INDEX(tblVeriB[FaturaNo],ROW()-ROW(tblVeriB[[#Headers]])),"")," ",""))))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UPPER(TRIM(SUBSTITUTE($A37,"-","")))</f>
        <v/>
      </c>
      <c r="C37" s="16">
        <f>IF($B37="",0,LEN($B37))</f>
        <v/>
      </c>
      <c r="D37" s="16">
        <f>IF($A37="","",UPPER(TRIM(SUBSTITUTE(IFERROR(INDEX(tblVeriA[FaturaNo],ROW()-ROW(tblVeriA[[#Headers]])),"")," ",""))))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UPPER(TRIM(SUBSTITUTE($I37,"-","")))</f>
        <v/>
      </c>
      <c r="K37" s="16">
        <f>IF($J37="",0,LEN($J37))</f>
        <v/>
      </c>
      <c r="L37" s="16">
        <f>IF($I37="","",UPPER(TRIM(SUBSTITUTE(IFERROR(INDEX(tblVeriB[FaturaNo],ROW()-ROW(tblVeriB[[#Headers]])),"")," ",""))))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UPPER(TRIM(SUBSTITUTE($A38,"-","")))</f>
        <v/>
      </c>
      <c r="C38" s="16">
        <f>IF($B38="",0,LEN($B38))</f>
        <v/>
      </c>
      <c r="D38" s="16">
        <f>IF($A38="","",UPPER(TRIM(SUBSTITUTE(IFERROR(INDEX(tblVeriA[FaturaNo],ROW()-ROW(tblVeriA[[#Headers]])),"")," ",""))))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UPPER(TRIM(SUBSTITUTE($I38,"-","")))</f>
        <v/>
      </c>
      <c r="K38" s="16">
        <f>IF($J38="",0,LEN($J38))</f>
        <v/>
      </c>
      <c r="L38" s="16">
        <f>IF($I38="","",UPPER(TRIM(SUBSTITUTE(IFERROR(INDEX(tblVeriB[FaturaNo],ROW()-ROW(tblVeriB[[#Headers]])),"")," ",""))))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UPPER(TRIM(SUBSTITUTE($A39,"-","")))</f>
        <v/>
      </c>
      <c r="C39" s="16">
        <f>IF($B39="",0,LEN($B39))</f>
        <v/>
      </c>
      <c r="D39" s="16">
        <f>IF($A39="","",UPPER(TRIM(SUBSTITUTE(IFERROR(INDEX(tblVeriA[FaturaNo],ROW()-ROW(tblVeriA[[#Headers]])),"")," ",""))))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UPPER(TRIM(SUBSTITUTE($I39,"-","")))</f>
        <v/>
      </c>
      <c r="K39" s="16">
        <f>IF($J39="",0,LEN($J39))</f>
        <v/>
      </c>
      <c r="L39" s="16">
        <f>IF($I39="","",UPPER(TRIM(SUBSTITUTE(IFERROR(INDEX(tblVeriB[FaturaNo],ROW()-ROW(tblVeriB[[#Headers]])),"")," ",""))))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UPPER(TRIM(SUBSTITUTE($A40,"-","")))</f>
        <v/>
      </c>
      <c r="C40" s="16">
        <f>IF($B40="",0,LEN($B40))</f>
        <v/>
      </c>
      <c r="D40" s="16">
        <f>IF($A40="","",UPPER(TRIM(SUBSTITUTE(IFERROR(INDEX(tblVeriA[FaturaNo],ROW()-ROW(tblVeriA[[#Headers]])),"")," ",""))))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UPPER(TRIM(SUBSTITUTE($I40,"-","")))</f>
        <v/>
      </c>
      <c r="K40" s="16">
        <f>IF($J40="",0,LEN($J40))</f>
        <v/>
      </c>
      <c r="L40" s="16">
        <f>IF($I40="","",UPPER(TRIM(SUBSTITUTE(IFERROR(INDEX(tblVeriB[FaturaNo],ROW()-ROW(tblVeriB[[#Headers]])),"")," ",""))))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UPPER(TRIM(SUBSTITUTE($A41,"-","")))</f>
        <v/>
      </c>
      <c r="C41" s="16">
        <f>IF($B41="",0,LEN($B41))</f>
        <v/>
      </c>
      <c r="D41" s="16">
        <f>IF($A41="","",UPPER(TRIM(SUBSTITUTE(IFERROR(INDEX(tblVeriA[FaturaNo],ROW()-ROW(tblVeriA[[#Headers]])),"")," ",""))))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UPPER(TRIM(SUBSTITUTE($I41,"-","")))</f>
        <v/>
      </c>
      <c r="K41" s="16">
        <f>IF($J41="",0,LEN($J41))</f>
        <v/>
      </c>
      <c r="L41" s="16">
        <f>IF($I41="","",UPPER(TRIM(SUBSTITUTE(IFERROR(INDEX(tblVeriB[FaturaNo],ROW()-ROW(tblVeriB[[#Headers]])),"")," ",""))))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UPPER(TRIM(SUBSTITUTE($A42,"-","")))</f>
        <v/>
      </c>
      <c r="C42" s="16">
        <f>IF($B42="",0,LEN($B42))</f>
        <v/>
      </c>
      <c r="D42" s="16">
        <f>IF($A42="","",UPPER(TRIM(SUBSTITUTE(IFERROR(INDEX(tblVeriA[FaturaNo],ROW()-ROW(tblVeriA[[#Headers]])),"")," ",""))))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UPPER(TRIM(SUBSTITUTE($I42,"-","")))</f>
        <v/>
      </c>
      <c r="K42" s="16">
        <f>IF($J42="",0,LEN($J42))</f>
        <v/>
      </c>
      <c r="L42" s="16">
        <f>IF($I42="","",UPPER(TRIM(SUBSTITUTE(IFERROR(INDEX(tblVeriB[FaturaNo],ROW()-ROW(tblVeriB[[#Headers]])),"")," ",""))))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UPPER(TRIM(SUBSTITUTE($A43,"-","")))</f>
        <v/>
      </c>
      <c r="C43" s="16">
        <f>IF($B43="",0,LEN($B43))</f>
        <v/>
      </c>
      <c r="D43" s="16">
        <f>IF($A43="","",UPPER(TRIM(SUBSTITUTE(IFERROR(INDEX(tblVeriA[FaturaNo],ROW()-ROW(tblVeriA[[#Headers]])),"")," ",""))))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UPPER(TRIM(SUBSTITUTE($I43,"-","")))</f>
        <v/>
      </c>
      <c r="K43" s="16">
        <f>IF($J43="",0,LEN($J43))</f>
        <v/>
      </c>
      <c r="L43" s="16">
        <f>IF($I43="","",UPPER(TRIM(SUBSTITUTE(IFERROR(INDEX(tblVeriB[FaturaNo],ROW()-ROW(tblVeriB[[#Headers]])),"")," ",""))))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UPPER(TRIM(SUBSTITUTE($A44,"-","")))</f>
        <v/>
      </c>
      <c r="C44" s="16">
        <f>IF($B44="",0,LEN($B44))</f>
        <v/>
      </c>
      <c r="D44" s="16">
        <f>IF($A44="","",UPPER(TRIM(SUBSTITUTE(IFERROR(INDEX(tblVeriA[FaturaNo],ROW()-ROW(tblVeriA[[#Headers]])),"")," ",""))))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UPPER(TRIM(SUBSTITUTE($I44,"-","")))</f>
        <v/>
      </c>
      <c r="K44" s="16">
        <f>IF($J44="",0,LEN($J44))</f>
        <v/>
      </c>
      <c r="L44" s="16">
        <f>IF($I44="","",UPPER(TRIM(SUBSTITUTE(IFERROR(INDEX(tblVeriB[FaturaNo],ROW()-ROW(tblVeriB[[#Headers]])),"")," ",""))))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UPPER(TRIM(SUBSTITUTE($A45,"-","")))</f>
        <v/>
      </c>
      <c r="C45" s="16">
        <f>IF($B45="",0,LEN($B45))</f>
        <v/>
      </c>
      <c r="D45" s="16">
        <f>IF($A45="","",UPPER(TRIM(SUBSTITUTE(IFERROR(INDEX(tblVeriA[FaturaNo],ROW()-ROW(tblVeriA[[#Headers]])),"")," ",""))))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UPPER(TRIM(SUBSTITUTE($I45,"-","")))</f>
        <v/>
      </c>
      <c r="K45" s="16">
        <f>IF($J45="",0,LEN($J45))</f>
        <v/>
      </c>
      <c r="L45" s="16">
        <f>IF($I45="","",UPPER(TRIM(SUBSTITUTE(IFERROR(INDEX(tblVeriB[FaturaNo],ROW()-ROW(tblVeriB[[#Headers]])),"")," ",""))))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UPPER(TRIM(SUBSTITUTE($A46,"-","")))</f>
        <v/>
      </c>
      <c r="C46" s="16">
        <f>IF($B46="",0,LEN($B46))</f>
        <v/>
      </c>
      <c r="D46" s="16">
        <f>IF($A46="","",UPPER(TRIM(SUBSTITUTE(IFERROR(INDEX(tblVeriA[FaturaNo],ROW()-ROW(tblVeriA[[#Headers]])),"")," ",""))))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UPPER(TRIM(SUBSTITUTE($I46,"-","")))</f>
        <v/>
      </c>
      <c r="K46" s="16">
        <f>IF($J46="",0,LEN($J46))</f>
        <v/>
      </c>
      <c r="L46" s="16">
        <f>IF($I46="","",UPPER(TRIM(SUBSTITUTE(IFERROR(INDEX(tblVeriB[FaturaNo],ROW()-ROW(tblVeriB[[#Headers]])),"")," ",""))))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UPPER(TRIM(SUBSTITUTE($A47,"-","")))</f>
        <v/>
      </c>
      <c r="C47" s="16">
        <f>IF($B47="",0,LEN($B47))</f>
        <v/>
      </c>
      <c r="D47" s="16">
        <f>IF($A47="","",UPPER(TRIM(SUBSTITUTE(IFERROR(INDEX(tblVeriA[FaturaNo],ROW()-ROW(tblVeriA[[#Headers]])),"")," ",""))))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UPPER(TRIM(SUBSTITUTE($I47,"-","")))</f>
        <v/>
      </c>
      <c r="K47" s="16">
        <f>IF($J47="",0,LEN($J47))</f>
        <v/>
      </c>
      <c r="L47" s="16">
        <f>IF($I47="","",UPPER(TRIM(SUBSTITUTE(IFERROR(INDEX(tblVeriB[FaturaNo],ROW()-ROW(tblVeriB[[#Headers]])),"")," ",""))))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UPPER(TRIM(SUBSTITUTE($A48,"-","")))</f>
        <v/>
      </c>
      <c r="C48" s="16">
        <f>IF($B48="",0,LEN($B48))</f>
        <v/>
      </c>
      <c r="D48" s="16">
        <f>IF($A48="","",UPPER(TRIM(SUBSTITUTE(IFERROR(INDEX(tblVeriA[FaturaNo],ROW()-ROW(tblVeriA[[#Headers]])),"")," ",""))))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UPPER(TRIM(SUBSTITUTE($I48,"-","")))</f>
        <v/>
      </c>
      <c r="K48" s="16">
        <f>IF($J48="",0,LEN($J48))</f>
        <v/>
      </c>
      <c r="L48" s="16">
        <f>IF($I48="","",UPPER(TRIM(SUBSTITUTE(IFERROR(INDEX(tblVeriB[FaturaNo],ROW()-ROW(tblVeriB[[#Headers]])),"")," ",""))))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UPPER(TRIM(SUBSTITUTE($A49,"-","")))</f>
        <v/>
      </c>
      <c r="C49" s="16">
        <f>IF($B49="",0,LEN($B49))</f>
        <v/>
      </c>
      <c r="D49" s="16">
        <f>IF($A49="","",UPPER(TRIM(SUBSTITUTE(IFERROR(INDEX(tblVeriA[FaturaNo],ROW()-ROW(tblVeriA[[#Headers]])),"")," ",""))))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UPPER(TRIM(SUBSTITUTE($I49,"-","")))</f>
        <v/>
      </c>
      <c r="K49" s="16">
        <f>IF($J49="",0,LEN($J49))</f>
        <v/>
      </c>
      <c r="L49" s="16">
        <f>IF($I49="","",UPPER(TRIM(SUBSTITUTE(IFERROR(INDEX(tblVeriB[FaturaNo],ROW()-ROW(tblVeriB[[#Headers]])),"")," ",""))))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UPPER(TRIM(SUBSTITUTE($A50,"-","")))</f>
        <v/>
      </c>
      <c r="C50" s="16">
        <f>IF($B50="",0,LEN($B50))</f>
        <v/>
      </c>
      <c r="D50" s="16">
        <f>IF($A50="","",UPPER(TRIM(SUBSTITUTE(IFERROR(INDEX(tblVeriA[FaturaNo],ROW()-ROW(tblVeriA[[#Headers]])),"")," ",""))))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UPPER(TRIM(SUBSTITUTE($I50,"-","")))</f>
        <v/>
      </c>
      <c r="K50" s="16">
        <f>IF($J50="",0,LEN($J50))</f>
        <v/>
      </c>
      <c r="L50" s="16">
        <f>IF($I50="","",UPPER(TRIM(SUBSTITUTE(IFERROR(INDEX(tblVeriB[FaturaNo],ROW()-ROW(tblVeriB[[#Headers]])),"")," ",""))))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UPPER(TRIM(SUBSTITUTE($A51,"-","")))</f>
        <v/>
      </c>
      <c r="C51" s="16">
        <f>IF($B51="",0,LEN($B51))</f>
        <v/>
      </c>
      <c r="D51" s="16">
        <f>IF($A51="","",UPPER(TRIM(SUBSTITUTE(IFERROR(INDEX(tblVeriA[FaturaNo],ROW()-ROW(tblVeriA[[#Headers]])),"")," ",""))))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UPPER(TRIM(SUBSTITUTE($I51,"-","")))</f>
        <v/>
      </c>
      <c r="K51" s="16">
        <f>IF($J51="",0,LEN($J51))</f>
        <v/>
      </c>
      <c r="L51" s="16">
        <f>IF($I51="","",UPPER(TRIM(SUBSTITUTE(IFERROR(INDEX(tblVeriB[FaturaNo],ROW()-ROW(tblVeriB[[#Headers]])),"")," ",""))))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UPPER(TRIM(SUBSTITUTE($A52,"-","")))</f>
        <v/>
      </c>
      <c r="C52" s="16">
        <f>IF($B52="",0,LEN($B52))</f>
        <v/>
      </c>
      <c r="D52" s="16">
        <f>IF($A52="","",UPPER(TRIM(SUBSTITUTE(IFERROR(INDEX(tblVeriA[FaturaNo],ROW()-ROW(tblVeriA[[#Headers]])),"")," ",""))))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UPPER(TRIM(SUBSTITUTE($I52,"-","")))</f>
        <v/>
      </c>
      <c r="K52" s="16">
        <f>IF($J52="",0,LEN($J52))</f>
        <v/>
      </c>
      <c r="L52" s="16">
        <f>IF($I52="","",UPPER(TRIM(SUBSTITUTE(IFERROR(INDEX(tblVeriB[FaturaNo],ROW()-ROW(tblVeriB[[#Headers]])),"")," ",""))))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UPPER(TRIM(SUBSTITUTE($A53,"-","")))</f>
        <v/>
      </c>
      <c r="C53" s="16">
        <f>IF($B53="",0,LEN($B53))</f>
        <v/>
      </c>
      <c r="D53" s="16">
        <f>IF($A53="","",UPPER(TRIM(SUBSTITUTE(IFERROR(INDEX(tblVeriA[FaturaNo],ROW()-ROW(tblVeriA[[#Headers]])),"")," ",""))))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UPPER(TRIM(SUBSTITUTE($I53,"-","")))</f>
        <v/>
      </c>
      <c r="K53" s="16">
        <f>IF($J53="",0,LEN($J53))</f>
        <v/>
      </c>
      <c r="L53" s="16">
        <f>IF($I53="","",UPPER(TRIM(SUBSTITUTE(IFERROR(INDEX(tblVeriB[FaturaNo],ROW()-ROW(tblVeriB[[#Headers]])),"")," ",""))))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UPPER(TRIM(SUBSTITUTE($A54,"-","")))</f>
        <v/>
      </c>
      <c r="C54" s="16">
        <f>IF($B54="",0,LEN($B54))</f>
        <v/>
      </c>
      <c r="D54" s="16">
        <f>IF($A54="","",UPPER(TRIM(SUBSTITUTE(IFERROR(INDEX(tblVeriA[FaturaNo],ROW()-ROW(tblVeriA[[#Headers]])),"")," ",""))))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UPPER(TRIM(SUBSTITUTE($I54,"-","")))</f>
        <v/>
      </c>
      <c r="K54" s="16">
        <f>IF($J54="",0,LEN($J54))</f>
        <v/>
      </c>
      <c r="L54" s="16">
        <f>IF($I54="","",UPPER(TRIM(SUBSTITUTE(IFERROR(INDEX(tblVeriB[FaturaNo],ROW()-ROW(tblVeriB[[#Headers]])),"")," ",""))))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UPPER(TRIM(SUBSTITUTE($A55,"-","")))</f>
        <v/>
      </c>
      <c r="C55" s="16">
        <f>IF($B55="",0,LEN($B55))</f>
        <v/>
      </c>
      <c r="D55" s="16">
        <f>IF($A55="","",UPPER(TRIM(SUBSTITUTE(IFERROR(INDEX(tblVeriA[FaturaNo],ROW()-ROW(tblVeriA[[#Headers]])),"")," ",""))))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UPPER(TRIM(SUBSTITUTE($I55,"-","")))</f>
        <v/>
      </c>
      <c r="K55" s="16">
        <f>IF($J55="",0,LEN($J55))</f>
        <v/>
      </c>
      <c r="L55" s="16">
        <f>IF($I55="","",UPPER(TRIM(SUBSTITUTE(IFERROR(INDEX(tblVeriB[FaturaNo],ROW()-ROW(tblVeriB[[#Headers]])),"")," ",""))))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UPPER(TRIM(SUBSTITUTE($A56,"-","")))</f>
        <v/>
      </c>
      <c r="C56" s="16">
        <f>IF($B56="",0,LEN($B56))</f>
        <v/>
      </c>
      <c r="D56" s="16">
        <f>IF($A56="","",UPPER(TRIM(SUBSTITUTE(IFERROR(INDEX(tblVeriA[FaturaNo],ROW()-ROW(tblVeriA[[#Headers]])),"")," ",""))))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UPPER(TRIM(SUBSTITUTE($I56,"-","")))</f>
        <v/>
      </c>
      <c r="K56" s="16">
        <f>IF($J56="",0,LEN($J56))</f>
        <v/>
      </c>
      <c r="L56" s="16">
        <f>IF($I56="","",UPPER(TRIM(SUBSTITUTE(IFERROR(INDEX(tblVeriB[FaturaNo],ROW()-ROW(tblVeriB[[#Headers]])),"")," ",""))))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UPPER(TRIM(SUBSTITUTE($A57,"-","")))</f>
        <v/>
      </c>
      <c r="C57" s="16">
        <f>IF($B57="",0,LEN($B57))</f>
        <v/>
      </c>
      <c r="D57" s="16">
        <f>IF($A57="","",UPPER(TRIM(SUBSTITUTE(IFERROR(INDEX(tblVeriA[FaturaNo],ROW()-ROW(tblVeriA[[#Headers]])),"")," ",""))))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UPPER(TRIM(SUBSTITUTE($I57,"-","")))</f>
        <v/>
      </c>
      <c r="K57" s="16">
        <f>IF($J57="",0,LEN($J57))</f>
        <v/>
      </c>
      <c r="L57" s="16">
        <f>IF($I57="","",UPPER(TRIM(SUBSTITUTE(IFERROR(INDEX(tblVeriB[FaturaNo],ROW()-ROW(tblVeriB[[#Headers]])),"")," ",""))))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UPPER(TRIM(SUBSTITUTE($A58,"-","")))</f>
        <v/>
      </c>
      <c r="C58" s="16">
        <f>IF($B58="",0,LEN($B58))</f>
        <v/>
      </c>
      <c r="D58" s="16">
        <f>IF($A58="","",UPPER(TRIM(SUBSTITUTE(IFERROR(INDEX(tblVeriA[FaturaNo],ROW()-ROW(tblVeriA[[#Headers]])),"")," ",""))))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UPPER(TRIM(SUBSTITUTE($I58,"-","")))</f>
        <v/>
      </c>
      <c r="K58" s="16">
        <f>IF($J58="",0,LEN($J58))</f>
        <v/>
      </c>
      <c r="L58" s="16">
        <f>IF($I58="","",UPPER(TRIM(SUBSTITUTE(IFERROR(INDEX(tblVeriB[FaturaNo],ROW()-ROW(tblVeriB[[#Headers]])),"")," ",""))))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UPPER(TRIM(SUBSTITUTE($A59,"-","")))</f>
        <v/>
      </c>
      <c r="C59" s="16">
        <f>IF($B59="",0,LEN($B59))</f>
        <v/>
      </c>
      <c r="D59" s="16">
        <f>IF($A59="","",UPPER(TRIM(SUBSTITUTE(IFERROR(INDEX(tblVeriA[FaturaNo],ROW()-ROW(tblVeriA[[#Headers]])),"")," ",""))))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UPPER(TRIM(SUBSTITUTE($I59,"-","")))</f>
        <v/>
      </c>
      <c r="K59" s="16">
        <f>IF($J59="",0,LEN($J59))</f>
        <v/>
      </c>
      <c r="L59" s="16">
        <f>IF($I59="","",UPPER(TRIM(SUBSTITUTE(IFERROR(INDEX(tblVeriB[FaturaNo],ROW()-ROW(tblVeriB[[#Headers]])),"")," ",""))))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UPPER(TRIM(SUBSTITUTE($A60,"-","")))</f>
        <v/>
      </c>
      <c r="C60" s="16">
        <f>IF($B60="",0,LEN($B60))</f>
        <v/>
      </c>
      <c r="D60" s="16">
        <f>IF($A60="","",UPPER(TRIM(SUBSTITUTE(IFERROR(INDEX(tblVeriA[FaturaNo],ROW()-ROW(tblVeriA[[#Headers]])),"")," ",""))))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UPPER(TRIM(SUBSTITUTE($I60,"-","")))</f>
        <v/>
      </c>
      <c r="K60" s="16">
        <f>IF($J60="",0,LEN($J60))</f>
        <v/>
      </c>
      <c r="L60" s="16">
        <f>IF($I60="","",UPPER(TRIM(SUBSTITUTE(IFERROR(INDEX(tblVeriB[FaturaNo],ROW()-ROW(tblVeriB[[#Headers]])),"")," ",""))))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UPPER(TRIM(SUBSTITUTE($A61,"-","")))</f>
        <v/>
      </c>
      <c r="C61" s="16">
        <f>IF($B61="",0,LEN($B61))</f>
        <v/>
      </c>
      <c r="D61" s="16">
        <f>IF($A61="","",UPPER(TRIM(SUBSTITUTE(IFERROR(INDEX(tblVeriA[FaturaNo],ROW()-ROW(tblVeriA[[#Headers]])),"")," ",""))))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UPPER(TRIM(SUBSTITUTE($I61,"-","")))</f>
        <v/>
      </c>
      <c r="K61" s="16">
        <f>IF($J61="",0,LEN($J61))</f>
        <v/>
      </c>
      <c r="L61" s="16">
        <f>IF($I61="","",UPPER(TRIM(SUBSTITUTE(IFERROR(INDEX(tblVeriB[FaturaNo],ROW()-ROW(tblVeriB[[#Headers]])),"")," ",""))))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UPPER(TRIM(SUBSTITUTE($A62,"-","")))</f>
        <v/>
      </c>
      <c r="C62" s="16">
        <f>IF($B62="",0,LEN($B62))</f>
        <v/>
      </c>
      <c r="D62" s="16">
        <f>IF($A62="","",UPPER(TRIM(SUBSTITUTE(IFERROR(INDEX(tblVeriA[FaturaNo],ROW()-ROW(tblVeriA[[#Headers]])),"")," ",""))))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UPPER(TRIM(SUBSTITUTE($I62,"-","")))</f>
        <v/>
      </c>
      <c r="K62" s="16">
        <f>IF($J62="",0,LEN($J62))</f>
        <v/>
      </c>
      <c r="L62" s="16">
        <f>IF($I62="","",UPPER(TRIM(SUBSTITUTE(IFERROR(INDEX(tblVeriB[FaturaNo],ROW()-ROW(tblVeriB[[#Headers]])),"")," ",""))))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UPPER(TRIM(SUBSTITUTE($A63,"-","")))</f>
        <v/>
      </c>
      <c r="C63" s="16">
        <f>IF($B63="",0,LEN($B63))</f>
        <v/>
      </c>
      <c r="D63" s="16">
        <f>IF($A63="","",UPPER(TRIM(SUBSTITUTE(IFERROR(INDEX(tblVeriA[FaturaNo],ROW()-ROW(tblVeriA[[#Headers]])),"")," ",""))))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UPPER(TRIM(SUBSTITUTE($I63,"-","")))</f>
        <v/>
      </c>
      <c r="K63" s="16">
        <f>IF($J63="",0,LEN($J63))</f>
        <v/>
      </c>
      <c r="L63" s="16">
        <f>IF($I63="","",UPPER(TRIM(SUBSTITUTE(IFERROR(INDEX(tblVeriB[FaturaNo],ROW()-ROW(tblVeriB[[#Headers]])),"")," ",""))))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UPPER(TRIM(SUBSTITUTE($A64,"-","")))</f>
        <v/>
      </c>
      <c r="C64" s="16">
        <f>IF($B64="",0,LEN($B64))</f>
        <v/>
      </c>
      <c r="D64" s="16">
        <f>IF($A64="","",UPPER(TRIM(SUBSTITUTE(IFERROR(INDEX(tblVeriA[FaturaNo],ROW()-ROW(tblVeriA[[#Headers]])),"")," ",""))))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UPPER(TRIM(SUBSTITUTE($I64,"-","")))</f>
        <v/>
      </c>
      <c r="K64" s="16">
        <f>IF($J64="",0,LEN($J64))</f>
        <v/>
      </c>
      <c r="L64" s="16">
        <f>IF($I64="","",UPPER(TRIM(SUBSTITUTE(IFERROR(INDEX(tblVeriB[FaturaNo],ROW()-ROW(tblVeriB[[#Headers]])),"")," ",""))))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UPPER(TRIM(SUBSTITUTE($A65,"-","")))</f>
        <v/>
      </c>
      <c r="C65" s="16">
        <f>IF($B65="",0,LEN($B65))</f>
        <v/>
      </c>
      <c r="D65" s="16">
        <f>IF($A65="","",UPPER(TRIM(SUBSTITUTE(IFERROR(INDEX(tblVeriA[FaturaNo],ROW()-ROW(tblVeriA[[#Headers]])),"")," ",""))))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UPPER(TRIM(SUBSTITUTE($I65,"-","")))</f>
        <v/>
      </c>
      <c r="K65" s="16">
        <f>IF($J65="",0,LEN($J65))</f>
        <v/>
      </c>
      <c r="L65" s="16">
        <f>IF($I65="","",UPPER(TRIM(SUBSTITUTE(IFERROR(INDEX(tblVeriB[FaturaNo],ROW()-ROW(tblVeriB[[#Headers]])),"")," ",""))))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UPPER(TRIM(SUBSTITUTE($A66,"-","")))</f>
        <v/>
      </c>
      <c r="C66" s="16">
        <f>IF($B66="",0,LEN($B66))</f>
        <v/>
      </c>
      <c r="D66" s="16">
        <f>IF($A66="","",UPPER(TRIM(SUBSTITUTE(IFERROR(INDEX(tblVeriA[FaturaNo],ROW()-ROW(tblVeriA[[#Headers]])),"")," ",""))))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UPPER(TRIM(SUBSTITUTE($I66,"-","")))</f>
        <v/>
      </c>
      <c r="K66" s="16">
        <f>IF($J66="",0,LEN($J66))</f>
        <v/>
      </c>
      <c r="L66" s="16">
        <f>IF($I66="","",UPPER(TRIM(SUBSTITUTE(IFERROR(INDEX(tblVeriB[FaturaNo],ROW()-ROW(tblVeriB[[#Headers]])),"")," ",""))))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UPPER(TRIM(SUBSTITUTE($A67,"-","")))</f>
        <v/>
      </c>
      <c r="C67" s="16">
        <f>IF($B67="",0,LEN($B67))</f>
        <v/>
      </c>
      <c r="D67" s="16">
        <f>IF($A67="","",UPPER(TRIM(SUBSTITUTE(IFERROR(INDEX(tblVeriA[FaturaNo],ROW()-ROW(tblVeriA[[#Headers]])),"")," ",""))))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UPPER(TRIM(SUBSTITUTE($I67,"-","")))</f>
        <v/>
      </c>
      <c r="K67" s="16">
        <f>IF($J67="",0,LEN($J67))</f>
        <v/>
      </c>
      <c r="L67" s="16">
        <f>IF($I67="","",UPPER(TRIM(SUBSTITUTE(IFERROR(INDEX(tblVeriB[FaturaNo],ROW()-ROW(tblVeriB[[#Headers]])),"")," ",""))))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UPPER(TRIM(SUBSTITUTE($A68,"-","")))</f>
        <v/>
      </c>
      <c r="C68" s="16">
        <f>IF($B68="",0,LEN($B68))</f>
        <v/>
      </c>
      <c r="D68" s="16">
        <f>IF($A68="","",UPPER(TRIM(SUBSTITUTE(IFERROR(INDEX(tblVeriA[FaturaNo],ROW()-ROW(tblVeriA[[#Headers]])),"")," ",""))))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UPPER(TRIM(SUBSTITUTE($I68,"-","")))</f>
        <v/>
      </c>
      <c r="K68" s="16">
        <f>IF($J68="",0,LEN($J68))</f>
        <v/>
      </c>
      <c r="L68" s="16">
        <f>IF($I68="","",UPPER(TRIM(SUBSTITUTE(IFERROR(INDEX(tblVeriB[FaturaNo],ROW()-ROW(tblVeriB[[#Headers]])),"")," ",""))))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UPPER(TRIM(SUBSTITUTE($A69,"-","")))</f>
        <v/>
      </c>
      <c r="C69" s="16">
        <f>IF($B69="",0,LEN($B69))</f>
        <v/>
      </c>
      <c r="D69" s="16">
        <f>IF($A69="","",UPPER(TRIM(SUBSTITUTE(IFERROR(INDEX(tblVeriA[FaturaNo],ROW()-ROW(tblVeriA[[#Headers]])),"")," ",""))))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UPPER(TRIM(SUBSTITUTE($I69,"-","")))</f>
        <v/>
      </c>
      <c r="K69" s="16">
        <f>IF($J69="",0,LEN($J69))</f>
        <v/>
      </c>
      <c r="L69" s="16">
        <f>IF($I69="","",UPPER(TRIM(SUBSTITUTE(IFERROR(INDEX(tblVeriB[FaturaNo],ROW()-ROW(tblVeriB[[#Headers]])),"")," ",""))))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UPPER(TRIM(SUBSTITUTE($A70,"-","")))</f>
        <v/>
      </c>
      <c r="C70" s="16">
        <f>IF($B70="",0,LEN($B70))</f>
        <v/>
      </c>
      <c r="D70" s="16">
        <f>IF($A70="","",UPPER(TRIM(SUBSTITUTE(IFERROR(INDEX(tblVeriA[FaturaNo],ROW()-ROW(tblVeriA[[#Headers]])),"")," ",""))))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UPPER(TRIM(SUBSTITUTE($I70,"-","")))</f>
        <v/>
      </c>
      <c r="K70" s="16">
        <f>IF($J70="",0,LEN($J70))</f>
        <v/>
      </c>
      <c r="L70" s="16">
        <f>IF($I70="","",UPPER(TRIM(SUBSTITUTE(IFERROR(INDEX(tblVeriB[FaturaNo],ROW()-ROW(tblVeriB[[#Headers]])),"")," ",""))))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UPPER(TRIM(SUBSTITUTE($A71,"-","")))</f>
        <v/>
      </c>
      <c r="C71" s="16">
        <f>IF($B71="",0,LEN($B71))</f>
        <v/>
      </c>
      <c r="D71" s="16">
        <f>IF($A71="","",UPPER(TRIM(SUBSTITUTE(IFERROR(INDEX(tblVeriA[FaturaNo],ROW()-ROW(tblVeriA[[#Headers]])),"")," ",""))))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UPPER(TRIM(SUBSTITUTE($I71,"-","")))</f>
        <v/>
      </c>
      <c r="K71" s="16">
        <f>IF($J71="",0,LEN($J71))</f>
        <v/>
      </c>
      <c r="L71" s="16">
        <f>IF($I71="","",UPPER(TRIM(SUBSTITUTE(IFERROR(INDEX(tblVeriB[FaturaNo],ROW()-ROW(tblVeriB[[#Headers]])),"")," ",""))))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UPPER(TRIM(SUBSTITUTE($A72,"-","")))</f>
        <v/>
      </c>
      <c r="C72" s="16">
        <f>IF($B72="",0,LEN($B72))</f>
        <v/>
      </c>
      <c r="D72" s="16">
        <f>IF($A72="","",UPPER(TRIM(SUBSTITUTE(IFERROR(INDEX(tblVeriA[FaturaNo],ROW()-ROW(tblVeriA[[#Headers]])),"")," ",""))))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UPPER(TRIM(SUBSTITUTE($I72,"-","")))</f>
        <v/>
      </c>
      <c r="K72" s="16">
        <f>IF($J72="",0,LEN($J72))</f>
        <v/>
      </c>
      <c r="L72" s="16">
        <f>IF($I72="","",UPPER(TRIM(SUBSTITUTE(IFERROR(INDEX(tblVeriB[FaturaNo],ROW()-ROW(tblVeriB[[#Headers]])),"")," ",""))))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UPPER(TRIM(SUBSTITUTE($A73,"-","")))</f>
        <v/>
      </c>
      <c r="C73" s="16">
        <f>IF($B73="",0,LEN($B73))</f>
        <v/>
      </c>
      <c r="D73" s="16">
        <f>IF($A73="","",UPPER(TRIM(SUBSTITUTE(IFERROR(INDEX(tblVeriA[FaturaNo],ROW()-ROW(tblVeriA[[#Headers]])),"")," ",""))))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UPPER(TRIM(SUBSTITUTE($I73,"-","")))</f>
        <v/>
      </c>
      <c r="K73" s="16">
        <f>IF($J73="",0,LEN($J73))</f>
        <v/>
      </c>
      <c r="L73" s="16">
        <f>IF($I73="","",UPPER(TRIM(SUBSTITUTE(IFERROR(INDEX(tblVeriB[FaturaNo],ROW()-ROW(tblVeriB[[#Headers]])),"")," ",""))))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UPPER(TRIM(SUBSTITUTE($A74,"-","")))</f>
        <v/>
      </c>
      <c r="C74" s="16">
        <f>IF($B74="",0,LEN($B74))</f>
        <v/>
      </c>
      <c r="D74" s="16">
        <f>IF($A74="","",UPPER(TRIM(SUBSTITUTE(IFERROR(INDEX(tblVeriA[FaturaNo],ROW()-ROW(tblVeriA[[#Headers]])),"")," ",""))))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UPPER(TRIM(SUBSTITUTE($I74,"-","")))</f>
        <v/>
      </c>
      <c r="K74" s="16">
        <f>IF($J74="",0,LEN($J74))</f>
        <v/>
      </c>
      <c r="L74" s="16">
        <f>IF($I74="","",UPPER(TRIM(SUBSTITUTE(IFERROR(INDEX(tblVeriB[FaturaNo],ROW()-ROW(tblVeriB[[#Headers]])),"")," ",""))))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UPPER(TRIM(SUBSTITUTE($A75,"-","")))</f>
        <v/>
      </c>
      <c r="C75" s="16">
        <f>IF($B75="",0,LEN($B75))</f>
        <v/>
      </c>
      <c r="D75" s="16">
        <f>IF($A75="","",UPPER(TRIM(SUBSTITUTE(IFERROR(INDEX(tblVeriA[FaturaNo],ROW()-ROW(tblVeriA[[#Headers]])),"")," ",""))))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UPPER(TRIM(SUBSTITUTE($I75,"-","")))</f>
        <v/>
      </c>
      <c r="K75" s="16">
        <f>IF($J75="",0,LEN($J75))</f>
        <v/>
      </c>
      <c r="L75" s="16">
        <f>IF($I75="","",UPPER(TRIM(SUBSTITUTE(IFERROR(INDEX(tblVeriB[FaturaNo],ROW()-ROW(tblVeriB[[#Headers]])),"")," ",""))))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UPPER(TRIM(SUBSTITUTE($A76,"-","")))</f>
        <v/>
      </c>
      <c r="C76" s="16">
        <f>IF($B76="",0,LEN($B76))</f>
        <v/>
      </c>
      <c r="D76" s="16">
        <f>IF($A76="","",UPPER(TRIM(SUBSTITUTE(IFERROR(INDEX(tblVeriA[FaturaNo],ROW()-ROW(tblVeriA[[#Headers]])),"")," ",""))))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UPPER(TRIM(SUBSTITUTE($I76,"-","")))</f>
        <v/>
      </c>
      <c r="K76" s="16">
        <f>IF($J76="",0,LEN($J76))</f>
        <v/>
      </c>
      <c r="L76" s="16">
        <f>IF($I76="","",UPPER(TRIM(SUBSTITUTE(IFERROR(INDEX(tblVeriB[FaturaNo],ROW()-ROW(tblVeriB[[#Headers]])),"")," ",""))))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UPPER(TRIM(SUBSTITUTE($A77,"-","")))</f>
        <v/>
      </c>
      <c r="C77" s="16">
        <f>IF($B77="",0,LEN($B77))</f>
        <v/>
      </c>
      <c r="D77" s="16">
        <f>IF($A77="","",UPPER(TRIM(SUBSTITUTE(IFERROR(INDEX(tblVeriA[FaturaNo],ROW()-ROW(tblVeriA[[#Headers]])),"")," ",""))))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UPPER(TRIM(SUBSTITUTE($I77,"-","")))</f>
        <v/>
      </c>
      <c r="K77" s="16">
        <f>IF($J77="",0,LEN($J77))</f>
        <v/>
      </c>
      <c r="L77" s="16">
        <f>IF($I77="","",UPPER(TRIM(SUBSTITUTE(IFERROR(INDEX(tblVeriB[FaturaNo],ROW()-ROW(tblVeriB[[#Headers]])),"")," ",""))))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UPPER(TRIM(SUBSTITUTE($A78,"-","")))</f>
        <v/>
      </c>
      <c r="C78" s="16">
        <f>IF($B78="",0,LEN($B78))</f>
        <v/>
      </c>
      <c r="D78" s="16">
        <f>IF($A78="","",UPPER(TRIM(SUBSTITUTE(IFERROR(INDEX(tblVeriA[FaturaNo],ROW()-ROW(tblVeriA[[#Headers]])),"")," ",""))))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UPPER(TRIM(SUBSTITUTE($I78,"-","")))</f>
        <v/>
      </c>
      <c r="K78" s="16">
        <f>IF($J78="",0,LEN($J78))</f>
        <v/>
      </c>
      <c r="L78" s="16">
        <f>IF($I78="","",UPPER(TRIM(SUBSTITUTE(IFERROR(INDEX(tblVeriB[FaturaNo],ROW()-ROW(tblVeriB[[#Headers]])),"")," ",""))))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UPPER(TRIM(SUBSTITUTE($A79,"-","")))</f>
        <v/>
      </c>
      <c r="C79" s="16">
        <f>IF($B79="",0,LEN($B79))</f>
        <v/>
      </c>
      <c r="D79" s="16">
        <f>IF($A79="","",UPPER(TRIM(SUBSTITUTE(IFERROR(INDEX(tblVeriA[FaturaNo],ROW()-ROW(tblVeriA[[#Headers]])),"")," ",""))))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UPPER(TRIM(SUBSTITUTE($I79,"-","")))</f>
        <v/>
      </c>
      <c r="K79" s="16">
        <f>IF($J79="",0,LEN($J79))</f>
        <v/>
      </c>
      <c r="L79" s="16">
        <f>IF($I79="","",UPPER(TRIM(SUBSTITUTE(IFERROR(INDEX(tblVeriB[FaturaNo],ROW()-ROW(tblVeriB[[#Headers]])),"")," ",""))))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UPPER(TRIM(SUBSTITUTE($A80,"-","")))</f>
        <v/>
      </c>
      <c r="C80" s="16">
        <f>IF($B80="",0,LEN($B80))</f>
        <v/>
      </c>
      <c r="D80" s="16">
        <f>IF($A80="","",UPPER(TRIM(SUBSTITUTE(IFERROR(INDEX(tblVeriA[FaturaNo],ROW()-ROW(tblVeriA[[#Headers]])),"")," ",""))))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UPPER(TRIM(SUBSTITUTE($I80,"-","")))</f>
        <v/>
      </c>
      <c r="K80" s="16">
        <f>IF($J80="",0,LEN($J80))</f>
        <v/>
      </c>
      <c r="L80" s="16">
        <f>IF($I80="","",UPPER(TRIM(SUBSTITUTE(IFERROR(INDEX(tblVeriB[FaturaNo],ROW()-ROW(tblVeriB[[#Headers]])),"")," ",""))))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UPPER(TRIM(SUBSTITUTE($A81,"-","")))</f>
        <v/>
      </c>
      <c r="C81" s="16">
        <f>IF($B81="",0,LEN($B81))</f>
        <v/>
      </c>
      <c r="D81" s="16">
        <f>IF($A81="","",UPPER(TRIM(SUBSTITUTE(IFERROR(INDEX(tblVeriA[FaturaNo],ROW()-ROW(tblVeriA[[#Headers]])),"")," ",""))))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UPPER(TRIM(SUBSTITUTE($I81,"-","")))</f>
        <v/>
      </c>
      <c r="K81" s="16">
        <f>IF($J81="",0,LEN($J81))</f>
        <v/>
      </c>
      <c r="L81" s="16">
        <f>IF($I81="","",UPPER(TRIM(SUBSTITUTE(IFERROR(INDEX(tblVeriB[FaturaNo],ROW()-ROW(tblVeriB[[#Headers]])),"")," ",""))))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UPPER(TRIM(SUBSTITUTE($A82,"-","")))</f>
        <v/>
      </c>
      <c r="C82" s="16">
        <f>IF($B82="",0,LEN($B82))</f>
        <v/>
      </c>
      <c r="D82" s="16">
        <f>IF($A82="","",UPPER(TRIM(SUBSTITUTE(IFERROR(INDEX(tblVeriA[FaturaNo],ROW()-ROW(tblVeriA[[#Headers]])),"")," ",""))))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UPPER(TRIM(SUBSTITUTE($I82,"-","")))</f>
        <v/>
      </c>
      <c r="K82" s="16">
        <f>IF($J82="",0,LEN($J82))</f>
        <v/>
      </c>
      <c r="L82" s="16">
        <f>IF($I82="","",UPPER(TRIM(SUBSTITUTE(IFERROR(INDEX(tblVeriB[FaturaNo],ROW()-ROW(tblVeriB[[#Headers]])),"")," ",""))))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UPPER(TRIM(SUBSTITUTE($A83,"-","")))</f>
        <v/>
      </c>
      <c r="C83" s="16">
        <f>IF($B83="",0,LEN($B83))</f>
        <v/>
      </c>
      <c r="D83" s="16">
        <f>IF($A83="","",UPPER(TRIM(SUBSTITUTE(IFERROR(INDEX(tblVeriA[FaturaNo],ROW()-ROW(tblVeriA[[#Headers]])),"")," ",""))))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UPPER(TRIM(SUBSTITUTE($I83,"-","")))</f>
        <v/>
      </c>
      <c r="K83" s="16">
        <f>IF($J83="",0,LEN($J83))</f>
        <v/>
      </c>
      <c r="L83" s="16">
        <f>IF($I83="","",UPPER(TRIM(SUBSTITUTE(IFERROR(INDEX(tblVeriB[FaturaNo],ROW()-ROW(tblVeriB[[#Headers]])),"")," ",""))))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UPPER(TRIM(SUBSTITUTE($A84,"-","")))</f>
        <v/>
      </c>
      <c r="C84" s="16">
        <f>IF($B84="",0,LEN($B84))</f>
        <v/>
      </c>
      <c r="D84" s="16">
        <f>IF($A84="","",UPPER(TRIM(SUBSTITUTE(IFERROR(INDEX(tblVeriA[FaturaNo],ROW()-ROW(tblVeriA[[#Headers]])),"")," ",""))))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UPPER(TRIM(SUBSTITUTE($I84,"-","")))</f>
        <v/>
      </c>
      <c r="K84" s="16">
        <f>IF($J84="",0,LEN($J84))</f>
        <v/>
      </c>
      <c r="L84" s="16">
        <f>IF($I84="","",UPPER(TRIM(SUBSTITUTE(IFERROR(INDEX(tblVeriB[FaturaNo],ROW()-ROW(tblVeriB[[#Headers]])),"")," ",""))))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UPPER(TRIM(SUBSTITUTE($A85,"-","")))</f>
        <v/>
      </c>
      <c r="C85" s="16">
        <f>IF($B85="",0,LEN($B85))</f>
        <v/>
      </c>
      <c r="D85" s="16">
        <f>IF($A85="","",UPPER(TRIM(SUBSTITUTE(IFERROR(INDEX(tblVeriA[FaturaNo],ROW()-ROW(tblVeriA[[#Headers]])),"")," ",""))))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UPPER(TRIM(SUBSTITUTE($I85,"-","")))</f>
        <v/>
      </c>
      <c r="K85" s="16">
        <f>IF($J85="",0,LEN($J85))</f>
        <v/>
      </c>
      <c r="L85" s="16">
        <f>IF($I85="","",UPPER(TRIM(SUBSTITUTE(IFERROR(INDEX(tblVeriB[FaturaNo],ROW()-ROW(tblVeriB[[#Headers]])),"")," ",""))))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UPPER(TRIM(SUBSTITUTE($A86,"-","")))</f>
        <v/>
      </c>
      <c r="C86" s="16">
        <f>IF($B86="",0,LEN($B86))</f>
        <v/>
      </c>
      <c r="D86" s="16">
        <f>IF($A86="","",UPPER(TRIM(SUBSTITUTE(IFERROR(INDEX(tblVeriA[FaturaNo],ROW()-ROW(tblVeriA[[#Headers]])),"")," ",""))))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UPPER(TRIM(SUBSTITUTE($I86,"-","")))</f>
        <v/>
      </c>
      <c r="K86" s="16">
        <f>IF($J86="",0,LEN($J86))</f>
        <v/>
      </c>
      <c r="L86" s="16">
        <f>IF($I86="","",UPPER(TRIM(SUBSTITUTE(IFERROR(INDEX(tblVeriB[FaturaNo],ROW()-ROW(tblVeriB[[#Headers]])),"")," ",""))))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UPPER(TRIM(SUBSTITUTE($A87,"-","")))</f>
        <v/>
      </c>
      <c r="C87" s="16">
        <f>IF($B87="",0,LEN($B87))</f>
        <v/>
      </c>
      <c r="D87" s="16">
        <f>IF($A87="","",UPPER(TRIM(SUBSTITUTE(IFERROR(INDEX(tblVeriA[FaturaNo],ROW()-ROW(tblVeriA[[#Headers]])),"")," ",""))))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UPPER(TRIM(SUBSTITUTE($I87,"-","")))</f>
        <v/>
      </c>
      <c r="K87" s="16">
        <f>IF($J87="",0,LEN($J87))</f>
        <v/>
      </c>
      <c r="L87" s="16">
        <f>IF($I87="","",UPPER(TRIM(SUBSTITUTE(IFERROR(INDEX(tblVeriB[FaturaNo],ROW()-ROW(tblVeriB[[#Headers]])),"")," ",""))))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UPPER(TRIM(SUBSTITUTE($A88,"-","")))</f>
        <v/>
      </c>
      <c r="C88" s="16">
        <f>IF($B88="",0,LEN($B88))</f>
        <v/>
      </c>
      <c r="D88" s="16">
        <f>IF($A88="","",UPPER(TRIM(SUBSTITUTE(IFERROR(INDEX(tblVeriA[FaturaNo],ROW()-ROW(tblVeriA[[#Headers]])),"")," ",""))))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UPPER(TRIM(SUBSTITUTE($I88,"-","")))</f>
        <v/>
      </c>
      <c r="K88" s="16">
        <f>IF($J88="",0,LEN($J88))</f>
        <v/>
      </c>
      <c r="L88" s="16">
        <f>IF($I88="","",UPPER(TRIM(SUBSTITUTE(IFERROR(INDEX(tblVeriB[FaturaNo],ROW()-ROW(tblVeriB[[#Headers]])),"")," ",""))))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UPPER(TRIM(SUBSTITUTE($A89,"-","")))</f>
        <v/>
      </c>
      <c r="C89" s="16">
        <f>IF($B89="",0,LEN($B89))</f>
        <v/>
      </c>
      <c r="D89" s="16">
        <f>IF($A89="","",UPPER(TRIM(SUBSTITUTE(IFERROR(INDEX(tblVeriA[FaturaNo],ROW()-ROW(tblVeriA[[#Headers]])),"")," ",""))))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UPPER(TRIM(SUBSTITUTE($I89,"-","")))</f>
        <v/>
      </c>
      <c r="K89" s="16">
        <f>IF($J89="",0,LEN($J89))</f>
        <v/>
      </c>
      <c r="L89" s="16">
        <f>IF($I89="","",UPPER(TRIM(SUBSTITUTE(IFERROR(INDEX(tblVeriB[FaturaNo],ROW()-ROW(tblVeriB[[#Headers]])),"")," ",""))))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UPPER(TRIM(SUBSTITUTE($A90,"-","")))</f>
        <v/>
      </c>
      <c r="C90" s="16">
        <f>IF($B90="",0,LEN($B90))</f>
        <v/>
      </c>
      <c r="D90" s="16">
        <f>IF($A90="","",UPPER(TRIM(SUBSTITUTE(IFERROR(INDEX(tblVeriA[FaturaNo],ROW()-ROW(tblVeriA[[#Headers]])),"")," ",""))))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UPPER(TRIM(SUBSTITUTE($I90,"-","")))</f>
        <v/>
      </c>
      <c r="K90" s="16">
        <f>IF($J90="",0,LEN($J90))</f>
        <v/>
      </c>
      <c r="L90" s="16">
        <f>IF($I90="","",UPPER(TRIM(SUBSTITUTE(IFERROR(INDEX(tblVeriB[FaturaNo],ROW()-ROW(tblVeriB[[#Headers]])),"")," ",""))))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UPPER(TRIM(SUBSTITUTE($A91,"-","")))</f>
        <v/>
      </c>
      <c r="C91" s="16">
        <f>IF($B91="",0,LEN($B91))</f>
        <v/>
      </c>
      <c r="D91" s="16">
        <f>IF($A91="","",UPPER(TRIM(SUBSTITUTE(IFERROR(INDEX(tblVeriA[FaturaNo],ROW()-ROW(tblVeriA[[#Headers]])),"")," ",""))))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UPPER(TRIM(SUBSTITUTE($I91,"-","")))</f>
        <v/>
      </c>
      <c r="K91" s="16">
        <f>IF($J91="",0,LEN($J91))</f>
        <v/>
      </c>
      <c r="L91" s="16">
        <f>IF($I91="","",UPPER(TRIM(SUBSTITUTE(IFERROR(INDEX(tblVeriB[FaturaNo],ROW()-ROW(tblVeriB[[#Headers]])),"")," ",""))))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UPPER(TRIM(SUBSTITUTE($A92,"-","")))</f>
        <v/>
      </c>
      <c r="C92" s="16">
        <f>IF($B92="",0,LEN($B92))</f>
        <v/>
      </c>
      <c r="D92" s="16">
        <f>IF($A92="","",UPPER(TRIM(SUBSTITUTE(IFERROR(INDEX(tblVeriA[FaturaNo],ROW()-ROW(tblVeriA[[#Headers]])),"")," ",""))))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UPPER(TRIM(SUBSTITUTE($I92,"-","")))</f>
        <v/>
      </c>
      <c r="K92" s="16">
        <f>IF($J92="",0,LEN($J92))</f>
        <v/>
      </c>
      <c r="L92" s="16">
        <f>IF($I92="","",UPPER(TRIM(SUBSTITUTE(IFERROR(INDEX(tblVeriB[FaturaNo],ROW()-ROW(tblVeriB[[#Headers]])),"")," ",""))))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UPPER(TRIM(SUBSTITUTE($A93,"-","")))</f>
        <v/>
      </c>
      <c r="C93" s="16">
        <f>IF($B93="",0,LEN($B93))</f>
        <v/>
      </c>
      <c r="D93" s="16">
        <f>IF($A93="","",UPPER(TRIM(SUBSTITUTE(IFERROR(INDEX(tblVeriA[FaturaNo],ROW()-ROW(tblVeriA[[#Headers]])),"")," ",""))))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UPPER(TRIM(SUBSTITUTE($I93,"-","")))</f>
        <v/>
      </c>
      <c r="K93" s="16">
        <f>IF($J93="",0,LEN($J93))</f>
        <v/>
      </c>
      <c r="L93" s="16">
        <f>IF($I93="","",UPPER(TRIM(SUBSTITUTE(IFERROR(INDEX(tblVeriB[FaturaNo],ROW()-ROW(tblVeriB[[#Headers]])),"")," ",""))))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UPPER(TRIM(SUBSTITUTE($A94,"-","")))</f>
        <v/>
      </c>
      <c r="C94" s="16">
        <f>IF($B94="",0,LEN($B94))</f>
        <v/>
      </c>
      <c r="D94" s="16">
        <f>IF($A94="","",UPPER(TRIM(SUBSTITUTE(IFERROR(INDEX(tblVeriA[FaturaNo],ROW()-ROW(tblVeriA[[#Headers]])),"")," ",""))))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UPPER(TRIM(SUBSTITUTE($I94,"-","")))</f>
        <v/>
      </c>
      <c r="K94" s="16">
        <f>IF($J94="",0,LEN($J94))</f>
        <v/>
      </c>
      <c r="L94" s="16">
        <f>IF($I94="","",UPPER(TRIM(SUBSTITUTE(IFERROR(INDEX(tblVeriB[FaturaNo],ROW()-ROW(tblVeriB[[#Headers]])),"")," ",""))))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UPPER(TRIM(SUBSTITUTE($A95,"-","")))</f>
        <v/>
      </c>
      <c r="C95" s="16">
        <f>IF($B95="",0,LEN($B95))</f>
        <v/>
      </c>
      <c r="D95" s="16">
        <f>IF($A95="","",UPPER(TRIM(SUBSTITUTE(IFERROR(INDEX(tblVeriA[FaturaNo],ROW()-ROW(tblVeriA[[#Headers]])),"")," ",""))))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UPPER(TRIM(SUBSTITUTE($I95,"-","")))</f>
        <v/>
      </c>
      <c r="K95" s="16">
        <f>IF($J95="",0,LEN($J95))</f>
        <v/>
      </c>
      <c r="L95" s="16">
        <f>IF($I95="","",UPPER(TRIM(SUBSTITUTE(IFERROR(INDEX(tblVeriB[FaturaNo],ROW()-ROW(tblVeriB[[#Headers]])),"")," ",""))))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UPPER(TRIM(SUBSTITUTE($A96,"-","")))</f>
        <v/>
      </c>
      <c r="C96" s="16">
        <f>IF($B96="",0,LEN($B96))</f>
        <v/>
      </c>
      <c r="D96" s="16">
        <f>IF($A96="","",UPPER(TRIM(SUBSTITUTE(IFERROR(INDEX(tblVeriA[FaturaNo],ROW()-ROW(tblVeriA[[#Headers]])),"")," ",""))))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UPPER(TRIM(SUBSTITUTE($I96,"-","")))</f>
        <v/>
      </c>
      <c r="K96" s="16">
        <f>IF($J96="",0,LEN($J96))</f>
        <v/>
      </c>
      <c r="L96" s="16">
        <f>IF($I96="","",UPPER(TRIM(SUBSTITUTE(IFERROR(INDEX(tblVeriB[FaturaNo],ROW()-ROW(tblVeriB[[#Headers]])),"")," ",""))))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UPPER(TRIM(SUBSTITUTE($A97,"-","")))</f>
        <v/>
      </c>
      <c r="C97" s="16">
        <f>IF($B97="",0,LEN($B97))</f>
        <v/>
      </c>
      <c r="D97" s="16">
        <f>IF($A97="","",UPPER(TRIM(SUBSTITUTE(IFERROR(INDEX(tblVeriA[FaturaNo],ROW()-ROW(tblVeriA[[#Headers]])),"")," ",""))))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UPPER(TRIM(SUBSTITUTE($I97,"-","")))</f>
        <v/>
      </c>
      <c r="K97" s="16">
        <f>IF($J97="",0,LEN($J97))</f>
        <v/>
      </c>
      <c r="L97" s="16">
        <f>IF($I97="","",UPPER(TRIM(SUBSTITUTE(IFERROR(INDEX(tblVeriB[FaturaNo],ROW()-ROW(tblVeriB[[#Headers]])),"")," ",""))))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UPPER(TRIM(SUBSTITUTE($A98,"-","")))</f>
        <v/>
      </c>
      <c r="C98" s="16">
        <f>IF($B98="",0,LEN($B98))</f>
        <v/>
      </c>
      <c r="D98" s="16">
        <f>IF($A98="","",UPPER(TRIM(SUBSTITUTE(IFERROR(INDEX(tblVeriA[FaturaNo],ROW()-ROW(tblVeriA[[#Headers]])),"")," ",""))))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UPPER(TRIM(SUBSTITUTE($I98,"-","")))</f>
        <v/>
      </c>
      <c r="K98" s="16">
        <f>IF($J98="",0,LEN($J98))</f>
        <v/>
      </c>
      <c r="L98" s="16">
        <f>IF($I98="","",UPPER(TRIM(SUBSTITUTE(IFERROR(INDEX(tblVeriB[FaturaNo],ROW()-ROW(tblVeriB[[#Headers]])),"")," ",""))))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UPPER(TRIM(SUBSTITUTE($A99,"-","")))</f>
        <v/>
      </c>
      <c r="C99" s="16">
        <f>IF($B99="",0,LEN($B99))</f>
        <v/>
      </c>
      <c r="D99" s="16">
        <f>IF($A99="","",UPPER(TRIM(SUBSTITUTE(IFERROR(INDEX(tblVeriA[FaturaNo],ROW()-ROW(tblVeriA[[#Headers]])),"")," ",""))))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UPPER(TRIM(SUBSTITUTE($I99,"-","")))</f>
        <v/>
      </c>
      <c r="K99" s="16">
        <f>IF($J99="",0,LEN($J99))</f>
        <v/>
      </c>
      <c r="L99" s="16">
        <f>IF($I99="","",UPPER(TRIM(SUBSTITUTE(IFERROR(INDEX(tblVeriB[FaturaNo],ROW()-ROW(tblVeriB[[#Headers]])),"")," ",""))))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UPPER(TRIM(SUBSTITUTE($A100,"-","")))</f>
        <v/>
      </c>
      <c r="C100" s="16">
        <f>IF($B100="",0,LEN($B100))</f>
        <v/>
      </c>
      <c r="D100" s="16">
        <f>IF($A100="","",UPPER(TRIM(SUBSTITUTE(IFERROR(INDEX(tblVeriA[FaturaNo],ROW()-ROW(tblVeriA[[#Headers]])),"")," ",""))))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UPPER(TRIM(SUBSTITUTE($I100,"-","")))</f>
        <v/>
      </c>
      <c r="K100" s="16">
        <f>IF($J100="",0,LEN($J100))</f>
        <v/>
      </c>
      <c r="L100" s="16">
        <f>IF($I100="","",UPPER(TRIM(SUBSTITUTE(IFERROR(INDEX(tblVeriB[FaturaNo],ROW()-ROW(tblVeriB[[#Headers]])),"")," ",""))))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UPPER(TRIM(SUBSTITUTE($A101,"-","")))</f>
        <v/>
      </c>
      <c r="C101" s="16">
        <f>IF($B101="",0,LEN($B101))</f>
        <v/>
      </c>
      <c r="D101" s="16">
        <f>IF($A101="","",UPPER(TRIM(SUBSTITUTE(IFERROR(INDEX(tblVeriA[FaturaNo],ROW()-ROW(tblVeriA[[#Headers]])),"")," ",""))))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UPPER(TRIM(SUBSTITUTE($I101,"-","")))</f>
        <v/>
      </c>
      <c r="K101" s="16">
        <f>IF($J101="",0,LEN($J101))</f>
        <v/>
      </c>
      <c r="L101" s="16">
        <f>IF($I101="","",UPPER(TRIM(SUBSTITUTE(IFERROR(INDEX(tblVeriB[FaturaNo],ROW()-ROW(tblVeriB[[#Headers]])),"")," ",""))))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UPPER(TRIM(SUBSTITUTE($A102,"-","")))</f>
        <v/>
      </c>
      <c r="C102" s="16">
        <f>IF($B102="",0,LEN($B102))</f>
        <v/>
      </c>
      <c r="D102" s="16">
        <f>IF($A102="","",UPPER(TRIM(SUBSTITUTE(IFERROR(INDEX(tblVeriA[FaturaNo],ROW()-ROW(tblVeriA[[#Headers]])),"")," ",""))))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UPPER(TRIM(SUBSTITUTE($I102,"-","")))</f>
        <v/>
      </c>
      <c r="K102" s="16">
        <f>IF($J102="",0,LEN($J102))</f>
        <v/>
      </c>
      <c r="L102" s="16">
        <f>IF($I102="","",UPPER(TRIM(SUBSTITUTE(IFERROR(INDEX(tblVeriB[FaturaNo],ROW()-ROW(tblVeriB[[#Headers]])),"")," ",""))))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UPPER(TRIM(SUBSTITUTE($A103,"-","")))</f>
        <v/>
      </c>
      <c r="C103" s="16">
        <f>IF($B103="",0,LEN($B103))</f>
        <v/>
      </c>
      <c r="D103" s="16">
        <f>IF($A103="","",UPPER(TRIM(SUBSTITUTE(IFERROR(INDEX(tblVeriA[FaturaNo],ROW()-ROW(tblVeriA[[#Headers]])),"")," ",""))))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UPPER(TRIM(SUBSTITUTE($I103,"-","")))</f>
        <v/>
      </c>
      <c r="K103" s="16">
        <f>IF($J103="",0,LEN($J103))</f>
        <v/>
      </c>
      <c r="L103" s="16">
        <f>IF($I103="","",UPPER(TRIM(SUBSTITUTE(IFERROR(INDEX(tblVeriB[FaturaNo],ROW()-ROW(tblVeriB[[#Headers]])),"")," ",""))))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UPPER(TRIM(SUBSTITUTE($A104,"-","")))</f>
        <v/>
      </c>
      <c r="C104" s="16">
        <f>IF($B104="",0,LEN($B104))</f>
        <v/>
      </c>
      <c r="D104" s="16">
        <f>IF($A104="","",UPPER(TRIM(SUBSTITUTE(IFERROR(INDEX(tblVeriA[FaturaNo],ROW()-ROW(tblVeriA[[#Headers]])),"")," ",""))))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UPPER(TRIM(SUBSTITUTE($I104,"-","")))</f>
        <v/>
      </c>
      <c r="K104" s="16">
        <f>IF($J104="",0,LEN($J104))</f>
        <v/>
      </c>
      <c r="L104" s="16">
        <f>IF($I104="","",UPPER(TRIM(SUBSTITUTE(IFERROR(INDEX(tblVeriB[FaturaNo],ROW()-ROW(tblVeriB[[#Headers]])),"")," ",""))))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UPPER(TRIM(SUBSTITUTE($A105,"-","")))</f>
        <v/>
      </c>
      <c r="C105" s="16">
        <f>IF($B105="",0,LEN($B105))</f>
        <v/>
      </c>
      <c r="D105" s="16">
        <f>IF($A105="","",UPPER(TRIM(SUBSTITUTE(IFERROR(INDEX(tblVeriA[FaturaNo],ROW()-ROW(tblVeriA[[#Headers]])),"")," ",""))))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UPPER(TRIM(SUBSTITUTE($I105,"-","")))</f>
        <v/>
      </c>
      <c r="K105" s="16">
        <f>IF($J105="",0,LEN($J105))</f>
        <v/>
      </c>
      <c r="L105" s="16">
        <f>IF($I105="","",UPPER(TRIM(SUBSTITUTE(IFERROR(INDEX(tblVeriB[FaturaNo],ROW()-ROW(tblVeriB[[#Headers]])),"")," ",""))))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UPPER(TRIM(SUBSTITUTE($A106,"-","")))</f>
        <v/>
      </c>
      <c r="C106" s="16">
        <f>IF($B106="",0,LEN($B106))</f>
        <v/>
      </c>
      <c r="D106" s="16">
        <f>IF($A106="","",UPPER(TRIM(SUBSTITUTE(IFERROR(INDEX(tblVeriA[FaturaNo],ROW()-ROW(tblVeriA[[#Headers]])),"")," ",""))))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UPPER(TRIM(SUBSTITUTE($I106,"-","")))</f>
        <v/>
      </c>
      <c r="K106" s="16">
        <f>IF($J106="",0,LEN($J106))</f>
        <v/>
      </c>
      <c r="L106" s="16">
        <f>IF($I106="","",UPPER(TRIM(SUBSTITUTE(IFERROR(INDEX(tblVeriB[FaturaNo],ROW()-ROW(tblVeriB[[#Headers]])),"")," ",""))))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UPPER(TRIM(SUBSTITUTE($A107,"-","")))</f>
        <v/>
      </c>
      <c r="C107" s="16">
        <f>IF($B107="",0,LEN($B107))</f>
        <v/>
      </c>
      <c r="D107" s="16">
        <f>IF($A107="","",UPPER(TRIM(SUBSTITUTE(IFERROR(INDEX(tblVeriA[FaturaNo],ROW()-ROW(tblVeriA[[#Headers]])),"")," ",""))))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UPPER(TRIM(SUBSTITUTE($I107,"-","")))</f>
        <v/>
      </c>
      <c r="K107" s="16">
        <f>IF($J107="",0,LEN($J107))</f>
        <v/>
      </c>
      <c r="L107" s="16">
        <f>IF($I107="","",UPPER(TRIM(SUBSTITUTE(IFERROR(INDEX(tblVeriB[FaturaNo],ROW()-ROW(tblVeriB[[#Headers]])),"")," ",""))))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UPPER(TRIM(SUBSTITUTE($A108,"-","")))</f>
        <v/>
      </c>
      <c r="C108" s="16">
        <f>IF($B108="",0,LEN($B108))</f>
        <v/>
      </c>
      <c r="D108" s="16">
        <f>IF($A108="","",UPPER(TRIM(SUBSTITUTE(IFERROR(INDEX(tblVeriA[FaturaNo],ROW()-ROW(tblVeriA[[#Headers]])),"")," ",""))))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UPPER(TRIM(SUBSTITUTE($I108,"-","")))</f>
        <v/>
      </c>
      <c r="K108" s="16">
        <f>IF($J108="",0,LEN($J108))</f>
        <v/>
      </c>
      <c r="L108" s="16">
        <f>IF($I108="","",UPPER(TRIM(SUBSTITUTE(IFERROR(INDEX(tblVeriB[FaturaNo],ROW()-ROW(tblVeriB[[#Headers]])),"")," ",""))))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UPPER(TRIM(SUBSTITUTE($A109,"-","")))</f>
        <v/>
      </c>
      <c r="C109" s="16">
        <f>IF($B109="",0,LEN($B109))</f>
        <v/>
      </c>
      <c r="D109" s="16">
        <f>IF($A109="","",UPPER(TRIM(SUBSTITUTE(IFERROR(INDEX(tblVeriA[FaturaNo],ROW()-ROW(tblVeriA[[#Headers]])),"")," ",""))))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UPPER(TRIM(SUBSTITUTE($I109,"-","")))</f>
        <v/>
      </c>
      <c r="K109" s="16">
        <f>IF($J109="",0,LEN($J109))</f>
        <v/>
      </c>
      <c r="L109" s="16">
        <f>IF($I109="","",UPPER(TRIM(SUBSTITUTE(IFERROR(INDEX(tblVeriB[FaturaNo],ROW()-ROW(tblVeriB[[#Headers]])),"")," ",""))))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UPPER(TRIM(SUBSTITUTE($A110,"-","")))</f>
        <v/>
      </c>
      <c r="C110" s="16">
        <f>IF($B110="",0,LEN($B110))</f>
        <v/>
      </c>
      <c r="D110" s="16">
        <f>IF($A110="","",UPPER(TRIM(SUBSTITUTE(IFERROR(INDEX(tblVeriA[FaturaNo],ROW()-ROW(tblVeriA[[#Headers]])),"")," ",""))))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UPPER(TRIM(SUBSTITUTE($I110,"-","")))</f>
        <v/>
      </c>
      <c r="K110" s="16">
        <f>IF($J110="",0,LEN($J110))</f>
        <v/>
      </c>
      <c r="L110" s="16">
        <f>IF($I110="","",UPPER(TRIM(SUBSTITUTE(IFERROR(INDEX(tblVeriB[FaturaNo],ROW()-ROW(tblVeriB[[#Headers]])),"")," ",""))))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UPPER(TRIM(SUBSTITUTE($A111,"-","")))</f>
        <v/>
      </c>
      <c r="C111" s="16">
        <f>IF($B111="",0,LEN($B111))</f>
        <v/>
      </c>
      <c r="D111" s="16">
        <f>IF($A111="","",UPPER(TRIM(SUBSTITUTE(IFERROR(INDEX(tblVeriA[FaturaNo],ROW()-ROW(tblVeriA[[#Headers]])),"")," ",""))))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UPPER(TRIM(SUBSTITUTE($I111,"-","")))</f>
        <v/>
      </c>
      <c r="K111" s="16">
        <f>IF($J111="",0,LEN($J111))</f>
        <v/>
      </c>
      <c r="L111" s="16">
        <f>IF($I111="","",UPPER(TRIM(SUBSTITUTE(IFERROR(INDEX(tblVeriB[FaturaNo],ROW()-ROW(tblVeriB[[#Headers]])),"")," ",""))))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UPPER(TRIM(SUBSTITUTE($A112,"-","")))</f>
        <v/>
      </c>
      <c r="C112" s="16">
        <f>IF($B112="",0,LEN($B112))</f>
        <v/>
      </c>
      <c r="D112" s="16">
        <f>IF($A112="","",UPPER(TRIM(SUBSTITUTE(IFERROR(INDEX(tblVeriA[FaturaNo],ROW()-ROW(tblVeriA[[#Headers]])),"")," ",""))))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UPPER(TRIM(SUBSTITUTE($I112,"-","")))</f>
        <v/>
      </c>
      <c r="K112" s="16">
        <f>IF($J112="",0,LEN($J112))</f>
        <v/>
      </c>
      <c r="L112" s="16">
        <f>IF($I112="","",UPPER(TRIM(SUBSTITUTE(IFERROR(INDEX(tblVeriB[FaturaNo],ROW()-ROW(tblVeriB[[#Headers]])),"")," ",""))))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UPPER(TRIM(SUBSTITUTE($A113,"-","")))</f>
        <v/>
      </c>
      <c r="C113" s="16">
        <f>IF($B113="",0,LEN($B113))</f>
        <v/>
      </c>
      <c r="D113" s="16">
        <f>IF($A113="","",UPPER(TRIM(SUBSTITUTE(IFERROR(INDEX(tblVeriA[FaturaNo],ROW()-ROW(tblVeriA[[#Headers]])),"")," ",""))))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UPPER(TRIM(SUBSTITUTE($I113,"-","")))</f>
        <v/>
      </c>
      <c r="K113" s="16">
        <f>IF($J113="",0,LEN($J113))</f>
        <v/>
      </c>
      <c r="L113" s="16">
        <f>IF($I113="","",UPPER(TRIM(SUBSTITUTE(IFERROR(INDEX(tblVeriB[FaturaNo],ROW()-ROW(tblVeriB[[#Headers]])),"")," ",""))))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UPPER(TRIM(SUBSTITUTE($A114,"-","")))</f>
        <v/>
      </c>
      <c r="C114" s="16">
        <f>IF($B114="",0,LEN($B114))</f>
        <v/>
      </c>
      <c r="D114" s="16">
        <f>IF($A114="","",UPPER(TRIM(SUBSTITUTE(IFERROR(INDEX(tblVeriA[FaturaNo],ROW()-ROW(tblVeriA[[#Headers]])),"")," ",""))))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UPPER(TRIM(SUBSTITUTE($I114,"-","")))</f>
        <v/>
      </c>
      <c r="K114" s="16">
        <f>IF($J114="",0,LEN($J114))</f>
        <v/>
      </c>
      <c r="L114" s="16">
        <f>IF($I114="","",UPPER(TRIM(SUBSTITUTE(IFERROR(INDEX(tblVeriB[FaturaNo],ROW()-ROW(tblVeriB[[#Headers]])),"")," ",""))))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UPPER(TRIM(SUBSTITUTE($A115,"-","")))</f>
        <v/>
      </c>
      <c r="C115" s="16">
        <f>IF($B115="",0,LEN($B115))</f>
        <v/>
      </c>
      <c r="D115" s="16">
        <f>IF($A115="","",UPPER(TRIM(SUBSTITUTE(IFERROR(INDEX(tblVeriA[FaturaNo],ROW()-ROW(tblVeriA[[#Headers]])),"")," ",""))))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UPPER(TRIM(SUBSTITUTE($I115,"-","")))</f>
        <v/>
      </c>
      <c r="K115" s="16">
        <f>IF($J115="",0,LEN($J115))</f>
        <v/>
      </c>
      <c r="L115" s="16">
        <f>IF($I115="","",UPPER(TRIM(SUBSTITUTE(IFERROR(INDEX(tblVeriB[FaturaNo],ROW()-ROW(tblVeriB[[#Headers]])),"")," ",""))))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UPPER(TRIM(SUBSTITUTE($A116,"-","")))</f>
        <v/>
      </c>
      <c r="C116" s="16">
        <f>IF($B116="",0,LEN($B116))</f>
        <v/>
      </c>
      <c r="D116" s="16">
        <f>IF($A116="","",UPPER(TRIM(SUBSTITUTE(IFERROR(INDEX(tblVeriA[FaturaNo],ROW()-ROW(tblVeriA[[#Headers]])),"")," ",""))))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UPPER(TRIM(SUBSTITUTE($I116,"-","")))</f>
        <v/>
      </c>
      <c r="K116" s="16">
        <f>IF($J116="",0,LEN($J116))</f>
        <v/>
      </c>
      <c r="L116" s="16">
        <f>IF($I116="","",UPPER(TRIM(SUBSTITUTE(IFERROR(INDEX(tblVeriB[FaturaNo],ROW()-ROW(tblVeriB[[#Headers]])),"")," ",""))))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UPPER(TRIM(SUBSTITUTE($A117,"-","")))</f>
        <v/>
      </c>
      <c r="C117" s="16">
        <f>IF($B117="",0,LEN($B117))</f>
        <v/>
      </c>
      <c r="D117" s="16">
        <f>IF($A117="","",UPPER(TRIM(SUBSTITUTE(IFERROR(INDEX(tblVeriA[FaturaNo],ROW()-ROW(tblVeriA[[#Headers]])),"")," ",""))))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UPPER(TRIM(SUBSTITUTE($I117,"-","")))</f>
        <v/>
      </c>
      <c r="K117" s="16">
        <f>IF($J117="",0,LEN($J117))</f>
        <v/>
      </c>
      <c r="L117" s="16">
        <f>IF($I117="","",UPPER(TRIM(SUBSTITUTE(IFERROR(INDEX(tblVeriB[FaturaNo],ROW()-ROW(tblVeriB[[#Headers]])),"")," ",""))))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UPPER(TRIM(SUBSTITUTE($A118,"-","")))</f>
        <v/>
      </c>
      <c r="C118" s="16">
        <f>IF($B118="",0,LEN($B118))</f>
        <v/>
      </c>
      <c r="D118" s="16">
        <f>IF($A118="","",UPPER(TRIM(SUBSTITUTE(IFERROR(INDEX(tblVeriA[FaturaNo],ROW()-ROW(tblVeriA[[#Headers]])),"")," ",""))))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UPPER(TRIM(SUBSTITUTE($I118,"-","")))</f>
        <v/>
      </c>
      <c r="K118" s="16">
        <f>IF($J118="",0,LEN($J118))</f>
        <v/>
      </c>
      <c r="L118" s="16">
        <f>IF($I118="","",UPPER(TRIM(SUBSTITUTE(IFERROR(INDEX(tblVeriB[FaturaNo],ROW()-ROW(tblVeriB[[#Headers]])),"")," ",""))))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UPPER(TRIM(SUBSTITUTE($A119,"-","")))</f>
        <v/>
      </c>
      <c r="C119" s="16">
        <f>IF($B119="",0,LEN($B119))</f>
        <v/>
      </c>
      <c r="D119" s="16">
        <f>IF($A119="","",UPPER(TRIM(SUBSTITUTE(IFERROR(INDEX(tblVeriA[FaturaNo],ROW()-ROW(tblVeriA[[#Headers]])),"")," ",""))))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UPPER(TRIM(SUBSTITUTE($I119,"-","")))</f>
        <v/>
      </c>
      <c r="K119" s="16">
        <f>IF($J119="",0,LEN($J119))</f>
        <v/>
      </c>
      <c r="L119" s="16">
        <f>IF($I119="","",UPPER(TRIM(SUBSTITUTE(IFERROR(INDEX(tblVeriB[FaturaNo],ROW()-ROW(tblVeriB[[#Headers]])),"")," ",""))))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UPPER(TRIM(SUBSTITUTE($A120,"-","")))</f>
        <v/>
      </c>
      <c r="C120" s="16">
        <f>IF($B120="",0,LEN($B120))</f>
        <v/>
      </c>
      <c r="D120" s="16">
        <f>IF($A120="","",UPPER(TRIM(SUBSTITUTE(IFERROR(INDEX(tblVeriA[FaturaNo],ROW()-ROW(tblVeriA[[#Headers]])),"")," ",""))))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UPPER(TRIM(SUBSTITUTE($I120,"-","")))</f>
        <v/>
      </c>
      <c r="K120" s="16">
        <f>IF($J120="",0,LEN($J120))</f>
        <v/>
      </c>
      <c r="L120" s="16">
        <f>IF($I120="","",UPPER(TRIM(SUBSTITUTE(IFERROR(INDEX(tblVeriB[FaturaNo],ROW()-ROW(tblVeriB[[#Headers]])),"")," ",""))))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UPPER(TRIM(SUBSTITUTE($A121,"-","")))</f>
        <v/>
      </c>
      <c r="C121" s="16">
        <f>IF($B121="",0,LEN($B121))</f>
        <v/>
      </c>
      <c r="D121" s="16">
        <f>IF($A121="","",UPPER(TRIM(SUBSTITUTE(IFERROR(INDEX(tblVeriA[FaturaNo],ROW()-ROW(tblVeriA[[#Headers]])),"")," ",""))))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UPPER(TRIM(SUBSTITUTE($I121,"-","")))</f>
        <v/>
      </c>
      <c r="K121" s="16">
        <f>IF($J121="",0,LEN($J121))</f>
        <v/>
      </c>
      <c r="L121" s="16">
        <f>IF($I121="","",UPPER(TRIM(SUBSTITUTE(IFERROR(INDEX(tblVeriB[FaturaNo],ROW()-ROW(tblVeriB[[#Headers]])),"")," ",""))))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UPPER(TRIM(SUBSTITUTE($A122,"-","")))</f>
        <v/>
      </c>
      <c r="C122" s="16">
        <f>IF($B122="",0,LEN($B122))</f>
        <v/>
      </c>
      <c r="D122" s="16">
        <f>IF($A122="","",UPPER(TRIM(SUBSTITUTE(IFERROR(INDEX(tblVeriA[FaturaNo],ROW()-ROW(tblVeriA[[#Headers]])),"")," ",""))))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UPPER(TRIM(SUBSTITUTE($I122,"-","")))</f>
        <v/>
      </c>
      <c r="K122" s="16">
        <f>IF($J122="",0,LEN($J122))</f>
        <v/>
      </c>
      <c r="L122" s="16">
        <f>IF($I122="","",UPPER(TRIM(SUBSTITUTE(IFERROR(INDEX(tblVeriB[FaturaNo],ROW()-ROW(tblVeriB[[#Headers]])),"")," ",""))))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UPPER(TRIM(SUBSTITUTE($A123,"-","")))</f>
        <v/>
      </c>
      <c r="C123" s="16">
        <f>IF($B123="",0,LEN($B123))</f>
        <v/>
      </c>
      <c r="D123" s="16">
        <f>IF($A123="","",UPPER(TRIM(SUBSTITUTE(IFERROR(INDEX(tblVeriA[FaturaNo],ROW()-ROW(tblVeriA[[#Headers]])),"")," ",""))))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UPPER(TRIM(SUBSTITUTE($I123,"-","")))</f>
        <v/>
      </c>
      <c r="K123" s="16">
        <f>IF($J123="",0,LEN($J123))</f>
        <v/>
      </c>
      <c r="L123" s="16">
        <f>IF($I123="","",UPPER(TRIM(SUBSTITUTE(IFERROR(INDEX(tblVeriB[FaturaNo],ROW()-ROW(tblVeriB[[#Headers]])),"")," ",""))))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UPPER(TRIM(SUBSTITUTE($A124,"-","")))</f>
        <v/>
      </c>
      <c r="C124" s="16">
        <f>IF($B124="",0,LEN($B124))</f>
        <v/>
      </c>
      <c r="D124" s="16">
        <f>IF($A124="","",UPPER(TRIM(SUBSTITUTE(IFERROR(INDEX(tblVeriA[FaturaNo],ROW()-ROW(tblVeriA[[#Headers]])),"")," ",""))))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UPPER(TRIM(SUBSTITUTE($I124,"-","")))</f>
        <v/>
      </c>
      <c r="K124" s="16">
        <f>IF($J124="",0,LEN($J124))</f>
        <v/>
      </c>
      <c r="L124" s="16">
        <f>IF($I124="","",UPPER(TRIM(SUBSTITUTE(IFERROR(INDEX(tblVeriB[FaturaNo],ROW()-ROW(tblVeriB[[#Headers]])),"")," ",""))))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UPPER(TRIM(SUBSTITUTE($A125,"-","")))</f>
        <v/>
      </c>
      <c r="C125" s="16">
        <f>IF($B125="",0,LEN($B125))</f>
        <v/>
      </c>
      <c r="D125" s="16">
        <f>IF($A125="","",UPPER(TRIM(SUBSTITUTE(IFERROR(INDEX(tblVeriA[FaturaNo],ROW()-ROW(tblVeriA[[#Headers]])),"")," ",""))))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UPPER(TRIM(SUBSTITUTE($I125,"-","")))</f>
        <v/>
      </c>
      <c r="K125" s="16">
        <f>IF($J125="",0,LEN($J125))</f>
        <v/>
      </c>
      <c r="L125" s="16">
        <f>IF($I125="","",UPPER(TRIM(SUBSTITUTE(IFERROR(INDEX(tblVeriB[FaturaNo],ROW()-ROW(tblVeriB[[#Headers]])),"")," ",""))))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UPPER(TRIM(SUBSTITUTE($A126,"-","")))</f>
        <v/>
      </c>
      <c r="C126" s="16">
        <f>IF($B126="",0,LEN($B126))</f>
        <v/>
      </c>
      <c r="D126" s="16">
        <f>IF($A126="","",UPPER(TRIM(SUBSTITUTE(IFERROR(INDEX(tblVeriA[FaturaNo],ROW()-ROW(tblVeriA[[#Headers]])),"")," ",""))))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UPPER(TRIM(SUBSTITUTE($I126,"-","")))</f>
        <v/>
      </c>
      <c r="K126" s="16">
        <f>IF($J126="",0,LEN($J126))</f>
        <v/>
      </c>
      <c r="L126" s="16">
        <f>IF($I126="","",UPPER(TRIM(SUBSTITUTE(IFERROR(INDEX(tblVeriB[FaturaNo],ROW()-ROW(tblVeriB[[#Headers]])),"")," ",""))))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UPPER(TRIM(SUBSTITUTE($A127,"-","")))</f>
        <v/>
      </c>
      <c r="C127" s="16">
        <f>IF($B127="",0,LEN($B127))</f>
        <v/>
      </c>
      <c r="D127" s="16">
        <f>IF($A127="","",UPPER(TRIM(SUBSTITUTE(IFERROR(INDEX(tblVeriA[FaturaNo],ROW()-ROW(tblVeriA[[#Headers]])),"")," ",""))))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UPPER(TRIM(SUBSTITUTE($I127,"-","")))</f>
        <v/>
      </c>
      <c r="K127" s="16">
        <f>IF($J127="",0,LEN($J127))</f>
        <v/>
      </c>
      <c r="L127" s="16">
        <f>IF($I127="","",UPPER(TRIM(SUBSTITUTE(IFERROR(INDEX(tblVeriB[FaturaNo],ROW()-ROW(tblVeriB[[#Headers]])),"")," ",""))))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UPPER(TRIM(SUBSTITUTE($A128,"-","")))</f>
        <v/>
      </c>
      <c r="C128" s="16">
        <f>IF($B128="",0,LEN($B128))</f>
        <v/>
      </c>
      <c r="D128" s="16">
        <f>IF($A128="","",UPPER(TRIM(SUBSTITUTE(IFERROR(INDEX(tblVeriA[FaturaNo],ROW()-ROW(tblVeriA[[#Headers]])),"")," ",""))))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UPPER(TRIM(SUBSTITUTE($I128,"-","")))</f>
        <v/>
      </c>
      <c r="K128" s="16">
        <f>IF($J128="",0,LEN($J128))</f>
        <v/>
      </c>
      <c r="L128" s="16">
        <f>IF($I128="","",UPPER(TRIM(SUBSTITUTE(IFERROR(INDEX(tblVeriB[FaturaNo],ROW()-ROW(tblVeriB[[#Headers]])),"")," ",""))))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UPPER(TRIM(SUBSTITUTE($A129,"-","")))</f>
        <v/>
      </c>
      <c r="C129" s="16">
        <f>IF($B129="",0,LEN($B129))</f>
        <v/>
      </c>
      <c r="D129" s="16">
        <f>IF($A129="","",UPPER(TRIM(SUBSTITUTE(IFERROR(INDEX(tblVeriA[FaturaNo],ROW()-ROW(tblVeriA[[#Headers]])),"")," ",""))))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UPPER(TRIM(SUBSTITUTE($I129,"-","")))</f>
        <v/>
      </c>
      <c r="K129" s="16">
        <f>IF($J129="",0,LEN($J129))</f>
        <v/>
      </c>
      <c r="L129" s="16">
        <f>IF($I129="","",UPPER(TRIM(SUBSTITUTE(IFERROR(INDEX(tblVeriB[FaturaNo],ROW()-ROW(tblVeriB[[#Headers]])),"")," ",""))))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UPPER(TRIM(SUBSTITUTE($A130,"-","")))</f>
        <v/>
      </c>
      <c r="C130" s="16">
        <f>IF($B130="",0,LEN($B130))</f>
        <v/>
      </c>
      <c r="D130" s="16">
        <f>IF($A130="","",UPPER(TRIM(SUBSTITUTE(IFERROR(INDEX(tblVeriA[FaturaNo],ROW()-ROW(tblVeriA[[#Headers]])),"")," ",""))))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UPPER(TRIM(SUBSTITUTE($I130,"-","")))</f>
        <v/>
      </c>
      <c r="K130" s="16">
        <f>IF($J130="",0,LEN($J130))</f>
        <v/>
      </c>
      <c r="L130" s="16">
        <f>IF($I130="","",UPPER(TRIM(SUBSTITUTE(IFERROR(INDEX(tblVeriB[FaturaNo],ROW()-ROW(tblVeriB[[#Headers]])),"")," ",""))))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UPPER(TRIM(SUBSTITUTE($A131,"-","")))</f>
        <v/>
      </c>
      <c r="C131" s="16">
        <f>IF($B131="",0,LEN($B131))</f>
        <v/>
      </c>
      <c r="D131" s="16">
        <f>IF($A131="","",UPPER(TRIM(SUBSTITUTE(IFERROR(INDEX(tblVeriA[FaturaNo],ROW()-ROW(tblVeriA[[#Headers]])),"")," ",""))))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UPPER(TRIM(SUBSTITUTE($I131,"-","")))</f>
        <v/>
      </c>
      <c r="K131" s="16">
        <f>IF($J131="",0,LEN($J131))</f>
        <v/>
      </c>
      <c r="L131" s="16">
        <f>IF($I131="","",UPPER(TRIM(SUBSTITUTE(IFERROR(INDEX(tblVeriB[FaturaNo],ROW()-ROW(tblVeriB[[#Headers]])),"")," ",""))))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UPPER(TRIM(SUBSTITUTE($A132,"-","")))</f>
        <v/>
      </c>
      <c r="C132" s="16">
        <f>IF($B132="",0,LEN($B132))</f>
        <v/>
      </c>
      <c r="D132" s="16">
        <f>IF($A132="","",UPPER(TRIM(SUBSTITUTE(IFERROR(INDEX(tblVeriA[FaturaNo],ROW()-ROW(tblVeriA[[#Headers]])),"")," ",""))))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UPPER(TRIM(SUBSTITUTE($I132,"-","")))</f>
        <v/>
      </c>
      <c r="K132" s="16">
        <f>IF($J132="",0,LEN($J132))</f>
        <v/>
      </c>
      <c r="L132" s="16">
        <f>IF($I132="","",UPPER(TRIM(SUBSTITUTE(IFERROR(INDEX(tblVeriB[FaturaNo],ROW()-ROW(tblVeriB[[#Headers]])),"")," ",""))))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UPPER(TRIM(SUBSTITUTE($A133,"-","")))</f>
        <v/>
      </c>
      <c r="C133" s="16">
        <f>IF($B133="",0,LEN($B133))</f>
        <v/>
      </c>
      <c r="D133" s="16">
        <f>IF($A133="","",UPPER(TRIM(SUBSTITUTE(IFERROR(INDEX(tblVeriA[FaturaNo],ROW()-ROW(tblVeriA[[#Headers]])),"")," ",""))))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UPPER(TRIM(SUBSTITUTE($I133,"-","")))</f>
        <v/>
      </c>
      <c r="K133" s="16">
        <f>IF($J133="",0,LEN($J133))</f>
        <v/>
      </c>
      <c r="L133" s="16">
        <f>IF($I133="","",UPPER(TRIM(SUBSTITUTE(IFERROR(INDEX(tblVeriB[FaturaNo],ROW()-ROW(tblVeriB[[#Headers]])),"")," ",""))))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UPPER(TRIM(SUBSTITUTE($A134,"-","")))</f>
        <v/>
      </c>
      <c r="C134" s="16">
        <f>IF($B134="",0,LEN($B134))</f>
        <v/>
      </c>
      <c r="D134" s="16">
        <f>IF($A134="","",UPPER(TRIM(SUBSTITUTE(IFERROR(INDEX(tblVeriA[FaturaNo],ROW()-ROW(tblVeriA[[#Headers]])),"")," ",""))))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UPPER(TRIM(SUBSTITUTE($I134,"-","")))</f>
        <v/>
      </c>
      <c r="K134" s="16">
        <f>IF($J134="",0,LEN($J134))</f>
        <v/>
      </c>
      <c r="L134" s="16">
        <f>IF($I134="","",UPPER(TRIM(SUBSTITUTE(IFERROR(INDEX(tblVeriB[FaturaNo],ROW()-ROW(tblVeriB[[#Headers]])),"")," ",""))))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UPPER(TRIM(SUBSTITUTE($A135,"-","")))</f>
        <v/>
      </c>
      <c r="C135" s="16">
        <f>IF($B135="",0,LEN($B135))</f>
        <v/>
      </c>
      <c r="D135" s="16">
        <f>IF($A135="","",UPPER(TRIM(SUBSTITUTE(IFERROR(INDEX(tblVeriA[FaturaNo],ROW()-ROW(tblVeriA[[#Headers]])),"")," ",""))))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UPPER(TRIM(SUBSTITUTE($I135,"-","")))</f>
        <v/>
      </c>
      <c r="K135" s="16">
        <f>IF($J135="",0,LEN($J135))</f>
        <v/>
      </c>
      <c r="L135" s="16">
        <f>IF($I135="","",UPPER(TRIM(SUBSTITUTE(IFERROR(INDEX(tblVeriB[FaturaNo],ROW()-ROW(tblVeriB[[#Headers]])),"")," ",""))))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UPPER(TRIM(SUBSTITUTE($A136,"-","")))</f>
        <v/>
      </c>
      <c r="C136" s="16">
        <f>IF($B136="",0,LEN($B136))</f>
        <v/>
      </c>
      <c r="D136" s="16">
        <f>IF($A136="","",UPPER(TRIM(SUBSTITUTE(IFERROR(INDEX(tblVeriA[FaturaNo],ROW()-ROW(tblVeriA[[#Headers]])),"")," ",""))))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UPPER(TRIM(SUBSTITUTE($I136,"-","")))</f>
        <v/>
      </c>
      <c r="K136" s="16">
        <f>IF($J136="",0,LEN($J136))</f>
        <v/>
      </c>
      <c r="L136" s="16">
        <f>IF($I136="","",UPPER(TRIM(SUBSTITUTE(IFERROR(INDEX(tblVeriB[FaturaNo],ROW()-ROW(tblVeriB[[#Headers]])),"")," ",""))))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UPPER(TRIM(SUBSTITUTE($A137,"-","")))</f>
        <v/>
      </c>
      <c r="C137" s="16">
        <f>IF($B137="",0,LEN($B137))</f>
        <v/>
      </c>
      <c r="D137" s="16">
        <f>IF($A137="","",UPPER(TRIM(SUBSTITUTE(IFERROR(INDEX(tblVeriA[FaturaNo],ROW()-ROW(tblVeriA[[#Headers]])),"")," ",""))))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UPPER(TRIM(SUBSTITUTE($I137,"-","")))</f>
        <v/>
      </c>
      <c r="K137" s="16">
        <f>IF($J137="",0,LEN($J137))</f>
        <v/>
      </c>
      <c r="L137" s="16">
        <f>IF($I137="","",UPPER(TRIM(SUBSTITUTE(IFERROR(INDEX(tblVeriB[FaturaNo],ROW()-ROW(tblVeriB[[#Headers]])),"")," ",""))))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UPPER(TRIM(SUBSTITUTE($A138,"-","")))</f>
        <v/>
      </c>
      <c r="C138" s="16">
        <f>IF($B138="",0,LEN($B138))</f>
        <v/>
      </c>
      <c r="D138" s="16">
        <f>IF($A138="","",UPPER(TRIM(SUBSTITUTE(IFERROR(INDEX(tblVeriA[FaturaNo],ROW()-ROW(tblVeriA[[#Headers]])),"")," ",""))))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UPPER(TRIM(SUBSTITUTE($I138,"-","")))</f>
        <v/>
      </c>
      <c r="K138" s="16">
        <f>IF($J138="",0,LEN($J138))</f>
        <v/>
      </c>
      <c r="L138" s="16">
        <f>IF($I138="","",UPPER(TRIM(SUBSTITUTE(IFERROR(INDEX(tblVeriB[FaturaNo],ROW()-ROW(tblVeriB[[#Headers]])),"")," ",""))))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UPPER(TRIM(SUBSTITUTE($A139,"-","")))</f>
        <v/>
      </c>
      <c r="C139" s="16">
        <f>IF($B139="",0,LEN($B139))</f>
        <v/>
      </c>
      <c r="D139" s="16">
        <f>IF($A139="","",UPPER(TRIM(SUBSTITUTE(IFERROR(INDEX(tblVeriA[FaturaNo],ROW()-ROW(tblVeriA[[#Headers]])),"")," ",""))))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UPPER(TRIM(SUBSTITUTE($I139,"-","")))</f>
        <v/>
      </c>
      <c r="K139" s="16">
        <f>IF($J139="",0,LEN($J139))</f>
        <v/>
      </c>
      <c r="L139" s="16">
        <f>IF($I139="","",UPPER(TRIM(SUBSTITUTE(IFERROR(INDEX(tblVeriB[FaturaNo],ROW()-ROW(tblVeriB[[#Headers]])),"")," ",""))))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UPPER(TRIM(SUBSTITUTE($A140,"-","")))</f>
        <v/>
      </c>
      <c r="C140" s="16">
        <f>IF($B140="",0,LEN($B140))</f>
        <v/>
      </c>
      <c r="D140" s="16">
        <f>IF($A140="","",UPPER(TRIM(SUBSTITUTE(IFERROR(INDEX(tblVeriA[FaturaNo],ROW()-ROW(tblVeriA[[#Headers]])),"")," ",""))))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UPPER(TRIM(SUBSTITUTE($I140,"-","")))</f>
        <v/>
      </c>
      <c r="K140" s="16">
        <f>IF($J140="",0,LEN($J140))</f>
        <v/>
      </c>
      <c r="L140" s="16">
        <f>IF($I140="","",UPPER(TRIM(SUBSTITUTE(IFERROR(INDEX(tblVeriB[FaturaNo],ROW()-ROW(tblVeriB[[#Headers]])),"")," ",""))))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UPPER(TRIM(SUBSTITUTE($A141,"-","")))</f>
        <v/>
      </c>
      <c r="C141" s="16">
        <f>IF($B141="",0,LEN($B141))</f>
        <v/>
      </c>
      <c r="D141" s="16">
        <f>IF($A141="","",UPPER(TRIM(SUBSTITUTE(IFERROR(INDEX(tblVeriA[FaturaNo],ROW()-ROW(tblVeriA[[#Headers]])),"")," ",""))))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UPPER(TRIM(SUBSTITUTE($I141,"-","")))</f>
        <v/>
      </c>
      <c r="K141" s="16">
        <f>IF($J141="",0,LEN($J141))</f>
        <v/>
      </c>
      <c r="L141" s="16">
        <f>IF($I141="","",UPPER(TRIM(SUBSTITUTE(IFERROR(INDEX(tblVeriB[FaturaNo],ROW()-ROW(tblVeriB[[#Headers]])),"")," ",""))))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UPPER(TRIM(SUBSTITUTE($A142,"-","")))</f>
        <v/>
      </c>
      <c r="C142" s="16">
        <f>IF($B142="",0,LEN($B142))</f>
        <v/>
      </c>
      <c r="D142" s="16">
        <f>IF($A142="","",UPPER(TRIM(SUBSTITUTE(IFERROR(INDEX(tblVeriA[FaturaNo],ROW()-ROW(tblVeriA[[#Headers]])),"")," ",""))))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UPPER(TRIM(SUBSTITUTE($I142,"-","")))</f>
        <v/>
      </c>
      <c r="K142" s="16">
        <f>IF($J142="",0,LEN($J142))</f>
        <v/>
      </c>
      <c r="L142" s="16">
        <f>IF($I142="","",UPPER(TRIM(SUBSTITUTE(IFERROR(INDEX(tblVeriB[FaturaNo],ROW()-ROW(tblVeriB[[#Headers]])),"")," ",""))))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UPPER(TRIM(SUBSTITUTE($A143,"-","")))</f>
        <v/>
      </c>
      <c r="C143" s="16">
        <f>IF($B143="",0,LEN($B143))</f>
        <v/>
      </c>
      <c r="D143" s="16">
        <f>IF($A143="","",UPPER(TRIM(SUBSTITUTE(IFERROR(INDEX(tblVeriA[FaturaNo],ROW()-ROW(tblVeriA[[#Headers]])),"")," ",""))))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UPPER(TRIM(SUBSTITUTE($I143,"-","")))</f>
        <v/>
      </c>
      <c r="K143" s="16">
        <f>IF($J143="",0,LEN($J143))</f>
        <v/>
      </c>
      <c r="L143" s="16">
        <f>IF($I143="","",UPPER(TRIM(SUBSTITUTE(IFERROR(INDEX(tblVeriB[FaturaNo],ROW()-ROW(tblVeriB[[#Headers]])),"")," ",""))))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UPPER(TRIM(SUBSTITUTE($A144,"-","")))</f>
        <v/>
      </c>
      <c r="C144" s="16">
        <f>IF($B144="",0,LEN($B144))</f>
        <v/>
      </c>
      <c r="D144" s="16">
        <f>IF($A144="","",UPPER(TRIM(SUBSTITUTE(IFERROR(INDEX(tblVeriA[FaturaNo],ROW()-ROW(tblVeriA[[#Headers]])),"")," ",""))))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UPPER(TRIM(SUBSTITUTE($I144,"-","")))</f>
        <v/>
      </c>
      <c r="K144" s="16">
        <f>IF($J144="",0,LEN($J144))</f>
        <v/>
      </c>
      <c r="L144" s="16">
        <f>IF($I144="","",UPPER(TRIM(SUBSTITUTE(IFERROR(INDEX(tblVeriB[FaturaNo],ROW()-ROW(tblVeriB[[#Headers]])),"")," ",""))))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UPPER(TRIM(SUBSTITUTE($A145,"-","")))</f>
        <v/>
      </c>
      <c r="C145" s="16">
        <f>IF($B145="",0,LEN($B145))</f>
        <v/>
      </c>
      <c r="D145" s="16">
        <f>IF($A145="","",UPPER(TRIM(SUBSTITUTE(IFERROR(INDEX(tblVeriA[FaturaNo],ROW()-ROW(tblVeriA[[#Headers]])),"")," ",""))))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UPPER(TRIM(SUBSTITUTE($I145,"-","")))</f>
        <v/>
      </c>
      <c r="K145" s="16">
        <f>IF($J145="",0,LEN($J145))</f>
        <v/>
      </c>
      <c r="L145" s="16">
        <f>IF($I145="","",UPPER(TRIM(SUBSTITUTE(IFERROR(INDEX(tblVeriB[FaturaNo],ROW()-ROW(tblVeriB[[#Headers]])),"")," ",""))))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UPPER(TRIM(SUBSTITUTE($A146,"-","")))</f>
        <v/>
      </c>
      <c r="C146" s="16">
        <f>IF($B146="",0,LEN($B146))</f>
        <v/>
      </c>
      <c r="D146" s="16">
        <f>IF($A146="","",UPPER(TRIM(SUBSTITUTE(IFERROR(INDEX(tblVeriA[FaturaNo],ROW()-ROW(tblVeriA[[#Headers]])),"")," ",""))))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UPPER(TRIM(SUBSTITUTE($I146,"-","")))</f>
        <v/>
      </c>
      <c r="K146" s="16">
        <f>IF($J146="",0,LEN($J146))</f>
        <v/>
      </c>
      <c r="L146" s="16">
        <f>IF($I146="","",UPPER(TRIM(SUBSTITUTE(IFERROR(INDEX(tblVeriB[FaturaNo],ROW()-ROW(tblVeriB[[#Headers]])),"")," ",""))))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UPPER(TRIM(SUBSTITUTE($A147,"-","")))</f>
        <v/>
      </c>
      <c r="C147" s="16">
        <f>IF($B147="",0,LEN($B147))</f>
        <v/>
      </c>
      <c r="D147" s="16">
        <f>IF($A147="","",UPPER(TRIM(SUBSTITUTE(IFERROR(INDEX(tblVeriA[FaturaNo],ROW()-ROW(tblVeriA[[#Headers]])),"")," ",""))))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UPPER(TRIM(SUBSTITUTE($I147,"-","")))</f>
        <v/>
      </c>
      <c r="K147" s="16">
        <f>IF($J147="",0,LEN($J147))</f>
        <v/>
      </c>
      <c r="L147" s="16">
        <f>IF($I147="","",UPPER(TRIM(SUBSTITUTE(IFERROR(INDEX(tblVeriB[FaturaNo],ROW()-ROW(tblVeriB[[#Headers]])),"")," ",""))))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UPPER(TRIM(SUBSTITUTE($A148,"-","")))</f>
        <v/>
      </c>
      <c r="C148" s="16">
        <f>IF($B148="",0,LEN($B148))</f>
        <v/>
      </c>
      <c r="D148" s="16">
        <f>IF($A148="","",UPPER(TRIM(SUBSTITUTE(IFERROR(INDEX(tblVeriA[FaturaNo],ROW()-ROW(tblVeriA[[#Headers]])),"")," ",""))))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UPPER(TRIM(SUBSTITUTE($I148,"-","")))</f>
        <v/>
      </c>
      <c r="K148" s="16">
        <f>IF($J148="",0,LEN($J148))</f>
        <v/>
      </c>
      <c r="L148" s="16">
        <f>IF($I148="","",UPPER(TRIM(SUBSTITUTE(IFERROR(INDEX(tblVeriB[FaturaNo],ROW()-ROW(tblVeriB[[#Headers]])),"")," ",""))))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UPPER(TRIM(SUBSTITUTE($A149,"-","")))</f>
        <v/>
      </c>
      <c r="C149" s="16">
        <f>IF($B149="",0,LEN($B149))</f>
        <v/>
      </c>
      <c r="D149" s="16">
        <f>IF($A149="","",UPPER(TRIM(SUBSTITUTE(IFERROR(INDEX(tblVeriA[FaturaNo],ROW()-ROW(tblVeriA[[#Headers]])),"")," ",""))))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UPPER(TRIM(SUBSTITUTE($I149,"-","")))</f>
        <v/>
      </c>
      <c r="K149" s="16">
        <f>IF($J149="",0,LEN($J149))</f>
        <v/>
      </c>
      <c r="L149" s="16">
        <f>IF($I149="","",UPPER(TRIM(SUBSTITUTE(IFERROR(INDEX(tblVeriB[FaturaNo],ROW()-ROW(tblVeriB[[#Headers]])),"")," ",""))))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UPPER(TRIM(SUBSTITUTE($A150,"-","")))</f>
        <v/>
      </c>
      <c r="C150" s="16">
        <f>IF($B150="",0,LEN($B150))</f>
        <v/>
      </c>
      <c r="D150" s="16">
        <f>IF($A150="","",UPPER(TRIM(SUBSTITUTE(IFERROR(INDEX(tblVeriA[FaturaNo],ROW()-ROW(tblVeriA[[#Headers]])),"")," ",""))))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UPPER(TRIM(SUBSTITUTE($I150,"-","")))</f>
        <v/>
      </c>
      <c r="K150" s="16">
        <f>IF($J150="",0,LEN($J150))</f>
        <v/>
      </c>
      <c r="L150" s="16">
        <f>IF($I150="","",UPPER(TRIM(SUBSTITUTE(IFERROR(INDEX(tblVeriB[FaturaNo],ROW()-ROW(tblVeriB[[#Headers]])),"")," ",""))))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UPPER(TRIM(SUBSTITUTE($A151,"-","")))</f>
        <v/>
      </c>
      <c r="C151" s="16">
        <f>IF($B151="",0,LEN($B151))</f>
        <v/>
      </c>
      <c r="D151" s="16">
        <f>IF($A151="","",UPPER(TRIM(SUBSTITUTE(IFERROR(INDEX(tblVeriA[FaturaNo],ROW()-ROW(tblVeriA[[#Headers]])),"")," ",""))))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UPPER(TRIM(SUBSTITUTE($I151,"-","")))</f>
        <v/>
      </c>
      <c r="K151" s="16">
        <f>IF($J151="",0,LEN($J151))</f>
        <v/>
      </c>
      <c r="L151" s="16">
        <f>IF($I151="","",UPPER(TRIM(SUBSTITUTE(IFERROR(INDEX(tblVeriB[FaturaNo],ROW()-ROW(tblVeriB[[#Headers]])),"")," ",""))))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UPPER(TRIM(SUBSTITUTE($A152,"-","")))</f>
        <v/>
      </c>
      <c r="C152" s="16">
        <f>IF($B152="",0,LEN($B152))</f>
        <v/>
      </c>
      <c r="D152" s="16">
        <f>IF($A152="","",UPPER(TRIM(SUBSTITUTE(IFERROR(INDEX(tblVeriA[FaturaNo],ROW()-ROW(tblVeriA[[#Headers]])),"")," ",""))))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UPPER(TRIM(SUBSTITUTE($I152,"-","")))</f>
        <v/>
      </c>
      <c r="K152" s="16">
        <f>IF($J152="",0,LEN($J152))</f>
        <v/>
      </c>
      <c r="L152" s="16">
        <f>IF($I152="","",UPPER(TRIM(SUBSTITUTE(IFERROR(INDEX(tblVeriB[FaturaNo],ROW()-ROW(tblVeriB[[#Headers]])),"")," ",""))))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UPPER(TRIM(SUBSTITUTE($A153,"-","")))</f>
        <v/>
      </c>
      <c r="C153" s="16">
        <f>IF($B153="",0,LEN($B153))</f>
        <v/>
      </c>
      <c r="D153" s="16">
        <f>IF($A153="","",UPPER(TRIM(SUBSTITUTE(IFERROR(INDEX(tblVeriA[FaturaNo],ROW()-ROW(tblVeriA[[#Headers]])),"")," ",""))))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UPPER(TRIM(SUBSTITUTE($I153,"-","")))</f>
        <v/>
      </c>
      <c r="K153" s="16">
        <f>IF($J153="",0,LEN($J153))</f>
        <v/>
      </c>
      <c r="L153" s="16">
        <f>IF($I153="","",UPPER(TRIM(SUBSTITUTE(IFERROR(INDEX(tblVeriB[FaturaNo],ROW()-ROW(tblVeriB[[#Headers]])),"")," ",""))))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UPPER(TRIM(SUBSTITUTE($A154,"-","")))</f>
        <v/>
      </c>
      <c r="C154" s="16">
        <f>IF($B154="",0,LEN($B154))</f>
        <v/>
      </c>
      <c r="D154" s="16">
        <f>IF($A154="","",UPPER(TRIM(SUBSTITUTE(IFERROR(INDEX(tblVeriA[FaturaNo],ROW()-ROW(tblVeriA[[#Headers]])),"")," ",""))))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UPPER(TRIM(SUBSTITUTE($I154,"-","")))</f>
        <v/>
      </c>
      <c r="K154" s="16">
        <f>IF($J154="",0,LEN($J154))</f>
        <v/>
      </c>
      <c r="L154" s="16">
        <f>IF($I154="","",UPPER(TRIM(SUBSTITUTE(IFERROR(INDEX(tblVeriB[FaturaNo],ROW()-ROW(tblVeriB[[#Headers]])),"")," ",""))))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UPPER(TRIM(SUBSTITUTE($A155,"-","")))</f>
        <v/>
      </c>
      <c r="C155" s="16">
        <f>IF($B155="",0,LEN($B155))</f>
        <v/>
      </c>
      <c r="D155" s="16">
        <f>IF($A155="","",UPPER(TRIM(SUBSTITUTE(IFERROR(INDEX(tblVeriA[FaturaNo],ROW()-ROW(tblVeriA[[#Headers]])),"")," ",""))))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UPPER(TRIM(SUBSTITUTE($I155,"-","")))</f>
        <v/>
      </c>
      <c r="K155" s="16">
        <f>IF($J155="",0,LEN($J155))</f>
        <v/>
      </c>
      <c r="L155" s="16">
        <f>IF($I155="","",UPPER(TRIM(SUBSTITUTE(IFERROR(INDEX(tblVeriB[FaturaNo],ROW()-ROW(tblVeriB[[#Headers]])),"")," ",""))))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UPPER(TRIM(SUBSTITUTE($A156,"-","")))</f>
        <v/>
      </c>
      <c r="C156" s="16">
        <f>IF($B156="",0,LEN($B156))</f>
        <v/>
      </c>
      <c r="D156" s="16">
        <f>IF($A156="","",UPPER(TRIM(SUBSTITUTE(IFERROR(INDEX(tblVeriA[FaturaNo],ROW()-ROW(tblVeriA[[#Headers]])),"")," ",""))))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UPPER(TRIM(SUBSTITUTE($I156,"-","")))</f>
        <v/>
      </c>
      <c r="K156" s="16">
        <f>IF($J156="",0,LEN($J156))</f>
        <v/>
      </c>
      <c r="L156" s="16">
        <f>IF($I156="","",UPPER(TRIM(SUBSTITUTE(IFERROR(INDEX(tblVeriB[FaturaNo],ROW()-ROW(tblVeriB[[#Headers]])),"")," ",""))))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UPPER(TRIM(SUBSTITUTE($A157,"-","")))</f>
        <v/>
      </c>
      <c r="C157" s="16">
        <f>IF($B157="",0,LEN($B157))</f>
        <v/>
      </c>
      <c r="D157" s="16">
        <f>IF($A157="","",UPPER(TRIM(SUBSTITUTE(IFERROR(INDEX(tblVeriA[FaturaNo],ROW()-ROW(tblVeriA[[#Headers]])),"")," ",""))))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UPPER(TRIM(SUBSTITUTE($I157,"-","")))</f>
        <v/>
      </c>
      <c r="K157" s="16">
        <f>IF($J157="",0,LEN($J157))</f>
        <v/>
      </c>
      <c r="L157" s="16">
        <f>IF($I157="","",UPPER(TRIM(SUBSTITUTE(IFERROR(INDEX(tblVeriB[FaturaNo],ROW()-ROW(tblVeriB[[#Headers]])),"")," ",""))))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UPPER(TRIM(SUBSTITUTE($A158,"-","")))</f>
        <v/>
      </c>
      <c r="C158" s="16">
        <f>IF($B158="",0,LEN($B158))</f>
        <v/>
      </c>
      <c r="D158" s="16">
        <f>IF($A158="","",UPPER(TRIM(SUBSTITUTE(IFERROR(INDEX(tblVeriA[FaturaNo],ROW()-ROW(tblVeriA[[#Headers]])),"")," ",""))))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UPPER(TRIM(SUBSTITUTE($I158,"-","")))</f>
        <v/>
      </c>
      <c r="K158" s="16">
        <f>IF($J158="",0,LEN($J158))</f>
        <v/>
      </c>
      <c r="L158" s="16">
        <f>IF($I158="","",UPPER(TRIM(SUBSTITUTE(IFERROR(INDEX(tblVeriB[FaturaNo],ROW()-ROW(tblVeriB[[#Headers]])),"")," ",""))))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UPPER(TRIM(SUBSTITUTE($A159,"-","")))</f>
        <v/>
      </c>
      <c r="C159" s="16">
        <f>IF($B159="",0,LEN($B159))</f>
        <v/>
      </c>
      <c r="D159" s="16">
        <f>IF($A159="","",UPPER(TRIM(SUBSTITUTE(IFERROR(INDEX(tblVeriA[FaturaNo],ROW()-ROW(tblVeriA[[#Headers]])),"")," ",""))))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UPPER(TRIM(SUBSTITUTE($I159,"-","")))</f>
        <v/>
      </c>
      <c r="K159" s="16">
        <f>IF($J159="",0,LEN($J159))</f>
        <v/>
      </c>
      <c r="L159" s="16">
        <f>IF($I159="","",UPPER(TRIM(SUBSTITUTE(IFERROR(INDEX(tblVeriB[FaturaNo],ROW()-ROW(tblVeriB[[#Headers]])),"")," ",""))))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UPPER(TRIM(SUBSTITUTE($A160,"-","")))</f>
        <v/>
      </c>
      <c r="C160" s="16">
        <f>IF($B160="",0,LEN($B160))</f>
        <v/>
      </c>
      <c r="D160" s="16">
        <f>IF($A160="","",UPPER(TRIM(SUBSTITUTE(IFERROR(INDEX(tblVeriA[FaturaNo],ROW()-ROW(tblVeriA[[#Headers]])),"")," ",""))))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UPPER(TRIM(SUBSTITUTE($I160,"-","")))</f>
        <v/>
      </c>
      <c r="K160" s="16">
        <f>IF($J160="",0,LEN($J160))</f>
        <v/>
      </c>
      <c r="L160" s="16">
        <f>IF($I160="","",UPPER(TRIM(SUBSTITUTE(IFERROR(INDEX(tblVeriB[FaturaNo],ROW()-ROW(tblVeriB[[#Headers]])),"")," ",""))))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UPPER(TRIM(SUBSTITUTE($A161,"-","")))</f>
        <v/>
      </c>
      <c r="C161" s="16">
        <f>IF($B161="",0,LEN($B161))</f>
        <v/>
      </c>
      <c r="D161" s="16">
        <f>IF($A161="","",UPPER(TRIM(SUBSTITUTE(IFERROR(INDEX(tblVeriA[FaturaNo],ROW()-ROW(tblVeriA[[#Headers]])),"")," ",""))))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UPPER(TRIM(SUBSTITUTE($I161,"-","")))</f>
        <v/>
      </c>
      <c r="K161" s="16">
        <f>IF($J161="",0,LEN($J161))</f>
        <v/>
      </c>
      <c r="L161" s="16">
        <f>IF($I161="","",UPPER(TRIM(SUBSTITUTE(IFERROR(INDEX(tblVeriB[FaturaNo],ROW()-ROW(tblVeriB[[#Headers]])),"")," ",""))))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UPPER(TRIM(SUBSTITUTE($A162,"-","")))</f>
        <v/>
      </c>
      <c r="C162" s="16">
        <f>IF($B162="",0,LEN($B162))</f>
        <v/>
      </c>
      <c r="D162" s="16">
        <f>IF($A162="","",UPPER(TRIM(SUBSTITUTE(IFERROR(INDEX(tblVeriA[FaturaNo],ROW()-ROW(tblVeriA[[#Headers]])),"")," ",""))))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UPPER(TRIM(SUBSTITUTE($I162,"-","")))</f>
        <v/>
      </c>
      <c r="K162" s="16">
        <f>IF($J162="",0,LEN($J162))</f>
        <v/>
      </c>
      <c r="L162" s="16">
        <f>IF($I162="","",UPPER(TRIM(SUBSTITUTE(IFERROR(INDEX(tblVeriB[FaturaNo],ROW()-ROW(tblVeriB[[#Headers]])),"")," ",""))))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UPPER(TRIM(SUBSTITUTE($A163,"-","")))</f>
        <v/>
      </c>
      <c r="C163" s="16">
        <f>IF($B163="",0,LEN($B163))</f>
        <v/>
      </c>
      <c r="D163" s="16">
        <f>IF($A163="","",UPPER(TRIM(SUBSTITUTE(IFERROR(INDEX(tblVeriA[FaturaNo],ROW()-ROW(tblVeriA[[#Headers]])),"")," ",""))))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UPPER(TRIM(SUBSTITUTE($I163,"-","")))</f>
        <v/>
      </c>
      <c r="K163" s="16">
        <f>IF($J163="",0,LEN($J163))</f>
        <v/>
      </c>
      <c r="L163" s="16">
        <f>IF($I163="","",UPPER(TRIM(SUBSTITUTE(IFERROR(INDEX(tblVeriB[FaturaNo],ROW()-ROW(tblVeriB[[#Headers]])),"")," ",""))))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UPPER(TRIM(SUBSTITUTE($A164,"-","")))</f>
        <v/>
      </c>
      <c r="C164" s="16">
        <f>IF($B164="",0,LEN($B164))</f>
        <v/>
      </c>
      <c r="D164" s="16">
        <f>IF($A164="","",UPPER(TRIM(SUBSTITUTE(IFERROR(INDEX(tblVeriA[FaturaNo],ROW()-ROW(tblVeriA[[#Headers]])),"")," ",""))))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UPPER(TRIM(SUBSTITUTE($I164,"-","")))</f>
        <v/>
      </c>
      <c r="K164" s="16">
        <f>IF($J164="",0,LEN($J164))</f>
        <v/>
      </c>
      <c r="L164" s="16">
        <f>IF($I164="","",UPPER(TRIM(SUBSTITUTE(IFERROR(INDEX(tblVeriB[FaturaNo],ROW()-ROW(tblVeriB[[#Headers]])),"")," ",""))))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UPPER(TRIM(SUBSTITUTE($A165,"-","")))</f>
        <v/>
      </c>
      <c r="C165" s="16">
        <f>IF($B165="",0,LEN($B165))</f>
        <v/>
      </c>
      <c r="D165" s="16">
        <f>IF($A165="","",UPPER(TRIM(SUBSTITUTE(IFERROR(INDEX(tblVeriA[FaturaNo],ROW()-ROW(tblVeriA[[#Headers]])),"")," ",""))))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UPPER(TRIM(SUBSTITUTE($I165,"-","")))</f>
        <v/>
      </c>
      <c r="K165" s="16">
        <f>IF($J165="",0,LEN($J165))</f>
        <v/>
      </c>
      <c r="L165" s="16">
        <f>IF($I165="","",UPPER(TRIM(SUBSTITUTE(IFERROR(INDEX(tblVeriB[FaturaNo],ROW()-ROW(tblVeriB[[#Headers]])),"")," ",""))))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UPPER(TRIM(SUBSTITUTE($A166,"-","")))</f>
        <v/>
      </c>
      <c r="C166" s="16">
        <f>IF($B166="",0,LEN($B166))</f>
        <v/>
      </c>
      <c r="D166" s="16">
        <f>IF($A166="","",UPPER(TRIM(SUBSTITUTE(IFERROR(INDEX(tblVeriA[FaturaNo],ROW()-ROW(tblVeriA[[#Headers]])),"")," ",""))))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UPPER(TRIM(SUBSTITUTE($I166,"-","")))</f>
        <v/>
      </c>
      <c r="K166" s="16">
        <f>IF($J166="",0,LEN($J166))</f>
        <v/>
      </c>
      <c r="L166" s="16">
        <f>IF($I166="","",UPPER(TRIM(SUBSTITUTE(IFERROR(INDEX(tblVeriB[FaturaNo],ROW()-ROW(tblVeriB[[#Headers]])),"")," ",""))))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UPPER(TRIM(SUBSTITUTE($A167,"-","")))</f>
        <v/>
      </c>
      <c r="C167" s="16">
        <f>IF($B167="",0,LEN($B167))</f>
        <v/>
      </c>
      <c r="D167" s="16">
        <f>IF($A167="","",UPPER(TRIM(SUBSTITUTE(IFERROR(INDEX(tblVeriA[FaturaNo],ROW()-ROW(tblVeriA[[#Headers]])),"")," ",""))))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UPPER(TRIM(SUBSTITUTE($I167,"-","")))</f>
        <v/>
      </c>
      <c r="K167" s="16">
        <f>IF($J167="",0,LEN($J167))</f>
        <v/>
      </c>
      <c r="L167" s="16">
        <f>IF($I167="","",UPPER(TRIM(SUBSTITUTE(IFERROR(INDEX(tblVeriB[FaturaNo],ROW()-ROW(tblVeriB[[#Headers]])),"")," ",""))))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UPPER(TRIM(SUBSTITUTE($A168,"-","")))</f>
        <v/>
      </c>
      <c r="C168" s="16">
        <f>IF($B168="",0,LEN($B168))</f>
        <v/>
      </c>
      <c r="D168" s="16">
        <f>IF($A168="","",UPPER(TRIM(SUBSTITUTE(IFERROR(INDEX(tblVeriA[FaturaNo],ROW()-ROW(tblVeriA[[#Headers]])),"")," ",""))))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UPPER(TRIM(SUBSTITUTE($I168,"-","")))</f>
        <v/>
      </c>
      <c r="K168" s="16">
        <f>IF($J168="",0,LEN($J168))</f>
        <v/>
      </c>
      <c r="L168" s="16">
        <f>IF($I168="","",UPPER(TRIM(SUBSTITUTE(IFERROR(INDEX(tblVeriB[FaturaNo],ROW()-ROW(tblVeriB[[#Headers]])),"")," ",""))))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UPPER(TRIM(SUBSTITUTE($A169,"-","")))</f>
        <v/>
      </c>
      <c r="C169" s="16">
        <f>IF($B169="",0,LEN($B169))</f>
        <v/>
      </c>
      <c r="D169" s="16">
        <f>IF($A169="","",UPPER(TRIM(SUBSTITUTE(IFERROR(INDEX(tblVeriA[FaturaNo],ROW()-ROW(tblVeriA[[#Headers]])),"")," ",""))))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UPPER(TRIM(SUBSTITUTE($I169,"-","")))</f>
        <v/>
      </c>
      <c r="K169" s="16">
        <f>IF($J169="",0,LEN($J169))</f>
        <v/>
      </c>
      <c r="L169" s="16">
        <f>IF($I169="","",UPPER(TRIM(SUBSTITUTE(IFERROR(INDEX(tblVeriB[FaturaNo],ROW()-ROW(tblVeriB[[#Headers]])),"")," ",""))))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UPPER(TRIM(SUBSTITUTE($A170,"-","")))</f>
        <v/>
      </c>
      <c r="C170" s="16">
        <f>IF($B170="",0,LEN($B170))</f>
        <v/>
      </c>
      <c r="D170" s="16">
        <f>IF($A170="","",UPPER(TRIM(SUBSTITUTE(IFERROR(INDEX(tblVeriA[FaturaNo],ROW()-ROW(tblVeriA[[#Headers]])),"")," ",""))))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UPPER(TRIM(SUBSTITUTE($I170,"-","")))</f>
        <v/>
      </c>
      <c r="K170" s="16">
        <f>IF($J170="",0,LEN($J170))</f>
        <v/>
      </c>
      <c r="L170" s="16">
        <f>IF($I170="","",UPPER(TRIM(SUBSTITUTE(IFERROR(INDEX(tblVeriB[FaturaNo],ROW()-ROW(tblVeriB[[#Headers]])),"")," ",""))))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UPPER(TRIM(SUBSTITUTE($A171,"-","")))</f>
        <v/>
      </c>
      <c r="C171" s="16">
        <f>IF($B171="",0,LEN($B171))</f>
        <v/>
      </c>
      <c r="D171" s="16">
        <f>IF($A171="","",UPPER(TRIM(SUBSTITUTE(IFERROR(INDEX(tblVeriA[FaturaNo],ROW()-ROW(tblVeriA[[#Headers]])),"")," ",""))))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UPPER(TRIM(SUBSTITUTE($I171,"-","")))</f>
        <v/>
      </c>
      <c r="K171" s="16">
        <f>IF($J171="",0,LEN($J171))</f>
        <v/>
      </c>
      <c r="L171" s="16">
        <f>IF($I171="","",UPPER(TRIM(SUBSTITUTE(IFERROR(INDEX(tblVeriB[FaturaNo],ROW()-ROW(tblVeriB[[#Headers]])),"")," ",""))))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UPPER(TRIM(SUBSTITUTE($A172,"-","")))</f>
        <v/>
      </c>
      <c r="C172" s="16">
        <f>IF($B172="",0,LEN($B172))</f>
        <v/>
      </c>
      <c r="D172" s="16">
        <f>IF($A172="","",UPPER(TRIM(SUBSTITUTE(IFERROR(INDEX(tblVeriA[FaturaNo],ROW()-ROW(tblVeriA[[#Headers]])),"")," ",""))))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UPPER(TRIM(SUBSTITUTE($I172,"-","")))</f>
        <v/>
      </c>
      <c r="K172" s="16">
        <f>IF($J172="",0,LEN($J172))</f>
        <v/>
      </c>
      <c r="L172" s="16">
        <f>IF($I172="","",UPPER(TRIM(SUBSTITUTE(IFERROR(INDEX(tblVeriB[FaturaNo],ROW()-ROW(tblVeriB[[#Headers]])),"")," ",""))))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UPPER(TRIM(SUBSTITUTE($A173,"-","")))</f>
        <v/>
      </c>
      <c r="C173" s="16">
        <f>IF($B173="",0,LEN($B173))</f>
        <v/>
      </c>
      <c r="D173" s="16">
        <f>IF($A173="","",UPPER(TRIM(SUBSTITUTE(IFERROR(INDEX(tblVeriA[FaturaNo],ROW()-ROW(tblVeriA[[#Headers]])),"")," ",""))))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UPPER(TRIM(SUBSTITUTE($I173,"-","")))</f>
        <v/>
      </c>
      <c r="K173" s="16">
        <f>IF($J173="",0,LEN($J173))</f>
        <v/>
      </c>
      <c r="L173" s="16">
        <f>IF($I173="","",UPPER(TRIM(SUBSTITUTE(IFERROR(INDEX(tblVeriB[FaturaNo],ROW()-ROW(tblVeriB[[#Headers]])),"")," ",""))))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UPPER(TRIM(SUBSTITUTE($A174,"-","")))</f>
        <v/>
      </c>
      <c r="C174" s="16">
        <f>IF($B174="",0,LEN($B174))</f>
        <v/>
      </c>
      <c r="D174" s="16">
        <f>IF($A174="","",UPPER(TRIM(SUBSTITUTE(IFERROR(INDEX(tblVeriA[FaturaNo],ROW()-ROW(tblVeriA[[#Headers]])),"")," ",""))))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UPPER(TRIM(SUBSTITUTE($I174,"-","")))</f>
        <v/>
      </c>
      <c r="K174" s="16">
        <f>IF($J174="",0,LEN($J174))</f>
        <v/>
      </c>
      <c r="L174" s="16">
        <f>IF($I174="","",UPPER(TRIM(SUBSTITUTE(IFERROR(INDEX(tblVeriB[FaturaNo],ROW()-ROW(tblVeriB[[#Headers]])),"")," ",""))))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UPPER(TRIM(SUBSTITUTE($A175,"-","")))</f>
        <v/>
      </c>
      <c r="C175" s="16">
        <f>IF($B175="",0,LEN($B175))</f>
        <v/>
      </c>
      <c r="D175" s="16">
        <f>IF($A175="","",UPPER(TRIM(SUBSTITUTE(IFERROR(INDEX(tblVeriA[FaturaNo],ROW()-ROW(tblVeriA[[#Headers]])),"")," ",""))))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UPPER(TRIM(SUBSTITUTE($I175,"-","")))</f>
        <v/>
      </c>
      <c r="K175" s="16">
        <f>IF($J175="",0,LEN($J175))</f>
        <v/>
      </c>
      <c r="L175" s="16">
        <f>IF($I175="","",UPPER(TRIM(SUBSTITUTE(IFERROR(INDEX(tblVeriB[FaturaNo],ROW()-ROW(tblVeriB[[#Headers]])),"")," ",""))))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UPPER(TRIM(SUBSTITUTE($A176,"-","")))</f>
        <v/>
      </c>
      <c r="C176" s="16">
        <f>IF($B176="",0,LEN($B176))</f>
        <v/>
      </c>
      <c r="D176" s="16">
        <f>IF($A176="","",UPPER(TRIM(SUBSTITUTE(IFERROR(INDEX(tblVeriA[FaturaNo],ROW()-ROW(tblVeriA[[#Headers]])),"")," ",""))))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UPPER(TRIM(SUBSTITUTE($I176,"-","")))</f>
        <v/>
      </c>
      <c r="K176" s="16">
        <f>IF($J176="",0,LEN($J176))</f>
        <v/>
      </c>
      <c r="L176" s="16">
        <f>IF($I176="","",UPPER(TRIM(SUBSTITUTE(IFERROR(INDEX(tblVeriB[FaturaNo],ROW()-ROW(tblVeriB[[#Headers]])),"")," ",""))))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UPPER(TRIM(SUBSTITUTE($A177,"-","")))</f>
        <v/>
      </c>
      <c r="C177" s="16">
        <f>IF($B177="",0,LEN($B177))</f>
        <v/>
      </c>
      <c r="D177" s="16">
        <f>IF($A177="","",UPPER(TRIM(SUBSTITUTE(IFERROR(INDEX(tblVeriA[FaturaNo],ROW()-ROW(tblVeriA[[#Headers]])),"")," ",""))))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UPPER(TRIM(SUBSTITUTE($I177,"-","")))</f>
        <v/>
      </c>
      <c r="K177" s="16">
        <f>IF($J177="",0,LEN($J177))</f>
        <v/>
      </c>
      <c r="L177" s="16">
        <f>IF($I177="","",UPPER(TRIM(SUBSTITUTE(IFERROR(INDEX(tblVeriB[FaturaNo],ROW()-ROW(tblVeriB[[#Headers]])),"")," ",""))))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UPPER(TRIM(SUBSTITUTE($A178,"-","")))</f>
        <v/>
      </c>
      <c r="C178" s="16">
        <f>IF($B178="",0,LEN($B178))</f>
        <v/>
      </c>
      <c r="D178" s="16">
        <f>IF($A178="","",UPPER(TRIM(SUBSTITUTE(IFERROR(INDEX(tblVeriA[FaturaNo],ROW()-ROW(tblVeriA[[#Headers]])),"")," ",""))))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UPPER(TRIM(SUBSTITUTE($I178,"-","")))</f>
        <v/>
      </c>
      <c r="K178" s="16">
        <f>IF($J178="",0,LEN($J178))</f>
        <v/>
      </c>
      <c r="L178" s="16">
        <f>IF($I178="","",UPPER(TRIM(SUBSTITUTE(IFERROR(INDEX(tblVeriB[FaturaNo],ROW()-ROW(tblVeriB[[#Headers]])),"")," ",""))))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UPPER(TRIM(SUBSTITUTE($A179,"-","")))</f>
        <v/>
      </c>
      <c r="C179" s="16">
        <f>IF($B179="",0,LEN($B179))</f>
        <v/>
      </c>
      <c r="D179" s="16">
        <f>IF($A179="","",UPPER(TRIM(SUBSTITUTE(IFERROR(INDEX(tblVeriA[FaturaNo],ROW()-ROW(tblVeriA[[#Headers]])),"")," ",""))))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UPPER(TRIM(SUBSTITUTE($I179,"-","")))</f>
        <v/>
      </c>
      <c r="K179" s="16">
        <f>IF($J179="",0,LEN($J179))</f>
        <v/>
      </c>
      <c r="L179" s="16">
        <f>IF($I179="","",UPPER(TRIM(SUBSTITUTE(IFERROR(INDEX(tblVeriB[FaturaNo],ROW()-ROW(tblVeriB[[#Headers]])),"")," ",""))))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UPPER(TRIM(SUBSTITUTE($A180,"-","")))</f>
        <v/>
      </c>
      <c r="C180" s="16">
        <f>IF($B180="",0,LEN($B180))</f>
        <v/>
      </c>
      <c r="D180" s="16">
        <f>IF($A180="","",UPPER(TRIM(SUBSTITUTE(IFERROR(INDEX(tblVeriA[FaturaNo],ROW()-ROW(tblVeriA[[#Headers]])),"")," ",""))))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UPPER(TRIM(SUBSTITUTE($I180,"-","")))</f>
        <v/>
      </c>
      <c r="K180" s="16">
        <f>IF($J180="",0,LEN($J180))</f>
        <v/>
      </c>
      <c r="L180" s="16">
        <f>IF($I180="","",UPPER(TRIM(SUBSTITUTE(IFERROR(INDEX(tblVeriB[FaturaNo],ROW()-ROW(tblVeriB[[#Headers]])),"")," ",""))))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UPPER(TRIM(SUBSTITUTE($A181,"-","")))</f>
        <v/>
      </c>
      <c r="C181" s="16">
        <f>IF($B181="",0,LEN($B181))</f>
        <v/>
      </c>
      <c r="D181" s="16">
        <f>IF($A181="","",UPPER(TRIM(SUBSTITUTE(IFERROR(INDEX(tblVeriA[FaturaNo],ROW()-ROW(tblVeriA[[#Headers]])),"")," ",""))))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UPPER(TRIM(SUBSTITUTE($I181,"-","")))</f>
        <v/>
      </c>
      <c r="K181" s="16">
        <f>IF($J181="",0,LEN($J181))</f>
        <v/>
      </c>
      <c r="L181" s="16">
        <f>IF($I181="","",UPPER(TRIM(SUBSTITUTE(IFERROR(INDEX(tblVeriB[FaturaNo],ROW()-ROW(tblVeriB[[#Headers]])),"")," ",""))))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UPPER(TRIM(SUBSTITUTE($A182,"-","")))</f>
        <v/>
      </c>
      <c r="C182" s="16">
        <f>IF($B182="",0,LEN($B182))</f>
        <v/>
      </c>
      <c r="D182" s="16">
        <f>IF($A182="","",UPPER(TRIM(SUBSTITUTE(IFERROR(INDEX(tblVeriA[FaturaNo],ROW()-ROW(tblVeriA[[#Headers]])),"")," ",""))))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UPPER(TRIM(SUBSTITUTE($I182,"-","")))</f>
        <v/>
      </c>
      <c r="K182" s="16">
        <f>IF($J182="",0,LEN($J182))</f>
        <v/>
      </c>
      <c r="L182" s="16">
        <f>IF($I182="","",UPPER(TRIM(SUBSTITUTE(IFERROR(INDEX(tblVeriB[FaturaNo],ROW()-ROW(tblVeriB[[#Headers]])),"")," ",""))))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UPPER(TRIM(SUBSTITUTE($A183,"-","")))</f>
        <v/>
      </c>
      <c r="C183" s="16">
        <f>IF($B183="",0,LEN($B183))</f>
        <v/>
      </c>
      <c r="D183" s="16">
        <f>IF($A183="","",UPPER(TRIM(SUBSTITUTE(IFERROR(INDEX(tblVeriA[FaturaNo],ROW()-ROW(tblVeriA[[#Headers]])),"")," ",""))))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UPPER(TRIM(SUBSTITUTE($I183,"-","")))</f>
        <v/>
      </c>
      <c r="K183" s="16">
        <f>IF($J183="",0,LEN($J183))</f>
        <v/>
      </c>
      <c r="L183" s="16">
        <f>IF($I183="","",UPPER(TRIM(SUBSTITUTE(IFERROR(INDEX(tblVeriB[FaturaNo],ROW()-ROW(tblVeriB[[#Headers]])),"")," ",""))))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UPPER(TRIM(SUBSTITUTE($A184,"-","")))</f>
        <v/>
      </c>
      <c r="C184" s="16">
        <f>IF($B184="",0,LEN($B184))</f>
        <v/>
      </c>
      <c r="D184" s="16">
        <f>IF($A184="","",UPPER(TRIM(SUBSTITUTE(IFERROR(INDEX(tblVeriA[FaturaNo],ROW()-ROW(tblVeriA[[#Headers]])),"")," ",""))))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UPPER(TRIM(SUBSTITUTE($I184,"-","")))</f>
        <v/>
      </c>
      <c r="K184" s="16">
        <f>IF($J184="",0,LEN($J184))</f>
        <v/>
      </c>
      <c r="L184" s="16">
        <f>IF($I184="","",UPPER(TRIM(SUBSTITUTE(IFERROR(INDEX(tblVeriB[FaturaNo],ROW()-ROW(tblVeriB[[#Headers]])),"")," ",""))))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UPPER(TRIM(SUBSTITUTE($A185,"-","")))</f>
        <v/>
      </c>
      <c r="C185" s="16">
        <f>IF($B185="",0,LEN($B185))</f>
        <v/>
      </c>
      <c r="D185" s="16">
        <f>IF($A185="","",UPPER(TRIM(SUBSTITUTE(IFERROR(INDEX(tblVeriA[FaturaNo],ROW()-ROW(tblVeriA[[#Headers]])),"")," ",""))))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UPPER(TRIM(SUBSTITUTE($I185,"-","")))</f>
        <v/>
      </c>
      <c r="K185" s="16">
        <f>IF($J185="",0,LEN($J185))</f>
        <v/>
      </c>
      <c r="L185" s="16">
        <f>IF($I185="","",UPPER(TRIM(SUBSTITUTE(IFERROR(INDEX(tblVeriB[FaturaNo],ROW()-ROW(tblVeriB[[#Headers]])),"")," ",""))))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UPPER(TRIM(SUBSTITUTE($A186,"-","")))</f>
        <v/>
      </c>
      <c r="C186" s="16">
        <f>IF($B186="",0,LEN($B186))</f>
        <v/>
      </c>
      <c r="D186" s="16">
        <f>IF($A186="","",UPPER(TRIM(SUBSTITUTE(IFERROR(INDEX(tblVeriA[FaturaNo],ROW()-ROW(tblVeriA[[#Headers]])),"")," ",""))))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UPPER(TRIM(SUBSTITUTE($I186,"-","")))</f>
        <v/>
      </c>
      <c r="K186" s="16">
        <f>IF($J186="",0,LEN($J186))</f>
        <v/>
      </c>
      <c r="L186" s="16">
        <f>IF($I186="","",UPPER(TRIM(SUBSTITUTE(IFERROR(INDEX(tblVeriB[FaturaNo],ROW()-ROW(tblVeriB[[#Headers]])),"")," ",""))))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UPPER(TRIM(SUBSTITUTE($A187,"-","")))</f>
        <v/>
      </c>
      <c r="C187" s="16">
        <f>IF($B187="",0,LEN($B187))</f>
        <v/>
      </c>
      <c r="D187" s="16">
        <f>IF($A187="","",UPPER(TRIM(SUBSTITUTE(IFERROR(INDEX(tblVeriA[FaturaNo],ROW()-ROW(tblVeriA[[#Headers]])),"")," ",""))))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UPPER(TRIM(SUBSTITUTE($I187,"-","")))</f>
        <v/>
      </c>
      <c r="K187" s="16">
        <f>IF($J187="",0,LEN($J187))</f>
        <v/>
      </c>
      <c r="L187" s="16">
        <f>IF($I187="","",UPPER(TRIM(SUBSTITUTE(IFERROR(INDEX(tblVeriB[FaturaNo],ROW()-ROW(tblVeriB[[#Headers]])),"")," ",""))))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UPPER(TRIM(SUBSTITUTE($A188,"-","")))</f>
        <v/>
      </c>
      <c r="C188" s="16">
        <f>IF($B188="",0,LEN($B188))</f>
        <v/>
      </c>
      <c r="D188" s="16">
        <f>IF($A188="","",UPPER(TRIM(SUBSTITUTE(IFERROR(INDEX(tblVeriA[FaturaNo],ROW()-ROW(tblVeriA[[#Headers]])),"")," ",""))))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UPPER(TRIM(SUBSTITUTE($I188,"-","")))</f>
        <v/>
      </c>
      <c r="K188" s="16">
        <f>IF($J188="",0,LEN($J188))</f>
        <v/>
      </c>
      <c r="L188" s="16">
        <f>IF($I188="","",UPPER(TRIM(SUBSTITUTE(IFERROR(INDEX(tblVeriB[FaturaNo],ROW()-ROW(tblVeriB[[#Headers]])),"")," ",""))))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UPPER(TRIM(SUBSTITUTE($A189,"-","")))</f>
        <v/>
      </c>
      <c r="C189" s="16">
        <f>IF($B189="",0,LEN($B189))</f>
        <v/>
      </c>
      <c r="D189" s="16">
        <f>IF($A189="","",UPPER(TRIM(SUBSTITUTE(IFERROR(INDEX(tblVeriA[FaturaNo],ROW()-ROW(tblVeriA[[#Headers]])),"")," ",""))))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UPPER(TRIM(SUBSTITUTE($I189,"-","")))</f>
        <v/>
      </c>
      <c r="K189" s="16">
        <f>IF($J189="",0,LEN($J189))</f>
        <v/>
      </c>
      <c r="L189" s="16">
        <f>IF($I189="","",UPPER(TRIM(SUBSTITUTE(IFERROR(INDEX(tblVeriB[FaturaNo],ROW()-ROW(tblVeriB[[#Headers]])),"")," ",""))))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UPPER(TRIM(SUBSTITUTE($A190,"-","")))</f>
        <v/>
      </c>
      <c r="C190" s="16">
        <f>IF($B190="",0,LEN($B190))</f>
        <v/>
      </c>
      <c r="D190" s="16">
        <f>IF($A190="","",UPPER(TRIM(SUBSTITUTE(IFERROR(INDEX(tblVeriA[FaturaNo],ROW()-ROW(tblVeriA[[#Headers]])),"")," ",""))))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UPPER(TRIM(SUBSTITUTE($I190,"-","")))</f>
        <v/>
      </c>
      <c r="K190" s="16">
        <f>IF($J190="",0,LEN($J190))</f>
        <v/>
      </c>
      <c r="L190" s="16">
        <f>IF($I190="","",UPPER(TRIM(SUBSTITUTE(IFERROR(INDEX(tblVeriB[FaturaNo],ROW()-ROW(tblVeriB[[#Headers]])),"")," ",""))))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UPPER(TRIM(SUBSTITUTE($A191,"-","")))</f>
        <v/>
      </c>
      <c r="C191" s="16">
        <f>IF($B191="",0,LEN($B191))</f>
        <v/>
      </c>
      <c r="D191" s="16">
        <f>IF($A191="","",UPPER(TRIM(SUBSTITUTE(IFERROR(INDEX(tblVeriA[FaturaNo],ROW()-ROW(tblVeriA[[#Headers]])),"")," ",""))))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UPPER(TRIM(SUBSTITUTE($I191,"-","")))</f>
        <v/>
      </c>
      <c r="K191" s="16">
        <f>IF($J191="",0,LEN($J191))</f>
        <v/>
      </c>
      <c r="L191" s="16">
        <f>IF($I191="","",UPPER(TRIM(SUBSTITUTE(IFERROR(INDEX(tblVeriB[FaturaNo],ROW()-ROW(tblVeriB[[#Headers]])),"")," ",""))))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UPPER(TRIM(SUBSTITUTE($A192,"-","")))</f>
        <v/>
      </c>
      <c r="C192" s="16">
        <f>IF($B192="",0,LEN($B192))</f>
        <v/>
      </c>
      <c r="D192" s="16">
        <f>IF($A192="","",UPPER(TRIM(SUBSTITUTE(IFERROR(INDEX(tblVeriA[FaturaNo],ROW()-ROW(tblVeriA[[#Headers]])),"")," ",""))))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UPPER(TRIM(SUBSTITUTE($I192,"-","")))</f>
        <v/>
      </c>
      <c r="K192" s="16">
        <f>IF($J192="",0,LEN($J192))</f>
        <v/>
      </c>
      <c r="L192" s="16">
        <f>IF($I192="","",UPPER(TRIM(SUBSTITUTE(IFERROR(INDEX(tblVeriB[FaturaNo],ROW()-ROW(tblVeriB[[#Headers]])),"")," ",""))))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UPPER(TRIM(SUBSTITUTE($A193,"-","")))</f>
        <v/>
      </c>
      <c r="C193" s="16">
        <f>IF($B193="",0,LEN($B193))</f>
        <v/>
      </c>
      <c r="D193" s="16">
        <f>IF($A193="","",UPPER(TRIM(SUBSTITUTE(IFERROR(INDEX(tblVeriA[FaturaNo],ROW()-ROW(tblVeriA[[#Headers]])),"")," ",""))))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UPPER(TRIM(SUBSTITUTE($I193,"-","")))</f>
        <v/>
      </c>
      <c r="K193" s="16">
        <f>IF($J193="",0,LEN($J193))</f>
        <v/>
      </c>
      <c r="L193" s="16">
        <f>IF($I193="","",UPPER(TRIM(SUBSTITUTE(IFERROR(INDEX(tblVeriB[FaturaNo],ROW()-ROW(tblVeriB[[#Headers]])),"")," ",""))))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UPPER(TRIM(SUBSTITUTE($A194,"-","")))</f>
        <v/>
      </c>
      <c r="C194" s="16">
        <f>IF($B194="",0,LEN($B194))</f>
        <v/>
      </c>
      <c r="D194" s="16">
        <f>IF($A194="","",UPPER(TRIM(SUBSTITUTE(IFERROR(INDEX(tblVeriA[FaturaNo],ROW()-ROW(tblVeriA[[#Headers]])),"")," ",""))))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UPPER(TRIM(SUBSTITUTE($I194,"-","")))</f>
        <v/>
      </c>
      <c r="K194" s="16">
        <f>IF($J194="",0,LEN($J194))</f>
        <v/>
      </c>
      <c r="L194" s="16">
        <f>IF($I194="","",UPPER(TRIM(SUBSTITUTE(IFERROR(INDEX(tblVeriB[FaturaNo],ROW()-ROW(tblVeriB[[#Headers]])),"")," ",""))))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UPPER(TRIM(SUBSTITUTE($A195,"-","")))</f>
        <v/>
      </c>
      <c r="C195" s="16">
        <f>IF($B195="",0,LEN($B195))</f>
        <v/>
      </c>
      <c r="D195" s="16">
        <f>IF($A195="","",UPPER(TRIM(SUBSTITUTE(IFERROR(INDEX(tblVeriA[FaturaNo],ROW()-ROW(tblVeriA[[#Headers]])),"")," ",""))))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UPPER(TRIM(SUBSTITUTE($I195,"-","")))</f>
        <v/>
      </c>
      <c r="K195" s="16">
        <f>IF($J195="",0,LEN($J195))</f>
        <v/>
      </c>
      <c r="L195" s="16">
        <f>IF($I195="","",UPPER(TRIM(SUBSTITUTE(IFERROR(INDEX(tblVeriB[FaturaNo],ROW()-ROW(tblVeriB[[#Headers]])),"")," ",""))))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UPPER(TRIM(SUBSTITUTE($A196,"-","")))</f>
        <v/>
      </c>
      <c r="C196" s="16">
        <f>IF($B196="",0,LEN($B196))</f>
        <v/>
      </c>
      <c r="D196" s="16">
        <f>IF($A196="","",UPPER(TRIM(SUBSTITUTE(IFERROR(INDEX(tblVeriA[FaturaNo],ROW()-ROW(tblVeriA[[#Headers]])),"")," ",""))))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UPPER(TRIM(SUBSTITUTE($I196,"-","")))</f>
        <v/>
      </c>
      <c r="K196" s="16">
        <f>IF($J196="",0,LEN($J196))</f>
        <v/>
      </c>
      <c r="L196" s="16">
        <f>IF($I196="","",UPPER(TRIM(SUBSTITUTE(IFERROR(INDEX(tblVeriB[FaturaNo],ROW()-ROW(tblVeriB[[#Headers]])),"")," ",""))))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UPPER(TRIM(SUBSTITUTE($A197,"-","")))</f>
        <v/>
      </c>
      <c r="C197" s="16">
        <f>IF($B197="",0,LEN($B197))</f>
        <v/>
      </c>
      <c r="D197" s="16">
        <f>IF($A197="","",UPPER(TRIM(SUBSTITUTE(IFERROR(INDEX(tblVeriA[FaturaNo],ROW()-ROW(tblVeriA[[#Headers]])),"")," ",""))))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UPPER(TRIM(SUBSTITUTE($I197,"-","")))</f>
        <v/>
      </c>
      <c r="K197" s="16">
        <f>IF($J197="",0,LEN($J197))</f>
        <v/>
      </c>
      <c r="L197" s="16">
        <f>IF($I197="","",UPPER(TRIM(SUBSTITUTE(IFERROR(INDEX(tblVeriB[FaturaNo],ROW()-ROW(tblVeriB[[#Headers]])),"")," ",""))))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UPPER(TRIM(SUBSTITUTE($A198,"-","")))</f>
        <v/>
      </c>
      <c r="C198" s="16">
        <f>IF($B198="",0,LEN($B198))</f>
        <v/>
      </c>
      <c r="D198" s="16">
        <f>IF($A198="","",UPPER(TRIM(SUBSTITUTE(IFERROR(INDEX(tblVeriA[FaturaNo],ROW()-ROW(tblVeriA[[#Headers]])),"")," ",""))))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UPPER(TRIM(SUBSTITUTE($I198,"-","")))</f>
        <v/>
      </c>
      <c r="K198" s="16">
        <f>IF($J198="",0,LEN($J198))</f>
        <v/>
      </c>
      <c r="L198" s="16">
        <f>IF($I198="","",UPPER(TRIM(SUBSTITUTE(IFERROR(INDEX(tblVeriB[FaturaNo],ROW()-ROW(tblVeriB[[#Headers]])),"")," ",""))))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UPPER(TRIM(SUBSTITUTE($A199,"-","")))</f>
        <v/>
      </c>
      <c r="C199" s="16">
        <f>IF($B199="",0,LEN($B199))</f>
        <v/>
      </c>
      <c r="D199" s="16">
        <f>IF($A199="","",UPPER(TRIM(SUBSTITUTE(IFERROR(INDEX(tblVeriA[FaturaNo],ROW()-ROW(tblVeriA[[#Headers]])),"")," ",""))))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UPPER(TRIM(SUBSTITUTE($I199,"-","")))</f>
        <v/>
      </c>
      <c r="K199" s="16">
        <f>IF($J199="",0,LEN($J199))</f>
        <v/>
      </c>
      <c r="L199" s="16">
        <f>IF($I199="","",UPPER(TRIM(SUBSTITUTE(IFERROR(INDEX(tblVeriB[FaturaNo],ROW()-ROW(tblVeriB[[#Headers]])),"")," ",""))))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UPPER(TRIM(SUBSTITUTE($A200,"-","")))</f>
        <v/>
      </c>
      <c r="C200" s="16">
        <f>IF($B200="",0,LEN($B200))</f>
        <v/>
      </c>
      <c r="D200" s="16">
        <f>IF($A200="","",UPPER(TRIM(SUBSTITUTE(IFERROR(INDEX(tblVeriA[FaturaNo],ROW()-ROW(tblVeriA[[#Headers]])),"")," ",""))))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UPPER(TRIM(SUBSTITUTE($I200,"-","")))</f>
        <v/>
      </c>
      <c r="K200" s="16">
        <f>IF($J200="",0,LEN($J200))</f>
        <v/>
      </c>
      <c r="L200" s="16">
        <f>IF($I200="","",UPPER(TRIM(SUBSTITUTE(IFERROR(INDEX(tblVeriB[FaturaNo],ROW()-ROW(tblVeriB[[#Headers]])),"")," ",""))))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UPPER(TRIM(SUBSTITUTE($A201,"-","")))</f>
        <v/>
      </c>
      <c r="C201" s="16">
        <f>IF($B201="",0,LEN($B201))</f>
        <v/>
      </c>
      <c r="D201" s="16">
        <f>IF($A201="","",UPPER(TRIM(SUBSTITUTE(IFERROR(INDEX(tblVeriA[FaturaNo],ROW()-ROW(tblVeriA[[#Headers]])),"")," ",""))))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UPPER(TRIM(SUBSTITUTE($I201,"-","")))</f>
        <v/>
      </c>
      <c r="K201" s="16">
        <f>IF($J201="",0,LEN($J201))</f>
        <v/>
      </c>
      <c r="L201" s="16">
        <f>IF($I201="","",UPPER(TRIM(SUBSTITUTE(IFERROR(INDEX(tblVeriB[FaturaNo],ROW()-ROW(tblVeriB[[#Headers]])),"")," ",""))))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UPPER(TRIM(SUBSTITUTE($A202,"-","")))</f>
        <v/>
      </c>
      <c r="C202" s="16">
        <f>IF($B202="",0,LEN($B202))</f>
        <v/>
      </c>
      <c r="D202" s="16">
        <f>IF($A202="","",UPPER(TRIM(SUBSTITUTE(IFERROR(INDEX(tblVeriA[FaturaNo],ROW()-ROW(tblVeriA[[#Headers]])),"")," ",""))))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UPPER(TRIM(SUBSTITUTE($I202,"-","")))</f>
        <v/>
      </c>
      <c r="K202" s="16">
        <f>IF($J202="",0,LEN($J202))</f>
        <v/>
      </c>
      <c r="L202" s="16">
        <f>IF($I202="","",UPPER(TRIM(SUBSTITUTE(IFERROR(INDEX(tblVeriB[FaturaNo],ROW()-ROW(tblVeriB[[#Headers]])),"")," ",""))))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UPPER(TRIM(SUBSTITUTE($A203,"-","")))</f>
        <v/>
      </c>
      <c r="C203" s="16">
        <f>IF($B203="",0,LEN($B203))</f>
        <v/>
      </c>
      <c r="D203" s="16">
        <f>IF($A203="","",UPPER(TRIM(SUBSTITUTE(IFERROR(INDEX(tblVeriA[FaturaNo],ROW()-ROW(tblVeriA[[#Headers]])),"")," ",""))))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UPPER(TRIM(SUBSTITUTE($I203,"-","")))</f>
        <v/>
      </c>
      <c r="K203" s="16">
        <f>IF($J203="",0,LEN($J203))</f>
        <v/>
      </c>
      <c r="L203" s="16">
        <f>IF($I203="","",UPPER(TRIM(SUBSTITUTE(IFERROR(INDEX(tblVeriB[FaturaNo],ROW()-ROW(tblVeriB[[#Headers]])),"")," ",""))))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UPPER(TRIM(SUBSTITUTE($A204,"-","")))</f>
        <v/>
      </c>
      <c r="C204" s="16">
        <f>IF($B204="",0,LEN($B204))</f>
        <v/>
      </c>
      <c r="D204" s="16">
        <f>IF($A204="","",UPPER(TRIM(SUBSTITUTE(IFERROR(INDEX(tblVeriA[FaturaNo],ROW()-ROW(tblVeriA[[#Headers]])),"")," ",""))))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UPPER(TRIM(SUBSTITUTE($I204,"-","")))</f>
        <v/>
      </c>
      <c r="K204" s="16">
        <f>IF($J204="",0,LEN($J204))</f>
        <v/>
      </c>
      <c r="L204" s="16">
        <f>IF($I204="","",UPPER(TRIM(SUBSTITUTE(IFERROR(INDEX(tblVeriB[FaturaNo],ROW()-ROW(tblVeriB[[#Headers]])),"")," ",""))))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UPPER(TRIM(SUBSTITUTE($A205,"-","")))</f>
        <v/>
      </c>
      <c r="C205" s="16">
        <f>IF($B205="",0,LEN($B205))</f>
        <v/>
      </c>
      <c r="D205" s="16">
        <f>IF($A205="","",UPPER(TRIM(SUBSTITUTE(IFERROR(INDEX(tblVeriA[FaturaNo],ROW()-ROW(tblVeriA[[#Headers]])),"")," ",""))))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UPPER(TRIM(SUBSTITUTE($I205,"-","")))</f>
        <v/>
      </c>
      <c r="K205" s="16">
        <f>IF($J205="",0,LEN($J205))</f>
        <v/>
      </c>
      <c r="L205" s="16">
        <f>IF($I205="","",UPPER(TRIM(SUBSTITUTE(IFERROR(INDEX(tblVeriB[FaturaNo],ROW()-ROW(tblVeriB[[#Headers]])),"")," ",""))))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UPPER(TRIM(SUBSTITUTE($A206,"-","")))</f>
        <v/>
      </c>
      <c r="C206" s="16">
        <f>IF($B206="",0,LEN($B206))</f>
        <v/>
      </c>
      <c r="D206" s="16">
        <f>IF($A206="","",UPPER(TRIM(SUBSTITUTE(IFERROR(INDEX(tblVeriA[FaturaNo],ROW()-ROW(tblVeriA[[#Headers]])),"")," ",""))))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UPPER(TRIM(SUBSTITUTE($I206,"-","")))</f>
        <v/>
      </c>
      <c r="K206" s="16">
        <f>IF($J206="",0,LEN($J206))</f>
        <v/>
      </c>
      <c r="L206" s="16">
        <f>IF($I206="","",UPPER(TRIM(SUBSTITUTE(IFERROR(INDEX(tblVeriB[FaturaNo],ROW()-ROW(tblVeriB[[#Headers]])),"")," ",""))))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UPPER(TRIM(SUBSTITUTE($A207,"-","")))</f>
        <v/>
      </c>
      <c r="C207" s="16">
        <f>IF($B207="",0,LEN($B207))</f>
        <v/>
      </c>
      <c r="D207" s="16">
        <f>IF($A207="","",UPPER(TRIM(SUBSTITUTE(IFERROR(INDEX(tblVeriA[FaturaNo],ROW()-ROW(tblVeriA[[#Headers]])),"")," ",""))))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UPPER(TRIM(SUBSTITUTE($I207,"-","")))</f>
        <v/>
      </c>
      <c r="K207" s="16">
        <f>IF($J207="",0,LEN($J207))</f>
        <v/>
      </c>
      <c r="L207" s="16">
        <f>IF($I207="","",UPPER(TRIM(SUBSTITUTE(IFERROR(INDEX(tblVeriB[FaturaNo],ROW()-ROW(tblVeriB[[#Headers]])),"")," ",""))))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UPPER(TRIM(SUBSTITUTE($A208,"-","")))</f>
        <v/>
      </c>
      <c r="C208" s="16">
        <f>IF($B208="",0,LEN($B208))</f>
        <v/>
      </c>
      <c r="D208" s="16">
        <f>IF($A208="","",UPPER(TRIM(SUBSTITUTE(IFERROR(INDEX(tblVeriA[FaturaNo],ROW()-ROW(tblVeriA[[#Headers]])),"")," ",""))))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UPPER(TRIM(SUBSTITUTE($I208,"-","")))</f>
        <v/>
      </c>
      <c r="K208" s="16">
        <f>IF($J208="",0,LEN($J208))</f>
        <v/>
      </c>
      <c r="L208" s="16">
        <f>IF($I208="","",UPPER(TRIM(SUBSTITUTE(IFERROR(INDEX(tblVeriB[FaturaNo],ROW()-ROW(tblVeriB[[#Headers]])),"")," ",""))))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UPPER(TRIM(SUBSTITUTE($A209,"-","")))</f>
        <v/>
      </c>
      <c r="C209" s="16">
        <f>IF($B209="",0,LEN($B209))</f>
        <v/>
      </c>
      <c r="D209" s="16">
        <f>IF($A209="","",UPPER(TRIM(SUBSTITUTE(IFERROR(INDEX(tblVeriA[FaturaNo],ROW()-ROW(tblVeriA[[#Headers]])),"")," ",""))))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UPPER(TRIM(SUBSTITUTE($I209,"-","")))</f>
        <v/>
      </c>
      <c r="K209" s="16">
        <f>IF($J209="",0,LEN($J209))</f>
        <v/>
      </c>
      <c r="L209" s="16">
        <f>IF($I209="","",UPPER(TRIM(SUBSTITUTE(IFERROR(INDEX(tblVeriB[FaturaNo],ROW()-ROW(tblVeriB[[#Headers]])),"")," ",""))))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UPPER(TRIM(SUBSTITUTE($A210,"-","")))</f>
        <v/>
      </c>
      <c r="C210" s="16">
        <f>IF($B210="",0,LEN($B210))</f>
        <v/>
      </c>
      <c r="D210" s="16">
        <f>IF($A210="","",UPPER(TRIM(SUBSTITUTE(IFERROR(INDEX(tblVeriA[FaturaNo],ROW()-ROW(tblVeriA[[#Headers]])),"")," ",""))))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UPPER(TRIM(SUBSTITUTE($I210,"-","")))</f>
        <v/>
      </c>
      <c r="K210" s="16">
        <f>IF($J210="",0,LEN($J210))</f>
        <v/>
      </c>
      <c r="L210" s="16">
        <f>IF($I210="","",UPPER(TRIM(SUBSTITUTE(IFERROR(INDEX(tblVeriB[FaturaNo],ROW()-ROW(tblVeriB[[#Headers]])),"")," ",""))))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UPPER(TRIM(SUBSTITUTE($A211,"-","")))</f>
        <v/>
      </c>
      <c r="C211" s="16">
        <f>IF($B211="",0,LEN($B211))</f>
        <v/>
      </c>
      <c r="D211" s="16">
        <f>IF($A211="","",UPPER(TRIM(SUBSTITUTE(IFERROR(INDEX(tblVeriA[FaturaNo],ROW()-ROW(tblVeriA[[#Headers]])),"")," ",""))))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UPPER(TRIM(SUBSTITUTE($I211,"-","")))</f>
        <v/>
      </c>
      <c r="K211" s="16">
        <f>IF($J211="",0,LEN($J211))</f>
        <v/>
      </c>
      <c r="L211" s="16">
        <f>IF($I211="","",UPPER(TRIM(SUBSTITUTE(IFERROR(INDEX(tblVeriB[FaturaNo],ROW()-ROW(tblVeriB[[#Headers]])),"")," ",""))))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UPPER(TRIM(SUBSTITUTE($A212,"-","")))</f>
        <v/>
      </c>
      <c r="C212" s="16">
        <f>IF($B212="",0,LEN($B212))</f>
        <v/>
      </c>
      <c r="D212" s="16">
        <f>IF($A212="","",UPPER(TRIM(SUBSTITUTE(IFERROR(INDEX(tblVeriA[FaturaNo],ROW()-ROW(tblVeriA[[#Headers]])),"")," ",""))))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UPPER(TRIM(SUBSTITUTE($I212,"-","")))</f>
        <v/>
      </c>
      <c r="K212" s="16">
        <f>IF($J212="",0,LEN($J212))</f>
        <v/>
      </c>
      <c r="L212" s="16">
        <f>IF($I212="","",UPPER(TRIM(SUBSTITUTE(IFERROR(INDEX(tblVeriB[FaturaNo],ROW()-ROW(tblVeriB[[#Headers]])),"")," ",""))))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UPPER(TRIM(SUBSTITUTE($A213,"-","")))</f>
        <v/>
      </c>
      <c r="C213" s="16">
        <f>IF($B213="",0,LEN($B213))</f>
        <v/>
      </c>
      <c r="D213" s="16">
        <f>IF($A213="","",UPPER(TRIM(SUBSTITUTE(IFERROR(INDEX(tblVeriA[FaturaNo],ROW()-ROW(tblVeriA[[#Headers]])),"")," ",""))))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UPPER(TRIM(SUBSTITUTE($I213,"-","")))</f>
        <v/>
      </c>
      <c r="K213" s="16">
        <f>IF($J213="",0,LEN($J213))</f>
        <v/>
      </c>
      <c r="L213" s="16">
        <f>IF($I213="","",UPPER(TRIM(SUBSTITUTE(IFERROR(INDEX(tblVeriB[FaturaNo],ROW()-ROW(tblVeriB[[#Headers]])),"")," ",""))))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UPPER(TRIM(SUBSTITUTE($A214,"-","")))</f>
        <v/>
      </c>
      <c r="C214" s="16">
        <f>IF($B214="",0,LEN($B214))</f>
        <v/>
      </c>
      <c r="D214" s="16">
        <f>IF($A214="","",UPPER(TRIM(SUBSTITUTE(IFERROR(INDEX(tblVeriA[FaturaNo],ROW()-ROW(tblVeriA[[#Headers]])),"")," ",""))))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UPPER(TRIM(SUBSTITUTE($I214,"-","")))</f>
        <v/>
      </c>
      <c r="K214" s="16">
        <f>IF($J214="",0,LEN($J214))</f>
        <v/>
      </c>
      <c r="L214" s="16">
        <f>IF($I214="","",UPPER(TRIM(SUBSTITUTE(IFERROR(INDEX(tblVeriB[FaturaNo],ROW()-ROW(tblVeriB[[#Headers]])),"")," ",""))))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UPPER(TRIM(SUBSTITUTE($A215,"-","")))</f>
        <v/>
      </c>
      <c r="C215" s="16">
        <f>IF($B215="",0,LEN($B215))</f>
        <v/>
      </c>
      <c r="D215" s="16">
        <f>IF($A215="","",UPPER(TRIM(SUBSTITUTE(IFERROR(INDEX(tblVeriA[FaturaNo],ROW()-ROW(tblVeriA[[#Headers]])),"")," ",""))))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UPPER(TRIM(SUBSTITUTE($I215,"-","")))</f>
        <v/>
      </c>
      <c r="K215" s="16">
        <f>IF($J215="",0,LEN($J215))</f>
        <v/>
      </c>
      <c r="L215" s="16">
        <f>IF($I215="","",UPPER(TRIM(SUBSTITUTE(IFERROR(INDEX(tblVeriB[FaturaNo],ROW()-ROW(tblVeriB[[#Headers]])),"")," ",""))))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UPPER(TRIM(SUBSTITUTE($A216,"-","")))</f>
        <v/>
      </c>
      <c r="C216" s="16">
        <f>IF($B216="",0,LEN($B216))</f>
        <v/>
      </c>
      <c r="D216" s="16">
        <f>IF($A216="","",UPPER(TRIM(SUBSTITUTE(IFERROR(INDEX(tblVeriA[FaturaNo],ROW()-ROW(tblVeriA[[#Headers]])),"")," ",""))))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UPPER(TRIM(SUBSTITUTE($I216,"-","")))</f>
        <v/>
      </c>
      <c r="K216" s="16">
        <f>IF($J216="",0,LEN($J216))</f>
        <v/>
      </c>
      <c r="L216" s="16">
        <f>IF($I216="","",UPPER(TRIM(SUBSTITUTE(IFERROR(INDEX(tblVeriB[FaturaNo],ROW()-ROW(tblVeriB[[#Headers]])),"")," ",""))))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UPPER(TRIM(SUBSTITUTE($A217,"-","")))</f>
        <v/>
      </c>
      <c r="C217" s="16">
        <f>IF($B217="",0,LEN($B217))</f>
        <v/>
      </c>
      <c r="D217" s="16">
        <f>IF($A217="","",UPPER(TRIM(SUBSTITUTE(IFERROR(INDEX(tblVeriA[FaturaNo],ROW()-ROW(tblVeriA[[#Headers]])),"")," ",""))))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UPPER(TRIM(SUBSTITUTE($I217,"-","")))</f>
        <v/>
      </c>
      <c r="K217" s="16">
        <f>IF($J217="",0,LEN($J217))</f>
        <v/>
      </c>
      <c r="L217" s="16">
        <f>IF($I217="","",UPPER(TRIM(SUBSTITUTE(IFERROR(INDEX(tblVeriB[FaturaNo],ROW()-ROW(tblVeriB[[#Headers]])),"")," ",""))))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UPPER(TRIM(SUBSTITUTE($A218,"-","")))</f>
        <v/>
      </c>
      <c r="C218" s="16">
        <f>IF($B218="",0,LEN($B218))</f>
        <v/>
      </c>
      <c r="D218" s="16">
        <f>IF($A218="","",UPPER(TRIM(SUBSTITUTE(IFERROR(INDEX(tblVeriA[FaturaNo],ROW()-ROW(tblVeriA[[#Headers]])),"")," ",""))))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UPPER(TRIM(SUBSTITUTE($I218,"-","")))</f>
        <v/>
      </c>
      <c r="K218" s="16">
        <f>IF($J218="",0,LEN($J218))</f>
        <v/>
      </c>
      <c r="L218" s="16">
        <f>IF($I218="","",UPPER(TRIM(SUBSTITUTE(IFERROR(INDEX(tblVeriB[FaturaNo],ROW()-ROW(tblVeriB[[#Headers]])),"")," ",""))))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UPPER(TRIM(SUBSTITUTE($A219,"-","")))</f>
        <v/>
      </c>
      <c r="C219" s="16">
        <f>IF($B219="",0,LEN($B219))</f>
        <v/>
      </c>
      <c r="D219" s="16">
        <f>IF($A219="","",UPPER(TRIM(SUBSTITUTE(IFERROR(INDEX(tblVeriA[FaturaNo],ROW()-ROW(tblVeriA[[#Headers]])),"")," ",""))))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UPPER(TRIM(SUBSTITUTE($I219,"-","")))</f>
        <v/>
      </c>
      <c r="K219" s="16">
        <f>IF($J219="",0,LEN($J219))</f>
        <v/>
      </c>
      <c r="L219" s="16">
        <f>IF($I219="","",UPPER(TRIM(SUBSTITUTE(IFERROR(INDEX(tblVeriB[FaturaNo],ROW()-ROW(tblVeriB[[#Headers]])),"")," ",""))))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UPPER(TRIM(SUBSTITUTE($A220,"-","")))</f>
        <v/>
      </c>
      <c r="C220" s="16">
        <f>IF($B220="",0,LEN($B220))</f>
        <v/>
      </c>
      <c r="D220" s="16">
        <f>IF($A220="","",UPPER(TRIM(SUBSTITUTE(IFERROR(INDEX(tblVeriA[FaturaNo],ROW()-ROW(tblVeriA[[#Headers]])),"")," ",""))))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UPPER(TRIM(SUBSTITUTE($I220,"-","")))</f>
        <v/>
      </c>
      <c r="K220" s="16">
        <f>IF($J220="",0,LEN($J220))</f>
        <v/>
      </c>
      <c r="L220" s="16">
        <f>IF($I220="","",UPPER(TRIM(SUBSTITUTE(IFERROR(INDEX(tblVeriB[FaturaNo],ROW()-ROW(tblVeriB[[#Headers]])),"")," ",""))))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UPPER(TRIM(SUBSTITUTE($A221,"-","")))</f>
        <v/>
      </c>
      <c r="C221" s="16">
        <f>IF($B221="",0,LEN($B221))</f>
        <v/>
      </c>
      <c r="D221" s="16">
        <f>IF($A221="","",UPPER(TRIM(SUBSTITUTE(IFERROR(INDEX(tblVeriA[FaturaNo],ROW()-ROW(tblVeriA[[#Headers]])),"")," ",""))))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UPPER(TRIM(SUBSTITUTE($I221,"-","")))</f>
        <v/>
      </c>
      <c r="K221" s="16">
        <f>IF($J221="",0,LEN($J221))</f>
        <v/>
      </c>
      <c r="L221" s="16">
        <f>IF($I221="","",UPPER(TRIM(SUBSTITUTE(IFERROR(INDEX(tblVeriB[FaturaNo],ROW()-ROW(tblVeriB[[#Headers]])),"")," ",""))))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UPPER(TRIM(SUBSTITUTE($A222,"-","")))</f>
        <v/>
      </c>
      <c r="C222" s="16">
        <f>IF($B222="",0,LEN($B222))</f>
        <v/>
      </c>
      <c r="D222" s="16">
        <f>IF($A222="","",UPPER(TRIM(SUBSTITUTE(IFERROR(INDEX(tblVeriA[FaturaNo],ROW()-ROW(tblVeriA[[#Headers]])),"")," ",""))))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UPPER(TRIM(SUBSTITUTE($I222,"-","")))</f>
        <v/>
      </c>
      <c r="K222" s="16">
        <f>IF($J222="",0,LEN($J222))</f>
        <v/>
      </c>
      <c r="L222" s="16">
        <f>IF($I222="","",UPPER(TRIM(SUBSTITUTE(IFERROR(INDEX(tblVeriB[FaturaNo],ROW()-ROW(tblVeriB[[#Headers]])),"")," ",""))))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UPPER(TRIM(SUBSTITUTE($A223,"-","")))</f>
        <v/>
      </c>
      <c r="C223" s="16">
        <f>IF($B223="",0,LEN($B223))</f>
        <v/>
      </c>
      <c r="D223" s="16">
        <f>IF($A223="","",UPPER(TRIM(SUBSTITUTE(IFERROR(INDEX(tblVeriA[FaturaNo],ROW()-ROW(tblVeriA[[#Headers]])),"")," ",""))))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UPPER(TRIM(SUBSTITUTE($I223,"-","")))</f>
        <v/>
      </c>
      <c r="K223" s="16">
        <f>IF($J223="",0,LEN($J223))</f>
        <v/>
      </c>
      <c r="L223" s="16">
        <f>IF($I223="","",UPPER(TRIM(SUBSTITUTE(IFERROR(INDEX(tblVeriB[FaturaNo],ROW()-ROW(tblVeriB[[#Headers]])),"")," ",""))))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UPPER(TRIM(SUBSTITUTE($A224,"-","")))</f>
        <v/>
      </c>
      <c r="C224" s="16">
        <f>IF($B224="",0,LEN($B224))</f>
        <v/>
      </c>
      <c r="D224" s="16">
        <f>IF($A224="","",UPPER(TRIM(SUBSTITUTE(IFERROR(INDEX(tblVeriA[FaturaNo],ROW()-ROW(tblVeriA[[#Headers]])),"")," ",""))))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UPPER(TRIM(SUBSTITUTE($I224,"-","")))</f>
        <v/>
      </c>
      <c r="K224" s="16">
        <f>IF($J224="",0,LEN($J224))</f>
        <v/>
      </c>
      <c r="L224" s="16">
        <f>IF($I224="","",UPPER(TRIM(SUBSTITUTE(IFERROR(INDEX(tblVeriB[FaturaNo],ROW()-ROW(tblVeriB[[#Headers]])),"")," ",""))))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UPPER(TRIM(SUBSTITUTE($A225,"-","")))</f>
        <v/>
      </c>
      <c r="C225" s="16">
        <f>IF($B225="",0,LEN($B225))</f>
        <v/>
      </c>
      <c r="D225" s="16">
        <f>IF($A225="","",UPPER(TRIM(SUBSTITUTE(IFERROR(INDEX(tblVeriA[FaturaNo],ROW()-ROW(tblVeriA[[#Headers]])),"")," ",""))))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UPPER(TRIM(SUBSTITUTE($I225,"-","")))</f>
        <v/>
      </c>
      <c r="K225" s="16">
        <f>IF($J225="",0,LEN($J225))</f>
        <v/>
      </c>
      <c r="L225" s="16">
        <f>IF($I225="","",UPPER(TRIM(SUBSTITUTE(IFERROR(INDEX(tblVeriB[FaturaNo],ROW()-ROW(tblVeriB[[#Headers]])),"")," ",""))))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UPPER(TRIM(SUBSTITUTE($A226,"-","")))</f>
        <v/>
      </c>
      <c r="C226" s="16">
        <f>IF($B226="",0,LEN($B226))</f>
        <v/>
      </c>
      <c r="D226" s="16">
        <f>IF($A226="","",UPPER(TRIM(SUBSTITUTE(IFERROR(INDEX(tblVeriA[FaturaNo],ROW()-ROW(tblVeriA[[#Headers]])),"")," ",""))))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UPPER(TRIM(SUBSTITUTE($I226,"-","")))</f>
        <v/>
      </c>
      <c r="K226" s="16">
        <f>IF($J226="",0,LEN($J226))</f>
        <v/>
      </c>
      <c r="L226" s="16">
        <f>IF($I226="","",UPPER(TRIM(SUBSTITUTE(IFERROR(INDEX(tblVeriB[FaturaNo],ROW()-ROW(tblVeriB[[#Headers]])),"")," ",""))))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UPPER(TRIM(SUBSTITUTE($A227,"-","")))</f>
        <v/>
      </c>
      <c r="C227" s="16">
        <f>IF($B227="",0,LEN($B227))</f>
        <v/>
      </c>
      <c r="D227" s="16">
        <f>IF($A227="","",UPPER(TRIM(SUBSTITUTE(IFERROR(INDEX(tblVeriA[FaturaNo],ROW()-ROW(tblVeriA[[#Headers]])),"")," ",""))))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UPPER(TRIM(SUBSTITUTE($I227,"-","")))</f>
        <v/>
      </c>
      <c r="K227" s="16">
        <f>IF($J227="",0,LEN($J227))</f>
        <v/>
      </c>
      <c r="L227" s="16">
        <f>IF($I227="","",UPPER(TRIM(SUBSTITUTE(IFERROR(INDEX(tblVeriB[FaturaNo],ROW()-ROW(tblVeriB[[#Headers]])),"")," ",""))))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UPPER(TRIM(SUBSTITUTE($A228,"-","")))</f>
        <v/>
      </c>
      <c r="C228" s="16">
        <f>IF($B228="",0,LEN($B228))</f>
        <v/>
      </c>
      <c r="D228" s="16">
        <f>IF($A228="","",UPPER(TRIM(SUBSTITUTE(IFERROR(INDEX(tblVeriA[FaturaNo],ROW()-ROW(tblVeriA[[#Headers]])),"")," ",""))))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UPPER(TRIM(SUBSTITUTE($I228,"-","")))</f>
        <v/>
      </c>
      <c r="K228" s="16">
        <f>IF($J228="",0,LEN($J228))</f>
        <v/>
      </c>
      <c r="L228" s="16">
        <f>IF($I228="","",UPPER(TRIM(SUBSTITUTE(IFERROR(INDEX(tblVeriB[FaturaNo],ROW()-ROW(tblVeriB[[#Headers]])),"")," ",""))))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UPPER(TRIM(SUBSTITUTE($A229,"-","")))</f>
        <v/>
      </c>
      <c r="C229" s="16">
        <f>IF($B229="",0,LEN($B229))</f>
        <v/>
      </c>
      <c r="D229" s="16">
        <f>IF($A229="","",UPPER(TRIM(SUBSTITUTE(IFERROR(INDEX(tblVeriA[FaturaNo],ROW()-ROW(tblVeriA[[#Headers]])),"")," ",""))))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UPPER(TRIM(SUBSTITUTE($I229,"-","")))</f>
        <v/>
      </c>
      <c r="K229" s="16">
        <f>IF($J229="",0,LEN($J229))</f>
        <v/>
      </c>
      <c r="L229" s="16">
        <f>IF($I229="","",UPPER(TRIM(SUBSTITUTE(IFERROR(INDEX(tblVeriB[FaturaNo],ROW()-ROW(tblVeriB[[#Headers]])),"")," ",""))))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UPPER(TRIM(SUBSTITUTE($A230,"-","")))</f>
        <v/>
      </c>
      <c r="C230" s="16">
        <f>IF($B230="",0,LEN($B230))</f>
        <v/>
      </c>
      <c r="D230" s="16">
        <f>IF($A230="","",UPPER(TRIM(SUBSTITUTE(IFERROR(INDEX(tblVeriA[FaturaNo],ROW()-ROW(tblVeriA[[#Headers]])),"")," ",""))))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UPPER(TRIM(SUBSTITUTE($I230,"-","")))</f>
        <v/>
      </c>
      <c r="K230" s="16">
        <f>IF($J230="",0,LEN($J230))</f>
        <v/>
      </c>
      <c r="L230" s="16">
        <f>IF($I230="","",UPPER(TRIM(SUBSTITUTE(IFERROR(INDEX(tblVeriB[FaturaNo],ROW()-ROW(tblVeriB[[#Headers]])),"")," ",""))))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UPPER(TRIM(SUBSTITUTE($A231,"-","")))</f>
        <v/>
      </c>
      <c r="C231" s="16">
        <f>IF($B231="",0,LEN($B231))</f>
        <v/>
      </c>
      <c r="D231" s="16">
        <f>IF($A231="","",UPPER(TRIM(SUBSTITUTE(IFERROR(INDEX(tblVeriA[FaturaNo],ROW()-ROW(tblVeriA[[#Headers]])),"")," ",""))))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UPPER(TRIM(SUBSTITUTE($I231,"-","")))</f>
        <v/>
      </c>
      <c r="K231" s="16">
        <f>IF($J231="",0,LEN($J231))</f>
        <v/>
      </c>
      <c r="L231" s="16">
        <f>IF($I231="","",UPPER(TRIM(SUBSTITUTE(IFERROR(INDEX(tblVeriB[FaturaNo],ROW()-ROW(tblVeriB[[#Headers]])),"")," ",""))))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UPPER(TRIM(SUBSTITUTE($A232,"-","")))</f>
        <v/>
      </c>
      <c r="C232" s="16">
        <f>IF($B232="",0,LEN($B232))</f>
        <v/>
      </c>
      <c r="D232" s="16">
        <f>IF($A232="","",UPPER(TRIM(SUBSTITUTE(IFERROR(INDEX(tblVeriA[FaturaNo],ROW()-ROW(tblVeriA[[#Headers]])),"")," ",""))))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UPPER(TRIM(SUBSTITUTE($I232,"-","")))</f>
        <v/>
      </c>
      <c r="K232" s="16">
        <f>IF($J232="",0,LEN($J232))</f>
        <v/>
      </c>
      <c r="L232" s="16">
        <f>IF($I232="","",UPPER(TRIM(SUBSTITUTE(IFERROR(INDEX(tblVeriB[FaturaNo],ROW()-ROW(tblVeriB[[#Headers]])),"")," ",""))))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UPPER(TRIM(SUBSTITUTE($A233,"-","")))</f>
        <v/>
      </c>
      <c r="C233" s="16">
        <f>IF($B233="",0,LEN($B233))</f>
        <v/>
      </c>
      <c r="D233" s="16">
        <f>IF($A233="","",UPPER(TRIM(SUBSTITUTE(IFERROR(INDEX(tblVeriA[FaturaNo],ROW()-ROW(tblVeriA[[#Headers]])),"")," ",""))))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UPPER(TRIM(SUBSTITUTE($I233,"-","")))</f>
        <v/>
      </c>
      <c r="K233" s="16">
        <f>IF($J233="",0,LEN($J233))</f>
        <v/>
      </c>
      <c r="L233" s="16">
        <f>IF($I233="","",UPPER(TRIM(SUBSTITUTE(IFERROR(INDEX(tblVeriB[FaturaNo],ROW()-ROW(tblVeriB[[#Headers]])),"")," ",""))))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UPPER(TRIM(SUBSTITUTE($A234,"-","")))</f>
        <v/>
      </c>
      <c r="C234" s="16">
        <f>IF($B234="",0,LEN($B234))</f>
        <v/>
      </c>
      <c r="D234" s="16">
        <f>IF($A234="","",UPPER(TRIM(SUBSTITUTE(IFERROR(INDEX(tblVeriA[FaturaNo],ROW()-ROW(tblVeriA[[#Headers]])),"")," ",""))))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UPPER(TRIM(SUBSTITUTE($I234,"-","")))</f>
        <v/>
      </c>
      <c r="K234" s="16">
        <f>IF($J234="",0,LEN($J234))</f>
        <v/>
      </c>
      <c r="L234" s="16">
        <f>IF($I234="","",UPPER(TRIM(SUBSTITUTE(IFERROR(INDEX(tblVeriB[FaturaNo],ROW()-ROW(tblVeriB[[#Headers]])),"")," ",""))))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UPPER(TRIM(SUBSTITUTE($A235,"-","")))</f>
        <v/>
      </c>
      <c r="C235" s="16">
        <f>IF($B235="",0,LEN($B235))</f>
        <v/>
      </c>
      <c r="D235" s="16">
        <f>IF($A235="","",UPPER(TRIM(SUBSTITUTE(IFERROR(INDEX(tblVeriA[FaturaNo],ROW()-ROW(tblVeriA[[#Headers]])),"")," ",""))))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UPPER(TRIM(SUBSTITUTE($I235,"-","")))</f>
        <v/>
      </c>
      <c r="K235" s="16">
        <f>IF($J235="",0,LEN($J235))</f>
        <v/>
      </c>
      <c r="L235" s="16">
        <f>IF($I235="","",UPPER(TRIM(SUBSTITUTE(IFERROR(INDEX(tblVeriB[FaturaNo],ROW()-ROW(tblVeriB[[#Headers]])),"")," ",""))))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UPPER(TRIM(SUBSTITUTE($A236,"-","")))</f>
        <v/>
      </c>
      <c r="C236" s="16">
        <f>IF($B236="",0,LEN($B236))</f>
        <v/>
      </c>
      <c r="D236" s="16">
        <f>IF($A236="","",UPPER(TRIM(SUBSTITUTE(IFERROR(INDEX(tblVeriA[FaturaNo],ROW()-ROW(tblVeriA[[#Headers]])),"")," ",""))))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UPPER(TRIM(SUBSTITUTE($I236,"-","")))</f>
        <v/>
      </c>
      <c r="K236" s="16">
        <f>IF($J236="",0,LEN($J236))</f>
        <v/>
      </c>
      <c r="L236" s="16">
        <f>IF($I236="","",UPPER(TRIM(SUBSTITUTE(IFERROR(INDEX(tblVeriB[FaturaNo],ROW()-ROW(tblVeriB[[#Headers]])),"")," ",""))))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UPPER(TRIM(SUBSTITUTE($A237,"-","")))</f>
        <v/>
      </c>
      <c r="C237" s="16">
        <f>IF($B237="",0,LEN($B237))</f>
        <v/>
      </c>
      <c r="D237" s="16">
        <f>IF($A237="","",UPPER(TRIM(SUBSTITUTE(IFERROR(INDEX(tblVeriA[FaturaNo],ROW()-ROW(tblVeriA[[#Headers]])),"")," ",""))))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UPPER(TRIM(SUBSTITUTE($I237,"-","")))</f>
        <v/>
      </c>
      <c r="K237" s="16">
        <f>IF($J237="",0,LEN($J237))</f>
        <v/>
      </c>
      <c r="L237" s="16">
        <f>IF($I237="","",UPPER(TRIM(SUBSTITUTE(IFERROR(INDEX(tblVeriB[FaturaNo],ROW()-ROW(tblVeriB[[#Headers]])),"")," ",""))))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UPPER(TRIM(SUBSTITUTE($A238,"-","")))</f>
        <v/>
      </c>
      <c r="C238" s="16">
        <f>IF($B238="",0,LEN($B238))</f>
        <v/>
      </c>
      <c r="D238" s="16">
        <f>IF($A238="","",UPPER(TRIM(SUBSTITUTE(IFERROR(INDEX(tblVeriA[FaturaNo],ROW()-ROW(tblVeriA[[#Headers]])),"")," ",""))))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UPPER(TRIM(SUBSTITUTE($I238,"-","")))</f>
        <v/>
      </c>
      <c r="K238" s="16">
        <f>IF($J238="",0,LEN($J238))</f>
        <v/>
      </c>
      <c r="L238" s="16">
        <f>IF($I238="","",UPPER(TRIM(SUBSTITUTE(IFERROR(INDEX(tblVeriB[FaturaNo],ROW()-ROW(tblVeriB[[#Headers]])),"")," ",""))))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UPPER(TRIM(SUBSTITUTE($A239,"-","")))</f>
        <v/>
      </c>
      <c r="C239" s="16">
        <f>IF($B239="",0,LEN($B239))</f>
        <v/>
      </c>
      <c r="D239" s="16">
        <f>IF($A239="","",UPPER(TRIM(SUBSTITUTE(IFERROR(INDEX(tblVeriA[FaturaNo],ROW()-ROW(tblVeriA[[#Headers]])),"")," ",""))))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UPPER(TRIM(SUBSTITUTE($I239,"-","")))</f>
        <v/>
      </c>
      <c r="K239" s="16">
        <f>IF($J239="",0,LEN($J239))</f>
        <v/>
      </c>
      <c r="L239" s="16">
        <f>IF($I239="","",UPPER(TRIM(SUBSTITUTE(IFERROR(INDEX(tblVeriB[FaturaNo],ROW()-ROW(tblVeriB[[#Headers]])),"")," ",""))))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UPPER(TRIM(SUBSTITUTE($A240,"-","")))</f>
        <v/>
      </c>
      <c r="C240" s="16">
        <f>IF($B240="",0,LEN($B240))</f>
        <v/>
      </c>
      <c r="D240" s="16">
        <f>IF($A240="","",UPPER(TRIM(SUBSTITUTE(IFERROR(INDEX(tblVeriA[FaturaNo],ROW()-ROW(tblVeriA[[#Headers]])),"")," ",""))))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UPPER(TRIM(SUBSTITUTE($I240,"-","")))</f>
        <v/>
      </c>
      <c r="K240" s="16">
        <f>IF($J240="",0,LEN($J240))</f>
        <v/>
      </c>
      <c r="L240" s="16">
        <f>IF($I240="","",UPPER(TRIM(SUBSTITUTE(IFERROR(INDEX(tblVeriB[FaturaNo],ROW()-ROW(tblVeriB[[#Headers]])),"")," ",""))))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UPPER(TRIM(SUBSTITUTE($A241,"-","")))</f>
        <v/>
      </c>
      <c r="C241" s="16">
        <f>IF($B241="",0,LEN($B241))</f>
        <v/>
      </c>
      <c r="D241" s="16">
        <f>IF($A241="","",UPPER(TRIM(SUBSTITUTE(IFERROR(INDEX(tblVeriA[FaturaNo],ROW()-ROW(tblVeriA[[#Headers]])),"")," ",""))))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UPPER(TRIM(SUBSTITUTE($I241,"-","")))</f>
        <v/>
      </c>
      <c r="K241" s="16">
        <f>IF($J241="",0,LEN($J241))</f>
        <v/>
      </c>
      <c r="L241" s="16">
        <f>IF($I241="","",UPPER(TRIM(SUBSTITUTE(IFERROR(INDEX(tblVeriB[FaturaNo],ROW()-ROW(tblVeriB[[#Headers]])),"")," ",""))))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UPPER(TRIM(SUBSTITUTE($A242,"-","")))</f>
        <v/>
      </c>
      <c r="C242" s="16">
        <f>IF($B242="",0,LEN($B242))</f>
        <v/>
      </c>
      <c r="D242" s="16">
        <f>IF($A242="","",UPPER(TRIM(SUBSTITUTE(IFERROR(INDEX(tblVeriA[FaturaNo],ROW()-ROW(tblVeriA[[#Headers]])),"")," ",""))))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UPPER(TRIM(SUBSTITUTE($I242,"-","")))</f>
        <v/>
      </c>
      <c r="K242" s="16">
        <f>IF($J242="",0,LEN($J242))</f>
        <v/>
      </c>
      <c r="L242" s="16">
        <f>IF($I242="","",UPPER(TRIM(SUBSTITUTE(IFERROR(INDEX(tblVeriB[FaturaNo],ROW()-ROW(tblVeriB[[#Headers]])),"")," ",""))))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UPPER(TRIM(SUBSTITUTE($A243,"-","")))</f>
        <v/>
      </c>
      <c r="C243" s="16">
        <f>IF($B243="",0,LEN($B243))</f>
        <v/>
      </c>
      <c r="D243" s="16">
        <f>IF($A243="","",UPPER(TRIM(SUBSTITUTE(IFERROR(INDEX(tblVeriA[FaturaNo],ROW()-ROW(tblVeriA[[#Headers]])),"")," ",""))))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UPPER(TRIM(SUBSTITUTE($I243,"-","")))</f>
        <v/>
      </c>
      <c r="K243" s="16">
        <f>IF($J243="",0,LEN($J243))</f>
        <v/>
      </c>
      <c r="L243" s="16">
        <f>IF($I243="","",UPPER(TRIM(SUBSTITUTE(IFERROR(INDEX(tblVeriB[FaturaNo],ROW()-ROW(tblVeriB[[#Headers]])),"")," ",""))))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UPPER(TRIM(SUBSTITUTE($A244,"-","")))</f>
        <v/>
      </c>
      <c r="C244" s="16">
        <f>IF($B244="",0,LEN($B244))</f>
        <v/>
      </c>
      <c r="D244" s="16">
        <f>IF($A244="","",UPPER(TRIM(SUBSTITUTE(IFERROR(INDEX(tblVeriA[FaturaNo],ROW()-ROW(tblVeriA[[#Headers]])),"")," ",""))))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UPPER(TRIM(SUBSTITUTE($I244,"-","")))</f>
        <v/>
      </c>
      <c r="K244" s="16">
        <f>IF($J244="",0,LEN($J244))</f>
        <v/>
      </c>
      <c r="L244" s="16">
        <f>IF($I244="","",UPPER(TRIM(SUBSTITUTE(IFERROR(INDEX(tblVeriB[FaturaNo],ROW()-ROW(tblVeriB[[#Headers]])),"")," ",""))))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UPPER(TRIM(SUBSTITUTE($A245,"-","")))</f>
        <v/>
      </c>
      <c r="C245" s="16">
        <f>IF($B245="",0,LEN($B245))</f>
        <v/>
      </c>
      <c r="D245" s="16">
        <f>IF($A245="","",UPPER(TRIM(SUBSTITUTE(IFERROR(INDEX(tblVeriA[FaturaNo],ROW()-ROW(tblVeriA[[#Headers]])),"")," ",""))))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UPPER(TRIM(SUBSTITUTE($I245,"-","")))</f>
        <v/>
      </c>
      <c r="K245" s="16">
        <f>IF($J245="",0,LEN($J245))</f>
        <v/>
      </c>
      <c r="L245" s="16">
        <f>IF($I245="","",UPPER(TRIM(SUBSTITUTE(IFERROR(INDEX(tblVeriB[FaturaNo],ROW()-ROW(tblVeriB[[#Headers]])),"")," ",""))))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UPPER(TRIM(SUBSTITUTE($A246,"-","")))</f>
        <v/>
      </c>
      <c r="C246" s="16">
        <f>IF($B246="",0,LEN($B246))</f>
        <v/>
      </c>
      <c r="D246" s="16">
        <f>IF($A246="","",UPPER(TRIM(SUBSTITUTE(IFERROR(INDEX(tblVeriA[FaturaNo],ROW()-ROW(tblVeriA[[#Headers]])),"")," ",""))))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UPPER(TRIM(SUBSTITUTE($I246,"-","")))</f>
        <v/>
      </c>
      <c r="K246" s="16">
        <f>IF($J246="",0,LEN($J246))</f>
        <v/>
      </c>
      <c r="L246" s="16">
        <f>IF($I246="","",UPPER(TRIM(SUBSTITUTE(IFERROR(INDEX(tblVeriB[FaturaNo],ROW()-ROW(tblVeriB[[#Headers]])),"")," ",""))))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UPPER(TRIM(SUBSTITUTE($A247,"-","")))</f>
        <v/>
      </c>
      <c r="C247" s="16">
        <f>IF($B247="",0,LEN($B247))</f>
        <v/>
      </c>
      <c r="D247" s="16">
        <f>IF($A247="","",UPPER(TRIM(SUBSTITUTE(IFERROR(INDEX(tblVeriA[FaturaNo],ROW()-ROW(tblVeriA[[#Headers]])),"")," ",""))))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UPPER(TRIM(SUBSTITUTE($I247,"-","")))</f>
        <v/>
      </c>
      <c r="K247" s="16">
        <f>IF($J247="",0,LEN($J247))</f>
        <v/>
      </c>
      <c r="L247" s="16">
        <f>IF($I247="","",UPPER(TRIM(SUBSTITUTE(IFERROR(INDEX(tblVeriB[FaturaNo],ROW()-ROW(tblVeriB[[#Headers]])),"")," ",""))))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UPPER(TRIM(SUBSTITUTE($A248,"-","")))</f>
        <v/>
      </c>
      <c r="C248" s="16">
        <f>IF($B248="",0,LEN($B248))</f>
        <v/>
      </c>
      <c r="D248" s="16">
        <f>IF($A248="","",UPPER(TRIM(SUBSTITUTE(IFERROR(INDEX(tblVeriA[FaturaNo],ROW()-ROW(tblVeriA[[#Headers]])),"")," ",""))))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UPPER(TRIM(SUBSTITUTE($I248,"-","")))</f>
        <v/>
      </c>
      <c r="K248" s="16">
        <f>IF($J248="",0,LEN($J248))</f>
        <v/>
      </c>
      <c r="L248" s="16">
        <f>IF($I248="","",UPPER(TRIM(SUBSTITUTE(IFERROR(INDEX(tblVeriB[FaturaNo],ROW()-ROW(tblVeriB[[#Headers]])),"")," ",""))))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UPPER(TRIM(SUBSTITUTE($A249,"-","")))</f>
        <v/>
      </c>
      <c r="C249" s="16">
        <f>IF($B249="",0,LEN($B249))</f>
        <v/>
      </c>
      <c r="D249" s="16">
        <f>IF($A249="","",UPPER(TRIM(SUBSTITUTE(IFERROR(INDEX(tblVeriA[FaturaNo],ROW()-ROW(tblVeriA[[#Headers]])),"")," ",""))))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UPPER(TRIM(SUBSTITUTE($I249,"-","")))</f>
        <v/>
      </c>
      <c r="K249" s="16">
        <f>IF($J249="",0,LEN($J249))</f>
        <v/>
      </c>
      <c r="L249" s="16">
        <f>IF($I249="","",UPPER(TRIM(SUBSTITUTE(IFERROR(INDEX(tblVeriB[FaturaNo],ROW()-ROW(tblVeriB[[#Headers]])),"")," ",""))))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UPPER(TRIM(SUBSTITUTE($A250,"-","")))</f>
        <v/>
      </c>
      <c r="C250" s="16">
        <f>IF($B250="",0,LEN($B250))</f>
        <v/>
      </c>
      <c r="D250" s="16">
        <f>IF($A250="","",UPPER(TRIM(SUBSTITUTE(IFERROR(INDEX(tblVeriA[FaturaNo],ROW()-ROW(tblVeriA[[#Headers]])),"")," ",""))))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UPPER(TRIM(SUBSTITUTE($I250,"-","")))</f>
        <v/>
      </c>
      <c r="K250" s="16">
        <f>IF($J250="",0,LEN($J250))</f>
        <v/>
      </c>
      <c r="L250" s="16">
        <f>IF($I250="","",UPPER(TRIM(SUBSTITUTE(IFERROR(INDEX(tblVeriB[FaturaNo],ROW()-ROW(tblVeriB[[#Headers]])),"")," ",""))))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UPPER(TRIM(SUBSTITUTE($A251,"-","")))</f>
        <v/>
      </c>
      <c r="C251" s="16">
        <f>IF($B251="",0,LEN($B251))</f>
        <v/>
      </c>
      <c r="D251" s="16">
        <f>IF($A251="","",UPPER(TRIM(SUBSTITUTE(IFERROR(INDEX(tblVeriA[FaturaNo],ROW()-ROW(tblVeriA[[#Headers]])),"")," ",""))))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UPPER(TRIM(SUBSTITUTE($I251,"-","")))</f>
        <v/>
      </c>
      <c r="K251" s="16">
        <f>IF($J251="",0,LEN($J251))</f>
        <v/>
      </c>
      <c r="L251" s="16">
        <f>IF($I251="","",UPPER(TRIM(SUBSTITUTE(IFERROR(INDEX(tblVeriB[FaturaNo],ROW()-ROW(tblVeriB[[#Headers]])),"")," ",""))))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UPPER(TRIM(SUBSTITUTE($A252,"-","")))</f>
        <v/>
      </c>
      <c r="C252" s="16">
        <f>IF($B252="",0,LEN($B252))</f>
        <v/>
      </c>
      <c r="D252" s="16">
        <f>IF($A252="","",UPPER(TRIM(SUBSTITUTE(IFERROR(INDEX(tblVeriA[FaturaNo],ROW()-ROW(tblVeriA[[#Headers]])),"")," ",""))))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UPPER(TRIM(SUBSTITUTE($I252,"-","")))</f>
        <v/>
      </c>
      <c r="K252" s="16">
        <f>IF($J252="",0,LEN($J252))</f>
        <v/>
      </c>
      <c r="L252" s="16">
        <f>IF($I252="","",UPPER(TRIM(SUBSTITUTE(IFERROR(INDEX(tblVeriB[FaturaNo],ROW()-ROW(tblVeriB[[#Headers]])),"")," ",""))))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UPPER(TRIM(SUBSTITUTE($A253,"-","")))</f>
        <v/>
      </c>
      <c r="C253" s="16">
        <f>IF($B253="",0,LEN($B253))</f>
        <v/>
      </c>
      <c r="D253" s="16">
        <f>IF($A253="","",UPPER(TRIM(SUBSTITUTE(IFERROR(INDEX(tblVeriA[FaturaNo],ROW()-ROW(tblVeriA[[#Headers]])),"")," ",""))))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UPPER(TRIM(SUBSTITUTE($I253,"-","")))</f>
        <v/>
      </c>
      <c r="K253" s="16">
        <f>IF($J253="",0,LEN($J253))</f>
        <v/>
      </c>
      <c r="L253" s="16">
        <f>IF($I253="","",UPPER(TRIM(SUBSTITUTE(IFERROR(INDEX(tblVeriB[FaturaNo],ROW()-ROW(tblVeriB[[#Headers]])),"")," ",""))))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UPPER(TRIM(SUBSTITUTE($A254,"-","")))</f>
        <v/>
      </c>
      <c r="C254" s="16">
        <f>IF($B254="",0,LEN($B254))</f>
        <v/>
      </c>
      <c r="D254" s="16">
        <f>IF($A254="","",UPPER(TRIM(SUBSTITUTE(IFERROR(INDEX(tblVeriA[FaturaNo],ROW()-ROW(tblVeriA[[#Headers]])),"")," ",""))))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UPPER(TRIM(SUBSTITUTE($I254,"-","")))</f>
        <v/>
      </c>
      <c r="K254" s="16">
        <f>IF($J254="",0,LEN($J254))</f>
        <v/>
      </c>
      <c r="L254" s="16">
        <f>IF($I254="","",UPPER(TRIM(SUBSTITUTE(IFERROR(INDEX(tblVeriB[FaturaNo],ROW()-ROW(tblVeriB[[#Headers]])),"")," ",""))))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UPPER(TRIM(SUBSTITUTE($A255,"-","")))</f>
        <v/>
      </c>
      <c r="C255" s="16">
        <f>IF($B255="",0,LEN($B255))</f>
        <v/>
      </c>
      <c r="D255" s="16">
        <f>IF($A255="","",UPPER(TRIM(SUBSTITUTE(IFERROR(INDEX(tblVeriA[FaturaNo],ROW()-ROW(tblVeriA[[#Headers]])),"")," ",""))))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UPPER(TRIM(SUBSTITUTE($I255,"-","")))</f>
        <v/>
      </c>
      <c r="K255" s="16">
        <f>IF($J255="",0,LEN($J255))</f>
        <v/>
      </c>
      <c r="L255" s="16">
        <f>IF($I255="","",UPPER(TRIM(SUBSTITUTE(IFERROR(INDEX(tblVeriB[FaturaNo],ROW()-ROW(tblVeriB[[#Headers]])),"")," ",""))))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UPPER(TRIM(SUBSTITUTE($A256,"-","")))</f>
        <v/>
      </c>
      <c r="C256" s="16">
        <f>IF($B256="",0,LEN($B256))</f>
        <v/>
      </c>
      <c r="D256" s="16">
        <f>IF($A256="","",UPPER(TRIM(SUBSTITUTE(IFERROR(INDEX(tblVeriA[FaturaNo],ROW()-ROW(tblVeriA[[#Headers]])),"")," ",""))))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UPPER(TRIM(SUBSTITUTE($I256,"-","")))</f>
        <v/>
      </c>
      <c r="K256" s="16">
        <f>IF($J256="",0,LEN($J256))</f>
        <v/>
      </c>
      <c r="L256" s="16">
        <f>IF($I256="","",UPPER(TRIM(SUBSTITUTE(IFERROR(INDEX(tblVeriB[FaturaNo],ROW()-ROW(tblVeriB[[#Headers]])),"")," ",""))))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UPPER(TRIM(SUBSTITUTE($A257,"-","")))</f>
        <v/>
      </c>
      <c r="C257" s="16">
        <f>IF($B257="",0,LEN($B257))</f>
        <v/>
      </c>
      <c r="D257" s="16">
        <f>IF($A257="","",UPPER(TRIM(SUBSTITUTE(IFERROR(INDEX(tblVeriA[FaturaNo],ROW()-ROW(tblVeriA[[#Headers]])),"")," ",""))))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UPPER(TRIM(SUBSTITUTE($I257,"-","")))</f>
        <v/>
      </c>
      <c r="K257" s="16">
        <f>IF($J257="",0,LEN($J257))</f>
        <v/>
      </c>
      <c r="L257" s="16">
        <f>IF($I257="","",UPPER(TRIM(SUBSTITUTE(IFERROR(INDEX(tblVeriB[FaturaNo],ROW()-ROW(tblVeriB[[#Headers]])),"")," ",""))))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UPPER(TRIM(SUBSTITUTE($A258,"-","")))</f>
        <v/>
      </c>
      <c r="C258" s="16">
        <f>IF($B258="",0,LEN($B258))</f>
        <v/>
      </c>
      <c r="D258" s="16">
        <f>IF($A258="","",UPPER(TRIM(SUBSTITUTE(IFERROR(INDEX(tblVeriA[FaturaNo],ROW()-ROW(tblVeriA[[#Headers]])),"")," ",""))))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UPPER(TRIM(SUBSTITUTE($I258,"-","")))</f>
        <v/>
      </c>
      <c r="K258" s="16">
        <f>IF($J258="",0,LEN($J258))</f>
        <v/>
      </c>
      <c r="L258" s="16">
        <f>IF($I258="","",UPPER(TRIM(SUBSTITUTE(IFERROR(INDEX(tblVeriB[FaturaNo],ROW()-ROW(tblVeriB[[#Headers]])),"")," ",""))))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UPPER(TRIM(SUBSTITUTE($A259,"-","")))</f>
        <v/>
      </c>
      <c r="C259" s="16">
        <f>IF($B259="",0,LEN($B259))</f>
        <v/>
      </c>
      <c r="D259" s="16">
        <f>IF($A259="","",UPPER(TRIM(SUBSTITUTE(IFERROR(INDEX(tblVeriA[FaturaNo],ROW()-ROW(tblVeriA[[#Headers]])),"")," ",""))))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UPPER(TRIM(SUBSTITUTE($I259,"-","")))</f>
        <v/>
      </c>
      <c r="K259" s="16">
        <f>IF($J259="",0,LEN($J259))</f>
        <v/>
      </c>
      <c r="L259" s="16">
        <f>IF($I259="","",UPPER(TRIM(SUBSTITUTE(IFERROR(INDEX(tblVeriB[FaturaNo],ROW()-ROW(tblVeriB[[#Headers]])),"")," ",""))))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UPPER(TRIM(SUBSTITUTE($A260,"-","")))</f>
        <v/>
      </c>
      <c r="C260" s="16">
        <f>IF($B260="",0,LEN($B260))</f>
        <v/>
      </c>
      <c r="D260" s="16">
        <f>IF($A260="","",UPPER(TRIM(SUBSTITUTE(IFERROR(INDEX(tblVeriA[FaturaNo],ROW()-ROW(tblVeriA[[#Headers]])),"")," ",""))))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UPPER(TRIM(SUBSTITUTE($I260,"-","")))</f>
        <v/>
      </c>
      <c r="K260" s="16">
        <f>IF($J260="",0,LEN($J260))</f>
        <v/>
      </c>
      <c r="L260" s="16">
        <f>IF($I260="","",UPPER(TRIM(SUBSTITUTE(IFERROR(INDEX(tblVeriB[FaturaNo],ROW()-ROW(tblVeriB[[#Headers]])),"")," ",""))))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UPPER(TRIM(SUBSTITUTE($A261,"-","")))</f>
        <v/>
      </c>
      <c r="C261" s="16">
        <f>IF($B261="",0,LEN($B261))</f>
        <v/>
      </c>
      <c r="D261" s="16">
        <f>IF($A261="","",UPPER(TRIM(SUBSTITUTE(IFERROR(INDEX(tblVeriA[FaturaNo],ROW()-ROW(tblVeriA[[#Headers]])),"")," ",""))))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UPPER(TRIM(SUBSTITUTE($I261,"-","")))</f>
        <v/>
      </c>
      <c r="K261" s="16">
        <f>IF($J261="",0,LEN($J261))</f>
        <v/>
      </c>
      <c r="L261" s="16">
        <f>IF($I261="","",UPPER(TRIM(SUBSTITUTE(IFERROR(INDEX(tblVeriB[FaturaNo],ROW()-ROW(tblVeriB[[#Headers]])),"")," ",""))))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UPPER(TRIM(SUBSTITUTE($A262,"-","")))</f>
        <v/>
      </c>
      <c r="C262" s="16">
        <f>IF($B262="",0,LEN($B262))</f>
        <v/>
      </c>
      <c r="D262" s="16">
        <f>IF($A262="","",UPPER(TRIM(SUBSTITUTE(IFERROR(INDEX(tblVeriA[FaturaNo],ROW()-ROW(tblVeriA[[#Headers]])),"")," ",""))))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UPPER(TRIM(SUBSTITUTE($I262,"-","")))</f>
        <v/>
      </c>
      <c r="K262" s="16">
        <f>IF($J262="",0,LEN($J262))</f>
        <v/>
      </c>
      <c r="L262" s="16">
        <f>IF($I262="","",UPPER(TRIM(SUBSTITUTE(IFERROR(INDEX(tblVeriB[FaturaNo],ROW()-ROW(tblVeriB[[#Headers]])),"")," ",""))))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UPPER(TRIM(SUBSTITUTE($A263,"-","")))</f>
        <v/>
      </c>
      <c r="C263" s="16">
        <f>IF($B263="",0,LEN($B263))</f>
        <v/>
      </c>
      <c r="D263" s="16">
        <f>IF($A263="","",UPPER(TRIM(SUBSTITUTE(IFERROR(INDEX(tblVeriA[FaturaNo],ROW()-ROW(tblVeriA[[#Headers]])),"")," ",""))))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UPPER(TRIM(SUBSTITUTE($I263,"-","")))</f>
        <v/>
      </c>
      <c r="K263" s="16">
        <f>IF($J263="",0,LEN($J263))</f>
        <v/>
      </c>
      <c r="L263" s="16">
        <f>IF($I263="","",UPPER(TRIM(SUBSTITUTE(IFERROR(INDEX(tblVeriB[FaturaNo],ROW()-ROW(tblVeriB[[#Headers]])),"")," ",""))))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UPPER(TRIM(SUBSTITUTE($A264,"-","")))</f>
        <v/>
      </c>
      <c r="C264" s="16">
        <f>IF($B264="",0,LEN($B264))</f>
        <v/>
      </c>
      <c r="D264" s="16">
        <f>IF($A264="","",UPPER(TRIM(SUBSTITUTE(IFERROR(INDEX(tblVeriA[FaturaNo],ROW()-ROW(tblVeriA[[#Headers]])),"")," ",""))))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UPPER(TRIM(SUBSTITUTE($I264,"-","")))</f>
        <v/>
      </c>
      <c r="K264" s="16">
        <f>IF($J264="",0,LEN($J264))</f>
        <v/>
      </c>
      <c r="L264" s="16">
        <f>IF($I264="","",UPPER(TRIM(SUBSTITUTE(IFERROR(INDEX(tblVeriB[FaturaNo],ROW()-ROW(tblVeriB[[#Headers]])),"")," ",""))))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UPPER(TRIM(SUBSTITUTE($A265,"-","")))</f>
        <v/>
      </c>
      <c r="C265" s="16">
        <f>IF($B265="",0,LEN($B265))</f>
        <v/>
      </c>
      <c r="D265" s="16">
        <f>IF($A265="","",UPPER(TRIM(SUBSTITUTE(IFERROR(INDEX(tblVeriA[FaturaNo],ROW()-ROW(tblVeriA[[#Headers]])),"")," ",""))))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UPPER(TRIM(SUBSTITUTE($I265,"-","")))</f>
        <v/>
      </c>
      <c r="K265" s="16">
        <f>IF($J265="",0,LEN($J265))</f>
        <v/>
      </c>
      <c r="L265" s="16">
        <f>IF($I265="","",UPPER(TRIM(SUBSTITUTE(IFERROR(INDEX(tblVeriB[FaturaNo],ROW()-ROW(tblVeriB[[#Headers]])),"")," ",""))))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UPPER(TRIM(SUBSTITUTE($A266,"-","")))</f>
        <v/>
      </c>
      <c r="C266" s="16">
        <f>IF($B266="",0,LEN($B266))</f>
        <v/>
      </c>
      <c r="D266" s="16">
        <f>IF($A266="","",UPPER(TRIM(SUBSTITUTE(IFERROR(INDEX(tblVeriA[FaturaNo],ROW()-ROW(tblVeriA[[#Headers]])),"")," ",""))))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UPPER(TRIM(SUBSTITUTE($I266,"-","")))</f>
        <v/>
      </c>
      <c r="K266" s="16">
        <f>IF($J266="",0,LEN($J266))</f>
        <v/>
      </c>
      <c r="L266" s="16">
        <f>IF($I266="","",UPPER(TRIM(SUBSTITUTE(IFERROR(INDEX(tblVeriB[FaturaNo],ROW()-ROW(tblVeriB[[#Headers]])),"")," ",""))))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UPPER(TRIM(SUBSTITUTE($A267,"-","")))</f>
        <v/>
      </c>
      <c r="C267" s="16">
        <f>IF($B267="",0,LEN($B267))</f>
        <v/>
      </c>
      <c r="D267" s="16">
        <f>IF($A267="","",UPPER(TRIM(SUBSTITUTE(IFERROR(INDEX(tblVeriA[FaturaNo],ROW()-ROW(tblVeriA[[#Headers]])),"")," ",""))))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UPPER(TRIM(SUBSTITUTE($I267,"-","")))</f>
        <v/>
      </c>
      <c r="K267" s="16">
        <f>IF($J267="",0,LEN($J267))</f>
        <v/>
      </c>
      <c r="L267" s="16">
        <f>IF($I267="","",UPPER(TRIM(SUBSTITUTE(IFERROR(INDEX(tblVeriB[FaturaNo],ROW()-ROW(tblVeriB[[#Headers]])),"")," ",""))))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UPPER(TRIM(SUBSTITUTE($A268,"-","")))</f>
        <v/>
      </c>
      <c r="C268" s="16">
        <f>IF($B268="",0,LEN($B268))</f>
        <v/>
      </c>
      <c r="D268" s="16">
        <f>IF($A268="","",UPPER(TRIM(SUBSTITUTE(IFERROR(INDEX(tblVeriA[FaturaNo],ROW()-ROW(tblVeriA[[#Headers]])),"")," ",""))))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UPPER(TRIM(SUBSTITUTE($I268,"-","")))</f>
        <v/>
      </c>
      <c r="K268" s="16">
        <f>IF($J268="",0,LEN($J268))</f>
        <v/>
      </c>
      <c r="L268" s="16">
        <f>IF($I268="","",UPPER(TRIM(SUBSTITUTE(IFERROR(INDEX(tblVeriB[FaturaNo],ROW()-ROW(tblVeriB[[#Headers]])),"")," ",""))))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UPPER(TRIM(SUBSTITUTE($A269,"-","")))</f>
        <v/>
      </c>
      <c r="C269" s="16">
        <f>IF($B269="",0,LEN($B269))</f>
        <v/>
      </c>
      <c r="D269" s="16">
        <f>IF($A269="","",UPPER(TRIM(SUBSTITUTE(IFERROR(INDEX(tblVeriA[FaturaNo],ROW()-ROW(tblVeriA[[#Headers]])),"")," ",""))))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UPPER(TRIM(SUBSTITUTE($I269,"-","")))</f>
        <v/>
      </c>
      <c r="K269" s="16">
        <f>IF($J269="",0,LEN($J269))</f>
        <v/>
      </c>
      <c r="L269" s="16">
        <f>IF($I269="","",UPPER(TRIM(SUBSTITUTE(IFERROR(INDEX(tblVeriB[FaturaNo],ROW()-ROW(tblVeriB[[#Headers]])),"")," ",""))))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UPPER(TRIM(SUBSTITUTE($A270,"-","")))</f>
        <v/>
      </c>
      <c r="C270" s="16">
        <f>IF($B270="",0,LEN($B270))</f>
        <v/>
      </c>
      <c r="D270" s="16">
        <f>IF($A270="","",UPPER(TRIM(SUBSTITUTE(IFERROR(INDEX(tblVeriA[FaturaNo],ROW()-ROW(tblVeriA[[#Headers]])),"")," ",""))))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UPPER(TRIM(SUBSTITUTE($I270,"-","")))</f>
        <v/>
      </c>
      <c r="K270" s="16">
        <f>IF($J270="",0,LEN($J270))</f>
        <v/>
      </c>
      <c r="L270" s="16">
        <f>IF($I270="","",UPPER(TRIM(SUBSTITUTE(IFERROR(INDEX(tblVeriB[FaturaNo],ROW()-ROW(tblVeriB[[#Headers]])),"")," ",""))))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UPPER(TRIM(SUBSTITUTE($A271,"-","")))</f>
        <v/>
      </c>
      <c r="C271" s="16">
        <f>IF($B271="",0,LEN($B271))</f>
        <v/>
      </c>
      <c r="D271" s="16">
        <f>IF($A271="","",UPPER(TRIM(SUBSTITUTE(IFERROR(INDEX(tblVeriA[FaturaNo],ROW()-ROW(tblVeriA[[#Headers]])),"")," ",""))))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UPPER(TRIM(SUBSTITUTE($I271,"-","")))</f>
        <v/>
      </c>
      <c r="K271" s="16">
        <f>IF($J271="",0,LEN($J271))</f>
        <v/>
      </c>
      <c r="L271" s="16">
        <f>IF($I271="","",UPPER(TRIM(SUBSTITUTE(IFERROR(INDEX(tblVeriB[FaturaNo],ROW()-ROW(tblVeriB[[#Headers]])),"")," ",""))))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UPPER(TRIM(SUBSTITUTE($A272,"-","")))</f>
        <v/>
      </c>
      <c r="C272" s="16">
        <f>IF($B272="",0,LEN($B272))</f>
        <v/>
      </c>
      <c r="D272" s="16">
        <f>IF($A272="","",UPPER(TRIM(SUBSTITUTE(IFERROR(INDEX(tblVeriA[FaturaNo],ROW()-ROW(tblVeriA[[#Headers]])),"")," ",""))))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UPPER(TRIM(SUBSTITUTE($I272,"-","")))</f>
        <v/>
      </c>
      <c r="K272" s="16">
        <f>IF($J272="",0,LEN($J272))</f>
        <v/>
      </c>
      <c r="L272" s="16">
        <f>IF($I272="","",UPPER(TRIM(SUBSTITUTE(IFERROR(INDEX(tblVeriB[FaturaNo],ROW()-ROW(tblVeriB[[#Headers]])),"")," ",""))))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UPPER(TRIM(SUBSTITUTE($A273,"-","")))</f>
        <v/>
      </c>
      <c r="C273" s="16">
        <f>IF($B273="",0,LEN($B273))</f>
        <v/>
      </c>
      <c r="D273" s="16">
        <f>IF($A273="","",UPPER(TRIM(SUBSTITUTE(IFERROR(INDEX(tblVeriA[FaturaNo],ROW()-ROW(tblVeriA[[#Headers]])),"")," ",""))))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UPPER(TRIM(SUBSTITUTE($I273,"-","")))</f>
        <v/>
      </c>
      <c r="K273" s="16">
        <f>IF($J273="",0,LEN($J273))</f>
        <v/>
      </c>
      <c r="L273" s="16">
        <f>IF($I273="","",UPPER(TRIM(SUBSTITUTE(IFERROR(INDEX(tblVeriB[FaturaNo],ROW()-ROW(tblVeriB[[#Headers]])),"")," ",""))))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UPPER(TRIM(SUBSTITUTE($A274,"-","")))</f>
        <v/>
      </c>
      <c r="C274" s="16">
        <f>IF($B274="",0,LEN($B274))</f>
        <v/>
      </c>
      <c r="D274" s="16">
        <f>IF($A274="","",UPPER(TRIM(SUBSTITUTE(IFERROR(INDEX(tblVeriA[FaturaNo],ROW()-ROW(tblVeriA[[#Headers]])),"")," ",""))))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UPPER(TRIM(SUBSTITUTE($I274,"-","")))</f>
        <v/>
      </c>
      <c r="K274" s="16">
        <f>IF($J274="",0,LEN($J274))</f>
        <v/>
      </c>
      <c r="L274" s="16">
        <f>IF($I274="","",UPPER(TRIM(SUBSTITUTE(IFERROR(INDEX(tblVeriB[FaturaNo],ROW()-ROW(tblVeriB[[#Headers]])),"")," ",""))))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UPPER(TRIM(SUBSTITUTE($A275,"-","")))</f>
        <v/>
      </c>
      <c r="C275" s="16">
        <f>IF($B275="",0,LEN($B275))</f>
        <v/>
      </c>
      <c r="D275" s="16">
        <f>IF($A275="","",UPPER(TRIM(SUBSTITUTE(IFERROR(INDEX(tblVeriA[FaturaNo],ROW()-ROW(tblVeriA[[#Headers]])),"")," ",""))))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UPPER(TRIM(SUBSTITUTE($I275,"-","")))</f>
        <v/>
      </c>
      <c r="K275" s="16">
        <f>IF($J275="",0,LEN($J275))</f>
        <v/>
      </c>
      <c r="L275" s="16">
        <f>IF($I275="","",UPPER(TRIM(SUBSTITUTE(IFERROR(INDEX(tblVeriB[FaturaNo],ROW()-ROW(tblVeriB[[#Headers]])),"")," ",""))))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UPPER(TRIM(SUBSTITUTE($A276,"-","")))</f>
        <v/>
      </c>
      <c r="C276" s="16">
        <f>IF($B276="",0,LEN($B276))</f>
        <v/>
      </c>
      <c r="D276" s="16">
        <f>IF($A276="","",UPPER(TRIM(SUBSTITUTE(IFERROR(INDEX(tblVeriA[FaturaNo],ROW()-ROW(tblVeriA[[#Headers]])),"")," ",""))))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UPPER(TRIM(SUBSTITUTE($I276,"-","")))</f>
        <v/>
      </c>
      <c r="K276" s="16">
        <f>IF($J276="",0,LEN($J276))</f>
        <v/>
      </c>
      <c r="L276" s="16">
        <f>IF($I276="","",UPPER(TRIM(SUBSTITUTE(IFERROR(INDEX(tblVeriB[FaturaNo],ROW()-ROW(tblVeriB[[#Headers]])),"")," ",""))))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UPPER(TRIM(SUBSTITUTE($A277,"-","")))</f>
        <v/>
      </c>
      <c r="C277" s="16">
        <f>IF($B277="",0,LEN($B277))</f>
        <v/>
      </c>
      <c r="D277" s="16">
        <f>IF($A277="","",UPPER(TRIM(SUBSTITUTE(IFERROR(INDEX(tblVeriA[FaturaNo],ROW()-ROW(tblVeriA[[#Headers]])),"")," ",""))))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UPPER(TRIM(SUBSTITUTE($I277,"-","")))</f>
        <v/>
      </c>
      <c r="K277" s="16">
        <f>IF($J277="",0,LEN($J277))</f>
        <v/>
      </c>
      <c r="L277" s="16">
        <f>IF($I277="","",UPPER(TRIM(SUBSTITUTE(IFERROR(INDEX(tblVeriB[FaturaNo],ROW()-ROW(tblVeriB[[#Headers]])),"")," ",""))))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UPPER(TRIM(SUBSTITUTE($A278,"-","")))</f>
        <v/>
      </c>
      <c r="C278" s="16">
        <f>IF($B278="",0,LEN($B278))</f>
        <v/>
      </c>
      <c r="D278" s="16">
        <f>IF($A278="","",UPPER(TRIM(SUBSTITUTE(IFERROR(INDEX(tblVeriA[FaturaNo],ROW()-ROW(tblVeriA[[#Headers]])),"")," ",""))))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UPPER(TRIM(SUBSTITUTE($I278,"-","")))</f>
        <v/>
      </c>
      <c r="K278" s="16">
        <f>IF($J278="",0,LEN($J278))</f>
        <v/>
      </c>
      <c r="L278" s="16">
        <f>IF($I278="","",UPPER(TRIM(SUBSTITUTE(IFERROR(INDEX(tblVeriB[FaturaNo],ROW()-ROW(tblVeriB[[#Headers]])),"")," ",""))))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UPPER(TRIM(SUBSTITUTE($A279,"-","")))</f>
        <v/>
      </c>
      <c r="C279" s="16">
        <f>IF($B279="",0,LEN($B279))</f>
        <v/>
      </c>
      <c r="D279" s="16">
        <f>IF($A279="","",UPPER(TRIM(SUBSTITUTE(IFERROR(INDEX(tblVeriA[FaturaNo],ROW()-ROW(tblVeriA[[#Headers]])),"")," ",""))))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UPPER(TRIM(SUBSTITUTE($I279,"-","")))</f>
        <v/>
      </c>
      <c r="K279" s="16">
        <f>IF($J279="",0,LEN($J279))</f>
        <v/>
      </c>
      <c r="L279" s="16">
        <f>IF($I279="","",UPPER(TRIM(SUBSTITUTE(IFERROR(INDEX(tblVeriB[FaturaNo],ROW()-ROW(tblVeriB[[#Headers]])),"")," ",""))))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UPPER(TRIM(SUBSTITUTE($A280,"-","")))</f>
        <v/>
      </c>
      <c r="C280" s="16">
        <f>IF($B280="",0,LEN($B280))</f>
        <v/>
      </c>
      <c r="D280" s="16">
        <f>IF($A280="","",UPPER(TRIM(SUBSTITUTE(IFERROR(INDEX(tblVeriA[FaturaNo],ROW()-ROW(tblVeriA[[#Headers]])),"")," ",""))))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UPPER(TRIM(SUBSTITUTE($I280,"-","")))</f>
        <v/>
      </c>
      <c r="K280" s="16">
        <f>IF($J280="",0,LEN($J280))</f>
        <v/>
      </c>
      <c r="L280" s="16">
        <f>IF($I280="","",UPPER(TRIM(SUBSTITUTE(IFERROR(INDEX(tblVeriB[FaturaNo],ROW()-ROW(tblVeriB[[#Headers]])),"")," ",""))))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UPPER(TRIM(SUBSTITUTE($A281,"-","")))</f>
        <v/>
      </c>
      <c r="C281" s="16">
        <f>IF($B281="",0,LEN($B281))</f>
        <v/>
      </c>
      <c r="D281" s="16">
        <f>IF($A281="","",UPPER(TRIM(SUBSTITUTE(IFERROR(INDEX(tblVeriA[FaturaNo],ROW()-ROW(tblVeriA[[#Headers]])),"")," ",""))))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UPPER(TRIM(SUBSTITUTE($I281,"-","")))</f>
        <v/>
      </c>
      <c r="K281" s="16">
        <f>IF($J281="",0,LEN($J281))</f>
        <v/>
      </c>
      <c r="L281" s="16">
        <f>IF($I281="","",UPPER(TRIM(SUBSTITUTE(IFERROR(INDEX(tblVeriB[FaturaNo],ROW()-ROW(tblVeriB[[#Headers]])),"")," ",""))))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UPPER(TRIM(SUBSTITUTE($A282,"-","")))</f>
        <v/>
      </c>
      <c r="C282" s="16">
        <f>IF($B282="",0,LEN($B282))</f>
        <v/>
      </c>
      <c r="D282" s="16">
        <f>IF($A282="","",UPPER(TRIM(SUBSTITUTE(IFERROR(INDEX(tblVeriA[FaturaNo],ROW()-ROW(tblVeriA[[#Headers]])),"")," ",""))))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UPPER(TRIM(SUBSTITUTE($I282,"-","")))</f>
        <v/>
      </c>
      <c r="K282" s="16">
        <f>IF($J282="",0,LEN($J282))</f>
        <v/>
      </c>
      <c r="L282" s="16">
        <f>IF($I282="","",UPPER(TRIM(SUBSTITUTE(IFERROR(INDEX(tblVeriB[FaturaNo],ROW()-ROW(tblVeriB[[#Headers]])),"")," ",""))))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UPPER(TRIM(SUBSTITUTE($A283,"-","")))</f>
        <v/>
      </c>
      <c r="C283" s="16">
        <f>IF($B283="",0,LEN($B283))</f>
        <v/>
      </c>
      <c r="D283" s="16">
        <f>IF($A283="","",UPPER(TRIM(SUBSTITUTE(IFERROR(INDEX(tblVeriA[FaturaNo],ROW()-ROW(tblVeriA[[#Headers]])),"")," ",""))))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UPPER(TRIM(SUBSTITUTE($I283,"-","")))</f>
        <v/>
      </c>
      <c r="K283" s="16">
        <f>IF($J283="",0,LEN($J283))</f>
        <v/>
      </c>
      <c r="L283" s="16">
        <f>IF($I283="","",UPPER(TRIM(SUBSTITUTE(IFERROR(INDEX(tblVeriB[FaturaNo],ROW()-ROW(tblVeriB[[#Headers]])),"")," ",""))))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UPPER(TRIM(SUBSTITUTE($A284,"-","")))</f>
        <v/>
      </c>
      <c r="C284" s="16">
        <f>IF($B284="",0,LEN($B284))</f>
        <v/>
      </c>
      <c r="D284" s="16">
        <f>IF($A284="","",UPPER(TRIM(SUBSTITUTE(IFERROR(INDEX(tblVeriA[FaturaNo],ROW()-ROW(tblVeriA[[#Headers]])),"")," ",""))))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UPPER(TRIM(SUBSTITUTE($I284,"-","")))</f>
        <v/>
      </c>
      <c r="K284" s="16">
        <f>IF($J284="",0,LEN($J284))</f>
        <v/>
      </c>
      <c r="L284" s="16">
        <f>IF($I284="","",UPPER(TRIM(SUBSTITUTE(IFERROR(INDEX(tblVeriB[FaturaNo],ROW()-ROW(tblVeriB[[#Headers]])),"")," ",""))))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UPPER(TRIM(SUBSTITUTE($A285,"-","")))</f>
        <v/>
      </c>
      <c r="C285" s="16">
        <f>IF($B285="",0,LEN($B285))</f>
        <v/>
      </c>
      <c r="D285" s="16">
        <f>IF($A285="","",UPPER(TRIM(SUBSTITUTE(IFERROR(INDEX(tblVeriA[FaturaNo],ROW()-ROW(tblVeriA[[#Headers]])),"")," ",""))))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UPPER(TRIM(SUBSTITUTE($I285,"-","")))</f>
        <v/>
      </c>
      <c r="K285" s="16">
        <f>IF($J285="",0,LEN($J285))</f>
        <v/>
      </c>
      <c r="L285" s="16">
        <f>IF($I285="","",UPPER(TRIM(SUBSTITUTE(IFERROR(INDEX(tblVeriB[FaturaNo],ROW()-ROW(tblVeriB[[#Headers]])),"")," ",""))))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UPPER(TRIM(SUBSTITUTE($A286,"-","")))</f>
        <v/>
      </c>
      <c r="C286" s="16">
        <f>IF($B286="",0,LEN($B286))</f>
        <v/>
      </c>
      <c r="D286" s="16">
        <f>IF($A286="","",UPPER(TRIM(SUBSTITUTE(IFERROR(INDEX(tblVeriA[FaturaNo],ROW()-ROW(tblVeriA[[#Headers]])),"")," ",""))))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UPPER(TRIM(SUBSTITUTE($I286,"-","")))</f>
        <v/>
      </c>
      <c r="K286" s="16">
        <f>IF($J286="",0,LEN($J286))</f>
        <v/>
      </c>
      <c r="L286" s="16">
        <f>IF($I286="","",UPPER(TRIM(SUBSTITUTE(IFERROR(INDEX(tblVeriB[FaturaNo],ROW()-ROW(tblVeriB[[#Headers]])),"")," ",""))))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UPPER(TRIM(SUBSTITUTE($A287,"-","")))</f>
        <v/>
      </c>
      <c r="C287" s="16">
        <f>IF($B287="",0,LEN($B287))</f>
        <v/>
      </c>
      <c r="D287" s="16">
        <f>IF($A287="","",UPPER(TRIM(SUBSTITUTE(IFERROR(INDEX(tblVeriA[FaturaNo],ROW()-ROW(tblVeriA[[#Headers]])),"")," ",""))))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UPPER(TRIM(SUBSTITUTE($I287,"-","")))</f>
        <v/>
      </c>
      <c r="K287" s="16">
        <f>IF($J287="",0,LEN($J287))</f>
        <v/>
      </c>
      <c r="L287" s="16">
        <f>IF($I287="","",UPPER(TRIM(SUBSTITUTE(IFERROR(INDEX(tblVeriB[FaturaNo],ROW()-ROW(tblVeriB[[#Headers]])),"")," ",""))))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UPPER(TRIM(SUBSTITUTE($A288,"-","")))</f>
        <v/>
      </c>
      <c r="C288" s="16">
        <f>IF($B288="",0,LEN($B288))</f>
        <v/>
      </c>
      <c r="D288" s="16">
        <f>IF($A288="","",UPPER(TRIM(SUBSTITUTE(IFERROR(INDEX(tblVeriA[FaturaNo],ROW()-ROW(tblVeriA[[#Headers]])),"")," ",""))))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UPPER(TRIM(SUBSTITUTE($I288,"-","")))</f>
        <v/>
      </c>
      <c r="K288" s="16">
        <f>IF($J288="",0,LEN($J288))</f>
        <v/>
      </c>
      <c r="L288" s="16">
        <f>IF($I288="","",UPPER(TRIM(SUBSTITUTE(IFERROR(INDEX(tblVeriB[FaturaNo],ROW()-ROW(tblVeriB[[#Headers]])),"")," ",""))))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UPPER(TRIM(SUBSTITUTE($A289,"-","")))</f>
        <v/>
      </c>
      <c r="C289" s="16">
        <f>IF($B289="",0,LEN($B289))</f>
        <v/>
      </c>
      <c r="D289" s="16">
        <f>IF($A289="","",UPPER(TRIM(SUBSTITUTE(IFERROR(INDEX(tblVeriA[FaturaNo],ROW()-ROW(tblVeriA[[#Headers]])),"")," ",""))))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UPPER(TRIM(SUBSTITUTE($I289,"-","")))</f>
        <v/>
      </c>
      <c r="K289" s="16">
        <f>IF($J289="",0,LEN($J289))</f>
        <v/>
      </c>
      <c r="L289" s="16">
        <f>IF($I289="","",UPPER(TRIM(SUBSTITUTE(IFERROR(INDEX(tblVeriB[FaturaNo],ROW()-ROW(tblVeriB[[#Headers]])),"")," ",""))))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UPPER(TRIM(SUBSTITUTE($A290,"-","")))</f>
        <v/>
      </c>
      <c r="C290" s="16">
        <f>IF($B290="",0,LEN($B290))</f>
        <v/>
      </c>
      <c r="D290" s="16">
        <f>IF($A290="","",UPPER(TRIM(SUBSTITUTE(IFERROR(INDEX(tblVeriA[FaturaNo],ROW()-ROW(tblVeriA[[#Headers]])),"")," ",""))))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UPPER(TRIM(SUBSTITUTE($I290,"-","")))</f>
        <v/>
      </c>
      <c r="K290" s="16">
        <f>IF($J290="",0,LEN($J290))</f>
        <v/>
      </c>
      <c r="L290" s="16">
        <f>IF($I290="","",UPPER(TRIM(SUBSTITUTE(IFERROR(INDEX(tblVeriB[FaturaNo],ROW()-ROW(tblVeriB[[#Headers]])),"")," ",""))))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UPPER(TRIM(SUBSTITUTE($A291,"-","")))</f>
        <v/>
      </c>
      <c r="C291" s="16">
        <f>IF($B291="",0,LEN($B291))</f>
        <v/>
      </c>
      <c r="D291" s="16">
        <f>IF($A291="","",UPPER(TRIM(SUBSTITUTE(IFERROR(INDEX(tblVeriA[FaturaNo],ROW()-ROW(tblVeriA[[#Headers]])),"")," ",""))))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UPPER(TRIM(SUBSTITUTE($I291,"-","")))</f>
        <v/>
      </c>
      <c r="K291" s="16">
        <f>IF($J291="",0,LEN($J291))</f>
        <v/>
      </c>
      <c r="L291" s="16">
        <f>IF($I291="","",UPPER(TRIM(SUBSTITUTE(IFERROR(INDEX(tblVeriB[FaturaNo],ROW()-ROW(tblVeriB[[#Headers]])),"")," ",""))))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UPPER(TRIM(SUBSTITUTE($A292,"-","")))</f>
        <v/>
      </c>
      <c r="C292" s="16">
        <f>IF($B292="",0,LEN($B292))</f>
        <v/>
      </c>
      <c r="D292" s="16">
        <f>IF($A292="","",UPPER(TRIM(SUBSTITUTE(IFERROR(INDEX(tblVeriA[FaturaNo],ROW()-ROW(tblVeriA[[#Headers]])),"")," ",""))))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UPPER(TRIM(SUBSTITUTE($I292,"-","")))</f>
        <v/>
      </c>
      <c r="K292" s="16">
        <f>IF($J292="",0,LEN($J292))</f>
        <v/>
      </c>
      <c r="L292" s="16">
        <f>IF($I292="","",UPPER(TRIM(SUBSTITUTE(IFERROR(INDEX(tblVeriB[FaturaNo],ROW()-ROW(tblVeriB[[#Headers]])),"")," ",""))))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UPPER(TRIM(SUBSTITUTE($A293,"-","")))</f>
        <v/>
      </c>
      <c r="C293" s="16">
        <f>IF($B293="",0,LEN($B293))</f>
        <v/>
      </c>
      <c r="D293" s="16">
        <f>IF($A293="","",UPPER(TRIM(SUBSTITUTE(IFERROR(INDEX(tblVeriA[FaturaNo],ROW()-ROW(tblVeriA[[#Headers]])),"")," ",""))))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UPPER(TRIM(SUBSTITUTE($I293,"-","")))</f>
        <v/>
      </c>
      <c r="K293" s="16">
        <f>IF($J293="",0,LEN($J293))</f>
        <v/>
      </c>
      <c r="L293" s="16">
        <f>IF($I293="","",UPPER(TRIM(SUBSTITUTE(IFERROR(INDEX(tblVeriB[FaturaNo],ROW()-ROW(tblVeriB[[#Headers]])),"")," ",""))))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UPPER(TRIM(SUBSTITUTE($A294,"-","")))</f>
        <v/>
      </c>
      <c r="C294" s="16">
        <f>IF($B294="",0,LEN($B294))</f>
        <v/>
      </c>
      <c r="D294" s="16">
        <f>IF($A294="","",UPPER(TRIM(SUBSTITUTE(IFERROR(INDEX(tblVeriA[FaturaNo],ROW()-ROW(tblVeriA[[#Headers]])),"")," ",""))))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UPPER(TRIM(SUBSTITUTE($I294,"-","")))</f>
        <v/>
      </c>
      <c r="K294" s="16">
        <f>IF($J294="",0,LEN($J294))</f>
        <v/>
      </c>
      <c r="L294" s="16">
        <f>IF($I294="","",UPPER(TRIM(SUBSTITUTE(IFERROR(INDEX(tblVeriB[FaturaNo],ROW()-ROW(tblVeriB[[#Headers]])),"")," ",""))))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UPPER(TRIM(SUBSTITUTE($A295,"-","")))</f>
        <v/>
      </c>
      <c r="C295" s="16">
        <f>IF($B295="",0,LEN($B295))</f>
        <v/>
      </c>
      <c r="D295" s="16">
        <f>IF($A295="","",UPPER(TRIM(SUBSTITUTE(IFERROR(INDEX(tblVeriA[FaturaNo],ROW()-ROW(tblVeriA[[#Headers]])),"")," ",""))))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UPPER(TRIM(SUBSTITUTE($I295,"-","")))</f>
        <v/>
      </c>
      <c r="K295" s="16">
        <f>IF($J295="",0,LEN($J295))</f>
        <v/>
      </c>
      <c r="L295" s="16">
        <f>IF($I295="","",UPPER(TRIM(SUBSTITUTE(IFERROR(INDEX(tblVeriB[FaturaNo],ROW()-ROW(tblVeriB[[#Headers]])),"")," ",""))))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UPPER(TRIM(SUBSTITUTE($A296,"-","")))</f>
        <v/>
      </c>
      <c r="C296" s="16">
        <f>IF($B296="",0,LEN($B296))</f>
        <v/>
      </c>
      <c r="D296" s="16">
        <f>IF($A296="","",UPPER(TRIM(SUBSTITUTE(IFERROR(INDEX(tblVeriA[FaturaNo],ROW()-ROW(tblVeriA[[#Headers]])),"")," ",""))))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UPPER(TRIM(SUBSTITUTE($I296,"-","")))</f>
        <v/>
      </c>
      <c r="K296" s="16">
        <f>IF($J296="",0,LEN($J296))</f>
        <v/>
      </c>
      <c r="L296" s="16">
        <f>IF($I296="","",UPPER(TRIM(SUBSTITUTE(IFERROR(INDEX(tblVeriB[FaturaNo],ROW()-ROW(tblVeriB[[#Headers]])),"")," ",""))))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UPPER(TRIM(SUBSTITUTE($A297,"-","")))</f>
        <v/>
      </c>
      <c r="C297" s="16">
        <f>IF($B297="",0,LEN($B297))</f>
        <v/>
      </c>
      <c r="D297" s="16">
        <f>IF($A297="","",UPPER(TRIM(SUBSTITUTE(IFERROR(INDEX(tblVeriA[FaturaNo],ROW()-ROW(tblVeriA[[#Headers]])),"")," ",""))))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UPPER(TRIM(SUBSTITUTE($I297,"-","")))</f>
        <v/>
      </c>
      <c r="K297" s="16">
        <f>IF($J297="",0,LEN($J297))</f>
        <v/>
      </c>
      <c r="L297" s="16">
        <f>IF($I297="","",UPPER(TRIM(SUBSTITUTE(IFERROR(INDEX(tblVeriB[FaturaNo],ROW()-ROW(tblVeriB[[#Headers]])),"")," ",""))))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UPPER(TRIM(SUBSTITUTE($A298,"-","")))</f>
        <v/>
      </c>
      <c r="C298" s="16">
        <f>IF($B298="",0,LEN($B298))</f>
        <v/>
      </c>
      <c r="D298" s="16">
        <f>IF($A298="","",UPPER(TRIM(SUBSTITUTE(IFERROR(INDEX(tblVeriA[FaturaNo],ROW()-ROW(tblVeriA[[#Headers]])),"")," ",""))))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UPPER(TRIM(SUBSTITUTE($I298,"-","")))</f>
        <v/>
      </c>
      <c r="K298" s="16">
        <f>IF($J298="",0,LEN($J298))</f>
        <v/>
      </c>
      <c r="L298" s="16">
        <f>IF($I298="","",UPPER(TRIM(SUBSTITUTE(IFERROR(INDEX(tblVeriB[FaturaNo],ROW()-ROW(tblVeriB[[#Headers]])),"")," ",""))))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UPPER(TRIM(SUBSTITUTE($A299,"-","")))</f>
        <v/>
      </c>
      <c r="C299" s="16">
        <f>IF($B299="",0,LEN($B299))</f>
        <v/>
      </c>
      <c r="D299" s="16">
        <f>IF($A299="","",UPPER(TRIM(SUBSTITUTE(IFERROR(INDEX(tblVeriA[FaturaNo],ROW()-ROW(tblVeriA[[#Headers]])),"")," ",""))))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UPPER(TRIM(SUBSTITUTE($I299,"-","")))</f>
        <v/>
      </c>
      <c r="K299" s="16">
        <f>IF($J299="",0,LEN($J299))</f>
        <v/>
      </c>
      <c r="L299" s="16">
        <f>IF($I299="","",UPPER(TRIM(SUBSTITUTE(IFERROR(INDEX(tblVeriB[FaturaNo],ROW()-ROW(tblVeriB[[#Headers]])),"")," ",""))))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UPPER(TRIM(SUBSTITUTE($A300,"-","")))</f>
        <v/>
      </c>
      <c r="C300" s="16">
        <f>IF($B300="",0,LEN($B300))</f>
        <v/>
      </c>
      <c r="D300" s="16">
        <f>IF($A300="","",UPPER(TRIM(SUBSTITUTE(IFERROR(INDEX(tblVeriA[FaturaNo],ROW()-ROW(tblVeriA[[#Headers]])),"")," ",""))))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UPPER(TRIM(SUBSTITUTE($I300,"-","")))</f>
        <v/>
      </c>
      <c r="K300" s="16">
        <f>IF($J300="",0,LEN($J300))</f>
        <v/>
      </c>
      <c r="L300" s="16">
        <f>IF($I300="","",UPPER(TRIM(SUBSTITUTE(IFERROR(INDEX(tblVeriB[FaturaNo],ROW()-ROW(tblVeriB[[#Headers]])),"")," ",""))))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UPPER(TRIM(SUBSTITUTE($A301,"-","")))</f>
        <v/>
      </c>
      <c r="C301" s="16">
        <f>IF($B301="",0,LEN($B301))</f>
        <v/>
      </c>
      <c r="D301" s="16">
        <f>IF($A301="","",UPPER(TRIM(SUBSTITUTE(IFERROR(INDEX(tblVeriA[FaturaNo],ROW()-ROW(tblVeriA[[#Headers]])),"")," ",""))))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UPPER(TRIM(SUBSTITUTE($I301,"-","")))</f>
        <v/>
      </c>
      <c r="K301" s="16">
        <f>IF($J301="",0,LEN($J301))</f>
        <v/>
      </c>
      <c r="L301" s="16">
        <f>IF($I301="","",UPPER(TRIM(SUBSTITUTE(IFERROR(INDEX(tblVeriB[FaturaNo],ROW()-ROW(tblVeriB[[#Headers]])),"")," ",""))))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UPPER(TRIM(SUBSTITUTE($A302,"-","")))</f>
        <v/>
      </c>
      <c r="C302" s="16">
        <f>IF($B302="",0,LEN($B302))</f>
        <v/>
      </c>
      <c r="D302" s="16">
        <f>IF($A302="","",UPPER(TRIM(SUBSTITUTE(IFERROR(INDEX(tblVeriA[FaturaNo],ROW()-ROW(tblVeriA[[#Headers]])),"")," ",""))))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UPPER(TRIM(SUBSTITUTE($I302,"-","")))</f>
        <v/>
      </c>
      <c r="K302" s="16">
        <f>IF($J302="",0,LEN($J302))</f>
        <v/>
      </c>
      <c r="L302" s="16">
        <f>IF($I302="","",UPPER(TRIM(SUBSTITUTE(IFERROR(INDEX(tblVeriB[FaturaNo],ROW()-ROW(tblVeriB[[#Headers]])),"")," ",""))))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UPPER(TRIM(SUBSTITUTE($A303,"-","")))</f>
        <v/>
      </c>
      <c r="C303" s="16">
        <f>IF($B303="",0,LEN($B303))</f>
        <v/>
      </c>
      <c r="D303" s="16">
        <f>IF($A303="","",UPPER(TRIM(SUBSTITUTE(IFERROR(INDEX(tblVeriA[FaturaNo],ROW()-ROW(tblVeriA[[#Headers]])),"")," ",""))))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UPPER(TRIM(SUBSTITUTE($I303,"-","")))</f>
        <v/>
      </c>
      <c r="K303" s="16">
        <f>IF($J303="",0,LEN($J303))</f>
        <v/>
      </c>
      <c r="L303" s="16">
        <f>IF($I303="","",UPPER(TRIM(SUBSTITUTE(IFERROR(INDEX(tblVeriB[FaturaNo],ROW()-ROW(tblVeriB[[#Headers]])),"")," ",""))))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UPPER(TRIM(SUBSTITUTE($A304,"-","")))</f>
        <v/>
      </c>
      <c r="C304" s="16">
        <f>IF($B304="",0,LEN($B304))</f>
        <v/>
      </c>
      <c r="D304" s="16">
        <f>IF($A304="","",UPPER(TRIM(SUBSTITUTE(IFERROR(INDEX(tblVeriA[FaturaNo],ROW()-ROW(tblVeriA[[#Headers]])),"")," ",""))))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UPPER(TRIM(SUBSTITUTE($I304,"-","")))</f>
        <v/>
      </c>
      <c r="K304" s="16">
        <f>IF($J304="",0,LEN($J304))</f>
        <v/>
      </c>
      <c r="L304" s="16">
        <f>IF($I304="","",UPPER(TRIM(SUBSTITUTE(IFERROR(INDEX(tblVeriB[FaturaNo],ROW()-ROW(tblVeriB[[#Headers]])),"")," ",""))))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UPPER(TRIM(SUBSTITUTE($A305,"-","")))</f>
        <v/>
      </c>
      <c r="C305" s="16">
        <f>IF($B305="",0,LEN($B305))</f>
        <v/>
      </c>
      <c r="D305" s="16">
        <f>IF($A305="","",UPPER(TRIM(SUBSTITUTE(IFERROR(INDEX(tblVeriA[FaturaNo],ROW()-ROW(tblVeriA[[#Headers]])),"")," ",""))))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UPPER(TRIM(SUBSTITUTE($I305,"-","")))</f>
        <v/>
      </c>
      <c r="K305" s="16">
        <f>IF($J305="",0,LEN($J305))</f>
        <v/>
      </c>
      <c r="L305" s="16">
        <f>IF($I305="","",UPPER(TRIM(SUBSTITUTE(IFERROR(INDEX(tblVeriB[FaturaNo],ROW()-ROW(tblVeriB[[#Headers]])),"")," ",""))))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UPPER(TRIM(SUBSTITUTE($A306,"-","")))</f>
        <v/>
      </c>
      <c r="C306" s="16">
        <f>IF($B306="",0,LEN($B306))</f>
        <v/>
      </c>
      <c r="D306" s="16">
        <f>IF($A306="","",UPPER(TRIM(SUBSTITUTE(IFERROR(INDEX(tblVeriA[FaturaNo],ROW()-ROW(tblVeriA[[#Headers]])),"")," ",""))))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UPPER(TRIM(SUBSTITUTE($I306,"-","")))</f>
        <v/>
      </c>
      <c r="K306" s="16">
        <f>IF($J306="",0,LEN($J306))</f>
        <v/>
      </c>
      <c r="L306" s="16">
        <f>IF($I306="","",UPPER(TRIM(SUBSTITUTE(IFERROR(INDEX(tblVeriB[FaturaNo],ROW()-ROW(tblVeriB[[#Headers]])),"")," ",""))))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UPPER(TRIM(SUBSTITUTE($A307,"-","")))</f>
        <v/>
      </c>
      <c r="C307" s="16">
        <f>IF($B307="",0,LEN($B307))</f>
        <v/>
      </c>
      <c r="D307" s="16">
        <f>IF($A307="","",UPPER(TRIM(SUBSTITUTE(IFERROR(INDEX(tblVeriA[FaturaNo],ROW()-ROW(tblVeriA[[#Headers]])),"")," ",""))))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UPPER(TRIM(SUBSTITUTE($I307,"-","")))</f>
        <v/>
      </c>
      <c r="K307" s="16">
        <f>IF($J307="",0,LEN($J307))</f>
        <v/>
      </c>
      <c r="L307" s="16">
        <f>IF($I307="","",UPPER(TRIM(SUBSTITUTE(IFERROR(INDEX(tblVeriB[FaturaNo],ROW()-ROW(tblVeriB[[#Headers]])),"")," ",""))))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UPPER(TRIM(SUBSTITUTE($A308,"-","")))</f>
        <v/>
      </c>
      <c r="C308" s="16">
        <f>IF($B308="",0,LEN($B308))</f>
        <v/>
      </c>
      <c r="D308" s="16">
        <f>IF($A308="","",UPPER(TRIM(SUBSTITUTE(IFERROR(INDEX(tblVeriA[FaturaNo],ROW()-ROW(tblVeriA[[#Headers]])),"")," ",""))))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UPPER(TRIM(SUBSTITUTE($I308,"-","")))</f>
        <v/>
      </c>
      <c r="K308" s="16">
        <f>IF($J308="",0,LEN($J308))</f>
        <v/>
      </c>
      <c r="L308" s="16">
        <f>IF($I308="","",UPPER(TRIM(SUBSTITUTE(IFERROR(INDEX(tblVeriB[FaturaNo],ROW()-ROW(tblVeriB[[#Headers]])),"")," ",""))))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UPPER(TRIM(SUBSTITUTE($A309,"-","")))</f>
        <v/>
      </c>
      <c r="C309" s="16">
        <f>IF($B309="",0,LEN($B309))</f>
        <v/>
      </c>
      <c r="D309" s="16">
        <f>IF($A309="","",UPPER(TRIM(SUBSTITUTE(IFERROR(INDEX(tblVeriA[FaturaNo],ROW()-ROW(tblVeriA[[#Headers]])),"")," ",""))))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UPPER(TRIM(SUBSTITUTE($I309,"-","")))</f>
        <v/>
      </c>
      <c r="K309" s="16">
        <f>IF($J309="",0,LEN($J309))</f>
        <v/>
      </c>
      <c r="L309" s="16">
        <f>IF($I309="","",UPPER(TRIM(SUBSTITUTE(IFERROR(INDEX(tblVeriB[FaturaNo],ROW()-ROW(tblVeriB[[#Headers]])),"")," ",""))))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UPPER(TRIM(SUBSTITUTE($A310,"-","")))</f>
        <v/>
      </c>
      <c r="C310" s="16">
        <f>IF($B310="",0,LEN($B310))</f>
        <v/>
      </c>
      <c r="D310" s="16">
        <f>IF($A310="","",UPPER(TRIM(SUBSTITUTE(IFERROR(INDEX(tblVeriA[FaturaNo],ROW()-ROW(tblVeriA[[#Headers]])),"")," ",""))))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UPPER(TRIM(SUBSTITUTE($I310,"-","")))</f>
        <v/>
      </c>
      <c r="K310" s="16">
        <f>IF($J310="",0,LEN($J310))</f>
        <v/>
      </c>
      <c r="L310" s="16">
        <f>IF($I310="","",UPPER(TRIM(SUBSTITUTE(IFERROR(INDEX(tblVeriB[FaturaNo],ROW()-ROW(tblVeriB[[#Headers]])),"")," ",""))))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UPPER(TRIM(SUBSTITUTE($A311,"-","")))</f>
        <v/>
      </c>
      <c r="C311" s="16">
        <f>IF($B311="",0,LEN($B311))</f>
        <v/>
      </c>
      <c r="D311" s="16">
        <f>IF($A311="","",UPPER(TRIM(SUBSTITUTE(IFERROR(INDEX(tblVeriA[FaturaNo],ROW()-ROW(tblVeriA[[#Headers]])),"")," ",""))))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UPPER(TRIM(SUBSTITUTE($I311,"-","")))</f>
        <v/>
      </c>
      <c r="K311" s="16">
        <f>IF($J311="",0,LEN($J311))</f>
        <v/>
      </c>
      <c r="L311" s="16">
        <f>IF($I311="","",UPPER(TRIM(SUBSTITUTE(IFERROR(INDEX(tblVeriB[FaturaNo],ROW()-ROW(tblVeriB[[#Headers]])),"")," ",""))))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UPPER(TRIM(SUBSTITUTE($A312,"-","")))</f>
        <v/>
      </c>
      <c r="C312" s="16">
        <f>IF($B312="",0,LEN($B312))</f>
        <v/>
      </c>
      <c r="D312" s="16">
        <f>IF($A312="","",UPPER(TRIM(SUBSTITUTE(IFERROR(INDEX(tblVeriA[FaturaNo],ROW()-ROW(tblVeriA[[#Headers]])),"")," ",""))))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UPPER(TRIM(SUBSTITUTE($I312,"-","")))</f>
        <v/>
      </c>
      <c r="K312" s="16">
        <f>IF($J312="",0,LEN($J312))</f>
        <v/>
      </c>
      <c r="L312" s="16">
        <f>IF($I312="","",UPPER(TRIM(SUBSTITUTE(IFERROR(INDEX(tblVeriB[FaturaNo],ROW()-ROW(tblVeriB[[#Headers]])),"")," ",""))))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UPPER(TRIM(SUBSTITUTE($A313,"-","")))</f>
        <v/>
      </c>
      <c r="C313" s="16">
        <f>IF($B313="",0,LEN($B313))</f>
        <v/>
      </c>
      <c r="D313" s="16">
        <f>IF($A313="","",UPPER(TRIM(SUBSTITUTE(IFERROR(INDEX(tblVeriA[FaturaNo],ROW()-ROW(tblVeriA[[#Headers]])),"")," ",""))))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UPPER(TRIM(SUBSTITUTE($I313,"-","")))</f>
        <v/>
      </c>
      <c r="K313" s="16">
        <f>IF($J313="",0,LEN($J313))</f>
        <v/>
      </c>
      <c r="L313" s="16">
        <f>IF($I313="","",UPPER(TRIM(SUBSTITUTE(IFERROR(INDEX(tblVeriB[FaturaNo],ROW()-ROW(tblVeriB[[#Headers]])),"")," ",""))))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UPPER(TRIM(SUBSTITUTE($A314,"-","")))</f>
        <v/>
      </c>
      <c r="C314" s="16">
        <f>IF($B314="",0,LEN($B314))</f>
        <v/>
      </c>
      <c r="D314" s="16">
        <f>IF($A314="","",UPPER(TRIM(SUBSTITUTE(IFERROR(INDEX(tblVeriA[FaturaNo],ROW()-ROW(tblVeriA[[#Headers]])),"")," ",""))))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UPPER(TRIM(SUBSTITUTE($I314,"-","")))</f>
        <v/>
      </c>
      <c r="K314" s="16">
        <f>IF($J314="",0,LEN($J314))</f>
        <v/>
      </c>
      <c r="L314" s="16">
        <f>IF($I314="","",UPPER(TRIM(SUBSTITUTE(IFERROR(INDEX(tblVeriB[FaturaNo],ROW()-ROW(tblVeriB[[#Headers]])),"")," ",""))))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UPPER(TRIM(SUBSTITUTE($A315,"-","")))</f>
        <v/>
      </c>
      <c r="C315" s="16">
        <f>IF($B315="",0,LEN($B315))</f>
        <v/>
      </c>
      <c r="D315" s="16">
        <f>IF($A315="","",UPPER(TRIM(SUBSTITUTE(IFERROR(INDEX(tblVeriA[FaturaNo],ROW()-ROW(tblVeriA[[#Headers]])),"")," ",""))))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UPPER(TRIM(SUBSTITUTE($I315,"-","")))</f>
        <v/>
      </c>
      <c r="K315" s="16">
        <f>IF($J315="",0,LEN($J315))</f>
        <v/>
      </c>
      <c r="L315" s="16">
        <f>IF($I315="","",UPPER(TRIM(SUBSTITUTE(IFERROR(INDEX(tblVeriB[FaturaNo],ROW()-ROW(tblVeriB[[#Headers]])),"")," ",""))))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UPPER(TRIM(SUBSTITUTE($A316,"-","")))</f>
        <v/>
      </c>
      <c r="C316" s="16">
        <f>IF($B316="",0,LEN($B316))</f>
        <v/>
      </c>
      <c r="D316" s="16">
        <f>IF($A316="","",UPPER(TRIM(SUBSTITUTE(IFERROR(INDEX(tblVeriA[FaturaNo],ROW()-ROW(tblVeriA[[#Headers]])),"")," ",""))))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UPPER(TRIM(SUBSTITUTE($I316,"-","")))</f>
        <v/>
      </c>
      <c r="K316" s="16">
        <f>IF($J316="",0,LEN($J316))</f>
        <v/>
      </c>
      <c r="L316" s="16">
        <f>IF($I316="","",UPPER(TRIM(SUBSTITUTE(IFERROR(INDEX(tblVeriB[FaturaNo],ROW()-ROW(tblVeriB[[#Headers]])),"")," ",""))))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UPPER(TRIM(SUBSTITUTE($A317,"-","")))</f>
        <v/>
      </c>
      <c r="C317" s="16">
        <f>IF($B317="",0,LEN($B317))</f>
        <v/>
      </c>
      <c r="D317" s="16">
        <f>IF($A317="","",UPPER(TRIM(SUBSTITUTE(IFERROR(INDEX(tblVeriA[FaturaNo],ROW()-ROW(tblVeriA[[#Headers]])),"")," ",""))))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UPPER(TRIM(SUBSTITUTE($I317,"-","")))</f>
        <v/>
      </c>
      <c r="K317" s="16">
        <f>IF($J317="",0,LEN($J317))</f>
        <v/>
      </c>
      <c r="L317" s="16">
        <f>IF($I317="","",UPPER(TRIM(SUBSTITUTE(IFERROR(INDEX(tblVeriB[FaturaNo],ROW()-ROW(tblVeriB[[#Headers]])),"")," ",""))))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UPPER(TRIM(SUBSTITUTE($A318,"-","")))</f>
        <v/>
      </c>
      <c r="C318" s="16">
        <f>IF($B318="",0,LEN($B318))</f>
        <v/>
      </c>
      <c r="D318" s="16">
        <f>IF($A318="","",UPPER(TRIM(SUBSTITUTE(IFERROR(INDEX(tblVeriA[FaturaNo],ROW()-ROW(tblVeriA[[#Headers]])),"")," ",""))))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UPPER(TRIM(SUBSTITUTE($I318,"-","")))</f>
        <v/>
      </c>
      <c r="K318" s="16">
        <f>IF($J318="",0,LEN($J318))</f>
        <v/>
      </c>
      <c r="L318" s="16">
        <f>IF($I318="","",UPPER(TRIM(SUBSTITUTE(IFERROR(INDEX(tblVeriB[FaturaNo],ROW()-ROW(tblVeriB[[#Headers]])),"")," ",""))))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UPPER(TRIM(SUBSTITUTE($A319,"-","")))</f>
        <v/>
      </c>
      <c r="C319" s="16">
        <f>IF($B319="",0,LEN($B319))</f>
        <v/>
      </c>
      <c r="D319" s="16">
        <f>IF($A319="","",UPPER(TRIM(SUBSTITUTE(IFERROR(INDEX(tblVeriA[FaturaNo],ROW()-ROW(tblVeriA[[#Headers]])),"")," ",""))))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UPPER(TRIM(SUBSTITUTE($I319,"-","")))</f>
        <v/>
      </c>
      <c r="K319" s="16">
        <f>IF($J319="",0,LEN($J319))</f>
        <v/>
      </c>
      <c r="L319" s="16">
        <f>IF($I319="","",UPPER(TRIM(SUBSTITUTE(IFERROR(INDEX(tblVeriB[FaturaNo],ROW()-ROW(tblVeriB[[#Headers]])),"")," ",""))))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UPPER(TRIM(SUBSTITUTE($A320,"-","")))</f>
        <v/>
      </c>
      <c r="C320" s="16">
        <f>IF($B320="",0,LEN($B320))</f>
        <v/>
      </c>
      <c r="D320" s="16">
        <f>IF($A320="","",UPPER(TRIM(SUBSTITUTE(IFERROR(INDEX(tblVeriA[FaturaNo],ROW()-ROW(tblVeriA[[#Headers]])),"")," ",""))))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UPPER(TRIM(SUBSTITUTE($I320,"-","")))</f>
        <v/>
      </c>
      <c r="K320" s="16">
        <f>IF($J320="",0,LEN($J320))</f>
        <v/>
      </c>
      <c r="L320" s="16">
        <f>IF($I320="","",UPPER(TRIM(SUBSTITUTE(IFERROR(INDEX(tblVeriB[FaturaNo],ROW()-ROW(tblVeriB[[#Headers]])),"")," ",""))))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UPPER(TRIM(SUBSTITUTE($A321,"-","")))</f>
        <v/>
      </c>
      <c r="C321" s="16">
        <f>IF($B321="",0,LEN($B321))</f>
        <v/>
      </c>
      <c r="D321" s="16">
        <f>IF($A321="","",UPPER(TRIM(SUBSTITUTE(IFERROR(INDEX(tblVeriA[FaturaNo],ROW()-ROW(tblVeriA[[#Headers]])),"")," ",""))))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UPPER(TRIM(SUBSTITUTE($I321,"-","")))</f>
        <v/>
      </c>
      <c r="K321" s="16">
        <f>IF($J321="",0,LEN($J321))</f>
        <v/>
      </c>
      <c r="L321" s="16">
        <f>IF($I321="","",UPPER(TRIM(SUBSTITUTE(IFERROR(INDEX(tblVeriB[FaturaNo],ROW()-ROW(tblVeriB[[#Headers]])),"")," ",""))))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UPPER(TRIM(SUBSTITUTE($A322,"-","")))</f>
        <v/>
      </c>
      <c r="C322" s="16">
        <f>IF($B322="",0,LEN($B322))</f>
        <v/>
      </c>
      <c r="D322" s="16">
        <f>IF($A322="","",UPPER(TRIM(SUBSTITUTE(IFERROR(INDEX(tblVeriA[FaturaNo],ROW()-ROW(tblVeriA[[#Headers]])),"")," ",""))))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UPPER(TRIM(SUBSTITUTE($I322,"-","")))</f>
        <v/>
      </c>
      <c r="K322" s="16">
        <f>IF($J322="",0,LEN($J322))</f>
        <v/>
      </c>
      <c r="L322" s="16">
        <f>IF($I322="","",UPPER(TRIM(SUBSTITUTE(IFERROR(INDEX(tblVeriB[FaturaNo],ROW()-ROW(tblVeriB[[#Headers]])),"")," ",""))))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UPPER(TRIM(SUBSTITUTE($A323,"-","")))</f>
        <v/>
      </c>
      <c r="C323" s="16">
        <f>IF($B323="",0,LEN($B323))</f>
        <v/>
      </c>
      <c r="D323" s="16">
        <f>IF($A323="","",UPPER(TRIM(SUBSTITUTE(IFERROR(INDEX(tblVeriA[FaturaNo],ROW()-ROW(tblVeriA[[#Headers]])),"")," ",""))))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UPPER(TRIM(SUBSTITUTE($I323,"-","")))</f>
        <v/>
      </c>
      <c r="K323" s="16">
        <f>IF($J323="",0,LEN($J323))</f>
        <v/>
      </c>
      <c r="L323" s="16">
        <f>IF($I323="","",UPPER(TRIM(SUBSTITUTE(IFERROR(INDEX(tblVeriB[FaturaNo],ROW()-ROW(tblVeriB[[#Headers]])),"")," ",""))))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UPPER(TRIM(SUBSTITUTE($A324,"-","")))</f>
        <v/>
      </c>
      <c r="C324" s="16">
        <f>IF($B324="",0,LEN($B324))</f>
        <v/>
      </c>
      <c r="D324" s="16">
        <f>IF($A324="","",UPPER(TRIM(SUBSTITUTE(IFERROR(INDEX(tblVeriA[FaturaNo],ROW()-ROW(tblVeriA[[#Headers]])),"")," ",""))))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UPPER(TRIM(SUBSTITUTE($I324,"-","")))</f>
        <v/>
      </c>
      <c r="K324" s="16">
        <f>IF($J324="",0,LEN($J324))</f>
        <v/>
      </c>
      <c r="L324" s="16">
        <f>IF($I324="","",UPPER(TRIM(SUBSTITUTE(IFERROR(INDEX(tblVeriB[FaturaNo],ROW()-ROW(tblVeriB[[#Headers]])),"")," ",""))))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UPPER(TRIM(SUBSTITUTE($A325,"-","")))</f>
        <v/>
      </c>
      <c r="C325" s="16">
        <f>IF($B325="",0,LEN($B325))</f>
        <v/>
      </c>
      <c r="D325" s="16">
        <f>IF($A325="","",UPPER(TRIM(SUBSTITUTE(IFERROR(INDEX(tblVeriA[FaturaNo],ROW()-ROW(tblVeriA[[#Headers]])),"")," ",""))))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UPPER(TRIM(SUBSTITUTE($I325,"-","")))</f>
        <v/>
      </c>
      <c r="K325" s="16">
        <f>IF($J325="",0,LEN($J325))</f>
        <v/>
      </c>
      <c r="L325" s="16">
        <f>IF($I325="","",UPPER(TRIM(SUBSTITUTE(IFERROR(INDEX(tblVeriB[FaturaNo],ROW()-ROW(tblVeriB[[#Headers]])),"")," ",""))))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UPPER(TRIM(SUBSTITUTE($A326,"-","")))</f>
        <v/>
      </c>
      <c r="C326" s="16">
        <f>IF($B326="",0,LEN($B326))</f>
        <v/>
      </c>
      <c r="D326" s="16">
        <f>IF($A326="","",UPPER(TRIM(SUBSTITUTE(IFERROR(INDEX(tblVeriA[FaturaNo],ROW()-ROW(tblVeriA[[#Headers]])),"")," ",""))))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UPPER(TRIM(SUBSTITUTE($I326,"-","")))</f>
        <v/>
      </c>
      <c r="K326" s="16">
        <f>IF($J326="",0,LEN($J326))</f>
        <v/>
      </c>
      <c r="L326" s="16">
        <f>IF($I326="","",UPPER(TRIM(SUBSTITUTE(IFERROR(INDEX(tblVeriB[FaturaNo],ROW()-ROW(tblVeriB[[#Headers]])),"")," ",""))))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UPPER(TRIM(SUBSTITUTE($A327,"-","")))</f>
        <v/>
      </c>
      <c r="C327" s="16">
        <f>IF($B327="",0,LEN($B327))</f>
        <v/>
      </c>
      <c r="D327" s="16">
        <f>IF($A327="","",UPPER(TRIM(SUBSTITUTE(IFERROR(INDEX(tblVeriA[FaturaNo],ROW()-ROW(tblVeriA[[#Headers]])),"")," ",""))))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UPPER(TRIM(SUBSTITUTE($I327,"-","")))</f>
        <v/>
      </c>
      <c r="K327" s="16">
        <f>IF($J327="",0,LEN($J327))</f>
        <v/>
      </c>
      <c r="L327" s="16">
        <f>IF($I327="","",UPPER(TRIM(SUBSTITUTE(IFERROR(INDEX(tblVeriB[FaturaNo],ROW()-ROW(tblVeriB[[#Headers]])),"")," ",""))))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UPPER(TRIM(SUBSTITUTE($A328,"-","")))</f>
        <v/>
      </c>
      <c r="C328" s="16">
        <f>IF($B328="",0,LEN($B328))</f>
        <v/>
      </c>
      <c r="D328" s="16">
        <f>IF($A328="","",UPPER(TRIM(SUBSTITUTE(IFERROR(INDEX(tblVeriA[FaturaNo],ROW()-ROW(tblVeriA[[#Headers]])),"")," ",""))))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UPPER(TRIM(SUBSTITUTE($I328,"-","")))</f>
        <v/>
      </c>
      <c r="K328" s="16">
        <f>IF($J328="",0,LEN($J328))</f>
        <v/>
      </c>
      <c r="L328" s="16">
        <f>IF($I328="","",UPPER(TRIM(SUBSTITUTE(IFERROR(INDEX(tblVeriB[FaturaNo],ROW()-ROW(tblVeriB[[#Headers]])),"")," ",""))))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UPPER(TRIM(SUBSTITUTE($A329,"-","")))</f>
        <v/>
      </c>
      <c r="C329" s="16">
        <f>IF($B329="",0,LEN($B329))</f>
        <v/>
      </c>
      <c r="D329" s="16">
        <f>IF($A329="","",UPPER(TRIM(SUBSTITUTE(IFERROR(INDEX(tblVeriA[FaturaNo],ROW()-ROW(tblVeriA[[#Headers]])),"")," ",""))))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UPPER(TRIM(SUBSTITUTE($I329,"-","")))</f>
        <v/>
      </c>
      <c r="K329" s="16">
        <f>IF($J329="",0,LEN($J329))</f>
        <v/>
      </c>
      <c r="L329" s="16">
        <f>IF($I329="","",UPPER(TRIM(SUBSTITUTE(IFERROR(INDEX(tblVeriB[FaturaNo],ROW()-ROW(tblVeriB[[#Headers]])),"")," ",""))))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UPPER(TRIM(SUBSTITUTE($A330,"-","")))</f>
        <v/>
      </c>
      <c r="C330" s="16">
        <f>IF($B330="",0,LEN($B330))</f>
        <v/>
      </c>
      <c r="D330" s="16">
        <f>IF($A330="","",UPPER(TRIM(SUBSTITUTE(IFERROR(INDEX(tblVeriA[FaturaNo],ROW()-ROW(tblVeriA[[#Headers]])),"")," ",""))))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UPPER(TRIM(SUBSTITUTE($I330,"-","")))</f>
        <v/>
      </c>
      <c r="K330" s="16">
        <f>IF($J330="",0,LEN($J330))</f>
        <v/>
      </c>
      <c r="L330" s="16">
        <f>IF($I330="","",UPPER(TRIM(SUBSTITUTE(IFERROR(INDEX(tblVeriB[FaturaNo],ROW()-ROW(tblVeriB[[#Headers]])),"")," ",""))))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UPPER(TRIM(SUBSTITUTE($A331,"-","")))</f>
        <v/>
      </c>
      <c r="C331" s="16">
        <f>IF($B331="",0,LEN($B331))</f>
        <v/>
      </c>
      <c r="D331" s="16">
        <f>IF($A331="","",UPPER(TRIM(SUBSTITUTE(IFERROR(INDEX(tblVeriA[FaturaNo],ROW()-ROW(tblVeriA[[#Headers]])),"")," ",""))))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UPPER(TRIM(SUBSTITUTE($I331,"-","")))</f>
        <v/>
      </c>
      <c r="K331" s="16">
        <f>IF($J331="",0,LEN($J331))</f>
        <v/>
      </c>
      <c r="L331" s="16">
        <f>IF($I331="","",UPPER(TRIM(SUBSTITUTE(IFERROR(INDEX(tblVeriB[FaturaNo],ROW()-ROW(tblVeriB[[#Headers]])),"")," ",""))))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UPPER(TRIM(SUBSTITUTE($A332,"-","")))</f>
        <v/>
      </c>
      <c r="C332" s="16">
        <f>IF($B332="",0,LEN($B332))</f>
        <v/>
      </c>
      <c r="D332" s="16">
        <f>IF($A332="","",UPPER(TRIM(SUBSTITUTE(IFERROR(INDEX(tblVeriA[FaturaNo],ROW()-ROW(tblVeriA[[#Headers]])),"")," ",""))))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UPPER(TRIM(SUBSTITUTE($I332,"-","")))</f>
        <v/>
      </c>
      <c r="K332" s="16">
        <f>IF($J332="",0,LEN($J332))</f>
        <v/>
      </c>
      <c r="L332" s="16">
        <f>IF($I332="","",UPPER(TRIM(SUBSTITUTE(IFERROR(INDEX(tblVeriB[FaturaNo],ROW()-ROW(tblVeriB[[#Headers]])),"")," ",""))))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UPPER(TRIM(SUBSTITUTE($A333,"-","")))</f>
        <v/>
      </c>
      <c r="C333" s="16">
        <f>IF($B333="",0,LEN($B333))</f>
        <v/>
      </c>
      <c r="D333" s="16">
        <f>IF($A333="","",UPPER(TRIM(SUBSTITUTE(IFERROR(INDEX(tblVeriA[FaturaNo],ROW()-ROW(tblVeriA[[#Headers]])),"")," ",""))))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UPPER(TRIM(SUBSTITUTE($I333,"-","")))</f>
        <v/>
      </c>
      <c r="K333" s="16">
        <f>IF($J333="",0,LEN($J333))</f>
        <v/>
      </c>
      <c r="L333" s="16">
        <f>IF($I333="","",UPPER(TRIM(SUBSTITUTE(IFERROR(INDEX(tblVeriB[FaturaNo],ROW()-ROW(tblVeriB[[#Headers]])),"")," ",""))))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UPPER(TRIM(SUBSTITUTE($A334,"-","")))</f>
        <v/>
      </c>
      <c r="C334" s="16">
        <f>IF($B334="",0,LEN($B334))</f>
        <v/>
      </c>
      <c r="D334" s="16">
        <f>IF($A334="","",UPPER(TRIM(SUBSTITUTE(IFERROR(INDEX(tblVeriA[FaturaNo],ROW()-ROW(tblVeriA[[#Headers]])),"")," ",""))))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UPPER(TRIM(SUBSTITUTE($I334,"-","")))</f>
        <v/>
      </c>
      <c r="K334" s="16">
        <f>IF($J334="",0,LEN($J334))</f>
        <v/>
      </c>
      <c r="L334" s="16">
        <f>IF($I334="","",UPPER(TRIM(SUBSTITUTE(IFERROR(INDEX(tblVeriB[FaturaNo],ROW()-ROW(tblVeriB[[#Headers]])),"")," ",""))))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UPPER(TRIM(SUBSTITUTE($A335,"-","")))</f>
        <v/>
      </c>
      <c r="C335" s="16">
        <f>IF($B335="",0,LEN($B335))</f>
        <v/>
      </c>
      <c r="D335" s="16">
        <f>IF($A335="","",UPPER(TRIM(SUBSTITUTE(IFERROR(INDEX(tblVeriA[FaturaNo],ROW()-ROW(tblVeriA[[#Headers]])),"")," ",""))))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UPPER(TRIM(SUBSTITUTE($I335,"-","")))</f>
        <v/>
      </c>
      <c r="K335" s="16">
        <f>IF($J335="",0,LEN($J335))</f>
        <v/>
      </c>
      <c r="L335" s="16">
        <f>IF($I335="","",UPPER(TRIM(SUBSTITUTE(IFERROR(INDEX(tblVeriB[FaturaNo],ROW()-ROW(tblVeriB[[#Headers]])),"")," ",""))))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UPPER(TRIM(SUBSTITUTE($A336,"-","")))</f>
        <v/>
      </c>
      <c r="C336" s="16">
        <f>IF($B336="",0,LEN($B336))</f>
        <v/>
      </c>
      <c r="D336" s="16">
        <f>IF($A336="","",UPPER(TRIM(SUBSTITUTE(IFERROR(INDEX(tblVeriA[FaturaNo],ROW()-ROW(tblVeriA[[#Headers]])),"")," ",""))))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UPPER(TRIM(SUBSTITUTE($I336,"-","")))</f>
        <v/>
      </c>
      <c r="K336" s="16">
        <f>IF($J336="",0,LEN($J336))</f>
        <v/>
      </c>
      <c r="L336" s="16">
        <f>IF($I336="","",UPPER(TRIM(SUBSTITUTE(IFERROR(INDEX(tblVeriB[FaturaNo],ROW()-ROW(tblVeriB[[#Headers]])),"")," ",""))))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UPPER(TRIM(SUBSTITUTE($A337,"-","")))</f>
        <v/>
      </c>
      <c r="C337" s="16">
        <f>IF($B337="",0,LEN($B337))</f>
        <v/>
      </c>
      <c r="D337" s="16">
        <f>IF($A337="","",UPPER(TRIM(SUBSTITUTE(IFERROR(INDEX(tblVeriA[FaturaNo],ROW()-ROW(tblVeriA[[#Headers]])),"")," ",""))))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UPPER(TRIM(SUBSTITUTE($I337,"-","")))</f>
        <v/>
      </c>
      <c r="K337" s="16">
        <f>IF($J337="",0,LEN($J337))</f>
        <v/>
      </c>
      <c r="L337" s="16">
        <f>IF($I337="","",UPPER(TRIM(SUBSTITUTE(IFERROR(INDEX(tblVeriB[FaturaNo],ROW()-ROW(tblVeriB[[#Headers]])),"")," ",""))))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UPPER(TRIM(SUBSTITUTE($A338,"-","")))</f>
        <v/>
      </c>
      <c r="C338" s="16">
        <f>IF($B338="",0,LEN($B338))</f>
        <v/>
      </c>
      <c r="D338" s="16">
        <f>IF($A338="","",UPPER(TRIM(SUBSTITUTE(IFERROR(INDEX(tblVeriA[FaturaNo],ROW()-ROW(tblVeriA[[#Headers]])),"")," ",""))))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UPPER(TRIM(SUBSTITUTE($I338,"-","")))</f>
        <v/>
      </c>
      <c r="K338" s="16">
        <f>IF($J338="",0,LEN($J338))</f>
        <v/>
      </c>
      <c r="L338" s="16">
        <f>IF($I338="","",UPPER(TRIM(SUBSTITUTE(IFERROR(INDEX(tblVeriB[FaturaNo],ROW()-ROW(tblVeriB[[#Headers]])),"")," ",""))))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UPPER(TRIM(SUBSTITUTE($A339,"-","")))</f>
        <v/>
      </c>
      <c r="C339" s="16">
        <f>IF($B339="",0,LEN($B339))</f>
        <v/>
      </c>
      <c r="D339" s="16">
        <f>IF($A339="","",UPPER(TRIM(SUBSTITUTE(IFERROR(INDEX(tblVeriA[FaturaNo],ROW()-ROW(tblVeriA[[#Headers]])),"")," ",""))))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UPPER(TRIM(SUBSTITUTE($I339,"-","")))</f>
        <v/>
      </c>
      <c r="K339" s="16">
        <f>IF($J339="",0,LEN($J339))</f>
        <v/>
      </c>
      <c r="L339" s="16">
        <f>IF($I339="","",UPPER(TRIM(SUBSTITUTE(IFERROR(INDEX(tblVeriB[FaturaNo],ROW()-ROW(tblVeriB[[#Headers]])),"")," ",""))))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UPPER(TRIM(SUBSTITUTE($A340,"-","")))</f>
        <v/>
      </c>
      <c r="C340" s="16">
        <f>IF($B340="",0,LEN($B340))</f>
        <v/>
      </c>
      <c r="D340" s="16">
        <f>IF($A340="","",UPPER(TRIM(SUBSTITUTE(IFERROR(INDEX(tblVeriA[FaturaNo],ROW()-ROW(tblVeriA[[#Headers]])),"")," ",""))))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UPPER(TRIM(SUBSTITUTE($I340,"-","")))</f>
        <v/>
      </c>
      <c r="K340" s="16">
        <f>IF($J340="",0,LEN($J340))</f>
        <v/>
      </c>
      <c r="L340" s="16">
        <f>IF($I340="","",UPPER(TRIM(SUBSTITUTE(IFERROR(INDEX(tblVeriB[FaturaNo],ROW()-ROW(tblVeriB[[#Headers]])),"")," ",""))))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UPPER(TRIM(SUBSTITUTE($A341,"-","")))</f>
        <v/>
      </c>
      <c r="C341" s="16">
        <f>IF($B341="",0,LEN($B341))</f>
        <v/>
      </c>
      <c r="D341" s="16">
        <f>IF($A341="","",UPPER(TRIM(SUBSTITUTE(IFERROR(INDEX(tblVeriA[FaturaNo],ROW()-ROW(tblVeriA[[#Headers]])),"")," ",""))))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UPPER(TRIM(SUBSTITUTE($I341,"-","")))</f>
        <v/>
      </c>
      <c r="K341" s="16">
        <f>IF($J341="",0,LEN($J341))</f>
        <v/>
      </c>
      <c r="L341" s="16">
        <f>IF($I341="","",UPPER(TRIM(SUBSTITUTE(IFERROR(INDEX(tblVeriB[FaturaNo],ROW()-ROW(tblVeriB[[#Headers]])),"")," ",""))))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UPPER(TRIM(SUBSTITUTE($A342,"-","")))</f>
        <v/>
      </c>
      <c r="C342" s="16">
        <f>IF($B342="",0,LEN($B342))</f>
        <v/>
      </c>
      <c r="D342" s="16">
        <f>IF($A342="","",UPPER(TRIM(SUBSTITUTE(IFERROR(INDEX(tblVeriA[FaturaNo],ROW()-ROW(tblVeriA[[#Headers]])),"")," ",""))))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UPPER(TRIM(SUBSTITUTE($I342,"-","")))</f>
        <v/>
      </c>
      <c r="K342" s="16">
        <f>IF($J342="",0,LEN($J342))</f>
        <v/>
      </c>
      <c r="L342" s="16">
        <f>IF($I342="","",UPPER(TRIM(SUBSTITUTE(IFERROR(INDEX(tblVeriB[FaturaNo],ROW()-ROW(tblVeriB[[#Headers]])),"")," ",""))))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UPPER(TRIM(SUBSTITUTE($A343,"-","")))</f>
        <v/>
      </c>
      <c r="C343" s="16">
        <f>IF($B343="",0,LEN($B343))</f>
        <v/>
      </c>
      <c r="D343" s="16">
        <f>IF($A343="","",UPPER(TRIM(SUBSTITUTE(IFERROR(INDEX(tblVeriA[FaturaNo],ROW()-ROW(tblVeriA[[#Headers]])),"")," ",""))))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UPPER(TRIM(SUBSTITUTE($I343,"-","")))</f>
        <v/>
      </c>
      <c r="K343" s="16">
        <f>IF($J343="",0,LEN($J343))</f>
        <v/>
      </c>
      <c r="L343" s="16">
        <f>IF($I343="","",UPPER(TRIM(SUBSTITUTE(IFERROR(INDEX(tblVeriB[FaturaNo],ROW()-ROW(tblVeriB[[#Headers]])),"")," ",""))))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UPPER(TRIM(SUBSTITUTE($A344,"-","")))</f>
        <v/>
      </c>
      <c r="C344" s="16">
        <f>IF($B344="",0,LEN($B344))</f>
        <v/>
      </c>
      <c r="D344" s="16">
        <f>IF($A344="","",UPPER(TRIM(SUBSTITUTE(IFERROR(INDEX(tblVeriA[FaturaNo],ROW()-ROW(tblVeriA[[#Headers]])),"")," ",""))))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UPPER(TRIM(SUBSTITUTE($I344,"-","")))</f>
        <v/>
      </c>
      <c r="K344" s="16">
        <f>IF($J344="",0,LEN($J344))</f>
        <v/>
      </c>
      <c r="L344" s="16">
        <f>IF($I344="","",UPPER(TRIM(SUBSTITUTE(IFERROR(INDEX(tblVeriB[FaturaNo],ROW()-ROW(tblVeriB[[#Headers]])),"")," ",""))))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UPPER(TRIM(SUBSTITUTE($A345,"-","")))</f>
        <v/>
      </c>
      <c r="C345" s="16">
        <f>IF($B345="",0,LEN($B345))</f>
        <v/>
      </c>
      <c r="D345" s="16">
        <f>IF($A345="","",UPPER(TRIM(SUBSTITUTE(IFERROR(INDEX(tblVeriA[FaturaNo],ROW()-ROW(tblVeriA[[#Headers]])),"")," ",""))))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UPPER(TRIM(SUBSTITUTE($I345,"-","")))</f>
        <v/>
      </c>
      <c r="K345" s="16">
        <f>IF($J345="",0,LEN($J345))</f>
        <v/>
      </c>
      <c r="L345" s="16">
        <f>IF($I345="","",UPPER(TRIM(SUBSTITUTE(IFERROR(INDEX(tblVeriB[FaturaNo],ROW()-ROW(tblVeriB[[#Headers]])),"")," ",""))))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UPPER(TRIM(SUBSTITUTE($A346,"-","")))</f>
        <v/>
      </c>
      <c r="C346" s="16">
        <f>IF($B346="",0,LEN($B346))</f>
        <v/>
      </c>
      <c r="D346" s="16">
        <f>IF($A346="","",UPPER(TRIM(SUBSTITUTE(IFERROR(INDEX(tblVeriA[FaturaNo],ROW()-ROW(tblVeriA[[#Headers]])),"")," ",""))))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UPPER(TRIM(SUBSTITUTE($I346,"-","")))</f>
        <v/>
      </c>
      <c r="K346" s="16">
        <f>IF($J346="",0,LEN($J346))</f>
        <v/>
      </c>
      <c r="L346" s="16">
        <f>IF($I346="","",UPPER(TRIM(SUBSTITUTE(IFERROR(INDEX(tblVeriB[FaturaNo],ROW()-ROW(tblVeriB[[#Headers]])),"")," ",""))))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UPPER(TRIM(SUBSTITUTE($A347,"-","")))</f>
        <v/>
      </c>
      <c r="C347" s="16">
        <f>IF($B347="",0,LEN($B347))</f>
        <v/>
      </c>
      <c r="D347" s="16">
        <f>IF($A347="","",UPPER(TRIM(SUBSTITUTE(IFERROR(INDEX(tblVeriA[FaturaNo],ROW()-ROW(tblVeriA[[#Headers]])),"")," ",""))))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UPPER(TRIM(SUBSTITUTE($I347,"-","")))</f>
        <v/>
      </c>
      <c r="K347" s="16">
        <f>IF($J347="",0,LEN($J347))</f>
        <v/>
      </c>
      <c r="L347" s="16">
        <f>IF($I347="","",UPPER(TRIM(SUBSTITUTE(IFERROR(INDEX(tblVeriB[FaturaNo],ROW()-ROW(tblVeriB[[#Headers]])),"")," ",""))))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UPPER(TRIM(SUBSTITUTE($A348,"-","")))</f>
        <v/>
      </c>
      <c r="C348" s="16">
        <f>IF($B348="",0,LEN($B348))</f>
        <v/>
      </c>
      <c r="D348" s="16">
        <f>IF($A348="","",UPPER(TRIM(SUBSTITUTE(IFERROR(INDEX(tblVeriA[FaturaNo],ROW()-ROW(tblVeriA[[#Headers]])),"")," ",""))))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UPPER(TRIM(SUBSTITUTE($I348,"-","")))</f>
        <v/>
      </c>
      <c r="K348" s="16">
        <f>IF($J348="",0,LEN($J348))</f>
        <v/>
      </c>
      <c r="L348" s="16">
        <f>IF($I348="","",UPPER(TRIM(SUBSTITUTE(IFERROR(INDEX(tblVeriB[FaturaNo],ROW()-ROW(tblVeriB[[#Headers]])),"")," ",""))))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UPPER(TRIM(SUBSTITUTE($A349,"-","")))</f>
        <v/>
      </c>
      <c r="C349" s="16">
        <f>IF($B349="",0,LEN($B349))</f>
        <v/>
      </c>
      <c r="D349" s="16">
        <f>IF($A349="","",UPPER(TRIM(SUBSTITUTE(IFERROR(INDEX(tblVeriA[FaturaNo],ROW()-ROW(tblVeriA[[#Headers]])),"")," ",""))))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UPPER(TRIM(SUBSTITUTE($I349,"-","")))</f>
        <v/>
      </c>
      <c r="K349" s="16">
        <f>IF($J349="",0,LEN($J349))</f>
        <v/>
      </c>
      <c r="L349" s="16">
        <f>IF($I349="","",UPPER(TRIM(SUBSTITUTE(IFERROR(INDEX(tblVeriB[FaturaNo],ROW()-ROW(tblVeriB[[#Headers]])),"")," ",""))))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UPPER(TRIM(SUBSTITUTE($A350,"-","")))</f>
        <v/>
      </c>
      <c r="C350" s="16">
        <f>IF($B350="",0,LEN($B350))</f>
        <v/>
      </c>
      <c r="D350" s="16">
        <f>IF($A350="","",UPPER(TRIM(SUBSTITUTE(IFERROR(INDEX(tblVeriA[FaturaNo],ROW()-ROW(tblVeriA[[#Headers]])),"")," ",""))))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UPPER(TRIM(SUBSTITUTE($I350,"-","")))</f>
        <v/>
      </c>
      <c r="K350" s="16">
        <f>IF($J350="",0,LEN($J350))</f>
        <v/>
      </c>
      <c r="L350" s="16">
        <f>IF($I350="","",UPPER(TRIM(SUBSTITUTE(IFERROR(INDEX(tblVeriB[FaturaNo],ROW()-ROW(tblVeriB[[#Headers]])),"")," ",""))))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UPPER(TRIM(SUBSTITUTE($A351,"-","")))</f>
        <v/>
      </c>
      <c r="C351" s="16">
        <f>IF($B351="",0,LEN($B351))</f>
        <v/>
      </c>
      <c r="D351" s="16">
        <f>IF($A351="","",UPPER(TRIM(SUBSTITUTE(IFERROR(INDEX(tblVeriA[FaturaNo],ROW()-ROW(tblVeriA[[#Headers]])),"")," ",""))))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UPPER(TRIM(SUBSTITUTE($I351,"-","")))</f>
        <v/>
      </c>
      <c r="K351" s="16">
        <f>IF($J351="",0,LEN($J351))</f>
        <v/>
      </c>
      <c r="L351" s="16">
        <f>IF($I351="","",UPPER(TRIM(SUBSTITUTE(IFERROR(INDEX(tblVeriB[FaturaNo],ROW()-ROW(tblVeriB[[#Headers]])),"")," ",""))))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UPPER(TRIM(SUBSTITUTE($A352,"-","")))</f>
        <v/>
      </c>
      <c r="C352" s="16">
        <f>IF($B352="",0,LEN($B352))</f>
        <v/>
      </c>
      <c r="D352" s="16">
        <f>IF($A352="","",UPPER(TRIM(SUBSTITUTE(IFERROR(INDEX(tblVeriA[FaturaNo],ROW()-ROW(tblVeriA[[#Headers]])),"")," ",""))))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UPPER(TRIM(SUBSTITUTE($I352,"-","")))</f>
        <v/>
      </c>
      <c r="K352" s="16">
        <f>IF($J352="",0,LEN($J352))</f>
        <v/>
      </c>
      <c r="L352" s="16">
        <f>IF($I352="","",UPPER(TRIM(SUBSTITUTE(IFERROR(INDEX(tblVeriB[FaturaNo],ROW()-ROW(tblVeriB[[#Headers]])),"")," ",""))))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UPPER(TRIM(SUBSTITUTE($A353,"-","")))</f>
        <v/>
      </c>
      <c r="C353" s="16">
        <f>IF($B353="",0,LEN($B353))</f>
        <v/>
      </c>
      <c r="D353" s="16">
        <f>IF($A353="","",UPPER(TRIM(SUBSTITUTE(IFERROR(INDEX(tblVeriA[FaturaNo],ROW()-ROW(tblVeriA[[#Headers]])),"")," ",""))))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UPPER(TRIM(SUBSTITUTE($I353,"-","")))</f>
        <v/>
      </c>
      <c r="K353" s="16">
        <f>IF($J353="",0,LEN($J353))</f>
        <v/>
      </c>
      <c r="L353" s="16">
        <f>IF($I353="","",UPPER(TRIM(SUBSTITUTE(IFERROR(INDEX(tblVeriB[FaturaNo],ROW()-ROW(tblVeriB[[#Headers]])),"")," ",""))))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UPPER(TRIM(SUBSTITUTE($A354,"-","")))</f>
        <v/>
      </c>
      <c r="C354" s="16">
        <f>IF($B354="",0,LEN($B354))</f>
        <v/>
      </c>
      <c r="D354" s="16">
        <f>IF($A354="","",UPPER(TRIM(SUBSTITUTE(IFERROR(INDEX(tblVeriA[FaturaNo],ROW()-ROW(tblVeriA[[#Headers]])),"")," ",""))))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UPPER(TRIM(SUBSTITUTE($I354,"-","")))</f>
        <v/>
      </c>
      <c r="K354" s="16">
        <f>IF($J354="",0,LEN($J354))</f>
        <v/>
      </c>
      <c r="L354" s="16">
        <f>IF($I354="","",UPPER(TRIM(SUBSTITUTE(IFERROR(INDEX(tblVeriB[FaturaNo],ROW()-ROW(tblVeriB[[#Headers]])),"")," ",""))))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UPPER(TRIM(SUBSTITUTE($A355,"-","")))</f>
        <v/>
      </c>
      <c r="C355" s="16">
        <f>IF($B355="",0,LEN($B355))</f>
        <v/>
      </c>
      <c r="D355" s="16">
        <f>IF($A355="","",UPPER(TRIM(SUBSTITUTE(IFERROR(INDEX(tblVeriA[FaturaNo],ROW()-ROW(tblVeriA[[#Headers]])),"")," ",""))))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UPPER(TRIM(SUBSTITUTE($I355,"-","")))</f>
        <v/>
      </c>
      <c r="K355" s="16">
        <f>IF($J355="",0,LEN($J355))</f>
        <v/>
      </c>
      <c r="L355" s="16">
        <f>IF($I355="","",UPPER(TRIM(SUBSTITUTE(IFERROR(INDEX(tblVeriB[FaturaNo],ROW()-ROW(tblVeriB[[#Headers]])),"")," ",""))))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UPPER(TRIM(SUBSTITUTE($A356,"-","")))</f>
        <v/>
      </c>
      <c r="C356" s="16">
        <f>IF($B356="",0,LEN($B356))</f>
        <v/>
      </c>
      <c r="D356" s="16">
        <f>IF($A356="","",UPPER(TRIM(SUBSTITUTE(IFERROR(INDEX(tblVeriA[FaturaNo],ROW()-ROW(tblVeriA[[#Headers]])),"")," ",""))))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UPPER(TRIM(SUBSTITUTE($I356,"-","")))</f>
        <v/>
      </c>
      <c r="K356" s="16">
        <f>IF($J356="",0,LEN($J356))</f>
        <v/>
      </c>
      <c r="L356" s="16">
        <f>IF($I356="","",UPPER(TRIM(SUBSTITUTE(IFERROR(INDEX(tblVeriB[FaturaNo],ROW()-ROW(tblVeriB[[#Headers]])),"")," ",""))))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UPPER(TRIM(SUBSTITUTE($A357,"-","")))</f>
        <v/>
      </c>
      <c r="C357" s="16">
        <f>IF($B357="",0,LEN($B357))</f>
        <v/>
      </c>
      <c r="D357" s="16">
        <f>IF($A357="","",UPPER(TRIM(SUBSTITUTE(IFERROR(INDEX(tblVeriA[FaturaNo],ROW()-ROW(tblVeriA[[#Headers]])),"")," ",""))))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UPPER(TRIM(SUBSTITUTE($I357,"-","")))</f>
        <v/>
      </c>
      <c r="K357" s="16">
        <f>IF($J357="",0,LEN($J357))</f>
        <v/>
      </c>
      <c r="L357" s="16">
        <f>IF($I357="","",UPPER(TRIM(SUBSTITUTE(IFERROR(INDEX(tblVeriB[FaturaNo],ROW()-ROW(tblVeriB[[#Headers]])),"")," ",""))))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UPPER(TRIM(SUBSTITUTE($A358,"-","")))</f>
        <v/>
      </c>
      <c r="C358" s="16">
        <f>IF($B358="",0,LEN($B358))</f>
        <v/>
      </c>
      <c r="D358" s="16">
        <f>IF($A358="","",UPPER(TRIM(SUBSTITUTE(IFERROR(INDEX(tblVeriA[FaturaNo],ROW()-ROW(tblVeriA[[#Headers]])),"")," ",""))))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UPPER(TRIM(SUBSTITUTE($I358,"-","")))</f>
        <v/>
      </c>
      <c r="K358" s="16">
        <f>IF($J358="",0,LEN($J358))</f>
        <v/>
      </c>
      <c r="L358" s="16">
        <f>IF($I358="","",UPPER(TRIM(SUBSTITUTE(IFERROR(INDEX(tblVeriB[FaturaNo],ROW()-ROW(tblVeriB[[#Headers]])),"")," ",""))))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UPPER(TRIM(SUBSTITUTE($A359,"-","")))</f>
        <v/>
      </c>
      <c r="C359" s="16">
        <f>IF($B359="",0,LEN($B359))</f>
        <v/>
      </c>
      <c r="D359" s="16">
        <f>IF($A359="","",UPPER(TRIM(SUBSTITUTE(IFERROR(INDEX(tblVeriA[FaturaNo],ROW()-ROW(tblVeriA[[#Headers]])),"")," ",""))))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UPPER(TRIM(SUBSTITUTE($I359,"-","")))</f>
        <v/>
      </c>
      <c r="K359" s="16">
        <f>IF($J359="",0,LEN($J359))</f>
        <v/>
      </c>
      <c r="L359" s="16">
        <f>IF($I359="","",UPPER(TRIM(SUBSTITUTE(IFERROR(INDEX(tblVeriB[FaturaNo],ROW()-ROW(tblVeriB[[#Headers]])),"")," ",""))))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UPPER(TRIM(SUBSTITUTE($A360,"-","")))</f>
        <v/>
      </c>
      <c r="C360" s="16">
        <f>IF($B360="",0,LEN($B360))</f>
        <v/>
      </c>
      <c r="D360" s="16">
        <f>IF($A360="","",UPPER(TRIM(SUBSTITUTE(IFERROR(INDEX(tblVeriA[FaturaNo],ROW()-ROW(tblVeriA[[#Headers]])),"")," ",""))))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UPPER(TRIM(SUBSTITUTE($I360,"-","")))</f>
        <v/>
      </c>
      <c r="K360" s="16">
        <f>IF($J360="",0,LEN($J360))</f>
        <v/>
      </c>
      <c r="L360" s="16">
        <f>IF($I360="","",UPPER(TRIM(SUBSTITUTE(IFERROR(INDEX(tblVeriB[FaturaNo],ROW()-ROW(tblVeriB[[#Headers]])),"")," ",""))))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UPPER(TRIM(SUBSTITUTE($A361,"-","")))</f>
        <v/>
      </c>
      <c r="C361" s="16">
        <f>IF($B361="",0,LEN($B361))</f>
        <v/>
      </c>
      <c r="D361" s="16">
        <f>IF($A361="","",UPPER(TRIM(SUBSTITUTE(IFERROR(INDEX(tblVeriA[FaturaNo],ROW()-ROW(tblVeriA[[#Headers]])),"")," ",""))))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UPPER(TRIM(SUBSTITUTE($I361,"-","")))</f>
        <v/>
      </c>
      <c r="K361" s="16">
        <f>IF($J361="",0,LEN($J361))</f>
        <v/>
      </c>
      <c r="L361" s="16">
        <f>IF($I361="","",UPPER(TRIM(SUBSTITUTE(IFERROR(INDEX(tblVeriB[FaturaNo],ROW()-ROW(tblVeriB[[#Headers]])),"")," ",""))))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UPPER(TRIM(SUBSTITUTE($A362,"-","")))</f>
        <v/>
      </c>
      <c r="C362" s="16">
        <f>IF($B362="",0,LEN($B362))</f>
        <v/>
      </c>
      <c r="D362" s="16">
        <f>IF($A362="","",UPPER(TRIM(SUBSTITUTE(IFERROR(INDEX(tblVeriA[FaturaNo],ROW()-ROW(tblVeriA[[#Headers]])),"")," ",""))))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UPPER(TRIM(SUBSTITUTE($I362,"-","")))</f>
        <v/>
      </c>
      <c r="K362" s="16">
        <f>IF($J362="",0,LEN($J362))</f>
        <v/>
      </c>
      <c r="L362" s="16">
        <f>IF($I362="","",UPPER(TRIM(SUBSTITUTE(IFERROR(INDEX(tblVeriB[FaturaNo],ROW()-ROW(tblVeriB[[#Headers]])),"")," ",""))))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UPPER(TRIM(SUBSTITUTE($A363,"-","")))</f>
        <v/>
      </c>
      <c r="C363" s="16">
        <f>IF($B363="",0,LEN($B363))</f>
        <v/>
      </c>
      <c r="D363" s="16">
        <f>IF($A363="","",UPPER(TRIM(SUBSTITUTE(IFERROR(INDEX(tblVeriA[FaturaNo],ROW()-ROW(tblVeriA[[#Headers]])),"")," ",""))))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UPPER(TRIM(SUBSTITUTE($I363,"-","")))</f>
        <v/>
      </c>
      <c r="K363" s="16">
        <f>IF($J363="",0,LEN($J363))</f>
        <v/>
      </c>
      <c r="L363" s="16">
        <f>IF($I363="","",UPPER(TRIM(SUBSTITUTE(IFERROR(INDEX(tblVeriB[FaturaNo],ROW()-ROW(tblVeriB[[#Headers]])),"")," ",""))))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UPPER(TRIM(SUBSTITUTE($A364,"-","")))</f>
        <v/>
      </c>
      <c r="C364" s="16">
        <f>IF($B364="",0,LEN($B364))</f>
        <v/>
      </c>
      <c r="D364" s="16">
        <f>IF($A364="","",UPPER(TRIM(SUBSTITUTE(IFERROR(INDEX(tblVeriA[FaturaNo],ROW()-ROW(tblVeriA[[#Headers]])),"")," ",""))))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UPPER(TRIM(SUBSTITUTE($I364,"-","")))</f>
        <v/>
      </c>
      <c r="K364" s="16">
        <f>IF($J364="",0,LEN($J364))</f>
        <v/>
      </c>
      <c r="L364" s="16">
        <f>IF($I364="","",UPPER(TRIM(SUBSTITUTE(IFERROR(INDEX(tblVeriB[FaturaNo],ROW()-ROW(tblVeriB[[#Headers]])),"")," ",""))))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UPPER(TRIM(SUBSTITUTE($A365,"-","")))</f>
        <v/>
      </c>
      <c r="C365" s="16">
        <f>IF($B365="",0,LEN($B365))</f>
        <v/>
      </c>
      <c r="D365" s="16">
        <f>IF($A365="","",UPPER(TRIM(SUBSTITUTE(IFERROR(INDEX(tblVeriA[FaturaNo],ROW()-ROW(tblVeriA[[#Headers]])),"")," ",""))))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UPPER(TRIM(SUBSTITUTE($I365,"-","")))</f>
        <v/>
      </c>
      <c r="K365" s="16">
        <f>IF($J365="",0,LEN($J365))</f>
        <v/>
      </c>
      <c r="L365" s="16">
        <f>IF($I365="","",UPPER(TRIM(SUBSTITUTE(IFERROR(INDEX(tblVeriB[FaturaNo],ROW()-ROW(tblVeriB[[#Headers]])),"")," ",""))))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UPPER(TRIM(SUBSTITUTE($A366,"-","")))</f>
        <v/>
      </c>
      <c r="C366" s="16">
        <f>IF($B366="",0,LEN($B366))</f>
        <v/>
      </c>
      <c r="D366" s="16">
        <f>IF($A366="","",UPPER(TRIM(SUBSTITUTE(IFERROR(INDEX(tblVeriA[FaturaNo],ROW()-ROW(tblVeriA[[#Headers]])),"")," ",""))))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UPPER(TRIM(SUBSTITUTE($I366,"-","")))</f>
        <v/>
      </c>
      <c r="K366" s="16">
        <f>IF($J366="",0,LEN($J366))</f>
        <v/>
      </c>
      <c r="L366" s="16">
        <f>IF($I366="","",UPPER(TRIM(SUBSTITUTE(IFERROR(INDEX(tblVeriB[FaturaNo],ROW()-ROW(tblVeriB[[#Headers]])),"")," ",""))))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UPPER(TRIM(SUBSTITUTE($A367,"-","")))</f>
        <v/>
      </c>
      <c r="C367" s="16">
        <f>IF($B367="",0,LEN($B367))</f>
        <v/>
      </c>
      <c r="D367" s="16">
        <f>IF($A367="","",UPPER(TRIM(SUBSTITUTE(IFERROR(INDEX(tblVeriA[FaturaNo],ROW()-ROW(tblVeriA[[#Headers]])),"")," ",""))))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UPPER(TRIM(SUBSTITUTE($I367,"-","")))</f>
        <v/>
      </c>
      <c r="K367" s="16">
        <f>IF($J367="",0,LEN($J367))</f>
        <v/>
      </c>
      <c r="L367" s="16">
        <f>IF($I367="","",UPPER(TRIM(SUBSTITUTE(IFERROR(INDEX(tblVeriB[FaturaNo],ROW()-ROW(tblVeriB[[#Headers]])),"")," ",""))))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UPPER(TRIM(SUBSTITUTE($A368,"-","")))</f>
        <v/>
      </c>
      <c r="C368" s="16">
        <f>IF($B368="",0,LEN($B368))</f>
        <v/>
      </c>
      <c r="D368" s="16">
        <f>IF($A368="","",UPPER(TRIM(SUBSTITUTE(IFERROR(INDEX(tblVeriA[FaturaNo],ROW()-ROW(tblVeriA[[#Headers]])),"")," ",""))))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UPPER(TRIM(SUBSTITUTE($I368,"-","")))</f>
        <v/>
      </c>
      <c r="K368" s="16">
        <f>IF($J368="",0,LEN($J368))</f>
        <v/>
      </c>
      <c r="L368" s="16">
        <f>IF($I368="","",UPPER(TRIM(SUBSTITUTE(IFERROR(INDEX(tblVeriB[FaturaNo],ROW()-ROW(tblVeriB[[#Headers]])),"")," ",""))))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UPPER(TRIM(SUBSTITUTE($A369,"-","")))</f>
        <v/>
      </c>
      <c r="C369" s="16">
        <f>IF($B369="",0,LEN($B369))</f>
        <v/>
      </c>
      <c r="D369" s="16">
        <f>IF($A369="","",UPPER(TRIM(SUBSTITUTE(IFERROR(INDEX(tblVeriA[FaturaNo],ROW()-ROW(tblVeriA[[#Headers]])),"")," ",""))))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UPPER(TRIM(SUBSTITUTE($I369,"-","")))</f>
        <v/>
      </c>
      <c r="K369" s="16">
        <f>IF($J369="",0,LEN($J369))</f>
        <v/>
      </c>
      <c r="L369" s="16">
        <f>IF($I369="","",UPPER(TRIM(SUBSTITUTE(IFERROR(INDEX(tblVeriB[FaturaNo],ROW()-ROW(tblVeriB[[#Headers]])),"")," ",""))))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UPPER(TRIM(SUBSTITUTE($A370,"-","")))</f>
        <v/>
      </c>
      <c r="C370" s="16">
        <f>IF($B370="",0,LEN($B370))</f>
        <v/>
      </c>
      <c r="D370" s="16">
        <f>IF($A370="","",UPPER(TRIM(SUBSTITUTE(IFERROR(INDEX(tblVeriA[FaturaNo],ROW()-ROW(tblVeriA[[#Headers]])),"")," ",""))))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UPPER(TRIM(SUBSTITUTE($I370,"-","")))</f>
        <v/>
      </c>
      <c r="K370" s="16">
        <f>IF($J370="",0,LEN($J370))</f>
        <v/>
      </c>
      <c r="L370" s="16">
        <f>IF($I370="","",UPPER(TRIM(SUBSTITUTE(IFERROR(INDEX(tblVeriB[FaturaNo],ROW()-ROW(tblVeriB[[#Headers]])),"")," ",""))))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UPPER(TRIM(SUBSTITUTE($A371,"-","")))</f>
        <v/>
      </c>
      <c r="C371" s="16">
        <f>IF($B371="",0,LEN($B371))</f>
        <v/>
      </c>
      <c r="D371" s="16">
        <f>IF($A371="","",UPPER(TRIM(SUBSTITUTE(IFERROR(INDEX(tblVeriA[FaturaNo],ROW()-ROW(tblVeriA[[#Headers]])),"")," ",""))))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UPPER(TRIM(SUBSTITUTE($I371,"-","")))</f>
        <v/>
      </c>
      <c r="K371" s="16">
        <f>IF($J371="",0,LEN($J371))</f>
        <v/>
      </c>
      <c r="L371" s="16">
        <f>IF($I371="","",UPPER(TRIM(SUBSTITUTE(IFERROR(INDEX(tblVeriB[FaturaNo],ROW()-ROW(tblVeriB[[#Headers]])),"")," ",""))))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UPPER(TRIM(SUBSTITUTE($A372,"-","")))</f>
        <v/>
      </c>
      <c r="C372" s="16">
        <f>IF($B372="",0,LEN($B372))</f>
        <v/>
      </c>
      <c r="D372" s="16">
        <f>IF($A372="","",UPPER(TRIM(SUBSTITUTE(IFERROR(INDEX(tblVeriA[FaturaNo],ROW()-ROW(tblVeriA[[#Headers]])),"")," ",""))))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UPPER(TRIM(SUBSTITUTE($I372,"-","")))</f>
        <v/>
      </c>
      <c r="K372" s="16">
        <f>IF($J372="",0,LEN($J372))</f>
        <v/>
      </c>
      <c r="L372" s="16">
        <f>IF($I372="","",UPPER(TRIM(SUBSTITUTE(IFERROR(INDEX(tblVeriB[FaturaNo],ROW()-ROW(tblVeriB[[#Headers]])),"")," ",""))))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UPPER(TRIM(SUBSTITUTE($A373,"-","")))</f>
        <v/>
      </c>
      <c r="C373" s="16">
        <f>IF($B373="",0,LEN($B373))</f>
        <v/>
      </c>
      <c r="D373" s="16">
        <f>IF($A373="","",UPPER(TRIM(SUBSTITUTE(IFERROR(INDEX(tblVeriA[FaturaNo],ROW()-ROW(tblVeriA[[#Headers]])),"")," ",""))))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UPPER(TRIM(SUBSTITUTE($I373,"-","")))</f>
        <v/>
      </c>
      <c r="K373" s="16">
        <f>IF($J373="",0,LEN($J373))</f>
        <v/>
      </c>
      <c r="L373" s="16">
        <f>IF($I373="","",UPPER(TRIM(SUBSTITUTE(IFERROR(INDEX(tblVeriB[FaturaNo],ROW()-ROW(tblVeriB[[#Headers]])),"")," ",""))))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UPPER(TRIM(SUBSTITUTE($A374,"-","")))</f>
        <v/>
      </c>
      <c r="C374" s="16">
        <f>IF($B374="",0,LEN($B374))</f>
        <v/>
      </c>
      <c r="D374" s="16">
        <f>IF($A374="","",UPPER(TRIM(SUBSTITUTE(IFERROR(INDEX(tblVeriA[FaturaNo],ROW()-ROW(tblVeriA[[#Headers]])),"")," ",""))))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UPPER(TRIM(SUBSTITUTE($I374,"-","")))</f>
        <v/>
      </c>
      <c r="K374" s="16">
        <f>IF($J374="",0,LEN($J374))</f>
        <v/>
      </c>
      <c r="L374" s="16">
        <f>IF($I374="","",UPPER(TRIM(SUBSTITUTE(IFERROR(INDEX(tblVeriB[FaturaNo],ROW()-ROW(tblVeriB[[#Headers]])),"")," ",""))))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UPPER(TRIM(SUBSTITUTE($A375,"-","")))</f>
        <v/>
      </c>
      <c r="C375" s="16">
        <f>IF($B375="",0,LEN($B375))</f>
        <v/>
      </c>
      <c r="D375" s="16">
        <f>IF($A375="","",UPPER(TRIM(SUBSTITUTE(IFERROR(INDEX(tblVeriA[FaturaNo],ROW()-ROW(tblVeriA[[#Headers]])),"")," ",""))))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UPPER(TRIM(SUBSTITUTE($I375,"-","")))</f>
        <v/>
      </c>
      <c r="K375" s="16">
        <f>IF($J375="",0,LEN($J375))</f>
        <v/>
      </c>
      <c r="L375" s="16">
        <f>IF($I375="","",UPPER(TRIM(SUBSTITUTE(IFERROR(INDEX(tblVeriB[FaturaNo],ROW()-ROW(tblVeriB[[#Headers]])),"")," ",""))))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UPPER(TRIM(SUBSTITUTE($A376,"-","")))</f>
        <v/>
      </c>
      <c r="C376" s="16">
        <f>IF($B376="",0,LEN($B376))</f>
        <v/>
      </c>
      <c r="D376" s="16">
        <f>IF($A376="","",UPPER(TRIM(SUBSTITUTE(IFERROR(INDEX(tblVeriA[FaturaNo],ROW()-ROW(tblVeriA[[#Headers]])),"")," ",""))))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UPPER(TRIM(SUBSTITUTE($I376,"-","")))</f>
        <v/>
      </c>
      <c r="K376" s="16">
        <f>IF($J376="",0,LEN($J376))</f>
        <v/>
      </c>
      <c r="L376" s="16">
        <f>IF($I376="","",UPPER(TRIM(SUBSTITUTE(IFERROR(INDEX(tblVeriB[FaturaNo],ROW()-ROW(tblVeriB[[#Headers]])),"")," ",""))))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UPPER(TRIM(SUBSTITUTE($A377,"-","")))</f>
        <v/>
      </c>
      <c r="C377" s="16">
        <f>IF($B377="",0,LEN($B377))</f>
        <v/>
      </c>
      <c r="D377" s="16">
        <f>IF($A377="","",UPPER(TRIM(SUBSTITUTE(IFERROR(INDEX(tblVeriA[FaturaNo],ROW()-ROW(tblVeriA[[#Headers]])),"")," ",""))))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UPPER(TRIM(SUBSTITUTE($I377,"-","")))</f>
        <v/>
      </c>
      <c r="K377" s="16">
        <f>IF($J377="",0,LEN($J377))</f>
        <v/>
      </c>
      <c r="L377" s="16">
        <f>IF($I377="","",UPPER(TRIM(SUBSTITUTE(IFERROR(INDEX(tblVeriB[FaturaNo],ROW()-ROW(tblVeriB[[#Headers]])),"")," ",""))))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UPPER(TRIM(SUBSTITUTE($A378,"-","")))</f>
        <v/>
      </c>
      <c r="C378" s="16">
        <f>IF($B378="",0,LEN($B378))</f>
        <v/>
      </c>
      <c r="D378" s="16">
        <f>IF($A378="","",UPPER(TRIM(SUBSTITUTE(IFERROR(INDEX(tblVeriA[FaturaNo],ROW()-ROW(tblVeriA[[#Headers]])),"")," ",""))))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UPPER(TRIM(SUBSTITUTE($I378,"-","")))</f>
        <v/>
      </c>
      <c r="K378" s="16">
        <f>IF($J378="",0,LEN($J378))</f>
        <v/>
      </c>
      <c r="L378" s="16">
        <f>IF($I378="","",UPPER(TRIM(SUBSTITUTE(IFERROR(INDEX(tblVeriB[FaturaNo],ROW()-ROW(tblVeriB[[#Headers]])),"")," ",""))))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UPPER(TRIM(SUBSTITUTE($A379,"-","")))</f>
        <v/>
      </c>
      <c r="C379" s="16">
        <f>IF($B379="",0,LEN($B379))</f>
        <v/>
      </c>
      <c r="D379" s="16">
        <f>IF($A379="","",UPPER(TRIM(SUBSTITUTE(IFERROR(INDEX(tblVeriA[FaturaNo],ROW()-ROW(tblVeriA[[#Headers]])),"")," ",""))))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UPPER(TRIM(SUBSTITUTE($I379,"-","")))</f>
        <v/>
      </c>
      <c r="K379" s="16">
        <f>IF($J379="",0,LEN($J379))</f>
        <v/>
      </c>
      <c r="L379" s="16">
        <f>IF($I379="","",UPPER(TRIM(SUBSTITUTE(IFERROR(INDEX(tblVeriB[FaturaNo],ROW()-ROW(tblVeriB[[#Headers]])),"")," ",""))))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UPPER(TRIM(SUBSTITUTE($A380,"-","")))</f>
        <v/>
      </c>
      <c r="C380" s="16">
        <f>IF($B380="",0,LEN($B380))</f>
        <v/>
      </c>
      <c r="D380" s="16">
        <f>IF($A380="","",UPPER(TRIM(SUBSTITUTE(IFERROR(INDEX(tblVeriA[FaturaNo],ROW()-ROW(tblVeriA[[#Headers]])),"")," ",""))))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UPPER(TRIM(SUBSTITUTE($I380,"-","")))</f>
        <v/>
      </c>
      <c r="K380" s="16">
        <f>IF($J380="",0,LEN($J380))</f>
        <v/>
      </c>
      <c r="L380" s="16">
        <f>IF($I380="","",UPPER(TRIM(SUBSTITUTE(IFERROR(INDEX(tblVeriB[FaturaNo],ROW()-ROW(tblVeriB[[#Headers]])),"")," ",""))))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UPPER(TRIM(SUBSTITUTE($A381,"-","")))</f>
        <v/>
      </c>
      <c r="C381" s="16">
        <f>IF($B381="",0,LEN($B381))</f>
        <v/>
      </c>
      <c r="D381" s="16">
        <f>IF($A381="","",UPPER(TRIM(SUBSTITUTE(IFERROR(INDEX(tblVeriA[FaturaNo],ROW()-ROW(tblVeriA[[#Headers]])),"")," ",""))))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UPPER(TRIM(SUBSTITUTE($I381,"-","")))</f>
        <v/>
      </c>
      <c r="K381" s="16">
        <f>IF($J381="",0,LEN($J381))</f>
        <v/>
      </c>
      <c r="L381" s="16">
        <f>IF($I381="","",UPPER(TRIM(SUBSTITUTE(IFERROR(INDEX(tblVeriB[FaturaNo],ROW()-ROW(tblVeriB[[#Headers]])),"")," ",""))))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UPPER(TRIM(SUBSTITUTE($A382,"-","")))</f>
        <v/>
      </c>
      <c r="C382" s="16">
        <f>IF($B382="",0,LEN($B382))</f>
        <v/>
      </c>
      <c r="D382" s="16">
        <f>IF($A382="","",UPPER(TRIM(SUBSTITUTE(IFERROR(INDEX(tblVeriA[FaturaNo],ROW()-ROW(tblVeriA[[#Headers]])),"")," ",""))))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UPPER(TRIM(SUBSTITUTE($I382,"-","")))</f>
        <v/>
      </c>
      <c r="K382" s="16">
        <f>IF($J382="",0,LEN($J382))</f>
        <v/>
      </c>
      <c r="L382" s="16">
        <f>IF($I382="","",UPPER(TRIM(SUBSTITUTE(IFERROR(INDEX(tblVeriB[FaturaNo],ROW()-ROW(tblVeriB[[#Headers]])),"")," ",""))))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UPPER(TRIM(SUBSTITUTE($A383,"-","")))</f>
        <v/>
      </c>
      <c r="C383" s="16">
        <f>IF($B383="",0,LEN($B383))</f>
        <v/>
      </c>
      <c r="D383" s="16">
        <f>IF($A383="","",UPPER(TRIM(SUBSTITUTE(IFERROR(INDEX(tblVeriA[FaturaNo],ROW()-ROW(tblVeriA[[#Headers]])),"")," ",""))))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UPPER(TRIM(SUBSTITUTE($I383,"-","")))</f>
        <v/>
      </c>
      <c r="K383" s="16">
        <f>IF($J383="",0,LEN($J383))</f>
        <v/>
      </c>
      <c r="L383" s="16">
        <f>IF($I383="","",UPPER(TRIM(SUBSTITUTE(IFERROR(INDEX(tblVeriB[FaturaNo],ROW()-ROW(tblVeriB[[#Headers]])),"")," ",""))))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UPPER(TRIM(SUBSTITUTE($A384,"-","")))</f>
        <v/>
      </c>
      <c r="C384" s="16">
        <f>IF($B384="",0,LEN($B384))</f>
        <v/>
      </c>
      <c r="D384" s="16">
        <f>IF($A384="","",UPPER(TRIM(SUBSTITUTE(IFERROR(INDEX(tblVeriA[FaturaNo],ROW()-ROW(tblVeriA[[#Headers]])),"")," ",""))))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UPPER(TRIM(SUBSTITUTE($I384,"-","")))</f>
        <v/>
      </c>
      <c r="K384" s="16">
        <f>IF($J384="",0,LEN($J384))</f>
        <v/>
      </c>
      <c r="L384" s="16">
        <f>IF($I384="","",UPPER(TRIM(SUBSTITUTE(IFERROR(INDEX(tblVeriB[FaturaNo],ROW()-ROW(tblVeriB[[#Headers]])),"")," ",""))))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UPPER(TRIM(SUBSTITUTE($A385,"-","")))</f>
        <v/>
      </c>
      <c r="C385" s="16">
        <f>IF($B385="",0,LEN($B385))</f>
        <v/>
      </c>
      <c r="D385" s="16">
        <f>IF($A385="","",UPPER(TRIM(SUBSTITUTE(IFERROR(INDEX(tblVeriA[FaturaNo],ROW()-ROW(tblVeriA[[#Headers]])),"")," ",""))))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UPPER(TRIM(SUBSTITUTE($I385,"-","")))</f>
        <v/>
      </c>
      <c r="K385" s="16">
        <f>IF($J385="",0,LEN($J385))</f>
        <v/>
      </c>
      <c r="L385" s="16">
        <f>IF($I385="","",UPPER(TRIM(SUBSTITUTE(IFERROR(INDEX(tblVeriB[FaturaNo],ROW()-ROW(tblVeriB[[#Headers]])),"")," ",""))))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UPPER(TRIM(SUBSTITUTE($A386,"-","")))</f>
        <v/>
      </c>
      <c r="C386" s="16">
        <f>IF($B386="",0,LEN($B386))</f>
        <v/>
      </c>
      <c r="D386" s="16">
        <f>IF($A386="","",UPPER(TRIM(SUBSTITUTE(IFERROR(INDEX(tblVeriA[FaturaNo],ROW()-ROW(tblVeriA[[#Headers]])),"")," ",""))))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UPPER(TRIM(SUBSTITUTE($I386,"-","")))</f>
        <v/>
      </c>
      <c r="K386" s="16">
        <f>IF($J386="",0,LEN($J386))</f>
        <v/>
      </c>
      <c r="L386" s="16">
        <f>IF($I386="","",UPPER(TRIM(SUBSTITUTE(IFERROR(INDEX(tblVeriB[FaturaNo],ROW()-ROW(tblVeriB[[#Headers]])),"")," ",""))))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UPPER(TRIM(SUBSTITUTE($A387,"-","")))</f>
        <v/>
      </c>
      <c r="C387" s="16">
        <f>IF($B387="",0,LEN($B387))</f>
        <v/>
      </c>
      <c r="D387" s="16">
        <f>IF($A387="","",UPPER(TRIM(SUBSTITUTE(IFERROR(INDEX(tblVeriA[FaturaNo],ROW()-ROW(tblVeriA[[#Headers]])),"")," ",""))))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UPPER(TRIM(SUBSTITUTE($I387,"-","")))</f>
        <v/>
      </c>
      <c r="K387" s="16">
        <f>IF($J387="",0,LEN($J387))</f>
        <v/>
      </c>
      <c r="L387" s="16">
        <f>IF($I387="","",UPPER(TRIM(SUBSTITUTE(IFERROR(INDEX(tblVeriB[FaturaNo],ROW()-ROW(tblVeriB[[#Headers]])),"")," ",""))))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UPPER(TRIM(SUBSTITUTE($A388,"-","")))</f>
        <v/>
      </c>
      <c r="C388" s="16">
        <f>IF($B388="",0,LEN($B388))</f>
        <v/>
      </c>
      <c r="D388" s="16">
        <f>IF($A388="","",UPPER(TRIM(SUBSTITUTE(IFERROR(INDEX(tblVeriA[FaturaNo],ROW()-ROW(tblVeriA[[#Headers]])),"")," ",""))))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UPPER(TRIM(SUBSTITUTE($I388,"-","")))</f>
        <v/>
      </c>
      <c r="K388" s="16">
        <f>IF($J388="",0,LEN($J388))</f>
        <v/>
      </c>
      <c r="L388" s="16">
        <f>IF($I388="","",UPPER(TRIM(SUBSTITUTE(IFERROR(INDEX(tblVeriB[FaturaNo],ROW()-ROW(tblVeriB[[#Headers]])),"")," ",""))))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UPPER(TRIM(SUBSTITUTE($A389,"-","")))</f>
        <v/>
      </c>
      <c r="C389" s="16">
        <f>IF($B389="",0,LEN($B389))</f>
        <v/>
      </c>
      <c r="D389" s="16">
        <f>IF($A389="","",UPPER(TRIM(SUBSTITUTE(IFERROR(INDEX(tblVeriA[FaturaNo],ROW()-ROW(tblVeriA[[#Headers]])),"")," ",""))))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UPPER(TRIM(SUBSTITUTE($I389,"-","")))</f>
        <v/>
      </c>
      <c r="K389" s="16">
        <f>IF($J389="",0,LEN($J389))</f>
        <v/>
      </c>
      <c r="L389" s="16">
        <f>IF($I389="","",UPPER(TRIM(SUBSTITUTE(IFERROR(INDEX(tblVeriB[FaturaNo],ROW()-ROW(tblVeriB[[#Headers]])),"")," ",""))))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UPPER(TRIM(SUBSTITUTE($A390,"-","")))</f>
        <v/>
      </c>
      <c r="C390" s="16">
        <f>IF($B390="",0,LEN($B390))</f>
        <v/>
      </c>
      <c r="D390" s="16">
        <f>IF($A390="","",UPPER(TRIM(SUBSTITUTE(IFERROR(INDEX(tblVeriA[FaturaNo],ROW()-ROW(tblVeriA[[#Headers]])),"")," ",""))))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UPPER(TRIM(SUBSTITUTE($I390,"-","")))</f>
        <v/>
      </c>
      <c r="K390" s="16">
        <f>IF($J390="",0,LEN($J390))</f>
        <v/>
      </c>
      <c r="L390" s="16">
        <f>IF($I390="","",UPPER(TRIM(SUBSTITUTE(IFERROR(INDEX(tblVeriB[FaturaNo],ROW()-ROW(tblVeriB[[#Headers]])),"")," ",""))))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UPPER(TRIM(SUBSTITUTE($A391,"-","")))</f>
        <v/>
      </c>
      <c r="C391" s="16">
        <f>IF($B391="",0,LEN($B391))</f>
        <v/>
      </c>
      <c r="D391" s="16">
        <f>IF($A391="","",UPPER(TRIM(SUBSTITUTE(IFERROR(INDEX(tblVeriA[FaturaNo],ROW()-ROW(tblVeriA[[#Headers]])),"")," ",""))))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UPPER(TRIM(SUBSTITUTE($I391,"-","")))</f>
        <v/>
      </c>
      <c r="K391" s="16">
        <f>IF($J391="",0,LEN($J391))</f>
        <v/>
      </c>
      <c r="L391" s="16">
        <f>IF($I391="","",UPPER(TRIM(SUBSTITUTE(IFERROR(INDEX(tblVeriB[FaturaNo],ROW()-ROW(tblVeriB[[#Headers]])),"")," ",""))))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UPPER(TRIM(SUBSTITUTE($A392,"-","")))</f>
        <v/>
      </c>
      <c r="C392" s="16">
        <f>IF($B392="",0,LEN($B392))</f>
        <v/>
      </c>
      <c r="D392" s="16">
        <f>IF($A392="","",UPPER(TRIM(SUBSTITUTE(IFERROR(INDEX(tblVeriA[FaturaNo],ROW()-ROW(tblVeriA[[#Headers]])),"")," ",""))))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UPPER(TRIM(SUBSTITUTE($I392,"-","")))</f>
        <v/>
      </c>
      <c r="K392" s="16">
        <f>IF($J392="",0,LEN($J392))</f>
        <v/>
      </c>
      <c r="L392" s="16">
        <f>IF($I392="","",UPPER(TRIM(SUBSTITUTE(IFERROR(INDEX(tblVeriB[FaturaNo],ROW()-ROW(tblVeriB[[#Headers]])),"")," ",""))))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UPPER(TRIM(SUBSTITUTE($A393,"-","")))</f>
        <v/>
      </c>
      <c r="C393" s="16">
        <f>IF($B393="",0,LEN($B393))</f>
        <v/>
      </c>
      <c r="D393" s="16">
        <f>IF($A393="","",UPPER(TRIM(SUBSTITUTE(IFERROR(INDEX(tblVeriA[FaturaNo],ROW()-ROW(tblVeriA[[#Headers]])),"")," ",""))))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UPPER(TRIM(SUBSTITUTE($I393,"-","")))</f>
        <v/>
      </c>
      <c r="K393" s="16">
        <f>IF($J393="",0,LEN($J393))</f>
        <v/>
      </c>
      <c r="L393" s="16">
        <f>IF($I393="","",UPPER(TRIM(SUBSTITUTE(IFERROR(INDEX(tblVeriB[FaturaNo],ROW()-ROW(tblVeriB[[#Headers]])),"")," ",""))))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UPPER(TRIM(SUBSTITUTE($A394,"-","")))</f>
        <v/>
      </c>
      <c r="C394" s="16">
        <f>IF($B394="",0,LEN($B394))</f>
        <v/>
      </c>
      <c r="D394" s="16">
        <f>IF($A394="","",UPPER(TRIM(SUBSTITUTE(IFERROR(INDEX(tblVeriA[FaturaNo],ROW()-ROW(tblVeriA[[#Headers]])),"")," ",""))))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UPPER(TRIM(SUBSTITUTE($I394,"-","")))</f>
        <v/>
      </c>
      <c r="K394" s="16">
        <f>IF($J394="",0,LEN($J394))</f>
        <v/>
      </c>
      <c r="L394" s="16">
        <f>IF($I394="","",UPPER(TRIM(SUBSTITUTE(IFERROR(INDEX(tblVeriB[FaturaNo],ROW()-ROW(tblVeriB[[#Headers]])),"")," ",""))))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UPPER(TRIM(SUBSTITUTE($A395,"-","")))</f>
        <v/>
      </c>
      <c r="C395" s="16">
        <f>IF($B395="",0,LEN($B395))</f>
        <v/>
      </c>
      <c r="D395" s="16">
        <f>IF($A395="","",UPPER(TRIM(SUBSTITUTE(IFERROR(INDEX(tblVeriA[FaturaNo],ROW()-ROW(tblVeriA[[#Headers]])),"")," ",""))))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UPPER(TRIM(SUBSTITUTE($I395,"-","")))</f>
        <v/>
      </c>
      <c r="K395" s="16">
        <f>IF($J395="",0,LEN($J395))</f>
        <v/>
      </c>
      <c r="L395" s="16">
        <f>IF($I395="","",UPPER(TRIM(SUBSTITUTE(IFERROR(INDEX(tblVeriB[FaturaNo],ROW()-ROW(tblVeriB[[#Headers]])),"")," ",""))))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UPPER(TRIM(SUBSTITUTE($A396,"-","")))</f>
        <v/>
      </c>
      <c r="C396" s="16">
        <f>IF($B396="",0,LEN($B396))</f>
        <v/>
      </c>
      <c r="D396" s="16">
        <f>IF($A396="","",UPPER(TRIM(SUBSTITUTE(IFERROR(INDEX(tblVeriA[FaturaNo],ROW()-ROW(tblVeriA[[#Headers]])),"")," ",""))))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UPPER(TRIM(SUBSTITUTE($I396,"-","")))</f>
        <v/>
      </c>
      <c r="K396" s="16">
        <f>IF($J396="",0,LEN($J396))</f>
        <v/>
      </c>
      <c r="L396" s="16">
        <f>IF($I396="","",UPPER(TRIM(SUBSTITUTE(IFERROR(INDEX(tblVeriB[FaturaNo],ROW()-ROW(tblVeriB[[#Headers]])),"")," ",""))))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UPPER(TRIM(SUBSTITUTE($A397,"-","")))</f>
        <v/>
      </c>
      <c r="C397" s="16">
        <f>IF($B397="",0,LEN($B397))</f>
        <v/>
      </c>
      <c r="D397" s="16">
        <f>IF($A397="","",UPPER(TRIM(SUBSTITUTE(IFERROR(INDEX(tblVeriA[FaturaNo],ROW()-ROW(tblVeriA[[#Headers]])),"")," ",""))))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UPPER(TRIM(SUBSTITUTE($I397,"-","")))</f>
        <v/>
      </c>
      <c r="K397" s="16">
        <f>IF($J397="",0,LEN($J397))</f>
        <v/>
      </c>
      <c r="L397" s="16">
        <f>IF($I397="","",UPPER(TRIM(SUBSTITUTE(IFERROR(INDEX(tblVeriB[FaturaNo],ROW()-ROW(tblVeriB[[#Headers]])),"")," ",""))))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UPPER(TRIM(SUBSTITUTE($A398,"-","")))</f>
        <v/>
      </c>
      <c r="C398" s="16">
        <f>IF($B398="",0,LEN($B398))</f>
        <v/>
      </c>
      <c r="D398" s="16">
        <f>IF($A398="","",UPPER(TRIM(SUBSTITUTE(IFERROR(INDEX(tblVeriA[FaturaNo],ROW()-ROW(tblVeriA[[#Headers]])),"")," ",""))))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UPPER(TRIM(SUBSTITUTE($I398,"-","")))</f>
        <v/>
      </c>
      <c r="K398" s="16">
        <f>IF($J398="",0,LEN($J398))</f>
        <v/>
      </c>
      <c r="L398" s="16">
        <f>IF($I398="","",UPPER(TRIM(SUBSTITUTE(IFERROR(INDEX(tblVeriB[FaturaNo],ROW()-ROW(tblVeriB[[#Headers]])),"")," ",""))))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UPPER(TRIM(SUBSTITUTE($A399,"-","")))</f>
        <v/>
      </c>
      <c r="C399" s="16">
        <f>IF($B399="",0,LEN($B399))</f>
        <v/>
      </c>
      <c r="D399" s="16">
        <f>IF($A399="","",UPPER(TRIM(SUBSTITUTE(IFERROR(INDEX(tblVeriA[FaturaNo],ROW()-ROW(tblVeriA[[#Headers]])),"")," ",""))))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UPPER(TRIM(SUBSTITUTE($I399,"-","")))</f>
        <v/>
      </c>
      <c r="K399" s="16">
        <f>IF($J399="",0,LEN($J399))</f>
        <v/>
      </c>
      <c r="L399" s="16">
        <f>IF($I399="","",UPPER(TRIM(SUBSTITUTE(IFERROR(INDEX(tblVeriB[FaturaNo],ROW()-ROW(tblVeriB[[#Headers]])),"")," ",""))))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UPPER(TRIM(SUBSTITUTE($A400,"-","")))</f>
        <v/>
      </c>
      <c r="C400" s="16">
        <f>IF($B400="",0,LEN($B400))</f>
        <v/>
      </c>
      <c r="D400" s="16">
        <f>IF($A400="","",UPPER(TRIM(SUBSTITUTE(IFERROR(INDEX(tblVeriA[FaturaNo],ROW()-ROW(tblVeriA[[#Headers]])),"")," ",""))))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UPPER(TRIM(SUBSTITUTE($I400,"-","")))</f>
        <v/>
      </c>
      <c r="K400" s="16">
        <f>IF($J400="",0,LEN($J400))</f>
        <v/>
      </c>
      <c r="L400" s="16">
        <f>IF($I400="","",UPPER(TRIM(SUBSTITUTE(IFERROR(INDEX(tblVeriB[FaturaNo],ROW()-ROW(tblVeriB[[#Headers]])),"")," ",""))))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UPPER(TRIM(SUBSTITUTE($A401,"-","")))</f>
        <v/>
      </c>
      <c r="C401" s="16">
        <f>IF($B401="",0,LEN($B401))</f>
        <v/>
      </c>
      <c r="D401" s="16">
        <f>IF($A401="","",UPPER(TRIM(SUBSTITUTE(IFERROR(INDEX(tblVeriA[FaturaNo],ROW()-ROW(tblVeriA[[#Headers]])),"")," ",""))))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UPPER(TRIM(SUBSTITUTE($I401,"-","")))</f>
        <v/>
      </c>
      <c r="K401" s="16">
        <f>IF($J401="",0,LEN($J401))</f>
        <v/>
      </c>
      <c r="L401" s="16">
        <f>IF($I401="","",UPPER(TRIM(SUBSTITUTE(IFERROR(INDEX(tblVeriB[FaturaNo],ROW()-ROW(tblVeriB[[#Headers]])),"")," ",""))))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UPPER(TRIM(SUBSTITUTE($A402,"-","")))</f>
        <v/>
      </c>
      <c r="C402" s="16">
        <f>IF($B402="",0,LEN($B402))</f>
        <v/>
      </c>
      <c r="D402" s="16">
        <f>IF($A402="","",UPPER(TRIM(SUBSTITUTE(IFERROR(INDEX(tblVeriA[FaturaNo],ROW()-ROW(tblVeriA[[#Headers]])),"")," ",""))))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UPPER(TRIM(SUBSTITUTE($I402,"-","")))</f>
        <v/>
      </c>
      <c r="K402" s="16">
        <f>IF($J402="",0,LEN($J402))</f>
        <v/>
      </c>
      <c r="L402" s="16">
        <f>IF($I402="","",UPPER(TRIM(SUBSTITUTE(IFERROR(INDEX(tblVeriB[FaturaNo],ROW()-ROW(tblVeriB[[#Headers]])),"")," ",""))))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UPPER(TRIM(SUBSTITUTE($A403,"-","")))</f>
        <v/>
      </c>
      <c r="C403" s="16">
        <f>IF($B403="",0,LEN($B403))</f>
        <v/>
      </c>
      <c r="D403" s="16">
        <f>IF($A403="","",UPPER(TRIM(SUBSTITUTE(IFERROR(INDEX(tblVeriA[FaturaNo],ROW()-ROW(tblVeriA[[#Headers]])),"")," ",""))))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UPPER(TRIM(SUBSTITUTE($I403,"-","")))</f>
        <v/>
      </c>
      <c r="K403" s="16">
        <f>IF($J403="",0,LEN($J403))</f>
        <v/>
      </c>
      <c r="L403" s="16">
        <f>IF($I403="","",UPPER(TRIM(SUBSTITUTE(IFERROR(INDEX(tblVeriB[FaturaNo],ROW()-ROW(tblVeriB[[#Headers]])),"")," ",""))))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UPPER(TRIM(SUBSTITUTE($A404,"-","")))</f>
        <v/>
      </c>
      <c r="C404" s="16">
        <f>IF($B404="",0,LEN($B404))</f>
        <v/>
      </c>
      <c r="D404" s="16">
        <f>IF($A404="","",UPPER(TRIM(SUBSTITUTE(IFERROR(INDEX(tblVeriA[FaturaNo],ROW()-ROW(tblVeriA[[#Headers]])),"")," ",""))))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UPPER(TRIM(SUBSTITUTE($I404,"-","")))</f>
        <v/>
      </c>
      <c r="K404" s="16">
        <f>IF($J404="",0,LEN($J404))</f>
        <v/>
      </c>
      <c r="L404" s="16">
        <f>IF($I404="","",UPPER(TRIM(SUBSTITUTE(IFERROR(INDEX(tblVeriB[FaturaNo],ROW()-ROW(tblVeriB[[#Headers]])),"")," ",""))))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UPPER(TRIM(SUBSTITUTE($A405,"-","")))</f>
        <v/>
      </c>
      <c r="C405" s="16">
        <f>IF($B405="",0,LEN($B405))</f>
        <v/>
      </c>
      <c r="D405" s="16">
        <f>IF($A405="","",UPPER(TRIM(SUBSTITUTE(IFERROR(INDEX(tblVeriA[FaturaNo],ROW()-ROW(tblVeriA[[#Headers]])),"")," ",""))))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UPPER(TRIM(SUBSTITUTE($I405,"-","")))</f>
        <v/>
      </c>
      <c r="K405" s="16">
        <f>IF($J405="",0,LEN($J405))</f>
        <v/>
      </c>
      <c r="L405" s="16">
        <f>IF($I405="","",UPPER(TRIM(SUBSTITUTE(IFERROR(INDEX(tblVeriB[FaturaNo],ROW()-ROW(tblVeriB[[#Headers]])),"")," ",""))))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UPPER(TRIM(SUBSTITUTE($A406,"-","")))</f>
        <v/>
      </c>
      <c r="C406" s="16">
        <f>IF($B406="",0,LEN($B406))</f>
        <v/>
      </c>
      <c r="D406" s="16">
        <f>IF($A406="","",UPPER(TRIM(SUBSTITUTE(IFERROR(INDEX(tblVeriA[FaturaNo],ROW()-ROW(tblVeriA[[#Headers]])),"")," ",""))))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UPPER(TRIM(SUBSTITUTE($I406,"-","")))</f>
        <v/>
      </c>
      <c r="K406" s="16">
        <f>IF($J406="",0,LEN($J406))</f>
        <v/>
      </c>
      <c r="L406" s="16">
        <f>IF($I406="","",UPPER(TRIM(SUBSTITUTE(IFERROR(INDEX(tblVeriB[FaturaNo],ROW()-ROW(tblVeriB[[#Headers]])),"")," ",""))))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UPPER(TRIM(SUBSTITUTE($A407,"-","")))</f>
        <v/>
      </c>
      <c r="C407" s="16">
        <f>IF($B407="",0,LEN($B407))</f>
        <v/>
      </c>
      <c r="D407" s="16">
        <f>IF($A407="","",UPPER(TRIM(SUBSTITUTE(IFERROR(INDEX(tblVeriA[FaturaNo],ROW()-ROW(tblVeriA[[#Headers]])),"")," ",""))))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UPPER(TRIM(SUBSTITUTE($I407,"-","")))</f>
        <v/>
      </c>
      <c r="K407" s="16">
        <f>IF($J407="",0,LEN($J407))</f>
        <v/>
      </c>
      <c r="L407" s="16">
        <f>IF($I407="","",UPPER(TRIM(SUBSTITUTE(IFERROR(INDEX(tblVeriB[FaturaNo],ROW()-ROW(tblVeriB[[#Headers]])),"")," ",""))))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UPPER(TRIM(SUBSTITUTE($A408,"-","")))</f>
        <v/>
      </c>
      <c r="C408" s="16">
        <f>IF($B408="",0,LEN($B408))</f>
        <v/>
      </c>
      <c r="D408" s="16">
        <f>IF($A408="","",UPPER(TRIM(SUBSTITUTE(IFERROR(INDEX(tblVeriA[FaturaNo],ROW()-ROW(tblVeriA[[#Headers]])),"")," ",""))))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UPPER(TRIM(SUBSTITUTE($I408,"-","")))</f>
        <v/>
      </c>
      <c r="K408" s="16">
        <f>IF($J408="",0,LEN($J408))</f>
        <v/>
      </c>
      <c r="L408" s="16">
        <f>IF($I408="","",UPPER(TRIM(SUBSTITUTE(IFERROR(INDEX(tblVeriB[FaturaNo],ROW()-ROW(tblVeriB[[#Headers]])),"")," ",""))))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UPPER(TRIM(SUBSTITUTE($A409,"-","")))</f>
        <v/>
      </c>
      <c r="C409" s="16">
        <f>IF($B409="",0,LEN($B409))</f>
        <v/>
      </c>
      <c r="D409" s="16">
        <f>IF($A409="","",UPPER(TRIM(SUBSTITUTE(IFERROR(INDEX(tblVeriA[FaturaNo],ROW()-ROW(tblVeriA[[#Headers]])),"")," ",""))))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UPPER(TRIM(SUBSTITUTE($I409,"-","")))</f>
        <v/>
      </c>
      <c r="K409" s="16">
        <f>IF($J409="",0,LEN($J409))</f>
        <v/>
      </c>
      <c r="L409" s="16">
        <f>IF($I409="","",UPPER(TRIM(SUBSTITUTE(IFERROR(INDEX(tblVeriB[FaturaNo],ROW()-ROW(tblVeriB[[#Headers]])),"")," ",""))))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UPPER(TRIM(SUBSTITUTE($A410,"-","")))</f>
        <v/>
      </c>
      <c r="C410" s="16">
        <f>IF($B410="",0,LEN($B410))</f>
        <v/>
      </c>
      <c r="D410" s="16">
        <f>IF($A410="","",UPPER(TRIM(SUBSTITUTE(IFERROR(INDEX(tblVeriA[FaturaNo],ROW()-ROW(tblVeriA[[#Headers]])),"")," ",""))))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UPPER(TRIM(SUBSTITUTE($I410,"-","")))</f>
        <v/>
      </c>
      <c r="K410" s="16">
        <f>IF($J410="",0,LEN($J410))</f>
        <v/>
      </c>
      <c r="L410" s="16">
        <f>IF($I410="","",UPPER(TRIM(SUBSTITUTE(IFERROR(INDEX(tblVeriB[FaturaNo],ROW()-ROW(tblVeriB[[#Headers]])),"")," ",""))))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UPPER(TRIM(SUBSTITUTE($A411,"-","")))</f>
        <v/>
      </c>
      <c r="C411" s="16">
        <f>IF($B411="",0,LEN($B411))</f>
        <v/>
      </c>
      <c r="D411" s="16">
        <f>IF($A411="","",UPPER(TRIM(SUBSTITUTE(IFERROR(INDEX(tblVeriA[FaturaNo],ROW()-ROW(tblVeriA[[#Headers]])),"")," ",""))))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UPPER(TRIM(SUBSTITUTE($I411,"-","")))</f>
        <v/>
      </c>
      <c r="K411" s="16">
        <f>IF($J411="",0,LEN($J411))</f>
        <v/>
      </c>
      <c r="L411" s="16">
        <f>IF($I411="","",UPPER(TRIM(SUBSTITUTE(IFERROR(INDEX(tblVeriB[FaturaNo],ROW()-ROW(tblVeriB[[#Headers]])),"")," ",""))))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UPPER(TRIM(SUBSTITUTE($A412,"-","")))</f>
        <v/>
      </c>
      <c r="C412" s="16">
        <f>IF($B412="",0,LEN($B412))</f>
        <v/>
      </c>
      <c r="D412" s="16">
        <f>IF($A412="","",UPPER(TRIM(SUBSTITUTE(IFERROR(INDEX(tblVeriA[FaturaNo],ROW()-ROW(tblVeriA[[#Headers]])),"")," ",""))))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UPPER(TRIM(SUBSTITUTE($I412,"-","")))</f>
        <v/>
      </c>
      <c r="K412" s="16">
        <f>IF($J412="",0,LEN($J412))</f>
        <v/>
      </c>
      <c r="L412" s="16">
        <f>IF($I412="","",UPPER(TRIM(SUBSTITUTE(IFERROR(INDEX(tblVeriB[FaturaNo],ROW()-ROW(tblVeriB[[#Headers]])),"")," ",""))))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UPPER(TRIM(SUBSTITUTE($A413,"-","")))</f>
        <v/>
      </c>
      <c r="C413" s="16">
        <f>IF($B413="",0,LEN($B413))</f>
        <v/>
      </c>
      <c r="D413" s="16">
        <f>IF($A413="","",UPPER(TRIM(SUBSTITUTE(IFERROR(INDEX(tblVeriA[FaturaNo],ROW()-ROW(tblVeriA[[#Headers]])),"")," ",""))))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UPPER(TRIM(SUBSTITUTE($I413,"-","")))</f>
        <v/>
      </c>
      <c r="K413" s="16">
        <f>IF($J413="",0,LEN($J413))</f>
        <v/>
      </c>
      <c r="L413" s="16">
        <f>IF($I413="","",UPPER(TRIM(SUBSTITUTE(IFERROR(INDEX(tblVeriB[FaturaNo],ROW()-ROW(tblVeriB[[#Headers]])),"")," ",""))))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UPPER(TRIM(SUBSTITUTE($A414,"-","")))</f>
        <v/>
      </c>
      <c r="C414" s="16">
        <f>IF($B414="",0,LEN($B414))</f>
        <v/>
      </c>
      <c r="D414" s="16">
        <f>IF($A414="","",UPPER(TRIM(SUBSTITUTE(IFERROR(INDEX(tblVeriA[FaturaNo],ROW()-ROW(tblVeriA[[#Headers]])),"")," ",""))))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UPPER(TRIM(SUBSTITUTE($I414,"-","")))</f>
        <v/>
      </c>
      <c r="K414" s="16">
        <f>IF($J414="",0,LEN($J414))</f>
        <v/>
      </c>
      <c r="L414" s="16">
        <f>IF($I414="","",UPPER(TRIM(SUBSTITUTE(IFERROR(INDEX(tblVeriB[FaturaNo],ROW()-ROW(tblVeriB[[#Headers]])),"")," ",""))))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UPPER(TRIM(SUBSTITUTE($A415,"-","")))</f>
        <v/>
      </c>
      <c r="C415" s="16">
        <f>IF($B415="",0,LEN($B415))</f>
        <v/>
      </c>
      <c r="D415" s="16">
        <f>IF($A415="","",UPPER(TRIM(SUBSTITUTE(IFERROR(INDEX(tblVeriA[FaturaNo],ROW()-ROW(tblVeriA[[#Headers]])),"")," ",""))))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UPPER(TRIM(SUBSTITUTE($I415,"-","")))</f>
        <v/>
      </c>
      <c r="K415" s="16">
        <f>IF($J415="",0,LEN($J415))</f>
        <v/>
      </c>
      <c r="L415" s="16">
        <f>IF($I415="","",UPPER(TRIM(SUBSTITUTE(IFERROR(INDEX(tblVeriB[FaturaNo],ROW()-ROW(tblVeriB[[#Headers]])),"")," ",""))))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UPPER(TRIM(SUBSTITUTE($A416,"-","")))</f>
        <v/>
      </c>
      <c r="C416" s="16">
        <f>IF($B416="",0,LEN($B416))</f>
        <v/>
      </c>
      <c r="D416" s="16">
        <f>IF($A416="","",UPPER(TRIM(SUBSTITUTE(IFERROR(INDEX(tblVeriA[FaturaNo],ROW()-ROW(tblVeriA[[#Headers]])),"")," ",""))))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UPPER(TRIM(SUBSTITUTE($I416,"-","")))</f>
        <v/>
      </c>
      <c r="K416" s="16">
        <f>IF($J416="",0,LEN($J416))</f>
        <v/>
      </c>
      <c r="L416" s="16">
        <f>IF($I416="","",UPPER(TRIM(SUBSTITUTE(IFERROR(INDEX(tblVeriB[FaturaNo],ROW()-ROW(tblVeriB[[#Headers]])),"")," ",""))))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UPPER(TRIM(SUBSTITUTE($A417,"-","")))</f>
        <v/>
      </c>
      <c r="C417" s="16">
        <f>IF($B417="",0,LEN($B417))</f>
        <v/>
      </c>
      <c r="D417" s="16">
        <f>IF($A417="","",UPPER(TRIM(SUBSTITUTE(IFERROR(INDEX(tblVeriA[FaturaNo],ROW()-ROW(tblVeriA[[#Headers]])),"")," ",""))))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UPPER(TRIM(SUBSTITUTE($I417,"-","")))</f>
        <v/>
      </c>
      <c r="K417" s="16">
        <f>IF($J417="",0,LEN($J417))</f>
        <v/>
      </c>
      <c r="L417" s="16">
        <f>IF($I417="","",UPPER(TRIM(SUBSTITUTE(IFERROR(INDEX(tblVeriB[FaturaNo],ROW()-ROW(tblVeriB[[#Headers]])),"")," ",""))))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UPPER(TRIM(SUBSTITUTE($A418,"-","")))</f>
        <v/>
      </c>
      <c r="C418" s="16">
        <f>IF($B418="",0,LEN($B418))</f>
        <v/>
      </c>
      <c r="D418" s="16">
        <f>IF($A418="","",UPPER(TRIM(SUBSTITUTE(IFERROR(INDEX(tblVeriA[FaturaNo],ROW()-ROW(tblVeriA[[#Headers]])),"")," ",""))))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UPPER(TRIM(SUBSTITUTE($I418,"-","")))</f>
        <v/>
      </c>
      <c r="K418" s="16">
        <f>IF($J418="",0,LEN($J418))</f>
        <v/>
      </c>
      <c r="L418" s="16">
        <f>IF($I418="","",UPPER(TRIM(SUBSTITUTE(IFERROR(INDEX(tblVeriB[FaturaNo],ROW()-ROW(tblVeriB[[#Headers]])),"")," ",""))))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UPPER(TRIM(SUBSTITUTE($A419,"-","")))</f>
        <v/>
      </c>
      <c r="C419" s="16">
        <f>IF($B419="",0,LEN($B419))</f>
        <v/>
      </c>
      <c r="D419" s="16">
        <f>IF($A419="","",UPPER(TRIM(SUBSTITUTE(IFERROR(INDEX(tblVeriA[FaturaNo],ROW()-ROW(tblVeriA[[#Headers]])),"")," ",""))))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UPPER(TRIM(SUBSTITUTE($I419,"-","")))</f>
        <v/>
      </c>
      <c r="K419" s="16">
        <f>IF($J419="",0,LEN($J419))</f>
        <v/>
      </c>
      <c r="L419" s="16">
        <f>IF($I419="","",UPPER(TRIM(SUBSTITUTE(IFERROR(INDEX(tblVeriB[FaturaNo],ROW()-ROW(tblVeriB[[#Headers]])),"")," ",""))))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UPPER(TRIM(SUBSTITUTE($A420,"-","")))</f>
        <v/>
      </c>
      <c r="C420" s="16">
        <f>IF($B420="",0,LEN($B420))</f>
        <v/>
      </c>
      <c r="D420" s="16">
        <f>IF($A420="","",UPPER(TRIM(SUBSTITUTE(IFERROR(INDEX(tblVeriA[FaturaNo],ROW()-ROW(tblVeriA[[#Headers]])),"")," ",""))))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UPPER(TRIM(SUBSTITUTE($I420,"-","")))</f>
        <v/>
      </c>
      <c r="K420" s="16">
        <f>IF($J420="",0,LEN($J420))</f>
        <v/>
      </c>
      <c r="L420" s="16">
        <f>IF($I420="","",UPPER(TRIM(SUBSTITUTE(IFERROR(INDEX(tblVeriB[FaturaNo],ROW()-ROW(tblVeriB[[#Headers]])),"")," ",""))))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UPPER(TRIM(SUBSTITUTE($A421,"-","")))</f>
        <v/>
      </c>
      <c r="C421" s="16">
        <f>IF($B421="",0,LEN($B421))</f>
        <v/>
      </c>
      <c r="D421" s="16">
        <f>IF($A421="","",UPPER(TRIM(SUBSTITUTE(IFERROR(INDEX(tblVeriA[FaturaNo],ROW()-ROW(tblVeriA[[#Headers]])),"")," ",""))))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UPPER(TRIM(SUBSTITUTE($I421,"-","")))</f>
        <v/>
      </c>
      <c r="K421" s="16">
        <f>IF($J421="",0,LEN($J421))</f>
        <v/>
      </c>
      <c r="L421" s="16">
        <f>IF($I421="","",UPPER(TRIM(SUBSTITUTE(IFERROR(INDEX(tblVeriB[FaturaNo],ROW()-ROW(tblVeriB[[#Headers]])),"")," ",""))))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UPPER(TRIM(SUBSTITUTE($A422,"-","")))</f>
        <v/>
      </c>
      <c r="C422" s="16">
        <f>IF($B422="",0,LEN($B422))</f>
        <v/>
      </c>
      <c r="D422" s="16">
        <f>IF($A422="","",UPPER(TRIM(SUBSTITUTE(IFERROR(INDEX(tblVeriA[FaturaNo],ROW()-ROW(tblVeriA[[#Headers]])),"")," ",""))))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UPPER(TRIM(SUBSTITUTE($I422,"-","")))</f>
        <v/>
      </c>
      <c r="K422" s="16">
        <f>IF($J422="",0,LEN($J422))</f>
        <v/>
      </c>
      <c r="L422" s="16">
        <f>IF($I422="","",UPPER(TRIM(SUBSTITUTE(IFERROR(INDEX(tblVeriB[FaturaNo],ROW()-ROW(tblVeriB[[#Headers]])),"")," ",""))))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UPPER(TRIM(SUBSTITUTE($A423,"-","")))</f>
        <v/>
      </c>
      <c r="C423" s="16">
        <f>IF($B423="",0,LEN($B423))</f>
        <v/>
      </c>
      <c r="D423" s="16">
        <f>IF($A423="","",UPPER(TRIM(SUBSTITUTE(IFERROR(INDEX(tblVeriA[FaturaNo],ROW()-ROW(tblVeriA[[#Headers]])),"")," ",""))))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UPPER(TRIM(SUBSTITUTE($I423,"-","")))</f>
        <v/>
      </c>
      <c r="K423" s="16">
        <f>IF($J423="",0,LEN($J423))</f>
        <v/>
      </c>
      <c r="L423" s="16">
        <f>IF($I423="","",UPPER(TRIM(SUBSTITUTE(IFERROR(INDEX(tblVeriB[FaturaNo],ROW()-ROW(tblVeriB[[#Headers]])),"")," ",""))))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UPPER(TRIM(SUBSTITUTE($A424,"-","")))</f>
        <v/>
      </c>
      <c r="C424" s="16">
        <f>IF($B424="",0,LEN($B424))</f>
        <v/>
      </c>
      <c r="D424" s="16">
        <f>IF($A424="","",UPPER(TRIM(SUBSTITUTE(IFERROR(INDEX(tblVeriA[FaturaNo],ROW()-ROW(tblVeriA[[#Headers]])),"")," ",""))))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UPPER(TRIM(SUBSTITUTE($I424,"-","")))</f>
        <v/>
      </c>
      <c r="K424" s="16">
        <f>IF($J424="",0,LEN($J424))</f>
        <v/>
      </c>
      <c r="L424" s="16">
        <f>IF($I424="","",UPPER(TRIM(SUBSTITUTE(IFERROR(INDEX(tblVeriB[FaturaNo],ROW()-ROW(tblVeriB[[#Headers]])),"")," ",""))))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UPPER(TRIM(SUBSTITUTE($A425,"-","")))</f>
        <v/>
      </c>
      <c r="C425" s="16">
        <f>IF($B425="",0,LEN($B425))</f>
        <v/>
      </c>
      <c r="D425" s="16">
        <f>IF($A425="","",UPPER(TRIM(SUBSTITUTE(IFERROR(INDEX(tblVeriA[FaturaNo],ROW()-ROW(tblVeriA[[#Headers]])),"")," ",""))))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UPPER(TRIM(SUBSTITUTE($I425,"-","")))</f>
        <v/>
      </c>
      <c r="K425" s="16">
        <f>IF($J425="",0,LEN($J425))</f>
        <v/>
      </c>
      <c r="L425" s="16">
        <f>IF($I425="","",UPPER(TRIM(SUBSTITUTE(IFERROR(INDEX(tblVeriB[FaturaNo],ROW()-ROW(tblVeriB[[#Headers]])),"")," ",""))))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UPPER(TRIM(SUBSTITUTE($A426,"-","")))</f>
        <v/>
      </c>
      <c r="C426" s="16">
        <f>IF($B426="",0,LEN($B426))</f>
        <v/>
      </c>
      <c r="D426" s="16">
        <f>IF($A426="","",UPPER(TRIM(SUBSTITUTE(IFERROR(INDEX(tblVeriA[FaturaNo],ROW()-ROW(tblVeriA[[#Headers]])),"")," ",""))))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UPPER(TRIM(SUBSTITUTE($I426,"-","")))</f>
        <v/>
      </c>
      <c r="K426" s="16">
        <f>IF($J426="",0,LEN($J426))</f>
        <v/>
      </c>
      <c r="L426" s="16">
        <f>IF($I426="","",UPPER(TRIM(SUBSTITUTE(IFERROR(INDEX(tblVeriB[FaturaNo],ROW()-ROW(tblVeriB[[#Headers]])),"")," ",""))))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UPPER(TRIM(SUBSTITUTE($A427,"-","")))</f>
        <v/>
      </c>
      <c r="C427" s="16">
        <f>IF($B427="",0,LEN($B427))</f>
        <v/>
      </c>
      <c r="D427" s="16">
        <f>IF($A427="","",UPPER(TRIM(SUBSTITUTE(IFERROR(INDEX(tblVeriA[FaturaNo],ROW()-ROW(tblVeriA[[#Headers]])),"")," ",""))))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UPPER(TRIM(SUBSTITUTE($I427,"-","")))</f>
        <v/>
      </c>
      <c r="K427" s="16">
        <f>IF($J427="",0,LEN($J427))</f>
        <v/>
      </c>
      <c r="L427" s="16">
        <f>IF($I427="","",UPPER(TRIM(SUBSTITUTE(IFERROR(INDEX(tblVeriB[FaturaNo],ROW()-ROW(tblVeriB[[#Headers]])),"")," ",""))))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UPPER(TRIM(SUBSTITUTE($A428,"-","")))</f>
        <v/>
      </c>
      <c r="C428" s="16">
        <f>IF($B428="",0,LEN($B428))</f>
        <v/>
      </c>
      <c r="D428" s="16">
        <f>IF($A428="","",UPPER(TRIM(SUBSTITUTE(IFERROR(INDEX(tblVeriA[FaturaNo],ROW()-ROW(tblVeriA[[#Headers]])),"")," ",""))))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UPPER(TRIM(SUBSTITUTE($I428,"-","")))</f>
        <v/>
      </c>
      <c r="K428" s="16">
        <f>IF($J428="",0,LEN($J428))</f>
        <v/>
      </c>
      <c r="L428" s="16">
        <f>IF($I428="","",UPPER(TRIM(SUBSTITUTE(IFERROR(INDEX(tblVeriB[FaturaNo],ROW()-ROW(tblVeriB[[#Headers]])),"")," ",""))))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UPPER(TRIM(SUBSTITUTE($A429,"-","")))</f>
        <v/>
      </c>
      <c r="C429" s="16">
        <f>IF($B429="",0,LEN($B429))</f>
        <v/>
      </c>
      <c r="D429" s="16">
        <f>IF($A429="","",UPPER(TRIM(SUBSTITUTE(IFERROR(INDEX(tblVeriA[FaturaNo],ROW()-ROW(tblVeriA[[#Headers]])),"")," ",""))))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UPPER(TRIM(SUBSTITUTE($I429,"-","")))</f>
        <v/>
      </c>
      <c r="K429" s="16">
        <f>IF($J429="",0,LEN($J429))</f>
        <v/>
      </c>
      <c r="L429" s="16">
        <f>IF($I429="","",UPPER(TRIM(SUBSTITUTE(IFERROR(INDEX(tblVeriB[FaturaNo],ROW()-ROW(tblVeriB[[#Headers]])),"")," ",""))))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UPPER(TRIM(SUBSTITUTE($A430,"-","")))</f>
        <v/>
      </c>
      <c r="C430" s="16">
        <f>IF($B430="",0,LEN($B430))</f>
        <v/>
      </c>
      <c r="D430" s="16">
        <f>IF($A430="","",UPPER(TRIM(SUBSTITUTE(IFERROR(INDEX(tblVeriA[FaturaNo],ROW()-ROW(tblVeriA[[#Headers]])),"")," ",""))))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UPPER(TRIM(SUBSTITUTE($I430,"-","")))</f>
        <v/>
      </c>
      <c r="K430" s="16">
        <f>IF($J430="",0,LEN($J430))</f>
        <v/>
      </c>
      <c r="L430" s="16">
        <f>IF($I430="","",UPPER(TRIM(SUBSTITUTE(IFERROR(INDEX(tblVeriB[FaturaNo],ROW()-ROW(tblVeriB[[#Headers]])),"")," ",""))))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UPPER(TRIM(SUBSTITUTE($A431,"-","")))</f>
        <v/>
      </c>
      <c r="C431" s="16">
        <f>IF($B431="",0,LEN($B431))</f>
        <v/>
      </c>
      <c r="D431" s="16">
        <f>IF($A431="","",UPPER(TRIM(SUBSTITUTE(IFERROR(INDEX(tblVeriA[FaturaNo],ROW()-ROW(tblVeriA[[#Headers]])),"")," ",""))))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UPPER(TRIM(SUBSTITUTE($I431,"-","")))</f>
        <v/>
      </c>
      <c r="K431" s="16">
        <f>IF($J431="",0,LEN($J431))</f>
        <v/>
      </c>
      <c r="L431" s="16">
        <f>IF($I431="","",UPPER(TRIM(SUBSTITUTE(IFERROR(INDEX(tblVeriB[FaturaNo],ROW()-ROW(tblVeriB[[#Headers]])),"")," ",""))))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UPPER(TRIM(SUBSTITUTE($A432,"-","")))</f>
        <v/>
      </c>
      <c r="C432" s="16">
        <f>IF($B432="",0,LEN($B432))</f>
        <v/>
      </c>
      <c r="D432" s="16">
        <f>IF($A432="","",UPPER(TRIM(SUBSTITUTE(IFERROR(INDEX(tblVeriA[FaturaNo],ROW()-ROW(tblVeriA[[#Headers]])),"")," ",""))))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UPPER(TRIM(SUBSTITUTE($I432,"-","")))</f>
        <v/>
      </c>
      <c r="K432" s="16">
        <f>IF($J432="",0,LEN($J432))</f>
        <v/>
      </c>
      <c r="L432" s="16">
        <f>IF($I432="","",UPPER(TRIM(SUBSTITUTE(IFERROR(INDEX(tblVeriB[FaturaNo],ROW()-ROW(tblVeriB[[#Headers]])),"")," ",""))))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UPPER(TRIM(SUBSTITUTE($A433,"-","")))</f>
        <v/>
      </c>
      <c r="C433" s="16">
        <f>IF($B433="",0,LEN($B433))</f>
        <v/>
      </c>
      <c r="D433" s="16">
        <f>IF($A433="","",UPPER(TRIM(SUBSTITUTE(IFERROR(INDEX(tblVeriA[FaturaNo],ROW()-ROW(tblVeriA[[#Headers]])),"")," ",""))))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UPPER(TRIM(SUBSTITUTE($I433,"-","")))</f>
        <v/>
      </c>
      <c r="K433" s="16">
        <f>IF($J433="",0,LEN($J433))</f>
        <v/>
      </c>
      <c r="L433" s="16">
        <f>IF($I433="","",UPPER(TRIM(SUBSTITUTE(IFERROR(INDEX(tblVeriB[FaturaNo],ROW()-ROW(tblVeriB[[#Headers]])),"")," ",""))))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UPPER(TRIM(SUBSTITUTE($A434,"-","")))</f>
        <v/>
      </c>
      <c r="C434" s="16">
        <f>IF($B434="",0,LEN($B434))</f>
        <v/>
      </c>
      <c r="D434" s="16">
        <f>IF($A434="","",UPPER(TRIM(SUBSTITUTE(IFERROR(INDEX(tblVeriA[FaturaNo],ROW()-ROW(tblVeriA[[#Headers]])),"")," ",""))))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UPPER(TRIM(SUBSTITUTE($I434,"-","")))</f>
        <v/>
      </c>
      <c r="K434" s="16">
        <f>IF($J434="",0,LEN($J434))</f>
        <v/>
      </c>
      <c r="L434" s="16">
        <f>IF($I434="","",UPPER(TRIM(SUBSTITUTE(IFERROR(INDEX(tblVeriB[FaturaNo],ROW()-ROW(tblVeriB[[#Headers]])),"")," ",""))))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UPPER(TRIM(SUBSTITUTE($A435,"-","")))</f>
        <v/>
      </c>
      <c r="C435" s="16">
        <f>IF($B435="",0,LEN($B435))</f>
        <v/>
      </c>
      <c r="D435" s="16">
        <f>IF($A435="","",UPPER(TRIM(SUBSTITUTE(IFERROR(INDEX(tblVeriA[FaturaNo],ROW()-ROW(tblVeriA[[#Headers]])),"")," ",""))))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UPPER(TRIM(SUBSTITUTE($I435,"-","")))</f>
        <v/>
      </c>
      <c r="K435" s="16">
        <f>IF($J435="",0,LEN($J435))</f>
        <v/>
      </c>
      <c r="L435" s="16">
        <f>IF($I435="","",UPPER(TRIM(SUBSTITUTE(IFERROR(INDEX(tblVeriB[FaturaNo],ROW()-ROW(tblVeriB[[#Headers]])),"")," ",""))))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UPPER(TRIM(SUBSTITUTE($A436,"-","")))</f>
        <v/>
      </c>
      <c r="C436" s="16">
        <f>IF($B436="",0,LEN($B436))</f>
        <v/>
      </c>
      <c r="D436" s="16">
        <f>IF($A436="","",UPPER(TRIM(SUBSTITUTE(IFERROR(INDEX(tblVeriA[FaturaNo],ROW()-ROW(tblVeriA[[#Headers]])),"")," ",""))))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UPPER(TRIM(SUBSTITUTE($I436,"-","")))</f>
        <v/>
      </c>
      <c r="K436" s="16">
        <f>IF($J436="",0,LEN($J436))</f>
        <v/>
      </c>
      <c r="L436" s="16">
        <f>IF($I436="","",UPPER(TRIM(SUBSTITUTE(IFERROR(INDEX(tblVeriB[FaturaNo],ROW()-ROW(tblVeriB[[#Headers]])),"")," ",""))))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UPPER(TRIM(SUBSTITUTE($A437,"-","")))</f>
        <v/>
      </c>
      <c r="C437" s="16">
        <f>IF($B437="",0,LEN($B437))</f>
        <v/>
      </c>
      <c r="D437" s="16">
        <f>IF($A437="","",UPPER(TRIM(SUBSTITUTE(IFERROR(INDEX(tblVeriA[FaturaNo],ROW()-ROW(tblVeriA[[#Headers]])),"")," ",""))))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UPPER(TRIM(SUBSTITUTE($I437,"-","")))</f>
        <v/>
      </c>
      <c r="K437" s="16">
        <f>IF($J437="",0,LEN($J437))</f>
        <v/>
      </c>
      <c r="L437" s="16">
        <f>IF($I437="","",UPPER(TRIM(SUBSTITUTE(IFERROR(INDEX(tblVeriB[FaturaNo],ROW()-ROW(tblVeriB[[#Headers]])),"")," ",""))))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UPPER(TRIM(SUBSTITUTE($A438,"-","")))</f>
        <v/>
      </c>
      <c r="C438" s="16">
        <f>IF($B438="",0,LEN($B438))</f>
        <v/>
      </c>
      <c r="D438" s="16">
        <f>IF($A438="","",UPPER(TRIM(SUBSTITUTE(IFERROR(INDEX(tblVeriA[FaturaNo],ROW()-ROW(tblVeriA[[#Headers]])),"")," ",""))))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UPPER(TRIM(SUBSTITUTE($I438,"-","")))</f>
        <v/>
      </c>
      <c r="K438" s="16">
        <f>IF($J438="",0,LEN($J438))</f>
        <v/>
      </c>
      <c r="L438" s="16">
        <f>IF($I438="","",UPPER(TRIM(SUBSTITUTE(IFERROR(INDEX(tblVeriB[FaturaNo],ROW()-ROW(tblVeriB[[#Headers]])),"")," ",""))))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UPPER(TRIM(SUBSTITUTE($A439,"-","")))</f>
        <v/>
      </c>
      <c r="C439" s="16">
        <f>IF($B439="",0,LEN($B439))</f>
        <v/>
      </c>
      <c r="D439" s="16">
        <f>IF($A439="","",UPPER(TRIM(SUBSTITUTE(IFERROR(INDEX(tblVeriA[FaturaNo],ROW()-ROW(tblVeriA[[#Headers]])),"")," ",""))))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UPPER(TRIM(SUBSTITUTE($I439,"-","")))</f>
        <v/>
      </c>
      <c r="K439" s="16">
        <f>IF($J439="",0,LEN($J439))</f>
        <v/>
      </c>
      <c r="L439" s="16">
        <f>IF($I439="","",UPPER(TRIM(SUBSTITUTE(IFERROR(INDEX(tblVeriB[FaturaNo],ROW()-ROW(tblVeriB[[#Headers]])),"")," ",""))))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UPPER(TRIM(SUBSTITUTE($A440,"-","")))</f>
        <v/>
      </c>
      <c r="C440" s="16">
        <f>IF($B440="",0,LEN($B440))</f>
        <v/>
      </c>
      <c r="D440" s="16">
        <f>IF($A440="","",UPPER(TRIM(SUBSTITUTE(IFERROR(INDEX(tblVeriA[FaturaNo],ROW()-ROW(tblVeriA[[#Headers]])),"")," ",""))))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UPPER(TRIM(SUBSTITUTE($I440,"-","")))</f>
        <v/>
      </c>
      <c r="K440" s="16">
        <f>IF($J440="",0,LEN($J440))</f>
        <v/>
      </c>
      <c r="L440" s="16">
        <f>IF($I440="","",UPPER(TRIM(SUBSTITUTE(IFERROR(INDEX(tblVeriB[FaturaNo],ROW()-ROW(tblVeriB[[#Headers]])),"")," ",""))))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UPPER(TRIM(SUBSTITUTE($A441,"-","")))</f>
        <v/>
      </c>
      <c r="C441" s="16">
        <f>IF($B441="",0,LEN($B441))</f>
        <v/>
      </c>
      <c r="D441" s="16">
        <f>IF($A441="","",UPPER(TRIM(SUBSTITUTE(IFERROR(INDEX(tblVeriA[FaturaNo],ROW()-ROW(tblVeriA[[#Headers]])),"")," ",""))))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UPPER(TRIM(SUBSTITUTE($I441,"-","")))</f>
        <v/>
      </c>
      <c r="K441" s="16">
        <f>IF($J441="",0,LEN($J441))</f>
        <v/>
      </c>
      <c r="L441" s="16">
        <f>IF($I441="","",UPPER(TRIM(SUBSTITUTE(IFERROR(INDEX(tblVeriB[FaturaNo],ROW()-ROW(tblVeriB[[#Headers]])),"")," ",""))))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UPPER(TRIM(SUBSTITUTE($A442,"-","")))</f>
        <v/>
      </c>
      <c r="C442" s="16">
        <f>IF($B442="",0,LEN($B442))</f>
        <v/>
      </c>
      <c r="D442" s="16">
        <f>IF($A442="","",UPPER(TRIM(SUBSTITUTE(IFERROR(INDEX(tblVeriA[FaturaNo],ROW()-ROW(tblVeriA[[#Headers]])),"")," ",""))))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UPPER(TRIM(SUBSTITUTE($I442,"-","")))</f>
        <v/>
      </c>
      <c r="K442" s="16">
        <f>IF($J442="",0,LEN($J442))</f>
        <v/>
      </c>
      <c r="L442" s="16">
        <f>IF($I442="","",UPPER(TRIM(SUBSTITUTE(IFERROR(INDEX(tblVeriB[FaturaNo],ROW()-ROW(tblVeriB[[#Headers]])),"")," ",""))))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UPPER(TRIM(SUBSTITUTE($A443,"-","")))</f>
        <v/>
      </c>
      <c r="C443" s="16">
        <f>IF($B443="",0,LEN($B443))</f>
        <v/>
      </c>
      <c r="D443" s="16">
        <f>IF($A443="","",UPPER(TRIM(SUBSTITUTE(IFERROR(INDEX(tblVeriA[FaturaNo],ROW()-ROW(tblVeriA[[#Headers]])),"")," ",""))))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UPPER(TRIM(SUBSTITUTE($I443,"-","")))</f>
        <v/>
      </c>
      <c r="K443" s="16">
        <f>IF($J443="",0,LEN($J443))</f>
        <v/>
      </c>
      <c r="L443" s="16">
        <f>IF($I443="","",UPPER(TRIM(SUBSTITUTE(IFERROR(INDEX(tblVeriB[FaturaNo],ROW()-ROW(tblVeriB[[#Headers]])),"")," ",""))))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UPPER(TRIM(SUBSTITUTE($A444,"-","")))</f>
        <v/>
      </c>
      <c r="C444" s="16">
        <f>IF($B444="",0,LEN($B444))</f>
        <v/>
      </c>
      <c r="D444" s="16">
        <f>IF($A444="","",UPPER(TRIM(SUBSTITUTE(IFERROR(INDEX(tblVeriA[FaturaNo],ROW()-ROW(tblVeriA[[#Headers]])),"")," ",""))))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UPPER(TRIM(SUBSTITUTE($I444,"-","")))</f>
        <v/>
      </c>
      <c r="K444" s="16">
        <f>IF($J444="",0,LEN($J444))</f>
        <v/>
      </c>
      <c r="L444" s="16">
        <f>IF($I444="","",UPPER(TRIM(SUBSTITUTE(IFERROR(INDEX(tblVeriB[FaturaNo],ROW()-ROW(tblVeriB[[#Headers]])),"")," ",""))))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UPPER(TRIM(SUBSTITUTE($A445,"-","")))</f>
        <v/>
      </c>
      <c r="C445" s="16">
        <f>IF($B445="",0,LEN($B445))</f>
        <v/>
      </c>
      <c r="D445" s="16">
        <f>IF($A445="","",UPPER(TRIM(SUBSTITUTE(IFERROR(INDEX(tblVeriA[FaturaNo],ROW()-ROW(tblVeriA[[#Headers]])),"")," ",""))))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UPPER(TRIM(SUBSTITUTE($I445,"-","")))</f>
        <v/>
      </c>
      <c r="K445" s="16">
        <f>IF($J445="",0,LEN($J445))</f>
        <v/>
      </c>
      <c r="L445" s="16">
        <f>IF($I445="","",UPPER(TRIM(SUBSTITUTE(IFERROR(INDEX(tblVeriB[FaturaNo],ROW()-ROW(tblVeriB[[#Headers]])),"")," ",""))))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UPPER(TRIM(SUBSTITUTE($A446,"-","")))</f>
        <v/>
      </c>
      <c r="C446" s="16">
        <f>IF($B446="",0,LEN($B446))</f>
        <v/>
      </c>
      <c r="D446" s="16">
        <f>IF($A446="","",UPPER(TRIM(SUBSTITUTE(IFERROR(INDEX(tblVeriA[FaturaNo],ROW()-ROW(tblVeriA[[#Headers]])),"")," ",""))))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UPPER(TRIM(SUBSTITUTE($I446,"-","")))</f>
        <v/>
      </c>
      <c r="K446" s="16">
        <f>IF($J446="",0,LEN($J446))</f>
        <v/>
      </c>
      <c r="L446" s="16">
        <f>IF($I446="","",UPPER(TRIM(SUBSTITUTE(IFERROR(INDEX(tblVeriB[FaturaNo],ROW()-ROW(tblVeriB[[#Headers]])),"")," ",""))))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UPPER(TRIM(SUBSTITUTE($A447,"-","")))</f>
        <v/>
      </c>
      <c r="C447" s="16">
        <f>IF($B447="",0,LEN($B447))</f>
        <v/>
      </c>
      <c r="D447" s="16">
        <f>IF($A447="","",UPPER(TRIM(SUBSTITUTE(IFERROR(INDEX(tblVeriA[FaturaNo],ROW()-ROW(tblVeriA[[#Headers]])),"")," ",""))))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UPPER(TRIM(SUBSTITUTE($I447,"-","")))</f>
        <v/>
      </c>
      <c r="K447" s="16">
        <f>IF($J447="",0,LEN($J447))</f>
        <v/>
      </c>
      <c r="L447" s="16">
        <f>IF($I447="","",UPPER(TRIM(SUBSTITUTE(IFERROR(INDEX(tblVeriB[FaturaNo],ROW()-ROW(tblVeriB[[#Headers]])),"")," ",""))))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UPPER(TRIM(SUBSTITUTE($A448,"-","")))</f>
        <v/>
      </c>
      <c r="C448" s="16">
        <f>IF($B448="",0,LEN($B448))</f>
        <v/>
      </c>
      <c r="D448" s="16">
        <f>IF($A448="","",UPPER(TRIM(SUBSTITUTE(IFERROR(INDEX(tblVeriA[FaturaNo],ROW()-ROW(tblVeriA[[#Headers]])),"")," ",""))))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UPPER(TRIM(SUBSTITUTE($I448,"-","")))</f>
        <v/>
      </c>
      <c r="K448" s="16">
        <f>IF($J448="",0,LEN($J448))</f>
        <v/>
      </c>
      <c r="L448" s="16">
        <f>IF($I448="","",UPPER(TRIM(SUBSTITUTE(IFERROR(INDEX(tblVeriB[FaturaNo],ROW()-ROW(tblVeriB[[#Headers]])),"")," ",""))))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UPPER(TRIM(SUBSTITUTE($A449,"-","")))</f>
        <v/>
      </c>
      <c r="C449" s="16">
        <f>IF($B449="",0,LEN($B449))</f>
        <v/>
      </c>
      <c r="D449" s="16">
        <f>IF($A449="","",UPPER(TRIM(SUBSTITUTE(IFERROR(INDEX(tblVeriA[FaturaNo],ROW()-ROW(tblVeriA[[#Headers]])),"")," ",""))))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UPPER(TRIM(SUBSTITUTE($I449,"-","")))</f>
        <v/>
      </c>
      <c r="K449" s="16">
        <f>IF($J449="",0,LEN($J449))</f>
        <v/>
      </c>
      <c r="L449" s="16">
        <f>IF($I449="","",UPPER(TRIM(SUBSTITUTE(IFERROR(INDEX(tblVeriB[FaturaNo],ROW()-ROW(tblVeriB[[#Headers]])),"")," ",""))))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UPPER(TRIM(SUBSTITUTE($A450,"-","")))</f>
        <v/>
      </c>
      <c r="C450" s="16">
        <f>IF($B450="",0,LEN($B450))</f>
        <v/>
      </c>
      <c r="D450" s="16">
        <f>IF($A450="","",UPPER(TRIM(SUBSTITUTE(IFERROR(INDEX(tblVeriA[FaturaNo],ROW()-ROW(tblVeriA[[#Headers]])),"")," ",""))))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UPPER(TRIM(SUBSTITUTE($I450,"-","")))</f>
        <v/>
      </c>
      <c r="K450" s="16">
        <f>IF($J450="",0,LEN($J450))</f>
        <v/>
      </c>
      <c r="L450" s="16">
        <f>IF($I450="","",UPPER(TRIM(SUBSTITUTE(IFERROR(INDEX(tblVeriB[FaturaNo],ROW()-ROW(tblVeriB[[#Headers]])),"")," ",""))))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UPPER(TRIM(SUBSTITUTE($A451,"-","")))</f>
        <v/>
      </c>
      <c r="C451" s="16">
        <f>IF($B451="",0,LEN($B451))</f>
        <v/>
      </c>
      <c r="D451" s="16">
        <f>IF($A451="","",UPPER(TRIM(SUBSTITUTE(IFERROR(INDEX(tblVeriA[FaturaNo],ROW()-ROW(tblVeriA[[#Headers]])),"")," ",""))))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UPPER(TRIM(SUBSTITUTE($I451,"-","")))</f>
        <v/>
      </c>
      <c r="K451" s="16">
        <f>IF($J451="",0,LEN($J451))</f>
        <v/>
      </c>
      <c r="L451" s="16">
        <f>IF($I451="","",UPPER(TRIM(SUBSTITUTE(IFERROR(INDEX(tblVeriB[FaturaNo],ROW()-ROW(tblVeriB[[#Headers]])),"")," ",""))))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UPPER(TRIM(SUBSTITUTE($A452,"-","")))</f>
        <v/>
      </c>
      <c r="C452" s="16">
        <f>IF($B452="",0,LEN($B452))</f>
        <v/>
      </c>
      <c r="D452" s="16">
        <f>IF($A452="","",UPPER(TRIM(SUBSTITUTE(IFERROR(INDEX(tblVeriA[FaturaNo],ROW()-ROW(tblVeriA[[#Headers]])),"")," ",""))))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UPPER(TRIM(SUBSTITUTE($I452,"-","")))</f>
        <v/>
      </c>
      <c r="K452" s="16">
        <f>IF($J452="",0,LEN($J452))</f>
        <v/>
      </c>
      <c r="L452" s="16">
        <f>IF($I452="","",UPPER(TRIM(SUBSTITUTE(IFERROR(INDEX(tblVeriB[FaturaNo],ROW()-ROW(tblVeriB[[#Headers]])),"")," ",""))))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UPPER(TRIM(SUBSTITUTE($A453,"-","")))</f>
        <v/>
      </c>
      <c r="C453" s="16">
        <f>IF($B453="",0,LEN($B453))</f>
        <v/>
      </c>
      <c r="D453" s="16">
        <f>IF($A453="","",UPPER(TRIM(SUBSTITUTE(IFERROR(INDEX(tblVeriA[FaturaNo],ROW()-ROW(tblVeriA[[#Headers]])),"")," ",""))))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UPPER(TRIM(SUBSTITUTE($I453,"-","")))</f>
        <v/>
      </c>
      <c r="K453" s="16">
        <f>IF($J453="",0,LEN($J453))</f>
        <v/>
      </c>
      <c r="L453" s="16">
        <f>IF($I453="","",UPPER(TRIM(SUBSTITUTE(IFERROR(INDEX(tblVeriB[FaturaNo],ROW()-ROW(tblVeriB[[#Headers]])),"")," ",""))))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UPPER(TRIM(SUBSTITUTE($A454,"-","")))</f>
        <v/>
      </c>
      <c r="C454" s="16">
        <f>IF($B454="",0,LEN($B454))</f>
        <v/>
      </c>
      <c r="D454" s="16">
        <f>IF($A454="","",UPPER(TRIM(SUBSTITUTE(IFERROR(INDEX(tblVeriA[FaturaNo],ROW()-ROW(tblVeriA[[#Headers]])),"")," ",""))))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UPPER(TRIM(SUBSTITUTE($I454,"-","")))</f>
        <v/>
      </c>
      <c r="K454" s="16">
        <f>IF($J454="",0,LEN($J454))</f>
        <v/>
      </c>
      <c r="L454" s="16">
        <f>IF($I454="","",UPPER(TRIM(SUBSTITUTE(IFERROR(INDEX(tblVeriB[FaturaNo],ROW()-ROW(tblVeriB[[#Headers]])),"")," ",""))))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UPPER(TRIM(SUBSTITUTE($A455,"-","")))</f>
        <v/>
      </c>
      <c r="C455" s="16">
        <f>IF($B455="",0,LEN($B455))</f>
        <v/>
      </c>
      <c r="D455" s="16">
        <f>IF($A455="","",UPPER(TRIM(SUBSTITUTE(IFERROR(INDEX(tblVeriA[FaturaNo],ROW()-ROW(tblVeriA[[#Headers]])),"")," ",""))))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UPPER(TRIM(SUBSTITUTE($I455,"-","")))</f>
        <v/>
      </c>
      <c r="K455" s="16">
        <f>IF($J455="",0,LEN($J455))</f>
        <v/>
      </c>
      <c r="L455" s="16">
        <f>IF($I455="","",UPPER(TRIM(SUBSTITUTE(IFERROR(INDEX(tblVeriB[FaturaNo],ROW()-ROW(tblVeriB[[#Headers]])),"")," ",""))))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UPPER(TRIM(SUBSTITUTE($A456,"-","")))</f>
        <v/>
      </c>
      <c r="C456" s="16">
        <f>IF($B456="",0,LEN($B456))</f>
        <v/>
      </c>
      <c r="D456" s="16">
        <f>IF($A456="","",UPPER(TRIM(SUBSTITUTE(IFERROR(INDEX(tblVeriA[FaturaNo],ROW()-ROW(tblVeriA[[#Headers]])),"")," ",""))))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UPPER(TRIM(SUBSTITUTE($I456,"-","")))</f>
        <v/>
      </c>
      <c r="K456" s="16">
        <f>IF($J456="",0,LEN($J456))</f>
        <v/>
      </c>
      <c r="L456" s="16">
        <f>IF($I456="","",UPPER(TRIM(SUBSTITUTE(IFERROR(INDEX(tblVeriB[FaturaNo],ROW()-ROW(tblVeriB[[#Headers]])),"")," ",""))))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UPPER(TRIM(SUBSTITUTE($A457,"-","")))</f>
        <v/>
      </c>
      <c r="C457" s="16">
        <f>IF($B457="",0,LEN($B457))</f>
        <v/>
      </c>
      <c r="D457" s="16">
        <f>IF($A457="","",UPPER(TRIM(SUBSTITUTE(IFERROR(INDEX(tblVeriA[FaturaNo],ROW()-ROW(tblVeriA[[#Headers]])),"")," ",""))))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UPPER(TRIM(SUBSTITUTE($I457,"-","")))</f>
        <v/>
      </c>
      <c r="K457" s="16">
        <f>IF($J457="",0,LEN($J457))</f>
        <v/>
      </c>
      <c r="L457" s="16">
        <f>IF($I457="","",UPPER(TRIM(SUBSTITUTE(IFERROR(INDEX(tblVeriB[FaturaNo],ROW()-ROW(tblVeriB[[#Headers]])),"")," ",""))))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UPPER(TRIM(SUBSTITUTE($A458,"-","")))</f>
        <v/>
      </c>
      <c r="C458" s="16">
        <f>IF($B458="",0,LEN($B458))</f>
        <v/>
      </c>
      <c r="D458" s="16">
        <f>IF($A458="","",UPPER(TRIM(SUBSTITUTE(IFERROR(INDEX(tblVeriA[FaturaNo],ROW()-ROW(tblVeriA[[#Headers]])),"")," ",""))))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UPPER(TRIM(SUBSTITUTE($I458,"-","")))</f>
        <v/>
      </c>
      <c r="K458" s="16">
        <f>IF($J458="",0,LEN($J458))</f>
        <v/>
      </c>
      <c r="L458" s="16">
        <f>IF($I458="","",UPPER(TRIM(SUBSTITUTE(IFERROR(INDEX(tblVeriB[FaturaNo],ROW()-ROW(tblVeriB[[#Headers]])),"")," ",""))))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UPPER(TRIM(SUBSTITUTE($A459,"-","")))</f>
        <v/>
      </c>
      <c r="C459" s="16">
        <f>IF($B459="",0,LEN($B459))</f>
        <v/>
      </c>
      <c r="D459" s="16">
        <f>IF($A459="","",UPPER(TRIM(SUBSTITUTE(IFERROR(INDEX(tblVeriA[FaturaNo],ROW()-ROW(tblVeriA[[#Headers]])),"")," ",""))))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UPPER(TRIM(SUBSTITUTE($I459,"-","")))</f>
        <v/>
      </c>
      <c r="K459" s="16">
        <f>IF($J459="",0,LEN($J459))</f>
        <v/>
      </c>
      <c r="L459" s="16">
        <f>IF($I459="","",UPPER(TRIM(SUBSTITUTE(IFERROR(INDEX(tblVeriB[FaturaNo],ROW()-ROW(tblVeriB[[#Headers]])),"")," ",""))))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UPPER(TRIM(SUBSTITUTE($A460,"-","")))</f>
        <v/>
      </c>
      <c r="C460" s="16">
        <f>IF($B460="",0,LEN($B460))</f>
        <v/>
      </c>
      <c r="D460" s="16">
        <f>IF($A460="","",UPPER(TRIM(SUBSTITUTE(IFERROR(INDEX(tblVeriA[FaturaNo],ROW()-ROW(tblVeriA[[#Headers]])),"")," ",""))))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UPPER(TRIM(SUBSTITUTE($I460,"-","")))</f>
        <v/>
      </c>
      <c r="K460" s="16">
        <f>IF($J460="",0,LEN($J460))</f>
        <v/>
      </c>
      <c r="L460" s="16">
        <f>IF($I460="","",UPPER(TRIM(SUBSTITUTE(IFERROR(INDEX(tblVeriB[FaturaNo],ROW()-ROW(tblVeriB[[#Headers]])),"")," ",""))))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UPPER(TRIM(SUBSTITUTE($A461,"-","")))</f>
        <v/>
      </c>
      <c r="C461" s="16">
        <f>IF($B461="",0,LEN($B461))</f>
        <v/>
      </c>
      <c r="D461" s="16">
        <f>IF($A461="","",UPPER(TRIM(SUBSTITUTE(IFERROR(INDEX(tblVeriA[FaturaNo],ROW()-ROW(tblVeriA[[#Headers]])),"")," ",""))))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UPPER(TRIM(SUBSTITUTE($I461,"-","")))</f>
        <v/>
      </c>
      <c r="K461" s="16">
        <f>IF($J461="",0,LEN($J461))</f>
        <v/>
      </c>
      <c r="L461" s="16">
        <f>IF($I461="","",UPPER(TRIM(SUBSTITUTE(IFERROR(INDEX(tblVeriB[FaturaNo],ROW()-ROW(tblVeriB[[#Headers]])),"")," ",""))))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UPPER(TRIM(SUBSTITUTE($A462,"-","")))</f>
        <v/>
      </c>
      <c r="C462" s="16">
        <f>IF($B462="",0,LEN($B462))</f>
        <v/>
      </c>
      <c r="D462" s="16">
        <f>IF($A462="","",UPPER(TRIM(SUBSTITUTE(IFERROR(INDEX(tblVeriA[FaturaNo],ROW()-ROW(tblVeriA[[#Headers]])),"")," ",""))))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UPPER(TRIM(SUBSTITUTE($I462,"-","")))</f>
        <v/>
      </c>
      <c r="K462" s="16">
        <f>IF($J462="",0,LEN($J462))</f>
        <v/>
      </c>
      <c r="L462" s="16">
        <f>IF($I462="","",UPPER(TRIM(SUBSTITUTE(IFERROR(INDEX(tblVeriB[FaturaNo],ROW()-ROW(tblVeriB[[#Headers]])),"")," ",""))))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UPPER(TRIM(SUBSTITUTE($A463,"-","")))</f>
        <v/>
      </c>
      <c r="C463" s="16">
        <f>IF($B463="",0,LEN($B463))</f>
        <v/>
      </c>
      <c r="D463" s="16">
        <f>IF($A463="","",UPPER(TRIM(SUBSTITUTE(IFERROR(INDEX(tblVeriA[FaturaNo],ROW()-ROW(tblVeriA[[#Headers]])),"")," ",""))))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UPPER(TRIM(SUBSTITUTE($I463,"-","")))</f>
        <v/>
      </c>
      <c r="K463" s="16">
        <f>IF($J463="",0,LEN($J463))</f>
        <v/>
      </c>
      <c r="L463" s="16">
        <f>IF($I463="","",UPPER(TRIM(SUBSTITUTE(IFERROR(INDEX(tblVeriB[FaturaNo],ROW()-ROW(tblVeriB[[#Headers]])),"")," ",""))))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UPPER(TRIM(SUBSTITUTE($A464,"-","")))</f>
        <v/>
      </c>
      <c r="C464" s="16">
        <f>IF($B464="",0,LEN($B464))</f>
        <v/>
      </c>
      <c r="D464" s="16">
        <f>IF($A464="","",UPPER(TRIM(SUBSTITUTE(IFERROR(INDEX(tblVeriA[FaturaNo],ROW()-ROW(tblVeriA[[#Headers]])),"")," ",""))))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UPPER(TRIM(SUBSTITUTE($I464,"-","")))</f>
        <v/>
      </c>
      <c r="K464" s="16">
        <f>IF($J464="",0,LEN($J464))</f>
        <v/>
      </c>
      <c r="L464" s="16">
        <f>IF($I464="","",UPPER(TRIM(SUBSTITUTE(IFERROR(INDEX(tblVeriB[FaturaNo],ROW()-ROW(tblVeriB[[#Headers]])),"")," ",""))))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UPPER(TRIM(SUBSTITUTE($A465,"-","")))</f>
        <v/>
      </c>
      <c r="C465" s="16">
        <f>IF($B465="",0,LEN($B465))</f>
        <v/>
      </c>
      <c r="D465" s="16">
        <f>IF($A465="","",UPPER(TRIM(SUBSTITUTE(IFERROR(INDEX(tblVeriA[FaturaNo],ROW()-ROW(tblVeriA[[#Headers]])),"")," ",""))))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UPPER(TRIM(SUBSTITUTE($I465,"-","")))</f>
        <v/>
      </c>
      <c r="K465" s="16">
        <f>IF($J465="",0,LEN($J465))</f>
        <v/>
      </c>
      <c r="L465" s="16">
        <f>IF($I465="","",UPPER(TRIM(SUBSTITUTE(IFERROR(INDEX(tblVeriB[FaturaNo],ROW()-ROW(tblVeriB[[#Headers]])),"")," ",""))))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UPPER(TRIM(SUBSTITUTE($A466,"-","")))</f>
        <v/>
      </c>
      <c r="C466" s="16">
        <f>IF($B466="",0,LEN($B466))</f>
        <v/>
      </c>
      <c r="D466" s="16">
        <f>IF($A466="","",UPPER(TRIM(SUBSTITUTE(IFERROR(INDEX(tblVeriA[FaturaNo],ROW()-ROW(tblVeriA[[#Headers]])),"")," ",""))))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UPPER(TRIM(SUBSTITUTE($I466,"-","")))</f>
        <v/>
      </c>
      <c r="K466" s="16">
        <f>IF($J466="",0,LEN($J466))</f>
        <v/>
      </c>
      <c r="L466" s="16">
        <f>IF($I466="","",UPPER(TRIM(SUBSTITUTE(IFERROR(INDEX(tblVeriB[FaturaNo],ROW()-ROW(tblVeriB[[#Headers]])),"")," ",""))))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UPPER(TRIM(SUBSTITUTE($A467,"-","")))</f>
        <v/>
      </c>
      <c r="C467" s="16">
        <f>IF($B467="",0,LEN($B467))</f>
        <v/>
      </c>
      <c r="D467" s="16">
        <f>IF($A467="","",UPPER(TRIM(SUBSTITUTE(IFERROR(INDEX(tblVeriA[FaturaNo],ROW()-ROW(tblVeriA[[#Headers]])),"")," ",""))))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UPPER(TRIM(SUBSTITUTE($I467,"-","")))</f>
        <v/>
      </c>
      <c r="K467" s="16">
        <f>IF($J467="",0,LEN($J467))</f>
        <v/>
      </c>
      <c r="L467" s="16">
        <f>IF($I467="","",UPPER(TRIM(SUBSTITUTE(IFERROR(INDEX(tblVeriB[FaturaNo],ROW()-ROW(tblVeriB[[#Headers]])),"")," ",""))))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UPPER(TRIM(SUBSTITUTE($A468,"-","")))</f>
        <v/>
      </c>
      <c r="C468" s="16">
        <f>IF($B468="",0,LEN($B468))</f>
        <v/>
      </c>
      <c r="D468" s="16">
        <f>IF($A468="","",UPPER(TRIM(SUBSTITUTE(IFERROR(INDEX(tblVeriA[FaturaNo],ROW()-ROW(tblVeriA[[#Headers]])),"")," ",""))))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UPPER(TRIM(SUBSTITUTE($I468,"-","")))</f>
        <v/>
      </c>
      <c r="K468" s="16">
        <f>IF($J468="",0,LEN($J468))</f>
        <v/>
      </c>
      <c r="L468" s="16">
        <f>IF($I468="","",UPPER(TRIM(SUBSTITUTE(IFERROR(INDEX(tblVeriB[FaturaNo],ROW()-ROW(tblVeriB[[#Headers]])),"")," ",""))))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UPPER(TRIM(SUBSTITUTE($A469,"-","")))</f>
        <v/>
      </c>
      <c r="C469" s="16">
        <f>IF($B469="",0,LEN($B469))</f>
        <v/>
      </c>
      <c r="D469" s="16">
        <f>IF($A469="","",UPPER(TRIM(SUBSTITUTE(IFERROR(INDEX(tblVeriA[FaturaNo],ROW()-ROW(tblVeriA[[#Headers]])),"")," ",""))))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UPPER(TRIM(SUBSTITUTE($I469,"-","")))</f>
        <v/>
      </c>
      <c r="K469" s="16">
        <f>IF($J469="",0,LEN($J469))</f>
        <v/>
      </c>
      <c r="L469" s="16">
        <f>IF($I469="","",UPPER(TRIM(SUBSTITUTE(IFERROR(INDEX(tblVeriB[FaturaNo],ROW()-ROW(tblVeriB[[#Headers]])),"")," ",""))))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UPPER(TRIM(SUBSTITUTE($A470,"-","")))</f>
        <v/>
      </c>
      <c r="C470" s="16">
        <f>IF($B470="",0,LEN($B470))</f>
        <v/>
      </c>
      <c r="D470" s="16">
        <f>IF($A470="","",UPPER(TRIM(SUBSTITUTE(IFERROR(INDEX(tblVeriA[FaturaNo],ROW()-ROW(tblVeriA[[#Headers]])),"")," ",""))))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UPPER(TRIM(SUBSTITUTE($I470,"-","")))</f>
        <v/>
      </c>
      <c r="K470" s="16">
        <f>IF($J470="",0,LEN($J470))</f>
        <v/>
      </c>
      <c r="L470" s="16">
        <f>IF($I470="","",UPPER(TRIM(SUBSTITUTE(IFERROR(INDEX(tblVeriB[FaturaNo],ROW()-ROW(tblVeriB[[#Headers]])),"")," ",""))))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UPPER(TRIM(SUBSTITUTE($A471,"-","")))</f>
        <v/>
      </c>
      <c r="C471" s="16">
        <f>IF($B471="",0,LEN($B471))</f>
        <v/>
      </c>
      <c r="D471" s="16">
        <f>IF($A471="","",UPPER(TRIM(SUBSTITUTE(IFERROR(INDEX(tblVeriA[FaturaNo],ROW()-ROW(tblVeriA[[#Headers]])),"")," ",""))))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UPPER(TRIM(SUBSTITUTE($I471,"-","")))</f>
        <v/>
      </c>
      <c r="K471" s="16">
        <f>IF($J471="",0,LEN($J471))</f>
        <v/>
      </c>
      <c r="L471" s="16">
        <f>IF($I471="","",UPPER(TRIM(SUBSTITUTE(IFERROR(INDEX(tblVeriB[FaturaNo],ROW()-ROW(tblVeriB[[#Headers]])),"")," ",""))))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UPPER(TRIM(SUBSTITUTE($A472,"-","")))</f>
        <v/>
      </c>
      <c r="C472" s="16">
        <f>IF($B472="",0,LEN($B472))</f>
        <v/>
      </c>
      <c r="D472" s="16">
        <f>IF($A472="","",UPPER(TRIM(SUBSTITUTE(IFERROR(INDEX(tblVeriA[FaturaNo],ROW()-ROW(tblVeriA[[#Headers]])),"")," ",""))))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UPPER(TRIM(SUBSTITUTE($I472,"-","")))</f>
        <v/>
      </c>
      <c r="K472" s="16">
        <f>IF($J472="",0,LEN($J472))</f>
        <v/>
      </c>
      <c r="L472" s="16">
        <f>IF($I472="","",UPPER(TRIM(SUBSTITUTE(IFERROR(INDEX(tblVeriB[FaturaNo],ROW()-ROW(tblVeriB[[#Headers]])),"")," ",""))))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UPPER(TRIM(SUBSTITUTE($A473,"-","")))</f>
        <v/>
      </c>
      <c r="C473" s="16">
        <f>IF($B473="",0,LEN($B473))</f>
        <v/>
      </c>
      <c r="D473" s="16">
        <f>IF($A473="","",UPPER(TRIM(SUBSTITUTE(IFERROR(INDEX(tblVeriA[FaturaNo],ROW()-ROW(tblVeriA[[#Headers]])),"")," ",""))))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UPPER(TRIM(SUBSTITUTE($I473,"-","")))</f>
        <v/>
      </c>
      <c r="K473" s="16">
        <f>IF($J473="",0,LEN($J473))</f>
        <v/>
      </c>
      <c r="L473" s="16">
        <f>IF($I473="","",UPPER(TRIM(SUBSTITUTE(IFERROR(INDEX(tblVeriB[FaturaNo],ROW()-ROW(tblVeriB[[#Headers]])),"")," ",""))))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UPPER(TRIM(SUBSTITUTE($A474,"-","")))</f>
        <v/>
      </c>
      <c r="C474" s="16">
        <f>IF($B474="",0,LEN($B474))</f>
        <v/>
      </c>
      <c r="D474" s="16">
        <f>IF($A474="","",UPPER(TRIM(SUBSTITUTE(IFERROR(INDEX(tblVeriA[FaturaNo],ROW()-ROW(tblVeriA[[#Headers]])),"")," ",""))))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UPPER(TRIM(SUBSTITUTE($I474,"-","")))</f>
        <v/>
      </c>
      <c r="K474" s="16">
        <f>IF($J474="",0,LEN($J474))</f>
        <v/>
      </c>
      <c r="L474" s="16">
        <f>IF($I474="","",UPPER(TRIM(SUBSTITUTE(IFERROR(INDEX(tblVeriB[FaturaNo],ROW()-ROW(tblVeriB[[#Headers]])),"")," ",""))))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UPPER(TRIM(SUBSTITUTE($A475,"-","")))</f>
        <v/>
      </c>
      <c r="C475" s="16">
        <f>IF($B475="",0,LEN($B475))</f>
        <v/>
      </c>
      <c r="D475" s="16">
        <f>IF($A475="","",UPPER(TRIM(SUBSTITUTE(IFERROR(INDEX(tblVeriA[FaturaNo],ROW()-ROW(tblVeriA[[#Headers]])),"")," ",""))))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UPPER(TRIM(SUBSTITUTE($I475,"-","")))</f>
        <v/>
      </c>
      <c r="K475" s="16">
        <f>IF($J475="",0,LEN($J475))</f>
        <v/>
      </c>
      <c r="L475" s="16">
        <f>IF($I475="","",UPPER(TRIM(SUBSTITUTE(IFERROR(INDEX(tblVeriB[FaturaNo],ROW()-ROW(tblVeriB[[#Headers]])),"")," ",""))))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UPPER(TRIM(SUBSTITUTE($A476,"-","")))</f>
        <v/>
      </c>
      <c r="C476" s="16">
        <f>IF($B476="",0,LEN($B476))</f>
        <v/>
      </c>
      <c r="D476" s="16">
        <f>IF($A476="","",UPPER(TRIM(SUBSTITUTE(IFERROR(INDEX(tblVeriA[FaturaNo],ROW()-ROW(tblVeriA[[#Headers]])),"")," ",""))))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UPPER(TRIM(SUBSTITUTE($I476,"-","")))</f>
        <v/>
      </c>
      <c r="K476" s="16">
        <f>IF($J476="",0,LEN($J476))</f>
        <v/>
      </c>
      <c r="L476" s="16">
        <f>IF($I476="","",UPPER(TRIM(SUBSTITUTE(IFERROR(INDEX(tblVeriB[FaturaNo],ROW()-ROW(tblVeriB[[#Headers]])),"")," ",""))))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UPPER(TRIM(SUBSTITUTE($A477,"-","")))</f>
        <v/>
      </c>
      <c r="C477" s="16">
        <f>IF($B477="",0,LEN($B477))</f>
        <v/>
      </c>
      <c r="D477" s="16">
        <f>IF($A477="","",UPPER(TRIM(SUBSTITUTE(IFERROR(INDEX(tblVeriA[FaturaNo],ROW()-ROW(tblVeriA[[#Headers]])),"")," ",""))))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UPPER(TRIM(SUBSTITUTE($I477,"-","")))</f>
        <v/>
      </c>
      <c r="K477" s="16">
        <f>IF($J477="",0,LEN($J477))</f>
        <v/>
      </c>
      <c r="L477" s="16">
        <f>IF($I477="","",UPPER(TRIM(SUBSTITUTE(IFERROR(INDEX(tblVeriB[FaturaNo],ROW()-ROW(tblVeriB[[#Headers]])),"")," ",""))))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UPPER(TRIM(SUBSTITUTE($A478,"-","")))</f>
        <v/>
      </c>
      <c r="C478" s="16">
        <f>IF($B478="",0,LEN($B478))</f>
        <v/>
      </c>
      <c r="D478" s="16">
        <f>IF($A478="","",UPPER(TRIM(SUBSTITUTE(IFERROR(INDEX(tblVeriA[FaturaNo],ROW()-ROW(tblVeriA[[#Headers]])),"")," ",""))))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UPPER(TRIM(SUBSTITUTE($I478,"-","")))</f>
        <v/>
      </c>
      <c r="K478" s="16">
        <f>IF($J478="",0,LEN($J478))</f>
        <v/>
      </c>
      <c r="L478" s="16">
        <f>IF($I478="","",UPPER(TRIM(SUBSTITUTE(IFERROR(INDEX(tblVeriB[FaturaNo],ROW()-ROW(tblVeriB[[#Headers]])),"")," ",""))))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UPPER(TRIM(SUBSTITUTE($A479,"-","")))</f>
        <v/>
      </c>
      <c r="C479" s="16">
        <f>IF($B479="",0,LEN($B479))</f>
        <v/>
      </c>
      <c r="D479" s="16">
        <f>IF($A479="","",UPPER(TRIM(SUBSTITUTE(IFERROR(INDEX(tblVeriA[FaturaNo],ROW()-ROW(tblVeriA[[#Headers]])),"")," ",""))))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UPPER(TRIM(SUBSTITUTE($I479,"-","")))</f>
        <v/>
      </c>
      <c r="K479" s="16">
        <f>IF($J479="",0,LEN($J479))</f>
        <v/>
      </c>
      <c r="L479" s="16">
        <f>IF($I479="","",UPPER(TRIM(SUBSTITUTE(IFERROR(INDEX(tblVeriB[FaturaNo],ROW()-ROW(tblVeriB[[#Headers]])),"")," ",""))))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UPPER(TRIM(SUBSTITUTE($A480,"-","")))</f>
        <v/>
      </c>
      <c r="C480" s="16">
        <f>IF($B480="",0,LEN($B480))</f>
        <v/>
      </c>
      <c r="D480" s="16">
        <f>IF($A480="","",UPPER(TRIM(SUBSTITUTE(IFERROR(INDEX(tblVeriA[FaturaNo],ROW()-ROW(tblVeriA[[#Headers]])),"")," ",""))))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UPPER(TRIM(SUBSTITUTE($I480,"-","")))</f>
        <v/>
      </c>
      <c r="K480" s="16">
        <f>IF($J480="",0,LEN($J480))</f>
        <v/>
      </c>
      <c r="L480" s="16">
        <f>IF($I480="","",UPPER(TRIM(SUBSTITUTE(IFERROR(INDEX(tblVeriB[FaturaNo],ROW()-ROW(tblVeriB[[#Headers]])),"")," ",""))))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UPPER(TRIM(SUBSTITUTE($A481,"-","")))</f>
        <v/>
      </c>
      <c r="C481" s="16">
        <f>IF($B481="",0,LEN($B481))</f>
        <v/>
      </c>
      <c r="D481" s="16">
        <f>IF($A481="","",UPPER(TRIM(SUBSTITUTE(IFERROR(INDEX(tblVeriA[FaturaNo],ROW()-ROW(tblVeriA[[#Headers]])),"")," ",""))))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UPPER(TRIM(SUBSTITUTE($I481,"-","")))</f>
        <v/>
      </c>
      <c r="K481" s="16">
        <f>IF($J481="",0,LEN($J481))</f>
        <v/>
      </c>
      <c r="L481" s="16">
        <f>IF($I481="","",UPPER(TRIM(SUBSTITUTE(IFERROR(INDEX(tblVeriB[FaturaNo],ROW()-ROW(tblVeriB[[#Headers]])),"")," ",""))))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UPPER(TRIM(SUBSTITUTE($A482,"-","")))</f>
        <v/>
      </c>
      <c r="C482" s="16">
        <f>IF($B482="",0,LEN($B482))</f>
        <v/>
      </c>
      <c r="D482" s="16">
        <f>IF($A482="","",UPPER(TRIM(SUBSTITUTE(IFERROR(INDEX(tblVeriA[FaturaNo],ROW()-ROW(tblVeriA[[#Headers]])),"")," ",""))))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UPPER(TRIM(SUBSTITUTE($I482,"-","")))</f>
        <v/>
      </c>
      <c r="K482" s="16">
        <f>IF($J482="",0,LEN($J482))</f>
        <v/>
      </c>
      <c r="L482" s="16">
        <f>IF($I482="","",UPPER(TRIM(SUBSTITUTE(IFERROR(INDEX(tblVeriB[FaturaNo],ROW()-ROW(tblVeriB[[#Headers]])),"")," ",""))))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UPPER(TRIM(SUBSTITUTE($A483,"-","")))</f>
        <v/>
      </c>
      <c r="C483" s="16">
        <f>IF($B483="",0,LEN($B483))</f>
        <v/>
      </c>
      <c r="D483" s="16">
        <f>IF($A483="","",UPPER(TRIM(SUBSTITUTE(IFERROR(INDEX(tblVeriA[FaturaNo],ROW()-ROW(tblVeriA[[#Headers]])),"")," ",""))))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UPPER(TRIM(SUBSTITUTE($I483,"-","")))</f>
        <v/>
      </c>
      <c r="K483" s="16">
        <f>IF($J483="",0,LEN($J483))</f>
        <v/>
      </c>
      <c r="L483" s="16">
        <f>IF($I483="","",UPPER(TRIM(SUBSTITUTE(IFERROR(INDEX(tblVeriB[FaturaNo],ROW()-ROW(tblVeriB[[#Headers]])),"")," ",""))))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UPPER(TRIM(SUBSTITUTE($A484,"-","")))</f>
        <v/>
      </c>
      <c r="C484" s="16">
        <f>IF($B484="",0,LEN($B484))</f>
        <v/>
      </c>
      <c r="D484" s="16">
        <f>IF($A484="","",UPPER(TRIM(SUBSTITUTE(IFERROR(INDEX(tblVeriA[FaturaNo],ROW()-ROW(tblVeriA[[#Headers]])),"")," ",""))))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UPPER(TRIM(SUBSTITUTE($I484,"-","")))</f>
        <v/>
      </c>
      <c r="K484" s="16">
        <f>IF($J484="",0,LEN($J484))</f>
        <v/>
      </c>
      <c r="L484" s="16">
        <f>IF($I484="","",UPPER(TRIM(SUBSTITUTE(IFERROR(INDEX(tblVeriB[FaturaNo],ROW()-ROW(tblVeriB[[#Headers]])),"")," ",""))))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UPPER(TRIM(SUBSTITUTE($A485,"-","")))</f>
        <v/>
      </c>
      <c r="C485" s="16">
        <f>IF($B485="",0,LEN($B485))</f>
        <v/>
      </c>
      <c r="D485" s="16">
        <f>IF($A485="","",UPPER(TRIM(SUBSTITUTE(IFERROR(INDEX(tblVeriA[FaturaNo],ROW()-ROW(tblVeriA[[#Headers]])),"")," ",""))))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UPPER(TRIM(SUBSTITUTE($I485,"-","")))</f>
        <v/>
      </c>
      <c r="K485" s="16">
        <f>IF($J485="",0,LEN($J485))</f>
        <v/>
      </c>
      <c r="L485" s="16">
        <f>IF($I485="","",UPPER(TRIM(SUBSTITUTE(IFERROR(INDEX(tblVeriB[FaturaNo],ROW()-ROW(tblVeriB[[#Headers]])),"")," ",""))))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UPPER(TRIM(SUBSTITUTE($A486,"-","")))</f>
        <v/>
      </c>
      <c r="C486" s="16">
        <f>IF($B486="",0,LEN($B486))</f>
        <v/>
      </c>
      <c r="D486" s="16">
        <f>IF($A486="","",UPPER(TRIM(SUBSTITUTE(IFERROR(INDEX(tblVeriA[FaturaNo],ROW()-ROW(tblVeriA[[#Headers]])),"")," ",""))))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UPPER(TRIM(SUBSTITUTE($I486,"-","")))</f>
        <v/>
      </c>
      <c r="K486" s="16">
        <f>IF($J486="",0,LEN($J486))</f>
        <v/>
      </c>
      <c r="L486" s="16">
        <f>IF($I486="","",UPPER(TRIM(SUBSTITUTE(IFERROR(INDEX(tblVeriB[FaturaNo],ROW()-ROW(tblVeriB[[#Headers]])),"")," ",""))))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UPPER(TRIM(SUBSTITUTE($A487,"-","")))</f>
        <v/>
      </c>
      <c r="C487" s="16">
        <f>IF($B487="",0,LEN($B487))</f>
        <v/>
      </c>
      <c r="D487" s="16">
        <f>IF($A487="","",UPPER(TRIM(SUBSTITUTE(IFERROR(INDEX(tblVeriA[FaturaNo],ROW()-ROW(tblVeriA[[#Headers]])),"")," ",""))))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UPPER(TRIM(SUBSTITUTE($I487,"-","")))</f>
        <v/>
      </c>
      <c r="K487" s="16">
        <f>IF($J487="",0,LEN($J487))</f>
        <v/>
      </c>
      <c r="L487" s="16">
        <f>IF($I487="","",UPPER(TRIM(SUBSTITUTE(IFERROR(INDEX(tblVeriB[FaturaNo],ROW()-ROW(tblVeriB[[#Headers]])),"")," ",""))))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UPPER(TRIM(SUBSTITUTE($A488,"-","")))</f>
        <v/>
      </c>
      <c r="C488" s="16">
        <f>IF($B488="",0,LEN($B488))</f>
        <v/>
      </c>
      <c r="D488" s="16">
        <f>IF($A488="","",UPPER(TRIM(SUBSTITUTE(IFERROR(INDEX(tblVeriA[FaturaNo],ROW()-ROW(tblVeriA[[#Headers]])),"")," ",""))))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UPPER(TRIM(SUBSTITUTE($I488,"-","")))</f>
        <v/>
      </c>
      <c r="K488" s="16">
        <f>IF($J488="",0,LEN($J488))</f>
        <v/>
      </c>
      <c r="L488" s="16">
        <f>IF($I488="","",UPPER(TRIM(SUBSTITUTE(IFERROR(INDEX(tblVeriB[FaturaNo],ROW()-ROW(tblVeriB[[#Headers]])),"")," ",""))))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UPPER(TRIM(SUBSTITUTE($A489,"-","")))</f>
        <v/>
      </c>
      <c r="C489" s="16">
        <f>IF($B489="",0,LEN($B489))</f>
        <v/>
      </c>
      <c r="D489" s="16">
        <f>IF($A489="","",UPPER(TRIM(SUBSTITUTE(IFERROR(INDEX(tblVeriA[FaturaNo],ROW()-ROW(tblVeriA[[#Headers]])),"")," ",""))))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UPPER(TRIM(SUBSTITUTE($I489,"-","")))</f>
        <v/>
      </c>
      <c r="K489" s="16">
        <f>IF($J489="",0,LEN($J489))</f>
        <v/>
      </c>
      <c r="L489" s="16">
        <f>IF($I489="","",UPPER(TRIM(SUBSTITUTE(IFERROR(INDEX(tblVeriB[FaturaNo],ROW()-ROW(tblVeriB[[#Headers]])),"")," ",""))))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UPPER(TRIM(SUBSTITUTE($A490,"-","")))</f>
        <v/>
      </c>
      <c r="C490" s="16">
        <f>IF($B490="",0,LEN($B490))</f>
        <v/>
      </c>
      <c r="D490" s="16">
        <f>IF($A490="","",UPPER(TRIM(SUBSTITUTE(IFERROR(INDEX(tblVeriA[FaturaNo],ROW()-ROW(tblVeriA[[#Headers]])),"")," ",""))))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UPPER(TRIM(SUBSTITUTE($I490,"-","")))</f>
        <v/>
      </c>
      <c r="K490" s="16">
        <f>IF($J490="",0,LEN($J490))</f>
        <v/>
      </c>
      <c r="L490" s="16">
        <f>IF($I490="","",UPPER(TRIM(SUBSTITUTE(IFERROR(INDEX(tblVeriB[FaturaNo],ROW()-ROW(tblVeriB[[#Headers]])),"")," ",""))))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UPPER(TRIM(SUBSTITUTE($A491,"-","")))</f>
        <v/>
      </c>
      <c r="C491" s="16">
        <f>IF($B491="",0,LEN($B491))</f>
        <v/>
      </c>
      <c r="D491" s="16">
        <f>IF($A491="","",UPPER(TRIM(SUBSTITUTE(IFERROR(INDEX(tblVeriA[FaturaNo],ROW()-ROW(tblVeriA[[#Headers]])),"")," ",""))))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UPPER(TRIM(SUBSTITUTE($I491,"-","")))</f>
        <v/>
      </c>
      <c r="K491" s="16">
        <f>IF($J491="",0,LEN($J491))</f>
        <v/>
      </c>
      <c r="L491" s="16">
        <f>IF($I491="","",UPPER(TRIM(SUBSTITUTE(IFERROR(INDEX(tblVeriB[FaturaNo],ROW()-ROW(tblVeriB[[#Headers]])),"")," ",""))))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UPPER(TRIM(SUBSTITUTE($A492,"-","")))</f>
        <v/>
      </c>
      <c r="C492" s="16">
        <f>IF($B492="",0,LEN($B492))</f>
        <v/>
      </c>
      <c r="D492" s="16">
        <f>IF($A492="","",UPPER(TRIM(SUBSTITUTE(IFERROR(INDEX(tblVeriA[FaturaNo],ROW()-ROW(tblVeriA[[#Headers]])),"")," ",""))))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UPPER(TRIM(SUBSTITUTE($I492,"-","")))</f>
        <v/>
      </c>
      <c r="K492" s="16">
        <f>IF($J492="",0,LEN($J492))</f>
        <v/>
      </c>
      <c r="L492" s="16">
        <f>IF($I492="","",UPPER(TRIM(SUBSTITUTE(IFERROR(INDEX(tblVeriB[FaturaNo],ROW()-ROW(tblVeriB[[#Headers]])),"")," ",""))))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UPPER(TRIM(SUBSTITUTE($A493,"-","")))</f>
        <v/>
      </c>
      <c r="C493" s="16">
        <f>IF($B493="",0,LEN($B493))</f>
        <v/>
      </c>
      <c r="D493" s="16">
        <f>IF($A493="","",UPPER(TRIM(SUBSTITUTE(IFERROR(INDEX(tblVeriA[FaturaNo],ROW()-ROW(tblVeriA[[#Headers]])),"")," ",""))))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UPPER(TRIM(SUBSTITUTE($I493,"-","")))</f>
        <v/>
      </c>
      <c r="K493" s="16">
        <f>IF($J493="",0,LEN($J493))</f>
        <v/>
      </c>
      <c r="L493" s="16">
        <f>IF($I493="","",UPPER(TRIM(SUBSTITUTE(IFERROR(INDEX(tblVeriB[FaturaNo],ROW()-ROW(tblVeriB[[#Headers]])),"")," ",""))))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UPPER(TRIM(SUBSTITUTE($A494,"-","")))</f>
        <v/>
      </c>
      <c r="C494" s="16">
        <f>IF($B494="",0,LEN($B494))</f>
        <v/>
      </c>
      <c r="D494" s="16">
        <f>IF($A494="","",UPPER(TRIM(SUBSTITUTE(IFERROR(INDEX(tblVeriA[FaturaNo],ROW()-ROW(tblVeriA[[#Headers]])),"")," ",""))))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UPPER(TRIM(SUBSTITUTE($I494,"-","")))</f>
        <v/>
      </c>
      <c r="K494" s="16">
        <f>IF($J494="",0,LEN($J494))</f>
        <v/>
      </c>
      <c r="L494" s="16">
        <f>IF($I494="","",UPPER(TRIM(SUBSTITUTE(IFERROR(INDEX(tblVeriB[FaturaNo],ROW()-ROW(tblVeriB[[#Headers]])),"")," ",""))))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UPPER(TRIM(SUBSTITUTE($A495,"-","")))</f>
        <v/>
      </c>
      <c r="C495" s="16">
        <f>IF($B495="",0,LEN($B495))</f>
        <v/>
      </c>
      <c r="D495" s="16">
        <f>IF($A495="","",UPPER(TRIM(SUBSTITUTE(IFERROR(INDEX(tblVeriA[FaturaNo],ROW()-ROW(tblVeriA[[#Headers]])),"")," ",""))))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UPPER(TRIM(SUBSTITUTE($I495,"-","")))</f>
        <v/>
      </c>
      <c r="K495" s="16">
        <f>IF($J495="",0,LEN($J495))</f>
        <v/>
      </c>
      <c r="L495" s="16">
        <f>IF($I495="","",UPPER(TRIM(SUBSTITUTE(IFERROR(INDEX(tblVeriB[FaturaNo],ROW()-ROW(tblVeriB[[#Headers]])),"")," ",""))))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UPPER(TRIM(SUBSTITUTE($A496,"-","")))</f>
        <v/>
      </c>
      <c r="C496" s="16">
        <f>IF($B496="",0,LEN($B496))</f>
        <v/>
      </c>
      <c r="D496" s="16">
        <f>IF($A496="","",UPPER(TRIM(SUBSTITUTE(IFERROR(INDEX(tblVeriA[FaturaNo],ROW()-ROW(tblVeriA[[#Headers]])),"")," ",""))))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UPPER(TRIM(SUBSTITUTE($I496,"-","")))</f>
        <v/>
      </c>
      <c r="K496" s="16">
        <f>IF($J496="",0,LEN($J496))</f>
        <v/>
      </c>
      <c r="L496" s="16">
        <f>IF($I496="","",UPPER(TRIM(SUBSTITUTE(IFERROR(INDEX(tblVeriB[FaturaNo],ROW()-ROW(tblVeriB[[#Headers]])),"")," ",""))))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UPPER(TRIM(SUBSTITUTE($A497,"-","")))</f>
        <v/>
      </c>
      <c r="C497" s="16">
        <f>IF($B497="",0,LEN($B497))</f>
        <v/>
      </c>
      <c r="D497" s="16">
        <f>IF($A497="","",UPPER(TRIM(SUBSTITUTE(IFERROR(INDEX(tblVeriA[FaturaNo],ROW()-ROW(tblVeriA[[#Headers]])),"")," ",""))))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UPPER(TRIM(SUBSTITUTE($I497,"-","")))</f>
        <v/>
      </c>
      <c r="K497" s="16">
        <f>IF($J497="",0,LEN($J497))</f>
        <v/>
      </c>
      <c r="L497" s="16">
        <f>IF($I497="","",UPPER(TRIM(SUBSTITUTE(IFERROR(INDEX(tblVeriB[FaturaNo],ROW()-ROW(tblVeriB[[#Headers]])),"")," ",""))))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UPPER(TRIM(SUBSTITUTE($A498,"-","")))</f>
        <v/>
      </c>
      <c r="C498" s="16">
        <f>IF($B498="",0,LEN($B498))</f>
        <v/>
      </c>
      <c r="D498" s="16">
        <f>IF($A498="","",UPPER(TRIM(SUBSTITUTE(IFERROR(INDEX(tblVeriA[FaturaNo],ROW()-ROW(tblVeriA[[#Headers]])),"")," ",""))))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UPPER(TRIM(SUBSTITUTE($I498,"-","")))</f>
        <v/>
      </c>
      <c r="K498" s="16">
        <f>IF($J498="",0,LEN($J498))</f>
        <v/>
      </c>
      <c r="L498" s="16">
        <f>IF($I498="","",UPPER(TRIM(SUBSTITUTE(IFERROR(INDEX(tblVeriB[FaturaNo],ROW()-ROW(tblVeriB[[#Headers]])),"")," ",""))))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UPPER(TRIM(SUBSTITUTE($A499,"-","")))</f>
        <v/>
      </c>
      <c r="C499" s="16">
        <f>IF($B499="",0,LEN($B499))</f>
        <v/>
      </c>
      <c r="D499" s="16">
        <f>IF($A499="","",UPPER(TRIM(SUBSTITUTE(IFERROR(INDEX(tblVeriA[FaturaNo],ROW()-ROW(tblVeriA[[#Headers]])),"")," ",""))))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UPPER(TRIM(SUBSTITUTE($I499,"-","")))</f>
        <v/>
      </c>
      <c r="K499" s="16">
        <f>IF($J499="",0,LEN($J499))</f>
        <v/>
      </c>
      <c r="L499" s="16">
        <f>IF($I499="","",UPPER(TRIM(SUBSTITUTE(IFERROR(INDEX(tblVeriB[FaturaNo],ROW()-ROW(tblVeriB[[#Headers]])),"")," ",""))))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UPPER(TRIM(SUBSTITUTE($A500,"-","")))</f>
        <v/>
      </c>
      <c r="C500" s="16">
        <f>IF($B500="",0,LEN($B500))</f>
        <v/>
      </c>
      <c r="D500" s="16">
        <f>IF($A500="","",UPPER(TRIM(SUBSTITUTE(IFERROR(INDEX(tblVeriA[FaturaNo],ROW()-ROW(tblVeriA[[#Headers]])),"")," ",""))))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UPPER(TRIM(SUBSTITUTE($I500,"-","")))</f>
        <v/>
      </c>
      <c r="K500" s="16">
        <f>IF($J500="",0,LEN($J500))</f>
        <v/>
      </c>
      <c r="L500" s="16">
        <f>IF($I500="","",UPPER(TRIM(SUBSTITUTE(IFERROR(INDEX(tblVeriB[FaturaNo],ROW()-ROW(tblVeriB[[#Headers]])),"")," ",""))))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UPPER(TRIM(SUBSTITUTE($A501,"-","")))</f>
        <v/>
      </c>
      <c r="C501" s="16">
        <f>IF($B501="",0,LEN($B501))</f>
        <v/>
      </c>
      <c r="D501" s="16">
        <f>IF($A501="","",UPPER(TRIM(SUBSTITUTE(IFERROR(INDEX(tblVeriA[FaturaNo],ROW()-ROW(tblVeriA[[#Headers]])),"")," ",""))))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UPPER(TRIM(SUBSTITUTE($I501,"-","")))</f>
        <v/>
      </c>
      <c r="K501" s="16">
        <f>IF($J501="",0,LEN($J501))</f>
        <v/>
      </c>
      <c r="L501" s="16">
        <f>IF($I501="","",UPPER(TRIM(SUBSTITUTE(IFERROR(INDEX(tblVeriB[FaturaNo],ROW()-ROW(tblVeriB[[#Headers]])),"")," ",""))))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UPPER(TRIM(SUBSTITUTE($A502,"-","")))</f>
        <v/>
      </c>
      <c r="C502" s="16">
        <f>IF($B502="",0,LEN($B502))</f>
        <v/>
      </c>
      <c r="D502" s="16">
        <f>IF($A502="","",UPPER(TRIM(SUBSTITUTE(IFERROR(INDEX(tblVeriA[FaturaNo],ROW()-ROW(tblVeriA[[#Headers]])),"")," ",""))))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UPPER(TRIM(SUBSTITUTE($I502,"-","")))</f>
        <v/>
      </c>
      <c r="K502" s="16">
        <f>IF($J502="",0,LEN($J502))</f>
        <v/>
      </c>
      <c r="L502" s="16">
        <f>IF($I502="","",UPPER(TRIM(SUBSTITUTE(IFERROR(INDEX(tblVeriB[FaturaNo],ROW()-ROW(tblVeriB[[#Headers]])),"")," ",""))))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UPPER(TRIM(SUBSTITUTE($A503,"-","")))</f>
        <v/>
      </c>
      <c r="C503" s="16">
        <f>IF($B503="",0,LEN($B503))</f>
        <v/>
      </c>
      <c r="D503" s="16">
        <f>IF($A503="","",UPPER(TRIM(SUBSTITUTE(IFERROR(INDEX(tblVeriA[FaturaNo],ROW()-ROW(tblVeriA[[#Headers]])),"")," ",""))))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UPPER(TRIM(SUBSTITUTE($I503,"-","")))</f>
        <v/>
      </c>
      <c r="K503" s="16">
        <f>IF($J503="",0,LEN($J503))</f>
        <v/>
      </c>
      <c r="L503" s="16">
        <f>IF($I503="","",UPPER(TRIM(SUBSTITUTE(IFERROR(INDEX(tblVeriB[FaturaNo],ROW()-ROW(tblVeriB[[#Headers]])),"")," ",""))))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UPPER(TRIM(SUBSTITUTE($A504,"-","")))</f>
        <v/>
      </c>
      <c r="C504" s="16">
        <f>IF($B504="",0,LEN($B504))</f>
        <v/>
      </c>
      <c r="D504" s="16">
        <f>IF($A504="","",UPPER(TRIM(SUBSTITUTE(IFERROR(INDEX(tblVeriA[FaturaNo],ROW()-ROW(tblVeriA[[#Headers]])),"")," ",""))))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UPPER(TRIM(SUBSTITUTE($I504,"-","")))</f>
        <v/>
      </c>
      <c r="K504" s="16">
        <f>IF($J504="",0,LEN($J504))</f>
        <v/>
      </c>
      <c r="L504" s="16">
        <f>IF($I504="","",UPPER(TRIM(SUBSTITUTE(IFERROR(INDEX(tblVeriB[FaturaNo],ROW()-ROW(tblVeriB[[#Headers]])),"")," ",""))))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UPPER(TRIM(SUBSTITUTE($A505,"-","")))</f>
        <v/>
      </c>
      <c r="C505" s="16">
        <f>IF($B505="",0,LEN($B505))</f>
        <v/>
      </c>
      <c r="D505" s="16">
        <f>IF($A505="","",UPPER(TRIM(SUBSTITUTE(IFERROR(INDEX(tblVeriA[FaturaNo],ROW()-ROW(tblVeriA[[#Headers]])),"")," ",""))))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UPPER(TRIM(SUBSTITUTE($I505,"-","")))</f>
        <v/>
      </c>
      <c r="K505" s="16">
        <f>IF($J505="",0,LEN($J505))</f>
        <v/>
      </c>
      <c r="L505" s="16">
        <f>IF($I505="","",UPPER(TRIM(SUBSTITUTE(IFERROR(INDEX(tblVeriB[FaturaNo],ROW()-ROW(tblVeriB[[#Headers]])),"")," ",""))))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UPPER(TRIM(SUBSTITUTE($A506,"-","")))</f>
        <v/>
      </c>
      <c r="C506" s="16">
        <f>IF($B506="",0,LEN($B506))</f>
        <v/>
      </c>
      <c r="D506" s="16">
        <f>IF($A506="","",UPPER(TRIM(SUBSTITUTE(IFERROR(INDEX(tblVeriA[FaturaNo],ROW()-ROW(tblVeriA[[#Headers]])),"")," ",""))))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UPPER(TRIM(SUBSTITUTE($I506,"-","")))</f>
        <v/>
      </c>
      <c r="K506" s="16">
        <f>IF($J506="",0,LEN($J506))</f>
        <v/>
      </c>
      <c r="L506" s="16">
        <f>IF($I506="","",UPPER(TRIM(SUBSTITUTE(IFERROR(INDEX(tblVeriB[FaturaNo],ROW()-ROW(tblVeriB[[#Headers]])),"")," ",""))))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UPPER(TRIM(SUBSTITUTE($A507,"-","")))</f>
        <v/>
      </c>
      <c r="C507" s="16">
        <f>IF($B507="",0,LEN($B507))</f>
        <v/>
      </c>
      <c r="D507" s="16">
        <f>IF($A507="","",UPPER(TRIM(SUBSTITUTE(IFERROR(INDEX(tblVeriA[FaturaNo],ROW()-ROW(tblVeriA[[#Headers]])),"")," ",""))))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UPPER(TRIM(SUBSTITUTE($I507,"-","")))</f>
        <v/>
      </c>
      <c r="K507" s="16">
        <f>IF($J507="",0,LEN($J507))</f>
        <v/>
      </c>
      <c r="L507" s="16">
        <f>IF($I507="","",UPPER(TRIM(SUBSTITUTE(IFERROR(INDEX(tblVeriB[FaturaNo],ROW()-ROW(tblVeriB[[#Headers]])),"")," ",""))))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UPPER(TRIM(SUBSTITUTE($A508,"-","")))</f>
        <v/>
      </c>
      <c r="C508" s="16">
        <f>IF($B508="",0,LEN($B508))</f>
        <v/>
      </c>
      <c r="D508" s="16">
        <f>IF($A508="","",UPPER(TRIM(SUBSTITUTE(IFERROR(INDEX(tblVeriA[FaturaNo],ROW()-ROW(tblVeriA[[#Headers]])),"")," ",""))))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UPPER(TRIM(SUBSTITUTE($I508,"-","")))</f>
        <v/>
      </c>
      <c r="K508" s="16">
        <f>IF($J508="",0,LEN($J508))</f>
        <v/>
      </c>
      <c r="L508" s="16">
        <f>IF($I508="","",UPPER(TRIM(SUBSTITUTE(IFERROR(INDEX(tblVeriB[FaturaNo],ROW()-ROW(tblVeriB[[#Headers]])),"")," ",""))))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UPPER(TRIM(SUBSTITUTE($A509,"-","")))</f>
        <v/>
      </c>
      <c r="C509" s="16">
        <f>IF($B509="",0,LEN($B509))</f>
        <v/>
      </c>
      <c r="D509" s="16">
        <f>IF($A509="","",UPPER(TRIM(SUBSTITUTE(IFERROR(INDEX(tblVeriA[FaturaNo],ROW()-ROW(tblVeriA[[#Headers]])),"")," ",""))))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UPPER(TRIM(SUBSTITUTE($I509,"-","")))</f>
        <v/>
      </c>
      <c r="K509" s="16">
        <f>IF($J509="",0,LEN($J509))</f>
        <v/>
      </c>
      <c r="L509" s="16">
        <f>IF($I509="","",UPPER(TRIM(SUBSTITUTE(IFERROR(INDEX(tblVeriB[FaturaNo],ROW()-ROW(tblVeriB[[#Headers]])),"")," ",""))))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UPPER(TRIM(SUBSTITUTE($A510,"-","")))</f>
        <v/>
      </c>
      <c r="C510" s="16">
        <f>IF($B510="",0,LEN($B510))</f>
        <v/>
      </c>
      <c r="D510" s="16">
        <f>IF($A510="","",UPPER(TRIM(SUBSTITUTE(IFERROR(INDEX(tblVeriA[FaturaNo],ROW()-ROW(tblVeriA[[#Headers]])),"")," ",""))))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UPPER(TRIM(SUBSTITUTE($I510,"-","")))</f>
        <v/>
      </c>
      <c r="K510" s="16">
        <f>IF($J510="",0,LEN($J510))</f>
        <v/>
      </c>
      <c r="L510" s="16">
        <f>IF($I510="","",UPPER(TRIM(SUBSTITUTE(IFERROR(INDEX(tblVeriB[FaturaNo],ROW()-ROW(tblVeriB[[#Headers]])),"")," ",""))))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UPPER(TRIM(SUBSTITUTE($A511,"-","")))</f>
        <v/>
      </c>
      <c r="C511" s="16">
        <f>IF($B511="",0,LEN($B511))</f>
        <v/>
      </c>
      <c r="D511" s="16">
        <f>IF($A511="","",UPPER(TRIM(SUBSTITUTE(IFERROR(INDEX(tblVeriA[FaturaNo],ROW()-ROW(tblVeriA[[#Headers]])),"")," ",""))))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UPPER(TRIM(SUBSTITUTE($I511,"-","")))</f>
        <v/>
      </c>
      <c r="K511" s="16">
        <f>IF($J511="",0,LEN($J511))</f>
        <v/>
      </c>
      <c r="L511" s="16">
        <f>IF($I511="","",UPPER(TRIM(SUBSTITUTE(IFERROR(INDEX(tblVeriB[FaturaNo],ROW()-ROW(tblVeriB[[#Headers]])),"")," ",""))))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UPPER(TRIM(SUBSTITUTE($A512,"-","")))</f>
        <v/>
      </c>
      <c r="C512" s="16">
        <f>IF($B512="",0,LEN($B512))</f>
        <v/>
      </c>
      <c r="D512" s="16">
        <f>IF($A512="","",UPPER(TRIM(SUBSTITUTE(IFERROR(INDEX(tblVeriA[FaturaNo],ROW()-ROW(tblVeriA[[#Headers]])),"")," ",""))))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UPPER(TRIM(SUBSTITUTE($I512,"-","")))</f>
        <v/>
      </c>
      <c r="K512" s="16">
        <f>IF($J512="",0,LEN($J512))</f>
        <v/>
      </c>
      <c r="L512" s="16">
        <f>IF($I512="","",UPPER(TRIM(SUBSTITUTE(IFERROR(INDEX(tblVeriB[FaturaNo],ROW()-ROW(tblVeriB[[#Headers]])),"")," ",""))))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UPPER(TRIM(SUBSTITUTE($A513,"-","")))</f>
        <v/>
      </c>
      <c r="C513" s="16">
        <f>IF($B513="",0,LEN($B513))</f>
        <v/>
      </c>
      <c r="D513" s="16">
        <f>IF($A513="","",UPPER(TRIM(SUBSTITUTE(IFERROR(INDEX(tblVeriA[FaturaNo],ROW()-ROW(tblVeriA[[#Headers]])),"")," ",""))))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UPPER(TRIM(SUBSTITUTE($I513,"-","")))</f>
        <v/>
      </c>
      <c r="K513" s="16">
        <f>IF($J513="",0,LEN($J513))</f>
        <v/>
      </c>
      <c r="L513" s="16">
        <f>IF($I513="","",UPPER(TRIM(SUBSTITUTE(IFERROR(INDEX(tblVeriB[FaturaNo],ROW()-ROW(tblVeriB[[#Headers]])),"")," ",""))))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UPPER(TRIM(SUBSTITUTE($A514,"-","")))</f>
        <v/>
      </c>
      <c r="C514" s="16">
        <f>IF($B514="",0,LEN($B514))</f>
        <v/>
      </c>
      <c r="D514" s="16">
        <f>IF($A514="","",UPPER(TRIM(SUBSTITUTE(IFERROR(INDEX(tblVeriA[FaturaNo],ROW()-ROW(tblVeriA[[#Headers]])),"")," ",""))))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UPPER(TRIM(SUBSTITUTE($I514,"-","")))</f>
        <v/>
      </c>
      <c r="K514" s="16">
        <f>IF($J514="",0,LEN($J514))</f>
        <v/>
      </c>
      <c r="L514" s="16">
        <f>IF($I514="","",UPPER(TRIM(SUBSTITUTE(IFERROR(INDEX(tblVeriB[FaturaNo],ROW()-ROW(tblVeriB[[#Headers]])),"")," ",""))))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UPPER(TRIM(SUBSTITUTE($A515,"-","")))</f>
        <v/>
      </c>
      <c r="C515" s="16">
        <f>IF($B515="",0,LEN($B515))</f>
        <v/>
      </c>
      <c r="D515" s="16">
        <f>IF($A515="","",UPPER(TRIM(SUBSTITUTE(IFERROR(INDEX(tblVeriA[FaturaNo],ROW()-ROW(tblVeriA[[#Headers]])),"")," ",""))))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UPPER(TRIM(SUBSTITUTE($I515,"-","")))</f>
        <v/>
      </c>
      <c r="K515" s="16">
        <f>IF($J515="",0,LEN($J515))</f>
        <v/>
      </c>
      <c r="L515" s="16">
        <f>IF($I515="","",UPPER(TRIM(SUBSTITUTE(IFERROR(INDEX(tblVeriB[FaturaNo],ROW()-ROW(tblVeriB[[#Headers]])),"")," ",""))))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UPPER(TRIM(SUBSTITUTE($A516,"-","")))</f>
        <v/>
      </c>
      <c r="C516" s="16">
        <f>IF($B516="",0,LEN($B516))</f>
        <v/>
      </c>
      <c r="D516" s="16">
        <f>IF($A516="","",UPPER(TRIM(SUBSTITUTE(IFERROR(INDEX(tblVeriA[FaturaNo],ROW()-ROW(tblVeriA[[#Headers]])),"")," ",""))))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UPPER(TRIM(SUBSTITUTE($I516,"-","")))</f>
        <v/>
      </c>
      <c r="K516" s="16">
        <f>IF($J516="",0,LEN($J516))</f>
        <v/>
      </c>
      <c r="L516" s="16">
        <f>IF($I516="","",UPPER(TRIM(SUBSTITUTE(IFERROR(INDEX(tblVeriB[FaturaNo],ROW()-ROW(tblVeriB[[#Headers]])),"")," ",""))))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UPPER(TRIM(SUBSTITUTE($A517,"-","")))</f>
        <v/>
      </c>
      <c r="C517" s="16">
        <f>IF($B517="",0,LEN($B517))</f>
        <v/>
      </c>
      <c r="D517" s="16">
        <f>IF($A517="","",UPPER(TRIM(SUBSTITUTE(IFERROR(INDEX(tblVeriA[FaturaNo],ROW()-ROW(tblVeriA[[#Headers]])),"")," ",""))))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UPPER(TRIM(SUBSTITUTE($I517,"-","")))</f>
        <v/>
      </c>
      <c r="K517" s="16">
        <f>IF($J517="",0,LEN($J517))</f>
        <v/>
      </c>
      <c r="L517" s="16">
        <f>IF($I517="","",UPPER(TRIM(SUBSTITUTE(IFERROR(INDEX(tblVeriB[FaturaNo],ROW()-ROW(tblVeriB[[#Headers]])),"")," ",""))))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UPPER(TRIM(SUBSTITUTE($A518,"-","")))</f>
        <v/>
      </c>
      <c r="C518" s="16">
        <f>IF($B518="",0,LEN($B518))</f>
        <v/>
      </c>
      <c r="D518" s="16">
        <f>IF($A518="","",UPPER(TRIM(SUBSTITUTE(IFERROR(INDEX(tblVeriA[FaturaNo],ROW()-ROW(tblVeriA[[#Headers]])),"")," ",""))))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UPPER(TRIM(SUBSTITUTE($I518,"-","")))</f>
        <v/>
      </c>
      <c r="K518" s="16">
        <f>IF($J518="",0,LEN($J518))</f>
        <v/>
      </c>
      <c r="L518" s="16">
        <f>IF($I518="","",UPPER(TRIM(SUBSTITUTE(IFERROR(INDEX(tblVeriB[FaturaNo],ROW()-ROW(tblVeriB[[#Headers]])),"")," ",""))))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UPPER(TRIM(SUBSTITUTE($A519,"-","")))</f>
        <v/>
      </c>
      <c r="C519" s="16">
        <f>IF($B519="",0,LEN($B519))</f>
        <v/>
      </c>
      <c r="D519" s="16">
        <f>IF($A519="","",UPPER(TRIM(SUBSTITUTE(IFERROR(INDEX(tblVeriA[FaturaNo],ROW()-ROW(tblVeriA[[#Headers]])),"")," ",""))))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UPPER(TRIM(SUBSTITUTE($I519,"-","")))</f>
        <v/>
      </c>
      <c r="K519" s="16">
        <f>IF($J519="",0,LEN($J519))</f>
        <v/>
      </c>
      <c r="L519" s="16">
        <f>IF($I519="","",UPPER(TRIM(SUBSTITUTE(IFERROR(INDEX(tblVeriB[FaturaNo],ROW()-ROW(tblVeriB[[#Headers]])),"")," ",""))))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UPPER(TRIM(SUBSTITUTE($A520,"-","")))</f>
        <v/>
      </c>
      <c r="C520" s="16">
        <f>IF($B520="",0,LEN($B520))</f>
        <v/>
      </c>
      <c r="D520" s="16">
        <f>IF($A520="","",UPPER(TRIM(SUBSTITUTE(IFERROR(INDEX(tblVeriA[FaturaNo],ROW()-ROW(tblVeriA[[#Headers]])),"")," ",""))))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UPPER(TRIM(SUBSTITUTE($I520,"-","")))</f>
        <v/>
      </c>
      <c r="K520" s="16">
        <f>IF($J520="",0,LEN($J520))</f>
        <v/>
      </c>
      <c r="L520" s="16">
        <f>IF($I520="","",UPPER(TRIM(SUBSTITUTE(IFERROR(INDEX(tblVeriB[FaturaNo],ROW()-ROW(tblVeriB[[#Headers]])),"")," ",""))))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UPPER(TRIM(SUBSTITUTE($A521,"-","")))</f>
        <v/>
      </c>
      <c r="C521" s="16">
        <f>IF($B521="",0,LEN($B521))</f>
        <v/>
      </c>
      <c r="D521" s="16">
        <f>IF($A521="","",UPPER(TRIM(SUBSTITUTE(IFERROR(INDEX(tblVeriA[FaturaNo],ROW()-ROW(tblVeriA[[#Headers]])),"")," ",""))))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UPPER(TRIM(SUBSTITUTE($I521,"-","")))</f>
        <v/>
      </c>
      <c r="K521" s="16">
        <f>IF($J521="",0,LEN($J521))</f>
        <v/>
      </c>
      <c r="L521" s="16">
        <f>IF($I521="","",UPPER(TRIM(SUBSTITUTE(IFERROR(INDEX(tblVeriB[FaturaNo],ROW()-ROW(tblVeriB[[#Headers]])),"")," ",""))))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UPPER(TRIM(SUBSTITUTE($A522,"-","")))</f>
        <v/>
      </c>
      <c r="C522" s="16">
        <f>IF($B522="",0,LEN($B522))</f>
        <v/>
      </c>
      <c r="D522" s="16">
        <f>IF($A522="","",UPPER(TRIM(SUBSTITUTE(IFERROR(INDEX(tblVeriA[FaturaNo],ROW()-ROW(tblVeriA[[#Headers]])),"")," ",""))))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UPPER(TRIM(SUBSTITUTE($I522,"-","")))</f>
        <v/>
      </c>
      <c r="K522" s="16">
        <f>IF($J522="",0,LEN($J522))</f>
        <v/>
      </c>
      <c r="L522" s="16">
        <f>IF($I522="","",UPPER(TRIM(SUBSTITUTE(IFERROR(INDEX(tblVeriB[FaturaNo],ROW()-ROW(tblVeriB[[#Headers]])),"")," ",""))))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UPPER(TRIM(SUBSTITUTE($A523,"-","")))</f>
        <v/>
      </c>
      <c r="C523" s="16">
        <f>IF($B523="",0,LEN($B523))</f>
        <v/>
      </c>
      <c r="D523" s="16">
        <f>IF($A523="","",UPPER(TRIM(SUBSTITUTE(IFERROR(INDEX(tblVeriA[FaturaNo],ROW()-ROW(tblVeriA[[#Headers]])),"")," ",""))))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UPPER(TRIM(SUBSTITUTE($I523,"-","")))</f>
        <v/>
      </c>
      <c r="K523" s="16">
        <f>IF($J523="",0,LEN($J523))</f>
        <v/>
      </c>
      <c r="L523" s="16">
        <f>IF($I523="","",UPPER(TRIM(SUBSTITUTE(IFERROR(INDEX(tblVeriB[FaturaNo],ROW()-ROW(tblVeriB[[#Headers]])),"")," ",""))))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UPPER(TRIM(SUBSTITUTE($A524,"-","")))</f>
        <v/>
      </c>
      <c r="C524" s="16">
        <f>IF($B524="",0,LEN($B524))</f>
        <v/>
      </c>
      <c r="D524" s="16">
        <f>IF($A524="","",UPPER(TRIM(SUBSTITUTE(IFERROR(INDEX(tblVeriA[FaturaNo],ROW()-ROW(tblVeriA[[#Headers]])),"")," ",""))))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UPPER(TRIM(SUBSTITUTE($I524,"-","")))</f>
        <v/>
      </c>
      <c r="K524" s="16">
        <f>IF($J524="",0,LEN($J524))</f>
        <v/>
      </c>
      <c r="L524" s="16">
        <f>IF($I524="","",UPPER(TRIM(SUBSTITUTE(IFERROR(INDEX(tblVeriB[FaturaNo],ROW()-ROW(tblVeriB[[#Headers]])),"")," ",""))))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UPPER(TRIM(SUBSTITUTE($A525,"-","")))</f>
        <v/>
      </c>
      <c r="C525" s="16">
        <f>IF($B525="",0,LEN($B525))</f>
        <v/>
      </c>
      <c r="D525" s="16">
        <f>IF($A525="","",UPPER(TRIM(SUBSTITUTE(IFERROR(INDEX(tblVeriA[FaturaNo],ROW()-ROW(tblVeriA[[#Headers]])),"")," ",""))))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UPPER(TRIM(SUBSTITUTE($I525,"-","")))</f>
        <v/>
      </c>
      <c r="K525" s="16">
        <f>IF($J525="",0,LEN($J525))</f>
        <v/>
      </c>
      <c r="L525" s="16">
        <f>IF($I525="","",UPPER(TRIM(SUBSTITUTE(IFERROR(INDEX(tblVeriB[FaturaNo],ROW()-ROW(tblVeriB[[#Headers]])),"")," ",""))))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UPPER(TRIM(SUBSTITUTE($A526,"-","")))</f>
        <v/>
      </c>
      <c r="C526" s="16">
        <f>IF($B526="",0,LEN($B526))</f>
        <v/>
      </c>
      <c r="D526" s="16">
        <f>IF($A526="","",UPPER(TRIM(SUBSTITUTE(IFERROR(INDEX(tblVeriA[FaturaNo],ROW()-ROW(tblVeriA[[#Headers]])),"")," ",""))))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UPPER(TRIM(SUBSTITUTE($I526,"-","")))</f>
        <v/>
      </c>
      <c r="K526" s="16">
        <f>IF($J526="",0,LEN($J526))</f>
        <v/>
      </c>
      <c r="L526" s="16">
        <f>IF($I526="","",UPPER(TRIM(SUBSTITUTE(IFERROR(INDEX(tblVeriB[FaturaNo],ROW()-ROW(tblVeriB[[#Headers]])),"")," ",""))))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UPPER(TRIM(SUBSTITUTE($A527,"-","")))</f>
        <v/>
      </c>
      <c r="C527" s="16">
        <f>IF($B527="",0,LEN($B527))</f>
        <v/>
      </c>
      <c r="D527" s="16">
        <f>IF($A527="","",UPPER(TRIM(SUBSTITUTE(IFERROR(INDEX(tblVeriA[FaturaNo],ROW()-ROW(tblVeriA[[#Headers]])),"")," ",""))))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UPPER(TRIM(SUBSTITUTE($I527,"-","")))</f>
        <v/>
      </c>
      <c r="K527" s="16">
        <f>IF($J527="",0,LEN($J527))</f>
        <v/>
      </c>
      <c r="L527" s="16">
        <f>IF($I527="","",UPPER(TRIM(SUBSTITUTE(IFERROR(INDEX(tblVeriB[FaturaNo],ROW()-ROW(tblVeriB[[#Headers]])),"")," ",""))))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UPPER(TRIM(SUBSTITUTE($A528,"-","")))</f>
        <v/>
      </c>
      <c r="C528" s="16">
        <f>IF($B528="",0,LEN($B528))</f>
        <v/>
      </c>
      <c r="D528" s="16">
        <f>IF($A528="","",UPPER(TRIM(SUBSTITUTE(IFERROR(INDEX(tblVeriA[FaturaNo],ROW()-ROW(tblVeriA[[#Headers]])),"")," ",""))))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UPPER(TRIM(SUBSTITUTE($I528,"-","")))</f>
        <v/>
      </c>
      <c r="K528" s="16">
        <f>IF($J528="",0,LEN($J528))</f>
        <v/>
      </c>
      <c r="L528" s="16">
        <f>IF($I528="","",UPPER(TRIM(SUBSTITUTE(IFERROR(INDEX(tblVeriB[FaturaNo],ROW()-ROW(tblVeriB[[#Headers]])),"")," ",""))))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UPPER(TRIM(SUBSTITUTE($A529,"-","")))</f>
        <v/>
      </c>
      <c r="C529" s="16">
        <f>IF($B529="",0,LEN($B529))</f>
        <v/>
      </c>
      <c r="D529" s="16">
        <f>IF($A529="","",UPPER(TRIM(SUBSTITUTE(IFERROR(INDEX(tblVeriA[FaturaNo],ROW()-ROW(tblVeriA[[#Headers]])),"")," ",""))))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UPPER(TRIM(SUBSTITUTE($I529,"-","")))</f>
        <v/>
      </c>
      <c r="K529" s="16">
        <f>IF($J529="",0,LEN($J529))</f>
        <v/>
      </c>
      <c r="L529" s="16">
        <f>IF($I529="","",UPPER(TRIM(SUBSTITUTE(IFERROR(INDEX(tblVeriB[FaturaNo],ROW()-ROW(tblVeriB[[#Headers]])),"")," ",""))))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UPPER(TRIM(SUBSTITUTE($A530,"-","")))</f>
        <v/>
      </c>
      <c r="C530" s="16">
        <f>IF($B530="",0,LEN($B530))</f>
        <v/>
      </c>
      <c r="D530" s="16">
        <f>IF($A530="","",UPPER(TRIM(SUBSTITUTE(IFERROR(INDEX(tblVeriA[FaturaNo],ROW()-ROW(tblVeriA[[#Headers]])),"")," ",""))))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UPPER(TRIM(SUBSTITUTE($I530,"-","")))</f>
        <v/>
      </c>
      <c r="K530" s="16">
        <f>IF($J530="",0,LEN($J530))</f>
        <v/>
      </c>
      <c r="L530" s="16">
        <f>IF($I530="","",UPPER(TRIM(SUBSTITUTE(IFERROR(INDEX(tblVeriB[FaturaNo],ROW()-ROW(tblVeriB[[#Headers]])),"")," ",""))))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UPPER(TRIM(SUBSTITUTE($A531,"-","")))</f>
        <v/>
      </c>
      <c r="C531" s="16">
        <f>IF($B531="",0,LEN($B531))</f>
        <v/>
      </c>
      <c r="D531" s="16">
        <f>IF($A531="","",UPPER(TRIM(SUBSTITUTE(IFERROR(INDEX(tblVeriA[FaturaNo],ROW()-ROW(tblVeriA[[#Headers]])),"")," ",""))))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UPPER(TRIM(SUBSTITUTE($I531,"-","")))</f>
        <v/>
      </c>
      <c r="K531" s="16">
        <f>IF($J531="",0,LEN($J531))</f>
        <v/>
      </c>
      <c r="L531" s="16">
        <f>IF($I531="","",UPPER(TRIM(SUBSTITUTE(IFERROR(INDEX(tblVeriB[FaturaNo],ROW()-ROW(tblVeriB[[#Headers]])),"")," ",""))))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UPPER(TRIM(SUBSTITUTE($A532,"-","")))</f>
        <v/>
      </c>
      <c r="C532" s="16">
        <f>IF($B532="",0,LEN($B532))</f>
        <v/>
      </c>
      <c r="D532" s="16">
        <f>IF($A532="","",UPPER(TRIM(SUBSTITUTE(IFERROR(INDEX(tblVeriA[FaturaNo],ROW()-ROW(tblVeriA[[#Headers]])),"")," ",""))))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UPPER(TRIM(SUBSTITUTE($I532,"-","")))</f>
        <v/>
      </c>
      <c r="K532" s="16">
        <f>IF($J532="",0,LEN($J532))</f>
        <v/>
      </c>
      <c r="L532" s="16">
        <f>IF($I532="","",UPPER(TRIM(SUBSTITUTE(IFERROR(INDEX(tblVeriB[FaturaNo],ROW()-ROW(tblVeriB[[#Headers]])),"")," ",""))))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UPPER(TRIM(SUBSTITUTE($A533,"-","")))</f>
        <v/>
      </c>
      <c r="C533" s="16">
        <f>IF($B533="",0,LEN($B533))</f>
        <v/>
      </c>
      <c r="D533" s="16">
        <f>IF($A533="","",UPPER(TRIM(SUBSTITUTE(IFERROR(INDEX(tblVeriA[FaturaNo],ROW()-ROW(tblVeriA[[#Headers]])),"")," ",""))))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UPPER(TRIM(SUBSTITUTE($I533,"-","")))</f>
        <v/>
      </c>
      <c r="K533" s="16">
        <f>IF($J533="",0,LEN($J533))</f>
        <v/>
      </c>
      <c r="L533" s="16">
        <f>IF($I533="","",UPPER(TRIM(SUBSTITUTE(IFERROR(INDEX(tblVeriB[FaturaNo],ROW()-ROW(tblVeriB[[#Headers]])),"")," ",""))))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UPPER(TRIM(SUBSTITUTE($A534,"-","")))</f>
        <v/>
      </c>
      <c r="C534" s="16">
        <f>IF($B534="",0,LEN($B534))</f>
        <v/>
      </c>
      <c r="D534" s="16">
        <f>IF($A534="","",UPPER(TRIM(SUBSTITUTE(IFERROR(INDEX(tblVeriA[FaturaNo],ROW()-ROW(tblVeriA[[#Headers]])),"")," ",""))))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UPPER(TRIM(SUBSTITUTE($I534,"-","")))</f>
        <v/>
      </c>
      <c r="K534" s="16">
        <f>IF($J534="",0,LEN($J534))</f>
        <v/>
      </c>
      <c r="L534" s="16">
        <f>IF($I534="","",UPPER(TRIM(SUBSTITUTE(IFERROR(INDEX(tblVeriB[FaturaNo],ROW()-ROW(tblVeriB[[#Headers]])),"")," ",""))))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UPPER(TRIM(SUBSTITUTE($A535,"-","")))</f>
        <v/>
      </c>
      <c r="C535" s="16">
        <f>IF($B535="",0,LEN($B535))</f>
        <v/>
      </c>
      <c r="D535" s="16">
        <f>IF($A535="","",UPPER(TRIM(SUBSTITUTE(IFERROR(INDEX(tblVeriA[FaturaNo],ROW()-ROW(tblVeriA[[#Headers]])),"")," ",""))))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UPPER(TRIM(SUBSTITUTE($I535,"-","")))</f>
        <v/>
      </c>
      <c r="K535" s="16">
        <f>IF($J535="",0,LEN($J535))</f>
        <v/>
      </c>
      <c r="L535" s="16">
        <f>IF($I535="","",UPPER(TRIM(SUBSTITUTE(IFERROR(INDEX(tblVeriB[FaturaNo],ROW()-ROW(tblVeriB[[#Headers]])),"")," ",""))))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UPPER(TRIM(SUBSTITUTE($A536,"-","")))</f>
        <v/>
      </c>
      <c r="C536" s="16">
        <f>IF($B536="",0,LEN($B536))</f>
        <v/>
      </c>
      <c r="D536" s="16">
        <f>IF($A536="","",UPPER(TRIM(SUBSTITUTE(IFERROR(INDEX(tblVeriA[FaturaNo],ROW()-ROW(tblVeriA[[#Headers]])),"")," ",""))))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UPPER(TRIM(SUBSTITUTE($I536,"-","")))</f>
        <v/>
      </c>
      <c r="K536" s="16">
        <f>IF($J536="",0,LEN($J536))</f>
        <v/>
      </c>
      <c r="L536" s="16">
        <f>IF($I536="","",UPPER(TRIM(SUBSTITUTE(IFERROR(INDEX(tblVeriB[FaturaNo],ROW()-ROW(tblVeriB[[#Headers]])),"")," ",""))))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UPPER(TRIM(SUBSTITUTE($A537,"-","")))</f>
        <v/>
      </c>
      <c r="C537" s="16">
        <f>IF($B537="",0,LEN($B537))</f>
        <v/>
      </c>
      <c r="D537" s="16">
        <f>IF($A537="","",UPPER(TRIM(SUBSTITUTE(IFERROR(INDEX(tblVeriA[FaturaNo],ROW()-ROW(tblVeriA[[#Headers]])),"")," ",""))))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UPPER(TRIM(SUBSTITUTE($I537,"-","")))</f>
        <v/>
      </c>
      <c r="K537" s="16">
        <f>IF($J537="",0,LEN($J537))</f>
        <v/>
      </c>
      <c r="L537" s="16">
        <f>IF($I537="","",UPPER(TRIM(SUBSTITUTE(IFERROR(INDEX(tblVeriB[FaturaNo],ROW()-ROW(tblVeriB[[#Headers]])),"")," ",""))))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UPPER(TRIM(SUBSTITUTE($A538,"-","")))</f>
        <v/>
      </c>
      <c r="C538" s="16">
        <f>IF($B538="",0,LEN($B538))</f>
        <v/>
      </c>
      <c r="D538" s="16">
        <f>IF($A538="","",UPPER(TRIM(SUBSTITUTE(IFERROR(INDEX(tblVeriA[FaturaNo],ROW()-ROW(tblVeriA[[#Headers]])),"")," ",""))))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UPPER(TRIM(SUBSTITUTE($I538,"-","")))</f>
        <v/>
      </c>
      <c r="K538" s="16">
        <f>IF($J538="",0,LEN($J538))</f>
        <v/>
      </c>
      <c r="L538" s="16">
        <f>IF($I538="","",UPPER(TRIM(SUBSTITUTE(IFERROR(INDEX(tblVeriB[FaturaNo],ROW()-ROW(tblVeriB[[#Headers]])),"")," ",""))))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UPPER(TRIM(SUBSTITUTE($A539,"-","")))</f>
        <v/>
      </c>
      <c r="C539" s="16">
        <f>IF($B539="",0,LEN($B539))</f>
        <v/>
      </c>
      <c r="D539" s="16">
        <f>IF($A539="","",UPPER(TRIM(SUBSTITUTE(IFERROR(INDEX(tblVeriA[FaturaNo],ROW()-ROW(tblVeriA[[#Headers]])),"")," ",""))))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UPPER(TRIM(SUBSTITUTE($I539,"-","")))</f>
        <v/>
      </c>
      <c r="K539" s="16">
        <f>IF($J539="",0,LEN($J539))</f>
        <v/>
      </c>
      <c r="L539" s="16">
        <f>IF($I539="","",UPPER(TRIM(SUBSTITUTE(IFERROR(INDEX(tblVeriB[FaturaNo],ROW()-ROW(tblVeriB[[#Headers]])),"")," ",""))))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UPPER(TRIM(SUBSTITUTE($A540,"-","")))</f>
        <v/>
      </c>
      <c r="C540" s="16">
        <f>IF($B540="",0,LEN($B540))</f>
        <v/>
      </c>
      <c r="D540" s="16">
        <f>IF($A540="","",UPPER(TRIM(SUBSTITUTE(IFERROR(INDEX(tblVeriA[FaturaNo],ROW()-ROW(tblVeriA[[#Headers]])),"")," ",""))))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UPPER(TRIM(SUBSTITUTE($I540,"-","")))</f>
        <v/>
      </c>
      <c r="K540" s="16">
        <f>IF($J540="",0,LEN($J540))</f>
        <v/>
      </c>
      <c r="L540" s="16">
        <f>IF($I540="","",UPPER(TRIM(SUBSTITUTE(IFERROR(INDEX(tblVeriB[FaturaNo],ROW()-ROW(tblVeriB[[#Headers]])),"")," ",""))))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UPPER(TRIM(SUBSTITUTE($A541,"-","")))</f>
        <v/>
      </c>
      <c r="C541" s="16">
        <f>IF($B541="",0,LEN($B541))</f>
        <v/>
      </c>
      <c r="D541" s="16">
        <f>IF($A541="","",UPPER(TRIM(SUBSTITUTE(IFERROR(INDEX(tblVeriA[FaturaNo],ROW()-ROW(tblVeriA[[#Headers]])),"")," ",""))))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UPPER(TRIM(SUBSTITUTE($I541,"-","")))</f>
        <v/>
      </c>
      <c r="K541" s="16">
        <f>IF($J541="",0,LEN($J541))</f>
        <v/>
      </c>
      <c r="L541" s="16">
        <f>IF($I541="","",UPPER(TRIM(SUBSTITUTE(IFERROR(INDEX(tblVeriB[FaturaNo],ROW()-ROW(tblVeriB[[#Headers]])),"")," ",""))))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UPPER(TRIM(SUBSTITUTE($A542,"-","")))</f>
        <v/>
      </c>
      <c r="C542" s="16">
        <f>IF($B542="",0,LEN($B542))</f>
        <v/>
      </c>
      <c r="D542" s="16">
        <f>IF($A542="","",UPPER(TRIM(SUBSTITUTE(IFERROR(INDEX(tblVeriA[FaturaNo],ROW()-ROW(tblVeriA[[#Headers]])),"")," ",""))))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UPPER(TRIM(SUBSTITUTE($I542,"-","")))</f>
        <v/>
      </c>
      <c r="K542" s="16">
        <f>IF($J542="",0,LEN($J542))</f>
        <v/>
      </c>
      <c r="L542" s="16">
        <f>IF($I542="","",UPPER(TRIM(SUBSTITUTE(IFERROR(INDEX(tblVeriB[FaturaNo],ROW()-ROW(tblVeriB[[#Headers]])),"")," ",""))))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UPPER(TRIM(SUBSTITUTE($A543,"-","")))</f>
        <v/>
      </c>
      <c r="C543" s="16">
        <f>IF($B543="",0,LEN($B543))</f>
        <v/>
      </c>
      <c r="D543" s="16">
        <f>IF($A543="","",UPPER(TRIM(SUBSTITUTE(IFERROR(INDEX(tblVeriA[FaturaNo],ROW()-ROW(tblVeriA[[#Headers]])),"")," ",""))))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UPPER(TRIM(SUBSTITUTE($I543,"-","")))</f>
        <v/>
      </c>
      <c r="K543" s="16">
        <f>IF($J543="",0,LEN($J543))</f>
        <v/>
      </c>
      <c r="L543" s="16">
        <f>IF($I543="","",UPPER(TRIM(SUBSTITUTE(IFERROR(INDEX(tblVeriB[FaturaNo],ROW()-ROW(tblVeriB[[#Headers]])),"")," ",""))))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UPPER(TRIM(SUBSTITUTE($A544,"-","")))</f>
        <v/>
      </c>
      <c r="C544" s="16">
        <f>IF($B544="",0,LEN($B544))</f>
        <v/>
      </c>
      <c r="D544" s="16">
        <f>IF($A544="","",UPPER(TRIM(SUBSTITUTE(IFERROR(INDEX(tblVeriA[FaturaNo],ROW()-ROW(tblVeriA[[#Headers]])),"")," ",""))))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UPPER(TRIM(SUBSTITUTE($I544,"-","")))</f>
        <v/>
      </c>
      <c r="K544" s="16">
        <f>IF($J544="",0,LEN($J544))</f>
        <v/>
      </c>
      <c r="L544" s="16">
        <f>IF($I544="","",UPPER(TRIM(SUBSTITUTE(IFERROR(INDEX(tblVeriB[FaturaNo],ROW()-ROW(tblVeriB[[#Headers]])),"")," ",""))))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UPPER(TRIM(SUBSTITUTE($A545,"-","")))</f>
        <v/>
      </c>
      <c r="C545" s="16">
        <f>IF($B545="",0,LEN($B545))</f>
        <v/>
      </c>
      <c r="D545" s="16">
        <f>IF($A545="","",UPPER(TRIM(SUBSTITUTE(IFERROR(INDEX(tblVeriA[FaturaNo],ROW()-ROW(tblVeriA[[#Headers]])),"")," ",""))))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UPPER(TRIM(SUBSTITUTE($I545,"-","")))</f>
        <v/>
      </c>
      <c r="K545" s="16">
        <f>IF($J545="",0,LEN($J545))</f>
        <v/>
      </c>
      <c r="L545" s="16">
        <f>IF($I545="","",UPPER(TRIM(SUBSTITUTE(IFERROR(INDEX(tblVeriB[FaturaNo],ROW()-ROW(tblVeriB[[#Headers]])),"")," ",""))))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UPPER(TRIM(SUBSTITUTE($A546,"-","")))</f>
        <v/>
      </c>
      <c r="C546" s="16">
        <f>IF($B546="",0,LEN($B546))</f>
        <v/>
      </c>
      <c r="D546" s="16">
        <f>IF($A546="","",UPPER(TRIM(SUBSTITUTE(IFERROR(INDEX(tblVeriA[FaturaNo],ROW()-ROW(tblVeriA[[#Headers]])),"")," ",""))))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UPPER(TRIM(SUBSTITUTE($I546,"-","")))</f>
        <v/>
      </c>
      <c r="K546" s="16">
        <f>IF($J546="",0,LEN($J546))</f>
        <v/>
      </c>
      <c r="L546" s="16">
        <f>IF($I546="","",UPPER(TRIM(SUBSTITUTE(IFERROR(INDEX(tblVeriB[FaturaNo],ROW()-ROW(tblVeriB[[#Headers]])),"")," ",""))))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UPPER(TRIM(SUBSTITUTE($A547,"-","")))</f>
        <v/>
      </c>
      <c r="C547" s="16">
        <f>IF($B547="",0,LEN($B547))</f>
        <v/>
      </c>
      <c r="D547" s="16">
        <f>IF($A547="","",UPPER(TRIM(SUBSTITUTE(IFERROR(INDEX(tblVeriA[FaturaNo],ROW()-ROW(tblVeriA[[#Headers]])),"")," ",""))))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UPPER(TRIM(SUBSTITUTE($I547,"-","")))</f>
        <v/>
      </c>
      <c r="K547" s="16">
        <f>IF($J547="",0,LEN($J547))</f>
        <v/>
      </c>
      <c r="L547" s="16">
        <f>IF($I547="","",UPPER(TRIM(SUBSTITUTE(IFERROR(INDEX(tblVeriB[FaturaNo],ROW()-ROW(tblVeriB[[#Headers]])),"")," ",""))))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UPPER(TRIM(SUBSTITUTE($A548,"-","")))</f>
        <v/>
      </c>
      <c r="C548" s="16">
        <f>IF($B548="",0,LEN($B548))</f>
        <v/>
      </c>
      <c r="D548" s="16">
        <f>IF($A548="","",UPPER(TRIM(SUBSTITUTE(IFERROR(INDEX(tblVeriA[FaturaNo],ROW()-ROW(tblVeriA[[#Headers]])),"")," ",""))))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UPPER(TRIM(SUBSTITUTE($I548,"-","")))</f>
        <v/>
      </c>
      <c r="K548" s="16">
        <f>IF($J548="",0,LEN($J548))</f>
        <v/>
      </c>
      <c r="L548" s="16">
        <f>IF($I548="","",UPPER(TRIM(SUBSTITUTE(IFERROR(INDEX(tblVeriB[FaturaNo],ROW()-ROW(tblVeriB[[#Headers]])),"")," ",""))))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UPPER(TRIM(SUBSTITUTE($A549,"-","")))</f>
        <v/>
      </c>
      <c r="C549" s="16">
        <f>IF($B549="",0,LEN($B549))</f>
        <v/>
      </c>
      <c r="D549" s="16">
        <f>IF($A549="","",UPPER(TRIM(SUBSTITUTE(IFERROR(INDEX(tblVeriA[FaturaNo],ROW()-ROW(tblVeriA[[#Headers]])),"")," ",""))))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UPPER(TRIM(SUBSTITUTE($I549,"-","")))</f>
        <v/>
      </c>
      <c r="K549" s="16">
        <f>IF($J549="",0,LEN($J549))</f>
        <v/>
      </c>
      <c r="L549" s="16">
        <f>IF($I549="","",UPPER(TRIM(SUBSTITUTE(IFERROR(INDEX(tblVeriB[FaturaNo],ROW()-ROW(tblVeriB[[#Headers]])),"")," ",""))))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UPPER(TRIM(SUBSTITUTE($A550,"-","")))</f>
        <v/>
      </c>
      <c r="C550" s="16">
        <f>IF($B550="",0,LEN($B550))</f>
        <v/>
      </c>
      <c r="D550" s="16">
        <f>IF($A550="","",UPPER(TRIM(SUBSTITUTE(IFERROR(INDEX(tblVeriA[FaturaNo],ROW()-ROW(tblVeriA[[#Headers]])),"")," ",""))))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UPPER(TRIM(SUBSTITUTE($I550,"-","")))</f>
        <v/>
      </c>
      <c r="K550" s="16">
        <f>IF($J550="",0,LEN($J550))</f>
        <v/>
      </c>
      <c r="L550" s="16">
        <f>IF($I550="","",UPPER(TRIM(SUBSTITUTE(IFERROR(INDEX(tblVeriB[FaturaNo],ROW()-ROW(tblVeriB[[#Headers]])),"")," ",""))))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UPPER(TRIM(SUBSTITUTE($A551,"-","")))</f>
        <v/>
      </c>
      <c r="C551" s="16">
        <f>IF($B551="",0,LEN($B551))</f>
        <v/>
      </c>
      <c r="D551" s="16">
        <f>IF($A551="","",UPPER(TRIM(SUBSTITUTE(IFERROR(INDEX(tblVeriA[FaturaNo],ROW()-ROW(tblVeriA[[#Headers]])),"")," ",""))))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UPPER(TRIM(SUBSTITUTE($I551,"-","")))</f>
        <v/>
      </c>
      <c r="K551" s="16">
        <f>IF($J551="",0,LEN($J551))</f>
        <v/>
      </c>
      <c r="L551" s="16">
        <f>IF($I551="","",UPPER(TRIM(SUBSTITUTE(IFERROR(INDEX(tblVeriB[FaturaNo],ROW()-ROW(tblVeriB[[#Headers]])),"")," ",""))))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UPPER(TRIM(SUBSTITUTE($A552,"-","")))</f>
        <v/>
      </c>
      <c r="C552" s="16">
        <f>IF($B552="",0,LEN($B552))</f>
        <v/>
      </c>
      <c r="D552" s="16">
        <f>IF($A552="","",UPPER(TRIM(SUBSTITUTE(IFERROR(INDEX(tblVeriA[FaturaNo],ROW()-ROW(tblVeriA[[#Headers]])),"")," ",""))))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UPPER(TRIM(SUBSTITUTE($I552,"-","")))</f>
        <v/>
      </c>
      <c r="K552" s="16">
        <f>IF($J552="",0,LEN($J552))</f>
        <v/>
      </c>
      <c r="L552" s="16">
        <f>IF($I552="","",UPPER(TRIM(SUBSTITUTE(IFERROR(INDEX(tblVeriB[FaturaNo],ROW()-ROW(tblVeriB[[#Headers]])),"")," ",""))))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UPPER(TRIM(SUBSTITUTE($A553,"-","")))</f>
        <v/>
      </c>
      <c r="C553" s="16">
        <f>IF($B553="",0,LEN($B553))</f>
        <v/>
      </c>
      <c r="D553" s="16">
        <f>IF($A553="","",UPPER(TRIM(SUBSTITUTE(IFERROR(INDEX(tblVeriA[FaturaNo],ROW()-ROW(tblVeriA[[#Headers]])),"")," ",""))))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UPPER(TRIM(SUBSTITUTE($I553,"-","")))</f>
        <v/>
      </c>
      <c r="K553" s="16">
        <f>IF($J553="",0,LEN($J553))</f>
        <v/>
      </c>
      <c r="L553" s="16">
        <f>IF($I553="","",UPPER(TRIM(SUBSTITUTE(IFERROR(INDEX(tblVeriB[FaturaNo],ROW()-ROW(tblVeriB[[#Headers]])),"")," ",""))))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UPPER(TRIM(SUBSTITUTE($A554,"-","")))</f>
        <v/>
      </c>
      <c r="C554" s="16">
        <f>IF($B554="",0,LEN($B554))</f>
        <v/>
      </c>
      <c r="D554" s="16">
        <f>IF($A554="","",UPPER(TRIM(SUBSTITUTE(IFERROR(INDEX(tblVeriA[FaturaNo],ROW()-ROW(tblVeriA[[#Headers]])),"")," ",""))))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UPPER(TRIM(SUBSTITUTE($I554,"-","")))</f>
        <v/>
      </c>
      <c r="K554" s="16">
        <f>IF($J554="",0,LEN($J554))</f>
        <v/>
      </c>
      <c r="L554" s="16">
        <f>IF($I554="","",UPPER(TRIM(SUBSTITUTE(IFERROR(INDEX(tblVeriB[FaturaNo],ROW()-ROW(tblVeriB[[#Headers]])),"")," ",""))))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UPPER(TRIM(SUBSTITUTE($A555,"-","")))</f>
        <v/>
      </c>
      <c r="C555" s="16">
        <f>IF($B555="",0,LEN($B555))</f>
        <v/>
      </c>
      <c r="D555" s="16">
        <f>IF($A555="","",UPPER(TRIM(SUBSTITUTE(IFERROR(INDEX(tblVeriA[FaturaNo],ROW()-ROW(tblVeriA[[#Headers]])),"")," ",""))))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UPPER(TRIM(SUBSTITUTE($I555,"-","")))</f>
        <v/>
      </c>
      <c r="K555" s="16">
        <f>IF($J555="",0,LEN($J555))</f>
        <v/>
      </c>
      <c r="L555" s="16">
        <f>IF($I555="","",UPPER(TRIM(SUBSTITUTE(IFERROR(INDEX(tblVeriB[FaturaNo],ROW()-ROW(tblVeriB[[#Headers]])),"")," ",""))))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UPPER(TRIM(SUBSTITUTE($A556,"-","")))</f>
        <v/>
      </c>
      <c r="C556" s="16">
        <f>IF($B556="",0,LEN($B556))</f>
        <v/>
      </c>
      <c r="D556" s="16">
        <f>IF($A556="","",UPPER(TRIM(SUBSTITUTE(IFERROR(INDEX(tblVeriA[FaturaNo],ROW()-ROW(tblVeriA[[#Headers]])),"")," ",""))))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UPPER(TRIM(SUBSTITUTE($I556,"-","")))</f>
        <v/>
      </c>
      <c r="K556" s="16">
        <f>IF($J556="",0,LEN($J556))</f>
        <v/>
      </c>
      <c r="L556" s="16">
        <f>IF($I556="","",UPPER(TRIM(SUBSTITUTE(IFERROR(INDEX(tblVeriB[FaturaNo],ROW()-ROW(tblVeriB[[#Headers]])),"")," ",""))))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UPPER(TRIM(SUBSTITUTE($A557,"-","")))</f>
        <v/>
      </c>
      <c r="C557" s="16">
        <f>IF($B557="",0,LEN($B557))</f>
        <v/>
      </c>
      <c r="D557" s="16">
        <f>IF($A557="","",UPPER(TRIM(SUBSTITUTE(IFERROR(INDEX(tblVeriA[FaturaNo],ROW()-ROW(tblVeriA[[#Headers]])),"")," ",""))))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UPPER(TRIM(SUBSTITUTE($I557,"-","")))</f>
        <v/>
      </c>
      <c r="K557" s="16">
        <f>IF($J557="",0,LEN($J557))</f>
        <v/>
      </c>
      <c r="L557" s="16">
        <f>IF($I557="","",UPPER(TRIM(SUBSTITUTE(IFERROR(INDEX(tblVeriB[FaturaNo],ROW()-ROW(tblVeriB[[#Headers]])),"")," ",""))))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UPPER(TRIM(SUBSTITUTE($A558,"-","")))</f>
        <v/>
      </c>
      <c r="C558" s="16">
        <f>IF($B558="",0,LEN($B558))</f>
        <v/>
      </c>
      <c r="D558" s="16">
        <f>IF($A558="","",UPPER(TRIM(SUBSTITUTE(IFERROR(INDEX(tblVeriA[FaturaNo],ROW()-ROW(tblVeriA[[#Headers]])),"")," ",""))))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UPPER(TRIM(SUBSTITUTE($I558,"-","")))</f>
        <v/>
      </c>
      <c r="K558" s="16">
        <f>IF($J558="",0,LEN($J558))</f>
        <v/>
      </c>
      <c r="L558" s="16">
        <f>IF($I558="","",UPPER(TRIM(SUBSTITUTE(IFERROR(INDEX(tblVeriB[FaturaNo],ROW()-ROW(tblVeriB[[#Headers]])),"")," ",""))))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UPPER(TRIM(SUBSTITUTE($A559,"-","")))</f>
        <v/>
      </c>
      <c r="C559" s="16">
        <f>IF($B559="",0,LEN($B559))</f>
        <v/>
      </c>
      <c r="D559" s="16">
        <f>IF($A559="","",UPPER(TRIM(SUBSTITUTE(IFERROR(INDEX(tblVeriA[FaturaNo],ROW()-ROW(tblVeriA[[#Headers]])),"")," ",""))))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UPPER(TRIM(SUBSTITUTE($I559,"-","")))</f>
        <v/>
      </c>
      <c r="K559" s="16">
        <f>IF($J559="",0,LEN($J559))</f>
        <v/>
      </c>
      <c r="L559" s="16">
        <f>IF($I559="","",UPPER(TRIM(SUBSTITUTE(IFERROR(INDEX(tblVeriB[FaturaNo],ROW()-ROW(tblVeriB[[#Headers]])),"")," ",""))))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UPPER(TRIM(SUBSTITUTE($A560,"-","")))</f>
        <v/>
      </c>
      <c r="C560" s="16">
        <f>IF($B560="",0,LEN($B560))</f>
        <v/>
      </c>
      <c r="D560" s="16">
        <f>IF($A560="","",UPPER(TRIM(SUBSTITUTE(IFERROR(INDEX(tblVeriA[FaturaNo],ROW()-ROW(tblVeriA[[#Headers]])),"")," ",""))))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UPPER(TRIM(SUBSTITUTE($I560,"-","")))</f>
        <v/>
      </c>
      <c r="K560" s="16">
        <f>IF($J560="",0,LEN($J560))</f>
        <v/>
      </c>
      <c r="L560" s="16">
        <f>IF($I560="","",UPPER(TRIM(SUBSTITUTE(IFERROR(INDEX(tblVeriB[FaturaNo],ROW()-ROW(tblVeriB[[#Headers]])),"")," ",""))))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UPPER(TRIM(SUBSTITUTE($A561,"-","")))</f>
        <v/>
      </c>
      <c r="C561" s="16">
        <f>IF($B561="",0,LEN($B561))</f>
        <v/>
      </c>
      <c r="D561" s="16">
        <f>IF($A561="","",UPPER(TRIM(SUBSTITUTE(IFERROR(INDEX(tblVeriA[FaturaNo],ROW()-ROW(tblVeriA[[#Headers]])),"")," ",""))))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UPPER(TRIM(SUBSTITUTE($I561,"-","")))</f>
        <v/>
      </c>
      <c r="K561" s="16">
        <f>IF($J561="",0,LEN($J561))</f>
        <v/>
      </c>
      <c r="L561" s="16">
        <f>IF($I561="","",UPPER(TRIM(SUBSTITUTE(IFERROR(INDEX(tblVeriB[FaturaNo],ROW()-ROW(tblVeriB[[#Headers]])),"")," ",""))))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UPPER(TRIM(SUBSTITUTE($A562,"-","")))</f>
        <v/>
      </c>
      <c r="C562" s="16">
        <f>IF($B562="",0,LEN($B562))</f>
        <v/>
      </c>
      <c r="D562" s="16">
        <f>IF($A562="","",UPPER(TRIM(SUBSTITUTE(IFERROR(INDEX(tblVeriA[FaturaNo],ROW()-ROW(tblVeriA[[#Headers]])),"")," ",""))))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UPPER(TRIM(SUBSTITUTE($I562,"-","")))</f>
        <v/>
      </c>
      <c r="K562" s="16">
        <f>IF($J562="",0,LEN($J562))</f>
        <v/>
      </c>
      <c r="L562" s="16">
        <f>IF($I562="","",UPPER(TRIM(SUBSTITUTE(IFERROR(INDEX(tblVeriB[FaturaNo],ROW()-ROW(tblVeriB[[#Headers]])),"")," ",""))))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UPPER(TRIM(SUBSTITUTE($A563,"-","")))</f>
        <v/>
      </c>
      <c r="C563" s="16">
        <f>IF($B563="",0,LEN($B563))</f>
        <v/>
      </c>
      <c r="D563" s="16">
        <f>IF($A563="","",UPPER(TRIM(SUBSTITUTE(IFERROR(INDEX(tblVeriA[FaturaNo],ROW()-ROW(tblVeriA[[#Headers]])),"")," ",""))))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UPPER(TRIM(SUBSTITUTE($I563,"-","")))</f>
        <v/>
      </c>
      <c r="K563" s="16">
        <f>IF($J563="",0,LEN($J563))</f>
        <v/>
      </c>
      <c r="L563" s="16">
        <f>IF($I563="","",UPPER(TRIM(SUBSTITUTE(IFERROR(INDEX(tblVeriB[FaturaNo],ROW()-ROW(tblVeriB[[#Headers]])),"")," ",""))))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UPPER(TRIM(SUBSTITUTE($A564,"-","")))</f>
        <v/>
      </c>
      <c r="C564" s="16">
        <f>IF($B564="",0,LEN($B564))</f>
        <v/>
      </c>
      <c r="D564" s="16">
        <f>IF($A564="","",UPPER(TRIM(SUBSTITUTE(IFERROR(INDEX(tblVeriA[FaturaNo],ROW()-ROW(tblVeriA[[#Headers]])),"")," ",""))))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UPPER(TRIM(SUBSTITUTE($I564,"-","")))</f>
        <v/>
      </c>
      <c r="K564" s="16">
        <f>IF($J564="",0,LEN($J564))</f>
        <v/>
      </c>
      <c r="L564" s="16">
        <f>IF($I564="","",UPPER(TRIM(SUBSTITUTE(IFERROR(INDEX(tblVeriB[FaturaNo],ROW()-ROW(tblVeriB[[#Headers]])),"")," ",""))))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UPPER(TRIM(SUBSTITUTE($A565,"-","")))</f>
        <v/>
      </c>
      <c r="C565" s="16">
        <f>IF($B565="",0,LEN($B565))</f>
        <v/>
      </c>
      <c r="D565" s="16">
        <f>IF($A565="","",UPPER(TRIM(SUBSTITUTE(IFERROR(INDEX(tblVeriA[FaturaNo],ROW()-ROW(tblVeriA[[#Headers]])),"")," ",""))))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UPPER(TRIM(SUBSTITUTE($I565,"-","")))</f>
        <v/>
      </c>
      <c r="K565" s="16">
        <f>IF($J565="",0,LEN($J565))</f>
        <v/>
      </c>
      <c r="L565" s="16">
        <f>IF($I565="","",UPPER(TRIM(SUBSTITUTE(IFERROR(INDEX(tblVeriB[FaturaNo],ROW()-ROW(tblVeriB[[#Headers]])),"")," ",""))))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UPPER(TRIM(SUBSTITUTE($A566,"-","")))</f>
        <v/>
      </c>
      <c r="C566" s="16">
        <f>IF($B566="",0,LEN($B566))</f>
        <v/>
      </c>
      <c r="D566" s="16">
        <f>IF($A566="","",UPPER(TRIM(SUBSTITUTE(IFERROR(INDEX(tblVeriA[FaturaNo],ROW()-ROW(tblVeriA[[#Headers]])),"")," ",""))))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UPPER(TRIM(SUBSTITUTE($I566,"-","")))</f>
        <v/>
      </c>
      <c r="K566" s="16">
        <f>IF($J566="",0,LEN($J566))</f>
        <v/>
      </c>
      <c r="L566" s="16">
        <f>IF($I566="","",UPPER(TRIM(SUBSTITUTE(IFERROR(INDEX(tblVeriB[FaturaNo],ROW()-ROW(tblVeriB[[#Headers]])),"")," ",""))))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UPPER(TRIM(SUBSTITUTE($A567,"-","")))</f>
        <v/>
      </c>
      <c r="C567" s="16">
        <f>IF($B567="",0,LEN($B567))</f>
        <v/>
      </c>
      <c r="D567" s="16">
        <f>IF($A567="","",UPPER(TRIM(SUBSTITUTE(IFERROR(INDEX(tblVeriA[FaturaNo],ROW()-ROW(tblVeriA[[#Headers]])),"")," ",""))))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UPPER(TRIM(SUBSTITUTE($I567,"-","")))</f>
        <v/>
      </c>
      <c r="K567" s="16">
        <f>IF($J567="",0,LEN($J567))</f>
        <v/>
      </c>
      <c r="L567" s="16">
        <f>IF($I567="","",UPPER(TRIM(SUBSTITUTE(IFERROR(INDEX(tblVeriB[FaturaNo],ROW()-ROW(tblVeriB[[#Headers]])),"")," ",""))))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UPPER(TRIM(SUBSTITUTE($A568,"-","")))</f>
        <v/>
      </c>
      <c r="C568" s="16">
        <f>IF($B568="",0,LEN($B568))</f>
        <v/>
      </c>
      <c r="D568" s="16">
        <f>IF($A568="","",UPPER(TRIM(SUBSTITUTE(IFERROR(INDEX(tblVeriA[FaturaNo],ROW()-ROW(tblVeriA[[#Headers]])),"")," ",""))))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UPPER(TRIM(SUBSTITUTE($I568,"-","")))</f>
        <v/>
      </c>
      <c r="K568" s="16">
        <f>IF($J568="",0,LEN($J568))</f>
        <v/>
      </c>
      <c r="L568" s="16">
        <f>IF($I568="","",UPPER(TRIM(SUBSTITUTE(IFERROR(INDEX(tblVeriB[FaturaNo],ROW()-ROW(tblVeriB[[#Headers]])),"")," ",""))))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UPPER(TRIM(SUBSTITUTE($A569,"-","")))</f>
        <v/>
      </c>
      <c r="C569" s="16">
        <f>IF($B569="",0,LEN($B569))</f>
        <v/>
      </c>
      <c r="D569" s="16">
        <f>IF($A569="","",UPPER(TRIM(SUBSTITUTE(IFERROR(INDEX(tblVeriA[FaturaNo],ROW()-ROW(tblVeriA[[#Headers]])),"")," ",""))))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UPPER(TRIM(SUBSTITUTE($I569,"-","")))</f>
        <v/>
      </c>
      <c r="K569" s="16">
        <f>IF($J569="",0,LEN($J569))</f>
        <v/>
      </c>
      <c r="L569" s="16">
        <f>IF($I569="","",UPPER(TRIM(SUBSTITUTE(IFERROR(INDEX(tblVeriB[FaturaNo],ROW()-ROW(tblVeriB[[#Headers]])),"")," ",""))))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UPPER(TRIM(SUBSTITUTE($A570,"-","")))</f>
        <v/>
      </c>
      <c r="C570" s="16">
        <f>IF($B570="",0,LEN($B570))</f>
        <v/>
      </c>
      <c r="D570" s="16">
        <f>IF($A570="","",UPPER(TRIM(SUBSTITUTE(IFERROR(INDEX(tblVeriA[FaturaNo],ROW()-ROW(tblVeriA[[#Headers]])),"")," ",""))))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UPPER(TRIM(SUBSTITUTE($I570,"-","")))</f>
        <v/>
      </c>
      <c r="K570" s="16">
        <f>IF($J570="",0,LEN($J570))</f>
        <v/>
      </c>
      <c r="L570" s="16">
        <f>IF($I570="","",UPPER(TRIM(SUBSTITUTE(IFERROR(INDEX(tblVeriB[FaturaNo],ROW()-ROW(tblVeriB[[#Headers]])),"")," ",""))))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UPPER(TRIM(SUBSTITUTE($A571,"-","")))</f>
        <v/>
      </c>
      <c r="C571" s="16">
        <f>IF($B571="",0,LEN($B571))</f>
        <v/>
      </c>
      <c r="D571" s="16">
        <f>IF($A571="","",UPPER(TRIM(SUBSTITUTE(IFERROR(INDEX(tblVeriA[FaturaNo],ROW()-ROW(tblVeriA[[#Headers]])),"")," ",""))))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UPPER(TRIM(SUBSTITUTE($I571,"-","")))</f>
        <v/>
      </c>
      <c r="K571" s="16">
        <f>IF($J571="",0,LEN($J571))</f>
        <v/>
      </c>
      <c r="L571" s="16">
        <f>IF($I571="","",UPPER(TRIM(SUBSTITUTE(IFERROR(INDEX(tblVeriB[FaturaNo],ROW()-ROW(tblVeriB[[#Headers]])),"")," ",""))))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UPPER(TRIM(SUBSTITUTE($A572,"-","")))</f>
        <v/>
      </c>
      <c r="C572" s="16">
        <f>IF($B572="",0,LEN($B572))</f>
        <v/>
      </c>
      <c r="D572" s="16">
        <f>IF($A572="","",UPPER(TRIM(SUBSTITUTE(IFERROR(INDEX(tblVeriA[FaturaNo],ROW()-ROW(tblVeriA[[#Headers]])),"")," ",""))))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UPPER(TRIM(SUBSTITUTE($I572,"-","")))</f>
        <v/>
      </c>
      <c r="K572" s="16">
        <f>IF($J572="",0,LEN($J572))</f>
        <v/>
      </c>
      <c r="L572" s="16">
        <f>IF($I572="","",UPPER(TRIM(SUBSTITUTE(IFERROR(INDEX(tblVeriB[FaturaNo],ROW()-ROW(tblVeriB[[#Headers]])),"")," ",""))))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UPPER(TRIM(SUBSTITUTE($A573,"-","")))</f>
        <v/>
      </c>
      <c r="C573" s="16">
        <f>IF($B573="",0,LEN($B573))</f>
        <v/>
      </c>
      <c r="D573" s="16">
        <f>IF($A573="","",UPPER(TRIM(SUBSTITUTE(IFERROR(INDEX(tblVeriA[FaturaNo],ROW()-ROW(tblVeriA[[#Headers]])),"")," ",""))))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UPPER(TRIM(SUBSTITUTE($I573,"-","")))</f>
        <v/>
      </c>
      <c r="K573" s="16">
        <f>IF($J573="",0,LEN($J573))</f>
        <v/>
      </c>
      <c r="L573" s="16">
        <f>IF($I573="","",UPPER(TRIM(SUBSTITUTE(IFERROR(INDEX(tblVeriB[FaturaNo],ROW()-ROW(tblVeriB[[#Headers]])),"")," ",""))))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UPPER(TRIM(SUBSTITUTE($A574,"-","")))</f>
        <v/>
      </c>
      <c r="C574" s="16">
        <f>IF($B574="",0,LEN($B574))</f>
        <v/>
      </c>
      <c r="D574" s="16">
        <f>IF($A574="","",UPPER(TRIM(SUBSTITUTE(IFERROR(INDEX(tblVeriA[FaturaNo],ROW()-ROW(tblVeriA[[#Headers]])),"")," ",""))))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UPPER(TRIM(SUBSTITUTE($I574,"-","")))</f>
        <v/>
      </c>
      <c r="K574" s="16">
        <f>IF($J574="",0,LEN($J574))</f>
        <v/>
      </c>
      <c r="L574" s="16">
        <f>IF($I574="","",UPPER(TRIM(SUBSTITUTE(IFERROR(INDEX(tblVeriB[FaturaNo],ROW()-ROW(tblVeriB[[#Headers]])),"")," ",""))))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UPPER(TRIM(SUBSTITUTE($A575,"-","")))</f>
        <v/>
      </c>
      <c r="C575" s="16">
        <f>IF($B575="",0,LEN($B575))</f>
        <v/>
      </c>
      <c r="D575" s="16">
        <f>IF($A575="","",UPPER(TRIM(SUBSTITUTE(IFERROR(INDEX(tblVeriA[FaturaNo],ROW()-ROW(tblVeriA[[#Headers]])),"")," ",""))))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UPPER(TRIM(SUBSTITUTE($I575,"-","")))</f>
        <v/>
      </c>
      <c r="K575" s="16">
        <f>IF($J575="",0,LEN($J575))</f>
        <v/>
      </c>
      <c r="L575" s="16">
        <f>IF($I575="","",UPPER(TRIM(SUBSTITUTE(IFERROR(INDEX(tblVeriB[FaturaNo],ROW()-ROW(tblVeriB[[#Headers]])),"")," ",""))))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UPPER(TRIM(SUBSTITUTE($A576,"-","")))</f>
        <v/>
      </c>
      <c r="C576" s="16">
        <f>IF($B576="",0,LEN($B576))</f>
        <v/>
      </c>
      <c r="D576" s="16">
        <f>IF($A576="","",UPPER(TRIM(SUBSTITUTE(IFERROR(INDEX(tblVeriA[FaturaNo],ROW()-ROW(tblVeriA[[#Headers]])),"")," ",""))))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UPPER(TRIM(SUBSTITUTE($I576,"-","")))</f>
        <v/>
      </c>
      <c r="K576" s="16">
        <f>IF($J576="",0,LEN($J576))</f>
        <v/>
      </c>
      <c r="L576" s="16">
        <f>IF($I576="","",UPPER(TRIM(SUBSTITUTE(IFERROR(INDEX(tblVeriB[FaturaNo],ROW()-ROW(tblVeriB[[#Headers]])),"")," ",""))))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UPPER(TRIM(SUBSTITUTE($A577,"-","")))</f>
        <v/>
      </c>
      <c r="C577" s="16">
        <f>IF($B577="",0,LEN($B577))</f>
        <v/>
      </c>
      <c r="D577" s="16">
        <f>IF($A577="","",UPPER(TRIM(SUBSTITUTE(IFERROR(INDEX(tblVeriA[FaturaNo],ROW()-ROW(tblVeriA[[#Headers]])),"")," ",""))))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UPPER(TRIM(SUBSTITUTE($I577,"-","")))</f>
        <v/>
      </c>
      <c r="K577" s="16">
        <f>IF($J577="",0,LEN($J577))</f>
        <v/>
      </c>
      <c r="L577" s="16">
        <f>IF($I577="","",UPPER(TRIM(SUBSTITUTE(IFERROR(INDEX(tblVeriB[FaturaNo],ROW()-ROW(tblVeriB[[#Headers]])),"")," ",""))))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UPPER(TRIM(SUBSTITUTE($A578,"-","")))</f>
        <v/>
      </c>
      <c r="C578" s="16">
        <f>IF($B578="",0,LEN($B578))</f>
        <v/>
      </c>
      <c r="D578" s="16">
        <f>IF($A578="","",UPPER(TRIM(SUBSTITUTE(IFERROR(INDEX(tblVeriA[FaturaNo],ROW()-ROW(tblVeriA[[#Headers]])),"")," ",""))))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UPPER(TRIM(SUBSTITUTE($I578,"-","")))</f>
        <v/>
      </c>
      <c r="K578" s="16">
        <f>IF($J578="",0,LEN($J578))</f>
        <v/>
      </c>
      <c r="L578" s="16">
        <f>IF($I578="","",UPPER(TRIM(SUBSTITUTE(IFERROR(INDEX(tblVeriB[FaturaNo],ROW()-ROW(tblVeriB[[#Headers]])),"")," ",""))))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UPPER(TRIM(SUBSTITUTE($A579,"-","")))</f>
        <v/>
      </c>
      <c r="C579" s="16">
        <f>IF($B579="",0,LEN($B579))</f>
        <v/>
      </c>
      <c r="D579" s="16">
        <f>IF($A579="","",UPPER(TRIM(SUBSTITUTE(IFERROR(INDEX(tblVeriA[FaturaNo],ROW()-ROW(tblVeriA[[#Headers]])),"")," ",""))))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UPPER(TRIM(SUBSTITUTE($I579,"-","")))</f>
        <v/>
      </c>
      <c r="K579" s="16">
        <f>IF($J579="",0,LEN($J579))</f>
        <v/>
      </c>
      <c r="L579" s="16">
        <f>IF($I579="","",UPPER(TRIM(SUBSTITUTE(IFERROR(INDEX(tblVeriB[FaturaNo],ROW()-ROW(tblVeriB[[#Headers]])),"")," ",""))))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UPPER(TRIM(SUBSTITUTE($A580,"-","")))</f>
        <v/>
      </c>
      <c r="C580" s="16">
        <f>IF($B580="",0,LEN($B580))</f>
        <v/>
      </c>
      <c r="D580" s="16">
        <f>IF($A580="","",UPPER(TRIM(SUBSTITUTE(IFERROR(INDEX(tblVeriA[FaturaNo],ROW()-ROW(tblVeriA[[#Headers]])),"")," ",""))))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UPPER(TRIM(SUBSTITUTE($I580,"-","")))</f>
        <v/>
      </c>
      <c r="K580" s="16">
        <f>IF($J580="",0,LEN($J580))</f>
        <v/>
      </c>
      <c r="L580" s="16">
        <f>IF($I580="","",UPPER(TRIM(SUBSTITUTE(IFERROR(INDEX(tblVeriB[FaturaNo],ROW()-ROW(tblVeriB[[#Headers]])),"")," ",""))))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UPPER(TRIM(SUBSTITUTE($A581,"-","")))</f>
        <v/>
      </c>
      <c r="C581" s="16">
        <f>IF($B581="",0,LEN($B581))</f>
        <v/>
      </c>
      <c r="D581" s="16">
        <f>IF($A581="","",UPPER(TRIM(SUBSTITUTE(IFERROR(INDEX(tblVeriA[FaturaNo],ROW()-ROW(tblVeriA[[#Headers]])),"")," ",""))))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UPPER(TRIM(SUBSTITUTE($I581,"-","")))</f>
        <v/>
      </c>
      <c r="K581" s="16">
        <f>IF($J581="",0,LEN($J581))</f>
        <v/>
      </c>
      <c r="L581" s="16">
        <f>IF($I581="","",UPPER(TRIM(SUBSTITUTE(IFERROR(INDEX(tblVeriB[FaturaNo],ROW()-ROW(tblVeriB[[#Headers]])),"")," ",""))))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UPPER(TRIM(SUBSTITUTE($A582,"-","")))</f>
        <v/>
      </c>
      <c r="C582" s="16">
        <f>IF($B582="",0,LEN($B582))</f>
        <v/>
      </c>
      <c r="D582" s="16">
        <f>IF($A582="","",UPPER(TRIM(SUBSTITUTE(IFERROR(INDEX(tblVeriA[FaturaNo],ROW()-ROW(tblVeriA[[#Headers]])),"")," ",""))))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UPPER(TRIM(SUBSTITUTE($I582,"-","")))</f>
        <v/>
      </c>
      <c r="K582" s="16">
        <f>IF($J582="",0,LEN($J582))</f>
        <v/>
      </c>
      <c r="L582" s="16">
        <f>IF($I582="","",UPPER(TRIM(SUBSTITUTE(IFERROR(INDEX(tblVeriB[FaturaNo],ROW()-ROW(tblVeriB[[#Headers]])),"")," ",""))))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UPPER(TRIM(SUBSTITUTE($A583,"-","")))</f>
        <v/>
      </c>
      <c r="C583" s="16">
        <f>IF($B583="",0,LEN($B583))</f>
        <v/>
      </c>
      <c r="D583" s="16">
        <f>IF($A583="","",UPPER(TRIM(SUBSTITUTE(IFERROR(INDEX(tblVeriA[FaturaNo],ROW()-ROW(tblVeriA[[#Headers]])),"")," ",""))))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UPPER(TRIM(SUBSTITUTE($I583,"-","")))</f>
        <v/>
      </c>
      <c r="K583" s="16">
        <f>IF($J583="",0,LEN($J583))</f>
        <v/>
      </c>
      <c r="L583" s="16">
        <f>IF($I583="","",UPPER(TRIM(SUBSTITUTE(IFERROR(INDEX(tblVeriB[FaturaNo],ROW()-ROW(tblVeriB[[#Headers]])),"")," ",""))))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UPPER(TRIM(SUBSTITUTE($A584,"-","")))</f>
        <v/>
      </c>
      <c r="C584" s="16">
        <f>IF($B584="",0,LEN($B584))</f>
        <v/>
      </c>
      <c r="D584" s="16">
        <f>IF($A584="","",UPPER(TRIM(SUBSTITUTE(IFERROR(INDEX(tblVeriA[FaturaNo],ROW()-ROW(tblVeriA[[#Headers]])),"")," ",""))))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UPPER(TRIM(SUBSTITUTE($I584,"-","")))</f>
        <v/>
      </c>
      <c r="K584" s="16">
        <f>IF($J584="",0,LEN($J584))</f>
        <v/>
      </c>
      <c r="L584" s="16">
        <f>IF($I584="","",UPPER(TRIM(SUBSTITUTE(IFERROR(INDEX(tblVeriB[FaturaNo],ROW()-ROW(tblVeriB[[#Headers]])),"")," ",""))))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UPPER(TRIM(SUBSTITUTE($A585,"-","")))</f>
        <v/>
      </c>
      <c r="C585" s="16">
        <f>IF($B585="",0,LEN($B585))</f>
        <v/>
      </c>
      <c r="D585" s="16">
        <f>IF($A585="","",UPPER(TRIM(SUBSTITUTE(IFERROR(INDEX(tblVeriA[FaturaNo],ROW()-ROW(tblVeriA[[#Headers]])),"")," ",""))))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UPPER(TRIM(SUBSTITUTE($I585,"-","")))</f>
        <v/>
      </c>
      <c r="K585" s="16">
        <f>IF($J585="",0,LEN($J585))</f>
        <v/>
      </c>
      <c r="L585" s="16">
        <f>IF($I585="","",UPPER(TRIM(SUBSTITUTE(IFERROR(INDEX(tblVeriB[FaturaNo],ROW()-ROW(tblVeriB[[#Headers]])),"")," ",""))))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UPPER(TRIM(SUBSTITUTE($A586,"-","")))</f>
        <v/>
      </c>
      <c r="C586" s="16">
        <f>IF($B586="",0,LEN($B586))</f>
        <v/>
      </c>
      <c r="D586" s="16">
        <f>IF($A586="","",UPPER(TRIM(SUBSTITUTE(IFERROR(INDEX(tblVeriA[FaturaNo],ROW()-ROW(tblVeriA[[#Headers]])),"")," ",""))))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UPPER(TRIM(SUBSTITUTE($I586,"-","")))</f>
        <v/>
      </c>
      <c r="K586" s="16">
        <f>IF($J586="",0,LEN($J586))</f>
        <v/>
      </c>
      <c r="L586" s="16">
        <f>IF($I586="","",UPPER(TRIM(SUBSTITUTE(IFERROR(INDEX(tblVeriB[FaturaNo],ROW()-ROW(tblVeriB[[#Headers]])),"")," ",""))))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UPPER(TRIM(SUBSTITUTE($A587,"-","")))</f>
        <v/>
      </c>
      <c r="C587" s="16">
        <f>IF($B587="",0,LEN($B587))</f>
        <v/>
      </c>
      <c r="D587" s="16">
        <f>IF($A587="","",UPPER(TRIM(SUBSTITUTE(IFERROR(INDEX(tblVeriA[FaturaNo],ROW()-ROW(tblVeriA[[#Headers]])),"")," ",""))))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UPPER(TRIM(SUBSTITUTE($I587,"-","")))</f>
        <v/>
      </c>
      <c r="K587" s="16">
        <f>IF($J587="",0,LEN($J587))</f>
        <v/>
      </c>
      <c r="L587" s="16">
        <f>IF($I587="","",UPPER(TRIM(SUBSTITUTE(IFERROR(INDEX(tblVeriB[FaturaNo],ROW()-ROW(tblVeriB[[#Headers]])),"")," ",""))))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UPPER(TRIM(SUBSTITUTE($A588,"-","")))</f>
        <v/>
      </c>
      <c r="C588" s="16">
        <f>IF($B588="",0,LEN($B588))</f>
        <v/>
      </c>
      <c r="D588" s="16">
        <f>IF($A588="","",UPPER(TRIM(SUBSTITUTE(IFERROR(INDEX(tblVeriA[FaturaNo],ROW()-ROW(tblVeriA[[#Headers]])),"")," ",""))))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UPPER(TRIM(SUBSTITUTE($I588,"-","")))</f>
        <v/>
      </c>
      <c r="K588" s="16">
        <f>IF($J588="",0,LEN($J588))</f>
        <v/>
      </c>
      <c r="L588" s="16">
        <f>IF($I588="","",UPPER(TRIM(SUBSTITUTE(IFERROR(INDEX(tblVeriB[FaturaNo],ROW()-ROW(tblVeriB[[#Headers]])),"")," ",""))))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UPPER(TRIM(SUBSTITUTE($A589,"-","")))</f>
        <v/>
      </c>
      <c r="C589" s="16">
        <f>IF($B589="",0,LEN($B589))</f>
        <v/>
      </c>
      <c r="D589" s="16">
        <f>IF($A589="","",UPPER(TRIM(SUBSTITUTE(IFERROR(INDEX(tblVeriA[FaturaNo],ROW()-ROW(tblVeriA[[#Headers]])),"")," ",""))))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UPPER(TRIM(SUBSTITUTE($I589,"-","")))</f>
        <v/>
      </c>
      <c r="K589" s="16">
        <f>IF($J589="",0,LEN($J589))</f>
        <v/>
      </c>
      <c r="L589" s="16">
        <f>IF($I589="","",UPPER(TRIM(SUBSTITUTE(IFERROR(INDEX(tblVeriB[FaturaNo],ROW()-ROW(tblVeriB[[#Headers]])),"")," ",""))))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UPPER(TRIM(SUBSTITUTE($A590,"-","")))</f>
        <v/>
      </c>
      <c r="C590" s="16">
        <f>IF($B590="",0,LEN($B590))</f>
        <v/>
      </c>
      <c r="D590" s="16">
        <f>IF($A590="","",UPPER(TRIM(SUBSTITUTE(IFERROR(INDEX(tblVeriA[FaturaNo],ROW()-ROW(tblVeriA[[#Headers]])),"")," ",""))))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UPPER(TRIM(SUBSTITUTE($I590,"-","")))</f>
        <v/>
      </c>
      <c r="K590" s="16">
        <f>IF($J590="",0,LEN($J590))</f>
        <v/>
      </c>
      <c r="L590" s="16">
        <f>IF($I590="","",UPPER(TRIM(SUBSTITUTE(IFERROR(INDEX(tblVeriB[FaturaNo],ROW()-ROW(tblVeriB[[#Headers]])),"")," ",""))))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UPPER(TRIM(SUBSTITUTE($A591,"-","")))</f>
        <v/>
      </c>
      <c r="C591" s="16">
        <f>IF($B591="",0,LEN($B591))</f>
        <v/>
      </c>
      <c r="D591" s="16">
        <f>IF($A591="","",UPPER(TRIM(SUBSTITUTE(IFERROR(INDEX(tblVeriA[FaturaNo],ROW()-ROW(tblVeriA[[#Headers]])),"")," ",""))))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UPPER(TRIM(SUBSTITUTE($I591,"-","")))</f>
        <v/>
      </c>
      <c r="K591" s="16">
        <f>IF($J591="",0,LEN($J591))</f>
        <v/>
      </c>
      <c r="L591" s="16">
        <f>IF($I591="","",UPPER(TRIM(SUBSTITUTE(IFERROR(INDEX(tblVeriB[FaturaNo],ROW()-ROW(tblVeriB[[#Headers]])),"")," ",""))))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UPPER(TRIM(SUBSTITUTE($A592,"-","")))</f>
        <v/>
      </c>
      <c r="C592" s="16">
        <f>IF($B592="",0,LEN($B592))</f>
        <v/>
      </c>
      <c r="D592" s="16">
        <f>IF($A592="","",UPPER(TRIM(SUBSTITUTE(IFERROR(INDEX(tblVeriA[FaturaNo],ROW()-ROW(tblVeriA[[#Headers]])),"")," ",""))))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UPPER(TRIM(SUBSTITUTE($I592,"-","")))</f>
        <v/>
      </c>
      <c r="K592" s="16">
        <f>IF($J592="",0,LEN($J592))</f>
        <v/>
      </c>
      <c r="L592" s="16">
        <f>IF($I592="","",UPPER(TRIM(SUBSTITUTE(IFERROR(INDEX(tblVeriB[FaturaNo],ROW()-ROW(tblVeriB[[#Headers]])),"")," ",""))))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UPPER(TRIM(SUBSTITUTE($A593,"-","")))</f>
        <v/>
      </c>
      <c r="C593" s="16">
        <f>IF($B593="",0,LEN($B593))</f>
        <v/>
      </c>
      <c r="D593" s="16">
        <f>IF($A593="","",UPPER(TRIM(SUBSTITUTE(IFERROR(INDEX(tblVeriA[FaturaNo],ROW()-ROW(tblVeriA[[#Headers]])),"")," ",""))))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UPPER(TRIM(SUBSTITUTE($I593,"-","")))</f>
        <v/>
      </c>
      <c r="K593" s="16">
        <f>IF($J593="",0,LEN($J593))</f>
        <v/>
      </c>
      <c r="L593" s="16">
        <f>IF($I593="","",UPPER(TRIM(SUBSTITUTE(IFERROR(INDEX(tblVeriB[FaturaNo],ROW()-ROW(tblVeriB[[#Headers]])),"")," ",""))))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UPPER(TRIM(SUBSTITUTE($A594,"-","")))</f>
        <v/>
      </c>
      <c r="C594" s="16">
        <f>IF($B594="",0,LEN($B594))</f>
        <v/>
      </c>
      <c r="D594" s="16">
        <f>IF($A594="","",UPPER(TRIM(SUBSTITUTE(IFERROR(INDEX(tblVeriA[FaturaNo],ROW()-ROW(tblVeriA[[#Headers]])),"")," ",""))))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UPPER(TRIM(SUBSTITUTE($I594,"-","")))</f>
        <v/>
      </c>
      <c r="K594" s="16">
        <f>IF($J594="",0,LEN($J594))</f>
        <v/>
      </c>
      <c r="L594" s="16">
        <f>IF($I594="","",UPPER(TRIM(SUBSTITUTE(IFERROR(INDEX(tblVeriB[FaturaNo],ROW()-ROW(tblVeriB[[#Headers]])),"")," ",""))))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UPPER(TRIM(SUBSTITUTE($A595,"-","")))</f>
        <v/>
      </c>
      <c r="C595" s="16">
        <f>IF($B595="",0,LEN($B595))</f>
        <v/>
      </c>
      <c r="D595" s="16">
        <f>IF($A595="","",UPPER(TRIM(SUBSTITUTE(IFERROR(INDEX(tblVeriA[FaturaNo],ROW()-ROW(tblVeriA[[#Headers]])),"")," ",""))))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UPPER(TRIM(SUBSTITUTE($I595,"-","")))</f>
        <v/>
      </c>
      <c r="K595" s="16">
        <f>IF($J595="",0,LEN($J595))</f>
        <v/>
      </c>
      <c r="L595" s="16">
        <f>IF($I595="","",UPPER(TRIM(SUBSTITUTE(IFERROR(INDEX(tblVeriB[FaturaNo],ROW()-ROW(tblVeriB[[#Headers]])),"")," ",""))))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UPPER(TRIM(SUBSTITUTE($A596,"-","")))</f>
        <v/>
      </c>
      <c r="C596" s="16">
        <f>IF($B596="",0,LEN($B596))</f>
        <v/>
      </c>
      <c r="D596" s="16">
        <f>IF($A596="","",UPPER(TRIM(SUBSTITUTE(IFERROR(INDEX(tblVeriA[FaturaNo],ROW()-ROW(tblVeriA[[#Headers]])),"")," ",""))))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UPPER(TRIM(SUBSTITUTE($I596,"-","")))</f>
        <v/>
      </c>
      <c r="K596" s="16">
        <f>IF($J596="",0,LEN($J596))</f>
        <v/>
      </c>
      <c r="L596" s="16">
        <f>IF($I596="","",UPPER(TRIM(SUBSTITUTE(IFERROR(INDEX(tblVeriB[FaturaNo],ROW()-ROW(tblVeriB[[#Headers]])),"")," ",""))))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UPPER(TRIM(SUBSTITUTE($A597,"-","")))</f>
        <v/>
      </c>
      <c r="C597" s="16">
        <f>IF($B597="",0,LEN($B597))</f>
        <v/>
      </c>
      <c r="D597" s="16">
        <f>IF($A597="","",UPPER(TRIM(SUBSTITUTE(IFERROR(INDEX(tblVeriA[FaturaNo],ROW()-ROW(tblVeriA[[#Headers]])),"")," ",""))))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UPPER(TRIM(SUBSTITUTE($I597,"-","")))</f>
        <v/>
      </c>
      <c r="K597" s="16">
        <f>IF($J597="",0,LEN($J597))</f>
        <v/>
      </c>
      <c r="L597" s="16">
        <f>IF($I597="","",UPPER(TRIM(SUBSTITUTE(IFERROR(INDEX(tblVeriB[FaturaNo],ROW()-ROW(tblVeriB[[#Headers]])),"")," ",""))))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UPPER(TRIM(SUBSTITUTE($A598,"-","")))</f>
        <v/>
      </c>
      <c r="C598" s="16">
        <f>IF($B598="",0,LEN($B598))</f>
        <v/>
      </c>
      <c r="D598" s="16">
        <f>IF($A598="","",UPPER(TRIM(SUBSTITUTE(IFERROR(INDEX(tblVeriA[FaturaNo],ROW()-ROW(tblVeriA[[#Headers]])),"")," ",""))))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UPPER(TRIM(SUBSTITUTE($I598,"-","")))</f>
        <v/>
      </c>
      <c r="K598" s="16">
        <f>IF($J598="",0,LEN($J598))</f>
        <v/>
      </c>
      <c r="L598" s="16">
        <f>IF($I598="","",UPPER(TRIM(SUBSTITUTE(IFERROR(INDEX(tblVeriB[FaturaNo],ROW()-ROW(tblVeriB[[#Headers]])),"")," ",""))))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UPPER(TRIM(SUBSTITUTE($A599,"-","")))</f>
        <v/>
      </c>
      <c r="C599" s="16">
        <f>IF($B599="",0,LEN($B599))</f>
        <v/>
      </c>
      <c r="D599" s="16">
        <f>IF($A599="","",UPPER(TRIM(SUBSTITUTE(IFERROR(INDEX(tblVeriA[FaturaNo],ROW()-ROW(tblVeriA[[#Headers]])),"")," ",""))))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UPPER(TRIM(SUBSTITUTE($I599,"-","")))</f>
        <v/>
      </c>
      <c r="K599" s="16">
        <f>IF($J599="",0,LEN($J599))</f>
        <v/>
      </c>
      <c r="L599" s="16">
        <f>IF($I599="","",UPPER(TRIM(SUBSTITUTE(IFERROR(INDEX(tblVeriB[FaturaNo],ROW()-ROW(tblVeriB[[#Headers]])),"")," ",""))))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UPPER(TRIM(SUBSTITUTE($A600,"-","")))</f>
        <v/>
      </c>
      <c r="C600" s="16">
        <f>IF($B600="",0,LEN($B600))</f>
        <v/>
      </c>
      <c r="D600" s="16">
        <f>IF($A600="","",UPPER(TRIM(SUBSTITUTE(IFERROR(INDEX(tblVeriA[FaturaNo],ROW()-ROW(tblVeriA[[#Headers]])),"")," ",""))))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UPPER(TRIM(SUBSTITUTE($I600,"-","")))</f>
        <v/>
      </c>
      <c r="K600" s="16">
        <f>IF($J600="",0,LEN($J600))</f>
        <v/>
      </c>
      <c r="L600" s="16">
        <f>IF($I600="","",UPPER(TRIM(SUBSTITUTE(IFERROR(INDEX(tblVeriB[FaturaNo],ROW()-ROW(tblVeriB[[#Headers]])),"")," ",""))))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UPPER(TRIM(SUBSTITUTE($A601,"-","")))</f>
        <v/>
      </c>
      <c r="C601" s="16">
        <f>IF($B601="",0,LEN($B601))</f>
        <v/>
      </c>
      <c r="D601" s="16">
        <f>IF($A601="","",UPPER(TRIM(SUBSTITUTE(IFERROR(INDEX(tblVeriA[FaturaNo],ROW()-ROW(tblVeriA[[#Headers]])),"")," ",""))))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UPPER(TRIM(SUBSTITUTE($I601,"-","")))</f>
        <v/>
      </c>
      <c r="K601" s="16">
        <f>IF($J601="",0,LEN($J601))</f>
        <v/>
      </c>
      <c r="L601" s="16">
        <f>IF($I601="","",UPPER(TRIM(SUBSTITUTE(IFERROR(INDEX(tblVeriB[FaturaNo],ROW()-ROW(tblVeriB[[#Headers]])),"")," ",""))))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UPPER(TRIM(SUBSTITUTE($A602,"-","")))</f>
        <v/>
      </c>
      <c r="C602" s="16">
        <f>IF($B602="",0,LEN($B602))</f>
        <v/>
      </c>
      <c r="D602" s="16">
        <f>IF($A602="","",UPPER(TRIM(SUBSTITUTE(IFERROR(INDEX(tblVeriA[FaturaNo],ROW()-ROW(tblVeriA[[#Headers]])),"")," ",""))))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UPPER(TRIM(SUBSTITUTE($I602,"-","")))</f>
        <v/>
      </c>
      <c r="K602" s="16">
        <f>IF($J602="",0,LEN($J602))</f>
        <v/>
      </c>
      <c r="L602" s="16">
        <f>IF($I602="","",UPPER(TRIM(SUBSTITUTE(IFERROR(INDEX(tblVeriB[FaturaNo],ROW()-ROW(tblVeriB[[#Headers]])),"")," ",""))))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UPPER(TRIM(SUBSTITUTE($A603,"-","")))</f>
        <v/>
      </c>
      <c r="C603" s="16">
        <f>IF($B603="",0,LEN($B603))</f>
        <v/>
      </c>
      <c r="D603" s="16">
        <f>IF($A603="","",UPPER(TRIM(SUBSTITUTE(IFERROR(INDEX(tblVeriA[FaturaNo],ROW()-ROW(tblVeriA[[#Headers]])),"")," ",""))))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UPPER(TRIM(SUBSTITUTE($I603,"-","")))</f>
        <v/>
      </c>
      <c r="K603" s="16">
        <f>IF($J603="",0,LEN($J603))</f>
        <v/>
      </c>
      <c r="L603" s="16">
        <f>IF($I603="","",UPPER(TRIM(SUBSTITUTE(IFERROR(INDEX(tblVeriB[FaturaNo],ROW()-ROW(tblVeriB[[#Headers]])),"")," ",""))))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UPPER(TRIM(SUBSTITUTE($A604,"-","")))</f>
        <v/>
      </c>
      <c r="C604" s="16">
        <f>IF($B604="",0,LEN($B604))</f>
        <v/>
      </c>
      <c r="D604" s="16">
        <f>IF($A604="","",UPPER(TRIM(SUBSTITUTE(IFERROR(INDEX(tblVeriA[FaturaNo],ROW()-ROW(tblVeriA[[#Headers]])),"")," ",""))))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UPPER(TRIM(SUBSTITUTE($I604,"-","")))</f>
        <v/>
      </c>
      <c r="K604" s="16">
        <f>IF($J604="",0,LEN($J604))</f>
        <v/>
      </c>
      <c r="L604" s="16">
        <f>IF($I604="","",UPPER(TRIM(SUBSTITUTE(IFERROR(INDEX(tblVeriB[FaturaNo],ROW()-ROW(tblVeriB[[#Headers]])),"")," ",""))))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UPPER(TRIM(SUBSTITUTE($A605,"-","")))</f>
        <v/>
      </c>
      <c r="C605" s="16">
        <f>IF($B605="",0,LEN($B605))</f>
        <v/>
      </c>
      <c r="D605" s="16">
        <f>IF($A605="","",UPPER(TRIM(SUBSTITUTE(IFERROR(INDEX(tblVeriA[FaturaNo],ROW()-ROW(tblVeriA[[#Headers]])),"")," ",""))))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UPPER(TRIM(SUBSTITUTE($I605,"-","")))</f>
        <v/>
      </c>
      <c r="K605" s="16">
        <f>IF($J605="",0,LEN($J605))</f>
        <v/>
      </c>
      <c r="L605" s="16">
        <f>IF($I605="","",UPPER(TRIM(SUBSTITUTE(IFERROR(INDEX(tblVeriB[FaturaNo],ROW()-ROW(tblVeriB[[#Headers]])),"")," ",""))))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UPPER(TRIM(SUBSTITUTE($A606,"-","")))</f>
        <v/>
      </c>
      <c r="C606" s="16">
        <f>IF($B606="",0,LEN($B606))</f>
        <v/>
      </c>
      <c r="D606" s="16">
        <f>IF($A606="","",UPPER(TRIM(SUBSTITUTE(IFERROR(INDEX(tblVeriA[FaturaNo],ROW()-ROW(tblVeriA[[#Headers]])),"")," ",""))))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UPPER(TRIM(SUBSTITUTE($I606,"-","")))</f>
        <v/>
      </c>
      <c r="K606" s="16">
        <f>IF($J606="",0,LEN($J606))</f>
        <v/>
      </c>
      <c r="L606" s="16">
        <f>IF($I606="","",UPPER(TRIM(SUBSTITUTE(IFERROR(INDEX(tblVeriB[FaturaNo],ROW()-ROW(tblVeriB[[#Headers]])),"")," ",""))))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UPPER(TRIM(SUBSTITUTE($A607,"-","")))</f>
        <v/>
      </c>
      <c r="C607" s="16">
        <f>IF($B607="",0,LEN($B607))</f>
        <v/>
      </c>
      <c r="D607" s="16">
        <f>IF($A607="","",UPPER(TRIM(SUBSTITUTE(IFERROR(INDEX(tblVeriA[FaturaNo],ROW()-ROW(tblVeriA[[#Headers]])),"")," ",""))))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UPPER(TRIM(SUBSTITUTE($I607,"-","")))</f>
        <v/>
      </c>
      <c r="K607" s="16">
        <f>IF($J607="",0,LEN($J607))</f>
        <v/>
      </c>
      <c r="L607" s="16">
        <f>IF($I607="","",UPPER(TRIM(SUBSTITUTE(IFERROR(INDEX(tblVeriB[FaturaNo],ROW()-ROW(tblVeriB[[#Headers]])),"")," ",""))))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UPPER(TRIM(SUBSTITUTE($A608,"-","")))</f>
        <v/>
      </c>
      <c r="C608" s="16">
        <f>IF($B608="",0,LEN($B608))</f>
        <v/>
      </c>
      <c r="D608" s="16">
        <f>IF($A608="","",UPPER(TRIM(SUBSTITUTE(IFERROR(INDEX(tblVeriA[FaturaNo],ROW()-ROW(tblVeriA[[#Headers]])),"")," ",""))))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UPPER(TRIM(SUBSTITUTE($I608,"-","")))</f>
        <v/>
      </c>
      <c r="K608" s="16">
        <f>IF($J608="",0,LEN($J608))</f>
        <v/>
      </c>
      <c r="L608" s="16">
        <f>IF($I608="","",UPPER(TRIM(SUBSTITUTE(IFERROR(INDEX(tblVeriB[FaturaNo],ROW()-ROW(tblVeriB[[#Headers]])),"")," ",""))))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UPPER(TRIM(SUBSTITUTE($A609,"-","")))</f>
        <v/>
      </c>
      <c r="C609" s="16">
        <f>IF($B609="",0,LEN($B609))</f>
        <v/>
      </c>
      <c r="D609" s="16">
        <f>IF($A609="","",UPPER(TRIM(SUBSTITUTE(IFERROR(INDEX(tblVeriA[FaturaNo],ROW()-ROW(tblVeriA[[#Headers]])),"")," ",""))))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UPPER(TRIM(SUBSTITUTE($I609,"-","")))</f>
        <v/>
      </c>
      <c r="K609" s="16">
        <f>IF($J609="",0,LEN($J609))</f>
        <v/>
      </c>
      <c r="L609" s="16">
        <f>IF($I609="","",UPPER(TRIM(SUBSTITUTE(IFERROR(INDEX(tblVeriB[FaturaNo],ROW()-ROW(tblVeriB[[#Headers]])),"")," ",""))))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UPPER(TRIM(SUBSTITUTE($A610,"-","")))</f>
        <v/>
      </c>
      <c r="C610" s="16">
        <f>IF($B610="",0,LEN($B610))</f>
        <v/>
      </c>
      <c r="D610" s="16">
        <f>IF($A610="","",UPPER(TRIM(SUBSTITUTE(IFERROR(INDEX(tblVeriA[FaturaNo],ROW()-ROW(tblVeriA[[#Headers]])),"")," ",""))))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UPPER(TRIM(SUBSTITUTE($I610,"-","")))</f>
        <v/>
      </c>
      <c r="K610" s="16">
        <f>IF($J610="",0,LEN($J610))</f>
        <v/>
      </c>
      <c r="L610" s="16">
        <f>IF($I610="","",UPPER(TRIM(SUBSTITUTE(IFERROR(INDEX(tblVeriB[FaturaNo],ROW()-ROW(tblVeriB[[#Headers]])),"")," ",""))))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UPPER(TRIM(SUBSTITUTE($A611,"-","")))</f>
        <v/>
      </c>
      <c r="C611" s="16">
        <f>IF($B611="",0,LEN($B611))</f>
        <v/>
      </c>
      <c r="D611" s="16">
        <f>IF($A611="","",UPPER(TRIM(SUBSTITUTE(IFERROR(INDEX(tblVeriA[FaturaNo],ROW()-ROW(tblVeriA[[#Headers]])),"")," ",""))))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UPPER(TRIM(SUBSTITUTE($I611,"-","")))</f>
        <v/>
      </c>
      <c r="K611" s="16">
        <f>IF($J611="",0,LEN($J611))</f>
        <v/>
      </c>
      <c r="L611" s="16">
        <f>IF($I611="","",UPPER(TRIM(SUBSTITUTE(IFERROR(INDEX(tblVeriB[FaturaNo],ROW()-ROW(tblVeriB[[#Headers]])),"")," ",""))))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UPPER(TRIM(SUBSTITUTE($A612,"-","")))</f>
        <v/>
      </c>
      <c r="C612" s="16">
        <f>IF($B612="",0,LEN($B612))</f>
        <v/>
      </c>
      <c r="D612" s="16">
        <f>IF($A612="","",UPPER(TRIM(SUBSTITUTE(IFERROR(INDEX(tblVeriA[FaturaNo],ROW()-ROW(tblVeriA[[#Headers]])),"")," ",""))))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UPPER(TRIM(SUBSTITUTE($I612,"-","")))</f>
        <v/>
      </c>
      <c r="K612" s="16">
        <f>IF($J612="",0,LEN($J612))</f>
        <v/>
      </c>
      <c r="L612" s="16">
        <f>IF($I612="","",UPPER(TRIM(SUBSTITUTE(IFERROR(INDEX(tblVeriB[FaturaNo],ROW()-ROW(tblVeriB[[#Headers]])),"")," ",""))))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UPPER(TRIM(SUBSTITUTE($A613,"-","")))</f>
        <v/>
      </c>
      <c r="C613" s="16">
        <f>IF($B613="",0,LEN($B613))</f>
        <v/>
      </c>
      <c r="D613" s="16">
        <f>IF($A613="","",UPPER(TRIM(SUBSTITUTE(IFERROR(INDEX(tblVeriA[FaturaNo],ROW()-ROW(tblVeriA[[#Headers]])),"")," ",""))))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UPPER(TRIM(SUBSTITUTE($I613,"-","")))</f>
        <v/>
      </c>
      <c r="K613" s="16">
        <f>IF($J613="",0,LEN($J613))</f>
        <v/>
      </c>
      <c r="L613" s="16">
        <f>IF($I613="","",UPPER(TRIM(SUBSTITUTE(IFERROR(INDEX(tblVeriB[FaturaNo],ROW()-ROW(tblVeriB[[#Headers]])),"")," ",""))))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UPPER(TRIM(SUBSTITUTE($A614,"-","")))</f>
        <v/>
      </c>
      <c r="C614" s="16">
        <f>IF($B614="",0,LEN($B614))</f>
        <v/>
      </c>
      <c r="D614" s="16">
        <f>IF($A614="","",UPPER(TRIM(SUBSTITUTE(IFERROR(INDEX(tblVeriA[FaturaNo],ROW()-ROW(tblVeriA[[#Headers]])),"")," ",""))))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UPPER(TRIM(SUBSTITUTE($I614,"-","")))</f>
        <v/>
      </c>
      <c r="K614" s="16">
        <f>IF($J614="",0,LEN($J614))</f>
        <v/>
      </c>
      <c r="L614" s="16">
        <f>IF($I614="","",UPPER(TRIM(SUBSTITUTE(IFERROR(INDEX(tblVeriB[FaturaNo],ROW()-ROW(tblVeriB[[#Headers]])),"")," ",""))))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UPPER(TRIM(SUBSTITUTE($A615,"-","")))</f>
        <v/>
      </c>
      <c r="C615" s="16">
        <f>IF($B615="",0,LEN($B615))</f>
        <v/>
      </c>
      <c r="D615" s="16">
        <f>IF($A615="","",UPPER(TRIM(SUBSTITUTE(IFERROR(INDEX(tblVeriA[FaturaNo],ROW()-ROW(tblVeriA[[#Headers]])),"")," ",""))))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UPPER(TRIM(SUBSTITUTE($I615,"-","")))</f>
        <v/>
      </c>
      <c r="K615" s="16">
        <f>IF($J615="",0,LEN($J615))</f>
        <v/>
      </c>
      <c r="L615" s="16">
        <f>IF($I615="","",UPPER(TRIM(SUBSTITUTE(IFERROR(INDEX(tblVeriB[FaturaNo],ROW()-ROW(tblVeriB[[#Headers]])),"")," ",""))))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UPPER(TRIM(SUBSTITUTE($A616,"-","")))</f>
        <v/>
      </c>
      <c r="C616" s="16">
        <f>IF($B616="",0,LEN($B616))</f>
        <v/>
      </c>
      <c r="D616" s="16">
        <f>IF($A616="","",UPPER(TRIM(SUBSTITUTE(IFERROR(INDEX(tblVeriA[FaturaNo],ROW()-ROW(tblVeriA[[#Headers]])),"")," ",""))))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UPPER(TRIM(SUBSTITUTE($I616,"-","")))</f>
        <v/>
      </c>
      <c r="K616" s="16">
        <f>IF($J616="",0,LEN($J616))</f>
        <v/>
      </c>
      <c r="L616" s="16">
        <f>IF($I616="","",UPPER(TRIM(SUBSTITUTE(IFERROR(INDEX(tblVeriB[FaturaNo],ROW()-ROW(tblVeriB[[#Headers]])),"")," ",""))))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UPPER(TRIM(SUBSTITUTE($A617,"-","")))</f>
        <v/>
      </c>
      <c r="C617" s="16">
        <f>IF($B617="",0,LEN($B617))</f>
        <v/>
      </c>
      <c r="D617" s="16">
        <f>IF($A617="","",UPPER(TRIM(SUBSTITUTE(IFERROR(INDEX(tblVeriA[FaturaNo],ROW()-ROW(tblVeriA[[#Headers]])),"")," ",""))))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UPPER(TRIM(SUBSTITUTE($I617,"-","")))</f>
        <v/>
      </c>
      <c r="K617" s="16">
        <f>IF($J617="",0,LEN($J617))</f>
        <v/>
      </c>
      <c r="L617" s="16">
        <f>IF($I617="","",UPPER(TRIM(SUBSTITUTE(IFERROR(INDEX(tblVeriB[FaturaNo],ROW()-ROW(tblVeriB[[#Headers]])),"")," ",""))))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UPPER(TRIM(SUBSTITUTE($A618,"-","")))</f>
        <v/>
      </c>
      <c r="C618" s="16">
        <f>IF($B618="",0,LEN($B618))</f>
        <v/>
      </c>
      <c r="D618" s="16">
        <f>IF($A618="","",UPPER(TRIM(SUBSTITUTE(IFERROR(INDEX(tblVeriA[FaturaNo],ROW()-ROW(tblVeriA[[#Headers]])),"")," ",""))))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UPPER(TRIM(SUBSTITUTE($I618,"-","")))</f>
        <v/>
      </c>
      <c r="K618" s="16">
        <f>IF($J618="",0,LEN($J618))</f>
        <v/>
      </c>
      <c r="L618" s="16">
        <f>IF($I618="","",UPPER(TRIM(SUBSTITUTE(IFERROR(INDEX(tblVeriB[FaturaNo],ROW()-ROW(tblVeriB[[#Headers]])),"")," ",""))))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UPPER(TRIM(SUBSTITUTE($A619,"-","")))</f>
        <v/>
      </c>
      <c r="C619" s="16">
        <f>IF($B619="",0,LEN($B619))</f>
        <v/>
      </c>
      <c r="D619" s="16">
        <f>IF($A619="","",UPPER(TRIM(SUBSTITUTE(IFERROR(INDEX(tblVeriA[FaturaNo],ROW()-ROW(tblVeriA[[#Headers]])),"")," ",""))))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UPPER(TRIM(SUBSTITUTE($I619,"-","")))</f>
        <v/>
      </c>
      <c r="K619" s="16">
        <f>IF($J619="",0,LEN($J619))</f>
        <v/>
      </c>
      <c r="L619" s="16">
        <f>IF($I619="","",UPPER(TRIM(SUBSTITUTE(IFERROR(INDEX(tblVeriB[FaturaNo],ROW()-ROW(tblVeriB[[#Headers]])),"")," ",""))))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UPPER(TRIM(SUBSTITUTE($A620,"-","")))</f>
        <v/>
      </c>
      <c r="C620" s="16">
        <f>IF($B620="",0,LEN($B620))</f>
        <v/>
      </c>
      <c r="D620" s="16">
        <f>IF($A620="","",UPPER(TRIM(SUBSTITUTE(IFERROR(INDEX(tblVeriA[FaturaNo],ROW()-ROW(tblVeriA[[#Headers]])),"")," ",""))))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UPPER(TRIM(SUBSTITUTE($I620,"-","")))</f>
        <v/>
      </c>
      <c r="K620" s="16">
        <f>IF($J620="",0,LEN($J620))</f>
        <v/>
      </c>
      <c r="L620" s="16">
        <f>IF($I620="","",UPPER(TRIM(SUBSTITUTE(IFERROR(INDEX(tblVeriB[FaturaNo],ROW()-ROW(tblVeriB[[#Headers]])),"")," ",""))))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UPPER(TRIM(SUBSTITUTE($A621,"-","")))</f>
        <v/>
      </c>
      <c r="C621" s="16">
        <f>IF($B621="",0,LEN($B621))</f>
        <v/>
      </c>
      <c r="D621" s="16">
        <f>IF($A621="","",UPPER(TRIM(SUBSTITUTE(IFERROR(INDEX(tblVeriA[FaturaNo],ROW()-ROW(tblVeriA[[#Headers]])),"")," ",""))))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UPPER(TRIM(SUBSTITUTE($I621,"-","")))</f>
        <v/>
      </c>
      <c r="K621" s="16">
        <f>IF($J621="",0,LEN($J621))</f>
        <v/>
      </c>
      <c r="L621" s="16">
        <f>IF($I621="","",UPPER(TRIM(SUBSTITUTE(IFERROR(INDEX(tblVeriB[FaturaNo],ROW()-ROW(tblVeriB[[#Headers]])),"")," ",""))))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UPPER(TRIM(SUBSTITUTE($A622,"-","")))</f>
        <v/>
      </c>
      <c r="C622" s="16">
        <f>IF($B622="",0,LEN($B622))</f>
        <v/>
      </c>
      <c r="D622" s="16">
        <f>IF($A622="","",UPPER(TRIM(SUBSTITUTE(IFERROR(INDEX(tblVeriA[FaturaNo],ROW()-ROW(tblVeriA[[#Headers]])),"")," ",""))))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UPPER(TRIM(SUBSTITUTE($I622,"-","")))</f>
        <v/>
      </c>
      <c r="K622" s="16">
        <f>IF($J622="",0,LEN($J622))</f>
        <v/>
      </c>
      <c r="L622" s="16">
        <f>IF($I622="","",UPPER(TRIM(SUBSTITUTE(IFERROR(INDEX(tblVeriB[FaturaNo],ROW()-ROW(tblVeriB[[#Headers]])),"")," ",""))))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UPPER(TRIM(SUBSTITUTE($A623,"-","")))</f>
        <v/>
      </c>
      <c r="C623" s="16">
        <f>IF($B623="",0,LEN($B623))</f>
        <v/>
      </c>
      <c r="D623" s="16">
        <f>IF($A623="","",UPPER(TRIM(SUBSTITUTE(IFERROR(INDEX(tblVeriA[FaturaNo],ROW()-ROW(tblVeriA[[#Headers]])),"")," ",""))))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UPPER(TRIM(SUBSTITUTE($I623,"-","")))</f>
        <v/>
      </c>
      <c r="K623" s="16">
        <f>IF($J623="",0,LEN($J623))</f>
        <v/>
      </c>
      <c r="L623" s="16">
        <f>IF($I623="","",UPPER(TRIM(SUBSTITUTE(IFERROR(INDEX(tblVeriB[FaturaNo],ROW()-ROW(tblVeriB[[#Headers]])),"")," ",""))))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UPPER(TRIM(SUBSTITUTE($A624,"-","")))</f>
        <v/>
      </c>
      <c r="C624" s="16">
        <f>IF($B624="",0,LEN($B624))</f>
        <v/>
      </c>
      <c r="D624" s="16">
        <f>IF($A624="","",UPPER(TRIM(SUBSTITUTE(IFERROR(INDEX(tblVeriA[FaturaNo],ROW()-ROW(tblVeriA[[#Headers]])),"")," ",""))))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UPPER(TRIM(SUBSTITUTE($I624,"-","")))</f>
        <v/>
      </c>
      <c r="K624" s="16">
        <f>IF($J624="",0,LEN($J624))</f>
        <v/>
      </c>
      <c r="L624" s="16">
        <f>IF($I624="","",UPPER(TRIM(SUBSTITUTE(IFERROR(INDEX(tblVeriB[FaturaNo],ROW()-ROW(tblVeriB[[#Headers]])),"")," ",""))))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UPPER(TRIM(SUBSTITUTE($A625,"-","")))</f>
        <v/>
      </c>
      <c r="C625" s="16">
        <f>IF($B625="",0,LEN($B625))</f>
        <v/>
      </c>
      <c r="D625" s="16">
        <f>IF($A625="","",UPPER(TRIM(SUBSTITUTE(IFERROR(INDEX(tblVeriA[FaturaNo],ROW()-ROW(tblVeriA[[#Headers]])),"")," ",""))))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UPPER(TRIM(SUBSTITUTE($I625,"-","")))</f>
        <v/>
      </c>
      <c r="K625" s="16">
        <f>IF($J625="",0,LEN($J625))</f>
        <v/>
      </c>
      <c r="L625" s="16">
        <f>IF($I625="","",UPPER(TRIM(SUBSTITUTE(IFERROR(INDEX(tblVeriB[FaturaNo],ROW()-ROW(tblVeriB[[#Headers]])),"")," ",""))))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UPPER(TRIM(SUBSTITUTE($A626,"-","")))</f>
        <v/>
      </c>
      <c r="C626" s="16">
        <f>IF($B626="",0,LEN($B626))</f>
        <v/>
      </c>
      <c r="D626" s="16">
        <f>IF($A626="","",UPPER(TRIM(SUBSTITUTE(IFERROR(INDEX(tblVeriA[FaturaNo],ROW()-ROW(tblVeriA[[#Headers]])),"")," ",""))))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UPPER(TRIM(SUBSTITUTE($I626,"-","")))</f>
        <v/>
      </c>
      <c r="K626" s="16">
        <f>IF($J626="",0,LEN($J626))</f>
        <v/>
      </c>
      <c r="L626" s="16">
        <f>IF($I626="","",UPPER(TRIM(SUBSTITUTE(IFERROR(INDEX(tblVeriB[FaturaNo],ROW()-ROW(tblVeriB[[#Headers]])),"")," ",""))))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UPPER(TRIM(SUBSTITUTE($A627,"-","")))</f>
        <v/>
      </c>
      <c r="C627" s="16">
        <f>IF($B627="",0,LEN($B627))</f>
        <v/>
      </c>
      <c r="D627" s="16">
        <f>IF($A627="","",UPPER(TRIM(SUBSTITUTE(IFERROR(INDEX(tblVeriA[FaturaNo],ROW()-ROW(tblVeriA[[#Headers]])),"")," ",""))))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UPPER(TRIM(SUBSTITUTE($I627,"-","")))</f>
        <v/>
      </c>
      <c r="K627" s="16">
        <f>IF($J627="",0,LEN($J627))</f>
        <v/>
      </c>
      <c r="L627" s="16">
        <f>IF($I627="","",UPPER(TRIM(SUBSTITUTE(IFERROR(INDEX(tblVeriB[FaturaNo],ROW()-ROW(tblVeriB[[#Headers]])),"")," ",""))))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UPPER(TRIM(SUBSTITUTE($A628,"-","")))</f>
        <v/>
      </c>
      <c r="C628" s="16">
        <f>IF($B628="",0,LEN($B628))</f>
        <v/>
      </c>
      <c r="D628" s="16">
        <f>IF($A628="","",UPPER(TRIM(SUBSTITUTE(IFERROR(INDEX(tblVeriA[FaturaNo],ROW()-ROW(tblVeriA[[#Headers]])),"")," ",""))))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UPPER(TRIM(SUBSTITUTE($I628,"-","")))</f>
        <v/>
      </c>
      <c r="K628" s="16">
        <f>IF($J628="",0,LEN($J628))</f>
        <v/>
      </c>
      <c r="L628" s="16">
        <f>IF($I628="","",UPPER(TRIM(SUBSTITUTE(IFERROR(INDEX(tblVeriB[FaturaNo],ROW()-ROW(tblVeriB[[#Headers]])),"")," ",""))))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UPPER(TRIM(SUBSTITUTE($A629,"-","")))</f>
        <v/>
      </c>
      <c r="C629" s="16">
        <f>IF($B629="",0,LEN($B629))</f>
        <v/>
      </c>
      <c r="D629" s="16">
        <f>IF($A629="","",UPPER(TRIM(SUBSTITUTE(IFERROR(INDEX(tblVeriA[FaturaNo],ROW()-ROW(tblVeriA[[#Headers]])),"")," ",""))))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UPPER(TRIM(SUBSTITUTE($I629,"-","")))</f>
        <v/>
      </c>
      <c r="K629" s="16">
        <f>IF($J629="",0,LEN($J629))</f>
        <v/>
      </c>
      <c r="L629" s="16">
        <f>IF($I629="","",UPPER(TRIM(SUBSTITUTE(IFERROR(INDEX(tblVeriB[FaturaNo],ROW()-ROW(tblVeriB[[#Headers]])),"")," ",""))))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UPPER(TRIM(SUBSTITUTE($A630,"-","")))</f>
        <v/>
      </c>
      <c r="C630" s="16">
        <f>IF($B630="",0,LEN($B630))</f>
        <v/>
      </c>
      <c r="D630" s="16">
        <f>IF($A630="","",UPPER(TRIM(SUBSTITUTE(IFERROR(INDEX(tblVeriA[FaturaNo],ROW()-ROW(tblVeriA[[#Headers]])),"")," ",""))))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UPPER(TRIM(SUBSTITUTE($I630,"-","")))</f>
        <v/>
      </c>
      <c r="K630" s="16">
        <f>IF($J630="",0,LEN($J630))</f>
        <v/>
      </c>
      <c r="L630" s="16">
        <f>IF($I630="","",UPPER(TRIM(SUBSTITUTE(IFERROR(INDEX(tblVeriB[FaturaNo],ROW()-ROW(tblVeriB[[#Headers]])),"")," ",""))))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UPPER(TRIM(SUBSTITUTE($A631,"-","")))</f>
        <v/>
      </c>
      <c r="C631" s="16">
        <f>IF($B631="",0,LEN($B631))</f>
        <v/>
      </c>
      <c r="D631" s="16">
        <f>IF($A631="","",UPPER(TRIM(SUBSTITUTE(IFERROR(INDEX(tblVeriA[FaturaNo],ROW()-ROW(tblVeriA[[#Headers]])),"")," ",""))))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UPPER(TRIM(SUBSTITUTE($I631,"-","")))</f>
        <v/>
      </c>
      <c r="K631" s="16">
        <f>IF($J631="",0,LEN($J631))</f>
        <v/>
      </c>
      <c r="L631" s="16">
        <f>IF($I631="","",UPPER(TRIM(SUBSTITUTE(IFERROR(INDEX(tblVeriB[FaturaNo],ROW()-ROW(tblVeriB[[#Headers]])),"")," ",""))))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UPPER(TRIM(SUBSTITUTE($A632,"-","")))</f>
        <v/>
      </c>
      <c r="C632" s="16">
        <f>IF($B632="",0,LEN($B632))</f>
        <v/>
      </c>
      <c r="D632" s="16">
        <f>IF($A632="","",UPPER(TRIM(SUBSTITUTE(IFERROR(INDEX(tblVeriA[FaturaNo],ROW()-ROW(tblVeriA[[#Headers]])),"")," ",""))))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UPPER(TRIM(SUBSTITUTE($I632,"-","")))</f>
        <v/>
      </c>
      <c r="K632" s="16">
        <f>IF($J632="",0,LEN($J632))</f>
        <v/>
      </c>
      <c r="L632" s="16">
        <f>IF($I632="","",UPPER(TRIM(SUBSTITUTE(IFERROR(INDEX(tblVeriB[FaturaNo],ROW()-ROW(tblVeriB[[#Headers]])),"")," ",""))))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UPPER(TRIM(SUBSTITUTE($A633,"-","")))</f>
        <v/>
      </c>
      <c r="C633" s="16">
        <f>IF($B633="",0,LEN($B633))</f>
        <v/>
      </c>
      <c r="D633" s="16">
        <f>IF($A633="","",UPPER(TRIM(SUBSTITUTE(IFERROR(INDEX(tblVeriA[FaturaNo],ROW()-ROW(tblVeriA[[#Headers]])),"")," ",""))))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UPPER(TRIM(SUBSTITUTE($I633,"-","")))</f>
        <v/>
      </c>
      <c r="K633" s="16">
        <f>IF($J633="",0,LEN($J633))</f>
        <v/>
      </c>
      <c r="L633" s="16">
        <f>IF($I633="","",UPPER(TRIM(SUBSTITUTE(IFERROR(INDEX(tblVeriB[FaturaNo],ROW()-ROW(tblVeriB[[#Headers]])),"")," ",""))))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UPPER(TRIM(SUBSTITUTE($A634,"-","")))</f>
        <v/>
      </c>
      <c r="C634" s="16">
        <f>IF($B634="",0,LEN($B634))</f>
        <v/>
      </c>
      <c r="D634" s="16">
        <f>IF($A634="","",UPPER(TRIM(SUBSTITUTE(IFERROR(INDEX(tblVeriA[FaturaNo],ROW()-ROW(tblVeriA[[#Headers]])),"")," ",""))))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UPPER(TRIM(SUBSTITUTE($I634,"-","")))</f>
        <v/>
      </c>
      <c r="K634" s="16">
        <f>IF($J634="",0,LEN($J634))</f>
        <v/>
      </c>
      <c r="L634" s="16">
        <f>IF($I634="","",UPPER(TRIM(SUBSTITUTE(IFERROR(INDEX(tblVeriB[FaturaNo],ROW()-ROW(tblVeriB[[#Headers]])),"")," ",""))))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UPPER(TRIM(SUBSTITUTE($A635,"-","")))</f>
        <v/>
      </c>
      <c r="C635" s="16">
        <f>IF($B635="",0,LEN($B635))</f>
        <v/>
      </c>
      <c r="D635" s="16">
        <f>IF($A635="","",UPPER(TRIM(SUBSTITUTE(IFERROR(INDEX(tblVeriA[FaturaNo],ROW()-ROW(tblVeriA[[#Headers]])),"")," ",""))))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UPPER(TRIM(SUBSTITUTE($I635,"-","")))</f>
        <v/>
      </c>
      <c r="K635" s="16">
        <f>IF($J635="",0,LEN($J635))</f>
        <v/>
      </c>
      <c r="L635" s="16">
        <f>IF($I635="","",UPPER(TRIM(SUBSTITUTE(IFERROR(INDEX(tblVeriB[FaturaNo],ROW()-ROW(tblVeriB[[#Headers]])),"")," ",""))))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UPPER(TRIM(SUBSTITUTE($A636,"-","")))</f>
        <v/>
      </c>
      <c r="C636" s="16">
        <f>IF($B636="",0,LEN($B636))</f>
        <v/>
      </c>
      <c r="D636" s="16">
        <f>IF($A636="","",UPPER(TRIM(SUBSTITUTE(IFERROR(INDEX(tblVeriA[FaturaNo],ROW()-ROW(tblVeriA[[#Headers]])),"")," ",""))))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UPPER(TRIM(SUBSTITUTE($I636,"-","")))</f>
        <v/>
      </c>
      <c r="K636" s="16">
        <f>IF($J636="",0,LEN($J636))</f>
        <v/>
      </c>
      <c r="L636" s="16">
        <f>IF($I636="","",UPPER(TRIM(SUBSTITUTE(IFERROR(INDEX(tblVeriB[FaturaNo],ROW()-ROW(tblVeriB[[#Headers]])),"")," ",""))))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UPPER(TRIM(SUBSTITUTE($A637,"-","")))</f>
        <v/>
      </c>
      <c r="C637" s="16">
        <f>IF($B637="",0,LEN($B637))</f>
        <v/>
      </c>
      <c r="D637" s="16">
        <f>IF($A637="","",UPPER(TRIM(SUBSTITUTE(IFERROR(INDEX(tblVeriA[FaturaNo],ROW()-ROW(tblVeriA[[#Headers]])),"")," ",""))))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UPPER(TRIM(SUBSTITUTE($I637,"-","")))</f>
        <v/>
      </c>
      <c r="K637" s="16">
        <f>IF($J637="",0,LEN($J637))</f>
        <v/>
      </c>
      <c r="L637" s="16">
        <f>IF($I637="","",UPPER(TRIM(SUBSTITUTE(IFERROR(INDEX(tblVeriB[FaturaNo],ROW()-ROW(tblVeriB[[#Headers]])),"")," ",""))))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UPPER(TRIM(SUBSTITUTE($A638,"-","")))</f>
        <v/>
      </c>
      <c r="C638" s="16">
        <f>IF($B638="",0,LEN($B638))</f>
        <v/>
      </c>
      <c r="D638" s="16">
        <f>IF($A638="","",UPPER(TRIM(SUBSTITUTE(IFERROR(INDEX(tblVeriA[FaturaNo],ROW()-ROW(tblVeriA[[#Headers]])),"")," ",""))))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UPPER(TRIM(SUBSTITUTE($I638,"-","")))</f>
        <v/>
      </c>
      <c r="K638" s="16">
        <f>IF($J638="",0,LEN($J638))</f>
        <v/>
      </c>
      <c r="L638" s="16">
        <f>IF($I638="","",UPPER(TRIM(SUBSTITUTE(IFERROR(INDEX(tblVeriB[FaturaNo],ROW()-ROW(tblVeriB[[#Headers]])),"")," ",""))))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UPPER(TRIM(SUBSTITUTE($A639,"-","")))</f>
        <v/>
      </c>
      <c r="C639" s="16">
        <f>IF($B639="",0,LEN($B639))</f>
        <v/>
      </c>
      <c r="D639" s="16">
        <f>IF($A639="","",UPPER(TRIM(SUBSTITUTE(IFERROR(INDEX(tblVeriA[FaturaNo],ROW()-ROW(tblVeriA[[#Headers]])),"")," ",""))))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UPPER(TRIM(SUBSTITUTE($I639,"-","")))</f>
        <v/>
      </c>
      <c r="K639" s="16">
        <f>IF($J639="",0,LEN($J639))</f>
        <v/>
      </c>
      <c r="L639" s="16">
        <f>IF($I639="","",UPPER(TRIM(SUBSTITUTE(IFERROR(INDEX(tblVeriB[FaturaNo],ROW()-ROW(tblVeriB[[#Headers]])),"")," ",""))))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UPPER(TRIM(SUBSTITUTE($A640,"-","")))</f>
        <v/>
      </c>
      <c r="C640" s="16">
        <f>IF($B640="",0,LEN($B640))</f>
        <v/>
      </c>
      <c r="D640" s="16">
        <f>IF($A640="","",UPPER(TRIM(SUBSTITUTE(IFERROR(INDEX(tblVeriA[FaturaNo],ROW()-ROW(tblVeriA[[#Headers]])),"")," ",""))))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UPPER(TRIM(SUBSTITUTE($I640,"-","")))</f>
        <v/>
      </c>
      <c r="K640" s="16">
        <f>IF($J640="",0,LEN($J640))</f>
        <v/>
      </c>
      <c r="L640" s="16">
        <f>IF($I640="","",UPPER(TRIM(SUBSTITUTE(IFERROR(INDEX(tblVeriB[FaturaNo],ROW()-ROW(tblVeriB[[#Headers]])),"")," ",""))))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UPPER(TRIM(SUBSTITUTE($A641,"-","")))</f>
        <v/>
      </c>
      <c r="C641" s="16">
        <f>IF($B641="",0,LEN($B641))</f>
        <v/>
      </c>
      <c r="D641" s="16">
        <f>IF($A641="","",UPPER(TRIM(SUBSTITUTE(IFERROR(INDEX(tblVeriA[FaturaNo],ROW()-ROW(tblVeriA[[#Headers]])),"")," ",""))))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UPPER(TRIM(SUBSTITUTE($I641,"-","")))</f>
        <v/>
      </c>
      <c r="K641" s="16">
        <f>IF($J641="",0,LEN($J641))</f>
        <v/>
      </c>
      <c r="L641" s="16">
        <f>IF($I641="","",UPPER(TRIM(SUBSTITUTE(IFERROR(INDEX(tblVeriB[FaturaNo],ROW()-ROW(tblVeriB[[#Headers]])),"")," ",""))))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UPPER(TRIM(SUBSTITUTE($A642,"-","")))</f>
        <v/>
      </c>
      <c r="C642" s="16">
        <f>IF($B642="",0,LEN($B642))</f>
        <v/>
      </c>
      <c r="D642" s="16">
        <f>IF($A642="","",UPPER(TRIM(SUBSTITUTE(IFERROR(INDEX(tblVeriA[FaturaNo],ROW()-ROW(tblVeriA[[#Headers]])),"")," ",""))))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UPPER(TRIM(SUBSTITUTE($I642,"-","")))</f>
        <v/>
      </c>
      <c r="K642" s="16">
        <f>IF($J642="",0,LEN($J642))</f>
        <v/>
      </c>
      <c r="L642" s="16">
        <f>IF($I642="","",UPPER(TRIM(SUBSTITUTE(IFERROR(INDEX(tblVeriB[FaturaNo],ROW()-ROW(tblVeriB[[#Headers]])),"")," ",""))))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UPPER(TRIM(SUBSTITUTE($A643,"-","")))</f>
        <v/>
      </c>
      <c r="C643" s="16">
        <f>IF($B643="",0,LEN($B643))</f>
        <v/>
      </c>
      <c r="D643" s="16">
        <f>IF($A643="","",UPPER(TRIM(SUBSTITUTE(IFERROR(INDEX(tblVeriA[FaturaNo],ROW()-ROW(tblVeriA[[#Headers]])),"")," ",""))))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UPPER(TRIM(SUBSTITUTE($I643,"-","")))</f>
        <v/>
      </c>
      <c r="K643" s="16">
        <f>IF($J643="",0,LEN($J643))</f>
        <v/>
      </c>
      <c r="L643" s="16">
        <f>IF($I643="","",UPPER(TRIM(SUBSTITUTE(IFERROR(INDEX(tblVeriB[FaturaNo],ROW()-ROW(tblVeriB[[#Headers]])),"")," ",""))))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UPPER(TRIM(SUBSTITUTE($A644,"-","")))</f>
        <v/>
      </c>
      <c r="C644" s="16">
        <f>IF($B644="",0,LEN($B644))</f>
        <v/>
      </c>
      <c r="D644" s="16">
        <f>IF($A644="","",UPPER(TRIM(SUBSTITUTE(IFERROR(INDEX(tblVeriA[FaturaNo],ROW()-ROW(tblVeriA[[#Headers]])),"")," ",""))))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UPPER(TRIM(SUBSTITUTE($I644,"-","")))</f>
        <v/>
      </c>
      <c r="K644" s="16">
        <f>IF($J644="",0,LEN($J644))</f>
        <v/>
      </c>
      <c r="L644" s="16">
        <f>IF($I644="","",UPPER(TRIM(SUBSTITUTE(IFERROR(INDEX(tblVeriB[FaturaNo],ROW()-ROW(tblVeriB[[#Headers]])),"")," ",""))))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UPPER(TRIM(SUBSTITUTE($A645,"-","")))</f>
        <v/>
      </c>
      <c r="C645" s="16">
        <f>IF($B645="",0,LEN($B645))</f>
        <v/>
      </c>
      <c r="D645" s="16">
        <f>IF($A645="","",UPPER(TRIM(SUBSTITUTE(IFERROR(INDEX(tblVeriA[FaturaNo],ROW()-ROW(tblVeriA[[#Headers]])),"")," ",""))))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UPPER(TRIM(SUBSTITUTE($I645,"-","")))</f>
        <v/>
      </c>
      <c r="K645" s="16">
        <f>IF($J645="",0,LEN($J645))</f>
        <v/>
      </c>
      <c r="L645" s="16">
        <f>IF($I645="","",UPPER(TRIM(SUBSTITUTE(IFERROR(INDEX(tblVeriB[FaturaNo],ROW()-ROW(tblVeriB[[#Headers]])),"")," ",""))))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UPPER(TRIM(SUBSTITUTE($A646,"-","")))</f>
        <v/>
      </c>
      <c r="C646" s="16">
        <f>IF($B646="",0,LEN($B646))</f>
        <v/>
      </c>
      <c r="D646" s="16">
        <f>IF($A646="","",UPPER(TRIM(SUBSTITUTE(IFERROR(INDEX(tblVeriA[FaturaNo],ROW()-ROW(tblVeriA[[#Headers]])),"")," ",""))))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UPPER(TRIM(SUBSTITUTE($I646,"-","")))</f>
        <v/>
      </c>
      <c r="K646" s="16">
        <f>IF($J646="",0,LEN($J646))</f>
        <v/>
      </c>
      <c r="L646" s="16">
        <f>IF($I646="","",UPPER(TRIM(SUBSTITUTE(IFERROR(INDEX(tblVeriB[FaturaNo],ROW()-ROW(tblVeriB[[#Headers]])),"")," ",""))))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UPPER(TRIM(SUBSTITUTE($A647,"-","")))</f>
        <v/>
      </c>
      <c r="C647" s="16">
        <f>IF($B647="",0,LEN($B647))</f>
        <v/>
      </c>
      <c r="D647" s="16">
        <f>IF($A647="","",UPPER(TRIM(SUBSTITUTE(IFERROR(INDEX(tblVeriA[FaturaNo],ROW()-ROW(tblVeriA[[#Headers]])),"")," ",""))))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UPPER(TRIM(SUBSTITUTE($I647,"-","")))</f>
        <v/>
      </c>
      <c r="K647" s="16">
        <f>IF($J647="",0,LEN($J647))</f>
        <v/>
      </c>
      <c r="L647" s="16">
        <f>IF($I647="","",UPPER(TRIM(SUBSTITUTE(IFERROR(INDEX(tblVeriB[FaturaNo],ROW()-ROW(tblVeriB[[#Headers]])),"")," ",""))))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UPPER(TRIM(SUBSTITUTE($A648,"-","")))</f>
        <v/>
      </c>
      <c r="C648" s="16">
        <f>IF($B648="",0,LEN($B648))</f>
        <v/>
      </c>
      <c r="D648" s="16">
        <f>IF($A648="","",UPPER(TRIM(SUBSTITUTE(IFERROR(INDEX(tblVeriA[FaturaNo],ROW()-ROW(tblVeriA[[#Headers]])),"")," ",""))))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UPPER(TRIM(SUBSTITUTE($I648,"-","")))</f>
        <v/>
      </c>
      <c r="K648" s="16">
        <f>IF($J648="",0,LEN($J648))</f>
        <v/>
      </c>
      <c r="L648" s="16">
        <f>IF($I648="","",UPPER(TRIM(SUBSTITUTE(IFERROR(INDEX(tblVeriB[FaturaNo],ROW()-ROW(tblVeriB[[#Headers]])),"")," ",""))))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UPPER(TRIM(SUBSTITUTE($A649,"-","")))</f>
        <v/>
      </c>
      <c r="C649" s="16">
        <f>IF($B649="",0,LEN($B649))</f>
        <v/>
      </c>
      <c r="D649" s="16">
        <f>IF($A649="","",UPPER(TRIM(SUBSTITUTE(IFERROR(INDEX(tblVeriA[FaturaNo],ROW()-ROW(tblVeriA[[#Headers]])),"")," ",""))))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UPPER(TRIM(SUBSTITUTE($I649,"-","")))</f>
        <v/>
      </c>
      <c r="K649" s="16">
        <f>IF($J649="",0,LEN($J649))</f>
        <v/>
      </c>
      <c r="L649" s="16">
        <f>IF($I649="","",UPPER(TRIM(SUBSTITUTE(IFERROR(INDEX(tblVeriB[FaturaNo],ROW()-ROW(tblVeriB[[#Headers]])),"")," ",""))))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UPPER(TRIM(SUBSTITUTE($A650,"-","")))</f>
        <v/>
      </c>
      <c r="C650" s="16">
        <f>IF($B650="",0,LEN($B650))</f>
        <v/>
      </c>
      <c r="D650" s="16">
        <f>IF($A650="","",UPPER(TRIM(SUBSTITUTE(IFERROR(INDEX(tblVeriA[FaturaNo],ROW()-ROW(tblVeriA[[#Headers]])),"")," ",""))))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UPPER(TRIM(SUBSTITUTE($I650,"-","")))</f>
        <v/>
      </c>
      <c r="K650" s="16">
        <f>IF($J650="",0,LEN($J650))</f>
        <v/>
      </c>
      <c r="L650" s="16">
        <f>IF($I650="","",UPPER(TRIM(SUBSTITUTE(IFERROR(INDEX(tblVeriB[FaturaNo],ROW()-ROW(tblVeriB[[#Headers]])),"")," ",""))))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UPPER(TRIM(SUBSTITUTE($A651,"-","")))</f>
        <v/>
      </c>
      <c r="C651" s="16">
        <f>IF($B651="",0,LEN($B651))</f>
        <v/>
      </c>
      <c r="D651" s="16">
        <f>IF($A651="","",UPPER(TRIM(SUBSTITUTE(IFERROR(INDEX(tblVeriA[FaturaNo],ROW()-ROW(tblVeriA[[#Headers]])),"")," ",""))))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UPPER(TRIM(SUBSTITUTE($I651,"-","")))</f>
        <v/>
      </c>
      <c r="K651" s="16">
        <f>IF($J651="",0,LEN($J651))</f>
        <v/>
      </c>
      <c r="L651" s="16">
        <f>IF($I651="","",UPPER(TRIM(SUBSTITUTE(IFERROR(INDEX(tblVeriB[FaturaNo],ROW()-ROW(tblVeriB[[#Headers]])),"")," ",""))))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UPPER(TRIM(SUBSTITUTE($A652,"-","")))</f>
        <v/>
      </c>
      <c r="C652" s="16">
        <f>IF($B652="",0,LEN($B652))</f>
        <v/>
      </c>
      <c r="D652" s="16">
        <f>IF($A652="","",UPPER(TRIM(SUBSTITUTE(IFERROR(INDEX(tblVeriA[FaturaNo],ROW()-ROW(tblVeriA[[#Headers]])),"")," ",""))))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UPPER(TRIM(SUBSTITUTE($I652,"-","")))</f>
        <v/>
      </c>
      <c r="K652" s="16">
        <f>IF($J652="",0,LEN($J652))</f>
        <v/>
      </c>
      <c r="L652" s="16">
        <f>IF($I652="","",UPPER(TRIM(SUBSTITUTE(IFERROR(INDEX(tblVeriB[FaturaNo],ROW()-ROW(tblVeriB[[#Headers]])),"")," ",""))))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UPPER(TRIM(SUBSTITUTE($A653,"-","")))</f>
        <v/>
      </c>
      <c r="C653" s="16">
        <f>IF($B653="",0,LEN($B653))</f>
        <v/>
      </c>
      <c r="D653" s="16">
        <f>IF($A653="","",UPPER(TRIM(SUBSTITUTE(IFERROR(INDEX(tblVeriA[FaturaNo],ROW()-ROW(tblVeriA[[#Headers]])),"")," ",""))))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UPPER(TRIM(SUBSTITUTE($I653,"-","")))</f>
        <v/>
      </c>
      <c r="K653" s="16">
        <f>IF($J653="",0,LEN($J653))</f>
        <v/>
      </c>
      <c r="L653" s="16">
        <f>IF($I653="","",UPPER(TRIM(SUBSTITUTE(IFERROR(INDEX(tblVeriB[FaturaNo],ROW()-ROW(tblVeriB[[#Headers]])),"")," ",""))))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UPPER(TRIM(SUBSTITUTE($A654,"-","")))</f>
        <v/>
      </c>
      <c r="C654" s="16">
        <f>IF($B654="",0,LEN($B654))</f>
        <v/>
      </c>
      <c r="D654" s="16">
        <f>IF($A654="","",UPPER(TRIM(SUBSTITUTE(IFERROR(INDEX(tblVeriA[FaturaNo],ROW()-ROW(tblVeriA[[#Headers]])),"")," ",""))))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UPPER(TRIM(SUBSTITUTE($I654,"-","")))</f>
        <v/>
      </c>
      <c r="K654" s="16">
        <f>IF($J654="",0,LEN($J654))</f>
        <v/>
      </c>
      <c r="L654" s="16">
        <f>IF($I654="","",UPPER(TRIM(SUBSTITUTE(IFERROR(INDEX(tblVeriB[FaturaNo],ROW()-ROW(tblVeriB[[#Headers]])),"")," ",""))))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UPPER(TRIM(SUBSTITUTE($A655,"-","")))</f>
        <v/>
      </c>
      <c r="C655" s="16">
        <f>IF($B655="",0,LEN($B655))</f>
        <v/>
      </c>
      <c r="D655" s="16">
        <f>IF($A655="","",UPPER(TRIM(SUBSTITUTE(IFERROR(INDEX(tblVeriA[FaturaNo],ROW()-ROW(tblVeriA[[#Headers]])),"")," ",""))))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UPPER(TRIM(SUBSTITUTE($I655,"-","")))</f>
        <v/>
      </c>
      <c r="K655" s="16">
        <f>IF($J655="",0,LEN($J655))</f>
        <v/>
      </c>
      <c r="L655" s="16">
        <f>IF($I655="","",UPPER(TRIM(SUBSTITUTE(IFERROR(INDEX(tblVeriB[FaturaNo],ROW()-ROW(tblVeriB[[#Headers]])),"")," ",""))))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UPPER(TRIM(SUBSTITUTE($A656,"-","")))</f>
        <v/>
      </c>
      <c r="C656" s="16">
        <f>IF($B656="",0,LEN($B656))</f>
        <v/>
      </c>
      <c r="D656" s="16">
        <f>IF($A656="","",UPPER(TRIM(SUBSTITUTE(IFERROR(INDEX(tblVeriA[FaturaNo],ROW()-ROW(tblVeriA[[#Headers]])),"")," ",""))))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UPPER(TRIM(SUBSTITUTE($I656,"-","")))</f>
        <v/>
      </c>
      <c r="K656" s="16">
        <f>IF($J656="",0,LEN($J656))</f>
        <v/>
      </c>
      <c r="L656" s="16">
        <f>IF($I656="","",UPPER(TRIM(SUBSTITUTE(IFERROR(INDEX(tblVeriB[FaturaNo],ROW()-ROW(tblVeriB[[#Headers]])),"")," ",""))))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UPPER(TRIM(SUBSTITUTE($A657,"-","")))</f>
        <v/>
      </c>
      <c r="C657" s="16">
        <f>IF($B657="",0,LEN($B657))</f>
        <v/>
      </c>
      <c r="D657" s="16">
        <f>IF($A657="","",UPPER(TRIM(SUBSTITUTE(IFERROR(INDEX(tblVeriA[FaturaNo],ROW()-ROW(tblVeriA[[#Headers]])),"")," ",""))))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UPPER(TRIM(SUBSTITUTE($I657,"-","")))</f>
        <v/>
      </c>
      <c r="K657" s="16">
        <f>IF($J657="",0,LEN($J657))</f>
        <v/>
      </c>
      <c r="L657" s="16">
        <f>IF($I657="","",UPPER(TRIM(SUBSTITUTE(IFERROR(INDEX(tblVeriB[FaturaNo],ROW()-ROW(tblVeriB[[#Headers]])),"")," ",""))))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UPPER(TRIM(SUBSTITUTE($A658,"-","")))</f>
        <v/>
      </c>
      <c r="C658" s="16">
        <f>IF($B658="",0,LEN($B658))</f>
        <v/>
      </c>
      <c r="D658" s="16">
        <f>IF($A658="","",UPPER(TRIM(SUBSTITUTE(IFERROR(INDEX(tblVeriA[FaturaNo],ROW()-ROW(tblVeriA[[#Headers]])),"")," ",""))))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UPPER(TRIM(SUBSTITUTE($I658,"-","")))</f>
        <v/>
      </c>
      <c r="K658" s="16">
        <f>IF($J658="",0,LEN($J658))</f>
        <v/>
      </c>
      <c r="L658" s="16">
        <f>IF($I658="","",UPPER(TRIM(SUBSTITUTE(IFERROR(INDEX(tblVeriB[FaturaNo],ROW()-ROW(tblVeriB[[#Headers]])),"")," ",""))))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UPPER(TRIM(SUBSTITUTE($A659,"-","")))</f>
        <v/>
      </c>
      <c r="C659" s="16">
        <f>IF($B659="",0,LEN($B659))</f>
        <v/>
      </c>
      <c r="D659" s="16">
        <f>IF($A659="","",UPPER(TRIM(SUBSTITUTE(IFERROR(INDEX(tblVeriA[FaturaNo],ROW()-ROW(tblVeriA[[#Headers]])),"")," ",""))))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UPPER(TRIM(SUBSTITUTE($I659,"-","")))</f>
        <v/>
      </c>
      <c r="K659" s="16">
        <f>IF($J659="",0,LEN($J659))</f>
        <v/>
      </c>
      <c r="L659" s="16">
        <f>IF($I659="","",UPPER(TRIM(SUBSTITUTE(IFERROR(INDEX(tblVeriB[FaturaNo],ROW()-ROW(tblVeriB[[#Headers]])),"")," ",""))))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UPPER(TRIM(SUBSTITUTE($A660,"-","")))</f>
        <v/>
      </c>
      <c r="C660" s="16">
        <f>IF($B660="",0,LEN($B660))</f>
        <v/>
      </c>
      <c r="D660" s="16">
        <f>IF($A660="","",UPPER(TRIM(SUBSTITUTE(IFERROR(INDEX(tblVeriA[FaturaNo],ROW()-ROW(tblVeriA[[#Headers]])),"")," ",""))))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UPPER(TRIM(SUBSTITUTE($I660,"-","")))</f>
        <v/>
      </c>
      <c r="K660" s="16">
        <f>IF($J660="",0,LEN($J660))</f>
        <v/>
      </c>
      <c r="L660" s="16">
        <f>IF($I660="","",UPPER(TRIM(SUBSTITUTE(IFERROR(INDEX(tblVeriB[FaturaNo],ROW()-ROW(tblVeriB[[#Headers]])),"")," ",""))))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UPPER(TRIM(SUBSTITUTE($A661,"-","")))</f>
        <v/>
      </c>
      <c r="C661" s="16">
        <f>IF($B661="",0,LEN($B661))</f>
        <v/>
      </c>
      <c r="D661" s="16">
        <f>IF($A661="","",UPPER(TRIM(SUBSTITUTE(IFERROR(INDEX(tblVeriA[FaturaNo],ROW()-ROW(tblVeriA[[#Headers]])),"")," ",""))))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UPPER(TRIM(SUBSTITUTE($I661,"-","")))</f>
        <v/>
      </c>
      <c r="K661" s="16">
        <f>IF($J661="",0,LEN($J661))</f>
        <v/>
      </c>
      <c r="L661" s="16">
        <f>IF($I661="","",UPPER(TRIM(SUBSTITUTE(IFERROR(INDEX(tblVeriB[FaturaNo],ROW()-ROW(tblVeriB[[#Headers]])),"")," ",""))))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UPPER(TRIM(SUBSTITUTE($A662,"-","")))</f>
        <v/>
      </c>
      <c r="C662" s="16">
        <f>IF($B662="",0,LEN($B662))</f>
        <v/>
      </c>
      <c r="D662" s="16">
        <f>IF($A662="","",UPPER(TRIM(SUBSTITUTE(IFERROR(INDEX(tblVeriA[FaturaNo],ROW()-ROW(tblVeriA[[#Headers]])),"")," ",""))))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UPPER(TRIM(SUBSTITUTE($I662,"-","")))</f>
        <v/>
      </c>
      <c r="K662" s="16">
        <f>IF($J662="",0,LEN($J662))</f>
        <v/>
      </c>
      <c r="L662" s="16">
        <f>IF($I662="","",UPPER(TRIM(SUBSTITUTE(IFERROR(INDEX(tblVeriB[FaturaNo],ROW()-ROW(tblVeriB[[#Headers]])),"")," ",""))))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UPPER(TRIM(SUBSTITUTE($A663,"-","")))</f>
        <v/>
      </c>
      <c r="C663" s="16">
        <f>IF($B663="",0,LEN($B663))</f>
        <v/>
      </c>
      <c r="D663" s="16">
        <f>IF($A663="","",UPPER(TRIM(SUBSTITUTE(IFERROR(INDEX(tblVeriA[FaturaNo],ROW()-ROW(tblVeriA[[#Headers]])),"")," ",""))))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UPPER(TRIM(SUBSTITUTE($I663,"-","")))</f>
        <v/>
      </c>
      <c r="K663" s="16">
        <f>IF($J663="",0,LEN($J663))</f>
        <v/>
      </c>
      <c r="L663" s="16">
        <f>IF($I663="","",UPPER(TRIM(SUBSTITUTE(IFERROR(INDEX(tblVeriB[FaturaNo],ROW()-ROW(tblVeriB[[#Headers]])),"")," ",""))))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UPPER(TRIM(SUBSTITUTE($A664,"-","")))</f>
        <v/>
      </c>
      <c r="C664" s="16">
        <f>IF($B664="",0,LEN($B664))</f>
        <v/>
      </c>
      <c r="D664" s="16">
        <f>IF($A664="","",UPPER(TRIM(SUBSTITUTE(IFERROR(INDEX(tblVeriA[FaturaNo],ROW()-ROW(tblVeriA[[#Headers]])),"")," ",""))))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UPPER(TRIM(SUBSTITUTE($I664,"-","")))</f>
        <v/>
      </c>
      <c r="K664" s="16">
        <f>IF($J664="",0,LEN($J664))</f>
        <v/>
      </c>
      <c r="L664" s="16">
        <f>IF($I664="","",UPPER(TRIM(SUBSTITUTE(IFERROR(INDEX(tblVeriB[FaturaNo],ROW()-ROW(tblVeriB[[#Headers]])),"")," ",""))))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UPPER(TRIM(SUBSTITUTE($A665,"-","")))</f>
        <v/>
      </c>
      <c r="C665" s="16">
        <f>IF($B665="",0,LEN($B665))</f>
        <v/>
      </c>
      <c r="D665" s="16">
        <f>IF($A665="","",UPPER(TRIM(SUBSTITUTE(IFERROR(INDEX(tblVeriA[FaturaNo],ROW()-ROW(tblVeriA[[#Headers]])),"")," ",""))))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UPPER(TRIM(SUBSTITUTE($I665,"-","")))</f>
        <v/>
      </c>
      <c r="K665" s="16">
        <f>IF($J665="",0,LEN($J665))</f>
        <v/>
      </c>
      <c r="L665" s="16">
        <f>IF($I665="","",UPPER(TRIM(SUBSTITUTE(IFERROR(INDEX(tblVeriB[FaturaNo],ROW()-ROW(tblVeriB[[#Headers]])),"")," ",""))))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UPPER(TRIM(SUBSTITUTE($A666,"-","")))</f>
        <v/>
      </c>
      <c r="C666" s="16">
        <f>IF($B666="",0,LEN($B666))</f>
        <v/>
      </c>
      <c r="D666" s="16">
        <f>IF($A666="","",UPPER(TRIM(SUBSTITUTE(IFERROR(INDEX(tblVeriA[FaturaNo],ROW()-ROW(tblVeriA[[#Headers]])),"")," ",""))))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UPPER(TRIM(SUBSTITUTE($I666,"-","")))</f>
        <v/>
      </c>
      <c r="K666" s="16">
        <f>IF($J666="",0,LEN($J666))</f>
        <v/>
      </c>
      <c r="L666" s="16">
        <f>IF($I666="","",UPPER(TRIM(SUBSTITUTE(IFERROR(INDEX(tblVeriB[FaturaNo],ROW()-ROW(tblVeriB[[#Headers]])),"")," ",""))))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UPPER(TRIM(SUBSTITUTE($A667,"-","")))</f>
        <v/>
      </c>
      <c r="C667" s="16">
        <f>IF($B667="",0,LEN($B667))</f>
        <v/>
      </c>
      <c r="D667" s="16">
        <f>IF($A667="","",UPPER(TRIM(SUBSTITUTE(IFERROR(INDEX(tblVeriA[FaturaNo],ROW()-ROW(tblVeriA[[#Headers]])),"")," ",""))))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UPPER(TRIM(SUBSTITUTE($I667,"-","")))</f>
        <v/>
      </c>
      <c r="K667" s="16">
        <f>IF($J667="",0,LEN($J667))</f>
        <v/>
      </c>
      <c r="L667" s="16">
        <f>IF($I667="","",UPPER(TRIM(SUBSTITUTE(IFERROR(INDEX(tblVeriB[FaturaNo],ROW()-ROW(tblVeriB[[#Headers]])),"")," ",""))))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UPPER(TRIM(SUBSTITUTE($A668,"-","")))</f>
        <v/>
      </c>
      <c r="C668" s="16">
        <f>IF($B668="",0,LEN($B668))</f>
        <v/>
      </c>
      <c r="D668" s="16">
        <f>IF($A668="","",UPPER(TRIM(SUBSTITUTE(IFERROR(INDEX(tblVeriA[FaturaNo],ROW()-ROW(tblVeriA[[#Headers]])),"")," ",""))))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UPPER(TRIM(SUBSTITUTE($I668,"-","")))</f>
        <v/>
      </c>
      <c r="K668" s="16">
        <f>IF($J668="",0,LEN($J668))</f>
        <v/>
      </c>
      <c r="L668" s="16">
        <f>IF($I668="","",UPPER(TRIM(SUBSTITUTE(IFERROR(INDEX(tblVeriB[FaturaNo],ROW()-ROW(tblVeriB[[#Headers]])),"")," ",""))))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UPPER(TRIM(SUBSTITUTE($A669,"-","")))</f>
        <v/>
      </c>
      <c r="C669" s="16">
        <f>IF($B669="",0,LEN($B669))</f>
        <v/>
      </c>
      <c r="D669" s="16">
        <f>IF($A669="","",UPPER(TRIM(SUBSTITUTE(IFERROR(INDEX(tblVeriA[FaturaNo],ROW()-ROW(tblVeriA[[#Headers]])),"")," ",""))))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UPPER(TRIM(SUBSTITUTE($I669,"-","")))</f>
        <v/>
      </c>
      <c r="K669" s="16">
        <f>IF($J669="",0,LEN($J669))</f>
        <v/>
      </c>
      <c r="L669" s="16">
        <f>IF($I669="","",UPPER(TRIM(SUBSTITUTE(IFERROR(INDEX(tblVeriB[FaturaNo],ROW()-ROW(tblVeriB[[#Headers]])),"")," ",""))))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UPPER(TRIM(SUBSTITUTE($A670,"-","")))</f>
        <v/>
      </c>
      <c r="C670" s="16">
        <f>IF($B670="",0,LEN($B670))</f>
        <v/>
      </c>
      <c r="D670" s="16">
        <f>IF($A670="","",UPPER(TRIM(SUBSTITUTE(IFERROR(INDEX(tblVeriA[FaturaNo],ROW()-ROW(tblVeriA[[#Headers]])),"")," ",""))))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UPPER(TRIM(SUBSTITUTE($I670,"-","")))</f>
        <v/>
      </c>
      <c r="K670" s="16">
        <f>IF($J670="",0,LEN($J670))</f>
        <v/>
      </c>
      <c r="L670" s="16">
        <f>IF($I670="","",UPPER(TRIM(SUBSTITUTE(IFERROR(INDEX(tblVeriB[FaturaNo],ROW()-ROW(tblVeriB[[#Headers]])),"")," ",""))))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UPPER(TRIM(SUBSTITUTE($A671,"-","")))</f>
        <v/>
      </c>
      <c r="C671" s="16">
        <f>IF($B671="",0,LEN($B671))</f>
        <v/>
      </c>
      <c r="D671" s="16">
        <f>IF($A671="","",UPPER(TRIM(SUBSTITUTE(IFERROR(INDEX(tblVeriA[FaturaNo],ROW()-ROW(tblVeriA[[#Headers]])),"")," ",""))))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UPPER(TRIM(SUBSTITUTE($I671,"-","")))</f>
        <v/>
      </c>
      <c r="K671" s="16">
        <f>IF($J671="",0,LEN($J671))</f>
        <v/>
      </c>
      <c r="L671" s="16">
        <f>IF($I671="","",UPPER(TRIM(SUBSTITUTE(IFERROR(INDEX(tblVeriB[FaturaNo],ROW()-ROW(tblVeriB[[#Headers]])),"")," ",""))))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UPPER(TRIM(SUBSTITUTE($A672,"-","")))</f>
        <v/>
      </c>
      <c r="C672" s="16">
        <f>IF($B672="",0,LEN($B672))</f>
        <v/>
      </c>
      <c r="D672" s="16">
        <f>IF($A672="","",UPPER(TRIM(SUBSTITUTE(IFERROR(INDEX(tblVeriA[FaturaNo],ROW()-ROW(tblVeriA[[#Headers]])),"")," ",""))))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UPPER(TRIM(SUBSTITUTE($I672,"-","")))</f>
        <v/>
      </c>
      <c r="K672" s="16">
        <f>IF($J672="",0,LEN($J672))</f>
        <v/>
      </c>
      <c r="L672" s="16">
        <f>IF($I672="","",UPPER(TRIM(SUBSTITUTE(IFERROR(INDEX(tblVeriB[FaturaNo],ROW()-ROW(tblVeriB[[#Headers]])),"")," ",""))))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UPPER(TRIM(SUBSTITUTE($A673,"-","")))</f>
        <v/>
      </c>
      <c r="C673" s="16">
        <f>IF($B673="",0,LEN($B673))</f>
        <v/>
      </c>
      <c r="D673" s="16">
        <f>IF($A673="","",UPPER(TRIM(SUBSTITUTE(IFERROR(INDEX(tblVeriA[FaturaNo],ROW()-ROW(tblVeriA[[#Headers]])),"")," ",""))))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UPPER(TRIM(SUBSTITUTE($I673,"-","")))</f>
        <v/>
      </c>
      <c r="K673" s="16">
        <f>IF($J673="",0,LEN($J673))</f>
        <v/>
      </c>
      <c r="L673" s="16">
        <f>IF($I673="","",UPPER(TRIM(SUBSTITUTE(IFERROR(INDEX(tblVeriB[FaturaNo],ROW()-ROW(tblVeriB[[#Headers]])),"")," ",""))))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UPPER(TRIM(SUBSTITUTE($A674,"-","")))</f>
        <v/>
      </c>
      <c r="C674" s="16">
        <f>IF($B674="",0,LEN($B674))</f>
        <v/>
      </c>
      <c r="D674" s="16">
        <f>IF($A674="","",UPPER(TRIM(SUBSTITUTE(IFERROR(INDEX(tblVeriA[FaturaNo],ROW()-ROW(tblVeriA[[#Headers]])),"")," ",""))))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UPPER(TRIM(SUBSTITUTE($I674,"-","")))</f>
        <v/>
      </c>
      <c r="K674" s="16">
        <f>IF($J674="",0,LEN($J674))</f>
        <v/>
      </c>
      <c r="L674" s="16">
        <f>IF($I674="","",UPPER(TRIM(SUBSTITUTE(IFERROR(INDEX(tblVeriB[FaturaNo],ROW()-ROW(tblVeriB[[#Headers]])),"")," ",""))))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UPPER(TRIM(SUBSTITUTE($A675,"-","")))</f>
        <v/>
      </c>
      <c r="C675" s="16">
        <f>IF($B675="",0,LEN($B675))</f>
        <v/>
      </c>
      <c r="D675" s="16">
        <f>IF($A675="","",UPPER(TRIM(SUBSTITUTE(IFERROR(INDEX(tblVeriA[FaturaNo],ROW()-ROW(tblVeriA[[#Headers]])),"")," ",""))))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UPPER(TRIM(SUBSTITUTE($I675,"-","")))</f>
        <v/>
      </c>
      <c r="K675" s="16">
        <f>IF($J675="",0,LEN($J675))</f>
        <v/>
      </c>
      <c r="L675" s="16">
        <f>IF($I675="","",UPPER(TRIM(SUBSTITUTE(IFERROR(INDEX(tblVeriB[FaturaNo],ROW()-ROW(tblVeriB[[#Headers]])),"")," ",""))))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UPPER(TRIM(SUBSTITUTE($A676,"-","")))</f>
        <v/>
      </c>
      <c r="C676" s="16">
        <f>IF($B676="",0,LEN($B676))</f>
        <v/>
      </c>
      <c r="D676" s="16">
        <f>IF($A676="","",UPPER(TRIM(SUBSTITUTE(IFERROR(INDEX(tblVeriA[FaturaNo],ROW()-ROW(tblVeriA[[#Headers]])),"")," ",""))))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UPPER(TRIM(SUBSTITUTE($I676,"-","")))</f>
        <v/>
      </c>
      <c r="K676" s="16">
        <f>IF($J676="",0,LEN($J676))</f>
        <v/>
      </c>
      <c r="L676" s="16">
        <f>IF($I676="","",UPPER(TRIM(SUBSTITUTE(IFERROR(INDEX(tblVeriB[FaturaNo],ROW()-ROW(tblVeriB[[#Headers]])),"")," ",""))))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UPPER(TRIM(SUBSTITUTE($A677,"-","")))</f>
        <v/>
      </c>
      <c r="C677" s="16">
        <f>IF($B677="",0,LEN($B677))</f>
        <v/>
      </c>
      <c r="D677" s="16">
        <f>IF($A677="","",UPPER(TRIM(SUBSTITUTE(IFERROR(INDEX(tblVeriA[FaturaNo],ROW()-ROW(tblVeriA[[#Headers]])),"")," ",""))))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UPPER(TRIM(SUBSTITUTE($I677,"-","")))</f>
        <v/>
      </c>
      <c r="K677" s="16">
        <f>IF($J677="",0,LEN($J677))</f>
        <v/>
      </c>
      <c r="L677" s="16">
        <f>IF($I677="","",UPPER(TRIM(SUBSTITUTE(IFERROR(INDEX(tblVeriB[FaturaNo],ROW()-ROW(tblVeriB[[#Headers]])),"")," ",""))))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UPPER(TRIM(SUBSTITUTE($A678,"-","")))</f>
        <v/>
      </c>
      <c r="C678" s="16">
        <f>IF($B678="",0,LEN($B678))</f>
        <v/>
      </c>
      <c r="D678" s="16">
        <f>IF($A678="","",UPPER(TRIM(SUBSTITUTE(IFERROR(INDEX(tblVeriA[FaturaNo],ROW()-ROW(tblVeriA[[#Headers]])),"")," ",""))))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UPPER(TRIM(SUBSTITUTE($I678,"-","")))</f>
        <v/>
      </c>
      <c r="K678" s="16">
        <f>IF($J678="",0,LEN($J678))</f>
        <v/>
      </c>
      <c r="L678" s="16">
        <f>IF($I678="","",UPPER(TRIM(SUBSTITUTE(IFERROR(INDEX(tblVeriB[FaturaNo],ROW()-ROW(tblVeriB[[#Headers]])),"")," ",""))))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UPPER(TRIM(SUBSTITUTE($A679,"-","")))</f>
        <v/>
      </c>
      <c r="C679" s="16">
        <f>IF($B679="",0,LEN($B679))</f>
        <v/>
      </c>
      <c r="D679" s="16">
        <f>IF($A679="","",UPPER(TRIM(SUBSTITUTE(IFERROR(INDEX(tblVeriA[FaturaNo],ROW()-ROW(tblVeriA[[#Headers]])),"")," ",""))))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UPPER(TRIM(SUBSTITUTE($I679,"-","")))</f>
        <v/>
      </c>
      <c r="K679" s="16">
        <f>IF($J679="",0,LEN($J679))</f>
        <v/>
      </c>
      <c r="L679" s="16">
        <f>IF($I679="","",UPPER(TRIM(SUBSTITUTE(IFERROR(INDEX(tblVeriB[FaturaNo],ROW()-ROW(tblVeriB[[#Headers]])),"")," ",""))))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UPPER(TRIM(SUBSTITUTE($A680,"-","")))</f>
        <v/>
      </c>
      <c r="C680" s="16">
        <f>IF($B680="",0,LEN($B680))</f>
        <v/>
      </c>
      <c r="D680" s="16">
        <f>IF($A680="","",UPPER(TRIM(SUBSTITUTE(IFERROR(INDEX(tblVeriA[FaturaNo],ROW()-ROW(tblVeriA[[#Headers]])),"")," ",""))))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UPPER(TRIM(SUBSTITUTE($I680,"-","")))</f>
        <v/>
      </c>
      <c r="K680" s="16">
        <f>IF($J680="",0,LEN($J680))</f>
        <v/>
      </c>
      <c r="L680" s="16">
        <f>IF($I680="","",UPPER(TRIM(SUBSTITUTE(IFERROR(INDEX(tblVeriB[FaturaNo],ROW()-ROW(tblVeriB[[#Headers]])),"")," ",""))))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UPPER(TRIM(SUBSTITUTE($A681,"-","")))</f>
        <v/>
      </c>
      <c r="C681" s="16">
        <f>IF($B681="",0,LEN($B681))</f>
        <v/>
      </c>
      <c r="D681" s="16">
        <f>IF($A681="","",UPPER(TRIM(SUBSTITUTE(IFERROR(INDEX(tblVeriA[FaturaNo],ROW()-ROW(tblVeriA[[#Headers]])),"")," ",""))))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UPPER(TRIM(SUBSTITUTE($I681,"-","")))</f>
        <v/>
      </c>
      <c r="K681" s="16">
        <f>IF($J681="",0,LEN($J681))</f>
        <v/>
      </c>
      <c r="L681" s="16">
        <f>IF($I681="","",UPPER(TRIM(SUBSTITUTE(IFERROR(INDEX(tblVeriB[FaturaNo],ROW()-ROW(tblVeriB[[#Headers]])),"")," ",""))))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UPPER(TRIM(SUBSTITUTE($A682,"-","")))</f>
        <v/>
      </c>
      <c r="C682" s="16">
        <f>IF($B682="",0,LEN($B682))</f>
        <v/>
      </c>
      <c r="D682" s="16">
        <f>IF($A682="","",UPPER(TRIM(SUBSTITUTE(IFERROR(INDEX(tblVeriA[FaturaNo],ROW()-ROW(tblVeriA[[#Headers]])),"")," ",""))))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UPPER(TRIM(SUBSTITUTE($I682,"-","")))</f>
        <v/>
      </c>
      <c r="K682" s="16">
        <f>IF($J682="",0,LEN($J682))</f>
        <v/>
      </c>
      <c r="L682" s="16">
        <f>IF($I682="","",UPPER(TRIM(SUBSTITUTE(IFERROR(INDEX(tblVeriB[FaturaNo],ROW()-ROW(tblVeriB[[#Headers]])),"")," ",""))))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UPPER(TRIM(SUBSTITUTE($A683,"-","")))</f>
        <v/>
      </c>
      <c r="C683" s="16">
        <f>IF($B683="",0,LEN($B683))</f>
        <v/>
      </c>
      <c r="D683" s="16">
        <f>IF($A683="","",UPPER(TRIM(SUBSTITUTE(IFERROR(INDEX(tblVeriA[FaturaNo],ROW()-ROW(tblVeriA[[#Headers]])),"")," ",""))))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UPPER(TRIM(SUBSTITUTE($I683,"-","")))</f>
        <v/>
      </c>
      <c r="K683" s="16">
        <f>IF($J683="",0,LEN($J683))</f>
        <v/>
      </c>
      <c r="L683" s="16">
        <f>IF($I683="","",UPPER(TRIM(SUBSTITUTE(IFERROR(INDEX(tblVeriB[FaturaNo],ROW()-ROW(tblVeriB[[#Headers]])),"")," ",""))))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UPPER(TRIM(SUBSTITUTE($A684,"-","")))</f>
        <v/>
      </c>
      <c r="C684" s="16">
        <f>IF($B684="",0,LEN($B684))</f>
        <v/>
      </c>
      <c r="D684" s="16">
        <f>IF($A684="","",UPPER(TRIM(SUBSTITUTE(IFERROR(INDEX(tblVeriA[FaturaNo],ROW()-ROW(tblVeriA[[#Headers]])),"")," ",""))))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UPPER(TRIM(SUBSTITUTE($I684,"-","")))</f>
        <v/>
      </c>
      <c r="K684" s="16">
        <f>IF($J684="",0,LEN($J684))</f>
        <v/>
      </c>
      <c r="L684" s="16">
        <f>IF($I684="","",UPPER(TRIM(SUBSTITUTE(IFERROR(INDEX(tblVeriB[FaturaNo],ROW()-ROW(tblVeriB[[#Headers]])),"")," ",""))))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UPPER(TRIM(SUBSTITUTE($A685,"-","")))</f>
        <v/>
      </c>
      <c r="C685" s="16">
        <f>IF($B685="",0,LEN($B685))</f>
        <v/>
      </c>
      <c r="D685" s="16">
        <f>IF($A685="","",UPPER(TRIM(SUBSTITUTE(IFERROR(INDEX(tblVeriA[FaturaNo],ROW()-ROW(tblVeriA[[#Headers]])),"")," ",""))))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UPPER(TRIM(SUBSTITUTE($I685,"-","")))</f>
        <v/>
      </c>
      <c r="K685" s="16">
        <f>IF($J685="",0,LEN($J685))</f>
        <v/>
      </c>
      <c r="L685" s="16">
        <f>IF($I685="","",UPPER(TRIM(SUBSTITUTE(IFERROR(INDEX(tblVeriB[FaturaNo],ROW()-ROW(tblVeriB[[#Headers]])),"")," ",""))))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UPPER(TRIM(SUBSTITUTE($A686,"-","")))</f>
        <v/>
      </c>
      <c r="C686" s="16">
        <f>IF($B686="",0,LEN($B686))</f>
        <v/>
      </c>
      <c r="D686" s="16">
        <f>IF($A686="","",UPPER(TRIM(SUBSTITUTE(IFERROR(INDEX(tblVeriA[FaturaNo],ROW()-ROW(tblVeriA[[#Headers]])),"")," ",""))))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UPPER(TRIM(SUBSTITUTE($I686,"-","")))</f>
        <v/>
      </c>
      <c r="K686" s="16">
        <f>IF($J686="",0,LEN($J686))</f>
        <v/>
      </c>
      <c r="L686" s="16">
        <f>IF($I686="","",UPPER(TRIM(SUBSTITUTE(IFERROR(INDEX(tblVeriB[FaturaNo],ROW()-ROW(tblVeriB[[#Headers]])),"")," ",""))))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UPPER(TRIM(SUBSTITUTE($A687,"-","")))</f>
        <v/>
      </c>
      <c r="C687" s="16">
        <f>IF($B687="",0,LEN($B687))</f>
        <v/>
      </c>
      <c r="D687" s="16">
        <f>IF($A687="","",UPPER(TRIM(SUBSTITUTE(IFERROR(INDEX(tblVeriA[FaturaNo],ROW()-ROW(tblVeriA[[#Headers]])),"")," ",""))))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UPPER(TRIM(SUBSTITUTE($I687,"-","")))</f>
        <v/>
      </c>
      <c r="K687" s="16">
        <f>IF($J687="",0,LEN($J687))</f>
        <v/>
      </c>
      <c r="L687" s="16">
        <f>IF($I687="","",UPPER(TRIM(SUBSTITUTE(IFERROR(INDEX(tblVeriB[FaturaNo],ROW()-ROW(tblVeriB[[#Headers]])),"")," ",""))))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UPPER(TRIM(SUBSTITUTE($A688,"-","")))</f>
        <v/>
      </c>
      <c r="C688" s="16">
        <f>IF($B688="",0,LEN($B688))</f>
        <v/>
      </c>
      <c r="D688" s="16">
        <f>IF($A688="","",UPPER(TRIM(SUBSTITUTE(IFERROR(INDEX(tblVeriA[FaturaNo],ROW()-ROW(tblVeriA[[#Headers]])),"")," ",""))))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UPPER(TRIM(SUBSTITUTE($I688,"-","")))</f>
        <v/>
      </c>
      <c r="K688" s="16">
        <f>IF($J688="",0,LEN($J688))</f>
        <v/>
      </c>
      <c r="L688" s="16">
        <f>IF($I688="","",UPPER(TRIM(SUBSTITUTE(IFERROR(INDEX(tblVeriB[FaturaNo],ROW()-ROW(tblVeriB[[#Headers]])),"")," ",""))))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UPPER(TRIM(SUBSTITUTE($A689,"-","")))</f>
        <v/>
      </c>
      <c r="C689" s="16">
        <f>IF($B689="",0,LEN($B689))</f>
        <v/>
      </c>
      <c r="D689" s="16">
        <f>IF($A689="","",UPPER(TRIM(SUBSTITUTE(IFERROR(INDEX(tblVeriA[FaturaNo],ROW()-ROW(tblVeriA[[#Headers]])),"")," ",""))))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UPPER(TRIM(SUBSTITUTE($I689,"-","")))</f>
        <v/>
      </c>
      <c r="K689" s="16">
        <f>IF($J689="",0,LEN($J689))</f>
        <v/>
      </c>
      <c r="L689" s="16">
        <f>IF($I689="","",UPPER(TRIM(SUBSTITUTE(IFERROR(INDEX(tblVeriB[FaturaNo],ROW()-ROW(tblVeriB[[#Headers]])),"")," ",""))))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UPPER(TRIM(SUBSTITUTE($A690,"-","")))</f>
        <v/>
      </c>
      <c r="C690" s="16">
        <f>IF($B690="",0,LEN($B690))</f>
        <v/>
      </c>
      <c r="D690" s="16">
        <f>IF($A690="","",UPPER(TRIM(SUBSTITUTE(IFERROR(INDEX(tblVeriA[FaturaNo],ROW()-ROW(tblVeriA[[#Headers]])),"")," ",""))))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UPPER(TRIM(SUBSTITUTE($I690,"-","")))</f>
        <v/>
      </c>
      <c r="K690" s="16">
        <f>IF($J690="",0,LEN($J690))</f>
        <v/>
      </c>
      <c r="L690" s="16">
        <f>IF($I690="","",UPPER(TRIM(SUBSTITUTE(IFERROR(INDEX(tblVeriB[FaturaNo],ROW()-ROW(tblVeriB[[#Headers]])),"")," ",""))))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UPPER(TRIM(SUBSTITUTE($A691,"-","")))</f>
        <v/>
      </c>
      <c r="C691" s="16">
        <f>IF($B691="",0,LEN($B691))</f>
        <v/>
      </c>
      <c r="D691" s="16">
        <f>IF($A691="","",UPPER(TRIM(SUBSTITUTE(IFERROR(INDEX(tblVeriA[FaturaNo],ROW()-ROW(tblVeriA[[#Headers]])),"")," ",""))))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UPPER(TRIM(SUBSTITUTE($I691,"-","")))</f>
        <v/>
      </c>
      <c r="K691" s="16">
        <f>IF($J691="",0,LEN($J691))</f>
        <v/>
      </c>
      <c r="L691" s="16">
        <f>IF($I691="","",UPPER(TRIM(SUBSTITUTE(IFERROR(INDEX(tblVeriB[FaturaNo],ROW()-ROW(tblVeriB[[#Headers]])),"")," ",""))))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UPPER(TRIM(SUBSTITUTE($A692,"-","")))</f>
        <v/>
      </c>
      <c r="C692" s="16">
        <f>IF($B692="",0,LEN($B692))</f>
        <v/>
      </c>
      <c r="D692" s="16">
        <f>IF($A692="","",UPPER(TRIM(SUBSTITUTE(IFERROR(INDEX(tblVeriA[FaturaNo],ROW()-ROW(tblVeriA[[#Headers]])),"")," ",""))))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UPPER(TRIM(SUBSTITUTE($I692,"-","")))</f>
        <v/>
      </c>
      <c r="K692" s="16">
        <f>IF($J692="",0,LEN($J692))</f>
        <v/>
      </c>
      <c r="L692" s="16">
        <f>IF($I692="","",UPPER(TRIM(SUBSTITUTE(IFERROR(INDEX(tblVeriB[FaturaNo],ROW()-ROW(tblVeriB[[#Headers]])),"")," ",""))))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UPPER(TRIM(SUBSTITUTE($A693,"-","")))</f>
        <v/>
      </c>
      <c r="C693" s="16">
        <f>IF($B693="",0,LEN($B693))</f>
        <v/>
      </c>
      <c r="D693" s="16">
        <f>IF($A693="","",UPPER(TRIM(SUBSTITUTE(IFERROR(INDEX(tblVeriA[FaturaNo],ROW()-ROW(tblVeriA[[#Headers]])),"")," ",""))))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UPPER(TRIM(SUBSTITUTE($I693,"-","")))</f>
        <v/>
      </c>
      <c r="K693" s="16">
        <f>IF($J693="",0,LEN($J693))</f>
        <v/>
      </c>
      <c r="L693" s="16">
        <f>IF($I693="","",UPPER(TRIM(SUBSTITUTE(IFERROR(INDEX(tblVeriB[FaturaNo],ROW()-ROW(tblVeriB[[#Headers]])),"")," ",""))))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UPPER(TRIM(SUBSTITUTE($A694,"-","")))</f>
        <v/>
      </c>
      <c r="C694" s="16">
        <f>IF($B694="",0,LEN($B694))</f>
        <v/>
      </c>
      <c r="D694" s="16">
        <f>IF($A694="","",UPPER(TRIM(SUBSTITUTE(IFERROR(INDEX(tblVeriA[FaturaNo],ROW()-ROW(tblVeriA[[#Headers]])),"")," ",""))))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UPPER(TRIM(SUBSTITUTE($I694,"-","")))</f>
        <v/>
      </c>
      <c r="K694" s="16">
        <f>IF($J694="",0,LEN($J694))</f>
        <v/>
      </c>
      <c r="L694" s="16">
        <f>IF($I694="","",UPPER(TRIM(SUBSTITUTE(IFERROR(INDEX(tblVeriB[FaturaNo],ROW()-ROW(tblVeriB[[#Headers]])),"")," ",""))))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UPPER(TRIM(SUBSTITUTE($A695,"-","")))</f>
        <v/>
      </c>
      <c r="C695" s="16">
        <f>IF($B695="",0,LEN($B695))</f>
        <v/>
      </c>
      <c r="D695" s="16">
        <f>IF($A695="","",UPPER(TRIM(SUBSTITUTE(IFERROR(INDEX(tblVeriA[FaturaNo],ROW()-ROW(tblVeriA[[#Headers]])),"")," ",""))))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UPPER(TRIM(SUBSTITUTE($I695,"-","")))</f>
        <v/>
      </c>
      <c r="K695" s="16">
        <f>IF($J695="",0,LEN($J695))</f>
        <v/>
      </c>
      <c r="L695" s="16">
        <f>IF($I695="","",UPPER(TRIM(SUBSTITUTE(IFERROR(INDEX(tblVeriB[FaturaNo],ROW()-ROW(tblVeriB[[#Headers]])),"")," ",""))))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UPPER(TRIM(SUBSTITUTE($A696,"-","")))</f>
        <v/>
      </c>
      <c r="C696" s="16">
        <f>IF($B696="",0,LEN($B696))</f>
        <v/>
      </c>
      <c r="D696" s="16">
        <f>IF($A696="","",UPPER(TRIM(SUBSTITUTE(IFERROR(INDEX(tblVeriA[FaturaNo],ROW()-ROW(tblVeriA[[#Headers]])),"")," ",""))))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UPPER(TRIM(SUBSTITUTE($I696,"-","")))</f>
        <v/>
      </c>
      <c r="K696" s="16">
        <f>IF($J696="",0,LEN($J696))</f>
        <v/>
      </c>
      <c r="L696" s="16">
        <f>IF($I696="","",UPPER(TRIM(SUBSTITUTE(IFERROR(INDEX(tblVeriB[FaturaNo],ROW()-ROW(tblVeriB[[#Headers]])),"")," ",""))))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UPPER(TRIM(SUBSTITUTE($A697,"-","")))</f>
        <v/>
      </c>
      <c r="C697" s="16">
        <f>IF($B697="",0,LEN($B697))</f>
        <v/>
      </c>
      <c r="D697" s="16">
        <f>IF($A697="","",UPPER(TRIM(SUBSTITUTE(IFERROR(INDEX(tblVeriA[FaturaNo],ROW()-ROW(tblVeriA[[#Headers]])),"")," ",""))))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UPPER(TRIM(SUBSTITUTE($I697,"-","")))</f>
        <v/>
      </c>
      <c r="K697" s="16">
        <f>IF($J697="",0,LEN($J697))</f>
        <v/>
      </c>
      <c r="L697" s="16">
        <f>IF($I697="","",UPPER(TRIM(SUBSTITUTE(IFERROR(INDEX(tblVeriB[FaturaNo],ROW()-ROW(tblVeriB[[#Headers]])),"")," ",""))))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UPPER(TRIM(SUBSTITUTE($A698,"-","")))</f>
        <v/>
      </c>
      <c r="C698" s="16">
        <f>IF($B698="",0,LEN($B698))</f>
        <v/>
      </c>
      <c r="D698" s="16">
        <f>IF($A698="","",UPPER(TRIM(SUBSTITUTE(IFERROR(INDEX(tblVeriA[FaturaNo],ROW()-ROW(tblVeriA[[#Headers]])),"")," ",""))))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UPPER(TRIM(SUBSTITUTE($I698,"-","")))</f>
        <v/>
      </c>
      <c r="K698" s="16">
        <f>IF($J698="",0,LEN($J698))</f>
        <v/>
      </c>
      <c r="L698" s="16">
        <f>IF($I698="","",UPPER(TRIM(SUBSTITUTE(IFERROR(INDEX(tblVeriB[FaturaNo],ROW()-ROW(tblVeriB[[#Headers]])),"")," ",""))))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UPPER(TRIM(SUBSTITUTE($A699,"-","")))</f>
        <v/>
      </c>
      <c r="C699" s="16">
        <f>IF($B699="",0,LEN($B699))</f>
        <v/>
      </c>
      <c r="D699" s="16">
        <f>IF($A699="","",UPPER(TRIM(SUBSTITUTE(IFERROR(INDEX(tblVeriA[FaturaNo],ROW()-ROW(tblVeriA[[#Headers]])),"")," ",""))))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UPPER(TRIM(SUBSTITUTE($I699,"-","")))</f>
        <v/>
      </c>
      <c r="K699" s="16">
        <f>IF($J699="",0,LEN($J699))</f>
        <v/>
      </c>
      <c r="L699" s="16">
        <f>IF($I699="","",UPPER(TRIM(SUBSTITUTE(IFERROR(INDEX(tblVeriB[FaturaNo],ROW()-ROW(tblVeriB[[#Headers]])),"")," ",""))))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UPPER(TRIM(SUBSTITUTE($A700,"-","")))</f>
        <v/>
      </c>
      <c r="C700" s="16">
        <f>IF($B700="",0,LEN($B700))</f>
        <v/>
      </c>
      <c r="D700" s="16">
        <f>IF($A700="","",UPPER(TRIM(SUBSTITUTE(IFERROR(INDEX(tblVeriA[FaturaNo],ROW()-ROW(tblVeriA[[#Headers]])),"")," ",""))))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UPPER(TRIM(SUBSTITUTE($I700,"-","")))</f>
        <v/>
      </c>
      <c r="K700" s="16">
        <f>IF($J700="",0,LEN($J700))</f>
        <v/>
      </c>
      <c r="L700" s="16">
        <f>IF($I700="","",UPPER(TRIM(SUBSTITUTE(IFERROR(INDEX(tblVeriB[FaturaNo],ROW()-ROW(tblVeriB[[#Headers]])),"")," ",""))))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UPPER(TRIM(SUBSTITUTE($A701,"-","")))</f>
        <v/>
      </c>
      <c r="C701" s="16">
        <f>IF($B701="",0,LEN($B701))</f>
        <v/>
      </c>
      <c r="D701" s="16">
        <f>IF($A701="","",UPPER(TRIM(SUBSTITUTE(IFERROR(INDEX(tblVeriA[FaturaNo],ROW()-ROW(tblVeriA[[#Headers]])),"")," ",""))))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UPPER(TRIM(SUBSTITUTE($I701,"-","")))</f>
        <v/>
      </c>
      <c r="K701" s="16">
        <f>IF($J701="",0,LEN($J701))</f>
        <v/>
      </c>
      <c r="L701" s="16">
        <f>IF($I701="","",UPPER(TRIM(SUBSTITUTE(IFERROR(INDEX(tblVeriB[FaturaNo],ROW()-ROW(tblVeriB[[#Headers]])),"")," ",""))))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UPPER(TRIM(SUBSTITUTE($A702,"-","")))</f>
        <v/>
      </c>
      <c r="C702" s="16">
        <f>IF($B702="",0,LEN($B702))</f>
        <v/>
      </c>
      <c r="D702" s="16">
        <f>IF($A702="","",UPPER(TRIM(SUBSTITUTE(IFERROR(INDEX(tblVeriA[FaturaNo],ROW()-ROW(tblVeriA[[#Headers]])),"")," ",""))))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UPPER(TRIM(SUBSTITUTE($I702,"-","")))</f>
        <v/>
      </c>
      <c r="K702" s="16">
        <f>IF($J702="",0,LEN($J702))</f>
        <v/>
      </c>
      <c r="L702" s="16">
        <f>IF($I702="","",UPPER(TRIM(SUBSTITUTE(IFERROR(INDEX(tblVeriB[FaturaNo],ROW()-ROW(tblVeriB[[#Headers]])),"")," ",""))))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UPPER(TRIM(SUBSTITUTE($A703,"-","")))</f>
        <v/>
      </c>
      <c r="C703" s="16">
        <f>IF($B703="",0,LEN($B703))</f>
        <v/>
      </c>
      <c r="D703" s="16">
        <f>IF($A703="","",UPPER(TRIM(SUBSTITUTE(IFERROR(INDEX(tblVeriA[FaturaNo],ROW()-ROW(tblVeriA[[#Headers]])),"")," ",""))))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UPPER(TRIM(SUBSTITUTE($I703,"-","")))</f>
        <v/>
      </c>
      <c r="K703" s="16">
        <f>IF($J703="",0,LEN($J703))</f>
        <v/>
      </c>
      <c r="L703" s="16">
        <f>IF($I703="","",UPPER(TRIM(SUBSTITUTE(IFERROR(INDEX(tblVeriB[FaturaNo],ROW()-ROW(tblVeriB[[#Headers]])),"")," ",""))))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UPPER(TRIM(SUBSTITUTE($A704,"-","")))</f>
        <v/>
      </c>
      <c r="C704" s="16">
        <f>IF($B704="",0,LEN($B704))</f>
        <v/>
      </c>
      <c r="D704" s="16">
        <f>IF($A704="","",UPPER(TRIM(SUBSTITUTE(IFERROR(INDEX(tblVeriA[FaturaNo],ROW()-ROW(tblVeriA[[#Headers]])),"")," ",""))))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UPPER(TRIM(SUBSTITUTE($I704,"-","")))</f>
        <v/>
      </c>
      <c r="K704" s="16">
        <f>IF($J704="",0,LEN($J704))</f>
        <v/>
      </c>
      <c r="L704" s="16">
        <f>IF($I704="","",UPPER(TRIM(SUBSTITUTE(IFERROR(INDEX(tblVeriB[FaturaNo],ROW()-ROW(tblVeriB[[#Headers]])),"")," ",""))))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UPPER(TRIM(SUBSTITUTE($A705,"-","")))</f>
        <v/>
      </c>
      <c r="C705" s="16">
        <f>IF($B705="",0,LEN($B705))</f>
        <v/>
      </c>
      <c r="D705" s="16">
        <f>IF($A705="","",UPPER(TRIM(SUBSTITUTE(IFERROR(INDEX(tblVeriA[FaturaNo],ROW()-ROW(tblVeriA[[#Headers]])),"")," ",""))))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UPPER(TRIM(SUBSTITUTE($I705,"-","")))</f>
        <v/>
      </c>
      <c r="K705" s="16">
        <f>IF($J705="",0,LEN($J705))</f>
        <v/>
      </c>
      <c r="L705" s="16">
        <f>IF($I705="","",UPPER(TRIM(SUBSTITUTE(IFERROR(INDEX(tblVeriB[FaturaNo],ROW()-ROW(tblVeriB[[#Headers]])),"")," ",""))))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UPPER(TRIM(SUBSTITUTE($A706,"-","")))</f>
        <v/>
      </c>
      <c r="C706" s="16">
        <f>IF($B706="",0,LEN($B706))</f>
        <v/>
      </c>
      <c r="D706" s="16">
        <f>IF($A706="","",UPPER(TRIM(SUBSTITUTE(IFERROR(INDEX(tblVeriA[FaturaNo],ROW()-ROW(tblVeriA[[#Headers]])),"")," ",""))))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UPPER(TRIM(SUBSTITUTE($I706,"-","")))</f>
        <v/>
      </c>
      <c r="K706" s="16">
        <f>IF($J706="",0,LEN($J706))</f>
        <v/>
      </c>
      <c r="L706" s="16">
        <f>IF($I706="","",UPPER(TRIM(SUBSTITUTE(IFERROR(INDEX(tblVeriB[FaturaNo],ROW()-ROW(tblVeriB[[#Headers]])),"")," ",""))))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UPPER(TRIM(SUBSTITUTE($A707,"-","")))</f>
        <v/>
      </c>
      <c r="C707" s="16">
        <f>IF($B707="",0,LEN($B707))</f>
        <v/>
      </c>
      <c r="D707" s="16">
        <f>IF($A707="","",UPPER(TRIM(SUBSTITUTE(IFERROR(INDEX(tblVeriA[FaturaNo],ROW()-ROW(tblVeriA[[#Headers]])),"")," ",""))))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UPPER(TRIM(SUBSTITUTE($I707,"-","")))</f>
        <v/>
      </c>
      <c r="K707" s="16">
        <f>IF($J707="",0,LEN($J707))</f>
        <v/>
      </c>
      <c r="L707" s="16">
        <f>IF($I707="","",UPPER(TRIM(SUBSTITUTE(IFERROR(INDEX(tblVeriB[FaturaNo],ROW()-ROW(tblVeriB[[#Headers]])),"")," ",""))))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UPPER(TRIM(SUBSTITUTE($A708,"-","")))</f>
        <v/>
      </c>
      <c r="C708" s="16">
        <f>IF($B708="",0,LEN($B708))</f>
        <v/>
      </c>
      <c r="D708" s="16">
        <f>IF($A708="","",UPPER(TRIM(SUBSTITUTE(IFERROR(INDEX(tblVeriA[FaturaNo],ROW()-ROW(tblVeriA[[#Headers]])),"")," ",""))))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UPPER(TRIM(SUBSTITUTE($I708,"-","")))</f>
        <v/>
      </c>
      <c r="K708" s="16">
        <f>IF($J708="",0,LEN($J708))</f>
        <v/>
      </c>
      <c r="L708" s="16">
        <f>IF($I708="","",UPPER(TRIM(SUBSTITUTE(IFERROR(INDEX(tblVeriB[FaturaNo],ROW()-ROW(tblVeriB[[#Headers]])),"")," ",""))))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UPPER(TRIM(SUBSTITUTE($A709,"-","")))</f>
        <v/>
      </c>
      <c r="C709" s="16">
        <f>IF($B709="",0,LEN($B709))</f>
        <v/>
      </c>
      <c r="D709" s="16">
        <f>IF($A709="","",UPPER(TRIM(SUBSTITUTE(IFERROR(INDEX(tblVeriA[FaturaNo],ROW()-ROW(tblVeriA[[#Headers]])),"")," ",""))))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UPPER(TRIM(SUBSTITUTE($I709,"-","")))</f>
        <v/>
      </c>
      <c r="K709" s="16">
        <f>IF($J709="",0,LEN($J709))</f>
        <v/>
      </c>
      <c r="L709" s="16">
        <f>IF($I709="","",UPPER(TRIM(SUBSTITUTE(IFERROR(INDEX(tblVeriB[FaturaNo],ROW()-ROW(tblVeriB[[#Headers]])),"")," ",""))))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UPPER(TRIM(SUBSTITUTE($A710,"-","")))</f>
        <v/>
      </c>
      <c r="C710" s="16">
        <f>IF($B710="",0,LEN($B710))</f>
        <v/>
      </c>
      <c r="D710" s="16">
        <f>IF($A710="","",UPPER(TRIM(SUBSTITUTE(IFERROR(INDEX(tblVeriA[FaturaNo],ROW()-ROW(tblVeriA[[#Headers]])),"")," ",""))))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UPPER(TRIM(SUBSTITUTE($I710,"-","")))</f>
        <v/>
      </c>
      <c r="K710" s="16">
        <f>IF($J710="",0,LEN($J710))</f>
        <v/>
      </c>
      <c r="L710" s="16">
        <f>IF($I710="","",UPPER(TRIM(SUBSTITUTE(IFERROR(INDEX(tblVeriB[FaturaNo],ROW()-ROW(tblVeriB[[#Headers]])),"")," ",""))))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UPPER(TRIM(SUBSTITUTE($A711,"-","")))</f>
        <v/>
      </c>
      <c r="C711" s="16">
        <f>IF($B711="",0,LEN($B711))</f>
        <v/>
      </c>
      <c r="D711" s="16">
        <f>IF($A711="","",UPPER(TRIM(SUBSTITUTE(IFERROR(INDEX(tblVeriA[FaturaNo],ROW()-ROW(tblVeriA[[#Headers]])),"")," ",""))))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UPPER(TRIM(SUBSTITUTE($I711,"-","")))</f>
        <v/>
      </c>
      <c r="K711" s="16">
        <f>IF($J711="",0,LEN($J711))</f>
        <v/>
      </c>
      <c r="L711" s="16">
        <f>IF($I711="","",UPPER(TRIM(SUBSTITUTE(IFERROR(INDEX(tblVeriB[FaturaNo],ROW()-ROW(tblVeriB[[#Headers]])),"")," ",""))))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UPPER(TRIM(SUBSTITUTE($A712,"-","")))</f>
        <v/>
      </c>
      <c r="C712" s="16">
        <f>IF($B712="",0,LEN($B712))</f>
        <v/>
      </c>
      <c r="D712" s="16">
        <f>IF($A712="","",UPPER(TRIM(SUBSTITUTE(IFERROR(INDEX(tblVeriA[FaturaNo],ROW()-ROW(tblVeriA[[#Headers]])),"")," ",""))))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UPPER(TRIM(SUBSTITUTE($I712,"-","")))</f>
        <v/>
      </c>
      <c r="K712" s="16">
        <f>IF($J712="",0,LEN($J712))</f>
        <v/>
      </c>
      <c r="L712" s="16">
        <f>IF($I712="","",UPPER(TRIM(SUBSTITUTE(IFERROR(INDEX(tblVeriB[FaturaNo],ROW()-ROW(tblVeriB[[#Headers]])),"")," ",""))))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UPPER(TRIM(SUBSTITUTE($A713,"-","")))</f>
        <v/>
      </c>
      <c r="C713" s="16">
        <f>IF($B713="",0,LEN($B713))</f>
        <v/>
      </c>
      <c r="D713" s="16">
        <f>IF($A713="","",UPPER(TRIM(SUBSTITUTE(IFERROR(INDEX(tblVeriA[FaturaNo],ROW()-ROW(tblVeriA[[#Headers]])),"")," ",""))))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UPPER(TRIM(SUBSTITUTE($I713,"-","")))</f>
        <v/>
      </c>
      <c r="K713" s="16">
        <f>IF($J713="",0,LEN($J713))</f>
        <v/>
      </c>
      <c r="L713" s="16">
        <f>IF($I713="","",UPPER(TRIM(SUBSTITUTE(IFERROR(INDEX(tblVeriB[FaturaNo],ROW()-ROW(tblVeriB[[#Headers]])),"")," ",""))))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UPPER(TRIM(SUBSTITUTE($A714,"-","")))</f>
        <v/>
      </c>
      <c r="C714" s="16">
        <f>IF($B714="",0,LEN($B714))</f>
        <v/>
      </c>
      <c r="D714" s="16">
        <f>IF($A714="","",UPPER(TRIM(SUBSTITUTE(IFERROR(INDEX(tblVeriA[FaturaNo],ROW()-ROW(tblVeriA[[#Headers]])),"")," ",""))))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UPPER(TRIM(SUBSTITUTE($I714,"-","")))</f>
        <v/>
      </c>
      <c r="K714" s="16">
        <f>IF($J714="",0,LEN($J714))</f>
        <v/>
      </c>
      <c r="L714" s="16">
        <f>IF($I714="","",UPPER(TRIM(SUBSTITUTE(IFERROR(INDEX(tblVeriB[FaturaNo],ROW()-ROW(tblVeriB[[#Headers]])),"")," ",""))))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UPPER(TRIM(SUBSTITUTE($A715,"-","")))</f>
        <v/>
      </c>
      <c r="C715" s="16">
        <f>IF($B715="",0,LEN($B715))</f>
        <v/>
      </c>
      <c r="D715" s="16">
        <f>IF($A715="","",UPPER(TRIM(SUBSTITUTE(IFERROR(INDEX(tblVeriA[FaturaNo],ROW()-ROW(tblVeriA[[#Headers]])),"")," ",""))))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UPPER(TRIM(SUBSTITUTE($I715,"-","")))</f>
        <v/>
      </c>
      <c r="K715" s="16">
        <f>IF($J715="",0,LEN($J715))</f>
        <v/>
      </c>
      <c r="L715" s="16">
        <f>IF($I715="","",UPPER(TRIM(SUBSTITUTE(IFERROR(INDEX(tblVeriB[FaturaNo],ROW()-ROW(tblVeriB[[#Headers]])),"")," ",""))))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UPPER(TRIM(SUBSTITUTE($A716,"-","")))</f>
        <v/>
      </c>
      <c r="C716" s="16">
        <f>IF($B716="",0,LEN($B716))</f>
        <v/>
      </c>
      <c r="D716" s="16">
        <f>IF($A716="","",UPPER(TRIM(SUBSTITUTE(IFERROR(INDEX(tblVeriA[FaturaNo],ROW()-ROW(tblVeriA[[#Headers]])),"")," ",""))))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UPPER(TRIM(SUBSTITUTE($I716,"-","")))</f>
        <v/>
      </c>
      <c r="K716" s="16">
        <f>IF($J716="",0,LEN($J716))</f>
        <v/>
      </c>
      <c r="L716" s="16">
        <f>IF($I716="","",UPPER(TRIM(SUBSTITUTE(IFERROR(INDEX(tblVeriB[FaturaNo],ROW()-ROW(tblVeriB[[#Headers]])),"")," ",""))))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UPPER(TRIM(SUBSTITUTE($A717,"-","")))</f>
        <v/>
      </c>
      <c r="C717" s="16">
        <f>IF($B717="",0,LEN($B717))</f>
        <v/>
      </c>
      <c r="D717" s="16">
        <f>IF($A717="","",UPPER(TRIM(SUBSTITUTE(IFERROR(INDEX(tblVeriA[FaturaNo],ROW()-ROW(tblVeriA[[#Headers]])),"")," ",""))))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UPPER(TRIM(SUBSTITUTE($I717,"-","")))</f>
        <v/>
      </c>
      <c r="K717" s="16">
        <f>IF($J717="",0,LEN($J717))</f>
        <v/>
      </c>
      <c r="L717" s="16">
        <f>IF($I717="","",UPPER(TRIM(SUBSTITUTE(IFERROR(INDEX(tblVeriB[FaturaNo],ROW()-ROW(tblVeriB[[#Headers]])),"")," ",""))))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UPPER(TRIM(SUBSTITUTE($A718,"-","")))</f>
        <v/>
      </c>
      <c r="C718" s="16">
        <f>IF($B718="",0,LEN($B718))</f>
        <v/>
      </c>
      <c r="D718" s="16">
        <f>IF($A718="","",UPPER(TRIM(SUBSTITUTE(IFERROR(INDEX(tblVeriA[FaturaNo],ROW()-ROW(tblVeriA[[#Headers]])),"")," ",""))))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UPPER(TRIM(SUBSTITUTE($I718,"-","")))</f>
        <v/>
      </c>
      <c r="K718" s="16">
        <f>IF($J718="",0,LEN($J718))</f>
        <v/>
      </c>
      <c r="L718" s="16">
        <f>IF($I718="","",UPPER(TRIM(SUBSTITUTE(IFERROR(INDEX(tblVeriB[FaturaNo],ROW()-ROW(tblVeriB[[#Headers]])),"")," ",""))))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UPPER(TRIM(SUBSTITUTE($A719,"-","")))</f>
        <v/>
      </c>
      <c r="C719" s="16">
        <f>IF($B719="",0,LEN($B719))</f>
        <v/>
      </c>
      <c r="D719" s="16">
        <f>IF($A719="","",UPPER(TRIM(SUBSTITUTE(IFERROR(INDEX(tblVeriA[FaturaNo],ROW()-ROW(tblVeriA[[#Headers]])),"")," ",""))))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UPPER(TRIM(SUBSTITUTE($I719,"-","")))</f>
        <v/>
      </c>
      <c r="K719" s="16">
        <f>IF($J719="",0,LEN($J719))</f>
        <v/>
      </c>
      <c r="L719" s="16">
        <f>IF($I719="","",UPPER(TRIM(SUBSTITUTE(IFERROR(INDEX(tblVeriB[FaturaNo],ROW()-ROW(tblVeriB[[#Headers]])),"")," ",""))))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UPPER(TRIM(SUBSTITUTE($A720,"-","")))</f>
        <v/>
      </c>
      <c r="C720" s="16">
        <f>IF($B720="",0,LEN($B720))</f>
        <v/>
      </c>
      <c r="D720" s="16">
        <f>IF($A720="","",UPPER(TRIM(SUBSTITUTE(IFERROR(INDEX(tblVeriA[FaturaNo],ROW()-ROW(tblVeriA[[#Headers]])),"")," ",""))))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UPPER(TRIM(SUBSTITUTE($I720,"-","")))</f>
        <v/>
      </c>
      <c r="K720" s="16">
        <f>IF($J720="",0,LEN($J720))</f>
        <v/>
      </c>
      <c r="L720" s="16">
        <f>IF($I720="","",UPPER(TRIM(SUBSTITUTE(IFERROR(INDEX(tblVeriB[FaturaNo],ROW()-ROW(tblVeriB[[#Headers]])),"")," ",""))))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UPPER(TRIM(SUBSTITUTE($A721,"-","")))</f>
        <v/>
      </c>
      <c r="C721" s="16">
        <f>IF($B721="",0,LEN($B721))</f>
        <v/>
      </c>
      <c r="D721" s="16">
        <f>IF($A721="","",UPPER(TRIM(SUBSTITUTE(IFERROR(INDEX(tblVeriA[FaturaNo],ROW()-ROW(tblVeriA[[#Headers]])),"")," ",""))))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UPPER(TRIM(SUBSTITUTE($I721,"-","")))</f>
        <v/>
      </c>
      <c r="K721" s="16">
        <f>IF($J721="",0,LEN($J721))</f>
        <v/>
      </c>
      <c r="L721" s="16">
        <f>IF($I721="","",UPPER(TRIM(SUBSTITUTE(IFERROR(INDEX(tblVeriB[FaturaNo],ROW()-ROW(tblVeriB[[#Headers]])),"")," ",""))))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UPPER(TRIM(SUBSTITUTE($A722,"-","")))</f>
        <v/>
      </c>
      <c r="C722" s="16">
        <f>IF($B722="",0,LEN($B722))</f>
        <v/>
      </c>
      <c r="D722" s="16">
        <f>IF($A722="","",UPPER(TRIM(SUBSTITUTE(IFERROR(INDEX(tblVeriA[FaturaNo],ROW()-ROW(tblVeriA[[#Headers]])),"")," ",""))))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UPPER(TRIM(SUBSTITUTE($I722,"-","")))</f>
        <v/>
      </c>
      <c r="K722" s="16">
        <f>IF($J722="",0,LEN($J722))</f>
        <v/>
      </c>
      <c r="L722" s="16">
        <f>IF($I722="","",UPPER(TRIM(SUBSTITUTE(IFERROR(INDEX(tblVeriB[FaturaNo],ROW()-ROW(tblVeriB[[#Headers]])),"")," ",""))))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UPPER(TRIM(SUBSTITUTE($A723,"-","")))</f>
        <v/>
      </c>
      <c r="C723" s="16">
        <f>IF($B723="",0,LEN($B723))</f>
        <v/>
      </c>
      <c r="D723" s="16">
        <f>IF($A723="","",UPPER(TRIM(SUBSTITUTE(IFERROR(INDEX(tblVeriA[FaturaNo],ROW()-ROW(tblVeriA[[#Headers]])),"")," ",""))))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UPPER(TRIM(SUBSTITUTE($I723,"-","")))</f>
        <v/>
      </c>
      <c r="K723" s="16">
        <f>IF($J723="",0,LEN($J723))</f>
        <v/>
      </c>
      <c r="L723" s="16">
        <f>IF($I723="","",UPPER(TRIM(SUBSTITUTE(IFERROR(INDEX(tblVeriB[FaturaNo],ROW()-ROW(tblVeriB[[#Headers]])),"")," ",""))))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UPPER(TRIM(SUBSTITUTE($A724,"-","")))</f>
        <v/>
      </c>
      <c r="C724" s="16">
        <f>IF($B724="",0,LEN($B724))</f>
        <v/>
      </c>
      <c r="D724" s="16">
        <f>IF($A724="","",UPPER(TRIM(SUBSTITUTE(IFERROR(INDEX(tblVeriA[FaturaNo],ROW()-ROW(tblVeriA[[#Headers]])),"")," ",""))))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UPPER(TRIM(SUBSTITUTE($I724,"-","")))</f>
        <v/>
      </c>
      <c r="K724" s="16">
        <f>IF($J724="",0,LEN($J724))</f>
        <v/>
      </c>
      <c r="L724" s="16">
        <f>IF($I724="","",UPPER(TRIM(SUBSTITUTE(IFERROR(INDEX(tblVeriB[FaturaNo],ROW()-ROW(tblVeriB[[#Headers]])),"")," ",""))))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UPPER(TRIM(SUBSTITUTE($A725,"-","")))</f>
        <v/>
      </c>
      <c r="C725" s="16">
        <f>IF($B725="",0,LEN($B725))</f>
        <v/>
      </c>
      <c r="D725" s="16">
        <f>IF($A725="","",UPPER(TRIM(SUBSTITUTE(IFERROR(INDEX(tblVeriA[FaturaNo],ROW()-ROW(tblVeriA[[#Headers]])),"")," ",""))))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UPPER(TRIM(SUBSTITUTE($I725,"-","")))</f>
        <v/>
      </c>
      <c r="K725" s="16">
        <f>IF($J725="",0,LEN($J725))</f>
        <v/>
      </c>
      <c r="L725" s="16">
        <f>IF($I725="","",UPPER(TRIM(SUBSTITUTE(IFERROR(INDEX(tblVeriB[FaturaNo],ROW()-ROW(tblVeriB[[#Headers]])),"")," ",""))))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UPPER(TRIM(SUBSTITUTE($A726,"-","")))</f>
        <v/>
      </c>
      <c r="C726" s="16">
        <f>IF($B726="",0,LEN($B726))</f>
        <v/>
      </c>
      <c r="D726" s="16">
        <f>IF($A726="","",UPPER(TRIM(SUBSTITUTE(IFERROR(INDEX(tblVeriA[FaturaNo],ROW()-ROW(tblVeriA[[#Headers]])),"")," ",""))))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UPPER(TRIM(SUBSTITUTE($I726,"-","")))</f>
        <v/>
      </c>
      <c r="K726" s="16">
        <f>IF($J726="",0,LEN($J726))</f>
        <v/>
      </c>
      <c r="L726" s="16">
        <f>IF($I726="","",UPPER(TRIM(SUBSTITUTE(IFERROR(INDEX(tblVeriB[FaturaNo],ROW()-ROW(tblVeriB[[#Headers]])),"")," ",""))))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UPPER(TRIM(SUBSTITUTE($A727,"-","")))</f>
        <v/>
      </c>
      <c r="C727" s="16">
        <f>IF($B727="",0,LEN($B727))</f>
        <v/>
      </c>
      <c r="D727" s="16">
        <f>IF($A727="","",UPPER(TRIM(SUBSTITUTE(IFERROR(INDEX(tblVeriA[FaturaNo],ROW()-ROW(tblVeriA[[#Headers]])),"")," ",""))))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UPPER(TRIM(SUBSTITUTE($I727,"-","")))</f>
        <v/>
      </c>
      <c r="K727" s="16">
        <f>IF($J727="",0,LEN($J727))</f>
        <v/>
      </c>
      <c r="L727" s="16">
        <f>IF($I727="","",UPPER(TRIM(SUBSTITUTE(IFERROR(INDEX(tblVeriB[FaturaNo],ROW()-ROW(tblVeriB[[#Headers]])),"")," ",""))))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UPPER(TRIM(SUBSTITUTE($A728,"-","")))</f>
        <v/>
      </c>
      <c r="C728" s="16">
        <f>IF($B728="",0,LEN($B728))</f>
        <v/>
      </c>
      <c r="D728" s="16">
        <f>IF($A728="","",UPPER(TRIM(SUBSTITUTE(IFERROR(INDEX(tblVeriA[FaturaNo],ROW()-ROW(tblVeriA[[#Headers]])),"")," ",""))))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UPPER(TRIM(SUBSTITUTE($I728,"-","")))</f>
        <v/>
      </c>
      <c r="K728" s="16">
        <f>IF($J728="",0,LEN($J728))</f>
        <v/>
      </c>
      <c r="L728" s="16">
        <f>IF($I728="","",UPPER(TRIM(SUBSTITUTE(IFERROR(INDEX(tblVeriB[FaturaNo],ROW()-ROW(tblVeriB[[#Headers]])),"")," ",""))))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UPPER(TRIM(SUBSTITUTE($A729,"-","")))</f>
        <v/>
      </c>
      <c r="C729" s="16">
        <f>IF($B729="",0,LEN($B729))</f>
        <v/>
      </c>
      <c r="D729" s="16">
        <f>IF($A729="","",UPPER(TRIM(SUBSTITUTE(IFERROR(INDEX(tblVeriA[FaturaNo],ROW()-ROW(tblVeriA[[#Headers]])),"")," ",""))))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UPPER(TRIM(SUBSTITUTE($I729,"-","")))</f>
        <v/>
      </c>
      <c r="K729" s="16">
        <f>IF($J729="",0,LEN($J729))</f>
        <v/>
      </c>
      <c r="L729" s="16">
        <f>IF($I729="","",UPPER(TRIM(SUBSTITUTE(IFERROR(INDEX(tblVeriB[FaturaNo],ROW()-ROW(tblVeriB[[#Headers]])),"")," ",""))))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UPPER(TRIM(SUBSTITUTE($A730,"-","")))</f>
        <v/>
      </c>
      <c r="C730" s="16">
        <f>IF($B730="",0,LEN($B730))</f>
        <v/>
      </c>
      <c r="D730" s="16">
        <f>IF($A730="","",UPPER(TRIM(SUBSTITUTE(IFERROR(INDEX(tblVeriA[FaturaNo],ROW()-ROW(tblVeriA[[#Headers]])),"")," ",""))))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UPPER(TRIM(SUBSTITUTE($I730,"-","")))</f>
        <v/>
      </c>
      <c r="K730" s="16">
        <f>IF($J730="",0,LEN($J730))</f>
        <v/>
      </c>
      <c r="L730" s="16">
        <f>IF($I730="","",UPPER(TRIM(SUBSTITUTE(IFERROR(INDEX(tblVeriB[FaturaNo],ROW()-ROW(tblVeriB[[#Headers]])),"")," ",""))))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UPPER(TRIM(SUBSTITUTE($A731,"-","")))</f>
        <v/>
      </c>
      <c r="C731" s="16">
        <f>IF($B731="",0,LEN($B731))</f>
        <v/>
      </c>
      <c r="D731" s="16">
        <f>IF($A731="","",UPPER(TRIM(SUBSTITUTE(IFERROR(INDEX(tblVeriA[FaturaNo],ROW()-ROW(tblVeriA[[#Headers]])),"")," ",""))))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UPPER(TRIM(SUBSTITUTE($I731,"-","")))</f>
        <v/>
      </c>
      <c r="K731" s="16">
        <f>IF($J731="",0,LEN($J731))</f>
        <v/>
      </c>
      <c r="L731" s="16">
        <f>IF($I731="","",UPPER(TRIM(SUBSTITUTE(IFERROR(INDEX(tblVeriB[FaturaNo],ROW()-ROW(tblVeriB[[#Headers]])),"")," ",""))))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UPPER(TRIM(SUBSTITUTE($A732,"-","")))</f>
        <v/>
      </c>
      <c r="C732" s="16">
        <f>IF($B732="",0,LEN($B732))</f>
        <v/>
      </c>
      <c r="D732" s="16">
        <f>IF($A732="","",UPPER(TRIM(SUBSTITUTE(IFERROR(INDEX(tblVeriA[FaturaNo],ROW()-ROW(tblVeriA[[#Headers]])),"")," ",""))))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UPPER(TRIM(SUBSTITUTE($I732,"-","")))</f>
        <v/>
      </c>
      <c r="K732" s="16">
        <f>IF($J732="",0,LEN($J732))</f>
        <v/>
      </c>
      <c r="L732" s="16">
        <f>IF($I732="","",UPPER(TRIM(SUBSTITUTE(IFERROR(INDEX(tblVeriB[FaturaNo],ROW()-ROW(tblVeriB[[#Headers]])),"")," ",""))))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UPPER(TRIM(SUBSTITUTE($A733,"-","")))</f>
        <v/>
      </c>
      <c r="C733" s="16">
        <f>IF($B733="",0,LEN($B733))</f>
        <v/>
      </c>
      <c r="D733" s="16">
        <f>IF($A733="","",UPPER(TRIM(SUBSTITUTE(IFERROR(INDEX(tblVeriA[FaturaNo],ROW()-ROW(tblVeriA[[#Headers]])),"")," ",""))))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UPPER(TRIM(SUBSTITUTE($I733,"-","")))</f>
        <v/>
      </c>
      <c r="K733" s="16">
        <f>IF($J733="",0,LEN($J733))</f>
        <v/>
      </c>
      <c r="L733" s="16">
        <f>IF($I733="","",UPPER(TRIM(SUBSTITUTE(IFERROR(INDEX(tblVeriB[FaturaNo],ROW()-ROW(tblVeriB[[#Headers]])),"")," ",""))))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UPPER(TRIM(SUBSTITUTE($A734,"-","")))</f>
        <v/>
      </c>
      <c r="C734" s="16">
        <f>IF($B734="",0,LEN($B734))</f>
        <v/>
      </c>
      <c r="D734" s="16">
        <f>IF($A734="","",UPPER(TRIM(SUBSTITUTE(IFERROR(INDEX(tblVeriA[FaturaNo],ROW()-ROW(tblVeriA[[#Headers]])),"")," ",""))))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UPPER(TRIM(SUBSTITUTE($I734,"-","")))</f>
        <v/>
      </c>
      <c r="K734" s="16">
        <f>IF($J734="",0,LEN($J734))</f>
        <v/>
      </c>
      <c r="L734" s="16">
        <f>IF($I734="","",UPPER(TRIM(SUBSTITUTE(IFERROR(INDEX(tblVeriB[FaturaNo],ROW()-ROW(tblVeriB[[#Headers]])),"")," ",""))))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UPPER(TRIM(SUBSTITUTE($A735,"-","")))</f>
        <v/>
      </c>
      <c r="C735" s="16">
        <f>IF($B735="",0,LEN($B735))</f>
        <v/>
      </c>
      <c r="D735" s="16">
        <f>IF($A735="","",UPPER(TRIM(SUBSTITUTE(IFERROR(INDEX(tblVeriA[FaturaNo],ROW()-ROW(tblVeriA[[#Headers]])),"")," ",""))))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UPPER(TRIM(SUBSTITUTE($I735,"-","")))</f>
        <v/>
      </c>
      <c r="K735" s="16">
        <f>IF($J735="",0,LEN($J735))</f>
        <v/>
      </c>
      <c r="L735" s="16">
        <f>IF($I735="","",UPPER(TRIM(SUBSTITUTE(IFERROR(INDEX(tblVeriB[FaturaNo],ROW()-ROW(tblVeriB[[#Headers]])),"")," ",""))))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UPPER(TRIM(SUBSTITUTE($A736,"-","")))</f>
        <v/>
      </c>
      <c r="C736" s="16">
        <f>IF($B736="",0,LEN($B736))</f>
        <v/>
      </c>
      <c r="D736" s="16">
        <f>IF($A736="","",UPPER(TRIM(SUBSTITUTE(IFERROR(INDEX(tblVeriA[FaturaNo],ROW()-ROW(tblVeriA[[#Headers]])),"")," ",""))))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UPPER(TRIM(SUBSTITUTE($I736,"-","")))</f>
        <v/>
      </c>
      <c r="K736" s="16">
        <f>IF($J736="",0,LEN($J736))</f>
        <v/>
      </c>
      <c r="L736" s="16">
        <f>IF($I736="","",UPPER(TRIM(SUBSTITUTE(IFERROR(INDEX(tblVeriB[FaturaNo],ROW()-ROW(tblVeriB[[#Headers]])),"")," ",""))))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UPPER(TRIM(SUBSTITUTE($A737,"-","")))</f>
        <v/>
      </c>
      <c r="C737" s="16">
        <f>IF($B737="",0,LEN($B737))</f>
        <v/>
      </c>
      <c r="D737" s="16">
        <f>IF($A737="","",UPPER(TRIM(SUBSTITUTE(IFERROR(INDEX(tblVeriA[FaturaNo],ROW()-ROW(tblVeriA[[#Headers]])),"")," ",""))))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UPPER(TRIM(SUBSTITUTE($I737,"-","")))</f>
        <v/>
      </c>
      <c r="K737" s="16">
        <f>IF($J737="",0,LEN($J737))</f>
        <v/>
      </c>
      <c r="L737" s="16">
        <f>IF($I737="","",UPPER(TRIM(SUBSTITUTE(IFERROR(INDEX(tblVeriB[FaturaNo],ROW()-ROW(tblVeriB[[#Headers]])),"")," ",""))))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UPPER(TRIM(SUBSTITUTE($A738,"-","")))</f>
        <v/>
      </c>
      <c r="C738" s="16">
        <f>IF($B738="",0,LEN($B738))</f>
        <v/>
      </c>
      <c r="D738" s="16">
        <f>IF($A738="","",UPPER(TRIM(SUBSTITUTE(IFERROR(INDEX(tblVeriA[FaturaNo],ROW()-ROW(tblVeriA[[#Headers]])),"")," ",""))))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UPPER(TRIM(SUBSTITUTE($I738,"-","")))</f>
        <v/>
      </c>
      <c r="K738" s="16">
        <f>IF($J738="",0,LEN($J738))</f>
        <v/>
      </c>
      <c r="L738" s="16">
        <f>IF($I738="","",UPPER(TRIM(SUBSTITUTE(IFERROR(INDEX(tblVeriB[FaturaNo],ROW()-ROW(tblVeriB[[#Headers]])),"")," ",""))))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UPPER(TRIM(SUBSTITUTE($A739,"-","")))</f>
        <v/>
      </c>
      <c r="C739" s="16">
        <f>IF($B739="",0,LEN($B739))</f>
        <v/>
      </c>
      <c r="D739" s="16">
        <f>IF($A739="","",UPPER(TRIM(SUBSTITUTE(IFERROR(INDEX(tblVeriA[FaturaNo],ROW()-ROW(tblVeriA[[#Headers]])),"")," ",""))))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UPPER(TRIM(SUBSTITUTE($I739,"-","")))</f>
        <v/>
      </c>
      <c r="K739" s="16">
        <f>IF($J739="",0,LEN($J739))</f>
        <v/>
      </c>
      <c r="L739" s="16">
        <f>IF($I739="","",UPPER(TRIM(SUBSTITUTE(IFERROR(INDEX(tblVeriB[FaturaNo],ROW()-ROW(tblVeriB[[#Headers]])),"")," ",""))))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UPPER(TRIM(SUBSTITUTE($A740,"-","")))</f>
        <v/>
      </c>
      <c r="C740" s="16">
        <f>IF($B740="",0,LEN($B740))</f>
        <v/>
      </c>
      <c r="D740" s="16">
        <f>IF($A740="","",UPPER(TRIM(SUBSTITUTE(IFERROR(INDEX(tblVeriA[FaturaNo],ROW()-ROW(tblVeriA[[#Headers]])),"")," ",""))))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UPPER(TRIM(SUBSTITUTE($I740,"-","")))</f>
        <v/>
      </c>
      <c r="K740" s="16">
        <f>IF($J740="",0,LEN($J740))</f>
        <v/>
      </c>
      <c r="L740" s="16">
        <f>IF($I740="","",UPPER(TRIM(SUBSTITUTE(IFERROR(INDEX(tblVeriB[FaturaNo],ROW()-ROW(tblVeriB[[#Headers]])),"")," ",""))))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UPPER(TRIM(SUBSTITUTE($A741,"-","")))</f>
        <v/>
      </c>
      <c r="C741" s="16">
        <f>IF($B741="",0,LEN($B741))</f>
        <v/>
      </c>
      <c r="D741" s="16">
        <f>IF($A741="","",UPPER(TRIM(SUBSTITUTE(IFERROR(INDEX(tblVeriA[FaturaNo],ROW()-ROW(tblVeriA[[#Headers]])),"")," ",""))))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UPPER(TRIM(SUBSTITUTE($I741,"-","")))</f>
        <v/>
      </c>
      <c r="K741" s="16">
        <f>IF($J741="",0,LEN($J741))</f>
        <v/>
      </c>
      <c r="L741" s="16">
        <f>IF($I741="","",UPPER(TRIM(SUBSTITUTE(IFERROR(INDEX(tblVeriB[FaturaNo],ROW()-ROW(tblVeriB[[#Headers]])),"")," ",""))))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UPPER(TRIM(SUBSTITUTE($A742,"-","")))</f>
        <v/>
      </c>
      <c r="C742" s="16">
        <f>IF($B742="",0,LEN($B742))</f>
        <v/>
      </c>
      <c r="D742" s="16">
        <f>IF($A742="","",UPPER(TRIM(SUBSTITUTE(IFERROR(INDEX(tblVeriA[FaturaNo],ROW()-ROW(tblVeriA[[#Headers]])),"")," ",""))))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UPPER(TRIM(SUBSTITUTE($I742,"-","")))</f>
        <v/>
      </c>
      <c r="K742" s="16">
        <f>IF($J742="",0,LEN($J742))</f>
        <v/>
      </c>
      <c r="L742" s="16">
        <f>IF($I742="","",UPPER(TRIM(SUBSTITUTE(IFERROR(INDEX(tblVeriB[FaturaNo],ROW()-ROW(tblVeriB[[#Headers]])),"")," ",""))))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UPPER(TRIM(SUBSTITUTE($A743,"-","")))</f>
        <v/>
      </c>
      <c r="C743" s="16">
        <f>IF($B743="",0,LEN($B743))</f>
        <v/>
      </c>
      <c r="D743" s="16">
        <f>IF($A743="","",UPPER(TRIM(SUBSTITUTE(IFERROR(INDEX(tblVeriA[FaturaNo],ROW()-ROW(tblVeriA[[#Headers]])),"")," ",""))))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UPPER(TRIM(SUBSTITUTE($I743,"-","")))</f>
        <v/>
      </c>
      <c r="K743" s="16">
        <f>IF($J743="",0,LEN($J743))</f>
        <v/>
      </c>
      <c r="L743" s="16">
        <f>IF($I743="","",UPPER(TRIM(SUBSTITUTE(IFERROR(INDEX(tblVeriB[FaturaNo],ROW()-ROW(tblVeriB[[#Headers]])),"")," ",""))))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UPPER(TRIM(SUBSTITUTE($A744,"-","")))</f>
        <v/>
      </c>
      <c r="C744" s="16">
        <f>IF($B744="",0,LEN($B744))</f>
        <v/>
      </c>
      <c r="D744" s="16">
        <f>IF($A744="","",UPPER(TRIM(SUBSTITUTE(IFERROR(INDEX(tblVeriA[FaturaNo],ROW()-ROW(tblVeriA[[#Headers]])),"")," ",""))))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UPPER(TRIM(SUBSTITUTE($I744,"-","")))</f>
        <v/>
      </c>
      <c r="K744" s="16">
        <f>IF($J744="",0,LEN($J744))</f>
        <v/>
      </c>
      <c r="L744" s="16">
        <f>IF($I744="","",UPPER(TRIM(SUBSTITUTE(IFERROR(INDEX(tblVeriB[FaturaNo],ROW()-ROW(tblVeriB[[#Headers]])),"")," ",""))))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UPPER(TRIM(SUBSTITUTE($A745,"-","")))</f>
        <v/>
      </c>
      <c r="C745" s="16">
        <f>IF($B745="",0,LEN($B745))</f>
        <v/>
      </c>
      <c r="D745" s="16">
        <f>IF($A745="","",UPPER(TRIM(SUBSTITUTE(IFERROR(INDEX(tblVeriA[FaturaNo],ROW()-ROW(tblVeriA[[#Headers]])),"")," ",""))))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UPPER(TRIM(SUBSTITUTE($I745,"-","")))</f>
        <v/>
      </c>
      <c r="K745" s="16">
        <f>IF($J745="",0,LEN($J745))</f>
        <v/>
      </c>
      <c r="L745" s="16">
        <f>IF($I745="","",UPPER(TRIM(SUBSTITUTE(IFERROR(INDEX(tblVeriB[FaturaNo],ROW()-ROW(tblVeriB[[#Headers]])),"")," ",""))))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UPPER(TRIM(SUBSTITUTE($A746,"-","")))</f>
        <v/>
      </c>
      <c r="C746" s="16">
        <f>IF($B746="",0,LEN($B746))</f>
        <v/>
      </c>
      <c r="D746" s="16">
        <f>IF($A746="","",UPPER(TRIM(SUBSTITUTE(IFERROR(INDEX(tblVeriA[FaturaNo],ROW()-ROW(tblVeriA[[#Headers]])),"")," ",""))))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UPPER(TRIM(SUBSTITUTE($I746,"-","")))</f>
        <v/>
      </c>
      <c r="K746" s="16">
        <f>IF($J746="",0,LEN($J746))</f>
        <v/>
      </c>
      <c r="L746" s="16">
        <f>IF($I746="","",UPPER(TRIM(SUBSTITUTE(IFERROR(INDEX(tblVeriB[FaturaNo],ROW()-ROW(tblVeriB[[#Headers]])),"")," ",""))))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UPPER(TRIM(SUBSTITUTE($A747,"-","")))</f>
        <v/>
      </c>
      <c r="C747" s="16">
        <f>IF($B747="",0,LEN($B747))</f>
        <v/>
      </c>
      <c r="D747" s="16">
        <f>IF($A747="","",UPPER(TRIM(SUBSTITUTE(IFERROR(INDEX(tblVeriA[FaturaNo],ROW()-ROW(tblVeriA[[#Headers]])),"")," ",""))))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UPPER(TRIM(SUBSTITUTE($I747,"-","")))</f>
        <v/>
      </c>
      <c r="K747" s="16">
        <f>IF($J747="",0,LEN($J747))</f>
        <v/>
      </c>
      <c r="L747" s="16">
        <f>IF($I747="","",UPPER(TRIM(SUBSTITUTE(IFERROR(INDEX(tblVeriB[FaturaNo],ROW()-ROW(tblVeriB[[#Headers]])),"")," ",""))))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UPPER(TRIM(SUBSTITUTE($A748,"-","")))</f>
        <v/>
      </c>
      <c r="C748" s="16">
        <f>IF($B748="",0,LEN($B748))</f>
        <v/>
      </c>
      <c r="D748" s="16">
        <f>IF($A748="","",UPPER(TRIM(SUBSTITUTE(IFERROR(INDEX(tblVeriA[FaturaNo],ROW()-ROW(tblVeriA[[#Headers]])),"")," ",""))))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UPPER(TRIM(SUBSTITUTE($I748,"-","")))</f>
        <v/>
      </c>
      <c r="K748" s="16">
        <f>IF($J748="",0,LEN($J748))</f>
        <v/>
      </c>
      <c r="L748" s="16">
        <f>IF($I748="","",UPPER(TRIM(SUBSTITUTE(IFERROR(INDEX(tblVeriB[FaturaNo],ROW()-ROW(tblVeriB[[#Headers]])),"")," ",""))))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UPPER(TRIM(SUBSTITUTE($A749,"-","")))</f>
        <v/>
      </c>
      <c r="C749" s="16">
        <f>IF($B749="",0,LEN($B749))</f>
        <v/>
      </c>
      <c r="D749" s="16">
        <f>IF($A749="","",UPPER(TRIM(SUBSTITUTE(IFERROR(INDEX(tblVeriA[FaturaNo],ROW()-ROW(tblVeriA[[#Headers]])),"")," ",""))))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UPPER(TRIM(SUBSTITUTE($I749,"-","")))</f>
        <v/>
      </c>
      <c r="K749" s="16">
        <f>IF($J749="",0,LEN($J749))</f>
        <v/>
      </c>
      <c r="L749" s="16">
        <f>IF($I749="","",UPPER(TRIM(SUBSTITUTE(IFERROR(INDEX(tblVeriB[FaturaNo],ROW()-ROW(tblVeriB[[#Headers]])),"")," ",""))))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UPPER(TRIM(SUBSTITUTE($A750,"-","")))</f>
        <v/>
      </c>
      <c r="C750" s="16">
        <f>IF($B750="",0,LEN($B750))</f>
        <v/>
      </c>
      <c r="D750" s="16">
        <f>IF($A750="","",UPPER(TRIM(SUBSTITUTE(IFERROR(INDEX(tblVeriA[FaturaNo],ROW()-ROW(tblVeriA[[#Headers]])),"")," ",""))))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UPPER(TRIM(SUBSTITUTE($I750,"-","")))</f>
        <v/>
      </c>
      <c r="K750" s="16">
        <f>IF($J750="",0,LEN($J750))</f>
        <v/>
      </c>
      <c r="L750" s="16">
        <f>IF($I750="","",UPPER(TRIM(SUBSTITUTE(IFERROR(INDEX(tblVeriB[FaturaNo],ROW()-ROW(tblVeriB[[#Headers]])),"")," ",""))))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UPPER(TRIM(SUBSTITUTE($A751,"-","")))</f>
        <v/>
      </c>
      <c r="C751" s="16">
        <f>IF($B751="",0,LEN($B751))</f>
        <v/>
      </c>
      <c r="D751" s="16">
        <f>IF($A751="","",UPPER(TRIM(SUBSTITUTE(IFERROR(INDEX(tblVeriA[FaturaNo],ROW()-ROW(tblVeriA[[#Headers]])),"")," ",""))))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UPPER(TRIM(SUBSTITUTE($I751,"-","")))</f>
        <v/>
      </c>
      <c r="K751" s="16">
        <f>IF($J751="",0,LEN($J751))</f>
        <v/>
      </c>
      <c r="L751" s="16">
        <f>IF($I751="","",UPPER(TRIM(SUBSTITUTE(IFERROR(INDEX(tblVeriB[FaturaNo],ROW()-ROW(tblVeriB[[#Headers]])),"")," ",""))))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UPPER(TRIM(SUBSTITUTE($A752,"-","")))</f>
        <v/>
      </c>
      <c r="C752" s="16">
        <f>IF($B752="",0,LEN($B752))</f>
        <v/>
      </c>
      <c r="D752" s="16">
        <f>IF($A752="","",UPPER(TRIM(SUBSTITUTE(IFERROR(INDEX(tblVeriA[FaturaNo],ROW()-ROW(tblVeriA[[#Headers]])),"")," ",""))))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UPPER(TRIM(SUBSTITUTE($I752,"-","")))</f>
        <v/>
      </c>
      <c r="K752" s="16">
        <f>IF($J752="",0,LEN($J752))</f>
        <v/>
      </c>
      <c r="L752" s="16">
        <f>IF($I752="","",UPPER(TRIM(SUBSTITUTE(IFERROR(INDEX(tblVeriB[FaturaNo],ROW()-ROW(tblVeriB[[#Headers]])),"")," ",""))))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UPPER(TRIM(SUBSTITUTE($A753,"-","")))</f>
        <v/>
      </c>
      <c r="C753" s="16">
        <f>IF($B753="",0,LEN($B753))</f>
        <v/>
      </c>
      <c r="D753" s="16">
        <f>IF($A753="","",UPPER(TRIM(SUBSTITUTE(IFERROR(INDEX(tblVeriA[FaturaNo],ROW()-ROW(tblVeriA[[#Headers]])),"")," ",""))))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UPPER(TRIM(SUBSTITUTE($I753,"-","")))</f>
        <v/>
      </c>
      <c r="K753" s="16">
        <f>IF($J753="",0,LEN($J753))</f>
        <v/>
      </c>
      <c r="L753" s="16">
        <f>IF($I753="","",UPPER(TRIM(SUBSTITUTE(IFERROR(INDEX(tblVeriB[FaturaNo],ROW()-ROW(tblVeriB[[#Headers]])),"")," ",""))))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UPPER(TRIM(SUBSTITUTE($A754,"-","")))</f>
        <v/>
      </c>
      <c r="C754" s="16">
        <f>IF($B754="",0,LEN($B754))</f>
        <v/>
      </c>
      <c r="D754" s="16">
        <f>IF($A754="","",UPPER(TRIM(SUBSTITUTE(IFERROR(INDEX(tblVeriA[FaturaNo],ROW()-ROW(tblVeriA[[#Headers]])),"")," ",""))))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UPPER(TRIM(SUBSTITUTE($I754,"-","")))</f>
        <v/>
      </c>
      <c r="K754" s="16">
        <f>IF($J754="",0,LEN($J754))</f>
        <v/>
      </c>
      <c r="L754" s="16">
        <f>IF($I754="","",UPPER(TRIM(SUBSTITUTE(IFERROR(INDEX(tblVeriB[FaturaNo],ROW()-ROW(tblVeriB[[#Headers]])),"")," ",""))))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UPPER(TRIM(SUBSTITUTE($A755,"-","")))</f>
        <v/>
      </c>
      <c r="C755" s="16">
        <f>IF($B755="",0,LEN($B755))</f>
        <v/>
      </c>
      <c r="D755" s="16">
        <f>IF($A755="","",UPPER(TRIM(SUBSTITUTE(IFERROR(INDEX(tblVeriA[FaturaNo],ROW()-ROW(tblVeriA[[#Headers]])),"")," ",""))))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UPPER(TRIM(SUBSTITUTE($I755,"-","")))</f>
        <v/>
      </c>
      <c r="K755" s="16">
        <f>IF($J755="",0,LEN($J755))</f>
        <v/>
      </c>
      <c r="L755" s="16">
        <f>IF($I755="","",UPPER(TRIM(SUBSTITUTE(IFERROR(INDEX(tblVeriB[FaturaNo],ROW()-ROW(tblVeriB[[#Headers]])),"")," ",""))))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UPPER(TRIM(SUBSTITUTE($A756,"-","")))</f>
        <v/>
      </c>
      <c r="C756" s="16">
        <f>IF($B756="",0,LEN($B756))</f>
        <v/>
      </c>
      <c r="D756" s="16">
        <f>IF($A756="","",UPPER(TRIM(SUBSTITUTE(IFERROR(INDEX(tblVeriA[FaturaNo],ROW()-ROW(tblVeriA[[#Headers]])),"")," ",""))))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UPPER(TRIM(SUBSTITUTE($I756,"-","")))</f>
        <v/>
      </c>
      <c r="K756" s="16">
        <f>IF($J756="",0,LEN($J756))</f>
        <v/>
      </c>
      <c r="L756" s="16">
        <f>IF($I756="","",UPPER(TRIM(SUBSTITUTE(IFERROR(INDEX(tblVeriB[FaturaNo],ROW()-ROW(tblVeriB[[#Headers]])),"")," ",""))))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UPPER(TRIM(SUBSTITUTE($A757,"-","")))</f>
        <v/>
      </c>
      <c r="C757" s="16">
        <f>IF($B757="",0,LEN($B757))</f>
        <v/>
      </c>
      <c r="D757" s="16">
        <f>IF($A757="","",UPPER(TRIM(SUBSTITUTE(IFERROR(INDEX(tblVeriA[FaturaNo],ROW()-ROW(tblVeriA[[#Headers]])),"")," ",""))))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UPPER(TRIM(SUBSTITUTE($I757,"-","")))</f>
        <v/>
      </c>
      <c r="K757" s="16">
        <f>IF($J757="",0,LEN($J757))</f>
        <v/>
      </c>
      <c r="L757" s="16">
        <f>IF($I757="","",UPPER(TRIM(SUBSTITUTE(IFERROR(INDEX(tblVeriB[FaturaNo],ROW()-ROW(tblVeriB[[#Headers]])),"")," ",""))))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UPPER(TRIM(SUBSTITUTE($A758,"-","")))</f>
        <v/>
      </c>
      <c r="C758" s="16">
        <f>IF($B758="",0,LEN($B758))</f>
        <v/>
      </c>
      <c r="D758" s="16">
        <f>IF($A758="","",UPPER(TRIM(SUBSTITUTE(IFERROR(INDEX(tblVeriA[FaturaNo],ROW()-ROW(tblVeriA[[#Headers]])),"")," ",""))))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UPPER(TRIM(SUBSTITUTE($I758,"-","")))</f>
        <v/>
      </c>
      <c r="K758" s="16">
        <f>IF($J758="",0,LEN($J758))</f>
        <v/>
      </c>
      <c r="L758" s="16">
        <f>IF($I758="","",UPPER(TRIM(SUBSTITUTE(IFERROR(INDEX(tblVeriB[FaturaNo],ROW()-ROW(tblVeriB[[#Headers]])),"")," ",""))))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UPPER(TRIM(SUBSTITUTE($A759,"-","")))</f>
        <v/>
      </c>
      <c r="C759" s="16">
        <f>IF($B759="",0,LEN($B759))</f>
        <v/>
      </c>
      <c r="D759" s="16">
        <f>IF($A759="","",UPPER(TRIM(SUBSTITUTE(IFERROR(INDEX(tblVeriA[FaturaNo],ROW()-ROW(tblVeriA[[#Headers]])),"")," ",""))))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UPPER(TRIM(SUBSTITUTE($I759,"-","")))</f>
        <v/>
      </c>
      <c r="K759" s="16">
        <f>IF($J759="",0,LEN($J759))</f>
        <v/>
      </c>
      <c r="L759" s="16">
        <f>IF($I759="","",UPPER(TRIM(SUBSTITUTE(IFERROR(INDEX(tblVeriB[FaturaNo],ROW()-ROW(tblVeriB[[#Headers]])),"")," ",""))))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UPPER(TRIM(SUBSTITUTE($A760,"-","")))</f>
        <v/>
      </c>
      <c r="C760" s="16">
        <f>IF($B760="",0,LEN($B760))</f>
        <v/>
      </c>
      <c r="D760" s="16">
        <f>IF($A760="","",UPPER(TRIM(SUBSTITUTE(IFERROR(INDEX(tblVeriA[FaturaNo],ROW()-ROW(tblVeriA[[#Headers]])),"")," ",""))))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UPPER(TRIM(SUBSTITUTE($I760,"-","")))</f>
        <v/>
      </c>
      <c r="K760" s="16">
        <f>IF($J760="",0,LEN($J760))</f>
        <v/>
      </c>
      <c r="L760" s="16">
        <f>IF($I760="","",UPPER(TRIM(SUBSTITUTE(IFERROR(INDEX(tblVeriB[FaturaNo],ROW()-ROW(tblVeriB[[#Headers]])),"")," ",""))))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UPPER(TRIM(SUBSTITUTE($A761,"-","")))</f>
        <v/>
      </c>
      <c r="C761" s="16">
        <f>IF($B761="",0,LEN($B761))</f>
        <v/>
      </c>
      <c r="D761" s="16">
        <f>IF($A761="","",UPPER(TRIM(SUBSTITUTE(IFERROR(INDEX(tblVeriA[FaturaNo],ROW()-ROW(tblVeriA[[#Headers]])),"")," ",""))))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UPPER(TRIM(SUBSTITUTE($I761,"-","")))</f>
        <v/>
      </c>
      <c r="K761" s="16">
        <f>IF($J761="",0,LEN($J761))</f>
        <v/>
      </c>
      <c r="L761" s="16">
        <f>IF($I761="","",UPPER(TRIM(SUBSTITUTE(IFERROR(INDEX(tblVeriB[FaturaNo],ROW()-ROW(tblVeriB[[#Headers]])),"")," ",""))))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UPPER(TRIM(SUBSTITUTE($A762,"-","")))</f>
        <v/>
      </c>
      <c r="C762" s="16">
        <f>IF($B762="",0,LEN($B762))</f>
        <v/>
      </c>
      <c r="D762" s="16">
        <f>IF($A762="","",UPPER(TRIM(SUBSTITUTE(IFERROR(INDEX(tblVeriA[FaturaNo],ROW()-ROW(tblVeriA[[#Headers]])),"")," ",""))))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UPPER(TRIM(SUBSTITUTE($I762,"-","")))</f>
        <v/>
      </c>
      <c r="K762" s="16">
        <f>IF($J762="",0,LEN($J762))</f>
        <v/>
      </c>
      <c r="L762" s="16">
        <f>IF($I762="","",UPPER(TRIM(SUBSTITUTE(IFERROR(INDEX(tblVeriB[FaturaNo],ROW()-ROW(tblVeriB[[#Headers]])),"")," ",""))))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UPPER(TRIM(SUBSTITUTE($A763,"-","")))</f>
        <v/>
      </c>
      <c r="C763" s="16">
        <f>IF($B763="",0,LEN($B763))</f>
        <v/>
      </c>
      <c r="D763" s="16">
        <f>IF($A763="","",UPPER(TRIM(SUBSTITUTE(IFERROR(INDEX(tblVeriA[FaturaNo],ROW()-ROW(tblVeriA[[#Headers]])),"")," ",""))))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UPPER(TRIM(SUBSTITUTE($I763,"-","")))</f>
        <v/>
      </c>
      <c r="K763" s="16">
        <f>IF($J763="",0,LEN($J763))</f>
        <v/>
      </c>
      <c r="L763" s="16">
        <f>IF($I763="","",UPPER(TRIM(SUBSTITUTE(IFERROR(INDEX(tblVeriB[FaturaNo],ROW()-ROW(tblVeriB[[#Headers]])),"")," ",""))))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UPPER(TRIM(SUBSTITUTE($A764,"-","")))</f>
        <v/>
      </c>
      <c r="C764" s="16">
        <f>IF($B764="",0,LEN($B764))</f>
        <v/>
      </c>
      <c r="D764" s="16">
        <f>IF($A764="","",UPPER(TRIM(SUBSTITUTE(IFERROR(INDEX(tblVeriA[FaturaNo],ROW()-ROW(tblVeriA[[#Headers]])),"")," ",""))))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UPPER(TRIM(SUBSTITUTE($I764,"-","")))</f>
        <v/>
      </c>
      <c r="K764" s="16">
        <f>IF($J764="",0,LEN($J764))</f>
        <v/>
      </c>
      <c r="L764" s="16">
        <f>IF($I764="","",UPPER(TRIM(SUBSTITUTE(IFERROR(INDEX(tblVeriB[FaturaNo],ROW()-ROW(tblVeriB[[#Headers]])),"")," ",""))))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UPPER(TRIM(SUBSTITUTE($A765,"-","")))</f>
        <v/>
      </c>
      <c r="C765" s="16">
        <f>IF($B765="",0,LEN($B765))</f>
        <v/>
      </c>
      <c r="D765" s="16">
        <f>IF($A765="","",UPPER(TRIM(SUBSTITUTE(IFERROR(INDEX(tblVeriA[FaturaNo],ROW()-ROW(tblVeriA[[#Headers]])),"")," ",""))))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UPPER(TRIM(SUBSTITUTE($I765,"-","")))</f>
        <v/>
      </c>
      <c r="K765" s="16">
        <f>IF($J765="",0,LEN($J765))</f>
        <v/>
      </c>
      <c r="L765" s="16">
        <f>IF($I765="","",UPPER(TRIM(SUBSTITUTE(IFERROR(INDEX(tblVeriB[FaturaNo],ROW()-ROW(tblVeriB[[#Headers]])),"")," ",""))))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UPPER(TRIM(SUBSTITUTE($A766,"-","")))</f>
        <v/>
      </c>
      <c r="C766" s="16">
        <f>IF($B766="",0,LEN($B766))</f>
        <v/>
      </c>
      <c r="D766" s="16">
        <f>IF($A766="","",UPPER(TRIM(SUBSTITUTE(IFERROR(INDEX(tblVeriA[FaturaNo],ROW()-ROW(tblVeriA[[#Headers]])),"")," ",""))))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UPPER(TRIM(SUBSTITUTE($I766,"-","")))</f>
        <v/>
      </c>
      <c r="K766" s="16">
        <f>IF($J766="",0,LEN($J766))</f>
        <v/>
      </c>
      <c r="L766" s="16">
        <f>IF($I766="","",UPPER(TRIM(SUBSTITUTE(IFERROR(INDEX(tblVeriB[FaturaNo],ROW()-ROW(tblVeriB[[#Headers]])),"")," ",""))))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UPPER(TRIM(SUBSTITUTE($A767,"-","")))</f>
        <v/>
      </c>
      <c r="C767" s="16">
        <f>IF($B767="",0,LEN($B767))</f>
        <v/>
      </c>
      <c r="D767" s="16">
        <f>IF($A767="","",UPPER(TRIM(SUBSTITUTE(IFERROR(INDEX(tblVeriA[FaturaNo],ROW()-ROW(tblVeriA[[#Headers]])),"")," ",""))))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UPPER(TRIM(SUBSTITUTE($I767,"-","")))</f>
        <v/>
      </c>
      <c r="K767" s="16">
        <f>IF($J767="",0,LEN($J767))</f>
        <v/>
      </c>
      <c r="L767" s="16">
        <f>IF($I767="","",UPPER(TRIM(SUBSTITUTE(IFERROR(INDEX(tblVeriB[FaturaNo],ROW()-ROW(tblVeriB[[#Headers]])),"")," ",""))))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UPPER(TRIM(SUBSTITUTE($A768,"-","")))</f>
        <v/>
      </c>
      <c r="C768" s="16">
        <f>IF($B768="",0,LEN($B768))</f>
        <v/>
      </c>
      <c r="D768" s="16">
        <f>IF($A768="","",UPPER(TRIM(SUBSTITUTE(IFERROR(INDEX(tblVeriA[FaturaNo],ROW()-ROW(tblVeriA[[#Headers]])),"")," ",""))))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UPPER(TRIM(SUBSTITUTE($I768,"-","")))</f>
        <v/>
      </c>
      <c r="K768" s="16">
        <f>IF($J768="",0,LEN($J768))</f>
        <v/>
      </c>
      <c r="L768" s="16">
        <f>IF($I768="","",UPPER(TRIM(SUBSTITUTE(IFERROR(INDEX(tblVeriB[FaturaNo],ROW()-ROW(tblVeriB[[#Headers]])),"")," ",""))))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UPPER(TRIM(SUBSTITUTE($A769,"-","")))</f>
        <v/>
      </c>
      <c r="C769" s="16">
        <f>IF($B769="",0,LEN($B769))</f>
        <v/>
      </c>
      <c r="D769" s="16">
        <f>IF($A769="","",UPPER(TRIM(SUBSTITUTE(IFERROR(INDEX(tblVeriA[FaturaNo],ROW()-ROW(tblVeriA[[#Headers]])),"")," ",""))))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UPPER(TRIM(SUBSTITUTE($I769,"-","")))</f>
        <v/>
      </c>
      <c r="K769" s="16">
        <f>IF($J769="",0,LEN($J769))</f>
        <v/>
      </c>
      <c r="L769" s="16">
        <f>IF($I769="","",UPPER(TRIM(SUBSTITUTE(IFERROR(INDEX(tblVeriB[FaturaNo],ROW()-ROW(tblVeriB[[#Headers]])),"")," ",""))))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UPPER(TRIM(SUBSTITUTE($A770,"-","")))</f>
        <v/>
      </c>
      <c r="C770" s="16">
        <f>IF($B770="",0,LEN($B770))</f>
        <v/>
      </c>
      <c r="D770" s="16">
        <f>IF($A770="","",UPPER(TRIM(SUBSTITUTE(IFERROR(INDEX(tblVeriA[FaturaNo],ROW()-ROW(tblVeriA[[#Headers]])),"")," ",""))))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UPPER(TRIM(SUBSTITUTE($I770,"-","")))</f>
        <v/>
      </c>
      <c r="K770" s="16">
        <f>IF($J770="",0,LEN($J770))</f>
        <v/>
      </c>
      <c r="L770" s="16">
        <f>IF($I770="","",UPPER(TRIM(SUBSTITUTE(IFERROR(INDEX(tblVeriB[FaturaNo],ROW()-ROW(tblVeriB[[#Headers]])),"")," ",""))))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UPPER(TRIM(SUBSTITUTE($A771,"-","")))</f>
        <v/>
      </c>
      <c r="C771" s="16">
        <f>IF($B771="",0,LEN($B771))</f>
        <v/>
      </c>
      <c r="D771" s="16">
        <f>IF($A771="","",UPPER(TRIM(SUBSTITUTE(IFERROR(INDEX(tblVeriA[FaturaNo],ROW()-ROW(tblVeriA[[#Headers]])),"")," ",""))))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UPPER(TRIM(SUBSTITUTE($I771,"-","")))</f>
        <v/>
      </c>
      <c r="K771" s="16">
        <f>IF($J771="",0,LEN($J771))</f>
        <v/>
      </c>
      <c r="L771" s="16">
        <f>IF($I771="","",UPPER(TRIM(SUBSTITUTE(IFERROR(INDEX(tblVeriB[FaturaNo],ROW()-ROW(tblVeriB[[#Headers]])),"")," ",""))))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UPPER(TRIM(SUBSTITUTE($A772,"-","")))</f>
        <v/>
      </c>
      <c r="C772" s="16">
        <f>IF($B772="",0,LEN($B772))</f>
        <v/>
      </c>
      <c r="D772" s="16">
        <f>IF($A772="","",UPPER(TRIM(SUBSTITUTE(IFERROR(INDEX(tblVeriA[FaturaNo],ROW()-ROW(tblVeriA[[#Headers]])),"")," ",""))))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UPPER(TRIM(SUBSTITUTE($I772,"-","")))</f>
        <v/>
      </c>
      <c r="K772" s="16">
        <f>IF($J772="",0,LEN($J772))</f>
        <v/>
      </c>
      <c r="L772" s="16">
        <f>IF($I772="","",UPPER(TRIM(SUBSTITUTE(IFERROR(INDEX(tblVeriB[FaturaNo],ROW()-ROW(tblVeriB[[#Headers]])),"")," ",""))))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UPPER(TRIM(SUBSTITUTE($A773,"-","")))</f>
        <v/>
      </c>
      <c r="C773" s="16">
        <f>IF($B773="",0,LEN($B773))</f>
        <v/>
      </c>
      <c r="D773" s="16">
        <f>IF($A773="","",UPPER(TRIM(SUBSTITUTE(IFERROR(INDEX(tblVeriA[FaturaNo],ROW()-ROW(tblVeriA[[#Headers]])),"")," ",""))))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UPPER(TRIM(SUBSTITUTE($I773,"-","")))</f>
        <v/>
      </c>
      <c r="K773" s="16">
        <f>IF($J773="",0,LEN($J773))</f>
        <v/>
      </c>
      <c r="L773" s="16">
        <f>IF($I773="","",UPPER(TRIM(SUBSTITUTE(IFERROR(INDEX(tblVeriB[FaturaNo],ROW()-ROW(tblVeriB[[#Headers]])),"")," ",""))))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UPPER(TRIM(SUBSTITUTE($A774,"-","")))</f>
        <v/>
      </c>
      <c r="C774" s="16">
        <f>IF($B774="",0,LEN($B774))</f>
        <v/>
      </c>
      <c r="D774" s="16">
        <f>IF($A774="","",UPPER(TRIM(SUBSTITUTE(IFERROR(INDEX(tblVeriA[FaturaNo],ROW()-ROW(tblVeriA[[#Headers]])),"")," ",""))))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UPPER(TRIM(SUBSTITUTE($I774,"-","")))</f>
        <v/>
      </c>
      <c r="K774" s="16">
        <f>IF($J774="",0,LEN($J774))</f>
        <v/>
      </c>
      <c r="L774" s="16">
        <f>IF($I774="","",UPPER(TRIM(SUBSTITUTE(IFERROR(INDEX(tblVeriB[FaturaNo],ROW()-ROW(tblVeriB[[#Headers]])),"")," ",""))))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UPPER(TRIM(SUBSTITUTE($A775,"-","")))</f>
        <v/>
      </c>
      <c r="C775" s="16">
        <f>IF($B775="",0,LEN($B775))</f>
        <v/>
      </c>
      <c r="D775" s="16">
        <f>IF($A775="","",UPPER(TRIM(SUBSTITUTE(IFERROR(INDEX(tblVeriA[FaturaNo],ROW()-ROW(tblVeriA[[#Headers]])),"")," ",""))))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UPPER(TRIM(SUBSTITUTE($I775,"-","")))</f>
        <v/>
      </c>
      <c r="K775" s="16">
        <f>IF($J775="",0,LEN($J775))</f>
        <v/>
      </c>
      <c r="L775" s="16">
        <f>IF($I775="","",UPPER(TRIM(SUBSTITUTE(IFERROR(INDEX(tblVeriB[FaturaNo],ROW()-ROW(tblVeriB[[#Headers]])),"")," ",""))))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UPPER(TRIM(SUBSTITUTE($A776,"-","")))</f>
        <v/>
      </c>
      <c r="C776" s="16">
        <f>IF($B776="",0,LEN($B776))</f>
        <v/>
      </c>
      <c r="D776" s="16">
        <f>IF($A776="","",UPPER(TRIM(SUBSTITUTE(IFERROR(INDEX(tblVeriA[FaturaNo],ROW()-ROW(tblVeriA[[#Headers]])),"")," ",""))))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UPPER(TRIM(SUBSTITUTE($I776,"-","")))</f>
        <v/>
      </c>
      <c r="K776" s="16">
        <f>IF($J776="",0,LEN($J776))</f>
        <v/>
      </c>
      <c r="L776" s="16">
        <f>IF($I776="","",UPPER(TRIM(SUBSTITUTE(IFERROR(INDEX(tblVeriB[FaturaNo],ROW()-ROW(tblVeriB[[#Headers]])),"")," ",""))))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UPPER(TRIM(SUBSTITUTE($A777,"-","")))</f>
        <v/>
      </c>
      <c r="C777" s="16">
        <f>IF($B777="",0,LEN($B777))</f>
        <v/>
      </c>
      <c r="D777" s="16">
        <f>IF($A777="","",UPPER(TRIM(SUBSTITUTE(IFERROR(INDEX(tblVeriA[FaturaNo],ROW()-ROW(tblVeriA[[#Headers]])),"")," ",""))))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UPPER(TRIM(SUBSTITUTE($I777,"-","")))</f>
        <v/>
      </c>
      <c r="K777" s="16">
        <f>IF($J777="",0,LEN($J777))</f>
        <v/>
      </c>
      <c r="L777" s="16">
        <f>IF($I777="","",UPPER(TRIM(SUBSTITUTE(IFERROR(INDEX(tblVeriB[FaturaNo],ROW()-ROW(tblVeriB[[#Headers]])),"")," ",""))))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UPPER(TRIM(SUBSTITUTE($A778,"-","")))</f>
        <v/>
      </c>
      <c r="C778" s="16">
        <f>IF($B778="",0,LEN($B778))</f>
        <v/>
      </c>
      <c r="D778" s="16">
        <f>IF($A778="","",UPPER(TRIM(SUBSTITUTE(IFERROR(INDEX(tblVeriA[FaturaNo],ROW()-ROW(tblVeriA[[#Headers]])),"")," ",""))))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UPPER(TRIM(SUBSTITUTE($I778,"-","")))</f>
        <v/>
      </c>
      <c r="K778" s="16">
        <f>IF($J778="",0,LEN($J778))</f>
        <v/>
      </c>
      <c r="L778" s="16">
        <f>IF($I778="","",UPPER(TRIM(SUBSTITUTE(IFERROR(INDEX(tblVeriB[FaturaNo],ROW()-ROW(tblVeriB[[#Headers]])),"")," ",""))))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UPPER(TRIM(SUBSTITUTE($A779,"-","")))</f>
        <v/>
      </c>
      <c r="C779" s="16">
        <f>IF($B779="",0,LEN($B779))</f>
        <v/>
      </c>
      <c r="D779" s="16">
        <f>IF($A779="","",UPPER(TRIM(SUBSTITUTE(IFERROR(INDEX(tblVeriA[FaturaNo],ROW()-ROW(tblVeriA[[#Headers]])),"")," ",""))))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UPPER(TRIM(SUBSTITUTE($I779,"-","")))</f>
        <v/>
      </c>
      <c r="K779" s="16">
        <f>IF($J779="",0,LEN($J779))</f>
        <v/>
      </c>
      <c r="L779" s="16">
        <f>IF($I779="","",UPPER(TRIM(SUBSTITUTE(IFERROR(INDEX(tblVeriB[FaturaNo],ROW()-ROW(tblVeriB[[#Headers]])),"")," ",""))))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UPPER(TRIM(SUBSTITUTE($A780,"-","")))</f>
        <v/>
      </c>
      <c r="C780" s="16">
        <f>IF($B780="",0,LEN($B780))</f>
        <v/>
      </c>
      <c r="D780" s="16">
        <f>IF($A780="","",UPPER(TRIM(SUBSTITUTE(IFERROR(INDEX(tblVeriA[FaturaNo],ROW()-ROW(tblVeriA[[#Headers]])),"")," ",""))))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UPPER(TRIM(SUBSTITUTE($I780,"-","")))</f>
        <v/>
      </c>
      <c r="K780" s="16">
        <f>IF($J780="",0,LEN($J780))</f>
        <v/>
      </c>
      <c r="L780" s="16">
        <f>IF($I780="","",UPPER(TRIM(SUBSTITUTE(IFERROR(INDEX(tblVeriB[FaturaNo],ROW()-ROW(tblVeriB[[#Headers]])),"")," ",""))))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UPPER(TRIM(SUBSTITUTE($A781,"-","")))</f>
        <v/>
      </c>
      <c r="C781" s="16">
        <f>IF($B781="",0,LEN($B781))</f>
        <v/>
      </c>
      <c r="D781" s="16">
        <f>IF($A781="","",UPPER(TRIM(SUBSTITUTE(IFERROR(INDEX(tblVeriA[FaturaNo],ROW()-ROW(tblVeriA[[#Headers]])),"")," ",""))))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UPPER(TRIM(SUBSTITUTE($I781,"-","")))</f>
        <v/>
      </c>
      <c r="K781" s="16">
        <f>IF($J781="",0,LEN($J781))</f>
        <v/>
      </c>
      <c r="L781" s="16">
        <f>IF($I781="","",UPPER(TRIM(SUBSTITUTE(IFERROR(INDEX(tblVeriB[FaturaNo],ROW()-ROW(tblVeriB[[#Headers]])),"")," ",""))))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UPPER(TRIM(SUBSTITUTE($A782,"-","")))</f>
        <v/>
      </c>
      <c r="C782" s="16">
        <f>IF($B782="",0,LEN($B782))</f>
        <v/>
      </c>
      <c r="D782" s="16">
        <f>IF($A782="","",UPPER(TRIM(SUBSTITUTE(IFERROR(INDEX(tblVeriA[FaturaNo],ROW()-ROW(tblVeriA[[#Headers]])),"")," ",""))))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UPPER(TRIM(SUBSTITUTE($I782,"-","")))</f>
        <v/>
      </c>
      <c r="K782" s="16">
        <f>IF($J782="",0,LEN($J782))</f>
        <v/>
      </c>
      <c r="L782" s="16">
        <f>IF($I782="","",UPPER(TRIM(SUBSTITUTE(IFERROR(INDEX(tblVeriB[FaturaNo],ROW()-ROW(tblVeriB[[#Headers]])),"")," ",""))))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UPPER(TRIM(SUBSTITUTE($A783,"-","")))</f>
        <v/>
      </c>
      <c r="C783" s="16">
        <f>IF($B783="",0,LEN($B783))</f>
        <v/>
      </c>
      <c r="D783" s="16">
        <f>IF($A783="","",UPPER(TRIM(SUBSTITUTE(IFERROR(INDEX(tblVeriA[FaturaNo],ROW()-ROW(tblVeriA[[#Headers]])),"")," ",""))))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UPPER(TRIM(SUBSTITUTE($I783,"-","")))</f>
        <v/>
      </c>
      <c r="K783" s="16">
        <f>IF($J783="",0,LEN($J783))</f>
        <v/>
      </c>
      <c r="L783" s="16">
        <f>IF($I783="","",UPPER(TRIM(SUBSTITUTE(IFERROR(INDEX(tblVeriB[FaturaNo],ROW()-ROW(tblVeriB[[#Headers]])),"")," ",""))))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UPPER(TRIM(SUBSTITUTE($A784,"-","")))</f>
        <v/>
      </c>
      <c r="C784" s="16">
        <f>IF($B784="",0,LEN($B784))</f>
        <v/>
      </c>
      <c r="D784" s="16">
        <f>IF($A784="","",UPPER(TRIM(SUBSTITUTE(IFERROR(INDEX(tblVeriA[FaturaNo],ROW()-ROW(tblVeriA[[#Headers]])),"")," ",""))))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UPPER(TRIM(SUBSTITUTE($I784,"-","")))</f>
        <v/>
      </c>
      <c r="K784" s="16">
        <f>IF($J784="",0,LEN($J784))</f>
        <v/>
      </c>
      <c r="L784" s="16">
        <f>IF($I784="","",UPPER(TRIM(SUBSTITUTE(IFERROR(INDEX(tblVeriB[FaturaNo],ROW()-ROW(tblVeriB[[#Headers]])),"")," ",""))))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UPPER(TRIM(SUBSTITUTE($A785,"-","")))</f>
        <v/>
      </c>
      <c r="C785" s="16">
        <f>IF($B785="",0,LEN($B785))</f>
        <v/>
      </c>
      <c r="D785" s="16">
        <f>IF($A785="","",UPPER(TRIM(SUBSTITUTE(IFERROR(INDEX(tblVeriA[FaturaNo],ROW()-ROW(tblVeriA[[#Headers]])),"")," ",""))))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UPPER(TRIM(SUBSTITUTE($I785,"-","")))</f>
        <v/>
      </c>
      <c r="K785" s="16">
        <f>IF($J785="",0,LEN($J785))</f>
        <v/>
      </c>
      <c r="L785" s="16">
        <f>IF($I785="","",UPPER(TRIM(SUBSTITUTE(IFERROR(INDEX(tblVeriB[FaturaNo],ROW()-ROW(tblVeriB[[#Headers]])),"")," ",""))))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UPPER(TRIM(SUBSTITUTE($A786,"-","")))</f>
        <v/>
      </c>
      <c r="C786" s="16">
        <f>IF($B786="",0,LEN($B786))</f>
        <v/>
      </c>
      <c r="D786" s="16">
        <f>IF($A786="","",UPPER(TRIM(SUBSTITUTE(IFERROR(INDEX(tblVeriA[FaturaNo],ROW()-ROW(tblVeriA[[#Headers]])),"")," ",""))))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UPPER(TRIM(SUBSTITUTE($I786,"-","")))</f>
        <v/>
      </c>
      <c r="K786" s="16">
        <f>IF($J786="",0,LEN($J786))</f>
        <v/>
      </c>
      <c r="L786" s="16">
        <f>IF($I786="","",UPPER(TRIM(SUBSTITUTE(IFERROR(INDEX(tblVeriB[FaturaNo],ROW()-ROW(tblVeriB[[#Headers]])),"")," ",""))))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UPPER(TRIM(SUBSTITUTE($A787,"-","")))</f>
        <v/>
      </c>
      <c r="C787" s="16">
        <f>IF($B787="",0,LEN($B787))</f>
        <v/>
      </c>
      <c r="D787" s="16">
        <f>IF($A787="","",UPPER(TRIM(SUBSTITUTE(IFERROR(INDEX(tblVeriA[FaturaNo],ROW()-ROW(tblVeriA[[#Headers]])),"")," ",""))))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UPPER(TRIM(SUBSTITUTE($I787,"-","")))</f>
        <v/>
      </c>
      <c r="K787" s="16">
        <f>IF($J787="",0,LEN($J787))</f>
        <v/>
      </c>
      <c r="L787" s="16">
        <f>IF($I787="","",UPPER(TRIM(SUBSTITUTE(IFERROR(INDEX(tblVeriB[FaturaNo],ROW()-ROW(tblVeriB[[#Headers]])),"")," ",""))))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UPPER(TRIM(SUBSTITUTE($A788,"-","")))</f>
        <v/>
      </c>
      <c r="C788" s="16">
        <f>IF($B788="",0,LEN($B788))</f>
        <v/>
      </c>
      <c r="D788" s="16">
        <f>IF($A788="","",UPPER(TRIM(SUBSTITUTE(IFERROR(INDEX(tblVeriA[FaturaNo],ROW()-ROW(tblVeriA[[#Headers]])),"")," ",""))))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UPPER(TRIM(SUBSTITUTE($I788,"-","")))</f>
        <v/>
      </c>
      <c r="K788" s="16">
        <f>IF($J788="",0,LEN($J788))</f>
        <v/>
      </c>
      <c r="L788" s="16">
        <f>IF($I788="","",UPPER(TRIM(SUBSTITUTE(IFERROR(INDEX(tblVeriB[FaturaNo],ROW()-ROW(tblVeriB[[#Headers]])),"")," ",""))))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UPPER(TRIM(SUBSTITUTE($A789,"-","")))</f>
        <v/>
      </c>
      <c r="C789" s="16">
        <f>IF($B789="",0,LEN($B789))</f>
        <v/>
      </c>
      <c r="D789" s="16">
        <f>IF($A789="","",UPPER(TRIM(SUBSTITUTE(IFERROR(INDEX(tblVeriA[FaturaNo],ROW()-ROW(tblVeriA[[#Headers]])),"")," ",""))))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UPPER(TRIM(SUBSTITUTE($I789,"-","")))</f>
        <v/>
      </c>
      <c r="K789" s="16">
        <f>IF($J789="",0,LEN($J789))</f>
        <v/>
      </c>
      <c r="L789" s="16">
        <f>IF($I789="","",UPPER(TRIM(SUBSTITUTE(IFERROR(INDEX(tblVeriB[FaturaNo],ROW()-ROW(tblVeriB[[#Headers]])),"")," ",""))))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UPPER(TRIM(SUBSTITUTE($A790,"-","")))</f>
        <v/>
      </c>
      <c r="C790" s="16">
        <f>IF($B790="",0,LEN($B790))</f>
        <v/>
      </c>
      <c r="D790" s="16">
        <f>IF($A790="","",UPPER(TRIM(SUBSTITUTE(IFERROR(INDEX(tblVeriA[FaturaNo],ROW()-ROW(tblVeriA[[#Headers]])),"")," ",""))))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UPPER(TRIM(SUBSTITUTE($I790,"-","")))</f>
        <v/>
      </c>
      <c r="K790" s="16">
        <f>IF($J790="",0,LEN($J790))</f>
        <v/>
      </c>
      <c r="L790" s="16">
        <f>IF($I790="","",UPPER(TRIM(SUBSTITUTE(IFERROR(INDEX(tblVeriB[FaturaNo],ROW()-ROW(tblVeriB[[#Headers]])),"")," ",""))))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UPPER(TRIM(SUBSTITUTE($A791,"-","")))</f>
        <v/>
      </c>
      <c r="C791" s="16">
        <f>IF($B791="",0,LEN($B791))</f>
        <v/>
      </c>
      <c r="D791" s="16">
        <f>IF($A791="","",UPPER(TRIM(SUBSTITUTE(IFERROR(INDEX(tblVeriA[FaturaNo],ROW()-ROW(tblVeriA[[#Headers]])),"")," ",""))))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UPPER(TRIM(SUBSTITUTE($I791,"-","")))</f>
        <v/>
      </c>
      <c r="K791" s="16">
        <f>IF($J791="",0,LEN($J791))</f>
        <v/>
      </c>
      <c r="L791" s="16">
        <f>IF($I791="","",UPPER(TRIM(SUBSTITUTE(IFERROR(INDEX(tblVeriB[FaturaNo],ROW()-ROW(tblVeriB[[#Headers]])),"")," ",""))))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UPPER(TRIM(SUBSTITUTE($A792,"-","")))</f>
        <v/>
      </c>
      <c r="C792" s="16">
        <f>IF($B792="",0,LEN($B792))</f>
        <v/>
      </c>
      <c r="D792" s="16">
        <f>IF($A792="","",UPPER(TRIM(SUBSTITUTE(IFERROR(INDEX(tblVeriA[FaturaNo],ROW()-ROW(tblVeriA[[#Headers]])),"")," ",""))))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UPPER(TRIM(SUBSTITUTE($I792,"-","")))</f>
        <v/>
      </c>
      <c r="K792" s="16">
        <f>IF($J792="",0,LEN($J792))</f>
        <v/>
      </c>
      <c r="L792" s="16">
        <f>IF($I792="","",UPPER(TRIM(SUBSTITUTE(IFERROR(INDEX(tblVeriB[FaturaNo],ROW()-ROW(tblVeriB[[#Headers]])),"")," ",""))))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UPPER(TRIM(SUBSTITUTE($A793,"-","")))</f>
        <v/>
      </c>
      <c r="C793" s="16">
        <f>IF($B793="",0,LEN($B793))</f>
        <v/>
      </c>
      <c r="D793" s="16">
        <f>IF($A793="","",UPPER(TRIM(SUBSTITUTE(IFERROR(INDEX(tblVeriA[FaturaNo],ROW()-ROW(tblVeriA[[#Headers]])),"")," ",""))))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UPPER(TRIM(SUBSTITUTE($I793,"-","")))</f>
        <v/>
      </c>
      <c r="K793" s="16">
        <f>IF($J793="",0,LEN($J793))</f>
        <v/>
      </c>
      <c r="L793" s="16">
        <f>IF($I793="","",UPPER(TRIM(SUBSTITUTE(IFERROR(INDEX(tblVeriB[FaturaNo],ROW()-ROW(tblVeriB[[#Headers]])),"")," ",""))))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UPPER(TRIM(SUBSTITUTE($A794,"-","")))</f>
        <v/>
      </c>
      <c r="C794" s="16">
        <f>IF($B794="",0,LEN($B794))</f>
        <v/>
      </c>
      <c r="D794" s="16">
        <f>IF($A794="","",UPPER(TRIM(SUBSTITUTE(IFERROR(INDEX(tblVeriA[FaturaNo],ROW()-ROW(tblVeriA[[#Headers]])),"")," ",""))))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UPPER(TRIM(SUBSTITUTE($I794,"-","")))</f>
        <v/>
      </c>
      <c r="K794" s="16">
        <f>IF($J794="",0,LEN($J794))</f>
        <v/>
      </c>
      <c r="L794" s="16">
        <f>IF($I794="","",UPPER(TRIM(SUBSTITUTE(IFERROR(INDEX(tblVeriB[FaturaNo],ROW()-ROW(tblVeriB[[#Headers]])),"")," ",""))))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UPPER(TRIM(SUBSTITUTE($A795,"-","")))</f>
        <v/>
      </c>
      <c r="C795" s="16">
        <f>IF($B795="",0,LEN($B795))</f>
        <v/>
      </c>
      <c r="D795" s="16">
        <f>IF($A795="","",UPPER(TRIM(SUBSTITUTE(IFERROR(INDEX(tblVeriA[FaturaNo],ROW()-ROW(tblVeriA[[#Headers]])),"")," ",""))))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UPPER(TRIM(SUBSTITUTE($I795,"-","")))</f>
        <v/>
      </c>
      <c r="K795" s="16">
        <f>IF($J795="",0,LEN($J795))</f>
        <v/>
      </c>
      <c r="L795" s="16">
        <f>IF($I795="","",UPPER(TRIM(SUBSTITUTE(IFERROR(INDEX(tblVeriB[FaturaNo],ROW()-ROW(tblVeriB[[#Headers]])),"")," ",""))))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UPPER(TRIM(SUBSTITUTE($A796,"-","")))</f>
        <v/>
      </c>
      <c r="C796" s="16">
        <f>IF($B796="",0,LEN($B796))</f>
        <v/>
      </c>
      <c r="D796" s="16">
        <f>IF($A796="","",UPPER(TRIM(SUBSTITUTE(IFERROR(INDEX(tblVeriA[FaturaNo],ROW()-ROW(tblVeriA[[#Headers]])),"")," ",""))))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UPPER(TRIM(SUBSTITUTE($I796,"-","")))</f>
        <v/>
      </c>
      <c r="K796" s="16">
        <f>IF($J796="",0,LEN($J796))</f>
        <v/>
      </c>
      <c r="L796" s="16">
        <f>IF($I796="","",UPPER(TRIM(SUBSTITUTE(IFERROR(INDEX(tblVeriB[FaturaNo],ROW()-ROW(tblVeriB[[#Headers]])),"")," ",""))))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UPPER(TRIM(SUBSTITUTE($A797,"-","")))</f>
        <v/>
      </c>
      <c r="C797" s="16">
        <f>IF($B797="",0,LEN($B797))</f>
        <v/>
      </c>
      <c r="D797" s="16">
        <f>IF($A797="","",UPPER(TRIM(SUBSTITUTE(IFERROR(INDEX(tblVeriA[FaturaNo],ROW()-ROW(tblVeriA[[#Headers]])),"")," ",""))))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UPPER(TRIM(SUBSTITUTE($I797,"-","")))</f>
        <v/>
      </c>
      <c r="K797" s="16">
        <f>IF($J797="",0,LEN($J797))</f>
        <v/>
      </c>
      <c r="L797" s="16">
        <f>IF($I797="","",UPPER(TRIM(SUBSTITUTE(IFERROR(INDEX(tblVeriB[FaturaNo],ROW()-ROW(tblVeriB[[#Headers]])),"")," ",""))))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UPPER(TRIM(SUBSTITUTE($A798,"-","")))</f>
        <v/>
      </c>
      <c r="C798" s="16">
        <f>IF($B798="",0,LEN($B798))</f>
        <v/>
      </c>
      <c r="D798" s="16">
        <f>IF($A798="","",UPPER(TRIM(SUBSTITUTE(IFERROR(INDEX(tblVeriA[FaturaNo],ROW()-ROW(tblVeriA[[#Headers]])),"")," ",""))))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UPPER(TRIM(SUBSTITUTE($I798,"-","")))</f>
        <v/>
      </c>
      <c r="K798" s="16">
        <f>IF($J798="",0,LEN($J798))</f>
        <v/>
      </c>
      <c r="L798" s="16">
        <f>IF($I798="","",UPPER(TRIM(SUBSTITUTE(IFERROR(INDEX(tblVeriB[FaturaNo],ROW()-ROW(tblVeriB[[#Headers]])),"")," ",""))))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UPPER(TRIM(SUBSTITUTE($A799,"-","")))</f>
        <v/>
      </c>
      <c r="C799" s="16">
        <f>IF($B799="",0,LEN($B799))</f>
        <v/>
      </c>
      <c r="D799" s="16">
        <f>IF($A799="","",UPPER(TRIM(SUBSTITUTE(IFERROR(INDEX(tblVeriA[FaturaNo],ROW()-ROW(tblVeriA[[#Headers]])),"")," ",""))))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UPPER(TRIM(SUBSTITUTE($I799,"-","")))</f>
        <v/>
      </c>
      <c r="K799" s="16">
        <f>IF($J799="",0,LEN($J799))</f>
        <v/>
      </c>
      <c r="L799" s="16">
        <f>IF($I799="","",UPPER(TRIM(SUBSTITUTE(IFERROR(INDEX(tblVeriB[FaturaNo],ROW()-ROW(tblVeriB[[#Headers]])),"")," ",""))))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UPPER(TRIM(SUBSTITUTE($A800,"-","")))</f>
        <v/>
      </c>
      <c r="C800" s="16">
        <f>IF($B800="",0,LEN($B800))</f>
        <v/>
      </c>
      <c r="D800" s="16">
        <f>IF($A800="","",UPPER(TRIM(SUBSTITUTE(IFERROR(INDEX(tblVeriA[FaturaNo],ROW()-ROW(tblVeriA[[#Headers]])),"")," ",""))))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UPPER(TRIM(SUBSTITUTE($I800,"-","")))</f>
        <v/>
      </c>
      <c r="K800" s="16">
        <f>IF($J800="",0,LEN($J800))</f>
        <v/>
      </c>
      <c r="L800" s="16">
        <f>IF($I800="","",UPPER(TRIM(SUBSTITUTE(IFERROR(INDEX(tblVeriB[FaturaNo],ROW()-ROW(tblVeriB[[#Headers]])),"")," ",""))))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UPPER(TRIM(SUBSTITUTE($A801,"-","")))</f>
        <v/>
      </c>
      <c r="C801" s="16">
        <f>IF($B801="",0,LEN($B801))</f>
        <v/>
      </c>
      <c r="D801" s="16">
        <f>IF($A801="","",UPPER(TRIM(SUBSTITUTE(IFERROR(INDEX(tblVeriA[FaturaNo],ROW()-ROW(tblVeriA[[#Headers]])),"")," ",""))))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UPPER(TRIM(SUBSTITUTE($I801,"-","")))</f>
        <v/>
      </c>
      <c r="K801" s="16">
        <f>IF($J801="",0,LEN($J801))</f>
        <v/>
      </c>
      <c r="L801" s="16">
        <f>IF($I801="","",UPPER(TRIM(SUBSTITUTE(IFERROR(INDEX(tblVeriB[FaturaNo],ROW()-ROW(tblVeriB[[#Headers]])),"")," ",""))))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UPPER(TRIM(SUBSTITUTE($A802,"-","")))</f>
        <v/>
      </c>
      <c r="C802" s="16">
        <f>IF($B802="",0,LEN($B802))</f>
        <v/>
      </c>
      <c r="D802" s="16">
        <f>IF($A802="","",UPPER(TRIM(SUBSTITUTE(IFERROR(INDEX(tblVeriA[FaturaNo],ROW()-ROW(tblVeriA[[#Headers]])),"")," ",""))))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UPPER(TRIM(SUBSTITUTE($I802,"-","")))</f>
        <v/>
      </c>
      <c r="K802" s="16">
        <f>IF($J802="",0,LEN($J802))</f>
        <v/>
      </c>
      <c r="L802" s="16">
        <f>IF($I802="","",UPPER(TRIM(SUBSTITUTE(IFERROR(INDEX(tblVeriB[FaturaNo],ROW()-ROW(tblVeriB[[#Headers]])),"")," ",""))))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UPPER(TRIM(SUBSTITUTE($A803,"-","")))</f>
        <v/>
      </c>
      <c r="C803" s="16">
        <f>IF($B803="",0,LEN($B803))</f>
        <v/>
      </c>
      <c r="D803" s="16">
        <f>IF($A803="","",UPPER(TRIM(SUBSTITUTE(IFERROR(INDEX(tblVeriA[FaturaNo],ROW()-ROW(tblVeriA[[#Headers]])),"")," ",""))))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UPPER(TRIM(SUBSTITUTE($I803,"-","")))</f>
        <v/>
      </c>
      <c r="K803" s="16">
        <f>IF($J803="",0,LEN($J803))</f>
        <v/>
      </c>
      <c r="L803" s="16">
        <f>IF($I803="","",UPPER(TRIM(SUBSTITUTE(IFERROR(INDEX(tblVeriB[FaturaNo],ROW()-ROW(tblVeriB[[#Headers]])),"")," ",""))))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UPPER(TRIM(SUBSTITUTE($A804,"-","")))</f>
        <v/>
      </c>
      <c r="C804" s="16">
        <f>IF($B804="",0,LEN($B804))</f>
        <v/>
      </c>
      <c r="D804" s="16">
        <f>IF($A804="","",UPPER(TRIM(SUBSTITUTE(IFERROR(INDEX(tblVeriA[FaturaNo],ROW()-ROW(tblVeriA[[#Headers]])),"")," ",""))))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UPPER(TRIM(SUBSTITUTE($I804,"-","")))</f>
        <v/>
      </c>
      <c r="K804" s="16">
        <f>IF($J804="",0,LEN($J804))</f>
        <v/>
      </c>
      <c r="L804" s="16">
        <f>IF($I804="","",UPPER(TRIM(SUBSTITUTE(IFERROR(INDEX(tblVeriB[FaturaNo],ROW()-ROW(tblVeriB[[#Headers]])),"")," ",""))))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UPPER(TRIM(SUBSTITUTE($A805,"-","")))</f>
        <v/>
      </c>
      <c r="C805" s="16">
        <f>IF($B805="",0,LEN($B805))</f>
        <v/>
      </c>
      <c r="D805" s="16">
        <f>IF($A805="","",UPPER(TRIM(SUBSTITUTE(IFERROR(INDEX(tblVeriA[FaturaNo],ROW()-ROW(tblVeriA[[#Headers]])),"")," ",""))))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UPPER(TRIM(SUBSTITUTE($I805,"-","")))</f>
        <v/>
      </c>
      <c r="K805" s="16">
        <f>IF($J805="",0,LEN($J805))</f>
        <v/>
      </c>
      <c r="L805" s="16">
        <f>IF($I805="","",UPPER(TRIM(SUBSTITUTE(IFERROR(INDEX(tblVeriB[FaturaNo],ROW()-ROW(tblVeriB[[#Headers]])),"")," ",""))))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UPPER(TRIM(SUBSTITUTE($A806,"-","")))</f>
        <v/>
      </c>
      <c r="C806" s="16">
        <f>IF($B806="",0,LEN($B806))</f>
        <v/>
      </c>
      <c r="D806" s="16">
        <f>IF($A806="","",UPPER(TRIM(SUBSTITUTE(IFERROR(INDEX(tblVeriA[FaturaNo],ROW()-ROW(tblVeriA[[#Headers]])),"")," ",""))))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UPPER(TRIM(SUBSTITUTE($I806,"-","")))</f>
        <v/>
      </c>
      <c r="K806" s="16">
        <f>IF($J806="",0,LEN($J806))</f>
        <v/>
      </c>
      <c r="L806" s="16">
        <f>IF($I806="","",UPPER(TRIM(SUBSTITUTE(IFERROR(INDEX(tblVeriB[FaturaNo],ROW()-ROW(tblVeriB[[#Headers]])),"")," ",""))))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UPPER(TRIM(SUBSTITUTE($A807,"-","")))</f>
        <v/>
      </c>
      <c r="C807" s="16">
        <f>IF($B807="",0,LEN($B807))</f>
        <v/>
      </c>
      <c r="D807" s="16">
        <f>IF($A807="","",UPPER(TRIM(SUBSTITUTE(IFERROR(INDEX(tblVeriA[FaturaNo],ROW()-ROW(tblVeriA[[#Headers]])),"")," ",""))))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UPPER(TRIM(SUBSTITUTE($I807,"-","")))</f>
        <v/>
      </c>
      <c r="K807" s="16">
        <f>IF($J807="",0,LEN($J807))</f>
        <v/>
      </c>
      <c r="L807" s="16">
        <f>IF($I807="","",UPPER(TRIM(SUBSTITUTE(IFERROR(INDEX(tblVeriB[FaturaNo],ROW()-ROW(tblVeriB[[#Headers]])),"")," ",""))))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UPPER(TRIM(SUBSTITUTE($A808,"-","")))</f>
        <v/>
      </c>
      <c r="C808" s="16">
        <f>IF($B808="",0,LEN($B808))</f>
        <v/>
      </c>
      <c r="D808" s="16">
        <f>IF($A808="","",UPPER(TRIM(SUBSTITUTE(IFERROR(INDEX(tblVeriA[FaturaNo],ROW()-ROW(tblVeriA[[#Headers]])),"")," ",""))))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UPPER(TRIM(SUBSTITUTE($I808,"-","")))</f>
        <v/>
      </c>
      <c r="K808" s="16">
        <f>IF($J808="",0,LEN($J808))</f>
        <v/>
      </c>
      <c r="L808" s="16">
        <f>IF($I808="","",UPPER(TRIM(SUBSTITUTE(IFERROR(INDEX(tblVeriB[FaturaNo],ROW()-ROW(tblVeriB[[#Headers]])),"")," ",""))))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UPPER(TRIM(SUBSTITUTE($A809,"-","")))</f>
        <v/>
      </c>
      <c r="C809" s="16">
        <f>IF($B809="",0,LEN($B809))</f>
        <v/>
      </c>
      <c r="D809" s="16">
        <f>IF($A809="","",UPPER(TRIM(SUBSTITUTE(IFERROR(INDEX(tblVeriA[FaturaNo],ROW()-ROW(tblVeriA[[#Headers]])),"")," ",""))))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UPPER(TRIM(SUBSTITUTE($I809,"-","")))</f>
        <v/>
      </c>
      <c r="K809" s="16">
        <f>IF($J809="",0,LEN($J809))</f>
        <v/>
      </c>
      <c r="L809" s="16">
        <f>IF($I809="","",UPPER(TRIM(SUBSTITUTE(IFERROR(INDEX(tblVeriB[FaturaNo],ROW()-ROW(tblVeriB[[#Headers]])),"")," ",""))))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UPPER(TRIM(SUBSTITUTE($A810,"-","")))</f>
        <v/>
      </c>
      <c r="C810" s="16">
        <f>IF($B810="",0,LEN($B810))</f>
        <v/>
      </c>
      <c r="D810" s="16">
        <f>IF($A810="","",UPPER(TRIM(SUBSTITUTE(IFERROR(INDEX(tblVeriA[FaturaNo],ROW()-ROW(tblVeriA[[#Headers]])),"")," ",""))))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UPPER(TRIM(SUBSTITUTE($I810,"-","")))</f>
        <v/>
      </c>
      <c r="K810" s="16">
        <f>IF($J810="",0,LEN($J810))</f>
        <v/>
      </c>
      <c r="L810" s="16">
        <f>IF($I810="","",UPPER(TRIM(SUBSTITUTE(IFERROR(INDEX(tblVeriB[FaturaNo],ROW()-ROW(tblVeriB[[#Headers]])),"")," ",""))))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UPPER(TRIM(SUBSTITUTE($A811,"-","")))</f>
        <v/>
      </c>
      <c r="C811" s="16">
        <f>IF($B811="",0,LEN($B811))</f>
        <v/>
      </c>
      <c r="D811" s="16">
        <f>IF($A811="","",UPPER(TRIM(SUBSTITUTE(IFERROR(INDEX(tblVeriA[FaturaNo],ROW()-ROW(tblVeriA[[#Headers]])),"")," ",""))))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UPPER(TRIM(SUBSTITUTE($I811,"-","")))</f>
        <v/>
      </c>
      <c r="K811" s="16">
        <f>IF($J811="",0,LEN($J811))</f>
        <v/>
      </c>
      <c r="L811" s="16">
        <f>IF($I811="","",UPPER(TRIM(SUBSTITUTE(IFERROR(INDEX(tblVeriB[FaturaNo],ROW()-ROW(tblVeriB[[#Headers]])),"")," ",""))))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UPPER(TRIM(SUBSTITUTE($A812,"-","")))</f>
        <v/>
      </c>
      <c r="C812" s="16">
        <f>IF($B812="",0,LEN($B812))</f>
        <v/>
      </c>
      <c r="D812" s="16">
        <f>IF($A812="","",UPPER(TRIM(SUBSTITUTE(IFERROR(INDEX(tblVeriA[FaturaNo],ROW()-ROW(tblVeriA[[#Headers]])),"")," ",""))))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UPPER(TRIM(SUBSTITUTE($I812,"-","")))</f>
        <v/>
      </c>
      <c r="K812" s="16">
        <f>IF($J812="",0,LEN($J812))</f>
        <v/>
      </c>
      <c r="L812" s="16">
        <f>IF($I812="","",UPPER(TRIM(SUBSTITUTE(IFERROR(INDEX(tblVeriB[FaturaNo],ROW()-ROW(tblVeriB[[#Headers]])),"")," ",""))))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UPPER(TRIM(SUBSTITUTE($A813,"-","")))</f>
        <v/>
      </c>
      <c r="C813" s="16">
        <f>IF($B813="",0,LEN($B813))</f>
        <v/>
      </c>
      <c r="D813" s="16">
        <f>IF($A813="","",UPPER(TRIM(SUBSTITUTE(IFERROR(INDEX(tblVeriA[FaturaNo],ROW()-ROW(tblVeriA[[#Headers]])),"")," ",""))))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UPPER(TRIM(SUBSTITUTE($I813,"-","")))</f>
        <v/>
      </c>
      <c r="K813" s="16">
        <f>IF($J813="",0,LEN($J813))</f>
        <v/>
      </c>
      <c r="L813" s="16">
        <f>IF($I813="","",UPPER(TRIM(SUBSTITUTE(IFERROR(INDEX(tblVeriB[FaturaNo],ROW()-ROW(tblVeriB[[#Headers]])),"")," ",""))))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UPPER(TRIM(SUBSTITUTE($A814,"-","")))</f>
        <v/>
      </c>
      <c r="C814" s="16">
        <f>IF($B814="",0,LEN($B814))</f>
        <v/>
      </c>
      <c r="D814" s="16">
        <f>IF($A814="","",UPPER(TRIM(SUBSTITUTE(IFERROR(INDEX(tblVeriA[FaturaNo],ROW()-ROW(tblVeriA[[#Headers]])),"")," ",""))))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UPPER(TRIM(SUBSTITUTE($I814,"-","")))</f>
        <v/>
      </c>
      <c r="K814" s="16">
        <f>IF($J814="",0,LEN($J814))</f>
        <v/>
      </c>
      <c r="L814" s="16">
        <f>IF($I814="","",UPPER(TRIM(SUBSTITUTE(IFERROR(INDEX(tblVeriB[FaturaNo],ROW()-ROW(tblVeriB[[#Headers]])),"")," ",""))))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UPPER(TRIM(SUBSTITUTE($A815,"-","")))</f>
        <v/>
      </c>
      <c r="C815" s="16">
        <f>IF($B815="",0,LEN($B815))</f>
        <v/>
      </c>
      <c r="D815" s="16">
        <f>IF($A815="","",UPPER(TRIM(SUBSTITUTE(IFERROR(INDEX(tblVeriA[FaturaNo],ROW()-ROW(tblVeriA[[#Headers]])),"")," ",""))))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UPPER(TRIM(SUBSTITUTE($I815,"-","")))</f>
        <v/>
      </c>
      <c r="K815" s="16">
        <f>IF($J815="",0,LEN($J815))</f>
        <v/>
      </c>
      <c r="L815" s="16">
        <f>IF($I815="","",UPPER(TRIM(SUBSTITUTE(IFERROR(INDEX(tblVeriB[FaturaNo],ROW()-ROW(tblVeriB[[#Headers]])),"")," ",""))))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UPPER(TRIM(SUBSTITUTE($A816,"-","")))</f>
        <v/>
      </c>
      <c r="C816" s="16">
        <f>IF($B816="",0,LEN($B816))</f>
        <v/>
      </c>
      <c r="D816" s="16">
        <f>IF($A816="","",UPPER(TRIM(SUBSTITUTE(IFERROR(INDEX(tblVeriA[FaturaNo],ROW()-ROW(tblVeriA[[#Headers]])),"")," ",""))))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UPPER(TRIM(SUBSTITUTE($I816,"-","")))</f>
        <v/>
      </c>
      <c r="K816" s="16">
        <f>IF($J816="",0,LEN($J816))</f>
        <v/>
      </c>
      <c r="L816" s="16">
        <f>IF($I816="","",UPPER(TRIM(SUBSTITUTE(IFERROR(INDEX(tblVeriB[FaturaNo],ROW()-ROW(tblVeriB[[#Headers]])),"")," ",""))))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UPPER(TRIM(SUBSTITUTE($A817,"-","")))</f>
        <v/>
      </c>
      <c r="C817" s="16">
        <f>IF($B817="",0,LEN($B817))</f>
        <v/>
      </c>
      <c r="D817" s="16">
        <f>IF($A817="","",UPPER(TRIM(SUBSTITUTE(IFERROR(INDEX(tblVeriA[FaturaNo],ROW()-ROW(tblVeriA[[#Headers]])),"")," ",""))))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UPPER(TRIM(SUBSTITUTE($I817,"-","")))</f>
        <v/>
      </c>
      <c r="K817" s="16">
        <f>IF($J817="",0,LEN($J817))</f>
        <v/>
      </c>
      <c r="L817" s="16">
        <f>IF($I817="","",UPPER(TRIM(SUBSTITUTE(IFERROR(INDEX(tblVeriB[FaturaNo],ROW()-ROW(tblVeriB[[#Headers]])),"")," ",""))))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UPPER(TRIM(SUBSTITUTE($A818,"-","")))</f>
        <v/>
      </c>
      <c r="C818" s="16">
        <f>IF($B818="",0,LEN($B818))</f>
        <v/>
      </c>
      <c r="D818" s="16">
        <f>IF($A818="","",UPPER(TRIM(SUBSTITUTE(IFERROR(INDEX(tblVeriA[FaturaNo],ROW()-ROW(tblVeriA[[#Headers]])),"")," ",""))))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UPPER(TRIM(SUBSTITUTE($I818,"-","")))</f>
        <v/>
      </c>
      <c r="K818" s="16">
        <f>IF($J818="",0,LEN($J818))</f>
        <v/>
      </c>
      <c r="L818" s="16">
        <f>IF($I818="","",UPPER(TRIM(SUBSTITUTE(IFERROR(INDEX(tblVeriB[FaturaNo],ROW()-ROW(tblVeriB[[#Headers]])),"")," ",""))))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UPPER(TRIM(SUBSTITUTE($A819,"-","")))</f>
        <v/>
      </c>
      <c r="C819" s="16">
        <f>IF($B819="",0,LEN($B819))</f>
        <v/>
      </c>
      <c r="D819" s="16">
        <f>IF($A819="","",UPPER(TRIM(SUBSTITUTE(IFERROR(INDEX(tblVeriA[FaturaNo],ROW()-ROW(tblVeriA[[#Headers]])),"")," ",""))))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UPPER(TRIM(SUBSTITUTE($I819,"-","")))</f>
        <v/>
      </c>
      <c r="K819" s="16">
        <f>IF($J819="",0,LEN($J819))</f>
        <v/>
      </c>
      <c r="L819" s="16">
        <f>IF($I819="","",UPPER(TRIM(SUBSTITUTE(IFERROR(INDEX(tblVeriB[FaturaNo],ROW()-ROW(tblVeriB[[#Headers]])),"")," ",""))))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UPPER(TRIM(SUBSTITUTE($A820,"-","")))</f>
        <v/>
      </c>
      <c r="C820" s="16">
        <f>IF($B820="",0,LEN($B820))</f>
        <v/>
      </c>
      <c r="D820" s="16">
        <f>IF($A820="","",UPPER(TRIM(SUBSTITUTE(IFERROR(INDEX(tblVeriA[FaturaNo],ROW()-ROW(tblVeriA[[#Headers]])),"")," ",""))))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UPPER(TRIM(SUBSTITUTE($I820,"-","")))</f>
        <v/>
      </c>
      <c r="K820" s="16">
        <f>IF($J820="",0,LEN($J820))</f>
        <v/>
      </c>
      <c r="L820" s="16">
        <f>IF($I820="","",UPPER(TRIM(SUBSTITUTE(IFERROR(INDEX(tblVeriB[FaturaNo],ROW()-ROW(tblVeriB[[#Headers]])),"")," ",""))))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UPPER(TRIM(SUBSTITUTE($A821,"-","")))</f>
        <v/>
      </c>
      <c r="C821" s="16">
        <f>IF($B821="",0,LEN($B821))</f>
        <v/>
      </c>
      <c r="D821" s="16">
        <f>IF($A821="","",UPPER(TRIM(SUBSTITUTE(IFERROR(INDEX(tblVeriA[FaturaNo],ROW()-ROW(tblVeriA[[#Headers]])),"")," ",""))))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UPPER(TRIM(SUBSTITUTE($I821,"-","")))</f>
        <v/>
      </c>
      <c r="K821" s="16">
        <f>IF($J821="",0,LEN($J821))</f>
        <v/>
      </c>
      <c r="L821" s="16">
        <f>IF($I821="","",UPPER(TRIM(SUBSTITUTE(IFERROR(INDEX(tblVeriB[FaturaNo],ROW()-ROW(tblVeriB[[#Headers]])),"")," ",""))))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UPPER(TRIM(SUBSTITUTE($A822,"-","")))</f>
        <v/>
      </c>
      <c r="C822" s="16">
        <f>IF($B822="",0,LEN($B822))</f>
        <v/>
      </c>
      <c r="D822" s="16">
        <f>IF($A822="","",UPPER(TRIM(SUBSTITUTE(IFERROR(INDEX(tblVeriA[FaturaNo],ROW()-ROW(tblVeriA[[#Headers]])),"")," ",""))))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UPPER(TRIM(SUBSTITUTE($I822,"-","")))</f>
        <v/>
      </c>
      <c r="K822" s="16">
        <f>IF($J822="",0,LEN($J822))</f>
        <v/>
      </c>
      <c r="L822" s="16">
        <f>IF($I822="","",UPPER(TRIM(SUBSTITUTE(IFERROR(INDEX(tblVeriB[FaturaNo],ROW()-ROW(tblVeriB[[#Headers]])),"")," ",""))))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UPPER(TRIM(SUBSTITUTE($A823,"-","")))</f>
        <v/>
      </c>
      <c r="C823" s="16">
        <f>IF($B823="",0,LEN($B823))</f>
        <v/>
      </c>
      <c r="D823" s="16">
        <f>IF($A823="","",UPPER(TRIM(SUBSTITUTE(IFERROR(INDEX(tblVeriA[FaturaNo],ROW()-ROW(tblVeriA[[#Headers]])),"")," ",""))))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UPPER(TRIM(SUBSTITUTE($I823,"-","")))</f>
        <v/>
      </c>
      <c r="K823" s="16">
        <f>IF($J823="",0,LEN($J823))</f>
        <v/>
      </c>
      <c r="L823" s="16">
        <f>IF($I823="","",UPPER(TRIM(SUBSTITUTE(IFERROR(INDEX(tblVeriB[FaturaNo],ROW()-ROW(tblVeriB[[#Headers]])),"")," ",""))))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UPPER(TRIM(SUBSTITUTE($A824,"-","")))</f>
        <v/>
      </c>
      <c r="C824" s="16">
        <f>IF($B824="",0,LEN($B824))</f>
        <v/>
      </c>
      <c r="D824" s="16">
        <f>IF($A824="","",UPPER(TRIM(SUBSTITUTE(IFERROR(INDEX(tblVeriA[FaturaNo],ROW()-ROW(tblVeriA[[#Headers]])),"")," ",""))))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UPPER(TRIM(SUBSTITUTE($I824,"-","")))</f>
        <v/>
      </c>
      <c r="K824" s="16">
        <f>IF($J824="",0,LEN($J824))</f>
        <v/>
      </c>
      <c r="L824" s="16">
        <f>IF($I824="","",UPPER(TRIM(SUBSTITUTE(IFERROR(INDEX(tblVeriB[FaturaNo],ROW()-ROW(tblVeriB[[#Headers]])),"")," ",""))))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UPPER(TRIM(SUBSTITUTE($A825,"-","")))</f>
        <v/>
      </c>
      <c r="C825" s="16">
        <f>IF($B825="",0,LEN($B825))</f>
        <v/>
      </c>
      <c r="D825" s="16">
        <f>IF($A825="","",UPPER(TRIM(SUBSTITUTE(IFERROR(INDEX(tblVeriA[FaturaNo],ROW()-ROW(tblVeriA[[#Headers]])),"")," ",""))))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UPPER(TRIM(SUBSTITUTE($I825,"-","")))</f>
        <v/>
      </c>
      <c r="K825" s="16">
        <f>IF($J825="",0,LEN($J825))</f>
        <v/>
      </c>
      <c r="L825" s="16">
        <f>IF($I825="","",UPPER(TRIM(SUBSTITUTE(IFERROR(INDEX(tblVeriB[FaturaNo],ROW()-ROW(tblVeriB[[#Headers]])),"")," ",""))))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UPPER(TRIM(SUBSTITUTE($A826,"-","")))</f>
        <v/>
      </c>
      <c r="C826" s="16">
        <f>IF($B826="",0,LEN($B826))</f>
        <v/>
      </c>
      <c r="D826" s="16">
        <f>IF($A826="","",UPPER(TRIM(SUBSTITUTE(IFERROR(INDEX(tblVeriA[FaturaNo],ROW()-ROW(tblVeriA[[#Headers]])),"")," ",""))))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UPPER(TRIM(SUBSTITUTE($I826,"-","")))</f>
        <v/>
      </c>
      <c r="K826" s="16">
        <f>IF($J826="",0,LEN($J826))</f>
        <v/>
      </c>
      <c r="L826" s="16">
        <f>IF($I826="","",UPPER(TRIM(SUBSTITUTE(IFERROR(INDEX(tblVeriB[FaturaNo],ROW()-ROW(tblVeriB[[#Headers]])),"")," ",""))))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UPPER(TRIM(SUBSTITUTE($A827,"-","")))</f>
        <v/>
      </c>
      <c r="C827" s="16">
        <f>IF($B827="",0,LEN($B827))</f>
        <v/>
      </c>
      <c r="D827" s="16">
        <f>IF($A827="","",UPPER(TRIM(SUBSTITUTE(IFERROR(INDEX(tblVeriA[FaturaNo],ROW()-ROW(tblVeriA[[#Headers]])),"")," ",""))))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UPPER(TRIM(SUBSTITUTE($I827,"-","")))</f>
        <v/>
      </c>
      <c r="K827" s="16">
        <f>IF($J827="",0,LEN($J827))</f>
        <v/>
      </c>
      <c r="L827" s="16">
        <f>IF($I827="","",UPPER(TRIM(SUBSTITUTE(IFERROR(INDEX(tblVeriB[FaturaNo],ROW()-ROW(tblVeriB[[#Headers]])),"")," ",""))))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UPPER(TRIM(SUBSTITUTE($A828,"-","")))</f>
        <v/>
      </c>
      <c r="C828" s="16">
        <f>IF($B828="",0,LEN($B828))</f>
        <v/>
      </c>
      <c r="D828" s="16">
        <f>IF($A828="","",UPPER(TRIM(SUBSTITUTE(IFERROR(INDEX(tblVeriA[FaturaNo],ROW()-ROW(tblVeriA[[#Headers]])),"")," ",""))))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UPPER(TRIM(SUBSTITUTE($I828,"-","")))</f>
        <v/>
      </c>
      <c r="K828" s="16">
        <f>IF($J828="",0,LEN($J828))</f>
        <v/>
      </c>
      <c r="L828" s="16">
        <f>IF($I828="","",UPPER(TRIM(SUBSTITUTE(IFERROR(INDEX(tblVeriB[FaturaNo],ROW()-ROW(tblVeriB[[#Headers]])),"")," ",""))))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UPPER(TRIM(SUBSTITUTE($A829,"-","")))</f>
        <v/>
      </c>
      <c r="C829" s="16">
        <f>IF($B829="",0,LEN($B829))</f>
        <v/>
      </c>
      <c r="D829" s="16">
        <f>IF($A829="","",UPPER(TRIM(SUBSTITUTE(IFERROR(INDEX(tblVeriA[FaturaNo],ROW()-ROW(tblVeriA[[#Headers]])),"")," ",""))))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UPPER(TRIM(SUBSTITUTE($I829,"-","")))</f>
        <v/>
      </c>
      <c r="K829" s="16">
        <f>IF($J829="",0,LEN($J829))</f>
        <v/>
      </c>
      <c r="L829" s="16">
        <f>IF($I829="","",UPPER(TRIM(SUBSTITUTE(IFERROR(INDEX(tblVeriB[FaturaNo],ROW()-ROW(tblVeriB[[#Headers]])),"")," ",""))))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UPPER(TRIM(SUBSTITUTE($A830,"-","")))</f>
        <v/>
      </c>
      <c r="C830" s="16">
        <f>IF($B830="",0,LEN($B830))</f>
        <v/>
      </c>
      <c r="D830" s="16">
        <f>IF($A830="","",UPPER(TRIM(SUBSTITUTE(IFERROR(INDEX(tblVeriA[FaturaNo],ROW()-ROW(tblVeriA[[#Headers]])),"")," ",""))))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UPPER(TRIM(SUBSTITUTE($I830,"-","")))</f>
        <v/>
      </c>
      <c r="K830" s="16">
        <f>IF($J830="",0,LEN($J830))</f>
        <v/>
      </c>
      <c r="L830" s="16">
        <f>IF($I830="","",UPPER(TRIM(SUBSTITUTE(IFERROR(INDEX(tblVeriB[FaturaNo],ROW()-ROW(tblVeriB[[#Headers]])),"")," ",""))))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UPPER(TRIM(SUBSTITUTE($A831,"-","")))</f>
        <v/>
      </c>
      <c r="C831" s="16">
        <f>IF($B831="",0,LEN($B831))</f>
        <v/>
      </c>
      <c r="D831" s="16">
        <f>IF($A831="","",UPPER(TRIM(SUBSTITUTE(IFERROR(INDEX(tblVeriA[FaturaNo],ROW()-ROW(tblVeriA[[#Headers]])),"")," ",""))))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UPPER(TRIM(SUBSTITUTE($I831,"-","")))</f>
        <v/>
      </c>
      <c r="K831" s="16">
        <f>IF($J831="",0,LEN($J831))</f>
        <v/>
      </c>
      <c r="L831" s="16">
        <f>IF($I831="","",UPPER(TRIM(SUBSTITUTE(IFERROR(INDEX(tblVeriB[FaturaNo],ROW()-ROW(tblVeriB[[#Headers]])),"")," ",""))))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UPPER(TRIM(SUBSTITUTE($A832,"-","")))</f>
        <v/>
      </c>
      <c r="C832" s="16">
        <f>IF($B832="",0,LEN($B832))</f>
        <v/>
      </c>
      <c r="D832" s="16">
        <f>IF($A832="","",UPPER(TRIM(SUBSTITUTE(IFERROR(INDEX(tblVeriA[FaturaNo],ROW()-ROW(tblVeriA[[#Headers]])),"")," ",""))))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UPPER(TRIM(SUBSTITUTE($I832,"-","")))</f>
        <v/>
      </c>
      <c r="K832" s="16">
        <f>IF($J832="",0,LEN($J832))</f>
        <v/>
      </c>
      <c r="L832" s="16">
        <f>IF($I832="","",UPPER(TRIM(SUBSTITUTE(IFERROR(INDEX(tblVeriB[FaturaNo],ROW()-ROW(tblVeriB[[#Headers]])),"")," ",""))))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UPPER(TRIM(SUBSTITUTE($A833,"-","")))</f>
        <v/>
      </c>
      <c r="C833" s="16">
        <f>IF($B833="",0,LEN($B833))</f>
        <v/>
      </c>
      <c r="D833" s="16">
        <f>IF($A833="","",UPPER(TRIM(SUBSTITUTE(IFERROR(INDEX(tblVeriA[FaturaNo],ROW()-ROW(tblVeriA[[#Headers]])),"")," ",""))))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UPPER(TRIM(SUBSTITUTE($I833,"-","")))</f>
        <v/>
      </c>
      <c r="K833" s="16">
        <f>IF($J833="",0,LEN($J833))</f>
        <v/>
      </c>
      <c r="L833" s="16">
        <f>IF($I833="","",UPPER(TRIM(SUBSTITUTE(IFERROR(INDEX(tblVeriB[FaturaNo],ROW()-ROW(tblVeriB[[#Headers]])),"")," ",""))))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UPPER(TRIM(SUBSTITUTE($A834,"-","")))</f>
        <v/>
      </c>
      <c r="C834" s="16">
        <f>IF($B834="",0,LEN($B834))</f>
        <v/>
      </c>
      <c r="D834" s="16">
        <f>IF($A834="","",UPPER(TRIM(SUBSTITUTE(IFERROR(INDEX(tblVeriA[FaturaNo],ROW()-ROW(tblVeriA[[#Headers]])),"")," ",""))))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UPPER(TRIM(SUBSTITUTE($I834,"-","")))</f>
        <v/>
      </c>
      <c r="K834" s="16">
        <f>IF($J834="",0,LEN($J834))</f>
        <v/>
      </c>
      <c r="L834" s="16">
        <f>IF($I834="","",UPPER(TRIM(SUBSTITUTE(IFERROR(INDEX(tblVeriB[FaturaNo],ROW()-ROW(tblVeriB[[#Headers]])),"")," ",""))))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UPPER(TRIM(SUBSTITUTE($A835,"-","")))</f>
        <v/>
      </c>
      <c r="C835" s="16">
        <f>IF($B835="",0,LEN($B835))</f>
        <v/>
      </c>
      <c r="D835" s="16">
        <f>IF($A835="","",UPPER(TRIM(SUBSTITUTE(IFERROR(INDEX(tblVeriA[FaturaNo],ROW()-ROW(tblVeriA[[#Headers]])),"")," ",""))))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UPPER(TRIM(SUBSTITUTE($I835,"-","")))</f>
        <v/>
      </c>
      <c r="K835" s="16">
        <f>IF($J835="",0,LEN($J835))</f>
        <v/>
      </c>
      <c r="L835" s="16">
        <f>IF($I835="","",UPPER(TRIM(SUBSTITUTE(IFERROR(INDEX(tblVeriB[FaturaNo],ROW()-ROW(tblVeriB[[#Headers]])),"")," ",""))))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UPPER(TRIM(SUBSTITUTE($A836,"-","")))</f>
        <v/>
      </c>
      <c r="C836" s="16">
        <f>IF($B836="",0,LEN($B836))</f>
        <v/>
      </c>
      <c r="D836" s="16">
        <f>IF($A836="","",UPPER(TRIM(SUBSTITUTE(IFERROR(INDEX(tblVeriA[FaturaNo],ROW()-ROW(tblVeriA[[#Headers]])),"")," ",""))))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UPPER(TRIM(SUBSTITUTE($I836,"-","")))</f>
        <v/>
      </c>
      <c r="K836" s="16">
        <f>IF($J836="",0,LEN($J836))</f>
        <v/>
      </c>
      <c r="L836" s="16">
        <f>IF($I836="","",UPPER(TRIM(SUBSTITUTE(IFERROR(INDEX(tblVeriB[FaturaNo],ROW()-ROW(tblVeriB[[#Headers]])),"")," ",""))))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UPPER(TRIM(SUBSTITUTE($A837,"-","")))</f>
        <v/>
      </c>
      <c r="C837" s="16">
        <f>IF($B837="",0,LEN($B837))</f>
        <v/>
      </c>
      <c r="D837" s="16">
        <f>IF($A837="","",UPPER(TRIM(SUBSTITUTE(IFERROR(INDEX(tblVeriA[FaturaNo],ROW()-ROW(tblVeriA[[#Headers]])),"")," ",""))))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UPPER(TRIM(SUBSTITUTE($I837,"-","")))</f>
        <v/>
      </c>
      <c r="K837" s="16">
        <f>IF($J837="",0,LEN($J837))</f>
        <v/>
      </c>
      <c r="L837" s="16">
        <f>IF($I837="","",UPPER(TRIM(SUBSTITUTE(IFERROR(INDEX(tblVeriB[FaturaNo],ROW()-ROW(tblVeriB[[#Headers]])),"")," ",""))))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UPPER(TRIM(SUBSTITUTE($A838,"-","")))</f>
        <v/>
      </c>
      <c r="C838" s="16">
        <f>IF($B838="",0,LEN($B838))</f>
        <v/>
      </c>
      <c r="D838" s="16">
        <f>IF($A838="","",UPPER(TRIM(SUBSTITUTE(IFERROR(INDEX(tblVeriA[FaturaNo],ROW()-ROW(tblVeriA[[#Headers]])),"")," ",""))))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UPPER(TRIM(SUBSTITUTE($I838,"-","")))</f>
        <v/>
      </c>
      <c r="K838" s="16">
        <f>IF($J838="",0,LEN($J838))</f>
        <v/>
      </c>
      <c r="L838" s="16">
        <f>IF($I838="","",UPPER(TRIM(SUBSTITUTE(IFERROR(INDEX(tblVeriB[FaturaNo],ROW()-ROW(tblVeriB[[#Headers]])),"")," ",""))))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UPPER(TRIM(SUBSTITUTE($A839,"-","")))</f>
        <v/>
      </c>
      <c r="C839" s="16">
        <f>IF($B839="",0,LEN($B839))</f>
        <v/>
      </c>
      <c r="D839" s="16">
        <f>IF($A839="","",UPPER(TRIM(SUBSTITUTE(IFERROR(INDEX(tblVeriA[FaturaNo],ROW()-ROW(tblVeriA[[#Headers]])),"")," ",""))))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UPPER(TRIM(SUBSTITUTE($I839,"-","")))</f>
        <v/>
      </c>
      <c r="K839" s="16">
        <f>IF($J839="",0,LEN($J839))</f>
        <v/>
      </c>
      <c r="L839" s="16">
        <f>IF($I839="","",UPPER(TRIM(SUBSTITUTE(IFERROR(INDEX(tblVeriB[FaturaNo],ROW()-ROW(tblVeriB[[#Headers]])),"")," ",""))))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UPPER(TRIM(SUBSTITUTE($A840,"-","")))</f>
        <v/>
      </c>
      <c r="C840" s="16">
        <f>IF($B840="",0,LEN($B840))</f>
        <v/>
      </c>
      <c r="D840" s="16">
        <f>IF($A840="","",UPPER(TRIM(SUBSTITUTE(IFERROR(INDEX(tblVeriA[FaturaNo],ROW()-ROW(tblVeriA[[#Headers]])),"")," ",""))))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UPPER(TRIM(SUBSTITUTE($I840,"-","")))</f>
        <v/>
      </c>
      <c r="K840" s="16">
        <f>IF($J840="",0,LEN($J840))</f>
        <v/>
      </c>
      <c r="L840" s="16">
        <f>IF($I840="","",UPPER(TRIM(SUBSTITUTE(IFERROR(INDEX(tblVeriB[FaturaNo],ROW()-ROW(tblVeriB[[#Headers]])),"")," ",""))))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UPPER(TRIM(SUBSTITUTE($A841,"-","")))</f>
        <v/>
      </c>
      <c r="C841" s="16">
        <f>IF($B841="",0,LEN($B841))</f>
        <v/>
      </c>
      <c r="D841" s="16">
        <f>IF($A841="","",UPPER(TRIM(SUBSTITUTE(IFERROR(INDEX(tblVeriA[FaturaNo],ROW()-ROW(tblVeriA[[#Headers]])),"")," ",""))))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UPPER(TRIM(SUBSTITUTE($I841,"-","")))</f>
        <v/>
      </c>
      <c r="K841" s="16">
        <f>IF($J841="",0,LEN($J841))</f>
        <v/>
      </c>
      <c r="L841" s="16">
        <f>IF($I841="","",UPPER(TRIM(SUBSTITUTE(IFERROR(INDEX(tblVeriB[FaturaNo],ROW()-ROW(tblVeriB[[#Headers]])),"")," ",""))))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UPPER(TRIM(SUBSTITUTE($A842,"-","")))</f>
        <v/>
      </c>
      <c r="C842" s="16">
        <f>IF($B842="",0,LEN($B842))</f>
        <v/>
      </c>
      <c r="D842" s="16">
        <f>IF($A842="","",UPPER(TRIM(SUBSTITUTE(IFERROR(INDEX(tblVeriA[FaturaNo],ROW()-ROW(tblVeriA[[#Headers]])),"")," ",""))))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UPPER(TRIM(SUBSTITUTE($I842,"-","")))</f>
        <v/>
      </c>
      <c r="K842" s="16">
        <f>IF($J842="",0,LEN($J842))</f>
        <v/>
      </c>
      <c r="L842" s="16">
        <f>IF($I842="","",UPPER(TRIM(SUBSTITUTE(IFERROR(INDEX(tblVeriB[FaturaNo],ROW()-ROW(tblVeriB[[#Headers]])),"")," ",""))))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UPPER(TRIM(SUBSTITUTE($A843,"-","")))</f>
        <v/>
      </c>
      <c r="C843" s="16">
        <f>IF($B843="",0,LEN($B843))</f>
        <v/>
      </c>
      <c r="D843" s="16">
        <f>IF($A843="","",UPPER(TRIM(SUBSTITUTE(IFERROR(INDEX(tblVeriA[FaturaNo],ROW()-ROW(tblVeriA[[#Headers]])),"")," ",""))))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UPPER(TRIM(SUBSTITUTE($I843,"-","")))</f>
        <v/>
      </c>
      <c r="K843" s="16">
        <f>IF($J843="",0,LEN($J843))</f>
        <v/>
      </c>
      <c r="L843" s="16">
        <f>IF($I843="","",UPPER(TRIM(SUBSTITUTE(IFERROR(INDEX(tblVeriB[FaturaNo],ROW()-ROW(tblVeriB[[#Headers]])),"")," ",""))))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UPPER(TRIM(SUBSTITUTE($A844,"-","")))</f>
        <v/>
      </c>
      <c r="C844" s="16">
        <f>IF($B844="",0,LEN($B844))</f>
        <v/>
      </c>
      <c r="D844" s="16">
        <f>IF($A844="","",UPPER(TRIM(SUBSTITUTE(IFERROR(INDEX(tblVeriA[FaturaNo],ROW()-ROW(tblVeriA[[#Headers]])),"")," ",""))))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UPPER(TRIM(SUBSTITUTE($I844,"-","")))</f>
        <v/>
      </c>
      <c r="K844" s="16">
        <f>IF($J844="",0,LEN($J844))</f>
        <v/>
      </c>
      <c r="L844" s="16">
        <f>IF($I844="","",UPPER(TRIM(SUBSTITUTE(IFERROR(INDEX(tblVeriB[FaturaNo],ROW()-ROW(tblVeriB[[#Headers]])),"")," ",""))))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UPPER(TRIM(SUBSTITUTE($A845,"-","")))</f>
        <v/>
      </c>
      <c r="C845" s="16">
        <f>IF($B845="",0,LEN($B845))</f>
        <v/>
      </c>
      <c r="D845" s="16">
        <f>IF($A845="","",UPPER(TRIM(SUBSTITUTE(IFERROR(INDEX(tblVeriA[FaturaNo],ROW()-ROW(tblVeriA[[#Headers]])),"")," ",""))))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UPPER(TRIM(SUBSTITUTE($I845,"-","")))</f>
        <v/>
      </c>
      <c r="K845" s="16">
        <f>IF($J845="",0,LEN($J845))</f>
        <v/>
      </c>
      <c r="L845" s="16">
        <f>IF($I845="","",UPPER(TRIM(SUBSTITUTE(IFERROR(INDEX(tblVeriB[FaturaNo],ROW()-ROW(tblVeriB[[#Headers]])),"")," ",""))))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UPPER(TRIM(SUBSTITUTE($A846,"-","")))</f>
        <v/>
      </c>
      <c r="C846" s="16">
        <f>IF($B846="",0,LEN($B846))</f>
        <v/>
      </c>
      <c r="D846" s="16">
        <f>IF($A846="","",UPPER(TRIM(SUBSTITUTE(IFERROR(INDEX(tblVeriA[FaturaNo],ROW()-ROW(tblVeriA[[#Headers]])),"")," ",""))))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UPPER(TRIM(SUBSTITUTE($I846,"-","")))</f>
        <v/>
      </c>
      <c r="K846" s="16">
        <f>IF($J846="",0,LEN($J846))</f>
        <v/>
      </c>
      <c r="L846" s="16">
        <f>IF($I846="","",UPPER(TRIM(SUBSTITUTE(IFERROR(INDEX(tblVeriB[FaturaNo],ROW()-ROW(tblVeriB[[#Headers]])),"")," ",""))))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UPPER(TRIM(SUBSTITUTE($A847,"-","")))</f>
        <v/>
      </c>
      <c r="C847" s="16">
        <f>IF($B847="",0,LEN($B847))</f>
        <v/>
      </c>
      <c r="D847" s="16">
        <f>IF($A847="","",UPPER(TRIM(SUBSTITUTE(IFERROR(INDEX(tblVeriA[FaturaNo],ROW()-ROW(tblVeriA[[#Headers]])),"")," ",""))))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UPPER(TRIM(SUBSTITUTE($I847,"-","")))</f>
        <v/>
      </c>
      <c r="K847" s="16">
        <f>IF($J847="",0,LEN($J847))</f>
        <v/>
      </c>
      <c r="L847" s="16">
        <f>IF($I847="","",UPPER(TRIM(SUBSTITUTE(IFERROR(INDEX(tblVeriB[FaturaNo],ROW()-ROW(tblVeriB[[#Headers]])),"")," ",""))))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UPPER(TRIM(SUBSTITUTE($A848,"-","")))</f>
        <v/>
      </c>
      <c r="C848" s="16">
        <f>IF($B848="",0,LEN($B848))</f>
        <v/>
      </c>
      <c r="D848" s="16">
        <f>IF($A848="","",UPPER(TRIM(SUBSTITUTE(IFERROR(INDEX(tblVeriA[FaturaNo],ROW()-ROW(tblVeriA[[#Headers]])),"")," ",""))))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UPPER(TRIM(SUBSTITUTE($I848,"-","")))</f>
        <v/>
      </c>
      <c r="K848" s="16">
        <f>IF($J848="",0,LEN($J848))</f>
        <v/>
      </c>
      <c r="L848" s="16">
        <f>IF($I848="","",UPPER(TRIM(SUBSTITUTE(IFERROR(INDEX(tblVeriB[FaturaNo],ROW()-ROW(tblVeriB[[#Headers]])),"")," ",""))))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UPPER(TRIM(SUBSTITUTE($A849,"-","")))</f>
        <v/>
      </c>
      <c r="C849" s="16">
        <f>IF($B849="",0,LEN($B849))</f>
        <v/>
      </c>
      <c r="D849" s="16">
        <f>IF($A849="","",UPPER(TRIM(SUBSTITUTE(IFERROR(INDEX(tblVeriA[FaturaNo],ROW()-ROW(tblVeriA[[#Headers]])),"")," ",""))))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UPPER(TRIM(SUBSTITUTE($I849,"-","")))</f>
        <v/>
      </c>
      <c r="K849" s="16">
        <f>IF($J849="",0,LEN($J849))</f>
        <v/>
      </c>
      <c r="L849" s="16">
        <f>IF($I849="","",UPPER(TRIM(SUBSTITUTE(IFERROR(INDEX(tblVeriB[FaturaNo],ROW()-ROW(tblVeriB[[#Headers]])),"")," ",""))))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UPPER(TRIM(SUBSTITUTE($A850,"-","")))</f>
        <v/>
      </c>
      <c r="C850" s="16">
        <f>IF($B850="",0,LEN($B850))</f>
        <v/>
      </c>
      <c r="D850" s="16">
        <f>IF($A850="","",UPPER(TRIM(SUBSTITUTE(IFERROR(INDEX(tblVeriA[FaturaNo],ROW()-ROW(tblVeriA[[#Headers]])),"")," ",""))))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UPPER(TRIM(SUBSTITUTE($I850,"-","")))</f>
        <v/>
      </c>
      <c r="K850" s="16">
        <f>IF($J850="",0,LEN($J850))</f>
        <v/>
      </c>
      <c r="L850" s="16">
        <f>IF($I850="","",UPPER(TRIM(SUBSTITUTE(IFERROR(INDEX(tblVeriB[FaturaNo],ROW()-ROW(tblVeriB[[#Headers]])),"")," ",""))))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UPPER(TRIM(SUBSTITUTE($A851,"-","")))</f>
        <v/>
      </c>
      <c r="C851" s="16">
        <f>IF($B851="",0,LEN($B851))</f>
        <v/>
      </c>
      <c r="D851" s="16">
        <f>IF($A851="","",UPPER(TRIM(SUBSTITUTE(IFERROR(INDEX(tblVeriA[FaturaNo],ROW()-ROW(tblVeriA[[#Headers]])),"")," ",""))))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UPPER(TRIM(SUBSTITUTE($I851,"-","")))</f>
        <v/>
      </c>
      <c r="K851" s="16">
        <f>IF($J851="",0,LEN($J851))</f>
        <v/>
      </c>
      <c r="L851" s="16">
        <f>IF($I851="","",UPPER(TRIM(SUBSTITUTE(IFERROR(INDEX(tblVeriB[FaturaNo],ROW()-ROW(tblVeriB[[#Headers]])),"")," ",""))))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UPPER(TRIM(SUBSTITUTE($A852,"-","")))</f>
        <v/>
      </c>
      <c r="C852" s="16">
        <f>IF($B852="",0,LEN($B852))</f>
        <v/>
      </c>
      <c r="D852" s="16">
        <f>IF($A852="","",UPPER(TRIM(SUBSTITUTE(IFERROR(INDEX(tblVeriA[FaturaNo],ROW()-ROW(tblVeriA[[#Headers]])),"")," ",""))))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UPPER(TRIM(SUBSTITUTE($I852,"-","")))</f>
        <v/>
      </c>
      <c r="K852" s="16">
        <f>IF($J852="",0,LEN($J852))</f>
        <v/>
      </c>
      <c r="L852" s="16">
        <f>IF($I852="","",UPPER(TRIM(SUBSTITUTE(IFERROR(INDEX(tblVeriB[FaturaNo],ROW()-ROW(tblVeriB[[#Headers]])),"")," ",""))))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UPPER(TRIM(SUBSTITUTE($A853,"-","")))</f>
        <v/>
      </c>
      <c r="C853" s="16">
        <f>IF($B853="",0,LEN($B853))</f>
        <v/>
      </c>
      <c r="D853" s="16">
        <f>IF($A853="","",UPPER(TRIM(SUBSTITUTE(IFERROR(INDEX(tblVeriA[FaturaNo],ROW()-ROW(tblVeriA[[#Headers]])),"")," ",""))))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UPPER(TRIM(SUBSTITUTE($I853,"-","")))</f>
        <v/>
      </c>
      <c r="K853" s="16">
        <f>IF($J853="",0,LEN($J853))</f>
        <v/>
      </c>
      <c r="L853" s="16">
        <f>IF($I853="","",UPPER(TRIM(SUBSTITUTE(IFERROR(INDEX(tblVeriB[FaturaNo],ROW()-ROW(tblVeriB[[#Headers]])),"")," ",""))))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UPPER(TRIM(SUBSTITUTE($A854,"-","")))</f>
        <v/>
      </c>
      <c r="C854" s="16">
        <f>IF($B854="",0,LEN($B854))</f>
        <v/>
      </c>
      <c r="D854" s="16">
        <f>IF($A854="","",UPPER(TRIM(SUBSTITUTE(IFERROR(INDEX(tblVeriA[FaturaNo],ROW()-ROW(tblVeriA[[#Headers]])),"")," ",""))))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UPPER(TRIM(SUBSTITUTE($I854,"-","")))</f>
        <v/>
      </c>
      <c r="K854" s="16">
        <f>IF($J854="",0,LEN($J854))</f>
        <v/>
      </c>
      <c r="L854" s="16">
        <f>IF($I854="","",UPPER(TRIM(SUBSTITUTE(IFERROR(INDEX(tblVeriB[FaturaNo],ROW()-ROW(tblVeriB[[#Headers]])),"")," ",""))))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UPPER(TRIM(SUBSTITUTE($A855,"-","")))</f>
        <v/>
      </c>
      <c r="C855" s="16">
        <f>IF($B855="",0,LEN($B855))</f>
        <v/>
      </c>
      <c r="D855" s="16">
        <f>IF($A855="","",UPPER(TRIM(SUBSTITUTE(IFERROR(INDEX(tblVeriA[FaturaNo],ROW()-ROW(tblVeriA[[#Headers]])),"")," ",""))))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UPPER(TRIM(SUBSTITUTE($I855,"-","")))</f>
        <v/>
      </c>
      <c r="K855" s="16">
        <f>IF($J855="",0,LEN($J855))</f>
        <v/>
      </c>
      <c r="L855" s="16">
        <f>IF($I855="","",UPPER(TRIM(SUBSTITUTE(IFERROR(INDEX(tblVeriB[FaturaNo],ROW()-ROW(tblVeriB[[#Headers]])),"")," ",""))))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UPPER(TRIM(SUBSTITUTE($A856,"-","")))</f>
        <v/>
      </c>
      <c r="C856" s="16">
        <f>IF($B856="",0,LEN($B856))</f>
        <v/>
      </c>
      <c r="D856" s="16">
        <f>IF($A856="","",UPPER(TRIM(SUBSTITUTE(IFERROR(INDEX(tblVeriA[FaturaNo],ROW()-ROW(tblVeriA[[#Headers]])),"")," ",""))))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UPPER(TRIM(SUBSTITUTE($I856,"-","")))</f>
        <v/>
      </c>
      <c r="K856" s="16">
        <f>IF($J856="",0,LEN($J856))</f>
        <v/>
      </c>
      <c r="L856" s="16">
        <f>IF($I856="","",UPPER(TRIM(SUBSTITUTE(IFERROR(INDEX(tblVeriB[FaturaNo],ROW()-ROW(tblVeriB[[#Headers]])),"")," ",""))))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UPPER(TRIM(SUBSTITUTE($A857,"-","")))</f>
        <v/>
      </c>
      <c r="C857" s="16">
        <f>IF($B857="",0,LEN($B857))</f>
        <v/>
      </c>
      <c r="D857" s="16">
        <f>IF($A857="","",UPPER(TRIM(SUBSTITUTE(IFERROR(INDEX(tblVeriA[FaturaNo],ROW()-ROW(tblVeriA[[#Headers]])),"")," ",""))))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UPPER(TRIM(SUBSTITUTE($I857,"-","")))</f>
        <v/>
      </c>
      <c r="K857" s="16">
        <f>IF($J857="",0,LEN($J857))</f>
        <v/>
      </c>
      <c r="L857" s="16">
        <f>IF($I857="","",UPPER(TRIM(SUBSTITUTE(IFERROR(INDEX(tblVeriB[FaturaNo],ROW()-ROW(tblVeriB[[#Headers]])),"")," ",""))))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UPPER(TRIM(SUBSTITUTE($A858,"-","")))</f>
        <v/>
      </c>
      <c r="C858" s="16">
        <f>IF($B858="",0,LEN($B858))</f>
        <v/>
      </c>
      <c r="D858" s="16">
        <f>IF($A858="","",UPPER(TRIM(SUBSTITUTE(IFERROR(INDEX(tblVeriA[FaturaNo],ROW()-ROW(tblVeriA[[#Headers]])),"")," ",""))))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UPPER(TRIM(SUBSTITUTE($I858,"-","")))</f>
        <v/>
      </c>
      <c r="K858" s="16">
        <f>IF($J858="",0,LEN($J858))</f>
        <v/>
      </c>
      <c r="L858" s="16">
        <f>IF($I858="","",UPPER(TRIM(SUBSTITUTE(IFERROR(INDEX(tblVeriB[FaturaNo],ROW()-ROW(tblVeriB[[#Headers]])),"")," ",""))))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UPPER(TRIM(SUBSTITUTE($A859,"-","")))</f>
        <v/>
      </c>
      <c r="C859" s="16">
        <f>IF($B859="",0,LEN($B859))</f>
        <v/>
      </c>
      <c r="D859" s="16">
        <f>IF($A859="","",UPPER(TRIM(SUBSTITUTE(IFERROR(INDEX(tblVeriA[FaturaNo],ROW()-ROW(tblVeriA[[#Headers]])),"")," ",""))))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UPPER(TRIM(SUBSTITUTE($I859,"-","")))</f>
        <v/>
      </c>
      <c r="K859" s="16">
        <f>IF($J859="",0,LEN($J859))</f>
        <v/>
      </c>
      <c r="L859" s="16">
        <f>IF($I859="","",UPPER(TRIM(SUBSTITUTE(IFERROR(INDEX(tblVeriB[FaturaNo],ROW()-ROW(tblVeriB[[#Headers]])),"")," ",""))))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UPPER(TRIM(SUBSTITUTE($A860,"-","")))</f>
        <v/>
      </c>
      <c r="C860" s="16">
        <f>IF($B860="",0,LEN($B860))</f>
        <v/>
      </c>
      <c r="D860" s="16">
        <f>IF($A860="","",UPPER(TRIM(SUBSTITUTE(IFERROR(INDEX(tblVeriA[FaturaNo],ROW()-ROW(tblVeriA[[#Headers]])),"")," ",""))))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UPPER(TRIM(SUBSTITUTE($I860,"-","")))</f>
        <v/>
      </c>
      <c r="K860" s="16">
        <f>IF($J860="",0,LEN($J860))</f>
        <v/>
      </c>
      <c r="L860" s="16">
        <f>IF($I860="","",UPPER(TRIM(SUBSTITUTE(IFERROR(INDEX(tblVeriB[FaturaNo],ROW()-ROW(tblVeriB[[#Headers]])),"")," ",""))))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UPPER(TRIM(SUBSTITUTE($A861,"-","")))</f>
        <v/>
      </c>
      <c r="C861" s="16">
        <f>IF($B861="",0,LEN($B861))</f>
        <v/>
      </c>
      <c r="D861" s="16">
        <f>IF($A861="","",UPPER(TRIM(SUBSTITUTE(IFERROR(INDEX(tblVeriA[FaturaNo],ROW()-ROW(tblVeriA[[#Headers]])),"")," ",""))))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UPPER(TRIM(SUBSTITUTE($I861,"-","")))</f>
        <v/>
      </c>
      <c r="K861" s="16">
        <f>IF($J861="",0,LEN($J861))</f>
        <v/>
      </c>
      <c r="L861" s="16">
        <f>IF($I861="","",UPPER(TRIM(SUBSTITUTE(IFERROR(INDEX(tblVeriB[FaturaNo],ROW()-ROW(tblVeriB[[#Headers]])),"")," ",""))))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UPPER(TRIM(SUBSTITUTE($A862,"-","")))</f>
        <v/>
      </c>
      <c r="C862" s="16">
        <f>IF($B862="",0,LEN($B862))</f>
        <v/>
      </c>
      <c r="D862" s="16">
        <f>IF($A862="","",UPPER(TRIM(SUBSTITUTE(IFERROR(INDEX(tblVeriA[FaturaNo],ROW()-ROW(tblVeriA[[#Headers]])),"")," ",""))))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UPPER(TRIM(SUBSTITUTE($I862,"-","")))</f>
        <v/>
      </c>
      <c r="K862" s="16">
        <f>IF($J862="",0,LEN($J862))</f>
        <v/>
      </c>
      <c r="L862" s="16">
        <f>IF($I862="","",UPPER(TRIM(SUBSTITUTE(IFERROR(INDEX(tblVeriB[FaturaNo],ROW()-ROW(tblVeriB[[#Headers]])),"")," ",""))))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UPPER(TRIM(SUBSTITUTE($A863,"-","")))</f>
        <v/>
      </c>
      <c r="C863" s="16">
        <f>IF($B863="",0,LEN($B863))</f>
        <v/>
      </c>
      <c r="D863" s="16">
        <f>IF($A863="","",UPPER(TRIM(SUBSTITUTE(IFERROR(INDEX(tblVeriA[FaturaNo],ROW()-ROW(tblVeriA[[#Headers]])),"")," ",""))))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UPPER(TRIM(SUBSTITUTE($I863,"-","")))</f>
        <v/>
      </c>
      <c r="K863" s="16">
        <f>IF($J863="",0,LEN($J863))</f>
        <v/>
      </c>
      <c r="L863" s="16">
        <f>IF($I863="","",UPPER(TRIM(SUBSTITUTE(IFERROR(INDEX(tblVeriB[FaturaNo],ROW()-ROW(tblVeriB[[#Headers]])),"")," ",""))))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UPPER(TRIM(SUBSTITUTE($A864,"-","")))</f>
        <v/>
      </c>
      <c r="C864" s="16">
        <f>IF($B864="",0,LEN($B864))</f>
        <v/>
      </c>
      <c r="D864" s="16">
        <f>IF($A864="","",UPPER(TRIM(SUBSTITUTE(IFERROR(INDEX(tblVeriA[FaturaNo],ROW()-ROW(tblVeriA[[#Headers]])),"")," ",""))))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UPPER(TRIM(SUBSTITUTE($I864,"-","")))</f>
        <v/>
      </c>
      <c r="K864" s="16">
        <f>IF($J864="",0,LEN($J864))</f>
        <v/>
      </c>
      <c r="L864" s="16">
        <f>IF($I864="","",UPPER(TRIM(SUBSTITUTE(IFERROR(INDEX(tblVeriB[FaturaNo],ROW()-ROW(tblVeriB[[#Headers]])),"")," ",""))))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UPPER(TRIM(SUBSTITUTE($A865,"-","")))</f>
        <v/>
      </c>
      <c r="C865" s="16">
        <f>IF($B865="",0,LEN($B865))</f>
        <v/>
      </c>
      <c r="D865" s="16">
        <f>IF($A865="","",UPPER(TRIM(SUBSTITUTE(IFERROR(INDEX(tblVeriA[FaturaNo],ROW()-ROW(tblVeriA[[#Headers]])),"")," ",""))))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UPPER(TRIM(SUBSTITUTE($I865,"-","")))</f>
        <v/>
      </c>
      <c r="K865" s="16">
        <f>IF($J865="",0,LEN($J865))</f>
        <v/>
      </c>
      <c r="L865" s="16">
        <f>IF($I865="","",UPPER(TRIM(SUBSTITUTE(IFERROR(INDEX(tblVeriB[FaturaNo],ROW()-ROW(tblVeriB[[#Headers]])),"")," ",""))))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UPPER(TRIM(SUBSTITUTE($A866,"-","")))</f>
        <v/>
      </c>
      <c r="C866" s="16">
        <f>IF($B866="",0,LEN($B866))</f>
        <v/>
      </c>
      <c r="D866" s="16">
        <f>IF($A866="","",UPPER(TRIM(SUBSTITUTE(IFERROR(INDEX(tblVeriA[FaturaNo],ROW()-ROW(tblVeriA[[#Headers]])),"")," ",""))))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UPPER(TRIM(SUBSTITUTE($I866,"-","")))</f>
        <v/>
      </c>
      <c r="K866" s="16">
        <f>IF($J866="",0,LEN($J866))</f>
        <v/>
      </c>
      <c r="L866" s="16">
        <f>IF($I866="","",UPPER(TRIM(SUBSTITUTE(IFERROR(INDEX(tblVeriB[FaturaNo],ROW()-ROW(tblVeriB[[#Headers]])),"")," ",""))))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UPPER(TRIM(SUBSTITUTE($A867,"-","")))</f>
        <v/>
      </c>
      <c r="C867" s="16">
        <f>IF($B867="",0,LEN($B867))</f>
        <v/>
      </c>
      <c r="D867" s="16">
        <f>IF($A867="","",UPPER(TRIM(SUBSTITUTE(IFERROR(INDEX(tblVeriA[FaturaNo],ROW()-ROW(tblVeriA[[#Headers]])),"")," ",""))))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UPPER(TRIM(SUBSTITUTE($I867,"-","")))</f>
        <v/>
      </c>
      <c r="K867" s="16">
        <f>IF($J867="",0,LEN($J867))</f>
        <v/>
      </c>
      <c r="L867" s="16">
        <f>IF($I867="","",UPPER(TRIM(SUBSTITUTE(IFERROR(INDEX(tblVeriB[FaturaNo],ROW()-ROW(tblVeriB[[#Headers]])),"")," ",""))))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UPPER(TRIM(SUBSTITUTE($A868,"-","")))</f>
        <v/>
      </c>
      <c r="C868" s="16">
        <f>IF($B868="",0,LEN($B868))</f>
        <v/>
      </c>
      <c r="D868" s="16">
        <f>IF($A868="","",UPPER(TRIM(SUBSTITUTE(IFERROR(INDEX(tblVeriA[FaturaNo],ROW()-ROW(tblVeriA[[#Headers]])),"")," ",""))))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UPPER(TRIM(SUBSTITUTE($I868,"-","")))</f>
        <v/>
      </c>
      <c r="K868" s="16">
        <f>IF($J868="",0,LEN($J868))</f>
        <v/>
      </c>
      <c r="L868" s="16">
        <f>IF($I868="","",UPPER(TRIM(SUBSTITUTE(IFERROR(INDEX(tblVeriB[FaturaNo],ROW()-ROW(tblVeriB[[#Headers]])),"")," ",""))))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UPPER(TRIM(SUBSTITUTE($A869,"-","")))</f>
        <v/>
      </c>
      <c r="C869" s="16">
        <f>IF($B869="",0,LEN($B869))</f>
        <v/>
      </c>
      <c r="D869" s="16">
        <f>IF($A869="","",UPPER(TRIM(SUBSTITUTE(IFERROR(INDEX(tblVeriA[FaturaNo],ROW()-ROW(tblVeriA[[#Headers]])),"")," ",""))))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UPPER(TRIM(SUBSTITUTE($I869,"-","")))</f>
        <v/>
      </c>
      <c r="K869" s="16">
        <f>IF($J869="",0,LEN($J869))</f>
        <v/>
      </c>
      <c r="L869" s="16">
        <f>IF($I869="","",UPPER(TRIM(SUBSTITUTE(IFERROR(INDEX(tblVeriB[FaturaNo],ROW()-ROW(tblVeriB[[#Headers]])),"")," ",""))))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UPPER(TRIM(SUBSTITUTE($A870,"-","")))</f>
        <v/>
      </c>
      <c r="C870" s="16">
        <f>IF($B870="",0,LEN($B870))</f>
        <v/>
      </c>
      <c r="D870" s="16">
        <f>IF($A870="","",UPPER(TRIM(SUBSTITUTE(IFERROR(INDEX(tblVeriA[FaturaNo],ROW()-ROW(tblVeriA[[#Headers]])),"")," ",""))))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UPPER(TRIM(SUBSTITUTE($I870,"-","")))</f>
        <v/>
      </c>
      <c r="K870" s="16">
        <f>IF($J870="",0,LEN($J870))</f>
        <v/>
      </c>
      <c r="L870" s="16">
        <f>IF($I870="","",UPPER(TRIM(SUBSTITUTE(IFERROR(INDEX(tblVeriB[FaturaNo],ROW()-ROW(tblVeriB[[#Headers]])),"")," ",""))))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UPPER(TRIM(SUBSTITUTE($A871,"-","")))</f>
        <v/>
      </c>
      <c r="C871" s="16">
        <f>IF($B871="",0,LEN($B871))</f>
        <v/>
      </c>
      <c r="D871" s="16">
        <f>IF($A871="","",UPPER(TRIM(SUBSTITUTE(IFERROR(INDEX(tblVeriA[FaturaNo],ROW()-ROW(tblVeriA[[#Headers]])),"")," ",""))))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UPPER(TRIM(SUBSTITUTE($I871,"-","")))</f>
        <v/>
      </c>
      <c r="K871" s="16">
        <f>IF($J871="",0,LEN($J871))</f>
        <v/>
      </c>
      <c r="L871" s="16">
        <f>IF($I871="","",UPPER(TRIM(SUBSTITUTE(IFERROR(INDEX(tblVeriB[FaturaNo],ROW()-ROW(tblVeriB[[#Headers]])),"")," ",""))))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UPPER(TRIM(SUBSTITUTE($A872,"-","")))</f>
        <v/>
      </c>
      <c r="C872" s="16">
        <f>IF($B872="",0,LEN($B872))</f>
        <v/>
      </c>
      <c r="D872" s="16">
        <f>IF($A872="","",UPPER(TRIM(SUBSTITUTE(IFERROR(INDEX(tblVeriA[FaturaNo],ROW()-ROW(tblVeriA[[#Headers]])),"")," ",""))))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UPPER(TRIM(SUBSTITUTE($I872,"-","")))</f>
        <v/>
      </c>
      <c r="K872" s="16">
        <f>IF($J872="",0,LEN($J872))</f>
        <v/>
      </c>
      <c r="L872" s="16">
        <f>IF($I872="","",UPPER(TRIM(SUBSTITUTE(IFERROR(INDEX(tblVeriB[FaturaNo],ROW()-ROW(tblVeriB[[#Headers]])),"")," ",""))))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UPPER(TRIM(SUBSTITUTE($A873,"-","")))</f>
        <v/>
      </c>
      <c r="C873" s="16">
        <f>IF($B873="",0,LEN($B873))</f>
        <v/>
      </c>
      <c r="D873" s="16">
        <f>IF($A873="","",UPPER(TRIM(SUBSTITUTE(IFERROR(INDEX(tblVeriA[FaturaNo],ROW()-ROW(tblVeriA[[#Headers]])),"")," ",""))))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UPPER(TRIM(SUBSTITUTE($I873,"-","")))</f>
        <v/>
      </c>
      <c r="K873" s="16">
        <f>IF($J873="",0,LEN($J873))</f>
        <v/>
      </c>
      <c r="L873" s="16">
        <f>IF($I873="","",UPPER(TRIM(SUBSTITUTE(IFERROR(INDEX(tblVeriB[FaturaNo],ROW()-ROW(tblVeriB[[#Headers]])),"")," ",""))))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UPPER(TRIM(SUBSTITUTE($A874,"-","")))</f>
        <v/>
      </c>
      <c r="C874" s="16">
        <f>IF($B874="",0,LEN($B874))</f>
        <v/>
      </c>
      <c r="D874" s="16">
        <f>IF($A874="","",UPPER(TRIM(SUBSTITUTE(IFERROR(INDEX(tblVeriA[FaturaNo],ROW()-ROW(tblVeriA[[#Headers]])),"")," ",""))))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UPPER(TRIM(SUBSTITUTE($I874,"-","")))</f>
        <v/>
      </c>
      <c r="K874" s="16">
        <f>IF($J874="",0,LEN($J874))</f>
        <v/>
      </c>
      <c r="L874" s="16">
        <f>IF($I874="","",UPPER(TRIM(SUBSTITUTE(IFERROR(INDEX(tblVeriB[FaturaNo],ROW()-ROW(tblVeriB[[#Headers]])),"")," ",""))))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UPPER(TRIM(SUBSTITUTE($A875,"-","")))</f>
        <v/>
      </c>
      <c r="C875" s="16">
        <f>IF($B875="",0,LEN($B875))</f>
        <v/>
      </c>
      <c r="D875" s="16">
        <f>IF($A875="","",UPPER(TRIM(SUBSTITUTE(IFERROR(INDEX(tblVeriA[FaturaNo],ROW()-ROW(tblVeriA[[#Headers]])),"")," ",""))))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UPPER(TRIM(SUBSTITUTE($I875,"-","")))</f>
        <v/>
      </c>
      <c r="K875" s="16">
        <f>IF($J875="",0,LEN($J875))</f>
        <v/>
      </c>
      <c r="L875" s="16">
        <f>IF($I875="","",UPPER(TRIM(SUBSTITUTE(IFERROR(INDEX(tblVeriB[FaturaNo],ROW()-ROW(tblVeriB[[#Headers]])),"")," ",""))))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UPPER(TRIM(SUBSTITUTE($A876,"-","")))</f>
        <v/>
      </c>
      <c r="C876" s="16">
        <f>IF($B876="",0,LEN($B876))</f>
        <v/>
      </c>
      <c r="D876" s="16">
        <f>IF($A876="","",UPPER(TRIM(SUBSTITUTE(IFERROR(INDEX(tblVeriA[FaturaNo],ROW()-ROW(tblVeriA[[#Headers]])),"")," ",""))))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UPPER(TRIM(SUBSTITUTE($I876,"-","")))</f>
        <v/>
      </c>
      <c r="K876" s="16">
        <f>IF($J876="",0,LEN($J876))</f>
        <v/>
      </c>
      <c r="L876" s="16">
        <f>IF($I876="","",UPPER(TRIM(SUBSTITUTE(IFERROR(INDEX(tblVeriB[FaturaNo],ROW()-ROW(tblVeriB[[#Headers]])),"")," ",""))))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UPPER(TRIM(SUBSTITUTE($A877,"-","")))</f>
        <v/>
      </c>
      <c r="C877" s="16">
        <f>IF($B877="",0,LEN($B877))</f>
        <v/>
      </c>
      <c r="D877" s="16">
        <f>IF($A877="","",UPPER(TRIM(SUBSTITUTE(IFERROR(INDEX(tblVeriA[FaturaNo],ROW()-ROW(tblVeriA[[#Headers]])),"")," ",""))))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UPPER(TRIM(SUBSTITUTE($I877,"-","")))</f>
        <v/>
      </c>
      <c r="K877" s="16">
        <f>IF($J877="",0,LEN($J877))</f>
        <v/>
      </c>
      <c r="L877" s="16">
        <f>IF($I877="","",UPPER(TRIM(SUBSTITUTE(IFERROR(INDEX(tblVeriB[FaturaNo],ROW()-ROW(tblVeriB[[#Headers]])),"")," ",""))))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UPPER(TRIM(SUBSTITUTE($A878,"-","")))</f>
        <v/>
      </c>
      <c r="C878" s="16">
        <f>IF($B878="",0,LEN($B878))</f>
        <v/>
      </c>
      <c r="D878" s="16">
        <f>IF($A878="","",UPPER(TRIM(SUBSTITUTE(IFERROR(INDEX(tblVeriA[FaturaNo],ROW()-ROW(tblVeriA[[#Headers]])),"")," ",""))))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UPPER(TRIM(SUBSTITUTE($I878,"-","")))</f>
        <v/>
      </c>
      <c r="K878" s="16">
        <f>IF($J878="",0,LEN($J878))</f>
        <v/>
      </c>
      <c r="L878" s="16">
        <f>IF($I878="","",UPPER(TRIM(SUBSTITUTE(IFERROR(INDEX(tblVeriB[FaturaNo],ROW()-ROW(tblVeriB[[#Headers]])),"")," ",""))))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UPPER(TRIM(SUBSTITUTE($A879,"-","")))</f>
        <v/>
      </c>
      <c r="C879" s="16">
        <f>IF($B879="",0,LEN($B879))</f>
        <v/>
      </c>
      <c r="D879" s="16">
        <f>IF($A879="","",UPPER(TRIM(SUBSTITUTE(IFERROR(INDEX(tblVeriA[FaturaNo],ROW()-ROW(tblVeriA[[#Headers]])),"")," ",""))))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UPPER(TRIM(SUBSTITUTE($I879,"-","")))</f>
        <v/>
      </c>
      <c r="K879" s="16">
        <f>IF($J879="",0,LEN($J879))</f>
        <v/>
      </c>
      <c r="L879" s="16">
        <f>IF($I879="","",UPPER(TRIM(SUBSTITUTE(IFERROR(INDEX(tblVeriB[FaturaNo],ROW()-ROW(tblVeriB[[#Headers]])),"")," ",""))))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UPPER(TRIM(SUBSTITUTE($A880,"-","")))</f>
        <v/>
      </c>
      <c r="C880" s="16">
        <f>IF($B880="",0,LEN($B880))</f>
        <v/>
      </c>
      <c r="D880" s="16">
        <f>IF($A880="","",UPPER(TRIM(SUBSTITUTE(IFERROR(INDEX(tblVeriA[FaturaNo],ROW()-ROW(tblVeriA[[#Headers]])),"")," ",""))))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UPPER(TRIM(SUBSTITUTE($I880,"-","")))</f>
        <v/>
      </c>
      <c r="K880" s="16">
        <f>IF($J880="",0,LEN($J880))</f>
        <v/>
      </c>
      <c r="L880" s="16">
        <f>IF($I880="","",UPPER(TRIM(SUBSTITUTE(IFERROR(INDEX(tblVeriB[FaturaNo],ROW()-ROW(tblVeriB[[#Headers]])),"")," ",""))))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UPPER(TRIM(SUBSTITUTE($A881,"-","")))</f>
        <v/>
      </c>
      <c r="C881" s="16">
        <f>IF($B881="",0,LEN($B881))</f>
        <v/>
      </c>
      <c r="D881" s="16">
        <f>IF($A881="","",UPPER(TRIM(SUBSTITUTE(IFERROR(INDEX(tblVeriA[FaturaNo],ROW()-ROW(tblVeriA[[#Headers]])),"")," ",""))))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UPPER(TRIM(SUBSTITUTE($I881,"-","")))</f>
        <v/>
      </c>
      <c r="K881" s="16">
        <f>IF($J881="",0,LEN($J881))</f>
        <v/>
      </c>
      <c r="L881" s="16">
        <f>IF($I881="","",UPPER(TRIM(SUBSTITUTE(IFERROR(INDEX(tblVeriB[FaturaNo],ROW()-ROW(tblVeriB[[#Headers]])),"")," ",""))))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UPPER(TRIM(SUBSTITUTE($A882,"-","")))</f>
        <v/>
      </c>
      <c r="C882" s="16">
        <f>IF($B882="",0,LEN($B882))</f>
        <v/>
      </c>
      <c r="D882" s="16">
        <f>IF($A882="","",UPPER(TRIM(SUBSTITUTE(IFERROR(INDEX(tblVeriA[FaturaNo],ROW()-ROW(tblVeriA[[#Headers]])),"")," ",""))))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UPPER(TRIM(SUBSTITUTE($I882,"-","")))</f>
        <v/>
      </c>
      <c r="K882" s="16">
        <f>IF($J882="",0,LEN($J882))</f>
        <v/>
      </c>
      <c r="L882" s="16">
        <f>IF($I882="","",UPPER(TRIM(SUBSTITUTE(IFERROR(INDEX(tblVeriB[FaturaNo],ROW()-ROW(tblVeriB[[#Headers]])),"")," ",""))))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UPPER(TRIM(SUBSTITUTE($A883,"-","")))</f>
        <v/>
      </c>
      <c r="C883" s="16">
        <f>IF($B883="",0,LEN($B883))</f>
        <v/>
      </c>
      <c r="D883" s="16">
        <f>IF($A883="","",UPPER(TRIM(SUBSTITUTE(IFERROR(INDEX(tblVeriA[FaturaNo],ROW()-ROW(tblVeriA[[#Headers]])),"")," ",""))))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UPPER(TRIM(SUBSTITUTE($I883,"-","")))</f>
        <v/>
      </c>
      <c r="K883" s="16">
        <f>IF($J883="",0,LEN($J883))</f>
        <v/>
      </c>
      <c r="L883" s="16">
        <f>IF($I883="","",UPPER(TRIM(SUBSTITUTE(IFERROR(INDEX(tblVeriB[FaturaNo],ROW()-ROW(tblVeriB[[#Headers]])),"")," ",""))))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UPPER(TRIM(SUBSTITUTE($A884,"-","")))</f>
        <v/>
      </c>
      <c r="C884" s="16">
        <f>IF($B884="",0,LEN($B884))</f>
        <v/>
      </c>
      <c r="D884" s="16">
        <f>IF($A884="","",UPPER(TRIM(SUBSTITUTE(IFERROR(INDEX(tblVeriA[FaturaNo],ROW()-ROW(tblVeriA[[#Headers]])),"")," ",""))))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UPPER(TRIM(SUBSTITUTE($I884,"-","")))</f>
        <v/>
      </c>
      <c r="K884" s="16">
        <f>IF($J884="",0,LEN($J884))</f>
        <v/>
      </c>
      <c r="L884" s="16">
        <f>IF($I884="","",UPPER(TRIM(SUBSTITUTE(IFERROR(INDEX(tblVeriB[FaturaNo],ROW()-ROW(tblVeriB[[#Headers]])),"")," ",""))))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UPPER(TRIM(SUBSTITUTE($A885,"-","")))</f>
        <v/>
      </c>
      <c r="C885" s="16">
        <f>IF($B885="",0,LEN($B885))</f>
        <v/>
      </c>
      <c r="D885" s="16">
        <f>IF($A885="","",UPPER(TRIM(SUBSTITUTE(IFERROR(INDEX(tblVeriA[FaturaNo],ROW()-ROW(tblVeriA[[#Headers]])),"")," ",""))))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UPPER(TRIM(SUBSTITUTE($I885,"-","")))</f>
        <v/>
      </c>
      <c r="K885" s="16">
        <f>IF($J885="",0,LEN($J885))</f>
        <v/>
      </c>
      <c r="L885" s="16">
        <f>IF($I885="","",UPPER(TRIM(SUBSTITUTE(IFERROR(INDEX(tblVeriB[FaturaNo],ROW()-ROW(tblVeriB[[#Headers]])),"")," ",""))))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UPPER(TRIM(SUBSTITUTE($A886,"-","")))</f>
        <v/>
      </c>
      <c r="C886" s="16">
        <f>IF($B886="",0,LEN($B886))</f>
        <v/>
      </c>
      <c r="D886" s="16">
        <f>IF($A886="","",UPPER(TRIM(SUBSTITUTE(IFERROR(INDEX(tblVeriA[FaturaNo],ROW()-ROW(tblVeriA[[#Headers]])),"")," ",""))))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UPPER(TRIM(SUBSTITUTE($I886,"-","")))</f>
        <v/>
      </c>
      <c r="K886" s="16">
        <f>IF($J886="",0,LEN($J886))</f>
        <v/>
      </c>
      <c r="L886" s="16">
        <f>IF($I886="","",UPPER(TRIM(SUBSTITUTE(IFERROR(INDEX(tblVeriB[FaturaNo],ROW()-ROW(tblVeriB[[#Headers]])),"")," ",""))))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UPPER(TRIM(SUBSTITUTE($A887,"-","")))</f>
        <v/>
      </c>
      <c r="C887" s="16">
        <f>IF($B887="",0,LEN($B887))</f>
        <v/>
      </c>
      <c r="D887" s="16">
        <f>IF($A887="","",UPPER(TRIM(SUBSTITUTE(IFERROR(INDEX(tblVeriA[FaturaNo],ROW()-ROW(tblVeriA[[#Headers]])),"")," ",""))))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UPPER(TRIM(SUBSTITUTE($I887,"-","")))</f>
        <v/>
      </c>
      <c r="K887" s="16">
        <f>IF($J887="",0,LEN($J887))</f>
        <v/>
      </c>
      <c r="L887" s="16">
        <f>IF($I887="","",UPPER(TRIM(SUBSTITUTE(IFERROR(INDEX(tblVeriB[FaturaNo],ROW()-ROW(tblVeriB[[#Headers]])),"")," ",""))))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UPPER(TRIM(SUBSTITUTE($A888,"-","")))</f>
        <v/>
      </c>
      <c r="C888" s="16">
        <f>IF($B888="",0,LEN($B888))</f>
        <v/>
      </c>
      <c r="D888" s="16">
        <f>IF($A888="","",UPPER(TRIM(SUBSTITUTE(IFERROR(INDEX(tblVeriA[FaturaNo],ROW()-ROW(tblVeriA[[#Headers]])),"")," ",""))))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UPPER(TRIM(SUBSTITUTE($I888,"-","")))</f>
        <v/>
      </c>
      <c r="K888" s="16">
        <f>IF($J888="",0,LEN($J888))</f>
        <v/>
      </c>
      <c r="L888" s="16">
        <f>IF($I888="","",UPPER(TRIM(SUBSTITUTE(IFERROR(INDEX(tblVeriB[FaturaNo],ROW()-ROW(tblVeriB[[#Headers]])),"")," ",""))))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UPPER(TRIM(SUBSTITUTE($A889,"-","")))</f>
        <v/>
      </c>
      <c r="C889" s="16">
        <f>IF($B889="",0,LEN($B889))</f>
        <v/>
      </c>
      <c r="D889" s="16">
        <f>IF($A889="","",UPPER(TRIM(SUBSTITUTE(IFERROR(INDEX(tblVeriA[FaturaNo],ROW()-ROW(tblVeriA[[#Headers]])),"")," ",""))))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UPPER(TRIM(SUBSTITUTE($I889,"-","")))</f>
        <v/>
      </c>
      <c r="K889" s="16">
        <f>IF($J889="",0,LEN($J889))</f>
        <v/>
      </c>
      <c r="L889" s="16">
        <f>IF($I889="","",UPPER(TRIM(SUBSTITUTE(IFERROR(INDEX(tblVeriB[FaturaNo],ROW()-ROW(tblVeriB[[#Headers]])),"")," ",""))))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UPPER(TRIM(SUBSTITUTE($A890,"-","")))</f>
        <v/>
      </c>
      <c r="C890" s="16">
        <f>IF($B890="",0,LEN($B890))</f>
        <v/>
      </c>
      <c r="D890" s="16">
        <f>IF($A890="","",UPPER(TRIM(SUBSTITUTE(IFERROR(INDEX(tblVeriA[FaturaNo],ROW()-ROW(tblVeriA[[#Headers]])),"")," ",""))))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UPPER(TRIM(SUBSTITUTE($I890,"-","")))</f>
        <v/>
      </c>
      <c r="K890" s="16">
        <f>IF($J890="",0,LEN($J890))</f>
        <v/>
      </c>
      <c r="L890" s="16">
        <f>IF($I890="","",UPPER(TRIM(SUBSTITUTE(IFERROR(INDEX(tblVeriB[FaturaNo],ROW()-ROW(tblVeriB[[#Headers]])),"")," ",""))))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UPPER(TRIM(SUBSTITUTE($A891,"-","")))</f>
        <v/>
      </c>
      <c r="C891" s="16">
        <f>IF($B891="",0,LEN($B891))</f>
        <v/>
      </c>
      <c r="D891" s="16">
        <f>IF($A891="","",UPPER(TRIM(SUBSTITUTE(IFERROR(INDEX(tblVeriA[FaturaNo],ROW()-ROW(tblVeriA[[#Headers]])),"")," ",""))))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UPPER(TRIM(SUBSTITUTE($I891,"-","")))</f>
        <v/>
      </c>
      <c r="K891" s="16">
        <f>IF($J891="",0,LEN($J891))</f>
        <v/>
      </c>
      <c r="L891" s="16">
        <f>IF($I891="","",UPPER(TRIM(SUBSTITUTE(IFERROR(INDEX(tblVeriB[FaturaNo],ROW()-ROW(tblVeriB[[#Headers]])),"")," ",""))))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UPPER(TRIM(SUBSTITUTE($A892,"-","")))</f>
        <v/>
      </c>
      <c r="C892" s="16">
        <f>IF($B892="",0,LEN($B892))</f>
        <v/>
      </c>
      <c r="D892" s="16">
        <f>IF($A892="","",UPPER(TRIM(SUBSTITUTE(IFERROR(INDEX(tblVeriA[FaturaNo],ROW()-ROW(tblVeriA[[#Headers]])),"")," ",""))))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UPPER(TRIM(SUBSTITUTE($I892,"-","")))</f>
        <v/>
      </c>
      <c r="K892" s="16">
        <f>IF($J892="",0,LEN($J892))</f>
        <v/>
      </c>
      <c r="L892" s="16">
        <f>IF($I892="","",UPPER(TRIM(SUBSTITUTE(IFERROR(INDEX(tblVeriB[FaturaNo],ROW()-ROW(tblVeriB[[#Headers]])),"")," ",""))))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UPPER(TRIM(SUBSTITUTE($A893,"-","")))</f>
        <v/>
      </c>
      <c r="C893" s="16">
        <f>IF($B893="",0,LEN($B893))</f>
        <v/>
      </c>
      <c r="D893" s="16">
        <f>IF($A893="","",UPPER(TRIM(SUBSTITUTE(IFERROR(INDEX(tblVeriA[FaturaNo],ROW()-ROW(tblVeriA[[#Headers]])),"")," ",""))))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UPPER(TRIM(SUBSTITUTE($I893,"-","")))</f>
        <v/>
      </c>
      <c r="K893" s="16">
        <f>IF($J893="",0,LEN($J893))</f>
        <v/>
      </c>
      <c r="L893" s="16">
        <f>IF($I893="","",UPPER(TRIM(SUBSTITUTE(IFERROR(INDEX(tblVeriB[FaturaNo],ROW()-ROW(tblVeriB[[#Headers]])),"")," ",""))))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UPPER(TRIM(SUBSTITUTE($A894,"-","")))</f>
        <v/>
      </c>
      <c r="C894" s="16">
        <f>IF($B894="",0,LEN($B894))</f>
        <v/>
      </c>
      <c r="D894" s="16">
        <f>IF($A894="","",UPPER(TRIM(SUBSTITUTE(IFERROR(INDEX(tblVeriA[FaturaNo],ROW()-ROW(tblVeriA[[#Headers]])),"")," ",""))))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UPPER(TRIM(SUBSTITUTE($I894,"-","")))</f>
        <v/>
      </c>
      <c r="K894" s="16">
        <f>IF($J894="",0,LEN($J894))</f>
        <v/>
      </c>
      <c r="L894" s="16">
        <f>IF($I894="","",UPPER(TRIM(SUBSTITUTE(IFERROR(INDEX(tblVeriB[FaturaNo],ROW()-ROW(tblVeriB[[#Headers]])),"")," ",""))))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UPPER(TRIM(SUBSTITUTE($A895,"-","")))</f>
        <v/>
      </c>
      <c r="C895" s="16">
        <f>IF($B895="",0,LEN($B895))</f>
        <v/>
      </c>
      <c r="D895" s="16">
        <f>IF($A895="","",UPPER(TRIM(SUBSTITUTE(IFERROR(INDEX(tblVeriA[FaturaNo],ROW()-ROW(tblVeriA[[#Headers]])),"")," ",""))))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UPPER(TRIM(SUBSTITUTE($I895,"-","")))</f>
        <v/>
      </c>
      <c r="K895" s="16">
        <f>IF($J895="",0,LEN($J895))</f>
        <v/>
      </c>
      <c r="L895" s="16">
        <f>IF($I895="","",UPPER(TRIM(SUBSTITUTE(IFERROR(INDEX(tblVeriB[FaturaNo],ROW()-ROW(tblVeriB[[#Headers]])),"")," ",""))))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UPPER(TRIM(SUBSTITUTE($A896,"-","")))</f>
        <v/>
      </c>
      <c r="C896" s="16">
        <f>IF($B896="",0,LEN($B896))</f>
        <v/>
      </c>
      <c r="D896" s="16">
        <f>IF($A896="","",UPPER(TRIM(SUBSTITUTE(IFERROR(INDEX(tblVeriA[FaturaNo],ROW()-ROW(tblVeriA[[#Headers]])),"")," ",""))))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UPPER(TRIM(SUBSTITUTE($I896,"-","")))</f>
        <v/>
      </c>
      <c r="K896" s="16">
        <f>IF($J896="",0,LEN($J896))</f>
        <v/>
      </c>
      <c r="L896" s="16">
        <f>IF($I896="","",UPPER(TRIM(SUBSTITUTE(IFERROR(INDEX(tblVeriB[FaturaNo],ROW()-ROW(tblVeriB[[#Headers]])),"")," ",""))))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UPPER(TRIM(SUBSTITUTE($A897,"-","")))</f>
        <v/>
      </c>
      <c r="C897" s="16">
        <f>IF($B897="",0,LEN($B897))</f>
        <v/>
      </c>
      <c r="D897" s="16">
        <f>IF($A897="","",UPPER(TRIM(SUBSTITUTE(IFERROR(INDEX(tblVeriA[FaturaNo],ROW()-ROW(tblVeriA[[#Headers]])),"")," ",""))))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UPPER(TRIM(SUBSTITUTE($I897,"-","")))</f>
        <v/>
      </c>
      <c r="K897" s="16">
        <f>IF($J897="",0,LEN($J897))</f>
        <v/>
      </c>
      <c r="L897" s="16">
        <f>IF($I897="","",UPPER(TRIM(SUBSTITUTE(IFERROR(INDEX(tblVeriB[FaturaNo],ROW()-ROW(tblVeriB[[#Headers]])),"")," ",""))))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UPPER(TRIM(SUBSTITUTE($A898,"-","")))</f>
        <v/>
      </c>
      <c r="C898" s="16">
        <f>IF($B898="",0,LEN($B898))</f>
        <v/>
      </c>
      <c r="D898" s="16">
        <f>IF($A898="","",UPPER(TRIM(SUBSTITUTE(IFERROR(INDEX(tblVeriA[FaturaNo],ROW()-ROW(tblVeriA[[#Headers]])),"")," ",""))))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UPPER(TRIM(SUBSTITUTE($I898,"-","")))</f>
        <v/>
      </c>
      <c r="K898" s="16">
        <f>IF($J898="",0,LEN($J898))</f>
        <v/>
      </c>
      <c r="L898" s="16">
        <f>IF($I898="","",UPPER(TRIM(SUBSTITUTE(IFERROR(INDEX(tblVeriB[FaturaNo],ROW()-ROW(tblVeriB[[#Headers]])),"")," ",""))))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UPPER(TRIM(SUBSTITUTE($A899,"-","")))</f>
        <v/>
      </c>
      <c r="C899" s="16">
        <f>IF($B899="",0,LEN($B899))</f>
        <v/>
      </c>
      <c r="D899" s="16">
        <f>IF($A899="","",UPPER(TRIM(SUBSTITUTE(IFERROR(INDEX(tblVeriA[FaturaNo],ROW()-ROW(tblVeriA[[#Headers]])),"")," ",""))))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UPPER(TRIM(SUBSTITUTE($I899,"-","")))</f>
        <v/>
      </c>
      <c r="K899" s="16">
        <f>IF($J899="",0,LEN($J899))</f>
        <v/>
      </c>
      <c r="L899" s="16">
        <f>IF($I899="","",UPPER(TRIM(SUBSTITUTE(IFERROR(INDEX(tblVeriB[FaturaNo],ROW()-ROW(tblVeriB[[#Headers]])),"")," ",""))))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UPPER(TRIM(SUBSTITUTE($A900,"-","")))</f>
        <v/>
      </c>
      <c r="C900" s="16">
        <f>IF($B900="",0,LEN($B900))</f>
        <v/>
      </c>
      <c r="D900" s="16">
        <f>IF($A900="","",UPPER(TRIM(SUBSTITUTE(IFERROR(INDEX(tblVeriA[FaturaNo],ROW()-ROW(tblVeriA[[#Headers]])),"")," ",""))))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UPPER(TRIM(SUBSTITUTE($I900,"-","")))</f>
        <v/>
      </c>
      <c r="K900" s="16">
        <f>IF($J900="",0,LEN($J900))</f>
        <v/>
      </c>
      <c r="L900" s="16">
        <f>IF($I900="","",UPPER(TRIM(SUBSTITUTE(IFERROR(INDEX(tblVeriB[FaturaNo],ROW()-ROW(tblVeriB[[#Headers]])),"")," ",""))))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UPPER(TRIM(SUBSTITUTE($A901,"-","")))</f>
        <v/>
      </c>
      <c r="C901" s="16">
        <f>IF($B901="",0,LEN($B901))</f>
        <v/>
      </c>
      <c r="D901" s="16">
        <f>IF($A901="","",UPPER(TRIM(SUBSTITUTE(IFERROR(INDEX(tblVeriA[FaturaNo],ROW()-ROW(tblVeriA[[#Headers]])),"")," ",""))))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UPPER(TRIM(SUBSTITUTE($I901,"-","")))</f>
        <v/>
      </c>
      <c r="K901" s="16">
        <f>IF($J901="",0,LEN($J901))</f>
        <v/>
      </c>
      <c r="L901" s="16">
        <f>IF($I901="","",UPPER(TRIM(SUBSTITUTE(IFERROR(INDEX(tblVeriB[FaturaNo],ROW()-ROW(tblVeriB[[#Headers]])),"")," ",""))))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UPPER(TRIM(SUBSTITUTE($A902,"-","")))</f>
        <v/>
      </c>
      <c r="C902" s="16">
        <f>IF($B902="",0,LEN($B902))</f>
        <v/>
      </c>
      <c r="D902" s="16">
        <f>IF($A902="","",UPPER(TRIM(SUBSTITUTE(IFERROR(INDEX(tblVeriA[FaturaNo],ROW()-ROW(tblVeriA[[#Headers]])),"")," ",""))))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UPPER(TRIM(SUBSTITUTE($I902,"-","")))</f>
        <v/>
      </c>
      <c r="K902" s="16">
        <f>IF($J902="",0,LEN($J902))</f>
        <v/>
      </c>
      <c r="L902" s="16">
        <f>IF($I902="","",UPPER(TRIM(SUBSTITUTE(IFERROR(INDEX(tblVeriB[FaturaNo],ROW()-ROW(tblVeriB[[#Headers]])),"")," ",""))))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UPPER(TRIM(SUBSTITUTE($A903,"-","")))</f>
        <v/>
      </c>
      <c r="C903" s="16">
        <f>IF($B903="",0,LEN($B903))</f>
        <v/>
      </c>
      <c r="D903" s="16">
        <f>IF($A903="","",UPPER(TRIM(SUBSTITUTE(IFERROR(INDEX(tblVeriA[FaturaNo],ROW()-ROW(tblVeriA[[#Headers]])),"")," ",""))))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UPPER(TRIM(SUBSTITUTE($I903,"-","")))</f>
        <v/>
      </c>
      <c r="K903" s="16">
        <f>IF($J903="",0,LEN($J903))</f>
        <v/>
      </c>
      <c r="L903" s="16">
        <f>IF($I903="","",UPPER(TRIM(SUBSTITUTE(IFERROR(INDEX(tblVeriB[FaturaNo],ROW()-ROW(tblVeriB[[#Headers]])),"")," ",""))))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UPPER(TRIM(SUBSTITUTE($A904,"-","")))</f>
        <v/>
      </c>
      <c r="C904" s="16">
        <f>IF($B904="",0,LEN($B904))</f>
        <v/>
      </c>
      <c r="D904" s="16">
        <f>IF($A904="","",UPPER(TRIM(SUBSTITUTE(IFERROR(INDEX(tblVeriA[FaturaNo],ROW()-ROW(tblVeriA[[#Headers]])),"")," ",""))))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UPPER(TRIM(SUBSTITUTE($I904,"-","")))</f>
        <v/>
      </c>
      <c r="K904" s="16">
        <f>IF($J904="",0,LEN($J904))</f>
        <v/>
      </c>
      <c r="L904" s="16">
        <f>IF($I904="","",UPPER(TRIM(SUBSTITUTE(IFERROR(INDEX(tblVeriB[FaturaNo],ROW()-ROW(tblVeriB[[#Headers]])),"")," ",""))))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UPPER(TRIM(SUBSTITUTE($A905,"-","")))</f>
        <v/>
      </c>
      <c r="C905" s="16">
        <f>IF($B905="",0,LEN($B905))</f>
        <v/>
      </c>
      <c r="D905" s="16">
        <f>IF($A905="","",UPPER(TRIM(SUBSTITUTE(IFERROR(INDEX(tblVeriA[FaturaNo],ROW()-ROW(tblVeriA[[#Headers]])),"")," ",""))))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UPPER(TRIM(SUBSTITUTE($I905,"-","")))</f>
        <v/>
      </c>
      <c r="K905" s="16">
        <f>IF($J905="",0,LEN($J905))</f>
        <v/>
      </c>
      <c r="L905" s="16">
        <f>IF($I905="","",UPPER(TRIM(SUBSTITUTE(IFERROR(INDEX(tblVeriB[FaturaNo],ROW()-ROW(tblVeriB[[#Headers]])),"")," ",""))))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UPPER(TRIM(SUBSTITUTE($A906,"-","")))</f>
        <v/>
      </c>
      <c r="C906" s="16">
        <f>IF($B906="",0,LEN($B906))</f>
        <v/>
      </c>
      <c r="D906" s="16">
        <f>IF($A906="","",UPPER(TRIM(SUBSTITUTE(IFERROR(INDEX(tblVeriA[FaturaNo],ROW()-ROW(tblVeriA[[#Headers]])),"")," ",""))))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UPPER(TRIM(SUBSTITUTE($I906,"-","")))</f>
        <v/>
      </c>
      <c r="K906" s="16">
        <f>IF($J906="",0,LEN($J906))</f>
        <v/>
      </c>
      <c r="L906" s="16">
        <f>IF($I906="","",UPPER(TRIM(SUBSTITUTE(IFERROR(INDEX(tblVeriB[FaturaNo],ROW()-ROW(tblVeriB[[#Headers]])),"")," ",""))))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UPPER(TRIM(SUBSTITUTE($A907,"-","")))</f>
        <v/>
      </c>
      <c r="C907" s="16">
        <f>IF($B907="",0,LEN($B907))</f>
        <v/>
      </c>
      <c r="D907" s="16">
        <f>IF($A907="","",UPPER(TRIM(SUBSTITUTE(IFERROR(INDEX(tblVeriA[FaturaNo],ROW()-ROW(tblVeriA[[#Headers]])),"")," ",""))))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UPPER(TRIM(SUBSTITUTE($I907,"-","")))</f>
        <v/>
      </c>
      <c r="K907" s="16">
        <f>IF($J907="",0,LEN($J907))</f>
        <v/>
      </c>
      <c r="L907" s="16">
        <f>IF($I907="","",UPPER(TRIM(SUBSTITUTE(IFERROR(INDEX(tblVeriB[FaturaNo],ROW()-ROW(tblVeriB[[#Headers]])),"")," ",""))))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UPPER(TRIM(SUBSTITUTE($A908,"-","")))</f>
        <v/>
      </c>
      <c r="C908" s="16">
        <f>IF($B908="",0,LEN($B908))</f>
        <v/>
      </c>
      <c r="D908" s="16">
        <f>IF($A908="","",UPPER(TRIM(SUBSTITUTE(IFERROR(INDEX(tblVeriA[FaturaNo],ROW()-ROW(tblVeriA[[#Headers]])),"")," ",""))))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UPPER(TRIM(SUBSTITUTE($I908,"-","")))</f>
        <v/>
      </c>
      <c r="K908" s="16">
        <f>IF($J908="",0,LEN($J908))</f>
        <v/>
      </c>
      <c r="L908" s="16">
        <f>IF($I908="","",UPPER(TRIM(SUBSTITUTE(IFERROR(INDEX(tblVeriB[FaturaNo],ROW()-ROW(tblVeriB[[#Headers]])),"")," ",""))))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UPPER(TRIM(SUBSTITUTE($A909,"-","")))</f>
        <v/>
      </c>
      <c r="C909" s="16">
        <f>IF($B909="",0,LEN($B909))</f>
        <v/>
      </c>
      <c r="D909" s="16">
        <f>IF($A909="","",UPPER(TRIM(SUBSTITUTE(IFERROR(INDEX(tblVeriA[FaturaNo],ROW()-ROW(tblVeriA[[#Headers]])),"")," ",""))))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UPPER(TRIM(SUBSTITUTE($I909,"-","")))</f>
        <v/>
      </c>
      <c r="K909" s="16">
        <f>IF($J909="",0,LEN($J909))</f>
        <v/>
      </c>
      <c r="L909" s="16">
        <f>IF($I909="","",UPPER(TRIM(SUBSTITUTE(IFERROR(INDEX(tblVeriB[FaturaNo],ROW()-ROW(tblVeriB[[#Headers]])),"")," ",""))))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UPPER(TRIM(SUBSTITUTE($A910,"-","")))</f>
        <v/>
      </c>
      <c r="C910" s="16">
        <f>IF($B910="",0,LEN($B910))</f>
        <v/>
      </c>
      <c r="D910" s="16">
        <f>IF($A910="","",UPPER(TRIM(SUBSTITUTE(IFERROR(INDEX(tblVeriA[FaturaNo],ROW()-ROW(tblVeriA[[#Headers]])),"")," ",""))))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UPPER(TRIM(SUBSTITUTE($I910,"-","")))</f>
        <v/>
      </c>
      <c r="K910" s="16">
        <f>IF($J910="",0,LEN($J910))</f>
        <v/>
      </c>
      <c r="L910" s="16">
        <f>IF($I910="","",UPPER(TRIM(SUBSTITUTE(IFERROR(INDEX(tblVeriB[FaturaNo],ROW()-ROW(tblVeriB[[#Headers]])),"")," ",""))))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UPPER(TRIM(SUBSTITUTE($A911,"-","")))</f>
        <v/>
      </c>
      <c r="C911" s="16">
        <f>IF($B911="",0,LEN($B911))</f>
        <v/>
      </c>
      <c r="D911" s="16">
        <f>IF($A911="","",UPPER(TRIM(SUBSTITUTE(IFERROR(INDEX(tblVeriA[FaturaNo],ROW()-ROW(tblVeriA[[#Headers]])),"")," ",""))))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UPPER(TRIM(SUBSTITUTE($I911,"-","")))</f>
        <v/>
      </c>
      <c r="K911" s="16">
        <f>IF($J911="",0,LEN($J911))</f>
        <v/>
      </c>
      <c r="L911" s="16">
        <f>IF($I911="","",UPPER(TRIM(SUBSTITUTE(IFERROR(INDEX(tblVeriB[FaturaNo],ROW()-ROW(tblVeriB[[#Headers]])),"")," ",""))))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UPPER(TRIM(SUBSTITUTE($A912,"-","")))</f>
        <v/>
      </c>
      <c r="C912" s="16">
        <f>IF($B912="",0,LEN($B912))</f>
        <v/>
      </c>
      <c r="D912" s="16">
        <f>IF($A912="","",UPPER(TRIM(SUBSTITUTE(IFERROR(INDEX(tblVeriA[FaturaNo],ROW()-ROW(tblVeriA[[#Headers]])),"")," ",""))))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UPPER(TRIM(SUBSTITUTE($I912,"-","")))</f>
        <v/>
      </c>
      <c r="K912" s="16">
        <f>IF($J912="",0,LEN($J912))</f>
        <v/>
      </c>
      <c r="L912" s="16">
        <f>IF($I912="","",UPPER(TRIM(SUBSTITUTE(IFERROR(INDEX(tblVeriB[FaturaNo],ROW()-ROW(tblVeriB[[#Headers]])),"")," ",""))))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UPPER(TRIM(SUBSTITUTE($A913,"-","")))</f>
        <v/>
      </c>
      <c r="C913" s="16">
        <f>IF($B913="",0,LEN($B913))</f>
        <v/>
      </c>
      <c r="D913" s="16">
        <f>IF($A913="","",UPPER(TRIM(SUBSTITUTE(IFERROR(INDEX(tblVeriA[FaturaNo],ROW()-ROW(tblVeriA[[#Headers]])),"")," ",""))))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UPPER(TRIM(SUBSTITUTE($I913,"-","")))</f>
        <v/>
      </c>
      <c r="K913" s="16">
        <f>IF($J913="",0,LEN($J913))</f>
        <v/>
      </c>
      <c r="L913" s="16">
        <f>IF($I913="","",UPPER(TRIM(SUBSTITUTE(IFERROR(INDEX(tblVeriB[FaturaNo],ROW()-ROW(tblVeriB[[#Headers]])),"")," ",""))))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UPPER(TRIM(SUBSTITUTE($A914,"-","")))</f>
        <v/>
      </c>
      <c r="C914" s="16">
        <f>IF($B914="",0,LEN($B914))</f>
        <v/>
      </c>
      <c r="D914" s="16">
        <f>IF($A914="","",UPPER(TRIM(SUBSTITUTE(IFERROR(INDEX(tblVeriA[FaturaNo],ROW()-ROW(tblVeriA[[#Headers]])),"")," ",""))))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UPPER(TRIM(SUBSTITUTE($I914,"-","")))</f>
        <v/>
      </c>
      <c r="K914" s="16">
        <f>IF($J914="",0,LEN($J914))</f>
        <v/>
      </c>
      <c r="L914" s="16">
        <f>IF($I914="","",UPPER(TRIM(SUBSTITUTE(IFERROR(INDEX(tblVeriB[FaturaNo],ROW()-ROW(tblVeriB[[#Headers]])),"")," ",""))))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UPPER(TRIM(SUBSTITUTE($A915,"-","")))</f>
        <v/>
      </c>
      <c r="C915" s="16">
        <f>IF($B915="",0,LEN($B915))</f>
        <v/>
      </c>
      <c r="D915" s="16">
        <f>IF($A915="","",UPPER(TRIM(SUBSTITUTE(IFERROR(INDEX(tblVeriA[FaturaNo],ROW()-ROW(tblVeriA[[#Headers]])),"")," ",""))))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UPPER(TRIM(SUBSTITUTE($I915,"-","")))</f>
        <v/>
      </c>
      <c r="K915" s="16">
        <f>IF($J915="",0,LEN($J915))</f>
        <v/>
      </c>
      <c r="L915" s="16">
        <f>IF($I915="","",UPPER(TRIM(SUBSTITUTE(IFERROR(INDEX(tblVeriB[FaturaNo],ROW()-ROW(tblVeriB[[#Headers]])),"")," ",""))))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UPPER(TRIM(SUBSTITUTE($A916,"-","")))</f>
        <v/>
      </c>
      <c r="C916" s="16">
        <f>IF($B916="",0,LEN($B916))</f>
        <v/>
      </c>
      <c r="D916" s="16">
        <f>IF($A916="","",UPPER(TRIM(SUBSTITUTE(IFERROR(INDEX(tblVeriA[FaturaNo],ROW()-ROW(tblVeriA[[#Headers]])),"")," ",""))))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UPPER(TRIM(SUBSTITUTE($I916,"-","")))</f>
        <v/>
      </c>
      <c r="K916" s="16">
        <f>IF($J916="",0,LEN($J916))</f>
        <v/>
      </c>
      <c r="L916" s="16">
        <f>IF($I916="","",UPPER(TRIM(SUBSTITUTE(IFERROR(INDEX(tblVeriB[FaturaNo],ROW()-ROW(tblVeriB[[#Headers]])),"")," ",""))))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UPPER(TRIM(SUBSTITUTE($A917,"-","")))</f>
        <v/>
      </c>
      <c r="C917" s="16">
        <f>IF($B917="",0,LEN($B917))</f>
        <v/>
      </c>
      <c r="D917" s="16">
        <f>IF($A917="","",UPPER(TRIM(SUBSTITUTE(IFERROR(INDEX(tblVeriA[FaturaNo],ROW()-ROW(tblVeriA[[#Headers]])),"")," ",""))))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UPPER(TRIM(SUBSTITUTE($I917,"-","")))</f>
        <v/>
      </c>
      <c r="K917" s="16">
        <f>IF($J917="",0,LEN($J917))</f>
        <v/>
      </c>
      <c r="L917" s="16">
        <f>IF($I917="","",UPPER(TRIM(SUBSTITUTE(IFERROR(INDEX(tblVeriB[FaturaNo],ROW()-ROW(tblVeriB[[#Headers]])),"")," ",""))))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UPPER(TRIM(SUBSTITUTE($A918,"-","")))</f>
        <v/>
      </c>
      <c r="C918" s="16">
        <f>IF($B918="",0,LEN($B918))</f>
        <v/>
      </c>
      <c r="D918" s="16">
        <f>IF($A918="","",UPPER(TRIM(SUBSTITUTE(IFERROR(INDEX(tblVeriA[FaturaNo],ROW()-ROW(tblVeriA[[#Headers]])),"")," ",""))))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UPPER(TRIM(SUBSTITUTE($I918,"-","")))</f>
        <v/>
      </c>
      <c r="K918" s="16">
        <f>IF($J918="",0,LEN($J918))</f>
        <v/>
      </c>
      <c r="L918" s="16">
        <f>IF($I918="","",UPPER(TRIM(SUBSTITUTE(IFERROR(INDEX(tblVeriB[FaturaNo],ROW()-ROW(tblVeriB[[#Headers]])),"")," ",""))))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UPPER(TRIM(SUBSTITUTE($A919,"-","")))</f>
        <v/>
      </c>
      <c r="C919" s="16">
        <f>IF($B919="",0,LEN($B919))</f>
        <v/>
      </c>
      <c r="D919" s="16">
        <f>IF($A919="","",UPPER(TRIM(SUBSTITUTE(IFERROR(INDEX(tblVeriA[FaturaNo],ROW()-ROW(tblVeriA[[#Headers]])),"")," ",""))))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UPPER(TRIM(SUBSTITUTE($I919,"-","")))</f>
        <v/>
      </c>
      <c r="K919" s="16">
        <f>IF($J919="",0,LEN($J919))</f>
        <v/>
      </c>
      <c r="L919" s="16">
        <f>IF($I919="","",UPPER(TRIM(SUBSTITUTE(IFERROR(INDEX(tblVeriB[FaturaNo],ROW()-ROW(tblVeriB[[#Headers]])),"")," ",""))))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UPPER(TRIM(SUBSTITUTE($A920,"-","")))</f>
        <v/>
      </c>
      <c r="C920" s="16">
        <f>IF($B920="",0,LEN($B920))</f>
        <v/>
      </c>
      <c r="D920" s="16">
        <f>IF($A920="","",UPPER(TRIM(SUBSTITUTE(IFERROR(INDEX(tblVeriA[FaturaNo],ROW()-ROW(tblVeriA[[#Headers]])),"")," ",""))))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UPPER(TRIM(SUBSTITUTE($I920,"-","")))</f>
        <v/>
      </c>
      <c r="K920" s="16">
        <f>IF($J920="",0,LEN($J920))</f>
        <v/>
      </c>
      <c r="L920" s="16">
        <f>IF($I920="","",UPPER(TRIM(SUBSTITUTE(IFERROR(INDEX(tblVeriB[FaturaNo],ROW()-ROW(tblVeriB[[#Headers]])),"")," ",""))))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UPPER(TRIM(SUBSTITUTE($A921,"-","")))</f>
        <v/>
      </c>
      <c r="C921" s="16">
        <f>IF($B921="",0,LEN($B921))</f>
        <v/>
      </c>
      <c r="D921" s="16">
        <f>IF($A921="","",UPPER(TRIM(SUBSTITUTE(IFERROR(INDEX(tblVeriA[FaturaNo],ROW()-ROW(tblVeriA[[#Headers]])),"")," ",""))))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UPPER(TRIM(SUBSTITUTE($I921,"-","")))</f>
        <v/>
      </c>
      <c r="K921" s="16">
        <f>IF($J921="",0,LEN($J921))</f>
        <v/>
      </c>
      <c r="L921" s="16">
        <f>IF($I921="","",UPPER(TRIM(SUBSTITUTE(IFERROR(INDEX(tblVeriB[FaturaNo],ROW()-ROW(tblVeriB[[#Headers]])),"")," ",""))))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UPPER(TRIM(SUBSTITUTE($A922,"-","")))</f>
        <v/>
      </c>
      <c r="C922" s="16">
        <f>IF($B922="",0,LEN($B922))</f>
        <v/>
      </c>
      <c r="D922" s="16">
        <f>IF($A922="","",UPPER(TRIM(SUBSTITUTE(IFERROR(INDEX(tblVeriA[FaturaNo],ROW()-ROW(tblVeriA[[#Headers]])),"")," ",""))))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UPPER(TRIM(SUBSTITUTE($I922,"-","")))</f>
        <v/>
      </c>
      <c r="K922" s="16">
        <f>IF($J922="",0,LEN($J922))</f>
        <v/>
      </c>
      <c r="L922" s="16">
        <f>IF($I922="","",UPPER(TRIM(SUBSTITUTE(IFERROR(INDEX(tblVeriB[FaturaNo],ROW()-ROW(tblVeriB[[#Headers]])),"")," ",""))))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UPPER(TRIM(SUBSTITUTE($A923,"-","")))</f>
        <v/>
      </c>
      <c r="C923" s="16">
        <f>IF($B923="",0,LEN($B923))</f>
        <v/>
      </c>
      <c r="D923" s="16">
        <f>IF($A923="","",UPPER(TRIM(SUBSTITUTE(IFERROR(INDEX(tblVeriA[FaturaNo],ROW()-ROW(tblVeriA[[#Headers]])),"")," ",""))))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UPPER(TRIM(SUBSTITUTE($I923,"-","")))</f>
        <v/>
      </c>
      <c r="K923" s="16">
        <f>IF($J923="",0,LEN($J923))</f>
        <v/>
      </c>
      <c r="L923" s="16">
        <f>IF($I923="","",UPPER(TRIM(SUBSTITUTE(IFERROR(INDEX(tblVeriB[FaturaNo],ROW()-ROW(tblVeriB[[#Headers]])),"")," ",""))))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UPPER(TRIM(SUBSTITUTE($A924,"-","")))</f>
        <v/>
      </c>
      <c r="C924" s="16">
        <f>IF($B924="",0,LEN($B924))</f>
        <v/>
      </c>
      <c r="D924" s="16">
        <f>IF($A924="","",UPPER(TRIM(SUBSTITUTE(IFERROR(INDEX(tblVeriA[FaturaNo],ROW()-ROW(tblVeriA[[#Headers]])),"")," ",""))))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UPPER(TRIM(SUBSTITUTE($I924,"-","")))</f>
        <v/>
      </c>
      <c r="K924" s="16">
        <f>IF($J924="",0,LEN($J924))</f>
        <v/>
      </c>
      <c r="L924" s="16">
        <f>IF($I924="","",UPPER(TRIM(SUBSTITUTE(IFERROR(INDEX(tblVeriB[FaturaNo],ROW()-ROW(tblVeriB[[#Headers]])),"")," ",""))))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UPPER(TRIM(SUBSTITUTE($A925,"-","")))</f>
        <v/>
      </c>
      <c r="C925" s="16">
        <f>IF($B925="",0,LEN($B925))</f>
        <v/>
      </c>
      <c r="D925" s="16">
        <f>IF($A925="","",UPPER(TRIM(SUBSTITUTE(IFERROR(INDEX(tblVeriA[FaturaNo],ROW()-ROW(tblVeriA[[#Headers]])),"")," ",""))))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UPPER(TRIM(SUBSTITUTE($I925,"-","")))</f>
        <v/>
      </c>
      <c r="K925" s="16">
        <f>IF($J925="",0,LEN($J925))</f>
        <v/>
      </c>
      <c r="L925" s="16">
        <f>IF($I925="","",UPPER(TRIM(SUBSTITUTE(IFERROR(INDEX(tblVeriB[FaturaNo],ROW()-ROW(tblVeriB[[#Headers]])),"")," ",""))))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UPPER(TRIM(SUBSTITUTE($A926,"-","")))</f>
        <v/>
      </c>
      <c r="C926" s="16">
        <f>IF($B926="",0,LEN($B926))</f>
        <v/>
      </c>
      <c r="D926" s="16">
        <f>IF($A926="","",UPPER(TRIM(SUBSTITUTE(IFERROR(INDEX(tblVeriA[FaturaNo],ROW()-ROW(tblVeriA[[#Headers]])),"")," ",""))))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UPPER(TRIM(SUBSTITUTE($I926,"-","")))</f>
        <v/>
      </c>
      <c r="K926" s="16">
        <f>IF($J926="",0,LEN($J926))</f>
        <v/>
      </c>
      <c r="L926" s="16">
        <f>IF($I926="","",UPPER(TRIM(SUBSTITUTE(IFERROR(INDEX(tblVeriB[FaturaNo],ROW()-ROW(tblVeriB[[#Headers]])),"")," ",""))))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UPPER(TRIM(SUBSTITUTE($A927,"-","")))</f>
        <v/>
      </c>
      <c r="C927" s="16">
        <f>IF($B927="",0,LEN($B927))</f>
        <v/>
      </c>
      <c r="D927" s="16">
        <f>IF($A927="","",UPPER(TRIM(SUBSTITUTE(IFERROR(INDEX(tblVeriA[FaturaNo],ROW()-ROW(tblVeriA[[#Headers]])),"")," ",""))))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UPPER(TRIM(SUBSTITUTE($I927,"-","")))</f>
        <v/>
      </c>
      <c r="K927" s="16">
        <f>IF($J927="",0,LEN($J927))</f>
        <v/>
      </c>
      <c r="L927" s="16">
        <f>IF($I927="","",UPPER(TRIM(SUBSTITUTE(IFERROR(INDEX(tblVeriB[FaturaNo],ROW()-ROW(tblVeriB[[#Headers]])),"")," ",""))))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UPPER(TRIM(SUBSTITUTE($A928,"-","")))</f>
        <v/>
      </c>
      <c r="C928" s="16">
        <f>IF($B928="",0,LEN($B928))</f>
        <v/>
      </c>
      <c r="D928" s="16">
        <f>IF($A928="","",UPPER(TRIM(SUBSTITUTE(IFERROR(INDEX(tblVeriA[FaturaNo],ROW()-ROW(tblVeriA[[#Headers]])),"")," ",""))))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UPPER(TRIM(SUBSTITUTE($I928,"-","")))</f>
        <v/>
      </c>
      <c r="K928" s="16">
        <f>IF($J928="",0,LEN($J928))</f>
        <v/>
      </c>
      <c r="L928" s="16">
        <f>IF($I928="","",UPPER(TRIM(SUBSTITUTE(IFERROR(INDEX(tblVeriB[FaturaNo],ROW()-ROW(tblVeriB[[#Headers]])),"")," ",""))))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UPPER(TRIM(SUBSTITUTE($A929,"-","")))</f>
        <v/>
      </c>
      <c r="C929" s="16">
        <f>IF($B929="",0,LEN($B929))</f>
        <v/>
      </c>
      <c r="D929" s="16">
        <f>IF($A929="","",UPPER(TRIM(SUBSTITUTE(IFERROR(INDEX(tblVeriA[FaturaNo],ROW()-ROW(tblVeriA[[#Headers]])),"")," ",""))))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UPPER(TRIM(SUBSTITUTE($I929,"-","")))</f>
        <v/>
      </c>
      <c r="K929" s="16">
        <f>IF($J929="",0,LEN($J929))</f>
        <v/>
      </c>
      <c r="L929" s="16">
        <f>IF($I929="","",UPPER(TRIM(SUBSTITUTE(IFERROR(INDEX(tblVeriB[FaturaNo],ROW()-ROW(tblVeriB[[#Headers]])),"")," ",""))))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UPPER(TRIM(SUBSTITUTE($A930,"-","")))</f>
        <v/>
      </c>
      <c r="C930" s="16">
        <f>IF($B930="",0,LEN($B930))</f>
        <v/>
      </c>
      <c r="D930" s="16">
        <f>IF($A930="","",UPPER(TRIM(SUBSTITUTE(IFERROR(INDEX(tblVeriA[FaturaNo],ROW()-ROW(tblVeriA[[#Headers]])),"")," ",""))))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UPPER(TRIM(SUBSTITUTE($I930,"-","")))</f>
        <v/>
      </c>
      <c r="K930" s="16">
        <f>IF($J930="",0,LEN($J930))</f>
        <v/>
      </c>
      <c r="L930" s="16">
        <f>IF($I930="","",UPPER(TRIM(SUBSTITUTE(IFERROR(INDEX(tblVeriB[FaturaNo],ROW()-ROW(tblVeriB[[#Headers]])),"")," ",""))))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UPPER(TRIM(SUBSTITUTE($A931,"-","")))</f>
        <v/>
      </c>
      <c r="C931" s="16">
        <f>IF($B931="",0,LEN($B931))</f>
        <v/>
      </c>
      <c r="D931" s="16">
        <f>IF($A931="","",UPPER(TRIM(SUBSTITUTE(IFERROR(INDEX(tblVeriA[FaturaNo],ROW()-ROW(tblVeriA[[#Headers]])),"")," ",""))))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UPPER(TRIM(SUBSTITUTE($I931,"-","")))</f>
        <v/>
      </c>
      <c r="K931" s="16">
        <f>IF($J931="",0,LEN($J931))</f>
        <v/>
      </c>
      <c r="L931" s="16">
        <f>IF($I931="","",UPPER(TRIM(SUBSTITUTE(IFERROR(INDEX(tblVeriB[FaturaNo],ROW()-ROW(tblVeriB[[#Headers]])),"")," ",""))))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UPPER(TRIM(SUBSTITUTE($A932,"-","")))</f>
        <v/>
      </c>
      <c r="C932" s="16">
        <f>IF($B932="",0,LEN($B932))</f>
        <v/>
      </c>
      <c r="D932" s="16">
        <f>IF($A932="","",UPPER(TRIM(SUBSTITUTE(IFERROR(INDEX(tblVeriA[FaturaNo],ROW()-ROW(tblVeriA[[#Headers]])),"")," ",""))))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UPPER(TRIM(SUBSTITUTE($I932,"-","")))</f>
        <v/>
      </c>
      <c r="K932" s="16">
        <f>IF($J932="",0,LEN($J932))</f>
        <v/>
      </c>
      <c r="L932" s="16">
        <f>IF($I932="","",UPPER(TRIM(SUBSTITUTE(IFERROR(INDEX(tblVeriB[FaturaNo],ROW()-ROW(tblVeriB[[#Headers]])),"")," ",""))))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UPPER(TRIM(SUBSTITUTE($A933,"-","")))</f>
        <v/>
      </c>
      <c r="C933" s="16">
        <f>IF($B933="",0,LEN($B933))</f>
        <v/>
      </c>
      <c r="D933" s="16">
        <f>IF($A933="","",UPPER(TRIM(SUBSTITUTE(IFERROR(INDEX(tblVeriA[FaturaNo],ROW()-ROW(tblVeriA[[#Headers]])),"")," ",""))))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UPPER(TRIM(SUBSTITUTE($I933,"-","")))</f>
        <v/>
      </c>
      <c r="K933" s="16">
        <f>IF($J933="",0,LEN($J933))</f>
        <v/>
      </c>
      <c r="L933" s="16">
        <f>IF($I933="","",UPPER(TRIM(SUBSTITUTE(IFERROR(INDEX(tblVeriB[FaturaNo],ROW()-ROW(tblVeriB[[#Headers]])),"")," ",""))))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UPPER(TRIM(SUBSTITUTE($A934,"-","")))</f>
        <v/>
      </c>
      <c r="C934" s="16">
        <f>IF($B934="",0,LEN($B934))</f>
        <v/>
      </c>
      <c r="D934" s="16">
        <f>IF($A934="","",UPPER(TRIM(SUBSTITUTE(IFERROR(INDEX(tblVeriA[FaturaNo],ROW()-ROW(tblVeriA[[#Headers]])),"")," ",""))))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UPPER(TRIM(SUBSTITUTE($I934,"-","")))</f>
        <v/>
      </c>
      <c r="K934" s="16">
        <f>IF($J934="",0,LEN($J934))</f>
        <v/>
      </c>
      <c r="L934" s="16">
        <f>IF($I934="","",UPPER(TRIM(SUBSTITUTE(IFERROR(INDEX(tblVeriB[FaturaNo],ROW()-ROW(tblVeriB[[#Headers]])),"")," ",""))))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UPPER(TRIM(SUBSTITUTE($A935,"-","")))</f>
        <v/>
      </c>
      <c r="C935" s="16">
        <f>IF($B935="",0,LEN($B935))</f>
        <v/>
      </c>
      <c r="D935" s="16">
        <f>IF($A935="","",UPPER(TRIM(SUBSTITUTE(IFERROR(INDEX(tblVeriA[FaturaNo],ROW()-ROW(tblVeriA[[#Headers]])),"")," ",""))))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UPPER(TRIM(SUBSTITUTE($I935,"-","")))</f>
        <v/>
      </c>
      <c r="K935" s="16">
        <f>IF($J935="",0,LEN($J935))</f>
        <v/>
      </c>
      <c r="L935" s="16">
        <f>IF($I935="","",UPPER(TRIM(SUBSTITUTE(IFERROR(INDEX(tblVeriB[FaturaNo],ROW()-ROW(tblVeriB[[#Headers]])),"")," ",""))))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UPPER(TRIM(SUBSTITUTE($A936,"-","")))</f>
        <v/>
      </c>
      <c r="C936" s="16">
        <f>IF($B936="",0,LEN($B936))</f>
        <v/>
      </c>
      <c r="D936" s="16">
        <f>IF($A936="","",UPPER(TRIM(SUBSTITUTE(IFERROR(INDEX(tblVeriA[FaturaNo],ROW()-ROW(tblVeriA[[#Headers]])),"")," ",""))))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UPPER(TRIM(SUBSTITUTE($I936,"-","")))</f>
        <v/>
      </c>
      <c r="K936" s="16">
        <f>IF($J936="",0,LEN($J936))</f>
        <v/>
      </c>
      <c r="L936" s="16">
        <f>IF($I936="","",UPPER(TRIM(SUBSTITUTE(IFERROR(INDEX(tblVeriB[FaturaNo],ROW()-ROW(tblVeriB[[#Headers]])),"")," ",""))))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UPPER(TRIM(SUBSTITUTE($A937,"-","")))</f>
        <v/>
      </c>
      <c r="C937" s="16">
        <f>IF($B937="",0,LEN($B937))</f>
        <v/>
      </c>
      <c r="D937" s="16">
        <f>IF($A937="","",UPPER(TRIM(SUBSTITUTE(IFERROR(INDEX(tblVeriA[FaturaNo],ROW()-ROW(tblVeriA[[#Headers]])),"")," ",""))))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UPPER(TRIM(SUBSTITUTE($I937,"-","")))</f>
        <v/>
      </c>
      <c r="K937" s="16">
        <f>IF($J937="",0,LEN($J937))</f>
        <v/>
      </c>
      <c r="L937" s="16">
        <f>IF($I937="","",UPPER(TRIM(SUBSTITUTE(IFERROR(INDEX(tblVeriB[FaturaNo],ROW()-ROW(tblVeriB[[#Headers]])),"")," ",""))))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UPPER(TRIM(SUBSTITUTE($A938,"-","")))</f>
        <v/>
      </c>
      <c r="C938" s="16">
        <f>IF($B938="",0,LEN($B938))</f>
        <v/>
      </c>
      <c r="D938" s="16">
        <f>IF($A938="","",UPPER(TRIM(SUBSTITUTE(IFERROR(INDEX(tblVeriA[FaturaNo],ROW()-ROW(tblVeriA[[#Headers]])),"")," ",""))))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UPPER(TRIM(SUBSTITUTE($I938,"-","")))</f>
        <v/>
      </c>
      <c r="K938" s="16">
        <f>IF($J938="",0,LEN($J938))</f>
        <v/>
      </c>
      <c r="L938" s="16">
        <f>IF($I938="","",UPPER(TRIM(SUBSTITUTE(IFERROR(INDEX(tblVeriB[FaturaNo],ROW()-ROW(tblVeriB[[#Headers]])),"")," ",""))))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UPPER(TRIM(SUBSTITUTE($A939,"-","")))</f>
        <v/>
      </c>
      <c r="C939" s="16">
        <f>IF($B939="",0,LEN($B939))</f>
        <v/>
      </c>
      <c r="D939" s="16">
        <f>IF($A939="","",UPPER(TRIM(SUBSTITUTE(IFERROR(INDEX(tblVeriA[FaturaNo],ROW()-ROW(tblVeriA[[#Headers]])),"")," ",""))))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UPPER(TRIM(SUBSTITUTE($I939,"-","")))</f>
        <v/>
      </c>
      <c r="K939" s="16">
        <f>IF($J939="",0,LEN($J939))</f>
        <v/>
      </c>
      <c r="L939" s="16">
        <f>IF($I939="","",UPPER(TRIM(SUBSTITUTE(IFERROR(INDEX(tblVeriB[FaturaNo],ROW()-ROW(tblVeriB[[#Headers]])),"")," ",""))))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UPPER(TRIM(SUBSTITUTE($A940,"-","")))</f>
        <v/>
      </c>
      <c r="C940" s="16">
        <f>IF($B940="",0,LEN($B940))</f>
        <v/>
      </c>
      <c r="D940" s="16">
        <f>IF($A940="","",UPPER(TRIM(SUBSTITUTE(IFERROR(INDEX(tblVeriA[FaturaNo],ROW()-ROW(tblVeriA[[#Headers]])),"")," ",""))))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UPPER(TRIM(SUBSTITUTE($I940,"-","")))</f>
        <v/>
      </c>
      <c r="K940" s="16">
        <f>IF($J940="",0,LEN($J940))</f>
        <v/>
      </c>
      <c r="L940" s="16">
        <f>IF($I940="","",UPPER(TRIM(SUBSTITUTE(IFERROR(INDEX(tblVeriB[FaturaNo],ROW()-ROW(tblVeriB[[#Headers]])),"")," ",""))))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UPPER(TRIM(SUBSTITUTE($A941,"-","")))</f>
        <v/>
      </c>
      <c r="C941" s="16">
        <f>IF($B941="",0,LEN($B941))</f>
        <v/>
      </c>
      <c r="D941" s="16">
        <f>IF($A941="","",UPPER(TRIM(SUBSTITUTE(IFERROR(INDEX(tblVeriA[FaturaNo],ROW()-ROW(tblVeriA[[#Headers]])),"")," ",""))))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UPPER(TRIM(SUBSTITUTE($I941,"-","")))</f>
        <v/>
      </c>
      <c r="K941" s="16">
        <f>IF($J941="",0,LEN($J941))</f>
        <v/>
      </c>
      <c r="L941" s="16">
        <f>IF($I941="","",UPPER(TRIM(SUBSTITUTE(IFERROR(INDEX(tblVeriB[FaturaNo],ROW()-ROW(tblVeriB[[#Headers]])),"")," ",""))))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UPPER(TRIM(SUBSTITUTE($A942,"-","")))</f>
        <v/>
      </c>
      <c r="C942" s="16">
        <f>IF($B942="",0,LEN($B942))</f>
        <v/>
      </c>
      <c r="D942" s="16">
        <f>IF($A942="","",UPPER(TRIM(SUBSTITUTE(IFERROR(INDEX(tblVeriA[FaturaNo],ROW()-ROW(tblVeriA[[#Headers]])),"")," ",""))))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UPPER(TRIM(SUBSTITUTE($I942,"-","")))</f>
        <v/>
      </c>
      <c r="K942" s="16">
        <f>IF($J942="",0,LEN($J942))</f>
        <v/>
      </c>
      <c r="L942" s="16">
        <f>IF($I942="","",UPPER(TRIM(SUBSTITUTE(IFERROR(INDEX(tblVeriB[FaturaNo],ROW()-ROW(tblVeriB[[#Headers]])),"")," ",""))))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UPPER(TRIM(SUBSTITUTE($A943,"-","")))</f>
        <v/>
      </c>
      <c r="C943" s="16">
        <f>IF($B943="",0,LEN($B943))</f>
        <v/>
      </c>
      <c r="D943" s="16">
        <f>IF($A943="","",UPPER(TRIM(SUBSTITUTE(IFERROR(INDEX(tblVeriA[FaturaNo],ROW()-ROW(tblVeriA[[#Headers]])),"")," ",""))))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UPPER(TRIM(SUBSTITUTE($I943,"-","")))</f>
        <v/>
      </c>
      <c r="K943" s="16">
        <f>IF($J943="",0,LEN($J943))</f>
        <v/>
      </c>
      <c r="L943" s="16">
        <f>IF($I943="","",UPPER(TRIM(SUBSTITUTE(IFERROR(INDEX(tblVeriB[FaturaNo],ROW()-ROW(tblVeriB[[#Headers]])),"")," ",""))))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UPPER(TRIM(SUBSTITUTE($A944,"-","")))</f>
        <v/>
      </c>
      <c r="C944" s="16">
        <f>IF($B944="",0,LEN($B944))</f>
        <v/>
      </c>
      <c r="D944" s="16">
        <f>IF($A944="","",UPPER(TRIM(SUBSTITUTE(IFERROR(INDEX(tblVeriA[FaturaNo],ROW()-ROW(tblVeriA[[#Headers]])),"")," ",""))))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UPPER(TRIM(SUBSTITUTE($I944,"-","")))</f>
        <v/>
      </c>
      <c r="K944" s="16">
        <f>IF($J944="",0,LEN($J944))</f>
        <v/>
      </c>
      <c r="L944" s="16">
        <f>IF($I944="","",UPPER(TRIM(SUBSTITUTE(IFERROR(INDEX(tblVeriB[FaturaNo],ROW()-ROW(tblVeriB[[#Headers]])),"")," ",""))))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UPPER(TRIM(SUBSTITUTE($A945,"-","")))</f>
        <v/>
      </c>
      <c r="C945" s="16">
        <f>IF($B945="",0,LEN($B945))</f>
        <v/>
      </c>
      <c r="D945" s="16">
        <f>IF($A945="","",UPPER(TRIM(SUBSTITUTE(IFERROR(INDEX(tblVeriA[FaturaNo],ROW()-ROW(tblVeriA[[#Headers]])),"")," ",""))))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UPPER(TRIM(SUBSTITUTE($I945,"-","")))</f>
        <v/>
      </c>
      <c r="K945" s="16">
        <f>IF($J945="",0,LEN($J945))</f>
        <v/>
      </c>
      <c r="L945" s="16">
        <f>IF($I945="","",UPPER(TRIM(SUBSTITUTE(IFERROR(INDEX(tblVeriB[FaturaNo],ROW()-ROW(tblVeriB[[#Headers]])),"")," ",""))))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UPPER(TRIM(SUBSTITUTE($A946,"-","")))</f>
        <v/>
      </c>
      <c r="C946" s="16">
        <f>IF($B946="",0,LEN($B946))</f>
        <v/>
      </c>
      <c r="D946" s="16">
        <f>IF($A946="","",UPPER(TRIM(SUBSTITUTE(IFERROR(INDEX(tblVeriA[FaturaNo],ROW()-ROW(tblVeriA[[#Headers]])),"")," ",""))))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UPPER(TRIM(SUBSTITUTE($I946,"-","")))</f>
        <v/>
      </c>
      <c r="K946" s="16">
        <f>IF($J946="",0,LEN($J946))</f>
        <v/>
      </c>
      <c r="L946" s="16">
        <f>IF($I946="","",UPPER(TRIM(SUBSTITUTE(IFERROR(INDEX(tblVeriB[FaturaNo],ROW()-ROW(tblVeriB[[#Headers]])),"")," ",""))))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UPPER(TRIM(SUBSTITUTE($A947,"-","")))</f>
        <v/>
      </c>
      <c r="C947" s="16">
        <f>IF($B947="",0,LEN($B947))</f>
        <v/>
      </c>
      <c r="D947" s="16">
        <f>IF($A947="","",UPPER(TRIM(SUBSTITUTE(IFERROR(INDEX(tblVeriA[FaturaNo],ROW()-ROW(tblVeriA[[#Headers]])),"")," ",""))))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UPPER(TRIM(SUBSTITUTE($I947,"-","")))</f>
        <v/>
      </c>
      <c r="K947" s="16">
        <f>IF($J947="",0,LEN($J947))</f>
        <v/>
      </c>
      <c r="L947" s="16">
        <f>IF($I947="","",UPPER(TRIM(SUBSTITUTE(IFERROR(INDEX(tblVeriB[FaturaNo],ROW()-ROW(tblVeriB[[#Headers]])),"")," ",""))))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UPPER(TRIM(SUBSTITUTE($A948,"-","")))</f>
        <v/>
      </c>
      <c r="C948" s="16">
        <f>IF($B948="",0,LEN($B948))</f>
        <v/>
      </c>
      <c r="D948" s="16">
        <f>IF($A948="","",UPPER(TRIM(SUBSTITUTE(IFERROR(INDEX(tblVeriA[FaturaNo],ROW()-ROW(tblVeriA[[#Headers]])),"")," ",""))))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UPPER(TRIM(SUBSTITUTE($I948,"-","")))</f>
        <v/>
      </c>
      <c r="K948" s="16">
        <f>IF($J948="",0,LEN($J948))</f>
        <v/>
      </c>
      <c r="L948" s="16">
        <f>IF($I948="","",UPPER(TRIM(SUBSTITUTE(IFERROR(INDEX(tblVeriB[FaturaNo],ROW()-ROW(tblVeriB[[#Headers]])),"")," ",""))))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UPPER(TRIM(SUBSTITUTE($A949,"-","")))</f>
        <v/>
      </c>
      <c r="C949" s="16">
        <f>IF($B949="",0,LEN($B949))</f>
        <v/>
      </c>
      <c r="D949" s="16">
        <f>IF($A949="","",UPPER(TRIM(SUBSTITUTE(IFERROR(INDEX(tblVeriA[FaturaNo],ROW()-ROW(tblVeriA[[#Headers]])),"")," ",""))))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UPPER(TRIM(SUBSTITUTE($I949,"-","")))</f>
        <v/>
      </c>
      <c r="K949" s="16">
        <f>IF($J949="",0,LEN($J949))</f>
        <v/>
      </c>
      <c r="L949" s="16">
        <f>IF($I949="","",UPPER(TRIM(SUBSTITUTE(IFERROR(INDEX(tblVeriB[FaturaNo],ROW()-ROW(tblVeriB[[#Headers]])),"")," ",""))))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UPPER(TRIM(SUBSTITUTE($A950,"-","")))</f>
        <v/>
      </c>
      <c r="C950" s="16">
        <f>IF($B950="",0,LEN($B950))</f>
        <v/>
      </c>
      <c r="D950" s="16">
        <f>IF($A950="","",UPPER(TRIM(SUBSTITUTE(IFERROR(INDEX(tblVeriA[FaturaNo],ROW()-ROW(tblVeriA[[#Headers]])),"")," ",""))))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UPPER(TRIM(SUBSTITUTE($I950,"-","")))</f>
        <v/>
      </c>
      <c r="K950" s="16">
        <f>IF($J950="",0,LEN($J950))</f>
        <v/>
      </c>
      <c r="L950" s="16">
        <f>IF($I950="","",UPPER(TRIM(SUBSTITUTE(IFERROR(INDEX(tblVeriB[FaturaNo],ROW()-ROW(tblVeriB[[#Headers]])),"")," ",""))))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UPPER(TRIM(SUBSTITUTE($A951,"-","")))</f>
        <v/>
      </c>
      <c r="C951" s="16">
        <f>IF($B951="",0,LEN($B951))</f>
        <v/>
      </c>
      <c r="D951" s="16">
        <f>IF($A951="","",UPPER(TRIM(SUBSTITUTE(IFERROR(INDEX(tblVeriA[FaturaNo],ROW()-ROW(tblVeriA[[#Headers]])),"")," ",""))))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UPPER(TRIM(SUBSTITUTE($I951,"-","")))</f>
        <v/>
      </c>
      <c r="K951" s="16">
        <f>IF($J951="",0,LEN($J951))</f>
        <v/>
      </c>
      <c r="L951" s="16">
        <f>IF($I951="","",UPPER(TRIM(SUBSTITUTE(IFERROR(INDEX(tblVeriB[FaturaNo],ROW()-ROW(tblVeriB[[#Headers]])),"")," ",""))))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UPPER(TRIM(SUBSTITUTE($A952,"-","")))</f>
        <v/>
      </c>
      <c r="C952" s="16">
        <f>IF($B952="",0,LEN($B952))</f>
        <v/>
      </c>
      <c r="D952" s="16">
        <f>IF($A952="","",UPPER(TRIM(SUBSTITUTE(IFERROR(INDEX(tblVeriA[FaturaNo],ROW()-ROW(tblVeriA[[#Headers]])),"")," ",""))))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UPPER(TRIM(SUBSTITUTE($I952,"-","")))</f>
        <v/>
      </c>
      <c r="K952" s="16">
        <f>IF($J952="",0,LEN($J952))</f>
        <v/>
      </c>
      <c r="L952" s="16">
        <f>IF($I952="","",UPPER(TRIM(SUBSTITUTE(IFERROR(INDEX(tblVeriB[FaturaNo],ROW()-ROW(tblVeriB[[#Headers]])),"")," ",""))))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UPPER(TRIM(SUBSTITUTE($A953,"-","")))</f>
        <v/>
      </c>
      <c r="C953" s="16">
        <f>IF($B953="",0,LEN($B953))</f>
        <v/>
      </c>
      <c r="D953" s="16">
        <f>IF($A953="","",UPPER(TRIM(SUBSTITUTE(IFERROR(INDEX(tblVeriA[FaturaNo],ROW()-ROW(tblVeriA[[#Headers]])),"")," ",""))))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UPPER(TRIM(SUBSTITUTE($I953,"-","")))</f>
        <v/>
      </c>
      <c r="K953" s="16">
        <f>IF($J953="",0,LEN($J953))</f>
        <v/>
      </c>
      <c r="L953" s="16">
        <f>IF($I953="","",UPPER(TRIM(SUBSTITUTE(IFERROR(INDEX(tblVeriB[FaturaNo],ROW()-ROW(tblVeriB[[#Headers]])),"")," ",""))))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UPPER(TRIM(SUBSTITUTE($A954,"-","")))</f>
        <v/>
      </c>
      <c r="C954" s="16">
        <f>IF($B954="",0,LEN($B954))</f>
        <v/>
      </c>
      <c r="D954" s="16">
        <f>IF($A954="","",UPPER(TRIM(SUBSTITUTE(IFERROR(INDEX(tblVeriA[FaturaNo],ROW()-ROW(tblVeriA[[#Headers]])),"")," ",""))))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UPPER(TRIM(SUBSTITUTE($I954,"-","")))</f>
        <v/>
      </c>
      <c r="K954" s="16">
        <f>IF($J954="",0,LEN($J954))</f>
        <v/>
      </c>
      <c r="L954" s="16">
        <f>IF($I954="","",UPPER(TRIM(SUBSTITUTE(IFERROR(INDEX(tblVeriB[FaturaNo],ROW()-ROW(tblVeriB[[#Headers]])),"")," ",""))))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UPPER(TRIM(SUBSTITUTE($A955,"-","")))</f>
        <v/>
      </c>
      <c r="C955" s="16">
        <f>IF($B955="",0,LEN($B955))</f>
        <v/>
      </c>
      <c r="D955" s="16">
        <f>IF($A955="","",UPPER(TRIM(SUBSTITUTE(IFERROR(INDEX(tblVeriA[FaturaNo],ROW()-ROW(tblVeriA[[#Headers]])),"")," ",""))))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UPPER(TRIM(SUBSTITUTE($I955,"-","")))</f>
        <v/>
      </c>
      <c r="K955" s="16">
        <f>IF($J955="",0,LEN($J955))</f>
        <v/>
      </c>
      <c r="L955" s="16">
        <f>IF($I955="","",UPPER(TRIM(SUBSTITUTE(IFERROR(INDEX(tblVeriB[FaturaNo],ROW()-ROW(tblVeriB[[#Headers]])),"")," ",""))))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UPPER(TRIM(SUBSTITUTE($A956,"-","")))</f>
        <v/>
      </c>
      <c r="C956" s="16">
        <f>IF($B956="",0,LEN($B956))</f>
        <v/>
      </c>
      <c r="D956" s="16">
        <f>IF($A956="","",UPPER(TRIM(SUBSTITUTE(IFERROR(INDEX(tblVeriA[FaturaNo],ROW()-ROW(tblVeriA[[#Headers]])),"")," ",""))))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UPPER(TRIM(SUBSTITUTE($I956,"-","")))</f>
        <v/>
      </c>
      <c r="K956" s="16">
        <f>IF($J956="",0,LEN($J956))</f>
        <v/>
      </c>
      <c r="L956" s="16">
        <f>IF($I956="","",UPPER(TRIM(SUBSTITUTE(IFERROR(INDEX(tblVeriB[FaturaNo],ROW()-ROW(tblVeriB[[#Headers]])),"")," ",""))))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UPPER(TRIM(SUBSTITUTE($A957,"-","")))</f>
        <v/>
      </c>
      <c r="C957" s="16">
        <f>IF($B957="",0,LEN($B957))</f>
        <v/>
      </c>
      <c r="D957" s="16">
        <f>IF($A957="","",UPPER(TRIM(SUBSTITUTE(IFERROR(INDEX(tblVeriA[FaturaNo],ROW()-ROW(tblVeriA[[#Headers]])),"")," ",""))))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UPPER(TRIM(SUBSTITUTE($I957,"-","")))</f>
        <v/>
      </c>
      <c r="K957" s="16">
        <f>IF($J957="",0,LEN($J957))</f>
        <v/>
      </c>
      <c r="L957" s="16">
        <f>IF($I957="","",UPPER(TRIM(SUBSTITUTE(IFERROR(INDEX(tblVeriB[FaturaNo],ROW()-ROW(tblVeriB[[#Headers]])),"")," ",""))))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UPPER(TRIM(SUBSTITUTE($A958,"-","")))</f>
        <v/>
      </c>
      <c r="C958" s="16">
        <f>IF($B958="",0,LEN($B958))</f>
        <v/>
      </c>
      <c r="D958" s="16">
        <f>IF($A958="","",UPPER(TRIM(SUBSTITUTE(IFERROR(INDEX(tblVeriA[FaturaNo],ROW()-ROW(tblVeriA[[#Headers]])),"")," ",""))))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UPPER(TRIM(SUBSTITUTE($I958,"-","")))</f>
        <v/>
      </c>
      <c r="K958" s="16">
        <f>IF($J958="",0,LEN($J958))</f>
        <v/>
      </c>
      <c r="L958" s="16">
        <f>IF($I958="","",UPPER(TRIM(SUBSTITUTE(IFERROR(INDEX(tblVeriB[FaturaNo],ROW()-ROW(tblVeriB[[#Headers]])),"")," ",""))))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UPPER(TRIM(SUBSTITUTE($A959,"-","")))</f>
        <v/>
      </c>
      <c r="C959" s="16">
        <f>IF($B959="",0,LEN($B959))</f>
        <v/>
      </c>
      <c r="D959" s="16">
        <f>IF($A959="","",UPPER(TRIM(SUBSTITUTE(IFERROR(INDEX(tblVeriA[FaturaNo],ROW()-ROW(tblVeriA[[#Headers]])),"")," ",""))))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UPPER(TRIM(SUBSTITUTE($I959,"-","")))</f>
        <v/>
      </c>
      <c r="K959" s="16">
        <f>IF($J959="",0,LEN($J959))</f>
        <v/>
      </c>
      <c r="L959" s="16">
        <f>IF($I959="","",UPPER(TRIM(SUBSTITUTE(IFERROR(INDEX(tblVeriB[FaturaNo],ROW()-ROW(tblVeriB[[#Headers]])),"")," ",""))))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UPPER(TRIM(SUBSTITUTE($A960,"-","")))</f>
        <v/>
      </c>
      <c r="C960" s="16">
        <f>IF($B960="",0,LEN($B960))</f>
        <v/>
      </c>
      <c r="D960" s="16">
        <f>IF($A960="","",UPPER(TRIM(SUBSTITUTE(IFERROR(INDEX(tblVeriA[FaturaNo],ROW()-ROW(tblVeriA[[#Headers]])),"")," ",""))))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UPPER(TRIM(SUBSTITUTE($I960,"-","")))</f>
        <v/>
      </c>
      <c r="K960" s="16">
        <f>IF($J960="",0,LEN($J960))</f>
        <v/>
      </c>
      <c r="L960" s="16">
        <f>IF($I960="","",UPPER(TRIM(SUBSTITUTE(IFERROR(INDEX(tblVeriB[FaturaNo],ROW()-ROW(tblVeriB[[#Headers]])),"")," ",""))))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UPPER(TRIM(SUBSTITUTE($A961,"-","")))</f>
        <v/>
      </c>
      <c r="C961" s="16">
        <f>IF($B961="",0,LEN($B961))</f>
        <v/>
      </c>
      <c r="D961" s="16">
        <f>IF($A961="","",UPPER(TRIM(SUBSTITUTE(IFERROR(INDEX(tblVeriA[FaturaNo],ROW()-ROW(tblVeriA[[#Headers]])),"")," ",""))))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UPPER(TRIM(SUBSTITUTE($I961,"-","")))</f>
        <v/>
      </c>
      <c r="K961" s="16">
        <f>IF($J961="",0,LEN($J961))</f>
        <v/>
      </c>
      <c r="L961" s="16">
        <f>IF($I961="","",UPPER(TRIM(SUBSTITUTE(IFERROR(INDEX(tblVeriB[FaturaNo],ROW()-ROW(tblVeriB[[#Headers]])),"")," ",""))))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UPPER(TRIM(SUBSTITUTE($A962,"-","")))</f>
        <v/>
      </c>
      <c r="C962" s="16">
        <f>IF($B962="",0,LEN($B962))</f>
        <v/>
      </c>
      <c r="D962" s="16">
        <f>IF($A962="","",UPPER(TRIM(SUBSTITUTE(IFERROR(INDEX(tblVeriA[FaturaNo],ROW()-ROW(tblVeriA[[#Headers]])),"")," ",""))))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UPPER(TRIM(SUBSTITUTE($I962,"-","")))</f>
        <v/>
      </c>
      <c r="K962" s="16">
        <f>IF($J962="",0,LEN($J962))</f>
        <v/>
      </c>
      <c r="L962" s="16">
        <f>IF($I962="","",UPPER(TRIM(SUBSTITUTE(IFERROR(INDEX(tblVeriB[FaturaNo],ROW()-ROW(tblVeriB[[#Headers]])),"")," ",""))))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UPPER(TRIM(SUBSTITUTE($A963,"-","")))</f>
        <v/>
      </c>
      <c r="C963" s="16">
        <f>IF($B963="",0,LEN($B963))</f>
        <v/>
      </c>
      <c r="D963" s="16">
        <f>IF($A963="","",UPPER(TRIM(SUBSTITUTE(IFERROR(INDEX(tblVeriA[FaturaNo],ROW()-ROW(tblVeriA[[#Headers]])),"")," ",""))))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UPPER(TRIM(SUBSTITUTE($I963,"-","")))</f>
        <v/>
      </c>
      <c r="K963" s="16">
        <f>IF($J963="",0,LEN($J963))</f>
        <v/>
      </c>
      <c r="L963" s="16">
        <f>IF($I963="","",UPPER(TRIM(SUBSTITUTE(IFERROR(INDEX(tblVeriB[FaturaNo],ROW()-ROW(tblVeriB[[#Headers]])),"")," ",""))))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UPPER(TRIM(SUBSTITUTE($A964,"-","")))</f>
        <v/>
      </c>
      <c r="C964" s="16">
        <f>IF($B964="",0,LEN($B964))</f>
        <v/>
      </c>
      <c r="D964" s="16">
        <f>IF($A964="","",UPPER(TRIM(SUBSTITUTE(IFERROR(INDEX(tblVeriA[FaturaNo],ROW()-ROW(tblVeriA[[#Headers]])),"")," ",""))))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UPPER(TRIM(SUBSTITUTE($I964,"-","")))</f>
        <v/>
      </c>
      <c r="K964" s="16">
        <f>IF($J964="",0,LEN($J964))</f>
        <v/>
      </c>
      <c r="L964" s="16">
        <f>IF($I964="","",UPPER(TRIM(SUBSTITUTE(IFERROR(INDEX(tblVeriB[FaturaNo],ROW()-ROW(tblVeriB[[#Headers]])),"")," ",""))))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UPPER(TRIM(SUBSTITUTE($A965,"-","")))</f>
        <v/>
      </c>
      <c r="C965" s="16">
        <f>IF($B965="",0,LEN($B965))</f>
        <v/>
      </c>
      <c r="D965" s="16">
        <f>IF($A965="","",UPPER(TRIM(SUBSTITUTE(IFERROR(INDEX(tblVeriA[FaturaNo],ROW()-ROW(tblVeriA[[#Headers]])),"")," ",""))))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UPPER(TRIM(SUBSTITUTE($I965,"-","")))</f>
        <v/>
      </c>
      <c r="K965" s="16">
        <f>IF($J965="",0,LEN($J965))</f>
        <v/>
      </c>
      <c r="L965" s="16">
        <f>IF($I965="","",UPPER(TRIM(SUBSTITUTE(IFERROR(INDEX(tblVeriB[FaturaNo],ROW()-ROW(tblVeriB[[#Headers]])),"")," ",""))))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UPPER(TRIM(SUBSTITUTE($A966,"-","")))</f>
        <v/>
      </c>
      <c r="C966" s="16">
        <f>IF($B966="",0,LEN($B966))</f>
        <v/>
      </c>
      <c r="D966" s="16">
        <f>IF($A966="","",UPPER(TRIM(SUBSTITUTE(IFERROR(INDEX(tblVeriA[FaturaNo],ROW()-ROW(tblVeriA[[#Headers]])),"")," ",""))))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UPPER(TRIM(SUBSTITUTE($I966,"-","")))</f>
        <v/>
      </c>
      <c r="K966" s="16">
        <f>IF($J966="",0,LEN($J966))</f>
        <v/>
      </c>
      <c r="L966" s="16">
        <f>IF($I966="","",UPPER(TRIM(SUBSTITUTE(IFERROR(INDEX(tblVeriB[FaturaNo],ROW()-ROW(tblVeriB[[#Headers]])),"")," ",""))))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UPPER(TRIM(SUBSTITUTE($A967,"-","")))</f>
        <v/>
      </c>
      <c r="C967" s="16">
        <f>IF($B967="",0,LEN($B967))</f>
        <v/>
      </c>
      <c r="D967" s="16">
        <f>IF($A967="","",UPPER(TRIM(SUBSTITUTE(IFERROR(INDEX(tblVeriA[FaturaNo],ROW()-ROW(tblVeriA[[#Headers]])),"")," ",""))))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UPPER(TRIM(SUBSTITUTE($I967,"-","")))</f>
        <v/>
      </c>
      <c r="K967" s="16">
        <f>IF($J967="",0,LEN($J967))</f>
        <v/>
      </c>
      <c r="L967" s="16">
        <f>IF($I967="","",UPPER(TRIM(SUBSTITUTE(IFERROR(INDEX(tblVeriB[FaturaNo],ROW()-ROW(tblVeriB[[#Headers]])),"")," ",""))))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UPPER(TRIM(SUBSTITUTE($A968,"-","")))</f>
        <v/>
      </c>
      <c r="C968" s="16">
        <f>IF($B968="",0,LEN($B968))</f>
        <v/>
      </c>
      <c r="D968" s="16">
        <f>IF($A968="","",UPPER(TRIM(SUBSTITUTE(IFERROR(INDEX(tblVeriA[FaturaNo],ROW()-ROW(tblVeriA[[#Headers]])),"")," ",""))))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UPPER(TRIM(SUBSTITUTE($I968,"-","")))</f>
        <v/>
      </c>
      <c r="K968" s="16">
        <f>IF($J968="",0,LEN($J968))</f>
        <v/>
      </c>
      <c r="L968" s="16">
        <f>IF($I968="","",UPPER(TRIM(SUBSTITUTE(IFERROR(INDEX(tblVeriB[FaturaNo],ROW()-ROW(tblVeriB[[#Headers]])),"")," ",""))))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UPPER(TRIM(SUBSTITUTE($A969,"-","")))</f>
        <v/>
      </c>
      <c r="C969" s="16">
        <f>IF($B969="",0,LEN($B969))</f>
        <v/>
      </c>
      <c r="D969" s="16">
        <f>IF($A969="","",UPPER(TRIM(SUBSTITUTE(IFERROR(INDEX(tblVeriA[FaturaNo],ROW()-ROW(tblVeriA[[#Headers]])),"")," ",""))))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UPPER(TRIM(SUBSTITUTE($I969,"-","")))</f>
        <v/>
      </c>
      <c r="K969" s="16">
        <f>IF($J969="",0,LEN($J969))</f>
        <v/>
      </c>
      <c r="L969" s="16">
        <f>IF($I969="","",UPPER(TRIM(SUBSTITUTE(IFERROR(INDEX(tblVeriB[FaturaNo],ROW()-ROW(tblVeriB[[#Headers]])),"")," ",""))))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UPPER(TRIM(SUBSTITUTE($A970,"-","")))</f>
        <v/>
      </c>
      <c r="C970" s="16">
        <f>IF($B970="",0,LEN($B970))</f>
        <v/>
      </c>
      <c r="D970" s="16">
        <f>IF($A970="","",UPPER(TRIM(SUBSTITUTE(IFERROR(INDEX(tblVeriA[FaturaNo],ROW()-ROW(tblVeriA[[#Headers]])),"")," ",""))))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UPPER(TRIM(SUBSTITUTE($I970,"-","")))</f>
        <v/>
      </c>
      <c r="K970" s="16">
        <f>IF($J970="",0,LEN($J970))</f>
        <v/>
      </c>
      <c r="L970" s="16">
        <f>IF($I970="","",UPPER(TRIM(SUBSTITUTE(IFERROR(INDEX(tblVeriB[FaturaNo],ROW()-ROW(tblVeriB[[#Headers]])),"")," ",""))))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UPPER(TRIM(SUBSTITUTE($A971,"-","")))</f>
        <v/>
      </c>
      <c r="C971" s="16">
        <f>IF($B971="",0,LEN($B971))</f>
        <v/>
      </c>
      <c r="D971" s="16">
        <f>IF($A971="","",UPPER(TRIM(SUBSTITUTE(IFERROR(INDEX(tblVeriA[FaturaNo],ROW()-ROW(tblVeriA[[#Headers]])),"")," ",""))))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UPPER(TRIM(SUBSTITUTE($I971,"-","")))</f>
        <v/>
      </c>
      <c r="K971" s="16">
        <f>IF($J971="",0,LEN($J971))</f>
        <v/>
      </c>
      <c r="L971" s="16">
        <f>IF($I971="","",UPPER(TRIM(SUBSTITUTE(IFERROR(INDEX(tblVeriB[FaturaNo],ROW()-ROW(tblVeriB[[#Headers]])),"")," ",""))))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UPPER(TRIM(SUBSTITUTE($A972,"-","")))</f>
        <v/>
      </c>
      <c r="C972" s="16">
        <f>IF($B972="",0,LEN($B972))</f>
        <v/>
      </c>
      <c r="D972" s="16">
        <f>IF($A972="","",UPPER(TRIM(SUBSTITUTE(IFERROR(INDEX(tblVeriA[FaturaNo],ROW()-ROW(tblVeriA[[#Headers]])),"")," ",""))))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UPPER(TRIM(SUBSTITUTE($I972,"-","")))</f>
        <v/>
      </c>
      <c r="K972" s="16">
        <f>IF($J972="",0,LEN($J972))</f>
        <v/>
      </c>
      <c r="L972" s="16">
        <f>IF($I972="","",UPPER(TRIM(SUBSTITUTE(IFERROR(INDEX(tblVeriB[FaturaNo],ROW()-ROW(tblVeriB[[#Headers]])),"")," ",""))))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UPPER(TRIM(SUBSTITUTE($A973,"-","")))</f>
        <v/>
      </c>
      <c r="C973" s="16">
        <f>IF($B973="",0,LEN($B973))</f>
        <v/>
      </c>
      <c r="D973" s="16">
        <f>IF($A973="","",UPPER(TRIM(SUBSTITUTE(IFERROR(INDEX(tblVeriA[FaturaNo],ROW()-ROW(tblVeriA[[#Headers]])),"")," ",""))))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UPPER(TRIM(SUBSTITUTE($I973,"-","")))</f>
        <v/>
      </c>
      <c r="K973" s="16">
        <f>IF($J973="",0,LEN($J973))</f>
        <v/>
      </c>
      <c r="L973" s="16">
        <f>IF($I973="","",UPPER(TRIM(SUBSTITUTE(IFERROR(INDEX(tblVeriB[FaturaNo],ROW()-ROW(tblVeriB[[#Headers]])),"")," ",""))))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UPPER(TRIM(SUBSTITUTE($A974,"-","")))</f>
        <v/>
      </c>
      <c r="C974" s="16">
        <f>IF($B974="",0,LEN($B974))</f>
        <v/>
      </c>
      <c r="D974" s="16">
        <f>IF($A974="","",UPPER(TRIM(SUBSTITUTE(IFERROR(INDEX(tblVeriA[FaturaNo],ROW()-ROW(tblVeriA[[#Headers]])),"")," ",""))))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UPPER(TRIM(SUBSTITUTE($I974,"-","")))</f>
        <v/>
      </c>
      <c r="K974" s="16">
        <f>IF($J974="",0,LEN($J974))</f>
        <v/>
      </c>
      <c r="L974" s="16">
        <f>IF($I974="","",UPPER(TRIM(SUBSTITUTE(IFERROR(INDEX(tblVeriB[FaturaNo],ROW()-ROW(tblVeriB[[#Headers]])),"")," ",""))))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UPPER(TRIM(SUBSTITUTE($A975,"-","")))</f>
        <v/>
      </c>
      <c r="C975" s="16">
        <f>IF($B975="",0,LEN($B975))</f>
        <v/>
      </c>
      <c r="D975" s="16">
        <f>IF($A975="","",UPPER(TRIM(SUBSTITUTE(IFERROR(INDEX(tblVeriA[FaturaNo],ROW()-ROW(tblVeriA[[#Headers]])),"")," ",""))))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UPPER(TRIM(SUBSTITUTE($I975,"-","")))</f>
        <v/>
      </c>
      <c r="K975" s="16">
        <f>IF($J975="",0,LEN($J975))</f>
        <v/>
      </c>
      <c r="L975" s="16">
        <f>IF($I975="","",UPPER(TRIM(SUBSTITUTE(IFERROR(INDEX(tblVeriB[FaturaNo],ROW()-ROW(tblVeriB[[#Headers]])),"")," ",""))))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UPPER(TRIM(SUBSTITUTE($A976,"-","")))</f>
        <v/>
      </c>
      <c r="C976" s="16">
        <f>IF($B976="",0,LEN($B976))</f>
        <v/>
      </c>
      <c r="D976" s="16">
        <f>IF($A976="","",UPPER(TRIM(SUBSTITUTE(IFERROR(INDEX(tblVeriA[FaturaNo],ROW()-ROW(tblVeriA[[#Headers]])),"")," ",""))))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UPPER(TRIM(SUBSTITUTE($I976,"-","")))</f>
        <v/>
      </c>
      <c r="K976" s="16">
        <f>IF($J976="",0,LEN($J976))</f>
        <v/>
      </c>
      <c r="L976" s="16">
        <f>IF($I976="","",UPPER(TRIM(SUBSTITUTE(IFERROR(INDEX(tblVeriB[FaturaNo],ROW()-ROW(tblVeriB[[#Headers]])),"")," ",""))))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UPPER(TRIM(SUBSTITUTE($A977,"-","")))</f>
        <v/>
      </c>
      <c r="C977" s="16">
        <f>IF($B977="",0,LEN($B977))</f>
        <v/>
      </c>
      <c r="D977" s="16">
        <f>IF($A977="","",UPPER(TRIM(SUBSTITUTE(IFERROR(INDEX(tblVeriA[FaturaNo],ROW()-ROW(tblVeriA[[#Headers]])),"")," ",""))))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UPPER(TRIM(SUBSTITUTE($I977,"-","")))</f>
        <v/>
      </c>
      <c r="K977" s="16">
        <f>IF($J977="",0,LEN($J977))</f>
        <v/>
      </c>
      <c r="L977" s="16">
        <f>IF($I977="","",UPPER(TRIM(SUBSTITUTE(IFERROR(INDEX(tblVeriB[FaturaNo],ROW()-ROW(tblVeriB[[#Headers]])),"")," ",""))))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UPPER(TRIM(SUBSTITUTE($A978,"-","")))</f>
        <v/>
      </c>
      <c r="C978" s="16">
        <f>IF($B978="",0,LEN($B978))</f>
        <v/>
      </c>
      <c r="D978" s="16">
        <f>IF($A978="","",UPPER(TRIM(SUBSTITUTE(IFERROR(INDEX(tblVeriA[FaturaNo],ROW()-ROW(tblVeriA[[#Headers]])),"")," ",""))))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UPPER(TRIM(SUBSTITUTE($I978,"-","")))</f>
        <v/>
      </c>
      <c r="K978" s="16">
        <f>IF($J978="",0,LEN($J978))</f>
        <v/>
      </c>
      <c r="L978" s="16">
        <f>IF($I978="","",UPPER(TRIM(SUBSTITUTE(IFERROR(INDEX(tblVeriB[FaturaNo],ROW()-ROW(tblVeriB[[#Headers]])),"")," ",""))))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UPPER(TRIM(SUBSTITUTE($A979,"-","")))</f>
        <v/>
      </c>
      <c r="C979" s="16">
        <f>IF($B979="",0,LEN($B979))</f>
        <v/>
      </c>
      <c r="D979" s="16">
        <f>IF($A979="","",UPPER(TRIM(SUBSTITUTE(IFERROR(INDEX(tblVeriA[FaturaNo],ROW()-ROW(tblVeriA[[#Headers]])),"")," ",""))))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UPPER(TRIM(SUBSTITUTE($I979,"-","")))</f>
        <v/>
      </c>
      <c r="K979" s="16">
        <f>IF($J979="",0,LEN($J979))</f>
        <v/>
      </c>
      <c r="L979" s="16">
        <f>IF($I979="","",UPPER(TRIM(SUBSTITUTE(IFERROR(INDEX(tblVeriB[FaturaNo],ROW()-ROW(tblVeriB[[#Headers]])),"")," ",""))))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UPPER(TRIM(SUBSTITUTE($A980,"-","")))</f>
        <v/>
      </c>
      <c r="C980" s="16">
        <f>IF($B980="",0,LEN($B980))</f>
        <v/>
      </c>
      <c r="D980" s="16">
        <f>IF($A980="","",UPPER(TRIM(SUBSTITUTE(IFERROR(INDEX(tblVeriA[FaturaNo],ROW()-ROW(tblVeriA[[#Headers]])),"")," ",""))))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UPPER(TRIM(SUBSTITUTE($I980,"-","")))</f>
        <v/>
      </c>
      <c r="K980" s="16">
        <f>IF($J980="",0,LEN($J980))</f>
        <v/>
      </c>
      <c r="L980" s="16">
        <f>IF($I980="","",UPPER(TRIM(SUBSTITUTE(IFERROR(INDEX(tblVeriB[FaturaNo],ROW()-ROW(tblVeriB[[#Headers]])),"")," ",""))))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UPPER(TRIM(SUBSTITUTE($A981,"-","")))</f>
        <v/>
      </c>
      <c r="C981" s="16">
        <f>IF($B981="",0,LEN($B981))</f>
        <v/>
      </c>
      <c r="D981" s="16">
        <f>IF($A981="","",UPPER(TRIM(SUBSTITUTE(IFERROR(INDEX(tblVeriA[FaturaNo],ROW()-ROW(tblVeriA[[#Headers]])),"")," ",""))))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UPPER(TRIM(SUBSTITUTE($I981,"-","")))</f>
        <v/>
      </c>
      <c r="K981" s="16">
        <f>IF($J981="",0,LEN($J981))</f>
        <v/>
      </c>
      <c r="L981" s="16">
        <f>IF($I981="","",UPPER(TRIM(SUBSTITUTE(IFERROR(INDEX(tblVeriB[FaturaNo],ROW()-ROW(tblVeriB[[#Headers]])),"")," ",""))))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UPPER(TRIM(SUBSTITUTE($A982,"-","")))</f>
        <v/>
      </c>
      <c r="C982" s="16">
        <f>IF($B982="",0,LEN($B982))</f>
        <v/>
      </c>
      <c r="D982" s="16">
        <f>IF($A982="","",UPPER(TRIM(SUBSTITUTE(IFERROR(INDEX(tblVeriA[FaturaNo],ROW()-ROW(tblVeriA[[#Headers]])),"")," ",""))))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UPPER(TRIM(SUBSTITUTE($I982,"-","")))</f>
        <v/>
      </c>
      <c r="K982" s="16">
        <f>IF($J982="",0,LEN($J982))</f>
        <v/>
      </c>
      <c r="L982" s="16">
        <f>IF($I982="","",UPPER(TRIM(SUBSTITUTE(IFERROR(INDEX(tblVeriB[FaturaNo],ROW()-ROW(tblVeriB[[#Headers]])),"")," ",""))))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UPPER(TRIM(SUBSTITUTE($A983,"-","")))</f>
        <v/>
      </c>
      <c r="C983" s="16">
        <f>IF($B983="",0,LEN($B983))</f>
        <v/>
      </c>
      <c r="D983" s="16">
        <f>IF($A983="","",UPPER(TRIM(SUBSTITUTE(IFERROR(INDEX(tblVeriA[FaturaNo],ROW()-ROW(tblVeriA[[#Headers]])),"")," ",""))))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UPPER(TRIM(SUBSTITUTE($I983,"-","")))</f>
        <v/>
      </c>
      <c r="K983" s="16">
        <f>IF($J983="",0,LEN($J983))</f>
        <v/>
      </c>
      <c r="L983" s="16">
        <f>IF($I983="","",UPPER(TRIM(SUBSTITUTE(IFERROR(INDEX(tblVeriB[FaturaNo],ROW()-ROW(tblVeriB[[#Headers]])),"")," ",""))))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UPPER(TRIM(SUBSTITUTE($A984,"-","")))</f>
        <v/>
      </c>
      <c r="C984" s="16">
        <f>IF($B984="",0,LEN($B984))</f>
        <v/>
      </c>
      <c r="D984" s="16">
        <f>IF($A984="","",UPPER(TRIM(SUBSTITUTE(IFERROR(INDEX(tblVeriA[FaturaNo],ROW()-ROW(tblVeriA[[#Headers]])),"")," ",""))))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UPPER(TRIM(SUBSTITUTE($I984,"-","")))</f>
        <v/>
      </c>
      <c r="K984" s="16">
        <f>IF($J984="",0,LEN($J984))</f>
        <v/>
      </c>
      <c r="L984" s="16">
        <f>IF($I984="","",UPPER(TRIM(SUBSTITUTE(IFERROR(INDEX(tblVeriB[FaturaNo],ROW()-ROW(tblVeriB[[#Headers]])),"")," ",""))))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UPPER(TRIM(SUBSTITUTE($A985,"-","")))</f>
        <v/>
      </c>
      <c r="C985" s="16">
        <f>IF($B985="",0,LEN($B985))</f>
        <v/>
      </c>
      <c r="D985" s="16">
        <f>IF($A985="","",UPPER(TRIM(SUBSTITUTE(IFERROR(INDEX(tblVeriA[FaturaNo],ROW()-ROW(tblVeriA[[#Headers]])),"")," ",""))))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UPPER(TRIM(SUBSTITUTE($I985,"-","")))</f>
        <v/>
      </c>
      <c r="K985" s="16">
        <f>IF($J985="",0,LEN($J985))</f>
        <v/>
      </c>
      <c r="L985" s="16">
        <f>IF($I985="","",UPPER(TRIM(SUBSTITUTE(IFERROR(INDEX(tblVeriB[FaturaNo],ROW()-ROW(tblVeriB[[#Headers]])),"")," ",""))))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UPPER(TRIM(SUBSTITUTE($A986,"-","")))</f>
        <v/>
      </c>
      <c r="C986" s="16">
        <f>IF($B986="",0,LEN($B986))</f>
        <v/>
      </c>
      <c r="D986" s="16">
        <f>IF($A986="","",UPPER(TRIM(SUBSTITUTE(IFERROR(INDEX(tblVeriA[FaturaNo],ROW()-ROW(tblVeriA[[#Headers]])),"")," ",""))))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UPPER(TRIM(SUBSTITUTE($I986,"-","")))</f>
        <v/>
      </c>
      <c r="K986" s="16">
        <f>IF($J986="",0,LEN($J986))</f>
        <v/>
      </c>
      <c r="L986" s="16">
        <f>IF($I986="","",UPPER(TRIM(SUBSTITUTE(IFERROR(INDEX(tblVeriB[FaturaNo],ROW()-ROW(tblVeriB[[#Headers]])),"")," ",""))))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UPPER(TRIM(SUBSTITUTE($A987,"-","")))</f>
        <v/>
      </c>
      <c r="C987" s="16">
        <f>IF($B987="",0,LEN($B987))</f>
        <v/>
      </c>
      <c r="D987" s="16">
        <f>IF($A987="","",UPPER(TRIM(SUBSTITUTE(IFERROR(INDEX(tblVeriA[FaturaNo],ROW()-ROW(tblVeriA[[#Headers]])),"")," ",""))))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UPPER(TRIM(SUBSTITUTE($I987,"-","")))</f>
        <v/>
      </c>
      <c r="K987" s="16">
        <f>IF($J987="",0,LEN($J987))</f>
        <v/>
      </c>
      <c r="L987" s="16">
        <f>IF($I987="","",UPPER(TRIM(SUBSTITUTE(IFERROR(INDEX(tblVeriB[FaturaNo],ROW()-ROW(tblVeriB[[#Headers]])),"")," ",""))))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UPPER(TRIM(SUBSTITUTE($A988,"-","")))</f>
        <v/>
      </c>
      <c r="C988" s="16">
        <f>IF($B988="",0,LEN($B988))</f>
        <v/>
      </c>
      <c r="D988" s="16">
        <f>IF($A988="","",UPPER(TRIM(SUBSTITUTE(IFERROR(INDEX(tblVeriA[FaturaNo],ROW()-ROW(tblVeriA[[#Headers]])),"")," ",""))))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UPPER(TRIM(SUBSTITUTE($I988,"-","")))</f>
        <v/>
      </c>
      <c r="K988" s="16">
        <f>IF($J988="",0,LEN($J988))</f>
        <v/>
      </c>
      <c r="L988" s="16">
        <f>IF($I988="","",UPPER(TRIM(SUBSTITUTE(IFERROR(INDEX(tblVeriB[FaturaNo],ROW()-ROW(tblVeriB[[#Headers]])),"")," ",""))))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UPPER(TRIM(SUBSTITUTE($A989,"-","")))</f>
        <v/>
      </c>
      <c r="C989" s="16">
        <f>IF($B989="",0,LEN($B989))</f>
        <v/>
      </c>
      <c r="D989" s="16">
        <f>IF($A989="","",UPPER(TRIM(SUBSTITUTE(IFERROR(INDEX(tblVeriA[FaturaNo],ROW()-ROW(tblVeriA[[#Headers]])),"")," ",""))))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UPPER(TRIM(SUBSTITUTE($I989,"-","")))</f>
        <v/>
      </c>
      <c r="K989" s="16">
        <f>IF($J989="",0,LEN($J989))</f>
        <v/>
      </c>
      <c r="L989" s="16">
        <f>IF($I989="","",UPPER(TRIM(SUBSTITUTE(IFERROR(INDEX(tblVeriB[FaturaNo],ROW()-ROW(tblVeriB[[#Headers]])),"")," ",""))))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UPPER(TRIM(SUBSTITUTE($A990,"-","")))</f>
        <v/>
      </c>
      <c r="C990" s="16">
        <f>IF($B990="",0,LEN($B990))</f>
        <v/>
      </c>
      <c r="D990" s="16">
        <f>IF($A990="","",UPPER(TRIM(SUBSTITUTE(IFERROR(INDEX(tblVeriA[FaturaNo],ROW()-ROW(tblVeriA[[#Headers]])),"")," ",""))))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UPPER(TRIM(SUBSTITUTE($I990,"-","")))</f>
        <v/>
      </c>
      <c r="K990" s="16">
        <f>IF($J990="",0,LEN($J990))</f>
        <v/>
      </c>
      <c r="L990" s="16">
        <f>IF($I990="","",UPPER(TRIM(SUBSTITUTE(IFERROR(INDEX(tblVeriB[FaturaNo],ROW()-ROW(tblVeriB[[#Headers]])),"")," ",""))))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UPPER(TRIM(SUBSTITUTE($A991,"-","")))</f>
        <v/>
      </c>
      <c r="C991" s="16">
        <f>IF($B991="",0,LEN($B991))</f>
        <v/>
      </c>
      <c r="D991" s="16">
        <f>IF($A991="","",UPPER(TRIM(SUBSTITUTE(IFERROR(INDEX(tblVeriA[FaturaNo],ROW()-ROW(tblVeriA[[#Headers]])),"")," ",""))))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UPPER(TRIM(SUBSTITUTE($I991,"-","")))</f>
        <v/>
      </c>
      <c r="K991" s="16">
        <f>IF($J991="",0,LEN($J991))</f>
        <v/>
      </c>
      <c r="L991" s="16">
        <f>IF($I991="","",UPPER(TRIM(SUBSTITUTE(IFERROR(INDEX(tblVeriB[FaturaNo],ROW()-ROW(tblVeriB[[#Headers]])),"")," ",""))))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UPPER(TRIM(SUBSTITUTE($A992,"-","")))</f>
        <v/>
      </c>
      <c r="C992" s="16">
        <f>IF($B992="",0,LEN($B992))</f>
        <v/>
      </c>
      <c r="D992" s="16">
        <f>IF($A992="","",UPPER(TRIM(SUBSTITUTE(IFERROR(INDEX(tblVeriA[FaturaNo],ROW()-ROW(tblVeriA[[#Headers]])),"")," ",""))))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UPPER(TRIM(SUBSTITUTE($I992,"-","")))</f>
        <v/>
      </c>
      <c r="K992" s="16">
        <f>IF($J992="",0,LEN($J992))</f>
        <v/>
      </c>
      <c r="L992" s="16">
        <f>IF($I992="","",UPPER(TRIM(SUBSTITUTE(IFERROR(INDEX(tblVeriB[FaturaNo],ROW()-ROW(tblVeriB[[#Headers]])),"")," ",""))))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UPPER(TRIM(SUBSTITUTE($A993,"-","")))</f>
        <v/>
      </c>
      <c r="C993" s="16">
        <f>IF($B993="",0,LEN($B993))</f>
        <v/>
      </c>
      <c r="D993" s="16">
        <f>IF($A993="","",UPPER(TRIM(SUBSTITUTE(IFERROR(INDEX(tblVeriA[FaturaNo],ROW()-ROW(tblVeriA[[#Headers]])),"")," ",""))))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UPPER(TRIM(SUBSTITUTE($I993,"-","")))</f>
        <v/>
      </c>
      <c r="K993" s="16">
        <f>IF($J993="",0,LEN($J993))</f>
        <v/>
      </c>
      <c r="L993" s="16">
        <f>IF($I993="","",UPPER(TRIM(SUBSTITUTE(IFERROR(INDEX(tblVeriB[FaturaNo],ROW()-ROW(tblVeriB[[#Headers]])),"")," ",""))))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UPPER(TRIM(SUBSTITUTE($A994,"-","")))</f>
        <v/>
      </c>
      <c r="C994" s="16">
        <f>IF($B994="",0,LEN($B994))</f>
        <v/>
      </c>
      <c r="D994" s="16">
        <f>IF($A994="","",UPPER(TRIM(SUBSTITUTE(IFERROR(INDEX(tblVeriA[FaturaNo],ROW()-ROW(tblVeriA[[#Headers]])),"")," ",""))))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UPPER(TRIM(SUBSTITUTE($I994,"-","")))</f>
        <v/>
      </c>
      <c r="K994" s="16">
        <f>IF($J994="",0,LEN($J994))</f>
        <v/>
      </c>
      <c r="L994" s="16">
        <f>IF($I994="","",UPPER(TRIM(SUBSTITUTE(IFERROR(INDEX(tblVeriB[FaturaNo],ROW()-ROW(tblVeriB[[#Headers]])),"")," ",""))))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UPPER(TRIM(SUBSTITUTE($A995,"-","")))</f>
        <v/>
      </c>
      <c r="C995" s="16">
        <f>IF($B995="",0,LEN($B995))</f>
        <v/>
      </c>
      <c r="D995" s="16">
        <f>IF($A995="","",UPPER(TRIM(SUBSTITUTE(IFERROR(INDEX(tblVeriA[FaturaNo],ROW()-ROW(tblVeriA[[#Headers]])),"")," ",""))))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UPPER(TRIM(SUBSTITUTE($I995,"-","")))</f>
        <v/>
      </c>
      <c r="K995" s="16">
        <f>IF($J995="",0,LEN($J995))</f>
        <v/>
      </c>
      <c r="L995" s="16">
        <f>IF($I995="","",UPPER(TRIM(SUBSTITUTE(IFERROR(INDEX(tblVeriB[FaturaNo],ROW()-ROW(tblVeriB[[#Headers]])),"")," ",""))))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UPPER(TRIM(SUBSTITUTE($A996,"-","")))</f>
        <v/>
      </c>
      <c r="C996" s="16">
        <f>IF($B996="",0,LEN($B996))</f>
        <v/>
      </c>
      <c r="D996" s="16">
        <f>IF($A996="","",UPPER(TRIM(SUBSTITUTE(IFERROR(INDEX(tblVeriA[FaturaNo],ROW()-ROW(tblVeriA[[#Headers]])),"")," ",""))))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UPPER(TRIM(SUBSTITUTE($I996,"-","")))</f>
        <v/>
      </c>
      <c r="K996" s="16">
        <f>IF($J996="",0,LEN($J996))</f>
        <v/>
      </c>
      <c r="L996" s="16">
        <f>IF($I996="","",UPPER(TRIM(SUBSTITUTE(IFERROR(INDEX(tblVeriB[FaturaNo],ROW()-ROW(tblVeriB[[#Headers]])),"")," ",""))))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UPPER(TRIM(SUBSTITUTE($A997,"-","")))</f>
        <v/>
      </c>
      <c r="C997" s="16">
        <f>IF($B997="",0,LEN($B997))</f>
        <v/>
      </c>
      <c r="D997" s="16">
        <f>IF($A997="","",UPPER(TRIM(SUBSTITUTE(IFERROR(INDEX(tblVeriA[FaturaNo],ROW()-ROW(tblVeriA[[#Headers]])),"")," ",""))))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UPPER(TRIM(SUBSTITUTE($I997,"-","")))</f>
        <v/>
      </c>
      <c r="K997" s="16">
        <f>IF($J997="",0,LEN($J997))</f>
        <v/>
      </c>
      <c r="L997" s="16">
        <f>IF($I997="","",UPPER(TRIM(SUBSTITUTE(IFERROR(INDEX(tblVeriB[FaturaNo],ROW()-ROW(tblVeriB[[#Headers]])),"")," ",""))))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UPPER(TRIM(SUBSTITUTE($A998,"-","")))</f>
        <v/>
      </c>
      <c r="C998" s="16">
        <f>IF($B998="",0,LEN($B998))</f>
        <v/>
      </c>
      <c r="D998" s="16">
        <f>IF($A998="","",UPPER(TRIM(SUBSTITUTE(IFERROR(INDEX(tblVeriA[FaturaNo],ROW()-ROW(tblVeriA[[#Headers]])),"")," ",""))))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UPPER(TRIM(SUBSTITUTE($I998,"-","")))</f>
        <v/>
      </c>
      <c r="K998" s="16">
        <f>IF($J998="",0,LEN($J998))</f>
        <v/>
      </c>
      <c r="L998" s="16">
        <f>IF($I998="","",UPPER(TRIM(SUBSTITUTE(IFERROR(INDEX(tblVeriB[FaturaNo],ROW()-ROW(tblVeriB[[#Headers]])),"")," ",""))))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UPPER(TRIM(SUBSTITUTE($A999,"-","")))</f>
        <v/>
      </c>
      <c r="C999" s="16">
        <f>IF($B999="",0,LEN($B999))</f>
        <v/>
      </c>
      <c r="D999" s="16">
        <f>IF($A999="","",UPPER(TRIM(SUBSTITUTE(IFERROR(INDEX(tblVeriA[FaturaNo],ROW()-ROW(tblVeriA[[#Headers]])),"")," ",""))))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UPPER(TRIM(SUBSTITUTE($I999,"-","")))</f>
        <v/>
      </c>
      <c r="K999" s="16">
        <f>IF($J999="",0,LEN($J999))</f>
        <v/>
      </c>
      <c r="L999" s="16">
        <f>IF($I999="","",UPPER(TRIM(SUBSTITUTE(IFERROR(INDEX(tblVeriB[FaturaNo],ROW()-ROW(tblVeriB[[#Headers]])),"")," ",""))))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UPPER(TRIM(SUBSTITUTE($A1000,"-","")))</f>
        <v/>
      </c>
      <c r="C1000" s="16">
        <f>IF($B1000="",0,LEN($B1000))</f>
        <v/>
      </c>
      <c r="D1000" s="16">
        <f>IF($A1000="","",UPPER(TRIM(SUBSTITUTE(IFERROR(INDEX(tblVeriA[FaturaNo],ROW()-ROW(tblVeriA[[#Headers]])),"")," ",""))))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UPPER(TRIM(SUBSTITUTE($I1000,"-","")))</f>
        <v/>
      </c>
      <c r="K1000" s="16">
        <f>IF($J1000="",0,LEN($J1000))</f>
        <v/>
      </c>
      <c r="L1000" s="16">
        <f>IF($I1000="","",UPPER(TRIM(SUBSTITUTE(IFERROR(INDEX(tblVeriB[FaturaNo],ROW()-ROW(tblVeriB[[#Headers]])),"")," ",""))))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UPPER(TRIM(SUBSTITUTE($A1001,"-","")))</f>
        <v/>
      </c>
      <c r="C1001" s="16">
        <f>IF($B1001="",0,LEN($B1001))</f>
        <v/>
      </c>
      <c r="D1001" s="16">
        <f>IF($A1001="","",UPPER(TRIM(SUBSTITUTE(IFERROR(INDEX(tblVeriA[FaturaNo],ROW()-ROW(tblVeriA[[#Headers]])),"")," ",""))))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UPPER(TRIM(SUBSTITUTE($I1001,"-","")))</f>
        <v/>
      </c>
      <c r="K1001" s="16">
        <f>IF($J1001="",0,LEN($J1001))</f>
        <v/>
      </c>
      <c r="L1001" s="16">
        <f>IF($I1001="","",UPPER(TRIM(SUBSTITUTE(IFERROR(INDEX(tblVeriB[FaturaNo],ROW()-ROW(tblVeriB[[#Headers]])),"")," ",""))))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UPPER(TRIM(SUBSTITUTE($A1002,"-","")))</f>
        <v/>
      </c>
      <c r="C1002" s="16">
        <f>IF($B1002="",0,LEN($B1002))</f>
        <v/>
      </c>
      <c r="D1002" s="16">
        <f>IF($A1002="","",UPPER(TRIM(SUBSTITUTE(IFERROR(INDEX(tblVeriA[FaturaNo],ROW()-ROW(tblVeriA[[#Headers]])),"")," ",""))))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UPPER(TRIM(SUBSTITUTE($I1002,"-","")))</f>
        <v/>
      </c>
      <c r="K1002" s="16">
        <f>IF($J1002="",0,LEN($J1002))</f>
        <v/>
      </c>
      <c r="L1002" s="16">
        <f>IF($I1002="","",UPPER(TRIM(SUBSTITUTE(IFERROR(INDEX(tblVeriB[FaturaNo],ROW()-ROW(tblVeriB[[#Headers]])),"")," ",""))))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UPPER(TRIM(SUBSTITUTE($A1003,"-","")))</f>
        <v/>
      </c>
      <c r="C1003" s="16">
        <f>IF($B1003="",0,LEN($B1003))</f>
        <v/>
      </c>
      <c r="D1003" s="16">
        <f>IF($A1003="","",UPPER(TRIM(SUBSTITUTE(IFERROR(INDEX(tblVeriA[FaturaNo],ROW()-ROW(tblVeriA[[#Headers]])),"")," ",""))))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UPPER(TRIM(SUBSTITUTE($I1003,"-","")))</f>
        <v/>
      </c>
      <c r="K1003" s="16">
        <f>IF($J1003="",0,LEN($J1003))</f>
        <v/>
      </c>
      <c r="L1003" s="16">
        <f>IF($I1003="","",UPPER(TRIM(SUBSTITUTE(IFERROR(INDEX(tblVeriB[FaturaNo],ROW()-ROW(tblVeriB[[#Headers]])),"")," ",""))))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UPPER(TRIM(SUBSTITUTE($A1004,"-","")))</f>
        <v/>
      </c>
      <c r="C1004" s="16">
        <f>IF($B1004="",0,LEN($B1004))</f>
        <v/>
      </c>
      <c r="D1004" s="16">
        <f>IF($A1004="","",UPPER(TRIM(SUBSTITUTE(IFERROR(INDEX(tblVeriA[FaturaNo],ROW()-ROW(tblVeriA[[#Headers]])),"")," ",""))))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UPPER(TRIM(SUBSTITUTE($I1004,"-","")))</f>
        <v/>
      </c>
      <c r="K1004" s="16">
        <f>IF($J1004="",0,LEN($J1004))</f>
        <v/>
      </c>
      <c r="L1004" s="16">
        <f>IF($I1004="","",UPPER(TRIM(SUBSTITUTE(IFERROR(INDEX(tblVeriB[FaturaNo],ROW()-ROW(tblVeriB[[#Headers]])),"")," ",""))))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UPPER(TRIM(SUBSTITUTE($A1005,"-","")))</f>
        <v/>
      </c>
      <c r="C1005" s="16">
        <f>IF($B1005="",0,LEN($B1005))</f>
        <v/>
      </c>
      <c r="D1005" s="16">
        <f>IF($A1005="","",UPPER(TRIM(SUBSTITUTE(IFERROR(INDEX(tblVeriA[FaturaNo],ROW()-ROW(tblVeriA[[#Headers]])),"")," ",""))))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UPPER(TRIM(SUBSTITUTE($I1005,"-","")))</f>
        <v/>
      </c>
      <c r="K1005" s="16">
        <f>IF($J1005="",0,LEN($J1005))</f>
        <v/>
      </c>
      <c r="L1005" s="16">
        <f>IF($I1005="","",UPPER(TRIM(SUBSTITUTE(IFERROR(INDEX(tblVeriB[FaturaNo],ROW()-ROW(tblVeriB[[#Headers]])),"")," ",""))))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</cols>
  <sheetData>
    <row r="1" ht="26" customHeight="1">
      <c r="A1" s="1" t="inlineStr">
        <is>
          <t>MOTOR — Toplu e-Fatura Satır Defteri ve PDF Kanıtı</t>
        </is>
      </c>
    </row>
    <row r="3" ht="20" customHeight="1">
      <c r="A3" s="10" t="inlineStr">
        <is>
          <t>Hesaplama motoru — ara adımlar (sabit skor yok, veriden türer)</t>
        </is>
      </c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COUNTA(tblVeriA[UUID])</f>
        <v/>
      </c>
    </row>
    <row r="7">
      <c r="A7" s="19" t="n">
        <v>2</v>
      </c>
      <c r="B7" s="8" t="inlineStr">
        <is>
          <t>B kayit sayisi</t>
        </is>
      </c>
      <c r="C7" s="20">
        <f>COUNTA(tblVeriB[UUID])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IFERROR(PERCENTILE(tblEslesme[AbsFark],efs_yuzdelikOran),0)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IFERROR(PERCENTILE(tblVeriA[Toplam],efs_yuzdelikOran),0)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IF(C18&lt;efs_esikEslesme,1,0)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IF(C11&gt;efs_esikFark,1,0)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COUNTIF(tblVeriA[Toplam],"&gt;"&amp;efs_azamiTutar)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COUNTIF(tblVeriB[Tutar],"&gt;"&amp;efs_azamiTutar)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YOK",IF(OR(C35&gt;0,C36&gt;0,C37&gt;0,C38&gt;0),"İNCELE",IF(C18&lt;efs_esikEslesme,"DURDUR",IF(C14&gt;0,"İNCELE","UYGUN"))))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IFERROR(efs_toleransSenaryo*C14,0)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IFERROR(ABS(C10)*efs_duyarlilikCarpan,0)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IF(C6=0,0,ROUND(100*C18*(1-MIN(C22,1)/efs_guvenBolum),0))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IF(C6=0,0,ROUND(100*(1-C18)+efs_riskFarkAgirlik*C14+efs_riskEslesmezAgirlik*C15,0))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B1F3A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Toplu e-Fatura Satır Defteri ve PDF Kanıtı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A kaydı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IF($A6="","",IF($F6&gt;efs_esikFark,1,0))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IF($A7="","",IF($F7&gt;efs_esikFark,1,0))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IF($A8="","",IF($F8&gt;efs_esikFark,1,0))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IF($A9="","",IF($F9&gt;efs_esikFark,1,0))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IF($A10="","",IF($F10&gt;efs_esikFark,1,0))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IF($A11="","",IF($F11&gt;efs_esikFark,1,0))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IF($A12="","",IF($F12&gt;efs_esikFark,1,0))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IF($A13="","",IF($F13&gt;efs_esikFark,1,0))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IF($A14="","",IF($F14&gt;efs_esikFark,1,0))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IF($A15="","",IF($F15&gt;efs_esikFark,1,0))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IF($A16="","",IF($F16&gt;efs_esikFark,1,0))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IF($A17="","",IF($F17&gt;efs_esikFark,1,0))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IF($A18="","",IF($F18&gt;efs_esikFark,1,0))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IF($A19="","",IF($F19&gt;efs_esikFark,1,0))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IF($A20="","",IF($F20&gt;efs_esikFark,1,0))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IF($A21="","",IF($F21&gt;efs_esikFark,1,0))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IF($A22="","",IF($F22&gt;efs_esikFark,1,0))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IF($A23="","",IF($F23&gt;efs_esikFark,1,0))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IF($A24="","",IF($F24&gt;efs_esikFark,1,0))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IF($A25="","",IF($F25&gt;efs_esikFark,1,0))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IF($A26="","",IF($F26&gt;efs_esikFark,1,0))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IF($A27="","",IF($F27&gt;efs_esikFark,1,0))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IF($A28="","",IF($F28&gt;efs_esikFark,1,0))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IF($A29="","",IF($F29&gt;efs_esikFark,1,0))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IF($A30="","",IF($F30&gt;efs_esikFark,1,0))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IF($A31="","",IF($F31&gt;efs_esikFark,1,0))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IF($A32="","",IF($F32&gt;efs_esikFark,1,0))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IF($A33="","",IF($F33&gt;efs_esikFark,1,0))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IF($A34="","",IF($F34&gt;efs_esikFark,1,0))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IF($A35="","",IF($F35&gt;efs_esikFark,1,0))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IF($A36="","",IF($F36&gt;efs_esikFark,1,0))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IF($A37="","",IF($F37&gt;efs_esikFark,1,0))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IF($A38="","",IF($F38&gt;efs_esikFark,1,0))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IF($A39="","",IF($F39&gt;efs_esikFark,1,0))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IF($A40="","",IF($F40&gt;efs_esikFark,1,0))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IF($A41="","",IF($F41&gt;efs_esikFark,1,0))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IF($A42="","",IF($F42&gt;efs_esikFark,1,0))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IF($A43="","",IF($F43&gt;efs_esikFark,1,0))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IF($A44="","",IF($F44&gt;efs_esikFark,1,0))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IF($A45="","",IF($F45&gt;efs_esikFark,1,0))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IF($A46="","",IF($F46&gt;efs_esikFark,1,0))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IF($A47="","",IF($F47&gt;efs_esikFark,1,0))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IF($A48="","",IF($F48&gt;efs_esikFark,1,0))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IF($A49="","",IF($F49&gt;efs_esikFark,1,0))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IF($A50="","",IF($F50&gt;efs_esikFark,1,0))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IF($A51="","",IF($F51&gt;efs_esikFark,1,0))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IF($A52="","",IF($F52&gt;efs_esikFark,1,0))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IF($A53="","",IF($F53&gt;efs_esikFark,1,0))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IF($A54="","",IF($F54&gt;efs_esikFark,1,0))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IF($A55="","",IF($F55&gt;efs_esikFark,1,0))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IF($A56="","",IF($F56&gt;efs_esikFark,1,0))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IF($A57="","",IF($F57&gt;efs_esikFark,1,0))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IF($A58="","",IF($F58&gt;efs_esikFark,1,0))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IF($A59="","",IF($F59&gt;efs_esikFark,1,0))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IF($A60="","",IF($F60&gt;efs_esikFark,1,0))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IF($A61="","",IF($F61&gt;efs_esikFark,1,0))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IF($A62="","",IF($F62&gt;efs_esikFark,1,0))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IF($A63="","",IF($F63&gt;efs_esikFark,1,0))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IF($A64="","",IF($F64&gt;efs_esikFark,1,0))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IF($A65="","",IF($F65&gt;efs_esikFark,1,0))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IF($A66="","",IF($F66&gt;efs_esikFark,1,0))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IF($A67="","",IF($F67&gt;efs_esikFark,1,0))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IF($A68="","",IF($F68&gt;efs_esikFark,1,0))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IF($A69="","",IF($F69&gt;efs_esikFark,1,0))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IF($A70="","",IF($F70&gt;efs_esikFark,1,0))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IF($A71="","",IF($F71&gt;efs_esikFark,1,0))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IF($A72="","",IF($F72&gt;efs_esikFark,1,0))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IF($A73="","",IF($F73&gt;efs_esikFark,1,0))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IF($A74="","",IF($F74&gt;efs_esikFark,1,0))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IF($A75="","",IF($F75&gt;efs_esikFark,1,0))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IF($A76="","",IF($F76&gt;efs_esikFark,1,0))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IF($A77="","",IF($F77&gt;efs_esikFark,1,0))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IF($A78="","",IF($F78&gt;efs_esikFark,1,0))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IF($A79="","",IF($F79&gt;efs_esikFark,1,0))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IF($A80="","",IF($F80&gt;efs_esikFark,1,0))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IF($A81="","",IF($F81&gt;efs_esikFark,1,0))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IF($A82="","",IF($F82&gt;efs_esikFark,1,0))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IF($A83="","",IF($F83&gt;efs_esikFark,1,0))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IF($A84="","",IF($F84&gt;efs_esikFark,1,0))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IF($A85="","",IF($F85&gt;efs_esikFark,1,0))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IF($A86="","",IF($F86&gt;efs_esikFark,1,0))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IF($A87="","",IF($F87&gt;efs_esikFark,1,0))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IF($A88="","",IF($F88&gt;efs_esikFark,1,0))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IF($A89="","",IF($F89&gt;efs_esikFark,1,0))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IF($A90="","",IF($F90&gt;efs_esikFark,1,0))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IF($A91="","",IF($F91&gt;efs_esikFark,1,0))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IF($A92="","",IF($F92&gt;efs_esikFark,1,0))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IF($A93="","",IF($F93&gt;efs_esikFark,1,0))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IF($A94="","",IF($F94&gt;efs_esikFark,1,0))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IF($A95="","",IF($F95&gt;efs_esikFark,1,0))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IF($A96="","",IF($F96&gt;efs_esikFark,1,0))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IF($A97="","",IF($F97&gt;efs_esikFark,1,0))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IF($A98="","",IF($F98&gt;efs_esikFark,1,0))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IF($A99="","",IF($F99&gt;efs_esikFark,1,0))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IF($A100="","",IF($F100&gt;efs_esikFark,1,0))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IF($A101="","",IF($F101&gt;efs_esikFark,1,0))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IF($A102="","",IF($F102&gt;efs_esikFark,1,0))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IF($A103="","",IF($F103&gt;efs_esikFark,1,0))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IF($A104="","",IF($F104&gt;efs_esikFark,1,0))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IF($A105="","",IF($F105&gt;efs_esikFark,1,0))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IF($A106="","",IF($F106&gt;efs_esikFark,1,0))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IF($A107="","",IF($F107&gt;efs_esikFark,1,0))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IF($A108="","",IF($F108&gt;efs_esikFark,1,0))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IF($A109="","",IF($F109&gt;efs_esikFark,1,0))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IF($A110="","",IF($F110&gt;efs_esikFark,1,0))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IF($A111="","",IF($F111&gt;efs_esikFark,1,0))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IF($A112="","",IF($F112&gt;efs_esikFark,1,0))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IF($A113="","",IF($F113&gt;efs_esikFark,1,0))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IF($A114="","",IF($F114&gt;efs_esikFark,1,0))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IF($A115="","",IF($F115&gt;efs_esikFark,1,0))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IF($A116="","",IF($F116&gt;efs_esikFark,1,0))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IF($A117="","",IF($F117&gt;efs_esikFark,1,0))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IF($A118="","",IF($F118&gt;efs_esikFark,1,0))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IF($A119="","",IF($F119&gt;efs_esikFark,1,0))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IF($A120="","",IF($F120&gt;efs_esikFark,1,0))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IF($A121="","",IF($F121&gt;efs_esikFark,1,0))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IF($A122="","",IF($F122&gt;efs_esikFark,1,0))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IF($A123="","",IF($F123&gt;efs_esikFark,1,0))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IF($A124="","",IF($F124&gt;efs_esikFark,1,0))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IF($A125="","",IF($F125&gt;efs_esikFark,1,0))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IF($A126="","",IF($F126&gt;efs_esikFark,1,0))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IF($A127="","",IF($F127&gt;efs_esikFark,1,0))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IF($A128="","",IF($F128&gt;efs_esikFark,1,0))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IF($A129="","",IF($F129&gt;efs_esikFark,1,0))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IF($A130="","",IF($F130&gt;efs_esikFark,1,0))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IF($A131="","",IF($F131&gt;efs_esikFark,1,0))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IF($A132="","",IF($F132&gt;efs_esikFark,1,0))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IF($A133="","",IF($F133&gt;efs_esikFark,1,0))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IF($A134="","",IF($F134&gt;efs_esikFark,1,0))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IF($A135="","",IF($F135&gt;efs_esikFark,1,0))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IF($A136="","",IF($F136&gt;efs_esikFark,1,0))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IF($A137="","",IF($F137&gt;efs_esikFark,1,0))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IF($A138="","",IF($F138&gt;efs_esikFark,1,0))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IF($A139="","",IF($F139&gt;efs_esikFark,1,0))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IF($A140="","",IF($F140&gt;efs_esikFark,1,0))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IF($A141="","",IF($F141&gt;efs_esikFark,1,0))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IF($A142="","",IF($F142&gt;efs_esikFark,1,0))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IF($A143="","",IF($F143&gt;efs_esikFark,1,0))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IF($A144="","",IF($F144&gt;efs_esikFark,1,0))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IF($A145="","",IF($F145&gt;efs_esikFark,1,0))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IF($A146="","",IF($F146&gt;efs_esikFark,1,0))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IF($A147="","",IF($F147&gt;efs_esikFark,1,0))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IF($A148="","",IF($F148&gt;efs_esikFark,1,0))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IF($A149="","",IF($F149&gt;efs_esikFark,1,0))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IF($A150="","",IF($F150&gt;efs_esikFark,1,0))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IF($A151="","",IF($F151&gt;efs_esikFark,1,0))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IF($A152="","",IF($F152&gt;efs_esikFark,1,0))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IF($A153="","",IF($F153&gt;efs_esikFark,1,0))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IF($A154="","",IF($F154&gt;efs_esikFark,1,0))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IF($A155="","",IF($F155&gt;efs_esikFark,1,0))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IF($A156="","",IF($F156&gt;efs_esikFark,1,0))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IF($A157="","",IF($F157&gt;efs_esikFark,1,0))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IF($A158="","",IF($F158&gt;efs_esikFark,1,0))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IF($A159="","",IF($F159&gt;efs_esikFark,1,0))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IF($A160="","",IF($F160&gt;efs_esikFark,1,0))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IF($A161="","",IF($F161&gt;efs_esikFark,1,0))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IF($A162="","",IF($F162&gt;efs_esikFark,1,0))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IF($A163="","",IF($F163&gt;efs_esikFark,1,0))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IF($A164="","",IF($F164&gt;efs_esikFark,1,0))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IF($A165="","",IF($F165&gt;efs_esikFark,1,0))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IF($A166="","",IF($F166&gt;efs_esikFark,1,0))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IF($A167="","",IF($F167&gt;efs_esikFark,1,0))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IF($A168="","",IF($F168&gt;efs_esikFark,1,0))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IF($A169="","",IF($F169&gt;efs_esikFark,1,0))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IF($A170="","",IF($F170&gt;efs_esikFark,1,0))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IF($A171="","",IF($F171&gt;efs_esikFark,1,0))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IF($A172="","",IF($F172&gt;efs_esikFark,1,0))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IF($A173="","",IF($F173&gt;efs_esikFark,1,0))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IF($A174="","",IF($F174&gt;efs_esikFark,1,0))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IF($A175="","",IF($F175&gt;efs_esikFark,1,0))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IF($A176="","",IF($F176&gt;efs_esikFark,1,0))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IF($A177="","",IF($F177&gt;efs_esikFark,1,0))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IF($A178="","",IF($F178&gt;efs_esikFark,1,0))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IF($A179="","",IF($F179&gt;efs_esikFark,1,0))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IF($A180="","",IF($F180&gt;efs_esikFark,1,0))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IF($A181="","",IF($F181&gt;efs_esikFark,1,0))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IF($A182="","",IF($F182&gt;efs_esikFark,1,0))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IF($A183="","",IF($F183&gt;efs_esikFark,1,0))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IF($A184="","",IF($F184&gt;efs_esikFark,1,0))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IF($A185="","",IF($F185&gt;efs_esikFark,1,0))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IF($A186="","",IF($F186&gt;efs_esikFark,1,0))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IF($A187="","",IF($F187&gt;efs_esikFark,1,0))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IF($A188="","",IF($F188&gt;efs_esikFark,1,0))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IF($A189="","",IF($F189&gt;efs_esikFark,1,0))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IF($A190="","",IF($F190&gt;efs_esikFark,1,0))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IF($A191="","",IF($F191&gt;efs_esikFark,1,0))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IF($A192="","",IF($F192&gt;efs_esikFark,1,0))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IF($A193="","",IF($F193&gt;efs_esikFark,1,0))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IF($A194="","",IF($F194&gt;efs_esikFark,1,0))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IF($A195="","",IF($F195&gt;efs_esikFark,1,0))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IF($A196="","",IF($F196&gt;efs_esikFark,1,0))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IF($A197="","",IF($F197&gt;efs_esikFark,1,0))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IF($A198="","",IF($F198&gt;efs_esikFark,1,0))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IF($A199="","",IF($F199&gt;efs_esikFark,1,0))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IF($A200="","",IF($F200&gt;efs_esikFark,1,0))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IF($A201="","",IF($F201&gt;efs_esikFark,1,0))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IF($A202="","",IF($F202&gt;efs_esikFark,1,0))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IF($A203="","",IF($F203&gt;efs_esikFark,1,0))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IF($A204="","",IF($F204&gt;efs_esikFark,1,0))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IF($A205="","",IF($F205&gt;efs_esikFark,1,0))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IF($A206="","",IF($F206&gt;efs_esikFark,1,0))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IF($A207="","",IF($F207&gt;efs_esikFark,1,0))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IF($A208="","",IF($F208&gt;efs_esikFark,1,0))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IF($A209="","",IF($F209&gt;efs_esikFark,1,0))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IF($A210="","",IF($F210&gt;efs_esikFark,1,0))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IF($A211="","",IF($F211&gt;efs_esikFark,1,0))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IF($A212="","",IF($F212&gt;efs_esikFark,1,0))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IF($A213="","",IF($F213&gt;efs_esikFark,1,0))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IF($A214="","",IF($F214&gt;efs_esikFark,1,0))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IF($A215="","",IF($F215&gt;efs_esikFark,1,0))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IF($A216="","",IF($F216&gt;efs_esikFark,1,0))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IF($A217="","",IF($F217&gt;efs_esikFark,1,0))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IF($A218="","",IF($F218&gt;efs_esikFark,1,0))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IF($A219="","",IF($F219&gt;efs_esikFark,1,0))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IF($A220="","",IF($F220&gt;efs_esikFark,1,0))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IF($A221="","",IF($F221&gt;efs_esikFark,1,0))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IF($A222="","",IF($F222&gt;efs_esikFark,1,0))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IF($A223="","",IF($F223&gt;efs_esikFark,1,0))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IF($A224="","",IF($F224&gt;efs_esikFark,1,0))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IF($A225="","",IF($F225&gt;efs_esikFark,1,0))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IF($A226="","",IF($F226&gt;efs_esikFark,1,0))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IF($A227="","",IF($F227&gt;efs_esikFark,1,0))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IF($A228="","",IF($F228&gt;efs_esikFark,1,0))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IF($A229="","",IF($F229&gt;efs_esikFark,1,0))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IF($A230="","",IF($F230&gt;efs_esikFark,1,0))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IF($A231="","",IF($F231&gt;efs_esikFark,1,0))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IF($A232="","",IF($F232&gt;efs_esikFark,1,0))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IF($A233="","",IF($F233&gt;efs_esikFark,1,0))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IF($A234="","",IF($F234&gt;efs_esikFark,1,0))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IF($A235="","",IF($F235&gt;efs_esikFark,1,0))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IF($A236="","",IF($F236&gt;efs_esikFark,1,0))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IF($A237="","",IF($F237&gt;efs_esikFark,1,0))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IF($A238="","",IF($F238&gt;efs_esikFark,1,0))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IF($A239="","",IF($F239&gt;efs_esikFark,1,0))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IF($A240="","",IF($F240&gt;efs_esikFark,1,0))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IF($A241="","",IF($F241&gt;efs_esikFark,1,0))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IF($A242="","",IF($F242&gt;efs_esikFark,1,0))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IF($A243="","",IF($F243&gt;efs_esikFark,1,0))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IF($A244="","",IF($F244&gt;efs_esikFark,1,0))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IF($A245="","",IF($F245&gt;efs_esikFark,1,0))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IF($A246="","",IF($F246&gt;efs_esikFark,1,0))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IF($A247="","",IF($F247&gt;efs_esikFark,1,0))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IF($A248="","",IF($F248&gt;efs_esikFark,1,0))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IF($A249="","",IF($F249&gt;efs_esikFark,1,0))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IF($A250="","",IF($F250&gt;efs_esikFark,1,0))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IF($A251="","",IF($F251&gt;efs_esikFark,1,0))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IF($A252="","",IF($F252&gt;efs_esikFark,1,0))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IF($A253="","",IF($F253&gt;efs_esikFark,1,0))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IF($A254="","",IF($F254&gt;efs_esikFark,1,0))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IF($A255="","",IF($F255&gt;efs_esikFark,1,0))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IF($A256="","",IF($F256&gt;efs_esikFark,1,0))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IF($A257="","",IF($F257&gt;efs_esikFark,1,0))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IF($A258="","",IF($F258&gt;efs_esikFark,1,0))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IF($A259="","",IF($F259&gt;efs_esikFark,1,0))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IF($A260="","",IF($F260&gt;efs_esikFark,1,0))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IF($A261="","",IF($F261&gt;efs_esikFark,1,0))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IF($A262="","",IF($F262&gt;efs_esikFark,1,0))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IF($A263="","",IF($F263&gt;efs_esikFark,1,0))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IF($A264="","",IF($F264&gt;efs_esikFark,1,0))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IF($A265="","",IF($F265&gt;efs_esikFark,1,0))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IF($A266="","",IF($F266&gt;efs_esikFark,1,0))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IF($A267="","",IF($F267&gt;efs_esikFark,1,0))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IF($A268="","",IF($F268&gt;efs_esikFark,1,0))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IF($A269="","",IF($F269&gt;efs_esikFark,1,0))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IF($A270="","",IF($F270&gt;efs_esikFark,1,0))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IF($A271="","",IF($F271&gt;efs_esikFark,1,0))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IF($A272="","",IF($F272&gt;efs_esikFark,1,0))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IF($A273="","",IF($F273&gt;efs_esikFark,1,0))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IF($A274="","",IF($F274&gt;efs_esikFark,1,0))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IF($A275="","",IF($F275&gt;efs_esikFark,1,0))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IF($A276="","",IF($F276&gt;efs_esikFark,1,0))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IF($A277="","",IF($F277&gt;efs_esikFark,1,0))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IF($A278="","",IF($F278&gt;efs_esikFark,1,0))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IF($A279="","",IF($F279&gt;efs_esikFark,1,0))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IF($A280="","",IF($F280&gt;efs_esikFark,1,0))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IF($A281="","",IF($F281&gt;efs_esikFark,1,0))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IF($A282="","",IF($F282&gt;efs_esikFark,1,0))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IF($A283="","",IF($F283&gt;efs_esikFark,1,0))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IF($A284="","",IF($F284&gt;efs_esikFark,1,0))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IF($A285="","",IF($F285&gt;efs_esikFark,1,0))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IF($A286="","",IF($F286&gt;efs_esikFark,1,0))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IF($A287="","",IF($F287&gt;efs_esikFark,1,0))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IF($A288="","",IF($F288&gt;efs_esikFark,1,0))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IF($A289="","",IF($F289&gt;efs_esikFark,1,0))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IF($A290="","",IF($F290&gt;efs_esikFark,1,0))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IF($A291="","",IF($F291&gt;efs_esikFark,1,0))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IF($A292="","",IF($F292&gt;efs_esikFark,1,0))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IF($A293="","",IF($F293&gt;efs_esikFark,1,0))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IF($A294="","",IF($F294&gt;efs_esikFark,1,0))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IF($A295="","",IF($F295&gt;efs_esikFark,1,0))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IF($A296="","",IF($F296&gt;efs_esikFark,1,0))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IF($A297="","",IF($F297&gt;efs_esikFark,1,0))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IF($A298="","",IF($F298&gt;efs_esikFark,1,0))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IF($A299="","",IF($F299&gt;efs_esikFark,1,0))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IF($A300="","",IF($F300&gt;efs_esikFark,1,0))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IF($A301="","",IF($F301&gt;efs_esikFark,1,0))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IF($A302="","",IF($F302&gt;efs_esikFark,1,0))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IF($A303="","",IF($F303&gt;efs_esikFark,1,0))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IF($A304="","",IF($F304&gt;efs_esikFark,1,0))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IF($A305="","",IF($F305&gt;efs_esikFark,1,0))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IF($A306="","",IF($F306&gt;efs_esikFark,1,0))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IF($A307="","",IF($F307&gt;efs_esikFark,1,0))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IF($A308="","",IF($F308&gt;efs_esikFark,1,0))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IF($A309="","",IF($F309&gt;efs_esikFark,1,0))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IF($A310="","",IF($F310&gt;efs_esikFark,1,0))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IF($A311="","",IF($F311&gt;efs_esikFark,1,0))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IF($A312="","",IF($F312&gt;efs_esikFark,1,0))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IF($A313="","",IF($F313&gt;efs_esikFark,1,0))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IF($A314="","",IF($F314&gt;efs_esikFark,1,0))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IF($A315="","",IF($F315&gt;efs_esikFark,1,0))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IF($A316="","",IF($F316&gt;efs_esikFark,1,0))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IF($A317="","",IF($F317&gt;efs_esikFark,1,0))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IF($A318="","",IF($F318&gt;efs_esikFark,1,0))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IF($A319="","",IF($F319&gt;efs_esikFark,1,0))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IF($A320="","",IF($F320&gt;efs_esikFark,1,0))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IF($A321="","",IF($F321&gt;efs_esikFark,1,0))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IF($A322="","",IF($F322&gt;efs_esikFark,1,0))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IF($A323="","",IF($F323&gt;efs_esikFark,1,0))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IF($A324="","",IF($F324&gt;efs_esikFark,1,0))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IF($A325="","",IF($F325&gt;efs_esikFark,1,0))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IF($A326="","",IF($F326&gt;efs_esikFark,1,0))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IF($A327="","",IF($F327&gt;efs_esikFark,1,0))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IF($A328="","",IF($F328&gt;efs_esikFark,1,0))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IF($A329="","",IF($F329&gt;efs_esikFark,1,0))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IF($A330="","",IF($F330&gt;efs_esikFark,1,0))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IF($A331="","",IF($F331&gt;efs_esikFark,1,0))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IF($A332="","",IF($F332&gt;efs_esikFark,1,0))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IF($A333="","",IF($F333&gt;efs_esikFark,1,0))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IF($A334="","",IF($F334&gt;efs_esikFark,1,0))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IF($A335="","",IF($F335&gt;efs_esikFark,1,0))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IF($A336="","",IF($F336&gt;efs_esikFark,1,0))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IF($A337="","",IF($F337&gt;efs_esikFark,1,0))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IF($A338="","",IF($F338&gt;efs_esikFark,1,0))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IF($A339="","",IF($F339&gt;efs_esikFark,1,0))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IF($A340="","",IF($F340&gt;efs_esikFark,1,0))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IF($A341="","",IF($F341&gt;efs_esikFark,1,0))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IF($A342="","",IF($F342&gt;efs_esikFark,1,0))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IF($A343="","",IF($F343&gt;efs_esikFark,1,0))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IF($A344="","",IF($F344&gt;efs_esikFark,1,0))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IF($A345="","",IF($F345&gt;efs_esikFark,1,0))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IF($A346="","",IF($F346&gt;efs_esikFark,1,0))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IF($A347="","",IF($F347&gt;efs_esikFark,1,0))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IF($A348="","",IF($F348&gt;efs_esikFark,1,0))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IF($A349="","",IF($F349&gt;efs_esikFark,1,0))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IF($A350="","",IF($F350&gt;efs_esikFark,1,0))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IF($A351="","",IF($F351&gt;efs_esikFark,1,0))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IF($A352="","",IF($F352&gt;efs_esikFark,1,0))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IF($A353="","",IF($F353&gt;efs_esikFark,1,0))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IF($A354="","",IF($F354&gt;efs_esikFark,1,0))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IF($A355="","",IF($F355&gt;efs_esikFark,1,0))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IF($A356="","",IF($F356&gt;efs_esikFark,1,0))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IF($A357="","",IF($F357&gt;efs_esikFark,1,0))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IF($A358="","",IF($F358&gt;efs_esikFark,1,0))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IF($A359="","",IF($F359&gt;efs_esikFark,1,0))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IF($A360="","",IF($F360&gt;efs_esikFark,1,0))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IF($A361="","",IF($F361&gt;efs_esikFark,1,0))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IF($A362="","",IF($F362&gt;efs_esikFark,1,0))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IF($A363="","",IF($F363&gt;efs_esikFark,1,0))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IF($A364="","",IF($F364&gt;efs_esikFark,1,0))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IF($A365="","",IF($F365&gt;efs_esikFark,1,0))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IF($A366="","",IF($F366&gt;efs_esikFark,1,0))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IF($A367="","",IF($F367&gt;efs_esikFark,1,0))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IF($A368="","",IF($F368&gt;efs_esikFark,1,0))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IF($A369="","",IF($F369&gt;efs_esikFark,1,0))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IF($A370="","",IF($F370&gt;efs_esikFark,1,0))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IF($A371="","",IF($F371&gt;efs_esikFark,1,0))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IF($A372="","",IF($F372&gt;efs_esikFark,1,0))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IF($A373="","",IF($F373&gt;efs_esikFark,1,0))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IF($A374="","",IF($F374&gt;efs_esikFark,1,0))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IF($A375="","",IF($F375&gt;efs_esikFark,1,0))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IF($A376="","",IF($F376&gt;efs_esikFark,1,0))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IF($A377="","",IF($F377&gt;efs_esikFark,1,0))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IF($A378="","",IF($F378&gt;efs_esikFark,1,0))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IF($A379="","",IF($F379&gt;efs_esikFark,1,0))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IF($A380="","",IF($F380&gt;efs_esikFark,1,0))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IF($A381="","",IF($F381&gt;efs_esikFark,1,0))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IF($A382="","",IF($F382&gt;efs_esikFark,1,0))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IF($A383="","",IF($F383&gt;efs_esikFark,1,0))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IF($A384="","",IF($F384&gt;efs_esikFark,1,0))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IF($A385="","",IF($F385&gt;efs_esikFark,1,0))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IF($A386="","",IF($F386&gt;efs_esikFark,1,0))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IF($A387="","",IF($F387&gt;efs_esikFark,1,0))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IF($A388="","",IF($F388&gt;efs_esikFark,1,0))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IF($A389="","",IF($F389&gt;efs_esikFark,1,0))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IF($A390="","",IF($F390&gt;efs_esikFark,1,0))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IF($A391="","",IF($F391&gt;efs_esikFark,1,0))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IF($A392="","",IF($F392&gt;efs_esikFark,1,0))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IF($A393="","",IF($F393&gt;efs_esikFark,1,0))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IF($A394="","",IF($F394&gt;efs_esikFark,1,0))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IF($A395="","",IF($F395&gt;efs_esikFark,1,0))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IF($A396="","",IF($F396&gt;efs_esikFark,1,0))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IF($A397="","",IF($F397&gt;efs_esikFark,1,0))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IF($A398="","",IF($F398&gt;efs_esikFark,1,0))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IF($A399="","",IF($F399&gt;efs_esikFark,1,0))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IF($A400="","",IF($F400&gt;efs_esikFark,1,0))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IF($A401="","",IF($F401&gt;efs_esikFark,1,0))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IF($A402="","",IF($F402&gt;efs_esikFark,1,0))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IF($A403="","",IF($F403&gt;efs_esikFark,1,0))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IF($A404="","",IF($F404&gt;efs_esikFark,1,0))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IF($A405="","",IF($F405&gt;efs_esikFark,1,0))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IF($A406="","",IF($F406&gt;efs_esikFark,1,0))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IF($A407="","",IF($F407&gt;efs_esikFark,1,0))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IF($A408="","",IF($F408&gt;efs_esikFark,1,0))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IF($A409="","",IF($F409&gt;efs_esikFark,1,0))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IF($A410="","",IF($F410&gt;efs_esikFark,1,0))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IF($A411="","",IF($F411&gt;efs_esikFark,1,0))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IF($A412="","",IF($F412&gt;efs_esikFark,1,0))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IF($A413="","",IF($F413&gt;efs_esikFark,1,0))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IF($A414="","",IF($F414&gt;efs_esikFark,1,0))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IF($A415="","",IF($F415&gt;efs_esikFark,1,0))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IF($A416="","",IF($F416&gt;efs_esikFark,1,0))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IF($A417="","",IF($F417&gt;efs_esikFark,1,0))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IF($A418="","",IF($F418&gt;efs_esikFark,1,0))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IF($A419="","",IF($F419&gt;efs_esikFark,1,0))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IF($A420="","",IF($F420&gt;efs_esikFark,1,0))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IF($A421="","",IF($F421&gt;efs_esikFark,1,0))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IF($A422="","",IF($F422&gt;efs_esikFark,1,0))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IF($A423="","",IF($F423&gt;efs_esikFark,1,0))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IF($A424="","",IF($F424&gt;efs_esikFark,1,0))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IF($A425="","",IF($F425&gt;efs_esikFark,1,0))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IF($A426="","",IF($F426&gt;efs_esikFark,1,0))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IF($A427="","",IF($F427&gt;efs_esikFark,1,0))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IF($A428="","",IF($F428&gt;efs_esikFark,1,0))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IF($A429="","",IF($F429&gt;efs_esikFark,1,0))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IF($A430="","",IF($F430&gt;efs_esikFark,1,0))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IF($A431="","",IF($F431&gt;efs_esikFark,1,0))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IF($A432="","",IF($F432&gt;efs_esikFark,1,0))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IF($A433="","",IF($F433&gt;efs_esikFark,1,0))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IF($A434="","",IF($F434&gt;efs_esikFark,1,0))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IF($A435="","",IF($F435&gt;efs_esikFark,1,0))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IF($A436="","",IF($F436&gt;efs_esikFark,1,0))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IF($A437="","",IF($F437&gt;efs_esikFark,1,0))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IF($A438="","",IF($F438&gt;efs_esikFark,1,0))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IF($A439="","",IF($F439&gt;efs_esikFark,1,0))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IF($A440="","",IF($F440&gt;efs_esikFark,1,0))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IF($A441="","",IF($F441&gt;efs_esikFark,1,0))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IF($A442="","",IF($F442&gt;efs_esikFark,1,0))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IF($A443="","",IF($F443&gt;efs_esikFark,1,0))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IF($A444="","",IF($F444&gt;efs_esikFark,1,0))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IF($A445="","",IF($F445&gt;efs_esikFark,1,0))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IF($A446="","",IF($F446&gt;efs_esikFark,1,0))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IF($A447="","",IF($F447&gt;efs_esikFark,1,0))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IF($A448="","",IF($F448&gt;efs_esikFark,1,0))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IF($A449="","",IF($F449&gt;efs_esikFark,1,0))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IF($A450="","",IF($F450&gt;efs_esikFark,1,0))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IF($A451="","",IF($F451&gt;efs_esikFark,1,0))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IF($A452="","",IF($F452&gt;efs_esikFark,1,0))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IF($A453="","",IF($F453&gt;efs_esikFark,1,0))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IF($A454="","",IF($F454&gt;efs_esikFark,1,0))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IF($A455="","",IF($F455&gt;efs_esikFark,1,0))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IF($A456="","",IF($F456&gt;efs_esikFark,1,0))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IF($A457="","",IF($F457&gt;efs_esikFark,1,0))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IF($A458="","",IF($F458&gt;efs_esikFark,1,0))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IF($A459="","",IF($F459&gt;efs_esikFark,1,0))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IF($A460="","",IF($F460&gt;efs_esikFark,1,0))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IF($A461="","",IF($F461&gt;efs_esikFark,1,0))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IF($A462="","",IF($F462&gt;efs_esikFark,1,0))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IF($A463="","",IF($F463&gt;efs_esikFark,1,0))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IF($A464="","",IF($F464&gt;efs_esikFark,1,0))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IF($A465="","",IF($F465&gt;efs_esikFark,1,0))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IF($A466="","",IF($F466&gt;efs_esikFark,1,0))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IF($A467="","",IF($F467&gt;efs_esikFark,1,0))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IF($A468="","",IF($F468&gt;efs_esikFark,1,0))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IF($A469="","",IF($F469&gt;efs_esikFark,1,0))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IF($A470="","",IF($F470&gt;efs_esikFark,1,0))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IF($A471="","",IF($F471&gt;efs_esikFark,1,0))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IF($A472="","",IF($F472&gt;efs_esikFark,1,0))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IF($A473="","",IF($F473&gt;efs_esikFark,1,0))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IF($A474="","",IF($F474&gt;efs_esikFark,1,0))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IF($A475="","",IF($F475&gt;efs_esikFark,1,0))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IF($A476="","",IF($F476&gt;efs_esikFark,1,0))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IF($A477="","",IF($F477&gt;efs_esikFark,1,0))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IF($A478="","",IF($F478&gt;efs_esikFark,1,0))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IF($A479="","",IF($F479&gt;efs_esikFark,1,0))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IF($A480="","",IF($F480&gt;efs_esikFark,1,0))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IF($A481="","",IF($F481&gt;efs_esikFark,1,0))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IF($A482="","",IF($F482&gt;efs_esikFark,1,0))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IF($A483="","",IF($F483&gt;efs_esikFark,1,0))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IF($A484="","",IF($F484&gt;efs_esikFark,1,0))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IF($A485="","",IF($F485&gt;efs_esikFark,1,0))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IF($A486="","",IF($F486&gt;efs_esikFark,1,0))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IF($A487="","",IF($F487&gt;efs_esikFark,1,0))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IF($A488="","",IF($F488&gt;efs_esikFark,1,0))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IF($A489="","",IF($F489&gt;efs_esikFark,1,0))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IF($A490="","",IF($F490&gt;efs_esikFark,1,0))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IF($A491="","",IF($F491&gt;efs_esikFark,1,0))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IF($A492="","",IF($F492&gt;efs_esikFark,1,0))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IF($A493="","",IF($F493&gt;efs_esikFark,1,0))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IF($A494="","",IF($F494&gt;efs_esikFark,1,0))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IF($A495="","",IF($F495&gt;efs_esikFark,1,0))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IF($A496="","",IF($F496&gt;efs_esikFark,1,0))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IF($A497="","",IF($F497&gt;efs_esikFark,1,0))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IF($A498="","",IF($F498&gt;efs_esikFark,1,0))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IF($A499="","",IF($F499&gt;efs_esikFark,1,0))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IF($A500="","",IF($F500&gt;efs_esikFark,1,0))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IF($A501="","",IF($F501&gt;efs_esikFark,1,0))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IF($A502="","",IF($F502&gt;efs_esikFark,1,0))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IF($A503="","",IF($F503&gt;efs_esikFark,1,0))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IF($A504="","",IF($F504&gt;efs_esikFark,1,0))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IF($A505="","",IF($F505&gt;efs_esikFark,1,0))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IF($A506="","",IF($F506&gt;efs_esikFark,1,0))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IF($A507="","",IF($F507&gt;efs_esikFark,1,0))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IF($A508="","",IF($F508&gt;efs_esikFark,1,0))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IF($A509="","",IF($F509&gt;efs_esikFark,1,0))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IF($A510="","",IF($F510&gt;efs_esikFark,1,0))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IF($A511="","",IF($F511&gt;efs_esikFark,1,0))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IF($A512="","",IF($F512&gt;efs_esikFark,1,0))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IF($A513="","",IF($F513&gt;efs_esikFark,1,0))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IF($A514="","",IF($F514&gt;efs_esikFark,1,0))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IF($A515="","",IF($F515&gt;efs_esikFark,1,0))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IF($A516="","",IF($F516&gt;efs_esikFark,1,0))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IF($A517="","",IF($F517&gt;efs_esikFark,1,0))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IF($A518="","",IF($F518&gt;efs_esikFark,1,0))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IF($A519="","",IF($F519&gt;efs_esikFark,1,0))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IF($A520="","",IF($F520&gt;efs_esikFark,1,0))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IF($A521="","",IF($F521&gt;efs_esikFark,1,0))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IF($A522="","",IF($F522&gt;efs_esikFark,1,0))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IF($A523="","",IF($F523&gt;efs_esikFark,1,0))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IF($A524="","",IF($F524&gt;efs_esikFark,1,0))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IF($A525="","",IF($F525&gt;efs_esikFark,1,0))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IF($A526="","",IF($F526&gt;efs_esikFark,1,0))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IF($A527="","",IF($F527&gt;efs_esikFark,1,0))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IF($A528="","",IF($F528&gt;efs_esikFark,1,0))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IF($A529="","",IF($F529&gt;efs_esikFark,1,0))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IF($A530="","",IF($F530&gt;efs_esikFark,1,0))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IF($A531="","",IF($F531&gt;efs_esikFark,1,0))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IF($A532="","",IF($F532&gt;efs_esikFark,1,0))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IF($A533="","",IF($F533&gt;efs_esikFark,1,0))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IF($A534="","",IF($F534&gt;efs_esikFark,1,0))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IF($A535="","",IF($F535&gt;efs_esikFark,1,0))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IF($A536="","",IF($F536&gt;efs_esikFark,1,0))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IF($A537="","",IF($F537&gt;efs_esikFark,1,0))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IF($A538="","",IF($F538&gt;efs_esikFark,1,0))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IF($A539="","",IF($F539&gt;efs_esikFark,1,0))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IF($A540="","",IF($F540&gt;efs_esikFark,1,0))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IF($A541="","",IF($F541&gt;efs_esikFark,1,0))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IF($A542="","",IF($F542&gt;efs_esikFark,1,0))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IF($A543="","",IF($F543&gt;efs_esikFark,1,0))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IF($A544="","",IF($F544&gt;efs_esikFark,1,0))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IF($A545="","",IF($F545&gt;efs_esikFark,1,0))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IF($A546="","",IF($F546&gt;efs_esikFark,1,0))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IF($A547="","",IF($F547&gt;efs_esikFark,1,0))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IF($A548="","",IF($F548&gt;efs_esikFark,1,0))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IF($A549="","",IF($F549&gt;efs_esikFark,1,0))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IF($A550="","",IF($F550&gt;efs_esikFark,1,0))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IF($A551="","",IF($F551&gt;efs_esikFark,1,0))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IF($A552="","",IF($F552&gt;efs_esikFark,1,0))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IF($A553="","",IF($F553&gt;efs_esikFark,1,0))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IF($A554="","",IF($F554&gt;efs_esikFark,1,0))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IF($A555="","",IF($F555&gt;efs_esikFark,1,0))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IF($A556="","",IF($F556&gt;efs_esikFark,1,0))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IF($A557="","",IF($F557&gt;efs_esikFark,1,0))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IF($A558="","",IF($F558&gt;efs_esikFark,1,0))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IF($A559="","",IF($F559&gt;efs_esikFark,1,0))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IF($A560="","",IF($F560&gt;efs_esikFark,1,0))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IF($A561="","",IF($F561&gt;efs_esikFark,1,0))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IF($A562="","",IF($F562&gt;efs_esikFark,1,0))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IF($A563="","",IF($F563&gt;efs_esikFark,1,0))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IF($A564="","",IF($F564&gt;efs_esikFark,1,0))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IF($A565="","",IF($F565&gt;efs_esikFark,1,0))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IF($A566="","",IF($F566&gt;efs_esikFark,1,0))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IF($A567="","",IF($F567&gt;efs_esikFark,1,0))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IF($A568="","",IF($F568&gt;efs_esikFark,1,0))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IF($A569="","",IF($F569&gt;efs_esikFark,1,0))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IF($A570="","",IF($F570&gt;efs_esikFark,1,0))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IF($A571="","",IF($F571&gt;efs_esikFark,1,0))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IF($A572="","",IF($F572&gt;efs_esikFark,1,0))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IF($A573="","",IF($F573&gt;efs_esikFark,1,0))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IF($A574="","",IF($F574&gt;efs_esikFark,1,0))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IF($A575="","",IF($F575&gt;efs_esikFark,1,0))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IF($A576="","",IF($F576&gt;efs_esikFark,1,0))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IF($A577="","",IF($F577&gt;efs_esikFark,1,0))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IF($A578="","",IF($F578&gt;efs_esikFark,1,0))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IF($A579="","",IF($F579&gt;efs_esikFark,1,0))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IF($A580="","",IF($F580&gt;efs_esikFark,1,0))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IF($A581="","",IF($F581&gt;efs_esikFark,1,0))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IF($A582="","",IF($F582&gt;efs_esikFark,1,0))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IF($A583="","",IF($F583&gt;efs_esikFark,1,0))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IF($A584="","",IF($F584&gt;efs_esikFark,1,0))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IF($A585="","",IF($F585&gt;efs_esikFark,1,0))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IF($A586="","",IF($F586&gt;efs_esikFark,1,0))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IF($A587="","",IF($F587&gt;efs_esikFark,1,0))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IF($A588="","",IF($F588&gt;efs_esikFark,1,0))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IF($A589="","",IF($F589&gt;efs_esikFark,1,0))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IF($A590="","",IF($F590&gt;efs_esikFark,1,0))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IF($A591="","",IF($F591&gt;efs_esikFark,1,0))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IF($A592="","",IF($F592&gt;efs_esikFark,1,0))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IF($A593="","",IF($F593&gt;efs_esikFark,1,0))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IF($A594="","",IF($F594&gt;efs_esikFark,1,0))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IF($A595="","",IF($F595&gt;efs_esikFark,1,0))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IF($A596="","",IF($F596&gt;efs_esikFark,1,0))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IF($A597="","",IF($F597&gt;efs_esikFark,1,0))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IF($A598="","",IF($F598&gt;efs_esikFark,1,0))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IF($A599="","",IF($F599&gt;efs_esikFark,1,0))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IF($A600="","",IF($F600&gt;efs_esikFark,1,0))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IF($A601="","",IF($F601&gt;efs_esikFark,1,0))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IF($A602="","",IF($F602&gt;efs_esikFark,1,0))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IF($A603="","",IF($F603&gt;efs_esikFark,1,0))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IF($A604="","",IF($F604&gt;efs_esikFark,1,0))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IF($A605="","",IF($F605&gt;efs_esikFark,1,0))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IF($A606="","",IF($F606&gt;efs_esikFark,1,0))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IF($A607="","",IF($F607&gt;efs_esikFark,1,0))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IF($A608="","",IF($F608&gt;efs_esikFark,1,0))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IF($A609="","",IF($F609&gt;efs_esikFark,1,0))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IF($A610="","",IF($F610&gt;efs_esikFark,1,0))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IF($A611="","",IF($F611&gt;efs_esikFark,1,0))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IF($A612="","",IF($F612&gt;efs_esikFark,1,0))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IF($A613="","",IF($F613&gt;efs_esikFark,1,0))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IF($A614="","",IF($F614&gt;efs_esikFark,1,0))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IF($A615="","",IF($F615&gt;efs_esikFark,1,0))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IF($A616="","",IF($F616&gt;efs_esikFark,1,0))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IF($A617="","",IF($F617&gt;efs_esikFark,1,0))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IF($A618="","",IF($F618&gt;efs_esikFark,1,0))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IF($A619="","",IF($F619&gt;efs_esikFark,1,0))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IF($A620="","",IF($F620&gt;efs_esikFark,1,0))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IF($A621="","",IF($F621&gt;efs_esikFark,1,0))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IF($A622="","",IF($F622&gt;efs_esikFark,1,0))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IF($A623="","",IF($F623&gt;efs_esikFark,1,0))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IF($A624="","",IF($F624&gt;efs_esikFark,1,0))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IF($A625="","",IF($F625&gt;efs_esikFark,1,0))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IF($A626="","",IF($F626&gt;efs_esikFark,1,0))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IF($A627="","",IF($F627&gt;efs_esikFark,1,0))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IF($A628="","",IF($F628&gt;efs_esikFark,1,0))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IF($A629="","",IF($F629&gt;efs_esikFark,1,0))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IF($A630="","",IF($F630&gt;efs_esikFark,1,0))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IF($A631="","",IF($F631&gt;efs_esikFark,1,0))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IF($A632="","",IF($F632&gt;efs_esikFark,1,0))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IF($A633="","",IF($F633&gt;efs_esikFark,1,0))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IF($A634="","",IF($F634&gt;efs_esikFark,1,0))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IF($A635="","",IF($F635&gt;efs_esikFark,1,0))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IF($A636="","",IF($F636&gt;efs_esikFark,1,0))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IF($A637="","",IF($F637&gt;efs_esikFark,1,0))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IF($A638="","",IF($F638&gt;efs_esikFark,1,0))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IF($A639="","",IF($F639&gt;efs_esikFark,1,0))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IF($A640="","",IF($F640&gt;efs_esikFark,1,0))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IF($A641="","",IF($F641&gt;efs_esikFark,1,0))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IF($A642="","",IF($F642&gt;efs_esikFark,1,0))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IF($A643="","",IF($F643&gt;efs_esikFark,1,0))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IF($A644="","",IF($F644&gt;efs_esikFark,1,0))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IF($A645="","",IF($F645&gt;efs_esikFark,1,0))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IF($A646="","",IF($F646&gt;efs_esikFark,1,0))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IF($A647="","",IF($F647&gt;efs_esikFark,1,0))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IF($A648="","",IF($F648&gt;efs_esikFark,1,0))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IF($A649="","",IF($F649&gt;efs_esikFark,1,0))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IF($A650="","",IF($F650&gt;efs_esikFark,1,0))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IF($A651="","",IF($F651&gt;efs_esikFark,1,0))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IF($A652="","",IF($F652&gt;efs_esikFark,1,0))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IF($A653="","",IF($F653&gt;efs_esikFark,1,0))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IF($A654="","",IF($F654&gt;efs_esikFark,1,0))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IF($A655="","",IF($F655&gt;efs_esikFark,1,0))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IF($A656="","",IF($F656&gt;efs_esikFark,1,0))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IF($A657="","",IF($F657&gt;efs_esikFark,1,0))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IF($A658="","",IF($F658&gt;efs_esikFark,1,0))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IF($A659="","",IF($F659&gt;efs_esikFark,1,0))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IF($A660="","",IF($F660&gt;efs_esikFark,1,0))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IF($A661="","",IF($F661&gt;efs_esikFark,1,0))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IF($A662="","",IF($F662&gt;efs_esikFark,1,0))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IF($A663="","",IF($F663&gt;efs_esikFark,1,0))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IF($A664="","",IF($F664&gt;efs_esikFark,1,0))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IF($A665="","",IF($F665&gt;efs_esikFark,1,0))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IF($A666="","",IF($F666&gt;efs_esikFark,1,0))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IF($A667="","",IF($F667&gt;efs_esikFark,1,0))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IF($A668="","",IF($F668&gt;efs_esikFark,1,0))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IF($A669="","",IF($F669&gt;efs_esikFark,1,0))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IF($A670="","",IF($F670&gt;efs_esikFark,1,0))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IF($A671="","",IF($F671&gt;efs_esikFark,1,0))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IF($A672="","",IF($F672&gt;efs_esikFark,1,0))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IF($A673="","",IF($F673&gt;efs_esikFark,1,0))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IF($A674="","",IF($F674&gt;efs_esikFark,1,0))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IF($A675="","",IF($F675&gt;efs_esikFark,1,0))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IF($A676="","",IF($F676&gt;efs_esikFark,1,0))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IF($A677="","",IF($F677&gt;efs_esikFark,1,0))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IF($A678="","",IF($F678&gt;efs_esikFark,1,0))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IF($A679="","",IF($F679&gt;efs_esikFark,1,0))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IF($A680="","",IF($F680&gt;efs_esikFark,1,0))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IF($A681="","",IF($F681&gt;efs_esikFark,1,0))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IF($A682="","",IF($F682&gt;efs_esikFark,1,0))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IF($A683="","",IF($F683&gt;efs_esikFark,1,0))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IF($A684="","",IF($F684&gt;efs_esikFark,1,0))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IF($A685="","",IF($F685&gt;efs_esikFark,1,0))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IF($A686="","",IF($F686&gt;efs_esikFark,1,0))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IF($A687="","",IF($F687&gt;efs_esikFark,1,0))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IF($A688="","",IF($F688&gt;efs_esikFark,1,0))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IF($A689="","",IF($F689&gt;efs_esikFark,1,0))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IF($A690="","",IF($F690&gt;efs_esikFark,1,0))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IF($A691="","",IF($F691&gt;efs_esikFark,1,0))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IF($A692="","",IF($F692&gt;efs_esikFark,1,0))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IF($A693="","",IF($F693&gt;efs_esikFark,1,0))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IF($A694="","",IF($F694&gt;efs_esikFark,1,0))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IF($A695="","",IF($F695&gt;efs_esikFark,1,0))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IF($A696="","",IF($F696&gt;efs_esikFark,1,0))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IF($A697="","",IF($F697&gt;efs_esikFark,1,0))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IF($A698="","",IF($F698&gt;efs_esikFark,1,0))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IF($A699="","",IF($F699&gt;efs_esikFark,1,0))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IF($A700="","",IF($F700&gt;efs_esikFark,1,0))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IF($A701="","",IF($F701&gt;efs_esikFark,1,0))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IF($A702="","",IF($F702&gt;efs_esikFark,1,0))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IF($A703="","",IF($F703&gt;efs_esikFark,1,0))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IF($A704="","",IF($F704&gt;efs_esikFark,1,0))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IF($A705="","",IF($F705&gt;efs_esikFark,1,0))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IF($A706="","",IF($F706&gt;efs_esikFark,1,0))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IF($A707="","",IF($F707&gt;efs_esikFark,1,0))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IF($A708="","",IF($F708&gt;efs_esikFark,1,0))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IF($A709="","",IF($F709&gt;efs_esikFark,1,0))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IF($A710="","",IF($F710&gt;efs_esikFark,1,0))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IF($A711="","",IF($F711&gt;efs_esikFark,1,0))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IF($A712="","",IF($F712&gt;efs_esikFark,1,0))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IF($A713="","",IF($F713&gt;efs_esikFark,1,0))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IF($A714="","",IF($F714&gt;efs_esikFark,1,0))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IF($A715="","",IF($F715&gt;efs_esikFark,1,0))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IF($A716="","",IF($F716&gt;efs_esikFark,1,0))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IF($A717="","",IF($F717&gt;efs_esikFark,1,0))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IF($A718="","",IF($F718&gt;efs_esikFark,1,0))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IF($A719="","",IF($F719&gt;efs_esikFark,1,0))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IF($A720="","",IF($F720&gt;efs_esikFark,1,0))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IF($A721="","",IF($F721&gt;efs_esikFark,1,0))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IF($A722="","",IF($F722&gt;efs_esikFark,1,0))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IF($A723="","",IF($F723&gt;efs_esikFark,1,0))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IF($A724="","",IF($F724&gt;efs_esikFark,1,0))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IF($A725="","",IF($F725&gt;efs_esikFark,1,0))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IF($A726="","",IF($F726&gt;efs_esikFark,1,0))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IF($A727="","",IF($F727&gt;efs_esikFark,1,0))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IF($A728="","",IF($F728&gt;efs_esikFark,1,0))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IF($A729="","",IF($F729&gt;efs_esikFark,1,0))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IF($A730="","",IF($F730&gt;efs_esikFark,1,0))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IF($A731="","",IF($F731&gt;efs_esikFark,1,0))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IF($A732="","",IF($F732&gt;efs_esikFark,1,0))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IF($A733="","",IF($F733&gt;efs_esikFark,1,0))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IF($A734="","",IF($F734&gt;efs_esikFark,1,0))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IF($A735="","",IF($F735&gt;efs_esikFark,1,0))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IF($A736="","",IF($F736&gt;efs_esikFark,1,0))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IF($A737="","",IF($F737&gt;efs_esikFark,1,0))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IF($A738="","",IF($F738&gt;efs_esikFark,1,0))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IF($A739="","",IF($F739&gt;efs_esikFark,1,0))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IF($A740="","",IF($F740&gt;efs_esikFark,1,0))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IF($A741="","",IF($F741&gt;efs_esikFark,1,0))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IF($A742="","",IF($F742&gt;efs_esikFark,1,0))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IF($A743="","",IF($F743&gt;efs_esikFark,1,0))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IF($A744="","",IF($F744&gt;efs_esikFark,1,0))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IF($A745="","",IF($F745&gt;efs_esikFark,1,0))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IF($A746="","",IF($F746&gt;efs_esikFark,1,0))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IF($A747="","",IF($F747&gt;efs_esikFark,1,0))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IF($A748="","",IF($F748&gt;efs_esikFark,1,0))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IF($A749="","",IF($F749&gt;efs_esikFark,1,0))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IF($A750="","",IF($F750&gt;efs_esikFark,1,0))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IF($A751="","",IF($F751&gt;efs_esikFark,1,0))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IF($A752="","",IF($F752&gt;efs_esikFark,1,0))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IF($A753="","",IF($F753&gt;efs_esikFark,1,0))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IF($A754="","",IF($F754&gt;efs_esikFark,1,0))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IF($A755="","",IF($F755&gt;efs_esikFark,1,0))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IF($A756="","",IF($F756&gt;efs_esikFark,1,0))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IF($A757="","",IF($F757&gt;efs_esikFark,1,0))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IF($A758="","",IF($F758&gt;efs_esikFark,1,0))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IF($A759="","",IF($F759&gt;efs_esikFark,1,0))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IF($A760="","",IF($F760&gt;efs_esikFark,1,0))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IF($A761="","",IF($F761&gt;efs_esikFark,1,0))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IF($A762="","",IF($F762&gt;efs_esikFark,1,0))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IF($A763="","",IF($F763&gt;efs_esikFark,1,0))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IF($A764="","",IF($F764&gt;efs_esikFark,1,0))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IF($A765="","",IF($F765&gt;efs_esikFark,1,0))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IF($A766="","",IF($F766&gt;efs_esikFark,1,0))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IF($A767="","",IF($F767&gt;efs_esikFark,1,0))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IF($A768="","",IF($F768&gt;efs_esikFark,1,0))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IF($A769="","",IF($F769&gt;efs_esikFark,1,0))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IF($A770="","",IF($F770&gt;efs_esikFark,1,0))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IF($A771="","",IF($F771&gt;efs_esikFark,1,0))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IF($A772="","",IF($F772&gt;efs_esikFark,1,0))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IF($A773="","",IF($F773&gt;efs_esikFark,1,0))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IF($A774="","",IF($F774&gt;efs_esikFark,1,0))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IF($A775="","",IF($F775&gt;efs_esikFark,1,0))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IF($A776="","",IF($F776&gt;efs_esikFark,1,0))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IF($A777="","",IF($F777&gt;efs_esikFark,1,0))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IF($A778="","",IF($F778&gt;efs_esikFark,1,0))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IF($A779="","",IF($F779&gt;efs_esikFark,1,0))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IF($A780="","",IF($F780&gt;efs_esikFark,1,0))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IF($A781="","",IF($F781&gt;efs_esikFark,1,0))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IF($A782="","",IF($F782&gt;efs_esikFark,1,0))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IF($A783="","",IF($F783&gt;efs_esikFark,1,0))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IF($A784="","",IF($F784&gt;efs_esikFark,1,0))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IF($A785="","",IF($F785&gt;efs_esikFark,1,0))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IF($A786="","",IF($F786&gt;efs_esikFark,1,0))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IF($A787="","",IF($F787&gt;efs_esikFark,1,0))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IF($A788="","",IF($F788&gt;efs_esikFark,1,0))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IF($A789="","",IF($F789&gt;efs_esikFark,1,0))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IF($A790="","",IF($F790&gt;efs_esikFark,1,0))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IF($A791="","",IF($F791&gt;efs_esikFark,1,0))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IF($A792="","",IF($F792&gt;efs_esikFark,1,0))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IF($A793="","",IF($F793&gt;efs_esikFark,1,0))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IF($A794="","",IF($F794&gt;efs_esikFark,1,0))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IF($A795="","",IF($F795&gt;efs_esikFark,1,0))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IF($A796="","",IF($F796&gt;efs_esikFark,1,0))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IF($A797="","",IF($F797&gt;efs_esikFark,1,0))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IF($A798="","",IF($F798&gt;efs_esikFark,1,0))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IF($A799="","",IF($F799&gt;efs_esikFark,1,0))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IF($A800="","",IF($F800&gt;efs_esikFark,1,0))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IF($A801="","",IF($F801&gt;efs_esikFark,1,0))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IF($A802="","",IF($F802&gt;efs_esikFark,1,0))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IF($A803="","",IF($F803&gt;efs_esikFark,1,0))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IF($A804="","",IF($F804&gt;efs_esikFark,1,0))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IF($A805="","",IF($F805&gt;efs_esikFark,1,0))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IF($A806="","",IF($F806&gt;efs_esikFark,1,0))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IF($A807="","",IF($F807&gt;efs_esikFark,1,0))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IF($A808="","",IF($F808&gt;efs_esikFark,1,0))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IF($A809="","",IF($F809&gt;efs_esikFark,1,0))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IF($A810="","",IF($F810&gt;efs_esikFark,1,0))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IF($A811="","",IF($F811&gt;efs_esikFark,1,0))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IF($A812="","",IF($F812&gt;efs_esikFark,1,0))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IF($A813="","",IF($F813&gt;efs_esikFark,1,0))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IF($A814="","",IF($F814&gt;efs_esikFark,1,0))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IF($A815="","",IF($F815&gt;efs_esikFark,1,0))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IF($A816="","",IF($F816&gt;efs_esikFark,1,0))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IF($A817="","",IF($F817&gt;efs_esikFark,1,0))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IF($A818="","",IF($F818&gt;efs_esikFark,1,0))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IF($A819="","",IF($F819&gt;efs_esikFark,1,0))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IF($A820="","",IF($F820&gt;efs_esikFark,1,0))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IF($A821="","",IF($F821&gt;efs_esikFark,1,0))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IF($A822="","",IF($F822&gt;efs_esikFark,1,0))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IF($A823="","",IF($F823&gt;efs_esikFark,1,0))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IF($A824="","",IF($F824&gt;efs_esikFark,1,0))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IF($A825="","",IF($F825&gt;efs_esikFark,1,0))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IF($A826="","",IF($F826&gt;efs_esikFark,1,0))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IF($A827="","",IF($F827&gt;efs_esikFark,1,0))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IF($A828="","",IF($F828&gt;efs_esikFark,1,0))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IF($A829="","",IF($F829&gt;efs_esikFark,1,0))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IF($A830="","",IF($F830&gt;efs_esikFark,1,0))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IF($A831="","",IF($F831&gt;efs_esikFark,1,0))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IF($A832="","",IF($F832&gt;efs_esikFark,1,0))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IF($A833="","",IF($F833&gt;efs_esikFark,1,0))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IF($A834="","",IF($F834&gt;efs_esikFark,1,0))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IF($A835="","",IF($F835&gt;efs_esikFark,1,0))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IF($A836="","",IF($F836&gt;efs_esikFark,1,0))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IF($A837="","",IF($F837&gt;efs_esikFark,1,0))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IF($A838="","",IF($F838&gt;efs_esikFark,1,0))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IF($A839="","",IF($F839&gt;efs_esikFark,1,0))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IF($A840="","",IF($F840&gt;efs_esikFark,1,0))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IF($A841="","",IF($F841&gt;efs_esikFark,1,0))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IF($A842="","",IF($F842&gt;efs_esikFark,1,0))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IF($A843="","",IF($F843&gt;efs_esikFark,1,0))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IF($A844="","",IF($F844&gt;efs_esikFark,1,0))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IF($A845="","",IF($F845&gt;efs_esikFark,1,0))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IF($A846="","",IF($F846&gt;efs_esikFark,1,0))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IF($A847="","",IF($F847&gt;efs_esikFark,1,0))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IF($A848="","",IF($F848&gt;efs_esikFark,1,0))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IF($A849="","",IF($F849&gt;efs_esikFark,1,0))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IF($A850="","",IF($F850&gt;efs_esikFark,1,0))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IF($A851="","",IF($F851&gt;efs_esikFark,1,0))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IF($A852="","",IF($F852&gt;efs_esikFark,1,0))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IF($A853="","",IF($F853&gt;efs_esikFark,1,0))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IF($A854="","",IF($F854&gt;efs_esikFark,1,0))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IF($A855="","",IF($F855&gt;efs_esikFark,1,0))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IF($A856="","",IF($F856&gt;efs_esikFark,1,0))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IF($A857="","",IF($F857&gt;efs_esikFark,1,0))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IF($A858="","",IF($F858&gt;efs_esikFark,1,0))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IF($A859="","",IF($F859&gt;efs_esikFark,1,0))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IF($A860="","",IF($F860&gt;efs_esikFark,1,0))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IF($A861="","",IF($F861&gt;efs_esikFark,1,0))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IF($A862="","",IF($F862&gt;efs_esikFark,1,0))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IF($A863="","",IF($F863&gt;efs_esikFark,1,0))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IF($A864="","",IF($F864&gt;efs_esikFark,1,0))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IF($A865="","",IF($F865&gt;efs_esikFark,1,0))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IF($A866="","",IF($F866&gt;efs_esikFark,1,0))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IF($A867="","",IF($F867&gt;efs_esikFark,1,0))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IF($A868="","",IF($F868&gt;efs_esikFark,1,0))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IF($A869="","",IF($F869&gt;efs_esikFark,1,0))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IF($A870="","",IF($F870&gt;efs_esikFark,1,0))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IF($A871="","",IF($F871&gt;efs_esikFark,1,0))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IF($A872="","",IF($F872&gt;efs_esikFark,1,0))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IF($A873="","",IF($F873&gt;efs_esikFark,1,0))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IF($A874="","",IF($F874&gt;efs_esikFark,1,0))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IF($A875="","",IF($F875&gt;efs_esikFark,1,0))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IF($A876="","",IF($F876&gt;efs_esikFark,1,0))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IF($A877="","",IF($F877&gt;efs_esikFark,1,0))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IF($A878="","",IF($F878&gt;efs_esikFark,1,0))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IF($A879="","",IF($F879&gt;efs_esikFark,1,0))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IF($A880="","",IF($F880&gt;efs_esikFark,1,0))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IF($A881="","",IF($F881&gt;efs_esikFark,1,0))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IF($A882="","",IF($F882&gt;efs_esikFark,1,0))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IF($A883="","",IF($F883&gt;efs_esikFark,1,0))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IF($A884="","",IF($F884&gt;efs_esikFark,1,0))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IF($A885="","",IF($F885&gt;efs_esikFark,1,0))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IF($A886="","",IF($F886&gt;efs_esikFark,1,0))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IF($A887="","",IF($F887&gt;efs_esikFark,1,0))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IF($A888="","",IF($F888&gt;efs_esikFark,1,0))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IF($A889="","",IF($F889&gt;efs_esikFark,1,0))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IF($A890="","",IF($F890&gt;efs_esikFark,1,0))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IF($A891="","",IF($F891&gt;efs_esikFark,1,0))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IF($A892="","",IF($F892&gt;efs_esikFark,1,0))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IF($A893="","",IF($F893&gt;efs_esikFark,1,0))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IF($A894="","",IF($F894&gt;efs_esikFark,1,0))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IF($A895="","",IF($F895&gt;efs_esikFark,1,0))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IF($A896="","",IF($F896&gt;efs_esikFark,1,0))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IF($A897="","",IF($F897&gt;efs_esikFark,1,0))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IF($A898="","",IF($F898&gt;efs_esikFark,1,0))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IF($A899="","",IF($F899&gt;efs_esikFark,1,0))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IF($A900="","",IF($F900&gt;efs_esikFark,1,0))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IF($A901="","",IF($F901&gt;efs_esikFark,1,0))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IF($A902="","",IF($F902&gt;efs_esikFark,1,0))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IF($A903="","",IF($F903&gt;efs_esikFark,1,0))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IF($A904="","",IF($F904&gt;efs_esikFark,1,0))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IF($A905="","",IF($F905&gt;efs_esikFark,1,0))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IF($A906="","",IF($F906&gt;efs_esikFark,1,0))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IF($A907="","",IF($F907&gt;efs_esikFark,1,0))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IF($A908="","",IF($F908&gt;efs_esikFark,1,0))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IF($A909="","",IF($F909&gt;efs_esikFark,1,0))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IF($A910="","",IF($F910&gt;efs_esikFark,1,0))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IF($A911="","",IF($F911&gt;efs_esikFark,1,0))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IF($A912="","",IF($F912&gt;efs_esikFark,1,0))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IF($A913="","",IF($F913&gt;efs_esikFark,1,0))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IF($A914="","",IF($F914&gt;efs_esikFark,1,0))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IF($A915="","",IF($F915&gt;efs_esikFark,1,0))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IF($A916="","",IF($F916&gt;efs_esikFark,1,0))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IF($A917="","",IF($F917&gt;efs_esikFark,1,0))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IF($A918="","",IF($F918&gt;efs_esikFark,1,0))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IF($A919="","",IF($F919&gt;efs_esikFark,1,0))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IF($A920="","",IF($F920&gt;efs_esikFark,1,0))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IF($A921="","",IF($F921&gt;efs_esikFark,1,0))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IF($A922="","",IF($F922&gt;efs_esikFark,1,0))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IF($A923="","",IF($F923&gt;efs_esikFark,1,0))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IF($A924="","",IF($F924&gt;efs_esikFark,1,0))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IF($A925="","",IF($F925&gt;efs_esikFark,1,0))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IF($A926="","",IF($F926&gt;efs_esikFark,1,0))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IF($A927="","",IF($F927&gt;efs_esikFark,1,0))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IF($A928="","",IF($F928&gt;efs_esikFark,1,0))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IF($A929="","",IF($F929&gt;efs_esikFark,1,0))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IF($A930="","",IF($F930&gt;efs_esikFark,1,0))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IF($A931="","",IF($F931&gt;efs_esikFark,1,0))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IF($A932="","",IF($F932&gt;efs_esikFark,1,0))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IF($A933="","",IF($F933&gt;efs_esikFark,1,0))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IF($A934="","",IF($F934&gt;efs_esikFark,1,0))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IF($A935="","",IF($F935&gt;efs_esikFark,1,0))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IF($A936="","",IF($F936&gt;efs_esikFark,1,0))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IF($A937="","",IF($F937&gt;efs_esikFark,1,0))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IF($A938="","",IF($F938&gt;efs_esikFark,1,0))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IF($A939="","",IF($F939&gt;efs_esikFark,1,0))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IF($A940="","",IF($F940&gt;efs_esikFark,1,0))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IF($A941="","",IF($F941&gt;efs_esikFark,1,0))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IF($A942="","",IF($F942&gt;efs_esikFark,1,0))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IF($A943="","",IF($F943&gt;efs_esikFark,1,0))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IF($A944="","",IF($F944&gt;efs_esikFark,1,0))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IF($A945="","",IF($F945&gt;efs_esikFark,1,0))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IF($A946="","",IF($F946&gt;efs_esikFark,1,0))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IF($A947="","",IF($F947&gt;efs_esikFark,1,0))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IF($A948="","",IF($F948&gt;efs_esikFark,1,0))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IF($A949="","",IF($F949&gt;efs_esikFark,1,0))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IF($A950="","",IF($F950&gt;efs_esikFark,1,0))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IF($A951="","",IF($F951&gt;efs_esikFark,1,0))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IF($A952="","",IF($F952&gt;efs_esikFark,1,0))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IF($A953="","",IF($F953&gt;efs_esikFark,1,0))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IF($A954="","",IF($F954&gt;efs_esikFark,1,0))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IF($A955="","",IF($F955&gt;efs_esikFark,1,0))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IF($A956="","",IF($F956&gt;efs_esikFark,1,0))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IF($A957="","",IF($F957&gt;efs_esikFark,1,0))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IF($A958="","",IF($F958&gt;efs_esikFark,1,0))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IF($A959="","",IF($F959&gt;efs_esikFark,1,0))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IF($A960="","",IF($F960&gt;efs_esikFark,1,0))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IF($A961="","",IF($F961&gt;efs_esikFark,1,0))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IF($A962="","",IF($F962&gt;efs_esikFark,1,0))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IF($A963="","",IF($F963&gt;efs_esikFark,1,0))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IF($A964="","",IF($F964&gt;efs_esikFark,1,0))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IF($A965="","",IF($F965&gt;efs_esikFark,1,0))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IF($A966="","",IF($F966&gt;efs_esikFark,1,0))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IF($A967="","",IF($F967&gt;efs_esikFark,1,0))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IF($A968="","",IF($F968&gt;efs_esikFark,1,0))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IF($A969="","",IF($F969&gt;efs_esikFark,1,0))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IF($A970="","",IF($F970&gt;efs_esikFark,1,0))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IF($A971="","",IF($F971&gt;efs_esikFark,1,0))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IF($A972="","",IF($F972&gt;efs_esikFark,1,0))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IF($A973="","",IF($F973&gt;efs_esikFark,1,0))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IF($A974="","",IF($F974&gt;efs_esikFark,1,0))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IF($A975="","",IF($F975&gt;efs_esikFark,1,0))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IF($A976="","",IF($F976&gt;efs_esikFark,1,0))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IF($A977="","",IF($F977&gt;efs_esikFark,1,0))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IF($A978="","",IF($F978&gt;efs_esikFark,1,0))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IF($A979="","",IF($F979&gt;efs_esikFark,1,0))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IF($A980="","",IF($F980&gt;efs_esikFark,1,0))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IF($A981="","",IF($F981&gt;efs_esikFark,1,0))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IF($A982="","",IF($F982&gt;efs_esikFark,1,0))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IF($A983="","",IF($F983&gt;efs_esikFark,1,0))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IF($A984="","",IF($F984&gt;efs_esikFark,1,0))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IF($A985="","",IF($F985&gt;efs_esikFark,1,0))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IF($A986="","",IF($F986&gt;efs_esikFark,1,0))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IF($A987="","",IF($F987&gt;efs_esikFark,1,0))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IF($A988="","",IF($F988&gt;efs_esikFark,1,0))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IF($A989="","",IF($F989&gt;efs_esikFark,1,0))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IF($A990="","",IF($F990&gt;efs_esikFark,1,0))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IF($A991="","",IF($F991&gt;efs_esikFark,1,0))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IF($A992="","",IF($F992&gt;efs_esikFark,1,0))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IF($A993="","",IF($F993&gt;efs_esikFark,1,0))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IF($A994="","",IF($F994&gt;efs_esikFark,1,0))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IF($A995="","",IF($F995&gt;efs_esikFark,1,0))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IF($A996="","",IF($F996&gt;efs_esikFark,1,0))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IF($A997="","",IF($F997&gt;efs_esikFark,1,0))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IF($A998="","",IF($F998&gt;efs_esikFark,1,0))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IF($A999="","",IF($F999&gt;efs_esikFark,1,0))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IF($A1000="","",IF($F1000&gt;efs_esikFark,1,0))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IF($A1001="","",IF($F1001&gt;efs_esikFark,1,0))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IF($A1002="","",IF($F1002&gt;efs_esikFark,1,0))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IF($A1003="","",IF($F1003&gt;efs_esikFark,1,0))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IF($A1004="","",IF($F1004&gt;efs_esikFark,1,0))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IF($A1005="","",IF($F1005&gt;efs_esikFark,1,0))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/>
  </sheetPr>
  <dimension ref="A1:N10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Toplu e-Fatura Satır Defteri ve PDF Kanıtı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IF($A16="","",IF($C16&lt;=efs_yuvarlamaEsik,1,0))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IF(OR($A16="",$B16&lt;&gt;"tutar_farki"),"",IF(ABS($C16-$D16)&lt;=toleransKurus,"KDV_ORAN",IF(ABS($C16-$E16*efs_kdvOran)&lt;=toleransKurus,"MATRAH",IF($F16=1,"YUVARLAMA","TANIMSIZ"))))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IF($A17="","",IF($C17&lt;=efs_yuvarlamaEsik,1,0))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IF(OR($A17="",$B17&lt;&gt;"tutar_farki"),"",IF(ABS($C17-$D17)&lt;=toleransKurus,"KDV_ORAN",IF(ABS($C17-$E17*efs_kdvOran)&lt;=toleransKurus,"MATRAH",IF($F17=1,"YUVARLAMA","TANIMSIZ"))))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IF($A18="","",IF($C18&lt;=efs_yuvarlamaEsik,1,0))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IF(OR($A18="",$B18&lt;&gt;"tutar_farki"),"",IF(ABS($C18-$D18)&lt;=toleransKurus,"KDV_ORAN",IF(ABS($C18-$E18*efs_kdvOran)&lt;=toleransKurus,"MATRAH",IF($F18=1,"YUVARLAMA","TANIMSIZ"))))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IF($A19="","",IF($C19&lt;=efs_yuvarlamaEsik,1,0))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IF(OR($A19="",$B19&lt;&gt;"tutar_farki"),"",IF(ABS($C19-$D19)&lt;=toleransKurus,"KDV_ORAN",IF(ABS($C19-$E19*efs_kdvOran)&lt;=toleransKurus,"MATRAH",IF($F19=1,"YUVARLAMA","TANIMSIZ"))))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IF($A20="","",IF($C20&lt;=efs_yuvarlamaEsik,1,0))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IF(OR($A20="",$B20&lt;&gt;"tutar_farki"),"",IF(ABS($C20-$D20)&lt;=toleransKurus,"KDV_ORAN",IF(ABS($C20-$E20*efs_kdvOran)&lt;=toleransKurus,"MATRAH",IF($F20=1,"YUVARLAMA","TANIMSIZ"))))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IF($A21="","",IF($C21&lt;=efs_yuvarlamaEsik,1,0))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IF(OR($A21="",$B21&lt;&gt;"tutar_farki"),"",IF(ABS($C21-$D21)&lt;=toleransKurus,"KDV_ORAN",IF(ABS($C21-$E21*efs_kdvOran)&lt;=toleransKurus,"MATRAH",IF($F21=1,"YUVARLAMA","TANIMSIZ"))))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IF($A22="","",IF($C22&lt;=efs_yuvarlamaEsik,1,0))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IF(OR($A22="",$B22&lt;&gt;"tutar_farki"),"",IF(ABS($C22-$D22)&lt;=toleransKurus,"KDV_ORAN",IF(ABS($C22-$E22*efs_kdvOran)&lt;=toleransKurus,"MATRAH",IF($F22=1,"YUVARLAMA","TANIMSIZ"))))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IF($A23="","",IF($C23&lt;=efs_yuvarlamaEsik,1,0))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IF(OR($A23="",$B23&lt;&gt;"tutar_farki"),"",IF(ABS($C23-$D23)&lt;=toleransKurus,"KDV_ORAN",IF(ABS($C23-$E23*efs_kdvOran)&lt;=toleransKurus,"MATRAH",IF($F23=1,"YUVARLAMA","TANIMSIZ"))))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IF($A24="","",IF($C24&lt;=efs_yuvarlamaEsik,1,0))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IF(OR($A24="",$B24&lt;&gt;"tutar_farki"),"",IF(ABS($C24-$D24)&lt;=toleransKurus,"KDV_ORAN",IF(ABS($C24-$E24*efs_kdvOran)&lt;=toleransKurus,"MATRAH",IF($F24=1,"YUVARLAMA","TANIMSIZ"))))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IF($A25="","",IF($C25&lt;=efs_yuvarlamaEsik,1,0))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IF(OR($A25="",$B25&lt;&gt;"tutar_farki"),"",IF(ABS($C25-$D25)&lt;=toleransKurus,"KDV_ORAN",IF(ABS($C25-$E25*efs_kdvOran)&lt;=toleransKurus,"MATRAH",IF($F25=1,"YUVARLAMA","TANIMSIZ"))))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IF($A26="","",IF($C26&lt;=efs_yuvarlamaEsik,1,0))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IF(OR($A26="",$B26&lt;&gt;"tutar_farki"),"",IF(ABS($C26-$D26)&lt;=toleransKurus,"KDV_ORAN",IF(ABS($C26-$E26*efs_kdvOran)&lt;=toleransKurus,"MATRAH",IF($F26=1,"YUVARLAMA","TANIMSIZ"))))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IF($A27="","",IF($C27&lt;=efs_yuvarlamaEsik,1,0))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IF(OR($A27="",$B27&lt;&gt;"tutar_farki"),"",IF(ABS($C27-$D27)&lt;=toleransKurus,"KDV_ORAN",IF(ABS($C27-$E27*efs_kdvOran)&lt;=toleransKurus,"MATRAH",IF($F27=1,"YUVARLAMA","TANIMSIZ"))))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IF($A28="","",IF($C28&lt;=efs_yuvarlamaEsik,1,0))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IF(OR($A28="",$B28&lt;&gt;"tutar_farki"),"",IF(ABS($C28-$D28)&lt;=toleransKurus,"KDV_ORAN",IF(ABS($C28-$E28*efs_kdvOran)&lt;=toleransKurus,"MATRAH",IF($F28=1,"YUVARLAMA","TANIMSIZ"))))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IF($A29="","",IF($C29&lt;=efs_yuvarlamaEsik,1,0))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IF(OR($A29="",$B29&lt;&gt;"tutar_farki"),"",IF(ABS($C29-$D29)&lt;=toleransKurus,"KDV_ORAN",IF(ABS($C29-$E29*efs_kdvOran)&lt;=toleransKurus,"MATRAH",IF($F29=1,"YUVARLAMA","TANIMSIZ"))))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IF($A30="","",IF($C30&lt;=efs_yuvarlamaEsik,1,0))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IF(OR($A30="",$B30&lt;&gt;"tutar_farki"),"",IF(ABS($C30-$D30)&lt;=toleransKurus,"KDV_ORAN",IF(ABS($C30-$E30*efs_kdvOran)&lt;=toleransKurus,"MATRAH",IF($F30=1,"YUVARLAMA","TANIMSIZ"))))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IF($A31="","",IF($C31&lt;=efs_yuvarlamaEsik,1,0))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IF(OR($A31="",$B31&lt;&gt;"tutar_farki"),"",IF(ABS($C31-$D31)&lt;=toleransKurus,"KDV_ORAN",IF(ABS($C31-$E31*efs_kdvOran)&lt;=toleransKurus,"MATRAH",IF($F31=1,"YUVARLAMA","TANIMSIZ"))))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IF($A32="","",IF($C32&lt;=efs_yuvarlamaEsik,1,0))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IF(OR($A32="",$B32&lt;&gt;"tutar_farki"),"",IF(ABS($C32-$D32)&lt;=toleransKurus,"KDV_ORAN",IF(ABS($C32-$E32*efs_kdvOran)&lt;=toleransKurus,"MATRAH",IF($F32=1,"YUVARLAMA","TANIMSIZ"))))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IF($A33="","",IF($C33&lt;=efs_yuvarlamaEsik,1,0))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IF(OR($A33="",$B33&lt;&gt;"tutar_farki"),"",IF(ABS($C33-$D33)&lt;=toleransKurus,"KDV_ORAN",IF(ABS($C33-$E33*efs_kdvOran)&lt;=toleransKurus,"MATRAH",IF($F33=1,"YUVARLAMA","TANIMSIZ"))))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IF($A34="","",IF($C34&lt;=efs_yuvarlamaEsik,1,0))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IF(OR($A34="",$B34&lt;&gt;"tutar_farki"),"",IF(ABS($C34-$D34)&lt;=toleransKurus,"KDV_ORAN",IF(ABS($C34-$E34*efs_kdvOran)&lt;=toleransKurus,"MATRAH",IF($F34=1,"YUVARLAMA","TANIMSIZ"))))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IF($A35="","",IF($C35&lt;=efs_yuvarlamaEsik,1,0))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IF(OR($A35="",$B35&lt;&gt;"tutar_farki"),"",IF(ABS($C35-$D35)&lt;=toleransKurus,"KDV_ORAN",IF(ABS($C35-$E35*efs_kdvOran)&lt;=toleransKurus,"MATRAH",IF($F35=1,"YUVARLAMA","TANIMSIZ"))))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IF($A36="","",IF($C36&lt;=efs_yuvarlamaEsik,1,0))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IF(OR($A36="",$B36&lt;&gt;"tutar_farki"),"",IF(ABS($C36-$D36)&lt;=toleransKurus,"KDV_ORAN",IF(ABS($C36-$E36*efs_kdvOran)&lt;=toleransKurus,"MATRAH",IF($F36=1,"YUVARLAMA","TANIMSIZ"))))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IF($A37="","",IF($C37&lt;=efs_yuvarlamaEsik,1,0))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IF(OR($A37="",$B37&lt;&gt;"tutar_farki"),"",IF(ABS($C37-$D37)&lt;=toleransKurus,"KDV_ORAN",IF(ABS($C37-$E37*efs_kdvOran)&lt;=toleransKurus,"MATRAH",IF($F37=1,"YUVARLAMA","TANIMSIZ"))))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IF($A38="","",IF($C38&lt;=efs_yuvarlamaEsik,1,0))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IF(OR($A38="",$B38&lt;&gt;"tutar_farki"),"",IF(ABS($C38-$D38)&lt;=toleransKurus,"KDV_ORAN",IF(ABS($C38-$E38*efs_kdvOran)&lt;=toleransKurus,"MATRAH",IF($F38=1,"YUVARLAMA","TANIMSIZ"))))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IF($A39="","",IF($C39&lt;=efs_yuvarlamaEsik,1,0))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IF(OR($A39="",$B39&lt;&gt;"tutar_farki"),"",IF(ABS($C39-$D39)&lt;=toleransKurus,"KDV_ORAN",IF(ABS($C39-$E39*efs_kdvOran)&lt;=toleransKurus,"MATRAH",IF($F39=1,"YUVARLAMA","TANIMSIZ"))))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IF($A40="","",IF($C40&lt;=efs_yuvarlamaEsik,1,0))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IF(OR($A40="",$B40&lt;&gt;"tutar_farki"),"",IF(ABS($C40-$D40)&lt;=toleransKurus,"KDV_ORAN",IF(ABS($C40-$E40*efs_kdvOran)&lt;=toleransKurus,"MATRAH",IF($F40=1,"YUVARLAMA","TANIMSIZ"))))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IF($A41="","",IF($C41&lt;=efs_yuvarlamaEsik,1,0))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IF(OR($A41="",$B41&lt;&gt;"tutar_farki"),"",IF(ABS($C41-$D41)&lt;=toleransKurus,"KDV_ORAN",IF(ABS($C41-$E41*efs_kdvOran)&lt;=toleransKurus,"MATRAH",IF($F41=1,"YUVARLAMA","TANIMSIZ"))))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IF($A42="","",IF($C42&lt;=efs_yuvarlamaEsik,1,0))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IF(OR($A42="",$B42&lt;&gt;"tutar_farki"),"",IF(ABS($C42-$D42)&lt;=toleransKurus,"KDV_ORAN",IF(ABS($C42-$E42*efs_kdvOran)&lt;=toleransKurus,"MATRAH",IF($F42=1,"YUVARLAMA","TANIMSIZ"))))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IF($A43="","",IF($C43&lt;=efs_yuvarlamaEsik,1,0))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IF(OR($A43="",$B43&lt;&gt;"tutar_farki"),"",IF(ABS($C43-$D43)&lt;=toleransKurus,"KDV_ORAN",IF(ABS($C43-$E43*efs_kdvOran)&lt;=toleransKurus,"MATRAH",IF($F43=1,"YUVARLAMA","TANIMSIZ"))))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IF($A44="","",IF($C44&lt;=efs_yuvarlamaEsik,1,0))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IF(OR($A44="",$B44&lt;&gt;"tutar_farki"),"",IF(ABS($C44-$D44)&lt;=toleransKurus,"KDV_ORAN",IF(ABS($C44-$E44*efs_kdvOran)&lt;=toleransKurus,"MATRAH",IF($F44=1,"YUVARLAMA","TANIMSIZ"))))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IF($A45="","",IF($C45&lt;=efs_yuvarlamaEsik,1,0))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IF(OR($A45="",$B45&lt;&gt;"tutar_farki"),"",IF(ABS($C45-$D45)&lt;=toleransKurus,"KDV_ORAN",IF(ABS($C45-$E45*efs_kdvOran)&lt;=toleransKurus,"MATRAH",IF($F45=1,"YUVARLAMA","TANIMSIZ"))))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IF($A46="","",IF($C46&lt;=efs_yuvarlamaEsik,1,0))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IF(OR($A46="",$B46&lt;&gt;"tutar_farki"),"",IF(ABS($C46-$D46)&lt;=toleransKurus,"KDV_ORAN",IF(ABS($C46-$E46*efs_kdvOran)&lt;=toleransKurus,"MATRAH",IF($F46=1,"YUVARLAMA","TANIMSIZ"))))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IF($A47="","",IF($C47&lt;=efs_yuvarlamaEsik,1,0))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IF(OR($A47="",$B47&lt;&gt;"tutar_farki"),"",IF(ABS($C47-$D47)&lt;=toleransKurus,"KDV_ORAN",IF(ABS($C47-$E47*efs_kdvOran)&lt;=toleransKurus,"MATRAH",IF($F47=1,"YUVARLAMA","TANIMSIZ"))))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IF($A48="","",IF($C48&lt;=efs_yuvarlamaEsik,1,0))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IF(OR($A48="",$B48&lt;&gt;"tutar_farki"),"",IF(ABS($C48-$D48)&lt;=toleransKurus,"KDV_ORAN",IF(ABS($C48-$E48*efs_kdvOran)&lt;=toleransKurus,"MATRAH",IF($F48=1,"YUVARLAMA","TANIMSIZ"))))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IF($A49="","",IF($C49&lt;=efs_yuvarlamaEsik,1,0))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IF(OR($A49="",$B49&lt;&gt;"tutar_farki"),"",IF(ABS($C49-$D49)&lt;=toleransKurus,"KDV_ORAN",IF(ABS($C49-$E49*efs_kdvOran)&lt;=toleransKurus,"MATRAH",IF($F49=1,"YUVARLAMA","TANIMSIZ"))))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IF($A50="","",IF($C50&lt;=efs_yuvarlamaEsik,1,0))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IF(OR($A50="",$B50&lt;&gt;"tutar_farki"),"",IF(ABS($C50-$D50)&lt;=toleransKurus,"KDV_ORAN",IF(ABS($C50-$E50*efs_kdvOran)&lt;=toleransKurus,"MATRAH",IF($F50=1,"YUVARLAMA","TANIMSIZ"))))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IF($A51="","",IF($C51&lt;=efs_yuvarlamaEsik,1,0))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IF(OR($A51="",$B51&lt;&gt;"tutar_farki"),"",IF(ABS($C51-$D51)&lt;=toleransKurus,"KDV_ORAN",IF(ABS($C51-$E51*efs_kdvOran)&lt;=toleransKurus,"MATRAH",IF($F51=1,"YUVARLAMA","TANIMSIZ"))))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IF($A52="","",IF($C52&lt;=efs_yuvarlamaEsik,1,0))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IF(OR($A52="",$B52&lt;&gt;"tutar_farki"),"",IF(ABS($C52-$D52)&lt;=toleransKurus,"KDV_ORAN",IF(ABS($C52-$E52*efs_kdvOran)&lt;=toleransKurus,"MATRAH",IF($F52=1,"YUVARLAMA","TANIMSIZ"))))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IF($A53="","",IF($C53&lt;=efs_yuvarlamaEsik,1,0))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IF(OR($A53="",$B53&lt;&gt;"tutar_farki"),"",IF(ABS($C53-$D53)&lt;=toleransKurus,"KDV_ORAN",IF(ABS($C53-$E53*efs_kdvOran)&lt;=toleransKurus,"MATRAH",IF($F53=1,"YUVARLAMA","TANIMSIZ"))))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IF($A54="","",IF($C54&lt;=efs_yuvarlamaEsik,1,0))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IF(OR($A54="",$B54&lt;&gt;"tutar_farki"),"",IF(ABS($C54-$D54)&lt;=toleransKurus,"KDV_ORAN",IF(ABS($C54-$E54*efs_kdvOran)&lt;=toleransKurus,"MATRAH",IF($F54=1,"YUVARLAMA","TANIMSIZ"))))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IF($A55="","",IF($C55&lt;=efs_yuvarlamaEsik,1,0))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IF(OR($A55="",$B55&lt;&gt;"tutar_farki"),"",IF(ABS($C55-$D55)&lt;=toleransKurus,"KDV_ORAN",IF(ABS($C55-$E55*efs_kdvOran)&lt;=toleransKurus,"MATRAH",IF($F55=1,"YUVARLAMA","TANIMSIZ"))))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IF($A56="","",IF($C56&lt;=efs_yuvarlamaEsik,1,0))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IF(OR($A56="",$B56&lt;&gt;"tutar_farki"),"",IF(ABS($C56-$D56)&lt;=toleransKurus,"KDV_ORAN",IF(ABS($C56-$E56*efs_kdvOran)&lt;=toleransKurus,"MATRAH",IF($F56=1,"YUVARLAMA","TANIMSIZ"))))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IF($A57="","",IF($C57&lt;=efs_yuvarlamaEsik,1,0))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IF(OR($A57="",$B57&lt;&gt;"tutar_farki"),"",IF(ABS($C57-$D57)&lt;=toleransKurus,"KDV_ORAN",IF(ABS($C57-$E57*efs_kdvOran)&lt;=toleransKurus,"MATRAH",IF($F57=1,"YUVARLAMA","TANIMSIZ"))))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IF($A58="","",IF($C58&lt;=efs_yuvarlamaEsik,1,0))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IF(OR($A58="",$B58&lt;&gt;"tutar_farki"),"",IF(ABS($C58-$D58)&lt;=toleransKurus,"KDV_ORAN",IF(ABS($C58-$E58*efs_kdvOran)&lt;=toleransKurus,"MATRAH",IF($F58=1,"YUVARLAMA","TANIMSIZ"))))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IF($A59="","",IF($C59&lt;=efs_yuvarlamaEsik,1,0))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IF(OR($A59="",$B59&lt;&gt;"tutar_farki"),"",IF(ABS($C59-$D59)&lt;=toleransKurus,"KDV_ORAN",IF(ABS($C59-$E59*efs_kdvOran)&lt;=toleransKurus,"MATRAH",IF($F59=1,"YUVARLAMA","TANIMSIZ"))))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IF($A60="","",IF($C60&lt;=efs_yuvarlamaEsik,1,0))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IF(OR($A60="",$B60&lt;&gt;"tutar_farki"),"",IF(ABS($C60-$D60)&lt;=toleransKurus,"KDV_ORAN",IF(ABS($C60-$E60*efs_kdvOran)&lt;=toleransKurus,"MATRAH",IF($F60=1,"YUVARLAMA","TANIMSIZ"))))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IF($A61="","",IF($C61&lt;=efs_yuvarlamaEsik,1,0))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IF(OR($A61="",$B61&lt;&gt;"tutar_farki"),"",IF(ABS($C61-$D61)&lt;=toleransKurus,"KDV_ORAN",IF(ABS($C61-$E61*efs_kdvOran)&lt;=toleransKurus,"MATRAH",IF($F61=1,"YUVARLAMA","TANIMSIZ"))))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IF($A62="","",IF($C62&lt;=efs_yuvarlamaEsik,1,0))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IF(OR($A62="",$B62&lt;&gt;"tutar_farki"),"",IF(ABS($C62-$D62)&lt;=toleransKurus,"KDV_ORAN",IF(ABS($C62-$E62*efs_kdvOran)&lt;=toleransKurus,"MATRAH",IF($F62=1,"YUVARLAMA","TANIMSIZ"))))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IF($A63="","",IF($C63&lt;=efs_yuvarlamaEsik,1,0))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IF(OR($A63="",$B63&lt;&gt;"tutar_farki"),"",IF(ABS($C63-$D63)&lt;=toleransKurus,"KDV_ORAN",IF(ABS($C63-$E63*efs_kdvOran)&lt;=toleransKurus,"MATRAH",IF($F63=1,"YUVARLAMA","TANIMSIZ"))))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IF($A64="","",IF($C64&lt;=efs_yuvarlamaEsik,1,0))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IF(OR($A64="",$B64&lt;&gt;"tutar_farki"),"",IF(ABS($C64-$D64)&lt;=toleransKurus,"KDV_ORAN",IF(ABS($C64-$E64*efs_kdvOran)&lt;=toleransKurus,"MATRAH",IF($F64=1,"YUVARLAMA","TANIMSIZ"))))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IF($A65="","",IF($C65&lt;=efs_yuvarlamaEsik,1,0))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IF(OR($A65="",$B65&lt;&gt;"tutar_farki"),"",IF(ABS($C65-$D65)&lt;=toleransKurus,"KDV_ORAN",IF(ABS($C65-$E65*efs_kdvOran)&lt;=toleransKurus,"MATRAH",IF($F65=1,"YUVARLAMA","TANIMSIZ"))))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IF($A66="","",IF($C66&lt;=efs_yuvarlamaEsik,1,0))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IF(OR($A66="",$B66&lt;&gt;"tutar_farki"),"",IF(ABS($C66-$D66)&lt;=toleransKurus,"KDV_ORAN",IF(ABS($C66-$E66*efs_kdvOran)&lt;=toleransKurus,"MATRAH",IF($F66=1,"YUVARLAMA","TANIMSIZ"))))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IF($A67="","",IF($C67&lt;=efs_yuvarlamaEsik,1,0))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IF(OR($A67="",$B67&lt;&gt;"tutar_farki"),"",IF(ABS($C67-$D67)&lt;=toleransKurus,"KDV_ORAN",IF(ABS($C67-$E67*efs_kdvOran)&lt;=toleransKurus,"MATRAH",IF($F67=1,"YUVARLAMA","TANIMSIZ"))))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IF($A68="","",IF($C68&lt;=efs_yuvarlamaEsik,1,0))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IF(OR($A68="",$B68&lt;&gt;"tutar_farki"),"",IF(ABS($C68-$D68)&lt;=toleransKurus,"KDV_ORAN",IF(ABS($C68-$E68*efs_kdvOran)&lt;=toleransKurus,"MATRAH",IF($F68=1,"YUVARLAMA","TANIMSIZ"))))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IF($A69="","",IF($C69&lt;=efs_yuvarlamaEsik,1,0))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IF(OR($A69="",$B69&lt;&gt;"tutar_farki"),"",IF(ABS($C69-$D69)&lt;=toleransKurus,"KDV_ORAN",IF(ABS($C69-$E69*efs_kdvOran)&lt;=toleransKurus,"MATRAH",IF($F69=1,"YUVARLAMA","TANIMSIZ"))))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IF($A70="","",IF($C70&lt;=efs_yuvarlamaEsik,1,0))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IF(OR($A70="",$B70&lt;&gt;"tutar_farki"),"",IF(ABS($C70-$D70)&lt;=toleransKurus,"KDV_ORAN",IF(ABS($C70-$E70*efs_kdvOran)&lt;=toleransKurus,"MATRAH",IF($F70=1,"YUVARLAMA","TANIMSIZ"))))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IF($A71="","",IF($C71&lt;=efs_yuvarlamaEsik,1,0))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IF(OR($A71="",$B71&lt;&gt;"tutar_farki"),"",IF(ABS($C71-$D71)&lt;=toleransKurus,"KDV_ORAN",IF(ABS($C71-$E71*efs_kdvOran)&lt;=toleransKurus,"MATRAH",IF($F71=1,"YUVARLAMA","TANIMSIZ"))))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IF($A72="","",IF($C72&lt;=efs_yuvarlamaEsik,1,0))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IF(OR($A72="",$B72&lt;&gt;"tutar_farki"),"",IF(ABS($C72-$D72)&lt;=toleransKurus,"KDV_ORAN",IF(ABS($C72-$E72*efs_kdvOran)&lt;=toleransKurus,"MATRAH",IF($F72=1,"YUVARLAMA","TANIMSIZ"))))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IF($A73="","",IF($C73&lt;=efs_yuvarlamaEsik,1,0))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IF(OR($A73="",$B73&lt;&gt;"tutar_farki"),"",IF(ABS($C73-$D73)&lt;=toleransKurus,"KDV_ORAN",IF(ABS($C73-$E73*efs_kdvOran)&lt;=toleransKurus,"MATRAH",IF($F73=1,"YUVARLAMA","TANIMSIZ"))))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IF($A74="","",IF($C74&lt;=efs_yuvarlamaEsik,1,0))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IF(OR($A74="",$B74&lt;&gt;"tutar_farki"),"",IF(ABS($C74-$D74)&lt;=toleransKurus,"KDV_ORAN",IF(ABS($C74-$E74*efs_kdvOran)&lt;=toleransKurus,"MATRAH",IF($F74=1,"YUVARLAMA","TANIMSIZ"))))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IF($A75="","",IF($C75&lt;=efs_yuvarlamaEsik,1,0))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IF(OR($A75="",$B75&lt;&gt;"tutar_farki"),"",IF(ABS($C75-$D75)&lt;=toleransKurus,"KDV_ORAN",IF(ABS($C75-$E75*efs_kdvOran)&lt;=toleransKurus,"MATRAH",IF($F75=1,"YUVARLAMA","TANIMSIZ"))))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IF($A76="","",IF($C76&lt;=efs_yuvarlamaEsik,1,0))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IF(OR($A76="",$B76&lt;&gt;"tutar_farki"),"",IF(ABS($C76-$D76)&lt;=toleransKurus,"KDV_ORAN",IF(ABS($C76-$E76*efs_kdvOran)&lt;=toleransKurus,"MATRAH",IF($F76=1,"YUVARLAMA","TANIMSIZ"))))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IF($A77="","",IF($C77&lt;=efs_yuvarlamaEsik,1,0))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IF(OR($A77="",$B77&lt;&gt;"tutar_farki"),"",IF(ABS($C77-$D77)&lt;=toleransKurus,"KDV_ORAN",IF(ABS($C77-$E77*efs_kdvOran)&lt;=toleransKurus,"MATRAH",IF($F77=1,"YUVARLAMA","TANIMSIZ"))))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IF($A78="","",IF($C78&lt;=efs_yuvarlamaEsik,1,0))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IF(OR($A78="",$B78&lt;&gt;"tutar_farki"),"",IF(ABS($C78-$D78)&lt;=toleransKurus,"KDV_ORAN",IF(ABS($C78-$E78*efs_kdvOran)&lt;=toleransKurus,"MATRAH",IF($F78=1,"YUVARLAMA","TANIMSIZ"))))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IF($A79="","",IF($C79&lt;=efs_yuvarlamaEsik,1,0))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IF(OR($A79="",$B79&lt;&gt;"tutar_farki"),"",IF(ABS($C79-$D79)&lt;=toleransKurus,"KDV_ORAN",IF(ABS($C79-$E79*efs_kdvOran)&lt;=toleransKurus,"MATRAH",IF($F79=1,"YUVARLAMA","TANIMSIZ"))))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IF($A80="","",IF($C80&lt;=efs_yuvarlamaEsik,1,0))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IF(OR($A80="",$B80&lt;&gt;"tutar_farki"),"",IF(ABS($C80-$D80)&lt;=toleransKurus,"KDV_ORAN",IF(ABS($C80-$E80*efs_kdvOran)&lt;=toleransKurus,"MATRAH",IF($F80=1,"YUVARLAMA","TANIMSIZ"))))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IF($A81="","",IF($C81&lt;=efs_yuvarlamaEsik,1,0))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IF(OR($A81="",$B81&lt;&gt;"tutar_farki"),"",IF(ABS($C81-$D81)&lt;=toleransKurus,"KDV_ORAN",IF(ABS($C81-$E81*efs_kdvOran)&lt;=toleransKurus,"MATRAH",IF($F81=1,"YUVARLAMA","TANIMSIZ"))))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IF($A82="","",IF($C82&lt;=efs_yuvarlamaEsik,1,0))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IF(OR($A82="",$B82&lt;&gt;"tutar_farki"),"",IF(ABS($C82-$D82)&lt;=toleransKurus,"KDV_ORAN",IF(ABS($C82-$E82*efs_kdvOran)&lt;=toleransKurus,"MATRAH",IF($F82=1,"YUVARLAMA","TANIMSIZ"))))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IF($A83="","",IF($C83&lt;=efs_yuvarlamaEsik,1,0))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IF(OR($A83="",$B83&lt;&gt;"tutar_farki"),"",IF(ABS($C83-$D83)&lt;=toleransKurus,"KDV_ORAN",IF(ABS($C83-$E83*efs_kdvOran)&lt;=toleransKurus,"MATRAH",IF($F83=1,"YUVARLAMA","TANIMSIZ"))))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IF($A84="","",IF($C84&lt;=efs_yuvarlamaEsik,1,0))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IF(OR($A84="",$B84&lt;&gt;"tutar_farki"),"",IF(ABS($C84-$D84)&lt;=toleransKurus,"KDV_ORAN",IF(ABS($C84-$E84*efs_kdvOran)&lt;=toleransKurus,"MATRAH",IF($F84=1,"YUVARLAMA","TANIMSIZ"))))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IF($A85="","",IF($C85&lt;=efs_yuvarlamaEsik,1,0))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IF(OR($A85="",$B85&lt;&gt;"tutar_farki"),"",IF(ABS($C85-$D85)&lt;=toleransKurus,"KDV_ORAN",IF(ABS($C85-$E85*efs_kdvOran)&lt;=toleransKurus,"MATRAH",IF($F85=1,"YUVARLAMA","TANIMSIZ"))))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IF($A86="","",IF($C86&lt;=efs_yuvarlamaEsik,1,0))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IF(OR($A86="",$B86&lt;&gt;"tutar_farki"),"",IF(ABS($C86-$D86)&lt;=toleransKurus,"KDV_ORAN",IF(ABS($C86-$E86*efs_kdvOran)&lt;=toleransKurus,"MATRAH",IF($F86=1,"YUVARLAMA","TANIMSIZ"))))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IF($A87="","",IF($C87&lt;=efs_yuvarlamaEsik,1,0))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IF(OR($A87="",$B87&lt;&gt;"tutar_farki"),"",IF(ABS($C87-$D87)&lt;=toleransKurus,"KDV_ORAN",IF(ABS($C87-$E87*efs_kdvOran)&lt;=toleransKurus,"MATRAH",IF($F87=1,"YUVARLAMA","TANIMSIZ"))))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IF($A88="","",IF($C88&lt;=efs_yuvarlamaEsik,1,0))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IF(OR($A88="",$B88&lt;&gt;"tutar_farki"),"",IF(ABS($C88-$D88)&lt;=toleransKurus,"KDV_ORAN",IF(ABS($C88-$E88*efs_kdvOran)&lt;=toleransKurus,"MATRAH",IF($F88=1,"YUVARLAMA","TANIMSIZ"))))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IF($A89="","",IF($C89&lt;=efs_yuvarlamaEsik,1,0))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IF(OR($A89="",$B89&lt;&gt;"tutar_farki"),"",IF(ABS($C89-$D89)&lt;=toleransKurus,"KDV_ORAN",IF(ABS($C89-$E89*efs_kdvOran)&lt;=toleransKurus,"MATRAH",IF($F89=1,"YUVARLAMA","TANIMSIZ"))))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IF($A90="","",IF($C90&lt;=efs_yuvarlamaEsik,1,0))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IF(OR($A90="",$B90&lt;&gt;"tutar_farki"),"",IF(ABS($C90-$D90)&lt;=toleransKurus,"KDV_ORAN",IF(ABS($C90-$E90*efs_kdvOran)&lt;=toleransKurus,"MATRAH",IF($F90=1,"YUVARLAMA","TANIMSIZ"))))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IF($A91="","",IF($C91&lt;=efs_yuvarlamaEsik,1,0))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IF(OR($A91="",$B91&lt;&gt;"tutar_farki"),"",IF(ABS($C91-$D91)&lt;=toleransKurus,"KDV_ORAN",IF(ABS($C91-$E91*efs_kdvOran)&lt;=toleransKurus,"MATRAH",IF($F91=1,"YUVARLAMA","TANIMSIZ"))))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IF($A92="","",IF($C92&lt;=efs_yuvarlamaEsik,1,0))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IF(OR($A92="",$B92&lt;&gt;"tutar_farki"),"",IF(ABS($C92-$D92)&lt;=toleransKurus,"KDV_ORAN",IF(ABS($C92-$E92*efs_kdvOran)&lt;=toleransKurus,"MATRAH",IF($F92=1,"YUVARLAMA","TANIMSIZ"))))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IF($A93="","",IF($C93&lt;=efs_yuvarlamaEsik,1,0))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IF(OR($A93="",$B93&lt;&gt;"tutar_farki"),"",IF(ABS($C93-$D93)&lt;=toleransKurus,"KDV_ORAN",IF(ABS($C93-$E93*efs_kdvOran)&lt;=toleransKurus,"MATRAH",IF($F93=1,"YUVARLAMA","TANIMSIZ"))))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IF($A94="","",IF($C94&lt;=efs_yuvarlamaEsik,1,0))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IF(OR($A94="",$B94&lt;&gt;"tutar_farki"),"",IF(ABS($C94-$D94)&lt;=toleransKurus,"KDV_ORAN",IF(ABS($C94-$E94*efs_kdvOran)&lt;=toleransKurus,"MATRAH",IF($F94=1,"YUVARLAMA","TANIMSIZ"))))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IF($A95="","",IF($C95&lt;=efs_yuvarlamaEsik,1,0))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IF(OR($A95="",$B95&lt;&gt;"tutar_farki"),"",IF(ABS($C95-$D95)&lt;=toleransKurus,"KDV_ORAN",IF(ABS($C95-$E95*efs_kdvOran)&lt;=toleransKurus,"MATRAH",IF($F95=1,"YUVARLAMA","TANIMSIZ"))))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IF($A96="","",IF($C96&lt;=efs_yuvarlamaEsik,1,0))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IF(OR($A96="",$B96&lt;&gt;"tutar_farki"),"",IF(ABS($C96-$D96)&lt;=toleransKurus,"KDV_ORAN",IF(ABS($C96-$E96*efs_kdvOran)&lt;=toleransKurus,"MATRAH",IF($F96=1,"YUVARLAMA","TANIMSIZ"))))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IF($A97="","",IF($C97&lt;=efs_yuvarlamaEsik,1,0))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IF(OR($A97="",$B97&lt;&gt;"tutar_farki"),"",IF(ABS($C97-$D97)&lt;=toleransKurus,"KDV_ORAN",IF(ABS($C97-$E97*efs_kdvOran)&lt;=toleransKurus,"MATRAH",IF($F97=1,"YUVARLAMA","TANIMSIZ"))))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IF($A98="","",IF($C98&lt;=efs_yuvarlamaEsik,1,0))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IF(OR($A98="",$B98&lt;&gt;"tutar_farki"),"",IF(ABS($C98-$D98)&lt;=toleransKurus,"KDV_ORAN",IF(ABS($C98-$E98*efs_kdvOran)&lt;=toleransKurus,"MATRAH",IF($F98=1,"YUVARLAMA","TANIMSIZ"))))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IF($A99="","",IF($C99&lt;=efs_yuvarlamaEsik,1,0))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IF(OR($A99="",$B99&lt;&gt;"tutar_farki"),"",IF(ABS($C99-$D99)&lt;=toleransKurus,"KDV_ORAN",IF(ABS($C99-$E99*efs_kdvOran)&lt;=toleransKurus,"MATRAH",IF($F99=1,"YUVARLAMA","TANIMSIZ"))))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IF($A100="","",IF($C100&lt;=efs_yuvarlamaEsik,1,0))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IF(OR($A100="",$B100&lt;&gt;"tutar_farki"),"",IF(ABS($C100-$D100)&lt;=toleransKurus,"KDV_ORAN",IF(ABS($C100-$E100*efs_kdvOran)&lt;=toleransKurus,"MATRAH",IF($F100=1,"YUVARLAMA","TANIMSIZ"))))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IF($A101="","",IF($C101&lt;=efs_yuvarlamaEsik,1,0))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IF(OR($A101="",$B101&lt;&gt;"tutar_farki"),"",IF(ABS($C101-$D101)&lt;=toleransKurus,"KDV_ORAN",IF(ABS($C101-$E101*efs_kdvOran)&lt;=toleransKurus,"MATRAH",IF($F101=1,"YUVARLAMA","TANIMSIZ"))))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IF($A102="","",IF($C102&lt;=efs_yuvarlamaEsik,1,0))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IF(OR($A102="",$B102&lt;&gt;"tutar_farki"),"",IF(ABS($C102-$D102)&lt;=toleransKurus,"KDV_ORAN",IF(ABS($C102-$E102*efs_kdvOran)&lt;=toleransKurus,"MATRAH",IF($F102=1,"YUVARLAMA","TANIMSIZ"))))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IF($A103="","",IF($C103&lt;=efs_yuvarlamaEsik,1,0))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IF(OR($A103="",$B103&lt;&gt;"tutar_farki"),"",IF(ABS($C103-$D103)&lt;=toleransKurus,"KDV_ORAN",IF(ABS($C103-$E103*efs_kdvOran)&lt;=toleransKurus,"MATRAH",IF($F103=1,"YUVARLAMA","TANIMSIZ"))))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IF($A104="","",IF($C104&lt;=efs_yuvarlamaEsik,1,0))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IF(OR($A104="",$B104&lt;&gt;"tutar_farki"),"",IF(ABS($C104-$D104)&lt;=toleransKurus,"KDV_ORAN",IF(ABS($C104-$E104*efs_kdvOran)&lt;=toleransKurus,"MATRAH",IF($F104=1,"YUVARLAMA","TANIMSIZ"))))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IF($A105="","",IF($C105&lt;=efs_yuvarlamaEsik,1,0))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IF(OR($A105="",$B105&lt;&gt;"tutar_farki"),"",IF(ABS($C105-$D105)&lt;=toleransKurus,"KDV_ORAN",IF(ABS($C105-$E105*efs_kdvOran)&lt;=toleransKurus,"MATRAH",IF($F105=1,"YUVARLAMA","TANIMSIZ"))))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IF($A106="","",IF($C106&lt;=efs_yuvarlamaEsik,1,0))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IF(OR($A106="",$B106&lt;&gt;"tutar_farki"),"",IF(ABS($C106-$D106)&lt;=toleransKurus,"KDV_ORAN",IF(ABS($C106-$E106*efs_kdvOran)&lt;=toleransKurus,"MATRAH",IF($F106=1,"YUVARLAMA","TANIMSIZ"))))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IF($A107="","",IF($C107&lt;=efs_yuvarlamaEsik,1,0))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IF(OR($A107="",$B107&lt;&gt;"tutar_farki"),"",IF(ABS($C107-$D107)&lt;=toleransKurus,"KDV_ORAN",IF(ABS($C107-$E107*efs_kdvOran)&lt;=toleransKurus,"MATRAH",IF($F107=1,"YUVARLAMA","TANIMSIZ"))))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IF($A108="","",IF($C108&lt;=efs_yuvarlamaEsik,1,0))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IF(OR($A108="",$B108&lt;&gt;"tutar_farki"),"",IF(ABS($C108-$D108)&lt;=toleransKurus,"KDV_ORAN",IF(ABS($C108-$E108*efs_kdvOran)&lt;=toleransKurus,"MATRAH",IF($F108=1,"YUVARLAMA","TANIMSIZ"))))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IF($A109="","",IF($C109&lt;=efs_yuvarlamaEsik,1,0))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IF(OR($A109="",$B109&lt;&gt;"tutar_farki"),"",IF(ABS($C109-$D109)&lt;=toleransKurus,"KDV_ORAN",IF(ABS($C109-$E109*efs_kdvOran)&lt;=toleransKurus,"MATRAH",IF($F109=1,"YUVARLAMA","TANIMSIZ"))))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IF($A110="","",IF($C110&lt;=efs_yuvarlamaEsik,1,0))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IF(OR($A110="",$B110&lt;&gt;"tutar_farki"),"",IF(ABS($C110-$D110)&lt;=toleransKurus,"KDV_ORAN",IF(ABS($C110-$E110*efs_kdvOran)&lt;=toleransKurus,"MATRAH",IF($F110=1,"YUVARLAMA","TANIMSIZ"))))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IF($A111="","",IF($C111&lt;=efs_yuvarlamaEsik,1,0))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IF(OR($A111="",$B111&lt;&gt;"tutar_farki"),"",IF(ABS($C111-$D111)&lt;=toleransKurus,"KDV_ORAN",IF(ABS($C111-$E111*efs_kdvOran)&lt;=toleransKurus,"MATRAH",IF($F111=1,"YUVARLAMA","TANIMSIZ"))))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IF($A112="","",IF($C112&lt;=efs_yuvarlamaEsik,1,0))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IF(OR($A112="",$B112&lt;&gt;"tutar_farki"),"",IF(ABS($C112-$D112)&lt;=toleransKurus,"KDV_ORAN",IF(ABS($C112-$E112*efs_kdvOran)&lt;=toleransKurus,"MATRAH",IF($F112=1,"YUVARLAMA","TANIMSIZ"))))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IF($A113="","",IF($C113&lt;=efs_yuvarlamaEsik,1,0))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IF(OR($A113="",$B113&lt;&gt;"tutar_farki"),"",IF(ABS($C113-$D113)&lt;=toleransKurus,"KDV_ORAN",IF(ABS($C113-$E113*efs_kdvOran)&lt;=toleransKurus,"MATRAH",IF($F113=1,"YUVARLAMA","TANIMSIZ"))))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IF($A114="","",IF($C114&lt;=efs_yuvarlamaEsik,1,0))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IF(OR($A114="",$B114&lt;&gt;"tutar_farki"),"",IF(ABS($C114-$D114)&lt;=toleransKurus,"KDV_ORAN",IF(ABS($C114-$E114*efs_kdvOran)&lt;=toleransKurus,"MATRAH",IF($F114=1,"YUVARLAMA","TANIMSIZ"))))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IF($A115="","",IF($C115&lt;=efs_yuvarlamaEsik,1,0))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IF(OR($A115="",$B115&lt;&gt;"tutar_farki"),"",IF(ABS($C115-$D115)&lt;=toleransKurus,"KDV_ORAN",IF(ABS($C115-$E115*efs_kdvOran)&lt;=toleransKurus,"MATRAH",IF($F115=1,"YUVARLAMA","TANIMSIZ"))))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IF($A116="","",IF($C116&lt;=efs_yuvarlamaEsik,1,0))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IF(OR($A116="",$B116&lt;&gt;"tutar_farki"),"",IF(ABS($C116-$D116)&lt;=toleransKurus,"KDV_ORAN",IF(ABS($C116-$E116*efs_kdvOran)&lt;=toleransKurus,"MATRAH",IF($F116=1,"YUVARLAMA","TANIMSIZ"))))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IF($A117="","",IF($C117&lt;=efs_yuvarlamaEsik,1,0))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IF(OR($A117="",$B117&lt;&gt;"tutar_farki"),"",IF(ABS($C117-$D117)&lt;=toleransKurus,"KDV_ORAN",IF(ABS($C117-$E117*efs_kdvOran)&lt;=toleransKurus,"MATRAH",IF($F117=1,"YUVARLAMA","TANIMSIZ"))))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IF($A118="","",IF($C118&lt;=efs_yuvarlamaEsik,1,0))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IF(OR($A118="",$B118&lt;&gt;"tutar_farki"),"",IF(ABS($C118-$D118)&lt;=toleransKurus,"KDV_ORAN",IF(ABS($C118-$E118*efs_kdvOran)&lt;=toleransKurus,"MATRAH",IF($F118=1,"YUVARLAMA","TANIMSIZ"))))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IF($A119="","",IF($C119&lt;=efs_yuvarlamaEsik,1,0))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IF(OR($A119="",$B119&lt;&gt;"tutar_farki"),"",IF(ABS($C119-$D119)&lt;=toleransKurus,"KDV_ORAN",IF(ABS($C119-$E119*efs_kdvOran)&lt;=toleransKurus,"MATRAH",IF($F119=1,"YUVARLAMA","TANIMSIZ"))))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IF($A120="","",IF($C120&lt;=efs_yuvarlamaEsik,1,0))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IF(OR($A120="",$B120&lt;&gt;"tutar_farki"),"",IF(ABS($C120-$D120)&lt;=toleransKurus,"KDV_ORAN",IF(ABS($C120-$E120*efs_kdvOran)&lt;=toleransKurus,"MATRAH",IF($F120=1,"YUVARLAMA","TANIMSIZ"))))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IF($A121="","",IF($C121&lt;=efs_yuvarlamaEsik,1,0))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IF(OR($A121="",$B121&lt;&gt;"tutar_farki"),"",IF(ABS($C121-$D121)&lt;=toleransKurus,"KDV_ORAN",IF(ABS($C121-$E121*efs_kdvOran)&lt;=toleransKurus,"MATRAH",IF($F121=1,"YUVARLAMA","TANIMSIZ"))))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IF($A122="","",IF($C122&lt;=efs_yuvarlamaEsik,1,0))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IF(OR($A122="",$B122&lt;&gt;"tutar_farki"),"",IF(ABS($C122-$D122)&lt;=toleransKurus,"KDV_ORAN",IF(ABS($C122-$E122*efs_kdvOran)&lt;=toleransKurus,"MATRAH",IF($F122=1,"YUVARLAMA","TANIMSIZ"))))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IF($A123="","",IF($C123&lt;=efs_yuvarlamaEsik,1,0))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IF(OR($A123="",$B123&lt;&gt;"tutar_farki"),"",IF(ABS($C123-$D123)&lt;=toleransKurus,"KDV_ORAN",IF(ABS($C123-$E123*efs_kdvOran)&lt;=toleransKurus,"MATRAH",IF($F123=1,"YUVARLAMA","TANIMSIZ"))))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IF($A124="","",IF($C124&lt;=efs_yuvarlamaEsik,1,0))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IF(OR($A124="",$B124&lt;&gt;"tutar_farki"),"",IF(ABS($C124-$D124)&lt;=toleransKurus,"KDV_ORAN",IF(ABS($C124-$E124*efs_kdvOran)&lt;=toleransKurus,"MATRAH",IF($F124=1,"YUVARLAMA","TANIMSIZ"))))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IF($A125="","",IF($C125&lt;=efs_yuvarlamaEsik,1,0))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IF(OR($A125="",$B125&lt;&gt;"tutar_farki"),"",IF(ABS($C125-$D125)&lt;=toleransKurus,"KDV_ORAN",IF(ABS($C125-$E125*efs_kdvOran)&lt;=toleransKurus,"MATRAH",IF($F125=1,"YUVARLAMA","TANIMSIZ"))))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IF($A126="","",IF($C126&lt;=efs_yuvarlamaEsik,1,0))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IF(OR($A126="",$B126&lt;&gt;"tutar_farki"),"",IF(ABS($C126-$D126)&lt;=toleransKurus,"KDV_ORAN",IF(ABS($C126-$E126*efs_kdvOran)&lt;=toleransKurus,"MATRAH",IF($F126=1,"YUVARLAMA","TANIMSIZ"))))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IF($A127="","",IF($C127&lt;=efs_yuvarlamaEsik,1,0))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IF(OR($A127="",$B127&lt;&gt;"tutar_farki"),"",IF(ABS($C127-$D127)&lt;=toleransKurus,"KDV_ORAN",IF(ABS($C127-$E127*efs_kdvOran)&lt;=toleransKurus,"MATRAH",IF($F127=1,"YUVARLAMA","TANIMSIZ"))))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IF($A128="","",IF($C128&lt;=efs_yuvarlamaEsik,1,0))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IF(OR($A128="",$B128&lt;&gt;"tutar_farki"),"",IF(ABS($C128-$D128)&lt;=toleransKurus,"KDV_ORAN",IF(ABS($C128-$E128*efs_kdvOran)&lt;=toleransKurus,"MATRAH",IF($F128=1,"YUVARLAMA","TANIMSIZ"))))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IF($A129="","",IF($C129&lt;=efs_yuvarlamaEsik,1,0))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IF(OR($A129="",$B129&lt;&gt;"tutar_farki"),"",IF(ABS($C129-$D129)&lt;=toleransKurus,"KDV_ORAN",IF(ABS($C129-$E129*efs_kdvOran)&lt;=toleransKurus,"MATRAH",IF($F129=1,"YUVARLAMA","TANIMSIZ"))))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IF($A130="","",IF($C130&lt;=efs_yuvarlamaEsik,1,0))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IF(OR($A130="",$B130&lt;&gt;"tutar_farki"),"",IF(ABS($C130-$D130)&lt;=toleransKurus,"KDV_ORAN",IF(ABS($C130-$E130*efs_kdvOran)&lt;=toleransKurus,"MATRAH",IF($F130=1,"YUVARLAMA","TANIMSIZ"))))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IF($A131="","",IF($C131&lt;=efs_yuvarlamaEsik,1,0))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IF(OR($A131="",$B131&lt;&gt;"tutar_farki"),"",IF(ABS($C131-$D131)&lt;=toleransKurus,"KDV_ORAN",IF(ABS($C131-$E131*efs_kdvOran)&lt;=toleransKurus,"MATRAH",IF($F131=1,"YUVARLAMA","TANIMSIZ"))))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IF($A132="","",IF($C132&lt;=efs_yuvarlamaEsik,1,0))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IF(OR($A132="",$B132&lt;&gt;"tutar_farki"),"",IF(ABS($C132-$D132)&lt;=toleransKurus,"KDV_ORAN",IF(ABS($C132-$E132*efs_kdvOran)&lt;=toleransKurus,"MATRAH",IF($F132=1,"YUVARLAMA","TANIMSIZ"))))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IF($A133="","",IF($C133&lt;=efs_yuvarlamaEsik,1,0))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IF(OR($A133="",$B133&lt;&gt;"tutar_farki"),"",IF(ABS($C133-$D133)&lt;=toleransKurus,"KDV_ORAN",IF(ABS($C133-$E133*efs_kdvOran)&lt;=toleransKurus,"MATRAH",IF($F133=1,"YUVARLAMA","TANIMSIZ"))))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IF($A134="","",IF($C134&lt;=efs_yuvarlamaEsik,1,0))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IF(OR($A134="",$B134&lt;&gt;"tutar_farki"),"",IF(ABS($C134-$D134)&lt;=toleransKurus,"KDV_ORAN",IF(ABS($C134-$E134*efs_kdvOran)&lt;=toleransKurus,"MATRAH",IF($F134=1,"YUVARLAMA","TANIMSIZ"))))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IF($A135="","",IF($C135&lt;=efs_yuvarlamaEsik,1,0))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IF(OR($A135="",$B135&lt;&gt;"tutar_farki"),"",IF(ABS($C135-$D135)&lt;=toleransKurus,"KDV_ORAN",IF(ABS($C135-$E135*efs_kdvOran)&lt;=toleransKurus,"MATRAH",IF($F135=1,"YUVARLAMA","TANIMSIZ"))))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IF($A136="","",IF($C136&lt;=efs_yuvarlamaEsik,1,0))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IF(OR($A136="",$B136&lt;&gt;"tutar_farki"),"",IF(ABS($C136-$D136)&lt;=toleransKurus,"KDV_ORAN",IF(ABS($C136-$E136*efs_kdvOran)&lt;=toleransKurus,"MATRAH",IF($F136=1,"YUVARLAMA","TANIMSIZ"))))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IF($A137="","",IF($C137&lt;=efs_yuvarlamaEsik,1,0))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IF(OR($A137="",$B137&lt;&gt;"tutar_farki"),"",IF(ABS($C137-$D137)&lt;=toleransKurus,"KDV_ORAN",IF(ABS($C137-$E137*efs_kdvOran)&lt;=toleransKurus,"MATRAH",IF($F137=1,"YUVARLAMA","TANIMSIZ"))))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IF($A138="","",IF($C138&lt;=efs_yuvarlamaEsik,1,0))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IF(OR($A138="",$B138&lt;&gt;"tutar_farki"),"",IF(ABS($C138-$D138)&lt;=toleransKurus,"KDV_ORAN",IF(ABS($C138-$E138*efs_kdvOran)&lt;=toleransKurus,"MATRAH",IF($F138=1,"YUVARLAMA","TANIMSIZ"))))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IF($A139="","",IF($C139&lt;=efs_yuvarlamaEsik,1,0))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IF(OR($A139="",$B139&lt;&gt;"tutar_farki"),"",IF(ABS($C139-$D139)&lt;=toleransKurus,"KDV_ORAN",IF(ABS($C139-$E139*efs_kdvOran)&lt;=toleransKurus,"MATRAH",IF($F139=1,"YUVARLAMA","TANIMSIZ"))))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IF($A140="","",IF($C140&lt;=efs_yuvarlamaEsik,1,0))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IF(OR($A140="",$B140&lt;&gt;"tutar_farki"),"",IF(ABS($C140-$D140)&lt;=toleransKurus,"KDV_ORAN",IF(ABS($C140-$E140*efs_kdvOran)&lt;=toleransKurus,"MATRAH",IF($F140=1,"YUVARLAMA","TANIMSIZ"))))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IF($A141="","",IF($C141&lt;=efs_yuvarlamaEsik,1,0))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IF(OR($A141="",$B141&lt;&gt;"tutar_farki"),"",IF(ABS($C141-$D141)&lt;=toleransKurus,"KDV_ORAN",IF(ABS($C141-$E141*efs_kdvOran)&lt;=toleransKurus,"MATRAH",IF($F141=1,"YUVARLAMA","TANIMSIZ"))))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IF($A142="","",IF($C142&lt;=efs_yuvarlamaEsik,1,0))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IF(OR($A142="",$B142&lt;&gt;"tutar_farki"),"",IF(ABS($C142-$D142)&lt;=toleransKurus,"KDV_ORAN",IF(ABS($C142-$E142*efs_kdvOran)&lt;=toleransKurus,"MATRAH",IF($F142=1,"YUVARLAMA","TANIMSIZ"))))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IF($A143="","",IF($C143&lt;=efs_yuvarlamaEsik,1,0))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IF(OR($A143="",$B143&lt;&gt;"tutar_farki"),"",IF(ABS($C143-$D143)&lt;=toleransKurus,"KDV_ORAN",IF(ABS($C143-$E143*efs_kdvOran)&lt;=toleransKurus,"MATRAH",IF($F143=1,"YUVARLAMA","TANIMSIZ"))))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IF($A144="","",IF($C144&lt;=efs_yuvarlamaEsik,1,0))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IF(OR($A144="",$B144&lt;&gt;"tutar_farki"),"",IF(ABS($C144-$D144)&lt;=toleransKurus,"KDV_ORAN",IF(ABS($C144-$E144*efs_kdvOran)&lt;=toleransKurus,"MATRAH",IF($F144=1,"YUVARLAMA","TANIMSIZ"))))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IF($A145="","",IF($C145&lt;=efs_yuvarlamaEsik,1,0))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IF(OR($A145="",$B145&lt;&gt;"tutar_farki"),"",IF(ABS($C145-$D145)&lt;=toleransKurus,"KDV_ORAN",IF(ABS($C145-$E145*efs_kdvOran)&lt;=toleransKurus,"MATRAH",IF($F145=1,"YUVARLAMA","TANIMSIZ"))))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IF($A146="","",IF($C146&lt;=efs_yuvarlamaEsik,1,0))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IF(OR($A146="",$B146&lt;&gt;"tutar_farki"),"",IF(ABS($C146-$D146)&lt;=toleransKurus,"KDV_ORAN",IF(ABS($C146-$E146*efs_kdvOran)&lt;=toleransKurus,"MATRAH",IF($F146=1,"YUVARLAMA","TANIMSIZ"))))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IF($A147="","",IF($C147&lt;=efs_yuvarlamaEsik,1,0))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IF(OR($A147="",$B147&lt;&gt;"tutar_farki"),"",IF(ABS($C147-$D147)&lt;=toleransKurus,"KDV_ORAN",IF(ABS($C147-$E147*efs_kdvOran)&lt;=toleransKurus,"MATRAH",IF($F147=1,"YUVARLAMA","TANIMSIZ"))))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IF($A148="","",IF($C148&lt;=efs_yuvarlamaEsik,1,0))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IF(OR($A148="",$B148&lt;&gt;"tutar_farki"),"",IF(ABS($C148-$D148)&lt;=toleransKurus,"KDV_ORAN",IF(ABS($C148-$E148*efs_kdvOran)&lt;=toleransKurus,"MATRAH",IF($F148=1,"YUVARLAMA","TANIMSIZ"))))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IF($A149="","",IF($C149&lt;=efs_yuvarlamaEsik,1,0))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IF(OR($A149="",$B149&lt;&gt;"tutar_farki"),"",IF(ABS($C149-$D149)&lt;=toleransKurus,"KDV_ORAN",IF(ABS($C149-$E149*efs_kdvOran)&lt;=toleransKurus,"MATRAH",IF($F149=1,"YUVARLAMA","TANIMSIZ"))))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IF($A150="","",IF($C150&lt;=efs_yuvarlamaEsik,1,0))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IF(OR($A150="",$B150&lt;&gt;"tutar_farki"),"",IF(ABS($C150-$D150)&lt;=toleransKurus,"KDV_ORAN",IF(ABS($C150-$E150*efs_kdvOran)&lt;=toleransKurus,"MATRAH",IF($F150=1,"YUVARLAMA","TANIMSIZ"))))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IF($A151="","",IF($C151&lt;=efs_yuvarlamaEsik,1,0))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IF(OR($A151="",$B151&lt;&gt;"tutar_farki"),"",IF(ABS($C151-$D151)&lt;=toleransKurus,"KDV_ORAN",IF(ABS($C151-$E151*efs_kdvOran)&lt;=toleransKurus,"MATRAH",IF($F151=1,"YUVARLAMA","TANIMSIZ"))))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IF($A152="","",IF($C152&lt;=efs_yuvarlamaEsik,1,0))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IF(OR($A152="",$B152&lt;&gt;"tutar_farki"),"",IF(ABS($C152-$D152)&lt;=toleransKurus,"KDV_ORAN",IF(ABS($C152-$E152*efs_kdvOran)&lt;=toleransKurus,"MATRAH",IF($F152=1,"YUVARLAMA","TANIMSIZ"))))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IF($A153="","",IF($C153&lt;=efs_yuvarlamaEsik,1,0))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IF(OR($A153="",$B153&lt;&gt;"tutar_farki"),"",IF(ABS($C153-$D153)&lt;=toleransKurus,"KDV_ORAN",IF(ABS($C153-$E153*efs_kdvOran)&lt;=toleransKurus,"MATRAH",IF($F153=1,"YUVARLAMA","TANIMSIZ"))))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IF($A154="","",IF($C154&lt;=efs_yuvarlamaEsik,1,0))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IF(OR($A154="",$B154&lt;&gt;"tutar_farki"),"",IF(ABS($C154-$D154)&lt;=toleransKurus,"KDV_ORAN",IF(ABS($C154-$E154*efs_kdvOran)&lt;=toleransKurus,"MATRAH",IF($F154=1,"YUVARLAMA","TANIMSIZ"))))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IF($A155="","",IF($C155&lt;=efs_yuvarlamaEsik,1,0))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IF(OR($A155="",$B155&lt;&gt;"tutar_farki"),"",IF(ABS($C155-$D155)&lt;=toleransKurus,"KDV_ORAN",IF(ABS($C155-$E155*efs_kdvOran)&lt;=toleransKurus,"MATRAH",IF($F155=1,"YUVARLAMA","TANIMSIZ"))))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IF($A156="","",IF($C156&lt;=efs_yuvarlamaEsik,1,0))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IF(OR($A156="",$B156&lt;&gt;"tutar_farki"),"",IF(ABS($C156-$D156)&lt;=toleransKurus,"KDV_ORAN",IF(ABS($C156-$E156*efs_kdvOran)&lt;=toleransKurus,"MATRAH",IF($F156=1,"YUVARLAMA","TANIMSIZ"))))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IF($A157="","",IF($C157&lt;=efs_yuvarlamaEsik,1,0))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IF(OR($A157="",$B157&lt;&gt;"tutar_farki"),"",IF(ABS($C157-$D157)&lt;=toleransKurus,"KDV_ORAN",IF(ABS($C157-$E157*efs_kdvOran)&lt;=toleransKurus,"MATRAH",IF($F157=1,"YUVARLAMA","TANIMSIZ"))))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IF($A158="","",IF($C158&lt;=efs_yuvarlamaEsik,1,0))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IF(OR($A158="",$B158&lt;&gt;"tutar_farki"),"",IF(ABS($C158-$D158)&lt;=toleransKurus,"KDV_ORAN",IF(ABS($C158-$E158*efs_kdvOran)&lt;=toleransKurus,"MATRAH",IF($F158=1,"YUVARLAMA","TANIMSIZ"))))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IF($A159="","",IF($C159&lt;=efs_yuvarlamaEsik,1,0))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IF(OR($A159="",$B159&lt;&gt;"tutar_farki"),"",IF(ABS($C159-$D159)&lt;=toleransKurus,"KDV_ORAN",IF(ABS($C159-$E159*efs_kdvOran)&lt;=toleransKurus,"MATRAH",IF($F159=1,"YUVARLAMA","TANIMSIZ"))))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IF($A160="","",IF($C160&lt;=efs_yuvarlamaEsik,1,0))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IF(OR($A160="",$B160&lt;&gt;"tutar_farki"),"",IF(ABS($C160-$D160)&lt;=toleransKurus,"KDV_ORAN",IF(ABS($C160-$E160*efs_kdvOran)&lt;=toleransKurus,"MATRAH",IF($F160=1,"YUVARLAMA","TANIMSIZ"))))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IF($A161="","",IF($C161&lt;=efs_yuvarlamaEsik,1,0))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IF(OR($A161="",$B161&lt;&gt;"tutar_farki"),"",IF(ABS($C161-$D161)&lt;=toleransKurus,"KDV_ORAN",IF(ABS($C161-$E161*efs_kdvOran)&lt;=toleransKurus,"MATRAH",IF($F161=1,"YUVARLAMA","TANIMSIZ"))))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IF($A162="","",IF($C162&lt;=efs_yuvarlamaEsik,1,0))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IF(OR($A162="",$B162&lt;&gt;"tutar_farki"),"",IF(ABS($C162-$D162)&lt;=toleransKurus,"KDV_ORAN",IF(ABS($C162-$E162*efs_kdvOran)&lt;=toleransKurus,"MATRAH",IF($F162=1,"YUVARLAMA","TANIMSIZ"))))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IF($A163="","",IF($C163&lt;=efs_yuvarlamaEsik,1,0))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IF(OR($A163="",$B163&lt;&gt;"tutar_farki"),"",IF(ABS($C163-$D163)&lt;=toleransKurus,"KDV_ORAN",IF(ABS($C163-$E163*efs_kdvOran)&lt;=toleransKurus,"MATRAH",IF($F163=1,"YUVARLAMA","TANIMSIZ"))))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IF($A164="","",IF($C164&lt;=efs_yuvarlamaEsik,1,0))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IF(OR($A164="",$B164&lt;&gt;"tutar_farki"),"",IF(ABS($C164-$D164)&lt;=toleransKurus,"KDV_ORAN",IF(ABS($C164-$E164*efs_kdvOran)&lt;=toleransKurus,"MATRAH",IF($F164=1,"YUVARLAMA","TANIMSIZ"))))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IF($A165="","",IF($C165&lt;=efs_yuvarlamaEsik,1,0))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IF(OR($A165="",$B165&lt;&gt;"tutar_farki"),"",IF(ABS($C165-$D165)&lt;=toleransKurus,"KDV_ORAN",IF(ABS($C165-$E165*efs_kdvOran)&lt;=toleransKurus,"MATRAH",IF($F165=1,"YUVARLAMA","TANIMSIZ"))))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IF($A166="","",IF($C166&lt;=efs_yuvarlamaEsik,1,0))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IF(OR($A166="",$B166&lt;&gt;"tutar_farki"),"",IF(ABS($C166-$D166)&lt;=toleransKurus,"KDV_ORAN",IF(ABS($C166-$E166*efs_kdvOran)&lt;=toleransKurus,"MATRAH",IF($F166=1,"YUVARLAMA","TANIMSIZ"))))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IF($A167="","",IF($C167&lt;=efs_yuvarlamaEsik,1,0))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IF(OR($A167="",$B167&lt;&gt;"tutar_farki"),"",IF(ABS($C167-$D167)&lt;=toleransKurus,"KDV_ORAN",IF(ABS($C167-$E167*efs_kdvOran)&lt;=toleransKurus,"MATRAH",IF($F167=1,"YUVARLAMA","TANIMSIZ"))))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IF($A168="","",IF($C168&lt;=efs_yuvarlamaEsik,1,0))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IF(OR($A168="",$B168&lt;&gt;"tutar_farki"),"",IF(ABS($C168-$D168)&lt;=toleransKurus,"KDV_ORAN",IF(ABS($C168-$E168*efs_kdvOran)&lt;=toleransKurus,"MATRAH",IF($F168=1,"YUVARLAMA","TANIMSIZ"))))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IF($A169="","",IF($C169&lt;=efs_yuvarlamaEsik,1,0))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IF(OR($A169="",$B169&lt;&gt;"tutar_farki"),"",IF(ABS($C169-$D169)&lt;=toleransKurus,"KDV_ORAN",IF(ABS($C169-$E169*efs_kdvOran)&lt;=toleransKurus,"MATRAH",IF($F169=1,"YUVARLAMA","TANIMSIZ"))))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IF($A170="","",IF($C170&lt;=efs_yuvarlamaEsik,1,0))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IF(OR($A170="",$B170&lt;&gt;"tutar_farki"),"",IF(ABS($C170-$D170)&lt;=toleransKurus,"KDV_ORAN",IF(ABS($C170-$E170*efs_kdvOran)&lt;=toleransKurus,"MATRAH",IF($F170=1,"YUVARLAMA","TANIMSIZ"))))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IF($A171="","",IF($C171&lt;=efs_yuvarlamaEsik,1,0))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IF(OR($A171="",$B171&lt;&gt;"tutar_farki"),"",IF(ABS($C171-$D171)&lt;=toleransKurus,"KDV_ORAN",IF(ABS($C171-$E171*efs_kdvOran)&lt;=toleransKurus,"MATRAH",IF($F171=1,"YUVARLAMA","TANIMSIZ"))))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IF($A172="","",IF($C172&lt;=efs_yuvarlamaEsik,1,0))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IF(OR($A172="",$B172&lt;&gt;"tutar_farki"),"",IF(ABS($C172-$D172)&lt;=toleransKurus,"KDV_ORAN",IF(ABS($C172-$E172*efs_kdvOran)&lt;=toleransKurus,"MATRAH",IF($F172=1,"YUVARLAMA","TANIMSIZ"))))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IF($A173="","",IF($C173&lt;=efs_yuvarlamaEsik,1,0))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IF(OR($A173="",$B173&lt;&gt;"tutar_farki"),"",IF(ABS($C173-$D173)&lt;=toleransKurus,"KDV_ORAN",IF(ABS($C173-$E173*efs_kdvOran)&lt;=toleransKurus,"MATRAH",IF($F173=1,"YUVARLAMA","TANIMSIZ"))))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IF($A174="","",IF($C174&lt;=efs_yuvarlamaEsik,1,0))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IF(OR($A174="",$B174&lt;&gt;"tutar_farki"),"",IF(ABS($C174-$D174)&lt;=toleransKurus,"KDV_ORAN",IF(ABS($C174-$E174*efs_kdvOran)&lt;=toleransKurus,"MATRAH",IF($F174=1,"YUVARLAMA","TANIMSIZ"))))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IF($A175="","",IF($C175&lt;=efs_yuvarlamaEsik,1,0))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IF(OR($A175="",$B175&lt;&gt;"tutar_farki"),"",IF(ABS($C175-$D175)&lt;=toleransKurus,"KDV_ORAN",IF(ABS($C175-$E175*efs_kdvOran)&lt;=toleransKurus,"MATRAH",IF($F175=1,"YUVARLAMA","TANIMSIZ"))))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IF($A176="","",IF($C176&lt;=efs_yuvarlamaEsik,1,0))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IF(OR($A176="",$B176&lt;&gt;"tutar_farki"),"",IF(ABS($C176-$D176)&lt;=toleransKurus,"KDV_ORAN",IF(ABS($C176-$E176*efs_kdvOran)&lt;=toleransKurus,"MATRAH",IF($F176=1,"YUVARLAMA","TANIMSIZ"))))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IF($A177="","",IF($C177&lt;=efs_yuvarlamaEsik,1,0))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IF(OR($A177="",$B177&lt;&gt;"tutar_farki"),"",IF(ABS($C177-$D177)&lt;=toleransKurus,"KDV_ORAN",IF(ABS($C177-$E177*efs_kdvOran)&lt;=toleransKurus,"MATRAH",IF($F177=1,"YUVARLAMA","TANIMSIZ"))))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IF($A178="","",IF($C178&lt;=efs_yuvarlamaEsik,1,0))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IF(OR($A178="",$B178&lt;&gt;"tutar_farki"),"",IF(ABS($C178-$D178)&lt;=toleransKurus,"KDV_ORAN",IF(ABS($C178-$E178*efs_kdvOran)&lt;=toleransKurus,"MATRAH",IF($F178=1,"YUVARLAMA","TANIMSIZ"))))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IF($A179="","",IF($C179&lt;=efs_yuvarlamaEsik,1,0))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IF(OR($A179="",$B179&lt;&gt;"tutar_farki"),"",IF(ABS($C179-$D179)&lt;=toleransKurus,"KDV_ORAN",IF(ABS($C179-$E179*efs_kdvOran)&lt;=toleransKurus,"MATRAH",IF($F179=1,"YUVARLAMA","TANIMSIZ"))))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IF($A180="","",IF($C180&lt;=efs_yuvarlamaEsik,1,0))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IF(OR($A180="",$B180&lt;&gt;"tutar_farki"),"",IF(ABS($C180-$D180)&lt;=toleransKurus,"KDV_ORAN",IF(ABS($C180-$E180*efs_kdvOran)&lt;=toleransKurus,"MATRAH",IF($F180=1,"YUVARLAMA","TANIMSIZ"))))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IF($A181="","",IF($C181&lt;=efs_yuvarlamaEsik,1,0))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IF(OR($A181="",$B181&lt;&gt;"tutar_farki"),"",IF(ABS($C181-$D181)&lt;=toleransKurus,"KDV_ORAN",IF(ABS($C181-$E181*efs_kdvOran)&lt;=toleransKurus,"MATRAH",IF($F181=1,"YUVARLAMA","TANIMSIZ"))))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IF($A182="","",IF($C182&lt;=efs_yuvarlamaEsik,1,0))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IF(OR($A182="",$B182&lt;&gt;"tutar_farki"),"",IF(ABS($C182-$D182)&lt;=toleransKurus,"KDV_ORAN",IF(ABS($C182-$E182*efs_kdvOran)&lt;=toleransKurus,"MATRAH",IF($F182=1,"YUVARLAMA","TANIMSIZ"))))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IF($A183="","",IF($C183&lt;=efs_yuvarlamaEsik,1,0))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IF(OR($A183="",$B183&lt;&gt;"tutar_farki"),"",IF(ABS($C183-$D183)&lt;=toleransKurus,"KDV_ORAN",IF(ABS($C183-$E183*efs_kdvOran)&lt;=toleransKurus,"MATRAH",IF($F183=1,"YUVARLAMA","TANIMSIZ"))))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IF($A184="","",IF($C184&lt;=efs_yuvarlamaEsik,1,0))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IF(OR($A184="",$B184&lt;&gt;"tutar_farki"),"",IF(ABS($C184-$D184)&lt;=toleransKurus,"KDV_ORAN",IF(ABS($C184-$E184*efs_kdvOran)&lt;=toleransKurus,"MATRAH",IF($F184=1,"YUVARLAMA","TANIMSIZ"))))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IF($A185="","",IF($C185&lt;=efs_yuvarlamaEsik,1,0))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IF(OR($A185="",$B185&lt;&gt;"tutar_farki"),"",IF(ABS($C185-$D185)&lt;=toleransKurus,"KDV_ORAN",IF(ABS($C185-$E185*efs_kdvOran)&lt;=toleransKurus,"MATRAH",IF($F185=1,"YUVARLAMA","TANIMSIZ"))))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IF($A186="","",IF($C186&lt;=efs_yuvarlamaEsik,1,0))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IF(OR($A186="",$B186&lt;&gt;"tutar_farki"),"",IF(ABS($C186-$D186)&lt;=toleransKurus,"KDV_ORAN",IF(ABS($C186-$E186*efs_kdvOran)&lt;=toleransKurus,"MATRAH",IF($F186=1,"YUVARLAMA","TANIMSIZ"))))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IF($A187="","",IF($C187&lt;=efs_yuvarlamaEsik,1,0))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IF(OR($A187="",$B187&lt;&gt;"tutar_farki"),"",IF(ABS($C187-$D187)&lt;=toleransKurus,"KDV_ORAN",IF(ABS($C187-$E187*efs_kdvOran)&lt;=toleransKurus,"MATRAH",IF($F187=1,"YUVARLAMA","TANIMSIZ"))))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IF($A188="","",IF($C188&lt;=efs_yuvarlamaEsik,1,0))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IF(OR($A188="",$B188&lt;&gt;"tutar_farki"),"",IF(ABS($C188-$D188)&lt;=toleransKurus,"KDV_ORAN",IF(ABS($C188-$E188*efs_kdvOran)&lt;=toleransKurus,"MATRAH",IF($F188=1,"YUVARLAMA","TANIMSIZ"))))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IF($A189="","",IF($C189&lt;=efs_yuvarlamaEsik,1,0))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IF(OR($A189="",$B189&lt;&gt;"tutar_farki"),"",IF(ABS($C189-$D189)&lt;=toleransKurus,"KDV_ORAN",IF(ABS($C189-$E189*efs_kdvOran)&lt;=toleransKurus,"MATRAH",IF($F189=1,"YUVARLAMA","TANIMSIZ"))))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IF($A190="","",IF($C190&lt;=efs_yuvarlamaEsik,1,0))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IF(OR($A190="",$B190&lt;&gt;"tutar_farki"),"",IF(ABS($C190-$D190)&lt;=toleransKurus,"KDV_ORAN",IF(ABS($C190-$E190*efs_kdvOran)&lt;=toleransKurus,"MATRAH",IF($F190=1,"YUVARLAMA","TANIMSIZ"))))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IF($A191="","",IF($C191&lt;=efs_yuvarlamaEsik,1,0))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IF(OR($A191="",$B191&lt;&gt;"tutar_farki"),"",IF(ABS($C191-$D191)&lt;=toleransKurus,"KDV_ORAN",IF(ABS($C191-$E191*efs_kdvOran)&lt;=toleransKurus,"MATRAH",IF($F191=1,"YUVARLAMA","TANIMSIZ"))))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IF($A192="","",IF($C192&lt;=efs_yuvarlamaEsik,1,0))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IF(OR($A192="",$B192&lt;&gt;"tutar_farki"),"",IF(ABS($C192-$D192)&lt;=toleransKurus,"KDV_ORAN",IF(ABS($C192-$E192*efs_kdvOran)&lt;=toleransKurus,"MATRAH",IF($F192=1,"YUVARLAMA","TANIMSIZ"))))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IF($A193="","",IF($C193&lt;=efs_yuvarlamaEsik,1,0))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IF(OR($A193="",$B193&lt;&gt;"tutar_farki"),"",IF(ABS($C193-$D193)&lt;=toleransKurus,"KDV_ORAN",IF(ABS($C193-$E193*efs_kdvOran)&lt;=toleransKurus,"MATRAH",IF($F193=1,"YUVARLAMA","TANIMSIZ"))))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IF($A194="","",IF($C194&lt;=efs_yuvarlamaEsik,1,0))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IF(OR($A194="",$B194&lt;&gt;"tutar_farki"),"",IF(ABS($C194-$D194)&lt;=toleransKurus,"KDV_ORAN",IF(ABS($C194-$E194*efs_kdvOran)&lt;=toleransKurus,"MATRAH",IF($F194=1,"YUVARLAMA","TANIMSIZ"))))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IF($A195="","",IF($C195&lt;=efs_yuvarlamaEsik,1,0))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IF(OR($A195="",$B195&lt;&gt;"tutar_farki"),"",IF(ABS($C195-$D195)&lt;=toleransKurus,"KDV_ORAN",IF(ABS($C195-$E195*efs_kdvOran)&lt;=toleransKurus,"MATRAH",IF($F195=1,"YUVARLAMA","TANIMSIZ"))))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IF($A196="","",IF($C196&lt;=efs_yuvarlamaEsik,1,0))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IF(OR($A196="",$B196&lt;&gt;"tutar_farki"),"",IF(ABS($C196-$D196)&lt;=toleransKurus,"KDV_ORAN",IF(ABS($C196-$E196*efs_kdvOran)&lt;=toleransKurus,"MATRAH",IF($F196=1,"YUVARLAMA","TANIMSIZ"))))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IF($A197="","",IF($C197&lt;=efs_yuvarlamaEsik,1,0))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IF(OR($A197="",$B197&lt;&gt;"tutar_farki"),"",IF(ABS($C197-$D197)&lt;=toleransKurus,"KDV_ORAN",IF(ABS($C197-$E197*efs_kdvOran)&lt;=toleransKurus,"MATRAH",IF($F197=1,"YUVARLAMA","TANIMSIZ"))))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IF($A198="","",IF($C198&lt;=efs_yuvarlamaEsik,1,0))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IF(OR($A198="",$B198&lt;&gt;"tutar_farki"),"",IF(ABS($C198-$D198)&lt;=toleransKurus,"KDV_ORAN",IF(ABS($C198-$E198*efs_kdvOran)&lt;=toleransKurus,"MATRAH",IF($F198=1,"YUVARLAMA","TANIMSIZ"))))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IF($A199="","",IF($C199&lt;=efs_yuvarlamaEsik,1,0))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IF(OR($A199="",$B199&lt;&gt;"tutar_farki"),"",IF(ABS($C199-$D199)&lt;=toleransKurus,"KDV_ORAN",IF(ABS($C199-$E199*efs_kdvOran)&lt;=toleransKurus,"MATRAH",IF($F199=1,"YUVARLAMA","TANIMSIZ"))))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IF($A200="","",IF($C200&lt;=efs_yuvarlamaEsik,1,0))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IF(OR($A200="",$B200&lt;&gt;"tutar_farki"),"",IF(ABS($C200-$D200)&lt;=toleransKurus,"KDV_ORAN",IF(ABS($C200-$E200*efs_kdvOran)&lt;=toleransKurus,"MATRAH",IF($F200=1,"YUVARLAMA","TANIMSIZ"))))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IF($A201="","",IF($C201&lt;=efs_yuvarlamaEsik,1,0))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IF(OR($A201="",$B201&lt;&gt;"tutar_farki"),"",IF(ABS($C201-$D201)&lt;=toleransKurus,"KDV_ORAN",IF(ABS($C201-$E201*efs_kdvOran)&lt;=toleransKurus,"MATRAH",IF($F201=1,"YUVARLAMA","TANIMSIZ"))))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IF($A202="","",IF($C202&lt;=efs_yuvarlamaEsik,1,0))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IF(OR($A202="",$B202&lt;&gt;"tutar_farki"),"",IF(ABS($C202-$D202)&lt;=toleransKurus,"KDV_ORAN",IF(ABS($C202-$E202*efs_kdvOran)&lt;=toleransKurus,"MATRAH",IF($F202=1,"YUVARLAMA","TANIMSIZ"))))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IF($A203="","",IF($C203&lt;=efs_yuvarlamaEsik,1,0))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IF(OR($A203="",$B203&lt;&gt;"tutar_farki"),"",IF(ABS($C203-$D203)&lt;=toleransKurus,"KDV_ORAN",IF(ABS($C203-$E203*efs_kdvOran)&lt;=toleransKurus,"MATRAH",IF($F203=1,"YUVARLAMA","TANIMSIZ"))))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IF($A204="","",IF($C204&lt;=efs_yuvarlamaEsik,1,0))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IF(OR($A204="",$B204&lt;&gt;"tutar_farki"),"",IF(ABS($C204-$D204)&lt;=toleransKurus,"KDV_ORAN",IF(ABS($C204-$E204*efs_kdvOran)&lt;=toleransKurus,"MATRAH",IF($F204=1,"YUVARLAMA","TANIMSIZ"))))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IF($A205="","",IF($C205&lt;=efs_yuvarlamaEsik,1,0))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IF(OR($A205="",$B205&lt;&gt;"tutar_farki"),"",IF(ABS($C205-$D205)&lt;=toleransKurus,"KDV_ORAN",IF(ABS($C205-$E205*efs_kdvOran)&lt;=toleransKurus,"MATRAH",IF($F205=1,"YUVARLAMA","TANIMSIZ"))))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IF($A206="","",IF($C206&lt;=efs_yuvarlamaEsik,1,0))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IF(OR($A206="",$B206&lt;&gt;"tutar_farki"),"",IF(ABS($C206-$D206)&lt;=toleransKurus,"KDV_ORAN",IF(ABS($C206-$E206*efs_kdvOran)&lt;=toleransKurus,"MATRAH",IF($F206=1,"YUVARLAMA","TANIMSIZ"))))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IF($A207="","",IF($C207&lt;=efs_yuvarlamaEsik,1,0))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IF(OR($A207="",$B207&lt;&gt;"tutar_farki"),"",IF(ABS($C207-$D207)&lt;=toleransKurus,"KDV_ORAN",IF(ABS($C207-$E207*efs_kdvOran)&lt;=toleransKurus,"MATRAH",IF($F207=1,"YUVARLAMA","TANIMSIZ"))))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IF($A208="","",IF($C208&lt;=efs_yuvarlamaEsik,1,0))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IF(OR($A208="",$B208&lt;&gt;"tutar_farki"),"",IF(ABS($C208-$D208)&lt;=toleransKurus,"KDV_ORAN",IF(ABS($C208-$E208*efs_kdvOran)&lt;=toleransKurus,"MATRAH",IF($F208=1,"YUVARLAMA","TANIMSIZ"))))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IF($A209="","",IF($C209&lt;=efs_yuvarlamaEsik,1,0))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IF(OR($A209="",$B209&lt;&gt;"tutar_farki"),"",IF(ABS($C209-$D209)&lt;=toleransKurus,"KDV_ORAN",IF(ABS($C209-$E209*efs_kdvOran)&lt;=toleransKurus,"MATRAH",IF($F209=1,"YUVARLAMA","TANIMSIZ"))))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IF($A210="","",IF($C210&lt;=efs_yuvarlamaEsik,1,0))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IF(OR($A210="",$B210&lt;&gt;"tutar_farki"),"",IF(ABS($C210-$D210)&lt;=toleransKurus,"KDV_ORAN",IF(ABS($C210-$E210*efs_kdvOran)&lt;=toleransKurus,"MATRAH",IF($F210=1,"YUVARLAMA","TANIMSIZ"))))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IF($A211="","",IF($C211&lt;=efs_yuvarlamaEsik,1,0))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IF(OR($A211="",$B211&lt;&gt;"tutar_farki"),"",IF(ABS($C211-$D211)&lt;=toleransKurus,"KDV_ORAN",IF(ABS($C211-$E211*efs_kdvOran)&lt;=toleransKurus,"MATRAH",IF($F211=1,"YUVARLAMA","TANIMSIZ"))))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IF($A212="","",IF($C212&lt;=efs_yuvarlamaEsik,1,0))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IF(OR($A212="",$B212&lt;&gt;"tutar_farki"),"",IF(ABS($C212-$D212)&lt;=toleransKurus,"KDV_ORAN",IF(ABS($C212-$E212*efs_kdvOran)&lt;=toleransKurus,"MATRAH",IF($F212=1,"YUVARLAMA","TANIMSIZ"))))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IF($A213="","",IF($C213&lt;=efs_yuvarlamaEsik,1,0))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IF(OR($A213="",$B213&lt;&gt;"tutar_farki"),"",IF(ABS($C213-$D213)&lt;=toleransKurus,"KDV_ORAN",IF(ABS($C213-$E213*efs_kdvOran)&lt;=toleransKurus,"MATRAH",IF($F213=1,"YUVARLAMA","TANIMSIZ"))))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IF($A214="","",IF($C214&lt;=efs_yuvarlamaEsik,1,0))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IF(OR($A214="",$B214&lt;&gt;"tutar_farki"),"",IF(ABS($C214-$D214)&lt;=toleransKurus,"KDV_ORAN",IF(ABS($C214-$E214*efs_kdvOran)&lt;=toleransKurus,"MATRAH",IF($F214=1,"YUVARLAMA","TANIMSIZ"))))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IF($A215="","",IF($C215&lt;=efs_yuvarlamaEsik,1,0))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IF(OR($A215="",$B215&lt;&gt;"tutar_farki"),"",IF(ABS($C215-$D215)&lt;=toleransKurus,"KDV_ORAN",IF(ABS($C215-$E215*efs_kdvOran)&lt;=toleransKurus,"MATRAH",IF($F215=1,"YUVARLAMA","TANIMSIZ"))))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IF($A216="","",IF($C216&lt;=efs_yuvarlamaEsik,1,0))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IF(OR($A216="",$B216&lt;&gt;"tutar_farki"),"",IF(ABS($C216-$D216)&lt;=toleransKurus,"KDV_ORAN",IF(ABS($C216-$E216*efs_kdvOran)&lt;=toleransKurus,"MATRAH",IF($F216=1,"YUVARLAMA","TANIMSIZ"))))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IF($A217="","",IF($C217&lt;=efs_yuvarlamaEsik,1,0))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IF(OR($A217="",$B217&lt;&gt;"tutar_farki"),"",IF(ABS($C217-$D217)&lt;=toleransKurus,"KDV_ORAN",IF(ABS($C217-$E217*efs_kdvOran)&lt;=toleransKurus,"MATRAH",IF($F217=1,"YUVARLAMA","TANIMSIZ"))))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IF($A218="","",IF($C218&lt;=efs_yuvarlamaEsik,1,0))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IF(OR($A218="",$B218&lt;&gt;"tutar_farki"),"",IF(ABS($C218-$D218)&lt;=toleransKurus,"KDV_ORAN",IF(ABS($C218-$E218*efs_kdvOran)&lt;=toleransKurus,"MATRAH",IF($F218=1,"YUVARLAMA","TANIMSIZ"))))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IF($A219="","",IF($C219&lt;=efs_yuvarlamaEsik,1,0))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IF(OR($A219="",$B219&lt;&gt;"tutar_farki"),"",IF(ABS($C219-$D219)&lt;=toleransKurus,"KDV_ORAN",IF(ABS($C219-$E219*efs_kdvOran)&lt;=toleransKurus,"MATRAH",IF($F219=1,"YUVARLAMA","TANIMSIZ"))))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IF($A220="","",IF($C220&lt;=efs_yuvarlamaEsik,1,0))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IF(OR($A220="",$B220&lt;&gt;"tutar_farki"),"",IF(ABS($C220-$D220)&lt;=toleransKurus,"KDV_ORAN",IF(ABS($C220-$E220*efs_kdvOran)&lt;=toleransKurus,"MATRAH",IF($F220=1,"YUVARLAMA","TANIMSIZ"))))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IF($A221="","",IF($C221&lt;=efs_yuvarlamaEsik,1,0))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IF(OR($A221="",$B221&lt;&gt;"tutar_farki"),"",IF(ABS($C221-$D221)&lt;=toleransKurus,"KDV_ORAN",IF(ABS($C221-$E221*efs_kdvOran)&lt;=toleransKurus,"MATRAH",IF($F221=1,"YUVARLAMA","TANIMSIZ"))))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IF($A222="","",IF($C222&lt;=efs_yuvarlamaEsik,1,0))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IF(OR($A222="",$B222&lt;&gt;"tutar_farki"),"",IF(ABS($C222-$D222)&lt;=toleransKurus,"KDV_ORAN",IF(ABS($C222-$E222*efs_kdvOran)&lt;=toleransKurus,"MATRAH",IF($F222=1,"YUVARLAMA","TANIMSIZ"))))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IF($A223="","",IF($C223&lt;=efs_yuvarlamaEsik,1,0))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IF(OR($A223="",$B223&lt;&gt;"tutar_farki"),"",IF(ABS($C223-$D223)&lt;=toleransKurus,"KDV_ORAN",IF(ABS($C223-$E223*efs_kdvOran)&lt;=toleransKurus,"MATRAH",IF($F223=1,"YUVARLAMA","TANIMSIZ"))))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IF($A224="","",IF($C224&lt;=efs_yuvarlamaEsik,1,0))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IF(OR($A224="",$B224&lt;&gt;"tutar_farki"),"",IF(ABS($C224-$D224)&lt;=toleransKurus,"KDV_ORAN",IF(ABS($C224-$E224*efs_kdvOran)&lt;=toleransKurus,"MATRAH",IF($F224=1,"YUVARLAMA","TANIMSIZ"))))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IF($A225="","",IF($C225&lt;=efs_yuvarlamaEsik,1,0))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IF(OR($A225="",$B225&lt;&gt;"tutar_farki"),"",IF(ABS($C225-$D225)&lt;=toleransKurus,"KDV_ORAN",IF(ABS($C225-$E225*efs_kdvOran)&lt;=toleransKurus,"MATRAH",IF($F225=1,"YUVARLAMA","TANIMSIZ"))))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IF($A226="","",IF($C226&lt;=efs_yuvarlamaEsik,1,0))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IF(OR($A226="",$B226&lt;&gt;"tutar_farki"),"",IF(ABS($C226-$D226)&lt;=toleransKurus,"KDV_ORAN",IF(ABS($C226-$E226*efs_kdvOran)&lt;=toleransKurus,"MATRAH",IF($F226=1,"YUVARLAMA","TANIMSIZ"))))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IF($A227="","",IF($C227&lt;=efs_yuvarlamaEsik,1,0))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IF(OR($A227="",$B227&lt;&gt;"tutar_farki"),"",IF(ABS($C227-$D227)&lt;=toleransKurus,"KDV_ORAN",IF(ABS($C227-$E227*efs_kdvOran)&lt;=toleransKurus,"MATRAH",IF($F227=1,"YUVARLAMA","TANIMSIZ"))))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IF($A228="","",IF($C228&lt;=efs_yuvarlamaEsik,1,0))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IF(OR($A228="",$B228&lt;&gt;"tutar_farki"),"",IF(ABS($C228-$D228)&lt;=toleransKurus,"KDV_ORAN",IF(ABS($C228-$E228*efs_kdvOran)&lt;=toleransKurus,"MATRAH",IF($F228=1,"YUVARLAMA","TANIMSIZ"))))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IF($A229="","",IF($C229&lt;=efs_yuvarlamaEsik,1,0))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IF(OR($A229="",$B229&lt;&gt;"tutar_farki"),"",IF(ABS($C229-$D229)&lt;=toleransKurus,"KDV_ORAN",IF(ABS($C229-$E229*efs_kdvOran)&lt;=toleransKurus,"MATRAH",IF($F229=1,"YUVARLAMA","TANIMSIZ"))))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IF($A230="","",IF($C230&lt;=efs_yuvarlamaEsik,1,0))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IF(OR($A230="",$B230&lt;&gt;"tutar_farki"),"",IF(ABS($C230-$D230)&lt;=toleransKurus,"KDV_ORAN",IF(ABS($C230-$E230*efs_kdvOran)&lt;=toleransKurus,"MATRAH",IF($F230=1,"YUVARLAMA","TANIMSIZ"))))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IF($A231="","",IF($C231&lt;=efs_yuvarlamaEsik,1,0))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IF(OR($A231="",$B231&lt;&gt;"tutar_farki"),"",IF(ABS($C231-$D231)&lt;=toleransKurus,"KDV_ORAN",IF(ABS($C231-$E231*efs_kdvOran)&lt;=toleransKurus,"MATRAH",IF($F231=1,"YUVARLAMA","TANIMSIZ"))))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IF($A232="","",IF($C232&lt;=efs_yuvarlamaEsik,1,0))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IF(OR($A232="",$B232&lt;&gt;"tutar_farki"),"",IF(ABS($C232-$D232)&lt;=toleransKurus,"KDV_ORAN",IF(ABS($C232-$E232*efs_kdvOran)&lt;=toleransKurus,"MATRAH",IF($F232=1,"YUVARLAMA","TANIMSIZ"))))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IF($A233="","",IF($C233&lt;=efs_yuvarlamaEsik,1,0))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IF(OR($A233="",$B233&lt;&gt;"tutar_farki"),"",IF(ABS($C233-$D233)&lt;=toleransKurus,"KDV_ORAN",IF(ABS($C233-$E233*efs_kdvOran)&lt;=toleransKurus,"MATRAH",IF($F233=1,"YUVARLAMA","TANIMSIZ"))))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IF($A234="","",IF($C234&lt;=efs_yuvarlamaEsik,1,0))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IF(OR($A234="",$B234&lt;&gt;"tutar_farki"),"",IF(ABS($C234-$D234)&lt;=toleransKurus,"KDV_ORAN",IF(ABS($C234-$E234*efs_kdvOran)&lt;=toleransKurus,"MATRAH",IF($F234=1,"YUVARLAMA","TANIMSIZ"))))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IF($A235="","",IF($C235&lt;=efs_yuvarlamaEsik,1,0))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IF(OR($A235="",$B235&lt;&gt;"tutar_farki"),"",IF(ABS($C235-$D235)&lt;=toleransKurus,"KDV_ORAN",IF(ABS($C235-$E235*efs_kdvOran)&lt;=toleransKurus,"MATRAH",IF($F235=1,"YUVARLAMA","TANIMSIZ"))))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IF($A236="","",IF($C236&lt;=efs_yuvarlamaEsik,1,0))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IF(OR($A236="",$B236&lt;&gt;"tutar_farki"),"",IF(ABS($C236-$D236)&lt;=toleransKurus,"KDV_ORAN",IF(ABS($C236-$E236*efs_kdvOran)&lt;=toleransKurus,"MATRAH",IF($F236=1,"YUVARLAMA","TANIMSIZ"))))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IF($A237="","",IF($C237&lt;=efs_yuvarlamaEsik,1,0))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IF(OR($A237="",$B237&lt;&gt;"tutar_farki"),"",IF(ABS($C237-$D237)&lt;=toleransKurus,"KDV_ORAN",IF(ABS($C237-$E237*efs_kdvOran)&lt;=toleransKurus,"MATRAH",IF($F237=1,"YUVARLAMA","TANIMSIZ"))))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IF($A238="","",IF($C238&lt;=efs_yuvarlamaEsik,1,0))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IF(OR($A238="",$B238&lt;&gt;"tutar_farki"),"",IF(ABS($C238-$D238)&lt;=toleransKurus,"KDV_ORAN",IF(ABS($C238-$E238*efs_kdvOran)&lt;=toleransKurus,"MATRAH",IF($F238=1,"YUVARLAMA","TANIMSIZ"))))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IF($A239="","",IF($C239&lt;=efs_yuvarlamaEsik,1,0))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IF(OR($A239="",$B239&lt;&gt;"tutar_farki"),"",IF(ABS($C239-$D239)&lt;=toleransKurus,"KDV_ORAN",IF(ABS($C239-$E239*efs_kdvOran)&lt;=toleransKurus,"MATRAH",IF($F239=1,"YUVARLAMA","TANIMSIZ"))))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IF($A240="","",IF($C240&lt;=efs_yuvarlamaEsik,1,0))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IF(OR($A240="",$B240&lt;&gt;"tutar_farki"),"",IF(ABS($C240-$D240)&lt;=toleransKurus,"KDV_ORAN",IF(ABS($C240-$E240*efs_kdvOran)&lt;=toleransKurus,"MATRAH",IF($F240=1,"YUVARLAMA","TANIMSIZ"))))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IF($A241="","",IF($C241&lt;=efs_yuvarlamaEsik,1,0))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IF(OR($A241="",$B241&lt;&gt;"tutar_farki"),"",IF(ABS($C241-$D241)&lt;=toleransKurus,"KDV_ORAN",IF(ABS($C241-$E241*efs_kdvOran)&lt;=toleransKurus,"MATRAH",IF($F241=1,"YUVARLAMA","TANIMSIZ"))))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IF($A242="","",IF($C242&lt;=efs_yuvarlamaEsik,1,0))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IF(OR($A242="",$B242&lt;&gt;"tutar_farki"),"",IF(ABS($C242-$D242)&lt;=toleransKurus,"KDV_ORAN",IF(ABS($C242-$E242*efs_kdvOran)&lt;=toleransKurus,"MATRAH",IF($F242=1,"YUVARLAMA","TANIMSIZ"))))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IF($A243="","",IF($C243&lt;=efs_yuvarlamaEsik,1,0))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IF(OR($A243="",$B243&lt;&gt;"tutar_farki"),"",IF(ABS($C243-$D243)&lt;=toleransKurus,"KDV_ORAN",IF(ABS($C243-$E243*efs_kdvOran)&lt;=toleransKurus,"MATRAH",IF($F243=1,"YUVARLAMA","TANIMSIZ"))))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IF($A244="","",IF($C244&lt;=efs_yuvarlamaEsik,1,0))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IF(OR($A244="",$B244&lt;&gt;"tutar_farki"),"",IF(ABS($C244-$D244)&lt;=toleransKurus,"KDV_ORAN",IF(ABS($C244-$E244*efs_kdvOran)&lt;=toleransKurus,"MATRAH",IF($F244=1,"YUVARLAMA","TANIMSIZ"))))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IF($A245="","",IF($C245&lt;=efs_yuvarlamaEsik,1,0))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IF(OR($A245="",$B245&lt;&gt;"tutar_farki"),"",IF(ABS($C245-$D245)&lt;=toleransKurus,"KDV_ORAN",IF(ABS($C245-$E245*efs_kdvOran)&lt;=toleransKurus,"MATRAH",IF($F245=1,"YUVARLAMA","TANIMSIZ"))))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IF($A246="","",IF($C246&lt;=efs_yuvarlamaEsik,1,0))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IF(OR($A246="",$B246&lt;&gt;"tutar_farki"),"",IF(ABS($C246-$D246)&lt;=toleransKurus,"KDV_ORAN",IF(ABS($C246-$E246*efs_kdvOran)&lt;=toleransKurus,"MATRAH",IF($F246=1,"YUVARLAMA","TANIMSIZ"))))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IF($A247="","",IF($C247&lt;=efs_yuvarlamaEsik,1,0))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IF(OR($A247="",$B247&lt;&gt;"tutar_farki"),"",IF(ABS($C247-$D247)&lt;=toleransKurus,"KDV_ORAN",IF(ABS($C247-$E247*efs_kdvOran)&lt;=toleransKurus,"MATRAH",IF($F247=1,"YUVARLAMA","TANIMSIZ"))))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IF($A248="","",IF($C248&lt;=efs_yuvarlamaEsik,1,0))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IF(OR($A248="",$B248&lt;&gt;"tutar_farki"),"",IF(ABS($C248-$D248)&lt;=toleransKurus,"KDV_ORAN",IF(ABS($C248-$E248*efs_kdvOran)&lt;=toleransKurus,"MATRAH",IF($F248=1,"YUVARLAMA","TANIMSIZ"))))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IF($A249="","",IF($C249&lt;=efs_yuvarlamaEsik,1,0))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IF(OR($A249="",$B249&lt;&gt;"tutar_farki"),"",IF(ABS($C249-$D249)&lt;=toleransKurus,"KDV_ORAN",IF(ABS($C249-$E249*efs_kdvOran)&lt;=toleransKurus,"MATRAH",IF($F249=1,"YUVARLAMA","TANIMSIZ"))))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IF($A250="","",IF($C250&lt;=efs_yuvarlamaEsik,1,0))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IF(OR($A250="",$B250&lt;&gt;"tutar_farki"),"",IF(ABS($C250-$D250)&lt;=toleransKurus,"KDV_ORAN",IF(ABS($C250-$E250*efs_kdvOran)&lt;=toleransKurus,"MATRAH",IF($F250=1,"YUVARLAMA","TANIMSIZ"))))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IF($A251="","",IF($C251&lt;=efs_yuvarlamaEsik,1,0))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IF(OR($A251="",$B251&lt;&gt;"tutar_farki"),"",IF(ABS($C251-$D251)&lt;=toleransKurus,"KDV_ORAN",IF(ABS($C251-$E251*efs_kdvOran)&lt;=toleransKurus,"MATRAH",IF($F251=1,"YUVARLAMA","TANIMSIZ"))))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IF($A252="","",IF($C252&lt;=efs_yuvarlamaEsik,1,0))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IF(OR($A252="",$B252&lt;&gt;"tutar_farki"),"",IF(ABS($C252-$D252)&lt;=toleransKurus,"KDV_ORAN",IF(ABS($C252-$E252*efs_kdvOran)&lt;=toleransKurus,"MATRAH",IF($F252=1,"YUVARLAMA","TANIMSIZ"))))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IF($A253="","",IF($C253&lt;=efs_yuvarlamaEsik,1,0))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IF(OR($A253="",$B253&lt;&gt;"tutar_farki"),"",IF(ABS($C253-$D253)&lt;=toleransKurus,"KDV_ORAN",IF(ABS($C253-$E253*efs_kdvOran)&lt;=toleransKurus,"MATRAH",IF($F253=1,"YUVARLAMA","TANIMSIZ"))))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IF($A254="","",IF($C254&lt;=efs_yuvarlamaEsik,1,0))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IF(OR($A254="",$B254&lt;&gt;"tutar_farki"),"",IF(ABS($C254-$D254)&lt;=toleransKurus,"KDV_ORAN",IF(ABS($C254-$E254*efs_kdvOran)&lt;=toleransKurus,"MATRAH",IF($F254=1,"YUVARLAMA","TANIMSIZ"))))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IF($A255="","",IF($C255&lt;=efs_yuvarlamaEsik,1,0))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IF(OR($A255="",$B255&lt;&gt;"tutar_farki"),"",IF(ABS($C255-$D255)&lt;=toleransKurus,"KDV_ORAN",IF(ABS($C255-$E255*efs_kdvOran)&lt;=toleransKurus,"MATRAH",IF($F255=1,"YUVARLAMA","TANIMSIZ"))))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IF($A256="","",IF($C256&lt;=efs_yuvarlamaEsik,1,0))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IF(OR($A256="",$B256&lt;&gt;"tutar_farki"),"",IF(ABS($C256-$D256)&lt;=toleransKurus,"KDV_ORAN",IF(ABS($C256-$E256*efs_kdvOran)&lt;=toleransKurus,"MATRAH",IF($F256=1,"YUVARLAMA","TANIMSIZ"))))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IF($A257="","",IF($C257&lt;=efs_yuvarlamaEsik,1,0))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IF(OR($A257="",$B257&lt;&gt;"tutar_farki"),"",IF(ABS($C257-$D257)&lt;=toleransKurus,"KDV_ORAN",IF(ABS($C257-$E257*efs_kdvOran)&lt;=toleransKurus,"MATRAH",IF($F257=1,"YUVARLAMA","TANIMSIZ"))))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IF($A258="","",IF($C258&lt;=efs_yuvarlamaEsik,1,0))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IF(OR($A258="",$B258&lt;&gt;"tutar_farki"),"",IF(ABS($C258-$D258)&lt;=toleransKurus,"KDV_ORAN",IF(ABS($C258-$E258*efs_kdvOran)&lt;=toleransKurus,"MATRAH",IF($F258=1,"YUVARLAMA","TANIMSIZ"))))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IF($A259="","",IF($C259&lt;=efs_yuvarlamaEsik,1,0))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IF(OR($A259="",$B259&lt;&gt;"tutar_farki"),"",IF(ABS($C259-$D259)&lt;=toleransKurus,"KDV_ORAN",IF(ABS($C259-$E259*efs_kdvOran)&lt;=toleransKurus,"MATRAH",IF($F259=1,"YUVARLAMA","TANIMSIZ"))))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IF($A260="","",IF($C260&lt;=efs_yuvarlamaEsik,1,0))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IF(OR($A260="",$B260&lt;&gt;"tutar_farki"),"",IF(ABS($C260-$D260)&lt;=toleransKurus,"KDV_ORAN",IF(ABS($C260-$E260*efs_kdvOran)&lt;=toleransKurus,"MATRAH",IF($F260=1,"YUVARLAMA","TANIMSIZ"))))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IF($A261="","",IF($C261&lt;=efs_yuvarlamaEsik,1,0))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IF(OR($A261="",$B261&lt;&gt;"tutar_farki"),"",IF(ABS($C261-$D261)&lt;=toleransKurus,"KDV_ORAN",IF(ABS($C261-$E261*efs_kdvOran)&lt;=toleransKurus,"MATRAH",IF($F261=1,"YUVARLAMA","TANIMSIZ"))))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IF($A262="","",IF($C262&lt;=efs_yuvarlamaEsik,1,0))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IF(OR($A262="",$B262&lt;&gt;"tutar_farki"),"",IF(ABS($C262-$D262)&lt;=toleransKurus,"KDV_ORAN",IF(ABS($C262-$E262*efs_kdvOran)&lt;=toleransKurus,"MATRAH",IF($F262=1,"YUVARLAMA","TANIMSIZ"))))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IF($A263="","",IF($C263&lt;=efs_yuvarlamaEsik,1,0))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IF(OR($A263="",$B263&lt;&gt;"tutar_farki"),"",IF(ABS($C263-$D263)&lt;=toleransKurus,"KDV_ORAN",IF(ABS($C263-$E263*efs_kdvOran)&lt;=toleransKurus,"MATRAH",IF($F263=1,"YUVARLAMA","TANIMSIZ"))))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IF($A264="","",IF($C264&lt;=efs_yuvarlamaEsik,1,0))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IF(OR($A264="",$B264&lt;&gt;"tutar_farki"),"",IF(ABS($C264-$D264)&lt;=toleransKurus,"KDV_ORAN",IF(ABS($C264-$E264*efs_kdvOran)&lt;=toleransKurus,"MATRAH",IF($F264=1,"YUVARLAMA","TANIMSIZ"))))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IF($A265="","",IF($C265&lt;=efs_yuvarlamaEsik,1,0))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IF(OR($A265="",$B265&lt;&gt;"tutar_farki"),"",IF(ABS($C265-$D265)&lt;=toleransKurus,"KDV_ORAN",IF(ABS($C265-$E265*efs_kdvOran)&lt;=toleransKurus,"MATRAH",IF($F265=1,"YUVARLAMA","TANIMSIZ"))))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IF($A266="","",IF($C266&lt;=efs_yuvarlamaEsik,1,0))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IF(OR($A266="",$B266&lt;&gt;"tutar_farki"),"",IF(ABS($C266-$D266)&lt;=toleransKurus,"KDV_ORAN",IF(ABS($C266-$E266*efs_kdvOran)&lt;=toleransKurus,"MATRAH",IF($F266=1,"YUVARLAMA","TANIMSIZ"))))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IF($A267="","",IF($C267&lt;=efs_yuvarlamaEsik,1,0))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IF(OR($A267="",$B267&lt;&gt;"tutar_farki"),"",IF(ABS($C267-$D267)&lt;=toleransKurus,"KDV_ORAN",IF(ABS($C267-$E267*efs_kdvOran)&lt;=toleransKurus,"MATRAH",IF($F267=1,"YUVARLAMA","TANIMSIZ"))))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IF($A268="","",IF($C268&lt;=efs_yuvarlamaEsik,1,0))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IF(OR($A268="",$B268&lt;&gt;"tutar_farki"),"",IF(ABS($C268-$D268)&lt;=toleransKurus,"KDV_ORAN",IF(ABS($C268-$E268*efs_kdvOran)&lt;=toleransKurus,"MATRAH",IF($F268=1,"YUVARLAMA","TANIMSIZ"))))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IF($A269="","",IF($C269&lt;=efs_yuvarlamaEsik,1,0))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IF(OR($A269="",$B269&lt;&gt;"tutar_farki"),"",IF(ABS($C269-$D269)&lt;=toleransKurus,"KDV_ORAN",IF(ABS($C269-$E269*efs_kdvOran)&lt;=toleransKurus,"MATRAH",IF($F269=1,"YUVARLAMA","TANIMSIZ"))))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IF($A270="","",IF($C270&lt;=efs_yuvarlamaEsik,1,0))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IF(OR($A270="",$B270&lt;&gt;"tutar_farki"),"",IF(ABS($C270-$D270)&lt;=toleransKurus,"KDV_ORAN",IF(ABS($C270-$E270*efs_kdvOran)&lt;=toleransKurus,"MATRAH",IF($F270=1,"YUVARLAMA","TANIMSIZ"))))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IF($A271="","",IF($C271&lt;=efs_yuvarlamaEsik,1,0))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IF(OR($A271="",$B271&lt;&gt;"tutar_farki"),"",IF(ABS($C271-$D271)&lt;=toleransKurus,"KDV_ORAN",IF(ABS($C271-$E271*efs_kdvOran)&lt;=toleransKurus,"MATRAH",IF($F271=1,"YUVARLAMA","TANIMSIZ"))))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IF($A272="","",IF($C272&lt;=efs_yuvarlamaEsik,1,0))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IF(OR($A272="",$B272&lt;&gt;"tutar_farki"),"",IF(ABS($C272-$D272)&lt;=toleransKurus,"KDV_ORAN",IF(ABS($C272-$E272*efs_kdvOran)&lt;=toleransKurus,"MATRAH",IF($F272=1,"YUVARLAMA","TANIMSIZ"))))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IF($A273="","",IF($C273&lt;=efs_yuvarlamaEsik,1,0))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IF(OR($A273="",$B273&lt;&gt;"tutar_farki"),"",IF(ABS($C273-$D273)&lt;=toleransKurus,"KDV_ORAN",IF(ABS($C273-$E273*efs_kdvOran)&lt;=toleransKurus,"MATRAH",IF($F273=1,"YUVARLAMA","TANIMSIZ"))))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IF($A274="","",IF($C274&lt;=efs_yuvarlamaEsik,1,0))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IF(OR($A274="",$B274&lt;&gt;"tutar_farki"),"",IF(ABS($C274-$D274)&lt;=toleransKurus,"KDV_ORAN",IF(ABS($C274-$E274*efs_kdvOran)&lt;=toleransKurus,"MATRAH",IF($F274=1,"YUVARLAMA","TANIMSIZ"))))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IF($A275="","",IF($C275&lt;=efs_yuvarlamaEsik,1,0))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IF(OR($A275="",$B275&lt;&gt;"tutar_farki"),"",IF(ABS($C275-$D275)&lt;=toleransKurus,"KDV_ORAN",IF(ABS($C275-$E275*efs_kdvOran)&lt;=toleransKurus,"MATRAH",IF($F275=1,"YUVARLAMA","TANIMSIZ"))))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IF($A276="","",IF($C276&lt;=efs_yuvarlamaEsik,1,0))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IF(OR($A276="",$B276&lt;&gt;"tutar_farki"),"",IF(ABS($C276-$D276)&lt;=toleransKurus,"KDV_ORAN",IF(ABS($C276-$E276*efs_kdvOran)&lt;=toleransKurus,"MATRAH",IF($F276=1,"YUVARLAMA","TANIMSIZ"))))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IF($A277="","",IF($C277&lt;=efs_yuvarlamaEsik,1,0))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IF(OR($A277="",$B277&lt;&gt;"tutar_farki"),"",IF(ABS($C277-$D277)&lt;=toleransKurus,"KDV_ORAN",IF(ABS($C277-$E277*efs_kdvOran)&lt;=toleransKurus,"MATRAH",IF($F277=1,"YUVARLAMA","TANIMSIZ"))))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IF($A278="","",IF($C278&lt;=efs_yuvarlamaEsik,1,0))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IF(OR($A278="",$B278&lt;&gt;"tutar_farki"),"",IF(ABS($C278-$D278)&lt;=toleransKurus,"KDV_ORAN",IF(ABS($C278-$E278*efs_kdvOran)&lt;=toleransKurus,"MATRAH",IF($F278=1,"YUVARLAMA","TANIMSIZ"))))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IF($A279="","",IF($C279&lt;=efs_yuvarlamaEsik,1,0))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IF(OR($A279="",$B279&lt;&gt;"tutar_farki"),"",IF(ABS($C279-$D279)&lt;=toleransKurus,"KDV_ORAN",IF(ABS($C279-$E279*efs_kdvOran)&lt;=toleransKurus,"MATRAH",IF($F279=1,"YUVARLAMA","TANIMSIZ"))))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IF($A280="","",IF($C280&lt;=efs_yuvarlamaEsik,1,0))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IF(OR($A280="",$B280&lt;&gt;"tutar_farki"),"",IF(ABS($C280-$D280)&lt;=toleransKurus,"KDV_ORAN",IF(ABS($C280-$E280*efs_kdvOran)&lt;=toleransKurus,"MATRAH",IF($F280=1,"YUVARLAMA","TANIMSIZ"))))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IF($A281="","",IF($C281&lt;=efs_yuvarlamaEsik,1,0))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IF(OR($A281="",$B281&lt;&gt;"tutar_farki"),"",IF(ABS($C281-$D281)&lt;=toleransKurus,"KDV_ORAN",IF(ABS($C281-$E281*efs_kdvOran)&lt;=toleransKurus,"MATRAH",IF($F281=1,"YUVARLAMA","TANIMSIZ"))))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IF($A282="","",IF($C282&lt;=efs_yuvarlamaEsik,1,0))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IF(OR($A282="",$B282&lt;&gt;"tutar_farki"),"",IF(ABS($C282-$D282)&lt;=toleransKurus,"KDV_ORAN",IF(ABS($C282-$E282*efs_kdvOran)&lt;=toleransKurus,"MATRAH",IF($F282=1,"YUVARLAMA","TANIMSIZ"))))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IF($A283="","",IF($C283&lt;=efs_yuvarlamaEsik,1,0))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IF(OR($A283="",$B283&lt;&gt;"tutar_farki"),"",IF(ABS($C283-$D283)&lt;=toleransKurus,"KDV_ORAN",IF(ABS($C283-$E283*efs_kdvOran)&lt;=toleransKurus,"MATRAH",IF($F283=1,"YUVARLAMA","TANIMSIZ"))))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IF($A284="","",IF($C284&lt;=efs_yuvarlamaEsik,1,0))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IF(OR($A284="",$B284&lt;&gt;"tutar_farki"),"",IF(ABS($C284-$D284)&lt;=toleransKurus,"KDV_ORAN",IF(ABS($C284-$E284*efs_kdvOran)&lt;=toleransKurus,"MATRAH",IF($F284=1,"YUVARLAMA","TANIMSIZ"))))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IF($A285="","",IF($C285&lt;=efs_yuvarlamaEsik,1,0))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IF(OR($A285="",$B285&lt;&gt;"tutar_farki"),"",IF(ABS($C285-$D285)&lt;=toleransKurus,"KDV_ORAN",IF(ABS($C285-$E285*efs_kdvOran)&lt;=toleransKurus,"MATRAH",IF($F285=1,"YUVARLAMA","TANIMSIZ"))))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IF($A286="","",IF($C286&lt;=efs_yuvarlamaEsik,1,0))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IF(OR($A286="",$B286&lt;&gt;"tutar_farki"),"",IF(ABS($C286-$D286)&lt;=toleransKurus,"KDV_ORAN",IF(ABS($C286-$E286*efs_kdvOran)&lt;=toleransKurus,"MATRAH",IF($F286=1,"YUVARLAMA","TANIMSIZ"))))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IF($A287="","",IF($C287&lt;=efs_yuvarlamaEsik,1,0))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IF(OR($A287="",$B287&lt;&gt;"tutar_farki"),"",IF(ABS($C287-$D287)&lt;=toleransKurus,"KDV_ORAN",IF(ABS($C287-$E287*efs_kdvOran)&lt;=toleransKurus,"MATRAH",IF($F287=1,"YUVARLAMA","TANIMSIZ"))))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IF($A288="","",IF($C288&lt;=efs_yuvarlamaEsik,1,0))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IF(OR($A288="",$B288&lt;&gt;"tutar_farki"),"",IF(ABS($C288-$D288)&lt;=toleransKurus,"KDV_ORAN",IF(ABS($C288-$E288*efs_kdvOran)&lt;=toleransKurus,"MATRAH",IF($F288=1,"YUVARLAMA","TANIMSIZ"))))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IF($A289="","",IF($C289&lt;=efs_yuvarlamaEsik,1,0))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IF(OR($A289="",$B289&lt;&gt;"tutar_farki"),"",IF(ABS($C289-$D289)&lt;=toleransKurus,"KDV_ORAN",IF(ABS($C289-$E289*efs_kdvOran)&lt;=toleransKurus,"MATRAH",IF($F289=1,"YUVARLAMA","TANIMSIZ"))))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IF($A290="","",IF($C290&lt;=efs_yuvarlamaEsik,1,0))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IF(OR($A290="",$B290&lt;&gt;"tutar_farki"),"",IF(ABS($C290-$D290)&lt;=toleransKurus,"KDV_ORAN",IF(ABS($C290-$E290*efs_kdvOran)&lt;=toleransKurus,"MATRAH",IF($F290=1,"YUVARLAMA","TANIMSIZ"))))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IF($A291="","",IF($C291&lt;=efs_yuvarlamaEsik,1,0))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IF(OR($A291="",$B291&lt;&gt;"tutar_farki"),"",IF(ABS($C291-$D291)&lt;=toleransKurus,"KDV_ORAN",IF(ABS($C291-$E291*efs_kdvOran)&lt;=toleransKurus,"MATRAH",IF($F291=1,"YUVARLAMA","TANIMSIZ"))))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IF($A292="","",IF($C292&lt;=efs_yuvarlamaEsik,1,0))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IF(OR($A292="",$B292&lt;&gt;"tutar_farki"),"",IF(ABS($C292-$D292)&lt;=toleransKurus,"KDV_ORAN",IF(ABS($C292-$E292*efs_kdvOran)&lt;=toleransKurus,"MATRAH",IF($F292=1,"YUVARLAMA","TANIMSIZ"))))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IF($A293="","",IF($C293&lt;=efs_yuvarlamaEsik,1,0))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IF(OR($A293="",$B293&lt;&gt;"tutar_farki"),"",IF(ABS($C293-$D293)&lt;=toleransKurus,"KDV_ORAN",IF(ABS($C293-$E293*efs_kdvOran)&lt;=toleransKurus,"MATRAH",IF($F293=1,"YUVARLAMA","TANIMSIZ"))))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IF($A294="","",IF($C294&lt;=efs_yuvarlamaEsik,1,0))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IF(OR($A294="",$B294&lt;&gt;"tutar_farki"),"",IF(ABS($C294-$D294)&lt;=toleransKurus,"KDV_ORAN",IF(ABS($C294-$E294*efs_kdvOran)&lt;=toleransKurus,"MATRAH",IF($F294=1,"YUVARLAMA","TANIMSIZ"))))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IF($A295="","",IF($C295&lt;=efs_yuvarlamaEsik,1,0))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IF(OR($A295="",$B295&lt;&gt;"tutar_farki"),"",IF(ABS($C295-$D295)&lt;=toleransKurus,"KDV_ORAN",IF(ABS($C295-$E295*efs_kdvOran)&lt;=toleransKurus,"MATRAH",IF($F295=1,"YUVARLAMA","TANIMSIZ"))))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IF($A296="","",IF($C296&lt;=efs_yuvarlamaEsik,1,0))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IF(OR($A296="",$B296&lt;&gt;"tutar_farki"),"",IF(ABS($C296-$D296)&lt;=toleransKurus,"KDV_ORAN",IF(ABS($C296-$E296*efs_kdvOran)&lt;=toleransKurus,"MATRAH",IF($F296=1,"YUVARLAMA","TANIMSIZ"))))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IF($A297="","",IF($C297&lt;=efs_yuvarlamaEsik,1,0))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IF(OR($A297="",$B297&lt;&gt;"tutar_farki"),"",IF(ABS($C297-$D297)&lt;=toleransKurus,"KDV_ORAN",IF(ABS($C297-$E297*efs_kdvOran)&lt;=toleransKurus,"MATRAH",IF($F297=1,"YUVARLAMA","TANIMSIZ"))))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IF($A298="","",IF($C298&lt;=efs_yuvarlamaEsik,1,0))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IF(OR($A298="",$B298&lt;&gt;"tutar_farki"),"",IF(ABS($C298-$D298)&lt;=toleransKurus,"KDV_ORAN",IF(ABS($C298-$E298*efs_kdvOran)&lt;=toleransKurus,"MATRAH",IF($F298=1,"YUVARLAMA","TANIMSIZ"))))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IF($A299="","",IF($C299&lt;=efs_yuvarlamaEsik,1,0))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IF(OR($A299="",$B299&lt;&gt;"tutar_farki"),"",IF(ABS($C299-$D299)&lt;=toleransKurus,"KDV_ORAN",IF(ABS($C299-$E299*efs_kdvOran)&lt;=toleransKurus,"MATRAH",IF($F299=1,"YUVARLAMA","TANIMSIZ"))))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IF($A300="","",IF($C300&lt;=efs_yuvarlamaEsik,1,0))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IF(OR($A300="",$B300&lt;&gt;"tutar_farki"),"",IF(ABS($C300-$D300)&lt;=toleransKurus,"KDV_ORAN",IF(ABS($C300-$E300*efs_kdvOran)&lt;=toleransKurus,"MATRAH",IF($F300=1,"YUVARLAMA","TANIMSIZ"))))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IF($A301="","",IF($C301&lt;=efs_yuvarlamaEsik,1,0))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IF(OR($A301="",$B301&lt;&gt;"tutar_farki"),"",IF(ABS($C301-$D301)&lt;=toleransKurus,"KDV_ORAN",IF(ABS($C301-$E301*efs_kdvOran)&lt;=toleransKurus,"MATRAH",IF($F301=1,"YUVARLAMA","TANIMSIZ"))))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IF($A302="","",IF($C302&lt;=efs_yuvarlamaEsik,1,0))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IF(OR($A302="",$B302&lt;&gt;"tutar_farki"),"",IF(ABS($C302-$D302)&lt;=toleransKurus,"KDV_ORAN",IF(ABS($C302-$E302*efs_kdvOran)&lt;=toleransKurus,"MATRAH",IF($F302=1,"YUVARLAMA","TANIMSIZ"))))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IF($A303="","",IF($C303&lt;=efs_yuvarlamaEsik,1,0))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IF(OR($A303="",$B303&lt;&gt;"tutar_farki"),"",IF(ABS($C303-$D303)&lt;=toleransKurus,"KDV_ORAN",IF(ABS($C303-$E303*efs_kdvOran)&lt;=toleransKurus,"MATRAH",IF($F303=1,"YUVARLAMA","TANIMSIZ"))))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IF($A304="","",IF($C304&lt;=efs_yuvarlamaEsik,1,0))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IF(OR($A304="",$B304&lt;&gt;"tutar_farki"),"",IF(ABS($C304-$D304)&lt;=toleransKurus,"KDV_ORAN",IF(ABS($C304-$E304*efs_kdvOran)&lt;=toleransKurus,"MATRAH",IF($F304=1,"YUVARLAMA","TANIMSIZ"))))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IF($A305="","",IF($C305&lt;=efs_yuvarlamaEsik,1,0))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IF(OR($A305="",$B305&lt;&gt;"tutar_farki"),"",IF(ABS($C305-$D305)&lt;=toleransKurus,"KDV_ORAN",IF(ABS($C305-$E305*efs_kdvOran)&lt;=toleransKurus,"MATRAH",IF($F305=1,"YUVARLAMA","TANIMSIZ"))))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IF($A306="","",IF($C306&lt;=efs_yuvarlamaEsik,1,0))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IF(OR($A306="",$B306&lt;&gt;"tutar_farki"),"",IF(ABS($C306-$D306)&lt;=toleransKurus,"KDV_ORAN",IF(ABS($C306-$E306*efs_kdvOran)&lt;=toleransKurus,"MATRAH",IF($F306=1,"YUVARLAMA","TANIMSIZ"))))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IF($A307="","",IF($C307&lt;=efs_yuvarlamaEsik,1,0))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IF(OR($A307="",$B307&lt;&gt;"tutar_farki"),"",IF(ABS($C307-$D307)&lt;=toleransKurus,"KDV_ORAN",IF(ABS($C307-$E307*efs_kdvOran)&lt;=toleransKurus,"MATRAH",IF($F307=1,"YUVARLAMA","TANIMSIZ"))))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IF($A308="","",IF($C308&lt;=efs_yuvarlamaEsik,1,0))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IF(OR($A308="",$B308&lt;&gt;"tutar_farki"),"",IF(ABS($C308-$D308)&lt;=toleransKurus,"KDV_ORAN",IF(ABS($C308-$E308*efs_kdvOran)&lt;=toleransKurus,"MATRAH",IF($F308=1,"YUVARLAMA","TANIMSIZ"))))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IF($A309="","",IF($C309&lt;=efs_yuvarlamaEsik,1,0))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IF(OR($A309="",$B309&lt;&gt;"tutar_farki"),"",IF(ABS($C309-$D309)&lt;=toleransKurus,"KDV_ORAN",IF(ABS($C309-$E309*efs_kdvOran)&lt;=toleransKurus,"MATRAH",IF($F309=1,"YUVARLAMA","TANIMSIZ"))))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IF($A310="","",IF($C310&lt;=efs_yuvarlamaEsik,1,0))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IF(OR($A310="",$B310&lt;&gt;"tutar_farki"),"",IF(ABS($C310-$D310)&lt;=toleransKurus,"KDV_ORAN",IF(ABS($C310-$E310*efs_kdvOran)&lt;=toleransKurus,"MATRAH",IF($F310=1,"YUVARLAMA","TANIMSIZ"))))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IF($A311="","",IF($C311&lt;=efs_yuvarlamaEsik,1,0))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IF(OR($A311="",$B311&lt;&gt;"tutar_farki"),"",IF(ABS($C311-$D311)&lt;=toleransKurus,"KDV_ORAN",IF(ABS($C311-$E311*efs_kdvOran)&lt;=toleransKurus,"MATRAH",IF($F311=1,"YUVARLAMA","TANIMSIZ"))))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IF($A312="","",IF($C312&lt;=efs_yuvarlamaEsik,1,0))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IF(OR($A312="",$B312&lt;&gt;"tutar_farki"),"",IF(ABS($C312-$D312)&lt;=toleransKurus,"KDV_ORAN",IF(ABS($C312-$E312*efs_kdvOran)&lt;=toleransKurus,"MATRAH",IF($F312=1,"YUVARLAMA","TANIMSIZ"))))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IF($A313="","",IF($C313&lt;=efs_yuvarlamaEsik,1,0))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IF(OR($A313="",$B313&lt;&gt;"tutar_farki"),"",IF(ABS($C313-$D313)&lt;=toleransKurus,"KDV_ORAN",IF(ABS($C313-$E313*efs_kdvOran)&lt;=toleransKurus,"MATRAH",IF($F313=1,"YUVARLAMA","TANIMSIZ"))))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IF($A314="","",IF($C314&lt;=efs_yuvarlamaEsik,1,0))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IF(OR($A314="",$B314&lt;&gt;"tutar_farki"),"",IF(ABS($C314-$D314)&lt;=toleransKurus,"KDV_ORAN",IF(ABS($C314-$E314*efs_kdvOran)&lt;=toleransKurus,"MATRAH",IF($F314=1,"YUVARLAMA","TANIMSIZ"))))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IF($A315="","",IF($C315&lt;=efs_yuvarlamaEsik,1,0))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IF(OR($A315="",$B315&lt;&gt;"tutar_farki"),"",IF(ABS($C315-$D315)&lt;=toleransKurus,"KDV_ORAN",IF(ABS($C315-$E315*efs_kdvOran)&lt;=toleransKurus,"MATRAH",IF($F315=1,"YUVARLAMA","TANIMSIZ"))))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IF($A316="","",IF($C316&lt;=efs_yuvarlamaEsik,1,0))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IF(OR($A316="",$B316&lt;&gt;"tutar_farki"),"",IF(ABS($C316-$D316)&lt;=toleransKurus,"KDV_ORAN",IF(ABS($C316-$E316*efs_kdvOran)&lt;=toleransKurus,"MATRAH",IF($F316=1,"YUVARLAMA","TANIMSIZ"))))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IF($A317="","",IF($C317&lt;=efs_yuvarlamaEsik,1,0))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IF(OR($A317="",$B317&lt;&gt;"tutar_farki"),"",IF(ABS($C317-$D317)&lt;=toleransKurus,"KDV_ORAN",IF(ABS($C317-$E317*efs_kdvOran)&lt;=toleransKurus,"MATRAH",IF($F317=1,"YUVARLAMA","TANIMSIZ"))))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IF($A318="","",IF($C318&lt;=efs_yuvarlamaEsik,1,0))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IF(OR($A318="",$B318&lt;&gt;"tutar_farki"),"",IF(ABS($C318-$D318)&lt;=toleransKurus,"KDV_ORAN",IF(ABS($C318-$E318*efs_kdvOran)&lt;=toleransKurus,"MATRAH",IF($F318=1,"YUVARLAMA","TANIMSIZ"))))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IF($A319="","",IF($C319&lt;=efs_yuvarlamaEsik,1,0))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IF(OR($A319="",$B319&lt;&gt;"tutar_farki"),"",IF(ABS($C319-$D319)&lt;=toleransKurus,"KDV_ORAN",IF(ABS($C319-$E319*efs_kdvOran)&lt;=toleransKurus,"MATRAH",IF($F319=1,"YUVARLAMA","TANIMSIZ"))))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IF($A320="","",IF($C320&lt;=efs_yuvarlamaEsik,1,0))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IF(OR($A320="",$B320&lt;&gt;"tutar_farki"),"",IF(ABS($C320-$D320)&lt;=toleransKurus,"KDV_ORAN",IF(ABS($C320-$E320*efs_kdvOran)&lt;=toleransKurus,"MATRAH",IF($F320=1,"YUVARLAMA","TANIMSIZ"))))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IF($A321="","",IF($C321&lt;=efs_yuvarlamaEsik,1,0))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IF(OR($A321="",$B321&lt;&gt;"tutar_farki"),"",IF(ABS($C321-$D321)&lt;=toleransKurus,"KDV_ORAN",IF(ABS($C321-$E321*efs_kdvOran)&lt;=toleransKurus,"MATRAH",IF($F321=1,"YUVARLAMA","TANIMSIZ"))))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IF($A322="","",IF($C322&lt;=efs_yuvarlamaEsik,1,0))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IF(OR($A322="",$B322&lt;&gt;"tutar_farki"),"",IF(ABS($C322-$D322)&lt;=toleransKurus,"KDV_ORAN",IF(ABS($C322-$E322*efs_kdvOran)&lt;=toleransKurus,"MATRAH",IF($F322=1,"YUVARLAMA","TANIMSIZ"))))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IF($A323="","",IF($C323&lt;=efs_yuvarlamaEsik,1,0))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IF(OR($A323="",$B323&lt;&gt;"tutar_farki"),"",IF(ABS($C323-$D323)&lt;=toleransKurus,"KDV_ORAN",IF(ABS($C323-$E323*efs_kdvOran)&lt;=toleransKurus,"MATRAH",IF($F323=1,"YUVARLAMA","TANIMSIZ"))))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IF($A324="","",IF($C324&lt;=efs_yuvarlamaEsik,1,0))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IF(OR($A324="",$B324&lt;&gt;"tutar_farki"),"",IF(ABS($C324-$D324)&lt;=toleransKurus,"KDV_ORAN",IF(ABS($C324-$E324*efs_kdvOran)&lt;=toleransKurus,"MATRAH",IF($F324=1,"YUVARLAMA","TANIMSIZ"))))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IF($A325="","",IF($C325&lt;=efs_yuvarlamaEsik,1,0))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IF(OR($A325="",$B325&lt;&gt;"tutar_farki"),"",IF(ABS($C325-$D325)&lt;=toleransKurus,"KDV_ORAN",IF(ABS($C325-$E325*efs_kdvOran)&lt;=toleransKurus,"MATRAH",IF($F325=1,"YUVARLAMA","TANIMSIZ"))))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IF($A326="","",IF($C326&lt;=efs_yuvarlamaEsik,1,0))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IF(OR($A326="",$B326&lt;&gt;"tutar_farki"),"",IF(ABS($C326-$D326)&lt;=toleransKurus,"KDV_ORAN",IF(ABS($C326-$E326*efs_kdvOran)&lt;=toleransKurus,"MATRAH",IF($F326=1,"YUVARLAMA","TANIMSIZ"))))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IF($A327="","",IF($C327&lt;=efs_yuvarlamaEsik,1,0))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IF(OR($A327="",$B327&lt;&gt;"tutar_farki"),"",IF(ABS($C327-$D327)&lt;=toleransKurus,"KDV_ORAN",IF(ABS($C327-$E327*efs_kdvOran)&lt;=toleransKurus,"MATRAH",IF($F327=1,"YUVARLAMA","TANIMSIZ"))))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IF($A328="","",IF($C328&lt;=efs_yuvarlamaEsik,1,0))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IF(OR($A328="",$B328&lt;&gt;"tutar_farki"),"",IF(ABS($C328-$D328)&lt;=toleransKurus,"KDV_ORAN",IF(ABS($C328-$E328*efs_kdvOran)&lt;=toleransKurus,"MATRAH",IF($F328=1,"YUVARLAMA","TANIMSIZ"))))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IF($A329="","",IF($C329&lt;=efs_yuvarlamaEsik,1,0))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IF(OR($A329="",$B329&lt;&gt;"tutar_farki"),"",IF(ABS($C329-$D329)&lt;=toleransKurus,"KDV_ORAN",IF(ABS($C329-$E329*efs_kdvOran)&lt;=toleransKurus,"MATRAH",IF($F329=1,"YUVARLAMA","TANIMSIZ"))))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IF($A330="","",IF($C330&lt;=efs_yuvarlamaEsik,1,0))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IF(OR($A330="",$B330&lt;&gt;"tutar_farki"),"",IF(ABS($C330-$D330)&lt;=toleransKurus,"KDV_ORAN",IF(ABS($C330-$E330*efs_kdvOran)&lt;=toleransKurus,"MATRAH",IF($F330=1,"YUVARLAMA","TANIMSIZ"))))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IF($A331="","",IF($C331&lt;=efs_yuvarlamaEsik,1,0))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IF(OR($A331="",$B331&lt;&gt;"tutar_farki"),"",IF(ABS($C331-$D331)&lt;=toleransKurus,"KDV_ORAN",IF(ABS($C331-$E331*efs_kdvOran)&lt;=toleransKurus,"MATRAH",IF($F331=1,"YUVARLAMA","TANIMSIZ"))))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IF($A332="","",IF($C332&lt;=efs_yuvarlamaEsik,1,0))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IF(OR($A332="",$B332&lt;&gt;"tutar_farki"),"",IF(ABS($C332-$D332)&lt;=toleransKurus,"KDV_ORAN",IF(ABS($C332-$E332*efs_kdvOran)&lt;=toleransKurus,"MATRAH",IF($F332=1,"YUVARLAMA","TANIMSIZ"))))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IF($A333="","",IF($C333&lt;=efs_yuvarlamaEsik,1,0))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IF(OR($A333="",$B333&lt;&gt;"tutar_farki"),"",IF(ABS($C333-$D333)&lt;=toleransKurus,"KDV_ORAN",IF(ABS($C333-$E333*efs_kdvOran)&lt;=toleransKurus,"MATRAH",IF($F333=1,"YUVARLAMA","TANIMSIZ"))))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IF($A334="","",IF($C334&lt;=efs_yuvarlamaEsik,1,0))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IF(OR($A334="",$B334&lt;&gt;"tutar_farki"),"",IF(ABS($C334-$D334)&lt;=toleransKurus,"KDV_ORAN",IF(ABS($C334-$E334*efs_kdvOran)&lt;=toleransKurus,"MATRAH",IF($F334=1,"YUVARLAMA","TANIMSIZ"))))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IF($A335="","",IF($C335&lt;=efs_yuvarlamaEsik,1,0))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IF(OR($A335="",$B335&lt;&gt;"tutar_farki"),"",IF(ABS($C335-$D335)&lt;=toleransKurus,"KDV_ORAN",IF(ABS($C335-$E335*efs_kdvOran)&lt;=toleransKurus,"MATRAH",IF($F335=1,"YUVARLAMA","TANIMSIZ"))))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IF($A336="","",IF($C336&lt;=efs_yuvarlamaEsik,1,0))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IF(OR($A336="",$B336&lt;&gt;"tutar_farki"),"",IF(ABS($C336-$D336)&lt;=toleransKurus,"KDV_ORAN",IF(ABS($C336-$E336*efs_kdvOran)&lt;=toleransKurus,"MATRAH",IF($F336=1,"YUVARLAMA","TANIMSIZ"))))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IF($A337="","",IF($C337&lt;=efs_yuvarlamaEsik,1,0))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IF(OR($A337="",$B337&lt;&gt;"tutar_farki"),"",IF(ABS($C337-$D337)&lt;=toleransKurus,"KDV_ORAN",IF(ABS($C337-$E337*efs_kdvOran)&lt;=toleransKurus,"MATRAH",IF($F337=1,"YUVARLAMA","TANIMSIZ"))))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IF($A338="","",IF($C338&lt;=efs_yuvarlamaEsik,1,0))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IF(OR($A338="",$B338&lt;&gt;"tutar_farki"),"",IF(ABS($C338-$D338)&lt;=toleransKurus,"KDV_ORAN",IF(ABS($C338-$E338*efs_kdvOran)&lt;=toleransKurus,"MATRAH",IF($F338=1,"YUVARLAMA","TANIMSIZ"))))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IF($A339="","",IF($C339&lt;=efs_yuvarlamaEsik,1,0))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IF(OR($A339="",$B339&lt;&gt;"tutar_farki"),"",IF(ABS($C339-$D339)&lt;=toleransKurus,"KDV_ORAN",IF(ABS($C339-$E339*efs_kdvOran)&lt;=toleransKurus,"MATRAH",IF($F339=1,"YUVARLAMA","TANIMSIZ"))))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IF($A340="","",IF($C340&lt;=efs_yuvarlamaEsik,1,0))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IF(OR($A340="",$B340&lt;&gt;"tutar_farki"),"",IF(ABS($C340-$D340)&lt;=toleransKurus,"KDV_ORAN",IF(ABS($C340-$E340*efs_kdvOran)&lt;=toleransKurus,"MATRAH",IF($F340=1,"YUVARLAMA","TANIMSIZ"))))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IF($A341="","",IF($C341&lt;=efs_yuvarlamaEsik,1,0))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IF(OR($A341="",$B341&lt;&gt;"tutar_farki"),"",IF(ABS($C341-$D341)&lt;=toleransKurus,"KDV_ORAN",IF(ABS($C341-$E341*efs_kdvOran)&lt;=toleransKurus,"MATRAH",IF($F341=1,"YUVARLAMA","TANIMSIZ"))))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IF($A342="","",IF($C342&lt;=efs_yuvarlamaEsik,1,0))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IF(OR($A342="",$B342&lt;&gt;"tutar_farki"),"",IF(ABS($C342-$D342)&lt;=toleransKurus,"KDV_ORAN",IF(ABS($C342-$E342*efs_kdvOran)&lt;=toleransKurus,"MATRAH",IF($F342=1,"YUVARLAMA","TANIMSIZ"))))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IF($A343="","",IF($C343&lt;=efs_yuvarlamaEsik,1,0))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IF(OR($A343="",$B343&lt;&gt;"tutar_farki"),"",IF(ABS($C343-$D343)&lt;=toleransKurus,"KDV_ORAN",IF(ABS($C343-$E343*efs_kdvOran)&lt;=toleransKurus,"MATRAH",IF($F343=1,"YUVARLAMA","TANIMSIZ"))))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IF($A344="","",IF($C344&lt;=efs_yuvarlamaEsik,1,0))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IF(OR($A344="",$B344&lt;&gt;"tutar_farki"),"",IF(ABS($C344-$D344)&lt;=toleransKurus,"KDV_ORAN",IF(ABS($C344-$E344*efs_kdvOran)&lt;=toleransKurus,"MATRAH",IF($F344=1,"YUVARLAMA","TANIMSIZ"))))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IF($A345="","",IF($C345&lt;=efs_yuvarlamaEsik,1,0))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IF(OR($A345="",$B345&lt;&gt;"tutar_farki"),"",IF(ABS($C345-$D345)&lt;=toleransKurus,"KDV_ORAN",IF(ABS($C345-$E345*efs_kdvOran)&lt;=toleransKurus,"MATRAH",IF($F345=1,"YUVARLAMA","TANIMSIZ"))))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IF($A346="","",IF($C346&lt;=efs_yuvarlamaEsik,1,0))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IF(OR($A346="",$B346&lt;&gt;"tutar_farki"),"",IF(ABS($C346-$D346)&lt;=toleransKurus,"KDV_ORAN",IF(ABS($C346-$E346*efs_kdvOran)&lt;=toleransKurus,"MATRAH",IF($F346=1,"YUVARLAMA","TANIMSIZ"))))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IF($A347="","",IF($C347&lt;=efs_yuvarlamaEsik,1,0))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IF(OR($A347="",$B347&lt;&gt;"tutar_farki"),"",IF(ABS($C347-$D347)&lt;=toleransKurus,"KDV_ORAN",IF(ABS($C347-$E347*efs_kdvOran)&lt;=toleransKurus,"MATRAH",IF($F347=1,"YUVARLAMA","TANIMSIZ"))))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IF($A348="","",IF($C348&lt;=efs_yuvarlamaEsik,1,0))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IF(OR($A348="",$B348&lt;&gt;"tutar_farki"),"",IF(ABS($C348-$D348)&lt;=toleransKurus,"KDV_ORAN",IF(ABS($C348-$E348*efs_kdvOran)&lt;=toleransKurus,"MATRAH",IF($F348=1,"YUVARLAMA","TANIMSIZ"))))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IF($A349="","",IF($C349&lt;=efs_yuvarlamaEsik,1,0))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IF(OR($A349="",$B349&lt;&gt;"tutar_farki"),"",IF(ABS($C349-$D349)&lt;=toleransKurus,"KDV_ORAN",IF(ABS($C349-$E349*efs_kdvOran)&lt;=toleransKurus,"MATRAH",IF($F349=1,"YUVARLAMA","TANIMSIZ"))))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IF($A350="","",IF($C350&lt;=efs_yuvarlamaEsik,1,0))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IF(OR($A350="",$B350&lt;&gt;"tutar_farki"),"",IF(ABS($C350-$D350)&lt;=toleransKurus,"KDV_ORAN",IF(ABS($C350-$E350*efs_kdvOran)&lt;=toleransKurus,"MATRAH",IF($F350=1,"YUVARLAMA","TANIMSIZ"))))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IF($A351="","",IF($C351&lt;=efs_yuvarlamaEsik,1,0))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IF(OR($A351="",$B351&lt;&gt;"tutar_farki"),"",IF(ABS($C351-$D351)&lt;=toleransKurus,"KDV_ORAN",IF(ABS($C351-$E351*efs_kdvOran)&lt;=toleransKurus,"MATRAH",IF($F351=1,"YUVARLAMA","TANIMSIZ"))))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IF($A352="","",IF($C352&lt;=efs_yuvarlamaEsik,1,0))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IF(OR($A352="",$B352&lt;&gt;"tutar_farki"),"",IF(ABS($C352-$D352)&lt;=toleransKurus,"KDV_ORAN",IF(ABS($C352-$E352*efs_kdvOran)&lt;=toleransKurus,"MATRAH",IF($F352=1,"YUVARLAMA","TANIMSIZ"))))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IF($A353="","",IF($C353&lt;=efs_yuvarlamaEsik,1,0))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IF(OR($A353="",$B353&lt;&gt;"tutar_farki"),"",IF(ABS($C353-$D353)&lt;=toleransKurus,"KDV_ORAN",IF(ABS($C353-$E353*efs_kdvOran)&lt;=toleransKurus,"MATRAH",IF($F353=1,"YUVARLAMA","TANIMSIZ"))))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IF($A354="","",IF($C354&lt;=efs_yuvarlamaEsik,1,0))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IF(OR($A354="",$B354&lt;&gt;"tutar_farki"),"",IF(ABS($C354-$D354)&lt;=toleransKurus,"KDV_ORAN",IF(ABS($C354-$E354*efs_kdvOran)&lt;=toleransKurus,"MATRAH",IF($F354=1,"YUVARLAMA","TANIMSIZ"))))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IF($A355="","",IF($C355&lt;=efs_yuvarlamaEsik,1,0))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IF(OR($A355="",$B355&lt;&gt;"tutar_farki"),"",IF(ABS($C355-$D355)&lt;=toleransKurus,"KDV_ORAN",IF(ABS($C355-$E355*efs_kdvOran)&lt;=toleransKurus,"MATRAH",IF($F355=1,"YUVARLAMA","TANIMSIZ"))))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IF($A356="","",IF($C356&lt;=efs_yuvarlamaEsik,1,0))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IF(OR($A356="",$B356&lt;&gt;"tutar_farki"),"",IF(ABS($C356-$D356)&lt;=toleransKurus,"KDV_ORAN",IF(ABS($C356-$E356*efs_kdvOran)&lt;=toleransKurus,"MATRAH",IF($F356=1,"YUVARLAMA","TANIMSIZ"))))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IF($A357="","",IF($C357&lt;=efs_yuvarlamaEsik,1,0))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IF(OR($A357="",$B357&lt;&gt;"tutar_farki"),"",IF(ABS($C357-$D357)&lt;=toleransKurus,"KDV_ORAN",IF(ABS($C357-$E357*efs_kdvOran)&lt;=toleransKurus,"MATRAH",IF($F357=1,"YUVARLAMA","TANIMSIZ"))))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IF($A358="","",IF($C358&lt;=efs_yuvarlamaEsik,1,0))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IF(OR($A358="",$B358&lt;&gt;"tutar_farki"),"",IF(ABS($C358-$D358)&lt;=toleransKurus,"KDV_ORAN",IF(ABS($C358-$E358*efs_kdvOran)&lt;=toleransKurus,"MATRAH",IF($F358=1,"YUVARLAMA","TANIMSIZ"))))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IF($A359="","",IF($C359&lt;=efs_yuvarlamaEsik,1,0))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IF(OR($A359="",$B359&lt;&gt;"tutar_farki"),"",IF(ABS($C359-$D359)&lt;=toleransKurus,"KDV_ORAN",IF(ABS($C359-$E359*efs_kdvOran)&lt;=toleransKurus,"MATRAH",IF($F359=1,"YUVARLAMA","TANIMSIZ"))))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IF($A360="","",IF($C360&lt;=efs_yuvarlamaEsik,1,0))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IF(OR($A360="",$B360&lt;&gt;"tutar_farki"),"",IF(ABS($C360-$D360)&lt;=toleransKurus,"KDV_ORAN",IF(ABS($C360-$E360*efs_kdvOran)&lt;=toleransKurus,"MATRAH",IF($F360=1,"YUVARLAMA","TANIMSIZ"))))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IF($A361="","",IF($C361&lt;=efs_yuvarlamaEsik,1,0))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IF(OR($A361="",$B361&lt;&gt;"tutar_farki"),"",IF(ABS($C361-$D361)&lt;=toleransKurus,"KDV_ORAN",IF(ABS($C361-$E361*efs_kdvOran)&lt;=toleransKurus,"MATRAH",IF($F361=1,"YUVARLAMA","TANIMSIZ"))))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IF($A362="","",IF($C362&lt;=efs_yuvarlamaEsik,1,0))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IF(OR($A362="",$B362&lt;&gt;"tutar_farki"),"",IF(ABS($C362-$D362)&lt;=toleransKurus,"KDV_ORAN",IF(ABS($C362-$E362*efs_kdvOran)&lt;=toleransKurus,"MATRAH",IF($F362=1,"YUVARLAMA","TANIMSIZ"))))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IF($A363="","",IF($C363&lt;=efs_yuvarlamaEsik,1,0))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IF(OR($A363="",$B363&lt;&gt;"tutar_farki"),"",IF(ABS($C363-$D363)&lt;=toleransKurus,"KDV_ORAN",IF(ABS($C363-$E363*efs_kdvOran)&lt;=toleransKurus,"MATRAH",IF($F363=1,"YUVARLAMA","TANIMSIZ"))))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IF($A364="","",IF($C364&lt;=efs_yuvarlamaEsik,1,0))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IF(OR($A364="",$B364&lt;&gt;"tutar_farki"),"",IF(ABS($C364-$D364)&lt;=toleransKurus,"KDV_ORAN",IF(ABS($C364-$E364*efs_kdvOran)&lt;=toleransKurus,"MATRAH",IF($F364=1,"YUVARLAMA","TANIMSIZ"))))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IF($A365="","",IF($C365&lt;=efs_yuvarlamaEsik,1,0))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IF(OR($A365="",$B365&lt;&gt;"tutar_farki"),"",IF(ABS($C365-$D365)&lt;=toleransKurus,"KDV_ORAN",IF(ABS($C365-$E365*efs_kdvOran)&lt;=toleransKurus,"MATRAH",IF($F365=1,"YUVARLAMA","TANIMSIZ"))))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IF($A366="","",IF($C366&lt;=efs_yuvarlamaEsik,1,0))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IF(OR($A366="",$B366&lt;&gt;"tutar_farki"),"",IF(ABS($C366-$D366)&lt;=toleransKurus,"KDV_ORAN",IF(ABS($C366-$E366*efs_kdvOran)&lt;=toleransKurus,"MATRAH",IF($F366=1,"YUVARLAMA","TANIMSIZ"))))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IF($A367="","",IF($C367&lt;=efs_yuvarlamaEsik,1,0))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IF(OR($A367="",$B367&lt;&gt;"tutar_farki"),"",IF(ABS($C367-$D367)&lt;=toleransKurus,"KDV_ORAN",IF(ABS($C367-$E367*efs_kdvOran)&lt;=toleransKurus,"MATRAH",IF($F367=1,"YUVARLAMA","TANIMSIZ"))))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IF($A368="","",IF($C368&lt;=efs_yuvarlamaEsik,1,0))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IF(OR($A368="",$B368&lt;&gt;"tutar_farki"),"",IF(ABS($C368-$D368)&lt;=toleransKurus,"KDV_ORAN",IF(ABS($C368-$E368*efs_kdvOran)&lt;=toleransKurus,"MATRAH",IF($F368=1,"YUVARLAMA","TANIMSIZ"))))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IF($A369="","",IF($C369&lt;=efs_yuvarlamaEsik,1,0))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IF(OR($A369="",$B369&lt;&gt;"tutar_farki"),"",IF(ABS($C369-$D369)&lt;=toleransKurus,"KDV_ORAN",IF(ABS($C369-$E369*efs_kdvOran)&lt;=toleransKurus,"MATRAH",IF($F369=1,"YUVARLAMA","TANIMSIZ"))))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IF($A370="","",IF($C370&lt;=efs_yuvarlamaEsik,1,0))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IF(OR($A370="",$B370&lt;&gt;"tutar_farki"),"",IF(ABS($C370-$D370)&lt;=toleransKurus,"KDV_ORAN",IF(ABS($C370-$E370*efs_kdvOran)&lt;=toleransKurus,"MATRAH",IF($F370=1,"YUVARLAMA","TANIMSIZ"))))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IF($A371="","",IF($C371&lt;=efs_yuvarlamaEsik,1,0))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IF(OR($A371="",$B371&lt;&gt;"tutar_farki"),"",IF(ABS($C371-$D371)&lt;=toleransKurus,"KDV_ORAN",IF(ABS($C371-$E371*efs_kdvOran)&lt;=toleransKurus,"MATRAH",IF($F371=1,"YUVARLAMA","TANIMSIZ"))))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IF($A372="","",IF($C372&lt;=efs_yuvarlamaEsik,1,0))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IF(OR($A372="",$B372&lt;&gt;"tutar_farki"),"",IF(ABS($C372-$D372)&lt;=toleransKurus,"KDV_ORAN",IF(ABS($C372-$E372*efs_kdvOran)&lt;=toleransKurus,"MATRAH",IF($F372=1,"YUVARLAMA","TANIMSIZ"))))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IF($A373="","",IF($C373&lt;=efs_yuvarlamaEsik,1,0))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IF(OR($A373="",$B373&lt;&gt;"tutar_farki"),"",IF(ABS($C373-$D373)&lt;=toleransKurus,"KDV_ORAN",IF(ABS($C373-$E373*efs_kdvOran)&lt;=toleransKurus,"MATRAH",IF($F373=1,"YUVARLAMA","TANIMSIZ"))))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IF($A374="","",IF($C374&lt;=efs_yuvarlamaEsik,1,0))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IF(OR($A374="",$B374&lt;&gt;"tutar_farki"),"",IF(ABS($C374-$D374)&lt;=toleransKurus,"KDV_ORAN",IF(ABS($C374-$E374*efs_kdvOran)&lt;=toleransKurus,"MATRAH",IF($F374=1,"YUVARLAMA","TANIMSIZ"))))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IF($A375="","",IF($C375&lt;=efs_yuvarlamaEsik,1,0))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IF(OR($A375="",$B375&lt;&gt;"tutar_farki"),"",IF(ABS($C375-$D375)&lt;=toleransKurus,"KDV_ORAN",IF(ABS($C375-$E375*efs_kdvOran)&lt;=toleransKurus,"MATRAH",IF($F375=1,"YUVARLAMA","TANIMSIZ"))))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IF($A376="","",IF($C376&lt;=efs_yuvarlamaEsik,1,0))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IF(OR($A376="",$B376&lt;&gt;"tutar_farki"),"",IF(ABS($C376-$D376)&lt;=toleransKurus,"KDV_ORAN",IF(ABS($C376-$E376*efs_kdvOran)&lt;=toleransKurus,"MATRAH",IF($F376=1,"YUVARLAMA","TANIMSIZ"))))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IF($A377="","",IF($C377&lt;=efs_yuvarlamaEsik,1,0))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IF(OR($A377="",$B377&lt;&gt;"tutar_farki"),"",IF(ABS($C377-$D377)&lt;=toleransKurus,"KDV_ORAN",IF(ABS($C377-$E377*efs_kdvOran)&lt;=toleransKurus,"MATRAH",IF($F377=1,"YUVARLAMA","TANIMSIZ"))))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IF($A378="","",IF($C378&lt;=efs_yuvarlamaEsik,1,0))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IF(OR($A378="",$B378&lt;&gt;"tutar_farki"),"",IF(ABS($C378-$D378)&lt;=toleransKurus,"KDV_ORAN",IF(ABS($C378-$E378*efs_kdvOran)&lt;=toleransKurus,"MATRAH",IF($F378=1,"YUVARLAMA","TANIMSIZ"))))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IF($A379="","",IF($C379&lt;=efs_yuvarlamaEsik,1,0))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IF(OR($A379="",$B379&lt;&gt;"tutar_farki"),"",IF(ABS($C379-$D379)&lt;=toleransKurus,"KDV_ORAN",IF(ABS($C379-$E379*efs_kdvOran)&lt;=toleransKurus,"MATRAH",IF($F379=1,"YUVARLAMA","TANIMSIZ"))))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IF($A380="","",IF($C380&lt;=efs_yuvarlamaEsik,1,0))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IF(OR($A380="",$B380&lt;&gt;"tutar_farki"),"",IF(ABS($C380-$D380)&lt;=toleransKurus,"KDV_ORAN",IF(ABS($C380-$E380*efs_kdvOran)&lt;=toleransKurus,"MATRAH",IF($F380=1,"YUVARLAMA","TANIMSIZ"))))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IF($A381="","",IF($C381&lt;=efs_yuvarlamaEsik,1,0))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IF(OR($A381="",$B381&lt;&gt;"tutar_farki"),"",IF(ABS($C381-$D381)&lt;=toleransKurus,"KDV_ORAN",IF(ABS($C381-$E381*efs_kdvOran)&lt;=toleransKurus,"MATRAH",IF($F381=1,"YUVARLAMA","TANIMSIZ"))))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IF($A382="","",IF($C382&lt;=efs_yuvarlamaEsik,1,0))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IF(OR($A382="",$B382&lt;&gt;"tutar_farki"),"",IF(ABS($C382-$D382)&lt;=toleransKurus,"KDV_ORAN",IF(ABS($C382-$E382*efs_kdvOran)&lt;=toleransKurus,"MATRAH",IF($F382=1,"YUVARLAMA","TANIMSIZ"))))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IF($A383="","",IF($C383&lt;=efs_yuvarlamaEsik,1,0))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IF(OR($A383="",$B383&lt;&gt;"tutar_farki"),"",IF(ABS($C383-$D383)&lt;=toleransKurus,"KDV_ORAN",IF(ABS($C383-$E383*efs_kdvOran)&lt;=toleransKurus,"MATRAH",IF($F383=1,"YUVARLAMA","TANIMSIZ"))))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IF($A384="","",IF($C384&lt;=efs_yuvarlamaEsik,1,0))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IF(OR($A384="",$B384&lt;&gt;"tutar_farki"),"",IF(ABS($C384-$D384)&lt;=toleransKurus,"KDV_ORAN",IF(ABS($C384-$E384*efs_kdvOran)&lt;=toleransKurus,"MATRAH",IF($F384=1,"YUVARLAMA","TANIMSIZ"))))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IF($A385="","",IF($C385&lt;=efs_yuvarlamaEsik,1,0))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IF(OR($A385="",$B385&lt;&gt;"tutar_farki"),"",IF(ABS($C385-$D385)&lt;=toleransKurus,"KDV_ORAN",IF(ABS($C385-$E385*efs_kdvOran)&lt;=toleransKurus,"MATRAH",IF($F385=1,"YUVARLAMA","TANIMSIZ"))))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IF($A386="","",IF($C386&lt;=efs_yuvarlamaEsik,1,0))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IF(OR($A386="",$B386&lt;&gt;"tutar_farki"),"",IF(ABS($C386-$D386)&lt;=toleransKurus,"KDV_ORAN",IF(ABS($C386-$E386*efs_kdvOran)&lt;=toleransKurus,"MATRAH",IF($F386=1,"YUVARLAMA","TANIMSIZ"))))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IF($A387="","",IF($C387&lt;=efs_yuvarlamaEsik,1,0))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IF(OR($A387="",$B387&lt;&gt;"tutar_farki"),"",IF(ABS($C387-$D387)&lt;=toleransKurus,"KDV_ORAN",IF(ABS($C387-$E387*efs_kdvOran)&lt;=toleransKurus,"MATRAH",IF($F387=1,"YUVARLAMA","TANIMSIZ"))))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IF($A388="","",IF($C388&lt;=efs_yuvarlamaEsik,1,0))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IF(OR($A388="",$B388&lt;&gt;"tutar_farki"),"",IF(ABS($C388-$D388)&lt;=toleransKurus,"KDV_ORAN",IF(ABS($C388-$E388*efs_kdvOran)&lt;=toleransKurus,"MATRAH",IF($F388=1,"YUVARLAMA","TANIMSIZ"))))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IF($A389="","",IF($C389&lt;=efs_yuvarlamaEsik,1,0))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IF(OR($A389="",$B389&lt;&gt;"tutar_farki"),"",IF(ABS($C389-$D389)&lt;=toleransKurus,"KDV_ORAN",IF(ABS($C389-$E389*efs_kdvOran)&lt;=toleransKurus,"MATRAH",IF($F389=1,"YUVARLAMA","TANIMSIZ"))))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IF($A390="","",IF($C390&lt;=efs_yuvarlamaEsik,1,0))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IF(OR($A390="",$B390&lt;&gt;"tutar_farki"),"",IF(ABS($C390-$D390)&lt;=toleransKurus,"KDV_ORAN",IF(ABS($C390-$E390*efs_kdvOran)&lt;=toleransKurus,"MATRAH",IF($F390=1,"YUVARLAMA","TANIMSIZ"))))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IF($A391="","",IF($C391&lt;=efs_yuvarlamaEsik,1,0))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IF(OR($A391="",$B391&lt;&gt;"tutar_farki"),"",IF(ABS($C391-$D391)&lt;=toleransKurus,"KDV_ORAN",IF(ABS($C391-$E391*efs_kdvOran)&lt;=toleransKurus,"MATRAH",IF($F391=1,"YUVARLAMA","TANIMSIZ"))))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IF($A392="","",IF($C392&lt;=efs_yuvarlamaEsik,1,0))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IF(OR($A392="",$B392&lt;&gt;"tutar_farki"),"",IF(ABS($C392-$D392)&lt;=toleransKurus,"KDV_ORAN",IF(ABS($C392-$E392*efs_kdvOran)&lt;=toleransKurus,"MATRAH",IF($F392=1,"YUVARLAMA","TANIMSIZ"))))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IF($A393="","",IF($C393&lt;=efs_yuvarlamaEsik,1,0))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IF(OR($A393="",$B393&lt;&gt;"tutar_farki"),"",IF(ABS($C393-$D393)&lt;=toleransKurus,"KDV_ORAN",IF(ABS($C393-$E393*efs_kdvOran)&lt;=toleransKurus,"MATRAH",IF($F393=1,"YUVARLAMA","TANIMSIZ"))))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IF($A394="","",IF($C394&lt;=efs_yuvarlamaEsik,1,0))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IF(OR($A394="",$B394&lt;&gt;"tutar_farki"),"",IF(ABS($C394-$D394)&lt;=toleransKurus,"KDV_ORAN",IF(ABS($C394-$E394*efs_kdvOran)&lt;=toleransKurus,"MATRAH",IF($F394=1,"YUVARLAMA","TANIMSIZ"))))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IF($A395="","",IF($C395&lt;=efs_yuvarlamaEsik,1,0))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IF(OR($A395="",$B395&lt;&gt;"tutar_farki"),"",IF(ABS($C395-$D395)&lt;=toleransKurus,"KDV_ORAN",IF(ABS($C395-$E395*efs_kdvOran)&lt;=toleransKurus,"MATRAH",IF($F395=1,"YUVARLAMA","TANIMSIZ"))))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IF($A396="","",IF($C396&lt;=efs_yuvarlamaEsik,1,0))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IF(OR($A396="",$B396&lt;&gt;"tutar_farki"),"",IF(ABS($C396-$D396)&lt;=toleransKurus,"KDV_ORAN",IF(ABS($C396-$E396*efs_kdvOran)&lt;=toleransKurus,"MATRAH",IF($F396=1,"YUVARLAMA","TANIMSIZ"))))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IF($A397="","",IF($C397&lt;=efs_yuvarlamaEsik,1,0))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IF(OR($A397="",$B397&lt;&gt;"tutar_farki"),"",IF(ABS($C397-$D397)&lt;=toleransKurus,"KDV_ORAN",IF(ABS($C397-$E397*efs_kdvOran)&lt;=toleransKurus,"MATRAH",IF($F397=1,"YUVARLAMA","TANIMSIZ"))))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IF($A398="","",IF($C398&lt;=efs_yuvarlamaEsik,1,0))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IF(OR($A398="",$B398&lt;&gt;"tutar_farki"),"",IF(ABS($C398-$D398)&lt;=toleransKurus,"KDV_ORAN",IF(ABS($C398-$E398*efs_kdvOran)&lt;=toleransKurus,"MATRAH",IF($F398=1,"YUVARLAMA","TANIMSIZ"))))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IF($A399="","",IF($C399&lt;=efs_yuvarlamaEsik,1,0))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IF(OR($A399="",$B399&lt;&gt;"tutar_farki"),"",IF(ABS($C399-$D399)&lt;=toleransKurus,"KDV_ORAN",IF(ABS($C399-$E399*efs_kdvOran)&lt;=toleransKurus,"MATRAH",IF($F399=1,"YUVARLAMA","TANIMSIZ"))))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IF($A400="","",IF($C400&lt;=efs_yuvarlamaEsik,1,0))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IF(OR($A400="",$B400&lt;&gt;"tutar_farki"),"",IF(ABS($C400-$D400)&lt;=toleransKurus,"KDV_ORAN",IF(ABS($C400-$E400*efs_kdvOran)&lt;=toleransKurus,"MATRAH",IF($F400=1,"YUVARLAMA","TANIMSIZ"))))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IF($A401="","",IF($C401&lt;=efs_yuvarlamaEsik,1,0))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IF(OR($A401="",$B401&lt;&gt;"tutar_farki"),"",IF(ABS($C401-$D401)&lt;=toleransKurus,"KDV_ORAN",IF(ABS($C401-$E401*efs_kdvOran)&lt;=toleransKurus,"MATRAH",IF($F401=1,"YUVARLAMA","TANIMSIZ"))))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IF($A402="","",IF($C402&lt;=efs_yuvarlamaEsik,1,0))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IF(OR($A402="",$B402&lt;&gt;"tutar_farki"),"",IF(ABS($C402-$D402)&lt;=toleransKurus,"KDV_ORAN",IF(ABS($C402-$E402*efs_kdvOran)&lt;=toleransKurus,"MATRAH",IF($F402=1,"YUVARLAMA","TANIMSIZ"))))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IF($A403="","",IF($C403&lt;=efs_yuvarlamaEsik,1,0))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IF(OR($A403="",$B403&lt;&gt;"tutar_farki"),"",IF(ABS($C403-$D403)&lt;=toleransKurus,"KDV_ORAN",IF(ABS($C403-$E403*efs_kdvOran)&lt;=toleransKurus,"MATRAH",IF($F403=1,"YUVARLAMA","TANIMSIZ"))))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IF($A404="","",IF($C404&lt;=efs_yuvarlamaEsik,1,0))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IF(OR($A404="",$B404&lt;&gt;"tutar_farki"),"",IF(ABS($C404-$D404)&lt;=toleransKurus,"KDV_ORAN",IF(ABS($C404-$E404*efs_kdvOran)&lt;=toleransKurus,"MATRAH",IF($F404=1,"YUVARLAMA","TANIMSIZ"))))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IF($A405="","",IF($C405&lt;=efs_yuvarlamaEsik,1,0))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IF(OR($A405="",$B405&lt;&gt;"tutar_farki"),"",IF(ABS($C405-$D405)&lt;=toleransKurus,"KDV_ORAN",IF(ABS($C405-$E405*efs_kdvOran)&lt;=toleransKurus,"MATRAH",IF($F405=1,"YUVARLAMA","TANIMSIZ"))))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IF($A406="","",IF($C406&lt;=efs_yuvarlamaEsik,1,0))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IF(OR($A406="",$B406&lt;&gt;"tutar_farki"),"",IF(ABS($C406-$D406)&lt;=toleransKurus,"KDV_ORAN",IF(ABS($C406-$E406*efs_kdvOran)&lt;=toleransKurus,"MATRAH",IF($F406=1,"YUVARLAMA","TANIMSIZ"))))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IF($A407="","",IF($C407&lt;=efs_yuvarlamaEsik,1,0))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IF(OR($A407="",$B407&lt;&gt;"tutar_farki"),"",IF(ABS($C407-$D407)&lt;=toleransKurus,"KDV_ORAN",IF(ABS($C407-$E407*efs_kdvOran)&lt;=toleransKurus,"MATRAH",IF($F407=1,"YUVARLAMA","TANIMSIZ"))))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IF($A408="","",IF($C408&lt;=efs_yuvarlamaEsik,1,0))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IF(OR($A408="",$B408&lt;&gt;"tutar_farki"),"",IF(ABS($C408-$D408)&lt;=toleransKurus,"KDV_ORAN",IF(ABS($C408-$E408*efs_kdvOran)&lt;=toleransKurus,"MATRAH",IF($F408=1,"YUVARLAMA","TANIMSIZ"))))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IF($A409="","",IF($C409&lt;=efs_yuvarlamaEsik,1,0))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IF(OR($A409="",$B409&lt;&gt;"tutar_farki"),"",IF(ABS($C409-$D409)&lt;=toleransKurus,"KDV_ORAN",IF(ABS($C409-$E409*efs_kdvOran)&lt;=toleransKurus,"MATRAH",IF($F409=1,"YUVARLAMA","TANIMSIZ"))))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IF($A410="","",IF($C410&lt;=efs_yuvarlamaEsik,1,0))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IF(OR($A410="",$B410&lt;&gt;"tutar_farki"),"",IF(ABS($C410-$D410)&lt;=toleransKurus,"KDV_ORAN",IF(ABS($C410-$E410*efs_kdvOran)&lt;=toleransKurus,"MATRAH",IF($F410=1,"YUVARLAMA","TANIMSIZ"))))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IF($A411="","",IF($C411&lt;=efs_yuvarlamaEsik,1,0))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IF(OR($A411="",$B411&lt;&gt;"tutar_farki"),"",IF(ABS($C411-$D411)&lt;=toleransKurus,"KDV_ORAN",IF(ABS($C411-$E411*efs_kdvOran)&lt;=toleransKurus,"MATRAH",IF($F411=1,"YUVARLAMA","TANIMSIZ"))))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IF($A412="","",IF($C412&lt;=efs_yuvarlamaEsik,1,0))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IF(OR($A412="",$B412&lt;&gt;"tutar_farki"),"",IF(ABS($C412-$D412)&lt;=toleransKurus,"KDV_ORAN",IF(ABS($C412-$E412*efs_kdvOran)&lt;=toleransKurus,"MATRAH",IF($F412=1,"YUVARLAMA","TANIMSIZ"))))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IF($A413="","",IF($C413&lt;=efs_yuvarlamaEsik,1,0))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IF(OR($A413="",$B413&lt;&gt;"tutar_farki"),"",IF(ABS($C413-$D413)&lt;=toleransKurus,"KDV_ORAN",IF(ABS($C413-$E413*efs_kdvOran)&lt;=toleransKurus,"MATRAH",IF($F413=1,"YUVARLAMA","TANIMSIZ"))))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IF($A414="","",IF($C414&lt;=efs_yuvarlamaEsik,1,0))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IF(OR($A414="",$B414&lt;&gt;"tutar_farki"),"",IF(ABS($C414-$D414)&lt;=toleransKurus,"KDV_ORAN",IF(ABS($C414-$E414*efs_kdvOran)&lt;=toleransKurus,"MATRAH",IF($F414=1,"YUVARLAMA","TANIMSIZ"))))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IF($A415="","",IF($C415&lt;=efs_yuvarlamaEsik,1,0))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IF(OR($A415="",$B415&lt;&gt;"tutar_farki"),"",IF(ABS($C415-$D415)&lt;=toleransKurus,"KDV_ORAN",IF(ABS($C415-$E415*efs_kdvOran)&lt;=toleransKurus,"MATRAH",IF($F415=1,"YUVARLAMA","TANIMSIZ"))))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IF($A416="","",IF($C416&lt;=efs_yuvarlamaEsik,1,0))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IF(OR($A416="",$B416&lt;&gt;"tutar_farki"),"",IF(ABS($C416-$D416)&lt;=toleransKurus,"KDV_ORAN",IF(ABS($C416-$E416*efs_kdvOran)&lt;=toleransKurus,"MATRAH",IF($F416=1,"YUVARLAMA","TANIMSIZ"))))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IF($A417="","",IF($C417&lt;=efs_yuvarlamaEsik,1,0))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IF(OR($A417="",$B417&lt;&gt;"tutar_farki"),"",IF(ABS($C417-$D417)&lt;=toleransKurus,"KDV_ORAN",IF(ABS($C417-$E417*efs_kdvOran)&lt;=toleransKurus,"MATRAH",IF($F417=1,"YUVARLAMA","TANIMSIZ"))))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IF($A418="","",IF($C418&lt;=efs_yuvarlamaEsik,1,0))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IF(OR($A418="",$B418&lt;&gt;"tutar_farki"),"",IF(ABS($C418-$D418)&lt;=toleransKurus,"KDV_ORAN",IF(ABS($C418-$E418*efs_kdvOran)&lt;=toleransKurus,"MATRAH",IF($F418=1,"YUVARLAMA","TANIMSIZ"))))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IF($A419="","",IF($C419&lt;=efs_yuvarlamaEsik,1,0))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IF(OR($A419="",$B419&lt;&gt;"tutar_farki"),"",IF(ABS($C419-$D419)&lt;=toleransKurus,"KDV_ORAN",IF(ABS($C419-$E419*efs_kdvOran)&lt;=toleransKurus,"MATRAH",IF($F419=1,"YUVARLAMA","TANIMSIZ"))))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IF($A420="","",IF($C420&lt;=efs_yuvarlamaEsik,1,0))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IF(OR($A420="",$B420&lt;&gt;"tutar_farki"),"",IF(ABS($C420-$D420)&lt;=toleransKurus,"KDV_ORAN",IF(ABS($C420-$E420*efs_kdvOran)&lt;=toleransKurus,"MATRAH",IF($F420=1,"YUVARLAMA","TANIMSIZ"))))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IF($A421="","",IF($C421&lt;=efs_yuvarlamaEsik,1,0))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IF(OR($A421="",$B421&lt;&gt;"tutar_farki"),"",IF(ABS($C421-$D421)&lt;=toleransKurus,"KDV_ORAN",IF(ABS($C421-$E421*efs_kdvOran)&lt;=toleransKurus,"MATRAH",IF($F421=1,"YUVARLAMA","TANIMSIZ"))))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IF($A422="","",IF($C422&lt;=efs_yuvarlamaEsik,1,0))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IF(OR($A422="",$B422&lt;&gt;"tutar_farki"),"",IF(ABS($C422-$D422)&lt;=toleransKurus,"KDV_ORAN",IF(ABS($C422-$E422*efs_kdvOran)&lt;=toleransKurus,"MATRAH",IF($F422=1,"YUVARLAMA","TANIMSIZ"))))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IF($A423="","",IF($C423&lt;=efs_yuvarlamaEsik,1,0))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IF(OR($A423="",$B423&lt;&gt;"tutar_farki"),"",IF(ABS($C423-$D423)&lt;=toleransKurus,"KDV_ORAN",IF(ABS($C423-$E423*efs_kdvOran)&lt;=toleransKurus,"MATRAH",IF($F423=1,"YUVARLAMA","TANIMSIZ"))))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IF($A424="","",IF($C424&lt;=efs_yuvarlamaEsik,1,0))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IF(OR($A424="",$B424&lt;&gt;"tutar_farki"),"",IF(ABS($C424-$D424)&lt;=toleransKurus,"KDV_ORAN",IF(ABS($C424-$E424*efs_kdvOran)&lt;=toleransKurus,"MATRAH",IF($F424=1,"YUVARLAMA","TANIMSIZ"))))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IF($A425="","",IF($C425&lt;=efs_yuvarlamaEsik,1,0))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IF(OR($A425="",$B425&lt;&gt;"tutar_farki"),"",IF(ABS($C425-$D425)&lt;=toleransKurus,"KDV_ORAN",IF(ABS($C425-$E425*efs_kdvOran)&lt;=toleransKurus,"MATRAH",IF($F425=1,"YUVARLAMA","TANIMSIZ"))))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IF($A426="","",IF($C426&lt;=efs_yuvarlamaEsik,1,0))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IF(OR($A426="",$B426&lt;&gt;"tutar_farki"),"",IF(ABS($C426-$D426)&lt;=toleransKurus,"KDV_ORAN",IF(ABS($C426-$E426*efs_kdvOran)&lt;=toleransKurus,"MATRAH",IF($F426=1,"YUVARLAMA","TANIMSIZ"))))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IF($A427="","",IF($C427&lt;=efs_yuvarlamaEsik,1,0))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IF(OR($A427="",$B427&lt;&gt;"tutar_farki"),"",IF(ABS($C427-$D427)&lt;=toleransKurus,"KDV_ORAN",IF(ABS($C427-$E427*efs_kdvOran)&lt;=toleransKurus,"MATRAH",IF($F427=1,"YUVARLAMA","TANIMSIZ"))))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IF($A428="","",IF($C428&lt;=efs_yuvarlamaEsik,1,0))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IF(OR($A428="",$B428&lt;&gt;"tutar_farki"),"",IF(ABS($C428-$D428)&lt;=toleransKurus,"KDV_ORAN",IF(ABS($C428-$E428*efs_kdvOran)&lt;=toleransKurus,"MATRAH",IF($F428=1,"YUVARLAMA","TANIMSIZ"))))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IF($A429="","",IF($C429&lt;=efs_yuvarlamaEsik,1,0))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IF(OR($A429="",$B429&lt;&gt;"tutar_farki"),"",IF(ABS($C429-$D429)&lt;=toleransKurus,"KDV_ORAN",IF(ABS($C429-$E429*efs_kdvOran)&lt;=toleransKurus,"MATRAH",IF($F429=1,"YUVARLAMA","TANIMSIZ"))))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IF($A430="","",IF($C430&lt;=efs_yuvarlamaEsik,1,0))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IF(OR($A430="",$B430&lt;&gt;"tutar_farki"),"",IF(ABS($C430-$D430)&lt;=toleransKurus,"KDV_ORAN",IF(ABS($C430-$E430*efs_kdvOran)&lt;=toleransKurus,"MATRAH",IF($F430=1,"YUVARLAMA","TANIMSIZ"))))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IF($A431="","",IF($C431&lt;=efs_yuvarlamaEsik,1,0))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IF(OR($A431="",$B431&lt;&gt;"tutar_farki"),"",IF(ABS($C431-$D431)&lt;=toleransKurus,"KDV_ORAN",IF(ABS($C431-$E431*efs_kdvOran)&lt;=toleransKurus,"MATRAH",IF($F431=1,"YUVARLAMA","TANIMSIZ"))))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IF($A432="","",IF($C432&lt;=efs_yuvarlamaEsik,1,0))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IF(OR($A432="",$B432&lt;&gt;"tutar_farki"),"",IF(ABS($C432-$D432)&lt;=toleransKurus,"KDV_ORAN",IF(ABS($C432-$E432*efs_kdvOran)&lt;=toleransKurus,"MATRAH",IF($F432=1,"YUVARLAMA","TANIMSIZ"))))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IF($A433="","",IF($C433&lt;=efs_yuvarlamaEsik,1,0))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IF(OR($A433="",$B433&lt;&gt;"tutar_farki"),"",IF(ABS($C433-$D433)&lt;=toleransKurus,"KDV_ORAN",IF(ABS($C433-$E433*efs_kdvOran)&lt;=toleransKurus,"MATRAH",IF($F433=1,"YUVARLAMA","TANIMSIZ"))))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IF($A434="","",IF($C434&lt;=efs_yuvarlamaEsik,1,0))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IF(OR($A434="",$B434&lt;&gt;"tutar_farki"),"",IF(ABS($C434-$D434)&lt;=toleransKurus,"KDV_ORAN",IF(ABS($C434-$E434*efs_kdvOran)&lt;=toleransKurus,"MATRAH",IF($F434=1,"YUVARLAMA","TANIMSIZ"))))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IF($A435="","",IF($C435&lt;=efs_yuvarlamaEsik,1,0))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IF(OR($A435="",$B435&lt;&gt;"tutar_farki"),"",IF(ABS($C435-$D435)&lt;=toleransKurus,"KDV_ORAN",IF(ABS($C435-$E435*efs_kdvOran)&lt;=toleransKurus,"MATRAH",IF($F435=1,"YUVARLAMA","TANIMSIZ"))))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IF($A436="","",IF($C436&lt;=efs_yuvarlamaEsik,1,0))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IF(OR($A436="",$B436&lt;&gt;"tutar_farki"),"",IF(ABS($C436-$D436)&lt;=toleransKurus,"KDV_ORAN",IF(ABS($C436-$E436*efs_kdvOran)&lt;=toleransKurus,"MATRAH",IF($F436=1,"YUVARLAMA","TANIMSIZ"))))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IF($A437="","",IF($C437&lt;=efs_yuvarlamaEsik,1,0))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IF(OR($A437="",$B437&lt;&gt;"tutar_farki"),"",IF(ABS($C437-$D437)&lt;=toleransKurus,"KDV_ORAN",IF(ABS($C437-$E437*efs_kdvOran)&lt;=toleransKurus,"MATRAH",IF($F437=1,"YUVARLAMA","TANIMSIZ"))))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IF($A438="","",IF($C438&lt;=efs_yuvarlamaEsik,1,0))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IF(OR($A438="",$B438&lt;&gt;"tutar_farki"),"",IF(ABS($C438-$D438)&lt;=toleransKurus,"KDV_ORAN",IF(ABS($C438-$E438*efs_kdvOran)&lt;=toleransKurus,"MATRAH",IF($F438=1,"YUVARLAMA","TANIMSIZ"))))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IF($A439="","",IF($C439&lt;=efs_yuvarlamaEsik,1,0))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IF(OR($A439="",$B439&lt;&gt;"tutar_farki"),"",IF(ABS($C439-$D439)&lt;=toleransKurus,"KDV_ORAN",IF(ABS($C439-$E439*efs_kdvOran)&lt;=toleransKurus,"MATRAH",IF($F439=1,"YUVARLAMA","TANIMSIZ"))))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IF($A440="","",IF($C440&lt;=efs_yuvarlamaEsik,1,0))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IF(OR($A440="",$B440&lt;&gt;"tutar_farki"),"",IF(ABS($C440-$D440)&lt;=toleransKurus,"KDV_ORAN",IF(ABS($C440-$E440*efs_kdvOran)&lt;=toleransKurus,"MATRAH",IF($F440=1,"YUVARLAMA","TANIMSIZ"))))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IF($A441="","",IF($C441&lt;=efs_yuvarlamaEsik,1,0))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IF(OR($A441="",$B441&lt;&gt;"tutar_farki"),"",IF(ABS($C441-$D441)&lt;=toleransKurus,"KDV_ORAN",IF(ABS($C441-$E441*efs_kdvOran)&lt;=toleransKurus,"MATRAH",IF($F441=1,"YUVARLAMA","TANIMSIZ"))))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IF($A442="","",IF($C442&lt;=efs_yuvarlamaEsik,1,0))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IF(OR($A442="",$B442&lt;&gt;"tutar_farki"),"",IF(ABS($C442-$D442)&lt;=toleransKurus,"KDV_ORAN",IF(ABS($C442-$E442*efs_kdvOran)&lt;=toleransKurus,"MATRAH",IF($F442=1,"YUVARLAMA","TANIMSIZ"))))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IF($A443="","",IF($C443&lt;=efs_yuvarlamaEsik,1,0))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IF(OR($A443="",$B443&lt;&gt;"tutar_farki"),"",IF(ABS($C443-$D443)&lt;=toleransKurus,"KDV_ORAN",IF(ABS($C443-$E443*efs_kdvOran)&lt;=toleransKurus,"MATRAH",IF($F443=1,"YUVARLAMA","TANIMSIZ"))))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IF($A444="","",IF($C444&lt;=efs_yuvarlamaEsik,1,0))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IF(OR($A444="",$B444&lt;&gt;"tutar_farki"),"",IF(ABS($C444-$D444)&lt;=toleransKurus,"KDV_ORAN",IF(ABS($C444-$E444*efs_kdvOran)&lt;=toleransKurus,"MATRAH",IF($F444=1,"YUVARLAMA","TANIMSIZ"))))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IF($A445="","",IF($C445&lt;=efs_yuvarlamaEsik,1,0))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IF(OR($A445="",$B445&lt;&gt;"tutar_farki"),"",IF(ABS($C445-$D445)&lt;=toleransKurus,"KDV_ORAN",IF(ABS($C445-$E445*efs_kdvOran)&lt;=toleransKurus,"MATRAH",IF($F445=1,"YUVARLAMA","TANIMSIZ"))))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IF($A446="","",IF($C446&lt;=efs_yuvarlamaEsik,1,0))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IF(OR($A446="",$B446&lt;&gt;"tutar_farki"),"",IF(ABS($C446-$D446)&lt;=toleransKurus,"KDV_ORAN",IF(ABS($C446-$E446*efs_kdvOran)&lt;=toleransKurus,"MATRAH",IF($F446=1,"YUVARLAMA","TANIMSIZ"))))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IF($A447="","",IF($C447&lt;=efs_yuvarlamaEsik,1,0))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IF(OR($A447="",$B447&lt;&gt;"tutar_farki"),"",IF(ABS($C447-$D447)&lt;=toleransKurus,"KDV_ORAN",IF(ABS($C447-$E447*efs_kdvOran)&lt;=toleransKurus,"MATRAH",IF($F447=1,"YUVARLAMA","TANIMSIZ"))))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IF($A448="","",IF($C448&lt;=efs_yuvarlamaEsik,1,0))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IF(OR($A448="",$B448&lt;&gt;"tutar_farki"),"",IF(ABS($C448-$D448)&lt;=toleransKurus,"KDV_ORAN",IF(ABS($C448-$E448*efs_kdvOran)&lt;=toleransKurus,"MATRAH",IF($F448=1,"YUVARLAMA","TANIMSIZ"))))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IF($A449="","",IF($C449&lt;=efs_yuvarlamaEsik,1,0))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IF(OR($A449="",$B449&lt;&gt;"tutar_farki"),"",IF(ABS($C449-$D449)&lt;=toleransKurus,"KDV_ORAN",IF(ABS($C449-$E449*efs_kdvOran)&lt;=toleransKurus,"MATRAH",IF($F449=1,"YUVARLAMA","TANIMSIZ"))))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IF($A450="","",IF($C450&lt;=efs_yuvarlamaEsik,1,0))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IF(OR($A450="",$B450&lt;&gt;"tutar_farki"),"",IF(ABS($C450-$D450)&lt;=toleransKurus,"KDV_ORAN",IF(ABS($C450-$E450*efs_kdvOran)&lt;=toleransKurus,"MATRAH",IF($F450=1,"YUVARLAMA","TANIMSIZ"))))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IF($A451="","",IF($C451&lt;=efs_yuvarlamaEsik,1,0))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IF(OR($A451="",$B451&lt;&gt;"tutar_farki"),"",IF(ABS($C451-$D451)&lt;=toleransKurus,"KDV_ORAN",IF(ABS($C451-$E451*efs_kdvOran)&lt;=toleransKurus,"MATRAH",IF($F451=1,"YUVARLAMA","TANIMSIZ"))))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IF($A452="","",IF($C452&lt;=efs_yuvarlamaEsik,1,0))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IF(OR($A452="",$B452&lt;&gt;"tutar_farki"),"",IF(ABS($C452-$D452)&lt;=toleransKurus,"KDV_ORAN",IF(ABS($C452-$E452*efs_kdvOran)&lt;=toleransKurus,"MATRAH",IF($F452=1,"YUVARLAMA","TANIMSIZ"))))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IF($A453="","",IF($C453&lt;=efs_yuvarlamaEsik,1,0))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IF(OR($A453="",$B453&lt;&gt;"tutar_farki"),"",IF(ABS($C453-$D453)&lt;=toleransKurus,"KDV_ORAN",IF(ABS($C453-$E453*efs_kdvOran)&lt;=toleransKurus,"MATRAH",IF($F453=1,"YUVARLAMA","TANIMSIZ"))))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IF($A454="","",IF($C454&lt;=efs_yuvarlamaEsik,1,0))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IF(OR($A454="",$B454&lt;&gt;"tutar_farki"),"",IF(ABS($C454-$D454)&lt;=toleransKurus,"KDV_ORAN",IF(ABS($C454-$E454*efs_kdvOran)&lt;=toleransKurus,"MATRAH",IF($F454=1,"YUVARLAMA","TANIMSIZ"))))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IF($A455="","",IF($C455&lt;=efs_yuvarlamaEsik,1,0))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IF(OR($A455="",$B455&lt;&gt;"tutar_farki"),"",IF(ABS($C455-$D455)&lt;=toleransKurus,"KDV_ORAN",IF(ABS($C455-$E455*efs_kdvOran)&lt;=toleransKurus,"MATRAH",IF($F455=1,"YUVARLAMA","TANIMSIZ"))))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IF($A456="","",IF($C456&lt;=efs_yuvarlamaEsik,1,0))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IF(OR($A456="",$B456&lt;&gt;"tutar_farki"),"",IF(ABS($C456-$D456)&lt;=toleransKurus,"KDV_ORAN",IF(ABS($C456-$E456*efs_kdvOran)&lt;=toleransKurus,"MATRAH",IF($F456=1,"YUVARLAMA","TANIMSIZ"))))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IF($A457="","",IF($C457&lt;=efs_yuvarlamaEsik,1,0))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IF(OR($A457="",$B457&lt;&gt;"tutar_farki"),"",IF(ABS($C457-$D457)&lt;=toleransKurus,"KDV_ORAN",IF(ABS($C457-$E457*efs_kdvOran)&lt;=toleransKurus,"MATRAH",IF($F457=1,"YUVARLAMA","TANIMSIZ"))))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IF($A458="","",IF($C458&lt;=efs_yuvarlamaEsik,1,0))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IF(OR($A458="",$B458&lt;&gt;"tutar_farki"),"",IF(ABS($C458-$D458)&lt;=toleransKurus,"KDV_ORAN",IF(ABS($C458-$E458*efs_kdvOran)&lt;=toleransKurus,"MATRAH",IF($F458=1,"YUVARLAMA","TANIMSIZ"))))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IF($A459="","",IF($C459&lt;=efs_yuvarlamaEsik,1,0))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IF(OR($A459="",$B459&lt;&gt;"tutar_farki"),"",IF(ABS($C459-$D459)&lt;=toleransKurus,"KDV_ORAN",IF(ABS($C459-$E459*efs_kdvOran)&lt;=toleransKurus,"MATRAH",IF($F459=1,"YUVARLAMA","TANIMSIZ"))))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IF($A460="","",IF($C460&lt;=efs_yuvarlamaEsik,1,0))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IF(OR($A460="",$B460&lt;&gt;"tutar_farki"),"",IF(ABS($C460-$D460)&lt;=toleransKurus,"KDV_ORAN",IF(ABS($C460-$E460*efs_kdvOran)&lt;=toleransKurus,"MATRAH",IF($F460=1,"YUVARLAMA","TANIMSIZ"))))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IF($A461="","",IF($C461&lt;=efs_yuvarlamaEsik,1,0))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IF(OR($A461="",$B461&lt;&gt;"tutar_farki"),"",IF(ABS($C461-$D461)&lt;=toleransKurus,"KDV_ORAN",IF(ABS($C461-$E461*efs_kdvOran)&lt;=toleransKurus,"MATRAH",IF($F461=1,"YUVARLAMA","TANIMSIZ"))))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IF($A462="","",IF($C462&lt;=efs_yuvarlamaEsik,1,0))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IF(OR($A462="",$B462&lt;&gt;"tutar_farki"),"",IF(ABS($C462-$D462)&lt;=toleransKurus,"KDV_ORAN",IF(ABS($C462-$E462*efs_kdvOran)&lt;=toleransKurus,"MATRAH",IF($F462=1,"YUVARLAMA","TANIMSIZ"))))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IF($A463="","",IF($C463&lt;=efs_yuvarlamaEsik,1,0))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IF(OR($A463="",$B463&lt;&gt;"tutar_farki"),"",IF(ABS($C463-$D463)&lt;=toleransKurus,"KDV_ORAN",IF(ABS($C463-$E463*efs_kdvOran)&lt;=toleransKurus,"MATRAH",IF($F463=1,"YUVARLAMA","TANIMSIZ"))))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IF($A464="","",IF($C464&lt;=efs_yuvarlamaEsik,1,0))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IF(OR($A464="",$B464&lt;&gt;"tutar_farki"),"",IF(ABS($C464-$D464)&lt;=toleransKurus,"KDV_ORAN",IF(ABS($C464-$E464*efs_kdvOran)&lt;=toleransKurus,"MATRAH",IF($F464=1,"YUVARLAMA","TANIMSIZ"))))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IF($A465="","",IF($C465&lt;=efs_yuvarlamaEsik,1,0))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IF(OR($A465="",$B465&lt;&gt;"tutar_farki"),"",IF(ABS($C465-$D465)&lt;=toleransKurus,"KDV_ORAN",IF(ABS($C465-$E465*efs_kdvOran)&lt;=toleransKurus,"MATRAH",IF($F465=1,"YUVARLAMA","TANIMSIZ"))))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IF($A466="","",IF($C466&lt;=efs_yuvarlamaEsik,1,0))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IF(OR($A466="",$B466&lt;&gt;"tutar_farki"),"",IF(ABS($C466-$D466)&lt;=toleransKurus,"KDV_ORAN",IF(ABS($C466-$E466*efs_kdvOran)&lt;=toleransKurus,"MATRAH",IF($F466=1,"YUVARLAMA","TANIMSIZ"))))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IF($A467="","",IF($C467&lt;=efs_yuvarlamaEsik,1,0))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IF(OR($A467="",$B467&lt;&gt;"tutar_farki"),"",IF(ABS($C467-$D467)&lt;=toleransKurus,"KDV_ORAN",IF(ABS($C467-$E467*efs_kdvOran)&lt;=toleransKurus,"MATRAH",IF($F467=1,"YUVARLAMA","TANIMSIZ"))))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IF($A468="","",IF($C468&lt;=efs_yuvarlamaEsik,1,0))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IF(OR($A468="",$B468&lt;&gt;"tutar_farki"),"",IF(ABS($C468-$D468)&lt;=toleransKurus,"KDV_ORAN",IF(ABS($C468-$E468*efs_kdvOran)&lt;=toleransKurus,"MATRAH",IF($F468=1,"YUVARLAMA","TANIMSIZ"))))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IF($A469="","",IF($C469&lt;=efs_yuvarlamaEsik,1,0))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IF(OR($A469="",$B469&lt;&gt;"tutar_farki"),"",IF(ABS($C469-$D469)&lt;=toleransKurus,"KDV_ORAN",IF(ABS($C469-$E469*efs_kdvOran)&lt;=toleransKurus,"MATRAH",IF($F469=1,"YUVARLAMA","TANIMSIZ"))))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IF($A470="","",IF($C470&lt;=efs_yuvarlamaEsik,1,0))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IF(OR($A470="",$B470&lt;&gt;"tutar_farki"),"",IF(ABS($C470-$D470)&lt;=toleransKurus,"KDV_ORAN",IF(ABS($C470-$E470*efs_kdvOran)&lt;=toleransKurus,"MATRAH",IF($F470=1,"YUVARLAMA","TANIMSIZ"))))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IF($A471="","",IF($C471&lt;=efs_yuvarlamaEsik,1,0))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IF(OR($A471="",$B471&lt;&gt;"tutar_farki"),"",IF(ABS($C471-$D471)&lt;=toleransKurus,"KDV_ORAN",IF(ABS($C471-$E471*efs_kdvOran)&lt;=toleransKurus,"MATRAH",IF($F471=1,"YUVARLAMA","TANIMSIZ"))))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IF($A472="","",IF($C472&lt;=efs_yuvarlamaEsik,1,0))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IF(OR($A472="",$B472&lt;&gt;"tutar_farki"),"",IF(ABS($C472-$D472)&lt;=toleransKurus,"KDV_ORAN",IF(ABS($C472-$E472*efs_kdvOran)&lt;=toleransKurus,"MATRAH",IF($F472=1,"YUVARLAMA","TANIMSIZ"))))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IF($A473="","",IF($C473&lt;=efs_yuvarlamaEsik,1,0))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IF(OR($A473="",$B473&lt;&gt;"tutar_farki"),"",IF(ABS($C473-$D473)&lt;=toleransKurus,"KDV_ORAN",IF(ABS($C473-$E473*efs_kdvOran)&lt;=toleransKurus,"MATRAH",IF($F473=1,"YUVARLAMA","TANIMSIZ"))))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IF($A474="","",IF($C474&lt;=efs_yuvarlamaEsik,1,0))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IF(OR($A474="",$B474&lt;&gt;"tutar_farki"),"",IF(ABS($C474-$D474)&lt;=toleransKurus,"KDV_ORAN",IF(ABS($C474-$E474*efs_kdvOran)&lt;=toleransKurus,"MATRAH",IF($F474=1,"YUVARLAMA","TANIMSIZ"))))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IF($A475="","",IF($C475&lt;=efs_yuvarlamaEsik,1,0))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IF(OR($A475="",$B475&lt;&gt;"tutar_farki"),"",IF(ABS($C475-$D475)&lt;=toleransKurus,"KDV_ORAN",IF(ABS($C475-$E475*efs_kdvOran)&lt;=toleransKurus,"MATRAH",IF($F475=1,"YUVARLAMA","TANIMSIZ"))))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IF($A476="","",IF($C476&lt;=efs_yuvarlamaEsik,1,0))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IF(OR($A476="",$B476&lt;&gt;"tutar_farki"),"",IF(ABS($C476-$D476)&lt;=toleransKurus,"KDV_ORAN",IF(ABS($C476-$E476*efs_kdvOran)&lt;=toleransKurus,"MATRAH",IF($F476=1,"YUVARLAMA","TANIMSIZ"))))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IF($A477="","",IF($C477&lt;=efs_yuvarlamaEsik,1,0))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IF(OR($A477="",$B477&lt;&gt;"tutar_farki"),"",IF(ABS($C477-$D477)&lt;=toleransKurus,"KDV_ORAN",IF(ABS($C477-$E477*efs_kdvOran)&lt;=toleransKurus,"MATRAH",IF($F477=1,"YUVARLAMA","TANIMSIZ"))))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IF($A478="","",IF($C478&lt;=efs_yuvarlamaEsik,1,0))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IF(OR($A478="",$B478&lt;&gt;"tutar_farki"),"",IF(ABS($C478-$D478)&lt;=toleransKurus,"KDV_ORAN",IF(ABS($C478-$E478*efs_kdvOran)&lt;=toleransKurus,"MATRAH",IF($F478=1,"YUVARLAMA","TANIMSIZ"))))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IF($A479="","",IF($C479&lt;=efs_yuvarlamaEsik,1,0))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IF(OR($A479="",$B479&lt;&gt;"tutar_farki"),"",IF(ABS($C479-$D479)&lt;=toleransKurus,"KDV_ORAN",IF(ABS($C479-$E479*efs_kdvOran)&lt;=toleransKurus,"MATRAH",IF($F479=1,"YUVARLAMA","TANIMSIZ"))))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IF($A480="","",IF($C480&lt;=efs_yuvarlamaEsik,1,0))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IF(OR($A480="",$B480&lt;&gt;"tutar_farki"),"",IF(ABS($C480-$D480)&lt;=toleransKurus,"KDV_ORAN",IF(ABS($C480-$E480*efs_kdvOran)&lt;=toleransKurus,"MATRAH",IF($F480=1,"YUVARLAMA","TANIMSIZ"))))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IF($A481="","",IF($C481&lt;=efs_yuvarlamaEsik,1,0))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IF(OR($A481="",$B481&lt;&gt;"tutar_farki"),"",IF(ABS($C481-$D481)&lt;=toleransKurus,"KDV_ORAN",IF(ABS($C481-$E481*efs_kdvOran)&lt;=toleransKurus,"MATRAH",IF($F481=1,"YUVARLAMA","TANIMSIZ"))))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IF($A482="","",IF($C482&lt;=efs_yuvarlamaEsik,1,0))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IF(OR($A482="",$B482&lt;&gt;"tutar_farki"),"",IF(ABS($C482-$D482)&lt;=toleransKurus,"KDV_ORAN",IF(ABS($C482-$E482*efs_kdvOran)&lt;=toleransKurus,"MATRAH",IF($F482=1,"YUVARLAMA","TANIMSIZ"))))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IF($A483="","",IF($C483&lt;=efs_yuvarlamaEsik,1,0))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IF(OR($A483="",$B483&lt;&gt;"tutar_farki"),"",IF(ABS($C483-$D483)&lt;=toleransKurus,"KDV_ORAN",IF(ABS($C483-$E483*efs_kdvOran)&lt;=toleransKurus,"MATRAH",IF($F483=1,"YUVARLAMA","TANIMSIZ"))))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IF($A484="","",IF($C484&lt;=efs_yuvarlamaEsik,1,0))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IF(OR($A484="",$B484&lt;&gt;"tutar_farki"),"",IF(ABS($C484-$D484)&lt;=toleransKurus,"KDV_ORAN",IF(ABS($C484-$E484*efs_kdvOran)&lt;=toleransKurus,"MATRAH",IF($F484=1,"YUVARLAMA","TANIMSIZ"))))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IF($A485="","",IF($C485&lt;=efs_yuvarlamaEsik,1,0))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IF(OR($A485="",$B485&lt;&gt;"tutar_farki"),"",IF(ABS($C485-$D485)&lt;=toleransKurus,"KDV_ORAN",IF(ABS($C485-$E485*efs_kdvOran)&lt;=toleransKurus,"MATRAH",IF($F485=1,"YUVARLAMA","TANIMSIZ"))))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IF($A486="","",IF($C486&lt;=efs_yuvarlamaEsik,1,0))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IF(OR($A486="",$B486&lt;&gt;"tutar_farki"),"",IF(ABS($C486-$D486)&lt;=toleransKurus,"KDV_ORAN",IF(ABS($C486-$E486*efs_kdvOran)&lt;=toleransKurus,"MATRAH",IF($F486=1,"YUVARLAMA","TANIMSIZ"))))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IF($A487="","",IF($C487&lt;=efs_yuvarlamaEsik,1,0))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IF(OR($A487="",$B487&lt;&gt;"tutar_farki"),"",IF(ABS($C487-$D487)&lt;=toleransKurus,"KDV_ORAN",IF(ABS($C487-$E487*efs_kdvOran)&lt;=toleransKurus,"MATRAH",IF($F487=1,"YUVARLAMA","TANIMSIZ"))))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IF($A488="","",IF($C488&lt;=efs_yuvarlamaEsik,1,0))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IF(OR($A488="",$B488&lt;&gt;"tutar_farki"),"",IF(ABS($C488-$D488)&lt;=toleransKurus,"KDV_ORAN",IF(ABS($C488-$E488*efs_kdvOran)&lt;=toleransKurus,"MATRAH",IF($F488=1,"YUVARLAMA","TANIMSIZ"))))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IF($A489="","",IF($C489&lt;=efs_yuvarlamaEsik,1,0))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IF(OR($A489="",$B489&lt;&gt;"tutar_farki"),"",IF(ABS($C489-$D489)&lt;=toleransKurus,"KDV_ORAN",IF(ABS($C489-$E489*efs_kdvOran)&lt;=toleransKurus,"MATRAH",IF($F489=1,"YUVARLAMA","TANIMSIZ"))))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IF($A490="","",IF($C490&lt;=efs_yuvarlamaEsik,1,0))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IF(OR($A490="",$B490&lt;&gt;"tutar_farki"),"",IF(ABS($C490-$D490)&lt;=toleransKurus,"KDV_ORAN",IF(ABS($C490-$E490*efs_kdvOran)&lt;=toleransKurus,"MATRAH",IF($F490=1,"YUVARLAMA","TANIMSIZ"))))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IF($A491="","",IF($C491&lt;=efs_yuvarlamaEsik,1,0))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IF(OR($A491="",$B491&lt;&gt;"tutar_farki"),"",IF(ABS($C491-$D491)&lt;=toleransKurus,"KDV_ORAN",IF(ABS($C491-$E491*efs_kdvOran)&lt;=toleransKurus,"MATRAH",IF($F491=1,"YUVARLAMA","TANIMSIZ"))))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IF($A492="","",IF($C492&lt;=efs_yuvarlamaEsik,1,0))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IF(OR($A492="",$B492&lt;&gt;"tutar_farki"),"",IF(ABS($C492-$D492)&lt;=toleransKurus,"KDV_ORAN",IF(ABS($C492-$E492*efs_kdvOran)&lt;=toleransKurus,"MATRAH",IF($F492=1,"YUVARLAMA","TANIMSIZ"))))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IF($A493="","",IF($C493&lt;=efs_yuvarlamaEsik,1,0))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IF(OR($A493="",$B493&lt;&gt;"tutar_farki"),"",IF(ABS($C493-$D493)&lt;=toleransKurus,"KDV_ORAN",IF(ABS($C493-$E493*efs_kdvOran)&lt;=toleransKurus,"MATRAH",IF($F493=1,"YUVARLAMA","TANIMSIZ"))))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IF($A494="","",IF($C494&lt;=efs_yuvarlamaEsik,1,0))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IF(OR($A494="",$B494&lt;&gt;"tutar_farki"),"",IF(ABS($C494-$D494)&lt;=toleransKurus,"KDV_ORAN",IF(ABS($C494-$E494*efs_kdvOran)&lt;=toleransKurus,"MATRAH",IF($F494=1,"YUVARLAMA","TANIMSIZ"))))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IF($A495="","",IF($C495&lt;=efs_yuvarlamaEsik,1,0))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IF(OR($A495="",$B495&lt;&gt;"tutar_farki"),"",IF(ABS($C495-$D495)&lt;=toleransKurus,"KDV_ORAN",IF(ABS($C495-$E495*efs_kdvOran)&lt;=toleransKurus,"MATRAH",IF($F495=1,"YUVARLAMA","TANIMSIZ"))))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IF($A496="","",IF($C496&lt;=efs_yuvarlamaEsik,1,0))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IF(OR($A496="",$B496&lt;&gt;"tutar_farki"),"",IF(ABS($C496-$D496)&lt;=toleransKurus,"KDV_ORAN",IF(ABS($C496-$E496*efs_kdvOran)&lt;=toleransKurus,"MATRAH",IF($F496=1,"YUVARLAMA","TANIMSIZ"))))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IF($A497="","",IF($C497&lt;=efs_yuvarlamaEsik,1,0))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IF(OR($A497="",$B497&lt;&gt;"tutar_farki"),"",IF(ABS($C497-$D497)&lt;=toleransKurus,"KDV_ORAN",IF(ABS($C497-$E497*efs_kdvOran)&lt;=toleransKurus,"MATRAH",IF($F497=1,"YUVARLAMA","TANIMSIZ"))))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IF($A498="","",IF($C498&lt;=efs_yuvarlamaEsik,1,0))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IF(OR($A498="",$B498&lt;&gt;"tutar_farki"),"",IF(ABS($C498-$D498)&lt;=toleransKurus,"KDV_ORAN",IF(ABS($C498-$E498*efs_kdvOran)&lt;=toleransKurus,"MATRAH",IF($F498=1,"YUVARLAMA","TANIMSIZ"))))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IF($A499="","",IF($C499&lt;=efs_yuvarlamaEsik,1,0))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IF(OR($A499="",$B499&lt;&gt;"tutar_farki"),"",IF(ABS($C499-$D499)&lt;=toleransKurus,"KDV_ORAN",IF(ABS($C499-$E499*efs_kdvOran)&lt;=toleransKurus,"MATRAH",IF($F499=1,"YUVARLAMA","TANIMSIZ"))))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IF($A500="","",IF($C500&lt;=efs_yuvarlamaEsik,1,0))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IF(OR($A500="",$B500&lt;&gt;"tutar_farki"),"",IF(ABS($C500-$D500)&lt;=toleransKurus,"KDV_ORAN",IF(ABS($C500-$E500*efs_kdvOran)&lt;=toleransKurus,"MATRAH",IF($F500=1,"YUVARLAMA","TANIMSIZ"))))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IF($A501="","",IF($C501&lt;=efs_yuvarlamaEsik,1,0))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IF(OR($A501="",$B501&lt;&gt;"tutar_farki"),"",IF(ABS($C501-$D501)&lt;=toleransKurus,"KDV_ORAN",IF(ABS($C501-$E501*efs_kdvOran)&lt;=toleransKurus,"MATRAH",IF($F501=1,"YUVARLAMA","TANIMSIZ"))))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IF($A502="","",IF($C502&lt;=efs_yuvarlamaEsik,1,0))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IF(OR($A502="",$B502&lt;&gt;"tutar_farki"),"",IF(ABS($C502-$D502)&lt;=toleransKurus,"KDV_ORAN",IF(ABS($C502-$E502*efs_kdvOran)&lt;=toleransKurus,"MATRAH",IF($F502=1,"YUVARLAMA","TANIMSIZ"))))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IF($A503="","",IF($C503&lt;=efs_yuvarlamaEsik,1,0))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IF(OR($A503="",$B503&lt;&gt;"tutar_farki"),"",IF(ABS($C503-$D503)&lt;=toleransKurus,"KDV_ORAN",IF(ABS($C503-$E503*efs_kdvOran)&lt;=toleransKurus,"MATRAH",IF($F503=1,"YUVARLAMA","TANIMSIZ"))))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IF($A504="","",IF($C504&lt;=efs_yuvarlamaEsik,1,0))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IF(OR($A504="",$B504&lt;&gt;"tutar_farki"),"",IF(ABS($C504-$D504)&lt;=toleransKurus,"KDV_ORAN",IF(ABS($C504-$E504*efs_kdvOran)&lt;=toleransKurus,"MATRAH",IF($F504=1,"YUVARLAMA","TANIMSIZ"))))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IF($A505="","",IF($C505&lt;=efs_yuvarlamaEsik,1,0))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IF(OR($A505="",$B505&lt;&gt;"tutar_farki"),"",IF(ABS($C505-$D505)&lt;=toleransKurus,"KDV_ORAN",IF(ABS($C505-$E505*efs_kdvOran)&lt;=toleransKurus,"MATRAH",IF($F505=1,"YUVARLAMA","TANIMSIZ"))))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IF($A506="","",IF($C506&lt;=efs_yuvarlamaEsik,1,0))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IF(OR($A506="",$B506&lt;&gt;"tutar_farki"),"",IF(ABS($C506-$D506)&lt;=toleransKurus,"KDV_ORAN",IF(ABS($C506-$E506*efs_kdvOran)&lt;=toleransKurus,"MATRAH",IF($F506=1,"YUVARLAMA","TANIMSIZ"))))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IF($A507="","",IF($C507&lt;=efs_yuvarlamaEsik,1,0))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IF(OR($A507="",$B507&lt;&gt;"tutar_farki"),"",IF(ABS($C507-$D507)&lt;=toleransKurus,"KDV_ORAN",IF(ABS($C507-$E507*efs_kdvOran)&lt;=toleransKurus,"MATRAH",IF($F507=1,"YUVARLAMA","TANIMSIZ"))))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IF($A508="","",IF($C508&lt;=efs_yuvarlamaEsik,1,0))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IF(OR($A508="",$B508&lt;&gt;"tutar_farki"),"",IF(ABS($C508-$D508)&lt;=toleransKurus,"KDV_ORAN",IF(ABS($C508-$E508*efs_kdvOran)&lt;=toleransKurus,"MATRAH",IF($F508=1,"YUVARLAMA","TANIMSIZ"))))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IF($A509="","",IF($C509&lt;=efs_yuvarlamaEsik,1,0))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IF(OR($A509="",$B509&lt;&gt;"tutar_farki"),"",IF(ABS($C509-$D509)&lt;=toleransKurus,"KDV_ORAN",IF(ABS($C509-$E509*efs_kdvOran)&lt;=toleransKurus,"MATRAH",IF($F509=1,"YUVARLAMA","TANIMSIZ"))))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IF($A510="","",IF($C510&lt;=efs_yuvarlamaEsik,1,0))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IF(OR($A510="",$B510&lt;&gt;"tutar_farki"),"",IF(ABS($C510-$D510)&lt;=toleransKurus,"KDV_ORAN",IF(ABS($C510-$E510*efs_kdvOran)&lt;=toleransKurus,"MATRAH",IF($F510=1,"YUVARLAMA","TANIMSIZ"))))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IF($A511="","",IF($C511&lt;=efs_yuvarlamaEsik,1,0))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IF(OR($A511="",$B511&lt;&gt;"tutar_farki"),"",IF(ABS($C511-$D511)&lt;=toleransKurus,"KDV_ORAN",IF(ABS($C511-$E511*efs_kdvOran)&lt;=toleransKurus,"MATRAH",IF($F511=1,"YUVARLAMA","TANIMSIZ"))))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IF($A512="","",IF($C512&lt;=efs_yuvarlamaEsik,1,0))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IF(OR($A512="",$B512&lt;&gt;"tutar_farki"),"",IF(ABS($C512-$D512)&lt;=toleransKurus,"KDV_ORAN",IF(ABS($C512-$E512*efs_kdvOran)&lt;=toleransKurus,"MATRAH",IF($F512=1,"YUVARLAMA","TANIMSIZ"))))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IF($A513="","",IF($C513&lt;=efs_yuvarlamaEsik,1,0))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IF(OR($A513="",$B513&lt;&gt;"tutar_farki"),"",IF(ABS($C513-$D513)&lt;=toleransKurus,"KDV_ORAN",IF(ABS($C513-$E513*efs_kdvOran)&lt;=toleransKurus,"MATRAH",IF($F513=1,"YUVARLAMA","TANIMSIZ"))))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IF($A514="","",IF($C514&lt;=efs_yuvarlamaEsik,1,0))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IF(OR($A514="",$B514&lt;&gt;"tutar_farki"),"",IF(ABS($C514-$D514)&lt;=toleransKurus,"KDV_ORAN",IF(ABS($C514-$E514*efs_kdvOran)&lt;=toleransKurus,"MATRAH",IF($F514=1,"YUVARLAMA","TANIMSIZ"))))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IF($A515="","",IF($C515&lt;=efs_yuvarlamaEsik,1,0))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IF(OR($A515="",$B515&lt;&gt;"tutar_farki"),"",IF(ABS($C515-$D515)&lt;=toleransKurus,"KDV_ORAN",IF(ABS($C515-$E515*efs_kdvOran)&lt;=toleransKurus,"MATRAH",IF($F515=1,"YUVARLAMA","TANIMSIZ"))))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IF($A516="","",IF($C516&lt;=efs_yuvarlamaEsik,1,0))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IF(OR($A516="",$B516&lt;&gt;"tutar_farki"),"",IF(ABS($C516-$D516)&lt;=toleransKurus,"KDV_ORAN",IF(ABS($C516-$E516*efs_kdvOran)&lt;=toleransKurus,"MATRAH",IF($F516=1,"YUVARLAMA","TANIMSIZ"))))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IF($A517="","",IF($C517&lt;=efs_yuvarlamaEsik,1,0))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IF(OR($A517="",$B517&lt;&gt;"tutar_farki"),"",IF(ABS($C517-$D517)&lt;=toleransKurus,"KDV_ORAN",IF(ABS($C517-$E517*efs_kdvOran)&lt;=toleransKurus,"MATRAH",IF($F517=1,"YUVARLAMA","TANIMSIZ"))))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IF($A518="","",IF($C518&lt;=efs_yuvarlamaEsik,1,0))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IF(OR($A518="",$B518&lt;&gt;"tutar_farki"),"",IF(ABS($C518-$D518)&lt;=toleransKurus,"KDV_ORAN",IF(ABS($C518-$E518*efs_kdvOran)&lt;=toleransKurus,"MATRAH",IF($F518=1,"YUVARLAMA","TANIMSIZ"))))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IF($A519="","",IF($C519&lt;=efs_yuvarlamaEsik,1,0))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IF(OR($A519="",$B519&lt;&gt;"tutar_farki"),"",IF(ABS($C519-$D519)&lt;=toleransKurus,"KDV_ORAN",IF(ABS($C519-$E519*efs_kdvOran)&lt;=toleransKurus,"MATRAH",IF($F519=1,"YUVARLAMA","TANIMSIZ"))))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IF($A520="","",IF($C520&lt;=efs_yuvarlamaEsik,1,0))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IF(OR($A520="",$B520&lt;&gt;"tutar_farki"),"",IF(ABS($C520-$D520)&lt;=toleransKurus,"KDV_ORAN",IF(ABS($C520-$E520*efs_kdvOran)&lt;=toleransKurus,"MATRAH",IF($F520=1,"YUVARLAMA","TANIMSIZ"))))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IF($A521="","",IF($C521&lt;=efs_yuvarlamaEsik,1,0))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IF(OR($A521="",$B521&lt;&gt;"tutar_farki"),"",IF(ABS($C521-$D521)&lt;=toleransKurus,"KDV_ORAN",IF(ABS($C521-$E521*efs_kdvOran)&lt;=toleransKurus,"MATRAH",IF($F521=1,"YUVARLAMA","TANIMSIZ"))))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IF($A522="","",IF($C522&lt;=efs_yuvarlamaEsik,1,0))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IF(OR($A522="",$B522&lt;&gt;"tutar_farki"),"",IF(ABS($C522-$D522)&lt;=toleransKurus,"KDV_ORAN",IF(ABS($C522-$E522*efs_kdvOran)&lt;=toleransKurus,"MATRAH",IF($F522=1,"YUVARLAMA","TANIMSIZ"))))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IF($A523="","",IF($C523&lt;=efs_yuvarlamaEsik,1,0))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IF(OR($A523="",$B523&lt;&gt;"tutar_farki"),"",IF(ABS($C523-$D523)&lt;=toleransKurus,"KDV_ORAN",IF(ABS($C523-$E523*efs_kdvOran)&lt;=toleransKurus,"MATRAH",IF($F523=1,"YUVARLAMA","TANIMSIZ"))))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IF($A524="","",IF($C524&lt;=efs_yuvarlamaEsik,1,0))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IF(OR($A524="",$B524&lt;&gt;"tutar_farki"),"",IF(ABS($C524-$D524)&lt;=toleransKurus,"KDV_ORAN",IF(ABS($C524-$E524*efs_kdvOran)&lt;=toleransKurus,"MATRAH",IF($F524=1,"YUVARLAMA","TANIMSIZ"))))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IF($A525="","",IF($C525&lt;=efs_yuvarlamaEsik,1,0))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IF(OR($A525="",$B525&lt;&gt;"tutar_farki"),"",IF(ABS($C525-$D525)&lt;=toleransKurus,"KDV_ORAN",IF(ABS($C525-$E525*efs_kdvOran)&lt;=toleransKurus,"MATRAH",IF($F525=1,"YUVARLAMA","TANIMSIZ"))))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IF($A526="","",IF($C526&lt;=efs_yuvarlamaEsik,1,0))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IF(OR($A526="",$B526&lt;&gt;"tutar_farki"),"",IF(ABS($C526-$D526)&lt;=toleransKurus,"KDV_ORAN",IF(ABS($C526-$E526*efs_kdvOran)&lt;=toleransKurus,"MATRAH",IF($F526=1,"YUVARLAMA","TANIMSIZ"))))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IF($A527="","",IF($C527&lt;=efs_yuvarlamaEsik,1,0))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IF(OR($A527="",$B527&lt;&gt;"tutar_farki"),"",IF(ABS($C527-$D527)&lt;=toleransKurus,"KDV_ORAN",IF(ABS($C527-$E527*efs_kdvOran)&lt;=toleransKurus,"MATRAH",IF($F527=1,"YUVARLAMA","TANIMSIZ"))))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IF($A528="","",IF($C528&lt;=efs_yuvarlamaEsik,1,0))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IF(OR($A528="",$B528&lt;&gt;"tutar_farki"),"",IF(ABS($C528-$D528)&lt;=toleransKurus,"KDV_ORAN",IF(ABS($C528-$E528*efs_kdvOran)&lt;=toleransKurus,"MATRAH",IF($F528=1,"YUVARLAMA","TANIMSIZ"))))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IF($A529="","",IF($C529&lt;=efs_yuvarlamaEsik,1,0))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IF(OR($A529="",$B529&lt;&gt;"tutar_farki"),"",IF(ABS($C529-$D529)&lt;=toleransKurus,"KDV_ORAN",IF(ABS($C529-$E529*efs_kdvOran)&lt;=toleransKurus,"MATRAH",IF($F529=1,"YUVARLAMA","TANIMSIZ"))))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IF($A530="","",IF($C530&lt;=efs_yuvarlamaEsik,1,0))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IF(OR($A530="",$B530&lt;&gt;"tutar_farki"),"",IF(ABS($C530-$D530)&lt;=toleransKurus,"KDV_ORAN",IF(ABS($C530-$E530*efs_kdvOran)&lt;=toleransKurus,"MATRAH",IF($F530=1,"YUVARLAMA","TANIMSIZ"))))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IF($A531="","",IF($C531&lt;=efs_yuvarlamaEsik,1,0))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IF(OR($A531="",$B531&lt;&gt;"tutar_farki"),"",IF(ABS($C531-$D531)&lt;=toleransKurus,"KDV_ORAN",IF(ABS($C531-$E531*efs_kdvOran)&lt;=toleransKurus,"MATRAH",IF($F531=1,"YUVARLAMA","TANIMSIZ"))))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IF($A532="","",IF($C532&lt;=efs_yuvarlamaEsik,1,0))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IF(OR($A532="",$B532&lt;&gt;"tutar_farki"),"",IF(ABS($C532-$D532)&lt;=toleransKurus,"KDV_ORAN",IF(ABS($C532-$E532*efs_kdvOran)&lt;=toleransKurus,"MATRAH",IF($F532=1,"YUVARLAMA","TANIMSIZ"))))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IF($A533="","",IF($C533&lt;=efs_yuvarlamaEsik,1,0))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IF(OR($A533="",$B533&lt;&gt;"tutar_farki"),"",IF(ABS($C533-$D533)&lt;=toleransKurus,"KDV_ORAN",IF(ABS($C533-$E533*efs_kdvOran)&lt;=toleransKurus,"MATRAH",IF($F533=1,"YUVARLAMA","TANIMSIZ"))))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IF($A534="","",IF($C534&lt;=efs_yuvarlamaEsik,1,0))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IF(OR($A534="",$B534&lt;&gt;"tutar_farki"),"",IF(ABS($C534-$D534)&lt;=toleransKurus,"KDV_ORAN",IF(ABS($C534-$E534*efs_kdvOran)&lt;=toleransKurus,"MATRAH",IF($F534=1,"YUVARLAMA","TANIMSIZ"))))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IF($A535="","",IF($C535&lt;=efs_yuvarlamaEsik,1,0))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IF(OR($A535="",$B535&lt;&gt;"tutar_farki"),"",IF(ABS($C535-$D535)&lt;=toleransKurus,"KDV_ORAN",IF(ABS($C535-$E535*efs_kdvOran)&lt;=toleransKurus,"MATRAH",IF($F535=1,"YUVARLAMA","TANIMSIZ"))))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IF($A536="","",IF($C536&lt;=efs_yuvarlamaEsik,1,0))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IF(OR($A536="",$B536&lt;&gt;"tutar_farki"),"",IF(ABS($C536-$D536)&lt;=toleransKurus,"KDV_ORAN",IF(ABS($C536-$E536*efs_kdvOran)&lt;=toleransKurus,"MATRAH",IF($F536=1,"YUVARLAMA","TANIMSIZ"))))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IF($A537="","",IF($C537&lt;=efs_yuvarlamaEsik,1,0))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IF(OR($A537="",$B537&lt;&gt;"tutar_farki"),"",IF(ABS($C537-$D537)&lt;=toleransKurus,"KDV_ORAN",IF(ABS($C537-$E537*efs_kdvOran)&lt;=toleransKurus,"MATRAH",IF($F537=1,"YUVARLAMA","TANIMSIZ"))))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IF($A538="","",IF($C538&lt;=efs_yuvarlamaEsik,1,0))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IF(OR($A538="",$B538&lt;&gt;"tutar_farki"),"",IF(ABS($C538-$D538)&lt;=toleransKurus,"KDV_ORAN",IF(ABS($C538-$E538*efs_kdvOran)&lt;=toleransKurus,"MATRAH",IF($F538=1,"YUVARLAMA","TANIMSIZ"))))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IF($A539="","",IF($C539&lt;=efs_yuvarlamaEsik,1,0))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IF(OR($A539="",$B539&lt;&gt;"tutar_farki"),"",IF(ABS($C539-$D539)&lt;=toleransKurus,"KDV_ORAN",IF(ABS($C539-$E539*efs_kdvOran)&lt;=toleransKurus,"MATRAH",IF($F539=1,"YUVARLAMA","TANIMSIZ"))))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IF($A540="","",IF($C540&lt;=efs_yuvarlamaEsik,1,0))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IF(OR($A540="",$B540&lt;&gt;"tutar_farki"),"",IF(ABS($C540-$D540)&lt;=toleransKurus,"KDV_ORAN",IF(ABS($C540-$E540*efs_kdvOran)&lt;=toleransKurus,"MATRAH",IF($F540=1,"YUVARLAMA","TANIMSIZ"))))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IF($A541="","",IF($C541&lt;=efs_yuvarlamaEsik,1,0))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IF(OR($A541="",$B541&lt;&gt;"tutar_farki"),"",IF(ABS($C541-$D541)&lt;=toleransKurus,"KDV_ORAN",IF(ABS($C541-$E541*efs_kdvOran)&lt;=toleransKurus,"MATRAH",IF($F541=1,"YUVARLAMA","TANIMSIZ"))))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IF($A542="","",IF($C542&lt;=efs_yuvarlamaEsik,1,0))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IF(OR($A542="",$B542&lt;&gt;"tutar_farki"),"",IF(ABS($C542-$D542)&lt;=toleransKurus,"KDV_ORAN",IF(ABS($C542-$E542*efs_kdvOran)&lt;=toleransKurus,"MATRAH",IF($F542=1,"YUVARLAMA","TANIMSIZ"))))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IF($A543="","",IF($C543&lt;=efs_yuvarlamaEsik,1,0))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IF(OR($A543="",$B543&lt;&gt;"tutar_farki"),"",IF(ABS($C543-$D543)&lt;=toleransKurus,"KDV_ORAN",IF(ABS($C543-$E543*efs_kdvOran)&lt;=toleransKurus,"MATRAH",IF($F543=1,"YUVARLAMA","TANIMSIZ"))))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IF($A544="","",IF($C544&lt;=efs_yuvarlamaEsik,1,0))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IF(OR($A544="",$B544&lt;&gt;"tutar_farki"),"",IF(ABS($C544-$D544)&lt;=toleransKurus,"KDV_ORAN",IF(ABS($C544-$E544*efs_kdvOran)&lt;=toleransKurus,"MATRAH",IF($F544=1,"YUVARLAMA","TANIMSIZ"))))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IF($A545="","",IF($C545&lt;=efs_yuvarlamaEsik,1,0))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IF(OR($A545="",$B545&lt;&gt;"tutar_farki"),"",IF(ABS($C545-$D545)&lt;=toleransKurus,"KDV_ORAN",IF(ABS($C545-$E545*efs_kdvOran)&lt;=toleransKurus,"MATRAH",IF($F545=1,"YUVARLAMA","TANIMSIZ"))))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IF($A546="","",IF($C546&lt;=efs_yuvarlamaEsik,1,0))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IF(OR($A546="",$B546&lt;&gt;"tutar_farki"),"",IF(ABS($C546-$D546)&lt;=toleransKurus,"KDV_ORAN",IF(ABS($C546-$E546*efs_kdvOran)&lt;=toleransKurus,"MATRAH",IF($F546=1,"YUVARLAMA","TANIMSIZ"))))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IF($A547="","",IF($C547&lt;=efs_yuvarlamaEsik,1,0))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IF(OR($A547="",$B547&lt;&gt;"tutar_farki"),"",IF(ABS($C547-$D547)&lt;=toleransKurus,"KDV_ORAN",IF(ABS($C547-$E547*efs_kdvOran)&lt;=toleransKurus,"MATRAH",IF($F547=1,"YUVARLAMA","TANIMSIZ"))))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IF($A548="","",IF($C548&lt;=efs_yuvarlamaEsik,1,0))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IF(OR($A548="",$B548&lt;&gt;"tutar_farki"),"",IF(ABS($C548-$D548)&lt;=toleransKurus,"KDV_ORAN",IF(ABS($C548-$E548*efs_kdvOran)&lt;=toleransKurus,"MATRAH",IF($F548=1,"YUVARLAMA","TANIMSIZ"))))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IF($A549="","",IF($C549&lt;=efs_yuvarlamaEsik,1,0))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IF(OR($A549="",$B549&lt;&gt;"tutar_farki"),"",IF(ABS($C549-$D549)&lt;=toleransKurus,"KDV_ORAN",IF(ABS($C549-$E549*efs_kdvOran)&lt;=toleransKurus,"MATRAH",IF($F549=1,"YUVARLAMA","TANIMSIZ"))))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IF($A550="","",IF($C550&lt;=efs_yuvarlamaEsik,1,0))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IF(OR($A550="",$B550&lt;&gt;"tutar_farki"),"",IF(ABS($C550-$D550)&lt;=toleransKurus,"KDV_ORAN",IF(ABS($C550-$E550*efs_kdvOran)&lt;=toleransKurus,"MATRAH",IF($F550=1,"YUVARLAMA","TANIMSIZ"))))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IF($A551="","",IF($C551&lt;=efs_yuvarlamaEsik,1,0))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IF(OR($A551="",$B551&lt;&gt;"tutar_farki"),"",IF(ABS($C551-$D551)&lt;=toleransKurus,"KDV_ORAN",IF(ABS($C551-$E551*efs_kdvOran)&lt;=toleransKurus,"MATRAH",IF($F551=1,"YUVARLAMA","TANIMSIZ"))))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IF($A552="","",IF($C552&lt;=efs_yuvarlamaEsik,1,0))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IF(OR($A552="",$B552&lt;&gt;"tutar_farki"),"",IF(ABS($C552-$D552)&lt;=toleransKurus,"KDV_ORAN",IF(ABS($C552-$E552*efs_kdvOran)&lt;=toleransKurus,"MATRAH",IF($F552=1,"YUVARLAMA","TANIMSIZ"))))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IF($A553="","",IF($C553&lt;=efs_yuvarlamaEsik,1,0))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IF(OR($A553="",$B553&lt;&gt;"tutar_farki"),"",IF(ABS($C553-$D553)&lt;=toleransKurus,"KDV_ORAN",IF(ABS($C553-$E553*efs_kdvOran)&lt;=toleransKurus,"MATRAH",IF($F553=1,"YUVARLAMA","TANIMSIZ"))))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IF($A554="","",IF($C554&lt;=efs_yuvarlamaEsik,1,0))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IF(OR($A554="",$B554&lt;&gt;"tutar_farki"),"",IF(ABS($C554-$D554)&lt;=toleransKurus,"KDV_ORAN",IF(ABS($C554-$E554*efs_kdvOran)&lt;=toleransKurus,"MATRAH",IF($F554=1,"YUVARLAMA","TANIMSIZ"))))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IF($A555="","",IF($C555&lt;=efs_yuvarlamaEsik,1,0))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IF(OR($A555="",$B555&lt;&gt;"tutar_farki"),"",IF(ABS($C555-$D555)&lt;=toleransKurus,"KDV_ORAN",IF(ABS($C555-$E555*efs_kdvOran)&lt;=toleransKurus,"MATRAH",IF($F555=1,"YUVARLAMA","TANIMSIZ"))))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IF($A556="","",IF($C556&lt;=efs_yuvarlamaEsik,1,0))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IF(OR($A556="",$B556&lt;&gt;"tutar_farki"),"",IF(ABS($C556-$D556)&lt;=toleransKurus,"KDV_ORAN",IF(ABS($C556-$E556*efs_kdvOran)&lt;=toleransKurus,"MATRAH",IF($F556=1,"YUVARLAMA","TANIMSIZ"))))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IF($A557="","",IF($C557&lt;=efs_yuvarlamaEsik,1,0))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IF(OR($A557="",$B557&lt;&gt;"tutar_farki"),"",IF(ABS($C557-$D557)&lt;=toleransKurus,"KDV_ORAN",IF(ABS($C557-$E557*efs_kdvOran)&lt;=toleransKurus,"MATRAH",IF($F557=1,"YUVARLAMA","TANIMSIZ"))))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IF($A558="","",IF($C558&lt;=efs_yuvarlamaEsik,1,0))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IF(OR($A558="",$B558&lt;&gt;"tutar_farki"),"",IF(ABS($C558-$D558)&lt;=toleransKurus,"KDV_ORAN",IF(ABS($C558-$E558*efs_kdvOran)&lt;=toleransKurus,"MATRAH",IF($F558=1,"YUVARLAMA","TANIMSIZ"))))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IF($A559="","",IF($C559&lt;=efs_yuvarlamaEsik,1,0))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IF(OR($A559="",$B559&lt;&gt;"tutar_farki"),"",IF(ABS($C559-$D559)&lt;=toleransKurus,"KDV_ORAN",IF(ABS($C559-$E559*efs_kdvOran)&lt;=toleransKurus,"MATRAH",IF($F559=1,"YUVARLAMA","TANIMSIZ"))))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IF($A560="","",IF($C560&lt;=efs_yuvarlamaEsik,1,0))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IF(OR($A560="",$B560&lt;&gt;"tutar_farki"),"",IF(ABS($C560-$D560)&lt;=toleransKurus,"KDV_ORAN",IF(ABS($C560-$E560*efs_kdvOran)&lt;=toleransKurus,"MATRAH",IF($F560=1,"YUVARLAMA","TANIMSIZ"))))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IF($A561="","",IF($C561&lt;=efs_yuvarlamaEsik,1,0))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IF(OR($A561="",$B561&lt;&gt;"tutar_farki"),"",IF(ABS($C561-$D561)&lt;=toleransKurus,"KDV_ORAN",IF(ABS($C561-$E561*efs_kdvOran)&lt;=toleransKurus,"MATRAH",IF($F561=1,"YUVARLAMA","TANIMSIZ"))))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IF($A562="","",IF($C562&lt;=efs_yuvarlamaEsik,1,0))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IF(OR($A562="",$B562&lt;&gt;"tutar_farki"),"",IF(ABS($C562-$D562)&lt;=toleransKurus,"KDV_ORAN",IF(ABS($C562-$E562*efs_kdvOran)&lt;=toleransKurus,"MATRAH",IF($F562=1,"YUVARLAMA","TANIMSIZ"))))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IF($A563="","",IF($C563&lt;=efs_yuvarlamaEsik,1,0))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IF(OR($A563="",$B563&lt;&gt;"tutar_farki"),"",IF(ABS($C563-$D563)&lt;=toleransKurus,"KDV_ORAN",IF(ABS($C563-$E563*efs_kdvOran)&lt;=toleransKurus,"MATRAH",IF($F563=1,"YUVARLAMA","TANIMSIZ"))))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IF($A564="","",IF($C564&lt;=efs_yuvarlamaEsik,1,0))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IF(OR($A564="",$B564&lt;&gt;"tutar_farki"),"",IF(ABS($C564-$D564)&lt;=toleransKurus,"KDV_ORAN",IF(ABS($C564-$E564*efs_kdvOran)&lt;=toleransKurus,"MATRAH",IF($F564=1,"YUVARLAMA","TANIMSIZ"))))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IF($A565="","",IF($C565&lt;=efs_yuvarlamaEsik,1,0))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IF(OR($A565="",$B565&lt;&gt;"tutar_farki"),"",IF(ABS($C565-$D565)&lt;=toleransKurus,"KDV_ORAN",IF(ABS($C565-$E565*efs_kdvOran)&lt;=toleransKurus,"MATRAH",IF($F565=1,"YUVARLAMA","TANIMSIZ"))))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IF($A566="","",IF($C566&lt;=efs_yuvarlamaEsik,1,0))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IF(OR($A566="",$B566&lt;&gt;"tutar_farki"),"",IF(ABS($C566-$D566)&lt;=toleransKurus,"KDV_ORAN",IF(ABS($C566-$E566*efs_kdvOran)&lt;=toleransKurus,"MATRAH",IF($F566=1,"YUVARLAMA","TANIMSIZ"))))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IF($A567="","",IF($C567&lt;=efs_yuvarlamaEsik,1,0))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IF(OR($A567="",$B567&lt;&gt;"tutar_farki"),"",IF(ABS($C567-$D567)&lt;=toleransKurus,"KDV_ORAN",IF(ABS($C567-$E567*efs_kdvOran)&lt;=toleransKurus,"MATRAH",IF($F567=1,"YUVARLAMA","TANIMSIZ"))))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IF($A568="","",IF($C568&lt;=efs_yuvarlamaEsik,1,0))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IF(OR($A568="",$B568&lt;&gt;"tutar_farki"),"",IF(ABS($C568-$D568)&lt;=toleransKurus,"KDV_ORAN",IF(ABS($C568-$E568*efs_kdvOran)&lt;=toleransKurus,"MATRAH",IF($F568=1,"YUVARLAMA","TANIMSIZ"))))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IF($A569="","",IF($C569&lt;=efs_yuvarlamaEsik,1,0))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IF(OR($A569="",$B569&lt;&gt;"tutar_farki"),"",IF(ABS($C569-$D569)&lt;=toleransKurus,"KDV_ORAN",IF(ABS($C569-$E569*efs_kdvOran)&lt;=toleransKurus,"MATRAH",IF($F569=1,"YUVARLAMA","TANIMSIZ"))))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IF($A570="","",IF($C570&lt;=efs_yuvarlamaEsik,1,0))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IF(OR($A570="",$B570&lt;&gt;"tutar_farki"),"",IF(ABS($C570-$D570)&lt;=toleransKurus,"KDV_ORAN",IF(ABS($C570-$E570*efs_kdvOran)&lt;=toleransKurus,"MATRAH",IF($F570=1,"YUVARLAMA","TANIMSIZ"))))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IF($A571="","",IF($C571&lt;=efs_yuvarlamaEsik,1,0))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IF(OR($A571="",$B571&lt;&gt;"tutar_farki"),"",IF(ABS($C571-$D571)&lt;=toleransKurus,"KDV_ORAN",IF(ABS($C571-$E571*efs_kdvOran)&lt;=toleransKurus,"MATRAH",IF($F571=1,"YUVARLAMA","TANIMSIZ"))))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IF($A572="","",IF($C572&lt;=efs_yuvarlamaEsik,1,0))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IF(OR($A572="",$B572&lt;&gt;"tutar_farki"),"",IF(ABS($C572-$D572)&lt;=toleransKurus,"KDV_ORAN",IF(ABS($C572-$E572*efs_kdvOran)&lt;=toleransKurus,"MATRAH",IF($F572=1,"YUVARLAMA","TANIMSIZ"))))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IF($A573="","",IF($C573&lt;=efs_yuvarlamaEsik,1,0))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IF(OR($A573="",$B573&lt;&gt;"tutar_farki"),"",IF(ABS($C573-$D573)&lt;=toleransKurus,"KDV_ORAN",IF(ABS($C573-$E573*efs_kdvOran)&lt;=toleransKurus,"MATRAH",IF($F573=1,"YUVARLAMA","TANIMSIZ"))))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IF($A574="","",IF($C574&lt;=efs_yuvarlamaEsik,1,0))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IF(OR($A574="",$B574&lt;&gt;"tutar_farki"),"",IF(ABS($C574-$D574)&lt;=toleransKurus,"KDV_ORAN",IF(ABS($C574-$E574*efs_kdvOran)&lt;=toleransKurus,"MATRAH",IF($F574=1,"YUVARLAMA","TANIMSIZ"))))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IF($A575="","",IF($C575&lt;=efs_yuvarlamaEsik,1,0))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IF(OR($A575="",$B575&lt;&gt;"tutar_farki"),"",IF(ABS($C575-$D575)&lt;=toleransKurus,"KDV_ORAN",IF(ABS($C575-$E575*efs_kdvOran)&lt;=toleransKurus,"MATRAH",IF($F575=1,"YUVARLAMA","TANIMSIZ"))))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IF($A576="","",IF($C576&lt;=efs_yuvarlamaEsik,1,0))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IF(OR($A576="",$B576&lt;&gt;"tutar_farki"),"",IF(ABS($C576-$D576)&lt;=toleransKurus,"KDV_ORAN",IF(ABS($C576-$E576*efs_kdvOran)&lt;=toleransKurus,"MATRAH",IF($F576=1,"YUVARLAMA","TANIMSIZ"))))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IF($A577="","",IF($C577&lt;=efs_yuvarlamaEsik,1,0))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IF(OR($A577="",$B577&lt;&gt;"tutar_farki"),"",IF(ABS($C577-$D577)&lt;=toleransKurus,"KDV_ORAN",IF(ABS($C577-$E577*efs_kdvOran)&lt;=toleransKurus,"MATRAH",IF($F577=1,"YUVARLAMA","TANIMSIZ"))))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IF($A578="","",IF($C578&lt;=efs_yuvarlamaEsik,1,0))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IF(OR($A578="",$B578&lt;&gt;"tutar_farki"),"",IF(ABS($C578-$D578)&lt;=toleransKurus,"KDV_ORAN",IF(ABS($C578-$E578*efs_kdvOran)&lt;=toleransKurus,"MATRAH",IF($F578=1,"YUVARLAMA","TANIMSIZ"))))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IF($A579="","",IF($C579&lt;=efs_yuvarlamaEsik,1,0))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IF(OR($A579="",$B579&lt;&gt;"tutar_farki"),"",IF(ABS($C579-$D579)&lt;=toleransKurus,"KDV_ORAN",IF(ABS($C579-$E579*efs_kdvOran)&lt;=toleransKurus,"MATRAH",IF($F579=1,"YUVARLAMA","TANIMSIZ"))))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IF($A580="","",IF($C580&lt;=efs_yuvarlamaEsik,1,0))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IF(OR($A580="",$B580&lt;&gt;"tutar_farki"),"",IF(ABS($C580-$D580)&lt;=toleransKurus,"KDV_ORAN",IF(ABS($C580-$E580*efs_kdvOran)&lt;=toleransKurus,"MATRAH",IF($F580=1,"YUVARLAMA","TANIMSIZ"))))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IF($A581="","",IF($C581&lt;=efs_yuvarlamaEsik,1,0))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IF(OR($A581="",$B581&lt;&gt;"tutar_farki"),"",IF(ABS($C581-$D581)&lt;=toleransKurus,"KDV_ORAN",IF(ABS($C581-$E581*efs_kdvOran)&lt;=toleransKurus,"MATRAH",IF($F581=1,"YUVARLAMA","TANIMSIZ"))))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IF($A582="","",IF($C582&lt;=efs_yuvarlamaEsik,1,0))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IF(OR($A582="",$B582&lt;&gt;"tutar_farki"),"",IF(ABS($C582-$D582)&lt;=toleransKurus,"KDV_ORAN",IF(ABS($C582-$E582*efs_kdvOran)&lt;=toleransKurus,"MATRAH",IF($F582=1,"YUVARLAMA","TANIMSIZ"))))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IF($A583="","",IF($C583&lt;=efs_yuvarlamaEsik,1,0))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IF(OR($A583="",$B583&lt;&gt;"tutar_farki"),"",IF(ABS($C583-$D583)&lt;=toleransKurus,"KDV_ORAN",IF(ABS($C583-$E583*efs_kdvOran)&lt;=toleransKurus,"MATRAH",IF($F583=1,"YUVARLAMA","TANIMSIZ"))))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IF($A584="","",IF($C584&lt;=efs_yuvarlamaEsik,1,0))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IF(OR($A584="",$B584&lt;&gt;"tutar_farki"),"",IF(ABS($C584-$D584)&lt;=toleransKurus,"KDV_ORAN",IF(ABS($C584-$E584*efs_kdvOran)&lt;=toleransKurus,"MATRAH",IF($F584=1,"YUVARLAMA","TANIMSIZ"))))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IF($A585="","",IF($C585&lt;=efs_yuvarlamaEsik,1,0))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IF(OR($A585="",$B585&lt;&gt;"tutar_farki"),"",IF(ABS($C585-$D585)&lt;=toleransKurus,"KDV_ORAN",IF(ABS($C585-$E585*efs_kdvOran)&lt;=toleransKurus,"MATRAH",IF($F585=1,"YUVARLAMA","TANIMSIZ"))))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IF($A586="","",IF($C586&lt;=efs_yuvarlamaEsik,1,0))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IF(OR($A586="",$B586&lt;&gt;"tutar_farki"),"",IF(ABS($C586-$D586)&lt;=toleransKurus,"KDV_ORAN",IF(ABS($C586-$E586*efs_kdvOran)&lt;=toleransKurus,"MATRAH",IF($F586=1,"YUVARLAMA","TANIMSIZ"))))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IF($A587="","",IF($C587&lt;=efs_yuvarlamaEsik,1,0))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IF(OR($A587="",$B587&lt;&gt;"tutar_farki"),"",IF(ABS($C587-$D587)&lt;=toleransKurus,"KDV_ORAN",IF(ABS($C587-$E587*efs_kdvOran)&lt;=toleransKurus,"MATRAH",IF($F587=1,"YUVARLAMA","TANIMSIZ"))))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IF($A588="","",IF($C588&lt;=efs_yuvarlamaEsik,1,0))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IF(OR($A588="",$B588&lt;&gt;"tutar_farki"),"",IF(ABS($C588-$D588)&lt;=toleransKurus,"KDV_ORAN",IF(ABS($C588-$E588*efs_kdvOran)&lt;=toleransKurus,"MATRAH",IF($F588=1,"YUVARLAMA","TANIMSIZ"))))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IF($A589="","",IF($C589&lt;=efs_yuvarlamaEsik,1,0))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IF(OR($A589="",$B589&lt;&gt;"tutar_farki"),"",IF(ABS($C589-$D589)&lt;=toleransKurus,"KDV_ORAN",IF(ABS($C589-$E589*efs_kdvOran)&lt;=toleransKurus,"MATRAH",IF($F589=1,"YUVARLAMA","TANIMSIZ"))))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IF($A590="","",IF($C590&lt;=efs_yuvarlamaEsik,1,0))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IF(OR($A590="",$B590&lt;&gt;"tutar_farki"),"",IF(ABS($C590-$D590)&lt;=toleransKurus,"KDV_ORAN",IF(ABS($C590-$E590*efs_kdvOran)&lt;=toleransKurus,"MATRAH",IF($F590=1,"YUVARLAMA","TANIMSIZ"))))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IF($A591="","",IF($C591&lt;=efs_yuvarlamaEsik,1,0))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IF(OR($A591="",$B591&lt;&gt;"tutar_farki"),"",IF(ABS($C591-$D591)&lt;=toleransKurus,"KDV_ORAN",IF(ABS($C591-$E591*efs_kdvOran)&lt;=toleransKurus,"MATRAH",IF($F591=1,"YUVARLAMA","TANIMSIZ"))))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IF($A592="","",IF($C592&lt;=efs_yuvarlamaEsik,1,0))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IF(OR($A592="",$B592&lt;&gt;"tutar_farki"),"",IF(ABS($C592-$D592)&lt;=toleransKurus,"KDV_ORAN",IF(ABS($C592-$E592*efs_kdvOran)&lt;=toleransKurus,"MATRAH",IF($F592=1,"YUVARLAMA","TANIMSIZ"))))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IF($A593="","",IF($C593&lt;=efs_yuvarlamaEsik,1,0))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IF(OR($A593="",$B593&lt;&gt;"tutar_farki"),"",IF(ABS($C593-$D593)&lt;=toleransKurus,"KDV_ORAN",IF(ABS($C593-$E593*efs_kdvOran)&lt;=toleransKurus,"MATRAH",IF($F593=1,"YUVARLAMA","TANIMSIZ"))))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IF($A594="","",IF($C594&lt;=efs_yuvarlamaEsik,1,0))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IF(OR($A594="",$B594&lt;&gt;"tutar_farki"),"",IF(ABS($C594-$D594)&lt;=toleransKurus,"KDV_ORAN",IF(ABS($C594-$E594*efs_kdvOran)&lt;=toleransKurus,"MATRAH",IF($F594=1,"YUVARLAMA","TANIMSIZ"))))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IF($A595="","",IF($C595&lt;=efs_yuvarlamaEsik,1,0))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IF(OR($A595="",$B595&lt;&gt;"tutar_farki"),"",IF(ABS($C595-$D595)&lt;=toleransKurus,"KDV_ORAN",IF(ABS($C595-$E595*efs_kdvOran)&lt;=toleransKurus,"MATRAH",IF($F595=1,"YUVARLAMA","TANIMSIZ"))))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IF($A596="","",IF($C596&lt;=efs_yuvarlamaEsik,1,0))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IF(OR($A596="",$B596&lt;&gt;"tutar_farki"),"",IF(ABS($C596-$D596)&lt;=toleransKurus,"KDV_ORAN",IF(ABS($C596-$E596*efs_kdvOran)&lt;=toleransKurus,"MATRAH",IF($F596=1,"YUVARLAMA","TANIMSIZ"))))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IF($A597="","",IF($C597&lt;=efs_yuvarlamaEsik,1,0))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IF(OR($A597="",$B597&lt;&gt;"tutar_farki"),"",IF(ABS($C597-$D597)&lt;=toleransKurus,"KDV_ORAN",IF(ABS($C597-$E597*efs_kdvOran)&lt;=toleransKurus,"MATRAH",IF($F597=1,"YUVARLAMA","TANIMSIZ"))))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IF($A598="","",IF($C598&lt;=efs_yuvarlamaEsik,1,0))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IF(OR($A598="",$B598&lt;&gt;"tutar_farki"),"",IF(ABS($C598-$D598)&lt;=toleransKurus,"KDV_ORAN",IF(ABS($C598-$E598*efs_kdvOran)&lt;=toleransKurus,"MATRAH",IF($F598=1,"YUVARLAMA","TANIMSIZ"))))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IF($A599="","",IF($C599&lt;=efs_yuvarlamaEsik,1,0))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IF(OR($A599="",$B599&lt;&gt;"tutar_farki"),"",IF(ABS($C599-$D599)&lt;=toleransKurus,"KDV_ORAN",IF(ABS($C599-$E599*efs_kdvOran)&lt;=toleransKurus,"MATRAH",IF($F599=1,"YUVARLAMA","TANIMSIZ"))))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IF($A600="","",IF($C600&lt;=efs_yuvarlamaEsik,1,0))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IF(OR($A600="",$B600&lt;&gt;"tutar_farki"),"",IF(ABS($C600-$D600)&lt;=toleransKurus,"KDV_ORAN",IF(ABS($C600-$E600*efs_kdvOran)&lt;=toleransKurus,"MATRAH",IF($F600=1,"YUVARLAMA","TANIMSIZ"))))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IF($A601="","",IF($C601&lt;=efs_yuvarlamaEsik,1,0))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IF(OR($A601="",$B601&lt;&gt;"tutar_farki"),"",IF(ABS($C601-$D601)&lt;=toleransKurus,"KDV_ORAN",IF(ABS($C601-$E601*efs_kdvOran)&lt;=toleransKurus,"MATRAH",IF($F601=1,"YUVARLAMA","TANIMSIZ"))))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IF($A602="","",IF($C602&lt;=efs_yuvarlamaEsik,1,0))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IF(OR($A602="",$B602&lt;&gt;"tutar_farki"),"",IF(ABS($C602-$D602)&lt;=toleransKurus,"KDV_ORAN",IF(ABS($C602-$E602*efs_kdvOran)&lt;=toleransKurus,"MATRAH",IF($F602=1,"YUVARLAMA","TANIMSIZ"))))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IF($A603="","",IF($C603&lt;=efs_yuvarlamaEsik,1,0))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IF(OR($A603="",$B603&lt;&gt;"tutar_farki"),"",IF(ABS($C603-$D603)&lt;=toleransKurus,"KDV_ORAN",IF(ABS($C603-$E603*efs_kdvOran)&lt;=toleransKurus,"MATRAH",IF($F603=1,"YUVARLAMA","TANIMSIZ"))))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IF($A604="","",IF($C604&lt;=efs_yuvarlamaEsik,1,0))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IF(OR($A604="",$B604&lt;&gt;"tutar_farki"),"",IF(ABS($C604-$D604)&lt;=toleransKurus,"KDV_ORAN",IF(ABS($C604-$E604*efs_kdvOran)&lt;=toleransKurus,"MATRAH",IF($F604=1,"YUVARLAMA","TANIMSIZ"))))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IF($A605="","",IF($C605&lt;=efs_yuvarlamaEsik,1,0))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IF(OR($A605="",$B605&lt;&gt;"tutar_farki"),"",IF(ABS($C605-$D605)&lt;=toleransKurus,"KDV_ORAN",IF(ABS($C605-$E605*efs_kdvOran)&lt;=toleransKurus,"MATRAH",IF($F605=1,"YUVARLAMA","TANIMSIZ"))))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IF($A606="","",IF($C606&lt;=efs_yuvarlamaEsik,1,0))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IF(OR($A606="",$B606&lt;&gt;"tutar_farki"),"",IF(ABS($C606-$D606)&lt;=toleransKurus,"KDV_ORAN",IF(ABS($C606-$E606*efs_kdvOran)&lt;=toleransKurus,"MATRAH",IF($F606=1,"YUVARLAMA","TANIMSIZ"))))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IF($A607="","",IF($C607&lt;=efs_yuvarlamaEsik,1,0))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IF(OR($A607="",$B607&lt;&gt;"tutar_farki"),"",IF(ABS($C607-$D607)&lt;=toleransKurus,"KDV_ORAN",IF(ABS($C607-$E607*efs_kdvOran)&lt;=toleransKurus,"MATRAH",IF($F607=1,"YUVARLAMA","TANIMSIZ"))))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IF($A608="","",IF($C608&lt;=efs_yuvarlamaEsik,1,0))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IF(OR($A608="",$B608&lt;&gt;"tutar_farki"),"",IF(ABS($C608-$D608)&lt;=toleransKurus,"KDV_ORAN",IF(ABS($C608-$E608*efs_kdvOran)&lt;=toleransKurus,"MATRAH",IF($F608=1,"YUVARLAMA","TANIMSIZ"))))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IF($A609="","",IF($C609&lt;=efs_yuvarlamaEsik,1,0))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IF(OR($A609="",$B609&lt;&gt;"tutar_farki"),"",IF(ABS($C609-$D609)&lt;=toleransKurus,"KDV_ORAN",IF(ABS($C609-$E609*efs_kdvOran)&lt;=toleransKurus,"MATRAH",IF($F609=1,"YUVARLAMA","TANIMSIZ"))))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IF($A610="","",IF($C610&lt;=efs_yuvarlamaEsik,1,0))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IF(OR($A610="",$B610&lt;&gt;"tutar_farki"),"",IF(ABS($C610-$D610)&lt;=toleransKurus,"KDV_ORAN",IF(ABS($C610-$E610*efs_kdvOran)&lt;=toleransKurus,"MATRAH",IF($F610=1,"YUVARLAMA","TANIMSIZ"))))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IF($A611="","",IF($C611&lt;=efs_yuvarlamaEsik,1,0))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IF(OR($A611="",$B611&lt;&gt;"tutar_farki"),"",IF(ABS($C611-$D611)&lt;=toleransKurus,"KDV_ORAN",IF(ABS($C611-$E611*efs_kdvOran)&lt;=toleransKurus,"MATRAH",IF($F611=1,"YUVARLAMA","TANIMSIZ"))))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IF($A612="","",IF($C612&lt;=efs_yuvarlamaEsik,1,0))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IF(OR($A612="",$B612&lt;&gt;"tutar_farki"),"",IF(ABS($C612-$D612)&lt;=toleransKurus,"KDV_ORAN",IF(ABS($C612-$E612*efs_kdvOran)&lt;=toleransKurus,"MATRAH",IF($F612=1,"YUVARLAMA","TANIMSIZ"))))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IF($A613="","",IF($C613&lt;=efs_yuvarlamaEsik,1,0))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IF(OR($A613="",$B613&lt;&gt;"tutar_farki"),"",IF(ABS($C613-$D613)&lt;=toleransKurus,"KDV_ORAN",IF(ABS($C613-$E613*efs_kdvOran)&lt;=toleransKurus,"MATRAH",IF($F613=1,"YUVARLAMA","TANIMSIZ"))))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IF($A614="","",IF($C614&lt;=efs_yuvarlamaEsik,1,0))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IF(OR($A614="",$B614&lt;&gt;"tutar_farki"),"",IF(ABS($C614-$D614)&lt;=toleransKurus,"KDV_ORAN",IF(ABS($C614-$E614*efs_kdvOran)&lt;=toleransKurus,"MATRAH",IF($F614=1,"YUVARLAMA","TANIMSIZ"))))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IF($A615="","",IF($C615&lt;=efs_yuvarlamaEsik,1,0))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IF(OR($A615="",$B615&lt;&gt;"tutar_farki"),"",IF(ABS($C615-$D615)&lt;=toleransKurus,"KDV_ORAN",IF(ABS($C615-$E615*efs_kdvOran)&lt;=toleransKurus,"MATRAH",IF($F615=1,"YUVARLAMA","TANIMSIZ"))))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IF($A616="","",IF($C616&lt;=efs_yuvarlamaEsik,1,0))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IF(OR($A616="",$B616&lt;&gt;"tutar_farki"),"",IF(ABS($C616-$D616)&lt;=toleransKurus,"KDV_ORAN",IF(ABS($C616-$E616*efs_kdvOran)&lt;=toleransKurus,"MATRAH",IF($F616=1,"YUVARLAMA","TANIMSIZ"))))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IF($A617="","",IF($C617&lt;=efs_yuvarlamaEsik,1,0))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IF(OR($A617="",$B617&lt;&gt;"tutar_farki"),"",IF(ABS($C617-$D617)&lt;=toleransKurus,"KDV_ORAN",IF(ABS($C617-$E617*efs_kdvOran)&lt;=toleransKurus,"MATRAH",IF($F617=1,"YUVARLAMA","TANIMSIZ"))))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IF($A618="","",IF($C618&lt;=efs_yuvarlamaEsik,1,0))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IF(OR($A618="",$B618&lt;&gt;"tutar_farki"),"",IF(ABS($C618-$D618)&lt;=toleransKurus,"KDV_ORAN",IF(ABS($C618-$E618*efs_kdvOran)&lt;=toleransKurus,"MATRAH",IF($F618=1,"YUVARLAMA","TANIMSIZ"))))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IF($A619="","",IF($C619&lt;=efs_yuvarlamaEsik,1,0))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IF(OR($A619="",$B619&lt;&gt;"tutar_farki"),"",IF(ABS($C619-$D619)&lt;=toleransKurus,"KDV_ORAN",IF(ABS($C619-$E619*efs_kdvOran)&lt;=toleransKurus,"MATRAH",IF($F619=1,"YUVARLAMA","TANIMSIZ"))))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IF($A620="","",IF($C620&lt;=efs_yuvarlamaEsik,1,0))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IF(OR($A620="",$B620&lt;&gt;"tutar_farki"),"",IF(ABS($C620-$D620)&lt;=toleransKurus,"KDV_ORAN",IF(ABS($C620-$E620*efs_kdvOran)&lt;=toleransKurus,"MATRAH",IF($F620=1,"YUVARLAMA","TANIMSIZ"))))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IF($A621="","",IF($C621&lt;=efs_yuvarlamaEsik,1,0))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IF(OR($A621="",$B621&lt;&gt;"tutar_farki"),"",IF(ABS($C621-$D621)&lt;=toleransKurus,"KDV_ORAN",IF(ABS($C621-$E621*efs_kdvOran)&lt;=toleransKurus,"MATRAH",IF($F621=1,"YUVARLAMA","TANIMSIZ"))))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IF($A622="","",IF($C622&lt;=efs_yuvarlamaEsik,1,0))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IF(OR($A622="",$B622&lt;&gt;"tutar_farki"),"",IF(ABS($C622-$D622)&lt;=toleransKurus,"KDV_ORAN",IF(ABS($C622-$E622*efs_kdvOran)&lt;=toleransKurus,"MATRAH",IF($F622=1,"YUVARLAMA","TANIMSIZ"))))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IF($A623="","",IF($C623&lt;=efs_yuvarlamaEsik,1,0))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IF(OR($A623="",$B623&lt;&gt;"tutar_farki"),"",IF(ABS($C623-$D623)&lt;=toleransKurus,"KDV_ORAN",IF(ABS($C623-$E623*efs_kdvOran)&lt;=toleransKurus,"MATRAH",IF($F623=1,"YUVARLAMA","TANIMSIZ"))))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IF($A624="","",IF($C624&lt;=efs_yuvarlamaEsik,1,0))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IF(OR($A624="",$B624&lt;&gt;"tutar_farki"),"",IF(ABS($C624-$D624)&lt;=toleransKurus,"KDV_ORAN",IF(ABS($C624-$E624*efs_kdvOran)&lt;=toleransKurus,"MATRAH",IF($F624=1,"YUVARLAMA","TANIMSIZ"))))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IF($A625="","",IF($C625&lt;=efs_yuvarlamaEsik,1,0))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IF(OR($A625="",$B625&lt;&gt;"tutar_farki"),"",IF(ABS($C625-$D625)&lt;=toleransKurus,"KDV_ORAN",IF(ABS($C625-$E625*efs_kdvOran)&lt;=toleransKurus,"MATRAH",IF($F625=1,"YUVARLAMA","TANIMSIZ"))))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IF($A626="","",IF($C626&lt;=efs_yuvarlamaEsik,1,0))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IF(OR($A626="",$B626&lt;&gt;"tutar_farki"),"",IF(ABS($C626-$D626)&lt;=toleransKurus,"KDV_ORAN",IF(ABS($C626-$E626*efs_kdvOran)&lt;=toleransKurus,"MATRAH",IF($F626=1,"YUVARLAMA","TANIMSIZ"))))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IF($A627="","",IF($C627&lt;=efs_yuvarlamaEsik,1,0))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IF(OR($A627="",$B627&lt;&gt;"tutar_farki"),"",IF(ABS($C627-$D627)&lt;=toleransKurus,"KDV_ORAN",IF(ABS($C627-$E627*efs_kdvOran)&lt;=toleransKurus,"MATRAH",IF($F627=1,"YUVARLAMA","TANIMSIZ"))))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IF($A628="","",IF($C628&lt;=efs_yuvarlamaEsik,1,0))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IF(OR($A628="",$B628&lt;&gt;"tutar_farki"),"",IF(ABS($C628-$D628)&lt;=toleransKurus,"KDV_ORAN",IF(ABS($C628-$E628*efs_kdvOran)&lt;=toleransKurus,"MATRAH",IF($F628=1,"YUVARLAMA","TANIMSIZ"))))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IF($A629="","",IF($C629&lt;=efs_yuvarlamaEsik,1,0))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IF(OR($A629="",$B629&lt;&gt;"tutar_farki"),"",IF(ABS($C629-$D629)&lt;=toleransKurus,"KDV_ORAN",IF(ABS($C629-$E629*efs_kdvOran)&lt;=toleransKurus,"MATRAH",IF($F629=1,"YUVARLAMA","TANIMSIZ"))))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IF($A630="","",IF($C630&lt;=efs_yuvarlamaEsik,1,0))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IF(OR($A630="",$B630&lt;&gt;"tutar_farki"),"",IF(ABS($C630-$D630)&lt;=toleransKurus,"KDV_ORAN",IF(ABS($C630-$E630*efs_kdvOran)&lt;=toleransKurus,"MATRAH",IF($F630=1,"YUVARLAMA","TANIMSIZ"))))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IF($A631="","",IF($C631&lt;=efs_yuvarlamaEsik,1,0))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IF(OR($A631="",$B631&lt;&gt;"tutar_farki"),"",IF(ABS($C631-$D631)&lt;=toleransKurus,"KDV_ORAN",IF(ABS($C631-$E631*efs_kdvOran)&lt;=toleransKurus,"MATRAH",IF($F631=1,"YUVARLAMA","TANIMSIZ"))))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IF($A632="","",IF($C632&lt;=efs_yuvarlamaEsik,1,0))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IF(OR($A632="",$B632&lt;&gt;"tutar_farki"),"",IF(ABS($C632-$D632)&lt;=toleransKurus,"KDV_ORAN",IF(ABS($C632-$E632*efs_kdvOran)&lt;=toleransKurus,"MATRAH",IF($F632=1,"YUVARLAMA","TANIMSIZ"))))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IF($A633="","",IF($C633&lt;=efs_yuvarlamaEsik,1,0))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IF(OR($A633="",$B633&lt;&gt;"tutar_farki"),"",IF(ABS($C633-$D633)&lt;=toleransKurus,"KDV_ORAN",IF(ABS($C633-$E633*efs_kdvOran)&lt;=toleransKurus,"MATRAH",IF($F633=1,"YUVARLAMA","TANIMSIZ"))))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IF($A634="","",IF($C634&lt;=efs_yuvarlamaEsik,1,0))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IF(OR($A634="",$B634&lt;&gt;"tutar_farki"),"",IF(ABS($C634-$D634)&lt;=toleransKurus,"KDV_ORAN",IF(ABS($C634-$E634*efs_kdvOran)&lt;=toleransKurus,"MATRAH",IF($F634=1,"YUVARLAMA","TANIMSIZ"))))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IF($A635="","",IF($C635&lt;=efs_yuvarlamaEsik,1,0))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IF(OR($A635="",$B635&lt;&gt;"tutar_farki"),"",IF(ABS($C635-$D635)&lt;=toleransKurus,"KDV_ORAN",IF(ABS($C635-$E635*efs_kdvOran)&lt;=toleransKurus,"MATRAH",IF($F635=1,"YUVARLAMA","TANIMSIZ"))))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IF($A636="","",IF($C636&lt;=efs_yuvarlamaEsik,1,0))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IF(OR($A636="",$B636&lt;&gt;"tutar_farki"),"",IF(ABS($C636-$D636)&lt;=toleransKurus,"KDV_ORAN",IF(ABS($C636-$E636*efs_kdvOran)&lt;=toleransKurus,"MATRAH",IF($F636=1,"YUVARLAMA","TANIMSIZ"))))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IF($A637="","",IF($C637&lt;=efs_yuvarlamaEsik,1,0))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IF(OR($A637="",$B637&lt;&gt;"tutar_farki"),"",IF(ABS($C637-$D637)&lt;=toleransKurus,"KDV_ORAN",IF(ABS($C637-$E637*efs_kdvOran)&lt;=toleransKurus,"MATRAH",IF($F637=1,"YUVARLAMA","TANIMSIZ"))))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IF($A638="","",IF($C638&lt;=efs_yuvarlamaEsik,1,0))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IF(OR($A638="",$B638&lt;&gt;"tutar_farki"),"",IF(ABS($C638-$D638)&lt;=toleransKurus,"KDV_ORAN",IF(ABS($C638-$E638*efs_kdvOran)&lt;=toleransKurus,"MATRAH",IF($F638=1,"YUVARLAMA","TANIMSIZ"))))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IF($A639="","",IF($C639&lt;=efs_yuvarlamaEsik,1,0))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IF(OR($A639="",$B639&lt;&gt;"tutar_farki"),"",IF(ABS($C639-$D639)&lt;=toleransKurus,"KDV_ORAN",IF(ABS($C639-$E639*efs_kdvOran)&lt;=toleransKurus,"MATRAH",IF($F639=1,"YUVARLAMA","TANIMSIZ"))))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IF($A640="","",IF($C640&lt;=efs_yuvarlamaEsik,1,0))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IF(OR($A640="",$B640&lt;&gt;"tutar_farki"),"",IF(ABS($C640-$D640)&lt;=toleransKurus,"KDV_ORAN",IF(ABS($C640-$E640*efs_kdvOran)&lt;=toleransKurus,"MATRAH",IF($F640=1,"YUVARLAMA","TANIMSIZ"))))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IF($A641="","",IF($C641&lt;=efs_yuvarlamaEsik,1,0))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IF(OR($A641="",$B641&lt;&gt;"tutar_farki"),"",IF(ABS($C641-$D641)&lt;=toleransKurus,"KDV_ORAN",IF(ABS($C641-$E641*efs_kdvOran)&lt;=toleransKurus,"MATRAH",IF($F641=1,"YUVARLAMA","TANIMSIZ"))))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IF($A642="","",IF($C642&lt;=efs_yuvarlamaEsik,1,0))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IF(OR($A642="",$B642&lt;&gt;"tutar_farki"),"",IF(ABS($C642-$D642)&lt;=toleransKurus,"KDV_ORAN",IF(ABS($C642-$E642*efs_kdvOran)&lt;=toleransKurus,"MATRAH",IF($F642=1,"YUVARLAMA","TANIMSIZ"))))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IF($A643="","",IF($C643&lt;=efs_yuvarlamaEsik,1,0))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IF(OR($A643="",$B643&lt;&gt;"tutar_farki"),"",IF(ABS($C643-$D643)&lt;=toleransKurus,"KDV_ORAN",IF(ABS($C643-$E643*efs_kdvOran)&lt;=toleransKurus,"MATRAH",IF($F643=1,"YUVARLAMA","TANIMSIZ"))))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IF($A644="","",IF($C644&lt;=efs_yuvarlamaEsik,1,0))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IF(OR($A644="",$B644&lt;&gt;"tutar_farki"),"",IF(ABS($C644-$D644)&lt;=toleransKurus,"KDV_ORAN",IF(ABS($C644-$E644*efs_kdvOran)&lt;=toleransKurus,"MATRAH",IF($F644=1,"YUVARLAMA","TANIMSIZ"))))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IF($A645="","",IF($C645&lt;=efs_yuvarlamaEsik,1,0))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IF(OR($A645="",$B645&lt;&gt;"tutar_farki"),"",IF(ABS($C645-$D645)&lt;=toleransKurus,"KDV_ORAN",IF(ABS($C645-$E645*efs_kdvOran)&lt;=toleransKurus,"MATRAH",IF($F645=1,"YUVARLAMA","TANIMSIZ"))))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IF($A646="","",IF($C646&lt;=efs_yuvarlamaEsik,1,0))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IF(OR($A646="",$B646&lt;&gt;"tutar_farki"),"",IF(ABS($C646-$D646)&lt;=toleransKurus,"KDV_ORAN",IF(ABS($C646-$E646*efs_kdvOran)&lt;=toleransKurus,"MATRAH",IF($F646=1,"YUVARLAMA","TANIMSIZ"))))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IF($A647="","",IF($C647&lt;=efs_yuvarlamaEsik,1,0))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IF(OR($A647="",$B647&lt;&gt;"tutar_farki"),"",IF(ABS($C647-$D647)&lt;=toleransKurus,"KDV_ORAN",IF(ABS($C647-$E647*efs_kdvOran)&lt;=toleransKurus,"MATRAH",IF($F647=1,"YUVARLAMA","TANIMSIZ"))))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IF($A648="","",IF($C648&lt;=efs_yuvarlamaEsik,1,0))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IF(OR($A648="",$B648&lt;&gt;"tutar_farki"),"",IF(ABS($C648-$D648)&lt;=toleransKurus,"KDV_ORAN",IF(ABS($C648-$E648*efs_kdvOran)&lt;=toleransKurus,"MATRAH",IF($F648=1,"YUVARLAMA","TANIMSIZ"))))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IF($A649="","",IF($C649&lt;=efs_yuvarlamaEsik,1,0))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IF(OR($A649="",$B649&lt;&gt;"tutar_farki"),"",IF(ABS($C649-$D649)&lt;=toleransKurus,"KDV_ORAN",IF(ABS($C649-$E649*efs_kdvOran)&lt;=toleransKurus,"MATRAH",IF($F649=1,"YUVARLAMA","TANIMSIZ"))))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IF($A650="","",IF($C650&lt;=efs_yuvarlamaEsik,1,0))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IF(OR($A650="",$B650&lt;&gt;"tutar_farki"),"",IF(ABS($C650-$D650)&lt;=toleransKurus,"KDV_ORAN",IF(ABS($C650-$E650*efs_kdvOran)&lt;=toleransKurus,"MATRAH",IF($F650=1,"YUVARLAMA","TANIMSIZ"))))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IF($A651="","",IF($C651&lt;=efs_yuvarlamaEsik,1,0))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IF(OR($A651="",$B651&lt;&gt;"tutar_farki"),"",IF(ABS($C651-$D651)&lt;=toleransKurus,"KDV_ORAN",IF(ABS($C651-$E651*efs_kdvOran)&lt;=toleransKurus,"MATRAH",IF($F651=1,"YUVARLAMA","TANIMSIZ"))))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IF($A652="","",IF($C652&lt;=efs_yuvarlamaEsik,1,0))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IF(OR($A652="",$B652&lt;&gt;"tutar_farki"),"",IF(ABS($C652-$D652)&lt;=toleransKurus,"KDV_ORAN",IF(ABS($C652-$E652*efs_kdvOran)&lt;=toleransKurus,"MATRAH",IF($F652=1,"YUVARLAMA","TANIMSIZ"))))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IF($A653="","",IF($C653&lt;=efs_yuvarlamaEsik,1,0))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IF(OR($A653="",$B653&lt;&gt;"tutar_farki"),"",IF(ABS($C653-$D653)&lt;=toleransKurus,"KDV_ORAN",IF(ABS($C653-$E653*efs_kdvOran)&lt;=toleransKurus,"MATRAH",IF($F653=1,"YUVARLAMA","TANIMSIZ"))))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IF($A654="","",IF($C654&lt;=efs_yuvarlamaEsik,1,0))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IF(OR($A654="",$B654&lt;&gt;"tutar_farki"),"",IF(ABS($C654-$D654)&lt;=toleransKurus,"KDV_ORAN",IF(ABS($C654-$E654*efs_kdvOran)&lt;=toleransKurus,"MATRAH",IF($F654=1,"YUVARLAMA","TANIMSIZ"))))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IF($A655="","",IF($C655&lt;=efs_yuvarlamaEsik,1,0))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IF(OR($A655="",$B655&lt;&gt;"tutar_farki"),"",IF(ABS($C655-$D655)&lt;=toleransKurus,"KDV_ORAN",IF(ABS($C655-$E655*efs_kdvOran)&lt;=toleransKurus,"MATRAH",IF($F655=1,"YUVARLAMA","TANIMSIZ"))))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IF($A656="","",IF($C656&lt;=efs_yuvarlamaEsik,1,0))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IF(OR($A656="",$B656&lt;&gt;"tutar_farki"),"",IF(ABS($C656-$D656)&lt;=toleransKurus,"KDV_ORAN",IF(ABS($C656-$E656*efs_kdvOran)&lt;=toleransKurus,"MATRAH",IF($F656=1,"YUVARLAMA","TANIMSIZ"))))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IF($A657="","",IF($C657&lt;=efs_yuvarlamaEsik,1,0))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IF(OR($A657="",$B657&lt;&gt;"tutar_farki"),"",IF(ABS($C657-$D657)&lt;=toleransKurus,"KDV_ORAN",IF(ABS($C657-$E657*efs_kdvOran)&lt;=toleransKurus,"MATRAH",IF($F657=1,"YUVARLAMA","TANIMSIZ"))))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IF($A658="","",IF($C658&lt;=efs_yuvarlamaEsik,1,0))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IF(OR($A658="",$B658&lt;&gt;"tutar_farki"),"",IF(ABS($C658-$D658)&lt;=toleransKurus,"KDV_ORAN",IF(ABS($C658-$E658*efs_kdvOran)&lt;=toleransKurus,"MATRAH",IF($F658=1,"YUVARLAMA","TANIMSIZ"))))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IF($A659="","",IF($C659&lt;=efs_yuvarlamaEsik,1,0))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IF(OR($A659="",$B659&lt;&gt;"tutar_farki"),"",IF(ABS($C659-$D659)&lt;=toleransKurus,"KDV_ORAN",IF(ABS($C659-$E659*efs_kdvOran)&lt;=toleransKurus,"MATRAH",IF($F659=1,"YUVARLAMA","TANIMSIZ"))))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IF($A660="","",IF($C660&lt;=efs_yuvarlamaEsik,1,0))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IF(OR($A660="",$B660&lt;&gt;"tutar_farki"),"",IF(ABS($C660-$D660)&lt;=toleransKurus,"KDV_ORAN",IF(ABS($C660-$E660*efs_kdvOran)&lt;=toleransKurus,"MATRAH",IF($F660=1,"YUVARLAMA","TANIMSIZ"))))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IF($A661="","",IF($C661&lt;=efs_yuvarlamaEsik,1,0))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IF(OR($A661="",$B661&lt;&gt;"tutar_farki"),"",IF(ABS($C661-$D661)&lt;=toleransKurus,"KDV_ORAN",IF(ABS($C661-$E661*efs_kdvOran)&lt;=toleransKurus,"MATRAH",IF($F661=1,"YUVARLAMA","TANIMSIZ"))))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IF($A662="","",IF($C662&lt;=efs_yuvarlamaEsik,1,0))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IF(OR($A662="",$B662&lt;&gt;"tutar_farki"),"",IF(ABS($C662-$D662)&lt;=toleransKurus,"KDV_ORAN",IF(ABS($C662-$E662*efs_kdvOran)&lt;=toleransKurus,"MATRAH",IF($F662=1,"YUVARLAMA","TANIMSIZ"))))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IF($A663="","",IF($C663&lt;=efs_yuvarlamaEsik,1,0))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IF(OR($A663="",$B663&lt;&gt;"tutar_farki"),"",IF(ABS($C663-$D663)&lt;=toleransKurus,"KDV_ORAN",IF(ABS($C663-$E663*efs_kdvOran)&lt;=toleransKurus,"MATRAH",IF($F663=1,"YUVARLAMA","TANIMSIZ"))))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IF($A664="","",IF($C664&lt;=efs_yuvarlamaEsik,1,0))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IF(OR($A664="",$B664&lt;&gt;"tutar_farki"),"",IF(ABS($C664-$D664)&lt;=toleransKurus,"KDV_ORAN",IF(ABS($C664-$E664*efs_kdvOran)&lt;=toleransKurus,"MATRAH",IF($F664=1,"YUVARLAMA","TANIMSIZ"))))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IF($A665="","",IF($C665&lt;=efs_yuvarlamaEsik,1,0))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IF(OR($A665="",$B665&lt;&gt;"tutar_farki"),"",IF(ABS($C665-$D665)&lt;=toleransKurus,"KDV_ORAN",IF(ABS($C665-$E665*efs_kdvOran)&lt;=toleransKurus,"MATRAH",IF($F665=1,"YUVARLAMA","TANIMSIZ"))))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IF($A666="","",IF($C666&lt;=efs_yuvarlamaEsik,1,0))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IF(OR($A666="",$B666&lt;&gt;"tutar_farki"),"",IF(ABS($C666-$D666)&lt;=toleransKurus,"KDV_ORAN",IF(ABS($C666-$E666*efs_kdvOran)&lt;=toleransKurus,"MATRAH",IF($F666=1,"YUVARLAMA","TANIMSIZ"))))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IF($A667="","",IF($C667&lt;=efs_yuvarlamaEsik,1,0))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IF(OR($A667="",$B667&lt;&gt;"tutar_farki"),"",IF(ABS($C667-$D667)&lt;=toleransKurus,"KDV_ORAN",IF(ABS($C667-$E667*efs_kdvOran)&lt;=toleransKurus,"MATRAH",IF($F667=1,"YUVARLAMA","TANIMSIZ"))))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IF($A668="","",IF($C668&lt;=efs_yuvarlamaEsik,1,0))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IF(OR($A668="",$B668&lt;&gt;"tutar_farki"),"",IF(ABS($C668-$D668)&lt;=toleransKurus,"KDV_ORAN",IF(ABS($C668-$E668*efs_kdvOran)&lt;=toleransKurus,"MATRAH",IF($F668=1,"YUVARLAMA","TANIMSIZ"))))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IF($A669="","",IF($C669&lt;=efs_yuvarlamaEsik,1,0))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IF(OR($A669="",$B669&lt;&gt;"tutar_farki"),"",IF(ABS($C669-$D669)&lt;=toleransKurus,"KDV_ORAN",IF(ABS($C669-$E669*efs_kdvOran)&lt;=toleransKurus,"MATRAH",IF($F669=1,"YUVARLAMA","TANIMSIZ"))))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IF($A670="","",IF($C670&lt;=efs_yuvarlamaEsik,1,0))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IF(OR($A670="",$B670&lt;&gt;"tutar_farki"),"",IF(ABS($C670-$D670)&lt;=toleransKurus,"KDV_ORAN",IF(ABS($C670-$E670*efs_kdvOran)&lt;=toleransKurus,"MATRAH",IF($F670=1,"YUVARLAMA","TANIMSIZ"))))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IF($A671="","",IF($C671&lt;=efs_yuvarlamaEsik,1,0))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IF(OR($A671="",$B671&lt;&gt;"tutar_farki"),"",IF(ABS($C671-$D671)&lt;=toleransKurus,"KDV_ORAN",IF(ABS($C671-$E671*efs_kdvOran)&lt;=toleransKurus,"MATRAH",IF($F671=1,"YUVARLAMA","TANIMSIZ"))))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IF($A672="","",IF($C672&lt;=efs_yuvarlamaEsik,1,0))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IF(OR($A672="",$B672&lt;&gt;"tutar_farki"),"",IF(ABS($C672-$D672)&lt;=toleransKurus,"KDV_ORAN",IF(ABS($C672-$E672*efs_kdvOran)&lt;=toleransKurus,"MATRAH",IF($F672=1,"YUVARLAMA","TANIMSIZ"))))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IF($A673="","",IF($C673&lt;=efs_yuvarlamaEsik,1,0))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IF(OR($A673="",$B673&lt;&gt;"tutar_farki"),"",IF(ABS($C673-$D673)&lt;=toleransKurus,"KDV_ORAN",IF(ABS($C673-$E673*efs_kdvOran)&lt;=toleransKurus,"MATRAH",IF($F673=1,"YUVARLAMA","TANIMSIZ"))))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IF($A674="","",IF($C674&lt;=efs_yuvarlamaEsik,1,0))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IF(OR($A674="",$B674&lt;&gt;"tutar_farki"),"",IF(ABS($C674-$D674)&lt;=toleransKurus,"KDV_ORAN",IF(ABS($C674-$E674*efs_kdvOran)&lt;=toleransKurus,"MATRAH",IF($F674=1,"YUVARLAMA","TANIMSIZ"))))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IF($A675="","",IF($C675&lt;=efs_yuvarlamaEsik,1,0))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IF(OR($A675="",$B675&lt;&gt;"tutar_farki"),"",IF(ABS($C675-$D675)&lt;=toleransKurus,"KDV_ORAN",IF(ABS($C675-$E675*efs_kdvOran)&lt;=toleransKurus,"MATRAH",IF($F675=1,"YUVARLAMA","TANIMSIZ"))))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IF($A676="","",IF($C676&lt;=efs_yuvarlamaEsik,1,0))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IF(OR($A676="",$B676&lt;&gt;"tutar_farki"),"",IF(ABS($C676-$D676)&lt;=toleransKurus,"KDV_ORAN",IF(ABS($C676-$E676*efs_kdvOran)&lt;=toleransKurus,"MATRAH",IF($F676=1,"YUVARLAMA","TANIMSIZ"))))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IF($A677="","",IF($C677&lt;=efs_yuvarlamaEsik,1,0))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IF(OR($A677="",$B677&lt;&gt;"tutar_farki"),"",IF(ABS($C677-$D677)&lt;=toleransKurus,"KDV_ORAN",IF(ABS($C677-$E677*efs_kdvOran)&lt;=toleransKurus,"MATRAH",IF($F677=1,"YUVARLAMA","TANIMSIZ"))))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IF($A678="","",IF($C678&lt;=efs_yuvarlamaEsik,1,0))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IF(OR($A678="",$B678&lt;&gt;"tutar_farki"),"",IF(ABS($C678-$D678)&lt;=toleransKurus,"KDV_ORAN",IF(ABS($C678-$E678*efs_kdvOran)&lt;=toleransKurus,"MATRAH",IF($F678=1,"YUVARLAMA","TANIMSIZ"))))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IF($A679="","",IF($C679&lt;=efs_yuvarlamaEsik,1,0))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IF(OR($A679="",$B679&lt;&gt;"tutar_farki"),"",IF(ABS($C679-$D679)&lt;=toleransKurus,"KDV_ORAN",IF(ABS($C679-$E679*efs_kdvOran)&lt;=toleransKurus,"MATRAH",IF($F679=1,"YUVARLAMA","TANIMSIZ"))))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IF($A680="","",IF($C680&lt;=efs_yuvarlamaEsik,1,0))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IF(OR($A680="",$B680&lt;&gt;"tutar_farki"),"",IF(ABS($C680-$D680)&lt;=toleransKurus,"KDV_ORAN",IF(ABS($C680-$E680*efs_kdvOran)&lt;=toleransKurus,"MATRAH",IF($F680=1,"YUVARLAMA","TANIMSIZ"))))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IF($A681="","",IF($C681&lt;=efs_yuvarlamaEsik,1,0))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IF(OR($A681="",$B681&lt;&gt;"tutar_farki"),"",IF(ABS($C681-$D681)&lt;=toleransKurus,"KDV_ORAN",IF(ABS($C681-$E681*efs_kdvOran)&lt;=toleransKurus,"MATRAH",IF($F681=1,"YUVARLAMA","TANIMSIZ"))))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IF($A682="","",IF($C682&lt;=efs_yuvarlamaEsik,1,0))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IF(OR($A682="",$B682&lt;&gt;"tutar_farki"),"",IF(ABS($C682-$D682)&lt;=toleransKurus,"KDV_ORAN",IF(ABS($C682-$E682*efs_kdvOran)&lt;=toleransKurus,"MATRAH",IF($F682=1,"YUVARLAMA","TANIMSIZ"))))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IF($A683="","",IF($C683&lt;=efs_yuvarlamaEsik,1,0))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IF(OR($A683="",$B683&lt;&gt;"tutar_farki"),"",IF(ABS($C683-$D683)&lt;=toleransKurus,"KDV_ORAN",IF(ABS($C683-$E683*efs_kdvOran)&lt;=toleransKurus,"MATRAH",IF($F683=1,"YUVARLAMA","TANIMSIZ"))))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IF($A684="","",IF($C684&lt;=efs_yuvarlamaEsik,1,0))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IF(OR($A684="",$B684&lt;&gt;"tutar_farki"),"",IF(ABS($C684-$D684)&lt;=toleransKurus,"KDV_ORAN",IF(ABS($C684-$E684*efs_kdvOran)&lt;=toleransKurus,"MATRAH",IF($F684=1,"YUVARLAMA","TANIMSIZ"))))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IF($A685="","",IF($C685&lt;=efs_yuvarlamaEsik,1,0))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IF(OR($A685="",$B685&lt;&gt;"tutar_farki"),"",IF(ABS($C685-$D685)&lt;=toleransKurus,"KDV_ORAN",IF(ABS($C685-$E685*efs_kdvOran)&lt;=toleransKurus,"MATRAH",IF($F685=1,"YUVARLAMA","TANIMSIZ"))))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IF($A686="","",IF($C686&lt;=efs_yuvarlamaEsik,1,0))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IF(OR($A686="",$B686&lt;&gt;"tutar_farki"),"",IF(ABS($C686-$D686)&lt;=toleransKurus,"KDV_ORAN",IF(ABS($C686-$E686*efs_kdvOran)&lt;=toleransKurus,"MATRAH",IF($F686=1,"YUVARLAMA","TANIMSIZ"))))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IF($A687="","",IF($C687&lt;=efs_yuvarlamaEsik,1,0))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IF(OR($A687="",$B687&lt;&gt;"tutar_farki"),"",IF(ABS($C687-$D687)&lt;=toleransKurus,"KDV_ORAN",IF(ABS($C687-$E687*efs_kdvOran)&lt;=toleransKurus,"MATRAH",IF($F687=1,"YUVARLAMA","TANIMSIZ"))))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IF($A688="","",IF($C688&lt;=efs_yuvarlamaEsik,1,0))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IF(OR($A688="",$B688&lt;&gt;"tutar_farki"),"",IF(ABS($C688-$D688)&lt;=toleransKurus,"KDV_ORAN",IF(ABS($C688-$E688*efs_kdvOran)&lt;=toleransKurus,"MATRAH",IF($F688=1,"YUVARLAMA","TANIMSIZ"))))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IF($A689="","",IF($C689&lt;=efs_yuvarlamaEsik,1,0))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IF(OR($A689="",$B689&lt;&gt;"tutar_farki"),"",IF(ABS($C689-$D689)&lt;=toleransKurus,"KDV_ORAN",IF(ABS($C689-$E689*efs_kdvOran)&lt;=toleransKurus,"MATRAH",IF($F689=1,"YUVARLAMA","TANIMSIZ"))))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IF($A690="","",IF($C690&lt;=efs_yuvarlamaEsik,1,0))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IF(OR($A690="",$B690&lt;&gt;"tutar_farki"),"",IF(ABS($C690-$D690)&lt;=toleransKurus,"KDV_ORAN",IF(ABS($C690-$E690*efs_kdvOran)&lt;=toleransKurus,"MATRAH",IF($F690=1,"YUVARLAMA","TANIMSIZ"))))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IF($A691="","",IF($C691&lt;=efs_yuvarlamaEsik,1,0))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IF(OR($A691="",$B691&lt;&gt;"tutar_farki"),"",IF(ABS($C691-$D691)&lt;=toleransKurus,"KDV_ORAN",IF(ABS($C691-$E691*efs_kdvOran)&lt;=toleransKurus,"MATRAH",IF($F691=1,"YUVARLAMA","TANIMSIZ"))))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IF($A692="","",IF($C692&lt;=efs_yuvarlamaEsik,1,0))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IF(OR($A692="",$B692&lt;&gt;"tutar_farki"),"",IF(ABS($C692-$D692)&lt;=toleransKurus,"KDV_ORAN",IF(ABS($C692-$E692*efs_kdvOran)&lt;=toleransKurus,"MATRAH",IF($F692=1,"YUVARLAMA","TANIMSIZ"))))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IF($A693="","",IF($C693&lt;=efs_yuvarlamaEsik,1,0))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IF(OR($A693="",$B693&lt;&gt;"tutar_farki"),"",IF(ABS($C693-$D693)&lt;=toleransKurus,"KDV_ORAN",IF(ABS($C693-$E693*efs_kdvOran)&lt;=toleransKurus,"MATRAH",IF($F693=1,"YUVARLAMA","TANIMSIZ"))))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IF($A694="","",IF($C694&lt;=efs_yuvarlamaEsik,1,0))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IF(OR($A694="",$B694&lt;&gt;"tutar_farki"),"",IF(ABS($C694-$D694)&lt;=toleransKurus,"KDV_ORAN",IF(ABS($C694-$E694*efs_kdvOran)&lt;=toleransKurus,"MATRAH",IF($F694=1,"YUVARLAMA","TANIMSIZ"))))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IF($A695="","",IF($C695&lt;=efs_yuvarlamaEsik,1,0))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IF(OR($A695="",$B695&lt;&gt;"tutar_farki"),"",IF(ABS($C695-$D695)&lt;=toleransKurus,"KDV_ORAN",IF(ABS($C695-$E695*efs_kdvOran)&lt;=toleransKurus,"MATRAH",IF($F695=1,"YUVARLAMA","TANIMSIZ"))))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IF($A696="","",IF($C696&lt;=efs_yuvarlamaEsik,1,0))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IF(OR($A696="",$B696&lt;&gt;"tutar_farki"),"",IF(ABS($C696-$D696)&lt;=toleransKurus,"KDV_ORAN",IF(ABS($C696-$E696*efs_kdvOran)&lt;=toleransKurus,"MATRAH",IF($F696=1,"YUVARLAMA","TANIMSIZ"))))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IF($A697="","",IF($C697&lt;=efs_yuvarlamaEsik,1,0))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IF(OR($A697="",$B697&lt;&gt;"tutar_farki"),"",IF(ABS($C697-$D697)&lt;=toleransKurus,"KDV_ORAN",IF(ABS($C697-$E697*efs_kdvOran)&lt;=toleransKurus,"MATRAH",IF($F697=1,"YUVARLAMA","TANIMSIZ"))))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IF($A698="","",IF($C698&lt;=efs_yuvarlamaEsik,1,0))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IF(OR($A698="",$B698&lt;&gt;"tutar_farki"),"",IF(ABS($C698-$D698)&lt;=toleransKurus,"KDV_ORAN",IF(ABS($C698-$E698*efs_kdvOran)&lt;=toleransKurus,"MATRAH",IF($F698=1,"YUVARLAMA","TANIMSIZ"))))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IF($A699="","",IF($C699&lt;=efs_yuvarlamaEsik,1,0))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IF(OR($A699="",$B699&lt;&gt;"tutar_farki"),"",IF(ABS($C699-$D699)&lt;=toleransKurus,"KDV_ORAN",IF(ABS($C699-$E699*efs_kdvOran)&lt;=toleransKurus,"MATRAH",IF($F699=1,"YUVARLAMA","TANIMSIZ"))))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IF($A700="","",IF($C700&lt;=efs_yuvarlamaEsik,1,0))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IF(OR($A700="",$B700&lt;&gt;"tutar_farki"),"",IF(ABS($C700-$D700)&lt;=toleransKurus,"KDV_ORAN",IF(ABS($C700-$E700*efs_kdvOran)&lt;=toleransKurus,"MATRAH",IF($F700=1,"YUVARLAMA","TANIMSIZ"))))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IF($A701="","",IF($C701&lt;=efs_yuvarlamaEsik,1,0))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IF(OR($A701="",$B701&lt;&gt;"tutar_farki"),"",IF(ABS($C701-$D701)&lt;=toleransKurus,"KDV_ORAN",IF(ABS($C701-$E701*efs_kdvOran)&lt;=toleransKurus,"MATRAH",IF($F701=1,"YUVARLAMA","TANIMSIZ"))))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IF($A702="","",IF($C702&lt;=efs_yuvarlamaEsik,1,0))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IF(OR($A702="",$B702&lt;&gt;"tutar_farki"),"",IF(ABS($C702-$D702)&lt;=toleransKurus,"KDV_ORAN",IF(ABS($C702-$E702*efs_kdvOran)&lt;=toleransKurus,"MATRAH",IF($F702=1,"YUVARLAMA","TANIMSIZ"))))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IF($A703="","",IF($C703&lt;=efs_yuvarlamaEsik,1,0))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IF(OR($A703="",$B703&lt;&gt;"tutar_farki"),"",IF(ABS($C703-$D703)&lt;=toleransKurus,"KDV_ORAN",IF(ABS($C703-$E703*efs_kdvOran)&lt;=toleransKurus,"MATRAH",IF($F703=1,"YUVARLAMA","TANIMSIZ"))))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IF($A704="","",IF($C704&lt;=efs_yuvarlamaEsik,1,0))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IF(OR($A704="",$B704&lt;&gt;"tutar_farki"),"",IF(ABS($C704-$D704)&lt;=toleransKurus,"KDV_ORAN",IF(ABS($C704-$E704*efs_kdvOran)&lt;=toleransKurus,"MATRAH",IF($F704=1,"YUVARLAMA","TANIMSIZ"))))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IF($A705="","",IF($C705&lt;=efs_yuvarlamaEsik,1,0))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IF(OR($A705="",$B705&lt;&gt;"tutar_farki"),"",IF(ABS($C705-$D705)&lt;=toleransKurus,"KDV_ORAN",IF(ABS($C705-$E705*efs_kdvOran)&lt;=toleransKurus,"MATRAH",IF($F705=1,"YUVARLAMA","TANIMSIZ"))))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IF($A706="","",IF($C706&lt;=efs_yuvarlamaEsik,1,0))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IF(OR($A706="",$B706&lt;&gt;"tutar_farki"),"",IF(ABS($C706-$D706)&lt;=toleransKurus,"KDV_ORAN",IF(ABS($C706-$E706*efs_kdvOran)&lt;=toleransKurus,"MATRAH",IF($F706=1,"YUVARLAMA","TANIMSIZ"))))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IF($A707="","",IF($C707&lt;=efs_yuvarlamaEsik,1,0))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IF(OR($A707="",$B707&lt;&gt;"tutar_farki"),"",IF(ABS($C707-$D707)&lt;=toleransKurus,"KDV_ORAN",IF(ABS($C707-$E707*efs_kdvOran)&lt;=toleransKurus,"MATRAH",IF($F707=1,"YUVARLAMA","TANIMSIZ"))))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IF($A708="","",IF($C708&lt;=efs_yuvarlamaEsik,1,0))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IF(OR($A708="",$B708&lt;&gt;"tutar_farki"),"",IF(ABS($C708-$D708)&lt;=toleransKurus,"KDV_ORAN",IF(ABS($C708-$E708*efs_kdvOran)&lt;=toleransKurus,"MATRAH",IF($F708=1,"YUVARLAMA","TANIMSIZ"))))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IF($A709="","",IF($C709&lt;=efs_yuvarlamaEsik,1,0))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IF(OR($A709="",$B709&lt;&gt;"tutar_farki"),"",IF(ABS($C709-$D709)&lt;=toleransKurus,"KDV_ORAN",IF(ABS($C709-$E709*efs_kdvOran)&lt;=toleransKurus,"MATRAH",IF($F709=1,"YUVARLAMA","TANIMSIZ"))))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IF($A710="","",IF($C710&lt;=efs_yuvarlamaEsik,1,0))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IF(OR($A710="",$B710&lt;&gt;"tutar_farki"),"",IF(ABS($C710-$D710)&lt;=toleransKurus,"KDV_ORAN",IF(ABS($C710-$E710*efs_kdvOran)&lt;=toleransKurus,"MATRAH",IF($F710=1,"YUVARLAMA","TANIMSIZ"))))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IF($A711="","",IF($C711&lt;=efs_yuvarlamaEsik,1,0))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IF(OR($A711="",$B711&lt;&gt;"tutar_farki"),"",IF(ABS($C711-$D711)&lt;=toleransKurus,"KDV_ORAN",IF(ABS($C711-$E711*efs_kdvOran)&lt;=toleransKurus,"MATRAH",IF($F711=1,"YUVARLAMA","TANIMSIZ"))))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IF($A712="","",IF($C712&lt;=efs_yuvarlamaEsik,1,0))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IF(OR($A712="",$B712&lt;&gt;"tutar_farki"),"",IF(ABS($C712-$D712)&lt;=toleransKurus,"KDV_ORAN",IF(ABS($C712-$E712*efs_kdvOran)&lt;=toleransKurus,"MATRAH",IF($F712=1,"YUVARLAMA","TANIMSIZ"))))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IF($A713="","",IF($C713&lt;=efs_yuvarlamaEsik,1,0))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IF(OR($A713="",$B713&lt;&gt;"tutar_farki"),"",IF(ABS($C713-$D713)&lt;=toleransKurus,"KDV_ORAN",IF(ABS($C713-$E713*efs_kdvOran)&lt;=toleransKurus,"MATRAH",IF($F713=1,"YUVARLAMA","TANIMSIZ"))))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IF($A714="","",IF($C714&lt;=efs_yuvarlamaEsik,1,0))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IF(OR($A714="",$B714&lt;&gt;"tutar_farki"),"",IF(ABS($C714-$D714)&lt;=toleransKurus,"KDV_ORAN",IF(ABS($C714-$E714*efs_kdvOran)&lt;=toleransKurus,"MATRAH",IF($F714=1,"YUVARLAMA","TANIMSIZ"))))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IF($A715="","",IF($C715&lt;=efs_yuvarlamaEsik,1,0))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IF(OR($A715="",$B715&lt;&gt;"tutar_farki"),"",IF(ABS($C715-$D715)&lt;=toleransKurus,"KDV_ORAN",IF(ABS($C715-$E715*efs_kdvOran)&lt;=toleransKurus,"MATRAH",IF($F715=1,"YUVARLAMA","TANIMSIZ"))))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IF($A716="","",IF($C716&lt;=efs_yuvarlamaEsik,1,0))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IF(OR($A716="",$B716&lt;&gt;"tutar_farki"),"",IF(ABS($C716-$D716)&lt;=toleransKurus,"KDV_ORAN",IF(ABS($C716-$E716*efs_kdvOran)&lt;=toleransKurus,"MATRAH",IF($F716=1,"YUVARLAMA","TANIMSIZ"))))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IF($A717="","",IF($C717&lt;=efs_yuvarlamaEsik,1,0))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IF(OR($A717="",$B717&lt;&gt;"tutar_farki"),"",IF(ABS($C717-$D717)&lt;=toleransKurus,"KDV_ORAN",IF(ABS($C717-$E717*efs_kdvOran)&lt;=toleransKurus,"MATRAH",IF($F717=1,"YUVARLAMA","TANIMSIZ"))))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IF($A718="","",IF($C718&lt;=efs_yuvarlamaEsik,1,0))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IF(OR($A718="",$B718&lt;&gt;"tutar_farki"),"",IF(ABS($C718-$D718)&lt;=toleransKurus,"KDV_ORAN",IF(ABS($C718-$E718*efs_kdvOran)&lt;=toleransKurus,"MATRAH",IF($F718=1,"YUVARLAMA","TANIMSIZ"))))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IF($A719="","",IF($C719&lt;=efs_yuvarlamaEsik,1,0))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IF(OR($A719="",$B719&lt;&gt;"tutar_farki"),"",IF(ABS($C719-$D719)&lt;=toleransKurus,"KDV_ORAN",IF(ABS($C719-$E719*efs_kdvOran)&lt;=toleransKurus,"MATRAH",IF($F719=1,"YUVARLAMA","TANIMSIZ"))))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IF($A720="","",IF($C720&lt;=efs_yuvarlamaEsik,1,0))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IF(OR($A720="",$B720&lt;&gt;"tutar_farki"),"",IF(ABS($C720-$D720)&lt;=toleransKurus,"KDV_ORAN",IF(ABS($C720-$E720*efs_kdvOran)&lt;=toleransKurus,"MATRAH",IF($F720=1,"YUVARLAMA","TANIMSIZ"))))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IF($A721="","",IF($C721&lt;=efs_yuvarlamaEsik,1,0))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IF(OR($A721="",$B721&lt;&gt;"tutar_farki"),"",IF(ABS($C721-$D721)&lt;=toleransKurus,"KDV_ORAN",IF(ABS($C721-$E721*efs_kdvOran)&lt;=toleransKurus,"MATRAH",IF($F721=1,"YUVARLAMA","TANIMSIZ"))))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IF($A722="","",IF($C722&lt;=efs_yuvarlamaEsik,1,0))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IF(OR($A722="",$B722&lt;&gt;"tutar_farki"),"",IF(ABS($C722-$D722)&lt;=toleransKurus,"KDV_ORAN",IF(ABS($C722-$E722*efs_kdvOran)&lt;=toleransKurus,"MATRAH",IF($F722=1,"YUVARLAMA","TANIMSIZ"))))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IF($A723="","",IF($C723&lt;=efs_yuvarlamaEsik,1,0))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IF(OR($A723="",$B723&lt;&gt;"tutar_farki"),"",IF(ABS($C723-$D723)&lt;=toleransKurus,"KDV_ORAN",IF(ABS($C723-$E723*efs_kdvOran)&lt;=toleransKurus,"MATRAH",IF($F723=1,"YUVARLAMA","TANIMSIZ"))))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IF($A724="","",IF($C724&lt;=efs_yuvarlamaEsik,1,0))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IF(OR($A724="",$B724&lt;&gt;"tutar_farki"),"",IF(ABS($C724-$D724)&lt;=toleransKurus,"KDV_ORAN",IF(ABS($C724-$E724*efs_kdvOran)&lt;=toleransKurus,"MATRAH",IF($F724=1,"YUVARLAMA","TANIMSIZ"))))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IF($A725="","",IF($C725&lt;=efs_yuvarlamaEsik,1,0))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IF(OR($A725="",$B725&lt;&gt;"tutar_farki"),"",IF(ABS($C725-$D725)&lt;=toleransKurus,"KDV_ORAN",IF(ABS($C725-$E725*efs_kdvOran)&lt;=toleransKurus,"MATRAH",IF($F725=1,"YUVARLAMA","TANIMSIZ"))))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IF($A726="","",IF($C726&lt;=efs_yuvarlamaEsik,1,0))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IF(OR($A726="",$B726&lt;&gt;"tutar_farki"),"",IF(ABS($C726-$D726)&lt;=toleransKurus,"KDV_ORAN",IF(ABS($C726-$E726*efs_kdvOran)&lt;=toleransKurus,"MATRAH",IF($F726=1,"YUVARLAMA","TANIMSIZ"))))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IF($A727="","",IF($C727&lt;=efs_yuvarlamaEsik,1,0))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IF(OR($A727="",$B727&lt;&gt;"tutar_farki"),"",IF(ABS($C727-$D727)&lt;=toleransKurus,"KDV_ORAN",IF(ABS($C727-$E727*efs_kdvOran)&lt;=toleransKurus,"MATRAH",IF($F727=1,"YUVARLAMA","TANIMSIZ"))))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IF($A728="","",IF($C728&lt;=efs_yuvarlamaEsik,1,0))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IF(OR($A728="",$B728&lt;&gt;"tutar_farki"),"",IF(ABS($C728-$D728)&lt;=toleransKurus,"KDV_ORAN",IF(ABS($C728-$E728*efs_kdvOran)&lt;=toleransKurus,"MATRAH",IF($F728=1,"YUVARLAMA","TANIMSIZ"))))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IF($A729="","",IF($C729&lt;=efs_yuvarlamaEsik,1,0))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IF(OR($A729="",$B729&lt;&gt;"tutar_farki"),"",IF(ABS($C729-$D729)&lt;=toleransKurus,"KDV_ORAN",IF(ABS($C729-$E729*efs_kdvOran)&lt;=toleransKurus,"MATRAH",IF($F729=1,"YUVARLAMA","TANIMSIZ"))))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IF($A730="","",IF($C730&lt;=efs_yuvarlamaEsik,1,0))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IF(OR($A730="",$B730&lt;&gt;"tutar_farki"),"",IF(ABS($C730-$D730)&lt;=toleransKurus,"KDV_ORAN",IF(ABS($C730-$E730*efs_kdvOran)&lt;=toleransKurus,"MATRAH",IF($F730=1,"YUVARLAMA","TANIMSIZ"))))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IF($A731="","",IF($C731&lt;=efs_yuvarlamaEsik,1,0))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IF(OR($A731="",$B731&lt;&gt;"tutar_farki"),"",IF(ABS($C731-$D731)&lt;=toleransKurus,"KDV_ORAN",IF(ABS($C731-$E731*efs_kdvOran)&lt;=toleransKurus,"MATRAH",IF($F731=1,"YUVARLAMA","TANIMSIZ"))))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IF($A732="","",IF($C732&lt;=efs_yuvarlamaEsik,1,0))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IF(OR($A732="",$B732&lt;&gt;"tutar_farki"),"",IF(ABS($C732-$D732)&lt;=toleransKurus,"KDV_ORAN",IF(ABS($C732-$E732*efs_kdvOran)&lt;=toleransKurus,"MATRAH",IF($F732=1,"YUVARLAMA","TANIMSIZ"))))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IF($A733="","",IF($C733&lt;=efs_yuvarlamaEsik,1,0))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IF(OR($A733="",$B733&lt;&gt;"tutar_farki"),"",IF(ABS($C733-$D733)&lt;=toleransKurus,"KDV_ORAN",IF(ABS($C733-$E733*efs_kdvOran)&lt;=toleransKurus,"MATRAH",IF($F733=1,"YUVARLAMA","TANIMSIZ"))))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IF($A734="","",IF($C734&lt;=efs_yuvarlamaEsik,1,0))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IF(OR($A734="",$B734&lt;&gt;"tutar_farki"),"",IF(ABS($C734-$D734)&lt;=toleransKurus,"KDV_ORAN",IF(ABS($C734-$E734*efs_kdvOran)&lt;=toleransKurus,"MATRAH",IF($F734=1,"YUVARLAMA","TANIMSIZ"))))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IF($A735="","",IF($C735&lt;=efs_yuvarlamaEsik,1,0))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IF(OR($A735="",$B735&lt;&gt;"tutar_farki"),"",IF(ABS($C735-$D735)&lt;=toleransKurus,"KDV_ORAN",IF(ABS($C735-$E735*efs_kdvOran)&lt;=toleransKurus,"MATRAH",IF($F735=1,"YUVARLAMA","TANIMSIZ"))))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IF($A736="","",IF($C736&lt;=efs_yuvarlamaEsik,1,0))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IF(OR($A736="",$B736&lt;&gt;"tutar_farki"),"",IF(ABS($C736-$D736)&lt;=toleransKurus,"KDV_ORAN",IF(ABS($C736-$E736*efs_kdvOran)&lt;=toleransKurus,"MATRAH",IF($F736=1,"YUVARLAMA","TANIMSIZ"))))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IF($A737="","",IF($C737&lt;=efs_yuvarlamaEsik,1,0))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IF(OR($A737="",$B737&lt;&gt;"tutar_farki"),"",IF(ABS($C737-$D737)&lt;=toleransKurus,"KDV_ORAN",IF(ABS($C737-$E737*efs_kdvOran)&lt;=toleransKurus,"MATRAH",IF($F737=1,"YUVARLAMA","TANIMSIZ"))))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IF($A738="","",IF($C738&lt;=efs_yuvarlamaEsik,1,0))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IF(OR($A738="",$B738&lt;&gt;"tutar_farki"),"",IF(ABS($C738-$D738)&lt;=toleransKurus,"KDV_ORAN",IF(ABS($C738-$E738*efs_kdvOran)&lt;=toleransKurus,"MATRAH",IF($F738=1,"YUVARLAMA","TANIMSIZ"))))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IF($A739="","",IF($C739&lt;=efs_yuvarlamaEsik,1,0))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IF(OR($A739="",$B739&lt;&gt;"tutar_farki"),"",IF(ABS($C739-$D739)&lt;=toleransKurus,"KDV_ORAN",IF(ABS($C739-$E739*efs_kdvOran)&lt;=toleransKurus,"MATRAH",IF($F739=1,"YUVARLAMA","TANIMSIZ"))))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IF($A740="","",IF($C740&lt;=efs_yuvarlamaEsik,1,0))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IF(OR($A740="",$B740&lt;&gt;"tutar_farki"),"",IF(ABS($C740-$D740)&lt;=toleransKurus,"KDV_ORAN",IF(ABS($C740-$E740*efs_kdvOran)&lt;=toleransKurus,"MATRAH",IF($F740=1,"YUVARLAMA","TANIMSIZ"))))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IF($A741="","",IF($C741&lt;=efs_yuvarlamaEsik,1,0))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IF(OR($A741="",$B741&lt;&gt;"tutar_farki"),"",IF(ABS($C741-$D741)&lt;=toleransKurus,"KDV_ORAN",IF(ABS($C741-$E741*efs_kdvOran)&lt;=toleransKurus,"MATRAH",IF($F741=1,"YUVARLAMA","TANIMSIZ"))))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IF($A742="","",IF($C742&lt;=efs_yuvarlamaEsik,1,0))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IF(OR($A742="",$B742&lt;&gt;"tutar_farki"),"",IF(ABS($C742-$D742)&lt;=toleransKurus,"KDV_ORAN",IF(ABS($C742-$E742*efs_kdvOran)&lt;=toleransKurus,"MATRAH",IF($F742=1,"YUVARLAMA","TANIMSIZ"))))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IF($A743="","",IF($C743&lt;=efs_yuvarlamaEsik,1,0))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IF(OR($A743="",$B743&lt;&gt;"tutar_farki"),"",IF(ABS($C743-$D743)&lt;=toleransKurus,"KDV_ORAN",IF(ABS($C743-$E743*efs_kdvOran)&lt;=toleransKurus,"MATRAH",IF($F743=1,"YUVARLAMA","TANIMSIZ"))))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IF($A744="","",IF($C744&lt;=efs_yuvarlamaEsik,1,0))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IF(OR($A744="",$B744&lt;&gt;"tutar_farki"),"",IF(ABS($C744-$D744)&lt;=toleransKurus,"KDV_ORAN",IF(ABS($C744-$E744*efs_kdvOran)&lt;=toleransKurus,"MATRAH",IF($F744=1,"YUVARLAMA","TANIMSIZ"))))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IF($A745="","",IF($C745&lt;=efs_yuvarlamaEsik,1,0))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IF(OR($A745="",$B745&lt;&gt;"tutar_farki"),"",IF(ABS($C745-$D745)&lt;=toleransKurus,"KDV_ORAN",IF(ABS($C745-$E745*efs_kdvOran)&lt;=toleransKurus,"MATRAH",IF($F745=1,"YUVARLAMA","TANIMSIZ"))))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IF($A746="","",IF($C746&lt;=efs_yuvarlamaEsik,1,0))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IF(OR($A746="",$B746&lt;&gt;"tutar_farki"),"",IF(ABS($C746-$D746)&lt;=toleransKurus,"KDV_ORAN",IF(ABS($C746-$E746*efs_kdvOran)&lt;=toleransKurus,"MATRAH",IF($F746=1,"YUVARLAMA","TANIMSIZ"))))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IF($A747="","",IF($C747&lt;=efs_yuvarlamaEsik,1,0))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IF(OR($A747="",$B747&lt;&gt;"tutar_farki"),"",IF(ABS($C747-$D747)&lt;=toleransKurus,"KDV_ORAN",IF(ABS($C747-$E747*efs_kdvOran)&lt;=toleransKurus,"MATRAH",IF($F747=1,"YUVARLAMA","TANIMSIZ"))))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IF($A748="","",IF($C748&lt;=efs_yuvarlamaEsik,1,0))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IF(OR($A748="",$B748&lt;&gt;"tutar_farki"),"",IF(ABS($C748-$D748)&lt;=toleransKurus,"KDV_ORAN",IF(ABS($C748-$E748*efs_kdvOran)&lt;=toleransKurus,"MATRAH",IF($F748=1,"YUVARLAMA","TANIMSIZ"))))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IF($A749="","",IF($C749&lt;=efs_yuvarlamaEsik,1,0))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IF(OR($A749="",$B749&lt;&gt;"tutar_farki"),"",IF(ABS($C749-$D749)&lt;=toleransKurus,"KDV_ORAN",IF(ABS($C749-$E749*efs_kdvOran)&lt;=toleransKurus,"MATRAH",IF($F749=1,"YUVARLAMA","TANIMSIZ"))))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IF($A750="","",IF($C750&lt;=efs_yuvarlamaEsik,1,0))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IF(OR($A750="",$B750&lt;&gt;"tutar_farki"),"",IF(ABS($C750-$D750)&lt;=toleransKurus,"KDV_ORAN",IF(ABS($C750-$E750*efs_kdvOran)&lt;=toleransKurus,"MATRAH",IF($F750=1,"YUVARLAMA","TANIMSIZ"))))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IF($A751="","",IF($C751&lt;=efs_yuvarlamaEsik,1,0))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IF(OR($A751="",$B751&lt;&gt;"tutar_farki"),"",IF(ABS($C751-$D751)&lt;=toleransKurus,"KDV_ORAN",IF(ABS($C751-$E751*efs_kdvOran)&lt;=toleransKurus,"MATRAH",IF($F751=1,"YUVARLAMA","TANIMSIZ"))))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IF($A752="","",IF($C752&lt;=efs_yuvarlamaEsik,1,0))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IF(OR($A752="",$B752&lt;&gt;"tutar_farki"),"",IF(ABS($C752-$D752)&lt;=toleransKurus,"KDV_ORAN",IF(ABS($C752-$E752*efs_kdvOran)&lt;=toleransKurus,"MATRAH",IF($F752=1,"YUVARLAMA","TANIMSIZ"))))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IF($A753="","",IF($C753&lt;=efs_yuvarlamaEsik,1,0))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IF(OR($A753="",$B753&lt;&gt;"tutar_farki"),"",IF(ABS($C753-$D753)&lt;=toleransKurus,"KDV_ORAN",IF(ABS($C753-$E753*efs_kdvOran)&lt;=toleransKurus,"MATRAH",IF($F753=1,"YUVARLAMA","TANIMSIZ"))))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IF($A754="","",IF($C754&lt;=efs_yuvarlamaEsik,1,0))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IF(OR($A754="",$B754&lt;&gt;"tutar_farki"),"",IF(ABS($C754-$D754)&lt;=toleransKurus,"KDV_ORAN",IF(ABS($C754-$E754*efs_kdvOran)&lt;=toleransKurus,"MATRAH",IF($F754=1,"YUVARLAMA","TANIMSIZ"))))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IF($A755="","",IF($C755&lt;=efs_yuvarlamaEsik,1,0))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IF(OR($A755="",$B755&lt;&gt;"tutar_farki"),"",IF(ABS($C755-$D755)&lt;=toleransKurus,"KDV_ORAN",IF(ABS($C755-$E755*efs_kdvOran)&lt;=toleransKurus,"MATRAH",IF($F755=1,"YUVARLAMA","TANIMSIZ"))))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IF($A756="","",IF($C756&lt;=efs_yuvarlamaEsik,1,0))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IF(OR($A756="",$B756&lt;&gt;"tutar_farki"),"",IF(ABS($C756-$D756)&lt;=toleransKurus,"KDV_ORAN",IF(ABS($C756-$E756*efs_kdvOran)&lt;=toleransKurus,"MATRAH",IF($F756=1,"YUVARLAMA","TANIMSIZ"))))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IF($A757="","",IF($C757&lt;=efs_yuvarlamaEsik,1,0))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IF(OR($A757="",$B757&lt;&gt;"tutar_farki"),"",IF(ABS($C757-$D757)&lt;=toleransKurus,"KDV_ORAN",IF(ABS($C757-$E757*efs_kdvOran)&lt;=toleransKurus,"MATRAH",IF($F757=1,"YUVARLAMA","TANIMSIZ"))))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IF($A758="","",IF($C758&lt;=efs_yuvarlamaEsik,1,0))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IF(OR($A758="",$B758&lt;&gt;"tutar_farki"),"",IF(ABS($C758-$D758)&lt;=toleransKurus,"KDV_ORAN",IF(ABS($C758-$E758*efs_kdvOran)&lt;=toleransKurus,"MATRAH",IF($F758=1,"YUVARLAMA","TANIMSIZ"))))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IF($A759="","",IF($C759&lt;=efs_yuvarlamaEsik,1,0))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IF(OR($A759="",$B759&lt;&gt;"tutar_farki"),"",IF(ABS($C759-$D759)&lt;=toleransKurus,"KDV_ORAN",IF(ABS($C759-$E759*efs_kdvOran)&lt;=toleransKurus,"MATRAH",IF($F759=1,"YUVARLAMA","TANIMSIZ"))))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IF($A760="","",IF($C760&lt;=efs_yuvarlamaEsik,1,0))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IF(OR($A760="",$B760&lt;&gt;"tutar_farki"),"",IF(ABS($C760-$D760)&lt;=toleransKurus,"KDV_ORAN",IF(ABS($C760-$E760*efs_kdvOran)&lt;=toleransKurus,"MATRAH",IF($F760=1,"YUVARLAMA","TANIMSIZ"))))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IF($A761="","",IF($C761&lt;=efs_yuvarlamaEsik,1,0))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IF(OR($A761="",$B761&lt;&gt;"tutar_farki"),"",IF(ABS($C761-$D761)&lt;=toleransKurus,"KDV_ORAN",IF(ABS($C761-$E761*efs_kdvOran)&lt;=toleransKurus,"MATRAH",IF($F761=1,"YUVARLAMA","TANIMSIZ"))))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IF($A762="","",IF($C762&lt;=efs_yuvarlamaEsik,1,0))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IF(OR($A762="",$B762&lt;&gt;"tutar_farki"),"",IF(ABS($C762-$D762)&lt;=toleransKurus,"KDV_ORAN",IF(ABS($C762-$E762*efs_kdvOran)&lt;=toleransKurus,"MATRAH",IF($F762=1,"YUVARLAMA","TANIMSIZ"))))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IF($A763="","",IF($C763&lt;=efs_yuvarlamaEsik,1,0))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IF(OR($A763="",$B763&lt;&gt;"tutar_farki"),"",IF(ABS($C763-$D763)&lt;=toleransKurus,"KDV_ORAN",IF(ABS($C763-$E763*efs_kdvOran)&lt;=toleransKurus,"MATRAH",IF($F763=1,"YUVARLAMA","TANIMSIZ"))))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IF($A764="","",IF($C764&lt;=efs_yuvarlamaEsik,1,0))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IF(OR($A764="",$B764&lt;&gt;"tutar_farki"),"",IF(ABS($C764-$D764)&lt;=toleransKurus,"KDV_ORAN",IF(ABS($C764-$E764*efs_kdvOran)&lt;=toleransKurus,"MATRAH",IF($F764=1,"YUVARLAMA","TANIMSIZ"))))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IF($A765="","",IF($C765&lt;=efs_yuvarlamaEsik,1,0))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IF(OR($A765="",$B765&lt;&gt;"tutar_farki"),"",IF(ABS($C765-$D765)&lt;=toleransKurus,"KDV_ORAN",IF(ABS($C765-$E765*efs_kdvOran)&lt;=toleransKurus,"MATRAH",IF($F765=1,"YUVARLAMA","TANIMSIZ"))))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IF($A766="","",IF($C766&lt;=efs_yuvarlamaEsik,1,0))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IF(OR($A766="",$B766&lt;&gt;"tutar_farki"),"",IF(ABS($C766-$D766)&lt;=toleransKurus,"KDV_ORAN",IF(ABS($C766-$E766*efs_kdvOran)&lt;=toleransKurus,"MATRAH",IF($F766=1,"YUVARLAMA","TANIMSIZ"))))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IF($A767="","",IF($C767&lt;=efs_yuvarlamaEsik,1,0))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IF(OR($A767="",$B767&lt;&gt;"tutar_farki"),"",IF(ABS($C767-$D767)&lt;=toleransKurus,"KDV_ORAN",IF(ABS($C767-$E767*efs_kdvOran)&lt;=toleransKurus,"MATRAH",IF($F767=1,"YUVARLAMA","TANIMSIZ"))))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IF($A768="","",IF($C768&lt;=efs_yuvarlamaEsik,1,0))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IF(OR($A768="",$B768&lt;&gt;"tutar_farki"),"",IF(ABS($C768-$D768)&lt;=toleransKurus,"KDV_ORAN",IF(ABS($C768-$E768*efs_kdvOran)&lt;=toleransKurus,"MATRAH",IF($F768=1,"YUVARLAMA","TANIMSIZ"))))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IF($A769="","",IF($C769&lt;=efs_yuvarlamaEsik,1,0))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IF(OR($A769="",$B769&lt;&gt;"tutar_farki"),"",IF(ABS($C769-$D769)&lt;=toleransKurus,"KDV_ORAN",IF(ABS($C769-$E769*efs_kdvOran)&lt;=toleransKurus,"MATRAH",IF($F769=1,"YUVARLAMA","TANIMSIZ"))))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IF($A770="","",IF($C770&lt;=efs_yuvarlamaEsik,1,0))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IF(OR($A770="",$B770&lt;&gt;"tutar_farki"),"",IF(ABS($C770-$D770)&lt;=toleransKurus,"KDV_ORAN",IF(ABS($C770-$E770*efs_kdvOran)&lt;=toleransKurus,"MATRAH",IF($F770=1,"YUVARLAMA","TANIMSIZ"))))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IF($A771="","",IF($C771&lt;=efs_yuvarlamaEsik,1,0))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IF(OR($A771="",$B771&lt;&gt;"tutar_farki"),"",IF(ABS($C771-$D771)&lt;=toleransKurus,"KDV_ORAN",IF(ABS($C771-$E771*efs_kdvOran)&lt;=toleransKurus,"MATRAH",IF($F771=1,"YUVARLAMA","TANIMSIZ"))))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IF($A772="","",IF($C772&lt;=efs_yuvarlamaEsik,1,0))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IF(OR($A772="",$B772&lt;&gt;"tutar_farki"),"",IF(ABS($C772-$D772)&lt;=toleransKurus,"KDV_ORAN",IF(ABS($C772-$E772*efs_kdvOran)&lt;=toleransKurus,"MATRAH",IF($F772=1,"YUVARLAMA","TANIMSIZ"))))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IF($A773="","",IF($C773&lt;=efs_yuvarlamaEsik,1,0))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IF(OR($A773="",$B773&lt;&gt;"tutar_farki"),"",IF(ABS($C773-$D773)&lt;=toleransKurus,"KDV_ORAN",IF(ABS($C773-$E773*efs_kdvOran)&lt;=toleransKurus,"MATRAH",IF($F773=1,"YUVARLAMA","TANIMSIZ"))))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IF($A774="","",IF($C774&lt;=efs_yuvarlamaEsik,1,0))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IF(OR($A774="",$B774&lt;&gt;"tutar_farki"),"",IF(ABS($C774-$D774)&lt;=toleransKurus,"KDV_ORAN",IF(ABS($C774-$E774*efs_kdvOran)&lt;=toleransKurus,"MATRAH",IF($F774=1,"YUVARLAMA","TANIMSIZ"))))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IF($A775="","",IF($C775&lt;=efs_yuvarlamaEsik,1,0))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IF(OR($A775="",$B775&lt;&gt;"tutar_farki"),"",IF(ABS($C775-$D775)&lt;=toleransKurus,"KDV_ORAN",IF(ABS($C775-$E775*efs_kdvOran)&lt;=toleransKurus,"MATRAH",IF($F775=1,"YUVARLAMA","TANIMSIZ"))))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IF($A776="","",IF($C776&lt;=efs_yuvarlamaEsik,1,0))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IF(OR($A776="",$B776&lt;&gt;"tutar_farki"),"",IF(ABS($C776-$D776)&lt;=toleransKurus,"KDV_ORAN",IF(ABS($C776-$E776*efs_kdvOran)&lt;=toleransKurus,"MATRAH",IF($F776=1,"YUVARLAMA","TANIMSIZ"))))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IF($A777="","",IF($C777&lt;=efs_yuvarlamaEsik,1,0))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IF(OR($A777="",$B777&lt;&gt;"tutar_farki"),"",IF(ABS($C777-$D777)&lt;=toleransKurus,"KDV_ORAN",IF(ABS($C777-$E777*efs_kdvOran)&lt;=toleransKurus,"MATRAH",IF($F777=1,"YUVARLAMA","TANIMSIZ"))))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IF($A778="","",IF($C778&lt;=efs_yuvarlamaEsik,1,0))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IF(OR($A778="",$B778&lt;&gt;"tutar_farki"),"",IF(ABS($C778-$D778)&lt;=toleransKurus,"KDV_ORAN",IF(ABS($C778-$E778*efs_kdvOran)&lt;=toleransKurus,"MATRAH",IF($F778=1,"YUVARLAMA","TANIMSIZ"))))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IF($A779="","",IF($C779&lt;=efs_yuvarlamaEsik,1,0))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IF(OR($A779="",$B779&lt;&gt;"tutar_farki"),"",IF(ABS($C779-$D779)&lt;=toleransKurus,"KDV_ORAN",IF(ABS($C779-$E779*efs_kdvOran)&lt;=toleransKurus,"MATRAH",IF($F779=1,"YUVARLAMA","TANIMSIZ"))))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IF($A780="","",IF($C780&lt;=efs_yuvarlamaEsik,1,0))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IF(OR($A780="",$B780&lt;&gt;"tutar_farki"),"",IF(ABS($C780-$D780)&lt;=toleransKurus,"KDV_ORAN",IF(ABS($C780-$E780*efs_kdvOran)&lt;=toleransKurus,"MATRAH",IF($F780=1,"YUVARLAMA","TANIMSIZ"))))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IF($A781="","",IF($C781&lt;=efs_yuvarlamaEsik,1,0))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IF(OR($A781="",$B781&lt;&gt;"tutar_farki"),"",IF(ABS($C781-$D781)&lt;=toleransKurus,"KDV_ORAN",IF(ABS($C781-$E781*efs_kdvOran)&lt;=toleransKurus,"MATRAH",IF($F781=1,"YUVARLAMA","TANIMSIZ"))))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IF($A782="","",IF($C782&lt;=efs_yuvarlamaEsik,1,0))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IF(OR($A782="",$B782&lt;&gt;"tutar_farki"),"",IF(ABS($C782-$D782)&lt;=toleransKurus,"KDV_ORAN",IF(ABS($C782-$E782*efs_kdvOran)&lt;=toleransKurus,"MATRAH",IF($F782=1,"YUVARLAMA","TANIMSIZ"))))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IF($A783="","",IF($C783&lt;=efs_yuvarlamaEsik,1,0))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IF(OR($A783="",$B783&lt;&gt;"tutar_farki"),"",IF(ABS($C783-$D783)&lt;=toleransKurus,"KDV_ORAN",IF(ABS($C783-$E783*efs_kdvOran)&lt;=toleransKurus,"MATRAH",IF($F783=1,"YUVARLAMA","TANIMSIZ"))))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IF($A784="","",IF($C784&lt;=efs_yuvarlamaEsik,1,0))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IF(OR($A784="",$B784&lt;&gt;"tutar_farki"),"",IF(ABS($C784-$D784)&lt;=toleransKurus,"KDV_ORAN",IF(ABS($C784-$E784*efs_kdvOran)&lt;=toleransKurus,"MATRAH",IF($F784=1,"YUVARLAMA","TANIMSIZ"))))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IF($A785="","",IF($C785&lt;=efs_yuvarlamaEsik,1,0))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IF(OR($A785="",$B785&lt;&gt;"tutar_farki"),"",IF(ABS($C785-$D785)&lt;=toleransKurus,"KDV_ORAN",IF(ABS($C785-$E785*efs_kdvOran)&lt;=toleransKurus,"MATRAH",IF($F785=1,"YUVARLAMA","TANIMSIZ"))))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IF($A786="","",IF($C786&lt;=efs_yuvarlamaEsik,1,0))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IF(OR($A786="",$B786&lt;&gt;"tutar_farki"),"",IF(ABS($C786-$D786)&lt;=toleransKurus,"KDV_ORAN",IF(ABS($C786-$E786*efs_kdvOran)&lt;=toleransKurus,"MATRAH",IF($F786=1,"YUVARLAMA","TANIMSIZ"))))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IF($A787="","",IF($C787&lt;=efs_yuvarlamaEsik,1,0))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IF(OR($A787="",$B787&lt;&gt;"tutar_farki"),"",IF(ABS($C787-$D787)&lt;=toleransKurus,"KDV_ORAN",IF(ABS($C787-$E787*efs_kdvOran)&lt;=toleransKurus,"MATRAH",IF($F787=1,"YUVARLAMA","TANIMSIZ"))))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IF($A788="","",IF($C788&lt;=efs_yuvarlamaEsik,1,0))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IF(OR($A788="",$B788&lt;&gt;"tutar_farki"),"",IF(ABS($C788-$D788)&lt;=toleransKurus,"KDV_ORAN",IF(ABS($C788-$E788*efs_kdvOran)&lt;=toleransKurus,"MATRAH",IF($F788=1,"YUVARLAMA","TANIMSIZ"))))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IF($A789="","",IF($C789&lt;=efs_yuvarlamaEsik,1,0))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IF(OR($A789="",$B789&lt;&gt;"tutar_farki"),"",IF(ABS($C789-$D789)&lt;=toleransKurus,"KDV_ORAN",IF(ABS($C789-$E789*efs_kdvOran)&lt;=toleransKurus,"MATRAH",IF($F789=1,"YUVARLAMA","TANIMSIZ"))))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IF($A790="","",IF($C790&lt;=efs_yuvarlamaEsik,1,0))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IF(OR($A790="",$B790&lt;&gt;"tutar_farki"),"",IF(ABS($C790-$D790)&lt;=toleransKurus,"KDV_ORAN",IF(ABS($C790-$E790*efs_kdvOran)&lt;=toleransKurus,"MATRAH",IF($F790=1,"YUVARLAMA","TANIMSIZ"))))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IF($A791="","",IF($C791&lt;=efs_yuvarlamaEsik,1,0))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IF(OR($A791="",$B791&lt;&gt;"tutar_farki"),"",IF(ABS($C791-$D791)&lt;=toleransKurus,"KDV_ORAN",IF(ABS($C791-$E791*efs_kdvOran)&lt;=toleransKurus,"MATRAH",IF($F791=1,"YUVARLAMA","TANIMSIZ"))))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IF($A792="","",IF($C792&lt;=efs_yuvarlamaEsik,1,0))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IF(OR($A792="",$B792&lt;&gt;"tutar_farki"),"",IF(ABS($C792-$D792)&lt;=toleransKurus,"KDV_ORAN",IF(ABS($C792-$E792*efs_kdvOran)&lt;=toleransKurus,"MATRAH",IF($F792=1,"YUVARLAMA","TANIMSIZ"))))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IF($A793="","",IF($C793&lt;=efs_yuvarlamaEsik,1,0))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IF(OR($A793="",$B793&lt;&gt;"tutar_farki"),"",IF(ABS($C793-$D793)&lt;=toleransKurus,"KDV_ORAN",IF(ABS($C793-$E793*efs_kdvOran)&lt;=toleransKurus,"MATRAH",IF($F793=1,"YUVARLAMA","TANIMSIZ"))))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IF($A794="","",IF($C794&lt;=efs_yuvarlamaEsik,1,0))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IF(OR($A794="",$B794&lt;&gt;"tutar_farki"),"",IF(ABS($C794-$D794)&lt;=toleransKurus,"KDV_ORAN",IF(ABS($C794-$E794*efs_kdvOran)&lt;=toleransKurus,"MATRAH",IF($F794=1,"YUVARLAMA","TANIMSIZ"))))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IF($A795="","",IF($C795&lt;=efs_yuvarlamaEsik,1,0))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IF(OR($A795="",$B795&lt;&gt;"tutar_farki"),"",IF(ABS($C795-$D795)&lt;=toleransKurus,"KDV_ORAN",IF(ABS($C795-$E795*efs_kdvOran)&lt;=toleransKurus,"MATRAH",IF($F795=1,"YUVARLAMA","TANIMSIZ"))))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IF($A796="","",IF($C796&lt;=efs_yuvarlamaEsik,1,0))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IF(OR($A796="",$B796&lt;&gt;"tutar_farki"),"",IF(ABS($C796-$D796)&lt;=toleransKurus,"KDV_ORAN",IF(ABS($C796-$E796*efs_kdvOran)&lt;=toleransKurus,"MATRAH",IF($F796=1,"YUVARLAMA","TANIMSIZ"))))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IF($A797="","",IF($C797&lt;=efs_yuvarlamaEsik,1,0))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IF(OR($A797="",$B797&lt;&gt;"tutar_farki"),"",IF(ABS($C797-$D797)&lt;=toleransKurus,"KDV_ORAN",IF(ABS($C797-$E797*efs_kdvOran)&lt;=toleransKurus,"MATRAH",IF($F797=1,"YUVARLAMA","TANIMSIZ"))))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IF($A798="","",IF($C798&lt;=efs_yuvarlamaEsik,1,0))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IF(OR($A798="",$B798&lt;&gt;"tutar_farki"),"",IF(ABS($C798-$D798)&lt;=toleransKurus,"KDV_ORAN",IF(ABS($C798-$E798*efs_kdvOran)&lt;=toleransKurus,"MATRAH",IF($F798=1,"YUVARLAMA","TANIMSIZ"))))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IF($A799="","",IF($C799&lt;=efs_yuvarlamaEsik,1,0))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IF(OR($A799="",$B799&lt;&gt;"tutar_farki"),"",IF(ABS($C799-$D799)&lt;=toleransKurus,"KDV_ORAN",IF(ABS($C799-$E799*efs_kdvOran)&lt;=toleransKurus,"MATRAH",IF($F799=1,"YUVARLAMA","TANIMSIZ"))))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IF($A800="","",IF($C800&lt;=efs_yuvarlamaEsik,1,0))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IF(OR($A800="",$B800&lt;&gt;"tutar_farki"),"",IF(ABS($C800-$D800)&lt;=toleransKurus,"KDV_ORAN",IF(ABS($C800-$E800*efs_kdvOran)&lt;=toleransKurus,"MATRAH",IF($F800=1,"YUVARLAMA","TANIMSIZ"))))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IF($A801="","",IF($C801&lt;=efs_yuvarlamaEsik,1,0))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IF(OR($A801="",$B801&lt;&gt;"tutar_farki"),"",IF(ABS($C801-$D801)&lt;=toleransKurus,"KDV_ORAN",IF(ABS($C801-$E801*efs_kdvOran)&lt;=toleransKurus,"MATRAH",IF($F801=1,"YUVARLAMA","TANIMSIZ"))))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IF($A802="","",IF($C802&lt;=efs_yuvarlamaEsik,1,0))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IF(OR($A802="",$B802&lt;&gt;"tutar_farki"),"",IF(ABS($C802-$D802)&lt;=toleransKurus,"KDV_ORAN",IF(ABS($C802-$E802*efs_kdvOran)&lt;=toleransKurus,"MATRAH",IF($F802=1,"YUVARLAMA","TANIMSIZ"))))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IF($A803="","",IF($C803&lt;=efs_yuvarlamaEsik,1,0))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IF(OR($A803="",$B803&lt;&gt;"tutar_farki"),"",IF(ABS($C803-$D803)&lt;=toleransKurus,"KDV_ORAN",IF(ABS($C803-$E803*efs_kdvOran)&lt;=toleransKurus,"MATRAH",IF($F803=1,"YUVARLAMA","TANIMSIZ"))))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IF($A804="","",IF($C804&lt;=efs_yuvarlamaEsik,1,0))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IF(OR($A804="",$B804&lt;&gt;"tutar_farki"),"",IF(ABS($C804-$D804)&lt;=toleransKurus,"KDV_ORAN",IF(ABS($C804-$E804*efs_kdvOran)&lt;=toleransKurus,"MATRAH",IF($F804=1,"YUVARLAMA","TANIMSIZ"))))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IF($A805="","",IF($C805&lt;=efs_yuvarlamaEsik,1,0))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IF(OR($A805="",$B805&lt;&gt;"tutar_farki"),"",IF(ABS($C805-$D805)&lt;=toleransKurus,"KDV_ORAN",IF(ABS($C805-$E805*efs_kdvOran)&lt;=toleransKurus,"MATRAH",IF($F805=1,"YUVARLAMA","TANIMSIZ"))))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IF($A806="","",IF($C806&lt;=efs_yuvarlamaEsik,1,0))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IF(OR($A806="",$B806&lt;&gt;"tutar_farki"),"",IF(ABS($C806-$D806)&lt;=toleransKurus,"KDV_ORAN",IF(ABS($C806-$E806*efs_kdvOran)&lt;=toleransKurus,"MATRAH",IF($F806=1,"YUVARLAMA","TANIMSIZ"))))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IF($A807="","",IF($C807&lt;=efs_yuvarlamaEsik,1,0))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IF(OR($A807="",$B807&lt;&gt;"tutar_farki"),"",IF(ABS($C807-$D807)&lt;=toleransKurus,"KDV_ORAN",IF(ABS($C807-$E807*efs_kdvOran)&lt;=toleransKurus,"MATRAH",IF($F807=1,"YUVARLAMA","TANIMSIZ"))))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IF($A808="","",IF($C808&lt;=efs_yuvarlamaEsik,1,0))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IF(OR($A808="",$B808&lt;&gt;"tutar_farki"),"",IF(ABS($C808-$D808)&lt;=toleransKurus,"KDV_ORAN",IF(ABS($C808-$E808*efs_kdvOran)&lt;=toleransKurus,"MATRAH",IF($F808=1,"YUVARLAMA","TANIMSIZ"))))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IF($A809="","",IF($C809&lt;=efs_yuvarlamaEsik,1,0))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IF(OR($A809="",$B809&lt;&gt;"tutar_farki"),"",IF(ABS($C809-$D809)&lt;=toleransKurus,"KDV_ORAN",IF(ABS($C809-$E809*efs_kdvOran)&lt;=toleransKurus,"MATRAH",IF($F809=1,"YUVARLAMA","TANIMSIZ"))))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IF($A810="","",IF($C810&lt;=efs_yuvarlamaEsik,1,0))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IF(OR($A810="",$B810&lt;&gt;"tutar_farki"),"",IF(ABS($C810-$D810)&lt;=toleransKurus,"KDV_ORAN",IF(ABS($C810-$E810*efs_kdvOran)&lt;=toleransKurus,"MATRAH",IF($F810=1,"YUVARLAMA","TANIMSIZ"))))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IF($A811="","",IF($C811&lt;=efs_yuvarlamaEsik,1,0))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IF(OR($A811="",$B811&lt;&gt;"tutar_farki"),"",IF(ABS($C811-$D811)&lt;=toleransKurus,"KDV_ORAN",IF(ABS($C811-$E811*efs_kdvOran)&lt;=toleransKurus,"MATRAH",IF($F811=1,"YUVARLAMA","TANIMSIZ"))))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IF($A812="","",IF($C812&lt;=efs_yuvarlamaEsik,1,0))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IF(OR($A812="",$B812&lt;&gt;"tutar_farki"),"",IF(ABS($C812-$D812)&lt;=toleransKurus,"KDV_ORAN",IF(ABS($C812-$E812*efs_kdvOran)&lt;=toleransKurus,"MATRAH",IF($F812=1,"YUVARLAMA","TANIMSIZ"))))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IF($A813="","",IF($C813&lt;=efs_yuvarlamaEsik,1,0))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IF(OR($A813="",$B813&lt;&gt;"tutar_farki"),"",IF(ABS($C813-$D813)&lt;=toleransKurus,"KDV_ORAN",IF(ABS($C813-$E813*efs_kdvOran)&lt;=toleransKurus,"MATRAH",IF($F813=1,"YUVARLAMA","TANIMSIZ"))))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IF($A814="","",IF($C814&lt;=efs_yuvarlamaEsik,1,0))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IF(OR($A814="",$B814&lt;&gt;"tutar_farki"),"",IF(ABS($C814-$D814)&lt;=toleransKurus,"KDV_ORAN",IF(ABS($C814-$E814*efs_kdvOran)&lt;=toleransKurus,"MATRAH",IF($F814=1,"YUVARLAMA","TANIMSIZ"))))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IF($A815="","",IF($C815&lt;=efs_yuvarlamaEsik,1,0))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IF(OR($A815="",$B815&lt;&gt;"tutar_farki"),"",IF(ABS($C815-$D815)&lt;=toleransKurus,"KDV_ORAN",IF(ABS($C815-$E815*efs_kdvOran)&lt;=toleransKurus,"MATRAH",IF($F815=1,"YUVARLAMA","TANIMSIZ"))))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IF($A816="","",IF($C816&lt;=efs_yuvarlamaEsik,1,0))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IF(OR($A816="",$B816&lt;&gt;"tutar_farki"),"",IF(ABS($C816-$D816)&lt;=toleransKurus,"KDV_ORAN",IF(ABS($C816-$E816*efs_kdvOran)&lt;=toleransKurus,"MATRAH",IF($F816=1,"YUVARLAMA","TANIMSIZ"))))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IF($A817="","",IF($C817&lt;=efs_yuvarlamaEsik,1,0))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IF(OR($A817="",$B817&lt;&gt;"tutar_farki"),"",IF(ABS($C817-$D817)&lt;=toleransKurus,"KDV_ORAN",IF(ABS($C817-$E817*efs_kdvOran)&lt;=toleransKurus,"MATRAH",IF($F817=1,"YUVARLAMA","TANIMSIZ"))))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IF($A818="","",IF($C818&lt;=efs_yuvarlamaEsik,1,0))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IF(OR($A818="",$B818&lt;&gt;"tutar_farki"),"",IF(ABS($C818-$D818)&lt;=toleransKurus,"KDV_ORAN",IF(ABS($C818-$E818*efs_kdvOran)&lt;=toleransKurus,"MATRAH",IF($F818=1,"YUVARLAMA","TANIMSIZ"))))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IF($A819="","",IF($C819&lt;=efs_yuvarlamaEsik,1,0))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IF(OR($A819="",$B819&lt;&gt;"tutar_farki"),"",IF(ABS($C819-$D819)&lt;=toleransKurus,"KDV_ORAN",IF(ABS($C819-$E819*efs_kdvOran)&lt;=toleransKurus,"MATRAH",IF($F819=1,"YUVARLAMA","TANIMSIZ"))))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IF($A820="","",IF($C820&lt;=efs_yuvarlamaEsik,1,0))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IF(OR($A820="",$B820&lt;&gt;"tutar_farki"),"",IF(ABS($C820-$D820)&lt;=toleransKurus,"KDV_ORAN",IF(ABS($C820-$E820*efs_kdvOran)&lt;=toleransKurus,"MATRAH",IF($F820=1,"YUVARLAMA","TANIMSIZ"))))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IF($A821="","",IF($C821&lt;=efs_yuvarlamaEsik,1,0))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IF(OR($A821="",$B821&lt;&gt;"tutar_farki"),"",IF(ABS($C821-$D821)&lt;=toleransKurus,"KDV_ORAN",IF(ABS($C821-$E821*efs_kdvOran)&lt;=toleransKurus,"MATRAH",IF($F821=1,"YUVARLAMA","TANIMSIZ"))))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IF($A822="","",IF($C822&lt;=efs_yuvarlamaEsik,1,0))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IF(OR($A822="",$B822&lt;&gt;"tutar_farki"),"",IF(ABS($C822-$D822)&lt;=toleransKurus,"KDV_ORAN",IF(ABS($C822-$E822*efs_kdvOran)&lt;=toleransKurus,"MATRAH",IF($F822=1,"YUVARLAMA","TANIMSIZ"))))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IF($A823="","",IF($C823&lt;=efs_yuvarlamaEsik,1,0))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IF(OR($A823="",$B823&lt;&gt;"tutar_farki"),"",IF(ABS($C823-$D823)&lt;=toleransKurus,"KDV_ORAN",IF(ABS($C823-$E823*efs_kdvOran)&lt;=toleransKurus,"MATRAH",IF($F823=1,"YUVARLAMA","TANIMSIZ"))))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IF($A824="","",IF($C824&lt;=efs_yuvarlamaEsik,1,0))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IF(OR($A824="",$B824&lt;&gt;"tutar_farki"),"",IF(ABS($C824-$D824)&lt;=toleransKurus,"KDV_ORAN",IF(ABS($C824-$E824*efs_kdvOran)&lt;=toleransKurus,"MATRAH",IF($F824=1,"YUVARLAMA","TANIMSIZ"))))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IF($A825="","",IF($C825&lt;=efs_yuvarlamaEsik,1,0))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IF(OR($A825="",$B825&lt;&gt;"tutar_farki"),"",IF(ABS($C825-$D825)&lt;=toleransKurus,"KDV_ORAN",IF(ABS($C825-$E825*efs_kdvOran)&lt;=toleransKurus,"MATRAH",IF($F825=1,"YUVARLAMA","TANIMSIZ"))))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IF($A826="","",IF($C826&lt;=efs_yuvarlamaEsik,1,0))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IF(OR($A826="",$B826&lt;&gt;"tutar_farki"),"",IF(ABS($C826-$D826)&lt;=toleransKurus,"KDV_ORAN",IF(ABS($C826-$E826*efs_kdvOran)&lt;=toleransKurus,"MATRAH",IF($F826=1,"YUVARLAMA","TANIMSIZ"))))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IF($A827="","",IF($C827&lt;=efs_yuvarlamaEsik,1,0))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IF(OR($A827="",$B827&lt;&gt;"tutar_farki"),"",IF(ABS($C827-$D827)&lt;=toleransKurus,"KDV_ORAN",IF(ABS($C827-$E827*efs_kdvOran)&lt;=toleransKurus,"MATRAH",IF($F827=1,"YUVARLAMA","TANIMSIZ"))))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IF($A828="","",IF($C828&lt;=efs_yuvarlamaEsik,1,0))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IF(OR($A828="",$B828&lt;&gt;"tutar_farki"),"",IF(ABS($C828-$D828)&lt;=toleransKurus,"KDV_ORAN",IF(ABS($C828-$E828*efs_kdvOran)&lt;=toleransKurus,"MATRAH",IF($F828=1,"YUVARLAMA","TANIMSIZ"))))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IF($A829="","",IF($C829&lt;=efs_yuvarlamaEsik,1,0))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IF(OR($A829="",$B829&lt;&gt;"tutar_farki"),"",IF(ABS($C829-$D829)&lt;=toleransKurus,"KDV_ORAN",IF(ABS($C829-$E829*efs_kdvOran)&lt;=toleransKurus,"MATRAH",IF($F829=1,"YUVARLAMA","TANIMSIZ"))))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IF($A830="","",IF($C830&lt;=efs_yuvarlamaEsik,1,0))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IF(OR($A830="",$B830&lt;&gt;"tutar_farki"),"",IF(ABS($C830-$D830)&lt;=toleransKurus,"KDV_ORAN",IF(ABS($C830-$E830*efs_kdvOran)&lt;=toleransKurus,"MATRAH",IF($F830=1,"YUVARLAMA","TANIMSIZ"))))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IF($A831="","",IF($C831&lt;=efs_yuvarlamaEsik,1,0))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IF(OR($A831="",$B831&lt;&gt;"tutar_farki"),"",IF(ABS($C831-$D831)&lt;=toleransKurus,"KDV_ORAN",IF(ABS($C831-$E831*efs_kdvOran)&lt;=toleransKurus,"MATRAH",IF($F831=1,"YUVARLAMA","TANIMSIZ"))))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IF($A832="","",IF($C832&lt;=efs_yuvarlamaEsik,1,0))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IF(OR($A832="",$B832&lt;&gt;"tutar_farki"),"",IF(ABS($C832-$D832)&lt;=toleransKurus,"KDV_ORAN",IF(ABS($C832-$E832*efs_kdvOran)&lt;=toleransKurus,"MATRAH",IF($F832=1,"YUVARLAMA","TANIMSIZ"))))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IF($A833="","",IF($C833&lt;=efs_yuvarlamaEsik,1,0))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IF(OR($A833="",$B833&lt;&gt;"tutar_farki"),"",IF(ABS($C833-$D833)&lt;=toleransKurus,"KDV_ORAN",IF(ABS($C833-$E833*efs_kdvOran)&lt;=toleransKurus,"MATRAH",IF($F833=1,"YUVARLAMA","TANIMSIZ"))))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IF($A834="","",IF($C834&lt;=efs_yuvarlamaEsik,1,0))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IF(OR($A834="",$B834&lt;&gt;"tutar_farki"),"",IF(ABS($C834-$D834)&lt;=toleransKurus,"KDV_ORAN",IF(ABS($C834-$E834*efs_kdvOran)&lt;=toleransKurus,"MATRAH",IF($F834=1,"YUVARLAMA","TANIMSIZ"))))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IF($A835="","",IF($C835&lt;=efs_yuvarlamaEsik,1,0))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IF(OR($A835="",$B835&lt;&gt;"tutar_farki"),"",IF(ABS($C835-$D835)&lt;=toleransKurus,"KDV_ORAN",IF(ABS($C835-$E835*efs_kdvOran)&lt;=toleransKurus,"MATRAH",IF($F835=1,"YUVARLAMA","TANIMSIZ"))))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IF($A836="","",IF($C836&lt;=efs_yuvarlamaEsik,1,0))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IF(OR($A836="",$B836&lt;&gt;"tutar_farki"),"",IF(ABS($C836-$D836)&lt;=toleransKurus,"KDV_ORAN",IF(ABS($C836-$E836*efs_kdvOran)&lt;=toleransKurus,"MATRAH",IF($F836=1,"YUVARLAMA","TANIMSIZ"))))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IF($A837="","",IF($C837&lt;=efs_yuvarlamaEsik,1,0))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IF(OR($A837="",$B837&lt;&gt;"tutar_farki"),"",IF(ABS($C837-$D837)&lt;=toleransKurus,"KDV_ORAN",IF(ABS($C837-$E837*efs_kdvOran)&lt;=toleransKurus,"MATRAH",IF($F837=1,"YUVARLAMA","TANIMSIZ"))))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IF($A838="","",IF($C838&lt;=efs_yuvarlamaEsik,1,0))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IF(OR($A838="",$B838&lt;&gt;"tutar_farki"),"",IF(ABS($C838-$D838)&lt;=toleransKurus,"KDV_ORAN",IF(ABS($C838-$E838*efs_kdvOran)&lt;=toleransKurus,"MATRAH",IF($F838=1,"YUVARLAMA","TANIMSIZ"))))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IF($A839="","",IF($C839&lt;=efs_yuvarlamaEsik,1,0))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IF(OR($A839="",$B839&lt;&gt;"tutar_farki"),"",IF(ABS($C839-$D839)&lt;=toleransKurus,"KDV_ORAN",IF(ABS($C839-$E839*efs_kdvOran)&lt;=toleransKurus,"MATRAH",IF($F839=1,"YUVARLAMA","TANIMSIZ"))))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IF($A840="","",IF($C840&lt;=efs_yuvarlamaEsik,1,0))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IF(OR($A840="",$B840&lt;&gt;"tutar_farki"),"",IF(ABS($C840-$D840)&lt;=toleransKurus,"KDV_ORAN",IF(ABS($C840-$E840*efs_kdvOran)&lt;=toleransKurus,"MATRAH",IF($F840=1,"YUVARLAMA","TANIMSIZ"))))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IF($A841="","",IF($C841&lt;=efs_yuvarlamaEsik,1,0))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IF(OR($A841="",$B841&lt;&gt;"tutar_farki"),"",IF(ABS($C841-$D841)&lt;=toleransKurus,"KDV_ORAN",IF(ABS($C841-$E841*efs_kdvOran)&lt;=toleransKurus,"MATRAH",IF($F841=1,"YUVARLAMA","TANIMSIZ"))))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IF($A842="","",IF($C842&lt;=efs_yuvarlamaEsik,1,0))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IF(OR($A842="",$B842&lt;&gt;"tutar_farki"),"",IF(ABS($C842-$D842)&lt;=toleransKurus,"KDV_ORAN",IF(ABS($C842-$E842*efs_kdvOran)&lt;=toleransKurus,"MATRAH",IF($F842=1,"YUVARLAMA","TANIMSIZ"))))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IF($A843="","",IF($C843&lt;=efs_yuvarlamaEsik,1,0))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IF(OR($A843="",$B843&lt;&gt;"tutar_farki"),"",IF(ABS($C843-$D843)&lt;=toleransKurus,"KDV_ORAN",IF(ABS($C843-$E843*efs_kdvOran)&lt;=toleransKurus,"MATRAH",IF($F843=1,"YUVARLAMA","TANIMSIZ"))))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IF($A844="","",IF($C844&lt;=efs_yuvarlamaEsik,1,0))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IF(OR($A844="",$B844&lt;&gt;"tutar_farki"),"",IF(ABS($C844-$D844)&lt;=toleransKurus,"KDV_ORAN",IF(ABS($C844-$E844*efs_kdvOran)&lt;=toleransKurus,"MATRAH",IF($F844=1,"YUVARLAMA","TANIMSIZ"))))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IF($A845="","",IF($C845&lt;=efs_yuvarlamaEsik,1,0))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IF(OR($A845="",$B845&lt;&gt;"tutar_farki"),"",IF(ABS($C845-$D845)&lt;=toleransKurus,"KDV_ORAN",IF(ABS($C845-$E845*efs_kdvOran)&lt;=toleransKurus,"MATRAH",IF($F845=1,"YUVARLAMA","TANIMSIZ"))))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IF($A846="","",IF($C846&lt;=efs_yuvarlamaEsik,1,0))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IF(OR($A846="",$B846&lt;&gt;"tutar_farki"),"",IF(ABS($C846-$D846)&lt;=toleransKurus,"KDV_ORAN",IF(ABS($C846-$E846*efs_kdvOran)&lt;=toleransKurus,"MATRAH",IF($F846=1,"YUVARLAMA","TANIMSIZ"))))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IF($A847="","",IF($C847&lt;=efs_yuvarlamaEsik,1,0))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IF(OR($A847="",$B847&lt;&gt;"tutar_farki"),"",IF(ABS($C847-$D847)&lt;=toleransKurus,"KDV_ORAN",IF(ABS($C847-$E847*efs_kdvOran)&lt;=toleransKurus,"MATRAH",IF($F847=1,"YUVARLAMA","TANIMSIZ"))))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IF($A848="","",IF($C848&lt;=efs_yuvarlamaEsik,1,0))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IF(OR($A848="",$B848&lt;&gt;"tutar_farki"),"",IF(ABS($C848-$D848)&lt;=toleransKurus,"KDV_ORAN",IF(ABS($C848-$E848*efs_kdvOran)&lt;=toleransKurus,"MATRAH",IF($F848=1,"YUVARLAMA","TANIMSIZ"))))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IF($A849="","",IF($C849&lt;=efs_yuvarlamaEsik,1,0))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IF(OR($A849="",$B849&lt;&gt;"tutar_farki"),"",IF(ABS($C849-$D849)&lt;=toleransKurus,"KDV_ORAN",IF(ABS($C849-$E849*efs_kdvOran)&lt;=toleransKurus,"MATRAH",IF($F849=1,"YUVARLAMA","TANIMSIZ"))))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IF($A850="","",IF($C850&lt;=efs_yuvarlamaEsik,1,0))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IF(OR($A850="",$B850&lt;&gt;"tutar_farki"),"",IF(ABS($C850-$D850)&lt;=toleransKurus,"KDV_ORAN",IF(ABS($C850-$E850*efs_kdvOran)&lt;=toleransKurus,"MATRAH",IF($F850=1,"YUVARLAMA","TANIMSIZ"))))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IF($A851="","",IF($C851&lt;=efs_yuvarlamaEsik,1,0))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IF(OR($A851="",$B851&lt;&gt;"tutar_farki"),"",IF(ABS($C851-$D851)&lt;=toleransKurus,"KDV_ORAN",IF(ABS($C851-$E851*efs_kdvOran)&lt;=toleransKurus,"MATRAH",IF($F851=1,"YUVARLAMA","TANIMSIZ"))))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IF($A852="","",IF($C852&lt;=efs_yuvarlamaEsik,1,0))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IF(OR($A852="",$B852&lt;&gt;"tutar_farki"),"",IF(ABS($C852-$D852)&lt;=toleransKurus,"KDV_ORAN",IF(ABS($C852-$E852*efs_kdvOran)&lt;=toleransKurus,"MATRAH",IF($F852=1,"YUVARLAMA","TANIMSIZ"))))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IF($A853="","",IF($C853&lt;=efs_yuvarlamaEsik,1,0))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IF(OR($A853="",$B853&lt;&gt;"tutar_farki"),"",IF(ABS($C853-$D853)&lt;=toleransKurus,"KDV_ORAN",IF(ABS($C853-$E853*efs_kdvOran)&lt;=toleransKurus,"MATRAH",IF($F853=1,"YUVARLAMA","TANIMSIZ"))))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IF($A854="","",IF($C854&lt;=efs_yuvarlamaEsik,1,0))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IF(OR($A854="",$B854&lt;&gt;"tutar_farki"),"",IF(ABS($C854-$D854)&lt;=toleransKurus,"KDV_ORAN",IF(ABS($C854-$E854*efs_kdvOran)&lt;=toleransKurus,"MATRAH",IF($F854=1,"YUVARLAMA","TANIMSIZ"))))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IF($A855="","",IF($C855&lt;=efs_yuvarlamaEsik,1,0))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IF(OR($A855="",$B855&lt;&gt;"tutar_farki"),"",IF(ABS($C855-$D855)&lt;=toleransKurus,"KDV_ORAN",IF(ABS($C855-$E855*efs_kdvOran)&lt;=toleransKurus,"MATRAH",IF($F855=1,"YUVARLAMA","TANIMSIZ"))))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IF($A856="","",IF($C856&lt;=efs_yuvarlamaEsik,1,0))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IF(OR($A856="",$B856&lt;&gt;"tutar_farki"),"",IF(ABS($C856-$D856)&lt;=toleransKurus,"KDV_ORAN",IF(ABS($C856-$E856*efs_kdvOran)&lt;=toleransKurus,"MATRAH",IF($F856=1,"YUVARLAMA","TANIMSIZ"))))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IF($A857="","",IF($C857&lt;=efs_yuvarlamaEsik,1,0))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IF(OR($A857="",$B857&lt;&gt;"tutar_farki"),"",IF(ABS($C857-$D857)&lt;=toleransKurus,"KDV_ORAN",IF(ABS($C857-$E857*efs_kdvOran)&lt;=toleransKurus,"MATRAH",IF($F857=1,"YUVARLAMA","TANIMSIZ"))))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IF($A858="","",IF($C858&lt;=efs_yuvarlamaEsik,1,0))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IF(OR($A858="",$B858&lt;&gt;"tutar_farki"),"",IF(ABS($C858-$D858)&lt;=toleransKurus,"KDV_ORAN",IF(ABS($C858-$E858*efs_kdvOran)&lt;=toleransKurus,"MATRAH",IF($F858=1,"YUVARLAMA","TANIMSIZ"))))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IF($A859="","",IF($C859&lt;=efs_yuvarlamaEsik,1,0))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IF(OR($A859="",$B859&lt;&gt;"tutar_farki"),"",IF(ABS($C859-$D859)&lt;=toleransKurus,"KDV_ORAN",IF(ABS($C859-$E859*efs_kdvOran)&lt;=toleransKurus,"MATRAH",IF($F859=1,"YUVARLAMA","TANIMSIZ"))))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IF($A860="","",IF($C860&lt;=efs_yuvarlamaEsik,1,0))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IF(OR($A860="",$B860&lt;&gt;"tutar_farki"),"",IF(ABS($C860-$D860)&lt;=toleransKurus,"KDV_ORAN",IF(ABS($C860-$E860*efs_kdvOran)&lt;=toleransKurus,"MATRAH",IF($F860=1,"YUVARLAMA","TANIMSIZ"))))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IF($A861="","",IF($C861&lt;=efs_yuvarlamaEsik,1,0))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IF(OR($A861="",$B861&lt;&gt;"tutar_farki"),"",IF(ABS($C861-$D861)&lt;=toleransKurus,"KDV_ORAN",IF(ABS($C861-$E861*efs_kdvOran)&lt;=toleransKurus,"MATRAH",IF($F861=1,"YUVARLAMA","TANIMSIZ"))))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IF($A862="","",IF($C862&lt;=efs_yuvarlamaEsik,1,0))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IF(OR($A862="",$B862&lt;&gt;"tutar_farki"),"",IF(ABS($C862-$D862)&lt;=toleransKurus,"KDV_ORAN",IF(ABS($C862-$E862*efs_kdvOran)&lt;=toleransKurus,"MATRAH",IF($F862=1,"YUVARLAMA","TANIMSIZ"))))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IF($A863="","",IF($C863&lt;=efs_yuvarlamaEsik,1,0))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IF(OR($A863="",$B863&lt;&gt;"tutar_farki"),"",IF(ABS($C863-$D863)&lt;=toleransKurus,"KDV_ORAN",IF(ABS($C863-$E863*efs_kdvOran)&lt;=toleransKurus,"MATRAH",IF($F863=1,"YUVARLAMA","TANIMSIZ"))))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IF($A864="","",IF($C864&lt;=efs_yuvarlamaEsik,1,0))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IF(OR($A864="",$B864&lt;&gt;"tutar_farki"),"",IF(ABS($C864-$D864)&lt;=toleransKurus,"KDV_ORAN",IF(ABS($C864-$E864*efs_kdvOran)&lt;=toleransKurus,"MATRAH",IF($F864=1,"YUVARLAMA","TANIMSIZ"))))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IF($A865="","",IF($C865&lt;=efs_yuvarlamaEsik,1,0))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IF(OR($A865="",$B865&lt;&gt;"tutar_farki"),"",IF(ABS($C865-$D865)&lt;=toleransKurus,"KDV_ORAN",IF(ABS($C865-$E865*efs_kdvOran)&lt;=toleransKurus,"MATRAH",IF($F865=1,"YUVARLAMA","TANIMSIZ"))))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IF($A866="","",IF($C866&lt;=efs_yuvarlamaEsik,1,0))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IF(OR($A866="",$B866&lt;&gt;"tutar_farki"),"",IF(ABS($C866-$D866)&lt;=toleransKurus,"KDV_ORAN",IF(ABS($C866-$E866*efs_kdvOran)&lt;=toleransKurus,"MATRAH",IF($F866=1,"YUVARLAMA","TANIMSIZ"))))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IF($A867="","",IF($C867&lt;=efs_yuvarlamaEsik,1,0))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IF(OR($A867="",$B867&lt;&gt;"tutar_farki"),"",IF(ABS($C867-$D867)&lt;=toleransKurus,"KDV_ORAN",IF(ABS($C867-$E867*efs_kdvOran)&lt;=toleransKurus,"MATRAH",IF($F867=1,"YUVARLAMA","TANIMSIZ"))))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IF($A868="","",IF($C868&lt;=efs_yuvarlamaEsik,1,0))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IF(OR($A868="",$B868&lt;&gt;"tutar_farki"),"",IF(ABS($C868-$D868)&lt;=toleransKurus,"KDV_ORAN",IF(ABS($C868-$E868*efs_kdvOran)&lt;=toleransKurus,"MATRAH",IF($F868=1,"YUVARLAMA","TANIMSIZ"))))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IF($A869="","",IF($C869&lt;=efs_yuvarlamaEsik,1,0))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IF(OR($A869="",$B869&lt;&gt;"tutar_farki"),"",IF(ABS($C869-$D869)&lt;=toleransKurus,"KDV_ORAN",IF(ABS($C869-$E869*efs_kdvOran)&lt;=toleransKurus,"MATRAH",IF($F869=1,"YUVARLAMA","TANIMSIZ"))))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IF($A870="","",IF($C870&lt;=efs_yuvarlamaEsik,1,0))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IF(OR($A870="",$B870&lt;&gt;"tutar_farki"),"",IF(ABS($C870-$D870)&lt;=toleransKurus,"KDV_ORAN",IF(ABS($C870-$E870*efs_kdvOran)&lt;=toleransKurus,"MATRAH",IF($F870=1,"YUVARLAMA","TANIMSIZ"))))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IF($A871="","",IF($C871&lt;=efs_yuvarlamaEsik,1,0))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IF(OR($A871="",$B871&lt;&gt;"tutar_farki"),"",IF(ABS($C871-$D871)&lt;=toleransKurus,"KDV_ORAN",IF(ABS($C871-$E871*efs_kdvOran)&lt;=toleransKurus,"MATRAH",IF($F871=1,"YUVARLAMA","TANIMSIZ"))))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IF($A872="","",IF($C872&lt;=efs_yuvarlamaEsik,1,0))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IF(OR($A872="",$B872&lt;&gt;"tutar_farki"),"",IF(ABS($C872-$D872)&lt;=toleransKurus,"KDV_ORAN",IF(ABS($C872-$E872*efs_kdvOran)&lt;=toleransKurus,"MATRAH",IF($F872=1,"YUVARLAMA","TANIMSIZ"))))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IF($A873="","",IF($C873&lt;=efs_yuvarlamaEsik,1,0))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IF(OR($A873="",$B873&lt;&gt;"tutar_farki"),"",IF(ABS($C873-$D873)&lt;=toleransKurus,"KDV_ORAN",IF(ABS($C873-$E873*efs_kdvOran)&lt;=toleransKurus,"MATRAH",IF($F873=1,"YUVARLAMA","TANIMSIZ"))))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IF($A874="","",IF($C874&lt;=efs_yuvarlamaEsik,1,0))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IF(OR($A874="",$B874&lt;&gt;"tutar_farki"),"",IF(ABS($C874-$D874)&lt;=toleransKurus,"KDV_ORAN",IF(ABS($C874-$E874*efs_kdvOran)&lt;=toleransKurus,"MATRAH",IF($F874=1,"YUVARLAMA","TANIMSIZ"))))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IF($A875="","",IF($C875&lt;=efs_yuvarlamaEsik,1,0))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IF(OR($A875="",$B875&lt;&gt;"tutar_farki"),"",IF(ABS($C875-$D875)&lt;=toleransKurus,"KDV_ORAN",IF(ABS($C875-$E875*efs_kdvOran)&lt;=toleransKurus,"MATRAH",IF($F875=1,"YUVARLAMA","TANIMSIZ"))))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IF($A876="","",IF($C876&lt;=efs_yuvarlamaEsik,1,0))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IF(OR($A876="",$B876&lt;&gt;"tutar_farki"),"",IF(ABS($C876-$D876)&lt;=toleransKurus,"KDV_ORAN",IF(ABS($C876-$E876*efs_kdvOran)&lt;=toleransKurus,"MATRAH",IF($F876=1,"YUVARLAMA","TANIMSIZ"))))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IF($A877="","",IF($C877&lt;=efs_yuvarlamaEsik,1,0))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IF(OR($A877="",$B877&lt;&gt;"tutar_farki"),"",IF(ABS($C877-$D877)&lt;=toleransKurus,"KDV_ORAN",IF(ABS($C877-$E877*efs_kdvOran)&lt;=toleransKurus,"MATRAH",IF($F877=1,"YUVARLAMA","TANIMSIZ"))))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IF($A878="","",IF($C878&lt;=efs_yuvarlamaEsik,1,0))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IF(OR($A878="",$B878&lt;&gt;"tutar_farki"),"",IF(ABS($C878-$D878)&lt;=toleransKurus,"KDV_ORAN",IF(ABS($C878-$E878*efs_kdvOran)&lt;=toleransKurus,"MATRAH",IF($F878=1,"YUVARLAMA","TANIMSIZ"))))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IF($A879="","",IF($C879&lt;=efs_yuvarlamaEsik,1,0))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IF(OR($A879="",$B879&lt;&gt;"tutar_farki"),"",IF(ABS($C879-$D879)&lt;=toleransKurus,"KDV_ORAN",IF(ABS($C879-$E879*efs_kdvOran)&lt;=toleransKurus,"MATRAH",IF($F879=1,"YUVARLAMA","TANIMSIZ"))))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IF($A880="","",IF($C880&lt;=efs_yuvarlamaEsik,1,0))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IF(OR($A880="",$B880&lt;&gt;"tutar_farki"),"",IF(ABS($C880-$D880)&lt;=toleransKurus,"KDV_ORAN",IF(ABS($C880-$E880*efs_kdvOran)&lt;=toleransKurus,"MATRAH",IF($F880=1,"YUVARLAMA","TANIMSIZ"))))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IF($A881="","",IF($C881&lt;=efs_yuvarlamaEsik,1,0))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IF(OR($A881="",$B881&lt;&gt;"tutar_farki"),"",IF(ABS($C881-$D881)&lt;=toleransKurus,"KDV_ORAN",IF(ABS($C881-$E881*efs_kdvOran)&lt;=toleransKurus,"MATRAH",IF($F881=1,"YUVARLAMA","TANIMSIZ"))))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IF($A882="","",IF($C882&lt;=efs_yuvarlamaEsik,1,0))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IF(OR($A882="",$B882&lt;&gt;"tutar_farki"),"",IF(ABS($C882-$D882)&lt;=toleransKurus,"KDV_ORAN",IF(ABS($C882-$E882*efs_kdvOran)&lt;=toleransKurus,"MATRAH",IF($F882=1,"YUVARLAMA","TANIMSIZ"))))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IF($A883="","",IF($C883&lt;=efs_yuvarlamaEsik,1,0))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IF(OR($A883="",$B883&lt;&gt;"tutar_farki"),"",IF(ABS($C883-$D883)&lt;=toleransKurus,"KDV_ORAN",IF(ABS($C883-$E883*efs_kdvOran)&lt;=toleransKurus,"MATRAH",IF($F883=1,"YUVARLAMA","TANIMSIZ"))))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IF($A884="","",IF($C884&lt;=efs_yuvarlamaEsik,1,0))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IF(OR($A884="",$B884&lt;&gt;"tutar_farki"),"",IF(ABS($C884-$D884)&lt;=toleransKurus,"KDV_ORAN",IF(ABS($C884-$E884*efs_kdvOran)&lt;=toleransKurus,"MATRAH",IF($F884=1,"YUVARLAMA","TANIMSIZ"))))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IF($A885="","",IF($C885&lt;=efs_yuvarlamaEsik,1,0))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IF(OR($A885="",$B885&lt;&gt;"tutar_farki"),"",IF(ABS($C885-$D885)&lt;=toleransKurus,"KDV_ORAN",IF(ABS($C885-$E885*efs_kdvOran)&lt;=toleransKurus,"MATRAH",IF($F885=1,"YUVARLAMA","TANIMSIZ"))))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IF($A886="","",IF($C886&lt;=efs_yuvarlamaEsik,1,0))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IF(OR($A886="",$B886&lt;&gt;"tutar_farki"),"",IF(ABS($C886-$D886)&lt;=toleransKurus,"KDV_ORAN",IF(ABS($C886-$E886*efs_kdvOran)&lt;=toleransKurus,"MATRAH",IF($F886=1,"YUVARLAMA","TANIMSIZ"))))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IF($A887="","",IF($C887&lt;=efs_yuvarlamaEsik,1,0))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IF(OR($A887="",$B887&lt;&gt;"tutar_farki"),"",IF(ABS($C887-$D887)&lt;=toleransKurus,"KDV_ORAN",IF(ABS($C887-$E887*efs_kdvOran)&lt;=toleransKurus,"MATRAH",IF($F887=1,"YUVARLAMA","TANIMSIZ"))))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IF($A888="","",IF($C888&lt;=efs_yuvarlamaEsik,1,0))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IF(OR($A888="",$B888&lt;&gt;"tutar_farki"),"",IF(ABS($C888-$D888)&lt;=toleransKurus,"KDV_ORAN",IF(ABS($C888-$E888*efs_kdvOran)&lt;=toleransKurus,"MATRAH",IF($F888=1,"YUVARLAMA","TANIMSIZ"))))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IF($A889="","",IF($C889&lt;=efs_yuvarlamaEsik,1,0))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IF(OR($A889="",$B889&lt;&gt;"tutar_farki"),"",IF(ABS($C889-$D889)&lt;=toleransKurus,"KDV_ORAN",IF(ABS($C889-$E889*efs_kdvOran)&lt;=toleransKurus,"MATRAH",IF($F889=1,"YUVARLAMA","TANIMSIZ"))))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IF($A890="","",IF($C890&lt;=efs_yuvarlamaEsik,1,0))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IF(OR($A890="",$B890&lt;&gt;"tutar_farki"),"",IF(ABS($C890-$D890)&lt;=toleransKurus,"KDV_ORAN",IF(ABS($C890-$E890*efs_kdvOran)&lt;=toleransKurus,"MATRAH",IF($F890=1,"YUVARLAMA","TANIMSIZ"))))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IF($A891="","",IF($C891&lt;=efs_yuvarlamaEsik,1,0))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IF(OR($A891="",$B891&lt;&gt;"tutar_farki"),"",IF(ABS($C891-$D891)&lt;=toleransKurus,"KDV_ORAN",IF(ABS($C891-$E891*efs_kdvOran)&lt;=toleransKurus,"MATRAH",IF($F891=1,"YUVARLAMA","TANIMSIZ"))))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IF($A892="","",IF($C892&lt;=efs_yuvarlamaEsik,1,0))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IF(OR($A892="",$B892&lt;&gt;"tutar_farki"),"",IF(ABS($C892-$D892)&lt;=toleransKurus,"KDV_ORAN",IF(ABS($C892-$E892*efs_kdvOran)&lt;=toleransKurus,"MATRAH",IF($F892=1,"YUVARLAMA","TANIMSIZ"))))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IF($A893="","",IF($C893&lt;=efs_yuvarlamaEsik,1,0))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IF(OR($A893="",$B893&lt;&gt;"tutar_farki"),"",IF(ABS($C893-$D893)&lt;=toleransKurus,"KDV_ORAN",IF(ABS($C893-$E893*efs_kdvOran)&lt;=toleransKurus,"MATRAH",IF($F893=1,"YUVARLAMA","TANIMSIZ"))))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IF($A894="","",IF($C894&lt;=efs_yuvarlamaEsik,1,0))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IF(OR($A894="",$B894&lt;&gt;"tutar_farki"),"",IF(ABS($C894-$D894)&lt;=toleransKurus,"KDV_ORAN",IF(ABS($C894-$E894*efs_kdvOran)&lt;=toleransKurus,"MATRAH",IF($F894=1,"YUVARLAMA","TANIMSIZ"))))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IF($A895="","",IF($C895&lt;=efs_yuvarlamaEsik,1,0))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IF(OR($A895="",$B895&lt;&gt;"tutar_farki"),"",IF(ABS($C895-$D895)&lt;=toleransKurus,"KDV_ORAN",IF(ABS($C895-$E895*efs_kdvOran)&lt;=toleransKurus,"MATRAH",IF($F895=1,"YUVARLAMA","TANIMSIZ"))))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IF($A896="","",IF($C896&lt;=efs_yuvarlamaEsik,1,0))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IF(OR($A896="",$B896&lt;&gt;"tutar_farki"),"",IF(ABS($C896-$D896)&lt;=toleransKurus,"KDV_ORAN",IF(ABS($C896-$E896*efs_kdvOran)&lt;=toleransKurus,"MATRAH",IF($F896=1,"YUVARLAMA","TANIMSIZ"))))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IF($A897="","",IF($C897&lt;=efs_yuvarlamaEsik,1,0))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IF(OR($A897="",$B897&lt;&gt;"tutar_farki"),"",IF(ABS($C897-$D897)&lt;=toleransKurus,"KDV_ORAN",IF(ABS($C897-$E897*efs_kdvOran)&lt;=toleransKurus,"MATRAH",IF($F897=1,"YUVARLAMA","TANIMSIZ"))))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IF($A898="","",IF($C898&lt;=efs_yuvarlamaEsik,1,0))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IF(OR($A898="",$B898&lt;&gt;"tutar_farki"),"",IF(ABS($C898-$D898)&lt;=toleransKurus,"KDV_ORAN",IF(ABS($C898-$E898*efs_kdvOran)&lt;=toleransKurus,"MATRAH",IF($F898=1,"YUVARLAMA","TANIMSIZ"))))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IF($A899="","",IF($C899&lt;=efs_yuvarlamaEsik,1,0))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IF(OR($A899="",$B899&lt;&gt;"tutar_farki"),"",IF(ABS($C899-$D899)&lt;=toleransKurus,"KDV_ORAN",IF(ABS($C899-$E899*efs_kdvOran)&lt;=toleransKurus,"MATRAH",IF($F899=1,"YUVARLAMA","TANIMSIZ"))))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IF($A900="","",IF($C900&lt;=efs_yuvarlamaEsik,1,0))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IF(OR($A900="",$B900&lt;&gt;"tutar_farki"),"",IF(ABS($C900-$D900)&lt;=toleransKurus,"KDV_ORAN",IF(ABS($C900-$E900*efs_kdvOran)&lt;=toleransKurus,"MATRAH",IF($F900=1,"YUVARLAMA","TANIMSIZ"))))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IF($A901="","",IF($C901&lt;=efs_yuvarlamaEsik,1,0))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IF(OR($A901="",$B901&lt;&gt;"tutar_farki"),"",IF(ABS($C901-$D901)&lt;=toleransKurus,"KDV_ORAN",IF(ABS($C901-$E901*efs_kdvOran)&lt;=toleransKurus,"MATRAH",IF($F901=1,"YUVARLAMA","TANIMSIZ"))))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IF($A902="","",IF($C902&lt;=efs_yuvarlamaEsik,1,0))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IF(OR($A902="",$B902&lt;&gt;"tutar_farki"),"",IF(ABS($C902-$D902)&lt;=toleransKurus,"KDV_ORAN",IF(ABS($C902-$E902*efs_kdvOran)&lt;=toleransKurus,"MATRAH",IF($F902=1,"YUVARLAMA","TANIMSIZ"))))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IF($A903="","",IF($C903&lt;=efs_yuvarlamaEsik,1,0))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IF(OR($A903="",$B903&lt;&gt;"tutar_farki"),"",IF(ABS($C903-$D903)&lt;=toleransKurus,"KDV_ORAN",IF(ABS($C903-$E903*efs_kdvOran)&lt;=toleransKurus,"MATRAH",IF($F903=1,"YUVARLAMA","TANIMSIZ"))))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IF($A904="","",IF($C904&lt;=efs_yuvarlamaEsik,1,0))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IF(OR($A904="",$B904&lt;&gt;"tutar_farki"),"",IF(ABS($C904-$D904)&lt;=toleransKurus,"KDV_ORAN",IF(ABS($C904-$E904*efs_kdvOran)&lt;=toleransKurus,"MATRAH",IF($F904=1,"YUVARLAMA","TANIMSIZ"))))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IF($A905="","",IF($C905&lt;=efs_yuvarlamaEsik,1,0))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IF(OR($A905="",$B905&lt;&gt;"tutar_farki"),"",IF(ABS($C905-$D905)&lt;=toleransKurus,"KDV_ORAN",IF(ABS($C905-$E905*efs_kdvOran)&lt;=toleransKurus,"MATRAH",IF($F905=1,"YUVARLAMA","TANIMSIZ"))))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IF($A906="","",IF($C906&lt;=efs_yuvarlamaEsik,1,0))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IF(OR($A906="",$B906&lt;&gt;"tutar_farki"),"",IF(ABS($C906-$D906)&lt;=toleransKurus,"KDV_ORAN",IF(ABS($C906-$E906*efs_kdvOran)&lt;=toleransKurus,"MATRAH",IF($F906=1,"YUVARLAMA","TANIMSIZ"))))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IF($A907="","",IF($C907&lt;=efs_yuvarlamaEsik,1,0))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IF(OR($A907="",$B907&lt;&gt;"tutar_farki"),"",IF(ABS($C907-$D907)&lt;=toleransKurus,"KDV_ORAN",IF(ABS($C907-$E907*efs_kdvOran)&lt;=toleransKurus,"MATRAH",IF($F907=1,"YUVARLAMA","TANIMSIZ"))))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IF($A908="","",IF($C908&lt;=efs_yuvarlamaEsik,1,0))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IF(OR($A908="",$B908&lt;&gt;"tutar_farki"),"",IF(ABS($C908-$D908)&lt;=toleransKurus,"KDV_ORAN",IF(ABS($C908-$E908*efs_kdvOran)&lt;=toleransKurus,"MATRAH",IF($F908=1,"YUVARLAMA","TANIMSIZ"))))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IF($A909="","",IF($C909&lt;=efs_yuvarlamaEsik,1,0))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IF(OR($A909="",$B909&lt;&gt;"tutar_farki"),"",IF(ABS($C909-$D909)&lt;=toleransKurus,"KDV_ORAN",IF(ABS($C909-$E909*efs_kdvOran)&lt;=toleransKurus,"MATRAH",IF($F909=1,"YUVARLAMA","TANIMSIZ"))))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IF($A910="","",IF($C910&lt;=efs_yuvarlamaEsik,1,0))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IF(OR($A910="",$B910&lt;&gt;"tutar_farki"),"",IF(ABS($C910-$D910)&lt;=toleransKurus,"KDV_ORAN",IF(ABS($C910-$E910*efs_kdvOran)&lt;=toleransKurus,"MATRAH",IF($F910=1,"YUVARLAMA","TANIMSIZ"))))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IF($A911="","",IF($C911&lt;=efs_yuvarlamaEsik,1,0))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IF(OR($A911="",$B911&lt;&gt;"tutar_farki"),"",IF(ABS($C911-$D911)&lt;=toleransKurus,"KDV_ORAN",IF(ABS($C911-$E911*efs_kdvOran)&lt;=toleransKurus,"MATRAH",IF($F911=1,"YUVARLAMA","TANIMSIZ"))))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IF($A912="","",IF($C912&lt;=efs_yuvarlamaEsik,1,0))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IF(OR($A912="",$B912&lt;&gt;"tutar_farki"),"",IF(ABS($C912-$D912)&lt;=toleransKurus,"KDV_ORAN",IF(ABS($C912-$E912*efs_kdvOran)&lt;=toleransKurus,"MATRAH",IF($F912=1,"YUVARLAMA","TANIMSIZ"))))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IF($A913="","",IF($C913&lt;=efs_yuvarlamaEsik,1,0))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IF(OR($A913="",$B913&lt;&gt;"tutar_farki"),"",IF(ABS($C913-$D913)&lt;=toleransKurus,"KDV_ORAN",IF(ABS($C913-$E913*efs_kdvOran)&lt;=toleransKurus,"MATRAH",IF($F913=1,"YUVARLAMA","TANIMSIZ"))))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IF($A914="","",IF($C914&lt;=efs_yuvarlamaEsik,1,0))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IF(OR($A914="",$B914&lt;&gt;"tutar_farki"),"",IF(ABS($C914-$D914)&lt;=toleransKurus,"KDV_ORAN",IF(ABS($C914-$E914*efs_kdvOran)&lt;=toleransKurus,"MATRAH",IF($F914=1,"YUVARLAMA","TANIMSIZ"))))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IF($A915="","",IF($C915&lt;=efs_yuvarlamaEsik,1,0))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IF(OR($A915="",$B915&lt;&gt;"tutar_farki"),"",IF(ABS($C915-$D915)&lt;=toleransKurus,"KDV_ORAN",IF(ABS($C915-$E915*efs_kdvOran)&lt;=toleransKurus,"MATRAH",IF($F915=1,"YUVARLAMA","TANIMSIZ"))))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IF($A916="","",IF($C916&lt;=efs_yuvarlamaEsik,1,0))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IF(OR($A916="",$B916&lt;&gt;"tutar_farki"),"",IF(ABS($C916-$D916)&lt;=toleransKurus,"KDV_ORAN",IF(ABS($C916-$E916*efs_kdvOran)&lt;=toleransKurus,"MATRAH",IF($F916=1,"YUVARLAMA","TANIMSIZ"))))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IF($A917="","",IF($C917&lt;=efs_yuvarlamaEsik,1,0))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IF(OR($A917="",$B917&lt;&gt;"tutar_farki"),"",IF(ABS($C917-$D917)&lt;=toleransKurus,"KDV_ORAN",IF(ABS($C917-$E917*efs_kdvOran)&lt;=toleransKurus,"MATRAH",IF($F917=1,"YUVARLAMA","TANIMSIZ"))))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IF($A918="","",IF($C918&lt;=efs_yuvarlamaEsik,1,0))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IF(OR($A918="",$B918&lt;&gt;"tutar_farki"),"",IF(ABS($C918-$D918)&lt;=toleransKurus,"KDV_ORAN",IF(ABS($C918-$E918*efs_kdvOran)&lt;=toleransKurus,"MATRAH",IF($F918=1,"YUVARLAMA","TANIMSIZ"))))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IF($A919="","",IF($C919&lt;=efs_yuvarlamaEsik,1,0))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IF(OR($A919="",$B919&lt;&gt;"tutar_farki"),"",IF(ABS($C919-$D919)&lt;=toleransKurus,"KDV_ORAN",IF(ABS($C919-$E919*efs_kdvOran)&lt;=toleransKurus,"MATRAH",IF($F919=1,"YUVARLAMA","TANIMSIZ"))))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IF($A920="","",IF($C920&lt;=efs_yuvarlamaEsik,1,0))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IF(OR($A920="",$B920&lt;&gt;"tutar_farki"),"",IF(ABS($C920-$D920)&lt;=toleransKurus,"KDV_ORAN",IF(ABS($C920-$E920*efs_kdvOran)&lt;=toleransKurus,"MATRAH",IF($F920=1,"YUVARLAMA","TANIMSIZ"))))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IF($A921="","",IF($C921&lt;=efs_yuvarlamaEsik,1,0))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IF(OR($A921="",$B921&lt;&gt;"tutar_farki"),"",IF(ABS($C921-$D921)&lt;=toleransKurus,"KDV_ORAN",IF(ABS($C921-$E921*efs_kdvOran)&lt;=toleransKurus,"MATRAH",IF($F921=1,"YUVARLAMA","TANIMSIZ"))))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IF($A922="","",IF($C922&lt;=efs_yuvarlamaEsik,1,0))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IF(OR($A922="",$B922&lt;&gt;"tutar_farki"),"",IF(ABS($C922-$D922)&lt;=toleransKurus,"KDV_ORAN",IF(ABS($C922-$E922*efs_kdvOran)&lt;=toleransKurus,"MATRAH",IF($F922=1,"YUVARLAMA","TANIMSIZ"))))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IF($A923="","",IF($C923&lt;=efs_yuvarlamaEsik,1,0))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IF(OR($A923="",$B923&lt;&gt;"tutar_farki"),"",IF(ABS($C923-$D923)&lt;=toleransKurus,"KDV_ORAN",IF(ABS($C923-$E923*efs_kdvOran)&lt;=toleransKurus,"MATRAH",IF($F923=1,"YUVARLAMA","TANIMSIZ"))))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IF($A924="","",IF($C924&lt;=efs_yuvarlamaEsik,1,0))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IF(OR($A924="",$B924&lt;&gt;"tutar_farki"),"",IF(ABS($C924-$D924)&lt;=toleransKurus,"KDV_ORAN",IF(ABS($C924-$E924*efs_kdvOran)&lt;=toleransKurus,"MATRAH",IF($F924=1,"YUVARLAMA","TANIMSIZ"))))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IF($A925="","",IF($C925&lt;=efs_yuvarlamaEsik,1,0))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IF(OR($A925="",$B925&lt;&gt;"tutar_farki"),"",IF(ABS($C925-$D925)&lt;=toleransKurus,"KDV_ORAN",IF(ABS($C925-$E925*efs_kdvOran)&lt;=toleransKurus,"MATRAH",IF($F925=1,"YUVARLAMA","TANIMSIZ"))))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IF($A926="","",IF($C926&lt;=efs_yuvarlamaEsik,1,0))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IF(OR($A926="",$B926&lt;&gt;"tutar_farki"),"",IF(ABS($C926-$D926)&lt;=toleransKurus,"KDV_ORAN",IF(ABS($C926-$E926*efs_kdvOran)&lt;=toleransKurus,"MATRAH",IF($F926=1,"YUVARLAMA","TANIMSIZ"))))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IF($A927="","",IF($C927&lt;=efs_yuvarlamaEsik,1,0))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IF(OR($A927="",$B927&lt;&gt;"tutar_farki"),"",IF(ABS($C927-$D927)&lt;=toleransKurus,"KDV_ORAN",IF(ABS($C927-$E927*efs_kdvOran)&lt;=toleransKurus,"MATRAH",IF($F927=1,"YUVARLAMA","TANIMSIZ"))))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IF($A928="","",IF($C928&lt;=efs_yuvarlamaEsik,1,0))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IF(OR($A928="",$B928&lt;&gt;"tutar_farki"),"",IF(ABS($C928-$D928)&lt;=toleransKurus,"KDV_ORAN",IF(ABS($C928-$E928*efs_kdvOran)&lt;=toleransKurus,"MATRAH",IF($F928=1,"YUVARLAMA","TANIMSIZ"))))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IF($A929="","",IF($C929&lt;=efs_yuvarlamaEsik,1,0))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IF(OR($A929="",$B929&lt;&gt;"tutar_farki"),"",IF(ABS($C929-$D929)&lt;=toleransKurus,"KDV_ORAN",IF(ABS($C929-$E929*efs_kdvOran)&lt;=toleransKurus,"MATRAH",IF($F929=1,"YUVARLAMA","TANIMSIZ"))))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IF($A930="","",IF($C930&lt;=efs_yuvarlamaEsik,1,0))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IF(OR($A930="",$B930&lt;&gt;"tutar_farki"),"",IF(ABS($C930-$D930)&lt;=toleransKurus,"KDV_ORAN",IF(ABS($C930-$E930*efs_kdvOran)&lt;=toleransKurus,"MATRAH",IF($F930=1,"YUVARLAMA","TANIMSIZ"))))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IF($A931="","",IF($C931&lt;=efs_yuvarlamaEsik,1,0))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IF(OR($A931="",$B931&lt;&gt;"tutar_farki"),"",IF(ABS($C931-$D931)&lt;=toleransKurus,"KDV_ORAN",IF(ABS($C931-$E931*efs_kdvOran)&lt;=toleransKurus,"MATRAH",IF($F931=1,"YUVARLAMA","TANIMSIZ"))))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IF($A932="","",IF($C932&lt;=efs_yuvarlamaEsik,1,0))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IF(OR($A932="",$B932&lt;&gt;"tutar_farki"),"",IF(ABS($C932-$D932)&lt;=toleransKurus,"KDV_ORAN",IF(ABS($C932-$E932*efs_kdvOran)&lt;=toleransKurus,"MATRAH",IF($F932=1,"YUVARLAMA","TANIMSIZ"))))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IF($A933="","",IF($C933&lt;=efs_yuvarlamaEsik,1,0))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IF(OR($A933="",$B933&lt;&gt;"tutar_farki"),"",IF(ABS($C933-$D933)&lt;=toleransKurus,"KDV_ORAN",IF(ABS($C933-$E933*efs_kdvOran)&lt;=toleransKurus,"MATRAH",IF($F933=1,"YUVARLAMA","TANIMSIZ"))))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IF($A934="","",IF($C934&lt;=efs_yuvarlamaEsik,1,0))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IF(OR($A934="",$B934&lt;&gt;"tutar_farki"),"",IF(ABS($C934-$D934)&lt;=toleransKurus,"KDV_ORAN",IF(ABS($C934-$E934*efs_kdvOran)&lt;=toleransKurus,"MATRAH",IF($F934=1,"YUVARLAMA","TANIMSIZ"))))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IF($A935="","",IF($C935&lt;=efs_yuvarlamaEsik,1,0))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IF(OR($A935="",$B935&lt;&gt;"tutar_farki"),"",IF(ABS($C935-$D935)&lt;=toleransKurus,"KDV_ORAN",IF(ABS($C935-$E935*efs_kdvOran)&lt;=toleransKurus,"MATRAH",IF($F935=1,"YUVARLAMA","TANIMSIZ"))))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IF($A936="","",IF($C936&lt;=efs_yuvarlamaEsik,1,0))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IF(OR($A936="",$B936&lt;&gt;"tutar_farki"),"",IF(ABS($C936-$D936)&lt;=toleransKurus,"KDV_ORAN",IF(ABS($C936-$E936*efs_kdvOran)&lt;=toleransKurus,"MATRAH",IF($F936=1,"YUVARLAMA","TANIMSIZ"))))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IF($A937="","",IF($C937&lt;=efs_yuvarlamaEsik,1,0))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IF(OR($A937="",$B937&lt;&gt;"tutar_farki"),"",IF(ABS($C937-$D937)&lt;=toleransKurus,"KDV_ORAN",IF(ABS($C937-$E937*efs_kdvOran)&lt;=toleransKurus,"MATRAH",IF($F937=1,"YUVARLAMA","TANIMSIZ"))))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IF($A938="","",IF($C938&lt;=efs_yuvarlamaEsik,1,0))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IF(OR($A938="",$B938&lt;&gt;"tutar_farki"),"",IF(ABS($C938-$D938)&lt;=toleransKurus,"KDV_ORAN",IF(ABS($C938-$E938*efs_kdvOran)&lt;=toleransKurus,"MATRAH",IF($F938=1,"YUVARLAMA","TANIMSIZ"))))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IF($A939="","",IF($C939&lt;=efs_yuvarlamaEsik,1,0))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IF(OR($A939="",$B939&lt;&gt;"tutar_farki"),"",IF(ABS($C939-$D939)&lt;=toleransKurus,"KDV_ORAN",IF(ABS($C939-$E939*efs_kdvOran)&lt;=toleransKurus,"MATRAH",IF($F939=1,"YUVARLAMA","TANIMSIZ"))))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IF($A940="","",IF($C940&lt;=efs_yuvarlamaEsik,1,0))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IF(OR($A940="",$B940&lt;&gt;"tutar_farki"),"",IF(ABS($C940-$D940)&lt;=toleransKurus,"KDV_ORAN",IF(ABS($C940-$E940*efs_kdvOran)&lt;=toleransKurus,"MATRAH",IF($F940=1,"YUVARLAMA","TANIMSIZ"))))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IF($A941="","",IF($C941&lt;=efs_yuvarlamaEsik,1,0))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IF(OR($A941="",$B941&lt;&gt;"tutar_farki"),"",IF(ABS($C941-$D941)&lt;=toleransKurus,"KDV_ORAN",IF(ABS($C941-$E941*efs_kdvOran)&lt;=toleransKurus,"MATRAH",IF($F941=1,"YUVARLAMA","TANIMSIZ"))))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IF($A942="","",IF($C942&lt;=efs_yuvarlamaEsik,1,0))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IF(OR($A942="",$B942&lt;&gt;"tutar_farki"),"",IF(ABS($C942-$D942)&lt;=toleransKurus,"KDV_ORAN",IF(ABS($C942-$E942*efs_kdvOran)&lt;=toleransKurus,"MATRAH",IF($F942=1,"YUVARLAMA","TANIMSIZ"))))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IF($A943="","",IF($C943&lt;=efs_yuvarlamaEsik,1,0))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IF(OR($A943="",$B943&lt;&gt;"tutar_farki"),"",IF(ABS($C943-$D943)&lt;=toleransKurus,"KDV_ORAN",IF(ABS($C943-$E943*efs_kdvOran)&lt;=toleransKurus,"MATRAH",IF($F943=1,"YUVARLAMA","TANIMSIZ"))))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IF($A944="","",IF($C944&lt;=efs_yuvarlamaEsik,1,0))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IF(OR($A944="",$B944&lt;&gt;"tutar_farki"),"",IF(ABS($C944-$D944)&lt;=toleransKurus,"KDV_ORAN",IF(ABS($C944-$E944*efs_kdvOran)&lt;=toleransKurus,"MATRAH",IF($F944=1,"YUVARLAMA","TANIMSIZ"))))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IF($A945="","",IF($C945&lt;=efs_yuvarlamaEsik,1,0))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IF(OR($A945="",$B945&lt;&gt;"tutar_farki"),"",IF(ABS($C945-$D945)&lt;=toleransKurus,"KDV_ORAN",IF(ABS($C945-$E945*efs_kdvOran)&lt;=toleransKurus,"MATRAH",IF($F945=1,"YUVARLAMA","TANIMSIZ"))))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IF($A946="","",IF($C946&lt;=efs_yuvarlamaEsik,1,0))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IF(OR($A946="",$B946&lt;&gt;"tutar_farki"),"",IF(ABS($C946-$D946)&lt;=toleransKurus,"KDV_ORAN",IF(ABS($C946-$E946*efs_kdvOran)&lt;=toleransKurus,"MATRAH",IF($F946=1,"YUVARLAMA","TANIMSIZ"))))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IF($A947="","",IF($C947&lt;=efs_yuvarlamaEsik,1,0))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IF(OR($A947="",$B947&lt;&gt;"tutar_farki"),"",IF(ABS($C947-$D947)&lt;=toleransKurus,"KDV_ORAN",IF(ABS($C947-$E947*efs_kdvOran)&lt;=toleransKurus,"MATRAH",IF($F947=1,"YUVARLAMA","TANIMSIZ"))))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IF($A948="","",IF($C948&lt;=efs_yuvarlamaEsik,1,0))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IF(OR($A948="",$B948&lt;&gt;"tutar_farki"),"",IF(ABS($C948-$D948)&lt;=toleransKurus,"KDV_ORAN",IF(ABS($C948-$E948*efs_kdvOran)&lt;=toleransKurus,"MATRAH",IF($F948=1,"YUVARLAMA","TANIMSIZ"))))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IF($A949="","",IF($C949&lt;=efs_yuvarlamaEsik,1,0))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IF(OR($A949="",$B949&lt;&gt;"tutar_farki"),"",IF(ABS($C949-$D949)&lt;=toleransKurus,"KDV_ORAN",IF(ABS($C949-$E949*efs_kdvOran)&lt;=toleransKurus,"MATRAH",IF($F949=1,"YUVARLAMA","TANIMSIZ"))))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IF($A950="","",IF($C950&lt;=efs_yuvarlamaEsik,1,0))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IF(OR($A950="",$B950&lt;&gt;"tutar_farki"),"",IF(ABS($C950-$D950)&lt;=toleransKurus,"KDV_ORAN",IF(ABS($C950-$E950*efs_kdvOran)&lt;=toleransKurus,"MATRAH",IF($F950=1,"YUVARLAMA","TANIMSIZ"))))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IF($A951="","",IF($C951&lt;=efs_yuvarlamaEsik,1,0))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IF(OR($A951="",$B951&lt;&gt;"tutar_farki"),"",IF(ABS($C951-$D951)&lt;=toleransKurus,"KDV_ORAN",IF(ABS($C951-$E951*efs_kdvOran)&lt;=toleransKurus,"MATRAH",IF($F951=1,"YUVARLAMA","TANIMSIZ"))))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IF($A952="","",IF($C952&lt;=efs_yuvarlamaEsik,1,0))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IF(OR($A952="",$B952&lt;&gt;"tutar_farki"),"",IF(ABS($C952-$D952)&lt;=toleransKurus,"KDV_ORAN",IF(ABS($C952-$E952*efs_kdvOran)&lt;=toleransKurus,"MATRAH",IF($F952=1,"YUVARLAMA","TANIMSIZ"))))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IF($A953="","",IF($C953&lt;=efs_yuvarlamaEsik,1,0))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IF(OR($A953="",$B953&lt;&gt;"tutar_farki"),"",IF(ABS($C953-$D953)&lt;=toleransKurus,"KDV_ORAN",IF(ABS($C953-$E953*efs_kdvOran)&lt;=toleransKurus,"MATRAH",IF($F953=1,"YUVARLAMA","TANIMSIZ"))))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IF($A954="","",IF($C954&lt;=efs_yuvarlamaEsik,1,0))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IF(OR($A954="",$B954&lt;&gt;"tutar_farki"),"",IF(ABS($C954-$D954)&lt;=toleransKurus,"KDV_ORAN",IF(ABS($C954-$E954*efs_kdvOran)&lt;=toleransKurus,"MATRAH",IF($F954=1,"YUVARLAMA","TANIMSIZ"))))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IF($A955="","",IF($C955&lt;=efs_yuvarlamaEsik,1,0))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IF(OR($A955="",$B955&lt;&gt;"tutar_farki"),"",IF(ABS($C955-$D955)&lt;=toleransKurus,"KDV_ORAN",IF(ABS($C955-$E955*efs_kdvOran)&lt;=toleransKurus,"MATRAH",IF($F955=1,"YUVARLAMA","TANIMSIZ"))))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IF($A956="","",IF($C956&lt;=efs_yuvarlamaEsik,1,0))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IF(OR($A956="",$B956&lt;&gt;"tutar_farki"),"",IF(ABS($C956-$D956)&lt;=toleransKurus,"KDV_ORAN",IF(ABS($C956-$E956*efs_kdvOran)&lt;=toleransKurus,"MATRAH",IF($F956=1,"YUVARLAMA","TANIMSIZ"))))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IF($A957="","",IF($C957&lt;=efs_yuvarlamaEsik,1,0))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IF(OR($A957="",$B957&lt;&gt;"tutar_farki"),"",IF(ABS($C957-$D957)&lt;=toleransKurus,"KDV_ORAN",IF(ABS($C957-$E957*efs_kdvOran)&lt;=toleransKurus,"MATRAH",IF($F957=1,"YUVARLAMA","TANIMSIZ"))))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IF($A958="","",IF($C958&lt;=efs_yuvarlamaEsik,1,0))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IF(OR($A958="",$B958&lt;&gt;"tutar_farki"),"",IF(ABS($C958-$D958)&lt;=toleransKurus,"KDV_ORAN",IF(ABS($C958-$E958*efs_kdvOran)&lt;=toleransKurus,"MATRAH",IF($F958=1,"YUVARLAMA","TANIMSIZ"))))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IF($A959="","",IF($C959&lt;=efs_yuvarlamaEsik,1,0))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IF(OR($A959="",$B959&lt;&gt;"tutar_farki"),"",IF(ABS($C959-$D959)&lt;=toleransKurus,"KDV_ORAN",IF(ABS($C959-$E959*efs_kdvOran)&lt;=toleransKurus,"MATRAH",IF($F959=1,"YUVARLAMA","TANIMSIZ"))))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IF($A960="","",IF($C960&lt;=efs_yuvarlamaEsik,1,0))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IF(OR($A960="",$B960&lt;&gt;"tutar_farki"),"",IF(ABS($C960-$D960)&lt;=toleransKurus,"KDV_ORAN",IF(ABS($C960-$E960*efs_kdvOran)&lt;=toleransKurus,"MATRAH",IF($F960=1,"YUVARLAMA","TANIMSIZ"))))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IF($A961="","",IF($C961&lt;=efs_yuvarlamaEsik,1,0))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IF(OR($A961="",$B961&lt;&gt;"tutar_farki"),"",IF(ABS($C961-$D961)&lt;=toleransKurus,"KDV_ORAN",IF(ABS($C961-$E961*efs_kdvOran)&lt;=toleransKurus,"MATRAH",IF($F961=1,"YUVARLAMA","TANIMSIZ"))))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IF($A962="","",IF($C962&lt;=efs_yuvarlamaEsik,1,0))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IF(OR($A962="",$B962&lt;&gt;"tutar_farki"),"",IF(ABS($C962-$D962)&lt;=toleransKurus,"KDV_ORAN",IF(ABS($C962-$E962*efs_kdvOran)&lt;=toleransKurus,"MATRAH",IF($F962=1,"YUVARLAMA","TANIMSIZ"))))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IF($A963="","",IF($C963&lt;=efs_yuvarlamaEsik,1,0))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IF(OR($A963="",$B963&lt;&gt;"tutar_farki"),"",IF(ABS($C963-$D963)&lt;=toleransKurus,"KDV_ORAN",IF(ABS($C963-$E963*efs_kdvOran)&lt;=toleransKurus,"MATRAH",IF($F963=1,"YUVARLAMA","TANIMSIZ"))))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IF($A964="","",IF($C964&lt;=efs_yuvarlamaEsik,1,0))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IF(OR($A964="",$B964&lt;&gt;"tutar_farki"),"",IF(ABS($C964-$D964)&lt;=toleransKurus,"KDV_ORAN",IF(ABS($C964-$E964*efs_kdvOran)&lt;=toleransKurus,"MATRAH",IF($F964=1,"YUVARLAMA","TANIMSIZ"))))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IF($A965="","",IF($C965&lt;=efs_yuvarlamaEsik,1,0))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IF(OR($A965="",$B965&lt;&gt;"tutar_farki"),"",IF(ABS($C965-$D965)&lt;=toleransKurus,"KDV_ORAN",IF(ABS($C965-$E965*efs_kdvOran)&lt;=toleransKurus,"MATRAH",IF($F965=1,"YUVARLAMA","TANIMSIZ"))))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IF($A966="","",IF($C966&lt;=efs_yuvarlamaEsik,1,0))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IF(OR($A966="",$B966&lt;&gt;"tutar_farki"),"",IF(ABS($C966-$D966)&lt;=toleransKurus,"KDV_ORAN",IF(ABS($C966-$E966*efs_kdvOran)&lt;=toleransKurus,"MATRAH",IF($F966=1,"YUVARLAMA","TANIMSIZ"))))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IF($A967="","",IF($C967&lt;=efs_yuvarlamaEsik,1,0))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IF(OR($A967="",$B967&lt;&gt;"tutar_farki"),"",IF(ABS($C967-$D967)&lt;=toleransKurus,"KDV_ORAN",IF(ABS($C967-$E967*efs_kdvOran)&lt;=toleransKurus,"MATRAH",IF($F967=1,"YUVARLAMA","TANIMSIZ"))))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IF($A968="","",IF($C968&lt;=efs_yuvarlamaEsik,1,0))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IF(OR($A968="",$B968&lt;&gt;"tutar_farki"),"",IF(ABS($C968-$D968)&lt;=toleransKurus,"KDV_ORAN",IF(ABS($C968-$E968*efs_kdvOran)&lt;=toleransKurus,"MATRAH",IF($F968=1,"YUVARLAMA","TANIMSIZ"))))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IF($A969="","",IF($C969&lt;=efs_yuvarlamaEsik,1,0))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IF(OR($A969="",$B969&lt;&gt;"tutar_farki"),"",IF(ABS($C969-$D969)&lt;=toleransKurus,"KDV_ORAN",IF(ABS($C969-$E969*efs_kdvOran)&lt;=toleransKurus,"MATRAH",IF($F969=1,"YUVARLAMA","TANIMSIZ"))))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IF($A970="","",IF($C970&lt;=efs_yuvarlamaEsik,1,0))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IF(OR($A970="",$B970&lt;&gt;"tutar_farki"),"",IF(ABS($C970-$D970)&lt;=toleransKurus,"KDV_ORAN",IF(ABS($C970-$E970*efs_kdvOran)&lt;=toleransKurus,"MATRAH",IF($F970=1,"YUVARLAMA","TANIMSIZ"))))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IF($A971="","",IF($C971&lt;=efs_yuvarlamaEsik,1,0))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IF(OR($A971="",$B971&lt;&gt;"tutar_farki"),"",IF(ABS($C971-$D971)&lt;=toleransKurus,"KDV_ORAN",IF(ABS($C971-$E971*efs_kdvOran)&lt;=toleransKurus,"MATRAH",IF($F971=1,"YUVARLAMA","TANIMSIZ"))))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IF($A972="","",IF($C972&lt;=efs_yuvarlamaEsik,1,0))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IF(OR($A972="",$B972&lt;&gt;"tutar_farki"),"",IF(ABS($C972-$D972)&lt;=toleransKurus,"KDV_ORAN",IF(ABS($C972-$E972*efs_kdvOran)&lt;=toleransKurus,"MATRAH",IF($F972=1,"YUVARLAMA","TANIMSIZ"))))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IF($A973="","",IF($C973&lt;=efs_yuvarlamaEsik,1,0))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IF(OR($A973="",$B973&lt;&gt;"tutar_farki"),"",IF(ABS($C973-$D973)&lt;=toleransKurus,"KDV_ORAN",IF(ABS($C973-$E973*efs_kdvOran)&lt;=toleransKurus,"MATRAH",IF($F973=1,"YUVARLAMA","TANIMSIZ"))))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IF($A974="","",IF($C974&lt;=efs_yuvarlamaEsik,1,0))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IF(OR($A974="",$B974&lt;&gt;"tutar_farki"),"",IF(ABS($C974-$D974)&lt;=toleransKurus,"KDV_ORAN",IF(ABS($C974-$E974*efs_kdvOran)&lt;=toleransKurus,"MATRAH",IF($F974=1,"YUVARLAMA","TANIMSIZ"))))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IF($A975="","",IF($C975&lt;=efs_yuvarlamaEsik,1,0))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IF(OR($A975="",$B975&lt;&gt;"tutar_farki"),"",IF(ABS($C975-$D975)&lt;=toleransKurus,"KDV_ORAN",IF(ABS($C975-$E975*efs_kdvOran)&lt;=toleransKurus,"MATRAH",IF($F975=1,"YUVARLAMA","TANIMSIZ"))))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IF($A976="","",IF($C976&lt;=efs_yuvarlamaEsik,1,0))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IF(OR($A976="",$B976&lt;&gt;"tutar_farki"),"",IF(ABS($C976-$D976)&lt;=toleransKurus,"KDV_ORAN",IF(ABS($C976-$E976*efs_kdvOran)&lt;=toleransKurus,"MATRAH",IF($F976=1,"YUVARLAMA","TANIMSIZ"))))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IF($A977="","",IF($C977&lt;=efs_yuvarlamaEsik,1,0))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IF(OR($A977="",$B977&lt;&gt;"tutar_farki"),"",IF(ABS($C977-$D977)&lt;=toleransKurus,"KDV_ORAN",IF(ABS($C977-$E977*efs_kdvOran)&lt;=toleransKurus,"MATRAH",IF($F977=1,"YUVARLAMA","TANIMSIZ"))))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IF($A978="","",IF($C978&lt;=efs_yuvarlamaEsik,1,0))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IF(OR($A978="",$B978&lt;&gt;"tutar_farki"),"",IF(ABS($C978-$D978)&lt;=toleransKurus,"KDV_ORAN",IF(ABS($C978-$E978*efs_kdvOran)&lt;=toleransKurus,"MATRAH",IF($F978=1,"YUVARLAMA","TANIMSIZ"))))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IF($A979="","",IF($C979&lt;=efs_yuvarlamaEsik,1,0))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IF(OR($A979="",$B979&lt;&gt;"tutar_farki"),"",IF(ABS($C979-$D979)&lt;=toleransKurus,"KDV_ORAN",IF(ABS($C979-$E979*efs_kdvOran)&lt;=toleransKurus,"MATRAH",IF($F979=1,"YUVARLAMA","TANIMSIZ"))))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IF($A980="","",IF($C980&lt;=efs_yuvarlamaEsik,1,0))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IF(OR($A980="",$B980&lt;&gt;"tutar_farki"),"",IF(ABS($C980-$D980)&lt;=toleransKurus,"KDV_ORAN",IF(ABS($C980-$E980*efs_kdvOran)&lt;=toleransKurus,"MATRAH",IF($F980=1,"YUVARLAMA","TANIMSIZ"))))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IF($A981="","",IF($C981&lt;=efs_yuvarlamaEsik,1,0))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IF(OR($A981="",$B981&lt;&gt;"tutar_farki"),"",IF(ABS($C981-$D981)&lt;=toleransKurus,"KDV_ORAN",IF(ABS($C981-$E981*efs_kdvOran)&lt;=toleransKurus,"MATRAH",IF($F981=1,"YUVARLAMA","TANIMSIZ"))))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IF($A982="","",IF($C982&lt;=efs_yuvarlamaEsik,1,0))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IF(OR($A982="",$B982&lt;&gt;"tutar_farki"),"",IF(ABS($C982-$D982)&lt;=toleransKurus,"KDV_ORAN",IF(ABS($C982-$E982*efs_kdvOran)&lt;=toleransKurus,"MATRAH",IF($F982=1,"YUVARLAMA","TANIMSIZ"))))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IF($A983="","",IF($C983&lt;=efs_yuvarlamaEsik,1,0))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IF(OR($A983="",$B983&lt;&gt;"tutar_farki"),"",IF(ABS($C983-$D983)&lt;=toleransKurus,"KDV_ORAN",IF(ABS($C983-$E983*efs_kdvOran)&lt;=toleransKurus,"MATRAH",IF($F983=1,"YUVARLAMA","TANIMSIZ"))))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IF($A984="","",IF($C984&lt;=efs_yuvarlamaEsik,1,0))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IF(OR($A984="",$B984&lt;&gt;"tutar_farki"),"",IF(ABS($C984-$D984)&lt;=toleransKurus,"KDV_ORAN",IF(ABS($C984-$E984*efs_kdvOran)&lt;=toleransKurus,"MATRAH",IF($F984=1,"YUVARLAMA","TANIMSIZ"))))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IF($A985="","",IF($C985&lt;=efs_yuvarlamaEsik,1,0))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IF(OR($A985="",$B985&lt;&gt;"tutar_farki"),"",IF(ABS($C985-$D985)&lt;=toleransKurus,"KDV_ORAN",IF(ABS($C985-$E985*efs_kdvOran)&lt;=toleransKurus,"MATRAH",IF($F985=1,"YUVARLAMA","TANIMSIZ"))))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IF($A986="","",IF($C986&lt;=efs_yuvarlamaEsik,1,0))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IF(OR($A986="",$B986&lt;&gt;"tutar_farki"),"",IF(ABS($C986-$D986)&lt;=toleransKurus,"KDV_ORAN",IF(ABS($C986-$E986*efs_kdvOran)&lt;=toleransKurus,"MATRAH",IF($F986=1,"YUVARLAMA","TANIMSIZ"))))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IF($A987="","",IF($C987&lt;=efs_yuvarlamaEsik,1,0))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IF(OR($A987="",$B987&lt;&gt;"tutar_farki"),"",IF(ABS($C987-$D987)&lt;=toleransKurus,"KDV_ORAN",IF(ABS($C987-$E987*efs_kdvOran)&lt;=toleransKurus,"MATRAH",IF($F987=1,"YUVARLAMA","TANIMSIZ"))))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IF($A988="","",IF($C988&lt;=efs_yuvarlamaEsik,1,0))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IF(OR($A988="",$B988&lt;&gt;"tutar_farki"),"",IF(ABS($C988-$D988)&lt;=toleransKurus,"KDV_ORAN",IF(ABS($C988-$E988*efs_kdvOran)&lt;=toleransKurus,"MATRAH",IF($F988=1,"YUVARLAMA","TANIMSIZ"))))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IF($A989="","",IF($C989&lt;=efs_yuvarlamaEsik,1,0))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IF(OR($A989="",$B989&lt;&gt;"tutar_farki"),"",IF(ABS($C989-$D989)&lt;=toleransKurus,"KDV_ORAN",IF(ABS($C989-$E989*efs_kdvOran)&lt;=toleransKurus,"MATRAH",IF($F989=1,"YUVARLAMA","TANIMSIZ"))))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IF($A990="","",IF($C990&lt;=efs_yuvarlamaEsik,1,0))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IF(OR($A990="",$B990&lt;&gt;"tutar_farki"),"",IF(ABS($C990-$D990)&lt;=toleransKurus,"KDV_ORAN",IF(ABS($C990-$E990*efs_kdvOran)&lt;=toleransKurus,"MATRAH",IF($F990=1,"YUVARLAMA","TANIMSIZ"))))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IF($A991="","",IF($C991&lt;=efs_yuvarlamaEsik,1,0))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IF(OR($A991="",$B991&lt;&gt;"tutar_farki"),"",IF(ABS($C991-$D991)&lt;=toleransKurus,"KDV_ORAN",IF(ABS($C991-$E991*efs_kdvOran)&lt;=toleransKurus,"MATRAH",IF($F991=1,"YUVARLAMA","TANIMSIZ"))))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IF($A992="","",IF($C992&lt;=efs_yuvarlamaEsik,1,0))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IF(OR($A992="",$B992&lt;&gt;"tutar_farki"),"",IF(ABS($C992-$D992)&lt;=toleransKurus,"KDV_ORAN",IF(ABS($C992-$E992*efs_kdvOran)&lt;=toleransKurus,"MATRAH",IF($F992=1,"YUVARLAMA","TANIMSIZ"))))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IF($A993="","",IF($C993&lt;=efs_yuvarlamaEsik,1,0))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IF(OR($A993="",$B993&lt;&gt;"tutar_farki"),"",IF(ABS($C993-$D993)&lt;=toleransKurus,"KDV_ORAN",IF(ABS($C993-$E993*efs_kdvOran)&lt;=toleransKurus,"MATRAH",IF($F993=1,"YUVARLAMA","TANIMSIZ"))))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IF($A994="","",IF($C994&lt;=efs_yuvarlamaEsik,1,0))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IF(OR($A994="",$B994&lt;&gt;"tutar_farki"),"",IF(ABS($C994-$D994)&lt;=toleransKurus,"KDV_ORAN",IF(ABS($C994-$E994*efs_kdvOran)&lt;=toleransKurus,"MATRAH",IF($F994=1,"YUVARLAMA","TANIMSIZ"))))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IF($A995="","",IF($C995&lt;=efs_yuvarlamaEsik,1,0))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IF(OR($A995="",$B995&lt;&gt;"tutar_farki"),"",IF(ABS($C995-$D995)&lt;=toleransKurus,"KDV_ORAN",IF(ABS($C995-$E995*efs_kdvOran)&lt;=toleransKurus,"MATRAH",IF($F995=1,"YUVARLAMA","TANIMSIZ"))))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IF($A996="","",IF($C996&lt;=efs_yuvarlamaEsik,1,0))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IF(OR($A996="",$B996&lt;&gt;"tutar_farki"),"",IF(ABS($C996-$D996)&lt;=toleransKurus,"KDV_ORAN",IF(ABS($C996-$E996*efs_kdvOran)&lt;=toleransKurus,"MATRAH",IF($F996=1,"YUVARLAMA","TANIMSIZ"))))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IF($A997="","",IF($C997&lt;=efs_yuvarlamaEsik,1,0))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IF(OR($A997="",$B997&lt;&gt;"tutar_farki"),"",IF(ABS($C997-$D997)&lt;=toleransKurus,"KDV_ORAN",IF(ABS($C997-$E997*efs_kdvOran)&lt;=toleransKurus,"MATRAH",IF($F997=1,"YUVARLAMA","TANIMSIZ"))))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IF($A998="","",IF($C998&lt;=efs_yuvarlamaEsik,1,0))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IF(OR($A998="",$B998&lt;&gt;"tutar_farki"),"",IF(ABS($C998-$D998)&lt;=toleransKurus,"KDV_ORAN",IF(ABS($C998-$E998*efs_kdvOran)&lt;=toleransKurus,"MATRAH",IF($F998=1,"YUVARLAMA","TANIMSIZ"))))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IF($A999="","",IF($C999&lt;=efs_yuvarlamaEsik,1,0))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IF(OR($A999="",$B999&lt;&gt;"tutar_farki"),"",IF(ABS($C999-$D999)&lt;=toleransKurus,"KDV_ORAN",IF(ABS($C999-$E999*efs_kdvOran)&lt;=toleransKurus,"MATRAH",IF($F999=1,"YUVARLAMA","TANIMSIZ"))))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IF($A1000="","",IF($C1000&lt;=efs_yuvarlamaEsik,1,0))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IF(OR($A1000="",$B1000&lt;&gt;"tutar_farki"),"",IF(ABS($C1000-$D1000)&lt;=toleransKurus,"KDV_ORAN",IF(ABS($C1000-$E1000*efs_kdvOran)&lt;=toleransKurus,"MATRAH",IF($F1000=1,"YUVARLAMA","TANIMSIZ"))))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IF($A1001="","",IF($C1001&lt;=efs_yuvarlamaEsik,1,0))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IF(OR($A1001="",$B1001&lt;&gt;"tutar_farki"),"",IF(ABS($C1001-$D1001)&lt;=toleransKurus,"KDV_ORAN",IF(ABS($C1001-$E1001*efs_kdvOran)&lt;=toleransKurus,"MATRAH",IF($F1001=1,"YUVARLAMA","TANIMSIZ"))))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IF($A1002="","",IF($C1002&lt;=efs_yuvarlamaEsik,1,0))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IF(OR($A1002="",$B1002&lt;&gt;"tutar_farki"),"",IF(ABS($C1002-$D1002)&lt;=toleransKurus,"KDV_ORAN",IF(ABS($C1002-$E1002*efs_kdvOran)&lt;=toleransKurus,"MATRAH",IF($F1002=1,"YUVARLAMA","TANIMSIZ"))))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IF($A1003="","",IF($C1003&lt;=efs_yuvarlamaEsik,1,0))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IF(OR($A1003="",$B1003&lt;&gt;"tutar_farki"),"",IF(ABS($C1003-$D1003)&lt;=toleransKurus,"KDV_ORAN",IF(ABS($C1003-$E1003*efs_kdvOran)&lt;=toleransKurus,"MATRAH",IF($F1003=1,"YUVARLAMA","TANIMSIZ"))))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IF($A1004="","",IF($C1004&lt;=efs_yuvarlamaEsik,1,0))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IF(OR($A1004="",$B1004&lt;&gt;"tutar_farki"),"",IF(ABS($C1004-$D1004)&lt;=toleransKurus,"KDV_ORAN",IF(ABS($C1004-$E1004*efs_kdvOran)&lt;=toleransKurus,"MATRAH",IF($F1004=1,"YUVARLAMA","TANIMSIZ"))))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IF($A1005="","",IF($C1005&lt;=efs_yuvarlamaEsik,1,0))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IF(OR($A1005="",$B1005&lt;&gt;"tutar_farki"),"",IF(ABS($C1005-$D1005)&lt;=toleransKurus,"KDV_ORAN",IF(ABS($C1005-$E1005*efs_kdvOran)&lt;=toleransKurus,"MATRAH",IF($F1005=1,"YUVARLAMA","TANIMSIZ"))))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IF($A1006="","",IF($C1006&lt;=efs_yuvarlamaEsik,1,0))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IF(OR($A1006="",$B1006&lt;&gt;"tutar_farki"),"",IF(ABS($C1006-$D1006)&lt;=toleransKurus,"KDV_ORAN",IF(ABS($C1006-$E1006*efs_kdvOran)&lt;=toleransKurus,"MATRAH",IF($F1006=1,"YUVARLAMA","TANIMSIZ"))))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IF($A1007="","",IF($C1007&lt;=efs_yuvarlamaEsik,1,0))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IF(OR($A1007="",$B1007&lt;&gt;"tutar_farki"),"",IF(ABS($C1007-$D1007)&lt;=toleransKurus,"KDV_ORAN",IF(ABS($C1007-$E1007*efs_kdvOran)&lt;=toleransKurus,"MATRAH",IF($F1007=1,"YUVARLAMA","TANIMSIZ"))))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IF($A1008="","",IF($C1008&lt;=efs_yuvarlamaEsik,1,0))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IF(OR($A1008="",$B1008&lt;&gt;"tutar_farki"),"",IF(ABS($C1008-$D1008)&lt;=toleransKurus,"KDV_ORAN",IF(ABS($C1008-$E1008*efs_kdvOran)&lt;=toleransKurus,"MATRAH",IF($F1008=1,"YUVARLAMA","TANIMSIZ"))))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IF($A1009="","",IF($C1009&lt;=efs_yuvarlamaEsik,1,0))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IF(OR($A1009="",$B1009&lt;&gt;"tutar_farki"),"",IF(ABS($C1009-$D1009)&lt;=toleransKurus,"KDV_ORAN",IF(ABS($C1009-$E1009*efs_kdvOran)&lt;=toleransKurus,"MATRAH",IF($F1009=1,"YUVARLAMA","TANIMSIZ"))))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IF($A1010="","",IF($C1010&lt;=efs_yuvarlamaEsik,1,0))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IF(OR($A1010="",$B1010&lt;&gt;"tutar_farki"),"",IF(ABS($C1010-$D1010)&lt;=toleransKurus,"KDV_ORAN",IF(ABS($C1010-$E1010*efs_kdvOran)&lt;=toleransKurus,"MATRAH",IF($F1010=1,"YUVARLAMA","TANIMSIZ"))))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IF($A1011="","",IF($C1011&lt;=efs_yuvarlamaEsik,1,0))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IF(OR($A1011="",$B1011&lt;&gt;"tutar_farki"),"",IF(ABS($C1011-$D1011)&lt;=toleransKurus,"KDV_ORAN",IF(ABS($C1011-$E1011*efs_kdvOran)&lt;=toleransKurus,"MATRAH",IF($F1011=1,"YUVARLAMA","TANIMSIZ"))))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IF($A1012="","",IF($C1012&lt;=efs_yuvarlamaEsik,1,0))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IF(OR($A1012="",$B1012&lt;&gt;"tutar_farki"),"",IF(ABS($C1012-$D1012)&lt;=toleransKurus,"KDV_ORAN",IF(ABS($C1012-$E1012*efs_kdvOran)&lt;=toleransKurus,"MATRAH",IF($F1012=1,"YUVARLAMA","TANIMSIZ"))))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IF($A1013="","",IF($C1013&lt;=efs_yuvarlamaEsik,1,0))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IF(OR($A1013="",$B1013&lt;&gt;"tutar_farki"),"",IF(ABS($C1013-$D1013)&lt;=toleransKurus,"KDV_ORAN",IF(ABS($C1013-$E1013*efs_kdvOran)&lt;=toleransKurus,"MATRAH",IF($F1013=1,"YUVARLAMA","TANIMSIZ"))))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IF($A1014="","",IF($C1014&lt;=efs_yuvarlamaEsik,1,0))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IF(OR($A1014="",$B1014&lt;&gt;"tutar_farki"),"",IF(ABS($C1014-$D1014)&lt;=toleransKurus,"KDV_ORAN",IF(ABS($C1014-$E1014*efs_kdvOran)&lt;=toleransKurus,"MATRAH",IF($F1014=1,"YUVARLAMA","TANIMSIZ"))))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IF($A1015="","",IF($C1015&lt;=efs_yuvarlamaEsik,1,0))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IF(OR($A1015="",$B1015&lt;&gt;"tutar_farki"),"",IF(ABS($C1015-$D1015)&lt;=toleransKurus,"KDV_ORAN",IF(ABS($C1015-$E1015*efs_kdvOran)&lt;=toleransKurus,"MATRAH",IF($F1015=1,"YUVARLAMA","TANIMSIZ"))))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Toplu e-Fatura Satır Defteri ve PDF Kanıtı</t>
        </is>
      </c>
    </row>
    <row r="2">
      <c r="I2" s="25" t="inlineStr">
        <is>
          <t>Şablon</t>
        </is>
      </c>
      <c r="J2" s="34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itiraz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IF($B6&lt;&gt;"tutar_farki","",IF(ABS($C6)&gt;efs_esikFark,"YUKSEK","NORMAL"))</f>
        <v/>
      </c>
      <c r="F6" s="16">
        <f>IF($B6&lt;&gt;"tutar_farki","","UUID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IF($B7&lt;&gt;"tutar_farki","",IF(ABS($C7)&gt;efs_esikFark,"YUKSEK","NORMAL"))</f>
        <v/>
      </c>
      <c r="F7" s="16">
        <f>IF($B7&lt;&gt;"tutar_farki","","UUID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IF($B8&lt;&gt;"tutar_farki","",IF(ABS($C8)&gt;efs_esikFark,"YUKSEK","NORMAL"))</f>
        <v/>
      </c>
      <c r="F8" s="16">
        <f>IF($B8&lt;&gt;"tutar_farki","","UUID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IF($B9&lt;&gt;"tutar_farki","",IF(ABS($C9)&gt;efs_esikFark,"YUKSEK","NORMAL"))</f>
        <v/>
      </c>
      <c r="F9" s="16">
        <f>IF($B9&lt;&gt;"tutar_farki","","UUID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IF($B10&lt;&gt;"tutar_farki","",IF(ABS($C10)&gt;efs_esikFark,"YUKSEK","NORMAL"))</f>
        <v/>
      </c>
      <c r="F10" s="16">
        <f>IF($B10&lt;&gt;"tutar_farki","","UUID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IF($B11&lt;&gt;"tutar_farki","",IF(ABS($C11)&gt;efs_esikFark,"YUKSEK","NORMAL"))</f>
        <v/>
      </c>
      <c r="F11" s="16">
        <f>IF($B11&lt;&gt;"tutar_farki","","UUID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IF($B12&lt;&gt;"tutar_farki","",IF(ABS($C12)&gt;efs_esikFark,"YUKSEK","NORMAL"))</f>
        <v/>
      </c>
      <c r="F12" s="16">
        <f>IF($B12&lt;&gt;"tutar_farki","","UUID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IF($B13&lt;&gt;"tutar_farki","",IF(ABS($C13)&gt;efs_esikFark,"YUKSEK","NORMAL"))</f>
        <v/>
      </c>
      <c r="F13" s="16">
        <f>IF($B13&lt;&gt;"tutar_farki","","UUID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IF($B14&lt;&gt;"tutar_farki","",IF(ABS($C14)&gt;efs_esikFark,"YUKSEK","NORMAL"))</f>
        <v/>
      </c>
      <c r="F14" s="16">
        <f>IF($B14&lt;&gt;"tutar_farki","","UUID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IF($B15&lt;&gt;"tutar_farki","",IF(ABS($C15)&gt;efs_esikFark,"YUKSEK","NORMAL"))</f>
        <v/>
      </c>
      <c r="F15" s="16">
        <f>IF($B15&lt;&gt;"tutar_farki","","UUID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IF($B16&lt;&gt;"tutar_farki","",IF(ABS($C16)&gt;efs_esikFark,"YUKSEK","NORMAL"))</f>
        <v/>
      </c>
      <c r="F16" s="16">
        <f>IF($B16&lt;&gt;"tutar_farki","","UUID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IF($B17&lt;&gt;"tutar_farki","",IF(ABS($C17)&gt;efs_esikFark,"YUKSEK","NORMAL"))</f>
        <v/>
      </c>
      <c r="F17" s="16">
        <f>IF($B17&lt;&gt;"tutar_farki","","UUID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IF($B18&lt;&gt;"tutar_farki","",IF(ABS($C18)&gt;efs_esikFark,"YUKSEK","NORMAL"))</f>
        <v/>
      </c>
      <c r="F18" s="16">
        <f>IF($B18&lt;&gt;"tutar_farki","","UUID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IF($B19&lt;&gt;"tutar_farki","",IF(ABS($C19)&gt;efs_esikFark,"YUKSEK","NORMAL"))</f>
        <v/>
      </c>
      <c r="F19" s="16">
        <f>IF($B19&lt;&gt;"tutar_farki","","UUID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IF($B20&lt;&gt;"tutar_farki","",IF(ABS($C20)&gt;efs_esikFark,"YUKSEK","NORMAL"))</f>
        <v/>
      </c>
      <c r="F20" s="16">
        <f>IF($B20&lt;&gt;"tutar_farki","","UUID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IF($B21&lt;&gt;"tutar_farki","",IF(ABS($C21)&gt;efs_esikFark,"YUKSEK","NORMAL"))</f>
        <v/>
      </c>
      <c r="F21" s="16">
        <f>IF($B21&lt;&gt;"tutar_farki","","UUID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IF($B22&lt;&gt;"tutar_farki","",IF(ABS($C22)&gt;efs_esikFark,"YUKSEK","NORMAL"))</f>
        <v/>
      </c>
      <c r="F22" s="16">
        <f>IF($B22&lt;&gt;"tutar_farki","","UUID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IF($B23&lt;&gt;"tutar_farki","",IF(ABS($C23)&gt;efs_esikFark,"YUKSEK","NORMAL"))</f>
        <v/>
      </c>
      <c r="F23" s="16">
        <f>IF($B23&lt;&gt;"tutar_farki","","UUID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IF($B24&lt;&gt;"tutar_farki","",IF(ABS($C24)&gt;efs_esikFark,"YUKSEK","NORMAL"))</f>
        <v/>
      </c>
      <c r="F24" s="16">
        <f>IF($B24&lt;&gt;"tutar_farki","","UUID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IF($B25&lt;&gt;"tutar_farki","",IF(ABS($C25)&gt;efs_esikFark,"YUKSEK","NORMAL"))</f>
        <v/>
      </c>
      <c r="F25" s="16">
        <f>IF($B25&lt;&gt;"tutar_farki","","UUID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IF($B26&lt;&gt;"tutar_farki","",IF(ABS($C26)&gt;efs_esikFark,"YUKSEK","NORMAL"))</f>
        <v/>
      </c>
      <c r="F26" s="16">
        <f>IF($B26&lt;&gt;"tutar_farki","","UUID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IF($B27&lt;&gt;"tutar_farki","",IF(ABS($C27)&gt;efs_esikFark,"YUKSEK","NORMAL"))</f>
        <v/>
      </c>
      <c r="F27" s="16">
        <f>IF($B27&lt;&gt;"tutar_farki","","UUID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IF($B28&lt;&gt;"tutar_farki","",IF(ABS($C28)&gt;efs_esikFark,"YUKSEK","NORMAL"))</f>
        <v/>
      </c>
      <c r="F28" s="16">
        <f>IF($B28&lt;&gt;"tutar_farki","","UUID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IF($B29&lt;&gt;"tutar_farki","",IF(ABS($C29)&gt;efs_esikFark,"YUKSEK","NORMAL"))</f>
        <v/>
      </c>
      <c r="F29" s="16">
        <f>IF($B29&lt;&gt;"tutar_farki","","UUID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IF($B30&lt;&gt;"tutar_farki","",IF(ABS($C30)&gt;efs_esikFark,"YUKSEK","NORMAL"))</f>
        <v/>
      </c>
      <c r="F30" s="16">
        <f>IF($B30&lt;&gt;"tutar_farki","","UUID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IF($B31&lt;&gt;"tutar_farki","",IF(ABS($C31)&gt;efs_esikFark,"YUKSEK","NORMAL"))</f>
        <v/>
      </c>
      <c r="F31" s="16">
        <f>IF($B31&lt;&gt;"tutar_farki","","UUID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IF($B32&lt;&gt;"tutar_farki","",IF(ABS($C32)&gt;efs_esikFark,"YUKSEK","NORMAL"))</f>
        <v/>
      </c>
      <c r="F32" s="16">
        <f>IF($B32&lt;&gt;"tutar_farki","","UUID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IF($B33&lt;&gt;"tutar_farki","",IF(ABS($C33)&gt;efs_esikFark,"YUKSEK","NORMAL"))</f>
        <v/>
      </c>
      <c r="F33" s="16">
        <f>IF($B33&lt;&gt;"tutar_farki","","UUID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IF($B34&lt;&gt;"tutar_farki","",IF(ABS($C34)&gt;efs_esikFark,"YUKSEK","NORMAL"))</f>
        <v/>
      </c>
      <c r="F34" s="16">
        <f>IF($B34&lt;&gt;"tutar_farki","","UUID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IF($B35&lt;&gt;"tutar_farki","",IF(ABS($C35)&gt;efs_esikFark,"YUKSEK","NORMAL"))</f>
        <v/>
      </c>
      <c r="F35" s="16">
        <f>IF($B35&lt;&gt;"tutar_farki","","UUID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IF($B36&lt;&gt;"tutar_farki","",IF(ABS($C36)&gt;efs_esikFark,"YUKSEK","NORMAL"))</f>
        <v/>
      </c>
      <c r="F36" s="16">
        <f>IF($B36&lt;&gt;"tutar_farki","","UUID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IF($B37&lt;&gt;"tutar_farki","",IF(ABS($C37)&gt;efs_esikFark,"YUKSEK","NORMAL"))</f>
        <v/>
      </c>
      <c r="F37" s="16">
        <f>IF($B37&lt;&gt;"tutar_farki","","UUID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IF($B38&lt;&gt;"tutar_farki","",IF(ABS($C38)&gt;efs_esikFark,"YUKSEK","NORMAL"))</f>
        <v/>
      </c>
      <c r="F38" s="16">
        <f>IF($B38&lt;&gt;"tutar_farki","","UUID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IF($B39&lt;&gt;"tutar_farki","",IF(ABS($C39)&gt;efs_esikFark,"YUKSEK","NORMAL"))</f>
        <v/>
      </c>
      <c r="F39" s="16">
        <f>IF($B39&lt;&gt;"tutar_farki","","UUID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IF($B40&lt;&gt;"tutar_farki","",IF(ABS($C40)&gt;efs_esikFark,"YUKSEK","NORMAL"))</f>
        <v/>
      </c>
      <c r="F40" s="16">
        <f>IF($B40&lt;&gt;"tutar_farki","","UUID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IF($B41&lt;&gt;"tutar_farki","",IF(ABS($C41)&gt;efs_esikFark,"YUKSEK","NORMAL"))</f>
        <v/>
      </c>
      <c r="F41" s="16">
        <f>IF($B41&lt;&gt;"tutar_farki","","UUID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IF($B42&lt;&gt;"tutar_farki","",IF(ABS($C42)&gt;efs_esikFark,"YUKSEK","NORMAL"))</f>
        <v/>
      </c>
      <c r="F42" s="16">
        <f>IF($B42&lt;&gt;"tutar_farki","","UUID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IF($B43&lt;&gt;"tutar_farki","",IF(ABS($C43)&gt;efs_esikFark,"YUKSEK","NORMAL"))</f>
        <v/>
      </c>
      <c r="F43" s="16">
        <f>IF($B43&lt;&gt;"tutar_farki","","UUID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IF($B44&lt;&gt;"tutar_farki","",IF(ABS($C44)&gt;efs_esikFark,"YUKSEK","NORMAL"))</f>
        <v/>
      </c>
      <c r="F44" s="16">
        <f>IF($B44&lt;&gt;"tutar_farki","","UUID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IF($B45&lt;&gt;"tutar_farki","",IF(ABS($C45)&gt;efs_esikFark,"YUKSEK","NORMAL"))</f>
        <v/>
      </c>
      <c r="F45" s="16">
        <f>IF($B45&lt;&gt;"tutar_farki","","UUID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IF($B46&lt;&gt;"tutar_farki","",IF(ABS($C46)&gt;efs_esikFark,"YUKSEK","NORMAL"))</f>
        <v/>
      </c>
      <c r="F46" s="16">
        <f>IF($B46&lt;&gt;"tutar_farki","","UUID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IF($B47&lt;&gt;"tutar_farki","",IF(ABS($C47)&gt;efs_esikFark,"YUKSEK","NORMAL"))</f>
        <v/>
      </c>
      <c r="F47" s="16">
        <f>IF($B47&lt;&gt;"tutar_farki","","UUID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IF($B48&lt;&gt;"tutar_farki","",IF(ABS($C48)&gt;efs_esikFark,"YUKSEK","NORMAL"))</f>
        <v/>
      </c>
      <c r="F48" s="16">
        <f>IF($B48&lt;&gt;"tutar_farki","","UUID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IF($B49&lt;&gt;"tutar_farki","",IF(ABS($C49)&gt;efs_esikFark,"YUKSEK","NORMAL"))</f>
        <v/>
      </c>
      <c r="F49" s="16">
        <f>IF($B49&lt;&gt;"tutar_farki","","UUID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IF($B50&lt;&gt;"tutar_farki","",IF(ABS($C50)&gt;efs_esikFark,"YUKSEK","NORMAL"))</f>
        <v/>
      </c>
      <c r="F50" s="16">
        <f>IF($B50&lt;&gt;"tutar_farki","","UUID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IF($B51&lt;&gt;"tutar_farki","",IF(ABS($C51)&gt;efs_esikFark,"YUKSEK","NORMAL"))</f>
        <v/>
      </c>
      <c r="F51" s="16">
        <f>IF($B51&lt;&gt;"tutar_farki","","UUID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IF($B52&lt;&gt;"tutar_farki","",IF(ABS($C52)&gt;efs_esikFark,"YUKSEK","NORMAL"))</f>
        <v/>
      </c>
      <c r="F52" s="16">
        <f>IF($B52&lt;&gt;"tutar_farki","","UUID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IF($B53&lt;&gt;"tutar_farki","",IF(ABS($C53)&gt;efs_esikFark,"YUKSEK","NORMAL"))</f>
        <v/>
      </c>
      <c r="F53" s="16">
        <f>IF($B53&lt;&gt;"tutar_farki","","UUID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IF($B54&lt;&gt;"tutar_farki","",IF(ABS($C54)&gt;efs_esikFark,"YUKSEK","NORMAL"))</f>
        <v/>
      </c>
      <c r="F54" s="16">
        <f>IF($B54&lt;&gt;"tutar_farki","","UUID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IF($B55&lt;&gt;"tutar_farki","",IF(ABS($C55)&gt;efs_esikFark,"YUKSEK","NORMAL"))</f>
        <v/>
      </c>
      <c r="F55" s="16">
        <f>IF($B55&lt;&gt;"tutar_farki","","UUID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IF($B56&lt;&gt;"tutar_farki","",IF(ABS($C56)&gt;efs_esikFark,"YUKSEK","NORMAL"))</f>
        <v/>
      </c>
      <c r="F56" s="16">
        <f>IF($B56&lt;&gt;"tutar_farki","","UUID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IF($B57&lt;&gt;"tutar_farki","",IF(ABS($C57)&gt;efs_esikFark,"YUKSEK","NORMAL"))</f>
        <v/>
      </c>
      <c r="F57" s="16">
        <f>IF($B57&lt;&gt;"tutar_farki","","UUID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IF($B58&lt;&gt;"tutar_farki","",IF(ABS($C58)&gt;efs_esikFark,"YUKSEK","NORMAL"))</f>
        <v/>
      </c>
      <c r="F58" s="16">
        <f>IF($B58&lt;&gt;"tutar_farki","","UUID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IF($B59&lt;&gt;"tutar_farki","",IF(ABS($C59)&gt;efs_esikFark,"YUKSEK","NORMAL"))</f>
        <v/>
      </c>
      <c r="F59" s="16">
        <f>IF($B59&lt;&gt;"tutar_farki","","UUID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IF($B60&lt;&gt;"tutar_farki","",IF(ABS($C60)&gt;efs_esikFark,"YUKSEK","NORMAL"))</f>
        <v/>
      </c>
      <c r="F60" s="16">
        <f>IF($B60&lt;&gt;"tutar_farki","","UUID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IF($B61&lt;&gt;"tutar_farki","",IF(ABS($C61)&gt;efs_esikFark,"YUKSEK","NORMAL"))</f>
        <v/>
      </c>
      <c r="F61" s="16">
        <f>IF($B61&lt;&gt;"tutar_farki","","UUID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IF($B62&lt;&gt;"tutar_farki","",IF(ABS($C62)&gt;efs_esikFark,"YUKSEK","NORMAL"))</f>
        <v/>
      </c>
      <c r="F62" s="16">
        <f>IF($B62&lt;&gt;"tutar_farki","","UUID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IF($B63&lt;&gt;"tutar_farki","",IF(ABS($C63)&gt;efs_esikFark,"YUKSEK","NORMAL"))</f>
        <v/>
      </c>
      <c r="F63" s="16">
        <f>IF($B63&lt;&gt;"tutar_farki","","UUID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IF($B64&lt;&gt;"tutar_farki","",IF(ABS($C64)&gt;efs_esikFark,"YUKSEK","NORMAL"))</f>
        <v/>
      </c>
      <c r="F64" s="16">
        <f>IF($B64&lt;&gt;"tutar_farki","","UUID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IF($B65&lt;&gt;"tutar_farki","",IF(ABS($C65)&gt;efs_esikFark,"YUKSEK","NORMAL"))</f>
        <v/>
      </c>
      <c r="F65" s="16">
        <f>IF($B65&lt;&gt;"tutar_farki","","UUID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IF($B66&lt;&gt;"tutar_farki","",IF(ABS($C66)&gt;efs_esikFark,"YUKSEK","NORMAL"))</f>
        <v/>
      </c>
      <c r="F66" s="16">
        <f>IF($B66&lt;&gt;"tutar_farki","","UUID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IF($B67&lt;&gt;"tutar_farki","",IF(ABS($C67)&gt;efs_esikFark,"YUKSEK","NORMAL"))</f>
        <v/>
      </c>
      <c r="F67" s="16">
        <f>IF($B67&lt;&gt;"tutar_farki","","UUID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IF($B68&lt;&gt;"tutar_farki","",IF(ABS($C68)&gt;efs_esikFark,"YUKSEK","NORMAL"))</f>
        <v/>
      </c>
      <c r="F68" s="16">
        <f>IF($B68&lt;&gt;"tutar_farki","","UUID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IF($B69&lt;&gt;"tutar_farki","",IF(ABS($C69)&gt;efs_esikFark,"YUKSEK","NORMAL"))</f>
        <v/>
      </c>
      <c r="F69" s="16">
        <f>IF($B69&lt;&gt;"tutar_farki","","UUID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IF($B70&lt;&gt;"tutar_farki","",IF(ABS($C70)&gt;efs_esikFark,"YUKSEK","NORMAL"))</f>
        <v/>
      </c>
      <c r="F70" s="16">
        <f>IF($B70&lt;&gt;"tutar_farki","","UUID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IF($B71&lt;&gt;"tutar_farki","",IF(ABS($C71)&gt;efs_esikFark,"YUKSEK","NORMAL"))</f>
        <v/>
      </c>
      <c r="F71" s="16">
        <f>IF($B71&lt;&gt;"tutar_farki","","UUID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IF($B72&lt;&gt;"tutar_farki","",IF(ABS($C72)&gt;efs_esikFark,"YUKSEK","NORMAL"))</f>
        <v/>
      </c>
      <c r="F72" s="16">
        <f>IF($B72&lt;&gt;"tutar_farki","","UUID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IF($B73&lt;&gt;"tutar_farki","",IF(ABS($C73)&gt;efs_esikFark,"YUKSEK","NORMAL"))</f>
        <v/>
      </c>
      <c r="F73" s="16">
        <f>IF($B73&lt;&gt;"tutar_farki","","UUID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IF($B74&lt;&gt;"tutar_farki","",IF(ABS($C74)&gt;efs_esikFark,"YUKSEK","NORMAL"))</f>
        <v/>
      </c>
      <c r="F74" s="16">
        <f>IF($B74&lt;&gt;"tutar_farki","","UUID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IF($B75&lt;&gt;"tutar_farki","",IF(ABS($C75)&gt;efs_esikFark,"YUKSEK","NORMAL"))</f>
        <v/>
      </c>
      <c r="F75" s="16">
        <f>IF($B75&lt;&gt;"tutar_farki","","UUID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IF($B76&lt;&gt;"tutar_farki","",IF(ABS($C76)&gt;efs_esikFark,"YUKSEK","NORMAL"))</f>
        <v/>
      </c>
      <c r="F76" s="16">
        <f>IF($B76&lt;&gt;"tutar_farki","","UUID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IF($B77&lt;&gt;"tutar_farki","",IF(ABS($C77)&gt;efs_esikFark,"YUKSEK","NORMAL"))</f>
        <v/>
      </c>
      <c r="F77" s="16">
        <f>IF($B77&lt;&gt;"tutar_farki","","UUID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IF($B78&lt;&gt;"tutar_farki","",IF(ABS($C78)&gt;efs_esikFark,"YUKSEK","NORMAL"))</f>
        <v/>
      </c>
      <c r="F78" s="16">
        <f>IF($B78&lt;&gt;"tutar_farki","","UUID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IF($B79&lt;&gt;"tutar_farki","",IF(ABS($C79)&gt;efs_esikFark,"YUKSEK","NORMAL"))</f>
        <v/>
      </c>
      <c r="F79" s="16">
        <f>IF($B79&lt;&gt;"tutar_farki","","UUID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IF($B80&lt;&gt;"tutar_farki","",IF(ABS($C80)&gt;efs_esikFark,"YUKSEK","NORMAL"))</f>
        <v/>
      </c>
      <c r="F80" s="16">
        <f>IF($B80&lt;&gt;"tutar_farki","","UUID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IF($B81&lt;&gt;"tutar_farki","",IF(ABS($C81)&gt;efs_esikFark,"YUKSEK","NORMAL"))</f>
        <v/>
      </c>
      <c r="F81" s="16">
        <f>IF($B81&lt;&gt;"tutar_farki","","UUID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IF($B82&lt;&gt;"tutar_farki","",IF(ABS($C82)&gt;efs_esikFark,"YUKSEK","NORMAL"))</f>
        <v/>
      </c>
      <c r="F82" s="16">
        <f>IF($B82&lt;&gt;"tutar_farki","","UUID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IF($B83&lt;&gt;"tutar_farki","",IF(ABS($C83)&gt;efs_esikFark,"YUKSEK","NORMAL"))</f>
        <v/>
      </c>
      <c r="F83" s="16">
        <f>IF($B83&lt;&gt;"tutar_farki","","UUID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IF($B84&lt;&gt;"tutar_farki","",IF(ABS($C84)&gt;efs_esikFark,"YUKSEK","NORMAL"))</f>
        <v/>
      </c>
      <c r="F84" s="16">
        <f>IF($B84&lt;&gt;"tutar_farki","","UUID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IF($B85&lt;&gt;"tutar_farki","",IF(ABS($C85)&gt;efs_esikFark,"YUKSEK","NORMAL"))</f>
        <v/>
      </c>
      <c r="F85" s="16">
        <f>IF($B85&lt;&gt;"tutar_farki","","UUID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IF($B86&lt;&gt;"tutar_farki","",IF(ABS($C86)&gt;efs_esikFark,"YUKSEK","NORMAL"))</f>
        <v/>
      </c>
      <c r="F86" s="16">
        <f>IF($B86&lt;&gt;"tutar_farki","","UUID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IF($B87&lt;&gt;"tutar_farki","",IF(ABS($C87)&gt;efs_esikFark,"YUKSEK","NORMAL"))</f>
        <v/>
      </c>
      <c r="F87" s="16">
        <f>IF($B87&lt;&gt;"tutar_farki","","UUID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IF($B88&lt;&gt;"tutar_farki","",IF(ABS($C88)&gt;efs_esikFark,"YUKSEK","NORMAL"))</f>
        <v/>
      </c>
      <c r="F88" s="16">
        <f>IF($B88&lt;&gt;"tutar_farki","","UUID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IF($B89&lt;&gt;"tutar_farki","",IF(ABS($C89)&gt;efs_esikFark,"YUKSEK","NORMAL"))</f>
        <v/>
      </c>
      <c r="F89" s="16">
        <f>IF($B89&lt;&gt;"tutar_farki","","UUID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IF($B90&lt;&gt;"tutar_farki","",IF(ABS($C90)&gt;efs_esikFark,"YUKSEK","NORMAL"))</f>
        <v/>
      </c>
      <c r="F90" s="16">
        <f>IF($B90&lt;&gt;"tutar_farki","","UUID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IF($B91&lt;&gt;"tutar_farki","",IF(ABS($C91)&gt;efs_esikFark,"YUKSEK","NORMAL"))</f>
        <v/>
      </c>
      <c r="F91" s="16">
        <f>IF($B91&lt;&gt;"tutar_farki","","UUID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IF($B92&lt;&gt;"tutar_farki","",IF(ABS($C92)&gt;efs_esikFark,"YUKSEK","NORMAL"))</f>
        <v/>
      </c>
      <c r="F92" s="16">
        <f>IF($B92&lt;&gt;"tutar_farki","","UUID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IF($B93&lt;&gt;"tutar_farki","",IF(ABS($C93)&gt;efs_esikFark,"YUKSEK","NORMAL"))</f>
        <v/>
      </c>
      <c r="F93" s="16">
        <f>IF($B93&lt;&gt;"tutar_farki","","UUID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IF($B94&lt;&gt;"tutar_farki","",IF(ABS($C94)&gt;efs_esikFark,"YUKSEK","NORMAL"))</f>
        <v/>
      </c>
      <c r="F94" s="16">
        <f>IF($B94&lt;&gt;"tutar_farki","","UUID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IF($B95&lt;&gt;"tutar_farki","",IF(ABS($C95)&gt;efs_esikFark,"YUKSEK","NORMAL"))</f>
        <v/>
      </c>
      <c r="F95" s="16">
        <f>IF($B95&lt;&gt;"tutar_farki","","UUID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IF($B96&lt;&gt;"tutar_farki","",IF(ABS($C96)&gt;efs_esikFark,"YUKSEK","NORMAL"))</f>
        <v/>
      </c>
      <c r="F96" s="16">
        <f>IF($B96&lt;&gt;"tutar_farki","","UUID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IF($B97&lt;&gt;"tutar_farki","",IF(ABS($C97)&gt;efs_esikFark,"YUKSEK","NORMAL"))</f>
        <v/>
      </c>
      <c r="F97" s="16">
        <f>IF($B97&lt;&gt;"tutar_farki","","UUID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IF($B98&lt;&gt;"tutar_farki","",IF(ABS($C98)&gt;efs_esikFark,"YUKSEK","NORMAL"))</f>
        <v/>
      </c>
      <c r="F98" s="16">
        <f>IF($B98&lt;&gt;"tutar_farki","","UUID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IF($B99&lt;&gt;"tutar_farki","",IF(ABS($C99)&gt;efs_esikFark,"YUKSEK","NORMAL"))</f>
        <v/>
      </c>
      <c r="F99" s="16">
        <f>IF($B99&lt;&gt;"tutar_farki","","UUID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IF($B100&lt;&gt;"tutar_farki","",IF(ABS($C100)&gt;efs_esikFark,"YUKSEK","NORMAL"))</f>
        <v/>
      </c>
      <c r="F100" s="16">
        <f>IF($B100&lt;&gt;"tutar_farki","","UUID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IF($B101&lt;&gt;"tutar_farki","",IF(ABS($C101)&gt;efs_esikFark,"YUKSEK","NORMAL"))</f>
        <v/>
      </c>
      <c r="F101" s="16">
        <f>IF($B101&lt;&gt;"tutar_farki","","UUID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IF($B102&lt;&gt;"tutar_farki","",IF(ABS($C102)&gt;efs_esikFark,"YUKSEK","NORMAL"))</f>
        <v/>
      </c>
      <c r="F102" s="16">
        <f>IF($B102&lt;&gt;"tutar_farki","","UUID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IF($B103&lt;&gt;"tutar_farki","",IF(ABS($C103)&gt;efs_esikFark,"YUKSEK","NORMAL"))</f>
        <v/>
      </c>
      <c r="F103" s="16">
        <f>IF($B103&lt;&gt;"tutar_farki","","UUID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IF($B104&lt;&gt;"tutar_farki","",IF(ABS($C104)&gt;efs_esikFark,"YUKSEK","NORMAL"))</f>
        <v/>
      </c>
      <c r="F104" s="16">
        <f>IF($B104&lt;&gt;"tutar_farki","","UUID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IF($B105&lt;&gt;"tutar_farki","",IF(ABS($C105)&gt;efs_esikFark,"YUKSEK","NORMAL"))</f>
        <v/>
      </c>
      <c r="F105" s="16">
        <f>IF($B105&lt;&gt;"tutar_farki","","UUID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IF($B106&lt;&gt;"tutar_farki","",IF(ABS($C106)&gt;efs_esikFark,"YUKSEK","NORMAL"))</f>
        <v/>
      </c>
      <c r="F106" s="16">
        <f>IF($B106&lt;&gt;"tutar_farki","","UUID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IF($B107&lt;&gt;"tutar_farki","",IF(ABS($C107)&gt;efs_esikFark,"YUKSEK","NORMAL"))</f>
        <v/>
      </c>
      <c r="F107" s="16">
        <f>IF($B107&lt;&gt;"tutar_farki","","UUID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IF($B108&lt;&gt;"tutar_farki","",IF(ABS($C108)&gt;efs_esikFark,"YUKSEK","NORMAL"))</f>
        <v/>
      </c>
      <c r="F108" s="16">
        <f>IF($B108&lt;&gt;"tutar_farki","","UUID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IF($B109&lt;&gt;"tutar_farki","",IF(ABS($C109)&gt;efs_esikFark,"YUKSEK","NORMAL"))</f>
        <v/>
      </c>
      <c r="F109" s="16">
        <f>IF($B109&lt;&gt;"tutar_farki","","UUID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IF($B110&lt;&gt;"tutar_farki","",IF(ABS($C110)&gt;efs_esikFark,"YUKSEK","NORMAL"))</f>
        <v/>
      </c>
      <c r="F110" s="16">
        <f>IF($B110&lt;&gt;"tutar_farki","","UUID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IF($B111&lt;&gt;"tutar_farki","",IF(ABS($C111)&gt;efs_esikFark,"YUKSEK","NORMAL"))</f>
        <v/>
      </c>
      <c r="F111" s="16">
        <f>IF($B111&lt;&gt;"tutar_farki","","UUID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IF($B112&lt;&gt;"tutar_farki","",IF(ABS($C112)&gt;efs_esikFark,"YUKSEK","NORMAL"))</f>
        <v/>
      </c>
      <c r="F112" s="16">
        <f>IF($B112&lt;&gt;"tutar_farki","","UUID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IF($B113&lt;&gt;"tutar_farki","",IF(ABS($C113)&gt;efs_esikFark,"YUKSEK","NORMAL"))</f>
        <v/>
      </c>
      <c r="F113" s="16">
        <f>IF($B113&lt;&gt;"tutar_farki","","UUID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IF($B114&lt;&gt;"tutar_farki","",IF(ABS($C114)&gt;efs_esikFark,"YUKSEK","NORMAL"))</f>
        <v/>
      </c>
      <c r="F114" s="16">
        <f>IF($B114&lt;&gt;"tutar_farki","","UUID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IF($B115&lt;&gt;"tutar_farki","",IF(ABS($C115)&gt;efs_esikFark,"YUKSEK","NORMAL"))</f>
        <v/>
      </c>
      <c r="F115" s="16">
        <f>IF($B115&lt;&gt;"tutar_farki","","UUID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IF($B116&lt;&gt;"tutar_farki","",IF(ABS($C116)&gt;efs_esikFark,"YUKSEK","NORMAL"))</f>
        <v/>
      </c>
      <c r="F116" s="16">
        <f>IF($B116&lt;&gt;"tutar_farki","","UUID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IF($B117&lt;&gt;"tutar_farki","",IF(ABS($C117)&gt;efs_esikFark,"YUKSEK","NORMAL"))</f>
        <v/>
      </c>
      <c r="F117" s="16">
        <f>IF($B117&lt;&gt;"tutar_farki","","UUID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IF($B118&lt;&gt;"tutar_farki","",IF(ABS($C118)&gt;efs_esikFark,"YUKSEK","NORMAL"))</f>
        <v/>
      </c>
      <c r="F118" s="16">
        <f>IF($B118&lt;&gt;"tutar_farki","","UUID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IF($B119&lt;&gt;"tutar_farki","",IF(ABS($C119)&gt;efs_esikFark,"YUKSEK","NORMAL"))</f>
        <v/>
      </c>
      <c r="F119" s="16">
        <f>IF($B119&lt;&gt;"tutar_farki","","UUID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IF($B120&lt;&gt;"tutar_farki","",IF(ABS($C120)&gt;efs_esikFark,"YUKSEK","NORMAL"))</f>
        <v/>
      </c>
      <c r="F120" s="16">
        <f>IF($B120&lt;&gt;"tutar_farki","","UUID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IF($B121&lt;&gt;"tutar_farki","",IF(ABS($C121)&gt;efs_esikFark,"YUKSEK","NORMAL"))</f>
        <v/>
      </c>
      <c r="F121" s="16">
        <f>IF($B121&lt;&gt;"tutar_farki","","UUID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IF($B122&lt;&gt;"tutar_farki","",IF(ABS($C122)&gt;efs_esikFark,"YUKSEK","NORMAL"))</f>
        <v/>
      </c>
      <c r="F122" s="16">
        <f>IF($B122&lt;&gt;"tutar_farki","","UUID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IF($B123&lt;&gt;"tutar_farki","",IF(ABS($C123)&gt;efs_esikFark,"YUKSEK","NORMAL"))</f>
        <v/>
      </c>
      <c r="F123" s="16">
        <f>IF($B123&lt;&gt;"tutar_farki","","UUID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IF($B124&lt;&gt;"tutar_farki","",IF(ABS($C124)&gt;efs_esikFark,"YUKSEK","NORMAL"))</f>
        <v/>
      </c>
      <c r="F124" s="16">
        <f>IF($B124&lt;&gt;"tutar_farki","","UUID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IF($B125&lt;&gt;"tutar_farki","",IF(ABS($C125)&gt;efs_esikFark,"YUKSEK","NORMAL"))</f>
        <v/>
      </c>
      <c r="F125" s="16">
        <f>IF($B125&lt;&gt;"tutar_farki","","UUID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IF($B126&lt;&gt;"tutar_farki","",IF(ABS($C126)&gt;efs_esikFark,"YUKSEK","NORMAL"))</f>
        <v/>
      </c>
      <c r="F126" s="16">
        <f>IF($B126&lt;&gt;"tutar_farki","","UUID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IF($B127&lt;&gt;"tutar_farki","",IF(ABS($C127)&gt;efs_esikFark,"YUKSEK","NORMAL"))</f>
        <v/>
      </c>
      <c r="F127" s="16">
        <f>IF($B127&lt;&gt;"tutar_farki","","UUID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IF($B128&lt;&gt;"tutar_farki","",IF(ABS($C128)&gt;efs_esikFark,"YUKSEK","NORMAL"))</f>
        <v/>
      </c>
      <c r="F128" s="16">
        <f>IF($B128&lt;&gt;"tutar_farki","","UUID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IF($B129&lt;&gt;"tutar_farki","",IF(ABS($C129)&gt;efs_esikFark,"YUKSEK","NORMAL"))</f>
        <v/>
      </c>
      <c r="F129" s="16">
        <f>IF($B129&lt;&gt;"tutar_farki","","UUID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IF($B130&lt;&gt;"tutar_farki","",IF(ABS($C130)&gt;efs_esikFark,"YUKSEK","NORMAL"))</f>
        <v/>
      </c>
      <c r="F130" s="16">
        <f>IF($B130&lt;&gt;"tutar_farki","","UUID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IF($B131&lt;&gt;"tutar_farki","",IF(ABS($C131)&gt;efs_esikFark,"YUKSEK","NORMAL"))</f>
        <v/>
      </c>
      <c r="F131" s="16">
        <f>IF($B131&lt;&gt;"tutar_farki","","UUID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IF($B132&lt;&gt;"tutar_farki","",IF(ABS($C132)&gt;efs_esikFark,"YUKSEK","NORMAL"))</f>
        <v/>
      </c>
      <c r="F132" s="16">
        <f>IF($B132&lt;&gt;"tutar_farki","","UUID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IF($B133&lt;&gt;"tutar_farki","",IF(ABS($C133)&gt;efs_esikFark,"YUKSEK","NORMAL"))</f>
        <v/>
      </c>
      <c r="F133" s="16">
        <f>IF($B133&lt;&gt;"tutar_farki","","UUID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IF($B134&lt;&gt;"tutar_farki","",IF(ABS($C134)&gt;efs_esikFark,"YUKSEK","NORMAL"))</f>
        <v/>
      </c>
      <c r="F134" s="16">
        <f>IF($B134&lt;&gt;"tutar_farki","","UUID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IF($B135&lt;&gt;"tutar_farki","",IF(ABS($C135)&gt;efs_esikFark,"YUKSEK","NORMAL"))</f>
        <v/>
      </c>
      <c r="F135" s="16">
        <f>IF($B135&lt;&gt;"tutar_farki","","UUID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IF($B136&lt;&gt;"tutar_farki","",IF(ABS($C136)&gt;efs_esikFark,"YUKSEK","NORMAL"))</f>
        <v/>
      </c>
      <c r="F136" s="16">
        <f>IF($B136&lt;&gt;"tutar_farki","","UUID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IF($B137&lt;&gt;"tutar_farki","",IF(ABS($C137)&gt;efs_esikFark,"YUKSEK","NORMAL"))</f>
        <v/>
      </c>
      <c r="F137" s="16">
        <f>IF($B137&lt;&gt;"tutar_farki","","UUID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IF($B138&lt;&gt;"tutar_farki","",IF(ABS($C138)&gt;efs_esikFark,"YUKSEK","NORMAL"))</f>
        <v/>
      </c>
      <c r="F138" s="16">
        <f>IF($B138&lt;&gt;"tutar_farki","","UUID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IF($B139&lt;&gt;"tutar_farki","",IF(ABS($C139)&gt;efs_esikFark,"YUKSEK","NORMAL"))</f>
        <v/>
      </c>
      <c r="F139" s="16">
        <f>IF($B139&lt;&gt;"tutar_farki","","UUID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IF($B140&lt;&gt;"tutar_farki","",IF(ABS($C140)&gt;efs_esikFark,"YUKSEK","NORMAL"))</f>
        <v/>
      </c>
      <c r="F140" s="16">
        <f>IF($B140&lt;&gt;"tutar_farki","","UUID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IF($B141&lt;&gt;"tutar_farki","",IF(ABS($C141)&gt;efs_esikFark,"YUKSEK","NORMAL"))</f>
        <v/>
      </c>
      <c r="F141" s="16">
        <f>IF($B141&lt;&gt;"tutar_farki","","UUID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IF($B142&lt;&gt;"tutar_farki","",IF(ABS($C142)&gt;efs_esikFark,"YUKSEK","NORMAL"))</f>
        <v/>
      </c>
      <c r="F142" s="16">
        <f>IF($B142&lt;&gt;"tutar_farki","","UUID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IF($B143&lt;&gt;"tutar_farki","",IF(ABS($C143)&gt;efs_esikFark,"YUKSEK","NORMAL"))</f>
        <v/>
      </c>
      <c r="F143" s="16">
        <f>IF($B143&lt;&gt;"tutar_farki","","UUID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IF($B144&lt;&gt;"tutar_farki","",IF(ABS($C144)&gt;efs_esikFark,"YUKSEK","NORMAL"))</f>
        <v/>
      </c>
      <c r="F144" s="16">
        <f>IF($B144&lt;&gt;"tutar_farki","","UUID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IF($B145&lt;&gt;"tutar_farki","",IF(ABS($C145)&gt;efs_esikFark,"YUKSEK","NORMAL"))</f>
        <v/>
      </c>
      <c r="F145" s="16">
        <f>IF($B145&lt;&gt;"tutar_farki","","UUID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IF($B146&lt;&gt;"tutar_farki","",IF(ABS($C146)&gt;efs_esikFark,"YUKSEK","NORMAL"))</f>
        <v/>
      </c>
      <c r="F146" s="16">
        <f>IF($B146&lt;&gt;"tutar_farki","","UUID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IF($B147&lt;&gt;"tutar_farki","",IF(ABS($C147)&gt;efs_esikFark,"YUKSEK","NORMAL"))</f>
        <v/>
      </c>
      <c r="F147" s="16">
        <f>IF($B147&lt;&gt;"tutar_farki","","UUID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IF($B148&lt;&gt;"tutar_farki","",IF(ABS($C148)&gt;efs_esikFark,"YUKSEK","NORMAL"))</f>
        <v/>
      </c>
      <c r="F148" s="16">
        <f>IF($B148&lt;&gt;"tutar_farki","","UUID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IF($B149&lt;&gt;"tutar_farki","",IF(ABS($C149)&gt;efs_esikFark,"YUKSEK","NORMAL"))</f>
        <v/>
      </c>
      <c r="F149" s="16">
        <f>IF($B149&lt;&gt;"tutar_farki","","UUID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IF($B150&lt;&gt;"tutar_farki","",IF(ABS($C150)&gt;efs_esikFark,"YUKSEK","NORMAL"))</f>
        <v/>
      </c>
      <c r="F150" s="16">
        <f>IF($B150&lt;&gt;"tutar_farki","","UUID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IF($B151&lt;&gt;"tutar_farki","",IF(ABS($C151)&gt;efs_esikFark,"YUKSEK","NORMAL"))</f>
        <v/>
      </c>
      <c r="F151" s="16">
        <f>IF($B151&lt;&gt;"tutar_farki","","UUID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IF($B152&lt;&gt;"tutar_farki","",IF(ABS($C152)&gt;efs_esikFark,"YUKSEK","NORMAL"))</f>
        <v/>
      </c>
      <c r="F152" s="16">
        <f>IF($B152&lt;&gt;"tutar_farki","","UUID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IF($B153&lt;&gt;"tutar_farki","",IF(ABS($C153)&gt;efs_esikFark,"YUKSEK","NORMAL"))</f>
        <v/>
      </c>
      <c r="F153" s="16">
        <f>IF($B153&lt;&gt;"tutar_farki","","UUID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IF($B154&lt;&gt;"tutar_farki","",IF(ABS($C154)&gt;efs_esikFark,"YUKSEK","NORMAL"))</f>
        <v/>
      </c>
      <c r="F154" s="16">
        <f>IF($B154&lt;&gt;"tutar_farki","","UUID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IF($B155&lt;&gt;"tutar_farki","",IF(ABS($C155)&gt;efs_esikFark,"YUKSEK","NORMAL"))</f>
        <v/>
      </c>
      <c r="F155" s="16">
        <f>IF($B155&lt;&gt;"tutar_farki","","UUID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IF($B156&lt;&gt;"tutar_farki","",IF(ABS($C156)&gt;efs_esikFark,"YUKSEK","NORMAL"))</f>
        <v/>
      </c>
      <c r="F156" s="16">
        <f>IF($B156&lt;&gt;"tutar_farki","","UUID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IF($B157&lt;&gt;"tutar_farki","",IF(ABS($C157)&gt;efs_esikFark,"YUKSEK","NORMAL"))</f>
        <v/>
      </c>
      <c r="F157" s="16">
        <f>IF($B157&lt;&gt;"tutar_farki","","UUID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IF($B158&lt;&gt;"tutar_farki","",IF(ABS($C158)&gt;efs_esikFark,"YUKSEK","NORMAL"))</f>
        <v/>
      </c>
      <c r="F158" s="16">
        <f>IF($B158&lt;&gt;"tutar_farki","","UUID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IF($B159&lt;&gt;"tutar_farki","",IF(ABS($C159)&gt;efs_esikFark,"YUKSEK","NORMAL"))</f>
        <v/>
      </c>
      <c r="F159" s="16">
        <f>IF($B159&lt;&gt;"tutar_farki","","UUID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IF($B160&lt;&gt;"tutar_farki","",IF(ABS($C160)&gt;efs_esikFark,"YUKSEK","NORMAL"))</f>
        <v/>
      </c>
      <c r="F160" s="16">
        <f>IF($B160&lt;&gt;"tutar_farki","","UUID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IF($B161&lt;&gt;"tutar_farki","",IF(ABS($C161)&gt;efs_esikFark,"YUKSEK","NORMAL"))</f>
        <v/>
      </c>
      <c r="F161" s="16">
        <f>IF($B161&lt;&gt;"tutar_farki","","UUID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IF($B162&lt;&gt;"tutar_farki","",IF(ABS($C162)&gt;efs_esikFark,"YUKSEK","NORMAL"))</f>
        <v/>
      </c>
      <c r="F162" s="16">
        <f>IF($B162&lt;&gt;"tutar_farki","","UUID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IF($B163&lt;&gt;"tutar_farki","",IF(ABS($C163)&gt;efs_esikFark,"YUKSEK","NORMAL"))</f>
        <v/>
      </c>
      <c r="F163" s="16">
        <f>IF($B163&lt;&gt;"tutar_farki","","UUID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IF($B164&lt;&gt;"tutar_farki","",IF(ABS($C164)&gt;efs_esikFark,"YUKSEK","NORMAL"))</f>
        <v/>
      </c>
      <c r="F164" s="16">
        <f>IF($B164&lt;&gt;"tutar_farki","","UUID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IF($B165&lt;&gt;"tutar_farki","",IF(ABS($C165)&gt;efs_esikFark,"YUKSEK","NORMAL"))</f>
        <v/>
      </c>
      <c r="F165" s="16">
        <f>IF($B165&lt;&gt;"tutar_farki","","UUID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IF($B166&lt;&gt;"tutar_farki","",IF(ABS($C166)&gt;efs_esikFark,"YUKSEK","NORMAL"))</f>
        <v/>
      </c>
      <c r="F166" s="16">
        <f>IF($B166&lt;&gt;"tutar_farki","","UUID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IF($B167&lt;&gt;"tutar_farki","",IF(ABS($C167)&gt;efs_esikFark,"YUKSEK","NORMAL"))</f>
        <v/>
      </c>
      <c r="F167" s="16">
        <f>IF($B167&lt;&gt;"tutar_farki","","UUID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IF($B168&lt;&gt;"tutar_farki","",IF(ABS($C168)&gt;efs_esikFark,"YUKSEK","NORMAL"))</f>
        <v/>
      </c>
      <c r="F168" s="16">
        <f>IF($B168&lt;&gt;"tutar_farki","","UUID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IF($B169&lt;&gt;"tutar_farki","",IF(ABS($C169)&gt;efs_esikFark,"YUKSEK","NORMAL"))</f>
        <v/>
      </c>
      <c r="F169" s="16">
        <f>IF($B169&lt;&gt;"tutar_farki","","UUID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IF($B170&lt;&gt;"tutar_farki","",IF(ABS($C170)&gt;efs_esikFark,"YUKSEK","NORMAL"))</f>
        <v/>
      </c>
      <c r="F170" s="16">
        <f>IF($B170&lt;&gt;"tutar_farki","","UUID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IF($B171&lt;&gt;"tutar_farki","",IF(ABS($C171)&gt;efs_esikFark,"YUKSEK","NORMAL"))</f>
        <v/>
      </c>
      <c r="F171" s="16">
        <f>IF($B171&lt;&gt;"tutar_farki","","UUID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IF($B172&lt;&gt;"tutar_farki","",IF(ABS($C172)&gt;efs_esikFark,"YUKSEK","NORMAL"))</f>
        <v/>
      </c>
      <c r="F172" s="16">
        <f>IF($B172&lt;&gt;"tutar_farki","","UUID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IF($B173&lt;&gt;"tutar_farki","",IF(ABS($C173)&gt;efs_esikFark,"YUKSEK","NORMAL"))</f>
        <v/>
      </c>
      <c r="F173" s="16">
        <f>IF($B173&lt;&gt;"tutar_farki","","UUID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IF($B174&lt;&gt;"tutar_farki","",IF(ABS($C174)&gt;efs_esikFark,"YUKSEK","NORMAL"))</f>
        <v/>
      </c>
      <c r="F174" s="16">
        <f>IF($B174&lt;&gt;"tutar_farki","","UUID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IF($B175&lt;&gt;"tutar_farki","",IF(ABS($C175)&gt;efs_esikFark,"YUKSEK","NORMAL"))</f>
        <v/>
      </c>
      <c r="F175" s="16">
        <f>IF($B175&lt;&gt;"tutar_farki","","UUID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IF($B176&lt;&gt;"tutar_farki","",IF(ABS($C176)&gt;efs_esikFark,"YUKSEK","NORMAL"))</f>
        <v/>
      </c>
      <c r="F176" s="16">
        <f>IF($B176&lt;&gt;"tutar_farki","","UUID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IF($B177&lt;&gt;"tutar_farki","",IF(ABS($C177)&gt;efs_esikFark,"YUKSEK","NORMAL"))</f>
        <v/>
      </c>
      <c r="F177" s="16">
        <f>IF($B177&lt;&gt;"tutar_farki","","UUID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IF($B178&lt;&gt;"tutar_farki","",IF(ABS($C178)&gt;efs_esikFark,"YUKSEK","NORMAL"))</f>
        <v/>
      </c>
      <c r="F178" s="16">
        <f>IF($B178&lt;&gt;"tutar_farki","","UUID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IF($B179&lt;&gt;"tutar_farki","",IF(ABS($C179)&gt;efs_esikFark,"YUKSEK","NORMAL"))</f>
        <v/>
      </c>
      <c r="F179" s="16">
        <f>IF($B179&lt;&gt;"tutar_farki","","UUID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IF($B180&lt;&gt;"tutar_farki","",IF(ABS($C180)&gt;efs_esikFark,"YUKSEK","NORMAL"))</f>
        <v/>
      </c>
      <c r="F180" s="16">
        <f>IF($B180&lt;&gt;"tutar_farki","","UUID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IF($B181&lt;&gt;"tutar_farki","",IF(ABS($C181)&gt;efs_esikFark,"YUKSEK","NORMAL"))</f>
        <v/>
      </c>
      <c r="F181" s="16">
        <f>IF($B181&lt;&gt;"tutar_farki","","UUID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IF($B182&lt;&gt;"tutar_farki","",IF(ABS($C182)&gt;efs_esikFark,"YUKSEK","NORMAL"))</f>
        <v/>
      </c>
      <c r="F182" s="16">
        <f>IF($B182&lt;&gt;"tutar_farki","","UUID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IF($B183&lt;&gt;"tutar_farki","",IF(ABS($C183)&gt;efs_esikFark,"YUKSEK","NORMAL"))</f>
        <v/>
      </c>
      <c r="F183" s="16">
        <f>IF($B183&lt;&gt;"tutar_farki","","UUID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IF($B184&lt;&gt;"tutar_farki","",IF(ABS($C184)&gt;efs_esikFark,"YUKSEK","NORMAL"))</f>
        <v/>
      </c>
      <c r="F184" s="16">
        <f>IF($B184&lt;&gt;"tutar_farki","","UUID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IF($B185&lt;&gt;"tutar_farki","",IF(ABS($C185)&gt;efs_esikFark,"YUKSEK","NORMAL"))</f>
        <v/>
      </c>
      <c r="F185" s="16">
        <f>IF($B185&lt;&gt;"tutar_farki","","UUID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IF($B186&lt;&gt;"tutar_farki","",IF(ABS($C186)&gt;efs_esikFark,"YUKSEK","NORMAL"))</f>
        <v/>
      </c>
      <c r="F186" s="16">
        <f>IF($B186&lt;&gt;"tutar_farki","","UUID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IF($B187&lt;&gt;"tutar_farki","",IF(ABS($C187)&gt;efs_esikFark,"YUKSEK","NORMAL"))</f>
        <v/>
      </c>
      <c r="F187" s="16">
        <f>IF($B187&lt;&gt;"tutar_farki","","UUID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IF($B188&lt;&gt;"tutar_farki","",IF(ABS($C188)&gt;efs_esikFark,"YUKSEK","NORMAL"))</f>
        <v/>
      </c>
      <c r="F188" s="16">
        <f>IF($B188&lt;&gt;"tutar_farki","","UUID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IF($B189&lt;&gt;"tutar_farki","",IF(ABS($C189)&gt;efs_esikFark,"YUKSEK","NORMAL"))</f>
        <v/>
      </c>
      <c r="F189" s="16">
        <f>IF($B189&lt;&gt;"tutar_farki","","UUID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IF($B190&lt;&gt;"tutar_farki","",IF(ABS($C190)&gt;efs_esikFark,"YUKSEK","NORMAL"))</f>
        <v/>
      </c>
      <c r="F190" s="16">
        <f>IF($B190&lt;&gt;"tutar_farki","","UUID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IF($B191&lt;&gt;"tutar_farki","",IF(ABS($C191)&gt;efs_esikFark,"YUKSEK","NORMAL"))</f>
        <v/>
      </c>
      <c r="F191" s="16">
        <f>IF($B191&lt;&gt;"tutar_farki","","UUID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IF($B192&lt;&gt;"tutar_farki","",IF(ABS($C192)&gt;efs_esikFark,"YUKSEK","NORMAL"))</f>
        <v/>
      </c>
      <c r="F192" s="16">
        <f>IF($B192&lt;&gt;"tutar_farki","","UUID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IF($B193&lt;&gt;"tutar_farki","",IF(ABS($C193)&gt;efs_esikFark,"YUKSEK","NORMAL"))</f>
        <v/>
      </c>
      <c r="F193" s="16">
        <f>IF($B193&lt;&gt;"tutar_farki","","UUID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IF($B194&lt;&gt;"tutar_farki","",IF(ABS($C194)&gt;efs_esikFark,"YUKSEK","NORMAL"))</f>
        <v/>
      </c>
      <c r="F194" s="16">
        <f>IF($B194&lt;&gt;"tutar_farki","","UUID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IF($B195&lt;&gt;"tutar_farki","",IF(ABS($C195)&gt;efs_esikFark,"YUKSEK","NORMAL"))</f>
        <v/>
      </c>
      <c r="F195" s="16">
        <f>IF($B195&lt;&gt;"tutar_farki","","UUID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IF($B196&lt;&gt;"tutar_farki","",IF(ABS($C196)&gt;efs_esikFark,"YUKSEK","NORMAL"))</f>
        <v/>
      </c>
      <c r="F196" s="16">
        <f>IF($B196&lt;&gt;"tutar_farki","","UUID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IF($B197&lt;&gt;"tutar_farki","",IF(ABS($C197)&gt;efs_esikFark,"YUKSEK","NORMAL"))</f>
        <v/>
      </c>
      <c r="F197" s="16">
        <f>IF($B197&lt;&gt;"tutar_farki","","UUID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IF($B198&lt;&gt;"tutar_farki","",IF(ABS($C198)&gt;efs_esikFark,"YUKSEK","NORMAL"))</f>
        <v/>
      </c>
      <c r="F198" s="16">
        <f>IF($B198&lt;&gt;"tutar_farki","","UUID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IF($B199&lt;&gt;"tutar_farki","",IF(ABS($C199)&gt;efs_esikFark,"YUKSEK","NORMAL"))</f>
        <v/>
      </c>
      <c r="F199" s="16">
        <f>IF($B199&lt;&gt;"tutar_farki","","UUID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IF($B200&lt;&gt;"tutar_farki","",IF(ABS($C200)&gt;efs_esikFark,"YUKSEK","NORMAL"))</f>
        <v/>
      </c>
      <c r="F200" s="16">
        <f>IF($B200&lt;&gt;"tutar_farki","","UUID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IF($B201&lt;&gt;"tutar_farki","",IF(ABS($C201)&gt;efs_esikFark,"YUKSEK","NORMAL"))</f>
        <v/>
      </c>
      <c r="F201" s="16">
        <f>IF($B201&lt;&gt;"tutar_farki","","UUID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IF($B202&lt;&gt;"tutar_farki","",IF(ABS($C202)&gt;efs_esikFark,"YUKSEK","NORMAL"))</f>
        <v/>
      </c>
      <c r="F202" s="16">
        <f>IF($B202&lt;&gt;"tutar_farki","","UUID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IF($B203&lt;&gt;"tutar_farki","",IF(ABS($C203)&gt;efs_esikFark,"YUKSEK","NORMAL"))</f>
        <v/>
      </c>
      <c r="F203" s="16">
        <f>IF($B203&lt;&gt;"tutar_farki","","UUID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IF($B204&lt;&gt;"tutar_farki","",IF(ABS($C204)&gt;efs_esikFark,"YUKSEK","NORMAL"))</f>
        <v/>
      </c>
      <c r="F204" s="16">
        <f>IF($B204&lt;&gt;"tutar_farki","","UUID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IF($B205&lt;&gt;"tutar_farki","",IF(ABS($C205)&gt;efs_esikFark,"YUKSEK","NORMAL"))</f>
        <v/>
      </c>
      <c r="F205" s="16">
        <f>IF($B205&lt;&gt;"tutar_farki","","UUID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IF($B206&lt;&gt;"tutar_farki","",IF(ABS($C206)&gt;efs_esikFark,"YUKSEK","NORMAL"))</f>
        <v/>
      </c>
      <c r="F206" s="16">
        <f>IF($B206&lt;&gt;"tutar_farki","","UUID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IF($B207&lt;&gt;"tutar_farki","",IF(ABS($C207)&gt;efs_esikFark,"YUKSEK","NORMAL"))</f>
        <v/>
      </c>
      <c r="F207" s="16">
        <f>IF($B207&lt;&gt;"tutar_farki","","UUID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IF($B208&lt;&gt;"tutar_farki","",IF(ABS($C208)&gt;efs_esikFark,"YUKSEK","NORMAL"))</f>
        <v/>
      </c>
      <c r="F208" s="16">
        <f>IF($B208&lt;&gt;"tutar_farki","","UUID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IF($B209&lt;&gt;"tutar_farki","",IF(ABS($C209)&gt;efs_esikFark,"YUKSEK","NORMAL"))</f>
        <v/>
      </c>
      <c r="F209" s="16">
        <f>IF($B209&lt;&gt;"tutar_farki","","UUID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IF($B210&lt;&gt;"tutar_farki","",IF(ABS($C210)&gt;efs_esikFark,"YUKSEK","NORMAL"))</f>
        <v/>
      </c>
      <c r="F210" s="16">
        <f>IF($B210&lt;&gt;"tutar_farki","","UUID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IF($B211&lt;&gt;"tutar_farki","",IF(ABS($C211)&gt;efs_esikFark,"YUKSEK","NORMAL"))</f>
        <v/>
      </c>
      <c r="F211" s="16">
        <f>IF($B211&lt;&gt;"tutar_farki","","UUID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IF($B212&lt;&gt;"tutar_farki","",IF(ABS($C212)&gt;efs_esikFark,"YUKSEK","NORMAL"))</f>
        <v/>
      </c>
      <c r="F212" s="16">
        <f>IF($B212&lt;&gt;"tutar_farki","","UUID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IF($B213&lt;&gt;"tutar_farki","",IF(ABS($C213)&gt;efs_esikFark,"YUKSEK","NORMAL"))</f>
        <v/>
      </c>
      <c r="F213" s="16">
        <f>IF($B213&lt;&gt;"tutar_farki","","UUID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IF($B214&lt;&gt;"tutar_farki","",IF(ABS($C214)&gt;efs_esikFark,"YUKSEK","NORMAL"))</f>
        <v/>
      </c>
      <c r="F214" s="16">
        <f>IF($B214&lt;&gt;"tutar_farki","","UUID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IF($B215&lt;&gt;"tutar_farki","",IF(ABS($C215)&gt;efs_esikFark,"YUKSEK","NORMAL"))</f>
        <v/>
      </c>
      <c r="F215" s="16">
        <f>IF($B215&lt;&gt;"tutar_farki","","UUID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IF($B216&lt;&gt;"tutar_farki","",IF(ABS($C216)&gt;efs_esikFark,"YUKSEK","NORMAL"))</f>
        <v/>
      </c>
      <c r="F216" s="16">
        <f>IF($B216&lt;&gt;"tutar_farki","","UUID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IF($B217&lt;&gt;"tutar_farki","",IF(ABS($C217)&gt;efs_esikFark,"YUKSEK","NORMAL"))</f>
        <v/>
      </c>
      <c r="F217" s="16">
        <f>IF($B217&lt;&gt;"tutar_farki","","UUID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IF($B218&lt;&gt;"tutar_farki","",IF(ABS($C218)&gt;efs_esikFark,"YUKSEK","NORMAL"))</f>
        <v/>
      </c>
      <c r="F218" s="16">
        <f>IF($B218&lt;&gt;"tutar_farki","","UUID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IF($B219&lt;&gt;"tutar_farki","",IF(ABS($C219)&gt;efs_esikFark,"YUKSEK","NORMAL"))</f>
        <v/>
      </c>
      <c r="F219" s="16">
        <f>IF($B219&lt;&gt;"tutar_farki","","UUID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IF($B220&lt;&gt;"tutar_farki","",IF(ABS($C220)&gt;efs_esikFark,"YUKSEK","NORMAL"))</f>
        <v/>
      </c>
      <c r="F220" s="16">
        <f>IF($B220&lt;&gt;"tutar_farki","","UUID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IF($B221&lt;&gt;"tutar_farki","",IF(ABS($C221)&gt;efs_esikFark,"YUKSEK","NORMAL"))</f>
        <v/>
      </c>
      <c r="F221" s="16">
        <f>IF($B221&lt;&gt;"tutar_farki","","UUID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IF($B222&lt;&gt;"tutar_farki","",IF(ABS($C222)&gt;efs_esikFark,"YUKSEK","NORMAL"))</f>
        <v/>
      </c>
      <c r="F222" s="16">
        <f>IF($B222&lt;&gt;"tutar_farki","","UUID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IF($B223&lt;&gt;"tutar_farki","",IF(ABS($C223)&gt;efs_esikFark,"YUKSEK","NORMAL"))</f>
        <v/>
      </c>
      <c r="F223" s="16">
        <f>IF($B223&lt;&gt;"tutar_farki","","UUID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IF($B224&lt;&gt;"tutar_farki","",IF(ABS($C224)&gt;efs_esikFark,"YUKSEK","NORMAL"))</f>
        <v/>
      </c>
      <c r="F224" s="16">
        <f>IF($B224&lt;&gt;"tutar_farki","","UUID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IF($B225&lt;&gt;"tutar_farki","",IF(ABS($C225)&gt;efs_esikFark,"YUKSEK","NORMAL"))</f>
        <v/>
      </c>
      <c r="F225" s="16">
        <f>IF($B225&lt;&gt;"tutar_farki","","UUID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IF($B226&lt;&gt;"tutar_farki","",IF(ABS($C226)&gt;efs_esikFark,"YUKSEK","NORMAL"))</f>
        <v/>
      </c>
      <c r="F226" s="16">
        <f>IF($B226&lt;&gt;"tutar_farki","","UUID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IF($B227&lt;&gt;"tutar_farki","",IF(ABS($C227)&gt;efs_esikFark,"YUKSEK","NORMAL"))</f>
        <v/>
      </c>
      <c r="F227" s="16">
        <f>IF($B227&lt;&gt;"tutar_farki","","UUID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IF($B228&lt;&gt;"tutar_farki","",IF(ABS($C228)&gt;efs_esikFark,"YUKSEK","NORMAL"))</f>
        <v/>
      </c>
      <c r="F228" s="16">
        <f>IF($B228&lt;&gt;"tutar_farki","","UUID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IF($B229&lt;&gt;"tutar_farki","",IF(ABS($C229)&gt;efs_esikFark,"YUKSEK","NORMAL"))</f>
        <v/>
      </c>
      <c r="F229" s="16">
        <f>IF($B229&lt;&gt;"tutar_farki","","UUID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IF($B230&lt;&gt;"tutar_farki","",IF(ABS($C230)&gt;efs_esikFark,"YUKSEK","NORMAL"))</f>
        <v/>
      </c>
      <c r="F230" s="16">
        <f>IF($B230&lt;&gt;"tutar_farki","","UUID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IF($B231&lt;&gt;"tutar_farki","",IF(ABS($C231)&gt;efs_esikFark,"YUKSEK","NORMAL"))</f>
        <v/>
      </c>
      <c r="F231" s="16">
        <f>IF($B231&lt;&gt;"tutar_farki","","UUID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IF($B232&lt;&gt;"tutar_farki","",IF(ABS($C232)&gt;efs_esikFark,"YUKSEK","NORMAL"))</f>
        <v/>
      </c>
      <c r="F232" s="16">
        <f>IF($B232&lt;&gt;"tutar_farki","","UUID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IF($B233&lt;&gt;"tutar_farki","",IF(ABS($C233)&gt;efs_esikFark,"YUKSEK","NORMAL"))</f>
        <v/>
      </c>
      <c r="F233" s="16">
        <f>IF($B233&lt;&gt;"tutar_farki","","UUID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IF($B234&lt;&gt;"tutar_farki","",IF(ABS($C234)&gt;efs_esikFark,"YUKSEK","NORMAL"))</f>
        <v/>
      </c>
      <c r="F234" s="16">
        <f>IF($B234&lt;&gt;"tutar_farki","","UUID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IF($B235&lt;&gt;"tutar_farki","",IF(ABS($C235)&gt;efs_esikFark,"YUKSEK","NORMAL"))</f>
        <v/>
      </c>
      <c r="F235" s="16">
        <f>IF($B235&lt;&gt;"tutar_farki","","UUID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IF($B236&lt;&gt;"tutar_farki","",IF(ABS($C236)&gt;efs_esikFark,"YUKSEK","NORMAL"))</f>
        <v/>
      </c>
      <c r="F236" s="16">
        <f>IF($B236&lt;&gt;"tutar_farki","","UUID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IF($B237&lt;&gt;"tutar_farki","",IF(ABS($C237)&gt;efs_esikFark,"YUKSEK","NORMAL"))</f>
        <v/>
      </c>
      <c r="F237" s="16">
        <f>IF($B237&lt;&gt;"tutar_farki","","UUID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IF($B238&lt;&gt;"tutar_farki","",IF(ABS($C238)&gt;efs_esikFark,"YUKSEK","NORMAL"))</f>
        <v/>
      </c>
      <c r="F238" s="16">
        <f>IF($B238&lt;&gt;"tutar_farki","","UUID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IF($B239&lt;&gt;"tutar_farki","",IF(ABS($C239)&gt;efs_esikFark,"YUKSEK","NORMAL"))</f>
        <v/>
      </c>
      <c r="F239" s="16">
        <f>IF($B239&lt;&gt;"tutar_farki","","UUID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IF($B240&lt;&gt;"tutar_farki","",IF(ABS($C240)&gt;efs_esikFark,"YUKSEK","NORMAL"))</f>
        <v/>
      </c>
      <c r="F240" s="16">
        <f>IF($B240&lt;&gt;"tutar_farki","","UUID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IF($B241&lt;&gt;"tutar_farki","",IF(ABS($C241)&gt;efs_esikFark,"YUKSEK","NORMAL"))</f>
        <v/>
      </c>
      <c r="F241" s="16">
        <f>IF($B241&lt;&gt;"tutar_farki","","UUID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IF($B242&lt;&gt;"tutar_farki","",IF(ABS($C242)&gt;efs_esikFark,"YUKSEK","NORMAL"))</f>
        <v/>
      </c>
      <c r="F242" s="16">
        <f>IF($B242&lt;&gt;"tutar_farki","","UUID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IF($B243&lt;&gt;"tutar_farki","",IF(ABS($C243)&gt;efs_esikFark,"YUKSEK","NORMAL"))</f>
        <v/>
      </c>
      <c r="F243" s="16">
        <f>IF($B243&lt;&gt;"tutar_farki","","UUID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IF($B244&lt;&gt;"tutar_farki","",IF(ABS($C244)&gt;efs_esikFark,"YUKSEK","NORMAL"))</f>
        <v/>
      </c>
      <c r="F244" s="16">
        <f>IF($B244&lt;&gt;"tutar_farki","","UUID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IF($B245&lt;&gt;"tutar_farki","",IF(ABS($C245)&gt;efs_esikFark,"YUKSEK","NORMAL"))</f>
        <v/>
      </c>
      <c r="F245" s="16">
        <f>IF($B245&lt;&gt;"tutar_farki","","UUID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IF($B246&lt;&gt;"tutar_farki","",IF(ABS($C246)&gt;efs_esikFark,"YUKSEK","NORMAL"))</f>
        <v/>
      </c>
      <c r="F246" s="16">
        <f>IF($B246&lt;&gt;"tutar_farki","","UUID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IF($B247&lt;&gt;"tutar_farki","",IF(ABS($C247)&gt;efs_esikFark,"YUKSEK","NORMAL"))</f>
        <v/>
      </c>
      <c r="F247" s="16">
        <f>IF($B247&lt;&gt;"tutar_farki","","UUID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IF($B248&lt;&gt;"tutar_farki","",IF(ABS($C248)&gt;efs_esikFark,"YUKSEK","NORMAL"))</f>
        <v/>
      </c>
      <c r="F248" s="16">
        <f>IF($B248&lt;&gt;"tutar_farki","","UUID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IF($B249&lt;&gt;"tutar_farki","",IF(ABS($C249)&gt;efs_esikFark,"YUKSEK","NORMAL"))</f>
        <v/>
      </c>
      <c r="F249" s="16">
        <f>IF($B249&lt;&gt;"tutar_farki","","UUID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IF($B250&lt;&gt;"tutar_farki","",IF(ABS($C250)&gt;efs_esikFark,"YUKSEK","NORMAL"))</f>
        <v/>
      </c>
      <c r="F250" s="16">
        <f>IF($B250&lt;&gt;"tutar_farki","","UUID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IF($B251&lt;&gt;"tutar_farki","",IF(ABS($C251)&gt;efs_esikFark,"YUKSEK","NORMAL"))</f>
        <v/>
      </c>
      <c r="F251" s="16">
        <f>IF($B251&lt;&gt;"tutar_farki","","UUID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IF($B252&lt;&gt;"tutar_farki","",IF(ABS($C252)&gt;efs_esikFark,"YUKSEK","NORMAL"))</f>
        <v/>
      </c>
      <c r="F252" s="16">
        <f>IF($B252&lt;&gt;"tutar_farki","","UUID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IF($B253&lt;&gt;"tutar_farki","",IF(ABS($C253)&gt;efs_esikFark,"YUKSEK","NORMAL"))</f>
        <v/>
      </c>
      <c r="F253" s="16">
        <f>IF($B253&lt;&gt;"tutar_farki","","UUID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IF($B254&lt;&gt;"tutar_farki","",IF(ABS($C254)&gt;efs_esikFark,"YUKSEK","NORMAL"))</f>
        <v/>
      </c>
      <c r="F254" s="16">
        <f>IF($B254&lt;&gt;"tutar_farki","","UUID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IF($B255&lt;&gt;"tutar_farki","",IF(ABS($C255)&gt;efs_esikFark,"YUKSEK","NORMAL"))</f>
        <v/>
      </c>
      <c r="F255" s="16">
        <f>IF($B255&lt;&gt;"tutar_farki","","UUID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IF($B256&lt;&gt;"tutar_farki","",IF(ABS($C256)&gt;efs_esikFark,"YUKSEK","NORMAL"))</f>
        <v/>
      </c>
      <c r="F256" s="16">
        <f>IF($B256&lt;&gt;"tutar_farki","","UUID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IF($B257&lt;&gt;"tutar_farki","",IF(ABS($C257)&gt;efs_esikFark,"YUKSEK","NORMAL"))</f>
        <v/>
      </c>
      <c r="F257" s="16">
        <f>IF($B257&lt;&gt;"tutar_farki","","UUID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IF($B258&lt;&gt;"tutar_farki","",IF(ABS($C258)&gt;efs_esikFark,"YUKSEK","NORMAL"))</f>
        <v/>
      </c>
      <c r="F258" s="16">
        <f>IF($B258&lt;&gt;"tutar_farki","","UUID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IF($B259&lt;&gt;"tutar_farki","",IF(ABS($C259)&gt;efs_esikFark,"YUKSEK","NORMAL"))</f>
        <v/>
      </c>
      <c r="F259" s="16">
        <f>IF($B259&lt;&gt;"tutar_farki","","UUID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IF($B260&lt;&gt;"tutar_farki","",IF(ABS($C260)&gt;efs_esikFark,"YUKSEK","NORMAL"))</f>
        <v/>
      </c>
      <c r="F260" s="16">
        <f>IF($B260&lt;&gt;"tutar_farki","","UUID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IF($B261&lt;&gt;"tutar_farki","",IF(ABS($C261)&gt;efs_esikFark,"YUKSEK","NORMAL"))</f>
        <v/>
      </c>
      <c r="F261" s="16">
        <f>IF($B261&lt;&gt;"tutar_farki","","UUID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IF($B262&lt;&gt;"tutar_farki","",IF(ABS($C262)&gt;efs_esikFark,"YUKSEK","NORMAL"))</f>
        <v/>
      </c>
      <c r="F262" s="16">
        <f>IF($B262&lt;&gt;"tutar_farki","","UUID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IF($B263&lt;&gt;"tutar_farki","",IF(ABS($C263)&gt;efs_esikFark,"YUKSEK","NORMAL"))</f>
        <v/>
      </c>
      <c r="F263" s="16">
        <f>IF($B263&lt;&gt;"tutar_farki","","UUID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IF($B264&lt;&gt;"tutar_farki","",IF(ABS($C264)&gt;efs_esikFark,"YUKSEK","NORMAL"))</f>
        <v/>
      </c>
      <c r="F264" s="16">
        <f>IF($B264&lt;&gt;"tutar_farki","","UUID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IF($B265&lt;&gt;"tutar_farki","",IF(ABS($C265)&gt;efs_esikFark,"YUKSEK","NORMAL"))</f>
        <v/>
      </c>
      <c r="F265" s="16">
        <f>IF($B265&lt;&gt;"tutar_farki","","UUID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IF($B266&lt;&gt;"tutar_farki","",IF(ABS($C266)&gt;efs_esikFark,"YUKSEK","NORMAL"))</f>
        <v/>
      </c>
      <c r="F266" s="16">
        <f>IF($B266&lt;&gt;"tutar_farki","","UUID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IF($B267&lt;&gt;"tutar_farki","",IF(ABS($C267)&gt;efs_esikFark,"YUKSEK","NORMAL"))</f>
        <v/>
      </c>
      <c r="F267" s="16">
        <f>IF($B267&lt;&gt;"tutar_farki","","UUID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IF($B268&lt;&gt;"tutar_farki","",IF(ABS($C268)&gt;efs_esikFark,"YUKSEK","NORMAL"))</f>
        <v/>
      </c>
      <c r="F268" s="16">
        <f>IF($B268&lt;&gt;"tutar_farki","","UUID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IF($B269&lt;&gt;"tutar_farki","",IF(ABS($C269)&gt;efs_esikFark,"YUKSEK","NORMAL"))</f>
        <v/>
      </c>
      <c r="F269" s="16">
        <f>IF($B269&lt;&gt;"tutar_farki","","UUID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IF($B270&lt;&gt;"tutar_farki","",IF(ABS($C270)&gt;efs_esikFark,"YUKSEK","NORMAL"))</f>
        <v/>
      </c>
      <c r="F270" s="16">
        <f>IF($B270&lt;&gt;"tutar_farki","","UUID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IF($B271&lt;&gt;"tutar_farki","",IF(ABS($C271)&gt;efs_esikFark,"YUKSEK","NORMAL"))</f>
        <v/>
      </c>
      <c r="F271" s="16">
        <f>IF($B271&lt;&gt;"tutar_farki","","UUID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IF($B272&lt;&gt;"tutar_farki","",IF(ABS($C272)&gt;efs_esikFark,"YUKSEK","NORMAL"))</f>
        <v/>
      </c>
      <c r="F272" s="16">
        <f>IF($B272&lt;&gt;"tutar_farki","","UUID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IF($B273&lt;&gt;"tutar_farki","",IF(ABS($C273)&gt;efs_esikFark,"YUKSEK","NORMAL"))</f>
        <v/>
      </c>
      <c r="F273" s="16">
        <f>IF($B273&lt;&gt;"tutar_farki","","UUID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IF($B274&lt;&gt;"tutar_farki","",IF(ABS($C274)&gt;efs_esikFark,"YUKSEK","NORMAL"))</f>
        <v/>
      </c>
      <c r="F274" s="16">
        <f>IF($B274&lt;&gt;"tutar_farki","","UUID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IF($B275&lt;&gt;"tutar_farki","",IF(ABS($C275)&gt;efs_esikFark,"YUKSEK","NORMAL"))</f>
        <v/>
      </c>
      <c r="F275" s="16">
        <f>IF($B275&lt;&gt;"tutar_farki","","UUID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IF($B276&lt;&gt;"tutar_farki","",IF(ABS($C276)&gt;efs_esikFark,"YUKSEK","NORMAL"))</f>
        <v/>
      </c>
      <c r="F276" s="16">
        <f>IF($B276&lt;&gt;"tutar_farki","","UUID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IF($B277&lt;&gt;"tutar_farki","",IF(ABS($C277)&gt;efs_esikFark,"YUKSEK","NORMAL"))</f>
        <v/>
      </c>
      <c r="F277" s="16">
        <f>IF($B277&lt;&gt;"tutar_farki","","UUID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IF($B278&lt;&gt;"tutar_farki","",IF(ABS($C278)&gt;efs_esikFark,"YUKSEK","NORMAL"))</f>
        <v/>
      </c>
      <c r="F278" s="16">
        <f>IF($B278&lt;&gt;"tutar_farki","","UUID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IF($B279&lt;&gt;"tutar_farki","",IF(ABS($C279)&gt;efs_esikFark,"YUKSEK","NORMAL"))</f>
        <v/>
      </c>
      <c r="F279" s="16">
        <f>IF($B279&lt;&gt;"tutar_farki","","UUID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IF($B280&lt;&gt;"tutar_farki","",IF(ABS($C280)&gt;efs_esikFark,"YUKSEK","NORMAL"))</f>
        <v/>
      </c>
      <c r="F280" s="16">
        <f>IF($B280&lt;&gt;"tutar_farki","","UUID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IF($B281&lt;&gt;"tutar_farki","",IF(ABS($C281)&gt;efs_esikFark,"YUKSEK","NORMAL"))</f>
        <v/>
      </c>
      <c r="F281" s="16">
        <f>IF($B281&lt;&gt;"tutar_farki","","UUID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IF($B282&lt;&gt;"tutar_farki","",IF(ABS($C282)&gt;efs_esikFark,"YUKSEK","NORMAL"))</f>
        <v/>
      </c>
      <c r="F282" s="16">
        <f>IF($B282&lt;&gt;"tutar_farki","","UUID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IF($B283&lt;&gt;"tutar_farki","",IF(ABS($C283)&gt;efs_esikFark,"YUKSEK","NORMAL"))</f>
        <v/>
      </c>
      <c r="F283" s="16">
        <f>IF($B283&lt;&gt;"tutar_farki","","UUID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IF($B284&lt;&gt;"tutar_farki","",IF(ABS($C284)&gt;efs_esikFark,"YUKSEK","NORMAL"))</f>
        <v/>
      </c>
      <c r="F284" s="16">
        <f>IF($B284&lt;&gt;"tutar_farki","","UUID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IF($B285&lt;&gt;"tutar_farki","",IF(ABS($C285)&gt;efs_esikFark,"YUKSEK","NORMAL"))</f>
        <v/>
      </c>
      <c r="F285" s="16">
        <f>IF($B285&lt;&gt;"tutar_farki","","UUID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IF($B286&lt;&gt;"tutar_farki","",IF(ABS($C286)&gt;efs_esikFark,"YUKSEK","NORMAL"))</f>
        <v/>
      </c>
      <c r="F286" s="16">
        <f>IF($B286&lt;&gt;"tutar_farki","","UUID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IF($B287&lt;&gt;"tutar_farki","",IF(ABS($C287)&gt;efs_esikFark,"YUKSEK","NORMAL"))</f>
        <v/>
      </c>
      <c r="F287" s="16">
        <f>IF($B287&lt;&gt;"tutar_farki","","UUID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IF($B288&lt;&gt;"tutar_farki","",IF(ABS($C288)&gt;efs_esikFark,"YUKSEK","NORMAL"))</f>
        <v/>
      </c>
      <c r="F288" s="16">
        <f>IF($B288&lt;&gt;"tutar_farki","","UUID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IF($B289&lt;&gt;"tutar_farki","",IF(ABS($C289)&gt;efs_esikFark,"YUKSEK","NORMAL"))</f>
        <v/>
      </c>
      <c r="F289" s="16">
        <f>IF($B289&lt;&gt;"tutar_farki","","UUID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IF($B290&lt;&gt;"tutar_farki","",IF(ABS($C290)&gt;efs_esikFark,"YUKSEK","NORMAL"))</f>
        <v/>
      </c>
      <c r="F290" s="16">
        <f>IF($B290&lt;&gt;"tutar_farki","","UUID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IF($B291&lt;&gt;"tutar_farki","",IF(ABS($C291)&gt;efs_esikFark,"YUKSEK","NORMAL"))</f>
        <v/>
      </c>
      <c r="F291" s="16">
        <f>IF($B291&lt;&gt;"tutar_farki","","UUID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IF($B292&lt;&gt;"tutar_farki","",IF(ABS($C292)&gt;efs_esikFark,"YUKSEK","NORMAL"))</f>
        <v/>
      </c>
      <c r="F292" s="16">
        <f>IF($B292&lt;&gt;"tutar_farki","","UUID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IF($B293&lt;&gt;"tutar_farki","",IF(ABS($C293)&gt;efs_esikFark,"YUKSEK","NORMAL"))</f>
        <v/>
      </c>
      <c r="F293" s="16">
        <f>IF($B293&lt;&gt;"tutar_farki","","UUID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IF($B294&lt;&gt;"tutar_farki","",IF(ABS($C294)&gt;efs_esikFark,"YUKSEK","NORMAL"))</f>
        <v/>
      </c>
      <c r="F294" s="16">
        <f>IF($B294&lt;&gt;"tutar_farki","","UUID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IF($B295&lt;&gt;"tutar_farki","",IF(ABS($C295)&gt;efs_esikFark,"YUKSEK","NORMAL"))</f>
        <v/>
      </c>
      <c r="F295" s="16">
        <f>IF($B295&lt;&gt;"tutar_farki","","UUID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IF($B296&lt;&gt;"tutar_farki","",IF(ABS($C296)&gt;efs_esikFark,"YUKSEK","NORMAL"))</f>
        <v/>
      </c>
      <c r="F296" s="16">
        <f>IF($B296&lt;&gt;"tutar_farki","","UUID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IF($B297&lt;&gt;"tutar_farki","",IF(ABS($C297)&gt;efs_esikFark,"YUKSEK","NORMAL"))</f>
        <v/>
      </c>
      <c r="F297" s="16">
        <f>IF($B297&lt;&gt;"tutar_farki","","UUID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IF($B298&lt;&gt;"tutar_farki","",IF(ABS($C298)&gt;efs_esikFark,"YUKSEK","NORMAL"))</f>
        <v/>
      </c>
      <c r="F298" s="16">
        <f>IF($B298&lt;&gt;"tutar_farki","","UUID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IF($B299&lt;&gt;"tutar_farki","",IF(ABS($C299)&gt;efs_esikFark,"YUKSEK","NORMAL"))</f>
        <v/>
      </c>
      <c r="F299" s="16">
        <f>IF($B299&lt;&gt;"tutar_farki","","UUID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IF($B300&lt;&gt;"tutar_farki","",IF(ABS($C300)&gt;efs_esikFark,"YUKSEK","NORMAL"))</f>
        <v/>
      </c>
      <c r="F300" s="16">
        <f>IF($B300&lt;&gt;"tutar_farki","","UUID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IF($B301&lt;&gt;"tutar_farki","",IF(ABS($C301)&gt;efs_esikFark,"YUKSEK","NORMAL"))</f>
        <v/>
      </c>
      <c r="F301" s="16">
        <f>IF($B301&lt;&gt;"tutar_farki","","UUID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IF($B302&lt;&gt;"tutar_farki","",IF(ABS($C302)&gt;efs_esikFark,"YUKSEK","NORMAL"))</f>
        <v/>
      </c>
      <c r="F302" s="16">
        <f>IF($B302&lt;&gt;"tutar_farki","","UUID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IF($B303&lt;&gt;"tutar_farki","",IF(ABS($C303)&gt;efs_esikFark,"YUKSEK","NORMAL"))</f>
        <v/>
      </c>
      <c r="F303" s="16">
        <f>IF($B303&lt;&gt;"tutar_farki","","UUID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IF($B304&lt;&gt;"tutar_farki","",IF(ABS($C304)&gt;efs_esikFark,"YUKSEK","NORMAL"))</f>
        <v/>
      </c>
      <c r="F304" s="16">
        <f>IF($B304&lt;&gt;"tutar_farki","","UUID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IF($B305&lt;&gt;"tutar_farki","",IF(ABS($C305)&gt;efs_esikFark,"YUKSEK","NORMAL"))</f>
        <v/>
      </c>
      <c r="F305" s="16">
        <f>IF($B305&lt;&gt;"tutar_farki","","UUID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IF($B306&lt;&gt;"tutar_farki","",IF(ABS($C306)&gt;efs_esikFark,"YUKSEK","NORMAL"))</f>
        <v/>
      </c>
      <c r="F306" s="16">
        <f>IF($B306&lt;&gt;"tutar_farki","","UUID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IF($B307&lt;&gt;"tutar_farki","",IF(ABS($C307)&gt;efs_esikFark,"YUKSEK","NORMAL"))</f>
        <v/>
      </c>
      <c r="F307" s="16">
        <f>IF($B307&lt;&gt;"tutar_farki","","UUID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IF($B308&lt;&gt;"tutar_farki","",IF(ABS($C308)&gt;efs_esikFark,"YUKSEK","NORMAL"))</f>
        <v/>
      </c>
      <c r="F308" s="16">
        <f>IF($B308&lt;&gt;"tutar_farki","","UUID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IF($B309&lt;&gt;"tutar_farki","",IF(ABS($C309)&gt;efs_esikFark,"YUKSEK","NORMAL"))</f>
        <v/>
      </c>
      <c r="F309" s="16">
        <f>IF($B309&lt;&gt;"tutar_farki","","UUID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IF($B310&lt;&gt;"tutar_farki","",IF(ABS($C310)&gt;efs_esikFark,"YUKSEK","NORMAL"))</f>
        <v/>
      </c>
      <c r="F310" s="16">
        <f>IF($B310&lt;&gt;"tutar_farki","","UUID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IF($B311&lt;&gt;"tutar_farki","",IF(ABS($C311)&gt;efs_esikFark,"YUKSEK","NORMAL"))</f>
        <v/>
      </c>
      <c r="F311" s="16">
        <f>IF($B311&lt;&gt;"tutar_farki","","UUID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IF($B312&lt;&gt;"tutar_farki","",IF(ABS($C312)&gt;efs_esikFark,"YUKSEK","NORMAL"))</f>
        <v/>
      </c>
      <c r="F312" s="16">
        <f>IF($B312&lt;&gt;"tutar_farki","","UUID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IF($B313&lt;&gt;"tutar_farki","",IF(ABS($C313)&gt;efs_esikFark,"YUKSEK","NORMAL"))</f>
        <v/>
      </c>
      <c r="F313" s="16">
        <f>IF($B313&lt;&gt;"tutar_farki","","UUID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IF($B314&lt;&gt;"tutar_farki","",IF(ABS($C314)&gt;efs_esikFark,"YUKSEK","NORMAL"))</f>
        <v/>
      </c>
      <c r="F314" s="16">
        <f>IF($B314&lt;&gt;"tutar_farki","","UUID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IF($B315&lt;&gt;"tutar_farki","",IF(ABS($C315)&gt;efs_esikFark,"YUKSEK","NORMAL"))</f>
        <v/>
      </c>
      <c r="F315" s="16">
        <f>IF($B315&lt;&gt;"tutar_farki","","UUID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IF($B316&lt;&gt;"tutar_farki","",IF(ABS($C316)&gt;efs_esikFark,"YUKSEK","NORMAL"))</f>
        <v/>
      </c>
      <c r="F316" s="16">
        <f>IF($B316&lt;&gt;"tutar_farki","","UUID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IF($B317&lt;&gt;"tutar_farki","",IF(ABS($C317)&gt;efs_esikFark,"YUKSEK","NORMAL"))</f>
        <v/>
      </c>
      <c r="F317" s="16">
        <f>IF($B317&lt;&gt;"tutar_farki","","UUID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IF($B318&lt;&gt;"tutar_farki","",IF(ABS($C318)&gt;efs_esikFark,"YUKSEK","NORMAL"))</f>
        <v/>
      </c>
      <c r="F318" s="16">
        <f>IF($B318&lt;&gt;"tutar_farki","","UUID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IF($B319&lt;&gt;"tutar_farki","",IF(ABS($C319)&gt;efs_esikFark,"YUKSEK","NORMAL"))</f>
        <v/>
      </c>
      <c r="F319" s="16">
        <f>IF($B319&lt;&gt;"tutar_farki","","UUID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IF($B320&lt;&gt;"tutar_farki","",IF(ABS($C320)&gt;efs_esikFark,"YUKSEK","NORMAL"))</f>
        <v/>
      </c>
      <c r="F320" s="16">
        <f>IF($B320&lt;&gt;"tutar_farki","","UUID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IF($B321&lt;&gt;"tutar_farki","",IF(ABS($C321)&gt;efs_esikFark,"YUKSEK","NORMAL"))</f>
        <v/>
      </c>
      <c r="F321" s="16">
        <f>IF($B321&lt;&gt;"tutar_farki","","UUID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IF($B322&lt;&gt;"tutar_farki","",IF(ABS($C322)&gt;efs_esikFark,"YUKSEK","NORMAL"))</f>
        <v/>
      </c>
      <c r="F322" s="16">
        <f>IF($B322&lt;&gt;"tutar_farki","","UUID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IF($B323&lt;&gt;"tutar_farki","",IF(ABS($C323)&gt;efs_esikFark,"YUKSEK","NORMAL"))</f>
        <v/>
      </c>
      <c r="F323" s="16">
        <f>IF($B323&lt;&gt;"tutar_farki","","UUID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IF($B324&lt;&gt;"tutar_farki","",IF(ABS($C324)&gt;efs_esikFark,"YUKSEK","NORMAL"))</f>
        <v/>
      </c>
      <c r="F324" s="16">
        <f>IF($B324&lt;&gt;"tutar_farki","","UUID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IF($B325&lt;&gt;"tutar_farki","",IF(ABS($C325)&gt;efs_esikFark,"YUKSEK","NORMAL"))</f>
        <v/>
      </c>
      <c r="F325" s="16">
        <f>IF($B325&lt;&gt;"tutar_farki","","UUID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IF($B326&lt;&gt;"tutar_farki","",IF(ABS($C326)&gt;efs_esikFark,"YUKSEK","NORMAL"))</f>
        <v/>
      </c>
      <c r="F326" s="16">
        <f>IF($B326&lt;&gt;"tutar_farki","","UUID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IF($B327&lt;&gt;"tutar_farki","",IF(ABS($C327)&gt;efs_esikFark,"YUKSEK","NORMAL"))</f>
        <v/>
      </c>
      <c r="F327" s="16">
        <f>IF($B327&lt;&gt;"tutar_farki","","UUID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IF($B328&lt;&gt;"tutar_farki","",IF(ABS($C328)&gt;efs_esikFark,"YUKSEK","NORMAL"))</f>
        <v/>
      </c>
      <c r="F328" s="16">
        <f>IF($B328&lt;&gt;"tutar_farki","","UUID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IF($B329&lt;&gt;"tutar_farki","",IF(ABS($C329)&gt;efs_esikFark,"YUKSEK","NORMAL"))</f>
        <v/>
      </c>
      <c r="F329" s="16">
        <f>IF($B329&lt;&gt;"tutar_farki","","UUID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IF($B330&lt;&gt;"tutar_farki","",IF(ABS($C330)&gt;efs_esikFark,"YUKSEK","NORMAL"))</f>
        <v/>
      </c>
      <c r="F330" s="16">
        <f>IF($B330&lt;&gt;"tutar_farki","","UUID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IF($B331&lt;&gt;"tutar_farki","",IF(ABS($C331)&gt;efs_esikFark,"YUKSEK","NORMAL"))</f>
        <v/>
      </c>
      <c r="F331" s="16">
        <f>IF($B331&lt;&gt;"tutar_farki","","UUID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IF($B332&lt;&gt;"tutar_farki","",IF(ABS($C332)&gt;efs_esikFark,"YUKSEK","NORMAL"))</f>
        <v/>
      </c>
      <c r="F332" s="16">
        <f>IF($B332&lt;&gt;"tutar_farki","","UUID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IF($B333&lt;&gt;"tutar_farki","",IF(ABS($C333)&gt;efs_esikFark,"YUKSEK","NORMAL"))</f>
        <v/>
      </c>
      <c r="F333" s="16">
        <f>IF($B333&lt;&gt;"tutar_farki","","UUID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IF($B334&lt;&gt;"tutar_farki","",IF(ABS($C334)&gt;efs_esikFark,"YUKSEK","NORMAL"))</f>
        <v/>
      </c>
      <c r="F334" s="16">
        <f>IF($B334&lt;&gt;"tutar_farki","","UUID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IF($B335&lt;&gt;"tutar_farki","",IF(ABS($C335)&gt;efs_esikFark,"YUKSEK","NORMAL"))</f>
        <v/>
      </c>
      <c r="F335" s="16">
        <f>IF($B335&lt;&gt;"tutar_farki","","UUID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IF($B336&lt;&gt;"tutar_farki","",IF(ABS($C336)&gt;efs_esikFark,"YUKSEK","NORMAL"))</f>
        <v/>
      </c>
      <c r="F336" s="16">
        <f>IF($B336&lt;&gt;"tutar_farki","","UUID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IF($B337&lt;&gt;"tutar_farki","",IF(ABS($C337)&gt;efs_esikFark,"YUKSEK","NORMAL"))</f>
        <v/>
      </c>
      <c r="F337" s="16">
        <f>IF($B337&lt;&gt;"tutar_farki","","UUID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IF($B338&lt;&gt;"tutar_farki","",IF(ABS($C338)&gt;efs_esikFark,"YUKSEK","NORMAL"))</f>
        <v/>
      </c>
      <c r="F338" s="16">
        <f>IF($B338&lt;&gt;"tutar_farki","","UUID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IF($B339&lt;&gt;"tutar_farki","",IF(ABS($C339)&gt;efs_esikFark,"YUKSEK","NORMAL"))</f>
        <v/>
      </c>
      <c r="F339" s="16">
        <f>IF($B339&lt;&gt;"tutar_farki","","UUID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IF($B340&lt;&gt;"tutar_farki","",IF(ABS($C340)&gt;efs_esikFark,"YUKSEK","NORMAL"))</f>
        <v/>
      </c>
      <c r="F340" s="16">
        <f>IF($B340&lt;&gt;"tutar_farki","","UUID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IF($B341&lt;&gt;"tutar_farki","",IF(ABS($C341)&gt;efs_esikFark,"YUKSEK","NORMAL"))</f>
        <v/>
      </c>
      <c r="F341" s="16">
        <f>IF($B341&lt;&gt;"tutar_farki","","UUID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IF($B342&lt;&gt;"tutar_farki","",IF(ABS($C342)&gt;efs_esikFark,"YUKSEK","NORMAL"))</f>
        <v/>
      </c>
      <c r="F342" s="16">
        <f>IF($B342&lt;&gt;"tutar_farki","","UUID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IF($B343&lt;&gt;"tutar_farki","",IF(ABS($C343)&gt;efs_esikFark,"YUKSEK","NORMAL"))</f>
        <v/>
      </c>
      <c r="F343" s="16">
        <f>IF($B343&lt;&gt;"tutar_farki","","UUID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IF($B344&lt;&gt;"tutar_farki","",IF(ABS($C344)&gt;efs_esikFark,"YUKSEK","NORMAL"))</f>
        <v/>
      </c>
      <c r="F344" s="16">
        <f>IF($B344&lt;&gt;"tutar_farki","","UUID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IF($B345&lt;&gt;"tutar_farki","",IF(ABS($C345)&gt;efs_esikFark,"YUKSEK","NORMAL"))</f>
        <v/>
      </c>
      <c r="F345" s="16">
        <f>IF($B345&lt;&gt;"tutar_farki","","UUID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IF($B346&lt;&gt;"tutar_farki","",IF(ABS($C346)&gt;efs_esikFark,"YUKSEK","NORMAL"))</f>
        <v/>
      </c>
      <c r="F346" s="16">
        <f>IF($B346&lt;&gt;"tutar_farki","","UUID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IF($B347&lt;&gt;"tutar_farki","",IF(ABS($C347)&gt;efs_esikFark,"YUKSEK","NORMAL"))</f>
        <v/>
      </c>
      <c r="F347" s="16">
        <f>IF($B347&lt;&gt;"tutar_farki","","UUID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IF($B348&lt;&gt;"tutar_farki","",IF(ABS($C348)&gt;efs_esikFark,"YUKSEK","NORMAL"))</f>
        <v/>
      </c>
      <c r="F348" s="16">
        <f>IF($B348&lt;&gt;"tutar_farki","","UUID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IF($B349&lt;&gt;"tutar_farki","",IF(ABS($C349)&gt;efs_esikFark,"YUKSEK","NORMAL"))</f>
        <v/>
      </c>
      <c r="F349" s="16">
        <f>IF($B349&lt;&gt;"tutar_farki","","UUID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IF($B350&lt;&gt;"tutar_farki","",IF(ABS($C350)&gt;efs_esikFark,"YUKSEK","NORMAL"))</f>
        <v/>
      </c>
      <c r="F350" s="16">
        <f>IF($B350&lt;&gt;"tutar_farki","","UUID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IF($B351&lt;&gt;"tutar_farki","",IF(ABS($C351)&gt;efs_esikFark,"YUKSEK","NORMAL"))</f>
        <v/>
      </c>
      <c r="F351" s="16">
        <f>IF($B351&lt;&gt;"tutar_farki","","UUID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IF($B352&lt;&gt;"tutar_farki","",IF(ABS($C352)&gt;efs_esikFark,"YUKSEK","NORMAL"))</f>
        <v/>
      </c>
      <c r="F352" s="16">
        <f>IF($B352&lt;&gt;"tutar_farki","","UUID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IF($B353&lt;&gt;"tutar_farki","",IF(ABS($C353)&gt;efs_esikFark,"YUKSEK","NORMAL"))</f>
        <v/>
      </c>
      <c r="F353" s="16">
        <f>IF($B353&lt;&gt;"tutar_farki","","UUID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IF($B354&lt;&gt;"tutar_farki","",IF(ABS($C354)&gt;efs_esikFark,"YUKSEK","NORMAL"))</f>
        <v/>
      </c>
      <c r="F354" s="16">
        <f>IF($B354&lt;&gt;"tutar_farki","","UUID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IF($B355&lt;&gt;"tutar_farki","",IF(ABS($C355)&gt;efs_esikFark,"YUKSEK","NORMAL"))</f>
        <v/>
      </c>
      <c r="F355" s="16">
        <f>IF($B355&lt;&gt;"tutar_farki","","UUID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IF($B356&lt;&gt;"tutar_farki","",IF(ABS($C356)&gt;efs_esikFark,"YUKSEK","NORMAL"))</f>
        <v/>
      </c>
      <c r="F356" s="16">
        <f>IF($B356&lt;&gt;"tutar_farki","","UUID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IF($B357&lt;&gt;"tutar_farki","",IF(ABS($C357)&gt;efs_esikFark,"YUKSEK","NORMAL"))</f>
        <v/>
      </c>
      <c r="F357" s="16">
        <f>IF($B357&lt;&gt;"tutar_farki","","UUID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IF($B358&lt;&gt;"tutar_farki","",IF(ABS($C358)&gt;efs_esikFark,"YUKSEK","NORMAL"))</f>
        <v/>
      </c>
      <c r="F358" s="16">
        <f>IF($B358&lt;&gt;"tutar_farki","","UUID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IF($B359&lt;&gt;"tutar_farki","",IF(ABS($C359)&gt;efs_esikFark,"YUKSEK","NORMAL"))</f>
        <v/>
      </c>
      <c r="F359" s="16">
        <f>IF($B359&lt;&gt;"tutar_farki","","UUID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IF($B360&lt;&gt;"tutar_farki","",IF(ABS($C360)&gt;efs_esikFark,"YUKSEK","NORMAL"))</f>
        <v/>
      </c>
      <c r="F360" s="16">
        <f>IF($B360&lt;&gt;"tutar_farki","","UUID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IF($B361&lt;&gt;"tutar_farki","",IF(ABS($C361)&gt;efs_esikFark,"YUKSEK","NORMAL"))</f>
        <v/>
      </c>
      <c r="F361" s="16">
        <f>IF($B361&lt;&gt;"tutar_farki","","UUID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IF($B362&lt;&gt;"tutar_farki","",IF(ABS($C362)&gt;efs_esikFark,"YUKSEK","NORMAL"))</f>
        <v/>
      </c>
      <c r="F362" s="16">
        <f>IF($B362&lt;&gt;"tutar_farki","","UUID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IF($B363&lt;&gt;"tutar_farki","",IF(ABS($C363)&gt;efs_esikFark,"YUKSEK","NORMAL"))</f>
        <v/>
      </c>
      <c r="F363" s="16">
        <f>IF($B363&lt;&gt;"tutar_farki","","UUID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IF($B364&lt;&gt;"tutar_farki","",IF(ABS($C364)&gt;efs_esikFark,"YUKSEK","NORMAL"))</f>
        <v/>
      </c>
      <c r="F364" s="16">
        <f>IF($B364&lt;&gt;"tutar_farki","","UUID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IF($B365&lt;&gt;"tutar_farki","",IF(ABS($C365)&gt;efs_esikFark,"YUKSEK","NORMAL"))</f>
        <v/>
      </c>
      <c r="F365" s="16">
        <f>IF($B365&lt;&gt;"tutar_farki","","UUID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IF($B366&lt;&gt;"tutar_farki","",IF(ABS($C366)&gt;efs_esikFark,"YUKSEK","NORMAL"))</f>
        <v/>
      </c>
      <c r="F366" s="16">
        <f>IF($B366&lt;&gt;"tutar_farki","","UUID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IF($B367&lt;&gt;"tutar_farki","",IF(ABS($C367)&gt;efs_esikFark,"YUKSEK","NORMAL"))</f>
        <v/>
      </c>
      <c r="F367" s="16">
        <f>IF($B367&lt;&gt;"tutar_farki","","UUID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IF($B368&lt;&gt;"tutar_farki","",IF(ABS($C368)&gt;efs_esikFark,"YUKSEK","NORMAL"))</f>
        <v/>
      </c>
      <c r="F368" s="16">
        <f>IF($B368&lt;&gt;"tutar_farki","","UUID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IF($B369&lt;&gt;"tutar_farki","",IF(ABS($C369)&gt;efs_esikFark,"YUKSEK","NORMAL"))</f>
        <v/>
      </c>
      <c r="F369" s="16">
        <f>IF($B369&lt;&gt;"tutar_farki","","UUID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IF($B370&lt;&gt;"tutar_farki","",IF(ABS($C370)&gt;efs_esikFark,"YUKSEK","NORMAL"))</f>
        <v/>
      </c>
      <c r="F370" s="16">
        <f>IF($B370&lt;&gt;"tutar_farki","","UUID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IF($B371&lt;&gt;"tutar_farki","",IF(ABS($C371)&gt;efs_esikFark,"YUKSEK","NORMAL"))</f>
        <v/>
      </c>
      <c r="F371" s="16">
        <f>IF($B371&lt;&gt;"tutar_farki","","UUID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IF($B372&lt;&gt;"tutar_farki","",IF(ABS($C372)&gt;efs_esikFark,"YUKSEK","NORMAL"))</f>
        <v/>
      </c>
      <c r="F372" s="16">
        <f>IF($B372&lt;&gt;"tutar_farki","","UUID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IF($B373&lt;&gt;"tutar_farki","",IF(ABS($C373)&gt;efs_esikFark,"YUKSEK","NORMAL"))</f>
        <v/>
      </c>
      <c r="F373" s="16">
        <f>IF($B373&lt;&gt;"tutar_farki","","UUID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IF($B374&lt;&gt;"tutar_farki","",IF(ABS($C374)&gt;efs_esikFark,"YUKSEK","NORMAL"))</f>
        <v/>
      </c>
      <c r="F374" s="16">
        <f>IF($B374&lt;&gt;"tutar_farki","","UUID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IF($B375&lt;&gt;"tutar_farki","",IF(ABS($C375)&gt;efs_esikFark,"YUKSEK","NORMAL"))</f>
        <v/>
      </c>
      <c r="F375" s="16">
        <f>IF($B375&lt;&gt;"tutar_farki","","UUID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IF($B376&lt;&gt;"tutar_farki","",IF(ABS($C376)&gt;efs_esikFark,"YUKSEK","NORMAL"))</f>
        <v/>
      </c>
      <c r="F376" s="16">
        <f>IF($B376&lt;&gt;"tutar_farki","","UUID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IF($B377&lt;&gt;"tutar_farki","",IF(ABS($C377)&gt;efs_esikFark,"YUKSEK","NORMAL"))</f>
        <v/>
      </c>
      <c r="F377" s="16">
        <f>IF($B377&lt;&gt;"tutar_farki","","UUID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IF($B378&lt;&gt;"tutar_farki","",IF(ABS($C378)&gt;efs_esikFark,"YUKSEK","NORMAL"))</f>
        <v/>
      </c>
      <c r="F378" s="16">
        <f>IF($B378&lt;&gt;"tutar_farki","","UUID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IF($B379&lt;&gt;"tutar_farki","",IF(ABS($C379)&gt;efs_esikFark,"YUKSEK","NORMAL"))</f>
        <v/>
      </c>
      <c r="F379" s="16">
        <f>IF($B379&lt;&gt;"tutar_farki","","UUID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IF($B380&lt;&gt;"tutar_farki","",IF(ABS($C380)&gt;efs_esikFark,"YUKSEK","NORMAL"))</f>
        <v/>
      </c>
      <c r="F380" s="16">
        <f>IF($B380&lt;&gt;"tutar_farki","","UUID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IF($B381&lt;&gt;"tutar_farki","",IF(ABS($C381)&gt;efs_esikFark,"YUKSEK","NORMAL"))</f>
        <v/>
      </c>
      <c r="F381" s="16">
        <f>IF($B381&lt;&gt;"tutar_farki","","UUID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IF($B382&lt;&gt;"tutar_farki","",IF(ABS($C382)&gt;efs_esikFark,"YUKSEK","NORMAL"))</f>
        <v/>
      </c>
      <c r="F382" s="16">
        <f>IF($B382&lt;&gt;"tutar_farki","","UUID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IF($B383&lt;&gt;"tutar_farki","",IF(ABS($C383)&gt;efs_esikFark,"YUKSEK","NORMAL"))</f>
        <v/>
      </c>
      <c r="F383" s="16">
        <f>IF($B383&lt;&gt;"tutar_farki","","UUID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IF($B384&lt;&gt;"tutar_farki","",IF(ABS($C384)&gt;efs_esikFark,"YUKSEK","NORMAL"))</f>
        <v/>
      </c>
      <c r="F384" s="16">
        <f>IF($B384&lt;&gt;"tutar_farki","","UUID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IF($B385&lt;&gt;"tutar_farki","",IF(ABS($C385)&gt;efs_esikFark,"YUKSEK","NORMAL"))</f>
        <v/>
      </c>
      <c r="F385" s="16">
        <f>IF($B385&lt;&gt;"tutar_farki","","UUID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IF($B386&lt;&gt;"tutar_farki","",IF(ABS($C386)&gt;efs_esikFark,"YUKSEK","NORMAL"))</f>
        <v/>
      </c>
      <c r="F386" s="16">
        <f>IF($B386&lt;&gt;"tutar_farki","","UUID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IF($B387&lt;&gt;"tutar_farki","",IF(ABS($C387)&gt;efs_esikFark,"YUKSEK","NORMAL"))</f>
        <v/>
      </c>
      <c r="F387" s="16">
        <f>IF($B387&lt;&gt;"tutar_farki","","UUID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IF($B388&lt;&gt;"tutar_farki","",IF(ABS($C388)&gt;efs_esikFark,"YUKSEK","NORMAL"))</f>
        <v/>
      </c>
      <c r="F388" s="16">
        <f>IF($B388&lt;&gt;"tutar_farki","","UUID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IF($B389&lt;&gt;"tutar_farki","",IF(ABS($C389)&gt;efs_esikFark,"YUKSEK","NORMAL"))</f>
        <v/>
      </c>
      <c r="F389" s="16">
        <f>IF($B389&lt;&gt;"tutar_farki","","UUID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IF($B390&lt;&gt;"tutar_farki","",IF(ABS($C390)&gt;efs_esikFark,"YUKSEK","NORMAL"))</f>
        <v/>
      </c>
      <c r="F390" s="16">
        <f>IF($B390&lt;&gt;"tutar_farki","","UUID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IF($B391&lt;&gt;"tutar_farki","",IF(ABS($C391)&gt;efs_esikFark,"YUKSEK","NORMAL"))</f>
        <v/>
      </c>
      <c r="F391" s="16">
        <f>IF($B391&lt;&gt;"tutar_farki","","UUID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IF($B392&lt;&gt;"tutar_farki","",IF(ABS($C392)&gt;efs_esikFark,"YUKSEK","NORMAL"))</f>
        <v/>
      </c>
      <c r="F392" s="16">
        <f>IF($B392&lt;&gt;"tutar_farki","","UUID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IF($B393&lt;&gt;"tutar_farki","",IF(ABS($C393)&gt;efs_esikFark,"YUKSEK","NORMAL"))</f>
        <v/>
      </c>
      <c r="F393" s="16">
        <f>IF($B393&lt;&gt;"tutar_farki","","UUID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IF($B394&lt;&gt;"tutar_farki","",IF(ABS($C394)&gt;efs_esikFark,"YUKSEK","NORMAL"))</f>
        <v/>
      </c>
      <c r="F394" s="16">
        <f>IF($B394&lt;&gt;"tutar_farki","","UUID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IF($B395&lt;&gt;"tutar_farki","",IF(ABS($C395)&gt;efs_esikFark,"YUKSEK","NORMAL"))</f>
        <v/>
      </c>
      <c r="F395" s="16">
        <f>IF($B395&lt;&gt;"tutar_farki","","UUID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IF($B396&lt;&gt;"tutar_farki","",IF(ABS($C396)&gt;efs_esikFark,"YUKSEK","NORMAL"))</f>
        <v/>
      </c>
      <c r="F396" s="16">
        <f>IF($B396&lt;&gt;"tutar_farki","","UUID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IF($B397&lt;&gt;"tutar_farki","",IF(ABS($C397)&gt;efs_esikFark,"YUKSEK","NORMAL"))</f>
        <v/>
      </c>
      <c r="F397" s="16">
        <f>IF($B397&lt;&gt;"tutar_farki","","UUID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IF($B398&lt;&gt;"tutar_farki","",IF(ABS($C398)&gt;efs_esikFark,"YUKSEK","NORMAL"))</f>
        <v/>
      </c>
      <c r="F398" s="16">
        <f>IF($B398&lt;&gt;"tutar_farki","","UUID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IF($B399&lt;&gt;"tutar_farki","",IF(ABS($C399)&gt;efs_esikFark,"YUKSEK","NORMAL"))</f>
        <v/>
      </c>
      <c r="F399" s="16">
        <f>IF($B399&lt;&gt;"tutar_farki","","UUID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IF($B400&lt;&gt;"tutar_farki","",IF(ABS($C400)&gt;efs_esikFark,"YUKSEK","NORMAL"))</f>
        <v/>
      </c>
      <c r="F400" s="16">
        <f>IF($B400&lt;&gt;"tutar_farki","","UUID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IF($B401&lt;&gt;"tutar_farki","",IF(ABS($C401)&gt;efs_esikFark,"YUKSEK","NORMAL"))</f>
        <v/>
      </c>
      <c r="F401" s="16">
        <f>IF($B401&lt;&gt;"tutar_farki","","UUID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IF($B402&lt;&gt;"tutar_farki","",IF(ABS($C402)&gt;efs_esikFark,"YUKSEK","NORMAL"))</f>
        <v/>
      </c>
      <c r="F402" s="16">
        <f>IF($B402&lt;&gt;"tutar_farki","","UUID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IF($B403&lt;&gt;"tutar_farki","",IF(ABS($C403)&gt;efs_esikFark,"YUKSEK","NORMAL"))</f>
        <v/>
      </c>
      <c r="F403" s="16">
        <f>IF($B403&lt;&gt;"tutar_farki","","UUID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IF($B404&lt;&gt;"tutar_farki","",IF(ABS($C404)&gt;efs_esikFark,"YUKSEK","NORMAL"))</f>
        <v/>
      </c>
      <c r="F404" s="16">
        <f>IF($B404&lt;&gt;"tutar_farki","","UUID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IF($B405&lt;&gt;"tutar_farki","",IF(ABS($C405)&gt;efs_esikFark,"YUKSEK","NORMAL"))</f>
        <v/>
      </c>
      <c r="F405" s="16">
        <f>IF($B405&lt;&gt;"tutar_farki","","UUID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IF($B406&lt;&gt;"tutar_farki","",IF(ABS($C406)&gt;efs_esikFark,"YUKSEK","NORMAL"))</f>
        <v/>
      </c>
      <c r="F406" s="16">
        <f>IF($B406&lt;&gt;"tutar_farki","","UUID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IF($B407&lt;&gt;"tutar_farki","",IF(ABS($C407)&gt;efs_esikFark,"YUKSEK","NORMAL"))</f>
        <v/>
      </c>
      <c r="F407" s="16">
        <f>IF($B407&lt;&gt;"tutar_farki","","UUID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IF($B408&lt;&gt;"tutar_farki","",IF(ABS($C408)&gt;efs_esikFark,"YUKSEK","NORMAL"))</f>
        <v/>
      </c>
      <c r="F408" s="16">
        <f>IF($B408&lt;&gt;"tutar_farki","","UUID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IF($B409&lt;&gt;"tutar_farki","",IF(ABS($C409)&gt;efs_esikFark,"YUKSEK","NORMAL"))</f>
        <v/>
      </c>
      <c r="F409" s="16">
        <f>IF($B409&lt;&gt;"tutar_farki","","UUID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IF($B410&lt;&gt;"tutar_farki","",IF(ABS($C410)&gt;efs_esikFark,"YUKSEK","NORMAL"))</f>
        <v/>
      </c>
      <c r="F410" s="16">
        <f>IF($B410&lt;&gt;"tutar_farki","","UUID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IF($B411&lt;&gt;"tutar_farki","",IF(ABS($C411)&gt;efs_esikFark,"YUKSEK","NORMAL"))</f>
        <v/>
      </c>
      <c r="F411" s="16">
        <f>IF($B411&lt;&gt;"tutar_farki","","UUID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IF($B412&lt;&gt;"tutar_farki","",IF(ABS($C412)&gt;efs_esikFark,"YUKSEK","NORMAL"))</f>
        <v/>
      </c>
      <c r="F412" s="16">
        <f>IF($B412&lt;&gt;"tutar_farki","","UUID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IF($B413&lt;&gt;"tutar_farki","",IF(ABS($C413)&gt;efs_esikFark,"YUKSEK","NORMAL"))</f>
        <v/>
      </c>
      <c r="F413" s="16">
        <f>IF($B413&lt;&gt;"tutar_farki","","UUID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IF($B414&lt;&gt;"tutar_farki","",IF(ABS($C414)&gt;efs_esikFark,"YUKSEK","NORMAL"))</f>
        <v/>
      </c>
      <c r="F414" s="16">
        <f>IF($B414&lt;&gt;"tutar_farki","","UUID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IF($B415&lt;&gt;"tutar_farki","",IF(ABS($C415)&gt;efs_esikFark,"YUKSEK","NORMAL"))</f>
        <v/>
      </c>
      <c r="F415" s="16">
        <f>IF($B415&lt;&gt;"tutar_farki","","UUID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IF($B416&lt;&gt;"tutar_farki","",IF(ABS($C416)&gt;efs_esikFark,"YUKSEK","NORMAL"))</f>
        <v/>
      </c>
      <c r="F416" s="16">
        <f>IF($B416&lt;&gt;"tutar_farki","","UUID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IF($B417&lt;&gt;"tutar_farki","",IF(ABS($C417)&gt;efs_esikFark,"YUKSEK","NORMAL"))</f>
        <v/>
      </c>
      <c r="F417" s="16">
        <f>IF($B417&lt;&gt;"tutar_farki","","UUID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IF($B418&lt;&gt;"tutar_farki","",IF(ABS($C418)&gt;efs_esikFark,"YUKSEK","NORMAL"))</f>
        <v/>
      </c>
      <c r="F418" s="16">
        <f>IF($B418&lt;&gt;"tutar_farki","","UUID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IF($B419&lt;&gt;"tutar_farki","",IF(ABS($C419)&gt;efs_esikFark,"YUKSEK","NORMAL"))</f>
        <v/>
      </c>
      <c r="F419" s="16">
        <f>IF($B419&lt;&gt;"tutar_farki","","UUID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IF($B420&lt;&gt;"tutar_farki","",IF(ABS($C420)&gt;efs_esikFark,"YUKSEK","NORMAL"))</f>
        <v/>
      </c>
      <c r="F420" s="16">
        <f>IF($B420&lt;&gt;"tutar_farki","","UUID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IF($B421&lt;&gt;"tutar_farki","",IF(ABS($C421)&gt;efs_esikFark,"YUKSEK","NORMAL"))</f>
        <v/>
      </c>
      <c r="F421" s="16">
        <f>IF($B421&lt;&gt;"tutar_farki","","UUID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IF($B422&lt;&gt;"tutar_farki","",IF(ABS($C422)&gt;efs_esikFark,"YUKSEK","NORMAL"))</f>
        <v/>
      </c>
      <c r="F422" s="16">
        <f>IF($B422&lt;&gt;"tutar_farki","","UUID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IF($B423&lt;&gt;"tutar_farki","",IF(ABS($C423)&gt;efs_esikFark,"YUKSEK","NORMAL"))</f>
        <v/>
      </c>
      <c r="F423" s="16">
        <f>IF($B423&lt;&gt;"tutar_farki","","UUID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IF($B424&lt;&gt;"tutar_farki","",IF(ABS($C424)&gt;efs_esikFark,"YUKSEK","NORMAL"))</f>
        <v/>
      </c>
      <c r="F424" s="16">
        <f>IF($B424&lt;&gt;"tutar_farki","","UUID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IF($B425&lt;&gt;"tutar_farki","",IF(ABS($C425)&gt;efs_esikFark,"YUKSEK","NORMAL"))</f>
        <v/>
      </c>
      <c r="F425" s="16">
        <f>IF($B425&lt;&gt;"tutar_farki","","UUID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IF($B426&lt;&gt;"tutar_farki","",IF(ABS($C426)&gt;efs_esikFark,"YUKSEK","NORMAL"))</f>
        <v/>
      </c>
      <c r="F426" s="16">
        <f>IF($B426&lt;&gt;"tutar_farki","","UUID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IF($B427&lt;&gt;"tutar_farki","",IF(ABS($C427)&gt;efs_esikFark,"YUKSEK","NORMAL"))</f>
        <v/>
      </c>
      <c r="F427" s="16">
        <f>IF($B427&lt;&gt;"tutar_farki","","UUID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IF($B428&lt;&gt;"tutar_farki","",IF(ABS($C428)&gt;efs_esikFark,"YUKSEK","NORMAL"))</f>
        <v/>
      </c>
      <c r="F428" s="16">
        <f>IF($B428&lt;&gt;"tutar_farki","","UUID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IF($B429&lt;&gt;"tutar_farki","",IF(ABS($C429)&gt;efs_esikFark,"YUKSEK","NORMAL"))</f>
        <v/>
      </c>
      <c r="F429" s="16">
        <f>IF($B429&lt;&gt;"tutar_farki","","UUID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IF($B430&lt;&gt;"tutar_farki","",IF(ABS($C430)&gt;efs_esikFark,"YUKSEK","NORMAL"))</f>
        <v/>
      </c>
      <c r="F430" s="16">
        <f>IF($B430&lt;&gt;"tutar_farki","","UUID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IF($B431&lt;&gt;"tutar_farki","",IF(ABS($C431)&gt;efs_esikFark,"YUKSEK","NORMAL"))</f>
        <v/>
      </c>
      <c r="F431" s="16">
        <f>IF($B431&lt;&gt;"tutar_farki","","UUID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IF($B432&lt;&gt;"tutar_farki","",IF(ABS($C432)&gt;efs_esikFark,"YUKSEK","NORMAL"))</f>
        <v/>
      </c>
      <c r="F432" s="16">
        <f>IF($B432&lt;&gt;"tutar_farki","","UUID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IF($B433&lt;&gt;"tutar_farki","",IF(ABS($C433)&gt;efs_esikFark,"YUKSEK","NORMAL"))</f>
        <v/>
      </c>
      <c r="F433" s="16">
        <f>IF($B433&lt;&gt;"tutar_farki","","UUID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IF($B434&lt;&gt;"tutar_farki","",IF(ABS($C434)&gt;efs_esikFark,"YUKSEK","NORMAL"))</f>
        <v/>
      </c>
      <c r="F434" s="16">
        <f>IF($B434&lt;&gt;"tutar_farki","","UUID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IF($B435&lt;&gt;"tutar_farki","",IF(ABS($C435)&gt;efs_esikFark,"YUKSEK","NORMAL"))</f>
        <v/>
      </c>
      <c r="F435" s="16">
        <f>IF($B435&lt;&gt;"tutar_farki","","UUID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IF($B436&lt;&gt;"tutar_farki","",IF(ABS($C436)&gt;efs_esikFark,"YUKSEK","NORMAL"))</f>
        <v/>
      </c>
      <c r="F436" s="16">
        <f>IF($B436&lt;&gt;"tutar_farki","","UUID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IF($B437&lt;&gt;"tutar_farki","",IF(ABS($C437)&gt;efs_esikFark,"YUKSEK","NORMAL"))</f>
        <v/>
      </c>
      <c r="F437" s="16">
        <f>IF($B437&lt;&gt;"tutar_farki","","UUID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IF($B438&lt;&gt;"tutar_farki","",IF(ABS($C438)&gt;efs_esikFark,"YUKSEK","NORMAL"))</f>
        <v/>
      </c>
      <c r="F438" s="16">
        <f>IF($B438&lt;&gt;"tutar_farki","","UUID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IF($B439&lt;&gt;"tutar_farki","",IF(ABS($C439)&gt;efs_esikFark,"YUKSEK","NORMAL"))</f>
        <v/>
      </c>
      <c r="F439" s="16">
        <f>IF($B439&lt;&gt;"tutar_farki","","UUID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IF($B440&lt;&gt;"tutar_farki","",IF(ABS($C440)&gt;efs_esikFark,"YUKSEK","NORMAL"))</f>
        <v/>
      </c>
      <c r="F440" s="16">
        <f>IF($B440&lt;&gt;"tutar_farki","","UUID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IF($B441&lt;&gt;"tutar_farki","",IF(ABS($C441)&gt;efs_esikFark,"YUKSEK","NORMAL"))</f>
        <v/>
      </c>
      <c r="F441" s="16">
        <f>IF($B441&lt;&gt;"tutar_farki","","UUID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IF($B442&lt;&gt;"tutar_farki","",IF(ABS($C442)&gt;efs_esikFark,"YUKSEK","NORMAL"))</f>
        <v/>
      </c>
      <c r="F442" s="16">
        <f>IF($B442&lt;&gt;"tutar_farki","","UUID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IF($B443&lt;&gt;"tutar_farki","",IF(ABS($C443)&gt;efs_esikFark,"YUKSEK","NORMAL"))</f>
        <v/>
      </c>
      <c r="F443" s="16">
        <f>IF($B443&lt;&gt;"tutar_farki","","UUID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IF($B444&lt;&gt;"tutar_farki","",IF(ABS($C444)&gt;efs_esikFark,"YUKSEK","NORMAL"))</f>
        <v/>
      </c>
      <c r="F444" s="16">
        <f>IF($B444&lt;&gt;"tutar_farki","","UUID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IF($B445&lt;&gt;"tutar_farki","",IF(ABS($C445)&gt;efs_esikFark,"YUKSEK","NORMAL"))</f>
        <v/>
      </c>
      <c r="F445" s="16">
        <f>IF($B445&lt;&gt;"tutar_farki","","UUID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IF($B446&lt;&gt;"tutar_farki","",IF(ABS($C446)&gt;efs_esikFark,"YUKSEK","NORMAL"))</f>
        <v/>
      </c>
      <c r="F446" s="16">
        <f>IF($B446&lt;&gt;"tutar_farki","","UUID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IF($B447&lt;&gt;"tutar_farki","",IF(ABS($C447)&gt;efs_esikFark,"YUKSEK","NORMAL"))</f>
        <v/>
      </c>
      <c r="F447" s="16">
        <f>IF($B447&lt;&gt;"tutar_farki","","UUID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IF($B448&lt;&gt;"tutar_farki","",IF(ABS($C448)&gt;efs_esikFark,"YUKSEK","NORMAL"))</f>
        <v/>
      </c>
      <c r="F448" s="16">
        <f>IF($B448&lt;&gt;"tutar_farki","","UUID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IF($B449&lt;&gt;"tutar_farki","",IF(ABS($C449)&gt;efs_esikFark,"YUKSEK","NORMAL"))</f>
        <v/>
      </c>
      <c r="F449" s="16">
        <f>IF($B449&lt;&gt;"tutar_farki","","UUID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IF($B450&lt;&gt;"tutar_farki","",IF(ABS($C450)&gt;efs_esikFark,"YUKSEK","NORMAL"))</f>
        <v/>
      </c>
      <c r="F450" s="16">
        <f>IF($B450&lt;&gt;"tutar_farki","","UUID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IF($B451&lt;&gt;"tutar_farki","",IF(ABS($C451)&gt;efs_esikFark,"YUKSEK","NORMAL"))</f>
        <v/>
      </c>
      <c r="F451" s="16">
        <f>IF($B451&lt;&gt;"tutar_farki","","UUID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IF($B452&lt;&gt;"tutar_farki","",IF(ABS($C452)&gt;efs_esikFark,"YUKSEK","NORMAL"))</f>
        <v/>
      </c>
      <c r="F452" s="16">
        <f>IF($B452&lt;&gt;"tutar_farki","","UUID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IF($B453&lt;&gt;"tutar_farki","",IF(ABS($C453)&gt;efs_esikFark,"YUKSEK","NORMAL"))</f>
        <v/>
      </c>
      <c r="F453" s="16">
        <f>IF($B453&lt;&gt;"tutar_farki","","UUID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IF($B454&lt;&gt;"tutar_farki","",IF(ABS($C454)&gt;efs_esikFark,"YUKSEK","NORMAL"))</f>
        <v/>
      </c>
      <c r="F454" s="16">
        <f>IF($B454&lt;&gt;"tutar_farki","","UUID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IF($B455&lt;&gt;"tutar_farki","",IF(ABS($C455)&gt;efs_esikFark,"YUKSEK","NORMAL"))</f>
        <v/>
      </c>
      <c r="F455" s="16">
        <f>IF($B455&lt;&gt;"tutar_farki","","UUID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IF($B456&lt;&gt;"tutar_farki","",IF(ABS($C456)&gt;efs_esikFark,"YUKSEK","NORMAL"))</f>
        <v/>
      </c>
      <c r="F456" s="16">
        <f>IF($B456&lt;&gt;"tutar_farki","","UUID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IF($B457&lt;&gt;"tutar_farki","",IF(ABS($C457)&gt;efs_esikFark,"YUKSEK","NORMAL"))</f>
        <v/>
      </c>
      <c r="F457" s="16">
        <f>IF($B457&lt;&gt;"tutar_farki","","UUID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IF($B458&lt;&gt;"tutar_farki","",IF(ABS($C458)&gt;efs_esikFark,"YUKSEK","NORMAL"))</f>
        <v/>
      </c>
      <c r="F458" s="16">
        <f>IF($B458&lt;&gt;"tutar_farki","","UUID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IF($B459&lt;&gt;"tutar_farki","",IF(ABS($C459)&gt;efs_esikFark,"YUKSEK","NORMAL"))</f>
        <v/>
      </c>
      <c r="F459" s="16">
        <f>IF($B459&lt;&gt;"tutar_farki","","UUID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IF($B460&lt;&gt;"tutar_farki","",IF(ABS($C460)&gt;efs_esikFark,"YUKSEK","NORMAL"))</f>
        <v/>
      </c>
      <c r="F460" s="16">
        <f>IF($B460&lt;&gt;"tutar_farki","","UUID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IF($B461&lt;&gt;"tutar_farki","",IF(ABS($C461)&gt;efs_esikFark,"YUKSEK","NORMAL"))</f>
        <v/>
      </c>
      <c r="F461" s="16">
        <f>IF($B461&lt;&gt;"tutar_farki","","UUID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IF($B462&lt;&gt;"tutar_farki","",IF(ABS($C462)&gt;efs_esikFark,"YUKSEK","NORMAL"))</f>
        <v/>
      </c>
      <c r="F462" s="16">
        <f>IF($B462&lt;&gt;"tutar_farki","","UUID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IF($B463&lt;&gt;"tutar_farki","",IF(ABS($C463)&gt;efs_esikFark,"YUKSEK","NORMAL"))</f>
        <v/>
      </c>
      <c r="F463" s="16">
        <f>IF($B463&lt;&gt;"tutar_farki","","UUID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IF($B464&lt;&gt;"tutar_farki","",IF(ABS($C464)&gt;efs_esikFark,"YUKSEK","NORMAL"))</f>
        <v/>
      </c>
      <c r="F464" s="16">
        <f>IF($B464&lt;&gt;"tutar_farki","","UUID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IF($B465&lt;&gt;"tutar_farki","",IF(ABS($C465)&gt;efs_esikFark,"YUKSEK","NORMAL"))</f>
        <v/>
      </c>
      <c r="F465" s="16">
        <f>IF($B465&lt;&gt;"tutar_farki","","UUID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IF($B466&lt;&gt;"tutar_farki","",IF(ABS($C466)&gt;efs_esikFark,"YUKSEK","NORMAL"))</f>
        <v/>
      </c>
      <c r="F466" s="16">
        <f>IF($B466&lt;&gt;"tutar_farki","","UUID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IF($B467&lt;&gt;"tutar_farki","",IF(ABS($C467)&gt;efs_esikFark,"YUKSEK","NORMAL"))</f>
        <v/>
      </c>
      <c r="F467" s="16">
        <f>IF($B467&lt;&gt;"tutar_farki","","UUID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IF($B468&lt;&gt;"tutar_farki","",IF(ABS($C468)&gt;efs_esikFark,"YUKSEK","NORMAL"))</f>
        <v/>
      </c>
      <c r="F468" s="16">
        <f>IF($B468&lt;&gt;"tutar_farki","","UUID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IF($B469&lt;&gt;"tutar_farki","",IF(ABS($C469)&gt;efs_esikFark,"YUKSEK","NORMAL"))</f>
        <v/>
      </c>
      <c r="F469" s="16">
        <f>IF($B469&lt;&gt;"tutar_farki","","UUID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IF($B470&lt;&gt;"tutar_farki","",IF(ABS($C470)&gt;efs_esikFark,"YUKSEK","NORMAL"))</f>
        <v/>
      </c>
      <c r="F470" s="16">
        <f>IF($B470&lt;&gt;"tutar_farki","","UUID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IF($B471&lt;&gt;"tutar_farki","",IF(ABS($C471)&gt;efs_esikFark,"YUKSEK","NORMAL"))</f>
        <v/>
      </c>
      <c r="F471" s="16">
        <f>IF($B471&lt;&gt;"tutar_farki","","UUID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IF($B472&lt;&gt;"tutar_farki","",IF(ABS($C472)&gt;efs_esikFark,"YUKSEK","NORMAL"))</f>
        <v/>
      </c>
      <c r="F472" s="16">
        <f>IF($B472&lt;&gt;"tutar_farki","","UUID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IF($B473&lt;&gt;"tutar_farki","",IF(ABS($C473)&gt;efs_esikFark,"YUKSEK","NORMAL"))</f>
        <v/>
      </c>
      <c r="F473" s="16">
        <f>IF($B473&lt;&gt;"tutar_farki","","UUID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IF($B474&lt;&gt;"tutar_farki","",IF(ABS($C474)&gt;efs_esikFark,"YUKSEK","NORMAL"))</f>
        <v/>
      </c>
      <c r="F474" s="16">
        <f>IF($B474&lt;&gt;"tutar_farki","","UUID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IF($B475&lt;&gt;"tutar_farki","",IF(ABS($C475)&gt;efs_esikFark,"YUKSEK","NORMAL"))</f>
        <v/>
      </c>
      <c r="F475" s="16">
        <f>IF($B475&lt;&gt;"tutar_farki","","UUID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IF($B476&lt;&gt;"tutar_farki","",IF(ABS($C476)&gt;efs_esikFark,"YUKSEK","NORMAL"))</f>
        <v/>
      </c>
      <c r="F476" s="16">
        <f>IF($B476&lt;&gt;"tutar_farki","","UUID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IF($B477&lt;&gt;"tutar_farki","",IF(ABS($C477)&gt;efs_esikFark,"YUKSEK","NORMAL"))</f>
        <v/>
      </c>
      <c r="F477" s="16">
        <f>IF($B477&lt;&gt;"tutar_farki","","UUID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IF($B478&lt;&gt;"tutar_farki","",IF(ABS($C478)&gt;efs_esikFark,"YUKSEK","NORMAL"))</f>
        <v/>
      </c>
      <c r="F478" s="16">
        <f>IF($B478&lt;&gt;"tutar_farki","","UUID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IF($B479&lt;&gt;"tutar_farki","",IF(ABS($C479)&gt;efs_esikFark,"YUKSEK","NORMAL"))</f>
        <v/>
      </c>
      <c r="F479" s="16">
        <f>IF($B479&lt;&gt;"tutar_farki","","UUID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IF($B480&lt;&gt;"tutar_farki","",IF(ABS($C480)&gt;efs_esikFark,"YUKSEK","NORMAL"))</f>
        <v/>
      </c>
      <c r="F480" s="16">
        <f>IF($B480&lt;&gt;"tutar_farki","","UUID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IF($B481&lt;&gt;"tutar_farki","",IF(ABS($C481)&gt;efs_esikFark,"YUKSEK","NORMAL"))</f>
        <v/>
      </c>
      <c r="F481" s="16">
        <f>IF($B481&lt;&gt;"tutar_farki","","UUID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IF($B482&lt;&gt;"tutar_farki","",IF(ABS($C482)&gt;efs_esikFark,"YUKSEK","NORMAL"))</f>
        <v/>
      </c>
      <c r="F482" s="16">
        <f>IF($B482&lt;&gt;"tutar_farki","","UUID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IF($B483&lt;&gt;"tutar_farki","",IF(ABS($C483)&gt;efs_esikFark,"YUKSEK","NORMAL"))</f>
        <v/>
      </c>
      <c r="F483" s="16">
        <f>IF($B483&lt;&gt;"tutar_farki","","UUID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IF($B484&lt;&gt;"tutar_farki","",IF(ABS($C484)&gt;efs_esikFark,"YUKSEK","NORMAL"))</f>
        <v/>
      </c>
      <c r="F484" s="16">
        <f>IF($B484&lt;&gt;"tutar_farki","","UUID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IF($B485&lt;&gt;"tutar_farki","",IF(ABS($C485)&gt;efs_esikFark,"YUKSEK","NORMAL"))</f>
        <v/>
      </c>
      <c r="F485" s="16">
        <f>IF($B485&lt;&gt;"tutar_farki","","UUID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IF($B486&lt;&gt;"tutar_farki","",IF(ABS($C486)&gt;efs_esikFark,"YUKSEK","NORMAL"))</f>
        <v/>
      </c>
      <c r="F486" s="16">
        <f>IF($B486&lt;&gt;"tutar_farki","","UUID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IF($B487&lt;&gt;"tutar_farki","",IF(ABS($C487)&gt;efs_esikFark,"YUKSEK","NORMAL"))</f>
        <v/>
      </c>
      <c r="F487" s="16">
        <f>IF($B487&lt;&gt;"tutar_farki","","UUID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IF($B488&lt;&gt;"tutar_farki","",IF(ABS($C488)&gt;efs_esikFark,"YUKSEK","NORMAL"))</f>
        <v/>
      </c>
      <c r="F488" s="16">
        <f>IF($B488&lt;&gt;"tutar_farki","","UUID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IF($B489&lt;&gt;"tutar_farki","",IF(ABS($C489)&gt;efs_esikFark,"YUKSEK","NORMAL"))</f>
        <v/>
      </c>
      <c r="F489" s="16">
        <f>IF($B489&lt;&gt;"tutar_farki","","UUID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IF($B490&lt;&gt;"tutar_farki","",IF(ABS($C490)&gt;efs_esikFark,"YUKSEK","NORMAL"))</f>
        <v/>
      </c>
      <c r="F490" s="16">
        <f>IF($B490&lt;&gt;"tutar_farki","","UUID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IF($B491&lt;&gt;"tutar_farki","",IF(ABS($C491)&gt;efs_esikFark,"YUKSEK","NORMAL"))</f>
        <v/>
      </c>
      <c r="F491" s="16">
        <f>IF($B491&lt;&gt;"tutar_farki","","UUID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IF($B492&lt;&gt;"tutar_farki","",IF(ABS($C492)&gt;efs_esikFark,"YUKSEK","NORMAL"))</f>
        <v/>
      </c>
      <c r="F492" s="16">
        <f>IF($B492&lt;&gt;"tutar_farki","","UUID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IF($B493&lt;&gt;"tutar_farki","",IF(ABS($C493)&gt;efs_esikFark,"YUKSEK","NORMAL"))</f>
        <v/>
      </c>
      <c r="F493" s="16">
        <f>IF($B493&lt;&gt;"tutar_farki","","UUID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IF($B494&lt;&gt;"tutar_farki","",IF(ABS($C494)&gt;efs_esikFark,"YUKSEK","NORMAL"))</f>
        <v/>
      </c>
      <c r="F494" s="16">
        <f>IF($B494&lt;&gt;"tutar_farki","","UUID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IF($B495&lt;&gt;"tutar_farki","",IF(ABS($C495)&gt;efs_esikFark,"YUKSEK","NORMAL"))</f>
        <v/>
      </c>
      <c r="F495" s="16">
        <f>IF($B495&lt;&gt;"tutar_farki","","UUID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IF($B496&lt;&gt;"tutar_farki","",IF(ABS($C496)&gt;efs_esikFark,"YUKSEK","NORMAL"))</f>
        <v/>
      </c>
      <c r="F496" s="16">
        <f>IF($B496&lt;&gt;"tutar_farki","","UUID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IF($B497&lt;&gt;"tutar_farki","",IF(ABS($C497)&gt;efs_esikFark,"YUKSEK","NORMAL"))</f>
        <v/>
      </c>
      <c r="F497" s="16">
        <f>IF($B497&lt;&gt;"tutar_farki","","UUID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IF($B498&lt;&gt;"tutar_farki","",IF(ABS($C498)&gt;efs_esikFark,"YUKSEK","NORMAL"))</f>
        <v/>
      </c>
      <c r="F498" s="16">
        <f>IF($B498&lt;&gt;"tutar_farki","","UUID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IF($B499&lt;&gt;"tutar_farki","",IF(ABS($C499)&gt;efs_esikFark,"YUKSEK","NORMAL"))</f>
        <v/>
      </c>
      <c r="F499" s="16">
        <f>IF($B499&lt;&gt;"tutar_farki","","UUID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IF($B500&lt;&gt;"tutar_farki","",IF(ABS($C500)&gt;efs_esikFark,"YUKSEK","NORMAL"))</f>
        <v/>
      </c>
      <c r="F500" s="16">
        <f>IF($B500&lt;&gt;"tutar_farki","","UUID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IF($B501&lt;&gt;"tutar_farki","",IF(ABS($C501)&gt;efs_esikFark,"YUKSEK","NORMAL"))</f>
        <v/>
      </c>
      <c r="F501" s="16">
        <f>IF($B501&lt;&gt;"tutar_farki","","UUID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IF($B502&lt;&gt;"tutar_farki","",IF(ABS($C502)&gt;efs_esikFark,"YUKSEK","NORMAL"))</f>
        <v/>
      </c>
      <c r="F502" s="16">
        <f>IF($B502&lt;&gt;"tutar_farki","","UUID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IF($B503&lt;&gt;"tutar_farki","",IF(ABS($C503)&gt;efs_esikFark,"YUKSEK","NORMAL"))</f>
        <v/>
      </c>
      <c r="F503" s="16">
        <f>IF($B503&lt;&gt;"tutar_farki","","UUID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IF($B504&lt;&gt;"tutar_farki","",IF(ABS($C504)&gt;efs_esikFark,"YUKSEK","NORMAL"))</f>
        <v/>
      </c>
      <c r="F504" s="16">
        <f>IF($B504&lt;&gt;"tutar_farki","","UUID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IF($B505&lt;&gt;"tutar_farki","",IF(ABS($C505)&gt;efs_esikFark,"YUKSEK","NORMAL"))</f>
        <v/>
      </c>
      <c r="F505" s="16">
        <f>IF($B505&lt;&gt;"tutar_farki","","UUID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IF($B506&lt;&gt;"tutar_farki","",IF(ABS($C506)&gt;efs_esikFark,"YUKSEK","NORMAL"))</f>
        <v/>
      </c>
      <c r="F506" s="16">
        <f>IF($B506&lt;&gt;"tutar_farki","","UUID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IF($B507&lt;&gt;"tutar_farki","",IF(ABS($C507)&gt;efs_esikFark,"YUKSEK","NORMAL"))</f>
        <v/>
      </c>
      <c r="F507" s="16">
        <f>IF($B507&lt;&gt;"tutar_farki","","UUID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IF($B508&lt;&gt;"tutar_farki","",IF(ABS($C508)&gt;efs_esikFark,"YUKSEK","NORMAL"))</f>
        <v/>
      </c>
      <c r="F508" s="16">
        <f>IF($B508&lt;&gt;"tutar_farki","","UUID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IF($B509&lt;&gt;"tutar_farki","",IF(ABS($C509)&gt;efs_esikFark,"YUKSEK","NORMAL"))</f>
        <v/>
      </c>
      <c r="F509" s="16">
        <f>IF($B509&lt;&gt;"tutar_farki","","UUID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IF($B510&lt;&gt;"tutar_farki","",IF(ABS($C510)&gt;efs_esikFark,"YUKSEK","NORMAL"))</f>
        <v/>
      </c>
      <c r="F510" s="16">
        <f>IF($B510&lt;&gt;"tutar_farki","","UUID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IF($B511&lt;&gt;"tutar_farki","",IF(ABS($C511)&gt;efs_esikFark,"YUKSEK","NORMAL"))</f>
        <v/>
      </c>
      <c r="F511" s="16">
        <f>IF($B511&lt;&gt;"tutar_farki","","UUID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IF($B512&lt;&gt;"tutar_farki","",IF(ABS($C512)&gt;efs_esikFark,"YUKSEK","NORMAL"))</f>
        <v/>
      </c>
      <c r="F512" s="16">
        <f>IF($B512&lt;&gt;"tutar_farki","","UUID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IF($B513&lt;&gt;"tutar_farki","",IF(ABS($C513)&gt;efs_esikFark,"YUKSEK","NORMAL"))</f>
        <v/>
      </c>
      <c r="F513" s="16">
        <f>IF($B513&lt;&gt;"tutar_farki","","UUID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IF($B514&lt;&gt;"tutar_farki","",IF(ABS($C514)&gt;efs_esikFark,"YUKSEK","NORMAL"))</f>
        <v/>
      </c>
      <c r="F514" s="16">
        <f>IF($B514&lt;&gt;"tutar_farki","","UUID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IF($B515&lt;&gt;"tutar_farki","",IF(ABS($C515)&gt;efs_esikFark,"YUKSEK","NORMAL"))</f>
        <v/>
      </c>
      <c r="F515" s="16">
        <f>IF($B515&lt;&gt;"tutar_farki","","UUID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IF($B516&lt;&gt;"tutar_farki","",IF(ABS($C516)&gt;efs_esikFark,"YUKSEK","NORMAL"))</f>
        <v/>
      </c>
      <c r="F516" s="16">
        <f>IF($B516&lt;&gt;"tutar_farki","","UUID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IF($B517&lt;&gt;"tutar_farki","",IF(ABS($C517)&gt;efs_esikFark,"YUKSEK","NORMAL"))</f>
        <v/>
      </c>
      <c r="F517" s="16">
        <f>IF($B517&lt;&gt;"tutar_farki","","UUID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IF($B518&lt;&gt;"tutar_farki","",IF(ABS($C518)&gt;efs_esikFark,"YUKSEK","NORMAL"))</f>
        <v/>
      </c>
      <c r="F518" s="16">
        <f>IF($B518&lt;&gt;"tutar_farki","","UUID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IF($B519&lt;&gt;"tutar_farki","",IF(ABS($C519)&gt;efs_esikFark,"YUKSEK","NORMAL"))</f>
        <v/>
      </c>
      <c r="F519" s="16">
        <f>IF($B519&lt;&gt;"tutar_farki","","UUID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IF($B520&lt;&gt;"tutar_farki","",IF(ABS($C520)&gt;efs_esikFark,"YUKSEK","NORMAL"))</f>
        <v/>
      </c>
      <c r="F520" s="16">
        <f>IF($B520&lt;&gt;"tutar_farki","","UUID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IF($B521&lt;&gt;"tutar_farki","",IF(ABS($C521)&gt;efs_esikFark,"YUKSEK","NORMAL"))</f>
        <v/>
      </c>
      <c r="F521" s="16">
        <f>IF($B521&lt;&gt;"tutar_farki","","UUID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IF($B522&lt;&gt;"tutar_farki","",IF(ABS($C522)&gt;efs_esikFark,"YUKSEK","NORMAL"))</f>
        <v/>
      </c>
      <c r="F522" s="16">
        <f>IF($B522&lt;&gt;"tutar_farki","","UUID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IF($B523&lt;&gt;"tutar_farki","",IF(ABS($C523)&gt;efs_esikFark,"YUKSEK","NORMAL"))</f>
        <v/>
      </c>
      <c r="F523" s="16">
        <f>IF($B523&lt;&gt;"tutar_farki","","UUID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IF($B524&lt;&gt;"tutar_farki","",IF(ABS($C524)&gt;efs_esikFark,"YUKSEK","NORMAL"))</f>
        <v/>
      </c>
      <c r="F524" s="16">
        <f>IF($B524&lt;&gt;"tutar_farki","","UUID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IF($B525&lt;&gt;"tutar_farki","",IF(ABS($C525)&gt;efs_esikFark,"YUKSEK","NORMAL"))</f>
        <v/>
      </c>
      <c r="F525" s="16">
        <f>IF($B525&lt;&gt;"tutar_farki","","UUID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IF($B526&lt;&gt;"tutar_farki","",IF(ABS($C526)&gt;efs_esikFark,"YUKSEK","NORMAL"))</f>
        <v/>
      </c>
      <c r="F526" s="16">
        <f>IF($B526&lt;&gt;"tutar_farki","","UUID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IF($B527&lt;&gt;"tutar_farki","",IF(ABS($C527)&gt;efs_esikFark,"YUKSEK","NORMAL"))</f>
        <v/>
      </c>
      <c r="F527" s="16">
        <f>IF($B527&lt;&gt;"tutar_farki","","UUID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IF($B528&lt;&gt;"tutar_farki","",IF(ABS($C528)&gt;efs_esikFark,"YUKSEK","NORMAL"))</f>
        <v/>
      </c>
      <c r="F528" s="16">
        <f>IF($B528&lt;&gt;"tutar_farki","","UUID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IF($B529&lt;&gt;"tutar_farki","",IF(ABS($C529)&gt;efs_esikFark,"YUKSEK","NORMAL"))</f>
        <v/>
      </c>
      <c r="F529" s="16">
        <f>IF($B529&lt;&gt;"tutar_farki","","UUID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IF($B530&lt;&gt;"tutar_farki","",IF(ABS($C530)&gt;efs_esikFark,"YUKSEK","NORMAL"))</f>
        <v/>
      </c>
      <c r="F530" s="16">
        <f>IF($B530&lt;&gt;"tutar_farki","","UUID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IF($B531&lt;&gt;"tutar_farki","",IF(ABS($C531)&gt;efs_esikFark,"YUKSEK","NORMAL"))</f>
        <v/>
      </c>
      <c r="F531" s="16">
        <f>IF($B531&lt;&gt;"tutar_farki","","UUID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IF($B532&lt;&gt;"tutar_farki","",IF(ABS($C532)&gt;efs_esikFark,"YUKSEK","NORMAL"))</f>
        <v/>
      </c>
      <c r="F532" s="16">
        <f>IF($B532&lt;&gt;"tutar_farki","","UUID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IF($B533&lt;&gt;"tutar_farki","",IF(ABS($C533)&gt;efs_esikFark,"YUKSEK","NORMAL"))</f>
        <v/>
      </c>
      <c r="F533" s="16">
        <f>IF($B533&lt;&gt;"tutar_farki","","UUID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IF($B534&lt;&gt;"tutar_farki","",IF(ABS($C534)&gt;efs_esikFark,"YUKSEK","NORMAL"))</f>
        <v/>
      </c>
      <c r="F534" s="16">
        <f>IF($B534&lt;&gt;"tutar_farki","","UUID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IF($B535&lt;&gt;"tutar_farki","",IF(ABS($C535)&gt;efs_esikFark,"YUKSEK","NORMAL"))</f>
        <v/>
      </c>
      <c r="F535" s="16">
        <f>IF($B535&lt;&gt;"tutar_farki","","UUID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IF($B536&lt;&gt;"tutar_farki","",IF(ABS($C536)&gt;efs_esikFark,"YUKSEK","NORMAL"))</f>
        <v/>
      </c>
      <c r="F536" s="16">
        <f>IF($B536&lt;&gt;"tutar_farki","","UUID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IF($B537&lt;&gt;"tutar_farki","",IF(ABS($C537)&gt;efs_esikFark,"YUKSEK","NORMAL"))</f>
        <v/>
      </c>
      <c r="F537" s="16">
        <f>IF($B537&lt;&gt;"tutar_farki","","UUID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IF($B538&lt;&gt;"tutar_farki","",IF(ABS($C538)&gt;efs_esikFark,"YUKSEK","NORMAL"))</f>
        <v/>
      </c>
      <c r="F538" s="16">
        <f>IF($B538&lt;&gt;"tutar_farki","","UUID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IF($B539&lt;&gt;"tutar_farki","",IF(ABS($C539)&gt;efs_esikFark,"YUKSEK","NORMAL"))</f>
        <v/>
      </c>
      <c r="F539" s="16">
        <f>IF($B539&lt;&gt;"tutar_farki","","UUID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IF($B540&lt;&gt;"tutar_farki","",IF(ABS($C540)&gt;efs_esikFark,"YUKSEK","NORMAL"))</f>
        <v/>
      </c>
      <c r="F540" s="16">
        <f>IF($B540&lt;&gt;"tutar_farki","","UUID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IF($B541&lt;&gt;"tutar_farki","",IF(ABS($C541)&gt;efs_esikFark,"YUKSEK","NORMAL"))</f>
        <v/>
      </c>
      <c r="F541" s="16">
        <f>IF($B541&lt;&gt;"tutar_farki","","UUID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IF($B542&lt;&gt;"tutar_farki","",IF(ABS($C542)&gt;efs_esikFark,"YUKSEK","NORMAL"))</f>
        <v/>
      </c>
      <c r="F542" s="16">
        <f>IF($B542&lt;&gt;"tutar_farki","","UUID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IF($B543&lt;&gt;"tutar_farki","",IF(ABS($C543)&gt;efs_esikFark,"YUKSEK","NORMAL"))</f>
        <v/>
      </c>
      <c r="F543" s="16">
        <f>IF($B543&lt;&gt;"tutar_farki","","UUID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IF($B544&lt;&gt;"tutar_farki","",IF(ABS($C544)&gt;efs_esikFark,"YUKSEK","NORMAL"))</f>
        <v/>
      </c>
      <c r="F544" s="16">
        <f>IF($B544&lt;&gt;"tutar_farki","","UUID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IF($B545&lt;&gt;"tutar_farki","",IF(ABS($C545)&gt;efs_esikFark,"YUKSEK","NORMAL"))</f>
        <v/>
      </c>
      <c r="F545" s="16">
        <f>IF($B545&lt;&gt;"tutar_farki","","UUID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IF($B546&lt;&gt;"tutar_farki","",IF(ABS($C546)&gt;efs_esikFark,"YUKSEK","NORMAL"))</f>
        <v/>
      </c>
      <c r="F546" s="16">
        <f>IF($B546&lt;&gt;"tutar_farki","","UUID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IF($B547&lt;&gt;"tutar_farki","",IF(ABS($C547)&gt;efs_esikFark,"YUKSEK","NORMAL"))</f>
        <v/>
      </c>
      <c r="F547" s="16">
        <f>IF($B547&lt;&gt;"tutar_farki","","UUID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IF($B548&lt;&gt;"tutar_farki","",IF(ABS($C548)&gt;efs_esikFark,"YUKSEK","NORMAL"))</f>
        <v/>
      </c>
      <c r="F548" s="16">
        <f>IF($B548&lt;&gt;"tutar_farki","","UUID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IF($B549&lt;&gt;"tutar_farki","",IF(ABS($C549)&gt;efs_esikFark,"YUKSEK","NORMAL"))</f>
        <v/>
      </c>
      <c r="F549" s="16">
        <f>IF($B549&lt;&gt;"tutar_farki","","UUID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IF($B550&lt;&gt;"tutar_farki","",IF(ABS($C550)&gt;efs_esikFark,"YUKSEK","NORMAL"))</f>
        <v/>
      </c>
      <c r="F550" s="16">
        <f>IF($B550&lt;&gt;"tutar_farki","","UUID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IF($B551&lt;&gt;"tutar_farki","",IF(ABS($C551)&gt;efs_esikFark,"YUKSEK","NORMAL"))</f>
        <v/>
      </c>
      <c r="F551" s="16">
        <f>IF($B551&lt;&gt;"tutar_farki","","UUID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IF($B552&lt;&gt;"tutar_farki","",IF(ABS($C552)&gt;efs_esikFark,"YUKSEK","NORMAL"))</f>
        <v/>
      </c>
      <c r="F552" s="16">
        <f>IF($B552&lt;&gt;"tutar_farki","","UUID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IF($B553&lt;&gt;"tutar_farki","",IF(ABS($C553)&gt;efs_esikFark,"YUKSEK","NORMAL"))</f>
        <v/>
      </c>
      <c r="F553" s="16">
        <f>IF($B553&lt;&gt;"tutar_farki","","UUID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IF($B554&lt;&gt;"tutar_farki","",IF(ABS($C554)&gt;efs_esikFark,"YUKSEK","NORMAL"))</f>
        <v/>
      </c>
      <c r="F554" s="16">
        <f>IF($B554&lt;&gt;"tutar_farki","","UUID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IF($B555&lt;&gt;"tutar_farki","",IF(ABS($C555)&gt;efs_esikFark,"YUKSEK","NORMAL"))</f>
        <v/>
      </c>
      <c r="F555" s="16">
        <f>IF($B555&lt;&gt;"tutar_farki","","UUID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IF($B556&lt;&gt;"tutar_farki","",IF(ABS($C556)&gt;efs_esikFark,"YUKSEK","NORMAL"))</f>
        <v/>
      </c>
      <c r="F556" s="16">
        <f>IF($B556&lt;&gt;"tutar_farki","","UUID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IF($B557&lt;&gt;"tutar_farki","",IF(ABS($C557)&gt;efs_esikFark,"YUKSEK","NORMAL"))</f>
        <v/>
      </c>
      <c r="F557" s="16">
        <f>IF($B557&lt;&gt;"tutar_farki","","UUID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IF($B558&lt;&gt;"tutar_farki","",IF(ABS($C558)&gt;efs_esikFark,"YUKSEK","NORMAL"))</f>
        <v/>
      </c>
      <c r="F558" s="16">
        <f>IF($B558&lt;&gt;"tutar_farki","","UUID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IF($B559&lt;&gt;"tutar_farki","",IF(ABS($C559)&gt;efs_esikFark,"YUKSEK","NORMAL"))</f>
        <v/>
      </c>
      <c r="F559" s="16">
        <f>IF($B559&lt;&gt;"tutar_farki","","UUID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IF($B560&lt;&gt;"tutar_farki","",IF(ABS($C560)&gt;efs_esikFark,"YUKSEK","NORMAL"))</f>
        <v/>
      </c>
      <c r="F560" s="16">
        <f>IF($B560&lt;&gt;"tutar_farki","","UUID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IF($B561&lt;&gt;"tutar_farki","",IF(ABS($C561)&gt;efs_esikFark,"YUKSEK","NORMAL"))</f>
        <v/>
      </c>
      <c r="F561" s="16">
        <f>IF($B561&lt;&gt;"tutar_farki","","UUID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IF($B562&lt;&gt;"tutar_farki","",IF(ABS($C562)&gt;efs_esikFark,"YUKSEK","NORMAL"))</f>
        <v/>
      </c>
      <c r="F562" s="16">
        <f>IF($B562&lt;&gt;"tutar_farki","","UUID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IF($B563&lt;&gt;"tutar_farki","",IF(ABS($C563)&gt;efs_esikFark,"YUKSEK","NORMAL"))</f>
        <v/>
      </c>
      <c r="F563" s="16">
        <f>IF($B563&lt;&gt;"tutar_farki","","UUID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IF($B564&lt;&gt;"tutar_farki","",IF(ABS($C564)&gt;efs_esikFark,"YUKSEK","NORMAL"))</f>
        <v/>
      </c>
      <c r="F564" s="16">
        <f>IF($B564&lt;&gt;"tutar_farki","","UUID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IF($B565&lt;&gt;"tutar_farki","",IF(ABS($C565)&gt;efs_esikFark,"YUKSEK","NORMAL"))</f>
        <v/>
      </c>
      <c r="F565" s="16">
        <f>IF($B565&lt;&gt;"tutar_farki","","UUID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IF($B566&lt;&gt;"tutar_farki","",IF(ABS($C566)&gt;efs_esikFark,"YUKSEK","NORMAL"))</f>
        <v/>
      </c>
      <c r="F566" s="16">
        <f>IF($B566&lt;&gt;"tutar_farki","","UUID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IF($B567&lt;&gt;"tutar_farki","",IF(ABS($C567)&gt;efs_esikFark,"YUKSEK","NORMAL"))</f>
        <v/>
      </c>
      <c r="F567" s="16">
        <f>IF($B567&lt;&gt;"tutar_farki","","UUID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IF($B568&lt;&gt;"tutar_farki","",IF(ABS($C568)&gt;efs_esikFark,"YUKSEK","NORMAL"))</f>
        <v/>
      </c>
      <c r="F568" s="16">
        <f>IF($B568&lt;&gt;"tutar_farki","","UUID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IF($B569&lt;&gt;"tutar_farki","",IF(ABS($C569)&gt;efs_esikFark,"YUKSEK","NORMAL"))</f>
        <v/>
      </c>
      <c r="F569" s="16">
        <f>IF($B569&lt;&gt;"tutar_farki","","UUID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IF($B570&lt;&gt;"tutar_farki","",IF(ABS($C570)&gt;efs_esikFark,"YUKSEK","NORMAL"))</f>
        <v/>
      </c>
      <c r="F570" s="16">
        <f>IF($B570&lt;&gt;"tutar_farki","","UUID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IF($B571&lt;&gt;"tutar_farki","",IF(ABS($C571)&gt;efs_esikFark,"YUKSEK","NORMAL"))</f>
        <v/>
      </c>
      <c r="F571" s="16">
        <f>IF($B571&lt;&gt;"tutar_farki","","UUID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IF($B572&lt;&gt;"tutar_farki","",IF(ABS($C572)&gt;efs_esikFark,"YUKSEK","NORMAL"))</f>
        <v/>
      </c>
      <c r="F572" s="16">
        <f>IF($B572&lt;&gt;"tutar_farki","","UUID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IF($B573&lt;&gt;"tutar_farki","",IF(ABS($C573)&gt;efs_esikFark,"YUKSEK","NORMAL"))</f>
        <v/>
      </c>
      <c r="F573" s="16">
        <f>IF($B573&lt;&gt;"tutar_farki","","UUID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IF($B574&lt;&gt;"tutar_farki","",IF(ABS($C574)&gt;efs_esikFark,"YUKSEK","NORMAL"))</f>
        <v/>
      </c>
      <c r="F574" s="16">
        <f>IF($B574&lt;&gt;"tutar_farki","","UUID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IF($B575&lt;&gt;"tutar_farki","",IF(ABS($C575)&gt;efs_esikFark,"YUKSEK","NORMAL"))</f>
        <v/>
      </c>
      <c r="F575" s="16">
        <f>IF($B575&lt;&gt;"tutar_farki","","UUID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IF($B576&lt;&gt;"tutar_farki","",IF(ABS($C576)&gt;efs_esikFark,"YUKSEK","NORMAL"))</f>
        <v/>
      </c>
      <c r="F576" s="16">
        <f>IF($B576&lt;&gt;"tutar_farki","","UUID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IF($B577&lt;&gt;"tutar_farki","",IF(ABS($C577)&gt;efs_esikFark,"YUKSEK","NORMAL"))</f>
        <v/>
      </c>
      <c r="F577" s="16">
        <f>IF($B577&lt;&gt;"tutar_farki","","UUID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IF($B578&lt;&gt;"tutar_farki","",IF(ABS($C578)&gt;efs_esikFark,"YUKSEK","NORMAL"))</f>
        <v/>
      </c>
      <c r="F578" s="16">
        <f>IF($B578&lt;&gt;"tutar_farki","","UUID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IF($B579&lt;&gt;"tutar_farki","",IF(ABS($C579)&gt;efs_esikFark,"YUKSEK","NORMAL"))</f>
        <v/>
      </c>
      <c r="F579" s="16">
        <f>IF($B579&lt;&gt;"tutar_farki","","UUID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IF($B580&lt;&gt;"tutar_farki","",IF(ABS($C580)&gt;efs_esikFark,"YUKSEK","NORMAL"))</f>
        <v/>
      </c>
      <c r="F580" s="16">
        <f>IF($B580&lt;&gt;"tutar_farki","","UUID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IF($B581&lt;&gt;"tutar_farki","",IF(ABS($C581)&gt;efs_esikFark,"YUKSEK","NORMAL"))</f>
        <v/>
      </c>
      <c r="F581" s="16">
        <f>IF($B581&lt;&gt;"tutar_farki","","UUID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IF($B582&lt;&gt;"tutar_farki","",IF(ABS($C582)&gt;efs_esikFark,"YUKSEK","NORMAL"))</f>
        <v/>
      </c>
      <c r="F582" s="16">
        <f>IF($B582&lt;&gt;"tutar_farki","","UUID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IF($B583&lt;&gt;"tutar_farki","",IF(ABS($C583)&gt;efs_esikFark,"YUKSEK","NORMAL"))</f>
        <v/>
      </c>
      <c r="F583" s="16">
        <f>IF($B583&lt;&gt;"tutar_farki","","UUID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IF($B584&lt;&gt;"tutar_farki","",IF(ABS($C584)&gt;efs_esikFark,"YUKSEK","NORMAL"))</f>
        <v/>
      </c>
      <c r="F584" s="16">
        <f>IF($B584&lt;&gt;"tutar_farki","","UUID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IF($B585&lt;&gt;"tutar_farki","",IF(ABS($C585)&gt;efs_esikFark,"YUKSEK","NORMAL"))</f>
        <v/>
      </c>
      <c r="F585" s="16">
        <f>IF($B585&lt;&gt;"tutar_farki","","UUID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IF($B586&lt;&gt;"tutar_farki","",IF(ABS($C586)&gt;efs_esikFark,"YUKSEK","NORMAL"))</f>
        <v/>
      </c>
      <c r="F586" s="16">
        <f>IF($B586&lt;&gt;"tutar_farki","","UUID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IF($B587&lt;&gt;"tutar_farki","",IF(ABS($C587)&gt;efs_esikFark,"YUKSEK","NORMAL"))</f>
        <v/>
      </c>
      <c r="F587" s="16">
        <f>IF($B587&lt;&gt;"tutar_farki","","UUID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IF($B588&lt;&gt;"tutar_farki","",IF(ABS($C588)&gt;efs_esikFark,"YUKSEK","NORMAL"))</f>
        <v/>
      </c>
      <c r="F588" s="16">
        <f>IF($B588&lt;&gt;"tutar_farki","","UUID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IF($B589&lt;&gt;"tutar_farki","",IF(ABS($C589)&gt;efs_esikFark,"YUKSEK","NORMAL"))</f>
        <v/>
      </c>
      <c r="F589" s="16">
        <f>IF($B589&lt;&gt;"tutar_farki","","UUID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IF($B590&lt;&gt;"tutar_farki","",IF(ABS($C590)&gt;efs_esikFark,"YUKSEK","NORMAL"))</f>
        <v/>
      </c>
      <c r="F590" s="16">
        <f>IF($B590&lt;&gt;"tutar_farki","","UUID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IF($B591&lt;&gt;"tutar_farki","",IF(ABS($C591)&gt;efs_esikFark,"YUKSEK","NORMAL"))</f>
        <v/>
      </c>
      <c r="F591" s="16">
        <f>IF($B591&lt;&gt;"tutar_farki","","UUID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IF($B592&lt;&gt;"tutar_farki","",IF(ABS($C592)&gt;efs_esikFark,"YUKSEK","NORMAL"))</f>
        <v/>
      </c>
      <c r="F592" s="16">
        <f>IF($B592&lt;&gt;"tutar_farki","","UUID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IF($B593&lt;&gt;"tutar_farki","",IF(ABS($C593)&gt;efs_esikFark,"YUKSEK","NORMAL"))</f>
        <v/>
      </c>
      <c r="F593" s="16">
        <f>IF($B593&lt;&gt;"tutar_farki","","UUID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IF($B594&lt;&gt;"tutar_farki","",IF(ABS($C594)&gt;efs_esikFark,"YUKSEK","NORMAL"))</f>
        <v/>
      </c>
      <c r="F594" s="16">
        <f>IF($B594&lt;&gt;"tutar_farki","","UUID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IF($B595&lt;&gt;"tutar_farki","",IF(ABS($C595)&gt;efs_esikFark,"YUKSEK","NORMAL"))</f>
        <v/>
      </c>
      <c r="F595" s="16">
        <f>IF($B595&lt;&gt;"tutar_farki","","UUID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IF($B596&lt;&gt;"tutar_farki","",IF(ABS($C596)&gt;efs_esikFark,"YUKSEK","NORMAL"))</f>
        <v/>
      </c>
      <c r="F596" s="16">
        <f>IF($B596&lt;&gt;"tutar_farki","","UUID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IF($B597&lt;&gt;"tutar_farki","",IF(ABS($C597)&gt;efs_esikFark,"YUKSEK","NORMAL"))</f>
        <v/>
      </c>
      <c r="F597" s="16">
        <f>IF($B597&lt;&gt;"tutar_farki","","UUID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IF($B598&lt;&gt;"tutar_farki","",IF(ABS($C598)&gt;efs_esikFark,"YUKSEK","NORMAL"))</f>
        <v/>
      </c>
      <c r="F598" s="16">
        <f>IF($B598&lt;&gt;"tutar_farki","","UUID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IF($B599&lt;&gt;"tutar_farki","",IF(ABS($C599)&gt;efs_esikFark,"YUKSEK","NORMAL"))</f>
        <v/>
      </c>
      <c r="F599" s="16">
        <f>IF($B599&lt;&gt;"tutar_farki","","UUID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IF($B600&lt;&gt;"tutar_farki","",IF(ABS($C600)&gt;efs_esikFark,"YUKSEK","NORMAL"))</f>
        <v/>
      </c>
      <c r="F600" s="16">
        <f>IF($B600&lt;&gt;"tutar_farki","","UUID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IF($B601&lt;&gt;"tutar_farki","",IF(ABS($C601)&gt;efs_esikFark,"YUKSEK","NORMAL"))</f>
        <v/>
      </c>
      <c r="F601" s="16">
        <f>IF($B601&lt;&gt;"tutar_farki","","UUID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IF($B602&lt;&gt;"tutar_farki","",IF(ABS($C602)&gt;efs_esikFark,"YUKSEK","NORMAL"))</f>
        <v/>
      </c>
      <c r="F602" s="16">
        <f>IF($B602&lt;&gt;"tutar_farki","","UUID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IF($B603&lt;&gt;"tutar_farki","",IF(ABS($C603)&gt;efs_esikFark,"YUKSEK","NORMAL"))</f>
        <v/>
      </c>
      <c r="F603" s="16">
        <f>IF($B603&lt;&gt;"tutar_farki","","UUID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IF($B604&lt;&gt;"tutar_farki","",IF(ABS($C604)&gt;efs_esikFark,"YUKSEK","NORMAL"))</f>
        <v/>
      </c>
      <c r="F604" s="16">
        <f>IF($B604&lt;&gt;"tutar_farki","","UUID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IF($B605&lt;&gt;"tutar_farki","",IF(ABS($C605)&gt;efs_esikFark,"YUKSEK","NORMAL"))</f>
        <v/>
      </c>
      <c r="F605" s="16">
        <f>IF($B605&lt;&gt;"tutar_farki","","UUID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IF($B606&lt;&gt;"tutar_farki","",IF(ABS($C606)&gt;efs_esikFark,"YUKSEK","NORMAL"))</f>
        <v/>
      </c>
      <c r="F606" s="16">
        <f>IF($B606&lt;&gt;"tutar_farki","","UUID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IF($B607&lt;&gt;"tutar_farki","",IF(ABS($C607)&gt;efs_esikFark,"YUKSEK","NORMAL"))</f>
        <v/>
      </c>
      <c r="F607" s="16">
        <f>IF($B607&lt;&gt;"tutar_farki","","UUID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IF($B608&lt;&gt;"tutar_farki","",IF(ABS($C608)&gt;efs_esikFark,"YUKSEK","NORMAL"))</f>
        <v/>
      </c>
      <c r="F608" s="16">
        <f>IF($B608&lt;&gt;"tutar_farki","","UUID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IF($B609&lt;&gt;"tutar_farki","",IF(ABS($C609)&gt;efs_esikFark,"YUKSEK","NORMAL"))</f>
        <v/>
      </c>
      <c r="F609" s="16">
        <f>IF($B609&lt;&gt;"tutar_farki","","UUID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IF($B610&lt;&gt;"tutar_farki","",IF(ABS($C610)&gt;efs_esikFark,"YUKSEK","NORMAL"))</f>
        <v/>
      </c>
      <c r="F610" s="16">
        <f>IF($B610&lt;&gt;"tutar_farki","","UUID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IF($B611&lt;&gt;"tutar_farki","",IF(ABS($C611)&gt;efs_esikFark,"YUKSEK","NORMAL"))</f>
        <v/>
      </c>
      <c r="F611" s="16">
        <f>IF($B611&lt;&gt;"tutar_farki","","UUID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IF($B612&lt;&gt;"tutar_farki","",IF(ABS($C612)&gt;efs_esikFark,"YUKSEK","NORMAL"))</f>
        <v/>
      </c>
      <c r="F612" s="16">
        <f>IF($B612&lt;&gt;"tutar_farki","","UUID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IF($B613&lt;&gt;"tutar_farki","",IF(ABS($C613)&gt;efs_esikFark,"YUKSEK","NORMAL"))</f>
        <v/>
      </c>
      <c r="F613" s="16">
        <f>IF($B613&lt;&gt;"tutar_farki","","UUID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IF($B614&lt;&gt;"tutar_farki","",IF(ABS($C614)&gt;efs_esikFark,"YUKSEK","NORMAL"))</f>
        <v/>
      </c>
      <c r="F614" s="16">
        <f>IF($B614&lt;&gt;"tutar_farki","","UUID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IF($B615&lt;&gt;"tutar_farki","",IF(ABS($C615)&gt;efs_esikFark,"YUKSEK","NORMAL"))</f>
        <v/>
      </c>
      <c r="F615" s="16">
        <f>IF($B615&lt;&gt;"tutar_farki","","UUID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IF($B616&lt;&gt;"tutar_farki","",IF(ABS($C616)&gt;efs_esikFark,"YUKSEK","NORMAL"))</f>
        <v/>
      </c>
      <c r="F616" s="16">
        <f>IF($B616&lt;&gt;"tutar_farki","","UUID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IF($B617&lt;&gt;"tutar_farki","",IF(ABS($C617)&gt;efs_esikFark,"YUKSEK","NORMAL"))</f>
        <v/>
      </c>
      <c r="F617" s="16">
        <f>IF($B617&lt;&gt;"tutar_farki","","UUID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IF($B618&lt;&gt;"tutar_farki","",IF(ABS($C618)&gt;efs_esikFark,"YUKSEK","NORMAL"))</f>
        <v/>
      </c>
      <c r="F618" s="16">
        <f>IF($B618&lt;&gt;"tutar_farki","","UUID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IF($B619&lt;&gt;"tutar_farki","",IF(ABS($C619)&gt;efs_esikFark,"YUKSEK","NORMAL"))</f>
        <v/>
      </c>
      <c r="F619" s="16">
        <f>IF($B619&lt;&gt;"tutar_farki","","UUID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IF($B620&lt;&gt;"tutar_farki","",IF(ABS($C620)&gt;efs_esikFark,"YUKSEK","NORMAL"))</f>
        <v/>
      </c>
      <c r="F620" s="16">
        <f>IF($B620&lt;&gt;"tutar_farki","","UUID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IF($B621&lt;&gt;"tutar_farki","",IF(ABS($C621)&gt;efs_esikFark,"YUKSEK","NORMAL"))</f>
        <v/>
      </c>
      <c r="F621" s="16">
        <f>IF($B621&lt;&gt;"tutar_farki","","UUID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IF($B622&lt;&gt;"tutar_farki","",IF(ABS($C622)&gt;efs_esikFark,"YUKSEK","NORMAL"))</f>
        <v/>
      </c>
      <c r="F622" s="16">
        <f>IF($B622&lt;&gt;"tutar_farki","","UUID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IF($B623&lt;&gt;"tutar_farki","",IF(ABS($C623)&gt;efs_esikFark,"YUKSEK","NORMAL"))</f>
        <v/>
      </c>
      <c r="F623" s="16">
        <f>IF($B623&lt;&gt;"tutar_farki","","UUID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IF($B624&lt;&gt;"tutar_farki","",IF(ABS($C624)&gt;efs_esikFark,"YUKSEK","NORMAL"))</f>
        <v/>
      </c>
      <c r="F624" s="16">
        <f>IF($B624&lt;&gt;"tutar_farki","","UUID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IF($B625&lt;&gt;"tutar_farki","",IF(ABS($C625)&gt;efs_esikFark,"YUKSEK","NORMAL"))</f>
        <v/>
      </c>
      <c r="F625" s="16">
        <f>IF($B625&lt;&gt;"tutar_farki","","UUID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IF($B626&lt;&gt;"tutar_farki","",IF(ABS($C626)&gt;efs_esikFark,"YUKSEK","NORMAL"))</f>
        <v/>
      </c>
      <c r="F626" s="16">
        <f>IF($B626&lt;&gt;"tutar_farki","","UUID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IF($B627&lt;&gt;"tutar_farki","",IF(ABS($C627)&gt;efs_esikFark,"YUKSEK","NORMAL"))</f>
        <v/>
      </c>
      <c r="F627" s="16">
        <f>IF($B627&lt;&gt;"tutar_farki","","UUID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IF($B628&lt;&gt;"tutar_farki","",IF(ABS($C628)&gt;efs_esikFark,"YUKSEK","NORMAL"))</f>
        <v/>
      </c>
      <c r="F628" s="16">
        <f>IF($B628&lt;&gt;"tutar_farki","","UUID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IF($B629&lt;&gt;"tutar_farki","",IF(ABS($C629)&gt;efs_esikFark,"YUKSEK","NORMAL"))</f>
        <v/>
      </c>
      <c r="F629" s="16">
        <f>IF($B629&lt;&gt;"tutar_farki","","UUID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IF($B630&lt;&gt;"tutar_farki","",IF(ABS($C630)&gt;efs_esikFark,"YUKSEK","NORMAL"))</f>
        <v/>
      </c>
      <c r="F630" s="16">
        <f>IF($B630&lt;&gt;"tutar_farki","","UUID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IF($B631&lt;&gt;"tutar_farki","",IF(ABS($C631)&gt;efs_esikFark,"YUKSEK","NORMAL"))</f>
        <v/>
      </c>
      <c r="F631" s="16">
        <f>IF($B631&lt;&gt;"tutar_farki","","UUID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IF($B632&lt;&gt;"tutar_farki","",IF(ABS($C632)&gt;efs_esikFark,"YUKSEK","NORMAL"))</f>
        <v/>
      </c>
      <c r="F632" s="16">
        <f>IF($B632&lt;&gt;"tutar_farki","","UUID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IF($B633&lt;&gt;"tutar_farki","",IF(ABS($C633)&gt;efs_esikFark,"YUKSEK","NORMAL"))</f>
        <v/>
      </c>
      <c r="F633" s="16">
        <f>IF($B633&lt;&gt;"tutar_farki","","UUID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IF($B634&lt;&gt;"tutar_farki","",IF(ABS($C634)&gt;efs_esikFark,"YUKSEK","NORMAL"))</f>
        <v/>
      </c>
      <c r="F634" s="16">
        <f>IF($B634&lt;&gt;"tutar_farki","","UUID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IF($B635&lt;&gt;"tutar_farki","",IF(ABS($C635)&gt;efs_esikFark,"YUKSEK","NORMAL"))</f>
        <v/>
      </c>
      <c r="F635" s="16">
        <f>IF($B635&lt;&gt;"tutar_farki","","UUID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IF($B636&lt;&gt;"tutar_farki","",IF(ABS($C636)&gt;efs_esikFark,"YUKSEK","NORMAL"))</f>
        <v/>
      </c>
      <c r="F636" s="16">
        <f>IF($B636&lt;&gt;"tutar_farki","","UUID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IF($B637&lt;&gt;"tutar_farki","",IF(ABS($C637)&gt;efs_esikFark,"YUKSEK","NORMAL"))</f>
        <v/>
      </c>
      <c r="F637" s="16">
        <f>IF($B637&lt;&gt;"tutar_farki","","UUID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IF($B638&lt;&gt;"tutar_farki","",IF(ABS($C638)&gt;efs_esikFark,"YUKSEK","NORMAL"))</f>
        <v/>
      </c>
      <c r="F638" s="16">
        <f>IF($B638&lt;&gt;"tutar_farki","","UUID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IF($B639&lt;&gt;"tutar_farki","",IF(ABS($C639)&gt;efs_esikFark,"YUKSEK","NORMAL"))</f>
        <v/>
      </c>
      <c r="F639" s="16">
        <f>IF($B639&lt;&gt;"tutar_farki","","UUID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IF($B640&lt;&gt;"tutar_farki","",IF(ABS($C640)&gt;efs_esikFark,"YUKSEK","NORMAL"))</f>
        <v/>
      </c>
      <c r="F640" s="16">
        <f>IF($B640&lt;&gt;"tutar_farki","","UUID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IF($B641&lt;&gt;"tutar_farki","",IF(ABS($C641)&gt;efs_esikFark,"YUKSEK","NORMAL"))</f>
        <v/>
      </c>
      <c r="F641" s="16">
        <f>IF($B641&lt;&gt;"tutar_farki","","UUID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IF($B642&lt;&gt;"tutar_farki","",IF(ABS($C642)&gt;efs_esikFark,"YUKSEK","NORMAL"))</f>
        <v/>
      </c>
      <c r="F642" s="16">
        <f>IF($B642&lt;&gt;"tutar_farki","","UUID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IF($B643&lt;&gt;"tutar_farki","",IF(ABS($C643)&gt;efs_esikFark,"YUKSEK","NORMAL"))</f>
        <v/>
      </c>
      <c r="F643" s="16">
        <f>IF($B643&lt;&gt;"tutar_farki","","UUID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IF($B644&lt;&gt;"tutar_farki","",IF(ABS($C644)&gt;efs_esikFark,"YUKSEK","NORMAL"))</f>
        <v/>
      </c>
      <c r="F644" s="16">
        <f>IF($B644&lt;&gt;"tutar_farki","","UUID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IF($B645&lt;&gt;"tutar_farki","",IF(ABS($C645)&gt;efs_esikFark,"YUKSEK","NORMAL"))</f>
        <v/>
      </c>
      <c r="F645" s="16">
        <f>IF($B645&lt;&gt;"tutar_farki","","UUID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IF($B646&lt;&gt;"tutar_farki","",IF(ABS($C646)&gt;efs_esikFark,"YUKSEK","NORMAL"))</f>
        <v/>
      </c>
      <c r="F646" s="16">
        <f>IF($B646&lt;&gt;"tutar_farki","","UUID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IF($B647&lt;&gt;"tutar_farki","",IF(ABS($C647)&gt;efs_esikFark,"YUKSEK","NORMAL"))</f>
        <v/>
      </c>
      <c r="F647" s="16">
        <f>IF($B647&lt;&gt;"tutar_farki","","UUID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IF($B648&lt;&gt;"tutar_farki","",IF(ABS($C648)&gt;efs_esikFark,"YUKSEK","NORMAL"))</f>
        <v/>
      </c>
      <c r="F648" s="16">
        <f>IF($B648&lt;&gt;"tutar_farki","","UUID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IF($B649&lt;&gt;"tutar_farki","",IF(ABS($C649)&gt;efs_esikFark,"YUKSEK","NORMAL"))</f>
        <v/>
      </c>
      <c r="F649" s="16">
        <f>IF($B649&lt;&gt;"tutar_farki","","UUID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IF($B650&lt;&gt;"tutar_farki","",IF(ABS($C650)&gt;efs_esikFark,"YUKSEK","NORMAL"))</f>
        <v/>
      </c>
      <c r="F650" s="16">
        <f>IF($B650&lt;&gt;"tutar_farki","","UUID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IF($B651&lt;&gt;"tutar_farki","",IF(ABS($C651)&gt;efs_esikFark,"YUKSEK","NORMAL"))</f>
        <v/>
      </c>
      <c r="F651" s="16">
        <f>IF($B651&lt;&gt;"tutar_farki","","UUID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IF($B652&lt;&gt;"tutar_farki","",IF(ABS($C652)&gt;efs_esikFark,"YUKSEK","NORMAL"))</f>
        <v/>
      </c>
      <c r="F652" s="16">
        <f>IF($B652&lt;&gt;"tutar_farki","","UUID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IF($B653&lt;&gt;"tutar_farki","",IF(ABS($C653)&gt;efs_esikFark,"YUKSEK","NORMAL"))</f>
        <v/>
      </c>
      <c r="F653" s="16">
        <f>IF($B653&lt;&gt;"tutar_farki","","UUID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IF($B654&lt;&gt;"tutar_farki","",IF(ABS($C654)&gt;efs_esikFark,"YUKSEK","NORMAL"))</f>
        <v/>
      </c>
      <c r="F654" s="16">
        <f>IF($B654&lt;&gt;"tutar_farki","","UUID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IF($B655&lt;&gt;"tutar_farki","",IF(ABS($C655)&gt;efs_esikFark,"YUKSEK","NORMAL"))</f>
        <v/>
      </c>
      <c r="F655" s="16">
        <f>IF($B655&lt;&gt;"tutar_farki","","UUID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IF($B656&lt;&gt;"tutar_farki","",IF(ABS($C656)&gt;efs_esikFark,"YUKSEK","NORMAL"))</f>
        <v/>
      </c>
      <c r="F656" s="16">
        <f>IF($B656&lt;&gt;"tutar_farki","","UUID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IF($B657&lt;&gt;"tutar_farki","",IF(ABS($C657)&gt;efs_esikFark,"YUKSEK","NORMAL"))</f>
        <v/>
      </c>
      <c r="F657" s="16">
        <f>IF($B657&lt;&gt;"tutar_farki","","UUID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IF($B658&lt;&gt;"tutar_farki","",IF(ABS($C658)&gt;efs_esikFark,"YUKSEK","NORMAL"))</f>
        <v/>
      </c>
      <c r="F658" s="16">
        <f>IF($B658&lt;&gt;"tutar_farki","","UUID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IF($B659&lt;&gt;"tutar_farki","",IF(ABS($C659)&gt;efs_esikFark,"YUKSEK","NORMAL"))</f>
        <v/>
      </c>
      <c r="F659" s="16">
        <f>IF($B659&lt;&gt;"tutar_farki","","UUID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IF($B660&lt;&gt;"tutar_farki","",IF(ABS($C660)&gt;efs_esikFark,"YUKSEK","NORMAL"))</f>
        <v/>
      </c>
      <c r="F660" s="16">
        <f>IF($B660&lt;&gt;"tutar_farki","","UUID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IF($B661&lt;&gt;"tutar_farki","",IF(ABS($C661)&gt;efs_esikFark,"YUKSEK","NORMAL"))</f>
        <v/>
      </c>
      <c r="F661" s="16">
        <f>IF($B661&lt;&gt;"tutar_farki","","UUID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IF($B662&lt;&gt;"tutar_farki","",IF(ABS($C662)&gt;efs_esikFark,"YUKSEK","NORMAL"))</f>
        <v/>
      </c>
      <c r="F662" s="16">
        <f>IF($B662&lt;&gt;"tutar_farki","","UUID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IF($B663&lt;&gt;"tutar_farki","",IF(ABS($C663)&gt;efs_esikFark,"YUKSEK","NORMAL"))</f>
        <v/>
      </c>
      <c r="F663" s="16">
        <f>IF($B663&lt;&gt;"tutar_farki","","UUID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IF($B664&lt;&gt;"tutar_farki","",IF(ABS($C664)&gt;efs_esikFark,"YUKSEK","NORMAL"))</f>
        <v/>
      </c>
      <c r="F664" s="16">
        <f>IF($B664&lt;&gt;"tutar_farki","","UUID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IF($B665&lt;&gt;"tutar_farki","",IF(ABS($C665)&gt;efs_esikFark,"YUKSEK","NORMAL"))</f>
        <v/>
      </c>
      <c r="F665" s="16">
        <f>IF($B665&lt;&gt;"tutar_farki","","UUID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IF($B666&lt;&gt;"tutar_farki","",IF(ABS($C666)&gt;efs_esikFark,"YUKSEK","NORMAL"))</f>
        <v/>
      </c>
      <c r="F666" s="16">
        <f>IF($B666&lt;&gt;"tutar_farki","","UUID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IF($B667&lt;&gt;"tutar_farki","",IF(ABS($C667)&gt;efs_esikFark,"YUKSEK","NORMAL"))</f>
        <v/>
      </c>
      <c r="F667" s="16">
        <f>IF($B667&lt;&gt;"tutar_farki","","UUID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IF($B668&lt;&gt;"tutar_farki","",IF(ABS($C668)&gt;efs_esikFark,"YUKSEK","NORMAL"))</f>
        <v/>
      </c>
      <c r="F668" s="16">
        <f>IF($B668&lt;&gt;"tutar_farki","","UUID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IF($B669&lt;&gt;"tutar_farki","",IF(ABS($C669)&gt;efs_esikFark,"YUKSEK","NORMAL"))</f>
        <v/>
      </c>
      <c r="F669" s="16">
        <f>IF($B669&lt;&gt;"tutar_farki","","UUID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IF($B670&lt;&gt;"tutar_farki","",IF(ABS($C670)&gt;efs_esikFark,"YUKSEK","NORMAL"))</f>
        <v/>
      </c>
      <c r="F670" s="16">
        <f>IF($B670&lt;&gt;"tutar_farki","","UUID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IF($B671&lt;&gt;"tutar_farki","",IF(ABS($C671)&gt;efs_esikFark,"YUKSEK","NORMAL"))</f>
        <v/>
      </c>
      <c r="F671" s="16">
        <f>IF($B671&lt;&gt;"tutar_farki","","UUID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IF($B672&lt;&gt;"tutar_farki","",IF(ABS($C672)&gt;efs_esikFark,"YUKSEK","NORMAL"))</f>
        <v/>
      </c>
      <c r="F672" s="16">
        <f>IF($B672&lt;&gt;"tutar_farki","","UUID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IF($B673&lt;&gt;"tutar_farki","",IF(ABS($C673)&gt;efs_esikFark,"YUKSEK","NORMAL"))</f>
        <v/>
      </c>
      <c r="F673" s="16">
        <f>IF($B673&lt;&gt;"tutar_farki","","UUID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IF($B674&lt;&gt;"tutar_farki","",IF(ABS($C674)&gt;efs_esikFark,"YUKSEK","NORMAL"))</f>
        <v/>
      </c>
      <c r="F674" s="16">
        <f>IF($B674&lt;&gt;"tutar_farki","","UUID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IF($B675&lt;&gt;"tutar_farki","",IF(ABS($C675)&gt;efs_esikFark,"YUKSEK","NORMAL"))</f>
        <v/>
      </c>
      <c r="F675" s="16">
        <f>IF($B675&lt;&gt;"tutar_farki","","UUID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IF($B676&lt;&gt;"tutar_farki","",IF(ABS($C676)&gt;efs_esikFark,"YUKSEK","NORMAL"))</f>
        <v/>
      </c>
      <c r="F676" s="16">
        <f>IF($B676&lt;&gt;"tutar_farki","","UUID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IF($B677&lt;&gt;"tutar_farki","",IF(ABS($C677)&gt;efs_esikFark,"YUKSEK","NORMAL"))</f>
        <v/>
      </c>
      <c r="F677" s="16">
        <f>IF($B677&lt;&gt;"tutar_farki","","UUID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IF($B678&lt;&gt;"tutar_farki","",IF(ABS($C678)&gt;efs_esikFark,"YUKSEK","NORMAL"))</f>
        <v/>
      </c>
      <c r="F678" s="16">
        <f>IF($B678&lt;&gt;"tutar_farki","","UUID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IF($B679&lt;&gt;"tutar_farki","",IF(ABS($C679)&gt;efs_esikFark,"YUKSEK","NORMAL"))</f>
        <v/>
      </c>
      <c r="F679" s="16">
        <f>IF($B679&lt;&gt;"tutar_farki","","UUID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IF($B680&lt;&gt;"tutar_farki","",IF(ABS($C680)&gt;efs_esikFark,"YUKSEK","NORMAL"))</f>
        <v/>
      </c>
      <c r="F680" s="16">
        <f>IF($B680&lt;&gt;"tutar_farki","","UUID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IF($B681&lt;&gt;"tutar_farki","",IF(ABS($C681)&gt;efs_esikFark,"YUKSEK","NORMAL"))</f>
        <v/>
      </c>
      <c r="F681" s="16">
        <f>IF($B681&lt;&gt;"tutar_farki","","UUID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IF($B682&lt;&gt;"tutar_farki","",IF(ABS($C682)&gt;efs_esikFark,"YUKSEK","NORMAL"))</f>
        <v/>
      </c>
      <c r="F682" s="16">
        <f>IF($B682&lt;&gt;"tutar_farki","","UUID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IF($B683&lt;&gt;"tutar_farki","",IF(ABS($C683)&gt;efs_esikFark,"YUKSEK","NORMAL"))</f>
        <v/>
      </c>
      <c r="F683" s="16">
        <f>IF($B683&lt;&gt;"tutar_farki","","UUID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IF($B684&lt;&gt;"tutar_farki","",IF(ABS($C684)&gt;efs_esikFark,"YUKSEK","NORMAL"))</f>
        <v/>
      </c>
      <c r="F684" s="16">
        <f>IF($B684&lt;&gt;"tutar_farki","","UUID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IF($B685&lt;&gt;"tutar_farki","",IF(ABS($C685)&gt;efs_esikFark,"YUKSEK","NORMAL"))</f>
        <v/>
      </c>
      <c r="F685" s="16">
        <f>IF($B685&lt;&gt;"tutar_farki","","UUID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IF($B686&lt;&gt;"tutar_farki","",IF(ABS($C686)&gt;efs_esikFark,"YUKSEK","NORMAL"))</f>
        <v/>
      </c>
      <c r="F686" s="16">
        <f>IF($B686&lt;&gt;"tutar_farki","","UUID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IF($B687&lt;&gt;"tutar_farki","",IF(ABS($C687)&gt;efs_esikFark,"YUKSEK","NORMAL"))</f>
        <v/>
      </c>
      <c r="F687" s="16">
        <f>IF($B687&lt;&gt;"tutar_farki","","UUID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IF($B688&lt;&gt;"tutar_farki","",IF(ABS($C688)&gt;efs_esikFark,"YUKSEK","NORMAL"))</f>
        <v/>
      </c>
      <c r="F688" s="16">
        <f>IF($B688&lt;&gt;"tutar_farki","","UUID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IF($B689&lt;&gt;"tutar_farki","",IF(ABS($C689)&gt;efs_esikFark,"YUKSEK","NORMAL"))</f>
        <v/>
      </c>
      <c r="F689" s="16">
        <f>IF($B689&lt;&gt;"tutar_farki","","UUID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IF($B690&lt;&gt;"tutar_farki","",IF(ABS($C690)&gt;efs_esikFark,"YUKSEK","NORMAL"))</f>
        <v/>
      </c>
      <c r="F690" s="16">
        <f>IF($B690&lt;&gt;"tutar_farki","","UUID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IF($B691&lt;&gt;"tutar_farki","",IF(ABS($C691)&gt;efs_esikFark,"YUKSEK","NORMAL"))</f>
        <v/>
      </c>
      <c r="F691" s="16">
        <f>IF($B691&lt;&gt;"tutar_farki","","UUID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IF($B692&lt;&gt;"tutar_farki","",IF(ABS($C692)&gt;efs_esikFark,"YUKSEK","NORMAL"))</f>
        <v/>
      </c>
      <c r="F692" s="16">
        <f>IF($B692&lt;&gt;"tutar_farki","","UUID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IF($B693&lt;&gt;"tutar_farki","",IF(ABS($C693)&gt;efs_esikFark,"YUKSEK","NORMAL"))</f>
        <v/>
      </c>
      <c r="F693" s="16">
        <f>IF($B693&lt;&gt;"tutar_farki","","UUID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IF($B694&lt;&gt;"tutar_farki","",IF(ABS($C694)&gt;efs_esikFark,"YUKSEK","NORMAL"))</f>
        <v/>
      </c>
      <c r="F694" s="16">
        <f>IF($B694&lt;&gt;"tutar_farki","","UUID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IF($B695&lt;&gt;"tutar_farki","",IF(ABS($C695)&gt;efs_esikFark,"YUKSEK","NORMAL"))</f>
        <v/>
      </c>
      <c r="F695" s="16">
        <f>IF($B695&lt;&gt;"tutar_farki","","UUID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IF($B696&lt;&gt;"tutar_farki","",IF(ABS($C696)&gt;efs_esikFark,"YUKSEK","NORMAL"))</f>
        <v/>
      </c>
      <c r="F696" s="16">
        <f>IF($B696&lt;&gt;"tutar_farki","","UUID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IF($B697&lt;&gt;"tutar_farki","",IF(ABS($C697)&gt;efs_esikFark,"YUKSEK","NORMAL"))</f>
        <v/>
      </c>
      <c r="F697" s="16">
        <f>IF($B697&lt;&gt;"tutar_farki","","UUID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IF($B698&lt;&gt;"tutar_farki","",IF(ABS($C698)&gt;efs_esikFark,"YUKSEK","NORMAL"))</f>
        <v/>
      </c>
      <c r="F698" s="16">
        <f>IF($B698&lt;&gt;"tutar_farki","","UUID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IF($B699&lt;&gt;"tutar_farki","",IF(ABS($C699)&gt;efs_esikFark,"YUKSEK","NORMAL"))</f>
        <v/>
      </c>
      <c r="F699" s="16">
        <f>IF($B699&lt;&gt;"tutar_farki","","UUID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IF($B700&lt;&gt;"tutar_farki","",IF(ABS($C700)&gt;efs_esikFark,"YUKSEK","NORMAL"))</f>
        <v/>
      </c>
      <c r="F700" s="16">
        <f>IF($B700&lt;&gt;"tutar_farki","","UUID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IF($B701&lt;&gt;"tutar_farki","",IF(ABS($C701)&gt;efs_esikFark,"YUKSEK","NORMAL"))</f>
        <v/>
      </c>
      <c r="F701" s="16">
        <f>IF($B701&lt;&gt;"tutar_farki","","UUID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IF($B702&lt;&gt;"tutar_farki","",IF(ABS($C702)&gt;efs_esikFark,"YUKSEK","NORMAL"))</f>
        <v/>
      </c>
      <c r="F702" s="16">
        <f>IF($B702&lt;&gt;"tutar_farki","","UUID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IF($B703&lt;&gt;"tutar_farki","",IF(ABS($C703)&gt;efs_esikFark,"YUKSEK","NORMAL"))</f>
        <v/>
      </c>
      <c r="F703" s="16">
        <f>IF($B703&lt;&gt;"tutar_farki","","UUID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IF($B704&lt;&gt;"tutar_farki","",IF(ABS($C704)&gt;efs_esikFark,"YUKSEK","NORMAL"))</f>
        <v/>
      </c>
      <c r="F704" s="16">
        <f>IF($B704&lt;&gt;"tutar_farki","","UUID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IF($B705&lt;&gt;"tutar_farki","",IF(ABS($C705)&gt;efs_esikFark,"YUKSEK","NORMAL"))</f>
        <v/>
      </c>
      <c r="F705" s="16">
        <f>IF($B705&lt;&gt;"tutar_farki","","UUID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IF($B706&lt;&gt;"tutar_farki","",IF(ABS($C706)&gt;efs_esikFark,"YUKSEK","NORMAL"))</f>
        <v/>
      </c>
      <c r="F706" s="16">
        <f>IF($B706&lt;&gt;"tutar_farki","","UUID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IF($B707&lt;&gt;"tutar_farki","",IF(ABS($C707)&gt;efs_esikFark,"YUKSEK","NORMAL"))</f>
        <v/>
      </c>
      <c r="F707" s="16">
        <f>IF($B707&lt;&gt;"tutar_farki","","UUID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IF($B708&lt;&gt;"tutar_farki","",IF(ABS($C708)&gt;efs_esikFark,"YUKSEK","NORMAL"))</f>
        <v/>
      </c>
      <c r="F708" s="16">
        <f>IF($B708&lt;&gt;"tutar_farki","","UUID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IF($B709&lt;&gt;"tutar_farki","",IF(ABS($C709)&gt;efs_esikFark,"YUKSEK","NORMAL"))</f>
        <v/>
      </c>
      <c r="F709" s="16">
        <f>IF($B709&lt;&gt;"tutar_farki","","UUID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IF($B710&lt;&gt;"tutar_farki","",IF(ABS($C710)&gt;efs_esikFark,"YUKSEK","NORMAL"))</f>
        <v/>
      </c>
      <c r="F710" s="16">
        <f>IF($B710&lt;&gt;"tutar_farki","","UUID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IF($B711&lt;&gt;"tutar_farki","",IF(ABS($C711)&gt;efs_esikFark,"YUKSEK","NORMAL"))</f>
        <v/>
      </c>
      <c r="F711" s="16">
        <f>IF($B711&lt;&gt;"tutar_farki","","UUID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IF($B712&lt;&gt;"tutar_farki","",IF(ABS($C712)&gt;efs_esikFark,"YUKSEK","NORMAL"))</f>
        <v/>
      </c>
      <c r="F712" s="16">
        <f>IF($B712&lt;&gt;"tutar_farki","","UUID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IF($B713&lt;&gt;"tutar_farki","",IF(ABS($C713)&gt;efs_esikFark,"YUKSEK","NORMAL"))</f>
        <v/>
      </c>
      <c r="F713" s="16">
        <f>IF($B713&lt;&gt;"tutar_farki","","UUID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IF($B714&lt;&gt;"tutar_farki","",IF(ABS($C714)&gt;efs_esikFark,"YUKSEK","NORMAL"))</f>
        <v/>
      </c>
      <c r="F714" s="16">
        <f>IF($B714&lt;&gt;"tutar_farki","","UUID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IF($B715&lt;&gt;"tutar_farki","",IF(ABS($C715)&gt;efs_esikFark,"YUKSEK","NORMAL"))</f>
        <v/>
      </c>
      <c r="F715" s="16">
        <f>IF($B715&lt;&gt;"tutar_farki","","UUID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IF($B716&lt;&gt;"tutar_farki","",IF(ABS($C716)&gt;efs_esikFark,"YUKSEK","NORMAL"))</f>
        <v/>
      </c>
      <c r="F716" s="16">
        <f>IF($B716&lt;&gt;"tutar_farki","","UUID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IF($B717&lt;&gt;"tutar_farki","",IF(ABS($C717)&gt;efs_esikFark,"YUKSEK","NORMAL"))</f>
        <v/>
      </c>
      <c r="F717" s="16">
        <f>IF($B717&lt;&gt;"tutar_farki","","UUID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IF($B718&lt;&gt;"tutar_farki","",IF(ABS($C718)&gt;efs_esikFark,"YUKSEK","NORMAL"))</f>
        <v/>
      </c>
      <c r="F718" s="16">
        <f>IF($B718&lt;&gt;"tutar_farki","","UUID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IF($B719&lt;&gt;"tutar_farki","",IF(ABS($C719)&gt;efs_esikFark,"YUKSEK","NORMAL"))</f>
        <v/>
      </c>
      <c r="F719" s="16">
        <f>IF($B719&lt;&gt;"tutar_farki","","UUID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IF($B720&lt;&gt;"tutar_farki","",IF(ABS($C720)&gt;efs_esikFark,"YUKSEK","NORMAL"))</f>
        <v/>
      </c>
      <c r="F720" s="16">
        <f>IF($B720&lt;&gt;"tutar_farki","","UUID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IF($B721&lt;&gt;"tutar_farki","",IF(ABS($C721)&gt;efs_esikFark,"YUKSEK","NORMAL"))</f>
        <v/>
      </c>
      <c r="F721" s="16">
        <f>IF($B721&lt;&gt;"tutar_farki","","UUID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IF($B722&lt;&gt;"tutar_farki","",IF(ABS($C722)&gt;efs_esikFark,"YUKSEK","NORMAL"))</f>
        <v/>
      </c>
      <c r="F722" s="16">
        <f>IF($B722&lt;&gt;"tutar_farki","","UUID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IF($B723&lt;&gt;"tutar_farki","",IF(ABS($C723)&gt;efs_esikFark,"YUKSEK","NORMAL"))</f>
        <v/>
      </c>
      <c r="F723" s="16">
        <f>IF($B723&lt;&gt;"tutar_farki","","UUID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IF($B724&lt;&gt;"tutar_farki","",IF(ABS($C724)&gt;efs_esikFark,"YUKSEK","NORMAL"))</f>
        <v/>
      </c>
      <c r="F724" s="16">
        <f>IF($B724&lt;&gt;"tutar_farki","","UUID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IF($B725&lt;&gt;"tutar_farki","",IF(ABS($C725)&gt;efs_esikFark,"YUKSEK","NORMAL"))</f>
        <v/>
      </c>
      <c r="F725" s="16">
        <f>IF($B725&lt;&gt;"tutar_farki","","UUID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IF($B726&lt;&gt;"tutar_farki","",IF(ABS($C726)&gt;efs_esikFark,"YUKSEK","NORMAL"))</f>
        <v/>
      </c>
      <c r="F726" s="16">
        <f>IF($B726&lt;&gt;"tutar_farki","","UUID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IF($B727&lt;&gt;"tutar_farki","",IF(ABS($C727)&gt;efs_esikFark,"YUKSEK","NORMAL"))</f>
        <v/>
      </c>
      <c r="F727" s="16">
        <f>IF($B727&lt;&gt;"tutar_farki","","UUID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IF($B728&lt;&gt;"tutar_farki","",IF(ABS($C728)&gt;efs_esikFark,"YUKSEK","NORMAL"))</f>
        <v/>
      </c>
      <c r="F728" s="16">
        <f>IF($B728&lt;&gt;"tutar_farki","","UUID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IF($B729&lt;&gt;"tutar_farki","",IF(ABS($C729)&gt;efs_esikFark,"YUKSEK","NORMAL"))</f>
        <v/>
      </c>
      <c r="F729" s="16">
        <f>IF($B729&lt;&gt;"tutar_farki","","UUID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IF($B730&lt;&gt;"tutar_farki","",IF(ABS($C730)&gt;efs_esikFark,"YUKSEK","NORMAL"))</f>
        <v/>
      </c>
      <c r="F730" s="16">
        <f>IF($B730&lt;&gt;"tutar_farki","","UUID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IF($B731&lt;&gt;"tutar_farki","",IF(ABS($C731)&gt;efs_esikFark,"YUKSEK","NORMAL"))</f>
        <v/>
      </c>
      <c r="F731" s="16">
        <f>IF($B731&lt;&gt;"tutar_farki","","UUID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IF($B732&lt;&gt;"tutar_farki","",IF(ABS($C732)&gt;efs_esikFark,"YUKSEK","NORMAL"))</f>
        <v/>
      </c>
      <c r="F732" s="16">
        <f>IF($B732&lt;&gt;"tutar_farki","","UUID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IF($B733&lt;&gt;"tutar_farki","",IF(ABS($C733)&gt;efs_esikFark,"YUKSEK","NORMAL"))</f>
        <v/>
      </c>
      <c r="F733" s="16">
        <f>IF($B733&lt;&gt;"tutar_farki","","UUID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IF($B734&lt;&gt;"tutar_farki","",IF(ABS($C734)&gt;efs_esikFark,"YUKSEK","NORMAL"))</f>
        <v/>
      </c>
      <c r="F734" s="16">
        <f>IF($B734&lt;&gt;"tutar_farki","","UUID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IF($B735&lt;&gt;"tutar_farki","",IF(ABS($C735)&gt;efs_esikFark,"YUKSEK","NORMAL"))</f>
        <v/>
      </c>
      <c r="F735" s="16">
        <f>IF($B735&lt;&gt;"tutar_farki","","UUID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IF($B736&lt;&gt;"tutar_farki","",IF(ABS($C736)&gt;efs_esikFark,"YUKSEK","NORMAL"))</f>
        <v/>
      </c>
      <c r="F736" s="16">
        <f>IF($B736&lt;&gt;"tutar_farki","","UUID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IF($B737&lt;&gt;"tutar_farki","",IF(ABS($C737)&gt;efs_esikFark,"YUKSEK","NORMAL"))</f>
        <v/>
      </c>
      <c r="F737" s="16">
        <f>IF($B737&lt;&gt;"tutar_farki","","UUID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IF($B738&lt;&gt;"tutar_farki","",IF(ABS($C738)&gt;efs_esikFark,"YUKSEK","NORMAL"))</f>
        <v/>
      </c>
      <c r="F738" s="16">
        <f>IF($B738&lt;&gt;"tutar_farki","","UUID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IF($B739&lt;&gt;"tutar_farki","",IF(ABS($C739)&gt;efs_esikFark,"YUKSEK","NORMAL"))</f>
        <v/>
      </c>
      <c r="F739" s="16">
        <f>IF($B739&lt;&gt;"tutar_farki","","UUID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IF($B740&lt;&gt;"tutar_farki","",IF(ABS($C740)&gt;efs_esikFark,"YUKSEK","NORMAL"))</f>
        <v/>
      </c>
      <c r="F740" s="16">
        <f>IF($B740&lt;&gt;"tutar_farki","","UUID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IF($B741&lt;&gt;"tutar_farki","",IF(ABS($C741)&gt;efs_esikFark,"YUKSEK","NORMAL"))</f>
        <v/>
      </c>
      <c r="F741" s="16">
        <f>IF($B741&lt;&gt;"tutar_farki","","UUID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IF($B742&lt;&gt;"tutar_farki","",IF(ABS($C742)&gt;efs_esikFark,"YUKSEK","NORMAL"))</f>
        <v/>
      </c>
      <c r="F742" s="16">
        <f>IF($B742&lt;&gt;"tutar_farki","","UUID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IF($B743&lt;&gt;"tutar_farki","",IF(ABS($C743)&gt;efs_esikFark,"YUKSEK","NORMAL"))</f>
        <v/>
      </c>
      <c r="F743" s="16">
        <f>IF($B743&lt;&gt;"tutar_farki","","UUID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IF($B744&lt;&gt;"tutar_farki","",IF(ABS($C744)&gt;efs_esikFark,"YUKSEK","NORMAL"))</f>
        <v/>
      </c>
      <c r="F744" s="16">
        <f>IF($B744&lt;&gt;"tutar_farki","","UUID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IF($B745&lt;&gt;"tutar_farki","",IF(ABS($C745)&gt;efs_esikFark,"YUKSEK","NORMAL"))</f>
        <v/>
      </c>
      <c r="F745" s="16">
        <f>IF($B745&lt;&gt;"tutar_farki","","UUID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IF($B746&lt;&gt;"tutar_farki","",IF(ABS($C746)&gt;efs_esikFark,"YUKSEK","NORMAL"))</f>
        <v/>
      </c>
      <c r="F746" s="16">
        <f>IF($B746&lt;&gt;"tutar_farki","","UUID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IF($B747&lt;&gt;"tutar_farki","",IF(ABS($C747)&gt;efs_esikFark,"YUKSEK","NORMAL"))</f>
        <v/>
      </c>
      <c r="F747" s="16">
        <f>IF($B747&lt;&gt;"tutar_farki","","UUID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IF($B748&lt;&gt;"tutar_farki","",IF(ABS($C748)&gt;efs_esikFark,"YUKSEK","NORMAL"))</f>
        <v/>
      </c>
      <c r="F748" s="16">
        <f>IF($B748&lt;&gt;"tutar_farki","","UUID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IF($B749&lt;&gt;"tutar_farki","",IF(ABS($C749)&gt;efs_esikFark,"YUKSEK","NORMAL"))</f>
        <v/>
      </c>
      <c r="F749" s="16">
        <f>IF($B749&lt;&gt;"tutar_farki","","UUID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IF($B750&lt;&gt;"tutar_farki","",IF(ABS($C750)&gt;efs_esikFark,"YUKSEK","NORMAL"))</f>
        <v/>
      </c>
      <c r="F750" s="16">
        <f>IF($B750&lt;&gt;"tutar_farki","","UUID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IF($B751&lt;&gt;"tutar_farki","",IF(ABS($C751)&gt;efs_esikFark,"YUKSEK","NORMAL"))</f>
        <v/>
      </c>
      <c r="F751" s="16">
        <f>IF($B751&lt;&gt;"tutar_farki","","UUID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IF($B752&lt;&gt;"tutar_farki","",IF(ABS($C752)&gt;efs_esikFark,"YUKSEK","NORMAL"))</f>
        <v/>
      </c>
      <c r="F752" s="16">
        <f>IF($B752&lt;&gt;"tutar_farki","","UUID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IF($B753&lt;&gt;"tutar_farki","",IF(ABS($C753)&gt;efs_esikFark,"YUKSEK","NORMAL"))</f>
        <v/>
      </c>
      <c r="F753" s="16">
        <f>IF($B753&lt;&gt;"tutar_farki","","UUID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IF($B754&lt;&gt;"tutar_farki","",IF(ABS($C754)&gt;efs_esikFark,"YUKSEK","NORMAL"))</f>
        <v/>
      </c>
      <c r="F754" s="16">
        <f>IF($B754&lt;&gt;"tutar_farki","","UUID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IF($B755&lt;&gt;"tutar_farki","",IF(ABS($C755)&gt;efs_esikFark,"YUKSEK","NORMAL"))</f>
        <v/>
      </c>
      <c r="F755" s="16">
        <f>IF($B755&lt;&gt;"tutar_farki","","UUID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IF($B756&lt;&gt;"tutar_farki","",IF(ABS($C756)&gt;efs_esikFark,"YUKSEK","NORMAL"))</f>
        <v/>
      </c>
      <c r="F756" s="16">
        <f>IF($B756&lt;&gt;"tutar_farki","","UUID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IF($B757&lt;&gt;"tutar_farki","",IF(ABS($C757)&gt;efs_esikFark,"YUKSEK","NORMAL"))</f>
        <v/>
      </c>
      <c r="F757" s="16">
        <f>IF($B757&lt;&gt;"tutar_farki","","UUID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IF($B758&lt;&gt;"tutar_farki","",IF(ABS($C758)&gt;efs_esikFark,"YUKSEK","NORMAL"))</f>
        <v/>
      </c>
      <c r="F758" s="16">
        <f>IF($B758&lt;&gt;"tutar_farki","","UUID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IF($B759&lt;&gt;"tutar_farki","",IF(ABS($C759)&gt;efs_esikFark,"YUKSEK","NORMAL"))</f>
        <v/>
      </c>
      <c r="F759" s="16">
        <f>IF($B759&lt;&gt;"tutar_farki","","UUID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IF($B760&lt;&gt;"tutar_farki","",IF(ABS($C760)&gt;efs_esikFark,"YUKSEK","NORMAL"))</f>
        <v/>
      </c>
      <c r="F760" s="16">
        <f>IF($B760&lt;&gt;"tutar_farki","","UUID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IF($B761&lt;&gt;"tutar_farki","",IF(ABS($C761)&gt;efs_esikFark,"YUKSEK","NORMAL"))</f>
        <v/>
      </c>
      <c r="F761" s="16">
        <f>IF($B761&lt;&gt;"tutar_farki","","UUID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IF($B762&lt;&gt;"tutar_farki","",IF(ABS($C762)&gt;efs_esikFark,"YUKSEK","NORMAL"))</f>
        <v/>
      </c>
      <c r="F762" s="16">
        <f>IF($B762&lt;&gt;"tutar_farki","","UUID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IF($B763&lt;&gt;"tutar_farki","",IF(ABS($C763)&gt;efs_esikFark,"YUKSEK","NORMAL"))</f>
        <v/>
      </c>
      <c r="F763" s="16">
        <f>IF($B763&lt;&gt;"tutar_farki","","UUID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IF($B764&lt;&gt;"tutar_farki","",IF(ABS($C764)&gt;efs_esikFark,"YUKSEK","NORMAL"))</f>
        <v/>
      </c>
      <c r="F764" s="16">
        <f>IF($B764&lt;&gt;"tutar_farki","","UUID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IF($B765&lt;&gt;"tutar_farki","",IF(ABS($C765)&gt;efs_esikFark,"YUKSEK","NORMAL"))</f>
        <v/>
      </c>
      <c r="F765" s="16">
        <f>IF($B765&lt;&gt;"tutar_farki","","UUID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IF($B766&lt;&gt;"tutar_farki","",IF(ABS($C766)&gt;efs_esikFark,"YUKSEK","NORMAL"))</f>
        <v/>
      </c>
      <c r="F766" s="16">
        <f>IF($B766&lt;&gt;"tutar_farki","","UUID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IF($B767&lt;&gt;"tutar_farki","",IF(ABS($C767)&gt;efs_esikFark,"YUKSEK","NORMAL"))</f>
        <v/>
      </c>
      <c r="F767" s="16">
        <f>IF($B767&lt;&gt;"tutar_farki","","UUID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IF($B768&lt;&gt;"tutar_farki","",IF(ABS($C768)&gt;efs_esikFark,"YUKSEK","NORMAL"))</f>
        <v/>
      </c>
      <c r="F768" s="16">
        <f>IF($B768&lt;&gt;"tutar_farki","","UUID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IF($B769&lt;&gt;"tutar_farki","",IF(ABS($C769)&gt;efs_esikFark,"YUKSEK","NORMAL"))</f>
        <v/>
      </c>
      <c r="F769" s="16">
        <f>IF($B769&lt;&gt;"tutar_farki","","UUID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IF($B770&lt;&gt;"tutar_farki","",IF(ABS($C770)&gt;efs_esikFark,"YUKSEK","NORMAL"))</f>
        <v/>
      </c>
      <c r="F770" s="16">
        <f>IF($B770&lt;&gt;"tutar_farki","","UUID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IF($B771&lt;&gt;"tutar_farki","",IF(ABS($C771)&gt;efs_esikFark,"YUKSEK","NORMAL"))</f>
        <v/>
      </c>
      <c r="F771" s="16">
        <f>IF($B771&lt;&gt;"tutar_farki","","UUID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IF($B772&lt;&gt;"tutar_farki","",IF(ABS($C772)&gt;efs_esikFark,"YUKSEK","NORMAL"))</f>
        <v/>
      </c>
      <c r="F772" s="16">
        <f>IF($B772&lt;&gt;"tutar_farki","","UUID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IF($B773&lt;&gt;"tutar_farki","",IF(ABS($C773)&gt;efs_esikFark,"YUKSEK","NORMAL"))</f>
        <v/>
      </c>
      <c r="F773" s="16">
        <f>IF($B773&lt;&gt;"tutar_farki","","UUID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IF($B774&lt;&gt;"tutar_farki","",IF(ABS($C774)&gt;efs_esikFark,"YUKSEK","NORMAL"))</f>
        <v/>
      </c>
      <c r="F774" s="16">
        <f>IF($B774&lt;&gt;"tutar_farki","","UUID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IF($B775&lt;&gt;"tutar_farki","",IF(ABS($C775)&gt;efs_esikFark,"YUKSEK","NORMAL"))</f>
        <v/>
      </c>
      <c r="F775" s="16">
        <f>IF($B775&lt;&gt;"tutar_farki","","UUID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IF($B776&lt;&gt;"tutar_farki","",IF(ABS($C776)&gt;efs_esikFark,"YUKSEK","NORMAL"))</f>
        <v/>
      </c>
      <c r="F776" s="16">
        <f>IF($B776&lt;&gt;"tutar_farki","","UUID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IF($B777&lt;&gt;"tutar_farki","",IF(ABS($C777)&gt;efs_esikFark,"YUKSEK","NORMAL"))</f>
        <v/>
      </c>
      <c r="F777" s="16">
        <f>IF($B777&lt;&gt;"tutar_farki","","UUID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IF($B778&lt;&gt;"tutar_farki","",IF(ABS($C778)&gt;efs_esikFark,"YUKSEK","NORMAL"))</f>
        <v/>
      </c>
      <c r="F778" s="16">
        <f>IF($B778&lt;&gt;"tutar_farki","","UUID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IF($B779&lt;&gt;"tutar_farki","",IF(ABS($C779)&gt;efs_esikFark,"YUKSEK","NORMAL"))</f>
        <v/>
      </c>
      <c r="F779" s="16">
        <f>IF($B779&lt;&gt;"tutar_farki","","UUID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IF($B780&lt;&gt;"tutar_farki","",IF(ABS($C780)&gt;efs_esikFark,"YUKSEK","NORMAL"))</f>
        <v/>
      </c>
      <c r="F780" s="16">
        <f>IF($B780&lt;&gt;"tutar_farki","","UUID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IF($B781&lt;&gt;"tutar_farki","",IF(ABS($C781)&gt;efs_esikFark,"YUKSEK","NORMAL"))</f>
        <v/>
      </c>
      <c r="F781" s="16">
        <f>IF($B781&lt;&gt;"tutar_farki","","UUID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IF($B782&lt;&gt;"tutar_farki","",IF(ABS($C782)&gt;efs_esikFark,"YUKSEK","NORMAL"))</f>
        <v/>
      </c>
      <c r="F782" s="16">
        <f>IF($B782&lt;&gt;"tutar_farki","","UUID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IF($B783&lt;&gt;"tutar_farki","",IF(ABS($C783)&gt;efs_esikFark,"YUKSEK","NORMAL"))</f>
        <v/>
      </c>
      <c r="F783" s="16">
        <f>IF($B783&lt;&gt;"tutar_farki","","UUID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IF($B784&lt;&gt;"tutar_farki","",IF(ABS($C784)&gt;efs_esikFark,"YUKSEK","NORMAL"))</f>
        <v/>
      </c>
      <c r="F784" s="16">
        <f>IF($B784&lt;&gt;"tutar_farki","","UUID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IF($B785&lt;&gt;"tutar_farki","",IF(ABS($C785)&gt;efs_esikFark,"YUKSEK","NORMAL"))</f>
        <v/>
      </c>
      <c r="F785" s="16">
        <f>IF($B785&lt;&gt;"tutar_farki","","UUID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IF($B786&lt;&gt;"tutar_farki","",IF(ABS($C786)&gt;efs_esikFark,"YUKSEK","NORMAL"))</f>
        <v/>
      </c>
      <c r="F786" s="16">
        <f>IF($B786&lt;&gt;"tutar_farki","","UUID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IF($B787&lt;&gt;"tutar_farki","",IF(ABS($C787)&gt;efs_esikFark,"YUKSEK","NORMAL"))</f>
        <v/>
      </c>
      <c r="F787" s="16">
        <f>IF($B787&lt;&gt;"tutar_farki","","UUID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IF($B788&lt;&gt;"tutar_farki","",IF(ABS($C788)&gt;efs_esikFark,"YUKSEK","NORMAL"))</f>
        <v/>
      </c>
      <c r="F788" s="16">
        <f>IF($B788&lt;&gt;"tutar_farki","","UUID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IF($B789&lt;&gt;"tutar_farki","",IF(ABS($C789)&gt;efs_esikFark,"YUKSEK","NORMAL"))</f>
        <v/>
      </c>
      <c r="F789" s="16">
        <f>IF($B789&lt;&gt;"tutar_farki","","UUID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IF($B790&lt;&gt;"tutar_farki","",IF(ABS($C790)&gt;efs_esikFark,"YUKSEK","NORMAL"))</f>
        <v/>
      </c>
      <c r="F790" s="16">
        <f>IF($B790&lt;&gt;"tutar_farki","","UUID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IF($B791&lt;&gt;"tutar_farki","",IF(ABS($C791)&gt;efs_esikFark,"YUKSEK","NORMAL"))</f>
        <v/>
      </c>
      <c r="F791" s="16">
        <f>IF($B791&lt;&gt;"tutar_farki","","UUID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IF($B792&lt;&gt;"tutar_farki","",IF(ABS($C792)&gt;efs_esikFark,"YUKSEK","NORMAL"))</f>
        <v/>
      </c>
      <c r="F792" s="16">
        <f>IF($B792&lt;&gt;"tutar_farki","","UUID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IF($B793&lt;&gt;"tutar_farki","",IF(ABS($C793)&gt;efs_esikFark,"YUKSEK","NORMAL"))</f>
        <v/>
      </c>
      <c r="F793" s="16">
        <f>IF($B793&lt;&gt;"tutar_farki","","UUID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IF($B794&lt;&gt;"tutar_farki","",IF(ABS($C794)&gt;efs_esikFark,"YUKSEK","NORMAL"))</f>
        <v/>
      </c>
      <c r="F794" s="16">
        <f>IF($B794&lt;&gt;"tutar_farki","","UUID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IF($B795&lt;&gt;"tutar_farki","",IF(ABS($C795)&gt;efs_esikFark,"YUKSEK","NORMAL"))</f>
        <v/>
      </c>
      <c r="F795" s="16">
        <f>IF($B795&lt;&gt;"tutar_farki","","UUID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IF($B796&lt;&gt;"tutar_farki","",IF(ABS($C796)&gt;efs_esikFark,"YUKSEK","NORMAL"))</f>
        <v/>
      </c>
      <c r="F796" s="16">
        <f>IF($B796&lt;&gt;"tutar_farki","","UUID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IF($B797&lt;&gt;"tutar_farki","",IF(ABS($C797)&gt;efs_esikFark,"YUKSEK","NORMAL"))</f>
        <v/>
      </c>
      <c r="F797" s="16">
        <f>IF($B797&lt;&gt;"tutar_farki","","UUID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IF($B798&lt;&gt;"tutar_farki","",IF(ABS($C798)&gt;efs_esikFark,"YUKSEK","NORMAL"))</f>
        <v/>
      </c>
      <c r="F798" s="16">
        <f>IF($B798&lt;&gt;"tutar_farki","","UUID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IF($B799&lt;&gt;"tutar_farki","",IF(ABS($C799)&gt;efs_esikFark,"YUKSEK","NORMAL"))</f>
        <v/>
      </c>
      <c r="F799" s="16">
        <f>IF($B799&lt;&gt;"tutar_farki","","UUID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IF($B800&lt;&gt;"tutar_farki","",IF(ABS($C800)&gt;efs_esikFark,"YUKSEK","NORMAL"))</f>
        <v/>
      </c>
      <c r="F800" s="16">
        <f>IF($B800&lt;&gt;"tutar_farki","","UUID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IF($B801&lt;&gt;"tutar_farki","",IF(ABS($C801)&gt;efs_esikFark,"YUKSEK","NORMAL"))</f>
        <v/>
      </c>
      <c r="F801" s="16">
        <f>IF($B801&lt;&gt;"tutar_farki","","UUID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IF($B802&lt;&gt;"tutar_farki","",IF(ABS($C802)&gt;efs_esikFark,"YUKSEK","NORMAL"))</f>
        <v/>
      </c>
      <c r="F802" s="16">
        <f>IF($B802&lt;&gt;"tutar_farki","","UUID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IF($B803&lt;&gt;"tutar_farki","",IF(ABS($C803)&gt;efs_esikFark,"YUKSEK","NORMAL"))</f>
        <v/>
      </c>
      <c r="F803" s="16">
        <f>IF($B803&lt;&gt;"tutar_farki","","UUID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IF($B804&lt;&gt;"tutar_farki","",IF(ABS($C804)&gt;efs_esikFark,"YUKSEK","NORMAL"))</f>
        <v/>
      </c>
      <c r="F804" s="16">
        <f>IF($B804&lt;&gt;"tutar_farki","","UUID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IF($B805&lt;&gt;"tutar_farki","",IF(ABS($C805)&gt;efs_esikFark,"YUKSEK","NORMAL"))</f>
        <v/>
      </c>
      <c r="F805" s="16">
        <f>IF($B805&lt;&gt;"tutar_farki","","UUID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IF($B806&lt;&gt;"tutar_farki","",IF(ABS($C806)&gt;efs_esikFark,"YUKSEK","NORMAL"))</f>
        <v/>
      </c>
      <c r="F806" s="16">
        <f>IF($B806&lt;&gt;"tutar_farki","","UUID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IF($B807&lt;&gt;"tutar_farki","",IF(ABS($C807)&gt;efs_esikFark,"YUKSEK","NORMAL"))</f>
        <v/>
      </c>
      <c r="F807" s="16">
        <f>IF($B807&lt;&gt;"tutar_farki","","UUID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IF($B808&lt;&gt;"tutar_farki","",IF(ABS($C808)&gt;efs_esikFark,"YUKSEK","NORMAL"))</f>
        <v/>
      </c>
      <c r="F808" s="16">
        <f>IF($B808&lt;&gt;"tutar_farki","","UUID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IF($B809&lt;&gt;"tutar_farki","",IF(ABS($C809)&gt;efs_esikFark,"YUKSEK","NORMAL"))</f>
        <v/>
      </c>
      <c r="F809" s="16">
        <f>IF($B809&lt;&gt;"tutar_farki","","UUID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IF($B810&lt;&gt;"tutar_farki","",IF(ABS($C810)&gt;efs_esikFark,"YUKSEK","NORMAL"))</f>
        <v/>
      </c>
      <c r="F810" s="16">
        <f>IF($B810&lt;&gt;"tutar_farki","","UUID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IF($B811&lt;&gt;"tutar_farki","",IF(ABS($C811)&gt;efs_esikFark,"YUKSEK","NORMAL"))</f>
        <v/>
      </c>
      <c r="F811" s="16">
        <f>IF($B811&lt;&gt;"tutar_farki","","UUID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IF($B812&lt;&gt;"tutar_farki","",IF(ABS($C812)&gt;efs_esikFark,"YUKSEK","NORMAL"))</f>
        <v/>
      </c>
      <c r="F812" s="16">
        <f>IF($B812&lt;&gt;"tutar_farki","","UUID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IF($B813&lt;&gt;"tutar_farki","",IF(ABS($C813)&gt;efs_esikFark,"YUKSEK","NORMAL"))</f>
        <v/>
      </c>
      <c r="F813" s="16">
        <f>IF($B813&lt;&gt;"tutar_farki","","UUID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IF($B814&lt;&gt;"tutar_farki","",IF(ABS($C814)&gt;efs_esikFark,"YUKSEK","NORMAL"))</f>
        <v/>
      </c>
      <c r="F814" s="16">
        <f>IF($B814&lt;&gt;"tutar_farki","","UUID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IF($B815&lt;&gt;"tutar_farki","",IF(ABS($C815)&gt;efs_esikFark,"YUKSEK","NORMAL"))</f>
        <v/>
      </c>
      <c r="F815" s="16">
        <f>IF($B815&lt;&gt;"tutar_farki","","UUID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IF($B816&lt;&gt;"tutar_farki","",IF(ABS($C816)&gt;efs_esikFark,"YUKSEK","NORMAL"))</f>
        <v/>
      </c>
      <c r="F816" s="16">
        <f>IF($B816&lt;&gt;"tutar_farki","","UUID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IF($B817&lt;&gt;"tutar_farki","",IF(ABS($C817)&gt;efs_esikFark,"YUKSEK","NORMAL"))</f>
        <v/>
      </c>
      <c r="F817" s="16">
        <f>IF($B817&lt;&gt;"tutar_farki","","UUID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IF($B818&lt;&gt;"tutar_farki","",IF(ABS($C818)&gt;efs_esikFark,"YUKSEK","NORMAL"))</f>
        <v/>
      </c>
      <c r="F818" s="16">
        <f>IF($B818&lt;&gt;"tutar_farki","","UUID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IF($B819&lt;&gt;"tutar_farki","",IF(ABS($C819)&gt;efs_esikFark,"YUKSEK","NORMAL"))</f>
        <v/>
      </c>
      <c r="F819" s="16">
        <f>IF($B819&lt;&gt;"tutar_farki","","UUID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IF($B820&lt;&gt;"tutar_farki","",IF(ABS($C820)&gt;efs_esikFark,"YUKSEK","NORMAL"))</f>
        <v/>
      </c>
      <c r="F820" s="16">
        <f>IF($B820&lt;&gt;"tutar_farki","","UUID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IF($B821&lt;&gt;"tutar_farki","",IF(ABS($C821)&gt;efs_esikFark,"YUKSEK","NORMAL"))</f>
        <v/>
      </c>
      <c r="F821" s="16">
        <f>IF($B821&lt;&gt;"tutar_farki","","UUID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IF($B822&lt;&gt;"tutar_farki","",IF(ABS($C822)&gt;efs_esikFark,"YUKSEK","NORMAL"))</f>
        <v/>
      </c>
      <c r="F822" s="16">
        <f>IF($B822&lt;&gt;"tutar_farki","","UUID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IF($B823&lt;&gt;"tutar_farki","",IF(ABS($C823)&gt;efs_esikFark,"YUKSEK","NORMAL"))</f>
        <v/>
      </c>
      <c r="F823" s="16">
        <f>IF($B823&lt;&gt;"tutar_farki","","UUID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IF($B824&lt;&gt;"tutar_farki","",IF(ABS($C824)&gt;efs_esikFark,"YUKSEK","NORMAL"))</f>
        <v/>
      </c>
      <c r="F824" s="16">
        <f>IF($B824&lt;&gt;"tutar_farki","","UUID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IF($B825&lt;&gt;"tutar_farki","",IF(ABS($C825)&gt;efs_esikFark,"YUKSEK","NORMAL"))</f>
        <v/>
      </c>
      <c r="F825" s="16">
        <f>IF($B825&lt;&gt;"tutar_farki","","UUID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IF($B826&lt;&gt;"tutar_farki","",IF(ABS($C826)&gt;efs_esikFark,"YUKSEK","NORMAL"))</f>
        <v/>
      </c>
      <c r="F826" s="16">
        <f>IF($B826&lt;&gt;"tutar_farki","","UUID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IF($B827&lt;&gt;"tutar_farki","",IF(ABS($C827)&gt;efs_esikFark,"YUKSEK","NORMAL"))</f>
        <v/>
      </c>
      <c r="F827" s="16">
        <f>IF($B827&lt;&gt;"tutar_farki","","UUID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IF($B828&lt;&gt;"tutar_farki","",IF(ABS($C828)&gt;efs_esikFark,"YUKSEK","NORMAL"))</f>
        <v/>
      </c>
      <c r="F828" s="16">
        <f>IF($B828&lt;&gt;"tutar_farki","","UUID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IF($B829&lt;&gt;"tutar_farki","",IF(ABS($C829)&gt;efs_esikFark,"YUKSEK","NORMAL"))</f>
        <v/>
      </c>
      <c r="F829" s="16">
        <f>IF($B829&lt;&gt;"tutar_farki","","UUID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IF($B830&lt;&gt;"tutar_farki","",IF(ABS($C830)&gt;efs_esikFark,"YUKSEK","NORMAL"))</f>
        <v/>
      </c>
      <c r="F830" s="16">
        <f>IF($B830&lt;&gt;"tutar_farki","","UUID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IF($B831&lt;&gt;"tutar_farki","",IF(ABS($C831)&gt;efs_esikFark,"YUKSEK","NORMAL"))</f>
        <v/>
      </c>
      <c r="F831" s="16">
        <f>IF($B831&lt;&gt;"tutar_farki","","UUID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IF($B832&lt;&gt;"tutar_farki","",IF(ABS($C832)&gt;efs_esikFark,"YUKSEK","NORMAL"))</f>
        <v/>
      </c>
      <c r="F832" s="16">
        <f>IF($B832&lt;&gt;"tutar_farki","","UUID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IF($B833&lt;&gt;"tutar_farki","",IF(ABS($C833)&gt;efs_esikFark,"YUKSEK","NORMAL"))</f>
        <v/>
      </c>
      <c r="F833" s="16">
        <f>IF($B833&lt;&gt;"tutar_farki","","UUID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IF($B834&lt;&gt;"tutar_farki","",IF(ABS($C834)&gt;efs_esikFark,"YUKSEK","NORMAL"))</f>
        <v/>
      </c>
      <c r="F834" s="16">
        <f>IF($B834&lt;&gt;"tutar_farki","","UUID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IF($B835&lt;&gt;"tutar_farki","",IF(ABS($C835)&gt;efs_esikFark,"YUKSEK","NORMAL"))</f>
        <v/>
      </c>
      <c r="F835" s="16">
        <f>IF($B835&lt;&gt;"tutar_farki","","UUID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IF($B836&lt;&gt;"tutar_farki","",IF(ABS($C836)&gt;efs_esikFark,"YUKSEK","NORMAL"))</f>
        <v/>
      </c>
      <c r="F836" s="16">
        <f>IF($B836&lt;&gt;"tutar_farki","","UUID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IF($B837&lt;&gt;"tutar_farki","",IF(ABS($C837)&gt;efs_esikFark,"YUKSEK","NORMAL"))</f>
        <v/>
      </c>
      <c r="F837" s="16">
        <f>IF($B837&lt;&gt;"tutar_farki","","UUID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IF($B838&lt;&gt;"tutar_farki","",IF(ABS($C838)&gt;efs_esikFark,"YUKSEK","NORMAL"))</f>
        <v/>
      </c>
      <c r="F838" s="16">
        <f>IF($B838&lt;&gt;"tutar_farki","","UUID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IF($B839&lt;&gt;"tutar_farki","",IF(ABS($C839)&gt;efs_esikFark,"YUKSEK","NORMAL"))</f>
        <v/>
      </c>
      <c r="F839" s="16">
        <f>IF($B839&lt;&gt;"tutar_farki","","UUID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IF($B840&lt;&gt;"tutar_farki","",IF(ABS($C840)&gt;efs_esikFark,"YUKSEK","NORMAL"))</f>
        <v/>
      </c>
      <c r="F840" s="16">
        <f>IF($B840&lt;&gt;"tutar_farki","","UUID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IF($B841&lt;&gt;"tutar_farki","",IF(ABS($C841)&gt;efs_esikFark,"YUKSEK","NORMAL"))</f>
        <v/>
      </c>
      <c r="F841" s="16">
        <f>IF($B841&lt;&gt;"tutar_farki","","UUID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IF($B842&lt;&gt;"tutar_farki","",IF(ABS($C842)&gt;efs_esikFark,"YUKSEK","NORMAL"))</f>
        <v/>
      </c>
      <c r="F842" s="16">
        <f>IF($B842&lt;&gt;"tutar_farki","","UUID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IF($B843&lt;&gt;"tutar_farki","",IF(ABS($C843)&gt;efs_esikFark,"YUKSEK","NORMAL"))</f>
        <v/>
      </c>
      <c r="F843" s="16">
        <f>IF($B843&lt;&gt;"tutar_farki","","UUID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IF($B844&lt;&gt;"tutar_farki","",IF(ABS($C844)&gt;efs_esikFark,"YUKSEK","NORMAL"))</f>
        <v/>
      </c>
      <c r="F844" s="16">
        <f>IF($B844&lt;&gt;"tutar_farki","","UUID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IF($B845&lt;&gt;"tutar_farki","",IF(ABS($C845)&gt;efs_esikFark,"YUKSEK","NORMAL"))</f>
        <v/>
      </c>
      <c r="F845" s="16">
        <f>IF($B845&lt;&gt;"tutar_farki","","UUID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IF($B846&lt;&gt;"tutar_farki","",IF(ABS($C846)&gt;efs_esikFark,"YUKSEK","NORMAL"))</f>
        <v/>
      </c>
      <c r="F846" s="16">
        <f>IF($B846&lt;&gt;"tutar_farki","","UUID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IF($B847&lt;&gt;"tutar_farki","",IF(ABS($C847)&gt;efs_esikFark,"YUKSEK","NORMAL"))</f>
        <v/>
      </c>
      <c r="F847" s="16">
        <f>IF($B847&lt;&gt;"tutar_farki","","UUID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IF($B848&lt;&gt;"tutar_farki","",IF(ABS($C848)&gt;efs_esikFark,"YUKSEK","NORMAL"))</f>
        <v/>
      </c>
      <c r="F848" s="16">
        <f>IF($B848&lt;&gt;"tutar_farki","","UUID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IF($B849&lt;&gt;"tutar_farki","",IF(ABS($C849)&gt;efs_esikFark,"YUKSEK","NORMAL"))</f>
        <v/>
      </c>
      <c r="F849" s="16">
        <f>IF($B849&lt;&gt;"tutar_farki","","UUID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IF($B850&lt;&gt;"tutar_farki","",IF(ABS($C850)&gt;efs_esikFark,"YUKSEK","NORMAL"))</f>
        <v/>
      </c>
      <c r="F850" s="16">
        <f>IF($B850&lt;&gt;"tutar_farki","","UUID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IF($B851&lt;&gt;"tutar_farki","",IF(ABS($C851)&gt;efs_esikFark,"YUKSEK","NORMAL"))</f>
        <v/>
      </c>
      <c r="F851" s="16">
        <f>IF($B851&lt;&gt;"tutar_farki","","UUID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IF($B852&lt;&gt;"tutar_farki","",IF(ABS($C852)&gt;efs_esikFark,"YUKSEK","NORMAL"))</f>
        <v/>
      </c>
      <c r="F852" s="16">
        <f>IF($B852&lt;&gt;"tutar_farki","","UUID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IF($B853&lt;&gt;"tutar_farki","",IF(ABS($C853)&gt;efs_esikFark,"YUKSEK","NORMAL"))</f>
        <v/>
      </c>
      <c r="F853" s="16">
        <f>IF($B853&lt;&gt;"tutar_farki","","UUID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IF($B854&lt;&gt;"tutar_farki","",IF(ABS($C854)&gt;efs_esikFark,"YUKSEK","NORMAL"))</f>
        <v/>
      </c>
      <c r="F854" s="16">
        <f>IF($B854&lt;&gt;"tutar_farki","","UUID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IF($B855&lt;&gt;"tutar_farki","",IF(ABS($C855)&gt;efs_esikFark,"YUKSEK","NORMAL"))</f>
        <v/>
      </c>
      <c r="F855" s="16">
        <f>IF($B855&lt;&gt;"tutar_farki","","UUID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IF($B856&lt;&gt;"tutar_farki","",IF(ABS($C856)&gt;efs_esikFark,"YUKSEK","NORMAL"))</f>
        <v/>
      </c>
      <c r="F856" s="16">
        <f>IF($B856&lt;&gt;"tutar_farki","","UUID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IF($B857&lt;&gt;"tutar_farki","",IF(ABS($C857)&gt;efs_esikFark,"YUKSEK","NORMAL"))</f>
        <v/>
      </c>
      <c r="F857" s="16">
        <f>IF($B857&lt;&gt;"tutar_farki","","UUID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IF($B858&lt;&gt;"tutar_farki","",IF(ABS($C858)&gt;efs_esikFark,"YUKSEK","NORMAL"))</f>
        <v/>
      </c>
      <c r="F858" s="16">
        <f>IF($B858&lt;&gt;"tutar_farki","","UUID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IF($B859&lt;&gt;"tutar_farki","",IF(ABS($C859)&gt;efs_esikFark,"YUKSEK","NORMAL"))</f>
        <v/>
      </c>
      <c r="F859" s="16">
        <f>IF($B859&lt;&gt;"tutar_farki","","UUID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IF($B860&lt;&gt;"tutar_farki","",IF(ABS($C860)&gt;efs_esikFark,"YUKSEK","NORMAL"))</f>
        <v/>
      </c>
      <c r="F860" s="16">
        <f>IF($B860&lt;&gt;"tutar_farki","","UUID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IF($B861&lt;&gt;"tutar_farki","",IF(ABS($C861)&gt;efs_esikFark,"YUKSEK","NORMAL"))</f>
        <v/>
      </c>
      <c r="F861" s="16">
        <f>IF($B861&lt;&gt;"tutar_farki","","UUID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IF($B862&lt;&gt;"tutar_farki","",IF(ABS($C862)&gt;efs_esikFark,"YUKSEK","NORMAL"))</f>
        <v/>
      </c>
      <c r="F862" s="16">
        <f>IF($B862&lt;&gt;"tutar_farki","","UUID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IF($B863&lt;&gt;"tutar_farki","",IF(ABS($C863)&gt;efs_esikFark,"YUKSEK","NORMAL"))</f>
        <v/>
      </c>
      <c r="F863" s="16">
        <f>IF($B863&lt;&gt;"tutar_farki","","UUID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IF($B864&lt;&gt;"tutar_farki","",IF(ABS($C864)&gt;efs_esikFark,"YUKSEK","NORMAL"))</f>
        <v/>
      </c>
      <c r="F864" s="16">
        <f>IF($B864&lt;&gt;"tutar_farki","","UUID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IF($B865&lt;&gt;"tutar_farki","",IF(ABS($C865)&gt;efs_esikFark,"YUKSEK","NORMAL"))</f>
        <v/>
      </c>
      <c r="F865" s="16">
        <f>IF($B865&lt;&gt;"tutar_farki","","UUID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IF($B866&lt;&gt;"tutar_farki","",IF(ABS($C866)&gt;efs_esikFark,"YUKSEK","NORMAL"))</f>
        <v/>
      </c>
      <c r="F866" s="16">
        <f>IF($B866&lt;&gt;"tutar_farki","","UUID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IF($B867&lt;&gt;"tutar_farki","",IF(ABS($C867)&gt;efs_esikFark,"YUKSEK","NORMAL"))</f>
        <v/>
      </c>
      <c r="F867" s="16">
        <f>IF($B867&lt;&gt;"tutar_farki","","UUID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IF($B868&lt;&gt;"tutar_farki","",IF(ABS($C868)&gt;efs_esikFark,"YUKSEK","NORMAL"))</f>
        <v/>
      </c>
      <c r="F868" s="16">
        <f>IF($B868&lt;&gt;"tutar_farki","","UUID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IF($B869&lt;&gt;"tutar_farki","",IF(ABS($C869)&gt;efs_esikFark,"YUKSEK","NORMAL"))</f>
        <v/>
      </c>
      <c r="F869" s="16">
        <f>IF($B869&lt;&gt;"tutar_farki","","UUID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IF($B870&lt;&gt;"tutar_farki","",IF(ABS($C870)&gt;efs_esikFark,"YUKSEK","NORMAL"))</f>
        <v/>
      </c>
      <c r="F870" s="16">
        <f>IF($B870&lt;&gt;"tutar_farki","","UUID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IF($B871&lt;&gt;"tutar_farki","",IF(ABS($C871)&gt;efs_esikFark,"YUKSEK","NORMAL"))</f>
        <v/>
      </c>
      <c r="F871" s="16">
        <f>IF($B871&lt;&gt;"tutar_farki","","UUID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IF($B872&lt;&gt;"tutar_farki","",IF(ABS($C872)&gt;efs_esikFark,"YUKSEK","NORMAL"))</f>
        <v/>
      </c>
      <c r="F872" s="16">
        <f>IF($B872&lt;&gt;"tutar_farki","","UUID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IF($B873&lt;&gt;"tutar_farki","",IF(ABS($C873)&gt;efs_esikFark,"YUKSEK","NORMAL"))</f>
        <v/>
      </c>
      <c r="F873" s="16">
        <f>IF($B873&lt;&gt;"tutar_farki","","UUID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IF($B874&lt;&gt;"tutar_farki","",IF(ABS($C874)&gt;efs_esikFark,"YUKSEK","NORMAL"))</f>
        <v/>
      </c>
      <c r="F874" s="16">
        <f>IF($B874&lt;&gt;"tutar_farki","","UUID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IF($B875&lt;&gt;"tutar_farki","",IF(ABS($C875)&gt;efs_esikFark,"YUKSEK","NORMAL"))</f>
        <v/>
      </c>
      <c r="F875" s="16">
        <f>IF($B875&lt;&gt;"tutar_farki","","UUID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IF($B876&lt;&gt;"tutar_farki","",IF(ABS($C876)&gt;efs_esikFark,"YUKSEK","NORMAL"))</f>
        <v/>
      </c>
      <c r="F876" s="16">
        <f>IF($B876&lt;&gt;"tutar_farki","","UUID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IF($B877&lt;&gt;"tutar_farki","",IF(ABS($C877)&gt;efs_esikFark,"YUKSEK","NORMAL"))</f>
        <v/>
      </c>
      <c r="F877" s="16">
        <f>IF($B877&lt;&gt;"tutar_farki","","UUID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IF($B878&lt;&gt;"tutar_farki","",IF(ABS($C878)&gt;efs_esikFark,"YUKSEK","NORMAL"))</f>
        <v/>
      </c>
      <c r="F878" s="16">
        <f>IF($B878&lt;&gt;"tutar_farki","","UUID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IF($B879&lt;&gt;"tutar_farki","",IF(ABS($C879)&gt;efs_esikFark,"YUKSEK","NORMAL"))</f>
        <v/>
      </c>
      <c r="F879" s="16">
        <f>IF($B879&lt;&gt;"tutar_farki","","UUID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IF($B880&lt;&gt;"tutar_farki","",IF(ABS($C880)&gt;efs_esikFark,"YUKSEK","NORMAL"))</f>
        <v/>
      </c>
      <c r="F880" s="16">
        <f>IF($B880&lt;&gt;"tutar_farki","","UUID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IF($B881&lt;&gt;"tutar_farki","",IF(ABS($C881)&gt;efs_esikFark,"YUKSEK","NORMAL"))</f>
        <v/>
      </c>
      <c r="F881" s="16">
        <f>IF($B881&lt;&gt;"tutar_farki","","UUID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IF($B882&lt;&gt;"tutar_farki","",IF(ABS($C882)&gt;efs_esikFark,"YUKSEK","NORMAL"))</f>
        <v/>
      </c>
      <c r="F882" s="16">
        <f>IF($B882&lt;&gt;"tutar_farki","","UUID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IF($B883&lt;&gt;"tutar_farki","",IF(ABS($C883)&gt;efs_esikFark,"YUKSEK","NORMAL"))</f>
        <v/>
      </c>
      <c r="F883" s="16">
        <f>IF($B883&lt;&gt;"tutar_farki","","UUID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IF($B884&lt;&gt;"tutar_farki","",IF(ABS($C884)&gt;efs_esikFark,"YUKSEK","NORMAL"))</f>
        <v/>
      </c>
      <c r="F884" s="16">
        <f>IF($B884&lt;&gt;"tutar_farki","","UUID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IF($B885&lt;&gt;"tutar_farki","",IF(ABS($C885)&gt;efs_esikFark,"YUKSEK","NORMAL"))</f>
        <v/>
      </c>
      <c r="F885" s="16">
        <f>IF($B885&lt;&gt;"tutar_farki","","UUID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IF($B886&lt;&gt;"tutar_farki","",IF(ABS($C886)&gt;efs_esikFark,"YUKSEK","NORMAL"))</f>
        <v/>
      </c>
      <c r="F886" s="16">
        <f>IF($B886&lt;&gt;"tutar_farki","","UUID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IF($B887&lt;&gt;"tutar_farki","",IF(ABS($C887)&gt;efs_esikFark,"YUKSEK","NORMAL"))</f>
        <v/>
      </c>
      <c r="F887" s="16">
        <f>IF($B887&lt;&gt;"tutar_farki","","UUID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IF($B888&lt;&gt;"tutar_farki","",IF(ABS($C888)&gt;efs_esikFark,"YUKSEK","NORMAL"))</f>
        <v/>
      </c>
      <c r="F888" s="16">
        <f>IF($B888&lt;&gt;"tutar_farki","","UUID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IF($B889&lt;&gt;"tutar_farki","",IF(ABS($C889)&gt;efs_esikFark,"YUKSEK","NORMAL"))</f>
        <v/>
      </c>
      <c r="F889" s="16">
        <f>IF($B889&lt;&gt;"tutar_farki","","UUID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IF($B890&lt;&gt;"tutar_farki","",IF(ABS($C890)&gt;efs_esikFark,"YUKSEK","NORMAL"))</f>
        <v/>
      </c>
      <c r="F890" s="16">
        <f>IF($B890&lt;&gt;"tutar_farki","","UUID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IF($B891&lt;&gt;"tutar_farki","",IF(ABS($C891)&gt;efs_esikFark,"YUKSEK","NORMAL"))</f>
        <v/>
      </c>
      <c r="F891" s="16">
        <f>IF($B891&lt;&gt;"tutar_farki","","UUID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IF($B892&lt;&gt;"tutar_farki","",IF(ABS($C892)&gt;efs_esikFark,"YUKSEK","NORMAL"))</f>
        <v/>
      </c>
      <c r="F892" s="16">
        <f>IF($B892&lt;&gt;"tutar_farki","","UUID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IF($B893&lt;&gt;"tutar_farki","",IF(ABS($C893)&gt;efs_esikFark,"YUKSEK","NORMAL"))</f>
        <v/>
      </c>
      <c r="F893" s="16">
        <f>IF($B893&lt;&gt;"tutar_farki","","UUID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IF($B894&lt;&gt;"tutar_farki","",IF(ABS($C894)&gt;efs_esikFark,"YUKSEK","NORMAL"))</f>
        <v/>
      </c>
      <c r="F894" s="16">
        <f>IF($B894&lt;&gt;"tutar_farki","","UUID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IF($B895&lt;&gt;"tutar_farki","",IF(ABS($C895)&gt;efs_esikFark,"YUKSEK","NORMAL"))</f>
        <v/>
      </c>
      <c r="F895" s="16">
        <f>IF($B895&lt;&gt;"tutar_farki","","UUID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IF($B896&lt;&gt;"tutar_farki","",IF(ABS($C896)&gt;efs_esikFark,"YUKSEK","NORMAL"))</f>
        <v/>
      </c>
      <c r="F896" s="16">
        <f>IF($B896&lt;&gt;"tutar_farki","","UUID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IF($B897&lt;&gt;"tutar_farki","",IF(ABS($C897)&gt;efs_esikFark,"YUKSEK","NORMAL"))</f>
        <v/>
      </c>
      <c r="F897" s="16">
        <f>IF($B897&lt;&gt;"tutar_farki","","UUID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IF($B898&lt;&gt;"tutar_farki","",IF(ABS($C898)&gt;efs_esikFark,"YUKSEK","NORMAL"))</f>
        <v/>
      </c>
      <c r="F898" s="16">
        <f>IF($B898&lt;&gt;"tutar_farki","","UUID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IF($B899&lt;&gt;"tutar_farki","",IF(ABS($C899)&gt;efs_esikFark,"YUKSEK","NORMAL"))</f>
        <v/>
      </c>
      <c r="F899" s="16">
        <f>IF($B899&lt;&gt;"tutar_farki","","UUID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IF($B900&lt;&gt;"tutar_farki","",IF(ABS($C900)&gt;efs_esikFark,"YUKSEK","NORMAL"))</f>
        <v/>
      </c>
      <c r="F900" s="16">
        <f>IF($B900&lt;&gt;"tutar_farki","","UUID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IF($B901&lt;&gt;"tutar_farki","",IF(ABS($C901)&gt;efs_esikFark,"YUKSEK","NORMAL"))</f>
        <v/>
      </c>
      <c r="F901" s="16">
        <f>IF($B901&lt;&gt;"tutar_farki","","UUID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IF($B902&lt;&gt;"tutar_farki","",IF(ABS($C902)&gt;efs_esikFark,"YUKSEK","NORMAL"))</f>
        <v/>
      </c>
      <c r="F902" s="16">
        <f>IF($B902&lt;&gt;"tutar_farki","","UUID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IF($B903&lt;&gt;"tutar_farki","",IF(ABS($C903)&gt;efs_esikFark,"YUKSEK","NORMAL"))</f>
        <v/>
      </c>
      <c r="F903" s="16">
        <f>IF($B903&lt;&gt;"tutar_farki","","UUID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IF($B904&lt;&gt;"tutar_farki","",IF(ABS($C904)&gt;efs_esikFark,"YUKSEK","NORMAL"))</f>
        <v/>
      </c>
      <c r="F904" s="16">
        <f>IF($B904&lt;&gt;"tutar_farki","","UUID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IF($B905&lt;&gt;"tutar_farki","",IF(ABS($C905)&gt;efs_esikFark,"YUKSEK","NORMAL"))</f>
        <v/>
      </c>
      <c r="F905" s="16">
        <f>IF($B905&lt;&gt;"tutar_farki","","UUID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IF($B906&lt;&gt;"tutar_farki","",IF(ABS($C906)&gt;efs_esikFark,"YUKSEK","NORMAL"))</f>
        <v/>
      </c>
      <c r="F906" s="16">
        <f>IF($B906&lt;&gt;"tutar_farki","","UUID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IF($B907&lt;&gt;"tutar_farki","",IF(ABS($C907)&gt;efs_esikFark,"YUKSEK","NORMAL"))</f>
        <v/>
      </c>
      <c r="F907" s="16">
        <f>IF($B907&lt;&gt;"tutar_farki","","UUID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IF($B908&lt;&gt;"tutar_farki","",IF(ABS($C908)&gt;efs_esikFark,"YUKSEK","NORMAL"))</f>
        <v/>
      </c>
      <c r="F908" s="16">
        <f>IF($B908&lt;&gt;"tutar_farki","","UUID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IF($B909&lt;&gt;"tutar_farki","",IF(ABS($C909)&gt;efs_esikFark,"YUKSEK","NORMAL"))</f>
        <v/>
      </c>
      <c r="F909" s="16">
        <f>IF($B909&lt;&gt;"tutar_farki","","UUID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IF($B910&lt;&gt;"tutar_farki","",IF(ABS($C910)&gt;efs_esikFark,"YUKSEK","NORMAL"))</f>
        <v/>
      </c>
      <c r="F910" s="16">
        <f>IF($B910&lt;&gt;"tutar_farki","","UUID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IF($B911&lt;&gt;"tutar_farki","",IF(ABS($C911)&gt;efs_esikFark,"YUKSEK","NORMAL"))</f>
        <v/>
      </c>
      <c r="F911" s="16">
        <f>IF($B911&lt;&gt;"tutar_farki","","UUID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IF($B912&lt;&gt;"tutar_farki","",IF(ABS($C912)&gt;efs_esikFark,"YUKSEK","NORMAL"))</f>
        <v/>
      </c>
      <c r="F912" s="16">
        <f>IF($B912&lt;&gt;"tutar_farki","","UUID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IF($B913&lt;&gt;"tutar_farki","",IF(ABS($C913)&gt;efs_esikFark,"YUKSEK","NORMAL"))</f>
        <v/>
      </c>
      <c r="F913" s="16">
        <f>IF($B913&lt;&gt;"tutar_farki","","UUID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IF($B914&lt;&gt;"tutar_farki","",IF(ABS($C914)&gt;efs_esikFark,"YUKSEK","NORMAL"))</f>
        <v/>
      </c>
      <c r="F914" s="16">
        <f>IF($B914&lt;&gt;"tutar_farki","","UUID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IF($B915&lt;&gt;"tutar_farki","",IF(ABS($C915)&gt;efs_esikFark,"YUKSEK","NORMAL"))</f>
        <v/>
      </c>
      <c r="F915" s="16">
        <f>IF($B915&lt;&gt;"tutar_farki","","UUID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IF($B916&lt;&gt;"tutar_farki","",IF(ABS($C916)&gt;efs_esikFark,"YUKSEK","NORMAL"))</f>
        <v/>
      </c>
      <c r="F916" s="16">
        <f>IF($B916&lt;&gt;"tutar_farki","","UUID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IF($B917&lt;&gt;"tutar_farki","",IF(ABS($C917)&gt;efs_esikFark,"YUKSEK","NORMAL"))</f>
        <v/>
      </c>
      <c r="F917" s="16">
        <f>IF($B917&lt;&gt;"tutar_farki","","UUID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IF($B918&lt;&gt;"tutar_farki","",IF(ABS($C918)&gt;efs_esikFark,"YUKSEK","NORMAL"))</f>
        <v/>
      </c>
      <c r="F918" s="16">
        <f>IF($B918&lt;&gt;"tutar_farki","","UUID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IF($B919&lt;&gt;"tutar_farki","",IF(ABS($C919)&gt;efs_esikFark,"YUKSEK","NORMAL"))</f>
        <v/>
      </c>
      <c r="F919" s="16">
        <f>IF($B919&lt;&gt;"tutar_farki","","UUID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IF($B920&lt;&gt;"tutar_farki","",IF(ABS($C920)&gt;efs_esikFark,"YUKSEK","NORMAL"))</f>
        <v/>
      </c>
      <c r="F920" s="16">
        <f>IF($B920&lt;&gt;"tutar_farki","","UUID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IF($B921&lt;&gt;"tutar_farki","",IF(ABS($C921)&gt;efs_esikFark,"YUKSEK","NORMAL"))</f>
        <v/>
      </c>
      <c r="F921" s="16">
        <f>IF($B921&lt;&gt;"tutar_farki","","UUID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IF($B922&lt;&gt;"tutar_farki","",IF(ABS($C922)&gt;efs_esikFark,"YUKSEK","NORMAL"))</f>
        <v/>
      </c>
      <c r="F922" s="16">
        <f>IF($B922&lt;&gt;"tutar_farki","","UUID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IF($B923&lt;&gt;"tutar_farki","",IF(ABS($C923)&gt;efs_esikFark,"YUKSEK","NORMAL"))</f>
        <v/>
      </c>
      <c r="F923" s="16">
        <f>IF($B923&lt;&gt;"tutar_farki","","UUID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IF($B924&lt;&gt;"tutar_farki","",IF(ABS($C924)&gt;efs_esikFark,"YUKSEK","NORMAL"))</f>
        <v/>
      </c>
      <c r="F924" s="16">
        <f>IF($B924&lt;&gt;"tutar_farki","","UUID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IF($B925&lt;&gt;"tutar_farki","",IF(ABS($C925)&gt;efs_esikFark,"YUKSEK","NORMAL"))</f>
        <v/>
      </c>
      <c r="F925" s="16">
        <f>IF($B925&lt;&gt;"tutar_farki","","UUID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IF($B926&lt;&gt;"tutar_farki","",IF(ABS($C926)&gt;efs_esikFark,"YUKSEK","NORMAL"))</f>
        <v/>
      </c>
      <c r="F926" s="16">
        <f>IF($B926&lt;&gt;"tutar_farki","","UUID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IF($B927&lt;&gt;"tutar_farki","",IF(ABS($C927)&gt;efs_esikFark,"YUKSEK","NORMAL"))</f>
        <v/>
      </c>
      <c r="F927" s="16">
        <f>IF($B927&lt;&gt;"tutar_farki","","UUID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IF($B928&lt;&gt;"tutar_farki","",IF(ABS($C928)&gt;efs_esikFark,"YUKSEK","NORMAL"))</f>
        <v/>
      </c>
      <c r="F928" s="16">
        <f>IF($B928&lt;&gt;"tutar_farki","","UUID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IF($B929&lt;&gt;"tutar_farki","",IF(ABS($C929)&gt;efs_esikFark,"YUKSEK","NORMAL"))</f>
        <v/>
      </c>
      <c r="F929" s="16">
        <f>IF($B929&lt;&gt;"tutar_farki","","UUID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IF($B930&lt;&gt;"tutar_farki","",IF(ABS($C930)&gt;efs_esikFark,"YUKSEK","NORMAL"))</f>
        <v/>
      </c>
      <c r="F930" s="16">
        <f>IF($B930&lt;&gt;"tutar_farki","","UUID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IF($B931&lt;&gt;"tutar_farki","",IF(ABS($C931)&gt;efs_esikFark,"YUKSEK","NORMAL"))</f>
        <v/>
      </c>
      <c r="F931" s="16">
        <f>IF($B931&lt;&gt;"tutar_farki","","UUID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IF($B932&lt;&gt;"tutar_farki","",IF(ABS($C932)&gt;efs_esikFark,"YUKSEK","NORMAL"))</f>
        <v/>
      </c>
      <c r="F932" s="16">
        <f>IF($B932&lt;&gt;"tutar_farki","","UUID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IF($B933&lt;&gt;"tutar_farki","",IF(ABS($C933)&gt;efs_esikFark,"YUKSEK","NORMAL"))</f>
        <v/>
      </c>
      <c r="F933" s="16">
        <f>IF($B933&lt;&gt;"tutar_farki","","UUID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IF($B934&lt;&gt;"tutar_farki","",IF(ABS($C934)&gt;efs_esikFark,"YUKSEK","NORMAL"))</f>
        <v/>
      </c>
      <c r="F934" s="16">
        <f>IF($B934&lt;&gt;"tutar_farki","","UUID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IF($B935&lt;&gt;"tutar_farki","",IF(ABS($C935)&gt;efs_esikFark,"YUKSEK","NORMAL"))</f>
        <v/>
      </c>
      <c r="F935" s="16">
        <f>IF($B935&lt;&gt;"tutar_farki","","UUID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IF($B936&lt;&gt;"tutar_farki","",IF(ABS($C936)&gt;efs_esikFark,"YUKSEK","NORMAL"))</f>
        <v/>
      </c>
      <c r="F936" s="16">
        <f>IF($B936&lt;&gt;"tutar_farki","","UUID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IF($B937&lt;&gt;"tutar_farki","",IF(ABS($C937)&gt;efs_esikFark,"YUKSEK","NORMAL"))</f>
        <v/>
      </c>
      <c r="F937" s="16">
        <f>IF($B937&lt;&gt;"tutar_farki","","UUID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IF($B938&lt;&gt;"tutar_farki","",IF(ABS($C938)&gt;efs_esikFark,"YUKSEK","NORMAL"))</f>
        <v/>
      </c>
      <c r="F938" s="16">
        <f>IF($B938&lt;&gt;"tutar_farki","","UUID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IF($B939&lt;&gt;"tutar_farki","",IF(ABS($C939)&gt;efs_esikFark,"YUKSEK","NORMAL"))</f>
        <v/>
      </c>
      <c r="F939" s="16">
        <f>IF($B939&lt;&gt;"tutar_farki","","UUID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IF($B940&lt;&gt;"tutar_farki","",IF(ABS($C940)&gt;efs_esikFark,"YUKSEK","NORMAL"))</f>
        <v/>
      </c>
      <c r="F940" s="16">
        <f>IF($B940&lt;&gt;"tutar_farki","","UUID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IF($B941&lt;&gt;"tutar_farki","",IF(ABS($C941)&gt;efs_esikFark,"YUKSEK","NORMAL"))</f>
        <v/>
      </c>
      <c r="F941" s="16">
        <f>IF($B941&lt;&gt;"tutar_farki","","UUID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IF($B942&lt;&gt;"tutar_farki","",IF(ABS($C942)&gt;efs_esikFark,"YUKSEK","NORMAL"))</f>
        <v/>
      </c>
      <c r="F942" s="16">
        <f>IF($B942&lt;&gt;"tutar_farki","","UUID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IF($B943&lt;&gt;"tutar_farki","",IF(ABS($C943)&gt;efs_esikFark,"YUKSEK","NORMAL"))</f>
        <v/>
      </c>
      <c r="F943" s="16">
        <f>IF($B943&lt;&gt;"tutar_farki","","UUID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IF($B944&lt;&gt;"tutar_farki","",IF(ABS($C944)&gt;efs_esikFark,"YUKSEK","NORMAL"))</f>
        <v/>
      </c>
      <c r="F944" s="16">
        <f>IF($B944&lt;&gt;"tutar_farki","","UUID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IF($B945&lt;&gt;"tutar_farki","",IF(ABS($C945)&gt;efs_esikFark,"YUKSEK","NORMAL"))</f>
        <v/>
      </c>
      <c r="F945" s="16">
        <f>IF($B945&lt;&gt;"tutar_farki","","UUID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IF($B946&lt;&gt;"tutar_farki","",IF(ABS($C946)&gt;efs_esikFark,"YUKSEK","NORMAL"))</f>
        <v/>
      </c>
      <c r="F946" s="16">
        <f>IF($B946&lt;&gt;"tutar_farki","","UUID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IF($B947&lt;&gt;"tutar_farki","",IF(ABS($C947)&gt;efs_esikFark,"YUKSEK","NORMAL"))</f>
        <v/>
      </c>
      <c r="F947" s="16">
        <f>IF($B947&lt;&gt;"tutar_farki","","UUID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IF($B948&lt;&gt;"tutar_farki","",IF(ABS($C948)&gt;efs_esikFark,"YUKSEK","NORMAL"))</f>
        <v/>
      </c>
      <c r="F948" s="16">
        <f>IF($B948&lt;&gt;"tutar_farki","","UUID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IF($B949&lt;&gt;"tutar_farki","",IF(ABS($C949)&gt;efs_esikFark,"YUKSEK","NORMAL"))</f>
        <v/>
      </c>
      <c r="F949" s="16">
        <f>IF($B949&lt;&gt;"tutar_farki","","UUID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IF($B950&lt;&gt;"tutar_farki","",IF(ABS($C950)&gt;efs_esikFark,"YUKSEK","NORMAL"))</f>
        <v/>
      </c>
      <c r="F950" s="16">
        <f>IF($B950&lt;&gt;"tutar_farki","","UUID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IF($B951&lt;&gt;"tutar_farki","",IF(ABS($C951)&gt;efs_esikFark,"YUKSEK","NORMAL"))</f>
        <v/>
      </c>
      <c r="F951" s="16">
        <f>IF($B951&lt;&gt;"tutar_farki","","UUID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IF($B952&lt;&gt;"tutar_farki","",IF(ABS($C952)&gt;efs_esikFark,"YUKSEK","NORMAL"))</f>
        <v/>
      </c>
      <c r="F952" s="16">
        <f>IF($B952&lt;&gt;"tutar_farki","","UUID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IF($B953&lt;&gt;"tutar_farki","",IF(ABS($C953)&gt;efs_esikFark,"YUKSEK","NORMAL"))</f>
        <v/>
      </c>
      <c r="F953" s="16">
        <f>IF($B953&lt;&gt;"tutar_farki","","UUID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IF($B954&lt;&gt;"tutar_farki","",IF(ABS($C954)&gt;efs_esikFark,"YUKSEK","NORMAL"))</f>
        <v/>
      </c>
      <c r="F954" s="16">
        <f>IF($B954&lt;&gt;"tutar_farki","","UUID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IF($B955&lt;&gt;"tutar_farki","",IF(ABS($C955)&gt;efs_esikFark,"YUKSEK","NORMAL"))</f>
        <v/>
      </c>
      <c r="F955" s="16">
        <f>IF($B955&lt;&gt;"tutar_farki","","UUID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IF($B956&lt;&gt;"tutar_farki","",IF(ABS($C956)&gt;efs_esikFark,"YUKSEK","NORMAL"))</f>
        <v/>
      </c>
      <c r="F956" s="16">
        <f>IF($B956&lt;&gt;"tutar_farki","","UUID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IF($B957&lt;&gt;"tutar_farki","",IF(ABS($C957)&gt;efs_esikFark,"YUKSEK","NORMAL"))</f>
        <v/>
      </c>
      <c r="F957" s="16">
        <f>IF($B957&lt;&gt;"tutar_farki","","UUID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IF($B958&lt;&gt;"tutar_farki","",IF(ABS($C958)&gt;efs_esikFark,"YUKSEK","NORMAL"))</f>
        <v/>
      </c>
      <c r="F958" s="16">
        <f>IF($B958&lt;&gt;"tutar_farki","","UUID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IF($B959&lt;&gt;"tutar_farki","",IF(ABS($C959)&gt;efs_esikFark,"YUKSEK","NORMAL"))</f>
        <v/>
      </c>
      <c r="F959" s="16">
        <f>IF($B959&lt;&gt;"tutar_farki","","UUID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IF($B960&lt;&gt;"tutar_farki","",IF(ABS($C960)&gt;efs_esikFark,"YUKSEK","NORMAL"))</f>
        <v/>
      </c>
      <c r="F960" s="16">
        <f>IF($B960&lt;&gt;"tutar_farki","","UUID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IF($B961&lt;&gt;"tutar_farki","",IF(ABS($C961)&gt;efs_esikFark,"YUKSEK","NORMAL"))</f>
        <v/>
      </c>
      <c r="F961" s="16">
        <f>IF($B961&lt;&gt;"tutar_farki","","UUID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IF($B962&lt;&gt;"tutar_farki","",IF(ABS($C962)&gt;efs_esikFark,"YUKSEK","NORMAL"))</f>
        <v/>
      </c>
      <c r="F962" s="16">
        <f>IF($B962&lt;&gt;"tutar_farki","","UUID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IF($B963&lt;&gt;"tutar_farki","",IF(ABS($C963)&gt;efs_esikFark,"YUKSEK","NORMAL"))</f>
        <v/>
      </c>
      <c r="F963" s="16">
        <f>IF($B963&lt;&gt;"tutar_farki","","UUID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IF($B964&lt;&gt;"tutar_farki","",IF(ABS($C964)&gt;efs_esikFark,"YUKSEK","NORMAL"))</f>
        <v/>
      </c>
      <c r="F964" s="16">
        <f>IF($B964&lt;&gt;"tutar_farki","","UUID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IF($B965&lt;&gt;"tutar_farki","",IF(ABS($C965)&gt;efs_esikFark,"YUKSEK","NORMAL"))</f>
        <v/>
      </c>
      <c r="F965" s="16">
        <f>IF($B965&lt;&gt;"tutar_farki","","UUID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IF($B966&lt;&gt;"tutar_farki","",IF(ABS($C966)&gt;efs_esikFark,"YUKSEK","NORMAL"))</f>
        <v/>
      </c>
      <c r="F966" s="16">
        <f>IF($B966&lt;&gt;"tutar_farki","","UUID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IF($B967&lt;&gt;"tutar_farki","",IF(ABS($C967)&gt;efs_esikFark,"YUKSEK","NORMAL"))</f>
        <v/>
      </c>
      <c r="F967" s="16">
        <f>IF($B967&lt;&gt;"tutar_farki","","UUID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IF($B968&lt;&gt;"tutar_farki","",IF(ABS($C968)&gt;efs_esikFark,"YUKSEK","NORMAL"))</f>
        <v/>
      </c>
      <c r="F968" s="16">
        <f>IF($B968&lt;&gt;"tutar_farki","","UUID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IF($B969&lt;&gt;"tutar_farki","",IF(ABS($C969)&gt;efs_esikFark,"YUKSEK","NORMAL"))</f>
        <v/>
      </c>
      <c r="F969" s="16">
        <f>IF($B969&lt;&gt;"tutar_farki","","UUID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IF($B970&lt;&gt;"tutar_farki","",IF(ABS($C970)&gt;efs_esikFark,"YUKSEK","NORMAL"))</f>
        <v/>
      </c>
      <c r="F970" s="16">
        <f>IF($B970&lt;&gt;"tutar_farki","","UUID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IF($B971&lt;&gt;"tutar_farki","",IF(ABS($C971)&gt;efs_esikFark,"YUKSEK","NORMAL"))</f>
        <v/>
      </c>
      <c r="F971" s="16">
        <f>IF($B971&lt;&gt;"tutar_farki","","UUID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IF($B972&lt;&gt;"tutar_farki","",IF(ABS($C972)&gt;efs_esikFark,"YUKSEK","NORMAL"))</f>
        <v/>
      </c>
      <c r="F972" s="16">
        <f>IF($B972&lt;&gt;"tutar_farki","","UUID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IF($B973&lt;&gt;"tutar_farki","",IF(ABS($C973)&gt;efs_esikFark,"YUKSEK","NORMAL"))</f>
        <v/>
      </c>
      <c r="F973" s="16">
        <f>IF($B973&lt;&gt;"tutar_farki","","UUID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IF($B974&lt;&gt;"tutar_farki","",IF(ABS($C974)&gt;efs_esikFark,"YUKSEK","NORMAL"))</f>
        <v/>
      </c>
      <c r="F974" s="16">
        <f>IF($B974&lt;&gt;"tutar_farki","","UUID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IF($B975&lt;&gt;"tutar_farki","",IF(ABS($C975)&gt;efs_esikFark,"YUKSEK","NORMAL"))</f>
        <v/>
      </c>
      <c r="F975" s="16">
        <f>IF($B975&lt;&gt;"tutar_farki","","UUID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IF($B976&lt;&gt;"tutar_farki","",IF(ABS($C976)&gt;efs_esikFark,"YUKSEK","NORMAL"))</f>
        <v/>
      </c>
      <c r="F976" s="16">
        <f>IF($B976&lt;&gt;"tutar_farki","","UUID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IF($B977&lt;&gt;"tutar_farki","",IF(ABS($C977)&gt;efs_esikFark,"YUKSEK","NORMAL"))</f>
        <v/>
      </c>
      <c r="F977" s="16">
        <f>IF($B977&lt;&gt;"tutar_farki","","UUID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IF($B978&lt;&gt;"tutar_farki","",IF(ABS($C978)&gt;efs_esikFark,"YUKSEK","NORMAL"))</f>
        <v/>
      </c>
      <c r="F978" s="16">
        <f>IF($B978&lt;&gt;"tutar_farki","","UUID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IF($B979&lt;&gt;"tutar_farki","",IF(ABS($C979)&gt;efs_esikFark,"YUKSEK","NORMAL"))</f>
        <v/>
      </c>
      <c r="F979" s="16">
        <f>IF($B979&lt;&gt;"tutar_farki","","UUID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IF($B980&lt;&gt;"tutar_farki","",IF(ABS($C980)&gt;efs_esikFark,"YUKSEK","NORMAL"))</f>
        <v/>
      </c>
      <c r="F980" s="16">
        <f>IF($B980&lt;&gt;"tutar_farki","","UUID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IF($B981&lt;&gt;"tutar_farki","",IF(ABS($C981)&gt;efs_esikFark,"YUKSEK","NORMAL"))</f>
        <v/>
      </c>
      <c r="F981" s="16">
        <f>IF($B981&lt;&gt;"tutar_farki","","UUID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IF($B982&lt;&gt;"tutar_farki","",IF(ABS($C982)&gt;efs_esikFark,"YUKSEK","NORMAL"))</f>
        <v/>
      </c>
      <c r="F982" s="16">
        <f>IF($B982&lt;&gt;"tutar_farki","","UUID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IF($B983&lt;&gt;"tutar_farki","",IF(ABS($C983)&gt;efs_esikFark,"YUKSEK","NORMAL"))</f>
        <v/>
      </c>
      <c r="F983" s="16">
        <f>IF($B983&lt;&gt;"tutar_farki","","UUID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IF($B984&lt;&gt;"tutar_farki","",IF(ABS($C984)&gt;efs_esikFark,"YUKSEK","NORMAL"))</f>
        <v/>
      </c>
      <c r="F984" s="16">
        <f>IF($B984&lt;&gt;"tutar_farki","","UUID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IF($B985&lt;&gt;"tutar_farki","",IF(ABS($C985)&gt;efs_esikFark,"YUKSEK","NORMAL"))</f>
        <v/>
      </c>
      <c r="F985" s="16">
        <f>IF($B985&lt;&gt;"tutar_farki","","UUID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IF($B986&lt;&gt;"tutar_farki","",IF(ABS($C986)&gt;efs_esikFark,"YUKSEK","NORMAL"))</f>
        <v/>
      </c>
      <c r="F986" s="16">
        <f>IF($B986&lt;&gt;"tutar_farki","","UUID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IF($B987&lt;&gt;"tutar_farki","",IF(ABS($C987)&gt;efs_esikFark,"YUKSEK","NORMAL"))</f>
        <v/>
      </c>
      <c r="F987" s="16">
        <f>IF($B987&lt;&gt;"tutar_farki","","UUID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IF($B988&lt;&gt;"tutar_farki","",IF(ABS($C988)&gt;efs_esikFark,"YUKSEK","NORMAL"))</f>
        <v/>
      </c>
      <c r="F988" s="16">
        <f>IF($B988&lt;&gt;"tutar_farki","","UUID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IF($B989&lt;&gt;"tutar_farki","",IF(ABS($C989)&gt;efs_esikFark,"YUKSEK","NORMAL"))</f>
        <v/>
      </c>
      <c r="F989" s="16">
        <f>IF($B989&lt;&gt;"tutar_farki","","UUID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IF($B990&lt;&gt;"tutar_farki","",IF(ABS($C990)&gt;efs_esikFark,"YUKSEK","NORMAL"))</f>
        <v/>
      </c>
      <c r="F990" s="16">
        <f>IF($B990&lt;&gt;"tutar_farki","","UUID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IF($B991&lt;&gt;"tutar_farki","",IF(ABS($C991)&gt;efs_esikFark,"YUKSEK","NORMAL"))</f>
        <v/>
      </c>
      <c r="F991" s="16">
        <f>IF($B991&lt;&gt;"tutar_farki","","UUID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IF($B992&lt;&gt;"tutar_farki","",IF(ABS($C992)&gt;efs_esikFark,"YUKSEK","NORMAL"))</f>
        <v/>
      </c>
      <c r="F992" s="16">
        <f>IF($B992&lt;&gt;"tutar_farki","","UUID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IF($B993&lt;&gt;"tutar_farki","",IF(ABS($C993)&gt;efs_esikFark,"YUKSEK","NORMAL"))</f>
        <v/>
      </c>
      <c r="F993" s="16">
        <f>IF($B993&lt;&gt;"tutar_farki","","UUID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IF($B994&lt;&gt;"tutar_farki","",IF(ABS($C994)&gt;efs_esikFark,"YUKSEK","NORMAL"))</f>
        <v/>
      </c>
      <c r="F994" s="16">
        <f>IF($B994&lt;&gt;"tutar_farki","","UUID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IF($B995&lt;&gt;"tutar_farki","",IF(ABS($C995)&gt;efs_esikFark,"YUKSEK","NORMAL"))</f>
        <v/>
      </c>
      <c r="F995" s="16">
        <f>IF($B995&lt;&gt;"tutar_farki","","UUID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IF($B996&lt;&gt;"tutar_farki","",IF(ABS($C996)&gt;efs_esikFark,"YUKSEK","NORMAL"))</f>
        <v/>
      </c>
      <c r="F996" s="16">
        <f>IF($B996&lt;&gt;"tutar_farki","","UUID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IF($B997&lt;&gt;"tutar_farki","",IF(ABS($C997)&gt;efs_esikFark,"YUKSEK","NORMAL"))</f>
        <v/>
      </c>
      <c r="F997" s="16">
        <f>IF($B997&lt;&gt;"tutar_farki","","UUID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IF($B998&lt;&gt;"tutar_farki","",IF(ABS($C998)&gt;efs_esikFark,"YUKSEK","NORMAL"))</f>
        <v/>
      </c>
      <c r="F998" s="16">
        <f>IF($B998&lt;&gt;"tutar_farki","","UUID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IF($B999&lt;&gt;"tutar_farki","",IF(ABS($C999)&gt;efs_esikFark,"YUKSEK","NORMAL"))</f>
        <v/>
      </c>
      <c r="F999" s="16">
        <f>IF($B999&lt;&gt;"tutar_farki","","UUID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IF($B1000&lt;&gt;"tutar_farki","",IF(ABS($C1000)&gt;efs_esikFark,"YUKSEK","NORMAL"))</f>
        <v/>
      </c>
      <c r="F1000" s="16">
        <f>IF($B1000&lt;&gt;"tutar_farki","","UUID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IF($B1001&lt;&gt;"tutar_farki","",IF(ABS($C1001)&gt;efs_esikFark,"YUKSEK","NORMAL"))</f>
        <v/>
      </c>
      <c r="F1001" s="16">
        <f>IF($B1001&lt;&gt;"tutar_farki","","UUID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IF($B1002&lt;&gt;"tutar_farki","",IF(ABS($C1002)&gt;efs_esikFark,"YUKSEK","NORMAL"))</f>
        <v/>
      </c>
      <c r="F1002" s="16">
        <f>IF($B1002&lt;&gt;"tutar_farki","","UUID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IF($B1003&lt;&gt;"tutar_farki","",IF(ABS($C1003)&gt;efs_esikFark,"YUKSEK","NORMAL"))</f>
        <v/>
      </c>
      <c r="F1003" s="16">
        <f>IF($B1003&lt;&gt;"tutar_farki","","UUID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IF($B1004&lt;&gt;"tutar_farki","",IF(ABS($C1004)&gt;efs_esikFark,"YUKSEK","NORMAL"))</f>
        <v/>
      </c>
      <c r="F1004" s="16">
        <f>IF($B1004&lt;&gt;"tutar_farki","","UUID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IF($B1005&lt;&gt;"tutar_farki","",IF(ABS($C1005)&gt;efs_esikFark,"YUKSEK","NORMAL"))</f>
        <v/>
      </c>
      <c r="F1005" s="16">
        <f>IF($B1005&lt;&gt;"tutar_farki","","UUID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Toplu e-Fatura Satır Defteri ve PDF Kanıtı</t>
        </is>
      </c>
    </row>
    <row r="3" ht="28" customHeight="1">
      <c r="A3" s="35" t="inlineStr">
        <is>
          <t>e-Fatura ↔ Muhasebe Dönem Kanıt Raporu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74">
        <f>efs_eslesmeOrani</f>
        <v/>
      </c>
    </row>
    <row r="10">
      <c r="A10" s="7" t="inlineStr">
        <is>
          <t>e-Fatura Toplam</t>
        </is>
      </c>
      <c r="B10" s="75">
        <f>SUM(tblVeriA[Toplam])</f>
        <v/>
      </c>
    </row>
    <row r="11">
      <c r="A11" s="7" t="inlineStr">
        <is>
          <t>Mutabakat Farkı</t>
        </is>
      </c>
      <c r="B11" s="75">
        <f>efs_mutabakatFarki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20">
        <f>efs_kovaButunluk</f>
        <v/>
      </c>
    </row>
    <row r="16">
      <c r="A16" s="7" t="inlineStr">
        <is>
          <t>Kanıt Özeti</t>
        </is>
      </c>
      <c r="B16" s="20">
        <f>efs_kanitRaporu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UUID UPPER/TRIM/SUBSTITUTE(-) ile normalize edilir. XML/API/makro yoktur. Bu çıktı karar destektir; kesin mali/hukuki görüş yerine geçmez.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UUID'leri temizleyip yeniden eşleştirin.</t>
        </is>
      </c>
    </row>
    <row r="26">
      <c r="A26" s="20" t="inlineStr">
        <is>
          <t>KVKK</t>
        </is>
      </c>
      <c r="B26" s="7">
        <f>efs_kvkkBeyani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&amp;LToplu e-Fatura Satır Defteri ve PDF Kanıtı | Kanıt&amp;CExcelArşiv&amp;RSayfa &amp;P / &amp;N</oddFooter>
    <evenHeader/>
    <evenFooter>&amp;LToplu e-Fatura Satır Defteri ve PDF Kanıtı | Kanıt&amp;CExcelArşiv&amp;RSayfa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Toplu e-Fatura Satır Defteri ve PDF Kanıtı</t>
        </is>
      </c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COUNTA(tblVeriA[UUID])</f>
        <v/>
      </c>
    </row>
    <row r="6">
      <c r="A6" s="7" t="inlineStr">
        <is>
          <t>B satır sayısı</t>
        </is>
      </c>
      <c r="B6" s="39">
        <f>COUNTA(tblVeriB[UUID])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5">
        <f>SUM(tblVeriA[Toplam])</f>
        <v/>
      </c>
    </row>
    <row r="18">
      <c r="A18" s="7" t="inlineStr">
        <is>
          <t>Net B</t>
        </is>
      </c>
      <c r="B18" s="75">
        <f>SUM(tblVeriB[Tutar])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Toplu e-Fatura Satır Defteri ve PDF Kanıtı</t>
        </is>
      </c>
    </row>
    <row r="3">
      <c r="A3" s="40" t="inlineStr">
        <is>
          <t>Örnek Senaryo Açıklaması</t>
        </is>
      </c>
    </row>
    <row r="4">
      <c r="A4" s="8" t="inlineStr">
        <is>
          <t>Dosyada 40 satır örnek mutabakat vardır: eşleşen, tolerans içi, tutar farkı ve eşleşmeyen kovalar kasıtlı üretilmiştir. Tireli/tiresiz UUID senaryosu satır 3, 7, 11'dedir. VERI_A ve VERI_B'yi temizleyip kendi satırlarınızı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1F3A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Toplu e-Fatura Satır Defteri ve PDF Kanıtı</t>
        </is>
      </c>
    </row>
    <row r="3">
      <c r="A3" s="17" t="inlineStr">
        <is>
          <t>Belge Tipi Listesi</t>
        </is>
      </c>
      <c r="C3" s="17" t="inlineStr">
        <is>
          <t>Durum Listesi</t>
        </is>
      </c>
      <c r="E3" s="20" t="inlineStr">
        <is>
          <t>EvetHayir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</row>
    <row r="9">
      <c r="A9" s="13" t="inlineStr">
        <is>
          <t>ISTISNA</t>
        </is>
      </c>
      <c r="C9" s="13" t="inlineStr">
        <is>
          <t>Itiraz</t>
        </is>
      </c>
    </row>
    <row r="10">
      <c r="A10" s="13" t="inlineStr">
        <is>
          <t>TEVKIFAT</t>
        </is>
      </c>
      <c r="C10" s="13" t="inlineStr">
        <is>
          <t>Beklemede</t>
        </is>
      </c>
    </row>
    <row r="11">
      <c r="A11" s="13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B1F3A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Toplu e-Fatura Satır Defteri ve PDF Kanıtı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efs_esikEslesme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efs_esikFark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efs_azamiTutar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efs_ikincilUzunluk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efs_olcekHedef</t>
        </is>
      </c>
      <c r="B12" s="42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efs_anomaliZ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efs_yuzdelikOran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efs_kdvOran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efs_duyarlilikCarpan</t>
        </is>
      </c>
      <c r="B16" s="42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efs_toleransSenaryo</t>
        </is>
      </c>
      <c r="B17" s="76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efs_yuvarlamaEsik</t>
        </is>
      </c>
      <c r="B18" s="69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efs_guvenBolum</t>
        </is>
      </c>
      <c r="B19" s="42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efs_riskFarkAgirlik</t>
        </is>
      </c>
      <c r="B20" s="42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efs_riskEslesmezAgirlik</t>
        </is>
      </c>
      <c r="B21" s="42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efs_normAnahtar</t>
        </is>
      </c>
      <c r="B22" s="13" t="inlineStr">
        <is>
          <t>UPPER TRIM SUBSTITUTE tire</t>
        </is>
      </c>
      <c r="C22" s="7" t="inlineStr">
        <is>
          <t>metin</t>
        </is>
      </c>
      <c r="D22" s="7" t="inlineStr">
        <is>
          <t>Ç7 UUID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efs_tanimsizKova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efs_kvkkBeyani</t>
        </is>
      </c>
      <c r="B24" s="13" t="inlineStr">
        <is>
          <t>Veri cihazdan çıkmaz; XML/API yok</t>
        </is>
      </c>
      <c r="C24" s="7" t="inlineStr">
        <is>
          <t>metin</t>
        </is>
      </c>
      <c r="D24" s="7" t="inlineStr">
        <is>
          <t>KVKK beyanı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efs_kanitRaporu</t>
        </is>
      </c>
      <c r="B25" s="13" t="inlineStr">
        <is>
          <t>A4 baskı KANIT_RAPORU</t>
        </is>
      </c>
      <c r="C25" s="7" t="inlineStr">
        <is>
          <t>metin</t>
        </is>
      </c>
      <c r="D25" s="7" t="inlineStr">
        <is>
          <t>Kanıt çıktısı</t>
        </is>
      </c>
      <c r="E25" s="7" t="inlineStr">
        <is>
          <t>01.01.2026</t>
        </is>
      </c>
      <c r="F25" s="8" t="inlineStr">
        <is>
          <t>R2 ayrım</t>
        </is>
      </c>
    </row>
    <row r="26">
      <c r="A26" s="7" t="inlineStr">
        <is>
          <t>efs_dosyaSurumu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efs_firmaUnvan</t>
        </is>
      </c>
      <c r="B27" s="13" t="inlineStr">
        <is>
          <t>Örnek Ticaret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efs_fiyatModeli</t>
        </is>
      </c>
      <c r="B28" s="13" t="inlineStr">
        <is>
          <t>Tek seferlik alım — aylık ücret yok</t>
        </is>
      </c>
      <c r="C28" s="7" t="inlineStr">
        <is>
          <t>metin</t>
        </is>
      </c>
      <c r="D28" s="7" t="inlineStr">
        <is>
          <t>Ürün konumlandırma</t>
        </is>
      </c>
      <c r="E28" s="7" t="inlineStr">
        <is>
          <t>01.01.2026</t>
        </is>
      </c>
      <c r="F28" s="8" t="inlineStr">
        <is>
          <t>R3 ayrım</t>
        </is>
      </c>
      <c r="H28" s="17" t="inlineStr">
        <is>
          <t>Motor Cikti</t>
        </is>
      </c>
      <c r="I28" s="17" t="inlineStr">
        <is>
          <t>Deger</t>
        </is>
      </c>
    </row>
    <row r="29">
      <c r="A29" s="7" t="inlineStr">
        <is>
          <t>efs_yapistirCalistir</t>
        </is>
      </c>
      <c r="B29" s="13" t="inlineStr">
        <is>
          <t>Kurulum beklemez; yapıştır-çalıştır</t>
        </is>
      </c>
      <c r="C29" s="7" t="inlineStr">
        <is>
          <t>metin</t>
        </is>
      </c>
      <c r="D29" s="7" t="inlineStr">
        <is>
          <t>UX vaadi</t>
        </is>
      </c>
      <c r="E29" s="7" t="inlineStr">
        <is>
          <t>01.01.2026</t>
        </is>
      </c>
      <c r="F29" s="8" t="inlineStr">
        <is>
          <t>R3 ayrım</t>
        </is>
      </c>
      <c r="H29" s="7" t="inlineStr">
        <is>
          <t>efs_mutabakatFarki</t>
        </is>
      </c>
      <c r="I29" s="20">
        <f>IFERROR(SUM(tblVeriA[Toplam])-SUM(tblVeriB[Tutar]),0)</f>
        <v/>
      </c>
    </row>
    <row r="30">
      <c r="H30" s="7" t="inlineStr">
        <is>
          <t>efs_eslesmeOrani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H31" s="7" t="inlineStr">
        <is>
          <t>efs_kovaButunluk</t>
        </is>
      </c>
      <c r="I31" s="20">
        <f>ESLESTIRME!C2</f>
        <v/>
      </c>
    </row>
    <row r="32">
      <c r="H32" s="7" t="inlineStr">
        <is>
          <t>efs_kararKapi</t>
        </is>
      </c>
      <c r="I32" s="20">
        <f>IF(COUNTA(tblVeriA[UUID])=0,"VERİ YOK",IF(OR(COUNTIF(tblVeriA[Toplam],"&lt;0")&gt;0,COUNTIF(tblVeriB[Tutar],"&lt;0")&gt;0),"İNCELE",IF(OR(COUNTIF(tblVeriA[Toplam],"&gt;"&amp;efs_azamiTutar)&gt;0,COUNTIF(tblVeriB[Tutar],"&gt;"&amp;efs_azamiTutar)&gt;0),"İNCELE",IF(efs_eslesmeOrani&lt;efs_esikEslesme,"DURDUR",IF(COUNTIF(tblEslesme[Kova],"tutar_farki")&gt;0,"İNCELE","UYGUN")))))</f>
        <v/>
      </c>
    </row>
    <row r="33">
      <c r="H33" s="7" t="inlineStr">
        <is>
          <t>efs_modulT1</t>
        </is>
      </c>
      <c r="I33" s="20">
        <f>efs_eslesmeOrani</f>
        <v/>
      </c>
    </row>
    <row r="34">
      <c r="H34" s="7" t="inlineStr">
        <is>
          <t>efs_modulT2</t>
        </is>
      </c>
      <c r="I34" s="20">
        <f>IFERROR(IF(COUNTIF(tblEslesme[Kova],"tutar_farki")=0,0,SUMIF(tblEslesme[Kova],"tutar_farki",tblEslesme[AbsFark])/COUNTIF(tblEslesme[Kova],"tutar_farki")),0)</f>
        <v/>
      </c>
    </row>
    <row r="35">
      <c r="H35" s="7" t="inlineStr">
        <is>
          <t>efs_modulO1</t>
        </is>
      </c>
      <c r="I35" s="20">
        <f>COUNTIF(tblEslesme[EsikUstu],1)</f>
        <v/>
      </c>
    </row>
    <row r="36">
      <c r="H36" s="7" t="inlineStr">
        <is>
          <t>efs_modulO2</t>
        </is>
      </c>
      <c r="I36" s="20">
        <f>IFERROR(ABS(efs_mutabakatFarki)*efs_duyarlilikCarpan,0)</f>
        <v/>
      </c>
    </row>
    <row r="37">
      <c r="H37" s="7" t="inlineStr">
        <is>
          <t>efs_modulO3</t>
        </is>
      </c>
      <c r="I37" s="20">
        <f>IFERROR(efs_toleransSenaryo*COUNTIF(tblEslesme[Kova],"tutar_farki"),0)</f>
        <v/>
      </c>
    </row>
    <row r="38">
      <c r="H38" s="7" t="inlineStr">
        <is>
          <t>efs_modulO6</t>
        </is>
      </c>
      <c r="I38" s="20">
        <f>IF(COUNTA(tblVeriA[UUID])=0,0,COUNTA(tblVeriA[VKN])/COUNTA(tblVeriA[UUID]))</f>
        <v/>
      </c>
    </row>
    <row r="39">
      <c r="H39" s="7" t="inlineStr">
        <is>
          <t>efs_modulO8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efs_modulI1</t>
        </is>
      </c>
      <c r="I40" s="20">
        <f>IFERROR(PERCENTILE(tblVeriA[Toplam],efs_yuzdelikOran),0)</f>
        <v/>
      </c>
    </row>
    <row r="41">
      <c r="H41" s="7" t="inlineStr">
        <is>
          <t>efs_modulI2</t>
        </is>
      </c>
      <c r="I41" s="20">
        <f>IFERROR(PERCENTILE(tblEslesme[AbsFark],efs_yuzdelikOran),0)</f>
        <v/>
      </c>
    </row>
    <row r="43">
      <c r="H43" s="17" t="inlineStr">
        <is>
          <t>Canli Yorumlar</t>
        </is>
      </c>
    </row>
    <row r="44">
      <c r="H44" s="7" t="inlineStr">
        <is>
          <t>efs_modulT1Yorum</t>
        </is>
      </c>
      <c r="I44" s="8">
        <f>IF(COUNTA(tblVeriA[UUID])=0,"Veri yok",_xlfn.TEXTJOIN(" ",TRUE,"Eşleşme oranı",TEXT(efs_modulT1,"0.0%")))</f>
        <v/>
      </c>
    </row>
    <row r="45">
      <c r="H45" s="7" t="inlineStr">
        <is>
          <t>efs_modulT2Yorum</t>
        </is>
      </c>
      <c r="I45" s="8">
        <f>IFERROR(_xlfn.TEXTJOIN(" ",TRUE,"Ort. tutar farkı",TEXT(efs_modulT2,"0.00"),"TL"),"-")</f>
        <v/>
      </c>
    </row>
    <row r="46">
      <c r="H46" s="7" t="inlineStr">
        <is>
          <t>efs_modulO1Yorum</t>
        </is>
      </c>
      <c r="I46" s="8">
        <f>IF(efs_modulO1=0,"Anomali yok",_xlfn.TEXTJOIN(" ",TRUE,efs_modulO1,"anomali satırı"))</f>
        <v/>
      </c>
    </row>
    <row r="47">
      <c r="H47" s="7" t="inlineStr">
        <is>
          <t>efs_modulO2Yorum</t>
        </is>
      </c>
      <c r="I47" s="8">
        <f>IFERROR(_xlfn.TEXTJOIN(" ",TRUE,"Duyarlılık etkisi",TEXT(efs_modulO2,"0.00"),"TL"),"-")</f>
        <v/>
      </c>
    </row>
    <row r="48">
      <c r="H48" s="7" t="inlineStr">
        <is>
          <t>efs_modulO3Yorum</t>
        </is>
      </c>
      <c r="I48" s="8">
        <f>IFERROR(_xlfn.TEXTJOIN(" ",TRUE,"Senaryo etki",TEXT(efs_modulO3,"0.00"),"TL"),"-")</f>
        <v/>
      </c>
    </row>
    <row r="49">
      <c r="H49" s="7" t="inlineStr">
        <is>
          <t>efs_modulO6Yorum</t>
        </is>
      </c>
      <c r="I49" s="8">
        <f>IFERROR(_xlfn.TEXTJOIN(" ",TRUE,"VKN doluluk",TEXT(efs_modulO6,"0.0%")),"-")</f>
        <v/>
      </c>
    </row>
    <row r="50">
      <c r="H50" s="7" t="inlineStr">
        <is>
          <t>efs_modulO8Yorum</t>
        </is>
      </c>
      <c r="I50" s="8">
        <f>IFERROR(_xlfn.TEXTJOIN(" ",TRUE,"Veri kalite",TEXT(efs_modulO8,"0")),"-")</f>
        <v/>
      </c>
    </row>
    <row r="51">
      <c r="H51" s="7" t="inlineStr">
        <is>
          <t>efs_modulI1Yorum</t>
        </is>
      </c>
      <c r="I51" s="8">
        <f>IFERROR(_xlfn.TEXTJOIN(" ",TRUE,"Tahmin aralık",TEXT(efs_modulI1,"0.00"),"TL"),"-")</f>
        <v/>
      </c>
    </row>
    <row r="52">
      <c r="H52" s="7" t="inlineStr">
        <is>
          <t>efs_modulI2Yorum</t>
        </is>
      </c>
      <c r="I52" s="8">
        <f>IFERROR(_xlfn.TEXTJOIN(" ",TRUE,"Fark P90",TEXT(efs_modulI2,"0.00"),"TL"),"-")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0B1F3A"/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Toplu e-Fatura Satır Defteri ve PDF Kanıtı</t>
        </is>
      </c>
    </row>
    <row r="3">
      <c r="A3" s="24" t="inlineStr">
        <is>
          <t>Kullanım Kılavuzu</t>
        </is>
      </c>
    </row>
    <row r="5">
      <c r="A5" s="8" t="inlineStr">
        <is>
          <t>1. VERI_A: e-Fatura satırlarını (UUID, fatura numarası, tutar) sarı hücrelere yapıştırın.</t>
        </is>
      </c>
    </row>
    <row r="6">
      <c r="A6" s="8" t="inlineStr">
        <is>
          <t>2. VERI_B: Muhasebe satırlarını girin — XML veya API gerekmez.</t>
        </is>
      </c>
    </row>
    <row r="7">
      <c r="A7" s="8" t="inlineStr">
        <is>
          <t>3. ANAHTAR: UUID normalize, uzunluk, fatura numarası ikincil ve duplike otomatik dolar.</t>
        </is>
      </c>
    </row>
    <row r="8">
      <c r="A8" s="8" t="inlineStr">
        <is>
          <t>4. MOTOR: Ara hesaplar ve karar girdileri burada üretilir.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KOK_NEDEN: Tutar farklarını sınıflandırır; TANIMSIZ elle incelenir.</t>
        </is>
      </c>
    </row>
    <row r="11">
      <c r="A11" s="8" t="inlineStr">
        <is>
          <t>7. PANO: Karar, KPI ve grafikleri izleyin.</t>
        </is>
      </c>
    </row>
    <row r="12">
      <c r="A12" s="8" t="inlineStr">
        <is>
          <t>8. KANIT_RAPORU: Dönem dosyasına A4 PDF olarak yazdırın.</t>
        </is>
      </c>
    </row>
    <row r="14">
      <c r="A14" s="21" t="inlineStr">
        <is>
          <t>Sık yapılan hatalar</t>
        </is>
      </c>
    </row>
    <row r="15">
      <c r="A15" s="7" t="inlineStr">
        <is>
          <t>• UUID'yi eksik yapıştırmak (tire farkı normalize edilir ama boş olamaz)</t>
        </is>
      </c>
    </row>
    <row r="16">
      <c r="A16" s="7" t="inlineStr">
        <is>
          <t>• A ve B dönemlerini karıştırmak</t>
        </is>
      </c>
    </row>
    <row r="17">
      <c r="A17" s="7" t="inlineStr">
        <is>
          <t>• Toplam yerine yalnızca matrahı B tarafına yazmak</t>
        </is>
      </c>
    </row>
    <row r="19">
      <c r="A19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L1"/>
    <mergeCell ref="A12:J12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2026-08-14T17:52:06Z</dcterms:created>
  <dcterms:modified xmlns:dcterms="http://purl.org/dc/terms/" xmlns:xsi="http://www.w3.org/2001/XMLSchema-instance" xsi:type="dcterms:W3CDTF">2026-09-25T14:23:34Z</dcterms:modified>
</cp:coreProperties>
</file>