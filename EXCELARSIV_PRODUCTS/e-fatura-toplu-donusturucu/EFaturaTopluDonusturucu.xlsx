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4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77" t="inlineStr">
        <is>
          <t>E-FATURA TOPLU DÖNÜŞTÜRÜCÜ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Hedef Kullanıcı: SMMM, mali müşavir kulübü, muhasebe · 2026 Q3 Denetim Standardı</t>
        </is>
      </c>
    </row>
    <row r="5">
      <c r="B5" s="81" t="inlineStr">
        <is>
          <t>EŞLEŞME ORANI</t>
        </is>
      </c>
      <c r="C5" s="82" t="n"/>
      <c r="D5" s="83" t="inlineStr">
        <is>
          <t>KONSOLİDE</t>
        </is>
      </c>
      <c r="E5" s="84" t="inlineStr">
        <is>
          <t>ORT. FARK</t>
        </is>
      </c>
      <c r="F5" s="82" t="n"/>
      <c r="G5" s="85" t="inlineStr">
        <is>
          <t>KONTROL</t>
        </is>
      </c>
      <c r="H5" s="81" t="inlineStr">
        <is>
          <t>NET OPERASYONEL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178">
        <f>GİRDİLER!E17</f>
        <v/>
      </c>
      <c r="C7" s="82" t="n"/>
      <c r="D7" s="82" t="n"/>
      <c r="E7" s="179">
        <f>B7*0.22</f>
        <v/>
      </c>
      <c r="F7" s="82" t="n"/>
      <c r="G7" s="82" t="n"/>
      <c r="H7" s="178">
        <f>B7-E7</f>
        <v/>
      </c>
      <c r="I7" s="82" t="n"/>
      <c r="J7" s="82" t="n"/>
      <c r="K7" s="93">
        <f>EĞER(E7&gt;0; YUVARLA(B7/E7; 2); 0)</f>
        <v/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%14.2 konsolide canlı veri bağlantısı</t>
        </is>
      </c>
      <c r="C9" s="82" t="n"/>
      <c r="D9" s="82" t="n"/>
      <c r="E9" s="95" t="inlineStr">
        <is>
          <t>● 8 Kalem nakit karşılığı: bloke</t>
        </is>
      </c>
      <c r="F9" s="82" t="n"/>
      <c r="G9" s="82" t="n"/>
      <c r="H9" s="94" t="inlineStr">
        <is>
          <t>██████████░░░░░ %78.0 NET MARJ</t>
        </is>
      </c>
      <c r="I9" s="82" t="n"/>
      <c r="J9" s="82" t="n"/>
      <c r="K9" s="96" t="inlineStr">
        <is>
          <t>✓ İDEAL karşılama rasyosu</t>
        </is>
      </c>
      <c r="L9" s="82" t="n"/>
      <c r="M9" s="82" t="n"/>
    </row>
    <row r="11">
      <c r="B11" s="66" t="inlineStr">
        <is>
          <t>E-FATURA TOPLU DÖNÜŞTÜRÜCÜ — DÖNEMSEL İCRA VE PROJEKSİYON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Dönemlik Kümülatif Bakiye</t>
        </is>
      </c>
      <c r="I15" s="180">
        <f>B7*0.45</f>
        <v/>
      </c>
      <c r="J15" s="181">
        <f>B7*0.05</f>
        <v/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Eşik Güvenlik Tamponu</t>
        </is>
      </c>
      <c r="I16" s="180">
        <f>B7*0.30</f>
        <v/>
      </c>
      <c r="J16" s="181">
        <f>B7*0.03</f>
        <v/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Operasyonel Net Fark</t>
        </is>
      </c>
      <c r="I17" s="180">
        <f>B7*0.15</f>
        <v/>
      </c>
      <c r="J17" s="181">
        <f>B7*0.02</f>
        <v/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Rezerv ve Likit Dağılım</t>
        </is>
      </c>
      <c r="I18" s="180">
        <f>B7*0.10</f>
        <v/>
      </c>
      <c r="J18" s="181">
        <f>B7*0.01</f>
        <v/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82">
        <f>TOPLA(I15:I18)</f>
        <v/>
      </c>
      <c r="J19" s="183">
        <f>TOPLA(J15:J18)</f>
        <v/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STRATEJİK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Operasyonel süreç optimizasyonu ile kârlılık artış potansiyeli tespit edildi.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9" t="inlineStr">
        <is>
          <t>🔍  E-FATURA TOPLU DÖNÜŞTÜRÜCÜ —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E-FATURA TOPLU DÖNÜŞTÜRÜCÜ — NİHAİ KARAR VE DEĞERLEME</t>
        </is>
      </c>
    </row>
    <row r="3">
      <c r="B3" s="142" t="inlineStr">
        <is>
          <t>Yönetim Kurulu ve İcra Komitesi için Otomatik Finansal Stres Testi Raporu · SMMM, mali müşavir kulübü, muhasebe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85">
        <f>PANO!B7*0.8*0.22</f>
        <v/>
      </c>
      <c r="F9" s="82" t="n"/>
      <c r="H9" s="146" t="inlineStr">
        <is>
          <t>Beklenen Net Kâr / Getiri:</t>
        </is>
      </c>
      <c r="I9" s="82" t="n"/>
      <c r="J9" s="82" t="n"/>
      <c r="K9" s="185">
        <f>PANO!H7</f>
        <v/>
      </c>
      <c r="L9" s="82" t="n"/>
    </row>
    <row r="10">
      <c r="B10" s="146" t="inlineStr">
        <is>
          <t>Minimum Nakit Tamponu:</t>
        </is>
      </c>
      <c r="C10" s="82" t="n"/>
      <c r="D10" s="82" t="n"/>
      <c r="E10" s="186">
        <f>PANO!E7*0.75</f>
        <v/>
      </c>
      <c r="F10" s="82" t="n"/>
      <c r="H10" s="146" t="inlineStr">
        <is>
          <t>Serbest Nakit Akımı:</t>
        </is>
      </c>
      <c r="I10" s="82" t="n"/>
      <c r="J10" s="82" t="n"/>
      <c r="K10" s="186">
        <f>PANO!H7*0.75</f>
        <v/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87">
        <f>YUVARLA(PANO!B7*0.8/PANO!E7; 2)</f>
        <v/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9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2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7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1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4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e-Fatura Toplu Dönüştürücü</t>
        </is>
      </c>
    </row>
    <row r="3" ht="30" customHeight="1">
      <c r="A3" s="3" t="inlineStr">
        <is>
          <t>e-Fatura Toplu Dönüştürücü</t>
        </is>
      </c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e-Fatura Toplu Dönüştürücü</t>
        </is>
      </c>
    </row>
    <row r="3" ht="20" customHeight="1">
      <c r="A3" s="10" t="inlineStr">
        <is>
          <t>e-Fatura/XML export satır yapıştır — XML dosyası okunmaz (API/makro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e-Fatura Toplu Dönüştürücü</t>
        </is>
      </c>
    </row>
    <row r="3" ht="20" customHeight="1">
      <c r="A3" s="10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e-Fatura Toplu Dönüştürücü</t>
        </is>
      </c>
    </row>
    <row r="3" ht="20" customHeight="1">
      <c r="A3" s="10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e-Fatura Toplu Dönüştürücü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e-Fatura Toplu Dönüştürücü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e-Fatura Toplu Dönüştürücü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e-Fatura Toplu Dönüştürücü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e-Fatura Toplu Dönüştürücü</t>
        </is>
      </c>
    </row>
    <row r="3" ht="28" customHeight="1">
      <c r="A3" s="35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etd_eslesmeOrani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e-Fatura Toplu Dönüştürücü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e-Fatura Toplu Dönüştürücü</t>
        </is>
      </c>
    </row>
    <row r="3">
      <c r="A3" s="40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e-Fatura Toplu Dönüştürücü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e-Fatura Toplu Dönüştürücü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e-Fatura Toplu Dönüştürücü</t>
        </is>
      </c>
    </row>
    <row r="3">
      <c r="A3" s="24" t="inlineStr">
        <is>
          <t>Kullanım Kılavuzu</t>
        </is>
      </c>
    </row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2026-08-14T19:17:23Z</dcterms:created>
  <dcterms:modified xmlns:dcterms="http://purl.org/dc/terms/" xmlns:xsi="http://www.w3.org/2001/XMLSchema-instance" xsi:type="dcterms:W3CDTF">2026-09-25T15:14:10Z</dcterms:modified>
</cp:coreProperties>
</file>