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gk_esikEslesme">AYARLAR!$B$8</definedName>
    <definedName name="egk_esikFark">AYARLAR!$B$9</definedName>
    <definedName name="egk_esikKatkiDusuk">AYARLAR!$B$10</definedName>
    <definedName name="egk_esikKatkiHedef">AYARLAR!$B$11</definedName>
    <definedName name="egk_azamiTutar">AYARLAR!$B$12</definedName>
    <definedName name="egk_ikincilUzunluk">AYARLAR!$B$13</definedName>
    <definedName name="egk_olcekHedef">AYARLAR!$B$14</definedName>
    <definedName name="egk_yuzdelikOran">AYARLAR!$B$15</definedName>
    <definedName name="egk_komisyonSenaryo">AYARLAR!$B$16</definedName>
    <definedName name="egk_fiyatModeli">AYARLAR!$B$17</definedName>
    <definedName name="egk_kvkkBeyani">AYARLAR!$B$18</definedName>
    <definedName name="egk_basabasFiyat">AYARLAR!$B$19</definedName>
    <definedName name="egk_normAnahtar">AYARLAR!$B$20</definedName>
    <definedName name="egk_tanimsizKova">AYARLAR!$B$21</definedName>
    <definedName name="egk_kovaButunlukAd">AYARLAR!$B$22</definedName>
    <definedName name="egk_dosyaSurumu">AYARLAR!$B$23</definedName>
    <definedName name="egk_firmaUnvan">AYARLAR!$B$24</definedName>
    <definedName name="egk_kuralSeti">AYARLAR!$B$25</definedName>
    <definedName name="egk_mutabakatFarki">AYARLAR!$I$29</definedName>
    <definedName name="egk_eslesmeOrani">AYARLAR!$I$30</definedName>
    <definedName name="egk_kovaButunluk">AYARLAR!$I$31</definedName>
    <definedName name="egk_modulT1">AYARLAR!$I$32</definedName>
    <definedName name="egk_modulT2">AYARLAR!$I$33</definedName>
    <definedName name="egk_modulO1">AYARLAR!$I$34</definedName>
    <definedName name="egk_modulO2">AYARLAR!$I$35</definedName>
    <definedName name="egk_modulO3">AYARLAR!$I$36</definedName>
    <definedName name="egk_modulO6">AYARLAR!$I$37</definedName>
    <definedName name="egk_modulO8">AYARLAR!$I$38</definedName>
    <definedName name="egk_modulMSen">AYARLAR!$I$39</definedName>
    <definedName name="egk_modulI1">AYARLAR!$I$40</definedName>
    <definedName name="egk_modulI2">AYARLAR!$I$41</definedName>
    <definedName name="egk_modulT1Yorum">AYARLAR!$I$44</definedName>
    <definedName name="egk_modulT2Yorum">AYARLAR!$I$45</definedName>
    <definedName name="egk_modulO1Yorum">AYARLAR!$I$46</definedName>
    <definedName name="egk_modulO2Yorum">AYARLAR!$I$47</definedName>
    <definedName name="egk_modulO3Yorum">AYARLAR!$I$48</definedName>
    <definedName name="egk_modulO6Yorum">AYARLAR!$I$49</definedName>
    <definedName name="egk_modulO8Yorum">AYARLAR!$I$50</definedName>
    <definedName name="egk_modulMSenYorum">AYARLAR!$I$51</definedName>
    <definedName name="egk_modulI1Yorum">AYARLAR!$I$52</definedName>
    <definedName name="egk_modulI2Yorum">AYARLAR!$I$53</definedName>
    <definedName name="ListePlatformlar">LISTELER!$A$7:$A$11</definedName>
    <definedName name="ListeDurumlar">LISTELER!$C$7:$C$9</definedName>
    <definedName name="ListeYorumAB">LISTELER!$E$7:$E$8</definedName>
    <definedName name="_xlnm.Print_Area" localSheetId="17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pivotButton="0" quotePrefix="0" xfId="0"/>
    <xf numFmtId="167" fontId="32" fillId="0" borderId="0" pivotButton="0" quotePrefix="0" xfId="0"/>
    <xf numFmtId="167" fontId="33" fillId="0" borderId="0" pivotButton="0" quotePrefix="0" xfId="0"/>
    <xf numFmtId="168" fontId="32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/>
    </xf>
    <xf numFmtId="0" fontId="33" fillId="0" borderId="0" pivotButton="0" quotePrefix="0" xfId="0"/>
    <xf numFmtId="0" fontId="37" fillId="9" borderId="2" pivotButton="0" quotePrefix="0" xfId="0"/>
    <xf numFmtId="0" fontId="38" fillId="0" borderId="0" pivotButton="0" quotePrefix="0" xfId="0"/>
    <xf numFmtId="0" fontId="39" fillId="0" borderId="0" pivotButton="0" quotePrefix="0" xfId="0"/>
    <xf numFmtId="0" fontId="32" fillId="0" borderId="0" applyAlignment="1" pivotButton="0" quotePrefix="0" xfId="0">
      <alignment wrapText="1"/>
    </xf>
    <xf numFmtId="0" fontId="40" fillId="0" borderId="0" pivotButton="0" quotePrefix="0" xfId="0"/>
    <xf numFmtId="0" fontId="41" fillId="0" borderId="2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2" fillId="11" borderId="2" applyAlignment="1" pivotButton="0" quotePrefix="0" xfId="0">
      <alignment horizontal="center"/>
    </xf>
    <xf numFmtId="0" fontId="28" fillId="0" borderId="4" pivotButton="0" quotePrefix="0" xfId="0"/>
    <xf numFmtId="0" fontId="44" fillId="12" borderId="2" applyAlignment="1" pivotButton="0" quotePrefix="0" xfId="0">
      <alignment horizontal="center"/>
    </xf>
    <xf numFmtId="0" fontId="43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5" fillId="0" borderId="4" pivotButton="0" quotePrefix="0" xfId="0"/>
    <xf numFmtId="0" fontId="46" fillId="0" borderId="5" pivotButton="0" quotePrefix="0" xfId="0"/>
    <xf numFmtId="0" fontId="43" fillId="0" borderId="3" pivotButton="0" quotePrefix="0" xfId="0"/>
    <xf numFmtId="0" fontId="38" fillId="0" borderId="4" pivotButton="0" quotePrefix="0" xfId="0"/>
    <xf numFmtId="0" fontId="43" fillId="0" borderId="5" pivotButton="0" quotePrefix="0" xfId="0"/>
    <xf numFmtId="0" fontId="47" fillId="14" borderId="0" applyAlignment="1" pivotButton="0" quotePrefix="0" xfId="0">
      <alignment horizontal="center"/>
    </xf>
    <xf numFmtId="0" fontId="48" fillId="0" borderId="0" pivotButton="0" quotePrefix="0" xfId="0"/>
    <xf numFmtId="0" fontId="47" fillId="15" borderId="0" applyAlignment="1" pivotButton="0" quotePrefix="0" xfId="0">
      <alignment horizontal="center" vertical="center"/>
    </xf>
    <xf numFmtId="0" fontId="48" fillId="0" borderId="2" pivotButton="0" quotePrefix="0" xfId="0"/>
    <xf numFmtId="0" fontId="49" fillId="0" borderId="2" pivotButton="0" quotePrefix="0" xfId="0"/>
    <xf numFmtId="0" fontId="50" fillId="0" borderId="2" pivotButton="0" quotePrefix="0" xfId="0"/>
    <xf numFmtId="0" fontId="51" fillId="16" borderId="2" applyAlignment="1" pivotButton="0" quotePrefix="0" xfId="0">
      <alignment horizontal="center"/>
    </xf>
    <xf numFmtId="0" fontId="47" fillId="7" borderId="0" pivotButton="0" quotePrefix="0" xfId="0"/>
    <xf numFmtId="0" fontId="52" fillId="7" borderId="0" pivotButton="0" quotePrefix="0" xfId="0"/>
    <xf numFmtId="0" fontId="53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1" fillId="0" borderId="0" pivotButton="0" quotePrefix="0" xfId="0"/>
    <xf numFmtId="0" fontId="56" fillId="17" borderId="0" pivotButton="0" quotePrefix="0" xfId="0"/>
    <xf numFmtId="0" fontId="0" fillId="17" borderId="0" pivotButton="0" quotePrefix="0" xfId="0"/>
    <xf numFmtId="0" fontId="43" fillId="0" borderId="0" pivotButton="0" quotePrefix="0" xfId="0"/>
    <xf numFmtId="0" fontId="31" fillId="17" borderId="0" pivotButton="0" quotePrefix="0" xfId="0"/>
    <xf numFmtId="0" fontId="57" fillId="17" borderId="0" applyAlignment="1" pivotButton="0" quotePrefix="0" xfId="0">
      <alignment wrapText="1"/>
    </xf>
    <xf numFmtId="0" fontId="54" fillId="0" borderId="0" pivotButton="0" quotePrefix="0" xfId="0"/>
    <xf numFmtId="0" fontId="55" fillId="0" borderId="0" pivotButton="0" quotePrefix="0" xfId="0"/>
    <xf numFmtId="0" fontId="43" fillId="13" borderId="6" applyAlignment="1" pivotButton="0" quotePrefix="0" xfId="0">
      <alignment horizontal="center" vertical="center"/>
    </xf>
    <xf numFmtId="0" fontId="58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/>
    </xf>
    <xf numFmtId="0" fontId="43" fillId="13" borderId="0" applyAlignment="1" pivotButton="0" quotePrefix="0" xfId="0">
      <alignment horizontal="center" vertical="center"/>
    </xf>
    <xf numFmtId="0" fontId="59" fillId="7" borderId="0" applyAlignment="1" pivotButton="0" quotePrefix="0" xfId="0">
      <alignment horizontal="center" vertical="center"/>
    </xf>
    <xf numFmtId="0" fontId="60" fillId="19" borderId="2" applyAlignment="1" pivotButton="0" quotePrefix="0" xfId="0">
      <alignment horizontal="center"/>
    </xf>
    <xf numFmtId="0" fontId="61" fillId="19" borderId="2" applyAlignment="1" pivotButton="0" quotePrefix="0" xfId="0">
      <alignment horizontal="center"/>
    </xf>
    <xf numFmtId="0" fontId="60" fillId="19" borderId="2" pivotButton="0" quotePrefix="0" xfId="0"/>
    <xf numFmtId="169" fontId="61" fillId="19" borderId="2" applyAlignment="1" pivotButton="0" quotePrefix="0" xfId="0">
      <alignment horizontal="right"/>
    </xf>
    <xf numFmtId="9" fontId="60" fillId="19" borderId="2" applyAlignment="1" pivotButton="0" quotePrefix="0" xfId="0">
      <alignment horizontal="center"/>
    </xf>
    <xf numFmtId="169" fontId="60" fillId="19" borderId="2" applyAlignment="1" pivotButton="0" quotePrefix="0" xfId="0">
      <alignment horizontal="right"/>
    </xf>
    <xf numFmtId="0" fontId="43" fillId="19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0" fillId="18" borderId="2" pivotButton="0" quotePrefix="0" xfId="0"/>
    <xf numFmtId="169" fontId="61" fillId="18" borderId="2" applyAlignment="1" pivotButton="0" quotePrefix="0" xfId="0">
      <alignment horizontal="right"/>
    </xf>
    <xf numFmtId="9" fontId="60" fillId="18" borderId="2" applyAlignment="1" pivotButton="0" quotePrefix="0" xfId="0">
      <alignment horizontal="center"/>
    </xf>
    <xf numFmtId="169" fontId="60" fillId="18" borderId="2" applyAlignment="1" pivotButton="0" quotePrefix="0" xfId="0">
      <alignment horizontal="right"/>
    </xf>
    <xf numFmtId="0" fontId="48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31" fillId="7" borderId="0" applyAlignment="1" pivotButton="0" quotePrefix="0" xfId="0">
      <alignment vertical="center" indent="1"/>
    </xf>
    <xf numFmtId="169" fontId="62" fillId="7" borderId="0" applyAlignment="1" pivotButton="0" quotePrefix="0" xfId="0">
      <alignment horizontal="right" vertical="center"/>
    </xf>
    <xf numFmtId="0" fontId="63" fillId="0" borderId="7" pivotButton="0" quotePrefix="0" xfId="0"/>
    <xf numFmtId="0" fontId="64" fillId="0" borderId="7" pivotButton="0" quotePrefix="0" xfId="0"/>
    <xf numFmtId="0" fontId="65" fillId="0" borderId="7" pivotButton="0" quotePrefix="0" xfId="0"/>
    <xf numFmtId="0" fontId="66" fillId="20" borderId="2" applyAlignment="1" pivotButton="0" quotePrefix="0" xfId="0">
      <alignment horizontal="center" vertical="center"/>
    </xf>
    <xf numFmtId="0" fontId="70" fillId="11" borderId="2" applyAlignment="1" pivotButton="0" quotePrefix="0" xfId="0">
      <alignment horizontal="center" vertical="center"/>
    </xf>
    <xf numFmtId="0" fontId="67" fillId="0" borderId="2" pivotButton="0" quotePrefix="0" xfId="0"/>
    <xf numFmtId="0" fontId="66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41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69" fillId="12" borderId="8" applyAlignment="1" pivotButton="0" quotePrefix="0" xfId="0">
      <alignment horizontal="center" vertical="center"/>
    </xf>
    <xf numFmtId="0" fontId="71" fillId="11" borderId="9" applyAlignment="1" pivotButton="0" quotePrefix="0" xfId="0">
      <alignment horizontal="center" vertical="center"/>
    </xf>
    <xf numFmtId="0" fontId="67" fillId="0" borderId="0" pivotButton="0" quotePrefix="0" xfId="0"/>
    <xf numFmtId="0" fontId="72" fillId="21" borderId="0" applyAlignment="1" pivotButton="0" quotePrefix="0" xfId="0">
      <alignment horizontal="left" vertical="center" wrapText="1"/>
    </xf>
    <xf numFmtId="0" fontId="73" fillId="22" borderId="0" applyAlignment="1" pivotButton="0" quotePrefix="0" xfId="0">
      <alignment vertical="center" wrapText="1"/>
    </xf>
    <xf numFmtId="0" fontId="74" fillId="23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76" fillId="21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vertical="center" wrapText="1"/>
    </xf>
    <xf numFmtId="0" fontId="77" fillId="25" borderId="0" applyAlignment="1" pivotButton="0" quotePrefix="0" xfId="0">
      <alignment vertical="top" wrapText="1"/>
    </xf>
    <xf numFmtId="0" fontId="72" fillId="26" borderId="0" applyAlignment="1" pivotButton="0" quotePrefix="0" xfId="0">
      <alignment horizontal="left" vertical="center" wrapText="1"/>
    </xf>
    <xf numFmtId="0" fontId="73" fillId="26" borderId="0" applyAlignment="1" pivotButton="0" quotePrefix="0" xfId="0">
      <alignment vertical="center" wrapText="1"/>
    </xf>
    <xf numFmtId="0" fontId="78" fillId="27" borderId="0" applyAlignment="1" pivotButton="0" quotePrefix="0" xfId="0">
      <alignment vertical="top" wrapText="1"/>
    </xf>
    <xf numFmtId="0" fontId="79" fillId="25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72" fillId="28" borderId="0" applyAlignment="1" pivotButton="0" quotePrefix="0" xfId="0">
      <alignment horizontal="left" vertical="center"/>
    </xf>
    <xf numFmtId="0" fontId="73" fillId="28" borderId="0" applyAlignment="1" pivotButton="0" quotePrefix="0" xfId="0">
      <alignment vertical="center" wrapText="1"/>
    </xf>
    <xf numFmtId="0" fontId="81" fillId="29" borderId="0" applyAlignment="1" pivotButton="0" quotePrefix="0" xfId="0">
      <alignment vertical="top" wrapText="1"/>
    </xf>
    <xf numFmtId="0" fontId="82" fillId="30" borderId="0" applyAlignment="1" pivotButton="0" quotePrefix="0" xfId="0">
      <alignment vertical="top" wrapText="1"/>
    </xf>
    <xf numFmtId="0" fontId="72" fillId="31" borderId="0" applyAlignment="1" pivotButton="0" quotePrefix="0" xfId="0">
      <alignment horizontal="left" vertical="center"/>
    </xf>
    <xf numFmtId="0" fontId="73" fillId="31" borderId="0" applyAlignment="1" pivotButton="0" quotePrefix="0" xfId="0">
      <alignment vertical="center" wrapText="1"/>
    </xf>
    <xf numFmtId="0" fontId="83" fillId="30" borderId="0" applyAlignment="1" pivotButton="0" quotePrefix="0" xfId="0">
      <alignment vertical="top" wrapText="1"/>
    </xf>
    <xf numFmtId="0" fontId="72" fillId="32" borderId="0" applyAlignment="1" pivotButton="0" quotePrefix="0" xfId="0">
      <alignment horizontal="left" vertical="center"/>
    </xf>
    <xf numFmtId="0" fontId="73" fillId="32" borderId="0" applyAlignment="1" pivotButton="0" quotePrefix="0" xfId="0">
      <alignment vertical="center" wrapText="1"/>
    </xf>
    <xf numFmtId="0" fontId="84" fillId="3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169" fontId="24" fillId="0" borderId="3" pivotButton="0" quotePrefix="0" xfId="0"/>
    <xf numFmtId="169" fontId="45" fillId="0" borderId="4" pivotButton="0" quotePrefix="0" xfId="0"/>
    <xf numFmtId="169" fontId="48" fillId="0" borderId="2" pivotButton="0" quotePrefix="0" xfId="0"/>
    <xf numFmtId="169" fontId="49" fillId="0" borderId="2" pivotButton="0" quotePrefix="0" xfId="0"/>
    <xf numFmtId="169" fontId="52" fillId="7" borderId="0" pivotButton="0" quotePrefix="0" xfId="0"/>
    <xf numFmtId="169" fontId="53" fillId="7" borderId="0" pivotButton="0" quotePrefix="0" xfId="0"/>
    <xf numFmtId="169" fontId="71" fillId="9" borderId="2" applyAlignment="1" pivotButton="0" quotePrefix="0" xfId="0">
      <alignment horizontal="right"/>
    </xf>
    <xf numFmtId="169" fontId="41" fillId="0" borderId="2" applyAlignment="1" pivotButton="0" quotePrefix="0" xfId="0">
      <alignment horizontal="right"/>
    </xf>
    <xf numFmtId="169" fontId="68" fillId="0" borderId="2" applyAlignment="1" pivotButton="0" quotePrefix="0" xfId="0">
      <alignment horizontal="right"/>
    </xf>
    <xf numFmtId="170" fontId="68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1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1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1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1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1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1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2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2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2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2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2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2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1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1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1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1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1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1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2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2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2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2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2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2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3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3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3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3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3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3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4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4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4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4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4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4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5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5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5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5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5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5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6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6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6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6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6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6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7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7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7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7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7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7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8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8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8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8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8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8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39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39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39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39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39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39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SKU / barkod | Örnek: hücredeki örnek değere bakın | Risk: Yanlış giriş hatalı karar üretir</t>
      </text>
    </comment>
    <comment ref="B40" authorId="0" shapeId="0">
      <text>
        <t>Tanım: Ürün Adı | Neden önemli: Gerçek kâr ve fiyatlama kararını etkiler | Doğru kullanım: Kısa ürün adı | Örnek: hücredeki örnek değere bakın | Risk: Yanlış giriş hatalı karar üretir</t>
      </text>
    </comment>
    <comment ref="C40" authorId="0" shapeId="0">
      <text>
        <t>Tanım: Satış Fiyatı | Neden önemli: Gerçek kâr ve fiyatlama kararını etkiler | Doğru kullanım: KDV hariç satış TL | Örnek: hücredeki örnek değere bakın | Risk: Yanlış giriş hatalı karar üretir</t>
      </text>
    </comment>
    <comment ref="D40" authorId="0" shapeId="0">
      <text>
        <t>Tanım: Maliyet | Neden önemli: Gerçek kâr ve fiyatlama kararını etkiler | Doğru kullanım: Birim maliyet TL | Örnek: hücredeki örnek değere bakın | Risk: Yanlış giriş hatalı karar üretir</t>
      </text>
    </comment>
    <comment ref="E40" authorId="0" shapeId="0">
      <text>
        <t>Tanım: Hedef Katkı | Neden önemli: Gerçek kâr ve fiyatlama kararını etkiler | Doğru kullanım: Hedef katkı oranı | Örnek: hücredeki örnek değere bakın | Risk: Yanlış giriş hatalı karar üretir</t>
      </text>
    </comment>
    <comment ref="G40" authorId="0" shapeId="0">
      <text>
        <t>Tanım: KDV Oranı | Neden önemli: Gerçek kâr ve fiyatlama kararını etkiler | Doğru kullanım: KDV oranı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Gerçek kâr ve fiyatlama kararını etkiler | Doğru kullanım: Fiyat varyantı A veya B | Örnek: hücredeki örnek değere bakın | Risk: Yanlış giriş hatalı karar üretir</t>
      </text>
    </comment>
    <comment ref="J40" authorId="0" shapeId="0">
      <text>
        <t>Tanım: Durum | Neden önemli: Gerçek kâr ve fiyatlama kararını etkiler | Doğru kullanım: Liste seçimi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1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2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2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3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3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0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0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1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1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2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2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3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3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4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4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5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5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6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6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7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7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8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8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6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6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7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7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8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8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499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499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0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0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1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1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2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2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3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3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4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4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UrunAdi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SatisFiyati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Maliyet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HedefKatkiOran | Neden önemli: Gerçek kâr ve fiyatlama kararını etkiler | Doğru kullanım: Manuel giriş | Örnek: hücredeki örnek değere bakın | Risk: Yanlış giriş hatalı karar üretir</t>
      </text>
    </comment>
    <comment ref="G505" authorId="0" shapeId="0">
      <text>
        <t>Tanım: KdvOrani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Gerçek kâr ve fiyatlama kararını etkiler | Doğru kullanım: Manuel giriş | Örnek: hücredeki örnek değere bakın | Risk: Yanlış giriş hatalı karar üretir</t>
      </text>
    </comment>
    <comment ref="J505" authorId="0" shapeId="0">
      <text>
        <t>Tanım: Durum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1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1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1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1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1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1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1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2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2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2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2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2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2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2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1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1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1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1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1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1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1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2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2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2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2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2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2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2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3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3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3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3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3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3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3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4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4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4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4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4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4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4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5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5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5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5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5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5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5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6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6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6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6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6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6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6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7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7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7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7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7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7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7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8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8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8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8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8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8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8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39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39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39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39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39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39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39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0" authorId="0" shapeId="0">
      <text>
        <t>Tanım: Ürün Kodu | Neden önemli: Gerçek kâr ve fiyatlama kararını etkiler | Doğru kullanım: Platform SKU | Örnek: hücredeki örnek değere bakın | Risk: Yanlış giriş hatalı karar üretir</t>
      </text>
    </comment>
    <comment ref="B40" authorId="0" shapeId="0">
      <text>
        <t>Tanım: Komisyon % | Neden önemli: Gerçek kâr ve fiyatlama kararını etkiler | Doğru kullanım: Komisyon oranı | Örnek: hücredeki örnek değere bakın | Risk: Yanlış giriş hatalı karar üretir</t>
      </text>
    </comment>
    <comment ref="C40" authorId="0" shapeId="0">
      <text>
        <t>Tanım: Kargo | Neden önemli: Gerçek kâr ve fiyatlama kararını etkiler | Doğru kullanım: Birim kargo TL | Örnek: hücredeki örnek değere bakın | Risk: Yanlış giriş hatalı karar üretir</t>
      </text>
    </comment>
    <comment ref="D40" authorId="0" shapeId="0">
      <text>
        <t>Tanım: İade % | Neden önemli: Gerçek kâr ve fiyatlama kararını etkiler | Doğru kullanım: İade oranı | Örnek: hücredeki örnek değere bakın | Risk: Yanlış giriş hatalı karar üretir</t>
      </text>
    </comment>
    <comment ref="E40" authorId="0" shapeId="0">
      <text>
        <t>Tanım: Reklam Tutarı | Neden önemli: Gerçek kâr ve fiyatlama kararını etkiler | Doğru kullanım: Reklam TL | Örnek: hücredeki örnek değere bakın | Risk: Yanlış giriş hatalı karar üretir</t>
      </text>
    </comment>
    <comment ref="F40" authorId="0" shapeId="0">
      <text>
        <t>Tanım: ROAS | Neden önemli: Gerçek kâr ve fiyatlama kararını etkiler | Doğru kullanım: Reklam getirisi | Örnek: hücredeki örnek değere bakın | Risk: Yanlış giriş hatalı karar üretir</t>
      </text>
    </comment>
    <comment ref="H40" authorId="0" shapeId="0">
      <text>
        <t>Tanım: Platform | Neden önemli: Gerçek kâr ve fiyatlama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Gerçek kâr ve fiyatlama kararını etkiler | Doğru kullanım: YYYY-AA | Örnek: hücredeki örnek değere bakın | Risk: Yanlış giriş hatalı karar üretir</t>
      </text>
    </comment>
    <comment ref="A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1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1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1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1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1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1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1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2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2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2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2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2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2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2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3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3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3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3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3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3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3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0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0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0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0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0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0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0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1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1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1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1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1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1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1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2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2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2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2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2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2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2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3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3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3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3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3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3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3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4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4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4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4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4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4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4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5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5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5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5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5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5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5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6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6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6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6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6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6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6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7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7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7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7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7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7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7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8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8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8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8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8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8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8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6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6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6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6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6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6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6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7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7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7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7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7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7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7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8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8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8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8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8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8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8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499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499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499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499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499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499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499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0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0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0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0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0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0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0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1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1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1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1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1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1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1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2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2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2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2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2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2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2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3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3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3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3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3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3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3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4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4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4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4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4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4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4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  <comment ref="A505" authorId="0" shapeId="0">
      <text>
        <t>Tanım: UrunKodu | Neden önemli: Gerçek kâr ve fiyatlama kararını etkiler | Doğru kullanım: Manuel giriş | Örnek: hücredeki örnek değere bakın | Risk: Yanlış giriş hatalı karar üretir</t>
      </text>
    </comment>
    <comment ref="B505" authorId="0" shapeId="0">
      <text>
        <t>Tanım: KomisyonOran | Neden önemli: Gerçek kâr ve fiyatlama kararını etkiler | Doğru kullanım: Manuel giriş | Örnek: hücredeki örnek değere bakın | Risk: Yanlış giriş hatalı karar üretir</t>
      </text>
    </comment>
    <comment ref="C505" authorId="0" shapeId="0">
      <text>
        <t>Tanım: Kargo | Neden önemli: Gerçek kâr ve fiyatlama kararını etkiler | Doğru kullanım: Manuel giriş | Örnek: hücredeki örnek değere bakın | Risk: Yanlış giriş hatalı karar üretir</t>
      </text>
    </comment>
    <comment ref="D505" authorId="0" shapeId="0">
      <text>
        <t>Tanım: IadeOran | Neden önemli: Gerçek kâr ve fiyatlama kararını etkiler | Doğru kullanım: Manuel giriş | Örnek: hücredeki örnek değere bakın | Risk: Yanlış giriş hatalı karar üretir</t>
      </text>
    </comment>
    <comment ref="E505" authorId="0" shapeId="0">
      <text>
        <t>Tanım: ReklamTutar | Neden önemli: Gerçek kâr ve fiyatlama kararını etkiler | Doğru kullanım: Manuel giriş | Örnek: hücredeki örnek değere bakın | Risk: Yanlış giriş hatalı karar üretir</t>
      </text>
    </comment>
    <comment ref="F505" authorId="0" shapeId="0">
      <text>
        <t>Tanım: Roas | Neden önemli: Gerçek kâr ve fiyatlama kararını etkiler | Doğru kullanım: Manuel giriş | Örnek: hücredeki örnek değere bakın | Risk: Yanlış giriş hatalı karar üretir</t>
      </text>
    </comment>
    <comment ref="H505" authorId="0" shapeId="0">
      <text>
        <t>Tanım: Platform | Neden önemli: Gerçek kâr ve fiyatlama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Gerçek kâr ve fiyatlama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7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7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8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8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E8" authorId="0" shapeId="0">
      <text>
        <t>Tanım: Yorum | Neden önemli: Gerçek kâr ve fiyatlama kararını etkiler | Doğru kullanım: A veya B | Örnek: hücredeki örnek değere bakın | Risk: Yanlış giriş hatalı karar üretir</t>
      </text>
    </comment>
    <comment ref="A9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C9" authorId="0" shapeId="0">
      <text>
        <t>Tanım: Durum | Neden önemli: Gerçek kâr ve fiyatlama kararını etkiler | Doğru kullanım: Durum değeri | Örnek: hücredeki örnek değere bakın | Risk: Yanlış giriş hatalı karar üretir</t>
      </text>
    </comment>
    <comment ref="A10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  <comment ref="A11" authorId="0" shapeId="0">
      <text>
        <t>Tanım: Platform | Neden önemli: Gerçek kâr ve fiyatlama kararını etkiler | Doğru kullanım: Listeye ekleyebilirsiniz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Gerçek kâr ve fiyatlama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Gerçek kâr ve fiyatlama kararını etkiler | Doğru kullanım: Rapor tarihi | Örnek: hücredeki örnek değere bakın | Risk: Yanlış giriş hatalı karar üretir</t>
      </text>
    </comment>
    <comment ref="B8" authorId="0" shapeId="0">
      <text>
        <t>Tanım: egk_esikEslesme | Neden önemli: Gerçek kâr ve fiyatlama kararını etkiler | Doğru kullanım: Eşleşme oranı eşiği | Örnek: hücredeki örnek değere bakın | Risk: Yanlış giriş hatalı karar üretir</t>
      </text>
    </comment>
    <comment ref="B9" authorId="0" shapeId="0">
      <text>
        <t>Tanım: egk_esikFark | Neden önemli: Gerçek kâr ve fiyatlama kararını etkiler | Doğru kullanım: Fark tutarı eşiği | Örnek: hücredeki örnek değere bakın | Risk: Yanlış giriş hatalı karar üretir</t>
      </text>
    </comment>
    <comment ref="B10" authorId="0" shapeId="0">
      <text>
        <t>Tanım: egk_esikKatkiDusuk | Neden önemli: Gerçek kâr ve fiyatlama kararını etkiler | Doğru kullanım: ZAM YAP eşiği | Örnek: hücredeki örnek değere bakın | Risk: Yanlış giriş hatalı karar üretir</t>
      </text>
    </comment>
    <comment ref="B11" authorId="0" shapeId="0">
      <text>
        <t>Tanım: egk_esikKatkiHedef | Neden önemli: Gerçek kâr ve fiyatlama kararını etkiler | Doğru kullanım: Hedef katkı | Örnek: hücredeki örnek değere bakın | Risk: Yanlış giriş hatalı karar üretir</t>
      </text>
    </comment>
    <comment ref="B12" authorId="0" shapeId="0">
      <text>
        <t>Tanım: egk_azamiTutar | Neden önemli: Gerçek kâr ve fiyatlama kararını etkiler | Doğru kullanım: Azami makul tutar | Örnek: hücredeki örnek değere bakın | Risk: Yanlış giriş hatalı karar üretir</t>
      </text>
    </comment>
    <comment ref="B13" authorId="0" shapeId="0">
      <text>
        <t>Tanım: egk_ikincilUzunluk | Neden önemli: Gerçek kâr ve fiyatlama kararını etkiler | Doğru kullanım: Ikincil anahtar | Örnek: hücredeki örnek değere bakın | Risk: Yanlış giriş hatalı karar üretir</t>
      </text>
    </comment>
    <comment ref="B14" authorId="0" shapeId="0">
      <text>
        <t>Tanım: egk_olcekHedef | Neden önemli: Gerçek kâr ve fiyatlama kararını etkiler | Doğru kullanım: Ölçek sözleşmesi | Örnek: hücredeki örnek değere bakın | Risk: Yanlış giriş hatalı karar üretir</t>
      </text>
    </comment>
    <comment ref="B15" authorId="0" shapeId="0">
      <text>
        <t>Tanım: egk_yuzdelikOran | Neden önemli: Gerçek kâr ve fiyatlama kararını etkiler | Doğru kullanım: PERCENTILE oranı | Örnek: hücredeki örnek değere bakın | Risk: Yanlış giriş hatalı karar üretir</t>
      </text>
    </comment>
    <comment ref="B16" authorId="0" shapeId="0">
      <text>
        <t>Tanım: egk_komisyonSenaryo | Neden önemli: Gerçek kâr ve fiyatlama kararını etkiler | Doğru kullanım: Komisyon +pp senaryo | Örnek: hücredeki örnek değere bakın | Risk: Yanlış giriş hatalı karar üretir</t>
      </text>
    </comment>
    <comment ref="B17" authorId="0" shapeId="0">
      <text>
        <t>Tanım: egk_fiyatModeli | Neden önemli: Gerçek kâr ve fiyatlama kararını etkiler | Doğru kullanım: R3 ayrım | Örnek: hücredeki örnek değere bakın | Risk: Yanlış giriş hatalı karar üretir</t>
      </text>
    </comment>
    <comment ref="B18" authorId="0" shapeId="0">
      <text>
        <t>Tanım: egk_kvkkBeyani | Neden önemli: Gerçek kâr ve fiyatlama kararını etkiler | Doğru kullanım: R3 ayrım | Örnek: hücredeki örnek değere bakın | Risk: Yanlış giriş hatalı karar üretir</t>
      </text>
    </comment>
    <comment ref="B19" authorId="0" shapeId="0">
      <text>
        <t>Tanım: egk_basabasFiyat | Neden önemli: Gerçek kâr ve fiyatlama kararını etkiler | Doğru kullanım: R1 ayrım | Örnek: hücredeki örnek değere bakın | Risk: Yanlış giriş hatalı karar üretir</t>
      </text>
    </comment>
    <comment ref="B20" authorId="0" shapeId="0">
      <text>
        <t>Tanım: egk_normAnahtar | Neden önemli: Gerçek kâr ve fiyatlama kararını etkiler | Doğru kullanım: Serbest alternatif | Örnek: hücredeki örnek değere bakın | Risk: Yanlış giriş hatalı karar üretir</t>
      </text>
    </comment>
    <comment ref="B21" authorId="0" shapeId="0">
      <text>
        <t>Tanım: egk_tanimsizKova | Neden önemli: Gerçek kâr ve fiyatlama kararını etkiler | Doğru kullanım: Serbest alternatif | Örnek: hücredeki örnek değere bakın | Risk: Yanlış giriş hatalı karar üretir</t>
      </text>
    </comment>
    <comment ref="B22" authorId="0" shapeId="0">
      <text>
        <t>Tanım: egk_kovaButunlukAd | Neden önemli: Gerçek kâr ve fiyatlama kararını etkiler | Doğru kullanım: Serbest alternatif | Örnek: hücredeki örnek değere bakın | Risk: Yanlış giriş hatalı karar üretir</t>
      </text>
    </comment>
    <comment ref="B23" authorId="0" shapeId="0">
      <text>
        <t>Tanım: egk_dosyaSurumu | Neden önemli: Gerçek kâr ve fiyatlama kararını etkiler | Doğru kullanım: Ürün sürümü | Örnek: hücredeki örnek değere bakın | Risk: Yanlış giriş hatalı karar üretir</t>
      </text>
    </comment>
    <comment ref="B24" authorId="0" shapeId="0">
      <text>
        <t>Tanım: egk_firmaUnvan | Neden önemli: Gerçek kâr ve fiyatlama kararını etkiler | Doğru kullanım: Firma | Örnek: hücredeki örnek değere bakın | Risk: Yanlış giriş hatalı karar üretir</t>
      </text>
    </comment>
    <comment ref="B25" authorId="0" shapeId="0">
      <text>
        <t>Tanım: egk_kuralSeti | Neden önemli: Gerçek kâr ve fiyatlama kararını etkiler | Doğru kullanım: Kural seti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UrunKodu"/>
    <tableColumn id="2" name="UrunAdi"/>
    <tableColumn id="3" name="SatisFiyati"/>
    <tableColumn id="4" name="Maliyet"/>
    <tableColumn id="5" name="HedefKatkiOran"/>
    <tableColumn id="6" name="HedefNet">
      <calculatedColumnFormula>IF(tblVeriA[[#This Row],[UrunKodu]]="","",ROUND(tblVeriA[[#This Row],[SatisFiyati]]*tblVeriA[[#This Row],[HedefKatkiOran]],2))</calculatedColumnFormula>
    </tableColumn>
    <tableColumn id="7" name="KdvOrani"/>
    <tableColumn id="8" name="Platform"/>
    <tableColumn id="9" name="YorumAB"/>
    <tableColumn id="10" name="Durum"/>
    <tableColumn id="11" name="KayitDolu">
      <calculatedColumnFormula>IF(tblVeriA[[#This Row],[UrunKodu]]="","",1)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UrunKodu"/>
    <tableColumn id="2" name="KomisyonOran"/>
    <tableColumn id="3" name="Kargo"/>
    <tableColumn id="4" name="IadeOran"/>
    <tableColumn id="5" name="ReklamTutar"/>
    <tableColumn id="6" name="Roas"/>
    <tableColumn id="7" name="GercekNet">
      <calculatedColumnFormula>IF(tblVeriB[[#This Row],[UrunKodu]]="","",IFERROR(SUMIF(tblVeriA[UrunKodu],tblVeriB[[#This Row],[UrunKodu]],tblVeriA[SatisFiyati])-SUMIF(tblVeriA[UrunKodu],tblVeriB[[#This Row],[UrunKodu]],tblVeriA[Maliyet])-SUMIF(tblVeriA[UrunKodu],tblVeriB[[#This Row],[UrunKodu]],tblVeriA[SatisFiyati])*tblVeriB[[#This Row],[KomisyonOran]]-tblVeriB[[#This Row],[Kargo]]-SUMIF(tblVeriA[UrunKodu],tblVeriB[[#This Row],[UrunKodu]],tblVeriA[SatisFiyati])*tblVeriB[[#This Row],[IadeOran]]-tblVeriB[[#This Row],[ReklamTutar]],0))</calculatedColumnFormula>
    </tableColumn>
    <tableColumn id="8" name="Platform"/>
    <tableColumn id="9" name="Donem"/>
    <tableColumn id="10" name="KayitDolu">
      <calculatedColumnFormula>IF(tblVeriB[[#This Row],[UrunKodu]]="","",1)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Row],[Norm]],egk_ikincilUzunluk))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Row],[NormB]],egk_ikincilUzunluk))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Satis">
      <calculatedColumnFormula>IF(tblMotor[[#This Row],[A_Norm]]="","",IFERROR(SUMIF(tblAnahtarA[Norm],tblMotor[[#This Row],[A_Norm]],tblVeriA[SatisFiyati]),0))</calculatedColumnFormula>
    </tableColumn>
    <tableColumn id="3" name="Maliyet">
      <calculatedColumnFormula>IF(tblMotor[[#This Row],[A_Norm]]="","",IFERROR(SUMIF(tblAnahtarA[Norm],tblMotor[[#This Row],[A_Norm]],tblVeriA[Maliyet]),0))</calculatedColumnFormula>
    </tableColumn>
    <tableColumn id="4" name="KomisyonOran">
      <calculatedColumnFormula>IF(tblMotor[[#This Row],[A_Norm]]="","",IFERROR(SUMIF(tblAnahtarB[NormB],tblMotor[[#This Row],[A_Norm]],tblVeriB[KomisyonOran]),0))</calculatedColumnFormula>
    </tableColumn>
    <tableColumn id="5" name="KomisyonTutar">
      <calculatedColumnFormula>IF(tblMotor[[#This Row],[A_Norm]]="","",ROUND(tblMotor[[#This Row],[Satis]]*tblMotor[[#This Row],[KomisyonOran]],2))</calculatedColumnFormula>
    </tableColumn>
    <tableColumn id="6" name="Kargo">
      <calculatedColumnFormula>IF(tblMotor[[#This Row],[A_Norm]]="","",IFERROR(SUMIF(tblAnahtarB[NormB],tblMotor[[#This Row],[A_Norm]],tblVeriB[Kargo]),0))</calculatedColumnFormula>
    </tableColumn>
    <tableColumn id="7" name="IadeOran">
      <calculatedColumnFormula>IF(tblMotor[[#This Row],[A_Norm]]="","",IFERROR(SUMIF(tblAnahtarB[NormB],tblMotor[[#This Row],[A_Norm]],tblVeriB[IadeOran]),0))</calculatedColumnFormula>
    </tableColumn>
    <tableColumn id="8" name="IadeMaliyet">
      <calculatedColumnFormula>IF(tblMotor[[#This Row],[A_Norm]]="","",ROUND(tblMotor[[#This Row],[Satis]]*tblMotor[[#This Row],[IadeOran]],2))</calculatedColumnFormula>
    </tableColumn>
    <tableColumn id="9" name="ReklamHarcama">
      <calculatedColumnFormula>IF(tblMotor[[#This Row],[A_Norm]]="","",IFERROR(SUMIF(tblAnahtarB[NormB],tblMotor[[#This Row],[A_Norm]],tblVeriB[ReklamTutar]),0))</calculatedColumnFormula>
    </tableColumn>
    <tableColumn id="10" name="BrutKar">
      <calculatedColumnFormula>IF(tblMotor[[#This Row],[A_Norm]]="","",ROUND(tblMotor[[#This Row],[Satis]]-tblMotor[[#This Row],[Maliyet]],2))</calculatedColumnFormula>
    </tableColumn>
    <tableColumn id="11" name="NetKar">
      <calculatedColumnFormula>IF(tblMotor[[#This Row],[A_Norm]]="","",ROUND(tblMotor[[#This Row],[Satis]]-tblMotor[[#This Row],[Maliyet]]-tblMotor[[#This Row],[KomisyonTutar]]-tblMotor[[#This Row],[Kargo]]-tblMotor[[#This Row],[IadeMaliyet]]-tblMotor[[#This Row],[ReklamHarcama]],2))</calculatedColumnFormula>
    </tableColumn>
    <tableColumn id="12" name="KatkiPayi">
      <calculatedColumnFormula>IF(OR(tblMotor[[#This Row],[A_Norm]]="",tblMotor[[#This Row],[Satis]]=0),0,tblMotor[[#This Row],[NetKar]]/tblMotor[[#This Row],[Satis]])</calculatedColumnFormula>
    </tableColumn>
    <tableColumn id="13" name="BasabasFiyat">
      <calculatedColumnFormula>IF(tblMotor[[#This Row],[A_Norm]]="","",IF((1-tblMotor[[#This Row],[KomisyonOran]]-tblMotor[[#This Row],[IadeOran]])&lt;=0,0,ROUND((tblMotor[[#This Row],[Maliyet]]+tblMotor[[#This Row],[Kargo]]+tblMotor[[#This Row],[ReklamHarcama]])/(1-tblMotor[[#This Row],[KomisyonOran]]-tblMotor[[#This Row],[IadeOran]]),2)))</calculatedColumnFormula>
    </tableColumn>
    <tableColumn id="14" name="HedefNet">
      <calculatedColumnFormula>IF(tblMotor[[#This Row],[A_Norm]]="","",IFERROR(SUMIF(tblAnahtarA[Norm],tblMotor[[#This Row],[A_Norm]],tblVeriA[HedefNet]),0))</calculatedColumnFormula>
    </tableColumn>
    <tableColumn id="15" name="FarkHedef">
      <calculatedColumnFormula>IF(tblMotor[[#This Row],[A_Norm]]="","",ROUND(tblMotor[[#This Row],[NetKar]]-tblMotor[[#This Row],[HedefNet]],2))</calculatedColumnFormula>
    </tableColumn>
    <tableColumn id="16" name="KararSatir">
      <calculatedColumnFormula>IF(tblMotor[[#This Row],[A_Norm]]="","",IF(tblMotor[[#This Row],[KatkiPayi]]&lt;egk_esikKatkiDusuk,"ZAM YAP",IF(AND(tblMotor[[#This Row],[IndirimBayrak]]=1,tblMotor[[#This Row],[KatkiPayi]]&lt;egk_esikKatkiHedef),"İNDİRİMİ KES","TUT")))</calculatedColumnFormula>
    </tableColumn>
    <tableColumn id="17" name="RoasEtki">
      <calculatedColumnFormula>IF(tblMotor[[#This Row],[A_Norm]]="","",IFERROR(SUMIF(tblAnahtarB[NormB],tblMotor[[#This Row],[A_Norm]],tblVeriB[Roas]),0))</calculatedColumnFormula>
    </tableColumn>
    <tableColumn id="18" name="IndirimBayrak">
      <calculatedColumnFormula>IF(tblMotor[[#This Row],[A_Norm]]="","",IF(OR(IFERROR(INDEX(tblVeriA[YorumAB],MATCH(tblMotor[[#This Row],[A_Norm]],tblAnahtarA[Norm],0)),"")="B",IFERROR(INDEX(tblVeriA[Durum],MATCH(tblMotor[[#This Row],[A_Norm]],tblAnahtarA[Norm],0)),"")="Kampanya"),1,0))</calculatedColumnFormula>
    </tableColumn>
    <tableColumn id="19" name="MotorAdim1">
      <calculatedColumnFormula>IF(tblMotor[[#This Row],[A_Norm]]="","",tblMotor[[#This Row],[BrutKar]]-tblMotor[[#This Row],[KomisyonTutar]])</calculatedColumnFormula>
    </tableColumn>
    <tableColumn id="20" name="MotorAdim2">
      <calculatedColumnFormula>IF(tblMotor[[#This Row],[A_Norm]]="","",tblMotor[[#This Row],[NetKar]]-tblMotor[[#This Row],[FarkHedef]])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Row],[A_Norm]],tblMotor[NetKar]),0))</calculatedColumnFormula>
    </tableColumn>
    <tableColumn id="4" name="A_Tutar">
      <calculatedColumnFormula>IF(tblEslesme[[#This Row],[A_Norm]]="","",IFERROR(SUMIF(tblAnahtarA[Norm],tblEslesme[[#This Row],[A_Norm]],tblVeriA[HedefNet]),0))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Row],[AbsFark]]&gt;egk_esikFark,1,0))</calculatedColumnFormula>
    </tableColumn>
    <tableColumn id="15" name="NetKatki">
      <calculatedColumnFormula>IF(tblEslesme[[#This Row],[A_Norm]]="","",IFERROR(SUMIF(tblMotor[A_Norm],tblEslesme[[#This Row],[A_Norm]],tblMotor[NetKar]),0))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omisyon">
      <calculatedColumnFormula>IF(tblKok[[#This Row],[A_Norm]]="","",IFERROR(SUMIF(tblMotor[A_Norm],tblKok[[#This Row],[A_Norm]],tblMotor[KomisyonTutar]),0))</calculatedColumnFormula>
    </tableColumn>
    <tableColumn id="5" name="Kargo">
      <calculatedColumnFormula>IF(tblKok[[#This Row],[A_Norm]]="","",IFERROR(SUMIF(tblMotor[A_Norm],tblKok[[#This Row],[A_Norm]],tblMotor[Kargo]),0))</calculatedColumnFormula>
    </tableColumn>
    <tableColumn id="6" name="Iade">
      <calculatedColumnFormula>IF(tblKok[[#This Row],[A_Norm]]="","",IFERROR(SUMIF(tblMotor[A_Norm],tblKok[[#This Row],[A_Norm]],tblMotor[IadeMaliyet]),0))</calculatedColumnFormula>
    </tableColumn>
    <tableColumn id="7" name="Reklam">
      <calculatedColumnFormula>IF(tblKok[[#This Row],[A_Norm]]="","",IFERROR(SUMIF(tblMotor[A_Norm],tblKok[[#This Row],[A_Norm]],tblMotor[ReklamHarcama]),0))</calculatedColumnFormula>
    </tableColumn>
    <tableColumn id="8" name="KokNeden">
      <calculatedColumnFormula>IF(OR(tblKok[[#This Row],[A_Norm]]="",tblKok[[#This Row],[Kova]]&lt;&gt;"tutar_farki"),"",IF(ABS(tblKok[[#This Row],[AbsFark]]-tblKok[[#This Row],[Komisyon]])&lt;=toleransKurus,"EGK-001",IF(ABS(tblKok[[#This Row],[AbsFark]]-tblKok[[#This Row],[Iade]])&lt;=toleransKurus,"EGK-002",IF(ABS(tblKok[[#This Row],[AbsFark]]-tblKok[[#This Row],[Reklam]])&lt;=toleransKurus,"EGK-003",IF(ABS(tblKok[[#This Row],[AbsFark]]-tblKok[[#This Row],[Kargo]])&lt;=toleransKurus,"EGK-004",IF(tblKok[[#This Row],[AbsFark]]&gt;egk_esikFark,"EGK-005","TANIMSIZ"))))))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NetKar">
      <calculatedColumnFormula>IF(tblAksiyon[[#This Row],[A_Norm]]="","",IFERROR(SUMIF(tblMotor[A_Norm],tblAksiyon[[#This Row],[A_Norm]],tblMotor[NetKar]),0))</calculatedColumnFormula>
    </tableColumn>
    <tableColumn id="3" name="Basabas">
      <calculatedColumnFormula>IF(tblAksiyon[[#This Row],[A_Norm]]="","",IFERROR(SUMIF(tblMotor[A_Norm],tblAksiyon[[#This Row],[A_Norm]],tblMotor[BasabasFiyat]),0))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Row],[A_Norm]]="","",IF(tblAksiyon[[#This Row],[NetKar]]&lt;0,"YUKSEK","NORMAL"))</calculatedColumnFormula>
    </tableColumn>
    <tableColumn id="6" name="AksiyonMetni">
      <calculatedColumnFormula>IF(tblAksiyon[[#This Row],[A_Norm]]="","",_xlfn.TEXTJOIN(" ",TRUE,"SKU",tblAksiyon[[#This Row],[A_Norm]],"karar",tblAksiyon[[#This Row],[Karar]],"net",TEXT(tblAksiyon[[#This Row],[NetKar]],"0.00"),"başabaş",TEXT(tblAksiyon[[#This Row],[Basabas]],"0.00"),"TL"))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1" t="inlineStr">
        <is>
          <t>☰ PANO</t>
        </is>
      </c>
    </row>
    <row r="2">
      <c r="B2" s="67" t="inlineStr">
        <is>
          <t>E-TICARET GERÇEK KÂRLILIK &amp; FIYATLAMA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E-ticaret işletmecisi, pazaryeri satıcısı, mali işler · 2026 Q3 Denetim Standardı</t>
        </is>
      </c>
    </row>
    <row r="5">
      <c r="B5" s="71" t="inlineStr">
        <is>
          <t>ORTALAMA NET KÂR MARJI</t>
        </is>
      </c>
      <c r="C5" s="72" t="n"/>
      <c r="D5" s="73" t="inlineStr">
        <is>
          <t>KONSOLİDE</t>
        </is>
      </c>
      <c r="E5" s="74" t="inlineStr">
        <is>
          <t>ORTALAMA KOMISYON ORANI</t>
        </is>
      </c>
      <c r="F5" s="72" t="n"/>
      <c r="G5" s="75" t="inlineStr">
        <is>
          <t>KONTROL</t>
        </is>
      </c>
      <c r="H5" s="71" t="inlineStr">
        <is>
          <t>NET OPERASYONEL MARJ</t>
        </is>
      </c>
      <c r="I5" s="72" t="n"/>
      <c r="J5" s="76" t="inlineStr">
        <is>
          <t>GÜVENLİ</t>
        </is>
      </c>
      <c r="K5" s="77" t="inlineStr">
        <is>
          <t>SİSTEM GÜVEN SKORU</t>
        </is>
      </c>
      <c r="L5" s="72" t="n"/>
      <c r="M5" s="73" t="inlineStr">
        <is>
          <t>DENETLENDİ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5" t="inlineStr">
        <is>
          <t>E-TICARET GERÇEK KÂRLILIK &amp; FIYATLAMA — DÖNEMSEL İCRA VE PROJEKSİYON</t>
        </is>
      </c>
      <c r="F11" s="87" t="inlineStr">
        <is>
          <t>+%32 Verim</t>
        </is>
      </c>
      <c r="H11" s="65" t="inlineStr">
        <is>
          <t>KONSOLİDE OPERASYON VE KARAR MATRİSİ</t>
        </is>
      </c>
    </row>
    <row r="12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4" t="inlineStr">
        <is>
          <t>D1</t>
        </is>
      </c>
      <c r="C15" s="64" t="n">
        <v>65</v>
      </c>
      <c r="D15" s="64" t="n">
        <v>45</v>
      </c>
      <c r="E15" s="64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4" t="inlineStr">
        <is>
          <t>D2</t>
        </is>
      </c>
      <c r="C16" s="64" t="n">
        <v>78</v>
      </c>
      <c r="D16" s="64" t="n">
        <v>48</v>
      </c>
      <c r="E16" s="64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4" t="inlineStr">
        <is>
          <t>D3</t>
        </is>
      </c>
      <c r="C17" s="64" t="n">
        <v>85</v>
      </c>
      <c r="D17" s="64" t="n">
        <v>55</v>
      </c>
      <c r="E17" s="64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4" t="inlineStr">
        <is>
          <t>D4</t>
        </is>
      </c>
      <c r="C18" s="64" t="n">
        <v>75</v>
      </c>
      <c r="D18" s="64" t="n">
        <v>42</v>
      </c>
      <c r="E18" s="64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4" t="inlineStr">
        <is>
          <t>D5</t>
        </is>
      </c>
      <c r="C19" s="64" t="n">
        <v>90</v>
      </c>
      <c r="D19" s="64" t="n">
        <v>40</v>
      </c>
      <c r="E19" s="64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4" t="inlineStr">
        <is>
          <t>D6</t>
        </is>
      </c>
      <c r="C20" s="64" t="n">
        <v>96</v>
      </c>
      <c r="D20" s="64" t="n">
        <v>32</v>
      </c>
      <c r="E20" s="64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9" t="inlineStr">
        <is>
          <t>■ Ana Segment (%42)</t>
        </is>
      </c>
      <c r="F23" s="64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STRATEJİK VERİMLİLİK FIRSATI</t>
        </is>
      </c>
      <c r="L23" s="101" t="n"/>
      <c r="M23" s="101" t="n"/>
    </row>
    <row r="24">
      <c r="B24" s="50" t="inlineStr">
        <is>
          <t>■ İkincil Grup (%30)</t>
        </is>
      </c>
      <c r="F24" s="64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Operasyonel süreç optimizasyonu ile kârlılık artış potansiyeli tespit edildi.</t>
        </is>
      </c>
    </row>
    <row r="25">
      <c r="B25" s="105" t="inlineStr">
        <is>
          <t>■ Destek Birimi (%15)</t>
        </is>
      </c>
      <c r="F25" s="49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1" t="inlineStr">
        <is>
          <t>☰ PANO</t>
        </is>
      </c>
    </row>
    <row r="3">
      <c r="B3" s="109" t="inlineStr">
        <is>
          <t>🔍  E-TICARET GERÇEK KÂRLILIK &amp; FIYATLAMA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1" t="inlineStr">
        <is>
          <t>☰ PANO</t>
        </is>
      </c>
    </row>
    <row r="2">
      <c r="B2" s="131" t="inlineStr">
        <is>
          <t>E-TICARET GERÇEK KÂRLILIK &amp; FIYATLAMA — NİHAİ KARAR VE DEĞERLEME</t>
        </is>
      </c>
    </row>
    <row r="3">
      <c r="B3" s="132" t="inlineStr">
        <is>
          <t>Yönetim Kurulu ve İcra Komitesi için Otomatik Finansal Stres Testi Raporu · E-ticaret işletmecisi, pazaryeri satıcısı, mali işler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2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E-Ticaret Gerçek Kârlılık &amp; Fiyatlama</t>
        </is>
      </c>
    </row>
    <row r="3" ht="30" customHeight="1">
      <c r="A3" s="3" t="inlineStr">
        <is>
          <t>E-Ticaret Gerçek Kârlılık &amp; Fiyatlama</t>
        </is>
      </c>
    </row>
    <row r="4">
      <c r="A4" s="4" t="inlineStr">
        <is>
          <t>Ürün/SKU bazında satış fiyatı, maliyet, komisyon, kargo, iade ve reklam sonrası gerçek net kârı hesaplar; başabaş fiyat ve ZAM YAP / TUT / İNDİRİMİ KES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Katalog↔platform SKU eşleştirmesi ile gerçek net kâr</t>
        </is>
      </c>
    </row>
    <row r="8">
      <c r="A8" s="6" t="inlineStr">
        <is>
          <t>• Brüt/net kâr, katkı payı ve başabaş fiyat motoru</t>
        </is>
      </c>
    </row>
    <row r="9">
      <c r="A9" s="6" t="inlineStr">
        <is>
          <t>• Komisyon, iade, ROAS, kargo kök-neden kuralları + TANIMSIZ</t>
        </is>
      </c>
    </row>
    <row r="10">
      <c r="A10" s="6" t="inlineStr">
        <is>
          <t>• Kampanya/indirim zararını yakalayan fiyatlama kararı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satıcıları</t>
        </is>
      </c>
    </row>
    <row r="15">
      <c r="A15" s="7" t="inlineStr">
        <is>
          <t>• Mali işler ve fiyatlama ekipleri</t>
        </is>
      </c>
    </row>
    <row r="16">
      <c r="A16" s="7" t="inlineStr">
        <is>
          <t>• SMMM ve dönem kâr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ürün katalogunu girin. 2) VERI_B'ye platform maliyetlerini yapıştırın. 3) MOTOR ve PANO'dan net kâr ile kararı izleyin. 4) AKSIYON'dan fiyat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E-Ticaret Gerçek Kârlılık &amp; Fiyatlama</t>
        </is>
      </c>
    </row>
    <row r="3" ht="20" customHeight="1">
      <c r="A3" s="10" t="inlineStr">
        <is>
          <t>Ürün kataloğu — satış fiyatı / maliyet / hedef katkı (sarıya girin)</t>
        </is>
      </c>
    </row>
    <row r="5" ht="30" customHeight="1">
      <c r="A5" s="12" t="inlineStr">
        <is>
          <t>UrunKodu</t>
        </is>
      </c>
      <c r="B5" s="12" t="inlineStr">
        <is>
          <t>UrunAdi</t>
        </is>
      </c>
      <c r="C5" s="12" t="inlineStr">
        <is>
          <t>SatisFiyati</t>
        </is>
      </c>
      <c r="D5" s="12" t="inlineStr">
        <is>
          <t>Maliyet</t>
        </is>
      </c>
      <c r="E5" s="12" t="inlineStr">
        <is>
          <t>HedefKatkiOran</t>
        </is>
      </c>
      <c r="F5" s="12" t="inlineStr">
        <is>
          <t>HedefNet</t>
        </is>
      </c>
      <c r="G5" s="12" t="inlineStr">
        <is>
          <t>KdvOrani</t>
        </is>
      </c>
      <c r="H5" s="12" t="inlineStr">
        <is>
          <t>Platform</t>
        </is>
      </c>
      <c r="I5" s="12" t="inlineStr">
        <is>
          <t>YorumAB</t>
        </is>
      </c>
      <c r="J5" s="12" t="inlineStr">
        <is>
          <t>Durum</t>
        </is>
      </c>
      <c r="K5" s="12" t="inlineStr">
        <is>
          <t>KayitDolu</t>
        </is>
      </c>
    </row>
    <row r="6">
      <c r="A6" s="13" t="inlineStr">
        <is>
          <t>SKU10001</t>
        </is>
      </c>
      <c r="B6" s="13" t="inlineStr">
        <is>
          <t>Ürün 1</t>
        </is>
      </c>
      <c r="C6" s="14" t="n">
        <v>223</v>
      </c>
      <c r="D6" s="14" t="n">
        <v>98.12</v>
      </c>
      <c r="E6" s="15" t="n">
        <v>0.18</v>
      </c>
      <c r="F6" s="16">
        <f>IF($A6="","",ROUND($C6*$E6,2))</f>
        <v/>
      </c>
      <c r="G6" s="15" t="n">
        <v>0.2</v>
      </c>
      <c r="H6" s="13" t="inlineStr">
        <is>
          <t>Hepsiburada</t>
        </is>
      </c>
      <c r="I6" s="13" t="inlineStr">
        <is>
          <t>A</t>
        </is>
      </c>
      <c r="J6" s="13" t="inlineStr">
        <is>
          <t>Kampanya</t>
        </is>
      </c>
      <c r="K6" s="16">
        <f>IF($A6="","",1)</f>
        <v/>
      </c>
    </row>
    <row r="7">
      <c r="A7" s="13" t="inlineStr">
        <is>
          <t>SKU10002</t>
        </is>
      </c>
      <c r="B7" s="13" t="inlineStr">
        <is>
          <t>Ürün 2</t>
        </is>
      </c>
      <c r="C7" s="14" t="n">
        <v>246</v>
      </c>
      <c r="D7" s="14" t="n">
        <v>113.16</v>
      </c>
      <c r="E7" s="15" t="n">
        <v>0.18</v>
      </c>
      <c r="F7" s="16">
        <f>IF($A7="","",ROUND($C7*$E7,2))</f>
        <v/>
      </c>
      <c r="G7" s="15" t="n">
        <v>0.2</v>
      </c>
      <c r="H7" s="13" t="inlineStr">
        <is>
          <t>Amazon</t>
        </is>
      </c>
      <c r="I7" s="13" t="inlineStr">
        <is>
          <t>A</t>
        </is>
      </c>
      <c r="J7" s="13" t="inlineStr">
        <is>
          <t>Aktif</t>
        </is>
      </c>
      <c r="K7" s="16">
        <f>IF($A7="","",1)</f>
        <v/>
      </c>
    </row>
    <row r="8">
      <c r="A8" s="13" t="inlineStr">
        <is>
          <t>SKU10003</t>
        </is>
      </c>
      <c r="B8" s="13" t="inlineStr">
        <is>
          <t>Ürün 3</t>
        </is>
      </c>
      <c r="C8" s="14" t="n">
        <v>269</v>
      </c>
      <c r="D8" s="14" t="n">
        <v>129.12</v>
      </c>
      <c r="E8" s="15" t="n">
        <v>0.18</v>
      </c>
      <c r="F8" s="16">
        <f>IF($A8="","",ROUND($C8*$E8,2))</f>
        <v/>
      </c>
      <c r="G8" s="15" t="n">
        <v>0.2</v>
      </c>
      <c r="H8" s="13" t="inlineStr">
        <is>
          <t>N11</t>
        </is>
      </c>
      <c r="I8" s="13" t="inlineStr">
        <is>
          <t>A</t>
        </is>
      </c>
      <c r="J8" s="13" t="inlineStr">
        <is>
          <t>Aktif</t>
        </is>
      </c>
      <c r="K8" s="16">
        <f>IF($A8="","",1)</f>
        <v/>
      </c>
    </row>
    <row r="9">
      <c r="A9" s="13" t="inlineStr">
        <is>
          <t>SKU10004</t>
        </is>
      </c>
      <c r="B9" s="13" t="inlineStr">
        <is>
          <t>Ürün 4</t>
        </is>
      </c>
      <c r="C9" s="14" t="n">
        <v>292</v>
      </c>
      <c r="D9" s="14" t="n">
        <v>146</v>
      </c>
      <c r="E9" s="15" t="n">
        <v>0.18</v>
      </c>
      <c r="F9" s="16">
        <f>IF($A9="","",ROUND($C9*$E9,2))</f>
        <v/>
      </c>
      <c r="G9" s="15" t="n">
        <v>0.2</v>
      </c>
      <c r="H9" s="13" t="inlineStr">
        <is>
          <t>KendiSite</t>
        </is>
      </c>
      <c r="I9" s="13" t="inlineStr">
        <is>
          <t>A</t>
        </is>
      </c>
      <c r="J9" s="13" t="inlineStr">
        <is>
          <t>Aktif</t>
        </is>
      </c>
      <c r="K9" s="16">
        <f>IF($A9="","",1)</f>
        <v/>
      </c>
    </row>
    <row r="10">
      <c r="A10" s="13" t="inlineStr">
        <is>
          <t>SKU10005</t>
        </is>
      </c>
      <c r="B10" s="13" t="inlineStr">
        <is>
          <t>Ürün 5</t>
        </is>
      </c>
      <c r="C10" s="14" t="n">
        <v>315</v>
      </c>
      <c r="D10" s="14" t="n">
        <v>132.3</v>
      </c>
      <c r="E10" s="15" t="n">
        <v>0.18</v>
      </c>
      <c r="F10" s="16">
        <f>IF($A10="","",ROUND($C10*$E10,2))</f>
        <v/>
      </c>
      <c r="G10" s="15" t="n">
        <v>0.2</v>
      </c>
      <c r="H10" s="13" t="inlineStr">
        <is>
          <t>Trendyol</t>
        </is>
      </c>
      <c r="I10" s="13" t="inlineStr">
        <is>
          <t>B</t>
        </is>
      </c>
      <c r="J10" s="13" t="inlineStr">
        <is>
          <t>Aktif</t>
        </is>
      </c>
      <c r="K10" s="16">
        <f>IF($A10="","",1)</f>
        <v/>
      </c>
    </row>
    <row r="11">
      <c r="A11" s="13" t="inlineStr">
        <is>
          <t>SKU10006</t>
        </is>
      </c>
      <c r="B11" s="13" t="inlineStr">
        <is>
          <t>Ürün 6</t>
        </is>
      </c>
      <c r="C11" s="14" t="n">
        <v>338</v>
      </c>
      <c r="D11" s="14" t="n">
        <v>148.72</v>
      </c>
      <c r="E11" s="15" t="n">
        <v>0.18</v>
      </c>
      <c r="F11" s="16">
        <f>IF($A11="","",ROUND($C11*$E11,2))</f>
        <v/>
      </c>
      <c r="G11" s="15" t="n">
        <v>0.2</v>
      </c>
      <c r="H11" s="13" t="inlineStr">
        <is>
          <t>Hepsiburada</t>
        </is>
      </c>
      <c r="I11" s="13" t="inlineStr">
        <is>
          <t>A</t>
        </is>
      </c>
      <c r="J11" s="13" t="inlineStr">
        <is>
          <t>Aktif</t>
        </is>
      </c>
      <c r="K11" s="16">
        <f>IF($A11="","",1)</f>
        <v/>
      </c>
    </row>
    <row r="12">
      <c r="A12" s="13" t="inlineStr">
        <is>
          <t>SKU10007</t>
        </is>
      </c>
      <c r="B12" s="13" t="inlineStr">
        <is>
          <t>Ürün 7</t>
        </is>
      </c>
      <c r="C12" s="14" t="n">
        <v>361</v>
      </c>
      <c r="D12" s="14" t="n">
        <v>166.06</v>
      </c>
      <c r="E12" s="15" t="n">
        <v>0.18</v>
      </c>
      <c r="F12" s="16">
        <f>IF($A12="","",ROUND($C12*$E12,2))</f>
        <v/>
      </c>
      <c r="G12" s="15" t="n">
        <v>0.2</v>
      </c>
      <c r="H12" s="13" t="inlineStr">
        <is>
          <t>Amazon</t>
        </is>
      </c>
      <c r="I12" s="13" t="inlineStr">
        <is>
          <t>A</t>
        </is>
      </c>
      <c r="J12" s="13" t="inlineStr">
        <is>
          <t>Aktif</t>
        </is>
      </c>
      <c r="K12" s="16">
        <f>IF($A12="","",1)</f>
        <v/>
      </c>
    </row>
    <row r="13">
      <c r="A13" s="13" t="inlineStr">
        <is>
          <t>SKU10008</t>
        </is>
      </c>
      <c r="B13" s="13" t="inlineStr">
        <is>
          <t>Ürün 8</t>
        </is>
      </c>
      <c r="C13" s="14" t="n">
        <v>384</v>
      </c>
      <c r="D13" s="14" t="n">
        <v>184.32</v>
      </c>
      <c r="E13" s="15" t="n">
        <v>0.18</v>
      </c>
      <c r="F13" s="16">
        <f>IF($A13="","",ROUND($C13*$E13,2))</f>
        <v/>
      </c>
      <c r="G13" s="15" t="n">
        <v>0.2</v>
      </c>
      <c r="H13" s="13" t="inlineStr">
        <is>
          <t>N11</t>
        </is>
      </c>
      <c r="I13" s="13" t="inlineStr">
        <is>
          <t>A</t>
        </is>
      </c>
      <c r="J13" s="13" t="inlineStr">
        <is>
          <t>Kampanya</t>
        </is>
      </c>
      <c r="K13" s="16">
        <f>IF($A13="","",1)</f>
        <v/>
      </c>
    </row>
    <row r="14">
      <c r="A14" s="13" t="inlineStr">
        <is>
          <t>SKU10009</t>
        </is>
      </c>
      <c r="B14" s="13" t="inlineStr">
        <is>
          <t>Ürün 9</t>
        </is>
      </c>
      <c r="C14" s="14" t="n">
        <v>407</v>
      </c>
      <c r="D14" s="14" t="n">
        <v>203.5</v>
      </c>
      <c r="E14" s="15" t="n">
        <v>0.18</v>
      </c>
      <c r="F14" s="16">
        <f>IF($A14="","",ROUND($C14*$E14,2))</f>
        <v/>
      </c>
      <c r="G14" s="15" t="n">
        <v>0.2</v>
      </c>
      <c r="H14" s="13" t="inlineStr">
        <is>
          <t>KendiSite</t>
        </is>
      </c>
      <c r="I14" s="13" t="inlineStr">
        <is>
          <t>A</t>
        </is>
      </c>
      <c r="J14" s="13" t="inlineStr">
        <is>
          <t>Aktif</t>
        </is>
      </c>
      <c r="K14" s="16">
        <f>IF($A14="","",1)</f>
        <v/>
      </c>
    </row>
    <row r="15">
      <c r="A15" s="13" t="inlineStr">
        <is>
          <t>SKU10010</t>
        </is>
      </c>
      <c r="B15" s="13" t="inlineStr">
        <is>
          <t>Ürün 10</t>
        </is>
      </c>
      <c r="C15" s="14" t="n">
        <v>430</v>
      </c>
      <c r="D15" s="14" t="n">
        <v>180.6</v>
      </c>
      <c r="E15" s="15" t="n">
        <v>0.18</v>
      </c>
      <c r="F15" s="16">
        <f>IF($A15="","",ROUND($C15*$E15,2))</f>
        <v/>
      </c>
      <c r="G15" s="15" t="n">
        <v>0.2</v>
      </c>
      <c r="H15" s="13" t="inlineStr">
        <is>
          <t>Trendyol</t>
        </is>
      </c>
      <c r="I15" s="13" t="inlineStr">
        <is>
          <t>B</t>
        </is>
      </c>
      <c r="J15" s="13" t="inlineStr">
        <is>
          <t>Aktif</t>
        </is>
      </c>
      <c r="K15" s="16">
        <f>IF($A15="","",1)</f>
        <v/>
      </c>
    </row>
    <row r="16">
      <c r="A16" s="13" t="inlineStr">
        <is>
          <t>SKU10011</t>
        </is>
      </c>
      <c r="B16" s="13" t="inlineStr">
        <is>
          <t>Ürün 11</t>
        </is>
      </c>
      <c r="C16" s="14" t="n">
        <v>453</v>
      </c>
      <c r="D16" s="14" t="n">
        <v>199.32</v>
      </c>
      <c r="E16" s="15" t="n">
        <v>0.18</v>
      </c>
      <c r="F16" s="16">
        <f>IF($A16="","",ROUND($C16*$E16,2))</f>
        <v/>
      </c>
      <c r="G16" s="15" t="n">
        <v>0.2</v>
      </c>
      <c r="H16" s="13" t="inlineStr">
        <is>
          <t>Hepsiburada</t>
        </is>
      </c>
      <c r="I16" s="13" t="inlineStr">
        <is>
          <t>A</t>
        </is>
      </c>
      <c r="J16" s="13" t="inlineStr">
        <is>
          <t>Aktif</t>
        </is>
      </c>
      <c r="K16" s="16">
        <f>IF($A16="","",1)</f>
        <v/>
      </c>
    </row>
    <row r="17">
      <c r="A17" s="13" t="inlineStr">
        <is>
          <t>SKU10012</t>
        </is>
      </c>
      <c r="B17" s="13" t="inlineStr">
        <is>
          <t>Ürün 12</t>
        </is>
      </c>
      <c r="C17" s="14" t="n">
        <v>476</v>
      </c>
      <c r="D17" s="14" t="n">
        <v>218.96</v>
      </c>
      <c r="E17" s="15" t="n">
        <v>0.18</v>
      </c>
      <c r="F17" s="16">
        <f>IF($A17="","",ROUND($C17*$E17,2))</f>
        <v/>
      </c>
      <c r="G17" s="15" t="n">
        <v>0.2</v>
      </c>
      <c r="H17" s="13" t="inlineStr">
        <is>
          <t>Amazon</t>
        </is>
      </c>
      <c r="I17" s="13" t="inlineStr">
        <is>
          <t>A</t>
        </is>
      </c>
      <c r="J17" s="13" t="inlineStr">
        <is>
          <t>Aktif</t>
        </is>
      </c>
      <c r="K17" s="16">
        <f>IF($A17="","",1)</f>
        <v/>
      </c>
    </row>
    <row r="18">
      <c r="A18" s="13" t="inlineStr">
        <is>
          <t>SKU10013</t>
        </is>
      </c>
      <c r="B18" s="13" t="inlineStr">
        <is>
          <t>Ürün 13</t>
        </is>
      </c>
      <c r="C18" s="14" t="n">
        <v>499</v>
      </c>
      <c r="D18" s="14" t="n">
        <v>239.52</v>
      </c>
      <c r="E18" s="15" t="n">
        <v>0.18</v>
      </c>
      <c r="F18" s="16">
        <f>IF($A18="","",ROUND($C18*$E18,2))</f>
        <v/>
      </c>
      <c r="G18" s="15" t="n">
        <v>0.2</v>
      </c>
      <c r="H18" s="13" t="inlineStr">
        <is>
          <t>N11</t>
        </is>
      </c>
      <c r="I18" s="13" t="inlineStr">
        <is>
          <t>A</t>
        </is>
      </c>
      <c r="J18" s="13" t="inlineStr">
        <is>
          <t>Aktif</t>
        </is>
      </c>
      <c r="K18" s="16">
        <f>IF($A18="","",1)</f>
        <v/>
      </c>
    </row>
    <row r="19">
      <c r="A19" s="13" t="inlineStr">
        <is>
          <t>SKU10014</t>
        </is>
      </c>
      <c r="B19" s="13" t="inlineStr">
        <is>
          <t>Ürün 14</t>
        </is>
      </c>
      <c r="C19" s="14" t="n">
        <v>522</v>
      </c>
      <c r="D19" s="14" t="n">
        <v>261</v>
      </c>
      <c r="E19" s="15" t="n">
        <v>0.18</v>
      </c>
      <c r="F19" s="16">
        <f>IF($A19="","",ROUND($C19*$E19,2))</f>
        <v/>
      </c>
      <c r="G19" s="15" t="n">
        <v>0.2</v>
      </c>
      <c r="H19" s="13" t="inlineStr">
        <is>
          <t>KendiSite</t>
        </is>
      </c>
      <c r="I19" s="13" t="inlineStr">
        <is>
          <t>A</t>
        </is>
      </c>
      <c r="J19" s="13" t="inlineStr">
        <is>
          <t>Aktif</t>
        </is>
      </c>
      <c r="K19" s="16">
        <f>IF($A19="","",1)</f>
        <v/>
      </c>
    </row>
    <row r="20">
      <c r="A20" s="13" t="inlineStr">
        <is>
          <t>SKU10015X</t>
        </is>
      </c>
      <c r="B20" s="13" t="inlineStr">
        <is>
          <t>Ürün 15</t>
        </is>
      </c>
      <c r="C20" s="14" t="n">
        <v>545</v>
      </c>
      <c r="D20" s="14" t="n">
        <v>228.9</v>
      </c>
      <c r="E20" s="15" t="n">
        <v>0.18</v>
      </c>
      <c r="F20" s="16">
        <f>IF($A20="","",ROUND($C20*$E20,2))</f>
        <v/>
      </c>
      <c r="G20" s="15" t="n">
        <v>0.2</v>
      </c>
      <c r="H20" s="13" t="inlineStr">
        <is>
          <t>Trendyol</t>
        </is>
      </c>
      <c r="I20" s="13" t="inlineStr">
        <is>
          <t>B</t>
        </is>
      </c>
      <c r="J20" s="13" t="inlineStr">
        <is>
          <t>Kampanya</t>
        </is>
      </c>
      <c r="K20" s="16">
        <f>IF($A20="","",1)</f>
        <v/>
      </c>
    </row>
    <row r="21">
      <c r="A21" s="13" t="inlineStr">
        <is>
          <t>SKU10016</t>
        </is>
      </c>
      <c r="B21" s="13" t="inlineStr">
        <is>
          <t>Ürün 16</t>
        </is>
      </c>
      <c r="C21" s="14" t="n">
        <v>568</v>
      </c>
      <c r="D21" s="14" t="n">
        <v>249.92</v>
      </c>
      <c r="E21" s="15" t="n">
        <v>0.18</v>
      </c>
      <c r="F21" s="16">
        <f>IF($A21="","",ROUND($C21*$E21,2))</f>
        <v/>
      </c>
      <c r="G21" s="15" t="n">
        <v>0.2</v>
      </c>
      <c r="H21" s="13" t="inlineStr">
        <is>
          <t>Hepsiburada</t>
        </is>
      </c>
      <c r="I21" s="13" t="inlineStr">
        <is>
          <t>A</t>
        </is>
      </c>
      <c r="J21" s="13" t="inlineStr">
        <is>
          <t>Aktif</t>
        </is>
      </c>
      <c r="K21" s="16">
        <f>IF($A21="","",1)</f>
        <v/>
      </c>
    </row>
    <row r="22">
      <c r="A22" s="13" t="inlineStr">
        <is>
          <t>SKU10017</t>
        </is>
      </c>
      <c r="B22" s="13" t="inlineStr">
        <is>
          <t>Ürün 17</t>
        </is>
      </c>
      <c r="C22" s="14" t="n">
        <v>591</v>
      </c>
      <c r="D22" s="14" t="n">
        <v>271.86</v>
      </c>
      <c r="E22" s="15" t="n">
        <v>0.18</v>
      </c>
      <c r="F22" s="16">
        <f>IF($A22="","",ROUND($C22*$E22,2))</f>
        <v/>
      </c>
      <c r="G22" s="15" t="n">
        <v>0.2</v>
      </c>
      <c r="H22" s="13" t="inlineStr">
        <is>
          <t>Amazon</t>
        </is>
      </c>
      <c r="I22" s="13" t="inlineStr">
        <is>
          <t>A</t>
        </is>
      </c>
      <c r="J22" s="13" t="inlineStr">
        <is>
          <t>Aktif</t>
        </is>
      </c>
      <c r="K22" s="16">
        <f>IF($A22="","",1)</f>
        <v/>
      </c>
    </row>
    <row r="23">
      <c r="A23" s="13" t="inlineStr">
        <is>
          <t>SKU10018</t>
        </is>
      </c>
      <c r="B23" s="13" t="inlineStr">
        <is>
          <t>Ürün 18</t>
        </is>
      </c>
      <c r="C23" s="14" t="n">
        <v>614</v>
      </c>
      <c r="D23" s="14" t="n">
        <v>294.72</v>
      </c>
      <c r="E23" s="15" t="n">
        <v>0.18</v>
      </c>
      <c r="F23" s="16">
        <f>IF($A23="","",ROUND($C23*$E23,2))</f>
        <v/>
      </c>
      <c r="G23" s="15" t="n">
        <v>0.2</v>
      </c>
      <c r="H23" s="13" t="inlineStr">
        <is>
          <t>N11</t>
        </is>
      </c>
      <c r="I23" s="13" t="inlineStr">
        <is>
          <t>A</t>
        </is>
      </c>
      <c r="J23" s="13" t="inlineStr">
        <is>
          <t>Aktif</t>
        </is>
      </c>
      <c r="K23" s="16">
        <f>IF($A23="","",1)</f>
        <v/>
      </c>
    </row>
    <row r="24">
      <c r="A24" s="13" t="inlineStr">
        <is>
          <t>SKU10019</t>
        </is>
      </c>
      <c r="B24" s="13" t="inlineStr">
        <is>
          <t>Ürün 19</t>
        </is>
      </c>
      <c r="C24" s="14" t="n">
        <v>637</v>
      </c>
      <c r="D24" s="14" t="n">
        <v>318.5</v>
      </c>
      <c r="E24" s="15" t="n">
        <v>0.18</v>
      </c>
      <c r="F24" s="16">
        <f>IF($A24="","",ROUND($C24*$E24,2))</f>
        <v/>
      </c>
      <c r="G24" s="15" t="n">
        <v>0.2</v>
      </c>
      <c r="H24" s="13" t="inlineStr">
        <is>
          <t>KendiSite</t>
        </is>
      </c>
      <c r="I24" s="13" t="inlineStr">
        <is>
          <t>A</t>
        </is>
      </c>
      <c r="J24" s="13" t="inlineStr">
        <is>
          <t>Aktif</t>
        </is>
      </c>
      <c r="K24" s="16">
        <f>IF($A24="","",1)</f>
        <v/>
      </c>
    </row>
    <row r="25">
      <c r="A25" s="13" t="inlineStr">
        <is>
          <t>SKU10020</t>
        </is>
      </c>
      <c r="B25" s="13" t="inlineStr">
        <is>
          <t>Ürün 20</t>
        </is>
      </c>
      <c r="C25" s="14" t="n">
        <v>660</v>
      </c>
      <c r="D25" s="14" t="n">
        <v>277.2</v>
      </c>
      <c r="E25" s="15" t="n">
        <v>0.18</v>
      </c>
      <c r="F25" s="16">
        <f>IF($A25="","",ROUND($C25*$E25,2))</f>
        <v/>
      </c>
      <c r="G25" s="15" t="n">
        <v>0.2</v>
      </c>
      <c r="H25" s="13" t="inlineStr">
        <is>
          <t>Trendyol</t>
        </is>
      </c>
      <c r="I25" s="13" t="inlineStr">
        <is>
          <t>B</t>
        </is>
      </c>
      <c r="J25" s="13" t="inlineStr">
        <is>
          <t>Aktif</t>
        </is>
      </c>
      <c r="K25" s="16">
        <f>IF($A25="","",1)</f>
        <v/>
      </c>
    </row>
    <row r="26">
      <c r="A26" s="13" t="inlineStr">
        <is>
          <t>SKU10021</t>
        </is>
      </c>
      <c r="B26" s="13" t="inlineStr">
        <is>
          <t>Ürün 21</t>
        </is>
      </c>
      <c r="C26" s="14" t="n">
        <v>683</v>
      </c>
      <c r="D26" s="14" t="n">
        <v>300.52</v>
      </c>
      <c r="E26" s="15" t="n">
        <v>0.18</v>
      </c>
      <c r="F26" s="16">
        <f>IF($A26="","",ROUND($C26*$E26,2))</f>
        <v/>
      </c>
      <c r="G26" s="15" t="n">
        <v>0.2</v>
      </c>
      <c r="H26" s="13" t="inlineStr">
        <is>
          <t>Hepsiburada</t>
        </is>
      </c>
      <c r="I26" s="13" t="inlineStr">
        <is>
          <t>A</t>
        </is>
      </c>
      <c r="J26" s="13" t="inlineStr">
        <is>
          <t>Aktif</t>
        </is>
      </c>
      <c r="K26" s="16">
        <f>IF($A26="","",1)</f>
        <v/>
      </c>
    </row>
    <row r="27">
      <c r="A27" s="13" t="inlineStr">
        <is>
          <t>SKU10022</t>
        </is>
      </c>
      <c r="B27" s="13" t="inlineStr">
        <is>
          <t>Ürün 22</t>
        </is>
      </c>
      <c r="C27" s="14" t="n">
        <v>706</v>
      </c>
      <c r="D27" s="14" t="n">
        <v>324.76</v>
      </c>
      <c r="E27" s="15" t="n">
        <v>0.18</v>
      </c>
      <c r="F27" s="16">
        <f>IF($A27="","",ROUND($C27*$E27,2))</f>
        <v/>
      </c>
      <c r="G27" s="15" t="n">
        <v>0.2</v>
      </c>
      <c r="H27" s="13" t="inlineStr">
        <is>
          <t>Amazon</t>
        </is>
      </c>
      <c r="I27" s="13" t="inlineStr">
        <is>
          <t>A</t>
        </is>
      </c>
      <c r="J27" s="13" t="inlineStr">
        <is>
          <t>Kampanya</t>
        </is>
      </c>
      <c r="K27" s="16">
        <f>IF($A27="","",1)</f>
        <v/>
      </c>
    </row>
    <row r="28">
      <c r="A28" s="13" t="inlineStr">
        <is>
          <t>SKU10023</t>
        </is>
      </c>
      <c r="B28" s="13" t="inlineStr">
        <is>
          <t>Ürün 23</t>
        </is>
      </c>
      <c r="C28" s="14" t="n">
        <v>729</v>
      </c>
      <c r="D28" s="14" t="n">
        <v>349.92</v>
      </c>
      <c r="E28" s="15" t="n">
        <v>0.18</v>
      </c>
      <c r="F28" s="16">
        <f>IF($A28="","",ROUND($C28*$E28,2))</f>
        <v/>
      </c>
      <c r="G28" s="15" t="n">
        <v>0.2</v>
      </c>
      <c r="H28" s="13" t="inlineStr">
        <is>
          <t>N11</t>
        </is>
      </c>
      <c r="I28" s="13" t="inlineStr">
        <is>
          <t>A</t>
        </is>
      </c>
      <c r="J28" s="13" t="inlineStr">
        <is>
          <t>Aktif</t>
        </is>
      </c>
      <c r="K28" s="16">
        <f>IF($A28="","",1)</f>
        <v/>
      </c>
    </row>
    <row r="29">
      <c r="A29" s="13" t="inlineStr">
        <is>
          <t>SKU10024</t>
        </is>
      </c>
      <c r="B29" s="13" t="inlineStr">
        <is>
          <t>Ürün 24</t>
        </is>
      </c>
      <c r="C29" s="14" t="n">
        <v>752</v>
      </c>
      <c r="D29" s="14" t="n">
        <v>376</v>
      </c>
      <c r="E29" s="15" t="n">
        <v>0.18</v>
      </c>
      <c r="F29" s="16">
        <f>IF($A29="","",ROUND($C29*$E29,2))</f>
        <v/>
      </c>
      <c r="G29" s="15" t="n">
        <v>0.2</v>
      </c>
      <c r="H29" s="13" t="inlineStr">
        <is>
          <t>KendiSite</t>
        </is>
      </c>
      <c r="I29" s="13" t="inlineStr">
        <is>
          <t>A</t>
        </is>
      </c>
      <c r="J29" s="13" t="inlineStr">
        <is>
          <t>Aktif</t>
        </is>
      </c>
      <c r="K29" s="16">
        <f>IF($A29="","",1)</f>
        <v/>
      </c>
    </row>
    <row r="30">
      <c r="A30" s="13" t="inlineStr">
        <is>
          <t>SKU10025</t>
        </is>
      </c>
      <c r="B30" s="13" t="inlineStr">
        <is>
          <t>Ürün 25</t>
        </is>
      </c>
      <c r="C30" s="14" t="n">
        <v>775</v>
      </c>
      <c r="D30" s="14" t="n">
        <v>325.5</v>
      </c>
      <c r="E30" s="15" t="n">
        <v>0.18</v>
      </c>
      <c r="F30" s="16">
        <f>IF($A30="","",ROUND($C30*$E30,2))</f>
        <v/>
      </c>
      <c r="G30" s="15" t="n">
        <v>0.2</v>
      </c>
      <c r="H30" s="13" t="inlineStr">
        <is>
          <t>Trendyol</t>
        </is>
      </c>
      <c r="I30" s="13" t="inlineStr">
        <is>
          <t>B</t>
        </is>
      </c>
      <c r="J30" s="13" t="inlineStr">
        <is>
          <t>Aktif</t>
        </is>
      </c>
      <c r="K30" s="16">
        <f>IF($A30="","",1)</f>
        <v/>
      </c>
    </row>
    <row r="31">
      <c r="A31" s="13" t="inlineStr">
        <is>
          <t>SKU10026</t>
        </is>
      </c>
      <c r="B31" s="13" t="inlineStr">
        <is>
          <t>Ürün 26</t>
        </is>
      </c>
      <c r="C31" s="14" t="n">
        <v>798</v>
      </c>
      <c r="D31" s="14" t="n">
        <v>351.12</v>
      </c>
      <c r="E31" s="15" t="n">
        <v>0.18</v>
      </c>
      <c r="F31" s="16">
        <f>IF($A31="","",ROUND($C31*$E31,2))</f>
        <v/>
      </c>
      <c r="G31" s="15" t="n">
        <v>0.2</v>
      </c>
      <c r="H31" s="13" t="inlineStr">
        <is>
          <t>Hepsiburada</t>
        </is>
      </c>
      <c r="I31" s="13" t="inlineStr">
        <is>
          <t>A</t>
        </is>
      </c>
      <c r="J31" s="13" t="inlineStr">
        <is>
          <t>Aktif</t>
        </is>
      </c>
      <c r="K31" s="16">
        <f>IF($A31="","",1)</f>
        <v/>
      </c>
    </row>
    <row r="32">
      <c r="A32" s="13" t="inlineStr">
        <is>
          <t>SKU10027</t>
        </is>
      </c>
      <c r="B32" s="13" t="inlineStr">
        <is>
          <t>Ürün 27</t>
        </is>
      </c>
      <c r="C32" s="14" t="n">
        <v>821</v>
      </c>
      <c r="D32" s="14" t="n">
        <v>377.66</v>
      </c>
      <c r="E32" s="15" t="n">
        <v>0.18</v>
      </c>
      <c r="F32" s="16">
        <f>IF($A32="","",ROUND($C32*$E32,2))</f>
        <v/>
      </c>
      <c r="G32" s="15" t="n">
        <v>0.2</v>
      </c>
      <c r="H32" s="13" t="inlineStr">
        <is>
          <t>Amazon</t>
        </is>
      </c>
      <c r="I32" s="13" t="inlineStr">
        <is>
          <t>A</t>
        </is>
      </c>
      <c r="J32" s="13" t="inlineStr">
        <is>
          <t>Aktif</t>
        </is>
      </c>
      <c r="K32" s="16">
        <f>IF($A32="","",1)</f>
        <v/>
      </c>
    </row>
    <row r="33">
      <c r="A33" s="13" t="inlineStr">
        <is>
          <t>SKU10028</t>
        </is>
      </c>
      <c r="B33" s="13" t="inlineStr">
        <is>
          <t>Ürün 28</t>
        </is>
      </c>
      <c r="C33" s="14" t="n">
        <v>844</v>
      </c>
      <c r="D33" s="14" t="n">
        <v>405.12</v>
      </c>
      <c r="E33" s="15" t="n">
        <v>0.18</v>
      </c>
      <c r="F33" s="16">
        <f>IF($A33="","",ROUND($C33*$E33,2))</f>
        <v/>
      </c>
      <c r="G33" s="15" t="n">
        <v>0.2</v>
      </c>
      <c r="H33" s="13" t="inlineStr">
        <is>
          <t>N11</t>
        </is>
      </c>
      <c r="I33" s="13" t="inlineStr">
        <is>
          <t>A</t>
        </is>
      </c>
      <c r="J33" s="13" t="inlineStr">
        <is>
          <t>Aktif</t>
        </is>
      </c>
      <c r="K33" s="16">
        <f>IF($A33="","",1)</f>
        <v/>
      </c>
    </row>
    <row r="34">
      <c r="A34" s="13" t="inlineStr">
        <is>
          <t>SKU10029</t>
        </is>
      </c>
      <c r="B34" s="13" t="inlineStr">
        <is>
          <t>Ürün 29</t>
        </is>
      </c>
      <c r="C34" s="14" t="n">
        <v>867</v>
      </c>
      <c r="D34" s="14" t="n">
        <v>433.5</v>
      </c>
      <c r="E34" s="15" t="n">
        <v>0.18</v>
      </c>
      <c r="F34" s="16">
        <f>IF($A34="","",ROUND($C34*$E34,2))</f>
        <v/>
      </c>
      <c r="G34" s="15" t="n">
        <v>0.2</v>
      </c>
      <c r="H34" s="13" t="inlineStr">
        <is>
          <t>KendiSite</t>
        </is>
      </c>
      <c r="I34" s="13" t="inlineStr">
        <is>
          <t>A</t>
        </is>
      </c>
      <c r="J34" s="13" t="inlineStr">
        <is>
          <t>Kampanya</t>
        </is>
      </c>
      <c r="K34" s="16">
        <f>IF($A34="","",1)</f>
        <v/>
      </c>
    </row>
    <row r="35">
      <c r="A35" s="13" t="inlineStr">
        <is>
          <t>SKU10030</t>
        </is>
      </c>
      <c r="B35" s="13" t="inlineStr">
        <is>
          <t>Ürün 30</t>
        </is>
      </c>
      <c r="C35" s="14" t="n">
        <v>890</v>
      </c>
      <c r="D35" s="14" t="n">
        <v>373.8</v>
      </c>
      <c r="E35" s="15" t="n">
        <v>0.18</v>
      </c>
      <c r="F35" s="16">
        <f>IF($A35="","",ROUND($C35*$E35,2))</f>
        <v/>
      </c>
      <c r="G35" s="15" t="n">
        <v>0.2</v>
      </c>
      <c r="H35" s="13" t="inlineStr">
        <is>
          <t>Trendyol</t>
        </is>
      </c>
      <c r="I35" s="13" t="inlineStr">
        <is>
          <t>B</t>
        </is>
      </c>
      <c r="J35" s="13" t="inlineStr">
        <is>
          <t>Aktif</t>
        </is>
      </c>
      <c r="K35" s="16">
        <f>IF($A35="","",1)</f>
        <v/>
      </c>
    </row>
    <row r="36">
      <c r="A36" s="13" t="inlineStr">
        <is>
          <t>SKU10031</t>
        </is>
      </c>
      <c r="B36" s="13" t="inlineStr">
        <is>
          <t>Ürün 31</t>
        </is>
      </c>
      <c r="C36" s="14" t="n">
        <v>913</v>
      </c>
      <c r="D36" s="14" t="n">
        <v>401.72</v>
      </c>
      <c r="E36" s="15" t="n">
        <v>0.18</v>
      </c>
      <c r="F36" s="16">
        <f>IF($A36="","",ROUND($C36*$E36,2))</f>
        <v/>
      </c>
      <c r="G36" s="15" t="n">
        <v>0.2</v>
      </c>
      <c r="H36" s="13" t="inlineStr">
        <is>
          <t>Hepsiburada</t>
        </is>
      </c>
      <c r="I36" s="13" t="inlineStr">
        <is>
          <t>A</t>
        </is>
      </c>
      <c r="J36" s="13" t="inlineStr">
        <is>
          <t>Aktif</t>
        </is>
      </c>
      <c r="K36" s="16">
        <f>IF($A36="","",1)</f>
        <v/>
      </c>
    </row>
    <row r="37">
      <c r="A37" s="13" t="inlineStr">
        <is>
          <t>SKU10032</t>
        </is>
      </c>
      <c r="B37" s="13" t="inlineStr">
        <is>
          <t>Ürün 32</t>
        </is>
      </c>
      <c r="C37" s="14" t="n">
        <v>936</v>
      </c>
      <c r="D37" s="14" t="n">
        <v>430.56</v>
      </c>
      <c r="E37" s="15" t="n">
        <v>0.18</v>
      </c>
      <c r="F37" s="16">
        <f>IF($A37="","",ROUND($C37*$E37,2))</f>
        <v/>
      </c>
      <c r="G37" s="15" t="n">
        <v>0.2</v>
      </c>
      <c r="H37" s="13" t="inlineStr">
        <is>
          <t>Amazon</t>
        </is>
      </c>
      <c r="I37" s="13" t="inlineStr">
        <is>
          <t>A</t>
        </is>
      </c>
      <c r="J37" s="13" t="inlineStr">
        <is>
          <t>Aktif</t>
        </is>
      </c>
      <c r="K37" s="16">
        <f>IF($A37="","",1)</f>
        <v/>
      </c>
    </row>
    <row r="38">
      <c r="A38" s="13" t="inlineStr">
        <is>
          <t>SKU10033</t>
        </is>
      </c>
      <c r="B38" s="13" t="inlineStr">
        <is>
          <t>Ürün 33</t>
        </is>
      </c>
      <c r="C38" s="14" t="n">
        <v>959</v>
      </c>
      <c r="D38" s="14" t="n">
        <v>460.32</v>
      </c>
      <c r="E38" s="15" t="n">
        <v>0.18</v>
      </c>
      <c r="F38" s="16">
        <f>IF($A38="","",ROUND($C38*$E38,2))</f>
        <v/>
      </c>
      <c r="G38" s="15" t="n">
        <v>0.2</v>
      </c>
      <c r="H38" s="13" t="inlineStr">
        <is>
          <t>N11</t>
        </is>
      </c>
      <c r="I38" s="13" t="inlineStr">
        <is>
          <t>A</t>
        </is>
      </c>
      <c r="J38" s="13" t="inlineStr">
        <is>
          <t>Aktif</t>
        </is>
      </c>
      <c r="K38" s="16">
        <f>IF($A38="","",1)</f>
        <v/>
      </c>
    </row>
    <row r="39">
      <c r="A39" s="13" t="inlineStr">
        <is>
          <t>SKU10034</t>
        </is>
      </c>
      <c r="B39" s="13" t="inlineStr">
        <is>
          <t>Ürün 34</t>
        </is>
      </c>
      <c r="C39" s="14" t="n">
        <v>982</v>
      </c>
      <c r="D39" s="14" t="n">
        <v>491</v>
      </c>
      <c r="E39" s="15" t="n">
        <v>0.18</v>
      </c>
      <c r="F39" s="16">
        <f>IF($A39="","",ROUND($C39*$E39,2))</f>
        <v/>
      </c>
      <c r="G39" s="15" t="n">
        <v>0.2</v>
      </c>
      <c r="H39" s="13" t="inlineStr">
        <is>
          <t>KendiSite</t>
        </is>
      </c>
      <c r="I39" s="13" t="inlineStr">
        <is>
          <t>A</t>
        </is>
      </c>
      <c r="J39" s="13" t="inlineStr">
        <is>
          <t>Aktif</t>
        </is>
      </c>
      <c r="K39" s="16">
        <f>IF($A39="","",1)</f>
        <v/>
      </c>
    </row>
    <row r="40">
      <c r="A40" s="13" t="inlineStr">
        <is>
          <t>SKU10035</t>
        </is>
      </c>
      <c r="B40" s="13" t="inlineStr">
        <is>
          <t>Ürün 35</t>
        </is>
      </c>
      <c r="C40" s="14" t="n">
        <v>1005</v>
      </c>
      <c r="D40" s="14" t="n">
        <v>422.1</v>
      </c>
      <c r="E40" s="15" t="n">
        <v>0.18</v>
      </c>
      <c r="F40" s="16">
        <f>IF($A40="","",ROUND($C40*$E40,2))</f>
        <v/>
      </c>
      <c r="G40" s="15" t="n">
        <v>0.2</v>
      </c>
      <c r="H40" s="13" t="inlineStr">
        <is>
          <t>Trendyol</t>
        </is>
      </c>
      <c r="I40" s="13" t="inlineStr">
        <is>
          <t>B</t>
        </is>
      </c>
      <c r="J40" s="13" t="inlineStr">
        <is>
          <t>Aktif</t>
        </is>
      </c>
      <c r="K40" s="16">
        <f>IF($A40="","",1)</f>
        <v/>
      </c>
    </row>
    <row r="41">
      <c r="A41" s="13" t="n"/>
      <c r="B41" s="13" t="n"/>
      <c r="C41" s="14" t="n"/>
      <c r="D41" s="14" t="n"/>
      <c r="E41" s="15" t="n"/>
      <c r="F41" s="16">
        <f>IF($A41="","",ROUND($C41*$E41,2))</f>
        <v/>
      </c>
      <c r="G41" s="15" t="n"/>
      <c r="H41" s="13" t="n"/>
      <c r="I41" s="13" t="n"/>
      <c r="J41" s="13" t="n"/>
      <c r="K41" s="16">
        <f>IF($A41="","",1)</f>
        <v/>
      </c>
    </row>
    <row r="42">
      <c r="A42" s="13" t="n"/>
      <c r="B42" s="13" t="n"/>
      <c r="C42" s="14" t="n"/>
      <c r="D42" s="14" t="n"/>
      <c r="E42" s="15" t="n"/>
      <c r="F42" s="16">
        <f>IF($A42="","",ROUND($C42*$E42,2))</f>
        <v/>
      </c>
      <c r="G42" s="15" t="n"/>
      <c r="H42" s="13" t="n"/>
      <c r="I42" s="13" t="n"/>
      <c r="J42" s="13" t="n"/>
      <c r="K42" s="16">
        <f>IF($A42="","",1)</f>
        <v/>
      </c>
    </row>
    <row r="43">
      <c r="A43" s="13" t="n"/>
      <c r="B43" s="13" t="n"/>
      <c r="C43" s="14" t="n"/>
      <c r="D43" s="14" t="n"/>
      <c r="E43" s="15" t="n"/>
      <c r="F43" s="16">
        <f>IF($A43="","",ROUND($C43*$E43,2))</f>
        <v/>
      </c>
      <c r="G43" s="15" t="n"/>
      <c r="H43" s="13" t="n"/>
      <c r="I43" s="13" t="n"/>
      <c r="J43" s="13" t="n"/>
      <c r="K43" s="16">
        <f>IF($A43="","",1)</f>
        <v/>
      </c>
    </row>
    <row r="44">
      <c r="A44" s="13" t="n"/>
      <c r="B44" s="13" t="n"/>
      <c r="C44" s="14" t="n"/>
      <c r="D44" s="14" t="n"/>
      <c r="E44" s="15" t="n"/>
      <c r="F44" s="16">
        <f>IF($A44="","",ROUND($C44*$E44,2))</f>
        <v/>
      </c>
      <c r="G44" s="15" t="n"/>
      <c r="H44" s="13" t="n"/>
      <c r="I44" s="13" t="n"/>
      <c r="J44" s="13" t="n"/>
      <c r="K44" s="16">
        <f>IF($A44="","",1)</f>
        <v/>
      </c>
    </row>
    <row r="45">
      <c r="A45" s="13" t="n"/>
      <c r="B45" s="13" t="n"/>
      <c r="C45" s="14" t="n"/>
      <c r="D45" s="14" t="n"/>
      <c r="E45" s="15" t="n"/>
      <c r="F45" s="16">
        <f>IF($A45="","",ROUND($C45*$E45,2))</f>
        <v/>
      </c>
      <c r="G45" s="15" t="n"/>
      <c r="H45" s="13" t="n"/>
      <c r="I45" s="13" t="n"/>
      <c r="J45" s="13" t="n"/>
      <c r="K45" s="16">
        <f>IF($A45="","",1)</f>
        <v/>
      </c>
    </row>
    <row r="46">
      <c r="A46" s="13" t="n"/>
      <c r="B46" s="13" t="n"/>
      <c r="C46" s="14" t="n"/>
      <c r="D46" s="14" t="n"/>
      <c r="E46" s="15" t="n"/>
      <c r="F46" s="16">
        <f>IF($A46="","",ROUND($C46*$E46,2))</f>
        <v/>
      </c>
      <c r="G46" s="15" t="n"/>
      <c r="H46" s="13" t="n"/>
      <c r="I46" s="13" t="n"/>
      <c r="J46" s="13" t="n"/>
      <c r="K46" s="16">
        <f>IF($A46="","",1)</f>
        <v/>
      </c>
    </row>
    <row r="47">
      <c r="A47" s="13" t="n"/>
      <c r="B47" s="13" t="n"/>
      <c r="C47" s="14" t="n"/>
      <c r="D47" s="14" t="n"/>
      <c r="E47" s="15" t="n"/>
      <c r="F47" s="16">
        <f>IF($A47="","",ROUND($C47*$E47,2))</f>
        <v/>
      </c>
      <c r="G47" s="15" t="n"/>
      <c r="H47" s="13" t="n"/>
      <c r="I47" s="13" t="n"/>
      <c r="J47" s="13" t="n"/>
      <c r="K47" s="16">
        <f>IF($A47="","",1)</f>
        <v/>
      </c>
    </row>
    <row r="48">
      <c r="A48" s="13" t="n"/>
      <c r="B48" s="13" t="n"/>
      <c r="C48" s="14" t="n"/>
      <c r="D48" s="14" t="n"/>
      <c r="E48" s="15" t="n"/>
      <c r="F48" s="16">
        <f>IF($A48="","",ROUND($C48*$E48,2))</f>
        <v/>
      </c>
      <c r="G48" s="15" t="n"/>
      <c r="H48" s="13" t="n"/>
      <c r="I48" s="13" t="n"/>
      <c r="J48" s="13" t="n"/>
      <c r="K48" s="16">
        <f>IF($A48="","",1)</f>
        <v/>
      </c>
    </row>
    <row r="49">
      <c r="A49" s="13" t="n"/>
      <c r="B49" s="13" t="n"/>
      <c r="C49" s="14" t="n"/>
      <c r="D49" s="14" t="n"/>
      <c r="E49" s="15" t="n"/>
      <c r="F49" s="16">
        <f>IF($A49="","",ROUND($C49*$E49,2))</f>
        <v/>
      </c>
      <c r="G49" s="15" t="n"/>
      <c r="H49" s="13" t="n"/>
      <c r="I49" s="13" t="n"/>
      <c r="J49" s="13" t="n"/>
      <c r="K49" s="16">
        <f>IF($A49="","",1)</f>
        <v/>
      </c>
    </row>
    <row r="50">
      <c r="A50" s="13" t="n"/>
      <c r="B50" s="13" t="n"/>
      <c r="C50" s="14" t="n"/>
      <c r="D50" s="14" t="n"/>
      <c r="E50" s="15" t="n"/>
      <c r="F50" s="16">
        <f>IF($A50="","",ROUND($C50*$E50,2))</f>
        <v/>
      </c>
      <c r="G50" s="15" t="n"/>
      <c r="H50" s="13" t="n"/>
      <c r="I50" s="13" t="n"/>
      <c r="J50" s="13" t="n"/>
      <c r="K50" s="16">
        <f>IF($A50="","",1)</f>
        <v/>
      </c>
    </row>
    <row r="51">
      <c r="A51" s="13" t="n"/>
      <c r="B51" s="13" t="n"/>
      <c r="C51" s="14" t="n"/>
      <c r="D51" s="14" t="n"/>
      <c r="E51" s="15" t="n"/>
      <c r="F51" s="16">
        <f>IF($A51="","",ROUND($C51*$E51,2))</f>
        <v/>
      </c>
      <c r="G51" s="15" t="n"/>
      <c r="H51" s="13" t="n"/>
      <c r="I51" s="13" t="n"/>
      <c r="J51" s="13" t="n"/>
      <c r="K51" s="16">
        <f>IF($A51="","",1)</f>
        <v/>
      </c>
    </row>
    <row r="52">
      <c r="A52" s="13" t="n"/>
      <c r="B52" s="13" t="n"/>
      <c r="C52" s="14" t="n"/>
      <c r="D52" s="14" t="n"/>
      <c r="E52" s="15" t="n"/>
      <c r="F52" s="16">
        <f>IF($A52="","",ROUND($C52*$E52,2))</f>
        <v/>
      </c>
      <c r="G52" s="15" t="n"/>
      <c r="H52" s="13" t="n"/>
      <c r="I52" s="13" t="n"/>
      <c r="J52" s="13" t="n"/>
      <c r="K52" s="16">
        <f>IF($A52="","",1)</f>
        <v/>
      </c>
    </row>
    <row r="53">
      <c r="A53" s="13" t="n"/>
      <c r="B53" s="13" t="n"/>
      <c r="C53" s="14" t="n"/>
      <c r="D53" s="14" t="n"/>
      <c r="E53" s="15" t="n"/>
      <c r="F53" s="16">
        <f>IF($A53="","",ROUND($C53*$E53,2))</f>
        <v/>
      </c>
      <c r="G53" s="15" t="n"/>
      <c r="H53" s="13" t="n"/>
      <c r="I53" s="13" t="n"/>
      <c r="J53" s="13" t="n"/>
      <c r="K53" s="16">
        <f>IF($A53="","",1)</f>
        <v/>
      </c>
    </row>
    <row r="54">
      <c r="A54" s="13" t="n"/>
      <c r="B54" s="13" t="n"/>
      <c r="C54" s="14" t="n"/>
      <c r="D54" s="14" t="n"/>
      <c r="E54" s="15" t="n"/>
      <c r="F54" s="16">
        <f>IF($A54="","",ROUND($C54*$E54,2))</f>
        <v/>
      </c>
      <c r="G54" s="15" t="n"/>
      <c r="H54" s="13" t="n"/>
      <c r="I54" s="13" t="n"/>
      <c r="J54" s="13" t="n"/>
      <c r="K54" s="16">
        <f>IF($A54="","",1)</f>
        <v/>
      </c>
    </row>
    <row r="55">
      <c r="A55" s="13" t="n"/>
      <c r="B55" s="13" t="n"/>
      <c r="C55" s="14" t="n"/>
      <c r="D55" s="14" t="n"/>
      <c r="E55" s="15" t="n"/>
      <c r="F55" s="16">
        <f>IF($A55="","",ROUND($C55*$E55,2))</f>
        <v/>
      </c>
      <c r="G55" s="15" t="n"/>
      <c r="H55" s="13" t="n"/>
      <c r="I55" s="13" t="n"/>
      <c r="J55" s="13" t="n"/>
      <c r="K55" s="16">
        <f>IF($A55="","",1)</f>
        <v/>
      </c>
    </row>
    <row r="56">
      <c r="A56" s="13" t="n"/>
      <c r="B56" s="13" t="n"/>
      <c r="C56" s="14" t="n"/>
      <c r="D56" s="14" t="n"/>
      <c r="E56" s="15" t="n"/>
      <c r="F56" s="16">
        <f>IF($A56="","",ROUND($C56*$E56,2))</f>
        <v/>
      </c>
      <c r="G56" s="15" t="n"/>
      <c r="H56" s="13" t="n"/>
      <c r="I56" s="13" t="n"/>
      <c r="J56" s="13" t="n"/>
      <c r="K56" s="16">
        <f>IF($A56="","",1)</f>
        <v/>
      </c>
    </row>
    <row r="57">
      <c r="A57" s="13" t="n"/>
      <c r="B57" s="13" t="n"/>
      <c r="C57" s="14" t="n"/>
      <c r="D57" s="14" t="n"/>
      <c r="E57" s="15" t="n"/>
      <c r="F57" s="16">
        <f>IF($A57="","",ROUND($C57*$E57,2))</f>
        <v/>
      </c>
      <c r="G57" s="15" t="n"/>
      <c r="H57" s="13" t="n"/>
      <c r="I57" s="13" t="n"/>
      <c r="J57" s="13" t="n"/>
      <c r="K57" s="16">
        <f>IF($A57="","",1)</f>
        <v/>
      </c>
    </row>
    <row r="58">
      <c r="A58" s="13" t="n"/>
      <c r="B58" s="13" t="n"/>
      <c r="C58" s="14" t="n"/>
      <c r="D58" s="14" t="n"/>
      <c r="E58" s="15" t="n"/>
      <c r="F58" s="16">
        <f>IF($A58="","",ROUND($C58*$E58,2))</f>
        <v/>
      </c>
      <c r="G58" s="15" t="n"/>
      <c r="H58" s="13" t="n"/>
      <c r="I58" s="13" t="n"/>
      <c r="J58" s="13" t="n"/>
      <c r="K58" s="16">
        <f>IF($A58="","",1)</f>
        <v/>
      </c>
    </row>
    <row r="59">
      <c r="A59" s="13" t="n"/>
      <c r="B59" s="13" t="n"/>
      <c r="C59" s="14" t="n"/>
      <c r="D59" s="14" t="n"/>
      <c r="E59" s="15" t="n"/>
      <c r="F59" s="16">
        <f>IF($A59="","",ROUND($C59*$E59,2))</f>
        <v/>
      </c>
      <c r="G59" s="15" t="n"/>
      <c r="H59" s="13" t="n"/>
      <c r="I59" s="13" t="n"/>
      <c r="J59" s="13" t="n"/>
      <c r="K59" s="16">
        <f>IF($A59="","",1)</f>
        <v/>
      </c>
    </row>
    <row r="60">
      <c r="A60" s="13" t="n"/>
      <c r="B60" s="13" t="n"/>
      <c r="C60" s="14" t="n"/>
      <c r="D60" s="14" t="n"/>
      <c r="E60" s="15" t="n"/>
      <c r="F60" s="16">
        <f>IF($A60="","",ROUND($C60*$E60,2))</f>
        <v/>
      </c>
      <c r="G60" s="15" t="n"/>
      <c r="H60" s="13" t="n"/>
      <c r="I60" s="13" t="n"/>
      <c r="J60" s="13" t="n"/>
      <c r="K60" s="16">
        <f>IF($A60="","",1)</f>
        <v/>
      </c>
    </row>
    <row r="61">
      <c r="A61" s="13" t="n"/>
      <c r="B61" s="13" t="n"/>
      <c r="C61" s="14" t="n"/>
      <c r="D61" s="14" t="n"/>
      <c r="E61" s="15" t="n"/>
      <c r="F61" s="16">
        <f>IF($A61="","",ROUND($C61*$E61,2))</f>
        <v/>
      </c>
      <c r="G61" s="15" t="n"/>
      <c r="H61" s="13" t="n"/>
      <c r="I61" s="13" t="n"/>
      <c r="J61" s="13" t="n"/>
      <c r="K61" s="16">
        <f>IF($A61="","",1)</f>
        <v/>
      </c>
    </row>
    <row r="62">
      <c r="A62" s="13" t="n"/>
      <c r="B62" s="13" t="n"/>
      <c r="C62" s="14" t="n"/>
      <c r="D62" s="14" t="n"/>
      <c r="E62" s="15" t="n"/>
      <c r="F62" s="16">
        <f>IF($A62="","",ROUND($C62*$E62,2))</f>
        <v/>
      </c>
      <c r="G62" s="15" t="n"/>
      <c r="H62" s="13" t="n"/>
      <c r="I62" s="13" t="n"/>
      <c r="J62" s="13" t="n"/>
      <c r="K62" s="16">
        <f>IF($A62="","",1)</f>
        <v/>
      </c>
    </row>
    <row r="63">
      <c r="A63" s="13" t="n"/>
      <c r="B63" s="13" t="n"/>
      <c r="C63" s="14" t="n"/>
      <c r="D63" s="14" t="n"/>
      <c r="E63" s="15" t="n"/>
      <c r="F63" s="16">
        <f>IF($A63="","",ROUND($C63*$E63,2))</f>
        <v/>
      </c>
      <c r="G63" s="15" t="n"/>
      <c r="H63" s="13" t="n"/>
      <c r="I63" s="13" t="n"/>
      <c r="J63" s="13" t="n"/>
      <c r="K63" s="16">
        <f>IF($A63="","",1)</f>
        <v/>
      </c>
    </row>
    <row r="64">
      <c r="A64" s="13" t="n"/>
      <c r="B64" s="13" t="n"/>
      <c r="C64" s="14" t="n"/>
      <c r="D64" s="14" t="n"/>
      <c r="E64" s="15" t="n"/>
      <c r="F64" s="16">
        <f>IF($A64="","",ROUND($C64*$E64,2))</f>
        <v/>
      </c>
      <c r="G64" s="15" t="n"/>
      <c r="H64" s="13" t="n"/>
      <c r="I64" s="13" t="n"/>
      <c r="J64" s="13" t="n"/>
      <c r="K64" s="16">
        <f>IF($A64="","",1)</f>
        <v/>
      </c>
    </row>
    <row r="65">
      <c r="A65" s="13" t="n"/>
      <c r="B65" s="13" t="n"/>
      <c r="C65" s="14" t="n"/>
      <c r="D65" s="14" t="n"/>
      <c r="E65" s="15" t="n"/>
      <c r="F65" s="16">
        <f>IF($A65="","",ROUND($C65*$E65,2))</f>
        <v/>
      </c>
      <c r="G65" s="15" t="n"/>
      <c r="H65" s="13" t="n"/>
      <c r="I65" s="13" t="n"/>
      <c r="J65" s="13" t="n"/>
      <c r="K65" s="16">
        <f>IF($A65="","",1)</f>
        <v/>
      </c>
    </row>
    <row r="66">
      <c r="A66" s="13" t="n"/>
      <c r="B66" s="13" t="n"/>
      <c r="C66" s="14" t="n"/>
      <c r="D66" s="14" t="n"/>
      <c r="E66" s="15" t="n"/>
      <c r="F66" s="16">
        <f>IF($A66="","",ROUND($C66*$E66,2))</f>
        <v/>
      </c>
      <c r="G66" s="15" t="n"/>
      <c r="H66" s="13" t="n"/>
      <c r="I66" s="13" t="n"/>
      <c r="J66" s="13" t="n"/>
      <c r="K66" s="16">
        <f>IF($A66="","",1)</f>
        <v/>
      </c>
    </row>
    <row r="67">
      <c r="A67" s="13" t="n"/>
      <c r="B67" s="13" t="n"/>
      <c r="C67" s="14" t="n"/>
      <c r="D67" s="14" t="n"/>
      <c r="E67" s="15" t="n"/>
      <c r="F67" s="16">
        <f>IF($A67="","",ROUND($C67*$E67,2))</f>
        <v/>
      </c>
      <c r="G67" s="15" t="n"/>
      <c r="H67" s="13" t="n"/>
      <c r="I67" s="13" t="n"/>
      <c r="J67" s="13" t="n"/>
      <c r="K67" s="16">
        <f>IF($A67="","",1)</f>
        <v/>
      </c>
    </row>
    <row r="68">
      <c r="A68" s="13" t="n"/>
      <c r="B68" s="13" t="n"/>
      <c r="C68" s="14" t="n"/>
      <c r="D68" s="14" t="n"/>
      <c r="E68" s="15" t="n"/>
      <c r="F68" s="16">
        <f>IF($A68="","",ROUND($C68*$E68,2))</f>
        <v/>
      </c>
      <c r="G68" s="15" t="n"/>
      <c r="H68" s="13" t="n"/>
      <c r="I68" s="13" t="n"/>
      <c r="J68" s="13" t="n"/>
      <c r="K68" s="16">
        <f>IF($A68="","",1)</f>
        <v/>
      </c>
    </row>
    <row r="69">
      <c r="A69" s="13" t="n"/>
      <c r="B69" s="13" t="n"/>
      <c r="C69" s="14" t="n"/>
      <c r="D69" s="14" t="n"/>
      <c r="E69" s="15" t="n"/>
      <c r="F69" s="16">
        <f>IF($A69="","",ROUND($C69*$E69,2))</f>
        <v/>
      </c>
      <c r="G69" s="15" t="n"/>
      <c r="H69" s="13" t="n"/>
      <c r="I69" s="13" t="n"/>
      <c r="J69" s="13" t="n"/>
      <c r="K69" s="16">
        <f>IF($A69="","",1)</f>
        <v/>
      </c>
    </row>
    <row r="70">
      <c r="A70" s="13" t="n"/>
      <c r="B70" s="13" t="n"/>
      <c r="C70" s="14" t="n"/>
      <c r="D70" s="14" t="n"/>
      <c r="E70" s="15" t="n"/>
      <c r="F70" s="16">
        <f>IF($A70="","",ROUND($C70*$E70,2))</f>
        <v/>
      </c>
      <c r="G70" s="15" t="n"/>
      <c r="H70" s="13" t="n"/>
      <c r="I70" s="13" t="n"/>
      <c r="J70" s="13" t="n"/>
      <c r="K70" s="16">
        <f>IF($A70="","",1)</f>
        <v/>
      </c>
    </row>
    <row r="71">
      <c r="A71" s="13" t="n"/>
      <c r="B71" s="13" t="n"/>
      <c r="C71" s="14" t="n"/>
      <c r="D71" s="14" t="n"/>
      <c r="E71" s="15" t="n"/>
      <c r="F71" s="16">
        <f>IF($A71="","",ROUND($C71*$E71,2))</f>
        <v/>
      </c>
      <c r="G71" s="15" t="n"/>
      <c r="H71" s="13" t="n"/>
      <c r="I71" s="13" t="n"/>
      <c r="J71" s="13" t="n"/>
      <c r="K71" s="16">
        <f>IF($A71="","",1)</f>
        <v/>
      </c>
    </row>
    <row r="72">
      <c r="A72" s="13" t="n"/>
      <c r="B72" s="13" t="n"/>
      <c r="C72" s="14" t="n"/>
      <c r="D72" s="14" t="n"/>
      <c r="E72" s="15" t="n"/>
      <c r="F72" s="16">
        <f>IF($A72="","",ROUND($C72*$E72,2))</f>
        <v/>
      </c>
      <c r="G72" s="15" t="n"/>
      <c r="H72" s="13" t="n"/>
      <c r="I72" s="13" t="n"/>
      <c r="J72" s="13" t="n"/>
      <c r="K72" s="16">
        <f>IF($A72="","",1)</f>
        <v/>
      </c>
    </row>
    <row r="73">
      <c r="A73" s="13" t="n"/>
      <c r="B73" s="13" t="n"/>
      <c r="C73" s="14" t="n"/>
      <c r="D73" s="14" t="n"/>
      <c r="E73" s="15" t="n"/>
      <c r="F73" s="16">
        <f>IF($A73="","",ROUND($C73*$E73,2))</f>
        <v/>
      </c>
      <c r="G73" s="15" t="n"/>
      <c r="H73" s="13" t="n"/>
      <c r="I73" s="13" t="n"/>
      <c r="J73" s="13" t="n"/>
      <c r="K73" s="16">
        <f>IF($A73="","",1)</f>
        <v/>
      </c>
    </row>
    <row r="74">
      <c r="A74" s="13" t="n"/>
      <c r="B74" s="13" t="n"/>
      <c r="C74" s="14" t="n"/>
      <c r="D74" s="14" t="n"/>
      <c r="E74" s="15" t="n"/>
      <c r="F74" s="16">
        <f>IF($A74="","",ROUND($C74*$E74,2))</f>
        <v/>
      </c>
      <c r="G74" s="15" t="n"/>
      <c r="H74" s="13" t="n"/>
      <c r="I74" s="13" t="n"/>
      <c r="J74" s="13" t="n"/>
      <c r="K74" s="16">
        <f>IF($A74="","",1)</f>
        <v/>
      </c>
    </row>
    <row r="75">
      <c r="A75" s="13" t="n"/>
      <c r="B75" s="13" t="n"/>
      <c r="C75" s="14" t="n"/>
      <c r="D75" s="14" t="n"/>
      <c r="E75" s="15" t="n"/>
      <c r="F75" s="16">
        <f>IF($A75="","",ROUND($C75*$E75,2))</f>
        <v/>
      </c>
      <c r="G75" s="15" t="n"/>
      <c r="H75" s="13" t="n"/>
      <c r="I75" s="13" t="n"/>
      <c r="J75" s="13" t="n"/>
      <c r="K75" s="16">
        <f>IF($A75="","",1)</f>
        <v/>
      </c>
    </row>
    <row r="76">
      <c r="A76" s="13" t="n"/>
      <c r="B76" s="13" t="n"/>
      <c r="C76" s="14" t="n"/>
      <c r="D76" s="14" t="n"/>
      <c r="E76" s="15" t="n"/>
      <c r="F76" s="16">
        <f>IF($A76="","",ROUND($C76*$E76,2))</f>
        <v/>
      </c>
      <c r="G76" s="15" t="n"/>
      <c r="H76" s="13" t="n"/>
      <c r="I76" s="13" t="n"/>
      <c r="J76" s="13" t="n"/>
      <c r="K76" s="16">
        <f>IF($A76="","",1)</f>
        <v/>
      </c>
    </row>
    <row r="77">
      <c r="A77" s="13" t="n"/>
      <c r="B77" s="13" t="n"/>
      <c r="C77" s="14" t="n"/>
      <c r="D77" s="14" t="n"/>
      <c r="E77" s="15" t="n"/>
      <c r="F77" s="16">
        <f>IF($A77="","",ROUND($C77*$E77,2))</f>
        <v/>
      </c>
      <c r="G77" s="15" t="n"/>
      <c r="H77" s="13" t="n"/>
      <c r="I77" s="13" t="n"/>
      <c r="J77" s="13" t="n"/>
      <c r="K77" s="16">
        <f>IF($A77="","",1)</f>
        <v/>
      </c>
    </row>
    <row r="78">
      <c r="A78" s="13" t="n"/>
      <c r="B78" s="13" t="n"/>
      <c r="C78" s="14" t="n"/>
      <c r="D78" s="14" t="n"/>
      <c r="E78" s="15" t="n"/>
      <c r="F78" s="16">
        <f>IF($A78="","",ROUND($C78*$E78,2))</f>
        <v/>
      </c>
      <c r="G78" s="15" t="n"/>
      <c r="H78" s="13" t="n"/>
      <c r="I78" s="13" t="n"/>
      <c r="J78" s="13" t="n"/>
      <c r="K78" s="16">
        <f>IF($A78="","",1)</f>
        <v/>
      </c>
    </row>
    <row r="79">
      <c r="A79" s="13" t="n"/>
      <c r="B79" s="13" t="n"/>
      <c r="C79" s="14" t="n"/>
      <c r="D79" s="14" t="n"/>
      <c r="E79" s="15" t="n"/>
      <c r="F79" s="16">
        <f>IF($A79="","",ROUND($C79*$E79,2))</f>
        <v/>
      </c>
      <c r="G79" s="15" t="n"/>
      <c r="H79" s="13" t="n"/>
      <c r="I79" s="13" t="n"/>
      <c r="J79" s="13" t="n"/>
      <c r="K79" s="16">
        <f>IF($A79="","",1)</f>
        <v/>
      </c>
    </row>
    <row r="80">
      <c r="A80" s="13" t="n"/>
      <c r="B80" s="13" t="n"/>
      <c r="C80" s="14" t="n"/>
      <c r="D80" s="14" t="n"/>
      <c r="E80" s="15" t="n"/>
      <c r="F80" s="16">
        <f>IF($A80="","",ROUND($C80*$E80,2))</f>
        <v/>
      </c>
      <c r="G80" s="15" t="n"/>
      <c r="H80" s="13" t="n"/>
      <c r="I80" s="13" t="n"/>
      <c r="J80" s="13" t="n"/>
      <c r="K80" s="16">
        <f>IF($A80="","",1)</f>
        <v/>
      </c>
    </row>
    <row r="81">
      <c r="A81" s="13" t="n"/>
      <c r="B81" s="13" t="n"/>
      <c r="C81" s="14" t="n"/>
      <c r="D81" s="14" t="n"/>
      <c r="E81" s="15" t="n"/>
      <c r="F81" s="16">
        <f>IF($A81="","",ROUND($C81*$E81,2))</f>
        <v/>
      </c>
      <c r="G81" s="15" t="n"/>
      <c r="H81" s="13" t="n"/>
      <c r="I81" s="13" t="n"/>
      <c r="J81" s="13" t="n"/>
      <c r="K81" s="16">
        <f>IF($A81="","",1)</f>
        <v/>
      </c>
    </row>
    <row r="82">
      <c r="A82" s="13" t="n"/>
      <c r="B82" s="13" t="n"/>
      <c r="C82" s="14" t="n"/>
      <c r="D82" s="14" t="n"/>
      <c r="E82" s="15" t="n"/>
      <c r="F82" s="16">
        <f>IF($A82="","",ROUND($C82*$E82,2))</f>
        <v/>
      </c>
      <c r="G82" s="15" t="n"/>
      <c r="H82" s="13" t="n"/>
      <c r="I82" s="13" t="n"/>
      <c r="J82" s="13" t="n"/>
      <c r="K82" s="16">
        <f>IF($A82="","",1)</f>
        <v/>
      </c>
    </row>
    <row r="83">
      <c r="A83" s="13" t="n"/>
      <c r="B83" s="13" t="n"/>
      <c r="C83" s="14" t="n"/>
      <c r="D83" s="14" t="n"/>
      <c r="E83" s="15" t="n"/>
      <c r="F83" s="16">
        <f>IF($A83="","",ROUND($C83*$E83,2))</f>
        <v/>
      </c>
      <c r="G83" s="15" t="n"/>
      <c r="H83" s="13" t="n"/>
      <c r="I83" s="13" t="n"/>
      <c r="J83" s="13" t="n"/>
      <c r="K83" s="16">
        <f>IF($A83="","",1)</f>
        <v/>
      </c>
    </row>
    <row r="84">
      <c r="A84" s="13" t="n"/>
      <c r="B84" s="13" t="n"/>
      <c r="C84" s="14" t="n"/>
      <c r="D84" s="14" t="n"/>
      <c r="E84" s="15" t="n"/>
      <c r="F84" s="16">
        <f>IF($A84="","",ROUND($C84*$E84,2))</f>
        <v/>
      </c>
      <c r="G84" s="15" t="n"/>
      <c r="H84" s="13" t="n"/>
      <c r="I84" s="13" t="n"/>
      <c r="J84" s="13" t="n"/>
      <c r="K84" s="16">
        <f>IF($A84="","",1)</f>
        <v/>
      </c>
    </row>
    <row r="85">
      <c r="A85" s="13" t="n"/>
      <c r="B85" s="13" t="n"/>
      <c r="C85" s="14" t="n"/>
      <c r="D85" s="14" t="n"/>
      <c r="E85" s="15" t="n"/>
      <c r="F85" s="16">
        <f>IF($A85="","",ROUND($C85*$E85,2))</f>
        <v/>
      </c>
      <c r="G85" s="15" t="n"/>
      <c r="H85" s="13" t="n"/>
      <c r="I85" s="13" t="n"/>
      <c r="J85" s="13" t="n"/>
      <c r="K85" s="16">
        <f>IF($A85="","",1)</f>
        <v/>
      </c>
    </row>
    <row r="86">
      <c r="A86" s="13" t="n"/>
      <c r="B86" s="13" t="n"/>
      <c r="C86" s="14" t="n"/>
      <c r="D86" s="14" t="n"/>
      <c r="E86" s="15" t="n"/>
      <c r="F86" s="16">
        <f>IF($A86="","",ROUND($C86*$E86,2))</f>
        <v/>
      </c>
      <c r="G86" s="15" t="n"/>
      <c r="H86" s="13" t="n"/>
      <c r="I86" s="13" t="n"/>
      <c r="J86" s="13" t="n"/>
      <c r="K86" s="16">
        <f>IF($A86="","",1)</f>
        <v/>
      </c>
    </row>
    <row r="87">
      <c r="A87" s="13" t="n"/>
      <c r="B87" s="13" t="n"/>
      <c r="C87" s="14" t="n"/>
      <c r="D87" s="14" t="n"/>
      <c r="E87" s="15" t="n"/>
      <c r="F87" s="16">
        <f>IF($A87="","",ROUND($C87*$E87,2))</f>
        <v/>
      </c>
      <c r="G87" s="15" t="n"/>
      <c r="H87" s="13" t="n"/>
      <c r="I87" s="13" t="n"/>
      <c r="J87" s="13" t="n"/>
      <c r="K87" s="16">
        <f>IF($A87="","",1)</f>
        <v/>
      </c>
    </row>
    <row r="88">
      <c r="A88" s="13" t="n"/>
      <c r="B88" s="13" t="n"/>
      <c r="C88" s="14" t="n"/>
      <c r="D88" s="14" t="n"/>
      <c r="E88" s="15" t="n"/>
      <c r="F88" s="16">
        <f>IF($A88="","",ROUND($C88*$E88,2))</f>
        <v/>
      </c>
      <c r="G88" s="15" t="n"/>
      <c r="H88" s="13" t="n"/>
      <c r="I88" s="13" t="n"/>
      <c r="J88" s="13" t="n"/>
      <c r="K88" s="16">
        <f>IF($A88="","",1)</f>
        <v/>
      </c>
    </row>
    <row r="89">
      <c r="A89" s="13" t="n"/>
      <c r="B89" s="13" t="n"/>
      <c r="C89" s="14" t="n"/>
      <c r="D89" s="14" t="n"/>
      <c r="E89" s="15" t="n"/>
      <c r="F89" s="16">
        <f>IF($A89="","",ROUND($C89*$E89,2))</f>
        <v/>
      </c>
      <c r="G89" s="15" t="n"/>
      <c r="H89" s="13" t="n"/>
      <c r="I89" s="13" t="n"/>
      <c r="J89" s="13" t="n"/>
      <c r="K89" s="16">
        <f>IF($A89="","",1)</f>
        <v/>
      </c>
    </row>
    <row r="90">
      <c r="A90" s="13" t="n"/>
      <c r="B90" s="13" t="n"/>
      <c r="C90" s="14" t="n"/>
      <c r="D90" s="14" t="n"/>
      <c r="E90" s="15" t="n"/>
      <c r="F90" s="16">
        <f>IF($A90="","",ROUND($C90*$E90,2))</f>
        <v/>
      </c>
      <c r="G90" s="15" t="n"/>
      <c r="H90" s="13" t="n"/>
      <c r="I90" s="13" t="n"/>
      <c r="J90" s="13" t="n"/>
      <c r="K90" s="16">
        <f>IF($A90="","",1)</f>
        <v/>
      </c>
    </row>
    <row r="91">
      <c r="A91" s="13" t="n"/>
      <c r="B91" s="13" t="n"/>
      <c r="C91" s="14" t="n"/>
      <c r="D91" s="14" t="n"/>
      <c r="E91" s="15" t="n"/>
      <c r="F91" s="16">
        <f>IF($A91="","",ROUND($C91*$E91,2))</f>
        <v/>
      </c>
      <c r="G91" s="15" t="n"/>
      <c r="H91" s="13" t="n"/>
      <c r="I91" s="13" t="n"/>
      <c r="J91" s="13" t="n"/>
      <c r="K91" s="16">
        <f>IF($A91="","",1)</f>
        <v/>
      </c>
    </row>
    <row r="92">
      <c r="A92" s="13" t="n"/>
      <c r="B92" s="13" t="n"/>
      <c r="C92" s="14" t="n"/>
      <c r="D92" s="14" t="n"/>
      <c r="E92" s="15" t="n"/>
      <c r="F92" s="16">
        <f>IF($A92="","",ROUND($C92*$E92,2))</f>
        <v/>
      </c>
      <c r="G92" s="15" t="n"/>
      <c r="H92" s="13" t="n"/>
      <c r="I92" s="13" t="n"/>
      <c r="J92" s="13" t="n"/>
      <c r="K92" s="16">
        <f>IF($A92="","",1)</f>
        <v/>
      </c>
    </row>
    <row r="93">
      <c r="A93" s="13" t="n"/>
      <c r="B93" s="13" t="n"/>
      <c r="C93" s="14" t="n"/>
      <c r="D93" s="14" t="n"/>
      <c r="E93" s="15" t="n"/>
      <c r="F93" s="16">
        <f>IF($A93="","",ROUND($C93*$E93,2))</f>
        <v/>
      </c>
      <c r="G93" s="15" t="n"/>
      <c r="H93" s="13" t="n"/>
      <c r="I93" s="13" t="n"/>
      <c r="J93" s="13" t="n"/>
      <c r="K93" s="16">
        <f>IF($A93="","",1)</f>
        <v/>
      </c>
    </row>
    <row r="94">
      <c r="A94" s="13" t="n"/>
      <c r="B94" s="13" t="n"/>
      <c r="C94" s="14" t="n"/>
      <c r="D94" s="14" t="n"/>
      <c r="E94" s="15" t="n"/>
      <c r="F94" s="16">
        <f>IF($A94="","",ROUND($C94*$E94,2))</f>
        <v/>
      </c>
      <c r="G94" s="15" t="n"/>
      <c r="H94" s="13" t="n"/>
      <c r="I94" s="13" t="n"/>
      <c r="J94" s="13" t="n"/>
      <c r="K94" s="16">
        <f>IF($A94="","",1)</f>
        <v/>
      </c>
    </row>
    <row r="95">
      <c r="A95" s="13" t="n"/>
      <c r="B95" s="13" t="n"/>
      <c r="C95" s="14" t="n"/>
      <c r="D95" s="14" t="n"/>
      <c r="E95" s="15" t="n"/>
      <c r="F95" s="16">
        <f>IF($A95="","",ROUND($C95*$E95,2))</f>
        <v/>
      </c>
      <c r="G95" s="15" t="n"/>
      <c r="H95" s="13" t="n"/>
      <c r="I95" s="13" t="n"/>
      <c r="J95" s="13" t="n"/>
      <c r="K95" s="16">
        <f>IF($A95="","",1)</f>
        <v/>
      </c>
    </row>
    <row r="96">
      <c r="A96" s="13" t="n"/>
      <c r="B96" s="13" t="n"/>
      <c r="C96" s="14" t="n"/>
      <c r="D96" s="14" t="n"/>
      <c r="E96" s="15" t="n"/>
      <c r="F96" s="16">
        <f>IF($A96="","",ROUND($C96*$E96,2))</f>
        <v/>
      </c>
      <c r="G96" s="15" t="n"/>
      <c r="H96" s="13" t="n"/>
      <c r="I96" s="13" t="n"/>
      <c r="J96" s="13" t="n"/>
      <c r="K96" s="16">
        <f>IF($A96="","",1)</f>
        <v/>
      </c>
    </row>
    <row r="97">
      <c r="A97" s="13" t="n"/>
      <c r="B97" s="13" t="n"/>
      <c r="C97" s="14" t="n"/>
      <c r="D97" s="14" t="n"/>
      <c r="E97" s="15" t="n"/>
      <c r="F97" s="16">
        <f>IF($A97="","",ROUND($C97*$E97,2))</f>
        <v/>
      </c>
      <c r="G97" s="15" t="n"/>
      <c r="H97" s="13" t="n"/>
      <c r="I97" s="13" t="n"/>
      <c r="J97" s="13" t="n"/>
      <c r="K97" s="16">
        <f>IF($A97="","",1)</f>
        <v/>
      </c>
    </row>
    <row r="98">
      <c r="A98" s="13" t="n"/>
      <c r="B98" s="13" t="n"/>
      <c r="C98" s="14" t="n"/>
      <c r="D98" s="14" t="n"/>
      <c r="E98" s="15" t="n"/>
      <c r="F98" s="16">
        <f>IF($A98="","",ROUND($C98*$E98,2))</f>
        <v/>
      </c>
      <c r="G98" s="15" t="n"/>
      <c r="H98" s="13" t="n"/>
      <c r="I98" s="13" t="n"/>
      <c r="J98" s="13" t="n"/>
      <c r="K98" s="16">
        <f>IF($A98="","",1)</f>
        <v/>
      </c>
    </row>
    <row r="99">
      <c r="A99" s="13" t="n"/>
      <c r="B99" s="13" t="n"/>
      <c r="C99" s="14" t="n"/>
      <c r="D99" s="14" t="n"/>
      <c r="E99" s="15" t="n"/>
      <c r="F99" s="16">
        <f>IF($A99="","",ROUND($C99*$E99,2))</f>
        <v/>
      </c>
      <c r="G99" s="15" t="n"/>
      <c r="H99" s="13" t="n"/>
      <c r="I99" s="13" t="n"/>
      <c r="J99" s="13" t="n"/>
      <c r="K99" s="16">
        <f>IF($A99="","",1)</f>
        <v/>
      </c>
    </row>
    <row r="100">
      <c r="A100" s="13" t="n"/>
      <c r="B100" s="13" t="n"/>
      <c r="C100" s="14" t="n"/>
      <c r="D100" s="14" t="n"/>
      <c r="E100" s="15" t="n"/>
      <c r="F100" s="16">
        <f>IF($A100="","",ROUND($C100*$E100,2))</f>
        <v/>
      </c>
      <c r="G100" s="15" t="n"/>
      <c r="H100" s="13" t="n"/>
      <c r="I100" s="13" t="n"/>
      <c r="J100" s="13" t="n"/>
      <c r="K100" s="16">
        <f>IF($A100="","",1)</f>
        <v/>
      </c>
    </row>
    <row r="101">
      <c r="A101" s="13" t="n"/>
      <c r="B101" s="13" t="n"/>
      <c r="C101" s="14" t="n"/>
      <c r="D101" s="14" t="n"/>
      <c r="E101" s="15" t="n"/>
      <c r="F101" s="16">
        <f>IF($A101="","",ROUND($C101*$E101,2))</f>
        <v/>
      </c>
      <c r="G101" s="15" t="n"/>
      <c r="H101" s="13" t="n"/>
      <c r="I101" s="13" t="n"/>
      <c r="J101" s="13" t="n"/>
      <c r="K101" s="16">
        <f>IF($A101="","",1)</f>
        <v/>
      </c>
    </row>
    <row r="102">
      <c r="A102" s="13" t="n"/>
      <c r="B102" s="13" t="n"/>
      <c r="C102" s="14" t="n"/>
      <c r="D102" s="14" t="n"/>
      <c r="E102" s="15" t="n"/>
      <c r="F102" s="16">
        <f>IF($A102="","",ROUND($C102*$E102,2))</f>
        <v/>
      </c>
      <c r="G102" s="15" t="n"/>
      <c r="H102" s="13" t="n"/>
      <c r="I102" s="13" t="n"/>
      <c r="J102" s="13" t="n"/>
      <c r="K102" s="16">
        <f>IF($A102="","",1)</f>
        <v/>
      </c>
    </row>
    <row r="103">
      <c r="A103" s="13" t="n"/>
      <c r="B103" s="13" t="n"/>
      <c r="C103" s="14" t="n"/>
      <c r="D103" s="14" t="n"/>
      <c r="E103" s="15" t="n"/>
      <c r="F103" s="16">
        <f>IF($A103="","",ROUND($C103*$E103,2))</f>
        <v/>
      </c>
      <c r="G103" s="15" t="n"/>
      <c r="H103" s="13" t="n"/>
      <c r="I103" s="13" t="n"/>
      <c r="J103" s="13" t="n"/>
      <c r="K103" s="16">
        <f>IF($A103="","",1)</f>
        <v/>
      </c>
    </row>
    <row r="104">
      <c r="A104" s="13" t="n"/>
      <c r="B104" s="13" t="n"/>
      <c r="C104" s="14" t="n"/>
      <c r="D104" s="14" t="n"/>
      <c r="E104" s="15" t="n"/>
      <c r="F104" s="16">
        <f>IF($A104="","",ROUND($C104*$E104,2))</f>
        <v/>
      </c>
      <c r="G104" s="15" t="n"/>
      <c r="H104" s="13" t="n"/>
      <c r="I104" s="13" t="n"/>
      <c r="J104" s="13" t="n"/>
      <c r="K104" s="16">
        <f>IF($A104="","",1)</f>
        <v/>
      </c>
    </row>
    <row r="105">
      <c r="A105" s="13" t="n"/>
      <c r="B105" s="13" t="n"/>
      <c r="C105" s="14" t="n"/>
      <c r="D105" s="14" t="n"/>
      <c r="E105" s="15" t="n"/>
      <c r="F105" s="16">
        <f>IF($A105="","",ROUND($C105*$E105,2))</f>
        <v/>
      </c>
      <c r="G105" s="15" t="n"/>
      <c r="H105" s="13" t="n"/>
      <c r="I105" s="13" t="n"/>
      <c r="J105" s="13" t="n"/>
      <c r="K105" s="16">
        <f>IF($A105="","",1)</f>
        <v/>
      </c>
    </row>
    <row r="106">
      <c r="A106" s="13" t="n"/>
      <c r="B106" s="13" t="n"/>
      <c r="C106" s="14" t="n"/>
      <c r="D106" s="14" t="n"/>
      <c r="E106" s="15" t="n"/>
      <c r="F106" s="16">
        <f>IF($A106="","",ROUND($C106*$E106,2))</f>
        <v/>
      </c>
      <c r="G106" s="15" t="n"/>
      <c r="H106" s="13" t="n"/>
      <c r="I106" s="13" t="n"/>
      <c r="J106" s="13" t="n"/>
      <c r="K106" s="16">
        <f>IF($A106="","",1)</f>
        <v/>
      </c>
    </row>
    <row r="107">
      <c r="A107" s="13" t="n"/>
      <c r="B107" s="13" t="n"/>
      <c r="C107" s="14" t="n"/>
      <c r="D107" s="14" t="n"/>
      <c r="E107" s="15" t="n"/>
      <c r="F107" s="16">
        <f>IF($A107="","",ROUND($C107*$E107,2))</f>
        <v/>
      </c>
      <c r="G107" s="15" t="n"/>
      <c r="H107" s="13" t="n"/>
      <c r="I107" s="13" t="n"/>
      <c r="J107" s="13" t="n"/>
      <c r="K107" s="16">
        <f>IF($A107="","",1)</f>
        <v/>
      </c>
    </row>
    <row r="108">
      <c r="A108" s="13" t="n"/>
      <c r="B108" s="13" t="n"/>
      <c r="C108" s="14" t="n"/>
      <c r="D108" s="14" t="n"/>
      <c r="E108" s="15" t="n"/>
      <c r="F108" s="16">
        <f>IF($A108="","",ROUND($C108*$E108,2))</f>
        <v/>
      </c>
      <c r="G108" s="15" t="n"/>
      <c r="H108" s="13" t="n"/>
      <c r="I108" s="13" t="n"/>
      <c r="J108" s="13" t="n"/>
      <c r="K108" s="16">
        <f>IF($A108="","",1)</f>
        <v/>
      </c>
    </row>
    <row r="109">
      <c r="A109" s="13" t="n"/>
      <c r="B109" s="13" t="n"/>
      <c r="C109" s="14" t="n"/>
      <c r="D109" s="14" t="n"/>
      <c r="E109" s="15" t="n"/>
      <c r="F109" s="16">
        <f>IF($A109="","",ROUND($C109*$E109,2))</f>
        <v/>
      </c>
      <c r="G109" s="15" t="n"/>
      <c r="H109" s="13" t="n"/>
      <c r="I109" s="13" t="n"/>
      <c r="J109" s="13" t="n"/>
      <c r="K109" s="16">
        <f>IF($A109="","",1)</f>
        <v/>
      </c>
    </row>
    <row r="110">
      <c r="A110" s="13" t="n"/>
      <c r="B110" s="13" t="n"/>
      <c r="C110" s="14" t="n"/>
      <c r="D110" s="14" t="n"/>
      <c r="E110" s="15" t="n"/>
      <c r="F110" s="16">
        <f>IF($A110="","",ROUND($C110*$E110,2))</f>
        <v/>
      </c>
      <c r="G110" s="15" t="n"/>
      <c r="H110" s="13" t="n"/>
      <c r="I110" s="13" t="n"/>
      <c r="J110" s="13" t="n"/>
      <c r="K110" s="16">
        <f>IF($A110="","",1)</f>
        <v/>
      </c>
    </row>
    <row r="111">
      <c r="A111" s="13" t="n"/>
      <c r="B111" s="13" t="n"/>
      <c r="C111" s="14" t="n"/>
      <c r="D111" s="14" t="n"/>
      <c r="E111" s="15" t="n"/>
      <c r="F111" s="16">
        <f>IF($A111="","",ROUND($C111*$E111,2))</f>
        <v/>
      </c>
      <c r="G111" s="15" t="n"/>
      <c r="H111" s="13" t="n"/>
      <c r="I111" s="13" t="n"/>
      <c r="J111" s="13" t="n"/>
      <c r="K111" s="16">
        <f>IF($A111="","",1)</f>
        <v/>
      </c>
    </row>
    <row r="112">
      <c r="A112" s="13" t="n"/>
      <c r="B112" s="13" t="n"/>
      <c r="C112" s="14" t="n"/>
      <c r="D112" s="14" t="n"/>
      <c r="E112" s="15" t="n"/>
      <c r="F112" s="16">
        <f>IF($A112="","",ROUND($C112*$E112,2))</f>
        <v/>
      </c>
      <c r="G112" s="15" t="n"/>
      <c r="H112" s="13" t="n"/>
      <c r="I112" s="13" t="n"/>
      <c r="J112" s="13" t="n"/>
      <c r="K112" s="16">
        <f>IF($A112="","",1)</f>
        <v/>
      </c>
    </row>
    <row r="113">
      <c r="A113" s="13" t="n"/>
      <c r="B113" s="13" t="n"/>
      <c r="C113" s="14" t="n"/>
      <c r="D113" s="14" t="n"/>
      <c r="E113" s="15" t="n"/>
      <c r="F113" s="16">
        <f>IF($A113="","",ROUND($C113*$E113,2))</f>
        <v/>
      </c>
      <c r="G113" s="15" t="n"/>
      <c r="H113" s="13" t="n"/>
      <c r="I113" s="13" t="n"/>
      <c r="J113" s="13" t="n"/>
      <c r="K113" s="16">
        <f>IF($A113="","",1)</f>
        <v/>
      </c>
    </row>
    <row r="114">
      <c r="A114" s="13" t="n"/>
      <c r="B114" s="13" t="n"/>
      <c r="C114" s="14" t="n"/>
      <c r="D114" s="14" t="n"/>
      <c r="E114" s="15" t="n"/>
      <c r="F114" s="16">
        <f>IF($A114="","",ROUND($C114*$E114,2))</f>
        <v/>
      </c>
      <c r="G114" s="15" t="n"/>
      <c r="H114" s="13" t="n"/>
      <c r="I114" s="13" t="n"/>
      <c r="J114" s="13" t="n"/>
      <c r="K114" s="16">
        <f>IF($A114="","",1)</f>
        <v/>
      </c>
    </row>
    <row r="115">
      <c r="A115" s="13" t="n"/>
      <c r="B115" s="13" t="n"/>
      <c r="C115" s="14" t="n"/>
      <c r="D115" s="14" t="n"/>
      <c r="E115" s="15" t="n"/>
      <c r="F115" s="16">
        <f>IF($A115="","",ROUND($C115*$E115,2))</f>
        <v/>
      </c>
      <c r="G115" s="15" t="n"/>
      <c r="H115" s="13" t="n"/>
      <c r="I115" s="13" t="n"/>
      <c r="J115" s="13" t="n"/>
      <c r="K115" s="16">
        <f>IF($A115="","",1)</f>
        <v/>
      </c>
    </row>
    <row r="116">
      <c r="A116" s="13" t="n"/>
      <c r="B116" s="13" t="n"/>
      <c r="C116" s="14" t="n"/>
      <c r="D116" s="14" t="n"/>
      <c r="E116" s="15" t="n"/>
      <c r="F116" s="16">
        <f>IF($A116="","",ROUND($C116*$E116,2))</f>
        <v/>
      </c>
      <c r="G116" s="15" t="n"/>
      <c r="H116" s="13" t="n"/>
      <c r="I116" s="13" t="n"/>
      <c r="J116" s="13" t="n"/>
      <c r="K116" s="16">
        <f>IF($A116="","",1)</f>
        <v/>
      </c>
    </row>
    <row r="117">
      <c r="A117" s="13" t="n"/>
      <c r="B117" s="13" t="n"/>
      <c r="C117" s="14" t="n"/>
      <c r="D117" s="14" t="n"/>
      <c r="E117" s="15" t="n"/>
      <c r="F117" s="16">
        <f>IF($A117="","",ROUND($C117*$E117,2))</f>
        <v/>
      </c>
      <c r="G117" s="15" t="n"/>
      <c r="H117" s="13" t="n"/>
      <c r="I117" s="13" t="n"/>
      <c r="J117" s="13" t="n"/>
      <c r="K117" s="16">
        <f>IF($A117="","",1)</f>
        <v/>
      </c>
    </row>
    <row r="118">
      <c r="A118" s="13" t="n"/>
      <c r="B118" s="13" t="n"/>
      <c r="C118" s="14" t="n"/>
      <c r="D118" s="14" t="n"/>
      <c r="E118" s="15" t="n"/>
      <c r="F118" s="16">
        <f>IF($A118="","",ROUND($C118*$E118,2))</f>
        <v/>
      </c>
      <c r="G118" s="15" t="n"/>
      <c r="H118" s="13" t="n"/>
      <c r="I118" s="13" t="n"/>
      <c r="J118" s="13" t="n"/>
      <c r="K118" s="16">
        <f>IF($A118="","",1)</f>
        <v/>
      </c>
    </row>
    <row r="119">
      <c r="A119" s="13" t="n"/>
      <c r="B119" s="13" t="n"/>
      <c r="C119" s="14" t="n"/>
      <c r="D119" s="14" t="n"/>
      <c r="E119" s="15" t="n"/>
      <c r="F119" s="16">
        <f>IF($A119="","",ROUND($C119*$E119,2))</f>
        <v/>
      </c>
      <c r="G119" s="15" t="n"/>
      <c r="H119" s="13" t="n"/>
      <c r="I119" s="13" t="n"/>
      <c r="J119" s="13" t="n"/>
      <c r="K119" s="16">
        <f>IF($A119="","",1)</f>
        <v/>
      </c>
    </row>
    <row r="120">
      <c r="A120" s="13" t="n"/>
      <c r="B120" s="13" t="n"/>
      <c r="C120" s="14" t="n"/>
      <c r="D120" s="14" t="n"/>
      <c r="E120" s="15" t="n"/>
      <c r="F120" s="16">
        <f>IF($A120="","",ROUND($C120*$E120,2))</f>
        <v/>
      </c>
      <c r="G120" s="15" t="n"/>
      <c r="H120" s="13" t="n"/>
      <c r="I120" s="13" t="n"/>
      <c r="J120" s="13" t="n"/>
      <c r="K120" s="16">
        <f>IF($A120="","",1)</f>
        <v/>
      </c>
    </row>
    <row r="121">
      <c r="A121" s="13" t="n"/>
      <c r="B121" s="13" t="n"/>
      <c r="C121" s="14" t="n"/>
      <c r="D121" s="14" t="n"/>
      <c r="E121" s="15" t="n"/>
      <c r="F121" s="16">
        <f>IF($A121="","",ROUND($C121*$E121,2))</f>
        <v/>
      </c>
      <c r="G121" s="15" t="n"/>
      <c r="H121" s="13" t="n"/>
      <c r="I121" s="13" t="n"/>
      <c r="J121" s="13" t="n"/>
      <c r="K121" s="16">
        <f>IF($A121="","",1)</f>
        <v/>
      </c>
    </row>
    <row r="122">
      <c r="A122" s="13" t="n"/>
      <c r="B122" s="13" t="n"/>
      <c r="C122" s="14" t="n"/>
      <c r="D122" s="14" t="n"/>
      <c r="E122" s="15" t="n"/>
      <c r="F122" s="16">
        <f>IF($A122="","",ROUND($C122*$E122,2))</f>
        <v/>
      </c>
      <c r="G122" s="15" t="n"/>
      <c r="H122" s="13" t="n"/>
      <c r="I122" s="13" t="n"/>
      <c r="J122" s="13" t="n"/>
      <c r="K122" s="16">
        <f>IF($A122="","",1)</f>
        <v/>
      </c>
    </row>
    <row r="123">
      <c r="A123" s="13" t="n"/>
      <c r="B123" s="13" t="n"/>
      <c r="C123" s="14" t="n"/>
      <c r="D123" s="14" t="n"/>
      <c r="E123" s="15" t="n"/>
      <c r="F123" s="16">
        <f>IF($A123="","",ROUND($C123*$E123,2))</f>
        <v/>
      </c>
      <c r="G123" s="15" t="n"/>
      <c r="H123" s="13" t="n"/>
      <c r="I123" s="13" t="n"/>
      <c r="J123" s="13" t="n"/>
      <c r="K123" s="16">
        <f>IF($A123="","",1)</f>
        <v/>
      </c>
    </row>
    <row r="124">
      <c r="A124" s="13" t="n"/>
      <c r="B124" s="13" t="n"/>
      <c r="C124" s="14" t="n"/>
      <c r="D124" s="14" t="n"/>
      <c r="E124" s="15" t="n"/>
      <c r="F124" s="16">
        <f>IF($A124="","",ROUND($C124*$E124,2))</f>
        <v/>
      </c>
      <c r="G124" s="15" t="n"/>
      <c r="H124" s="13" t="n"/>
      <c r="I124" s="13" t="n"/>
      <c r="J124" s="13" t="n"/>
      <c r="K124" s="16">
        <f>IF($A124="","",1)</f>
        <v/>
      </c>
    </row>
    <row r="125">
      <c r="A125" s="13" t="n"/>
      <c r="B125" s="13" t="n"/>
      <c r="C125" s="14" t="n"/>
      <c r="D125" s="14" t="n"/>
      <c r="E125" s="15" t="n"/>
      <c r="F125" s="16">
        <f>IF($A125="","",ROUND($C125*$E125,2))</f>
        <v/>
      </c>
      <c r="G125" s="15" t="n"/>
      <c r="H125" s="13" t="n"/>
      <c r="I125" s="13" t="n"/>
      <c r="J125" s="13" t="n"/>
      <c r="K125" s="16">
        <f>IF($A125="","",1)</f>
        <v/>
      </c>
    </row>
    <row r="126">
      <c r="A126" s="13" t="n"/>
      <c r="B126" s="13" t="n"/>
      <c r="C126" s="14" t="n"/>
      <c r="D126" s="14" t="n"/>
      <c r="E126" s="15" t="n"/>
      <c r="F126" s="16">
        <f>IF($A126="","",ROUND($C126*$E126,2))</f>
        <v/>
      </c>
      <c r="G126" s="15" t="n"/>
      <c r="H126" s="13" t="n"/>
      <c r="I126" s="13" t="n"/>
      <c r="J126" s="13" t="n"/>
      <c r="K126" s="16">
        <f>IF($A126="","",1)</f>
        <v/>
      </c>
    </row>
    <row r="127">
      <c r="A127" s="13" t="n"/>
      <c r="B127" s="13" t="n"/>
      <c r="C127" s="14" t="n"/>
      <c r="D127" s="14" t="n"/>
      <c r="E127" s="15" t="n"/>
      <c r="F127" s="16">
        <f>IF($A127="","",ROUND($C127*$E127,2))</f>
        <v/>
      </c>
      <c r="G127" s="15" t="n"/>
      <c r="H127" s="13" t="n"/>
      <c r="I127" s="13" t="n"/>
      <c r="J127" s="13" t="n"/>
      <c r="K127" s="16">
        <f>IF($A127="","",1)</f>
        <v/>
      </c>
    </row>
    <row r="128">
      <c r="A128" s="13" t="n"/>
      <c r="B128" s="13" t="n"/>
      <c r="C128" s="14" t="n"/>
      <c r="D128" s="14" t="n"/>
      <c r="E128" s="15" t="n"/>
      <c r="F128" s="16">
        <f>IF($A128="","",ROUND($C128*$E128,2))</f>
        <v/>
      </c>
      <c r="G128" s="15" t="n"/>
      <c r="H128" s="13" t="n"/>
      <c r="I128" s="13" t="n"/>
      <c r="J128" s="13" t="n"/>
      <c r="K128" s="16">
        <f>IF($A128="","",1)</f>
        <v/>
      </c>
    </row>
    <row r="129">
      <c r="A129" s="13" t="n"/>
      <c r="B129" s="13" t="n"/>
      <c r="C129" s="14" t="n"/>
      <c r="D129" s="14" t="n"/>
      <c r="E129" s="15" t="n"/>
      <c r="F129" s="16">
        <f>IF($A129="","",ROUND($C129*$E129,2))</f>
        <v/>
      </c>
      <c r="G129" s="15" t="n"/>
      <c r="H129" s="13" t="n"/>
      <c r="I129" s="13" t="n"/>
      <c r="J129" s="13" t="n"/>
      <c r="K129" s="16">
        <f>IF($A129="","",1)</f>
        <v/>
      </c>
    </row>
    <row r="130">
      <c r="A130" s="13" t="n"/>
      <c r="B130" s="13" t="n"/>
      <c r="C130" s="14" t="n"/>
      <c r="D130" s="14" t="n"/>
      <c r="E130" s="15" t="n"/>
      <c r="F130" s="16">
        <f>IF($A130="","",ROUND($C130*$E130,2))</f>
        <v/>
      </c>
      <c r="G130" s="15" t="n"/>
      <c r="H130" s="13" t="n"/>
      <c r="I130" s="13" t="n"/>
      <c r="J130" s="13" t="n"/>
      <c r="K130" s="16">
        <f>IF($A130="","",1)</f>
        <v/>
      </c>
    </row>
    <row r="131">
      <c r="A131" s="13" t="n"/>
      <c r="B131" s="13" t="n"/>
      <c r="C131" s="14" t="n"/>
      <c r="D131" s="14" t="n"/>
      <c r="E131" s="15" t="n"/>
      <c r="F131" s="16">
        <f>IF($A131="","",ROUND($C131*$E131,2))</f>
        <v/>
      </c>
      <c r="G131" s="15" t="n"/>
      <c r="H131" s="13" t="n"/>
      <c r="I131" s="13" t="n"/>
      <c r="J131" s="13" t="n"/>
      <c r="K131" s="16">
        <f>IF($A131="","",1)</f>
        <v/>
      </c>
    </row>
    <row r="132">
      <c r="A132" s="13" t="n"/>
      <c r="B132" s="13" t="n"/>
      <c r="C132" s="14" t="n"/>
      <c r="D132" s="14" t="n"/>
      <c r="E132" s="15" t="n"/>
      <c r="F132" s="16">
        <f>IF($A132="","",ROUND($C132*$E132,2))</f>
        <v/>
      </c>
      <c r="G132" s="15" t="n"/>
      <c r="H132" s="13" t="n"/>
      <c r="I132" s="13" t="n"/>
      <c r="J132" s="13" t="n"/>
      <c r="K132" s="16">
        <f>IF($A132="","",1)</f>
        <v/>
      </c>
    </row>
    <row r="133">
      <c r="A133" s="13" t="n"/>
      <c r="B133" s="13" t="n"/>
      <c r="C133" s="14" t="n"/>
      <c r="D133" s="14" t="n"/>
      <c r="E133" s="15" t="n"/>
      <c r="F133" s="16">
        <f>IF($A133="","",ROUND($C133*$E133,2))</f>
        <v/>
      </c>
      <c r="G133" s="15" t="n"/>
      <c r="H133" s="13" t="n"/>
      <c r="I133" s="13" t="n"/>
      <c r="J133" s="13" t="n"/>
      <c r="K133" s="16">
        <f>IF($A133="","",1)</f>
        <v/>
      </c>
    </row>
    <row r="134">
      <c r="A134" s="13" t="n"/>
      <c r="B134" s="13" t="n"/>
      <c r="C134" s="14" t="n"/>
      <c r="D134" s="14" t="n"/>
      <c r="E134" s="15" t="n"/>
      <c r="F134" s="16">
        <f>IF($A134="","",ROUND($C134*$E134,2))</f>
        <v/>
      </c>
      <c r="G134" s="15" t="n"/>
      <c r="H134" s="13" t="n"/>
      <c r="I134" s="13" t="n"/>
      <c r="J134" s="13" t="n"/>
      <c r="K134" s="16">
        <f>IF($A134="","",1)</f>
        <v/>
      </c>
    </row>
    <row r="135">
      <c r="A135" s="13" t="n"/>
      <c r="B135" s="13" t="n"/>
      <c r="C135" s="14" t="n"/>
      <c r="D135" s="14" t="n"/>
      <c r="E135" s="15" t="n"/>
      <c r="F135" s="16">
        <f>IF($A135="","",ROUND($C135*$E135,2))</f>
        <v/>
      </c>
      <c r="G135" s="15" t="n"/>
      <c r="H135" s="13" t="n"/>
      <c r="I135" s="13" t="n"/>
      <c r="J135" s="13" t="n"/>
      <c r="K135" s="16">
        <f>IF($A135="","",1)</f>
        <v/>
      </c>
    </row>
    <row r="136">
      <c r="A136" s="13" t="n"/>
      <c r="B136" s="13" t="n"/>
      <c r="C136" s="14" t="n"/>
      <c r="D136" s="14" t="n"/>
      <c r="E136" s="15" t="n"/>
      <c r="F136" s="16">
        <f>IF($A136="","",ROUND($C136*$E136,2))</f>
        <v/>
      </c>
      <c r="G136" s="15" t="n"/>
      <c r="H136" s="13" t="n"/>
      <c r="I136" s="13" t="n"/>
      <c r="J136" s="13" t="n"/>
      <c r="K136" s="16">
        <f>IF($A136="","",1)</f>
        <v/>
      </c>
    </row>
    <row r="137">
      <c r="A137" s="13" t="n"/>
      <c r="B137" s="13" t="n"/>
      <c r="C137" s="14" t="n"/>
      <c r="D137" s="14" t="n"/>
      <c r="E137" s="15" t="n"/>
      <c r="F137" s="16">
        <f>IF($A137="","",ROUND($C137*$E137,2))</f>
        <v/>
      </c>
      <c r="G137" s="15" t="n"/>
      <c r="H137" s="13" t="n"/>
      <c r="I137" s="13" t="n"/>
      <c r="J137" s="13" t="n"/>
      <c r="K137" s="16">
        <f>IF($A137="","",1)</f>
        <v/>
      </c>
    </row>
    <row r="138">
      <c r="A138" s="13" t="n"/>
      <c r="B138" s="13" t="n"/>
      <c r="C138" s="14" t="n"/>
      <c r="D138" s="14" t="n"/>
      <c r="E138" s="15" t="n"/>
      <c r="F138" s="16">
        <f>IF($A138="","",ROUND($C138*$E138,2))</f>
        <v/>
      </c>
      <c r="G138" s="15" t="n"/>
      <c r="H138" s="13" t="n"/>
      <c r="I138" s="13" t="n"/>
      <c r="J138" s="13" t="n"/>
      <c r="K138" s="16">
        <f>IF($A138="","",1)</f>
        <v/>
      </c>
    </row>
    <row r="139">
      <c r="A139" s="13" t="n"/>
      <c r="B139" s="13" t="n"/>
      <c r="C139" s="14" t="n"/>
      <c r="D139" s="14" t="n"/>
      <c r="E139" s="15" t="n"/>
      <c r="F139" s="16">
        <f>IF($A139="","",ROUND($C139*$E139,2))</f>
        <v/>
      </c>
      <c r="G139" s="15" t="n"/>
      <c r="H139" s="13" t="n"/>
      <c r="I139" s="13" t="n"/>
      <c r="J139" s="13" t="n"/>
      <c r="K139" s="16">
        <f>IF($A139="","",1)</f>
        <v/>
      </c>
    </row>
    <row r="140">
      <c r="A140" s="13" t="n"/>
      <c r="B140" s="13" t="n"/>
      <c r="C140" s="14" t="n"/>
      <c r="D140" s="14" t="n"/>
      <c r="E140" s="15" t="n"/>
      <c r="F140" s="16">
        <f>IF($A140="","",ROUND($C140*$E140,2))</f>
        <v/>
      </c>
      <c r="G140" s="15" t="n"/>
      <c r="H140" s="13" t="n"/>
      <c r="I140" s="13" t="n"/>
      <c r="J140" s="13" t="n"/>
      <c r="K140" s="16">
        <f>IF($A140="","",1)</f>
        <v/>
      </c>
    </row>
    <row r="141">
      <c r="A141" s="13" t="n"/>
      <c r="B141" s="13" t="n"/>
      <c r="C141" s="14" t="n"/>
      <c r="D141" s="14" t="n"/>
      <c r="E141" s="15" t="n"/>
      <c r="F141" s="16">
        <f>IF($A141="","",ROUND($C141*$E141,2))</f>
        <v/>
      </c>
      <c r="G141" s="15" t="n"/>
      <c r="H141" s="13" t="n"/>
      <c r="I141" s="13" t="n"/>
      <c r="J141" s="13" t="n"/>
      <c r="K141" s="16">
        <f>IF($A141="","",1)</f>
        <v/>
      </c>
    </row>
    <row r="142">
      <c r="A142" s="13" t="n"/>
      <c r="B142" s="13" t="n"/>
      <c r="C142" s="14" t="n"/>
      <c r="D142" s="14" t="n"/>
      <c r="E142" s="15" t="n"/>
      <c r="F142" s="16">
        <f>IF($A142="","",ROUND($C142*$E142,2))</f>
        <v/>
      </c>
      <c r="G142" s="15" t="n"/>
      <c r="H142" s="13" t="n"/>
      <c r="I142" s="13" t="n"/>
      <c r="J142" s="13" t="n"/>
      <c r="K142" s="16">
        <f>IF($A142="","",1)</f>
        <v/>
      </c>
    </row>
    <row r="143">
      <c r="A143" s="13" t="n"/>
      <c r="B143" s="13" t="n"/>
      <c r="C143" s="14" t="n"/>
      <c r="D143" s="14" t="n"/>
      <c r="E143" s="15" t="n"/>
      <c r="F143" s="16">
        <f>IF($A143="","",ROUND($C143*$E143,2))</f>
        <v/>
      </c>
      <c r="G143" s="15" t="n"/>
      <c r="H143" s="13" t="n"/>
      <c r="I143" s="13" t="n"/>
      <c r="J143" s="13" t="n"/>
      <c r="K143" s="16">
        <f>IF($A143="","",1)</f>
        <v/>
      </c>
    </row>
    <row r="144">
      <c r="A144" s="13" t="n"/>
      <c r="B144" s="13" t="n"/>
      <c r="C144" s="14" t="n"/>
      <c r="D144" s="14" t="n"/>
      <c r="E144" s="15" t="n"/>
      <c r="F144" s="16">
        <f>IF($A144="","",ROUND($C144*$E144,2))</f>
        <v/>
      </c>
      <c r="G144" s="15" t="n"/>
      <c r="H144" s="13" t="n"/>
      <c r="I144" s="13" t="n"/>
      <c r="J144" s="13" t="n"/>
      <c r="K144" s="16">
        <f>IF($A144="","",1)</f>
        <v/>
      </c>
    </row>
    <row r="145">
      <c r="A145" s="13" t="n"/>
      <c r="B145" s="13" t="n"/>
      <c r="C145" s="14" t="n"/>
      <c r="D145" s="14" t="n"/>
      <c r="E145" s="15" t="n"/>
      <c r="F145" s="16">
        <f>IF($A145="","",ROUND($C145*$E145,2))</f>
        <v/>
      </c>
      <c r="G145" s="15" t="n"/>
      <c r="H145" s="13" t="n"/>
      <c r="I145" s="13" t="n"/>
      <c r="J145" s="13" t="n"/>
      <c r="K145" s="16">
        <f>IF($A145="","",1)</f>
        <v/>
      </c>
    </row>
    <row r="146">
      <c r="A146" s="13" t="n"/>
      <c r="B146" s="13" t="n"/>
      <c r="C146" s="14" t="n"/>
      <c r="D146" s="14" t="n"/>
      <c r="E146" s="15" t="n"/>
      <c r="F146" s="16">
        <f>IF($A146="","",ROUND($C146*$E146,2))</f>
        <v/>
      </c>
      <c r="G146" s="15" t="n"/>
      <c r="H146" s="13" t="n"/>
      <c r="I146" s="13" t="n"/>
      <c r="J146" s="13" t="n"/>
      <c r="K146" s="16">
        <f>IF($A146="","",1)</f>
        <v/>
      </c>
    </row>
    <row r="147">
      <c r="A147" s="13" t="n"/>
      <c r="B147" s="13" t="n"/>
      <c r="C147" s="14" t="n"/>
      <c r="D147" s="14" t="n"/>
      <c r="E147" s="15" t="n"/>
      <c r="F147" s="16">
        <f>IF($A147="","",ROUND($C147*$E147,2))</f>
        <v/>
      </c>
      <c r="G147" s="15" t="n"/>
      <c r="H147" s="13" t="n"/>
      <c r="I147" s="13" t="n"/>
      <c r="J147" s="13" t="n"/>
      <c r="K147" s="16">
        <f>IF($A147="","",1)</f>
        <v/>
      </c>
    </row>
    <row r="148">
      <c r="A148" s="13" t="n"/>
      <c r="B148" s="13" t="n"/>
      <c r="C148" s="14" t="n"/>
      <c r="D148" s="14" t="n"/>
      <c r="E148" s="15" t="n"/>
      <c r="F148" s="16">
        <f>IF($A148="","",ROUND($C148*$E148,2))</f>
        <v/>
      </c>
      <c r="G148" s="15" t="n"/>
      <c r="H148" s="13" t="n"/>
      <c r="I148" s="13" t="n"/>
      <c r="J148" s="13" t="n"/>
      <c r="K148" s="16">
        <f>IF($A148="","",1)</f>
        <v/>
      </c>
    </row>
    <row r="149">
      <c r="A149" s="13" t="n"/>
      <c r="B149" s="13" t="n"/>
      <c r="C149" s="14" t="n"/>
      <c r="D149" s="14" t="n"/>
      <c r="E149" s="15" t="n"/>
      <c r="F149" s="16">
        <f>IF($A149="","",ROUND($C149*$E149,2))</f>
        <v/>
      </c>
      <c r="G149" s="15" t="n"/>
      <c r="H149" s="13" t="n"/>
      <c r="I149" s="13" t="n"/>
      <c r="J149" s="13" t="n"/>
      <c r="K149" s="16">
        <f>IF($A149="","",1)</f>
        <v/>
      </c>
    </row>
    <row r="150">
      <c r="A150" s="13" t="n"/>
      <c r="B150" s="13" t="n"/>
      <c r="C150" s="14" t="n"/>
      <c r="D150" s="14" t="n"/>
      <c r="E150" s="15" t="n"/>
      <c r="F150" s="16">
        <f>IF($A150="","",ROUND($C150*$E150,2))</f>
        <v/>
      </c>
      <c r="G150" s="15" t="n"/>
      <c r="H150" s="13" t="n"/>
      <c r="I150" s="13" t="n"/>
      <c r="J150" s="13" t="n"/>
      <c r="K150" s="16">
        <f>IF($A150="","",1)</f>
        <v/>
      </c>
    </row>
    <row r="151">
      <c r="A151" s="13" t="n"/>
      <c r="B151" s="13" t="n"/>
      <c r="C151" s="14" t="n"/>
      <c r="D151" s="14" t="n"/>
      <c r="E151" s="15" t="n"/>
      <c r="F151" s="16">
        <f>IF($A151="","",ROUND($C151*$E151,2))</f>
        <v/>
      </c>
      <c r="G151" s="15" t="n"/>
      <c r="H151" s="13" t="n"/>
      <c r="I151" s="13" t="n"/>
      <c r="J151" s="13" t="n"/>
      <c r="K151" s="16">
        <f>IF($A151="","",1)</f>
        <v/>
      </c>
    </row>
    <row r="152">
      <c r="A152" s="13" t="n"/>
      <c r="B152" s="13" t="n"/>
      <c r="C152" s="14" t="n"/>
      <c r="D152" s="14" t="n"/>
      <c r="E152" s="15" t="n"/>
      <c r="F152" s="16">
        <f>IF($A152="","",ROUND($C152*$E152,2))</f>
        <v/>
      </c>
      <c r="G152" s="15" t="n"/>
      <c r="H152" s="13" t="n"/>
      <c r="I152" s="13" t="n"/>
      <c r="J152" s="13" t="n"/>
      <c r="K152" s="16">
        <f>IF($A152="","",1)</f>
        <v/>
      </c>
    </row>
    <row r="153">
      <c r="A153" s="13" t="n"/>
      <c r="B153" s="13" t="n"/>
      <c r="C153" s="14" t="n"/>
      <c r="D153" s="14" t="n"/>
      <c r="E153" s="15" t="n"/>
      <c r="F153" s="16">
        <f>IF($A153="","",ROUND($C153*$E153,2))</f>
        <v/>
      </c>
      <c r="G153" s="15" t="n"/>
      <c r="H153" s="13" t="n"/>
      <c r="I153" s="13" t="n"/>
      <c r="J153" s="13" t="n"/>
      <c r="K153" s="16">
        <f>IF($A153="","",1)</f>
        <v/>
      </c>
    </row>
    <row r="154">
      <c r="A154" s="13" t="n"/>
      <c r="B154" s="13" t="n"/>
      <c r="C154" s="14" t="n"/>
      <c r="D154" s="14" t="n"/>
      <c r="E154" s="15" t="n"/>
      <c r="F154" s="16">
        <f>IF($A154="","",ROUND($C154*$E154,2))</f>
        <v/>
      </c>
      <c r="G154" s="15" t="n"/>
      <c r="H154" s="13" t="n"/>
      <c r="I154" s="13" t="n"/>
      <c r="J154" s="13" t="n"/>
      <c r="K154" s="16">
        <f>IF($A154="","",1)</f>
        <v/>
      </c>
    </row>
    <row r="155">
      <c r="A155" s="13" t="n"/>
      <c r="B155" s="13" t="n"/>
      <c r="C155" s="14" t="n"/>
      <c r="D155" s="14" t="n"/>
      <c r="E155" s="15" t="n"/>
      <c r="F155" s="16">
        <f>IF($A155="","",ROUND($C155*$E155,2))</f>
        <v/>
      </c>
      <c r="G155" s="15" t="n"/>
      <c r="H155" s="13" t="n"/>
      <c r="I155" s="13" t="n"/>
      <c r="J155" s="13" t="n"/>
      <c r="K155" s="16">
        <f>IF($A155="","",1)</f>
        <v/>
      </c>
    </row>
    <row r="156">
      <c r="A156" s="13" t="n"/>
      <c r="B156" s="13" t="n"/>
      <c r="C156" s="14" t="n"/>
      <c r="D156" s="14" t="n"/>
      <c r="E156" s="15" t="n"/>
      <c r="F156" s="16">
        <f>IF($A156="","",ROUND($C156*$E156,2))</f>
        <v/>
      </c>
      <c r="G156" s="15" t="n"/>
      <c r="H156" s="13" t="n"/>
      <c r="I156" s="13" t="n"/>
      <c r="J156" s="13" t="n"/>
      <c r="K156" s="16">
        <f>IF($A156="","",1)</f>
        <v/>
      </c>
    </row>
    <row r="157">
      <c r="A157" s="13" t="n"/>
      <c r="B157" s="13" t="n"/>
      <c r="C157" s="14" t="n"/>
      <c r="D157" s="14" t="n"/>
      <c r="E157" s="15" t="n"/>
      <c r="F157" s="16">
        <f>IF($A157="","",ROUND($C157*$E157,2))</f>
        <v/>
      </c>
      <c r="G157" s="15" t="n"/>
      <c r="H157" s="13" t="n"/>
      <c r="I157" s="13" t="n"/>
      <c r="J157" s="13" t="n"/>
      <c r="K157" s="16">
        <f>IF($A157="","",1)</f>
        <v/>
      </c>
    </row>
    <row r="158">
      <c r="A158" s="13" t="n"/>
      <c r="B158" s="13" t="n"/>
      <c r="C158" s="14" t="n"/>
      <c r="D158" s="14" t="n"/>
      <c r="E158" s="15" t="n"/>
      <c r="F158" s="16">
        <f>IF($A158="","",ROUND($C158*$E158,2))</f>
        <v/>
      </c>
      <c r="G158" s="15" t="n"/>
      <c r="H158" s="13" t="n"/>
      <c r="I158" s="13" t="n"/>
      <c r="J158" s="13" t="n"/>
      <c r="K158" s="16">
        <f>IF($A158="","",1)</f>
        <v/>
      </c>
    </row>
    <row r="159">
      <c r="A159" s="13" t="n"/>
      <c r="B159" s="13" t="n"/>
      <c r="C159" s="14" t="n"/>
      <c r="D159" s="14" t="n"/>
      <c r="E159" s="15" t="n"/>
      <c r="F159" s="16">
        <f>IF($A159="","",ROUND($C159*$E159,2))</f>
        <v/>
      </c>
      <c r="G159" s="15" t="n"/>
      <c r="H159" s="13" t="n"/>
      <c r="I159" s="13" t="n"/>
      <c r="J159" s="13" t="n"/>
      <c r="K159" s="16">
        <f>IF($A159="","",1)</f>
        <v/>
      </c>
    </row>
    <row r="160">
      <c r="A160" s="13" t="n"/>
      <c r="B160" s="13" t="n"/>
      <c r="C160" s="14" t="n"/>
      <c r="D160" s="14" t="n"/>
      <c r="E160" s="15" t="n"/>
      <c r="F160" s="16">
        <f>IF($A160="","",ROUND($C160*$E160,2))</f>
        <v/>
      </c>
      <c r="G160" s="15" t="n"/>
      <c r="H160" s="13" t="n"/>
      <c r="I160" s="13" t="n"/>
      <c r="J160" s="13" t="n"/>
      <c r="K160" s="16">
        <f>IF($A160="","",1)</f>
        <v/>
      </c>
    </row>
    <row r="161">
      <c r="A161" s="13" t="n"/>
      <c r="B161" s="13" t="n"/>
      <c r="C161" s="14" t="n"/>
      <c r="D161" s="14" t="n"/>
      <c r="E161" s="15" t="n"/>
      <c r="F161" s="16">
        <f>IF($A161="","",ROUND($C161*$E161,2))</f>
        <v/>
      </c>
      <c r="G161" s="15" t="n"/>
      <c r="H161" s="13" t="n"/>
      <c r="I161" s="13" t="n"/>
      <c r="J161" s="13" t="n"/>
      <c r="K161" s="16">
        <f>IF($A161="","",1)</f>
        <v/>
      </c>
    </row>
    <row r="162">
      <c r="A162" s="13" t="n"/>
      <c r="B162" s="13" t="n"/>
      <c r="C162" s="14" t="n"/>
      <c r="D162" s="14" t="n"/>
      <c r="E162" s="15" t="n"/>
      <c r="F162" s="16">
        <f>IF($A162="","",ROUND($C162*$E162,2))</f>
        <v/>
      </c>
      <c r="G162" s="15" t="n"/>
      <c r="H162" s="13" t="n"/>
      <c r="I162" s="13" t="n"/>
      <c r="J162" s="13" t="n"/>
      <c r="K162" s="16">
        <f>IF($A162="","",1)</f>
        <v/>
      </c>
    </row>
    <row r="163">
      <c r="A163" s="13" t="n"/>
      <c r="B163" s="13" t="n"/>
      <c r="C163" s="14" t="n"/>
      <c r="D163" s="14" t="n"/>
      <c r="E163" s="15" t="n"/>
      <c r="F163" s="16">
        <f>IF($A163="","",ROUND($C163*$E163,2))</f>
        <v/>
      </c>
      <c r="G163" s="15" t="n"/>
      <c r="H163" s="13" t="n"/>
      <c r="I163" s="13" t="n"/>
      <c r="J163" s="13" t="n"/>
      <c r="K163" s="16">
        <f>IF($A163="","",1)</f>
        <v/>
      </c>
    </row>
    <row r="164">
      <c r="A164" s="13" t="n"/>
      <c r="B164" s="13" t="n"/>
      <c r="C164" s="14" t="n"/>
      <c r="D164" s="14" t="n"/>
      <c r="E164" s="15" t="n"/>
      <c r="F164" s="16">
        <f>IF($A164="","",ROUND($C164*$E164,2))</f>
        <v/>
      </c>
      <c r="G164" s="15" t="n"/>
      <c r="H164" s="13" t="n"/>
      <c r="I164" s="13" t="n"/>
      <c r="J164" s="13" t="n"/>
      <c r="K164" s="16">
        <f>IF($A164="","",1)</f>
        <v/>
      </c>
    </row>
    <row r="165">
      <c r="A165" s="13" t="n"/>
      <c r="B165" s="13" t="n"/>
      <c r="C165" s="14" t="n"/>
      <c r="D165" s="14" t="n"/>
      <c r="E165" s="15" t="n"/>
      <c r="F165" s="16">
        <f>IF($A165="","",ROUND($C165*$E165,2))</f>
        <v/>
      </c>
      <c r="G165" s="15" t="n"/>
      <c r="H165" s="13" t="n"/>
      <c r="I165" s="13" t="n"/>
      <c r="J165" s="13" t="n"/>
      <c r="K165" s="16">
        <f>IF($A165="","",1)</f>
        <v/>
      </c>
    </row>
    <row r="166">
      <c r="A166" s="13" t="n"/>
      <c r="B166" s="13" t="n"/>
      <c r="C166" s="14" t="n"/>
      <c r="D166" s="14" t="n"/>
      <c r="E166" s="15" t="n"/>
      <c r="F166" s="16">
        <f>IF($A166="","",ROUND($C166*$E166,2))</f>
        <v/>
      </c>
      <c r="G166" s="15" t="n"/>
      <c r="H166" s="13" t="n"/>
      <c r="I166" s="13" t="n"/>
      <c r="J166" s="13" t="n"/>
      <c r="K166" s="16">
        <f>IF($A166="","",1)</f>
        <v/>
      </c>
    </row>
    <row r="167">
      <c r="A167" s="13" t="n"/>
      <c r="B167" s="13" t="n"/>
      <c r="C167" s="14" t="n"/>
      <c r="D167" s="14" t="n"/>
      <c r="E167" s="15" t="n"/>
      <c r="F167" s="16">
        <f>IF($A167="","",ROUND($C167*$E167,2))</f>
        <v/>
      </c>
      <c r="G167" s="15" t="n"/>
      <c r="H167" s="13" t="n"/>
      <c r="I167" s="13" t="n"/>
      <c r="J167" s="13" t="n"/>
      <c r="K167" s="16">
        <f>IF($A167="","",1)</f>
        <v/>
      </c>
    </row>
    <row r="168">
      <c r="A168" s="13" t="n"/>
      <c r="B168" s="13" t="n"/>
      <c r="C168" s="14" t="n"/>
      <c r="D168" s="14" t="n"/>
      <c r="E168" s="15" t="n"/>
      <c r="F168" s="16">
        <f>IF($A168="","",ROUND($C168*$E168,2))</f>
        <v/>
      </c>
      <c r="G168" s="15" t="n"/>
      <c r="H168" s="13" t="n"/>
      <c r="I168" s="13" t="n"/>
      <c r="J168" s="13" t="n"/>
      <c r="K168" s="16">
        <f>IF($A168="","",1)</f>
        <v/>
      </c>
    </row>
    <row r="169">
      <c r="A169" s="13" t="n"/>
      <c r="B169" s="13" t="n"/>
      <c r="C169" s="14" t="n"/>
      <c r="D169" s="14" t="n"/>
      <c r="E169" s="15" t="n"/>
      <c r="F169" s="16">
        <f>IF($A169="","",ROUND($C169*$E169,2))</f>
        <v/>
      </c>
      <c r="G169" s="15" t="n"/>
      <c r="H169" s="13" t="n"/>
      <c r="I169" s="13" t="n"/>
      <c r="J169" s="13" t="n"/>
      <c r="K169" s="16">
        <f>IF($A169="","",1)</f>
        <v/>
      </c>
    </row>
    <row r="170">
      <c r="A170" s="13" t="n"/>
      <c r="B170" s="13" t="n"/>
      <c r="C170" s="14" t="n"/>
      <c r="D170" s="14" t="n"/>
      <c r="E170" s="15" t="n"/>
      <c r="F170" s="16">
        <f>IF($A170="","",ROUND($C170*$E170,2))</f>
        <v/>
      </c>
      <c r="G170" s="15" t="n"/>
      <c r="H170" s="13" t="n"/>
      <c r="I170" s="13" t="n"/>
      <c r="J170" s="13" t="n"/>
      <c r="K170" s="16">
        <f>IF($A170="","",1)</f>
        <v/>
      </c>
    </row>
    <row r="171">
      <c r="A171" s="13" t="n"/>
      <c r="B171" s="13" t="n"/>
      <c r="C171" s="14" t="n"/>
      <c r="D171" s="14" t="n"/>
      <c r="E171" s="15" t="n"/>
      <c r="F171" s="16">
        <f>IF($A171="","",ROUND($C171*$E171,2))</f>
        <v/>
      </c>
      <c r="G171" s="15" t="n"/>
      <c r="H171" s="13" t="n"/>
      <c r="I171" s="13" t="n"/>
      <c r="J171" s="13" t="n"/>
      <c r="K171" s="16">
        <f>IF($A171="","",1)</f>
        <v/>
      </c>
    </row>
    <row r="172">
      <c r="A172" s="13" t="n"/>
      <c r="B172" s="13" t="n"/>
      <c r="C172" s="14" t="n"/>
      <c r="D172" s="14" t="n"/>
      <c r="E172" s="15" t="n"/>
      <c r="F172" s="16">
        <f>IF($A172="","",ROUND($C172*$E172,2))</f>
        <v/>
      </c>
      <c r="G172" s="15" t="n"/>
      <c r="H172" s="13" t="n"/>
      <c r="I172" s="13" t="n"/>
      <c r="J172" s="13" t="n"/>
      <c r="K172" s="16">
        <f>IF($A172="","",1)</f>
        <v/>
      </c>
    </row>
    <row r="173">
      <c r="A173" s="13" t="n"/>
      <c r="B173" s="13" t="n"/>
      <c r="C173" s="14" t="n"/>
      <c r="D173" s="14" t="n"/>
      <c r="E173" s="15" t="n"/>
      <c r="F173" s="16">
        <f>IF($A173="","",ROUND($C173*$E173,2))</f>
        <v/>
      </c>
      <c r="G173" s="15" t="n"/>
      <c r="H173" s="13" t="n"/>
      <c r="I173" s="13" t="n"/>
      <c r="J173" s="13" t="n"/>
      <c r="K173" s="16">
        <f>IF($A173="","",1)</f>
        <v/>
      </c>
    </row>
    <row r="174">
      <c r="A174" s="13" t="n"/>
      <c r="B174" s="13" t="n"/>
      <c r="C174" s="14" t="n"/>
      <c r="D174" s="14" t="n"/>
      <c r="E174" s="15" t="n"/>
      <c r="F174" s="16">
        <f>IF($A174="","",ROUND($C174*$E174,2))</f>
        <v/>
      </c>
      <c r="G174" s="15" t="n"/>
      <c r="H174" s="13" t="n"/>
      <c r="I174" s="13" t="n"/>
      <c r="J174" s="13" t="n"/>
      <c r="K174" s="16">
        <f>IF($A174="","",1)</f>
        <v/>
      </c>
    </row>
    <row r="175">
      <c r="A175" s="13" t="n"/>
      <c r="B175" s="13" t="n"/>
      <c r="C175" s="14" t="n"/>
      <c r="D175" s="14" t="n"/>
      <c r="E175" s="15" t="n"/>
      <c r="F175" s="16">
        <f>IF($A175="","",ROUND($C175*$E175,2))</f>
        <v/>
      </c>
      <c r="G175" s="15" t="n"/>
      <c r="H175" s="13" t="n"/>
      <c r="I175" s="13" t="n"/>
      <c r="J175" s="13" t="n"/>
      <c r="K175" s="16">
        <f>IF($A175="","",1)</f>
        <v/>
      </c>
    </row>
    <row r="176">
      <c r="A176" s="13" t="n"/>
      <c r="B176" s="13" t="n"/>
      <c r="C176" s="14" t="n"/>
      <c r="D176" s="14" t="n"/>
      <c r="E176" s="15" t="n"/>
      <c r="F176" s="16">
        <f>IF($A176="","",ROUND($C176*$E176,2))</f>
        <v/>
      </c>
      <c r="G176" s="15" t="n"/>
      <c r="H176" s="13" t="n"/>
      <c r="I176" s="13" t="n"/>
      <c r="J176" s="13" t="n"/>
      <c r="K176" s="16">
        <f>IF($A176="","",1)</f>
        <v/>
      </c>
    </row>
    <row r="177">
      <c r="A177" s="13" t="n"/>
      <c r="B177" s="13" t="n"/>
      <c r="C177" s="14" t="n"/>
      <c r="D177" s="14" t="n"/>
      <c r="E177" s="15" t="n"/>
      <c r="F177" s="16">
        <f>IF($A177="","",ROUND($C177*$E177,2))</f>
        <v/>
      </c>
      <c r="G177" s="15" t="n"/>
      <c r="H177" s="13" t="n"/>
      <c r="I177" s="13" t="n"/>
      <c r="J177" s="13" t="n"/>
      <c r="K177" s="16">
        <f>IF($A177="","",1)</f>
        <v/>
      </c>
    </row>
    <row r="178">
      <c r="A178" s="13" t="n"/>
      <c r="B178" s="13" t="n"/>
      <c r="C178" s="14" t="n"/>
      <c r="D178" s="14" t="n"/>
      <c r="E178" s="15" t="n"/>
      <c r="F178" s="16">
        <f>IF($A178="","",ROUND($C178*$E178,2))</f>
        <v/>
      </c>
      <c r="G178" s="15" t="n"/>
      <c r="H178" s="13" t="n"/>
      <c r="I178" s="13" t="n"/>
      <c r="J178" s="13" t="n"/>
      <c r="K178" s="16">
        <f>IF($A178="","",1)</f>
        <v/>
      </c>
    </row>
    <row r="179">
      <c r="A179" s="13" t="n"/>
      <c r="B179" s="13" t="n"/>
      <c r="C179" s="14" t="n"/>
      <c r="D179" s="14" t="n"/>
      <c r="E179" s="15" t="n"/>
      <c r="F179" s="16">
        <f>IF($A179="","",ROUND($C179*$E179,2))</f>
        <v/>
      </c>
      <c r="G179" s="15" t="n"/>
      <c r="H179" s="13" t="n"/>
      <c r="I179" s="13" t="n"/>
      <c r="J179" s="13" t="n"/>
      <c r="K179" s="16">
        <f>IF($A179="","",1)</f>
        <v/>
      </c>
    </row>
    <row r="180">
      <c r="A180" s="13" t="n"/>
      <c r="B180" s="13" t="n"/>
      <c r="C180" s="14" t="n"/>
      <c r="D180" s="14" t="n"/>
      <c r="E180" s="15" t="n"/>
      <c r="F180" s="16">
        <f>IF($A180="","",ROUND($C180*$E180,2))</f>
        <v/>
      </c>
      <c r="G180" s="15" t="n"/>
      <c r="H180" s="13" t="n"/>
      <c r="I180" s="13" t="n"/>
      <c r="J180" s="13" t="n"/>
      <c r="K180" s="16">
        <f>IF($A180="","",1)</f>
        <v/>
      </c>
    </row>
    <row r="181">
      <c r="A181" s="13" t="n"/>
      <c r="B181" s="13" t="n"/>
      <c r="C181" s="14" t="n"/>
      <c r="D181" s="14" t="n"/>
      <c r="E181" s="15" t="n"/>
      <c r="F181" s="16">
        <f>IF($A181="","",ROUND($C181*$E181,2))</f>
        <v/>
      </c>
      <c r="G181" s="15" t="n"/>
      <c r="H181" s="13" t="n"/>
      <c r="I181" s="13" t="n"/>
      <c r="J181" s="13" t="n"/>
      <c r="K181" s="16">
        <f>IF($A181="","",1)</f>
        <v/>
      </c>
    </row>
    <row r="182">
      <c r="A182" s="13" t="n"/>
      <c r="B182" s="13" t="n"/>
      <c r="C182" s="14" t="n"/>
      <c r="D182" s="14" t="n"/>
      <c r="E182" s="15" t="n"/>
      <c r="F182" s="16">
        <f>IF($A182="","",ROUND($C182*$E182,2))</f>
        <v/>
      </c>
      <c r="G182" s="15" t="n"/>
      <c r="H182" s="13" t="n"/>
      <c r="I182" s="13" t="n"/>
      <c r="J182" s="13" t="n"/>
      <c r="K182" s="16">
        <f>IF($A182="","",1)</f>
        <v/>
      </c>
    </row>
    <row r="183">
      <c r="A183" s="13" t="n"/>
      <c r="B183" s="13" t="n"/>
      <c r="C183" s="14" t="n"/>
      <c r="D183" s="14" t="n"/>
      <c r="E183" s="15" t="n"/>
      <c r="F183" s="16">
        <f>IF($A183="","",ROUND($C183*$E183,2))</f>
        <v/>
      </c>
      <c r="G183" s="15" t="n"/>
      <c r="H183" s="13" t="n"/>
      <c r="I183" s="13" t="n"/>
      <c r="J183" s="13" t="n"/>
      <c r="K183" s="16">
        <f>IF($A183="","",1)</f>
        <v/>
      </c>
    </row>
    <row r="184">
      <c r="A184" s="13" t="n"/>
      <c r="B184" s="13" t="n"/>
      <c r="C184" s="14" t="n"/>
      <c r="D184" s="14" t="n"/>
      <c r="E184" s="15" t="n"/>
      <c r="F184" s="16">
        <f>IF($A184="","",ROUND($C184*$E184,2))</f>
        <v/>
      </c>
      <c r="G184" s="15" t="n"/>
      <c r="H184" s="13" t="n"/>
      <c r="I184" s="13" t="n"/>
      <c r="J184" s="13" t="n"/>
      <c r="K184" s="16">
        <f>IF($A184="","",1)</f>
        <v/>
      </c>
    </row>
    <row r="185">
      <c r="A185" s="13" t="n"/>
      <c r="B185" s="13" t="n"/>
      <c r="C185" s="14" t="n"/>
      <c r="D185" s="14" t="n"/>
      <c r="E185" s="15" t="n"/>
      <c r="F185" s="16">
        <f>IF($A185="","",ROUND($C185*$E185,2))</f>
        <v/>
      </c>
      <c r="G185" s="15" t="n"/>
      <c r="H185" s="13" t="n"/>
      <c r="I185" s="13" t="n"/>
      <c r="J185" s="13" t="n"/>
      <c r="K185" s="16">
        <f>IF($A185="","",1)</f>
        <v/>
      </c>
    </row>
    <row r="186">
      <c r="A186" s="13" t="n"/>
      <c r="B186" s="13" t="n"/>
      <c r="C186" s="14" t="n"/>
      <c r="D186" s="14" t="n"/>
      <c r="E186" s="15" t="n"/>
      <c r="F186" s="16">
        <f>IF($A186="","",ROUND($C186*$E186,2))</f>
        <v/>
      </c>
      <c r="G186" s="15" t="n"/>
      <c r="H186" s="13" t="n"/>
      <c r="I186" s="13" t="n"/>
      <c r="J186" s="13" t="n"/>
      <c r="K186" s="16">
        <f>IF($A186="","",1)</f>
        <v/>
      </c>
    </row>
    <row r="187">
      <c r="A187" s="13" t="n"/>
      <c r="B187" s="13" t="n"/>
      <c r="C187" s="14" t="n"/>
      <c r="D187" s="14" t="n"/>
      <c r="E187" s="15" t="n"/>
      <c r="F187" s="16">
        <f>IF($A187="","",ROUND($C187*$E187,2))</f>
        <v/>
      </c>
      <c r="G187" s="15" t="n"/>
      <c r="H187" s="13" t="n"/>
      <c r="I187" s="13" t="n"/>
      <c r="J187" s="13" t="n"/>
      <c r="K187" s="16">
        <f>IF($A187="","",1)</f>
        <v/>
      </c>
    </row>
    <row r="188">
      <c r="A188" s="13" t="n"/>
      <c r="B188" s="13" t="n"/>
      <c r="C188" s="14" t="n"/>
      <c r="D188" s="14" t="n"/>
      <c r="E188" s="15" t="n"/>
      <c r="F188" s="16">
        <f>IF($A188="","",ROUND($C188*$E188,2))</f>
        <v/>
      </c>
      <c r="G188" s="15" t="n"/>
      <c r="H188" s="13" t="n"/>
      <c r="I188" s="13" t="n"/>
      <c r="J188" s="13" t="n"/>
      <c r="K188" s="16">
        <f>IF($A188="","",1)</f>
        <v/>
      </c>
    </row>
    <row r="189">
      <c r="A189" s="13" t="n"/>
      <c r="B189" s="13" t="n"/>
      <c r="C189" s="14" t="n"/>
      <c r="D189" s="14" t="n"/>
      <c r="E189" s="15" t="n"/>
      <c r="F189" s="16">
        <f>IF($A189="","",ROUND($C189*$E189,2))</f>
        <v/>
      </c>
      <c r="G189" s="15" t="n"/>
      <c r="H189" s="13" t="n"/>
      <c r="I189" s="13" t="n"/>
      <c r="J189" s="13" t="n"/>
      <c r="K189" s="16">
        <f>IF($A189="","",1)</f>
        <v/>
      </c>
    </row>
    <row r="190">
      <c r="A190" s="13" t="n"/>
      <c r="B190" s="13" t="n"/>
      <c r="C190" s="14" t="n"/>
      <c r="D190" s="14" t="n"/>
      <c r="E190" s="15" t="n"/>
      <c r="F190" s="16">
        <f>IF($A190="","",ROUND($C190*$E190,2))</f>
        <v/>
      </c>
      <c r="G190" s="15" t="n"/>
      <c r="H190" s="13" t="n"/>
      <c r="I190" s="13" t="n"/>
      <c r="J190" s="13" t="n"/>
      <c r="K190" s="16">
        <f>IF($A190="","",1)</f>
        <v/>
      </c>
    </row>
    <row r="191">
      <c r="A191" s="13" t="n"/>
      <c r="B191" s="13" t="n"/>
      <c r="C191" s="14" t="n"/>
      <c r="D191" s="14" t="n"/>
      <c r="E191" s="15" t="n"/>
      <c r="F191" s="16">
        <f>IF($A191="","",ROUND($C191*$E191,2))</f>
        <v/>
      </c>
      <c r="G191" s="15" t="n"/>
      <c r="H191" s="13" t="n"/>
      <c r="I191" s="13" t="n"/>
      <c r="J191" s="13" t="n"/>
      <c r="K191" s="16">
        <f>IF($A191="","",1)</f>
        <v/>
      </c>
    </row>
    <row r="192">
      <c r="A192" s="13" t="n"/>
      <c r="B192" s="13" t="n"/>
      <c r="C192" s="14" t="n"/>
      <c r="D192" s="14" t="n"/>
      <c r="E192" s="15" t="n"/>
      <c r="F192" s="16">
        <f>IF($A192="","",ROUND($C192*$E192,2))</f>
        <v/>
      </c>
      <c r="G192" s="15" t="n"/>
      <c r="H192" s="13" t="n"/>
      <c r="I192" s="13" t="n"/>
      <c r="J192" s="13" t="n"/>
      <c r="K192" s="16">
        <f>IF($A192="","",1)</f>
        <v/>
      </c>
    </row>
    <row r="193">
      <c r="A193" s="13" t="n"/>
      <c r="B193" s="13" t="n"/>
      <c r="C193" s="14" t="n"/>
      <c r="D193" s="14" t="n"/>
      <c r="E193" s="15" t="n"/>
      <c r="F193" s="16">
        <f>IF($A193="","",ROUND($C193*$E193,2))</f>
        <v/>
      </c>
      <c r="G193" s="15" t="n"/>
      <c r="H193" s="13" t="n"/>
      <c r="I193" s="13" t="n"/>
      <c r="J193" s="13" t="n"/>
      <c r="K193" s="16">
        <f>IF($A193="","",1)</f>
        <v/>
      </c>
    </row>
    <row r="194">
      <c r="A194" s="13" t="n"/>
      <c r="B194" s="13" t="n"/>
      <c r="C194" s="14" t="n"/>
      <c r="D194" s="14" t="n"/>
      <c r="E194" s="15" t="n"/>
      <c r="F194" s="16">
        <f>IF($A194="","",ROUND($C194*$E194,2))</f>
        <v/>
      </c>
      <c r="G194" s="15" t="n"/>
      <c r="H194" s="13" t="n"/>
      <c r="I194" s="13" t="n"/>
      <c r="J194" s="13" t="n"/>
      <c r="K194" s="16">
        <f>IF($A194="","",1)</f>
        <v/>
      </c>
    </row>
    <row r="195">
      <c r="A195" s="13" t="n"/>
      <c r="B195" s="13" t="n"/>
      <c r="C195" s="14" t="n"/>
      <c r="D195" s="14" t="n"/>
      <c r="E195" s="15" t="n"/>
      <c r="F195" s="16">
        <f>IF($A195="","",ROUND($C195*$E195,2))</f>
        <v/>
      </c>
      <c r="G195" s="15" t="n"/>
      <c r="H195" s="13" t="n"/>
      <c r="I195" s="13" t="n"/>
      <c r="J195" s="13" t="n"/>
      <c r="K195" s="16">
        <f>IF($A195="","",1)</f>
        <v/>
      </c>
    </row>
    <row r="196">
      <c r="A196" s="13" t="n"/>
      <c r="B196" s="13" t="n"/>
      <c r="C196" s="14" t="n"/>
      <c r="D196" s="14" t="n"/>
      <c r="E196" s="15" t="n"/>
      <c r="F196" s="16">
        <f>IF($A196="","",ROUND($C196*$E196,2))</f>
        <v/>
      </c>
      <c r="G196" s="15" t="n"/>
      <c r="H196" s="13" t="n"/>
      <c r="I196" s="13" t="n"/>
      <c r="J196" s="13" t="n"/>
      <c r="K196" s="16">
        <f>IF($A196="","",1)</f>
        <v/>
      </c>
    </row>
    <row r="197">
      <c r="A197" s="13" t="n"/>
      <c r="B197" s="13" t="n"/>
      <c r="C197" s="14" t="n"/>
      <c r="D197" s="14" t="n"/>
      <c r="E197" s="15" t="n"/>
      <c r="F197" s="16">
        <f>IF($A197="","",ROUND($C197*$E197,2))</f>
        <v/>
      </c>
      <c r="G197" s="15" t="n"/>
      <c r="H197" s="13" t="n"/>
      <c r="I197" s="13" t="n"/>
      <c r="J197" s="13" t="n"/>
      <c r="K197" s="16">
        <f>IF($A197="","",1)</f>
        <v/>
      </c>
    </row>
    <row r="198">
      <c r="A198" s="13" t="n"/>
      <c r="B198" s="13" t="n"/>
      <c r="C198" s="14" t="n"/>
      <c r="D198" s="14" t="n"/>
      <c r="E198" s="15" t="n"/>
      <c r="F198" s="16">
        <f>IF($A198="","",ROUND($C198*$E198,2))</f>
        <v/>
      </c>
      <c r="G198" s="15" t="n"/>
      <c r="H198" s="13" t="n"/>
      <c r="I198" s="13" t="n"/>
      <c r="J198" s="13" t="n"/>
      <c r="K198" s="16">
        <f>IF($A198="","",1)</f>
        <v/>
      </c>
    </row>
    <row r="199">
      <c r="A199" s="13" t="n"/>
      <c r="B199" s="13" t="n"/>
      <c r="C199" s="14" t="n"/>
      <c r="D199" s="14" t="n"/>
      <c r="E199" s="15" t="n"/>
      <c r="F199" s="16">
        <f>IF($A199="","",ROUND($C199*$E199,2))</f>
        <v/>
      </c>
      <c r="G199" s="15" t="n"/>
      <c r="H199" s="13" t="n"/>
      <c r="I199" s="13" t="n"/>
      <c r="J199" s="13" t="n"/>
      <c r="K199" s="16">
        <f>IF($A199="","",1)</f>
        <v/>
      </c>
    </row>
    <row r="200">
      <c r="A200" s="13" t="n"/>
      <c r="B200" s="13" t="n"/>
      <c r="C200" s="14" t="n"/>
      <c r="D200" s="14" t="n"/>
      <c r="E200" s="15" t="n"/>
      <c r="F200" s="16">
        <f>IF($A200="","",ROUND($C200*$E200,2))</f>
        <v/>
      </c>
      <c r="G200" s="15" t="n"/>
      <c r="H200" s="13" t="n"/>
      <c r="I200" s="13" t="n"/>
      <c r="J200" s="13" t="n"/>
      <c r="K200" s="16">
        <f>IF($A200="","",1)</f>
        <v/>
      </c>
    </row>
    <row r="201">
      <c r="A201" s="13" t="n"/>
      <c r="B201" s="13" t="n"/>
      <c r="C201" s="14" t="n"/>
      <c r="D201" s="14" t="n"/>
      <c r="E201" s="15" t="n"/>
      <c r="F201" s="16">
        <f>IF($A201="","",ROUND($C201*$E201,2))</f>
        <v/>
      </c>
      <c r="G201" s="15" t="n"/>
      <c r="H201" s="13" t="n"/>
      <c r="I201" s="13" t="n"/>
      <c r="J201" s="13" t="n"/>
      <c r="K201" s="16">
        <f>IF($A201="","",1)</f>
        <v/>
      </c>
    </row>
    <row r="202">
      <c r="A202" s="13" t="n"/>
      <c r="B202" s="13" t="n"/>
      <c r="C202" s="14" t="n"/>
      <c r="D202" s="14" t="n"/>
      <c r="E202" s="15" t="n"/>
      <c r="F202" s="16">
        <f>IF($A202="","",ROUND($C202*$E202,2))</f>
        <v/>
      </c>
      <c r="G202" s="15" t="n"/>
      <c r="H202" s="13" t="n"/>
      <c r="I202" s="13" t="n"/>
      <c r="J202" s="13" t="n"/>
      <c r="K202" s="16">
        <f>IF($A202="","",1)</f>
        <v/>
      </c>
    </row>
    <row r="203">
      <c r="A203" s="13" t="n"/>
      <c r="B203" s="13" t="n"/>
      <c r="C203" s="14" t="n"/>
      <c r="D203" s="14" t="n"/>
      <c r="E203" s="15" t="n"/>
      <c r="F203" s="16">
        <f>IF($A203="","",ROUND($C203*$E203,2))</f>
        <v/>
      </c>
      <c r="G203" s="15" t="n"/>
      <c r="H203" s="13" t="n"/>
      <c r="I203" s="13" t="n"/>
      <c r="J203" s="13" t="n"/>
      <c r="K203" s="16">
        <f>IF($A203="","",1)</f>
        <v/>
      </c>
    </row>
    <row r="204">
      <c r="A204" s="13" t="n"/>
      <c r="B204" s="13" t="n"/>
      <c r="C204" s="14" t="n"/>
      <c r="D204" s="14" t="n"/>
      <c r="E204" s="15" t="n"/>
      <c r="F204" s="16">
        <f>IF($A204="","",ROUND($C204*$E204,2))</f>
        <v/>
      </c>
      <c r="G204" s="15" t="n"/>
      <c r="H204" s="13" t="n"/>
      <c r="I204" s="13" t="n"/>
      <c r="J204" s="13" t="n"/>
      <c r="K204" s="16">
        <f>IF($A204="","",1)</f>
        <v/>
      </c>
    </row>
    <row r="205">
      <c r="A205" s="13" t="n"/>
      <c r="B205" s="13" t="n"/>
      <c r="C205" s="14" t="n"/>
      <c r="D205" s="14" t="n"/>
      <c r="E205" s="15" t="n"/>
      <c r="F205" s="16">
        <f>IF($A205="","",ROUND($C205*$E205,2))</f>
        <v/>
      </c>
      <c r="G205" s="15" t="n"/>
      <c r="H205" s="13" t="n"/>
      <c r="I205" s="13" t="n"/>
      <c r="J205" s="13" t="n"/>
      <c r="K205" s="16">
        <f>IF($A205="","",1)</f>
        <v/>
      </c>
    </row>
    <row r="206">
      <c r="A206" s="13" t="n"/>
      <c r="B206" s="13" t="n"/>
      <c r="C206" s="14" t="n"/>
      <c r="D206" s="14" t="n"/>
      <c r="E206" s="15" t="n"/>
      <c r="F206" s="16">
        <f>IF($A206="","",ROUND($C206*$E206,2))</f>
        <v/>
      </c>
      <c r="G206" s="15" t="n"/>
      <c r="H206" s="13" t="n"/>
      <c r="I206" s="13" t="n"/>
      <c r="J206" s="13" t="n"/>
      <c r="K206" s="16">
        <f>IF($A206="","",1)</f>
        <v/>
      </c>
    </row>
    <row r="207">
      <c r="A207" s="13" t="n"/>
      <c r="B207" s="13" t="n"/>
      <c r="C207" s="14" t="n"/>
      <c r="D207" s="14" t="n"/>
      <c r="E207" s="15" t="n"/>
      <c r="F207" s="16">
        <f>IF($A207="","",ROUND($C207*$E207,2))</f>
        <v/>
      </c>
      <c r="G207" s="15" t="n"/>
      <c r="H207" s="13" t="n"/>
      <c r="I207" s="13" t="n"/>
      <c r="J207" s="13" t="n"/>
      <c r="K207" s="16">
        <f>IF($A207="","",1)</f>
        <v/>
      </c>
    </row>
    <row r="208">
      <c r="A208" s="13" t="n"/>
      <c r="B208" s="13" t="n"/>
      <c r="C208" s="14" t="n"/>
      <c r="D208" s="14" t="n"/>
      <c r="E208" s="15" t="n"/>
      <c r="F208" s="16">
        <f>IF($A208="","",ROUND($C208*$E208,2))</f>
        <v/>
      </c>
      <c r="G208" s="15" t="n"/>
      <c r="H208" s="13" t="n"/>
      <c r="I208" s="13" t="n"/>
      <c r="J208" s="13" t="n"/>
      <c r="K208" s="16">
        <f>IF($A208="","",1)</f>
        <v/>
      </c>
    </row>
    <row r="209">
      <c r="A209" s="13" t="n"/>
      <c r="B209" s="13" t="n"/>
      <c r="C209" s="14" t="n"/>
      <c r="D209" s="14" t="n"/>
      <c r="E209" s="15" t="n"/>
      <c r="F209" s="16">
        <f>IF($A209="","",ROUND($C209*$E209,2))</f>
        <v/>
      </c>
      <c r="G209" s="15" t="n"/>
      <c r="H209" s="13" t="n"/>
      <c r="I209" s="13" t="n"/>
      <c r="J209" s="13" t="n"/>
      <c r="K209" s="16">
        <f>IF($A209="","",1)</f>
        <v/>
      </c>
    </row>
    <row r="210">
      <c r="A210" s="13" t="n"/>
      <c r="B210" s="13" t="n"/>
      <c r="C210" s="14" t="n"/>
      <c r="D210" s="14" t="n"/>
      <c r="E210" s="15" t="n"/>
      <c r="F210" s="16">
        <f>IF($A210="","",ROUND($C210*$E210,2))</f>
        <v/>
      </c>
      <c r="G210" s="15" t="n"/>
      <c r="H210" s="13" t="n"/>
      <c r="I210" s="13" t="n"/>
      <c r="J210" s="13" t="n"/>
      <c r="K210" s="16">
        <f>IF($A210="","",1)</f>
        <v/>
      </c>
    </row>
    <row r="211">
      <c r="A211" s="13" t="n"/>
      <c r="B211" s="13" t="n"/>
      <c r="C211" s="14" t="n"/>
      <c r="D211" s="14" t="n"/>
      <c r="E211" s="15" t="n"/>
      <c r="F211" s="16">
        <f>IF($A211="","",ROUND($C211*$E211,2))</f>
        <v/>
      </c>
      <c r="G211" s="15" t="n"/>
      <c r="H211" s="13" t="n"/>
      <c r="I211" s="13" t="n"/>
      <c r="J211" s="13" t="n"/>
      <c r="K211" s="16">
        <f>IF($A211="","",1)</f>
        <v/>
      </c>
    </row>
    <row r="212">
      <c r="A212" s="13" t="n"/>
      <c r="B212" s="13" t="n"/>
      <c r="C212" s="14" t="n"/>
      <c r="D212" s="14" t="n"/>
      <c r="E212" s="15" t="n"/>
      <c r="F212" s="16">
        <f>IF($A212="","",ROUND($C212*$E212,2))</f>
        <v/>
      </c>
      <c r="G212" s="15" t="n"/>
      <c r="H212" s="13" t="n"/>
      <c r="I212" s="13" t="n"/>
      <c r="J212" s="13" t="n"/>
      <c r="K212" s="16">
        <f>IF($A212="","",1)</f>
        <v/>
      </c>
    </row>
    <row r="213">
      <c r="A213" s="13" t="n"/>
      <c r="B213" s="13" t="n"/>
      <c r="C213" s="14" t="n"/>
      <c r="D213" s="14" t="n"/>
      <c r="E213" s="15" t="n"/>
      <c r="F213" s="16">
        <f>IF($A213="","",ROUND($C213*$E213,2))</f>
        <v/>
      </c>
      <c r="G213" s="15" t="n"/>
      <c r="H213" s="13" t="n"/>
      <c r="I213" s="13" t="n"/>
      <c r="J213" s="13" t="n"/>
      <c r="K213" s="16">
        <f>IF($A213="","",1)</f>
        <v/>
      </c>
    </row>
    <row r="214">
      <c r="A214" s="13" t="n"/>
      <c r="B214" s="13" t="n"/>
      <c r="C214" s="14" t="n"/>
      <c r="D214" s="14" t="n"/>
      <c r="E214" s="15" t="n"/>
      <c r="F214" s="16">
        <f>IF($A214="","",ROUND($C214*$E214,2))</f>
        <v/>
      </c>
      <c r="G214" s="15" t="n"/>
      <c r="H214" s="13" t="n"/>
      <c r="I214" s="13" t="n"/>
      <c r="J214" s="13" t="n"/>
      <c r="K214" s="16">
        <f>IF($A214="","",1)</f>
        <v/>
      </c>
    </row>
    <row r="215">
      <c r="A215" s="13" t="n"/>
      <c r="B215" s="13" t="n"/>
      <c r="C215" s="14" t="n"/>
      <c r="D215" s="14" t="n"/>
      <c r="E215" s="15" t="n"/>
      <c r="F215" s="16">
        <f>IF($A215="","",ROUND($C215*$E215,2))</f>
        <v/>
      </c>
      <c r="G215" s="15" t="n"/>
      <c r="H215" s="13" t="n"/>
      <c r="I215" s="13" t="n"/>
      <c r="J215" s="13" t="n"/>
      <c r="K215" s="16">
        <f>IF($A215="","",1)</f>
        <v/>
      </c>
    </row>
    <row r="216">
      <c r="A216" s="13" t="n"/>
      <c r="B216" s="13" t="n"/>
      <c r="C216" s="14" t="n"/>
      <c r="D216" s="14" t="n"/>
      <c r="E216" s="15" t="n"/>
      <c r="F216" s="16">
        <f>IF($A216="","",ROUND($C216*$E216,2))</f>
        <v/>
      </c>
      <c r="G216" s="15" t="n"/>
      <c r="H216" s="13" t="n"/>
      <c r="I216" s="13" t="n"/>
      <c r="J216" s="13" t="n"/>
      <c r="K216" s="16">
        <f>IF($A216="","",1)</f>
        <v/>
      </c>
    </row>
    <row r="217">
      <c r="A217" s="13" t="n"/>
      <c r="B217" s="13" t="n"/>
      <c r="C217" s="14" t="n"/>
      <c r="D217" s="14" t="n"/>
      <c r="E217" s="15" t="n"/>
      <c r="F217" s="16">
        <f>IF($A217="","",ROUND($C217*$E217,2))</f>
        <v/>
      </c>
      <c r="G217" s="15" t="n"/>
      <c r="H217" s="13" t="n"/>
      <c r="I217" s="13" t="n"/>
      <c r="J217" s="13" t="n"/>
      <c r="K217" s="16">
        <f>IF($A217="","",1)</f>
        <v/>
      </c>
    </row>
    <row r="218">
      <c r="A218" s="13" t="n"/>
      <c r="B218" s="13" t="n"/>
      <c r="C218" s="14" t="n"/>
      <c r="D218" s="14" t="n"/>
      <c r="E218" s="15" t="n"/>
      <c r="F218" s="16">
        <f>IF($A218="","",ROUND($C218*$E218,2))</f>
        <v/>
      </c>
      <c r="G218" s="15" t="n"/>
      <c r="H218" s="13" t="n"/>
      <c r="I218" s="13" t="n"/>
      <c r="J218" s="13" t="n"/>
      <c r="K218" s="16">
        <f>IF($A218="","",1)</f>
        <v/>
      </c>
    </row>
    <row r="219">
      <c r="A219" s="13" t="n"/>
      <c r="B219" s="13" t="n"/>
      <c r="C219" s="14" t="n"/>
      <c r="D219" s="14" t="n"/>
      <c r="E219" s="15" t="n"/>
      <c r="F219" s="16">
        <f>IF($A219="","",ROUND($C219*$E219,2))</f>
        <v/>
      </c>
      <c r="G219" s="15" t="n"/>
      <c r="H219" s="13" t="n"/>
      <c r="I219" s="13" t="n"/>
      <c r="J219" s="13" t="n"/>
      <c r="K219" s="16">
        <f>IF($A219="","",1)</f>
        <v/>
      </c>
    </row>
    <row r="220">
      <c r="A220" s="13" t="n"/>
      <c r="B220" s="13" t="n"/>
      <c r="C220" s="14" t="n"/>
      <c r="D220" s="14" t="n"/>
      <c r="E220" s="15" t="n"/>
      <c r="F220" s="16">
        <f>IF($A220="","",ROUND($C220*$E220,2))</f>
        <v/>
      </c>
      <c r="G220" s="15" t="n"/>
      <c r="H220" s="13" t="n"/>
      <c r="I220" s="13" t="n"/>
      <c r="J220" s="13" t="n"/>
      <c r="K220" s="16">
        <f>IF($A220="","",1)</f>
        <v/>
      </c>
    </row>
    <row r="221">
      <c r="A221" s="13" t="n"/>
      <c r="B221" s="13" t="n"/>
      <c r="C221" s="14" t="n"/>
      <c r="D221" s="14" t="n"/>
      <c r="E221" s="15" t="n"/>
      <c r="F221" s="16">
        <f>IF($A221="","",ROUND($C221*$E221,2))</f>
        <v/>
      </c>
      <c r="G221" s="15" t="n"/>
      <c r="H221" s="13" t="n"/>
      <c r="I221" s="13" t="n"/>
      <c r="J221" s="13" t="n"/>
      <c r="K221" s="16">
        <f>IF($A221="","",1)</f>
        <v/>
      </c>
    </row>
    <row r="222">
      <c r="A222" s="13" t="n"/>
      <c r="B222" s="13" t="n"/>
      <c r="C222" s="14" t="n"/>
      <c r="D222" s="14" t="n"/>
      <c r="E222" s="15" t="n"/>
      <c r="F222" s="16">
        <f>IF($A222="","",ROUND($C222*$E222,2))</f>
        <v/>
      </c>
      <c r="G222" s="15" t="n"/>
      <c r="H222" s="13" t="n"/>
      <c r="I222" s="13" t="n"/>
      <c r="J222" s="13" t="n"/>
      <c r="K222" s="16">
        <f>IF($A222="","",1)</f>
        <v/>
      </c>
    </row>
    <row r="223">
      <c r="A223" s="13" t="n"/>
      <c r="B223" s="13" t="n"/>
      <c r="C223" s="14" t="n"/>
      <c r="D223" s="14" t="n"/>
      <c r="E223" s="15" t="n"/>
      <c r="F223" s="16">
        <f>IF($A223="","",ROUND($C223*$E223,2))</f>
        <v/>
      </c>
      <c r="G223" s="15" t="n"/>
      <c r="H223" s="13" t="n"/>
      <c r="I223" s="13" t="n"/>
      <c r="J223" s="13" t="n"/>
      <c r="K223" s="16">
        <f>IF($A223="","",1)</f>
        <v/>
      </c>
    </row>
    <row r="224">
      <c r="A224" s="13" t="n"/>
      <c r="B224" s="13" t="n"/>
      <c r="C224" s="14" t="n"/>
      <c r="D224" s="14" t="n"/>
      <c r="E224" s="15" t="n"/>
      <c r="F224" s="16">
        <f>IF($A224="","",ROUND($C224*$E224,2))</f>
        <v/>
      </c>
      <c r="G224" s="15" t="n"/>
      <c r="H224" s="13" t="n"/>
      <c r="I224" s="13" t="n"/>
      <c r="J224" s="13" t="n"/>
      <c r="K224" s="16">
        <f>IF($A224="","",1)</f>
        <v/>
      </c>
    </row>
    <row r="225">
      <c r="A225" s="13" t="n"/>
      <c r="B225" s="13" t="n"/>
      <c r="C225" s="14" t="n"/>
      <c r="D225" s="14" t="n"/>
      <c r="E225" s="15" t="n"/>
      <c r="F225" s="16">
        <f>IF($A225="","",ROUND($C225*$E225,2))</f>
        <v/>
      </c>
      <c r="G225" s="15" t="n"/>
      <c r="H225" s="13" t="n"/>
      <c r="I225" s="13" t="n"/>
      <c r="J225" s="13" t="n"/>
      <c r="K225" s="16">
        <f>IF($A225="","",1)</f>
        <v/>
      </c>
    </row>
    <row r="226">
      <c r="A226" s="13" t="n"/>
      <c r="B226" s="13" t="n"/>
      <c r="C226" s="14" t="n"/>
      <c r="D226" s="14" t="n"/>
      <c r="E226" s="15" t="n"/>
      <c r="F226" s="16">
        <f>IF($A226="","",ROUND($C226*$E226,2))</f>
        <v/>
      </c>
      <c r="G226" s="15" t="n"/>
      <c r="H226" s="13" t="n"/>
      <c r="I226" s="13" t="n"/>
      <c r="J226" s="13" t="n"/>
      <c r="K226" s="16">
        <f>IF($A226="","",1)</f>
        <v/>
      </c>
    </row>
    <row r="227">
      <c r="A227" s="13" t="n"/>
      <c r="B227" s="13" t="n"/>
      <c r="C227" s="14" t="n"/>
      <c r="D227" s="14" t="n"/>
      <c r="E227" s="15" t="n"/>
      <c r="F227" s="16">
        <f>IF($A227="","",ROUND($C227*$E227,2))</f>
        <v/>
      </c>
      <c r="G227" s="15" t="n"/>
      <c r="H227" s="13" t="n"/>
      <c r="I227" s="13" t="n"/>
      <c r="J227" s="13" t="n"/>
      <c r="K227" s="16">
        <f>IF($A227="","",1)</f>
        <v/>
      </c>
    </row>
    <row r="228">
      <c r="A228" s="13" t="n"/>
      <c r="B228" s="13" t="n"/>
      <c r="C228" s="14" t="n"/>
      <c r="D228" s="14" t="n"/>
      <c r="E228" s="15" t="n"/>
      <c r="F228" s="16">
        <f>IF($A228="","",ROUND($C228*$E228,2))</f>
        <v/>
      </c>
      <c r="G228" s="15" t="n"/>
      <c r="H228" s="13" t="n"/>
      <c r="I228" s="13" t="n"/>
      <c r="J228" s="13" t="n"/>
      <c r="K228" s="16">
        <f>IF($A228="","",1)</f>
        <v/>
      </c>
    </row>
    <row r="229">
      <c r="A229" s="13" t="n"/>
      <c r="B229" s="13" t="n"/>
      <c r="C229" s="14" t="n"/>
      <c r="D229" s="14" t="n"/>
      <c r="E229" s="15" t="n"/>
      <c r="F229" s="16">
        <f>IF($A229="","",ROUND($C229*$E229,2))</f>
        <v/>
      </c>
      <c r="G229" s="15" t="n"/>
      <c r="H229" s="13" t="n"/>
      <c r="I229" s="13" t="n"/>
      <c r="J229" s="13" t="n"/>
      <c r="K229" s="16">
        <f>IF($A229="","",1)</f>
        <v/>
      </c>
    </row>
    <row r="230">
      <c r="A230" s="13" t="n"/>
      <c r="B230" s="13" t="n"/>
      <c r="C230" s="14" t="n"/>
      <c r="D230" s="14" t="n"/>
      <c r="E230" s="15" t="n"/>
      <c r="F230" s="16">
        <f>IF($A230="","",ROUND($C230*$E230,2))</f>
        <v/>
      </c>
      <c r="G230" s="15" t="n"/>
      <c r="H230" s="13" t="n"/>
      <c r="I230" s="13" t="n"/>
      <c r="J230" s="13" t="n"/>
      <c r="K230" s="16">
        <f>IF($A230="","",1)</f>
        <v/>
      </c>
    </row>
    <row r="231">
      <c r="A231" s="13" t="n"/>
      <c r="B231" s="13" t="n"/>
      <c r="C231" s="14" t="n"/>
      <c r="D231" s="14" t="n"/>
      <c r="E231" s="15" t="n"/>
      <c r="F231" s="16">
        <f>IF($A231="","",ROUND($C231*$E231,2))</f>
        <v/>
      </c>
      <c r="G231" s="15" t="n"/>
      <c r="H231" s="13" t="n"/>
      <c r="I231" s="13" t="n"/>
      <c r="J231" s="13" t="n"/>
      <c r="K231" s="16">
        <f>IF($A231="","",1)</f>
        <v/>
      </c>
    </row>
    <row r="232">
      <c r="A232" s="13" t="n"/>
      <c r="B232" s="13" t="n"/>
      <c r="C232" s="14" t="n"/>
      <c r="D232" s="14" t="n"/>
      <c r="E232" s="15" t="n"/>
      <c r="F232" s="16">
        <f>IF($A232="","",ROUND($C232*$E232,2))</f>
        <v/>
      </c>
      <c r="G232" s="15" t="n"/>
      <c r="H232" s="13" t="n"/>
      <c r="I232" s="13" t="n"/>
      <c r="J232" s="13" t="n"/>
      <c r="K232" s="16">
        <f>IF($A232="","",1)</f>
        <v/>
      </c>
    </row>
    <row r="233">
      <c r="A233" s="13" t="n"/>
      <c r="B233" s="13" t="n"/>
      <c r="C233" s="14" t="n"/>
      <c r="D233" s="14" t="n"/>
      <c r="E233" s="15" t="n"/>
      <c r="F233" s="16">
        <f>IF($A233="","",ROUND($C233*$E233,2))</f>
        <v/>
      </c>
      <c r="G233" s="15" t="n"/>
      <c r="H233" s="13" t="n"/>
      <c r="I233" s="13" t="n"/>
      <c r="J233" s="13" t="n"/>
      <c r="K233" s="16">
        <f>IF($A233="","",1)</f>
        <v/>
      </c>
    </row>
    <row r="234">
      <c r="A234" s="13" t="n"/>
      <c r="B234" s="13" t="n"/>
      <c r="C234" s="14" t="n"/>
      <c r="D234" s="14" t="n"/>
      <c r="E234" s="15" t="n"/>
      <c r="F234" s="16">
        <f>IF($A234="","",ROUND($C234*$E234,2))</f>
        <v/>
      </c>
      <c r="G234" s="15" t="n"/>
      <c r="H234" s="13" t="n"/>
      <c r="I234" s="13" t="n"/>
      <c r="J234" s="13" t="n"/>
      <c r="K234" s="16">
        <f>IF($A234="","",1)</f>
        <v/>
      </c>
    </row>
    <row r="235">
      <c r="A235" s="13" t="n"/>
      <c r="B235" s="13" t="n"/>
      <c r="C235" s="14" t="n"/>
      <c r="D235" s="14" t="n"/>
      <c r="E235" s="15" t="n"/>
      <c r="F235" s="16">
        <f>IF($A235="","",ROUND($C235*$E235,2))</f>
        <v/>
      </c>
      <c r="G235" s="15" t="n"/>
      <c r="H235" s="13" t="n"/>
      <c r="I235" s="13" t="n"/>
      <c r="J235" s="13" t="n"/>
      <c r="K235" s="16">
        <f>IF($A235="","",1)</f>
        <v/>
      </c>
    </row>
    <row r="236">
      <c r="A236" s="13" t="n"/>
      <c r="B236" s="13" t="n"/>
      <c r="C236" s="14" t="n"/>
      <c r="D236" s="14" t="n"/>
      <c r="E236" s="15" t="n"/>
      <c r="F236" s="16">
        <f>IF($A236="","",ROUND($C236*$E236,2))</f>
        <v/>
      </c>
      <c r="G236" s="15" t="n"/>
      <c r="H236" s="13" t="n"/>
      <c r="I236" s="13" t="n"/>
      <c r="J236" s="13" t="n"/>
      <c r="K236" s="16">
        <f>IF($A236="","",1)</f>
        <v/>
      </c>
    </row>
    <row r="237">
      <c r="A237" s="13" t="n"/>
      <c r="B237" s="13" t="n"/>
      <c r="C237" s="14" t="n"/>
      <c r="D237" s="14" t="n"/>
      <c r="E237" s="15" t="n"/>
      <c r="F237" s="16">
        <f>IF($A237="","",ROUND($C237*$E237,2))</f>
        <v/>
      </c>
      <c r="G237" s="15" t="n"/>
      <c r="H237" s="13" t="n"/>
      <c r="I237" s="13" t="n"/>
      <c r="J237" s="13" t="n"/>
      <c r="K237" s="16">
        <f>IF($A237="","",1)</f>
        <v/>
      </c>
    </row>
    <row r="238">
      <c r="A238" s="13" t="n"/>
      <c r="B238" s="13" t="n"/>
      <c r="C238" s="14" t="n"/>
      <c r="D238" s="14" t="n"/>
      <c r="E238" s="15" t="n"/>
      <c r="F238" s="16">
        <f>IF($A238="","",ROUND($C238*$E238,2))</f>
        <v/>
      </c>
      <c r="G238" s="15" t="n"/>
      <c r="H238" s="13" t="n"/>
      <c r="I238" s="13" t="n"/>
      <c r="J238" s="13" t="n"/>
      <c r="K238" s="16">
        <f>IF($A238="","",1)</f>
        <v/>
      </c>
    </row>
    <row r="239">
      <c r="A239" s="13" t="n"/>
      <c r="B239" s="13" t="n"/>
      <c r="C239" s="14" t="n"/>
      <c r="D239" s="14" t="n"/>
      <c r="E239" s="15" t="n"/>
      <c r="F239" s="16">
        <f>IF($A239="","",ROUND($C239*$E239,2))</f>
        <v/>
      </c>
      <c r="G239" s="15" t="n"/>
      <c r="H239" s="13" t="n"/>
      <c r="I239" s="13" t="n"/>
      <c r="J239" s="13" t="n"/>
      <c r="K239" s="16">
        <f>IF($A239="","",1)</f>
        <v/>
      </c>
    </row>
    <row r="240">
      <c r="A240" s="13" t="n"/>
      <c r="B240" s="13" t="n"/>
      <c r="C240" s="14" t="n"/>
      <c r="D240" s="14" t="n"/>
      <c r="E240" s="15" t="n"/>
      <c r="F240" s="16">
        <f>IF($A240="","",ROUND($C240*$E240,2))</f>
        <v/>
      </c>
      <c r="G240" s="15" t="n"/>
      <c r="H240" s="13" t="n"/>
      <c r="I240" s="13" t="n"/>
      <c r="J240" s="13" t="n"/>
      <c r="K240" s="16">
        <f>IF($A240="","",1)</f>
        <v/>
      </c>
    </row>
    <row r="241">
      <c r="A241" s="13" t="n"/>
      <c r="B241" s="13" t="n"/>
      <c r="C241" s="14" t="n"/>
      <c r="D241" s="14" t="n"/>
      <c r="E241" s="15" t="n"/>
      <c r="F241" s="16">
        <f>IF($A241="","",ROUND($C241*$E241,2))</f>
        <v/>
      </c>
      <c r="G241" s="15" t="n"/>
      <c r="H241" s="13" t="n"/>
      <c r="I241" s="13" t="n"/>
      <c r="J241" s="13" t="n"/>
      <c r="K241" s="16">
        <f>IF($A241="","",1)</f>
        <v/>
      </c>
    </row>
    <row r="242">
      <c r="A242" s="13" t="n"/>
      <c r="B242" s="13" t="n"/>
      <c r="C242" s="14" t="n"/>
      <c r="D242" s="14" t="n"/>
      <c r="E242" s="15" t="n"/>
      <c r="F242" s="16">
        <f>IF($A242="","",ROUND($C242*$E242,2))</f>
        <v/>
      </c>
      <c r="G242" s="15" t="n"/>
      <c r="H242" s="13" t="n"/>
      <c r="I242" s="13" t="n"/>
      <c r="J242" s="13" t="n"/>
      <c r="K242" s="16">
        <f>IF($A242="","",1)</f>
        <v/>
      </c>
    </row>
    <row r="243">
      <c r="A243" s="13" t="n"/>
      <c r="B243" s="13" t="n"/>
      <c r="C243" s="14" t="n"/>
      <c r="D243" s="14" t="n"/>
      <c r="E243" s="15" t="n"/>
      <c r="F243" s="16">
        <f>IF($A243="","",ROUND($C243*$E243,2))</f>
        <v/>
      </c>
      <c r="G243" s="15" t="n"/>
      <c r="H243" s="13" t="n"/>
      <c r="I243" s="13" t="n"/>
      <c r="J243" s="13" t="n"/>
      <c r="K243" s="16">
        <f>IF($A243="","",1)</f>
        <v/>
      </c>
    </row>
    <row r="244">
      <c r="A244" s="13" t="n"/>
      <c r="B244" s="13" t="n"/>
      <c r="C244" s="14" t="n"/>
      <c r="D244" s="14" t="n"/>
      <c r="E244" s="15" t="n"/>
      <c r="F244" s="16">
        <f>IF($A244="","",ROUND($C244*$E244,2))</f>
        <v/>
      </c>
      <c r="G244" s="15" t="n"/>
      <c r="H244" s="13" t="n"/>
      <c r="I244" s="13" t="n"/>
      <c r="J244" s="13" t="n"/>
      <c r="K244" s="16">
        <f>IF($A244="","",1)</f>
        <v/>
      </c>
    </row>
    <row r="245">
      <c r="A245" s="13" t="n"/>
      <c r="B245" s="13" t="n"/>
      <c r="C245" s="14" t="n"/>
      <c r="D245" s="14" t="n"/>
      <c r="E245" s="15" t="n"/>
      <c r="F245" s="16">
        <f>IF($A245="","",ROUND($C245*$E245,2))</f>
        <v/>
      </c>
      <c r="G245" s="15" t="n"/>
      <c r="H245" s="13" t="n"/>
      <c r="I245" s="13" t="n"/>
      <c r="J245" s="13" t="n"/>
      <c r="K245" s="16">
        <f>IF($A245="","",1)</f>
        <v/>
      </c>
    </row>
    <row r="246">
      <c r="A246" s="13" t="n"/>
      <c r="B246" s="13" t="n"/>
      <c r="C246" s="14" t="n"/>
      <c r="D246" s="14" t="n"/>
      <c r="E246" s="15" t="n"/>
      <c r="F246" s="16">
        <f>IF($A246="","",ROUND($C246*$E246,2))</f>
        <v/>
      </c>
      <c r="G246" s="15" t="n"/>
      <c r="H246" s="13" t="n"/>
      <c r="I246" s="13" t="n"/>
      <c r="J246" s="13" t="n"/>
      <c r="K246" s="16">
        <f>IF($A246="","",1)</f>
        <v/>
      </c>
    </row>
    <row r="247">
      <c r="A247" s="13" t="n"/>
      <c r="B247" s="13" t="n"/>
      <c r="C247" s="14" t="n"/>
      <c r="D247" s="14" t="n"/>
      <c r="E247" s="15" t="n"/>
      <c r="F247" s="16">
        <f>IF($A247="","",ROUND($C247*$E247,2))</f>
        <v/>
      </c>
      <c r="G247" s="15" t="n"/>
      <c r="H247" s="13" t="n"/>
      <c r="I247" s="13" t="n"/>
      <c r="J247" s="13" t="n"/>
      <c r="K247" s="16">
        <f>IF($A247="","",1)</f>
        <v/>
      </c>
    </row>
    <row r="248">
      <c r="A248" s="13" t="n"/>
      <c r="B248" s="13" t="n"/>
      <c r="C248" s="14" t="n"/>
      <c r="D248" s="14" t="n"/>
      <c r="E248" s="15" t="n"/>
      <c r="F248" s="16">
        <f>IF($A248="","",ROUND($C248*$E248,2))</f>
        <v/>
      </c>
      <c r="G248" s="15" t="n"/>
      <c r="H248" s="13" t="n"/>
      <c r="I248" s="13" t="n"/>
      <c r="J248" s="13" t="n"/>
      <c r="K248" s="16">
        <f>IF($A248="","",1)</f>
        <v/>
      </c>
    </row>
    <row r="249">
      <c r="A249" s="13" t="n"/>
      <c r="B249" s="13" t="n"/>
      <c r="C249" s="14" t="n"/>
      <c r="D249" s="14" t="n"/>
      <c r="E249" s="15" t="n"/>
      <c r="F249" s="16">
        <f>IF($A249="","",ROUND($C249*$E249,2))</f>
        <v/>
      </c>
      <c r="G249" s="15" t="n"/>
      <c r="H249" s="13" t="n"/>
      <c r="I249" s="13" t="n"/>
      <c r="J249" s="13" t="n"/>
      <c r="K249" s="16">
        <f>IF($A249="","",1)</f>
        <v/>
      </c>
    </row>
    <row r="250">
      <c r="A250" s="13" t="n"/>
      <c r="B250" s="13" t="n"/>
      <c r="C250" s="14" t="n"/>
      <c r="D250" s="14" t="n"/>
      <c r="E250" s="15" t="n"/>
      <c r="F250" s="16">
        <f>IF($A250="","",ROUND($C250*$E250,2))</f>
        <v/>
      </c>
      <c r="G250" s="15" t="n"/>
      <c r="H250" s="13" t="n"/>
      <c r="I250" s="13" t="n"/>
      <c r="J250" s="13" t="n"/>
      <c r="K250" s="16">
        <f>IF($A250="","",1)</f>
        <v/>
      </c>
    </row>
    <row r="251">
      <c r="A251" s="13" t="n"/>
      <c r="B251" s="13" t="n"/>
      <c r="C251" s="14" t="n"/>
      <c r="D251" s="14" t="n"/>
      <c r="E251" s="15" t="n"/>
      <c r="F251" s="16">
        <f>IF($A251="","",ROUND($C251*$E251,2))</f>
        <v/>
      </c>
      <c r="G251" s="15" t="n"/>
      <c r="H251" s="13" t="n"/>
      <c r="I251" s="13" t="n"/>
      <c r="J251" s="13" t="n"/>
      <c r="K251" s="16">
        <f>IF($A251="","",1)</f>
        <v/>
      </c>
    </row>
    <row r="252">
      <c r="A252" s="13" t="n"/>
      <c r="B252" s="13" t="n"/>
      <c r="C252" s="14" t="n"/>
      <c r="D252" s="14" t="n"/>
      <c r="E252" s="15" t="n"/>
      <c r="F252" s="16">
        <f>IF($A252="","",ROUND($C252*$E252,2))</f>
        <v/>
      </c>
      <c r="G252" s="15" t="n"/>
      <c r="H252" s="13" t="n"/>
      <c r="I252" s="13" t="n"/>
      <c r="J252" s="13" t="n"/>
      <c r="K252" s="16">
        <f>IF($A252="","",1)</f>
        <v/>
      </c>
    </row>
    <row r="253">
      <c r="A253" s="13" t="n"/>
      <c r="B253" s="13" t="n"/>
      <c r="C253" s="14" t="n"/>
      <c r="D253" s="14" t="n"/>
      <c r="E253" s="15" t="n"/>
      <c r="F253" s="16">
        <f>IF($A253="","",ROUND($C253*$E253,2))</f>
        <v/>
      </c>
      <c r="G253" s="15" t="n"/>
      <c r="H253" s="13" t="n"/>
      <c r="I253" s="13" t="n"/>
      <c r="J253" s="13" t="n"/>
      <c r="K253" s="16">
        <f>IF($A253="","",1)</f>
        <v/>
      </c>
    </row>
    <row r="254">
      <c r="A254" s="13" t="n"/>
      <c r="B254" s="13" t="n"/>
      <c r="C254" s="14" t="n"/>
      <c r="D254" s="14" t="n"/>
      <c r="E254" s="15" t="n"/>
      <c r="F254" s="16">
        <f>IF($A254="","",ROUND($C254*$E254,2))</f>
        <v/>
      </c>
      <c r="G254" s="15" t="n"/>
      <c r="H254" s="13" t="n"/>
      <c r="I254" s="13" t="n"/>
      <c r="J254" s="13" t="n"/>
      <c r="K254" s="16">
        <f>IF($A254="","",1)</f>
        <v/>
      </c>
    </row>
    <row r="255">
      <c r="A255" s="13" t="n"/>
      <c r="B255" s="13" t="n"/>
      <c r="C255" s="14" t="n"/>
      <c r="D255" s="14" t="n"/>
      <c r="E255" s="15" t="n"/>
      <c r="F255" s="16">
        <f>IF($A255="","",ROUND($C255*$E255,2))</f>
        <v/>
      </c>
      <c r="G255" s="15" t="n"/>
      <c r="H255" s="13" t="n"/>
      <c r="I255" s="13" t="n"/>
      <c r="J255" s="13" t="n"/>
      <c r="K255" s="16">
        <f>IF($A255="","",1)</f>
        <v/>
      </c>
    </row>
    <row r="256">
      <c r="A256" s="13" t="n"/>
      <c r="B256" s="13" t="n"/>
      <c r="C256" s="14" t="n"/>
      <c r="D256" s="14" t="n"/>
      <c r="E256" s="15" t="n"/>
      <c r="F256" s="16">
        <f>IF($A256="","",ROUND($C256*$E256,2))</f>
        <v/>
      </c>
      <c r="G256" s="15" t="n"/>
      <c r="H256" s="13" t="n"/>
      <c r="I256" s="13" t="n"/>
      <c r="J256" s="13" t="n"/>
      <c r="K256" s="16">
        <f>IF($A256="","",1)</f>
        <v/>
      </c>
    </row>
    <row r="257">
      <c r="A257" s="13" t="n"/>
      <c r="B257" s="13" t="n"/>
      <c r="C257" s="14" t="n"/>
      <c r="D257" s="14" t="n"/>
      <c r="E257" s="15" t="n"/>
      <c r="F257" s="16">
        <f>IF($A257="","",ROUND($C257*$E257,2))</f>
        <v/>
      </c>
      <c r="G257" s="15" t="n"/>
      <c r="H257" s="13" t="n"/>
      <c r="I257" s="13" t="n"/>
      <c r="J257" s="13" t="n"/>
      <c r="K257" s="16">
        <f>IF($A257="","",1)</f>
        <v/>
      </c>
    </row>
    <row r="258">
      <c r="A258" s="13" t="n"/>
      <c r="B258" s="13" t="n"/>
      <c r="C258" s="14" t="n"/>
      <c r="D258" s="14" t="n"/>
      <c r="E258" s="15" t="n"/>
      <c r="F258" s="16">
        <f>IF($A258="","",ROUND($C258*$E258,2))</f>
        <v/>
      </c>
      <c r="G258" s="15" t="n"/>
      <c r="H258" s="13" t="n"/>
      <c r="I258" s="13" t="n"/>
      <c r="J258" s="13" t="n"/>
      <c r="K258" s="16">
        <f>IF($A258="","",1)</f>
        <v/>
      </c>
    </row>
    <row r="259">
      <c r="A259" s="13" t="n"/>
      <c r="B259" s="13" t="n"/>
      <c r="C259" s="14" t="n"/>
      <c r="D259" s="14" t="n"/>
      <c r="E259" s="15" t="n"/>
      <c r="F259" s="16">
        <f>IF($A259="","",ROUND($C259*$E259,2))</f>
        <v/>
      </c>
      <c r="G259" s="15" t="n"/>
      <c r="H259" s="13" t="n"/>
      <c r="I259" s="13" t="n"/>
      <c r="J259" s="13" t="n"/>
      <c r="K259" s="16">
        <f>IF($A259="","",1)</f>
        <v/>
      </c>
    </row>
    <row r="260">
      <c r="A260" s="13" t="n"/>
      <c r="B260" s="13" t="n"/>
      <c r="C260" s="14" t="n"/>
      <c r="D260" s="14" t="n"/>
      <c r="E260" s="15" t="n"/>
      <c r="F260" s="16">
        <f>IF($A260="","",ROUND($C260*$E260,2))</f>
        <v/>
      </c>
      <c r="G260" s="15" t="n"/>
      <c r="H260" s="13" t="n"/>
      <c r="I260" s="13" t="n"/>
      <c r="J260" s="13" t="n"/>
      <c r="K260" s="16">
        <f>IF($A260="","",1)</f>
        <v/>
      </c>
    </row>
    <row r="261">
      <c r="A261" s="13" t="n"/>
      <c r="B261" s="13" t="n"/>
      <c r="C261" s="14" t="n"/>
      <c r="D261" s="14" t="n"/>
      <c r="E261" s="15" t="n"/>
      <c r="F261" s="16">
        <f>IF($A261="","",ROUND($C261*$E261,2))</f>
        <v/>
      </c>
      <c r="G261" s="15" t="n"/>
      <c r="H261" s="13" t="n"/>
      <c r="I261" s="13" t="n"/>
      <c r="J261" s="13" t="n"/>
      <c r="K261" s="16">
        <f>IF($A261="","",1)</f>
        <v/>
      </c>
    </row>
    <row r="262">
      <c r="A262" s="13" t="n"/>
      <c r="B262" s="13" t="n"/>
      <c r="C262" s="14" t="n"/>
      <c r="D262" s="14" t="n"/>
      <c r="E262" s="15" t="n"/>
      <c r="F262" s="16">
        <f>IF($A262="","",ROUND($C262*$E262,2))</f>
        <v/>
      </c>
      <c r="G262" s="15" t="n"/>
      <c r="H262" s="13" t="n"/>
      <c r="I262" s="13" t="n"/>
      <c r="J262" s="13" t="n"/>
      <c r="K262" s="16">
        <f>IF($A262="","",1)</f>
        <v/>
      </c>
    </row>
    <row r="263">
      <c r="A263" s="13" t="n"/>
      <c r="B263" s="13" t="n"/>
      <c r="C263" s="14" t="n"/>
      <c r="D263" s="14" t="n"/>
      <c r="E263" s="15" t="n"/>
      <c r="F263" s="16">
        <f>IF($A263="","",ROUND($C263*$E263,2))</f>
        <v/>
      </c>
      <c r="G263" s="15" t="n"/>
      <c r="H263" s="13" t="n"/>
      <c r="I263" s="13" t="n"/>
      <c r="J263" s="13" t="n"/>
      <c r="K263" s="16">
        <f>IF($A263="","",1)</f>
        <v/>
      </c>
    </row>
    <row r="264">
      <c r="A264" s="13" t="n"/>
      <c r="B264" s="13" t="n"/>
      <c r="C264" s="14" t="n"/>
      <c r="D264" s="14" t="n"/>
      <c r="E264" s="15" t="n"/>
      <c r="F264" s="16">
        <f>IF($A264="","",ROUND($C264*$E264,2))</f>
        <v/>
      </c>
      <c r="G264" s="15" t="n"/>
      <c r="H264" s="13" t="n"/>
      <c r="I264" s="13" t="n"/>
      <c r="J264" s="13" t="n"/>
      <c r="K264" s="16">
        <f>IF($A264="","",1)</f>
        <v/>
      </c>
    </row>
    <row r="265">
      <c r="A265" s="13" t="n"/>
      <c r="B265" s="13" t="n"/>
      <c r="C265" s="14" t="n"/>
      <c r="D265" s="14" t="n"/>
      <c r="E265" s="15" t="n"/>
      <c r="F265" s="16">
        <f>IF($A265="","",ROUND($C265*$E265,2))</f>
        <v/>
      </c>
      <c r="G265" s="15" t="n"/>
      <c r="H265" s="13" t="n"/>
      <c r="I265" s="13" t="n"/>
      <c r="J265" s="13" t="n"/>
      <c r="K265" s="16">
        <f>IF($A265="","",1)</f>
        <v/>
      </c>
    </row>
    <row r="266">
      <c r="A266" s="13" t="n"/>
      <c r="B266" s="13" t="n"/>
      <c r="C266" s="14" t="n"/>
      <c r="D266" s="14" t="n"/>
      <c r="E266" s="15" t="n"/>
      <c r="F266" s="16">
        <f>IF($A266="","",ROUND($C266*$E266,2))</f>
        <v/>
      </c>
      <c r="G266" s="15" t="n"/>
      <c r="H266" s="13" t="n"/>
      <c r="I266" s="13" t="n"/>
      <c r="J266" s="13" t="n"/>
      <c r="K266" s="16">
        <f>IF($A266="","",1)</f>
        <v/>
      </c>
    </row>
    <row r="267">
      <c r="A267" s="13" t="n"/>
      <c r="B267" s="13" t="n"/>
      <c r="C267" s="14" t="n"/>
      <c r="D267" s="14" t="n"/>
      <c r="E267" s="15" t="n"/>
      <c r="F267" s="16">
        <f>IF($A267="","",ROUND($C267*$E267,2))</f>
        <v/>
      </c>
      <c r="G267" s="15" t="n"/>
      <c r="H267" s="13" t="n"/>
      <c r="I267" s="13" t="n"/>
      <c r="J267" s="13" t="n"/>
      <c r="K267" s="16">
        <f>IF($A267="","",1)</f>
        <v/>
      </c>
    </row>
    <row r="268">
      <c r="A268" s="13" t="n"/>
      <c r="B268" s="13" t="n"/>
      <c r="C268" s="14" t="n"/>
      <c r="D268" s="14" t="n"/>
      <c r="E268" s="15" t="n"/>
      <c r="F268" s="16">
        <f>IF($A268="","",ROUND($C268*$E268,2))</f>
        <v/>
      </c>
      <c r="G268" s="15" t="n"/>
      <c r="H268" s="13" t="n"/>
      <c r="I268" s="13" t="n"/>
      <c r="J268" s="13" t="n"/>
      <c r="K268" s="16">
        <f>IF($A268="","",1)</f>
        <v/>
      </c>
    </row>
    <row r="269">
      <c r="A269" s="13" t="n"/>
      <c r="B269" s="13" t="n"/>
      <c r="C269" s="14" t="n"/>
      <c r="D269" s="14" t="n"/>
      <c r="E269" s="15" t="n"/>
      <c r="F269" s="16">
        <f>IF($A269="","",ROUND($C269*$E269,2))</f>
        <v/>
      </c>
      <c r="G269" s="15" t="n"/>
      <c r="H269" s="13" t="n"/>
      <c r="I269" s="13" t="n"/>
      <c r="J269" s="13" t="n"/>
      <c r="K269" s="16">
        <f>IF($A269="","",1)</f>
        <v/>
      </c>
    </row>
    <row r="270">
      <c r="A270" s="13" t="n"/>
      <c r="B270" s="13" t="n"/>
      <c r="C270" s="14" t="n"/>
      <c r="D270" s="14" t="n"/>
      <c r="E270" s="15" t="n"/>
      <c r="F270" s="16">
        <f>IF($A270="","",ROUND($C270*$E270,2))</f>
        <v/>
      </c>
      <c r="G270" s="15" t="n"/>
      <c r="H270" s="13" t="n"/>
      <c r="I270" s="13" t="n"/>
      <c r="J270" s="13" t="n"/>
      <c r="K270" s="16">
        <f>IF($A270="","",1)</f>
        <v/>
      </c>
    </row>
    <row r="271">
      <c r="A271" s="13" t="n"/>
      <c r="B271" s="13" t="n"/>
      <c r="C271" s="14" t="n"/>
      <c r="D271" s="14" t="n"/>
      <c r="E271" s="15" t="n"/>
      <c r="F271" s="16">
        <f>IF($A271="","",ROUND($C271*$E271,2))</f>
        <v/>
      </c>
      <c r="G271" s="15" t="n"/>
      <c r="H271" s="13" t="n"/>
      <c r="I271" s="13" t="n"/>
      <c r="J271" s="13" t="n"/>
      <c r="K271" s="16">
        <f>IF($A271="","",1)</f>
        <v/>
      </c>
    </row>
    <row r="272">
      <c r="A272" s="13" t="n"/>
      <c r="B272" s="13" t="n"/>
      <c r="C272" s="14" t="n"/>
      <c r="D272" s="14" t="n"/>
      <c r="E272" s="15" t="n"/>
      <c r="F272" s="16">
        <f>IF($A272="","",ROUND($C272*$E272,2))</f>
        <v/>
      </c>
      <c r="G272" s="15" t="n"/>
      <c r="H272" s="13" t="n"/>
      <c r="I272" s="13" t="n"/>
      <c r="J272" s="13" t="n"/>
      <c r="K272" s="16">
        <f>IF($A272="","",1)</f>
        <v/>
      </c>
    </row>
    <row r="273">
      <c r="A273" s="13" t="n"/>
      <c r="B273" s="13" t="n"/>
      <c r="C273" s="14" t="n"/>
      <c r="D273" s="14" t="n"/>
      <c r="E273" s="15" t="n"/>
      <c r="F273" s="16">
        <f>IF($A273="","",ROUND($C273*$E273,2))</f>
        <v/>
      </c>
      <c r="G273" s="15" t="n"/>
      <c r="H273" s="13" t="n"/>
      <c r="I273" s="13" t="n"/>
      <c r="J273" s="13" t="n"/>
      <c r="K273" s="16">
        <f>IF($A273="","",1)</f>
        <v/>
      </c>
    </row>
    <row r="274">
      <c r="A274" s="13" t="n"/>
      <c r="B274" s="13" t="n"/>
      <c r="C274" s="14" t="n"/>
      <c r="D274" s="14" t="n"/>
      <c r="E274" s="15" t="n"/>
      <c r="F274" s="16">
        <f>IF($A274="","",ROUND($C274*$E274,2))</f>
        <v/>
      </c>
      <c r="G274" s="15" t="n"/>
      <c r="H274" s="13" t="n"/>
      <c r="I274" s="13" t="n"/>
      <c r="J274" s="13" t="n"/>
      <c r="K274" s="16">
        <f>IF($A274="","",1)</f>
        <v/>
      </c>
    </row>
    <row r="275">
      <c r="A275" s="13" t="n"/>
      <c r="B275" s="13" t="n"/>
      <c r="C275" s="14" t="n"/>
      <c r="D275" s="14" t="n"/>
      <c r="E275" s="15" t="n"/>
      <c r="F275" s="16">
        <f>IF($A275="","",ROUND($C275*$E275,2))</f>
        <v/>
      </c>
      <c r="G275" s="15" t="n"/>
      <c r="H275" s="13" t="n"/>
      <c r="I275" s="13" t="n"/>
      <c r="J275" s="13" t="n"/>
      <c r="K275" s="16">
        <f>IF($A275="","",1)</f>
        <v/>
      </c>
    </row>
    <row r="276">
      <c r="A276" s="13" t="n"/>
      <c r="B276" s="13" t="n"/>
      <c r="C276" s="14" t="n"/>
      <c r="D276" s="14" t="n"/>
      <c r="E276" s="15" t="n"/>
      <c r="F276" s="16">
        <f>IF($A276="","",ROUND($C276*$E276,2))</f>
        <v/>
      </c>
      <c r="G276" s="15" t="n"/>
      <c r="H276" s="13" t="n"/>
      <c r="I276" s="13" t="n"/>
      <c r="J276" s="13" t="n"/>
      <c r="K276" s="16">
        <f>IF($A276="","",1)</f>
        <v/>
      </c>
    </row>
    <row r="277">
      <c r="A277" s="13" t="n"/>
      <c r="B277" s="13" t="n"/>
      <c r="C277" s="14" t="n"/>
      <c r="D277" s="14" t="n"/>
      <c r="E277" s="15" t="n"/>
      <c r="F277" s="16">
        <f>IF($A277="","",ROUND($C277*$E277,2))</f>
        <v/>
      </c>
      <c r="G277" s="15" t="n"/>
      <c r="H277" s="13" t="n"/>
      <c r="I277" s="13" t="n"/>
      <c r="J277" s="13" t="n"/>
      <c r="K277" s="16">
        <f>IF($A277="","",1)</f>
        <v/>
      </c>
    </row>
    <row r="278">
      <c r="A278" s="13" t="n"/>
      <c r="B278" s="13" t="n"/>
      <c r="C278" s="14" t="n"/>
      <c r="D278" s="14" t="n"/>
      <c r="E278" s="15" t="n"/>
      <c r="F278" s="16">
        <f>IF($A278="","",ROUND($C278*$E278,2))</f>
        <v/>
      </c>
      <c r="G278" s="15" t="n"/>
      <c r="H278" s="13" t="n"/>
      <c r="I278" s="13" t="n"/>
      <c r="J278" s="13" t="n"/>
      <c r="K278" s="16">
        <f>IF($A278="","",1)</f>
        <v/>
      </c>
    </row>
    <row r="279">
      <c r="A279" s="13" t="n"/>
      <c r="B279" s="13" t="n"/>
      <c r="C279" s="14" t="n"/>
      <c r="D279" s="14" t="n"/>
      <c r="E279" s="15" t="n"/>
      <c r="F279" s="16">
        <f>IF($A279="","",ROUND($C279*$E279,2))</f>
        <v/>
      </c>
      <c r="G279" s="15" t="n"/>
      <c r="H279" s="13" t="n"/>
      <c r="I279" s="13" t="n"/>
      <c r="J279" s="13" t="n"/>
      <c r="K279" s="16">
        <f>IF($A279="","",1)</f>
        <v/>
      </c>
    </row>
    <row r="280">
      <c r="A280" s="13" t="n"/>
      <c r="B280" s="13" t="n"/>
      <c r="C280" s="14" t="n"/>
      <c r="D280" s="14" t="n"/>
      <c r="E280" s="15" t="n"/>
      <c r="F280" s="16">
        <f>IF($A280="","",ROUND($C280*$E280,2))</f>
        <v/>
      </c>
      <c r="G280" s="15" t="n"/>
      <c r="H280" s="13" t="n"/>
      <c r="I280" s="13" t="n"/>
      <c r="J280" s="13" t="n"/>
      <c r="K280" s="16">
        <f>IF($A280="","",1)</f>
        <v/>
      </c>
    </row>
    <row r="281">
      <c r="A281" s="13" t="n"/>
      <c r="B281" s="13" t="n"/>
      <c r="C281" s="14" t="n"/>
      <c r="D281" s="14" t="n"/>
      <c r="E281" s="15" t="n"/>
      <c r="F281" s="16">
        <f>IF($A281="","",ROUND($C281*$E281,2))</f>
        <v/>
      </c>
      <c r="G281" s="15" t="n"/>
      <c r="H281" s="13" t="n"/>
      <c r="I281" s="13" t="n"/>
      <c r="J281" s="13" t="n"/>
      <c r="K281" s="16">
        <f>IF($A281="","",1)</f>
        <v/>
      </c>
    </row>
    <row r="282">
      <c r="A282" s="13" t="n"/>
      <c r="B282" s="13" t="n"/>
      <c r="C282" s="14" t="n"/>
      <c r="D282" s="14" t="n"/>
      <c r="E282" s="15" t="n"/>
      <c r="F282" s="16">
        <f>IF($A282="","",ROUND($C282*$E282,2))</f>
        <v/>
      </c>
      <c r="G282" s="15" t="n"/>
      <c r="H282" s="13" t="n"/>
      <c r="I282" s="13" t="n"/>
      <c r="J282" s="13" t="n"/>
      <c r="K282" s="16">
        <f>IF($A282="","",1)</f>
        <v/>
      </c>
    </row>
    <row r="283">
      <c r="A283" s="13" t="n"/>
      <c r="B283" s="13" t="n"/>
      <c r="C283" s="14" t="n"/>
      <c r="D283" s="14" t="n"/>
      <c r="E283" s="15" t="n"/>
      <c r="F283" s="16">
        <f>IF($A283="","",ROUND($C283*$E283,2))</f>
        <v/>
      </c>
      <c r="G283" s="15" t="n"/>
      <c r="H283" s="13" t="n"/>
      <c r="I283" s="13" t="n"/>
      <c r="J283" s="13" t="n"/>
      <c r="K283" s="16">
        <f>IF($A283="","",1)</f>
        <v/>
      </c>
    </row>
    <row r="284">
      <c r="A284" s="13" t="n"/>
      <c r="B284" s="13" t="n"/>
      <c r="C284" s="14" t="n"/>
      <c r="D284" s="14" t="n"/>
      <c r="E284" s="15" t="n"/>
      <c r="F284" s="16">
        <f>IF($A284="","",ROUND($C284*$E284,2))</f>
        <v/>
      </c>
      <c r="G284" s="15" t="n"/>
      <c r="H284" s="13" t="n"/>
      <c r="I284" s="13" t="n"/>
      <c r="J284" s="13" t="n"/>
      <c r="K284" s="16">
        <f>IF($A284="","",1)</f>
        <v/>
      </c>
    </row>
    <row r="285">
      <c r="A285" s="13" t="n"/>
      <c r="B285" s="13" t="n"/>
      <c r="C285" s="14" t="n"/>
      <c r="D285" s="14" t="n"/>
      <c r="E285" s="15" t="n"/>
      <c r="F285" s="16">
        <f>IF($A285="","",ROUND($C285*$E285,2))</f>
        <v/>
      </c>
      <c r="G285" s="15" t="n"/>
      <c r="H285" s="13" t="n"/>
      <c r="I285" s="13" t="n"/>
      <c r="J285" s="13" t="n"/>
      <c r="K285" s="16">
        <f>IF($A285="","",1)</f>
        <v/>
      </c>
    </row>
    <row r="286">
      <c r="A286" s="13" t="n"/>
      <c r="B286" s="13" t="n"/>
      <c r="C286" s="14" t="n"/>
      <c r="D286" s="14" t="n"/>
      <c r="E286" s="15" t="n"/>
      <c r="F286" s="16">
        <f>IF($A286="","",ROUND($C286*$E286,2))</f>
        <v/>
      </c>
      <c r="G286" s="15" t="n"/>
      <c r="H286" s="13" t="n"/>
      <c r="I286" s="13" t="n"/>
      <c r="J286" s="13" t="n"/>
      <c r="K286" s="16">
        <f>IF($A286="","",1)</f>
        <v/>
      </c>
    </row>
    <row r="287">
      <c r="A287" s="13" t="n"/>
      <c r="B287" s="13" t="n"/>
      <c r="C287" s="14" t="n"/>
      <c r="D287" s="14" t="n"/>
      <c r="E287" s="15" t="n"/>
      <c r="F287" s="16">
        <f>IF($A287="","",ROUND($C287*$E287,2))</f>
        <v/>
      </c>
      <c r="G287" s="15" t="n"/>
      <c r="H287" s="13" t="n"/>
      <c r="I287" s="13" t="n"/>
      <c r="J287" s="13" t="n"/>
      <c r="K287" s="16">
        <f>IF($A287="","",1)</f>
        <v/>
      </c>
    </row>
    <row r="288">
      <c r="A288" s="13" t="n"/>
      <c r="B288" s="13" t="n"/>
      <c r="C288" s="14" t="n"/>
      <c r="D288" s="14" t="n"/>
      <c r="E288" s="15" t="n"/>
      <c r="F288" s="16">
        <f>IF($A288="","",ROUND($C288*$E288,2))</f>
        <v/>
      </c>
      <c r="G288" s="15" t="n"/>
      <c r="H288" s="13" t="n"/>
      <c r="I288" s="13" t="n"/>
      <c r="J288" s="13" t="n"/>
      <c r="K288" s="16">
        <f>IF($A288="","",1)</f>
        <v/>
      </c>
    </row>
    <row r="289">
      <c r="A289" s="13" t="n"/>
      <c r="B289" s="13" t="n"/>
      <c r="C289" s="14" t="n"/>
      <c r="D289" s="14" t="n"/>
      <c r="E289" s="15" t="n"/>
      <c r="F289" s="16">
        <f>IF($A289="","",ROUND($C289*$E289,2))</f>
        <v/>
      </c>
      <c r="G289" s="15" t="n"/>
      <c r="H289" s="13" t="n"/>
      <c r="I289" s="13" t="n"/>
      <c r="J289" s="13" t="n"/>
      <c r="K289" s="16">
        <f>IF($A289="","",1)</f>
        <v/>
      </c>
    </row>
    <row r="290">
      <c r="A290" s="13" t="n"/>
      <c r="B290" s="13" t="n"/>
      <c r="C290" s="14" t="n"/>
      <c r="D290" s="14" t="n"/>
      <c r="E290" s="15" t="n"/>
      <c r="F290" s="16">
        <f>IF($A290="","",ROUND($C290*$E290,2))</f>
        <v/>
      </c>
      <c r="G290" s="15" t="n"/>
      <c r="H290" s="13" t="n"/>
      <c r="I290" s="13" t="n"/>
      <c r="J290" s="13" t="n"/>
      <c r="K290" s="16">
        <f>IF($A290="","",1)</f>
        <v/>
      </c>
    </row>
    <row r="291">
      <c r="A291" s="13" t="n"/>
      <c r="B291" s="13" t="n"/>
      <c r="C291" s="14" t="n"/>
      <c r="D291" s="14" t="n"/>
      <c r="E291" s="15" t="n"/>
      <c r="F291" s="16">
        <f>IF($A291="","",ROUND($C291*$E291,2))</f>
        <v/>
      </c>
      <c r="G291" s="15" t="n"/>
      <c r="H291" s="13" t="n"/>
      <c r="I291" s="13" t="n"/>
      <c r="J291" s="13" t="n"/>
      <c r="K291" s="16">
        <f>IF($A291="","",1)</f>
        <v/>
      </c>
    </row>
    <row r="292">
      <c r="A292" s="13" t="n"/>
      <c r="B292" s="13" t="n"/>
      <c r="C292" s="14" t="n"/>
      <c r="D292" s="14" t="n"/>
      <c r="E292" s="15" t="n"/>
      <c r="F292" s="16">
        <f>IF($A292="","",ROUND($C292*$E292,2))</f>
        <v/>
      </c>
      <c r="G292" s="15" t="n"/>
      <c r="H292" s="13" t="n"/>
      <c r="I292" s="13" t="n"/>
      <c r="J292" s="13" t="n"/>
      <c r="K292" s="16">
        <f>IF($A292="","",1)</f>
        <v/>
      </c>
    </row>
    <row r="293">
      <c r="A293" s="13" t="n"/>
      <c r="B293" s="13" t="n"/>
      <c r="C293" s="14" t="n"/>
      <c r="D293" s="14" t="n"/>
      <c r="E293" s="15" t="n"/>
      <c r="F293" s="16">
        <f>IF($A293="","",ROUND($C293*$E293,2))</f>
        <v/>
      </c>
      <c r="G293" s="15" t="n"/>
      <c r="H293" s="13" t="n"/>
      <c r="I293" s="13" t="n"/>
      <c r="J293" s="13" t="n"/>
      <c r="K293" s="16">
        <f>IF($A293="","",1)</f>
        <v/>
      </c>
    </row>
    <row r="294">
      <c r="A294" s="13" t="n"/>
      <c r="B294" s="13" t="n"/>
      <c r="C294" s="14" t="n"/>
      <c r="D294" s="14" t="n"/>
      <c r="E294" s="15" t="n"/>
      <c r="F294" s="16">
        <f>IF($A294="","",ROUND($C294*$E294,2))</f>
        <v/>
      </c>
      <c r="G294" s="15" t="n"/>
      <c r="H294" s="13" t="n"/>
      <c r="I294" s="13" t="n"/>
      <c r="J294" s="13" t="n"/>
      <c r="K294" s="16">
        <f>IF($A294="","",1)</f>
        <v/>
      </c>
    </row>
    <row r="295">
      <c r="A295" s="13" t="n"/>
      <c r="B295" s="13" t="n"/>
      <c r="C295" s="14" t="n"/>
      <c r="D295" s="14" t="n"/>
      <c r="E295" s="15" t="n"/>
      <c r="F295" s="16">
        <f>IF($A295="","",ROUND($C295*$E295,2))</f>
        <v/>
      </c>
      <c r="G295" s="15" t="n"/>
      <c r="H295" s="13" t="n"/>
      <c r="I295" s="13" t="n"/>
      <c r="J295" s="13" t="n"/>
      <c r="K295" s="16">
        <f>IF($A295="","",1)</f>
        <v/>
      </c>
    </row>
    <row r="296">
      <c r="A296" s="13" t="n"/>
      <c r="B296" s="13" t="n"/>
      <c r="C296" s="14" t="n"/>
      <c r="D296" s="14" t="n"/>
      <c r="E296" s="15" t="n"/>
      <c r="F296" s="16">
        <f>IF($A296="","",ROUND($C296*$E296,2))</f>
        <v/>
      </c>
      <c r="G296" s="15" t="n"/>
      <c r="H296" s="13" t="n"/>
      <c r="I296" s="13" t="n"/>
      <c r="J296" s="13" t="n"/>
      <c r="K296" s="16">
        <f>IF($A296="","",1)</f>
        <v/>
      </c>
    </row>
    <row r="297">
      <c r="A297" s="13" t="n"/>
      <c r="B297" s="13" t="n"/>
      <c r="C297" s="14" t="n"/>
      <c r="D297" s="14" t="n"/>
      <c r="E297" s="15" t="n"/>
      <c r="F297" s="16">
        <f>IF($A297="","",ROUND($C297*$E297,2))</f>
        <v/>
      </c>
      <c r="G297" s="15" t="n"/>
      <c r="H297" s="13" t="n"/>
      <c r="I297" s="13" t="n"/>
      <c r="J297" s="13" t="n"/>
      <c r="K297" s="16">
        <f>IF($A297="","",1)</f>
        <v/>
      </c>
    </row>
    <row r="298">
      <c r="A298" s="13" t="n"/>
      <c r="B298" s="13" t="n"/>
      <c r="C298" s="14" t="n"/>
      <c r="D298" s="14" t="n"/>
      <c r="E298" s="15" t="n"/>
      <c r="F298" s="16">
        <f>IF($A298="","",ROUND($C298*$E298,2))</f>
        <v/>
      </c>
      <c r="G298" s="15" t="n"/>
      <c r="H298" s="13" t="n"/>
      <c r="I298" s="13" t="n"/>
      <c r="J298" s="13" t="n"/>
      <c r="K298" s="16">
        <f>IF($A298="","",1)</f>
        <v/>
      </c>
    </row>
    <row r="299">
      <c r="A299" s="13" t="n"/>
      <c r="B299" s="13" t="n"/>
      <c r="C299" s="14" t="n"/>
      <c r="D299" s="14" t="n"/>
      <c r="E299" s="15" t="n"/>
      <c r="F299" s="16">
        <f>IF($A299="","",ROUND($C299*$E299,2))</f>
        <v/>
      </c>
      <c r="G299" s="15" t="n"/>
      <c r="H299" s="13" t="n"/>
      <c r="I299" s="13" t="n"/>
      <c r="J299" s="13" t="n"/>
      <c r="K299" s="16">
        <f>IF($A299="","",1)</f>
        <v/>
      </c>
    </row>
    <row r="300">
      <c r="A300" s="13" t="n"/>
      <c r="B300" s="13" t="n"/>
      <c r="C300" s="14" t="n"/>
      <c r="D300" s="14" t="n"/>
      <c r="E300" s="15" t="n"/>
      <c r="F300" s="16">
        <f>IF($A300="","",ROUND($C300*$E300,2))</f>
        <v/>
      </c>
      <c r="G300" s="15" t="n"/>
      <c r="H300" s="13" t="n"/>
      <c r="I300" s="13" t="n"/>
      <c r="J300" s="13" t="n"/>
      <c r="K300" s="16">
        <f>IF($A300="","",1)</f>
        <v/>
      </c>
    </row>
    <row r="301">
      <c r="A301" s="13" t="n"/>
      <c r="B301" s="13" t="n"/>
      <c r="C301" s="14" t="n"/>
      <c r="D301" s="14" t="n"/>
      <c r="E301" s="15" t="n"/>
      <c r="F301" s="16">
        <f>IF($A301="","",ROUND($C301*$E301,2))</f>
        <v/>
      </c>
      <c r="G301" s="15" t="n"/>
      <c r="H301" s="13" t="n"/>
      <c r="I301" s="13" t="n"/>
      <c r="J301" s="13" t="n"/>
      <c r="K301" s="16">
        <f>IF($A301="","",1)</f>
        <v/>
      </c>
    </row>
    <row r="302">
      <c r="A302" s="13" t="n"/>
      <c r="B302" s="13" t="n"/>
      <c r="C302" s="14" t="n"/>
      <c r="D302" s="14" t="n"/>
      <c r="E302" s="15" t="n"/>
      <c r="F302" s="16">
        <f>IF($A302="","",ROUND($C302*$E302,2))</f>
        <v/>
      </c>
      <c r="G302" s="15" t="n"/>
      <c r="H302" s="13" t="n"/>
      <c r="I302" s="13" t="n"/>
      <c r="J302" s="13" t="n"/>
      <c r="K302" s="16">
        <f>IF($A302="","",1)</f>
        <v/>
      </c>
    </row>
    <row r="303">
      <c r="A303" s="13" t="n"/>
      <c r="B303" s="13" t="n"/>
      <c r="C303" s="14" t="n"/>
      <c r="D303" s="14" t="n"/>
      <c r="E303" s="15" t="n"/>
      <c r="F303" s="16">
        <f>IF($A303="","",ROUND($C303*$E303,2))</f>
        <v/>
      </c>
      <c r="G303" s="15" t="n"/>
      <c r="H303" s="13" t="n"/>
      <c r="I303" s="13" t="n"/>
      <c r="J303" s="13" t="n"/>
      <c r="K303" s="16">
        <f>IF($A303="","",1)</f>
        <v/>
      </c>
    </row>
    <row r="304">
      <c r="A304" s="13" t="n"/>
      <c r="B304" s="13" t="n"/>
      <c r="C304" s="14" t="n"/>
      <c r="D304" s="14" t="n"/>
      <c r="E304" s="15" t="n"/>
      <c r="F304" s="16">
        <f>IF($A304="","",ROUND($C304*$E304,2))</f>
        <v/>
      </c>
      <c r="G304" s="15" t="n"/>
      <c r="H304" s="13" t="n"/>
      <c r="I304" s="13" t="n"/>
      <c r="J304" s="13" t="n"/>
      <c r="K304" s="16">
        <f>IF($A304="","",1)</f>
        <v/>
      </c>
    </row>
    <row r="305">
      <c r="A305" s="13" t="n"/>
      <c r="B305" s="13" t="n"/>
      <c r="C305" s="14" t="n"/>
      <c r="D305" s="14" t="n"/>
      <c r="E305" s="15" t="n"/>
      <c r="F305" s="16">
        <f>IF($A305="","",ROUND($C305*$E305,2))</f>
        <v/>
      </c>
      <c r="G305" s="15" t="n"/>
      <c r="H305" s="13" t="n"/>
      <c r="I305" s="13" t="n"/>
      <c r="J305" s="13" t="n"/>
      <c r="K305" s="16">
        <f>IF($A305="","",1)</f>
        <v/>
      </c>
    </row>
    <row r="306">
      <c r="A306" s="13" t="n"/>
      <c r="B306" s="13" t="n"/>
      <c r="C306" s="14" t="n"/>
      <c r="D306" s="14" t="n"/>
      <c r="E306" s="15" t="n"/>
      <c r="F306" s="16">
        <f>IF($A306="","",ROUND($C306*$E306,2))</f>
        <v/>
      </c>
      <c r="G306" s="15" t="n"/>
      <c r="H306" s="13" t="n"/>
      <c r="I306" s="13" t="n"/>
      <c r="J306" s="13" t="n"/>
      <c r="K306" s="16">
        <f>IF($A306="","",1)</f>
        <v/>
      </c>
    </row>
    <row r="307">
      <c r="A307" s="13" t="n"/>
      <c r="B307" s="13" t="n"/>
      <c r="C307" s="14" t="n"/>
      <c r="D307" s="14" t="n"/>
      <c r="E307" s="15" t="n"/>
      <c r="F307" s="16">
        <f>IF($A307="","",ROUND($C307*$E307,2))</f>
        <v/>
      </c>
      <c r="G307" s="15" t="n"/>
      <c r="H307" s="13" t="n"/>
      <c r="I307" s="13" t="n"/>
      <c r="J307" s="13" t="n"/>
      <c r="K307" s="16">
        <f>IF($A307="","",1)</f>
        <v/>
      </c>
    </row>
    <row r="308">
      <c r="A308" s="13" t="n"/>
      <c r="B308" s="13" t="n"/>
      <c r="C308" s="14" t="n"/>
      <c r="D308" s="14" t="n"/>
      <c r="E308" s="15" t="n"/>
      <c r="F308" s="16">
        <f>IF($A308="","",ROUND($C308*$E308,2))</f>
        <v/>
      </c>
      <c r="G308" s="15" t="n"/>
      <c r="H308" s="13" t="n"/>
      <c r="I308" s="13" t="n"/>
      <c r="J308" s="13" t="n"/>
      <c r="K308" s="16">
        <f>IF($A308="","",1)</f>
        <v/>
      </c>
    </row>
    <row r="309">
      <c r="A309" s="13" t="n"/>
      <c r="B309" s="13" t="n"/>
      <c r="C309" s="14" t="n"/>
      <c r="D309" s="14" t="n"/>
      <c r="E309" s="15" t="n"/>
      <c r="F309" s="16">
        <f>IF($A309="","",ROUND($C309*$E309,2))</f>
        <v/>
      </c>
      <c r="G309" s="15" t="n"/>
      <c r="H309" s="13" t="n"/>
      <c r="I309" s="13" t="n"/>
      <c r="J309" s="13" t="n"/>
      <c r="K309" s="16">
        <f>IF($A309="","",1)</f>
        <v/>
      </c>
    </row>
    <row r="310">
      <c r="A310" s="13" t="n"/>
      <c r="B310" s="13" t="n"/>
      <c r="C310" s="14" t="n"/>
      <c r="D310" s="14" t="n"/>
      <c r="E310" s="15" t="n"/>
      <c r="F310" s="16">
        <f>IF($A310="","",ROUND($C310*$E310,2))</f>
        <v/>
      </c>
      <c r="G310" s="15" t="n"/>
      <c r="H310" s="13" t="n"/>
      <c r="I310" s="13" t="n"/>
      <c r="J310" s="13" t="n"/>
      <c r="K310" s="16">
        <f>IF($A310="","",1)</f>
        <v/>
      </c>
    </row>
    <row r="311">
      <c r="A311" s="13" t="n"/>
      <c r="B311" s="13" t="n"/>
      <c r="C311" s="14" t="n"/>
      <c r="D311" s="14" t="n"/>
      <c r="E311" s="15" t="n"/>
      <c r="F311" s="16">
        <f>IF($A311="","",ROUND($C311*$E311,2))</f>
        <v/>
      </c>
      <c r="G311" s="15" t="n"/>
      <c r="H311" s="13" t="n"/>
      <c r="I311" s="13" t="n"/>
      <c r="J311" s="13" t="n"/>
      <c r="K311" s="16">
        <f>IF($A311="","",1)</f>
        <v/>
      </c>
    </row>
    <row r="312">
      <c r="A312" s="13" t="n"/>
      <c r="B312" s="13" t="n"/>
      <c r="C312" s="14" t="n"/>
      <c r="D312" s="14" t="n"/>
      <c r="E312" s="15" t="n"/>
      <c r="F312" s="16">
        <f>IF($A312="","",ROUND($C312*$E312,2))</f>
        <v/>
      </c>
      <c r="G312" s="15" t="n"/>
      <c r="H312" s="13" t="n"/>
      <c r="I312" s="13" t="n"/>
      <c r="J312" s="13" t="n"/>
      <c r="K312" s="16">
        <f>IF($A312="","",1)</f>
        <v/>
      </c>
    </row>
    <row r="313">
      <c r="A313" s="13" t="n"/>
      <c r="B313" s="13" t="n"/>
      <c r="C313" s="14" t="n"/>
      <c r="D313" s="14" t="n"/>
      <c r="E313" s="15" t="n"/>
      <c r="F313" s="16">
        <f>IF($A313="","",ROUND($C313*$E313,2))</f>
        <v/>
      </c>
      <c r="G313" s="15" t="n"/>
      <c r="H313" s="13" t="n"/>
      <c r="I313" s="13" t="n"/>
      <c r="J313" s="13" t="n"/>
      <c r="K313" s="16">
        <f>IF($A313="","",1)</f>
        <v/>
      </c>
    </row>
    <row r="314">
      <c r="A314" s="13" t="n"/>
      <c r="B314" s="13" t="n"/>
      <c r="C314" s="14" t="n"/>
      <c r="D314" s="14" t="n"/>
      <c r="E314" s="15" t="n"/>
      <c r="F314" s="16">
        <f>IF($A314="","",ROUND($C314*$E314,2))</f>
        <v/>
      </c>
      <c r="G314" s="15" t="n"/>
      <c r="H314" s="13" t="n"/>
      <c r="I314" s="13" t="n"/>
      <c r="J314" s="13" t="n"/>
      <c r="K314" s="16">
        <f>IF($A314="","",1)</f>
        <v/>
      </c>
    </row>
    <row r="315">
      <c r="A315" s="13" t="n"/>
      <c r="B315" s="13" t="n"/>
      <c r="C315" s="14" t="n"/>
      <c r="D315" s="14" t="n"/>
      <c r="E315" s="15" t="n"/>
      <c r="F315" s="16">
        <f>IF($A315="","",ROUND($C315*$E315,2))</f>
        <v/>
      </c>
      <c r="G315" s="15" t="n"/>
      <c r="H315" s="13" t="n"/>
      <c r="I315" s="13" t="n"/>
      <c r="J315" s="13" t="n"/>
      <c r="K315" s="16">
        <f>IF($A315="","",1)</f>
        <v/>
      </c>
    </row>
    <row r="316">
      <c r="A316" s="13" t="n"/>
      <c r="B316" s="13" t="n"/>
      <c r="C316" s="14" t="n"/>
      <c r="D316" s="14" t="n"/>
      <c r="E316" s="15" t="n"/>
      <c r="F316" s="16">
        <f>IF($A316="","",ROUND($C316*$E316,2))</f>
        <v/>
      </c>
      <c r="G316" s="15" t="n"/>
      <c r="H316" s="13" t="n"/>
      <c r="I316" s="13" t="n"/>
      <c r="J316" s="13" t="n"/>
      <c r="K316" s="16">
        <f>IF($A316="","",1)</f>
        <v/>
      </c>
    </row>
    <row r="317">
      <c r="A317" s="13" t="n"/>
      <c r="B317" s="13" t="n"/>
      <c r="C317" s="14" t="n"/>
      <c r="D317" s="14" t="n"/>
      <c r="E317" s="15" t="n"/>
      <c r="F317" s="16">
        <f>IF($A317="","",ROUND($C317*$E317,2))</f>
        <v/>
      </c>
      <c r="G317" s="15" t="n"/>
      <c r="H317" s="13" t="n"/>
      <c r="I317" s="13" t="n"/>
      <c r="J317" s="13" t="n"/>
      <c r="K317" s="16">
        <f>IF($A317="","",1)</f>
        <v/>
      </c>
    </row>
    <row r="318">
      <c r="A318" s="13" t="n"/>
      <c r="B318" s="13" t="n"/>
      <c r="C318" s="14" t="n"/>
      <c r="D318" s="14" t="n"/>
      <c r="E318" s="15" t="n"/>
      <c r="F318" s="16">
        <f>IF($A318="","",ROUND($C318*$E318,2))</f>
        <v/>
      </c>
      <c r="G318" s="15" t="n"/>
      <c r="H318" s="13" t="n"/>
      <c r="I318" s="13" t="n"/>
      <c r="J318" s="13" t="n"/>
      <c r="K318" s="16">
        <f>IF($A318="","",1)</f>
        <v/>
      </c>
    </row>
    <row r="319">
      <c r="A319" s="13" t="n"/>
      <c r="B319" s="13" t="n"/>
      <c r="C319" s="14" t="n"/>
      <c r="D319" s="14" t="n"/>
      <c r="E319" s="15" t="n"/>
      <c r="F319" s="16">
        <f>IF($A319="","",ROUND($C319*$E319,2))</f>
        <v/>
      </c>
      <c r="G319" s="15" t="n"/>
      <c r="H319" s="13" t="n"/>
      <c r="I319" s="13" t="n"/>
      <c r="J319" s="13" t="n"/>
      <c r="K319" s="16">
        <f>IF($A319="","",1)</f>
        <v/>
      </c>
    </row>
    <row r="320">
      <c r="A320" s="13" t="n"/>
      <c r="B320" s="13" t="n"/>
      <c r="C320" s="14" t="n"/>
      <c r="D320" s="14" t="n"/>
      <c r="E320" s="15" t="n"/>
      <c r="F320" s="16">
        <f>IF($A320="","",ROUND($C320*$E320,2))</f>
        <v/>
      </c>
      <c r="G320" s="15" t="n"/>
      <c r="H320" s="13" t="n"/>
      <c r="I320" s="13" t="n"/>
      <c r="J320" s="13" t="n"/>
      <c r="K320" s="16">
        <f>IF($A320="","",1)</f>
        <v/>
      </c>
    </row>
    <row r="321">
      <c r="A321" s="13" t="n"/>
      <c r="B321" s="13" t="n"/>
      <c r="C321" s="14" t="n"/>
      <c r="D321" s="14" t="n"/>
      <c r="E321" s="15" t="n"/>
      <c r="F321" s="16">
        <f>IF($A321="","",ROUND($C321*$E321,2))</f>
        <v/>
      </c>
      <c r="G321" s="15" t="n"/>
      <c r="H321" s="13" t="n"/>
      <c r="I321" s="13" t="n"/>
      <c r="J321" s="13" t="n"/>
      <c r="K321" s="16">
        <f>IF($A321="","",1)</f>
        <v/>
      </c>
    </row>
    <row r="322">
      <c r="A322" s="13" t="n"/>
      <c r="B322" s="13" t="n"/>
      <c r="C322" s="14" t="n"/>
      <c r="D322" s="14" t="n"/>
      <c r="E322" s="15" t="n"/>
      <c r="F322" s="16">
        <f>IF($A322="","",ROUND($C322*$E322,2))</f>
        <v/>
      </c>
      <c r="G322" s="15" t="n"/>
      <c r="H322" s="13" t="n"/>
      <c r="I322" s="13" t="n"/>
      <c r="J322" s="13" t="n"/>
      <c r="K322" s="16">
        <f>IF($A322="","",1)</f>
        <v/>
      </c>
    </row>
    <row r="323">
      <c r="A323" s="13" t="n"/>
      <c r="B323" s="13" t="n"/>
      <c r="C323" s="14" t="n"/>
      <c r="D323" s="14" t="n"/>
      <c r="E323" s="15" t="n"/>
      <c r="F323" s="16">
        <f>IF($A323="","",ROUND($C323*$E323,2))</f>
        <v/>
      </c>
      <c r="G323" s="15" t="n"/>
      <c r="H323" s="13" t="n"/>
      <c r="I323" s="13" t="n"/>
      <c r="J323" s="13" t="n"/>
      <c r="K323" s="16">
        <f>IF($A323="","",1)</f>
        <v/>
      </c>
    </row>
    <row r="324">
      <c r="A324" s="13" t="n"/>
      <c r="B324" s="13" t="n"/>
      <c r="C324" s="14" t="n"/>
      <c r="D324" s="14" t="n"/>
      <c r="E324" s="15" t="n"/>
      <c r="F324" s="16">
        <f>IF($A324="","",ROUND($C324*$E324,2))</f>
        <v/>
      </c>
      <c r="G324" s="15" t="n"/>
      <c r="H324" s="13" t="n"/>
      <c r="I324" s="13" t="n"/>
      <c r="J324" s="13" t="n"/>
      <c r="K324" s="16">
        <f>IF($A324="","",1)</f>
        <v/>
      </c>
    </row>
    <row r="325">
      <c r="A325" s="13" t="n"/>
      <c r="B325" s="13" t="n"/>
      <c r="C325" s="14" t="n"/>
      <c r="D325" s="14" t="n"/>
      <c r="E325" s="15" t="n"/>
      <c r="F325" s="16">
        <f>IF($A325="","",ROUND($C325*$E325,2))</f>
        <v/>
      </c>
      <c r="G325" s="15" t="n"/>
      <c r="H325" s="13" t="n"/>
      <c r="I325" s="13" t="n"/>
      <c r="J325" s="13" t="n"/>
      <c r="K325" s="16">
        <f>IF($A325="","",1)</f>
        <v/>
      </c>
    </row>
    <row r="326">
      <c r="A326" s="13" t="n"/>
      <c r="B326" s="13" t="n"/>
      <c r="C326" s="14" t="n"/>
      <c r="D326" s="14" t="n"/>
      <c r="E326" s="15" t="n"/>
      <c r="F326" s="16">
        <f>IF($A326="","",ROUND($C326*$E326,2))</f>
        <v/>
      </c>
      <c r="G326" s="15" t="n"/>
      <c r="H326" s="13" t="n"/>
      <c r="I326" s="13" t="n"/>
      <c r="J326" s="13" t="n"/>
      <c r="K326" s="16">
        <f>IF($A326="","",1)</f>
        <v/>
      </c>
    </row>
    <row r="327">
      <c r="A327" s="13" t="n"/>
      <c r="B327" s="13" t="n"/>
      <c r="C327" s="14" t="n"/>
      <c r="D327" s="14" t="n"/>
      <c r="E327" s="15" t="n"/>
      <c r="F327" s="16">
        <f>IF($A327="","",ROUND($C327*$E327,2))</f>
        <v/>
      </c>
      <c r="G327" s="15" t="n"/>
      <c r="H327" s="13" t="n"/>
      <c r="I327" s="13" t="n"/>
      <c r="J327" s="13" t="n"/>
      <c r="K327" s="16">
        <f>IF($A327="","",1)</f>
        <v/>
      </c>
    </row>
    <row r="328">
      <c r="A328" s="13" t="n"/>
      <c r="B328" s="13" t="n"/>
      <c r="C328" s="14" t="n"/>
      <c r="D328" s="14" t="n"/>
      <c r="E328" s="15" t="n"/>
      <c r="F328" s="16">
        <f>IF($A328="","",ROUND($C328*$E328,2))</f>
        <v/>
      </c>
      <c r="G328" s="15" t="n"/>
      <c r="H328" s="13" t="n"/>
      <c r="I328" s="13" t="n"/>
      <c r="J328" s="13" t="n"/>
      <c r="K328" s="16">
        <f>IF($A328="","",1)</f>
        <v/>
      </c>
    </row>
    <row r="329">
      <c r="A329" s="13" t="n"/>
      <c r="B329" s="13" t="n"/>
      <c r="C329" s="14" t="n"/>
      <c r="D329" s="14" t="n"/>
      <c r="E329" s="15" t="n"/>
      <c r="F329" s="16">
        <f>IF($A329="","",ROUND($C329*$E329,2))</f>
        <v/>
      </c>
      <c r="G329" s="15" t="n"/>
      <c r="H329" s="13" t="n"/>
      <c r="I329" s="13" t="n"/>
      <c r="J329" s="13" t="n"/>
      <c r="K329" s="16">
        <f>IF($A329="","",1)</f>
        <v/>
      </c>
    </row>
    <row r="330">
      <c r="A330" s="13" t="n"/>
      <c r="B330" s="13" t="n"/>
      <c r="C330" s="14" t="n"/>
      <c r="D330" s="14" t="n"/>
      <c r="E330" s="15" t="n"/>
      <c r="F330" s="16">
        <f>IF($A330="","",ROUND($C330*$E330,2))</f>
        <v/>
      </c>
      <c r="G330" s="15" t="n"/>
      <c r="H330" s="13" t="n"/>
      <c r="I330" s="13" t="n"/>
      <c r="J330" s="13" t="n"/>
      <c r="K330" s="16">
        <f>IF($A330="","",1)</f>
        <v/>
      </c>
    </row>
    <row r="331">
      <c r="A331" s="13" t="n"/>
      <c r="B331" s="13" t="n"/>
      <c r="C331" s="14" t="n"/>
      <c r="D331" s="14" t="n"/>
      <c r="E331" s="15" t="n"/>
      <c r="F331" s="16">
        <f>IF($A331="","",ROUND($C331*$E331,2))</f>
        <v/>
      </c>
      <c r="G331" s="15" t="n"/>
      <c r="H331" s="13" t="n"/>
      <c r="I331" s="13" t="n"/>
      <c r="J331" s="13" t="n"/>
      <c r="K331" s="16">
        <f>IF($A331="","",1)</f>
        <v/>
      </c>
    </row>
    <row r="332">
      <c r="A332" s="13" t="n"/>
      <c r="B332" s="13" t="n"/>
      <c r="C332" s="14" t="n"/>
      <c r="D332" s="14" t="n"/>
      <c r="E332" s="15" t="n"/>
      <c r="F332" s="16">
        <f>IF($A332="","",ROUND($C332*$E332,2))</f>
        <v/>
      </c>
      <c r="G332" s="15" t="n"/>
      <c r="H332" s="13" t="n"/>
      <c r="I332" s="13" t="n"/>
      <c r="J332" s="13" t="n"/>
      <c r="K332" s="16">
        <f>IF($A332="","",1)</f>
        <v/>
      </c>
    </row>
    <row r="333">
      <c r="A333" s="13" t="n"/>
      <c r="B333" s="13" t="n"/>
      <c r="C333" s="14" t="n"/>
      <c r="D333" s="14" t="n"/>
      <c r="E333" s="15" t="n"/>
      <c r="F333" s="16">
        <f>IF($A333="","",ROUND($C333*$E333,2))</f>
        <v/>
      </c>
      <c r="G333" s="15" t="n"/>
      <c r="H333" s="13" t="n"/>
      <c r="I333" s="13" t="n"/>
      <c r="J333" s="13" t="n"/>
      <c r="K333" s="16">
        <f>IF($A333="","",1)</f>
        <v/>
      </c>
    </row>
    <row r="334">
      <c r="A334" s="13" t="n"/>
      <c r="B334" s="13" t="n"/>
      <c r="C334" s="14" t="n"/>
      <c r="D334" s="14" t="n"/>
      <c r="E334" s="15" t="n"/>
      <c r="F334" s="16">
        <f>IF($A334="","",ROUND($C334*$E334,2))</f>
        <v/>
      </c>
      <c r="G334" s="15" t="n"/>
      <c r="H334" s="13" t="n"/>
      <c r="I334" s="13" t="n"/>
      <c r="J334" s="13" t="n"/>
      <c r="K334" s="16">
        <f>IF($A334="","",1)</f>
        <v/>
      </c>
    </row>
    <row r="335">
      <c r="A335" s="13" t="n"/>
      <c r="B335" s="13" t="n"/>
      <c r="C335" s="14" t="n"/>
      <c r="D335" s="14" t="n"/>
      <c r="E335" s="15" t="n"/>
      <c r="F335" s="16">
        <f>IF($A335="","",ROUND($C335*$E335,2))</f>
        <v/>
      </c>
      <c r="G335" s="15" t="n"/>
      <c r="H335" s="13" t="n"/>
      <c r="I335" s="13" t="n"/>
      <c r="J335" s="13" t="n"/>
      <c r="K335" s="16">
        <f>IF($A335="","",1)</f>
        <v/>
      </c>
    </row>
    <row r="336">
      <c r="A336" s="13" t="n"/>
      <c r="B336" s="13" t="n"/>
      <c r="C336" s="14" t="n"/>
      <c r="D336" s="14" t="n"/>
      <c r="E336" s="15" t="n"/>
      <c r="F336" s="16">
        <f>IF($A336="","",ROUND($C336*$E336,2))</f>
        <v/>
      </c>
      <c r="G336" s="15" t="n"/>
      <c r="H336" s="13" t="n"/>
      <c r="I336" s="13" t="n"/>
      <c r="J336" s="13" t="n"/>
      <c r="K336" s="16">
        <f>IF($A336="","",1)</f>
        <v/>
      </c>
    </row>
    <row r="337">
      <c r="A337" s="13" t="n"/>
      <c r="B337" s="13" t="n"/>
      <c r="C337" s="14" t="n"/>
      <c r="D337" s="14" t="n"/>
      <c r="E337" s="15" t="n"/>
      <c r="F337" s="16">
        <f>IF($A337="","",ROUND($C337*$E337,2))</f>
        <v/>
      </c>
      <c r="G337" s="15" t="n"/>
      <c r="H337" s="13" t="n"/>
      <c r="I337" s="13" t="n"/>
      <c r="J337" s="13" t="n"/>
      <c r="K337" s="16">
        <f>IF($A337="","",1)</f>
        <v/>
      </c>
    </row>
    <row r="338">
      <c r="A338" s="13" t="n"/>
      <c r="B338" s="13" t="n"/>
      <c r="C338" s="14" t="n"/>
      <c r="D338" s="14" t="n"/>
      <c r="E338" s="15" t="n"/>
      <c r="F338" s="16">
        <f>IF($A338="","",ROUND($C338*$E338,2))</f>
        <v/>
      </c>
      <c r="G338" s="15" t="n"/>
      <c r="H338" s="13" t="n"/>
      <c r="I338" s="13" t="n"/>
      <c r="J338" s="13" t="n"/>
      <c r="K338" s="16">
        <f>IF($A338="","",1)</f>
        <v/>
      </c>
    </row>
    <row r="339">
      <c r="A339" s="13" t="n"/>
      <c r="B339" s="13" t="n"/>
      <c r="C339" s="14" t="n"/>
      <c r="D339" s="14" t="n"/>
      <c r="E339" s="15" t="n"/>
      <c r="F339" s="16">
        <f>IF($A339="","",ROUND($C339*$E339,2))</f>
        <v/>
      </c>
      <c r="G339" s="15" t="n"/>
      <c r="H339" s="13" t="n"/>
      <c r="I339" s="13" t="n"/>
      <c r="J339" s="13" t="n"/>
      <c r="K339" s="16">
        <f>IF($A339="","",1)</f>
        <v/>
      </c>
    </row>
    <row r="340">
      <c r="A340" s="13" t="n"/>
      <c r="B340" s="13" t="n"/>
      <c r="C340" s="14" t="n"/>
      <c r="D340" s="14" t="n"/>
      <c r="E340" s="15" t="n"/>
      <c r="F340" s="16">
        <f>IF($A340="","",ROUND($C340*$E340,2))</f>
        <v/>
      </c>
      <c r="G340" s="15" t="n"/>
      <c r="H340" s="13" t="n"/>
      <c r="I340" s="13" t="n"/>
      <c r="J340" s="13" t="n"/>
      <c r="K340" s="16">
        <f>IF($A340="","",1)</f>
        <v/>
      </c>
    </row>
    <row r="341">
      <c r="A341" s="13" t="n"/>
      <c r="B341" s="13" t="n"/>
      <c r="C341" s="14" t="n"/>
      <c r="D341" s="14" t="n"/>
      <c r="E341" s="15" t="n"/>
      <c r="F341" s="16">
        <f>IF($A341="","",ROUND($C341*$E341,2))</f>
        <v/>
      </c>
      <c r="G341" s="15" t="n"/>
      <c r="H341" s="13" t="n"/>
      <c r="I341" s="13" t="n"/>
      <c r="J341" s="13" t="n"/>
      <c r="K341" s="16">
        <f>IF($A341="","",1)</f>
        <v/>
      </c>
    </row>
    <row r="342">
      <c r="A342" s="13" t="n"/>
      <c r="B342" s="13" t="n"/>
      <c r="C342" s="14" t="n"/>
      <c r="D342" s="14" t="n"/>
      <c r="E342" s="15" t="n"/>
      <c r="F342" s="16">
        <f>IF($A342="","",ROUND($C342*$E342,2))</f>
        <v/>
      </c>
      <c r="G342" s="15" t="n"/>
      <c r="H342" s="13" t="n"/>
      <c r="I342" s="13" t="n"/>
      <c r="J342" s="13" t="n"/>
      <c r="K342" s="16">
        <f>IF($A342="","",1)</f>
        <v/>
      </c>
    </row>
    <row r="343">
      <c r="A343" s="13" t="n"/>
      <c r="B343" s="13" t="n"/>
      <c r="C343" s="14" t="n"/>
      <c r="D343" s="14" t="n"/>
      <c r="E343" s="15" t="n"/>
      <c r="F343" s="16">
        <f>IF($A343="","",ROUND($C343*$E343,2))</f>
        <v/>
      </c>
      <c r="G343" s="15" t="n"/>
      <c r="H343" s="13" t="n"/>
      <c r="I343" s="13" t="n"/>
      <c r="J343" s="13" t="n"/>
      <c r="K343" s="16">
        <f>IF($A343="","",1)</f>
        <v/>
      </c>
    </row>
    <row r="344">
      <c r="A344" s="13" t="n"/>
      <c r="B344" s="13" t="n"/>
      <c r="C344" s="14" t="n"/>
      <c r="D344" s="14" t="n"/>
      <c r="E344" s="15" t="n"/>
      <c r="F344" s="16">
        <f>IF($A344="","",ROUND($C344*$E344,2))</f>
        <v/>
      </c>
      <c r="G344" s="15" t="n"/>
      <c r="H344" s="13" t="n"/>
      <c r="I344" s="13" t="n"/>
      <c r="J344" s="13" t="n"/>
      <c r="K344" s="16">
        <f>IF($A344="","",1)</f>
        <v/>
      </c>
    </row>
    <row r="345">
      <c r="A345" s="13" t="n"/>
      <c r="B345" s="13" t="n"/>
      <c r="C345" s="14" t="n"/>
      <c r="D345" s="14" t="n"/>
      <c r="E345" s="15" t="n"/>
      <c r="F345" s="16">
        <f>IF($A345="","",ROUND($C345*$E345,2))</f>
        <v/>
      </c>
      <c r="G345" s="15" t="n"/>
      <c r="H345" s="13" t="n"/>
      <c r="I345" s="13" t="n"/>
      <c r="J345" s="13" t="n"/>
      <c r="K345" s="16">
        <f>IF($A345="","",1)</f>
        <v/>
      </c>
    </row>
    <row r="346">
      <c r="A346" s="13" t="n"/>
      <c r="B346" s="13" t="n"/>
      <c r="C346" s="14" t="n"/>
      <c r="D346" s="14" t="n"/>
      <c r="E346" s="15" t="n"/>
      <c r="F346" s="16">
        <f>IF($A346="","",ROUND($C346*$E346,2))</f>
        <v/>
      </c>
      <c r="G346" s="15" t="n"/>
      <c r="H346" s="13" t="n"/>
      <c r="I346" s="13" t="n"/>
      <c r="J346" s="13" t="n"/>
      <c r="K346" s="16">
        <f>IF($A346="","",1)</f>
        <v/>
      </c>
    </row>
    <row r="347">
      <c r="A347" s="13" t="n"/>
      <c r="B347" s="13" t="n"/>
      <c r="C347" s="14" t="n"/>
      <c r="D347" s="14" t="n"/>
      <c r="E347" s="15" t="n"/>
      <c r="F347" s="16">
        <f>IF($A347="","",ROUND($C347*$E347,2))</f>
        <v/>
      </c>
      <c r="G347" s="15" t="n"/>
      <c r="H347" s="13" t="n"/>
      <c r="I347" s="13" t="n"/>
      <c r="J347" s="13" t="n"/>
      <c r="K347" s="16">
        <f>IF($A347="","",1)</f>
        <v/>
      </c>
    </row>
    <row r="348">
      <c r="A348" s="13" t="n"/>
      <c r="B348" s="13" t="n"/>
      <c r="C348" s="14" t="n"/>
      <c r="D348" s="14" t="n"/>
      <c r="E348" s="15" t="n"/>
      <c r="F348" s="16">
        <f>IF($A348="","",ROUND($C348*$E348,2))</f>
        <v/>
      </c>
      <c r="G348" s="15" t="n"/>
      <c r="H348" s="13" t="n"/>
      <c r="I348" s="13" t="n"/>
      <c r="J348" s="13" t="n"/>
      <c r="K348" s="16">
        <f>IF($A348="","",1)</f>
        <v/>
      </c>
    </row>
    <row r="349">
      <c r="A349" s="13" t="n"/>
      <c r="B349" s="13" t="n"/>
      <c r="C349" s="14" t="n"/>
      <c r="D349" s="14" t="n"/>
      <c r="E349" s="15" t="n"/>
      <c r="F349" s="16">
        <f>IF($A349="","",ROUND($C349*$E349,2))</f>
        <v/>
      </c>
      <c r="G349" s="15" t="n"/>
      <c r="H349" s="13" t="n"/>
      <c r="I349" s="13" t="n"/>
      <c r="J349" s="13" t="n"/>
      <c r="K349" s="16">
        <f>IF($A349="","",1)</f>
        <v/>
      </c>
    </row>
    <row r="350">
      <c r="A350" s="13" t="n"/>
      <c r="B350" s="13" t="n"/>
      <c r="C350" s="14" t="n"/>
      <c r="D350" s="14" t="n"/>
      <c r="E350" s="15" t="n"/>
      <c r="F350" s="16">
        <f>IF($A350="","",ROUND($C350*$E350,2))</f>
        <v/>
      </c>
      <c r="G350" s="15" t="n"/>
      <c r="H350" s="13" t="n"/>
      <c r="I350" s="13" t="n"/>
      <c r="J350" s="13" t="n"/>
      <c r="K350" s="16">
        <f>IF($A350="","",1)</f>
        <v/>
      </c>
    </row>
    <row r="351">
      <c r="A351" s="13" t="n"/>
      <c r="B351" s="13" t="n"/>
      <c r="C351" s="14" t="n"/>
      <c r="D351" s="14" t="n"/>
      <c r="E351" s="15" t="n"/>
      <c r="F351" s="16">
        <f>IF($A351="","",ROUND($C351*$E351,2))</f>
        <v/>
      </c>
      <c r="G351" s="15" t="n"/>
      <c r="H351" s="13" t="n"/>
      <c r="I351" s="13" t="n"/>
      <c r="J351" s="13" t="n"/>
      <c r="K351" s="16">
        <f>IF($A351="","",1)</f>
        <v/>
      </c>
    </row>
    <row r="352">
      <c r="A352" s="13" t="n"/>
      <c r="B352" s="13" t="n"/>
      <c r="C352" s="14" t="n"/>
      <c r="D352" s="14" t="n"/>
      <c r="E352" s="15" t="n"/>
      <c r="F352" s="16">
        <f>IF($A352="","",ROUND($C352*$E352,2))</f>
        <v/>
      </c>
      <c r="G352" s="15" t="n"/>
      <c r="H352" s="13" t="n"/>
      <c r="I352" s="13" t="n"/>
      <c r="J352" s="13" t="n"/>
      <c r="K352" s="16">
        <f>IF($A352="","",1)</f>
        <v/>
      </c>
    </row>
    <row r="353">
      <c r="A353" s="13" t="n"/>
      <c r="B353" s="13" t="n"/>
      <c r="C353" s="14" t="n"/>
      <c r="D353" s="14" t="n"/>
      <c r="E353" s="15" t="n"/>
      <c r="F353" s="16">
        <f>IF($A353="","",ROUND($C353*$E353,2))</f>
        <v/>
      </c>
      <c r="G353" s="15" t="n"/>
      <c r="H353" s="13" t="n"/>
      <c r="I353" s="13" t="n"/>
      <c r="J353" s="13" t="n"/>
      <c r="K353" s="16">
        <f>IF($A353="","",1)</f>
        <v/>
      </c>
    </row>
    <row r="354">
      <c r="A354" s="13" t="n"/>
      <c r="B354" s="13" t="n"/>
      <c r="C354" s="14" t="n"/>
      <c r="D354" s="14" t="n"/>
      <c r="E354" s="15" t="n"/>
      <c r="F354" s="16">
        <f>IF($A354="","",ROUND($C354*$E354,2))</f>
        <v/>
      </c>
      <c r="G354" s="15" t="n"/>
      <c r="H354" s="13" t="n"/>
      <c r="I354" s="13" t="n"/>
      <c r="J354" s="13" t="n"/>
      <c r="K354" s="16">
        <f>IF($A354="","",1)</f>
        <v/>
      </c>
    </row>
    <row r="355">
      <c r="A355" s="13" t="n"/>
      <c r="B355" s="13" t="n"/>
      <c r="C355" s="14" t="n"/>
      <c r="D355" s="14" t="n"/>
      <c r="E355" s="15" t="n"/>
      <c r="F355" s="16">
        <f>IF($A355="","",ROUND($C355*$E355,2))</f>
        <v/>
      </c>
      <c r="G355" s="15" t="n"/>
      <c r="H355" s="13" t="n"/>
      <c r="I355" s="13" t="n"/>
      <c r="J355" s="13" t="n"/>
      <c r="K355" s="16">
        <f>IF($A355="","",1)</f>
        <v/>
      </c>
    </row>
    <row r="356">
      <c r="A356" s="13" t="n"/>
      <c r="B356" s="13" t="n"/>
      <c r="C356" s="14" t="n"/>
      <c r="D356" s="14" t="n"/>
      <c r="E356" s="15" t="n"/>
      <c r="F356" s="16">
        <f>IF($A356="","",ROUND($C356*$E356,2))</f>
        <v/>
      </c>
      <c r="G356" s="15" t="n"/>
      <c r="H356" s="13" t="n"/>
      <c r="I356" s="13" t="n"/>
      <c r="J356" s="13" t="n"/>
      <c r="K356" s="16">
        <f>IF($A356="","",1)</f>
        <v/>
      </c>
    </row>
    <row r="357">
      <c r="A357" s="13" t="n"/>
      <c r="B357" s="13" t="n"/>
      <c r="C357" s="14" t="n"/>
      <c r="D357" s="14" t="n"/>
      <c r="E357" s="15" t="n"/>
      <c r="F357" s="16">
        <f>IF($A357="","",ROUND($C357*$E357,2))</f>
        <v/>
      </c>
      <c r="G357" s="15" t="n"/>
      <c r="H357" s="13" t="n"/>
      <c r="I357" s="13" t="n"/>
      <c r="J357" s="13" t="n"/>
      <c r="K357" s="16">
        <f>IF($A357="","",1)</f>
        <v/>
      </c>
    </row>
    <row r="358">
      <c r="A358" s="13" t="n"/>
      <c r="B358" s="13" t="n"/>
      <c r="C358" s="14" t="n"/>
      <c r="D358" s="14" t="n"/>
      <c r="E358" s="15" t="n"/>
      <c r="F358" s="16">
        <f>IF($A358="","",ROUND($C358*$E358,2))</f>
        <v/>
      </c>
      <c r="G358" s="15" t="n"/>
      <c r="H358" s="13" t="n"/>
      <c r="I358" s="13" t="n"/>
      <c r="J358" s="13" t="n"/>
      <c r="K358" s="16">
        <f>IF($A358="","",1)</f>
        <v/>
      </c>
    </row>
    <row r="359">
      <c r="A359" s="13" t="n"/>
      <c r="B359" s="13" t="n"/>
      <c r="C359" s="14" t="n"/>
      <c r="D359" s="14" t="n"/>
      <c r="E359" s="15" t="n"/>
      <c r="F359" s="16">
        <f>IF($A359="","",ROUND($C359*$E359,2))</f>
        <v/>
      </c>
      <c r="G359" s="15" t="n"/>
      <c r="H359" s="13" t="n"/>
      <c r="I359" s="13" t="n"/>
      <c r="J359" s="13" t="n"/>
      <c r="K359" s="16">
        <f>IF($A359="","",1)</f>
        <v/>
      </c>
    </row>
    <row r="360">
      <c r="A360" s="13" t="n"/>
      <c r="B360" s="13" t="n"/>
      <c r="C360" s="14" t="n"/>
      <c r="D360" s="14" t="n"/>
      <c r="E360" s="15" t="n"/>
      <c r="F360" s="16">
        <f>IF($A360="","",ROUND($C360*$E360,2))</f>
        <v/>
      </c>
      <c r="G360" s="15" t="n"/>
      <c r="H360" s="13" t="n"/>
      <c r="I360" s="13" t="n"/>
      <c r="J360" s="13" t="n"/>
      <c r="K360" s="16">
        <f>IF($A360="","",1)</f>
        <v/>
      </c>
    </row>
    <row r="361">
      <c r="A361" s="13" t="n"/>
      <c r="B361" s="13" t="n"/>
      <c r="C361" s="14" t="n"/>
      <c r="D361" s="14" t="n"/>
      <c r="E361" s="15" t="n"/>
      <c r="F361" s="16">
        <f>IF($A361="","",ROUND($C361*$E361,2))</f>
        <v/>
      </c>
      <c r="G361" s="15" t="n"/>
      <c r="H361" s="13" t="n"/>
      <c r="I361" s="13" t="n"/>
      <c r="J361" s="13" t="n"/>
      <c r="K361" s="16">
        <f>IF($A361="","",1)</f>
        <v/>
      </c>
    </row>
    <row r="362">
      <c r="A362" s="13" t="n"/>
      <c r="B362" s="13" t="n"/>
      <c r="C362" s="14" t="n"/>
      <c r="D362" s="14" t="n"/>
      <c r="E362" s="15" t="n"/>
      <c r="F362" s="16">
        <f>IF($A362="","",ROUND($C362*$E362,2))</f>
        <v/>
      </c>
      <c r="G362" s="15" t="n"/>
      <c r="H362" s="13" t="n"/>
      <c r="I362" s="13" t="n"/>
      <c r="J362" s="13" t="n"/>
      <c r="K362" s="16">
        <f>IF($A362="","",1)</f>
        <v/>
      </c>
    </row>
    <row r="363">
      <c r="A363" s="13" t="n"/>
      <c r="B363" s="13" t="n"/>
      <c r="C363" s="14" t="n"/>
      <c r="D363" s="14" t="n"/>
      <c r="E363" s="15" t="n"/>
      <c r="F363" s="16">
        <f>IF($A363="","",ROUND($C363*$E363,2))</f>
        <v/>
      </c>
      <c r="G363" s="15" t="n"/>
      <c r="H363" s="13" t="n"/>
      <c r="I363" s="13" t="n"/>
      <c r="J363" s="13" t="n"/>
      <c r="K363" s="16">
        <f>IF($A363="","",1)</f>
        <v/>
      </c>
    </row>
    <row r="364">
      <c r="A364" s="13" t="n"/>
      <c r="B364" s="13" t="n"/>
      <c r="C364" s="14" t="n"/>
      <c r="D364" s="14" t="n"/>
      <c r="E364" s="15" t="n"/>
      <c r="F364" s="16">
        <f>IF($A364="","",ROUND($C364*$E364,2))</f>
        <v/>
      </c>
      <c r="G364" s="15" t="n"/>
      <c r="H364" s="13" t="n"/>
      <c r="I364" s="13" t="n"/>
      <c r="J364" s="13" t="n"/>
      <c r="K364" s="16">
        <f>IF($A364="","",1)</f>
        <v/>
      </c>
    </row>
    <row r="365">
      <c r="A365" s="13" t="n"/>
      <c r="B365" s="13" t="n"/>
      <c r="C365" s="14" t="n"/>
      <c r="D365" s="14" t="n"/>
      <c r="E365" s="15" t="n"/>
      <c r="F365" s="16">
        <f>IF($A365="","",ROUND($C365*$E365,2))</f>
        <v/>
      </c>
      <c r="G365" s="15" t="n"/>
      <c r="H365" s="13" t="n"/>
      <c r="I365" s="13" t="n"/>
      <c r="J365" s="13" t="n"/>
      <c r="K365" s="16">
        <f>IF($A365="","",1)</f>
        <v/>
      </c>
    </row>
    <row r="366">
      <c r="A366" s="13" t="n"/>
      <c r="B366" s="13" t="n"/>
      <c r="C366" s="14" t="n"/>
      <c r="D366" s="14" t="n"/>
      <c r="E366" s="15" t="n"/>
      <c r="F366" s="16">
        <f>IF($A366="","",ROUND($C366*$E366,2))</f>
        <v/>
      </c>
      <c r="G366" s="15" t="n"/>
      <c r="H366" s="13" t="n"/>
      <c r="I366" s="13" t="n"/>
      <c r="J366" s="13" t="n"/>
      <c r="K366" s="16">
        <f>IF($A366="","",1)</f>
        <v/>
      </c>
    </row>
    <row r="367">
      <c r="A367" s="13" t="n"/>
      <c r="B367" s="13" t="n"/>
      <c r="C367" s="14" t="n"/>
      <c r="D367" s="14" t="n"/>
      <c r="E367" s="15" t="n"/>
      <c r="F367" s="16">
        <f>IF($A367="","",ROUND($C367*$E367,2))</f>
        <v/>
      </c>
      <c r="G367" s="15" t="n"/>
      <c r="H367" s="13" t="n"/>
      <c r="I367" s="13" t="n"/>
      <c r="J367" s="13" t="n"/>
      <c r="K367" s="16">
        <f>IF($A367="","",1)</f>
        <v/>
      </c>
    </row>
    <row r="368">
      <c r="A368" s="13" t="n"/>
      <c r="B368" s="13" t="n"/>
      <c r="C368" s="14" t="n"/>
      <c r="D368" s="14" t="n"/>
      <c r="E368" s="15" t="n"/>
      <c r="F368" s="16">
        <f>IF($A368="","",ROUND($C368*$E368,2))</f>
        <v/>
      </c>
      <c r="G368" s="15" t="n"/>
      <c r="H368" s="13" t="n"/>
      <c r="I368" s="13" t="n"/>
      <c r="J368" s="13" t="n"/>
      <c r="K368" s="16">
        <f>IF($A368="","",1)</f>
        <v/>
      </c>
    </row>
    <row r="369">
      <c r="A369" s="13" t="n"/>
      <c r="B369" s="13" t="n"/>
      <c r="C369" s="14" t="n"/>
      <c r="D369" s="14" t="n"/>
      <c r="E369" s="15" t="n"/>
      <c r="F369" s="16">
        <f>IF($A369="","",ROUND($C369*$E369,2))</f>
        <v/>
      </c>
      <c r="G369" s="15" t="n"/>
      <c r="H369" s="13" t="n"/>
      <c r="I369" s="13" t="n"/>
      <c r="J369" s="13" t="n"/>
      <c r="K369" s="16">
        <f>IF($A369="","",1)</f>
        <v/>
      </c>
    </row>
    <row r="370">
      <c r="A370" s="13" t="n"/>
      <c r="B370" s="13" t="n"/>
      <c r="C370" s="14" t="n"/>
      <c r="D370" s="14" t="n"/>
      <c r="E370" s="15" t="n"/>
      <c r="F370" s="16">
        <f>IF($A370="","",ROUND($C370*$E370,2))</f>
        <v/>
      </c>
      <c r="G370" s="15" t="n"/>
      <c r="H370" s="13" t="n"/>
      <c r="I370" s="13" t="n"/>
      <c r="J370" s="13" t="n"/>
      <c r="K370" s="16">
        <f>IF($A370="","",1)</f>
        <v/>
      </c>
    </row>
    <row r="371">
      <c r="A371" s="13" t="n"/>
      <c r="B371" s="13" t="n"/>
      <c r="C371" s="14" t="n"/>
      <c r="D371" s="14" t="n"/>
      <c r="E371" s="15" t="n"/>
      <c r="F371" s="16">
        <f>IF($A371="","",ROUND($C371*$E371,2))</f>
        <v/>
      </c>
      <c r="G371" s="15" t="n"/>
      <c r="H371" s="13" t="n"/>
      <c r="I371" s="13" t="n"/>
      <c r="J371" s="13" t="n"/>
      <c r="K371" s="16">
        <f>IF($A371="","",1)</f>
        <v/>
      </c>
    </row>
    <row r="372">
      <c r="A372" s="13" t="n"/>
      <c r="B372" s="13" t="n"/>
      <c r="C372" s="14" t="n"/>
      <c r="D372" s="14" t="n"/>
      <c r="E372" s="15" t="n"/>
      <c r="F372" s="16">
        <f>IF($A372="","",ROUND($C372*$E372,2))</f>
        <v/>
      </c>
      <c r="G372" s="15" t="n"/>
      <c r="H372" s="13" t="n"/>
      <c r="I372" s="13" t="n"/>
      <c r="J372" s="13" t="n"/>
      <c r="K372" s="16">
        <f>IF($A372="","",1)</f>
        <v/>
      </c>
    </row>
    <row r="373">
      <c r="A373" s="13" t="n"/>
      <c r="B373" s="13" t="n"/>
      <c r="C373" s="14" t="n"/>
      <c r="D373" s="14" t="n"/>
      <c r="E373" s="15" t="n"/>
      <c r="F373" s="16">
        <f>IF($A373="","",ROUND($C373*$E373,2))</f>
        <v/>
      </c>
      <c r="G373" s="15" t="n"/>
      <c r="H373" s="13" t="n"/>
      <c r="I373" s="13" t="n"/>
      <c r="J373" s="13" t="n"/>
      <c r="K373" s="16">
        <f>IF($A373="","",1)</f>
        <v/>
      </c>
    </row>
    <row r="374">
      <c r="A374" s="13" t="n"/>
      <c r="B374" s="13" t="n"/>
      <c r="C374" s="14" t="n"/>
      <c r="D374" s="14" t="n"/>
      <c r="E374" s="15" t="n"/>
      <c r="F374" s="16">
        <f>IF($A374="","",ROUND($C374*$E374,2))</f>
        <v/>
      </c>
      <c r="G374" s="15" t="n"/>
      <c r="H374" s="13" t="n"/>
      <c r="I374" s="13" t="n"/>
      <c r="J374" s="13" t="n"/>
      <c r="K374" s="16">
        <f>IF($A374="","",1)</f>
        <v/>
      </c>
    </row>
    <row r="375">
      <c r="A375" s="13" t="n"/>
      <c r="B375" s="13" t="n"/>
      <c r="C375" s="14" t="n"/>
      <c r="D375" s="14" t="n"/>
      <c r="E375" s="15" t="n"/>
      <c r="F375" s="16">
        <f>IF($A375="","",ROUND($C375*$E375,2))</f>
        <v/>
      </c>
      <c r="G375" s="15" t="n"/>
      <c r="H375" s="13" t="n"/>
      <c r="I375" s="13" t="n"/>
      <c r="J375" s="13" t="n"/>
      <c r="K375" s="16">
        <f>IF($A375="","",1)</f>
        <v/>
      </c>
    </row>
    <row r="376">
      <c r="A376" s="13" t="n"/>
      <c r="B376" s="13" t="n"/>
      <c r="C376" s="14" t="n"/>
      <c r="D376" s="14" t="n"/>
      <c r="E376" s="15" t="n"/>
      <c r="F376" s="16">
        <f>IF($A376="","",ROUND($C376*$E376,2))</f>
        <v/>
      </c>
      <c r="G376" s="15" t="n"/>
      <c r="H376" s="13" t="n"/>
      <c r="I376" s="13" t="n"/>
      <c r="J376" s="13" t="n"/>
      <c r="K376" s="16">
        <f>IF($A376="","",1)</f>
        <v/>
      </c>
    </row>
    <row r="377">
      <c r="A377" s="13" t="n"/>
      <c r="B377" s="13" t="n"/>
      <c r="C377" s="14" t="n"/>
      <c r="D377" s="14" t="n"/>
      <c r="E377" s="15" t="n"/>
      <c r="F377" s="16">
        <f>IF($A377="","",ROUND($C377*$E377,2))</f>
        <v/>
      </c>
      <c r="G377" s="15" t="n"/>
      <c r="H377" s="13" t="n"/>
      <c r="I377" s="13" t="n"/>
      <c r="J377" s="13" t="n"/>
      <c r="K377" s="16">
        <f>IF($A377="","",1)</f>
        <v/>
      </c>
    </row>
    <row r="378">
      <c r="A378" s="13" t="n"/>
      <c r="B378" s="13" t="n"/>
      <c r="C378" s="14" t="n"/>
      <c r="D378" s="14" t="n"/>
      <c r="E378" s="15" t="n"/>
      <c r="F378" s="16">
        <f>IF($A378="","",ROUND($C378*$E378,2))</f>
        <v/>
      </c>
      <c r="G378" s="15" t="n"/>
      <c r="H378" s="13" t="n"/>
      <c r="I378" s="13" t="n"/>
      <c r="J378" s="13" t="n"/>
      <c r="K378" s="16">
        <f>IF($A378="","",1)</f>
        <v/>
      </c>
    </row>
    <row r="379">
      <c r="A379" s="13" t="n"/>
      <c r="B379" s="13" t="n"/>
      <c r="C379" s="14" t="n"/>
      <c r="D379" s="14" t="n"/>
      <c r="E379" s="15" t="n"/>
      <c r="F379" s="16">
        <f>IF($A379="","",ROUND($C379*$E379,2))</f>
        <v/>
      </c>
      <c r="G379" s="15" t="n"/>
      <c r="H379" s="13" t="n"/>
      <c r="I379" s="13" t="n"/>
      <c r="J379" s="13" t="n"/>
      <c r="K379" s="16">
        <f>IF($A379="","",1)</f>
        <v/>
      </c>
    </row>
    <row r="380">
      <c r="A380" s="13" t="n"/>
      <c r="B380" s="13" t="n"/>
      <c r="C380" s="14" t="n"/>
      <c r="D380" s="14" t="n"/>
      <c r="E380" s="15" t="n"/>
      <c r="F380" s="16">
        <f>IF($A380="","",ROUND($C380*$E380,2))</f>
        <v/>
      </c>
      <c r="G380" s="15" t="n"/>
      <c r="H380" s="13" t="n"/>
      <c r="I380" s="13" t="n"/>
      <c r="J380" s="13" t="n"/>
      <c r="K380" s="16">
        <f>IF($A380="","",1)</f>
        <v/>
      </c>
    </row>
    <row r="381">
      <c r="A381" s="13" t="n"/>
      <c r="B381" s="13" t="n"/>
      <c r="C381" s="14" t="n"/>
      <c r="D381" s="14" t="n"/>
      <c r="E381" s="15" t="n"/>
      <c r="F381" s="16">
        <f>IF($A381="","",ROUND($C381*$E381,2))</f>
        <v/>
      </c>
      <c r="G381" s="15" t="n"/>
      <c r="H381" s="13" t="n"/>
      <c r="I381" s="13" t="n"/>
      <c r="J381" s="13" t="n"/>
      <c r="K381" s="16">
        <f>IF($A381="","",1)</f>
        <v/>
      </c>
    </row>
    <row r="382">
      <c r="A382" s="13" t="n"/>
      <c r="B382" s="13" t="n"/>
      <c r="C382" s="14" t="n"/>
      <c r="D382" s="14" t="n"/>
      <c r="E382" s="15" t="n"/>
      <c r="F382" s="16">
        <f>IF($A382="","",ROUND($C382*$E382,2))</f>
        <v/>
      </c>
      <c r="G382" s="15" t="n"/>
      <c r="H382" s="13" t="n"/>
      <c r="I382" s="13" t="n"/>
      <c r="J382" s="13" t="n"/>
      <c r="K382" s="16">
        <f>IF($A382="","",1)</f>
        <v/>
      </c>
    </row>
    <row r="383">
      <c r="A383" s="13" t="n"/>
      <c r="B383" s="13" t="n"/>
      <c r="C383" s="14" t="n"/>
      <c r="D383" s="14" t="n"/>
      <c r="E383" s="15" t="n"/>
      <c r="F383" s="16">
        <f>IF($A383="","",ROUND($C383*$E383,2))</f>
        <v/>
      </c>
      <c r="G383" s="15" t="n"/>
      <c r="H383" s="13" t="n"/>
      <c r="I383" s="13" t="n"/>
      <c r="J383" s="13" t="n"/>
      <c r="K383" s="16">
        <f>IF($A383="","",1)</f>
        <v/>
      </c>
    </row>
    <row r="384">
      <c r="A384" s="13" t="n"/>
      <c r="B384" s="13" t="n"/>
      <c r="C384" s="14" t="n"/>
      <c r="D384" s="14" t="n"/>
      <c r="E384" s="15" t="n"/>
      <c r="F384" s="16">
        <f>IF($A384="","",ROUND($C384*$E384,2))</f>
        <v/>
      </c>
      <c r="G384" s="15" t="n"/>
      <c r="H384" s="13" t="n"/>
      <c r="I384" s="13" t="n"/>
      <c r="J384" s="13" t="n"/>
      <c r="K384" s="16">
        <f>IF($A384="","",1)</f>
        <v/>
      </c>
    </row>
    <row r="385">
      <c r="A385" s="13" t="n"/>
      <c r="B385" s="13" t="n"/>
      <c r="C385" s="14" t="n"/>
      <c r="D385" s="14" t="n"/>
      <c r="E385" s="15" t="n"/>
      <c r="F385" s="16">
        <f>IF($A385="","",ROUND($C385*$E385,2))</f>
        <v/>
      </c>
      <c r="G385" s="15" t="n"/>
      <c r="H385" s="13" t="n"/>
      <c r="I385" s="13" t="n"/>
      <c r="J385" s="13" t="n"/>
      <c r="K385" s="16">
        <f>IF($A385="","",1)</f>
        <v/>
      </c>
    </row>
    <row r="386">
      <c r="A386" s="13" t="n"/>
      <c r="B386" s="13" t="n"/>
      <c r="C386" s="14" t="n"/>
      <c r="D386" s="14" t="n"/>
      <c r="E386" s="15" t="n"/>
      <c r="F386" s="16">
        <f>IF($A386="","",ROUND($C386*$E386,2))</f>
        <v/>
      </c>
      <c r="G386" s="15" t="n"/>
      <c r="H386" s="13" t="n"/>
      <c r="I386" s="13" t="n"/>
      <c r="J386" s="13" t="n"/>
      <c r="K386" s="16">
        <f>IF($A386="","",1)</f>
        <v/>
      </c>
    </row>
    <row r="387">
      <c r="A387" s="13" t="n"/>
      <c r="B387" s="13" t="n"/>
      <c r="C387" s="14" t="n"/>
      <c r="D387" s="14" t="n"/>
      <c r="E387" s="15" t="n"/>
      <c r="F387" s="16">
        <f>IF($A387="","",ROUND($C387*$E387,2))</f>
        <v/>
      </c>
      <c r="G387" s="15" t="n"/>
      <c r="H387" s="13" t="n"/>
      <c r="I387" s="13" t="n"/>
      <c r="J387" s="13" t="n"/>
      <c r="K387" s="16">
        <f>IF($A387="","",1)</f>
        <v/>
      </c>
    </row>
    <row r="388">
      <c r="A388" s="13" t="n"/>
      <c r="B388" s="13" t="n"/>
      <c r="C388" s="14" t="n"/>
      <c r="D388" s="14" t="n"/>
      <c r="E388" s="15" t="n"/>
      <c r="F388" s="16">
        <f>IF($A388="","",ROUND($C388*$E388,2))</f>
        <v/>
      </c>
      <c r="G388" s="15" t="n"/>
      <c r="H388" s="13" t="n"/>
      <c r="I388" s="13" t="n"/>
      <c r="J388" s="13" t="n"/>
      <c r="K388" s="16">
        <f>IF($A388="","",1)</f>
        <v/>
      </c>
    </row>
    <row r="389">
      <c r="A389" s="13" t="n"/>
      <c r="B389" s="13" t="n"/>
      <c r="C389" s="14" t="n"/>
      <c r="D389" s="14" t="n"/>
      <c r="E389" s="15" t="n"/>
      <c r="F389" s="16">
        <f>IF($A389="","",ROUND($C389*$E389,2))</f>
        <v/>
      </c>
      <c r="G389" s="15" t="n"/>
      <c r="H389" s="13" t="n"/>
      <c r="I389" s="13" t="n"/>
      <c r="J389" s="13" t="n"/>
      <c r="K389" s="16">
        <f>IF($A389="","",1)</f>
        <v/>
      </c>
    </row>
    <row r="390">
      <c r="A390" s="13" t="n"/>
      <c r="B390" s="13" t="n"/>
      <c r="C390" s="14" t="n"/>
      <c r="D390" s="14" t="n"/>
      <c r="E390" s="15" t="n"/>
      <c r="F390" s="16">
        <f>IF($A390="","",ROUND($C390*$E390,2))</f>
        <v/>
      </c>
      <c r="G390" s="15" t="n"/>
      <c r="H390" s="13" t="n"/>
      <c r="I390" s="13" t="n"/>
      <c r="J390" s="13" t="n"/>
      <c r="K390" s="16">
        <f>IF($A390="","",1)</f>
        <v/>
      </c>
    </row>
    <row r="391">
      <c r="A391" s="13" t="n"/>
      <c r="B391" s="13" t="n"/>
      <c r="C391" s="14" t="n"/>
      <c r="D391" s="14" t="n"/>
      <c r="E391" s="15" t="n"/>
      <c r="F391" s="16">
        <f>IF($A391="","",ROUND($C391*$E391,2))</f>
        <v/>
      </c>
      <c r="G391" s="15" t="n"/>
      <c r="H391" s="13" t="n"/>
      <c r="I391" s="13" t="n"/>
      <c r="J391" s="13" t="n"/>
      <c r="K391" s="16">
        <f>IF($A391="","",1)</f>
        <v/>
      </c>
    </row>
    <row r="392">
      <c r="A392" s="13" t="n"/>
      <c r="B392" s="13" t="n"/>
      <c r="C392" s="14" t="n"/>
      <c r="D392" s="14" t="n"/>
      <c r="E392" s="15" t="n"/>
      <c r="F392" s="16">
        <f>IF($A392="","",ROUND($C392*$E392,2))</f>
        <v/>
      </c>
      <c r="G392" s="15" t="n"/>
      <c r="H392" s="13" t="n"/>
      <c r="I392" s="13" t="n"/>
      <c r="J392" s="13" t="n"/>
      <c r="K392" s="16">
        <f>IF($A392="","",1)</f>
        <v/>
      </c>
    </row>
    <row r="393">
      <c r="A393" s="13" t="n"/>
      <c r="B393" s="13" t="n"/>
      <c r="C393" s="14" t="n"/>
      <c r="D393" s="14" t="n"/>
      <c r="E393" s="15" t="n"/>
      <c r="F393" s="16">
        <f>IF($A393="","",ROUND($C393*$E393,2))</f>
        <v/>
      </c>
      <c r="G393" s="15" t="n"/>
      <c r="H393" s="13" t="n"/>
      <c r="I393" s="13" t="n"/>
      <c r="J393" s="13" t="n"/>
      <c r="K393" s="16">
        <f>IF($A393="","",1)</f>
        <v/>
      </c>
    </row>
    <row r="394">
      <c r="A394" s="13" t="n"/>
      <c r="B394" s="13" t="n"/>
      <c r="C394" s="14" t="n"/>
      <c r="D394" s="14" t="n"/>
      <c r="E394" s="15" t="n"/>
      <c r="F394" s="16">
        <f>IF($A394="","",ROUND($C394*$E394,2))</f>
        <v/>
      </c>
      <c r="G394" s="15" t="n"/>
      <c r="H394" s="13" t="n"/>
      <c r="I394" s="13" t="n"/>
      <c r="J394" s="13" t="n"/>
      <c r="K394" s="16">
        <f>IF($A394="","",1)</f>
        <v/>
      </c>
    </row>
    <row r="395">
      <c r="A395" s="13" t="n"/>
      <c r="B395" s="13" t="n"/>
      <c r="C395" s="14" t="n"/>
      <c r="D395" s="14" t="n"/>
      <c r="E395" s="15" t="n"/>
      <c r="F395" s="16">
        <f>IF($A395="","",ROUND($C395*$E395,2))</f>
        <v/>
      </c>
      <c r="G395" s="15" t="n"/>
      <c r="H395" s="13" t="n"/>
      <c r="I395" s="13" t="n"/>
      <c r="J395" s="13" t="n"/>
      <c r="K395" s="16">
        <f>IF($A395="","",1)</f>
        <v/>
      </c>
    </row>
    <row r="396">
      <c r="A396" s="13" t="n"/>
      <c r="B396" s="13" t="n"/>
      <c r="C396" s="14" t="n"/>
      <c r="D396" s="14" t="n"/>
      <c r="E396" s="15" t="n"/>
      <c r="F396" s="16">
        <f>IF($A396="","",ROUND($C396*$E396,2))</f>
        <v/>
      </c>
      <c r="G396" s="15" t="n"/>
      <c r="H396" s="13" t="n"/>
      <c r="I396" s="13" t="n"/>
      <c r="J396" s="13" t="n"/>
      <c r="K396" s="16">
        <f>IF($A396="","",1)</f>
        <v/>
      </c>
    </row>
    <row r="397">
      <c r="A397" s="13" t="n"/>
      <c r="B397" s="13" t="n"/>
      <c r="C397" s="14" t="n"/>
      <c r="D397" s="14" t="n"/>
      <c r="E397" s="15" t="n"/>
      <c r="F397" s="16">
        <f>IF($A397="","",ROUND($C397*$E397,2))</f>
        <v/>
      </c>
      <c r="G397" s="15" t="n"/>
      <c r="H397" s="13" t="n"/>
      <c r="I397" s="13" t="n"/>
      <c r="J397" s="13" t="n"/>
      <c r="K397" s="16">
        <f>IF($A397="","",1)</f>
        <v/>
      </c>
    </row>
    <row r="398">
      <c r="A398" s="13" t="n"/>
      <c r="B398" s="13" t="n"/>
      <c r="C398" s="14" t="n"/>
      <c r="D398" s="14" t="n"/>
      <c r="E398" s="15" t="n"/>
      <c r="F398" s="16">
        <f>IF($A398="","",ROUND($C398*$E398,2))</f>
        <v/>
      </c>
      <c r="G398" s="15" t="n"/>
      <c r="H398" s="13" t="n"/>
      <c r="I398" s="13" t="n"/>
      <c r="J398" s="13" t="n"/>
      <c r="K398" s="16">
        <f>IF($A398="","",1)</f>
        <v/>
      </c>
    </row>
    <row r="399">
      <c r="A399" s="13" t="n"/>
      <c r="B399" s="13" t="n"/>
      <c r="C399" s="14" t="n"/>
      <c r="D399" s="14" t="n"/>
      <c r="E399" s="15" t="n"/>
      <c r="F399" s="16">
        <f>IF($A399="","",ROUND($C399*$E399,2))</f>
        <v/>
      </c>
      <c r="G399" s="15" t="n"/>
      <c r="H399" s="13" t="n"/>
      <c r="I399" s="13" t="n"/>
      <c r="J399" s="13" t="n"/>
      <c r="K399" s="16">
        <f>IF($A399="","",1)</f>
        <v/>
      </c>
    </row>
    <row r="400">
      <c r="A400" s="13" t="n"/>
      <c r="B400" s="13" t="n"/>
      <c r="C400" s="14" t="n"/>
      <c r="D400" s="14" t="n"/>
      <c r="E400" s="15" t="n"/>
      <c r="F400" s="16">
        <f>IF($A400="","",ROUND($C400*$E400,2))</f>
        <v/>
      </c>
      <c r="G400" s="15" t="n"/>
      <c r="H400" s="13" t="n"/>
      <c r="I400" s="13" t="n"/>
      <c r="J400" s="13" t="n"/>
      <c r="K400" s="16">
        <f>IF($A400="","",1)</f>
        <v/>
      </c>
    </row>
    <row r="401">
      <c r="A401" s="13" t="n"/>
      <c r="B401" s="13" t="n"/>
      <c r="C401" s="14" t="n"/>
      <c r="D401" s="14" t="n"/>
      <c r="E401" s="15" t="n"/>
      <c r="F401" s="16">
        <f>IF($A401="","",ROUND($C401*$E401,2))</f>
        <v/>
      </c>
      <c r="G401" s="15" t="n"/>
      <c r="H401" s="13" t="n"/>
      <c r="I401" s="13" t="n"/>
      <c r="J401" s="13" t="n"/>
      <c r="K401" s="16">
        <f>IF($A401="","",1)</f>
        <v/>
      </c>
    </row>
    <row r="402">
      <c r="A402" s="13" t="n"/>
      <c r="B402" s="13" t="n"/>
      <c r="C402" s="14" t="n"/>
      <c r="D402" s="14" t="n"/>
      <c r="E402" s="15" t="n"/>
      <c r="F402" s="16">
        <f>IF($A402="","",ROUND($C402*$E402,2))</f>
        <v/>
      </c>
      <c r="G402" s="15" t="n"/>
      <c r="H402" s="13" t="n"/>
      <c r="I402" s="13" t="n"/>
      <c r="J402" s="13" t="n"/>
      <c r="K402" s="16">
        <f>IF($A402="","",1)</f>
        <v/>
      </c>
    </row>
    <row r="403">
      <c r="A403" s="13" t="n"/>
      <c r="B403" s="13" t="n"/>
      <c r="C403" s="14" t="n"/>
      <c r="D403" s="14" t="n"/>
      <c r="E403" s="15" t="n"/>
      <c r="F403" s="16">
        <f>IF($A403="","",ROUND($C403*$E403,2))</f>
        <v/>
      </c>
      <c r="G403" s="15" t="n"/>
      <c r="H403" s="13" t="n"/>
      <c r="I403" s="13" t="n"/>
      <c r="J403" s="13" t="n"/>
      <c r="K403" s="16">
        <f>IF($A403="","",1)</f>
        <v/>
      </c>
    </row>
    <row r="404">
      <c r="A404" s="13" t="n"/>
      <c r="B404" s="13" t="n"/>
      <c r="C404" s="14" t="n"/>
      <c r="D404" s="14" t="n"/>
      <c r="E404" s="15" t="n"/>
      <c r="F404" s="16">
        <f>IF($A404="","",ROUND($C404*$E404,2))</f>
        <v/>
      </c>
      <c r="G404" s="15" t="n"/>
      <c r="H404" s="13" t="n"/>
      <c r="I404" s="13" t="n"/>
      <c r="J404" s="13" t="n"/>
      <c r="K404" s="16">
        <f>IF($A404="","",1)</f>
        <v/>
      </c>
    </row>
    <row r="405">
      <c r="A405" s="13" t="n"/>
      <c r="B405" s="13" t="n"/>
      <c r="C405" s="14" t="n"/>
      <c r="D405" s="14" t="n"/>
      <c r="E405" s="15" t="n"/>
      <c r="F405" s="16">
        <f>IF($A405="","",ROUND($C405*$E405,2))</f>
        <v/>
      </c>
      <c r="G405" s="15" t="n"/>
      <c r="H405" s="13" t="n"/>
      <c r="I405" s="13" t="n"/>
      <c r="J405" s="13" t="n"/>
      <c r="K405" s="16">
        <f>IF($A405="","",1)</f>
        <v/>
      </c>
    </row>
    <row r="406">
      <c r="A406" s="13" t="n"/>
      <c r="B406" s="13" t="n"/>
      <c r="C406" s="14" t="n"/>
      <c r="D406" s="14" t="n"/>
      <c r="E406" s="15" t="n"/>
      <c r="F406" s="16">
        <f>IF($A406="","",ROUND($C406*$E406,2))</f>
        <v/>
      </c>
      <c r="G406" s="15" t="n"/>
      <c r="H406" s="13" t="n"/>
      <c r="I406" s="13" t="n"/>
      <c r="J406" s="13" t="n"/>
      <c r="K406" s="16">
        <f>IF($A406="","",1)</f>
        <v/>
      </c>
    </row>
    <row r="407">
      <c r="A407" s="13" t="n"/>
      <c r="B407" s="13" t="n"/>
      <c r="C407" s="14" t="n"/>
      <c r="D407" s="14" t="n"/>
      <c r="E407" s="15" t="n"/>
      <c r="F407" s="16">
        <f>IF($A407="","",ROUND($C407*$E407,2))</f>
        <v/>
      </c>
      <c r="G407" s="15" t="n"/>
      <c r="H407" s="13" t="n"/>
      <c r="I407" s="13" t="n"/>
      <c r="J407" s="13" t="n"/>
      <c r="K407" s="16">
        <f>IF($A407="","",1)</f>
        <v/>
      </c>
    </row>
    <row r="408">
      <c r="A408" s="13" t="n"/>
      <c r="B408" s="13" t="n"/>
      <c r="C408" s="14" t="n"/>
      <c r="D408" s="14" t="n"/>
      <c r="E408" s="15" t="n"/>
      <c r="F408" s="16">
        <f>IF($A408="","",ROUND($C408*$E408,2))</f>
        <v/>
      </c>
      <c r="G408" s="15" t="n"/>
      <c r="H408" s="13" t="n"/>
      <c r="I408" s="13" t="n"/>
      <c r="J408" s="13" t="n"/>
      <c r="K408" s="16">
        <f>IF($A408="","",1)</f>
        <v/>
      </c>
    </row>
    <row r="409">
      <c r="A409" s="13" t="n"/>
      <c r="B409" s="13" t="n"/>
      <c r="C409" s="14" t="n"/>
      <c r="D409" s="14" t="n"/>
      <c r="E409" s="15" t="n"/>
      <c r="F409" s="16">
        <f>IF($A409="","",ROUND($C409*$E409,2))</f>
        <v/>
      </c>
      <c r="G409" s="15" t="n"/>
      <c r="H409" s="13" t="n"/>
      <c r="I409" s="13" t="n"/>
      <c r="J409" s="13" t="n"/>
      <c r="K409" s="16">
        <f>IF($A409="","",1)</f>
        <v/>
      </c>
    </row>
    <row r="410">
      <c r="A410" s="13" t="n"/>
      <c r="B410" s="13" t="n"/>
      <c r="C410" s="14" t="n"/>
      <c r="D410" s="14" t="n"/>
      <c r="E410" s="15" t="n"/>
      <c r="F410" s="16">
        <f>IF($A410="","",ROUND($C410*$E410,2))</f>
        <v/>
      </c>
      <c r="G410" s="15" t="n"/>
      <c r="H410" s="13" t="n"/>
      <c r="I410" s="13" t="n"/>
      <c r="J410" s="13" t="n"/>
      <c r="K410" s="16">
        <f>IF($A410="","",1)</f>
        <v/>
      </c>
    </row>
    <row r="411">
      <c r="A411" s="13" t="n"/>
      <c r="B411" s="13" t="n"/>
      <c r="C411" s="14" t="n"/>
      <c r="D411" s="14" t="n"/>
      <c r="E411" s="15" t="n"/>
      <c r="F411" s="16">
        <f>IF($A411="","",ROUND($C411*$E411,2))</f>
        <v/>
      </c>
      <c r="G411" s="15" t="n"/>
      <c r="H411" s="13" t="n"/>
      <c r="I411" s="13" t="n"/>
      <c r="J411" s="13" t="n"/>
      <c r="K411" s="16">
        <f>IF($A411="","",1)</f>
        <v/>
      </c>
    </row>
    <row r="412">
      <c r="A412" s="13" t="n"/>
      <c r="B412" s="13" t="n"/>
      <c r="C412" s="14" t="n"/>
      <c r="D412" s="14" t="n"/>
      <c r="E412" s="15" t="n"/>
      <c r="F412" s="16">
        <f>IF($A412="","",ROUND($C412*$E412,2))</f>
        <v/>
      </c>
      <c r="G412" s="15" t="n"/>
      <c r="H412" s="13" t="n"/>
      <c r="I412" s="13" t="n"/>
      <c r="J412" s="13" t="n"/>
      <c r="K412" s="16">
        <f>IF($A412="","",1)</f>
        <v/>
      </c>
    </row>
    <row r="413">
      <c r="A413" s="13" t="n"/>
      <c r="B413" s="13" t="n"/>
      <c r="C413" s="14" t="n"/>
      <c r="D413" s="14" t="n"/>
      <c r="E413" s="15" t="n"/>
      <c r="F413" s="16">
        <f>IF($A413="","",ROUND($C413*$E413,2))</f>
        <v/>
      </c>
      <c r="G413" s="15" t="n"/>
      <c r="H413" s="13" t="n"/>
      <c r="I413" s="13" t="n"/>
      <c r="J413" s="13" t="n"/>
      <c r="K413" s="16">
        <f>IF($A413="","",1)</f>
        <v/>
      </c>
    </row>
    <row r="414">
      <c r="A414" s="13" t="n"/>
      <c r="B414" s="13" t="n"/>
      <c r="C414" s="14" t="n"/>
      <c r="D414" s="14" t="n"/>
      <c r="E414" s="15" t="n"/>
      <c r="F414" s="16">
        <f>IF($A414="","",ROUND($C414*$E414,2))</f>
        <v/>
      </c>
      <c r="G414" s="15" t="n"/>
      <c r="H414" s="13" t="n"/>
      <c r="I414" s="13" t="n"/>
      <c r="J414" s="13" t="n"/>
      <c r="K414" s="16">
        <f>IF($A414="","",1)</f>
        <v/>
      </c>
    </row>
    <row r="415">
      <c r="A415" s="13" t="n"/>
      <c r="B415" s="13" t="n"/>
      <c r="C415" s="14" t="n"/>
      <c r="D415" s="14" t="n"/>
      <c r="E415" s="15" t="n"/>
      <c r="F415" s="16">
        <f>IF($A415="","",ROUND($C415*$E415,2))</f>
        <v/>
      </c>
      <c r="G415" s="15" t="n"/>
      <c r="H415" s="13" t="n"/>
      <c r="I415" s="13" t="n"/>
      <c r="J415" s="13" t="n"/>
      <c r="K415" s="16">
        <f>IF($A415="","",1)</f>
        <v/>
      </c>
    </row>
    <row r="416">
      <c r="A416" s="13" t="n"/>
      <c r="B416" s="13" t="n"/>
      <c r="C416" s="14" t="n"/>
      <c r="D416" s="14" t="n"/>
      <c r="E416" s="15" t="n"/>
      <c r="F416" s="16">
        <f>IF($A416="","",ROUND($C416*$E416,2))</f>
        <v/>
      </c>
      <c r="G416" s="15" t="n"/>
      <c r="H416" s="13" t="n"/>
      <c r="I416" s="13" t="n"/>
      <c r="J416" s="13" t="n"/>
      <c r="K416" s="16">
        <f>IF($A416="","",1)</f>
        <v/>
      </c>
    </row>
    <row r="417">
      <c r="A417" s="13" t="n"/>
      <c r="B417" s="13" t="n"/>
      <c r="C417" s="14" t="n"/>
      <c r="D417" s="14" t="n"/>
      <c r="E417" s="15" t="n"/>
      <c r="F417" s="16">
        <f>IF($A417="","",ROUND($C417*$E417,2))</f>
        <v/>
      </c>
      <c r="G417" s="15" t="n"/>
      <c r="H417" s="13" t="n"/>
      <c r="I417" s="13" t="n"/>
      <c r="J417" s="13" t="n"/>
      <c r="K417" s="16">
        <f>IF($A417="","",1)</f>
        <v/>
      </c>
    </row>
    <row r="418">
      <c r="A418" s="13" t="n"/>
      <c r="B418" s="13" t="n"/>
      <c r="C418" s="14" t="n"/>
      <c r="D418" s="14" t="n"/>
      <c r="E418" s="15" t="n"/>
      <c r="F418" s="16">
        <f>IF($A418="","",ROUND($C418*$E418,2))</f>
        <v/>
      </c>
      <c r="G418" s="15" t="n"/>
      <c r="H418" s="13" t="n"/>
      <c r="I418" s="13" t="n"/>
      <c r="J418" s="13" t="n"/>
      <c r="K418" s="16">
        <f>IF($A418="","",1)</f>
        <v/>
      </c>
    </row>
    <row r="419">
      <c r="A419" s="13" t="n"/>
      <c r="B419" s="13" t="n"/>
      <c r="C419" s="14" t="n"/>
      <c r="D419" s="14" t="n"/>
      <c r="E419" s="15" t="n"/>
      <c r="F419" s="16">
        <f>IF($A419="","",ROUND($C419*$E419,2))</f>
        <v/>
      </c>
      <c r="G419" s="15" t="n"/>
      <c r="H419" s="13" t="n"/>
      <c r="I419" s="13" t="n"/>
      <c r="J419" s="13" t="n"/>
      <c r="K419" s="16">
        <f>IF($A419="","",1)</f>
        <v/>
      </c>
    </row>
    <row r="420">
      <c r="A420" s="13" t="n"/>
      <c r="B420" s="13" t="n"/>
      <c r="C420" s="14" t="n"/>
      <c r="D420" s="14" t="n"/>
      <c r="E420" s="15" t="n"/>
      <c r="F420" s="16">
        <f>IF($A420="","",ROUND($C420*$E420,2))</f>
        <v/>
      </c>
      <c r="G420" s="15" t="n"/>
      <c r="H420" s="13" t="n"/>
      <c r="I420" s="13" t="n"/>
      <c r="J420" s="13" t="n"/>
      <c r="K420" s="16">
        <f>IF($A420="","",1)</f>
        <v/>
      </c>
    </row>
    <row r="421">
      <c r="A421" s="13" t="n"/>
      <c r="B421" s="13" t="n"/>
      <c r="C421" s="14" t="n"/>
      <c r="D421" s="14" t="n"/>
      <c r="E421" s="15" t="n"/>
      <c r="F421" s="16">
        <f>IF($A421="","",ROUND($C421*$E421,2))</f>
        <v/>
      </c>
      <c r="G421" s="15" t="n"/>
      <c r="H421" s="13" t="n"/>
      <c r="I421" s="13" t="n"/>
      <c r="J421" s="13" t="n"/>
      <c r="K421" s="16">
        <f>IF($A421="","",1)</f>
        <v/>
      </c>
    </row>
    <row r="422">
      <c r="A422" s="13" t="n"/>
      <c r="B422" s="13" t="n"/>
      <c r="C422" s="14" t="n"/>
      <c r="D422" s="14" t="n"/>
      <c r="E422" s="15" t="n"/>
      <c r="F422" s="16">
        <f>IF($A422="","",ROUND($C422*$E422,2))</f>
        <v/>
      </c>
      <c r="G422" s="15" t="n"/>
      <c r="H422" s="13" t="n"/>
      <c r="I422" s="13" t="n"/>
      <c r="J422" s="13" t="n"/>
      <c r="K422" s="16">
        <f>IF($A422="","",1)</f>
        <v/>
      </c>
    </row>
    <row r="423">
      <c r="A423" s="13" t="n"/>
      <c r="B423" s="13" t="n"/>
      <c r="C423" s="14" t="n"/>
      <c r="D423" s="14" t="n"/>
      <c r="E423" s="15" t="n"/>
      <c r="F423" s="16">
        <f>IF($A423="","",ROUND($C423*$E423,2))</f>
        <v/>
      </c>
      <c r="G423" s="15" t="n"/>
      <c r="H423" s="13" t="n"/>
      <c r="I423" s="13" t="n"/>
      <c r="J423" s="13" t="n"/>
      <c r="K423" s="16">
        <f>IF($A423="","",1)</f>
        <v/>
      </c>
    </row>
    <row r="424">
      <c r="A424" s="13" t="n"/>
      <c r="B424" s="13" t="n"/>
      <c r="C424" s="14" t="n"/>
      <c r="D424" s="14" t="n"/>
      <c r="E424" s="15" t="n"/>
      <c r="F424" s="16">
        <f>IF($A424="","",ROUND($C424*$E424,2))</f>
        <v/>
      </c>
      <c r="G424" s="15" t="n"/>
      <c r="H424" s="13" t="n"/>
      <c r="I424" s="13" t="n"/>
      <c r="J424" s="13" t="n"/>
      <c r="K424" s="16">
        <f>IF($A424="","",1)</f>
        <v/>
      </c>
    </row>
    <row r="425">
      <c r="A425" s="13" t="n"/>
      <c r="B425" s="13" t="n"/>
      <c r="C425" s="14" t="n"/>
      <c r="D425" s="14" t="n"/>
      <c r="E425" s="15" t="n"/>
      <c r="F425" s="16">
        <f>IF($A425="","",ROUND($C425*$E425,2))</f>
        <v/>
      </c>
      <c r="G425" s="15" t="n"/>
      <c r="H425" s="13" t="n"/>
      <c r="I425" s="13" t="n"/>
      <c r="J425" s="13" t="n"/>
      <c r="K425" s="16">
        <f>IF($A425="","",1)</f>
        <v/>
      </c>
    </row>
    <row r="426">
      <c r="A426" s="13" t="n"/>
      <c r="B426" s="13" t="n"/>
      <c r="C426" s="14" t="n"/>
      <c r="D426" s="14" t="n"/>
      <c r="E426" s="15" t="n"/>
      <c r="F426" s="16">
        <f>IF($A426="","",ROUND($C426*$E426,2))</f>
        <v/>
      </c>
      <c r="G426" s="15" t="n"/>
      <c r="H426" s="13" t="n"/>
      <c r="I426" s="13" t="n"/>
      <c r="J426" s="13" t="n"/>
      <c r="K426" s="16">
        <f>IF($A426="","",1)</f>
        <v/>
      </c>
    </row>
    <row r="427">
      <c r="A427" s="13" t="n"/>
      <c r="B427" s="13" t="n"/>
      <c r="C427" s="14" t="n"/>
      <c r="D427" s="14" t="n"/>
      <c r="E427" s="15" t="n"/>
      <c r="F427" s="16">
        <f>IF($A427="","",ROUND($C427*$E427,2))</f>
        <v/>
      </c>
      <c r="G427" s="15" t="n"/>
      <c r="H427" s="13" t="n"/>
      <c r="I427" s="13" t="n"/>
      <c r="J427" s="13" t="n"/>
      <c r="K427" s="16">
        <f>IF($A427="","",1)</f>
        <v/>
      </c>
    </row>
    <row r="428">
      <c r="A428" s="13" t="n"/>
      <c r="B428" s="13" t="n"/>
      <c r="C428" s="14" t="n"/>
      <c r="D428" s="14" t="n"/>
      <c r="E428" s="15" t="n"/>
      <c r="F428" s="16">
        <f>IF($A428="","",ROUND($C428*$E428,2))</f>
        <v/>
      </c>
      <c r="G428" s="15" t="n"/>
      <c r="H428" s="13" t="n"/>
      <c r="I428" s="13" t="n"/>
      <c r="J428" s="13" t="n"/>
      <c r="K428" s="16">
        <f>IF($A428="","",1)</f>
        <v/>
      </c>
    </row>
    <row r="429">
      <c r="A429" s="13" t="n"/>
      <c r="B429" s="13" t="n"/>
      <c r="C429" s="14" t="n"/>
      <c r="D429" s="14" t="n"/>
      <c r="E429" s="15" t="n"/>
      <c r="F429" s="16">
        <f>IF($A429="","",ROUND($C429*$E429,2))</f>
        <v/>
      </c>
      <c r="G429" s="15" t="n"/>
      <c r="H429" s="13" t="n"/>
      <c r="I429" s="13" t="n"/>
      <c r="J429" s="13" t="n"/>
      <c r="K429" s="16">
        <f>IF($A429="","",1)</f>
        <v/>
      </c>
    </row>
    <row r="430">
      <c r="A430" s="13" t="n"/>
      <c r="B430" s="13" t="n"/>
      <c r="C430" s="14" t="n"/>
      <c r="D430" s="14" t="n"/>
      <c r="E430" s="15" t="n"/>
      <c r="F430" s="16">
        <f>IF($A430="","",ROUND($C430*$E430,2))</f>
        <v/>
      </c>
      <c r="G430" s="15" t="n"/>
      <c r="H430" s="13" t="n"/>
      <c r="I430" s="13" t="n"/>
      <c r="J430" s="13" t="n"/>
      <c r="K430" s="16">
        <f>IF($A430="","",1)</f>
        <v/>
      </c>
    </row>
    <row r="431">
      <c r="A431" s="13" t="n"/>
      <c r="B431" s="13" t="n"/>
      <c r="C431" s="14" t="n"/>
      <c r="D431" s="14" t="n"/>
      <c r="E431" s="15" t="n"/>
      <c r="F431" s="16">
        <f>IF($A431="","",ROUND($C431*$E431,2))</f>
        <v/>
      </c>
      <c r="G431" s="15" t="n"/>
      <c r="H431" s="13" t="n"/>
      <c r="I431" s="13" t="n"/>
      <c r="J431" s="13" t="n"/>
      <c r="K431" s="16">
        <f>IF($A431="","",1)</f>
        <v/>
      </c>
    </row>
    <row r="432">
      <c r="A432" s="13" t="n"/>
      <c r="B432" s="13" t="n"/>
      <c r="C432" s="14" t="n"/>
      <c r="D432" s="14" t="n"/>
      <c r="E432" s="15" t="n"/>
      <c r="F432" s="16">
        <f>IF($A432="","",ROUND($C432*$E432,2))</f>
        <v/>
      </c>
      <c r="G432" s="15" t="n"/>
      <c r="H432" s="13" t="n"/>
      <c r="I432" s="13" t="n"/>
      <c r="J432" s="13" t="n"/>
      <c r="K432" s="16">
        <f>IF($A432="","",1)</f>
        <v/>
      </c>
    </row>
    <row r="433">
      <c r="A433" s="13" t="n"/>
      <c r="B433" s="13" t="n"/>
      <c r="C433" s="14" t="n"/>
      <c r="D433" s="14" t="n"/>
      <c r="E433" s="15" t="n"/>
      <c r="F433" s="16">
        <f>IF($A433="","",ROUND($C433*$E433,2))</f>
        <v/>
      </c>
      <c r="G433" s="15" t="n"/>
      <c r="H433" s="13" t="n"/>
      <c r="I433" s="13" t="n"/>
      <c r="J433" s="13" t="n"/>
      <c r="K433" s="16">
        <f>IF($A433="","",1)</f>
        <v/>
      </c>
    </row>
    <row r="434">
      <c r="A434" s="13" t="n"/>
      <c r="B434" s="13" t="n"/>
      <c r="C434" s="14" t="n"/>
      <c r="D434" s="14" t="n"/>
      <c r="E434" s="15" t="n"/>
      <c r="F434" s="16">
        <f>IF($A434="","",ROUND($C434*$E434,2))</f>
        <v/>
      </c>
      <c r="G434" s="15" t="n"/>
      <c r="H434" s="13" t="n"/>
      <c r="I434" s="13" t="n"/>
      <c r="J434" s="13" t="n"/>
      <c r="K434" s="16">
        <f>IF($A434="","",1)</f>
        <v/>
      </c>
    </row>
    <row r="435">
      <c r="A435" s="13" t="n"/>
      <c r="B435" s="13" t="n"/>
      <c r="C435" s="14" t="n"/>
      <c r="D435" s="14" t="n"/>
      <c r="E435" s="15" t="n"/>
      <c r="F435" s="16">
        <f>IF($A435="","",ROUND($C435*$E435,2))</f>
        <v/>
      </c>
      <c r="G435" s="15" t="n"/>
      <c r="H435" s="13" t="n"/>
      <c r="I435" s="13" t="n"/>
      <c r="J435" s="13" t="n"/>
      <c r="K435" s="16">
        <f>IF($A435="","",1)</f>
        <v/>
      </c>
    </row>
    <row r="436">
      <c r="A436" s="13" t="n"/>
      <c r="B436" s="13" t="n"/>
      <c r="C436" s="14" t="n"/>
      <c r="D436" s="14" t="n"/>
      <c r="E436" s="15" t="n"/>
      <c r="F436" s="16">
        <f>IF($A436="","",ROUND($C436*$E436,2))</f>
        <v/>
      </c>
      <c r="G436" s="15" t="n"/>
      <c r="H436" s="13" t="n"/>
      <c r="I436" s="13" t="n"/>
      <c r="J436" s="13" t="n"/>
      <c r="K436" s="16">
        <f>IF($A436="","",1)</f>
        <v/>
      </c>
    </row>
    <row r="437">
      <c r="A437" s="13" t="n"/>
      <c r="B437" s="13" t="n"/>
      <c r="C437" s="14" t="n"/>
      <c r="D437" s="14" t="n"/>
      <c r="E437" s="15" t="n"/>
      <c r="F437" s="16">
        <f>IF($A437="","",ROUND($C437*$E437,2))</f>
        <v/>
      </c>
      <c r="G437" s="15" t="n"/>
      <c r="H437" s="13" t="n"/>
      <c r="I437" s="13" t="n"/>
      <c r="J437" s="13" t="n"/>
      <c r="K437" s="16">
        <f>IF($A437="","",1)</f>
        <v/>
      </c>
    </row>
    <row r="438">
      <c r="A438" s="13" t="n"/>
      <c r="B438" s="13" t="n"/>
      <c r="C438" s="14" t="n"/>
      <c r="D438" s="14" t="n"/>
      <c r="E438" s="15" t="n"/>
      <c r="F438" s="16">
        <f>IF($A438="","",ROUND($C438*$E438,2))</f>
        <v/>
      </c>
      <c r="G438" s="15" t="n"/>
      <c r="H438" s="13" t="n"/>
      <c r="I438" s="13" t="n"/>
      <c r="J438" s="13" t="n"/>
      <c r="K438" s="16">
        <f>IF($A438="","",1)</f>
        <v/>
      </c>
    </row>
    <row r="439">
      <c r="A439" s="13" t="n"/>
      <c r="B439" s="13" t="n"/>
      <c r="C439" s="14" t="n"/>
      <c r="D439" s="14" t="n"/>
      <c r="E439" s="15" t="n"/>
      <c r="F439" s="16">
        <f>IF($A439="","",ROUND($C439*$E439,2))</f>
        <v/>
      </c>
      <c r="G439" s="15" t="n"/>
      <c r="H439" s="13" t="n"/>
      <c r="I439" s="13" t="n"/>
      <c r="J439" s="13" t="n"/>
      <c r="K439" s="16">
        <f>IF($A439="","",1)</f>
        <v/>
      </c>
    </row>
    <row r="440">
      <c r="A440" s="13" t="n"/>
      <c r="B440" s="13" t="n"/>
      <c r="C440" s="14" t="n"/>
      <c r="D440" s="14" t="n"/>
      <c r="E440" s="15" t="n"/>
      <c r="F440" s="16">
        <f>IF($A440="","",ROUND($C440*$E440,2))</f>
        <v/>
      </c>
      <c r="G440" s="15" t="n"/>
      <c r="H440" s="13" t="n"/>
      <c r="I440" s="13" t="n"/>
      <c r="J440" s="13" t="n"/>
      <c r="K440" s="16">
        <f>IF($A440="","",1)</f>
        <v/>
      </c>
    </row>
    <row r="441">
      <c r="A441" s="13" t="n"/>
      <c r="B441" s="13" t="n"/>
      <c r="C441" s="14" t="n"/>
      <c r="D441" s="14" t="n"/>
      <c r="E441" s="15" t="n"/>
      <c r="F441" s="16">
        <f>IF($A441="","",ROUND($C441*$E441,2))</f>
        <v/>
      </c>
      <c r="G441" s="15" t="n"/>
      <c r="H441" s="13" t="n"/>
      <c r="I441" s="13" t="n"/>
      <c r="J441" s="13" t="n"/>
      <c r="K441" s="16">
        <f>IF($A441="","",1)</f>
        <v/>
      </c>
    </row>
    <row r="442">
      <c r="A442" s="13" t="n"/>
      <c r="B442" s="13" t="n"/>
      <c r="C442" s="14" t="n"/>
      <c r="D442" s="14" t="n"/>
      <c r="E442" s="15" t="n"/>
      <c r="F442" s="16">
        <f>IF($A442="","",ROUND($C442*$E442,2))</f>
        <v/>
      </c>
      <c r="G442" s="15" t="n"/>
      <c r="H442" s="13" t="n"/>
      <c r="I442" s="13" t="n"/>
      <c r="J442" s="13" t="n"/>
      <c r="K442" s="16">
        <f>IF($A442="","",1)</f>
        <v/>
      </c>
    </row>
    <row r="443">
      <c r="A443" s="13" t="n"/>
      <c r="B443" s="13" t="n"/>
      <c r="C443" s="14" t="n"/>
      <c r="D443" s="14" t="n"/>
      <c r="E443" s="15" t="n"/>
      <c r="F443" s="16">
        <f>IF($A443="","",ROUND($C443*$E443,2))</f>
        <v/>
      </c>
      <c r="G443" s="15" t="n"/>
      <c r="H443" s="13" t="n"/>
      <c r="I443" s="13" t="n"/>
      <c r="J443" s="13" t="n"/>
      <c r="K443" s="16">
        <f>IF($A443="","",1)</f>
        <v/>
      </c>
    </row>
    <row r="444">
      <c r="A444" s="13" t="n"/>
      <c r="B444" s="13" t="n"/>
      <c r="C444" s="14" t="n"/>
      <c r="D444" s="14" t="n"/>
      <c r="E444" s="15" t="n"/>
      <c r="F444" s="16">
        <f>IF($A444="","",ROUND($C444*$E444,2))</f>
        <v/>
      </c>
      <c r="G444" s="15" t="n"/>
      <c r="H444" s="13" t="n"/>
      <c r="I444" s="13" t="n"/>
      <c r="J444" s="13" t="n"/>
      <c r="K444" s="16">
        <f>IF($A444="","",1)</f>
        <v/>
      </c>
    </row>
    <row r="445">
      <c r="A445" s="13" t="n"/>
      <c r="B445" s="13" t="n"/>
      <c r="C445" s="14" t="n"/>
      <c r="D445" s="14" t="n"/>
      <c r="E445" s="15" t="n"/>
      <c r="F445" s="16">
        <f>IF($A445="","",ROUND($C445*$E445,2))</f>
        <v/>
      </c>
      <c r="G445" s="15" t="n"/>
      <c r="H445" s="13" t="n"/>
      <c r="I445" s="13" t="n"/>
      <c r="J445" s="13" t="n"/>
      <c r="K445" s="16">
        <f>IF($A445="","",1)</f>
        <v/>
      </c>
    </row>
    <row r="446">
      <c r="A446" s="13" t="n"/>
      <c r="B446" s="13" t="n"/>
      <c r="C446" s="14" t="n"/>
      <c r="D446" s="14" t="n"/>
      <c r="E446" s="15" t="n"/>
      <c r="F446" s="16">
        <f>IF($A446="","",ROUND($C446*$E446,2))</f>
        <v/>
      </c>
      <c r="G446" s="15" t="n"/>
      <c r="H446" s="13" t="n"/>
      <c r="I446" s="13" t="n"/>
      <c r="J446" s="13" t="n"/>
      <c r="K446" s="16">
        <f>IF($A446="","",1)</f>
        <v/>
      </c>
    </row>
    <row r="447">
      <c r="A447" s="13" t="n"/>
      <c r="B447" s="13" t="n"/>
      <c r="C447" s="14" t="n"/>
      <c r="D447" s="14" t="n"/>
      <c r="E447" s="15" t="n"/>
      <c r="F447" s="16">
        <f>IF($A447="","",ROUND($C447*$E447,2))</f>
        <v/>
      </c>
      <c r="G447" s="15" t="n"/>
      <c r="H447" s="13" t="n"/>
      <c r="I447" s="13" t="n"/>
      <c r="J447" s="13" t="n"/>
      <c r="K447" s="16">
        <f>IF($A447="","",1)</f>
        <v/>
      </c>
    </row>
    <row r="448">
      <c r="A448" s="13" t="n"/>
      <c r="B448" s="13" t="n"/>
      <c r="C448" s="14" t="n"/>
      <c r="D448" s="14" t="n"/>
      <c r="E448" s="15" t="n"/>
      <c r="F448" s="16">
        <f>IF($A448="","",ROUND($C448*$E448,2))</f>
        <v/>
      </c>
      <c r="G448" s="15" t="n"/>
      <c r="H448" s="13" t="n"/>
      <c r="I448" s="13" t="n"/>
      <c r="J448" s="13" t="n"/>
      <c r="K448" s="16">
        <f>IF($A448="","",1)</f>
        <v/>
      </c>
    </row>
    <row r="449">
      <c r="A449" s="13" t="n"/>
      <c r="B449" s="13" t="n"/>
      <c r="C449" s="14" t="n"/>
      <c r="D449" s="14" t="n"/>
      <c r="E449" s="15" t="n"/>
      <c r="F449" s="16">
        <f>IF($A449="","",ROUND($C449*$E449,2))</f>
        <v/>
      </c>
      <c r="G449" s="15" t="n"/>
      <c r="H449" s="13" t="n"/>
      <c r="I449" s="13" t="n"/>
      <c r="J449" s="13" t="n"/>
      <c r="K449" s="16">
        <f>IF($A449="","",1)</f>
        <v/>
      </c>
    </row>
    <row r="450">
      <c r="A450" s="13" t="n"/>
      <c r="B450" s="13" t="n"/>
      <c r="C450" s="14" t="n"/>
      <c r="D450" s="14" t="n"/>
      <c r="E450" s="15" t="n"/>
      <c r="F450" s="16">
        <f>IF($A450="","",ROUND($C450*$E450,2))</f>
        <v/>
      </c>
      <c r="G450" s="15" t="n"/>
      <c r="H450" s="13" t="n"/>
      <c r="I450" s="13" t="n"/>
      <c r="J450" s="13" t="n"/>
      <c r="K450" s="16">
        <f>IF($A450="","",1)</f>
        <v/>
      </c>
    </row>
    <row r="451">
      <c r="A451" s="13" t="n"/>
      <c r="B451" s="13" t="n"/>
      <c r="C451" s="14" t="n"/>
      <c r="D451" s="14" t="n"/>
      <c r="E451" s="15" t="n"/>
      <c r="F451" s="16">
        <f>IF($A451="","",ROUND($C451*$E451,2))</f>
        <v/>
      </c>
      <c r="G451" s="15" t="n"/>
      <c r="H451" s="13" t="n"/>
      <c r="I451" s="13" t="n"/>
      <c r="J451" s="13" t="n"/>
      <c r="K451" s="16">
        <f>IF($A451="","",1)</f>
        <v/>
      </c>
    </row>
    <row r="452">
      <c r="A452" s="13" t="n"/>
      <c r="B452" s="13" t="n"/>
      <c r="C452" s="14" t="n"/>
      <c r="D452" s="14" t="n"/>
      <c r="E452" s="15" t="n"/>
      <c r="F452" s="16">
        <f>IF($A452="","",ROUND($C452*$E452,2))</f>
        <v/>
      </c>
      <c r="G452" s="15" t="n"/>
      <c r="H452" s="13" t="n"/>
      <c r="I452" s="13" t="n"/>
      <c r="J452" s="13" t="n"/>
      <c r="K452" s="16">
        <f>IF($A452="","",1)</f>
        <v/>
      </c>
    </row>
    <row r="453">
      <c r="A453" s="13" t="n"/>
      <c r="B453" s="13" t="n"/>
      <c r="C453" s="14" t="n"/>
      <c r="D453" s="14" t="n"/>
      <c r="E453" s="15" t="n"/>
      <c r="F453" s="16">
        <f>IF($A453="","",ROUND($C453*$E453,2))</f>
        <v/>
      </c>
      <c r="G453" s="15" t="n"/>
      <c r="H453" s="13" t="n"/>
      <c r="I453" s="13" t="n"/>
      <c r="J453" s="13" t="n"/>
      <c r="K453" s="16">
        <f>IF($A453="","",1)</f>
        <v/>
      </c>
    </row>
    <row r="454">
      <c r="A454" s="13" t="n"/>
      <c r="B454" s="13" t="n"/>
      <c r="C454" s="14" t="n"/>
      <c r="D454" s="14" t="n"/>
      <c r="E454" s="15" t="n"/>
      <c r="F454" s="16">
        <f>IF($A454="","",ROUND($C454*$E454,2))</f>
        <v/>
      </c>
      <c r="G454" s="15" t="n"/>
      <c r="H454" s="13" t="n"/>
      <c r="I454" s="13" t="n"/>
      <c r="J454" s="13" t="n"/>
      <c r="K454" s="16">
        <f>IF($A454="","",1)</f>
        <v/>
      </c>
    </row>
    <row r="455">
      <c r="A455" s="13" t="n"/>
      <c r="B455" s="13" t="n"/>
      <c r="C455" s="14" t="n"/>
      <c r="D455" s="14" t="n"/>
      <c r="E455" s="15" t="n"/>
      <c r="F455" s="16">
        <f>IF($A455="","",ROUND($C455*$E455,2))</f>
        <v/>
      </c>
      <c r="G455" s="15" t="n"/>
      <c r="H455" s="13" t="n"/>
      <c r="I455" s="13" t="n"/>
      <c r="J455" s="13" t="n"/>
      <c r="K455" s="16">
        <f>IF($A455="","",1)</f>
        <v/>
      </c>
    </row>
    <row r="456">
      <c r="A456" s="13" t="n"/>
      <c r="B456" s="13" t="n"/>
      <c r="C456" s="14" t="n"/>
      <c r="D456" s="14" t="n"/>
      <c r="E456" s="15" t="n"/>
      <c r="F456" s="16">
        <f>IF($A456="","",ROUND($C456*$E456,2))</f>
        <v/>
      </c>
      <c r="G456" s="15" t="n"/>
      <c r="H456" s="13" t="n"/>
      <c r="I456" s="13" t="n"/>
      <c r="J456" s="13" t="n"/>
      <c r="K456" s="16">
        <f>IF($A456="","",1)</f>
        <v/>
      </c>
    </row>
    <row r="457">
      <c r="A457" s="13" t="n"/>
      <c r="B457" s="13" t="n"/>
      <c r="C457" s="14" t="n"/>
      <c r="D457" s="14" t="n"/>
      <c r="E457" s="15" t="n"/>
      <c r="F457" s="16">
        <f>IF($A457="","",ROUND($C457*$E457,2))</f>
        <v/>
      </c>
      <c r="G457" s="15" t="n"/>
      <c r="H457" s="13" t="n"/>
      <c r="I457" s="13" t="n"/>
      <c r="J457" s="13" t="n"/>
      <c r="K457" s="16">
        <f>IF($A457="","",1)</f>
        <v/>
      </c>
    </row>
    <row r="458">
      <c r="A458" s="13" t="n"/>
      <c r="B458" s="13" t="n"/>
      <c r="C458" s="14" t="n"/>
      <c r="D458" s="14" t="n"/>
      <c r="E458" s="15" t="n"/>
      <c r="F458" s="16">
        <f>IF($A458="","",ROUND($C458*$E458,2))</f>
        <v/>
      </c>
      <c r="G458" s="15" t="n"/>
      <c r="H458" s="13" t="n"/>
      <c r="I458" s="13" t="n"/>
      <c r="J458" s="13" t="n"/>
      <c r="K458" s="16">
        <f>IF($A458="","",1)</f>
        <v/>
      </c>
    </row>
    <row r="459">
      <c r="A459" s="13" t="n"/>
      <c r="B459" s="13" t="n"/>
      <c r="C459" s="14" t="n"/>
      <c r="D459" s="14" t="n"/>
      <c r="E459" s="15" t="n"/>
      <c r="F459" s="16">
        <f>IF($A459="","",ROUND($C459*$E459,2))</f>
        <v/>
      </c>
      <c r="G459" s="15" t="n"/>
      <c r="H459" s="13" t="n"/>
      <c r="I459" s="13" t="n"/>
      <c r="J459" s="13" t="n"/>
      <c r="K459" s="16">
        <f>IF($A459="","",1)</f>
        <v/>
      </c>
    </row>
    <row r="460">
      <c r="A460" s="13" t="n"/>
      <c r="B460" s="13" t="n"/>
      <c r="C460" s="14" t="n"/>
      <c r="D460" s="14" t="n"/>
      <c r="E460" s="15" t="n"/>
      <c r="F460" s="16">
        <f>IF($A460="","",ROUND($C460*$E460,2))</f>
        <v/>
      </c>
      <c r="G460" s="15" t="n"/>
      <c r="H460" s="13" t="n"/>
      <c r="I460" s="13" t="n"/>
      <c r="J460" s="13" t="n"/>
      <c r="K460" s="16">
        <f>IF($A460="","",1)</f>
        <v/>
      </c>
    </row>
    <row r="461">
      <c r="A461" s="13" t="n"/>
      <c r="B461" s="13" t="n"/>
      <c r="C461" s="14" t="n"/>
      <c r="D461" s="14" t="n"/>
      <c r="E461" s="15" t="n"/>
      <c r="F461" s="16">
        <f>IF($A461="","",ROUND($C461*$E461,2))</f>
        <v/>
      </c>
      <c r="G461" s="15" t="n"/>
      <c r="H461" s="13" t="n"/>
      <c r="I461" s="13" t="n"/>
      <c r="J461" s="13" t="n"/>
      <c r="K461" s="16">
        <f>IF($A461="","",1)</f>
        <v/>
      </c>
    </row>
    <row r="462">
      <c r="A462" s="13" t="n"/>
      <c r="B462" s="13" t="n"/>
      <c r="C462" s="14" t="n"/>
      <c r="D462" s="14" t="n"/>
      <c r="E462" s="15" t="n"/>
      <c r="F462" s="16">
        <f>IF($A462="","",ROUND($C462*$E462,2))</f>
        <v/>
      </c>
      <c r="G462" s="15" t="n"/>
      <c r="H462" s="13" t="n"/>
      <c r="I462" s="13" t="n"/>
      <c r="J462" s="13" t="n"/>
      <c r="K462" s="16">
        <f>IF($A462="","",1)</f>
        <v/>
      </c>
    </row>
    <row r="463">
      <c r="A463" s="13" t="n"/>
      <c r="B463" s="13" t="n"/>
      <c r="C463" s="14" t="n"/>
      <c r="D463" s="14" t="n"/>
      <c r="E463" s="15" t="n"/>
      <c r="F463" s="16">
        <f>IF($A463="","",ROUND($C463*$E463,2))</f>
        <v/>
      </c>
      <c r="G463" s="15" t="n"/>
      <c r="H463" s="13" t="n"/>
      <c r="I463" s="13" t="n"/>
      <c r="J463" s="13" t="n"/>
      <c r="K463" s="16">
        <f>IF($A463="","",1)</f>
        <v/>
      </c>
    </row>
    <row r="464">
      <c r="A464" s="13" t="n"/>
      <c r="B464" s="13" t="n"/>
      <c r="C464" s="14" t="n"/>
      <c r="D464" s="14" t="n"/>
      <c r="E464" s="15" t="n"/>
      <c r="F464" s="16">
        <f>IF($A464="","",ROUND($C464*$E464,2))</f>
        <v/>
      </c>
      <c r="G464" s="15" t="n"/>
      <c r="H464" s="13" t="n"/>
      <c r="I464" s="13" t="n"/>
      <c r="J464" s="13" t="n"/>
      <c r="K464" s="16">
        <f>IF($A464="","",1)</f>
        <v/>
      </c>
    </row>
    <row r="465">
      <c r="A465" s="13" t="n"/>
      <c r="B465" s="13" t="n"/>
      <c r="C465" s="14" t="n"/>
      <c r="D465" s="14" t="n"/>
      <c r="E465" s="15" t="n"/>
      <c r="F465" s="16">
        <f>IF($A465="","",ROUND($C465*$E465,2))</f>
        <v/>
      </c>
      <c r="G465" s="15" t="n"/>
      <c r="H465" s="13" t="n"/>
      <c r="I465" s="13" t="n"/>
      <c r="J465" s="13" t="n"/>
      <c r="K465" s="16">
        <f>IF($A465="","",1)</f>
        <v/>
      </c>
    </row>
    <row r="466">
      <c r="A466" s="13" t="n"/>
      <c r="B466" s="13" t="n"/>
      <c r="C466" s="14" t="n"/>
      <c r="D466" s="14" t="n"/>
      <c r="E466" s="15" t="n"/>
      <c r="F466" s="16">
        <f>IF($A466="","",ROUND($C466*$E466,2))</f>
        <v/>
      </c>
      <c r="G466" s="15" t="n"/>
      <c r="H466" s="13" t="n"/>
      <c r="I466" s="13" t="n"/>
      <c r="J466" s="13" t="n"/>
      <c r="K466" s="16">
        <f>IF($A466="","",1)</f>
        <v/>
      </c>
    </row>
    <row r="467">
      <c r="A467" s="13" t="n"/>
      <c r="B467" s="13" t="n"/>
      <c r="C467" s="14" t="n"/>
      <c r="D467" s="14" t="n"/>
      <c r="E467" s="15" t="n"/>
      <c r="F467" s="16">
        <f>IF($A467="","",ROUND($C467*$E467,2))</f>
        <v/>
      </c>
      <c r="G467" s="15" t="n"/>
      <c r="H467" s="13" t="n"/>
      <c r="I467" s="13" t="n"/>
      <c r="J467" s="13" t="n"/>
      <c r="K467" s="16">
        <f>IF($A467="","",1)</f>
        <v/>
      </c>
    </row>
    <row r="468">
      <c r="A468" s="13" t="n"/>
      <c r="B468" s="13" t="n"/>
      <c r="C468" s="14" t="n"/>
      <c r="D468" s="14" t="n"/>
      <c r="E468" s="15" t="n"/>
      <c r="F468" s="16">
        <f>IF($A468="","",ROUND($C468*$E468,2))</f>
        <v/>
      </c>
      <c r="G468" s="15" t="n"/>
      <c r="H468" s="13" t="n"/>
      <c r="I468" s="13" t="n"/>
      <c r="J468" s="13" t="n"/>
      <c r="K468" s="16">
        <f>IF($A468="","",1)</f>
        <v/>
      </c>
    </row>
    <row r="469">
      <c r="A469" s="13" t="n"/>
      <c r="B469" s="13" t="n"/>
      <c r="C469" s="14" t="n"/>
      <c r="D469" s="14" t="n"/>
      <c r="E469" s="15" t="n"/>
      <c r="F469" s="16">
        <f>IF($A469="","",ROUND($C469*$E469,2))</f>
        <v/>
      </c>
      <c r="G469" s="15" t="n"/>
      <c r="H469" s="13" t="n"/>
      <c r="I469" s="13" t="n"/>
      <c r="J469" s="13" t="n"/>
      <c r="K469" s="16">
        <f>IF($A469="","",1)</f>
        <v/>
      </c>
    </row>
    <row r="470">
      <c r="A470" s="13" t="n"/>
      <c r="B470" s="13" t="n"/>
      <c r="C470" s="14" t="n"/>
      <c r="D470" s="14" t="n"/>
      <c r="E470" s="15" t="n"/>
      <c r="F470" s="16">
        <f>IF($A470="","",ROUND($C470*$E470,2))</f>
        <v/>
      </c>
      <c r="G470" s="15" t="n"/>
      <c r="H470" s="13" t="n"/>
      <c r="I470" s="13" t="n"/>
      <c r="J470" s="13" t="n"/>
      <c r="K470" s="16">
        <f>IF($A470="","",1)</f>
        <v/>
      </c>
    </row>
    <row r="471">
      <c r="A471" s="13" t="n"/>
      <c r="B471" s="13" t="n"/>
      <c r="C471" s="14" t="n"/>
      <c r="D471" s="14" t="n"/>
      <c r="E471" s="15" t="n"/>
      <c r="F471" s="16">
        <f>IF($A471="","",ROUND($C471*$E471,2))</f>
        <v/>
      </c>
      <c r="G471" s="15" t="n"/>
      <c r="H471" s="13" t="n"/>
      <c r="I471" s="13" t="n"/>
      <c r="J471" s="13" t="n"/>
      <c r="K471" s="16">
        <f>IF($A471="","",1)</f>
        <v/>
      </c>
    </row>
    <row r="472">
      <c r="A472" s="13" t="n"/>
      <c r="B472" s="13" t="n"/>
      <c r="C472" s="14" t="n"/>
      <c r="D472" s="14" t="n"/>
      <c r="E472" s="15" t="n"/>
      <c r="F472" s="16">
        <f>IF($A472="","",ROUND($C472*$E472,2))</f>
        <v/>
      </c>
      <c r="G472" s="15" t="n"/>
      <c r="H472" s="13" t="n"/>
      <c r="I472" s="13" t="n"/>
      <c r="J472" s="13" t="n"/>
      <c r="K472" s="16">
        <f>IF($A472="","",1)</f>
        <v/>
      </c>
    </row>
    <row r="473">
      <c r="A473" s="13" t="n"/>
      <c r="B473" s="13" t="n"/>
      <c r="C473" s="14" t="n"/>
      <c r="D473" s="14" t="n"/>
      <c r="E473" s="15" t="n"/>
      <c r="F473" s="16">
        <f>IF($A473="","",ROUND($C473*$E473,2))</f>
        <v/>
      </c>
      <c r="G473" s="15" t="n"/>
      <c r="H473" s="13" t="n"/>
      <c r="I473" s="13" t="n"/>
      <c r="J473" s="13" t="n"/>
      <c r="K473" s="16">
        <f>IF($A473="","",1)</f>
        <v/>
      </c>
    </row>
    <row r="474">
      <c r="A474" s="13" t="n"/>
      <c r="B474" s="13" t="n"/>
      <c r="C474" s="14" t="n"/>
      <c r="D474" s="14" t="n"/>
      <c r="E474" s="15" t="n"/>
      <c r="F474" s="16">
        <f>IF($A474="","",ROUND($C474*$E474,2))</f>
        <v/>
      </c>
      <c r="G474" s="15" t="n"/>
      <c r="H474" s="13" t="n"/>
      <c r="I474" s="13" t="n"/>
      <c r="J474" s="13" t="n"/>
      <c r="K474" s="16">
        <f>IF($A474="","",1)</f>
        <v/>
      </c>
    </row>
    <row r="475">
      <c r="A475" s="13" t="n"/>
      <c r="B475" s="13" t="n"/>
      <c r="C475" s="14" t="n"/>
      <c r="D475" s="14" t="n"/>
      <c r="E475" s="15" t="n"/>
      <c r="F475" s="16">
        <f>IF($A475="","",ROUND($C475*$E475,2))</f>
        <v/>
      </c>
      <c r="G475" s="15" t="n"/>
      <c r="H475" s="13" t="n"/>
      <c r="I475" s="13" t="n"/>
      <c r="J475" s="13" t="n"/>
      <c r="K475" s="16">
        <f>IF($A475="","",1)</f>
        <v/>
      </c>
    </row>
    <row r="476">
      <c r="A476" s="13" t="n"/>
      <c r="B476" s="13" t="n"/>
      <c r="C476" s="14" t="n"/>
      <c r="D476" s="14" t="n"/>
      <c r="E476" s="15" t="n"/>
      <c r="F476" s="16">
        <f>IF($A476="","",ROUND($C476*$E476,2))</f>
        <v/>
      </c>
      <c r="G476" s="15" t="n"/>
      <c r="H476" s="13" t="n"/>
      <c r="I476" s="13" t="n"/>
      <c r="J476" s="13" t="n"/>
      <c r="K476" s="16">
        <f>IF($A476="","",1)</f>
        <v/>
      </c>
    </row>
    <row r="477">
      <c r="A477" s="13" t="n"/>
      <c r="B477" s="13" t="n"/>
      <c r="C477" s="14" t="n"/>
      <c r="D477" s="14" t="n"/>
      <c r="E477" s="15" t="n"/>
      <c r="F477" s="16">
        <f>IF($A477="","",ROUND($C477*$E477,2))</f>
        <v/>
      </c>
      <c r="G477" s="15" t="n"/>
      <c r="H477" s="13" t="n"/>
      <c r="I477" s="13" t="n"/>
      <c r="J477" s="13" t="n"/>
      <c r="K477" s="16">
        <f>IF($A477="","",1)</f>
        <v/>
      </c>
    </row>
    <row r="478">
      <c r="A478" s="13" t="n"/>
      <c r="B478" s="13" t="n"/>
      <c r="C478" s="14" t="n"/>
      <c r="D478" s="14" t="n"/>
      <c r="E478" s="15" t="n"/>
      <c r="F478" s="16">
        <f>IF($A478="","",ROUND($C478*$E478,2))</f>
        <v/>
      </c>
      <c r="G478" s="15" t="n"/>
      <c r="H478" s="13" t="n"/>
      <c r="I478" s="13" t="n"/>
      <c r="J478" s="13" t="n"/>
      <c r="K478" s="16">
        <f>IF($A478="","",1)</f>
        <v/>
      </c>
    </row>
    <row r="479">
      <c r="A479" s="13" t="n"/>
      <c r="B479" s="13" t="n"/>
      <c r="C479" s="14" t="n"/>
      <c r="D479" s="14" t="n"/>
      <c r="E479" s="15" t="n"/>
      <c r="F479" s="16">
        <f>IF($A479="","",ROUND($C479*$E479,2))</f>
        <v/>
      </c>
      <c r="G479" s="15" t="n"/>
      <c r="H479" s="13" t="n"/>
      <c r="I479" s="13" t="n"/>
      <c r="J479" s="13" t="n"/>
      <c r="K479" s="16">
        <f>IF($A479="","",1)</f>
        <v/>
      </c>
    </row>
    <row r="480">
      <c r="A480" s="13" t="n"/>
      <c r="B480" s="13" t="n"/>
      <c r="C480" s="14" t="n"/>
      <c r="D480" s="14" t="n"/>
      <c r="E480" s="15" t="n"/>
      <c r="F480" s="16">
        <f>IF($A480="","",ROUND($C480*$E480,2))</f>
        <v/>
      </c>
      <c r="G480" s="15" t="n"/>
      <c r="H480" s="13" t="n"/>
      <c r="I480" s="13" t="n"/>
      <c r="J480" s="13" t="n"/>
      <c r="K480" s="16">
        <f>IF($A480="","",1)</f>
        <v/>
      </c>
    </row>
    <row r="481">
      <c r="A481" s="13" t="n"/>
      <c r="B481" s="13" t="n"/>
      <c r="C481" s="14" t="n"/>
      <c r="D481" s="14" t="n"/>
      <c r="E481" s="15" t="n"/>
      <c r="F481" s="16">
        <f>IF($A481="","",ROUND($C481*$E481,2))</f>
        <v/>
      </c>
      <c r="G481" s="15" t="n"/>
      <c r="H481" s="13" t="n"/>
      <c r="I481" s="13" t="n"/>
      <c r="J481" s="13" t="n"/>
      <c r="K481" s="16">
        <f>IF($A481="","",1)</f>
        <v/>
      </c>
    </row>
    <row r="482">
      <c r="A482" s="13" t="n"/>
      <c r="B482" s="13" t="n"/>
      <c r="C482" s="14" t="n"/>
      <c r="D482" s="14" t="n"/>
      <c r="E482" s="15" t="n"/>
      <c r="F482" s="16">
        <f>IF($A482="","",ROUND($C482*$E482,2))</f>
        <v/>
      </c>
      <c r="G482" s="15" t="n"/>
      <c r="H482" s="13" t="n"/>
      <c r="I482" s="13" t="n"/>
      <c r="J482" s="13" t="n"/>
      <c r="K482" s="16">
        <f>IF($A482="","",1)</f>
        <v/>
      </c>
    </row>
    <row r="483">
      <c r="A483" s="13" t="n"/>
      <c r="B483" s="13" t="n"/>
      <c r="C483" s="14" t="n"/>
      <c r="D483" s="14" t="n"/>
      <c r="E483" s="15" t="n"/>
      <c r="F483" s="16">
        <f>IF($A483="","",ROUND($C483*$E483,2))</f>
        <v/>
      </c>
      <c r="G483" s="15" t="n"/>
      <c r="H483" s="13" t="n"/>
      <c r="I483" s="13" t="n"/>
      <c r="J483" s="13" t="n"/>
      <c r="K483" s="16">
        <f>IF($A483="","",1)</f>
        <v/>
      </c>
    </row>
    <row r="484">
      <c r="A484" s="13" t="n"/>
      <c r="B484" s="13" t="n"/>
      <c r="C484" s="14" t="n"/>
      <c r="D484" s="14" t="n"/>
      <c r="E484" s="15" t="n"/>
      <c r="F484" s="16">
        <f>IF($A484="","",ROUND($C484*$E484,2))</f>
        <v/>
      </c>
      <c r="G484" s="15" t="n"/>
      <c r="H484" s="13" t="n"/>
      <c r="I484" s="13" t="n"/>
      <c r="J484" s="13" t="n"/>
      <c r="K484" s="16">
        <f>IF($A484="","",1)</f>
        <v/>
      </c>
    </row>
    <row r="485">
      <c r="A485" s="13" t="n"/>
      <c r="B485" s="13" t="n"/>
      <c r="C485" s="14" t="n"/>
      <c r="D485" s="14" t="n"/>
      <c r="E485" s="15" t="n"/>
      <c r="F485" s="16">
        <f>IF($A485="","",ROUND($C485*$E485,2))</f>
        <v/>
      </c>
      <c r="G485" s="15" t="n"/>
      <c r="H485" s="13" t="n"/>
      <c r="I485" s="13" t="n"/>
      <c r="J485" s="13" t="n"/>
      <c r="K485" s="16">
        <f>IF($A485="","",1)</f>
        <v/>
      </c>
    </row>
    <row r="486">
      <c r="A486" s="13" t="n"/>
      <c r="B486" s="13" t="n"/>
      <c r="C486" s="14" t="n"/>
      <c r="D486" s="14" t="n"/>
      <c r="E486" s="15" t="n"/>
      <c r="F486" s="16">
        <f>IF($A486="","",ROUND($C486*$E486,2))</f>
        <v/>
      </c>
      <c r="G486" s="15" t="n"/>
      <c r="H486" s="13" t="n"/>
      <c r="I486" s="13" t="n"/>
      <c r="J486" s="13" t="n"/>
      <c r="K486" s="16">
        <f>IF($A486="","",1)</f>
        <v/>
      </c>
    </row>
    <row r="487">
      <c r="A487" s="13" t="n"/>
      <c r="B487" s="13" t="n"/>
      <c r="C487" s="14" t="n"/>
      <c r="D487" s="14" t="n"/>
      <c r="E487" s="15" t="n"/>
      <c r="F487" s="16">
        <f>IF($A487="","",ROUND($C487*$E487,2))</f>
        <v/>
      </c>
      <c r="G487" s="15" t="n"/>
      <c r="H487" s="13" t="n"/>
      <c r="I487" s="13" t="n"/>
      <c r="J487" s="13" t="n"/>
      <c r="K487" s="16">
        <f>IF($A487="","",1)</f>
        <v/>
      </c>
    </row>
    <row r="488">
      <c r="A488" s="13" t="n"/>
      <c r="B488" s="13" t="n"/>
      <c r="C488" s="14" t="n"/>
      <c r="D488" s="14" t="n"/>
      <c r="E488" s="15" t="n"/>
      <c r="F488" s="16">
        <f>IF($A488="","",ROUND($C488*$E488,2))</f>
        <v/>
      </c>
      <c r="G488" s="15" t="n"/>
      <c r="H488" s="13" t="n"/>
      <c r="I488" s="13" t="n"/>
      <c r="J488" s="13" t="n"/>
      <c r="K488" s="16">
        <f>IF($A488="","",1)</f>
        <v/>
      </c>
    </row>
    <row r="489">
      <c r="A489" s="13" t="n"/>
      <c r="B489" s="13" t="n"/>
      <c r="C489" s="14" t="n"/>
      <c r="D489" s="14" t="n"/>
      <c r="E489" s="15" t="n"/>
      <c r="F489" s="16">
        <f>IF($A489="","",ROUND($C489*$E489,2))</f>
        <v/>
      </c>
      <c r="G489" s="15" t="n"/>
      <c r="H489" s="13" t="n"/>
      <c r="I489" s="13" t="n"/>
      <c r="J489" s="13" t="n"/>
      <c r="K489" s="16">
        <f>IF($A489="","",1)</f>
        <v/>
      </c>
    </row>
    <row r="490">
      <c r="A490" s="13" t="n"/>
      <c r="B490" s="13" t="n"/>
      <c r="C490" s="14" t="n"/>
      <c r="D490" s="14" t="n"/>
      <c r="E490" s="15" t="n"/>
      <c r="F490" s="16">
        <f>IF($A490="","",ROUND($C490*$E490,2))</f>
        <v/>
      </c>
      <c r="G490" s="15" t="n"/>
      <c r="H490" s="13" t="n"/>
      <c r="I490" s="13" t="n"/>
      <c r="J490" s="13" t="n"/>
      <c r="K490" s="16">
        <f>IF($A490="","",1)</f>
        <v/>
      </c>
    </row>
    <row r="491">
      <c r="A491" s="13" t="n"/>
      <c r="B491" s="13" t="n"/>
      <c r="C491" s="14" t="n"/>
      <c r="D491" s="14" t="n"/>
      <c r="E491" s="15" t="n"/>
      <c r="F491" s="16">
        <f>IF($A491="","",ROUND($C491*$E491,2))</f>
        <v/>
      </c>
      <c r="G491" s="15" t="n"/>
      <c r="H491" s="13" t="n"/>
      <c r="I491" s="13" t="n"/>
      <c r="J491" s="13" t="n"/>
      <c r="K491" s="16">
        <f>IF($A491="","",1)</f>
        <v/>
      </c>
    </row>
    <row r="492">
      <c r="A492" s="13" t="n"/>
      <c r="B492" s="13" t="n"/>
      <c r="C492" s="14" t="n"/>
      <c r="D492" s="14" t="n"/>
      <c r="E492" s="15" t="n"/>
      <c r="F492" s="16">
        <f>IF($A492="","",ROUND($C492*$E492,2))</f>
        <v/>
      </c>
      <c r="G492" s="15" t="n"/>
      <c r="H492" s="13" t="n"/>
      <c r="I492" s="13" t="n"/>
      <c r="J492" s="13" t="n"/>
      <c r="K492" s="16">
        <f>IF($A492="","",1)</f>
        <v/>
      </c>
    </row>
    <row r="493">
      <c r="A493" s="13" t="n"/>
      <c r="B493" s="13" t="n"/>
      <c r="C493" s="14" t="n"/>
      <c r="D493" s="14" t="n"/>
      <c r="E493" s="15" t="n"/>
      <c r="F493" s="16">
        <f>IF($A493="","",ROUND($C493*$E493,2))</f>
        <v/>
      </c>
      <c r="G493" s="15" t="n"/>
      <c r="H493" s="13" t="n"/>
      <c r="I493" s="13" t="n"/>
      <c r="J493" s="13" t="n"/>
      <c r="K493" s="16">
        <f>IF($A493="","",1)</f>
        <v/>
      </c>
    </row>
    <row r="494">
      <c r="A494" s="13" t="n"/>
      <c r="B494" s="13" t="n"/>
      <c r="C494" s="14" t="n"/>
      <c r="D494" s="14" t="n"/>
      <c r="E494" s="15" t="n"/>
      <c r="F494" s="16">
        <f>IF($A494="","",ROUND($C494*$E494,2))</f>
        <v/>
      </c>
      <c r="G494" s="15" t="n"/>
      <c r="H494" s="13" t="n"/>
      <c r="I494" s="13" t="n"/>
      <c r="J494" s="13" t="n"/>
      <c r="K494" s="16">
        <f>IF($A494="","",1)</f>
        <v/>
      </c>
    </row>
    <row r="495">
      <c r="A495" s="13" t="n"/>
      <c r="B495" s="13" t="n"/>
      <c r="C495" s="14" t="n"/>
      <c r="D495" s="14" t="n"/>
      <c r="E495" s="15" t="n"/>
      <c r="F495" s="16">
        <f>IF($A495="","",ROUND($C495*$E495,2))</f>
        <v/>
      </c>
      <c r="G495" s="15" t="n"/>
      <c r="H495" s="13" t="n"/>
      <c r="I495" s="13" t="n"/>
      <c r="J495" s="13" t="n"/>
      <c r="K495" s="16">
        <f>IF($A495="","",1)</f>
        <v/>
      </c>
    </row>
    <row r="496">
      <c r="A496" s="13" t="n"/>
      <c r="B496" s="13" t="n"/>
      <c r="C496" s="14" t="n"/>
      <c r="D496" s="14" t="n"/>
      <c r="E496" s="15" t="n"/>
      <c r="F496" s="16">
        <f>IF($A496="","",ROUND($C496*$E496,2))</f>
        <v/>
      </c>
      <c r="G496" s="15" t="n"/>
      <c r="H496" s="13" t="n"/>
      <c r="I496" s="13" t="n"/>
      <c r="J496" s="13" t="n"/>
      <c r="K496" s="16">
        <f>IF($A496="","",1)</f>
        <v/>
      </c>
    </row>
    <row r="497">
      <c r="A497" s="13" t="n"/>
      <c r="B497" s="13" t="n"/>
      <c r="C497" s="14" t="n"/>
      <c r="D497" s="14" t="n"/>
      <c r="E497" s="15" t="n"/>
      <c r="F497" s="16">
        <f>IF($A497="","",ROUND($C497*$E497,2))</f>
        <v/>
      </c>
      <c r="G497" s="15" t="n"/>
      <c r="H497" s="13" t="n"/>
      <c r="I497" s="13" t="n"/>
      <c r="J497" s="13" t="n"/>
      <c r="K497" s="16">
        <f>IF($A497="","",1)</f>
        <v/>
      </c>
    </row>
    <row r="498">
      <c r="A498" s="13" t="n"/>
      <c r="B498" s="13" t="n"/>
      <c r="C498" s="14" t="n"/>
      <c r="D498" s="14" t="n"/>
      <c r="E498" s="15" t="n"/>
      <c r="F498" s="16">
        <f>IF($A498="","",ROUND($C498*$E498,2))</f>
        <v/>
      </c>
      <c r="G498" s="15" t="n"/>
      <c r="H498" s="13" t="n"/>
      <c r="I498" s="13" t="n"/>
      <c r="J498" s="13" t="n"/>
      <c r="K498" s="16">
        <f>IF($A498="","",1)</f>
        <v/>
      </c>
    </row>
    <row r="499">
      <c r="A499" s="13" t="n"/>
      <c r="B499" s="13" t="n"/>
      <c r="C499" s="14" t="n"/>
      <c r="D499" s="14" t="n"/>
      <c r="E499" s="15" t="n"/>
      <c r="F499" s="16">
        <f>IF($A499="","",ROUND($C499*$E499,2))</f>
        <v/>
      </c>
      <c r="G499" s="15" t="n"/>
      <c r="H499" s="13" t="n"/>
      <c r="I499" s="13" t="n"/>
      <c r="J499" s="13" t="n"/>
      <c r="K499" s="16">
        <f>IF($A499="","",1)</f>
        <v/>
      </c>
    </row>
    <row r="500">
      <c r="A500" s="13" t="n"/>
      <c r="B500" s="13" t="n"/>
      <c r="C500" s="14" t="n"/>
      <c r="D500" s="14" t="n"/>
      <c r="E500" s="15" t="n"/>
      <c r="F500" s="16">
        <f>IF($A500="","",ROUND($C500*$E500,2))</f>
        <v/>
      </c>
      <c r="G500" s="15" t="n"/>
      <c r="H500" s="13" t="n"/>
      <c r="I500" s="13" t="n"/>
      <c r="J500" s="13" t="n"/>
      <c r="K500" s="16">
        <f>IF($A500="","",1)</f>
        <v/>
      </c>
    </row>
    <row r="501">
      <c r="A501" s="13" t="n"/>
      <c r="B501" s="13" t="n"/>
      <c r="C501" s="14" t="n"/>
      <c r="D501" s="14" t="n"/>
      <c r="E501" s="15" t="n"/>
      <c r="F501" s="16">
        <f>IF($A501="","",ROUND($C501*$E501,2))</f>
        <v/>
      </c>
      <c r="G501" s="15" t="n"/>
      <c r="H501" s="13" t="n"/>
      <c r="I501" s="13" t="n"/>
      <c r="J501" s="13" t="n"/>
      <c r="K501" s="16">
        <f>IF($A501="","",1)</f>
        <v/>
      </c>
    </row>
    <row r="502">
      <c r="A502" s="13" t="n"/>
      <c r="B502" s="13" t="n"/>
      <c r="C502" s="14" t="n"/>
      <c r="D502" s="14" t="n"/>
      <c r="E502" s="15" t="n"/>
      <c r="F502" s="16">
        <f>IF($A502="","",ROUND($C502*$E502,2))</f>
        <v/>
      </c>
      <c r="G502" s="15" t="n"/>
      <c r="H502" s="13" t="n"/>
      <c r="I502" s="13" t="n"/>
      <c r="J502" s="13" t="n"/>
      <c r="K502" s="16">
        <f>IF($A502="","",1)</f>
        <v/>
      </c>
    </row>
    <row r="503">
      <c r="A503" s="13" t="n"/>
      <c r="B503" s="13" t="n"/>
      <c r="C503" s="14" t="n"/>
      <c r="D503" s="14" t="n"/>
      <c r="E503" s="15" t="n"/>
      <c r="F503" s="16">
        <f>IF($A503="","",ROUND($C503*$E503,2))</f>
        <v/>
      </c>
      <c r="G503" s="15" t="n"/>
      <c r="H503" s="13" t="n"/>
      <c r="I503" s="13" t="n"/>
      <c r="J503" s="13" t="n"/>
      <c r="K503" s="16">
        <f>IF($A503="","",1)</f>
        <v/>
      </c>
    </row>
    <row r="504">
      <c r="A504" s="13" t="n"/>
      <c r="B504" s="13" t="n"/>
      <c r="C504" s="14" t="n"/>
      <c r="D504" s="14" t="n"/>
      <c r="E504" s="15" t="n"/>
      <c r="F504" s="16">
        <f>IF($A504="","",ROUND($C504*$E504,2))</f>
        <v/>
      </c>
      <c r="G504" s="15" t="n"/>
      <c r="H504" s="13" t="n"/>
      <c r="I504" s="13" t="n"/>
      <c r="J504" s="13" t="n"/>
      <c r="K504" s="16">
        <f>IF($A504="","",1)</f>
        <v/>
      </c>
    </row>
    <row r="505">
      <c r="A505" s="13" t="n"/>
      <c r="B505" s="13" t="n"/>
      <c r="C505" s="14" t="n"/>
      <c r="D505" s="14" t="n"/>
      <c r="E505" s="15" t="n"/>
      <c r="F505" s="16">
        <f>IF($A505="","",ROUND($C505*$E505,2))</f>
        <v/>
      </c>
      <c r="G505" s="15" t="n"/>
      <c r="H505" s="13" t="n"/>
      <c r="I505" s="13" t="n"/>
      <c r="J505" s="13" t="n"/>
      <c r="K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C6:C505">
    <cfRule type="cellIs" priority="1" operator="greaterThan" dxfId="0">
      <formula>10000</formula>
    </cfRule>
  </conditionalFormatting>
  <conditionalFormatting sqref="D6:D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UrunKodu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UrunAdi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SatisFiyati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Maliyet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HedefKatkiOran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KdvOrani" prompt="Geçerli değer girin" type="decimal" errorStyle="stop" operator="greaterThanOrEqual">
      <formula1>0</formula1>
    </dataValidation>
    <dataValidation sqref="H6:H505" showDropDown="0" showInputMessage="1" showErrorMessage="1" allowBlank="1" errorTitle="Liste" error="Listeden seçim yapın" promptTitle="Platform" prompt="Listeden seçin" type="list" errorStyle="stop">
      <formula1>ListePlatformlar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  <dataValidation sqref="J6:J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E-Ticaret Gerçek Kârlılık &amp; Fiyatlama</t>
        </is>
      </c>
    </row>
    <row r="3" ht="20" customHeight="1">
      <c r="A3" s="10" t="inlineStr">
        <is>
          <t>Platform gerçekleşen maliyet — komisyon / kargo / iade / reklam</t>
        </is>
      </c>
    </row>
    <row r="5" ht="30" customHeight="1">
      <c r="A5" s="12" t="inlineStr">
        <is>
          <t>UrunKodu</t>
        </is>
      </c>
      <c r="B5" s="12" t="inlineStr">
        <is>
          <t>KomisyonOran</t>
        </is>
      </c>
      <c r="C5" s="12" t="inlineStr">
        <is>
          <t>Kargo</t>
        </is>
      </c>
      <c r="D5" s="12" t="inlineStr">
        <is>
          <t>IadeOran</t>
        </is>
      </c>
      <c r="E5" s="12" t="inlineStr">
        <is>
          <t>ReklamTutar</t>
        </is>
      </c>
      <c r="F5" s="12" t="inlineStr">
        <is>
          <t>Roas</t>
        </is>
      </c>
      <c r="G5" s="12" t="inlineStr">
        <is>
          <t>GercekNet</t>
        </is>
      </c>
      <c r="H5" s="12" t="inlineStr">
        <is>
          <t>Platform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SKU10001</t>
        </is>
      </c>
      <c r="B6" s="15" t="n">
        <v>0.12</v>
      </c>
      <c r="C6" s="14" t="n">
        <v>29.9</v>
      </c>
      <c r="D6" s="15" t="n">
        <v>0.03</v>
      </c>
      <c r="E6" s="14" t="n">
        <v>4.46</v>
      </c>
      <c r="F6" s="17" t="n">
        <v>4</v>
      </c>
      <c r="G6" s="16">
        <f>IF($A6="","",IFERROR(SUMIF(tblVeriA[UrunKodu],$A6,tblVeriA[SatisFiyati])-SUMIF(tblVeriA[UrunKodu],$A6,tblVeriA[Maliyet])-SUMIF(tblVeriA[UrunKodu],$A6,tblVeriA[SatisFiyati])*$B6-$C6-SUMIF(tblVeriA[UrunKodu],$A6,tblVeriA[SatisFiyati])*$D6-$E6,0))</f>
        <v/>
      </c>
      <c r="H6" s="13" t="inlineStr">
        <is>
          <t>Hepsiburada</t>
        </is>
      </c>
      <c r="I6" s="13" t="inlineStr">
        <is>
          <t>2026-08</t>
        </is>
      </c>
      <c r="J6" s="16">
        <f>IF($A6="","",1)</f>
        <v/>
      </c>
    </row>
    <row r="7">
      <c r="A7" s="13" t="inlineStr">
        <is>
          <t>SKU10002</t>
        </is>
      </c>
      <c r="B7" s="15" t="n">
        <v>0.14</v>
      </c>
      <c r="C7" s="14" t="n">
        <v>29.9</v>
      </c>
      <c r="D7" s="15" t="n">
        <v>0.04</v>
      </c>
      <c r="E7" s="14" t="n">
        <v>4.92</v>
      </c>
      <c r="F7" s="17" t="n">
        <v>4</v>
      </c>
      <c r="G7" s="16">
        <f>IF($A7="","",IFERROR(SUMIF(tblVeriA[UrunKodu],$A7,tblVeriA[SatisFiyati])-SUMIF(tblVeriA[UrunKodu],$A7,tblVeriA[Maliyet])-SUMIF(tblVeriA[UrunKodu],$A7,tblVeriA[SatisFiyati])*$B7-$C7-SUMIF(tblVeriA[UrunKodu],$A7,tblVeriA[SatisFiyati])*$D7-$E7,0))</f>
        <v/>
      </c>
      <c r="H7" s="13" t="inlineStr">
        <is>
          <t>Amazon</t>
        </is>
      </c>
      <c r="I7" s="13" t="inlineStr">
        <is>
          <t>2026-08</t>
        </is>
      </c>
      <c r="J7" s="16">
        <f>IF($A7="","",1)</f>
        <v/>
      </c>
    </row>
    <row r="8">
      <c r="A8" s="13" t="inlineStr">
        <is>
          <t>SKU10003</t>
        </is>
      </c>
      <c r="B8" s="15" t="n">
        <v>0.16</v>
      </c>
      <c r="C8" s="14" t="n">
        <v>39.9</v>
      </c>
      <c r="D8" s="15" t="n">
        <v>0.05</v>
      </c>
      <c r="E8" s="14" t="n">
        <v>5.38</v>
      </c>
      <c r="F8" s="17" t="n">
        <v>4</v>
      </c>
      <c r="G8" s="16">
        <f>IF($A8="","",IFERROR(SUMIF(tblVeriA[UrunKodu],$A8,tblVeriA[SatisFiyati])-SUMIF(tblVeriA[UrunKodu],$A8,tblVeriA[Maliyet])-SUMIF(tblVeriA[UrunKodu],$A8,tblVeriA[SatisFiyati])*$B8-$C8-SUMIF(tblVeriA[UrunKodu],$A8,tblVeriA[SatisFiyati])*$D8-$E8,0))</f>
        <v/>
      </c>
      <c r="H8" s="13" t="inlineStr">
        <is>
          <t>N11</t>
        </is>
      </c>
      <c r="I8" s="13" t="inlineStr">
        <is>
          <t>2026-08</t>
        </is>
      </c>
      <c r="J8" s="16">
        <f>IF($A8="","",1)</f>
        <v/>
      </c>
    </row>
    <row r="9">
      <c r="A9" s="13" t="inlineStr">
        <is>
          <t>SKU10004</t>
        </is>
      </c>
      <c r="B9" s="15" t="n">
        <v>0.1</v>
      </c>
      <c r="C9" s="14" t="n">
        <v>29.9</v>
      </c>
      <c r="D9" s="15" t="n">
        <v>0.06</v>
      </c>
      <c r="E9" s="14" t="n">
        <v>14.6</v>
      </c>
      <c r="F9" s="17" t="n">
        <v>4</v>
      </c>
      <c r="G9" s="16">
        <f>IF($A9="","",IFERROR(SUMIF(tblVeriA[UrunKodu],$A9,tblVeriA[SatisFiyati])-SUMIF(tblVeriA[UrunKodu],$A9,tblVeriA[Maliyet])-SUMIF(tblVeriA[UrunKodu],$A9,tblVeriA[SatisFiyati])*$B9-$C9-SUMIF(tblVeriA[UrunKodu],$A9,tblVeriA[SatisFiyati])*$D9-$E9,0))</f>
        <v/>
      </c>
      <c r="H9" s="13" t="inlineStr">
        <is>
          <t>KendiSite</t>
        </is>
      </c>
      <c r="I9" s="13" t="inlineStr">
        <is>
          <t>2026-08</t>
        </is>
      </c>
      <c r="J9" s="16">
        <f>IF($A9="","",1)</f>
        <v/>
      </c>
    </row>
    <row r="10">
      <c r="A10" s="13" t="inlineStr">
        <is>
          <t>SKU10005</t>
        </is>
      </c>
      <c r="B10" s="15" t="n">
        <v>0.12</v>
      </c>
      <c r="C10" s="14" t="n">
        <v>29.9</v>
      </c>
      <c r="D10" s="15" t="n">
        <v>0.07000000000000001</v>
      </c>
      <c r="E10" s="14" t="n">
        <v>6.3</v>
      </c>
      <c r="F10" s="17" t="n">
        <v>2.2</v>
      </c>
      <c r="G10" s="16">
        <f>IF($A10="","",IFERROR(SUMIF(tblVeriA[UrunKodu],$A10,tblVeriA[SatisFiyati])-SUMIF(tblVeriA[UrunKodu],$A10,tblVeriA[Maliyet])-SUMIF(tblVeriA[UrunKodu],$A10,tblVeriA[SatisFiyati])*$B10-$C10-SUMIF(tblVeriA[UrunKodu],$A10,tblVeriA[SatisFiyati])*$D10-$E10,0))</f>
        <v/>
      </c>
      <c r="H10" s="13" t="inlineStr">
        <is>
          <t>Trendyol</t>
        </is>
      </c>
      <c r="I10" s="13" t="inlineStr">
        <is>
          <t>2026-08</t>
        </is>
      </c>
      <c r="J10" s="16">
        <f>IF($A10="","",1)</f>
        <v/>
      </c>
    </row>
    <row r="11">
      <c r="A11" s="13" t="inlineStr">
        <is>
          <t>SKU10006</t>
        </is>
      </c>
      <c r="B11" s="15" t="n">
        <v>0.14</v>
      </c>
      <c r="C11" s="14" t="n">
        <v>39.9</v>
      </c>
      <c r="D11" s="15" t="n">
        <v>0.02</v>
      </c>
      <c r="E11" s="14" t="n">
        <v>6.76</v>
      </c>
      <c r="F11" s="17" t="n">
        <v>4</v>
      </c>
      <c r="G11" s="16">
        <f>IF($A11="","",IFERROR(SUMIF(tblVeriA[UrunKodu],$A11,tblVeriA[SatisFiyati])-SUMIF(tblVeriA[UrunKodu],$A11,tblVeriA[Maliyet])-SUMIF(tblVeriA[UrunKodu],$A11,tblVeriA[SatisFiyati])*$B11-$C11-SUMIF(tblVeriA[UrunKodu],$A11,tblVeriA[SatisFiyati])*$D11-$E11,0))</f>
        <v/>
      </c>
      <c r="H11" s="13" t="inlineStr">
        <is>
          <t>Hepsiburada</t>
        </is>
      </c>
      <c r="I11" s="13" t="inlineStr">
        <is>
          <t>2026-08</t>
        </is>
      </c>
      <c r="J11" s="16">
        <f>IF($A11="","",1)</f>
        <v/>
      </c>
    </row>
    <row r="12">
      <c r="A12" s="13" t="inlineStr">
        <is>
          <t>SKU10007</t>
        </is>
      </c>
      <c r="B12" s="15" t="n">
        <v>0.16</v>
      </c>
      <c r="C12" s="14" t="n">
        <v>29.9</v>
      </c>
      <c r="D12" s="15" t="n">
        <v>0.03</v>
      </c>
      <c r="E12" s="14" t="n">
        <v>7.22</v>
      </c>
      <c r="F12" s="17" t="n">
        <v>4</v>
      </c>
      <c r="G12" s="16">
        <f>IF($A12="","",IFERROR(SUMIF(tblVeriA[UrunKodu],$A12,tblVeriA[SatisFiyati])-SUMIF(tblVeriA[UrunKodu],$A12,tblVeriA[Maliyet])-SUMIF(tblVeriA[UrunKodu],$A12,tblVeriA[SatisFiyati])*$B12-$C12-SUMIF(tblVeriA[UrunKodu],$A12,tblVeriA[SatisFiyati])*$D12-$E12,0))</f>
        <v/>
      </c>
      <c r="H12" s="13" t="inlineStr">
        <is>
          <t>Amazon</t>
        </is>
      </c>
      <c r="I12" s="13" t="inlineStr">
        <is>
          <t>2026-08</t>
        </is>
      </c>
      <c r="J12" s="16">
        <f>IF($A12="","",1)</f>
        <v/>
      </c>
    </row>
    <row r="13">
      <c r="A13" s="13" t="inlineStr">
        <is>
          <t>SKU10008</t>
        </is>
      </c>
      <c r="B13" s="15" t="n">
        <v>0.1</v>
      </c>
      <c r="C13" s="14" t="n">
        <v>29.9</v>
      </c>
      <c r="D13" s="15" t="n">
        <v>0.04</v>
      </c>
      <c r="E13" s="14" t="n">
        <v>19.2</v>
      </c>
      <c r="F13" s="17" t="n">
        <v>4</v>
      </c>
      <c r="G13" s="16">
        <f>IF($A13="","",IFERROR(SUMIF(tblVeriA[UrunKodu],$A13,tblVeriA[SatisFiyati])-SUMIF(tblVeriA[UrunKodu],$A13,tblVeriA[Maliyet])-SUMIF(tblVeriA[UrunKodu],$A13,tblVeriA[SatisFiyati])*$B13-$C13-SUMIF(tblVeriA[UrunKodu],$A13,tblVeriA[SatisFiyati])*$D13-$E13,0))</f>
        <v/>
      </c>
      <c r="H13" s="13" t="inlineStr">
        <is>
          <t>N11</t>
        </is>
      </c>
      <c r="I13" s="13" t="inlineStr">
        <is>
          <t>2026-08</t>
        </is>
      </c>
      <c r="J13" s="16">
        <f>IF($A13="","",1)</f>
        <v/>
      </c>
    </row>
    <row r="14">
      <c r="A14" s="13" t="inlineStr">
        <is>
          <t>SKU10009</t>
        </is>
      </c>
      <c r="B14" s="15" t="n">
        <v>0.12</v>
      </c>
      <c r="C14" s="14" t="n">
        <v>39.9</v>
      </c>
      <c r="D14" s="15" t="n">
        <v>0.05</v>
      </c>
      <c r="E14" s="14" t="n">
        <v>8.140000000000001</v>
      </c>
      <c r="F14" s="17" t="n">
        <v>4</v>
      </c>
      <c r="G14" s="16">
        <f>IF($A14="","",IFERROR(SUMIF(tblVeriA[UrunKodu],$A14,tblVeriA[SatisFiyati])-SUMIF(tblVeriA[UrunKodu],$A14,tblVeriA[Maliyet])-SUMIF(tblVeriA[UrunKodu],$A14,tblVeriA[SatisFiyati])*$B14-$C14-SUMIF(tblVeriA[UrunKodu],$A14,tblVeriA[SatisFiyati])*$D14-$E14,0))</f>
        <v/>
      </c>
      <c r="H14" s="13" t="inlineStr">
        <is>
          <t>KendiSite</t>
        </is>
      </c>
      <c r="I14" s="13" t="inlineStr">
        <is>
          <t>2026-08</t>
        </is>
      </c>
      <c r="J14" s="16">
        <f>IF($A14="","",1)</f>
        <v/>
      </c>
    </row>
    <row r="15">
      <c r="A15" s="13" t="inlineStr">
        <is>
          <t>SKU10010</t>
        </is>
      </c>
      <c r="B15" s="15" t="n">
        <v>0.14</v>
      </c>
      <c r="C15" s="14" t="n">
        <v>29.9</v>
      </c>
      <c r="D15" s="15" t="n">
        <v>0.06</v>
      </c>
      <c r="E15" s="14" t="n">
        <v>8.6</v>
      </c>
      <c r="F15" s="17" t="n">
        <v>2.2</v>
      </c>
      <c r="G15" s="16">
        <f>IF($A15="","",IFERROR(SUMIF(tblVeriA[UrunKodu],$A15,tblVeriA[SatisFiyati])-SUMIF(tblVeriA[UrunKodu],$A15,tblVeriA[Maliyet])-SUMIF(tblVeriA[UrunKodu],$A15,tblVeriA[SatisFiyati])*$B15-$C15-SUMIF(tblVeriA[UrunKodu],$A15,tblVeriA[SatisFiyati])*$D15-$E15,0))</f>
        <v/>
      </c>
      <c r="H15" s="13" t="inlineStr">
        <is>
          <t>Trendyol</t>
        </is>
      </c>
      <c r="I15" s="13" t="inlineStr">
        <is>
          <t>2026-08</t>
        </is>
      </c>
      <c r="J15" s="16">
        <f>IF($A15="","",1)</f>
        <v/>
      </c>
    </row>
    <row r="16">
      <c r="A16" s="13" t="inlineStr">
        <is>
          <t>SKU10011</t>
        </is>
      </c>
      <c r="B16" s="15" t="n">
        <v>0.16</v>
      </c>
      <c r="C16" s="14" t="n">
        <v>29.9</v>
      </c>
      <c r="D16" s="15" t="n">
        <v>0.07000000000000001</v>
      </c>
      <c r="E16" s="14" t="n">
        <v>9.06</v>
      </c>
      <c r="F16" s="17" t="n">
        <v>4</v>
      </c>
      <c r="G16" s="16">
        <f>IF($A16="","",IFERROR(SUMIF(tblVeriA[UrunKodu],$A16,tblVeriA[SatisFiyati])-SUMIF(tblVeriA[UrunKodu],$A16,tblVeriA[Maliyet])-SUMIF(tblVeriA[UrunKodu],$A16,tblVeriA[SatisFiyati])*$B16-$C16-SUMIF(tblVeriA[UrunKodu],$A16,tblVeriA[SatisFiyati])*$D16-$E16,0))</f>
        <v/>
      </c>
      <c r="H16" s="13" t="inlineStr">
        <is>
          <t>Hepsiburada</t>
        </is>
      </c>
      <c r="I16" s="13" t="inlineStr">
        <is>
          <t>2026-08</t>
        </is>
      </c>
      <c r="J16" s="16">
        <f>IF($A16="","",1)</f>
        <v/>
      </c>
    </row>
    <row r="17">
      <c r="A17" s="13" t="inlineStr">
        <is>
          <t>SKU10012</t>
        </is>
      </c>
      <c r="B17" s="15" t="n">
        <v>0.1</v>
      </c>
      <c r="C17" s="14" t="n">
        <v>39.9</v>
      </c>
      <c r="D17" s="15" t="n">
        <v>0.02</v>
      </c>
      <c r="E17" s="14" t="n">
        <v>23.8</v>
      </c>
      <c r="F17" s="17" t="n">
        <v>4</v>
      </c>
      <c r="G17" s="16">
        <f>IF($A17="","",IFERROR(SUMIF(tblVeriA[UrunKodu],$A17,tblVeriA[SatisFiyati])-SUMIF(tblVeriA[UrunKodu],$A17,tblVeriA[Maliyet])-SUMIF(tblVeriA[UrunKodu],$A17,tblVeriA[SatisFiyati])*$B17-$C17-SUMIF(tblVeriA[UrunKodu],$A17,tblVeriA[SatisFiyati])*$D17-$E17,0))</f>
        <v/>
      </c>
      <c r="H17" s="13" t="inlineStr">
        <is>
          <t>Amazon</t>
        </is>
      </c>
      <c r="I17" s="13" t="inlineStr">
        <is>
          <t>2026-08</t>
        </is>
      </c>
      <c r="J17" s="16">
        <f>IF($A17="","",1)</f>
        <v/>
      </c>
    </row>
    <row r="18">
      <c r="A18" s="13" t="inlineStr">
        <is>
          <t>SKU10013</t>
        </is>
      </c>
      <c r="B18" s="15" t="n">
        <v>0.12</v>
      </c>
      <c r="C18" s="14" t="n">
        <v>29.9</v>
      </c>
      <c r="D18" s="15" t="n">
        <v>0.03</v>
      </c>
      <c r="E18" s="14" t="n">
        <v>9.98</v>
      </c>
      <c r="F18" s="17" t="n">
        <v>4</v>
      </c>
      <c r="G18" s="16">
        <f>IF($A18="","",IFERROR(SUMIF(tblVeriA[UrunKodu],$A18,tblVeriA[SatisFiyati])-SUMIF(tblVeriA[UrunKodu],$A18,tblVeriA[Maliyet])-SUMIF(tblVeriA[UrunKodu],$A18,tblVeriA[SatisFiyati])*$B18-$C18-SUMIF(tblVeriA[UrunKodu],$A18,tblVeriA[SatisFiyati])*$D18-$E18,0))</f>
        <v/>
      </c>
      <c r="H18" s="13" t="inlineStr">
        <is>
          <t>N11</t>
        </is>
      </c>
      <c r="I18" s="13" t="inlineStr">
        <is>
          <t>2026-08</t>
        </is>
      </c>
      <c r="J18" s="16">
        <f>IF($A18="","",1)</f>
        <v/>
      </c>
    </row>
    <row r="19">
      <c r="A19" s="13" t="inlineStr">
        <is>
          <t>SKU10014</t>
        </is>
      </c>
      <c r="B19" s="15" t="n">
        <v>0.14</v>
      </c>
      <c r="C19" s="14" t="n">
        <v>29.9</v>
      </c>
      <c r="D19" s="15" t="n">
        <v>0.04</v>
      </c>
      <c r="E19" s="14" t="n">
        <v>10.44</v>
      </c>
      <c r="F19" s="17" t="n">
        <v>4</v>
      </c>
      <c r="G19" s="16">
        <f>IF($A19="","",IFERROR(SUMIF(tblVeriA[UrunKodu],$A19,tblVeriA[SatisFiyati])-SUMIF(tblVeriA[UrunKodu],$A19,tblVeriA[Maliyet])-SUMIF(tblVeriA[UrunKodu],$A19,tblVeriA[SatisFiyati])*$B19-$C19-SUMIF(tblVeriA[UrunKodu],$A19,tblVeriA[SatisFiyati])*$D19-$E19,0))</f>
        <v/>
      </c>
      <c r="H19" s="13" t="inlineStr">
        <is>
          <t>KendiSite</t>
        </is>
      </c>
      <c r="I19" s="13" t="inlineStr">
        <is>
          <t>2026-08</t>
        </is>
      </c>
      <c r="J19" s="16">
        <f>IF($A19="","",1)</f>
        <v/>
      </c>
    </row>
    <row r="20">
      <c r="A20" s="13" t="inlineStr">
        <is>
          <t>SKU10015</t>
        </is>
      </c>
      <c r="B20" s="15" t="n">
        <v>0.16</v>
      </c>
      <c r="C20" s="14" t="n">
        <v>39.9</v>
      </c>
      <c r="D20" s="15" t="n">
        <v>0.05</v>
      </c>
      <c r="E20" s="14" t="n">
        <v>10.9</v>
      </c>
      <c r="F20" s="17" t="n">
        <v>2.2</v>
      </c>
      <c r="G20" s="16">
        <f>IF($A20="","",IFERROR(SUMIF(tblVeriA[UrunKodu],$A20,tblVeriA[SatisFiyati])-SUMIF(tblVeriA[UrunKodu],$A20,tblVeriA[Maliyet])-SUMIF(tblVeriA[UrunKodu],$A20,tblVeriA[SatisFiyati])*$B20-$C20-SUMIF(tblVeriA[UrunKodu],$A20,tblVeriA[SatisFiyati])*$D20-$E20,0))</f>
        <v/>
      </c>
      <c r="H20" s="13" t="inlineStr">
        <is>
          <t>Trendyol</t>
        </is>
      </c>
      <c r="I20" s="13" t="inlineStr">
        <is>
          <t>2026-08</t>
        </is>
      </c>
      <c r="J20" s="16">
        <f>IF($A20="","",1)</f>
        <v/>
      </c>
    </row>
    <row r="21">
      <c r="A21" s="13" t="inlineStr">
        <is>
          <t>SKU10016</t>
        </is>
      </c>
      <c r="B21" s="15" t="n">
        <v>0.1</v>
      </c>
      <c r="C21" s="14" t="n">
        <v>29.9</v>
      </c>
      <c r="D21" s="15" t="n">
        <v>0.06</v>
      </c>
      <c r="E21" s="14" t="n">
        <v>28.4</v>
      </c>
      <c r="F21" s="17" t="n">
        <v>4</v>
      </c>
      <c r="G21" s="16">
        <f>IF($A21="","",IFERROR(SUMIF(tblVeriA[UrunKodu],$A21,tblVeriA[SatisFiyati])-SUMIF(tblVeriA[UrunKodu],$A21,tblVeriA[Maliyet])-SUMIF(tblVeriA[UrunKodu],$A21,tblVeriA[SatisFiyati])*$B21-$C21-SUMIF(tblVeriA[UrunKodu],$A21,tblVeriA[SatisFiyati])*$D21-$E21,0))</f>
        <v/>
      </c>
      <c r="H21" s="13" t="inlineStr">
        <is>
          <t>Hepsiburada</t>
        </is>
      </c>
      <c r="I21" s="13" t="inlineStr">
        <is>
          <t>2026-08</t>
        </is>
      </c>
      <c r="J21" s="16">
        <f>IF($A21="","",1)</f>
        <v/>
      </c>
    </row>
    <row r="22">
      <c r="A22" s="13" t="inlineStr">
        <is>
          <t>SKU10017</t>
        </is>
      </c>
      <c r="B22" s="15" t="n">
        <v>0.12</v>
      </c>
      <c r="C22" s="14" t="n">
        <v>29.9</v>
      </c>
      <c r="D22" s="15" t="n">
        <v>0.07000000000000001</v>
      </c>
      <c r="E22" s="14" t="n">
        <v>11.82</v>
      </c>
      <c r="F22" s="17" t="n">
        <v>4</v>
      </c>
      <c r="G22" s="16">
        <f>IF($A22="","",IFERROR(SUMIF(tblVeriA[UrunKodu],$A22,tblVeriA[SatisFiyati])-SUMIF(tblVeriA[UrunKodu],$A22,tblVeriA[Maliyet])-SUMIF(tblVeriA[UrunKodu],$A22,tblVeriA[SatisFiyati])*$B22-$C22-SUMIF(tblVeriA[UrunKodu],$A22,tblVeriA[SatisFiyati])*$D22-$E22,0))</f>
        <v/>
      </c>
      <c r="H22" s="13" t="inlineStr">
        <is>
          <t>Amazon</t>
        </is>
      </c>
      <c r="I22" s="13" t="inlineStr">
        <is>
          <t>2026-08</t>
        </is>
      </c>
      <c r="J22" s="16">
        <f>IF($A22="","",1)</f>
        <v/>
      </c>
    </row>
    <row r="23">
      <c r="A23" s="13" t="inlineStr">
        <is>
          <t>SKU10018</t>
        </is>
      </c>
      <c r="B23" s="15" t="n">
        <v>0.14</v>
      </c>
      <c r="C23" s="14" t="n">
        <v>39.9</v>
      </c>
      <c r="D23" s="15" t="n">
        <v>0.02</v>
      </c>
      <c r="E23" s="14" t="n">
        <v>12.28</v>
      </c>
      <c r="F23" s="17" t="n">
        <v>4</v>
      </c>
      <c r="G23" s="16">
        <f>IF($A23="","",IFERROR(SUMIF(tblVeriA[UrunKodu],$A23,tblVeriA[SatisFiyati])-SUMIF(tblVeriA[UrunKodu],$A23,tblVeriA[Maliyet])-SUMIF(tblVeriA[UrunKodu],$A23,tblVeriA[SatisFiyati])*$B23-$C23-SUMIF(tblVeriA[UrunKodu],$A23,tblVeriA[SatisFiyati])*$D23-$E23,0))</f>
        <v/>
      </c>
      <c r="H23" s="13" t="inlineStr">
        <is>
          <t>N11</t>
        </is>
      </c>
      <c r="I23" s="13" t="inlineStr">
        <is>
          <t>2026-08</t>
        </is>
      </c>
      <c r="J23" s="16">
        <f>IF($A23="","",1)</f>
        <v/>
      </c>
    </row>
    <row r="24">
      <c r="A24" s="13" t="inlineStr">
        <is>
          <t>SKU10019</t>
        </is>
      </c>
      <c r="B24" s="15" t="n">
        <v>0.16</v>
      </c>
      <c r="C24" s="14" t="n">
        <v>29.9</v>
      </c>
      <c r="D24" s="15" t="n">
        <v>0.03</v>
      </c>
      <c r="E24" s="14" t="n">
        <v>12.74</v>
      </c>
      <c r="F24" s="17" t="n">
        <v>4</v>
      </c>
      <c r="G24" s="16">
        <f>IF($A24="","",IFERROR(SUMIF(tblVeriA[UrunKodu],$A24,tblVeriA[SatisFiyati])-SUMIF(tblVeriA[UrunKodu],$A24,tblVeriA[Maliyet])-SUMIF(tblVeriA[UrunKodu],$A24,tblVeriA[SatisFiyati])*$B24-$C24-SUMIF(tblVeriA[UrunKodu],$A24,tblVeriA[SatisFiyati])*$D24-$E24,0))</f>
        <v/>
      </c>
      <c r="H24" s="13" t="inlineStr">
        <is>
          <t>KendiSite</t>
        </is>
      </c>
      <c r="I24" s="13" t="inlineStr">
        <is>
          <t>2026-08</t>
        </is>
      </c>
      <c r="J24" s="16">
        <f>IF($A24="","",1)</f>
        <v/>
      </c>
    </row>
    <row r="25">
      <c r="A25" s="13" t="inlineStr">
        <is>
          <t>SKU10020</t>
        </is>
      </c>
      <c r="B25" s="15" t="n">
        <v>0.1</v>
      </c>
      <c r="C25" s="14" t="n">
        <v>29.9</v>
      </c>
      <c r="D25" s="15" t="n">
        <v>0.04</v>
      </c>
      <c r="E25" s="14" t="n">
        <v>33</v>
      </c>
      <c r="F25" s="17" t="n">
        <v>2.2</v>
      </c>
      <c r="G25" s="16">
        <f>IF($A25="","",IFERROR(SUMIF(tblVeriA[UrunKodu],$A25,tblVeriA[SatisFiyati])-SUMIF(tblVeriA[UrunKodu],$A25,tblVeriA[Maliyet])-SUMIF(tblVeriA[UrunKodu],$A25,tblVeriA[SatisFiyati])*$B25-$C25-SUMIF(tblVeriA[UrunKodu],$A25,tblVeriA[SatisFiyati])*$D25-$E25,0))</f>
        <v/>
      </c>
      <c r="H25" s="13" t="inlineStr">
        <is>
          <t>Trendyol</t>
        </is>
      </c>
      <c r="I25" s="13" t="inlineStr">
        <is>
          <t>2026-08</t>
        </is>
      </c>
      <c r="J25" s="16">
        <f>IF($A25="","",1)</f>
        <v/>
      </c>
    </row>
    <row r="26">
      <c r="A26" s="13" t="inlineStr">
        <is>
          <t>SKU10021</t>
        </is>
      </c>
      <c r="B26" s="15" t="n">
        <v>0.12</v>
      </c>
      <c r="C26" s="14" t="n">
        <v>39.9</v>
      </c>
      <c r="D26" s="15" t="n">
        <v>0.05</v>
      </c>
      <c r="E26" s="14" t="n">
        <v>13.66</v>
      </c>
      <c r="F26" s="17" t="n">
        <v>4</v>
      </c>
      <c r="G26" s="16">
        <f>IF($A26="","",IFERROR(SUMIF(tblVeriA[UrunKodu],$A26,tblVeriA[SatisFiyati])-SUMIF(tblVeriA[UrunKodu],$A26,tblVeriA[Maliyet])-SUMIF(tblVeriA[UrunKodu],$A26,tblVeriA[SatisFiyati])*$B26-$C26-SUMIF(tblVeriA[UrunKodu],$A26,tblVeriA[SatisFiyati])*$D26-$E26,0))</f>
        <v/>
      </c>
      <c r="H26" s="13" t="inlineStr">
        <is>
          <t>Hepsiburada</t>
        </is>
      </c>
      <c r="I26" s="13" t="inlineStr">
        <is>
          <t>2026-08</t>
        </is>
      </c>
      <c r="J26" s="16">
        <f>IF($A26="","",1)</f>
        <v/>
      </c>
    </row>
    <row r="27">
      <c r="A27" s="13" t="inlineStr">
        <is>
          <t>SKU10022</t>
        </is>
      </c>
      <c r="B27" s="15" t="n">
        <v>0.14</v>
      </c>
      <c r="C27" s="14" t="n">
        <v>29.9</v>
      </c>
      <c r="D27" s="15" t="n">
        <v>0.06</v>
      </c>
      <c r="E27" s="14" t="n">
        <v>14.12</v>
      </c>
      <c r="F27" s="17" t="n">
        <v>4</v>
      </c>
      <c r="G27" s="16">
        <f>IF($A27="","",IFERROR(SUMIF(tblVeriA[UrunKodu],$A27,tblVeriA[SatisFiyati])-SUMIF(tblVeriA[UrunKodu],$A27,tblVeriA[Maliyet])-SUMIF(tblVeriA[UrunKodu],$A27,tblVeriA[SatisFiyati])*$B27-$C27-SUMIF(tblVeriA[UrunKodu],$A27,tblVeriA[SatisFiyati])*$D27-$E27,0))</f>
        <v/>
      </c>
      <c r="H27" s="13" t="inlineStr">
        <is>
          <t>Amazon</t>
        </is>
      </c>
      <c r="I27" s="13" t="inlineStr">
        <is>
          <t>2026-08</t>
        </is>
      </c>
      <c r="J27" s="16">
        <f>IF($A27="","",1)</f>
        <v/>
      </c>
    </row>
    <row r="28">
      <c r="A28" s="13" t="inlineStr">
        <is>
          <t>SKU10023</t>
        </is>
      </c>
      <c r="B28" s="15" t="n">
        <v>0.16</v>
      </c>
      <c r="C28" s="14" t="n">
        <v>29.9</v>
      </c>
      <c r="D28" s="15" t="n">
        <v>0.07000000000000001</v>
      </c>
      <c r="E28" s="14" t="n">
        <v>14.58</v>
      </c>
      <c r="F28" s="17" t="n">
        <v>4</v>
      </c>
      <c r="G28" s="16">
        <f>IF($A28="","",IFERROR(SUMIF(tblVeriA[UrunKodu],$A28,tblVeriA[SatisFiyati])-SUMIF(tblVeriA[UrunKodu],$A28,tblVeriA[Maliyet])-SUMIF(tblVeriA[UrunKodu],$A28,tblVeriA[SatisFiyati])*$B28-$C28-SUMIF(tblVeriA[UrunKodu],$A28,tblVeriA[SatisFiyati])*$D28-$E28,0))</f>
        <v/>
      </c>
      <c r="H28" s="13" t="inlineStr">
        <is>
          <t>N11</t>
        </is>
      </c>
      <c r="I28" s="13" t="inlineStr">
        <is>
          <t>2026-08</t>
        </is>
      </c>
      <c r="J28" s="16">
        <f>IF($A28="","",1)</f>
        <v/>
      </c>
    </row>
    <row r="29">
      <c r="A29" s="13" t="inlineStr">
        <is>
          <t>SKU10024</t>
        </is>
      </c>
      <c r="B29" s="15" t="n">
        <v>0.1</v>
      </c>
      <c r="C29" s="14" t="n">
        <v>39.9</v>
      </c>
      <c r="D29" s="15" t="n">
        <v>0.02</v>
      </c>
      <c r="E29" s="14" t="n">
        <v>37.6</v>
      </c>
      <c r="F29" s="17" t="n">
        <v>4</v>
      </c>
      <c r="G29" s="16">
        <f>IF($A29="","",IFERROR(SUMIF(tblVeriA[UrunKodu],$A29,tblVeriA[SatisFiyati])-SUMIF(tblVeriA[UrunKodu],$A29,tblVeriA[Maliyet])-SUMIF(tblVeriA[UrunKodu],$A29,tblVeriA[SatisFiyati])*$B29-$C29-SUMIF(tblVeriA[UrunKodu],$A29,tblVeriA[SatisFiyati])*$D29-$E29,0))</f>
        <v/>
      </c>
      <c r="H29" s="13" t="inlineStr">
        <is>
          <t>KendiSite</t>
        </is>
      </c>
      <c r="I29" s="13" t="inlineStr">
        <is>
          <t>2026-08</t>
        </is>
      </c>
      <c r="J29" s="16">
        <f>IF($A29="","",1)</f>
        <v/>
      </c>
    </row>
    <row r="30">
      <c r="A30" s="13" t="inlineStr">
        <is>
          <t>SKU10025</t>
        </is>
      </c>
      <c r="B30" s="15" t="n">
        <v>0.12</v>
      </c>
      <c r="C30" s="14" t="n">
        <v>29.9</v>
      </c>
      <c r="D30" s="15" t="n">
        <v>0.03</v>
      </c>
      <c r="E30" s="14" t="n">
        <v>15.5</v>
      </c>
      <c r="F30" s="17" t="n">
        <v>2.2</v>
      </c>
      <c r="G30" s="16">
        <f>IF($A30="","",IFERROR(SUMIF(tblVeriA[UrunKodu],$A30,tblVeriA[SatisFiyati])-SUMIF(tblVeriA[UrunKodu],$A30,tblVeriA[Maliyet])-SUMIF(tblVeriA[UrunKodu],$A30,tblVeriA[SatisFiyati])*$B30-$C30-SUMIF(tblVeriA[UrunKodu],$A30,tblVeriA[SatisFiyati])*$D30-$E30,0))</f>
        <v/>
      </c>
      <c r="H30" s="13" t="inlineStr">
        <is>
          <t>Trendyol</t>
        </is>
      </c>
      <c r="I30" s="13" t="inlineStr">
        <is>
          <t>2026-08</t>
        </is>
      </c>
      <c r="J30" s="16">
        <f>IF($A30="","",1)</f>
        <v/>
      </c>
    </row>
    <row r="31">
      <c r="A31" s="13" t="inlineStr">
        <is>
          <t>SKU10026</t>
        </is>
      </c>
      <c r="B31" s="15" t="n">
        <v>0.14</v>
      </c>
      <c r="C31" s="14" t="n">
        <v>29.9</v>
      </c>
      <c r="D31" s="15" t="n">
        <v>0.04</v>
      </c>
      <c r="E31" s="14" t="n">
        <v>15.96</v>
      </c>
      <c r="F31" s="17" t="n">
        <v>4</v>
      </c>
      <c r="G31" s="16">
        <f>IF($A31="","",IFERROR(SUMIF(tblVeriA[UrunKodu],$A31,tblVeriA[SatisFiyati])-SUMIF(tblVeriA[UrunKodu],$A31,tblVeriA[Maliyet])-SUMIF(tblVeriA[UrunKodu],$A31,tblVeriA[SatisFiyati])*$B31-$C31-SUMIF(tblVeriA[UrunKodu],$A31,tblVeriA[SatisFiyati])*$D31-$E31,0))</f>
        <v/>
      </c>
      <c r="H31" s="13" t="inlineStr">
        <is>
          <t>Hepsiburada</t>
        </is>
      </c>
      <c r="I31" s="13" t="inlineStr">
        <is>
          <t>2026-08</t>
        </is>
      </c>
      <c r="J31" s="16">
        <f>IF($A31="","",1)</f>
        <v/>
      </c>
    </row>
    <row r="32">
      <c r="A32" s="13" t="inlineStr">
        <is>
          <t>SKU10027</t>
        </is>
      </c>
      <c r="B32" s="15" t="n">
        <v>0.16</v>
      </c>
      <c r="C32" s="14" t="n">
        <v>39.9</v>
      </c>
      <c r="D32" s="15" t="n">
        <v>0.05</v>
      </c>
      <c r="E32" s="14" t="n">
        <v>16.42</v>
      </c>
      <c r="F32" s="17" t="n">
        <v>4</v>
      </c>
      <c r="G32" s="16">
        <f>IF($A32="","",IFERROR(SUMIF(tblVeriA[UrunKodu],$A32,tblVeriA[SatisFiyati])-SUMIF(tblVeriA[UrunKodu],$A32,tblVeriA[Maliyet])-SUMIF(tblVeriA[UrunKodu],$A32,tblVeriA[SatisFiyati])*$B32-$C32-SUMIF(tblVeriA[UrunKodu],$A32,tblVeriA[SatisFiyati])*$D32-$E32,0))</f>
        <v/>
      </c>
      <c r="H32" s="13" t="inlineStr">
        <is>
          <t>Amazon</t>
        </is>
      </c>
      <c r="I32" s="13" t="inlineStr">
        <is>
          <t>2026-08</t>
        </is>
      </c>
      <c r="J32" s="16">
        <f>IF($A32="","",1)</f>
        <v/>
      </c>
    </row>
    <row r="33">
      <c r="A33" s="13" t="inlineStr">
        <is>
          <t>SKU10028</t>
        </is>
      </c>
      <c r="B33" s="15" t="n">
        <v>0.1</v>
      </c>
      <c r="C33" s="14" t="n">
        <v>29.9</v>
      </c>
      <c r="D33" s="15" t="n">
        <v>0.06</v>
      </c>
      <c r="E33" s="14" t="n">
        <v>42.2</v>
      </c>
      <c r="F33" s="17" t="n">
        <v>4</v>
      </c>
      <c r="G33" s="16">
        <f>IF($A33="","",IFERROR(SUMIF(tblVeriA[UrunKodu],$A33,tblVeriA[SatisFiyati])-SUMIF(tblVeriA[UrunKodu],$A33,tblVeriA[Maliyet])-SUMIF(tblVeriA[UrunKodu],$A33,tblVeriA[SatisFiyati])*$B33-$C33-SUMIF(tblVeriA[UrunKodu],$A33,tblVeriA[SatisFiyati])*$D33-$E33,0))</f>
        <v/>
      </c>
      <c r="H33" s="13" t="inlineStr">
        <is>
          <t>N11</t>
        </is>
      </c>
      <c r="I33" s="13" t="inlineStr">
        <is>
          <t>2026-08</t>
        </is>
      </c>
      <c r="J33" s="16">
        <f>IF($A33="","",1)</f>
        <v/>
      </c>
    </row>
    <row r="34">
      <c r="A34" s="13" t="inlineStr">
        <is>
          <t>SKU10029</t>
        </is>
      </c>
      <c r="B34" s="15" t="n">
        <v>0.12</v>
      </c>
      <c r="C34" s="14" t="n">
        <v>29.9</v>
      </c>
      <c r="D34" s="15" t="n">
        <v>0.07000000000000001</v>
      </c>
      <c r="E34" s="14" t="n">
        <v>17.34</v>
      </c>
      <c r="F34" s="17" t="n">
        <v>4</v>
      </c>
      <c r="G34" s="16">
        <f>IF($A34="","",IFERROR(SUMIF(tblVeriA[UrunKodu],$A34,tblVeriA[SatisFiyati])-SUMIF(tblVeriA[UrunKodu],$A34,tblVeriA[Maliyet])-SUMIF(tblVeriA[UrunKodu],$A34,tblVeriA[SatisFiyati])*$B34-$C34-SUMIF(tblVeriA[UrunKodu],$A34,tblVeriA[SatisFiyati])*$D34-$E34,0))</f>
        <v/>
      </c>
      <c r="H34" s="13" t="inlineStr">
        <is>
          <t>KendiSite</t>
        </is>
      </c>
      <c r="I34" s="13" t="inlineStr">
        <is>
          <t>2026-08</t>
        </is>
      </c>
      <c r="J34" s="16">
        <f>IF($A34="","",1)</f>
        <v/>
      </c>
    </row>
    <row r="35">
      <c r="A35" s="13" t="inlineStr">
        <is>
          <t>SKU10030</t>
        </is>
      </c>
      <c r="B35" s="15" t="n">
        <v>0.14</v>
      </c>
      <c r="C35" s="14" t="n">
        <v>39.9</v>
      </c>
      <c r="D35" s="15" t="n">
        <v>0.02</v>
      </c>
      <c r="E35" s="14" t="n">
        <v>17.8</v>
      </c>
      <c r="F35" s="17" t="n">
        <v>2.2</v>
      </c>
      <c r="G35" s="16">
        <f>IF($A35="","",IFERROR(SUMIF(tblVeriA[UrunKodu],$A35,tblVeriA[SatisFiyati])-SUMIF(tblVeriA[UrunKodu],$A35,tblVeriA[Maliyet])-SUMIF(tblVeriA[UrunKodu],$A35,tblVeriA[SatisFiyati])*$B35-$C35-SUMIF(tblVeriA[UrunKodu],$A35,tblVeriA[SatisFiyati])*$D35-$E35,0))</f>
        <v/>
      </c>
      <c r="H35" s="13" t="inlineStr">
        <is>
          <t>Trendyol</t>
        </is>
      </c>
      <c r="I35" s="13" t="inlineStr">
        <is>
          <t>2026-08</t>
        </is>
      </c>
      <c r="J35" s="16">
        <f>IF($A35="","",1)</f>
        <v/>
      </c>
    </row>
    <row r="36">
      <c r="A36" s="13" t="inlineStr">
        <is>
          <t>SKU10031</t>
        </is>
      </c>
      <c r="B36" s="15" t="n">
        <v>0.16</v>
      </c>
      <c r="C36" s="14" t="n">
        <v>29.9</v>
      </c>
      <c r="D36" s="15" t="n">
        <v>0.03</v>
      </c>
      <c r="E36" s="14" t="n">
        <v>18.26</v>
      </c>
      <c r="F36" s="17" t="n">
        <v>4</v>
      </c>
      <c r="G36" s="16">
        <f>IF($A36="","",IFERROR(SUMIF(tblVeriA[UrunKodu],$A36,tblVeriA[SatisFiyati])-SUMIF(tblVeriA[UrunKodu],$A36,tblVeriA[Maliyet])-SUMIF(tblVeriA[UrunKodu],$A36,tblVeriA[SatisFiyati])*$B36-$C36-SUMIF(tblVeriA[UrunKodu],$A36,tblVeriA[SatisFiyati])*$D36-$E36,0))</f>
        <v/>
      </c>
      <c r="H36" s="13" t="inlineStr">
        <is>
          <t>Hepsiburada</t>
        </is>
      </c>
      <c r="I36" s="13" t="inlineStr">
        <is>
          <t>2026-08</t>
        </is>
      </c>
      <c r="J36" s="16">
        <f>IF($A36="","",1)</f>
        <v/>
      </c>
    </row>
    <row r="37">
      <c r="A37" s="13" t="inlineStr">
        <is>
          <t>SKU10032</t>
        </is>
      </c>
      <c r="B37" s="15" t="n">
        <v>0.1</v>
      </c>
      <c r="C37" s="14" t="n">
        <v>29.9</v>
      </c>
      <c r="D37" s="15" t="n">
        <v>0.04</v>
      </c>
      <c r="E37" s="14" t="n">
        <v>46.8</v>
      </c>
      <c r="F37" s="17" t="n">
        <v>4</v>
      </c>
      <c r="G37" s="16">
        <f>IF($A37="","",IFERROR(SUMIF(tblVeriA[UrunKodu],$A37,tblVeriA[SatisFiyati])-SUMIF(tblVeriA[UrunKodu],$A37,tblVeriA[Maliyet])-SUMIF(tblVeriA[UrunKodu],$A37,tblVeriA[SatisFiyati])*$B37-$C37-SUMIF(tblVeriA[UrunKodu],$A37,tblVeriA[SatisFiyati])*$D37-$E37,0))</f>
        <v/>
      </c>
      <c r="H37" s="13" t="inlineStr">
        <is>
          <t>Amazon</t>
        </is>
      </c>
      <c r="I37" s="13" t="inlineStr">
        <is>
          <t>2026-08</t>
        </is>
      </c>
      <c r="J37" s="16">
        <f>IF($A37="","",1)</f>
        <v/>
      </c>
    </row>
    <row r="38">
      <c r="A38" s="13" t="inlineStr">
        <is>
          <t>SKU10033</t>
        </is>
      </c>
      <c r="B38" s="15" t="n">
        <v>0.12</v>
      </c>
      <c r="C38" s="14" t="n">
        <v>39.9</v>
      </c>
      <c r="D38" s="15" t="n">
        <v>0.05</v>
      </c>
      <c r="E38" s="14" t="n">
        <v>19.18</v>
      </c>
      <c r="F38" s="17" t="n">
        <v>4</v>
      </c>
      <c r="G38" s="16">
        <f>IF($A38="","",IFERROR(SUMIF(tblVeriA[UrunKodu],$A38,tblVeriA[SatisFiyati])-SUMIF(tblVeriA[UrunKodu],$A38,tblVeriA[Maliyet])-SUMIF(tblVeriA[UrunKodu],$A38,tblVeriA[SatisFiyati])*$B38-$C38-SUMIF(tblVeriA[UrunKodu],$A38,tblVeriA[SatisFiyati])*$D38-$E38,0))</f>
        <v/>
      </c>
      <c r="H38" s="13" t="inlineStr">
        <is>
          <t>N11</t>
        </is>
      </c>
      <c r="I38" s="13" t="inlineStr">
        <is>
          <t>2026-08</t>
        </is>
      </c>
      <c r="J38" s="16">
        <f>IF($A38="","",1)</f>
        <v/>
      </c>
    </row>
    <row r="39">
      <c r="A39" s="13" t="inlineStr">
        <is>
          <t>SKU10034</t>
        </is>
      </c>
      <c r="B39" s="15" t="n">
        <v>0.14</v>
      </c>
      <c r="C39" s="14" t="n">
        <v>29.9</v>
      </c>
      <c r="D39" s="15" t="n">
        <v>0.06</v>
      </c>
      <c r="E39" s="14" t="n">
        <v>19.64</v>
      </c>
      <c r="F39" s="17" t="n">
        <v>4</v>
      </c>
      <c r="G39" s="16">
        <f>IF($A39="","",IFERROR(SUMIF(tblVeriA[UrunKodu],$A39,tblVeriA[SatisFiyati])-SUMIF(tblVeriA[UrunKodu],$A39,tblVeriA[Maliyet])-SUMIF(tblVeriA[UrunKodu],$A39,tblVeriA[SatisFiyati])*$B39-$C39-SUMIF(tblVeriA[UrunKodu],$A39,tblVeriA[SatisFiyati])*$D39-$E39,0))</f>
        <v/>
      </c>
      <c r="H39" s="13" t="inlineStr">
        <is>
          <t>KendiSite</t>
        </is>
      </c>
      <c r="I39" s="13" t="inlineStr">
        <is>
          <t>2026-08</t>
        </is>
      </c>
      <c r="J39" s="16">
        <f>IF($A39="","",1)</f>
        <v/>
      </c>
    </row>
    <row r="40">
      <c r="A40" s="13" t="inlineStr">
        <is>
          <t>SKU10035</t>
        </is>
      </c>
      <c r="B40" s="15" t="n">
        <v>0.16</v>
      </c>
      <c r="C40" s="14" t="n">
        <v>29.9</v>
      </c>
      <c r="D40" s="15" t="n">
        <v>0.07000000000000001</v>
      </c>
      <c r="E40" s="14" t="n">
        <v>20.1</v>
      </c>
      <c r="F40" s="17" t="n">
        <v>2.2</v>
      </c>
      <c r="G40" s="16">
        <f>IF($A40="","",IFERROR(SUMIF(tblVeriA[UrunKodu],$A40,tblVeriA[SatisFiyati])-SUMIF(tblVeriA[UrunKodu],$A40,tblVeriA[Maliyet])-SUMIF(tblVeriA[UrunKodu],$A40,tblVeriA[SatisFiyati])*$B40-$C40-SUMIF(tblVeriA[UrunKodu],$A40,tblVeriA[SatisFiyati])*$D40-$E40,0))</f>
        <v/>
      </c>
      <c r="H40" s="13" t="inlineStr">
        <is>
          <t>Trendyol</t>
        </is>
      </c>
      <c r="I40" s="13" t="inlineStr">
        <is>
          <t>2026-08</t>
        </is>
      </c>
      <c r="J40" s="16">
        <f>IF($A40="","",1)</f>
        <v/>
      </c>
    </row>
    <row r="41">
      <c r="A41" s="13" t="n"/>
      <c r="B41" s="15" t="n"/>
      <c r="C41" s="14" t="n"/>
      <c r="D41" s="15" t="n"/>
      <c r="E41" s="14" t="n"/>
      <c r="F41" s="17" t="n"/>
      <c r="G41" s="16">
        <f>IF($A41="","",IFERROR(SUMIF(tblVeriA[UrunKodu],$A41,tblVeriA[SatisFiyati])-SUMIF(tblVeriA[UrunKodu],$A41,tblVeriA[Maliyet])-SUMIF(tblVeriA[UrunKodu],$A41,tblVeriA[SatisFiyati])*$B41-$C41-SUMIF(tblVeriA[UrunKodu],$A41,tblVeriA[SatisFiyati])*$D41-$E41,0))</f>
        <v/>
      </c>
      <c r="H41" s="13" t="n"/>
      <c r="I41" s="13" t="n"/>
      <c r="J41" s="16">
        <f>IF($A41="","",1)</f>
        <v/>
      </c>
    </row>
    <row r="42">
      <c r="A42" s="13" t="n"/>
      <c r="B42" s="15" t="n"/>
      <c r="C42" s="14" t="n"/>
      <c r="D42" s="15" t="n"/>
      <c r="E42" s="14" t="n"/>
      <c r="F42" s="17" t="n"/>
      <c r="G42" s="16">
        <f>IF($A42="","",IFERROR(SUMIF(tblVeriA[UrunKodu],$A42,tblVeriA[SatisFiyati])-SUMIF(tblVeriA[UrunKodu],$A42,tblVeriA[Maliyet])-SUMIF(tblVeriA[UrunKodu],$A42,tblVeriA[SatisFiyati])*$B42-$C42-SUMIF(tblVeriA[UrunKodu],$A42,tblVeriA[SatisFiyati])*$D42-$E42,0))</f>
        <v/>
      </c>
      <c r="H42" s="13" t="n"/>
      <c r="I42" s="13" t="n"/>
      <c r="J42" s="16">
        <f>IF($A42="","",1)</f>
        <v/>
      </c>
    </row>
    <row r="43">
      <c r="A43" s="13" t="n"/>
      <c r="B43" s="15" t="n"/>
      <c r="C43" s="14" t="n"/>
      <c r="D43" s="15" t="n"/>
      <c r="E43" s="14" t="n"/>
      <c r="F43" s="17" t="n"/>
      <c r="G43" s="16">
        <f>IF($A43="","",IFERROR(SUMIF(tblVeriA[UrunKodu],$A43,tblVeriA[SatisFiyati])-SUMIF(tblVeriA[UrunKodu],$A43,tblVeriA[Maliyet])-SUMIF(tblVeriA[UrunKodu],$A43,tblVeriA[SatisFiyati])*$B43-$C43-SUMIF(tblVeriA[UrunKodu],$A43,tblVeriA[SatisFiyati])*$D43-$E43,0))</f>
        <v/>
      </c>
      <c r="H43" s="13" t="n"/>
      <c r="I43" s="13" t="n"/>
      <c r="J43" s="16">
        <f>IF($A43="","",1)</f>
        <v/>
      </c>
    </row>
    <row r="44">
      <c r="A44" s="13" t="n"/>
      <c r="B44" s="15" t="n"/>
      <c r="C44" s="14" t="n"/>
      <c r="D44" s="15" t="n"/>
      <c r="E44" s="14" t="n"/>
      <c r="F44" s="17" t="n"/>
      <c r="G44" s="16">
        <f>IF($A44="","",IFERROR(SUMIF(tblVeriA[UrunKodu],$A44,tblVeriA[SatisFiyati])-SUMIF(tblVeriA[UrunKodu],$A44,tblVeriA[Maliyet])-SUMIF(tblVeriA[UrunKodu],$A44,tblVeriA[SatisFiyati])*$B44-$C44-SUMIF(tblVeriA[UrunKodu],$A44,tblVeriA[SatisFiyati])*$D44-$E44,0))</f>
        <v/>
      </c>
      <c r="H44" s="13" t="n"/>
      <c r="I44" s="13" t="n"/>
      <c r="J44" s="16">
        <f>IF($A44="","",1)</f>
        <v/>
      </c>
    </row>
    <row r="45">
      <c r="A45" s="13" t="n"/>
      <c r="B45" s="15" t="n"/>
      <c r="C45" s="14" t="n"/>
      <c r="D45" s="15" t="n"/>
      <c r="E45" s="14" t="n"/>
      <c r="F45" s="17" t="n"/>
      <c r="G45" s="16">
        <f>IF($A45="","",IFERROR(SUMIF(tblVeriA[UrunKodu],$A45,tblVeriA[SatisFiyati])-SUMIF(tblVeriA[UrunKodu],$A45,tblVeriA[Maliyet])-SUMIF(tblVeriA[UrunKodu],$A45,tblVeriA[SatisFiyati])*$B45-$C45-SUMIF(tblVeriA[UrunKodu],$A45,tblVeriA[SatisFiyati])*$D45-$E45,0))</f>
        <v/>
      </c>
      <c r="H45" s="13" t="n"/>
      <c r="I45" s="13" t="n"/>
      <c r="J45" s="16">
        <f>IF($A45="","",1)</f>
        <v/>
      </c>
    </row>
    <row r="46">
      <c r="A46" s="13" t="n"/>
      <c r="B46" s="15" t="n"/>
      <c r="C46" s="14" t="n"/>
      <c r="D46" s="15" t="n"/>
      <c r="E46" s="14" t="n"/>
      <c r="F46" s="17" t="n"/>
      <c r="G46" s="16">
        <f>IF($A46="","",IFERROR(SUMIF(tblVeriA[UrunKodu],$A46,tblVeriA[SatisFiyati])-SUMIF(tblVeriA[UrunKodu],$A46,tblVeriA[Maliyet])-SUMIF(tblVeriA[UrunKodu],$A46,tblVeriA[SatisFiyati])*$B46-$C46-SUMIF(tblVeriA[UrunKodu],$A46,tblVeriA[SatisFiyati])*$D46-$E46,0))</f>
        <v/>
      </c>
      <c r="H46" s="13" t="n"/>
      <c r="I46" s="13" t="n"/>
      <c r="J46" s="16">
        <f>IF($A46="","",1)</f>
        <v/>
      </c>
    </row>
    <row r="47">
      <c r="A47" s="13" t="n"/>
      <c r="B47" s="15" t="n"/>
      <c r="C47" s="14" t="n"/>
      <c r="D47" s="15" t="n"/>
      <c r="E47" s="14" t="n"/>
      <c r="F47" s="17" t="n"/>
      <c r="G47" s="16">
        <f>IF($A47="","",IFERROR(SUMIF(tblVeriA[UrunKodu],$A47,tblVeriA[SatisFiyati])-SUMIF(tblVeriA[UrunKodu],$A47,tblVeriA[Maliyet])-SUMIF(tblVeriA[UrunKodu],$A47,tblVeriA[SatisFiyati])*$B47-$C47-SUMIF(tblVeriA[UrunKodu],$A47,tblVeriA[SatisFiyati])*$D47-$E47,0))</f>
        <v/>
      </c>
      <c r="H47" s="13" t="n"/>
      <c r="I47" s="13" t="n"/>
      <c r="J47" s="16">
        <f>IF($A47="","",1)</f>
        <v/>
      </c>
    </row>
    <row r="48">
      <c r="A48" s="13" t="n"/>
      <c r="B48" s="15" t="n"/>
      <c r="C48" s="14" t="n"/>
      <c r="D48" s="15" t="n"/>
      <c r="E48" s="14" t="n"/>
      <c r="F48" s="17" t="n"/>
      <c r="G48" s="16">
        <f>IF($A48="","",IFERROR(SUMIF(tblVeriA[UrunKodu],$A48,tblVeriA[SatisFiyati])-SUMIF(tblVeriA[UrunKodu],$A48,tblVeriA[Maliyet])-SUMIF(tblVeriA[UrunKodu],$A48,tblVeriA[SatisFiyati])*$B48-$C48-SUMIF(tblVeriA[UrunKodu],$A48,tblVeriA[SatisFiyati])*$D48-$E48,0))</f>
        <v/>
      </c>
      <c r="H48" s="13" t="n"/>
      <c r="I48" s="13" t="n"/>
      <c r="J48" s="16">
        <f>IF($A48="","",1)</f>
        <v/>
      </c>
    </row>
    <row r="49">
      <c r="A49" s="13" t="n"/>
      <c r="B49" s="15" t="n"/>
      <c r="C49" s="14" t="n"/>
      <c r="D49" s="15" t="n"/>
      <c r="E49" s="14" t="n"/>
      <c r="F49" s="17" t="n"/>
      <c r="G49" s="16">
        <f>IF($A49="","",IFERROR(SUMIF(tblVeriA[UrunKodu],$A49,tblVeriA[SatisFiyati])-SUMIF(tblVeriA[UrunKodu],$A49,tblVeriA[Maliyet])-SUMIF(tblVeriA[UrunKodu],$A49,tblVeriA[SatisFiyati])*$B49-$C49-SUMIF(tblVeriA[UrunKodu],$A49,tblVeriA[SatisFiyati])*$D49-$E49,0))</f>
        <v/>
      </c>
      <c r="H49" s="13" t="n"/>
      <c r="I49" s="13" t="n"/>
      <c r="J49" s="16">
        <f>IF($A49="","",1)</f>
        <v/>
      </c>
    </row>
    <row r="50">
      <c r="A50" s="13" t="n"/>
      <c r="B50" s="15" t="n"/>
      <c r="C50" s="14" t="n"/>
      <c r="D50" s="15" t="n"/>
      <c r="E50" s="14" t="n"/>
      <c r="F50" s="17" t="n"/>
      <c r="G50" s="16">
        <f>IF($A50="","",IFERROR(SUMIF(tblVeriA[UrunKodu],$A50,tblVeriA[SatisFiyati])-SUMIF(tblVeriA[UrunKodu],$A50,tblVeriA[Maliyet])-SUMIF(tblVeriA[UrunKodu],$A50,tblVeriA[SatisFiyati])*$B50-$C50-SUMIF(tblVeriA[UrunKodu],$A50,tblVeriA[SatisFiyati])*$D50-$E50,0))</f>
        <v/>
      </c>
      <c r="H50" s="13" t="n"/>
      <c r="I50" s="13" t="n"/>
      <c r="J50" s="16">
        <f>IF($A50="","",1)</f>
        <v/>
      </c>
    </row>
    <row r="51">
      <c r="A51" s="13" t="n"/>
      <c r="B51" s="15" t="n"/>
      <c r="C51" s="14" t="n"/>
      <c r="D51" s="15" t="n"/>
      <c r="E51" s="14" t="n"/>
      <c r="F51" s="17" t="n"/>
      <c r="G51" s="16">
        <f>IF($A51="","",IFERROR(SUMIF(tblVeriA[UrunKodu],$A51,tblVeriA[SatisFiyati])-SUMIF(tblVeriA[UrunKodu],$A51,tblVeriA[Maliyet])-SUMIF(tblVeriA[UrunKodu],$A51,tblVeriA[SatisFiyati])*$B51-$C51-SUMIF(tblVeriA[UrunKodu],$A51,tblVeriA[SatisFiyati])*$D51-$E51,0))</f>
        <v/>
      </c>
      <c r="H51" s="13" t="n"/>
      <c r="I51" s="13" t="n"/>
      <c r="J51" s="16">
        <f>IF($A51="","",1)</f>
        <v/>
      </c>
    </row>
    <row r="52">
      <c r="A52" s="13" t="n"/>
      <c r="B52" s="15" t="n"/>
      <c r="C52" s="14" t="n"/>
      <c r="D52" s="15" t="n"/>
      <c r="E52" s="14" t="n"/>
      <c r="F52" s="17" t="n"/>
      <c r="G52" s="16">
        <f>IF($A52="","",IFERROR(SUMIF(tblVeriA[UrunKodu],$A52,tblVeriA[SatisFiyati])-SUMIF(tblVeriA[UrunKodu],$A52,tblVeriA[Maliyet])-SUMIF(tblVeriA[UrunKodu],$A52,tblVeriA[SatisFiyati])*$B52-$C52-SUMIF(tblVeriA[UrunKodu],$A52,tblVeriA[SatisFiyati])*$D52-$E52,0))</f>
        <v/>
      </c>
      <c r="H52" s="13" t="n"/>
      <c r="I52" s="13" t="n"/>
      <c r="J52" s="16">
        <f>IF($A52="","",1)</f>
        <v/>
      </c>
    </row>
    <row r="53">
      <c r="A53" s="13" t="n"/>
      <c r="B53" s="15" t="n"/>
      <c r="C53" s="14" t="n"/>
      <c r="D53" s="15" t="n"/>
      <c r="E53" s="14" t="n"/>
      <c r="F53" s="17" t="n"/>
      <c r="G53" s="16">
        <f>IF($A53="","",IFERROR(SUMIF(tblVeriA[UrunKodu],$A53,tblVeriA[SatisFiyati])-SUMIF(tblVeriA[UrunKodu],$A53,tblVeriA[Maliyet])-SUMIF(tblVeriA[UrunKodu],$A53,tblVeriA[SatisFiyati])*$B53-$C53-SUMIF(tblVeriA[UrunKodu],$A53,tblVeriA[SatisFiyati])*$D53-$E53,0))</f>
        <v/>
      </c>
      <c r="H53" s="13" t="n"/>
      <c r="I53" s="13" t="n"/>
      <c r="J53" s="16">
        <f>IF($A53="","",1)</f>
        <v/>
      </c>
    </row>
    <row r="54">
      <c r="A54" s="13" t="n"/>
      <c r="B54" s="15" t="n"/>
      <c r="C54" s="14" t="n"/>
      <c r="D54" s="15" t="n"/>
      <c r="E54" s="14" t="n"/>
      <c r="F54" s="17" t="n"/>
      <c r="G54" s="16">
        <f>IF($A54="","",IFERROR(SUMIF(tblVeriA[UrunKodu],$A54,tblVeriA[SatisFiyati])-SUMIF(tblVeriA[UrunKodu],$A54,tblVeriA[Maliyet])-SUMIF(tblVeriA[UrunKodu],$A54,tblVeriA[SatisFiyati])*$B54-$C54-SUMIF(tblVeriA[UrunKodu],$A54,tblVeriA[SatisFiyati])*$D54-$E54,0))</f>
        <v/>
      </c>
      <c r="H54" s="13" t="n"/>
      <c r="I54" s="13" t="n"/>
      <c r="J54" s="16">
        <f>IF($A54="","",1)</f>
        <v/>
      </c>
    </row>
    <row r="55">
      <c r="A55" s="13" t="n"/>
      <c r="B55" s="15" t="n"/>
      <c r="C55" s="14" t="n"/>
      <c r="D55" s="15" t="n"/>
      <c r="E55" s="14" t="n"/>
      <c r="F55" s="17" t="n"/>
      <c r="G55" s="16">
        <f>IF($A55="","",IFERROR(SUMIF(tblVeriA[UrunKodu],$A55,tblVeriA[SatisFiyati])-SUMIF(tblVeriA[UrunKodu],$A55,tblVeriA[Maliyet])-SUMIF(tblVeriA[UrunKodu],$A55,tblVeriA[SatisFiyati])*$B55-$C55-SUMIF(tblVeriA[UrunKodu],$A55,tblVeriA[SatisFiyati])*$D55-$E55,0))</f>
        <v/>
      </c>
      <c r="H55" s="13" t="n"/>
      <c r="I55" s="13" t="n"/>
      <c r="J55" s="16">
        <f>IF($A55="","",1)</f>
        <v/>
      </c>
    </row>
    <row r="56">
      <c r="A56" s="13" t="n"/>
      <c r="B56" s="15" t="n"/>
      <c r="C56" s="14" t="n"/>
      <c r="D56" s="15" t="n"/>
      <c r="E56" s="14" t="n"/>
      <c r="F56" s="17" t="n"/>
      <c r="G56" s="16">
        <f>IF($A56="","",IFERROR(SUMIF(tblVeriA[UrunKodu],$A56,tblVeriA[SatisFiyati])-SUMIF(tblVeriA[UrunKodu],$A56,tblVeriA[Maliyet])-SUMIF(tblVeriA[UrunKodu],$A56,tblVeriA[SatisFiyati])*$B56-$C56-SUMIF(tblVeriA[UrunKodu],$A56,tblVeriA[SatisFiyati])*$D56-$E56,0))</f>
        <v/>
      </c>
      <c r="H56" s="13" t="n"/>
      <c r="I56" s="13" t="n"/>
      <c r="J56" s="16">
        <f>IF($A56="","",1)</f>
        <v/>
      </c>
    </row>
    <row r="57">
      <c r="A57" s="13" t="n"/>
      <c r="B57" s="15" t="n"/>
      <c r="C57" s="14" t="n"/>
      <c r="D57" s="15" t="n"/>
      <c r="E57" s="14" t="n"/>
      <c r="F57" s="17" t="n"/>
      <c r="G57" s="16">
        <f>IF($A57="","",IFERROR(SUMIF(tblVeriA[UrunKodu],$A57,tblVeriA[SatisFiyati])-SUMIF(tblVeriA[UrunKodu],$A57,tblVeriA[Maliyet])-SUMIF(tblVeriA[UrunKodu],$A57,tblVeriA[SatisFiyati])*$B57-$C57-SUMIF(tblVeriA[UrunKodu],$A57,tblVeriA[SatisFiyati])*$D57-$E57,0))</f>
        <v/>
      </c>
      <c r="H57" s="13" t="n"/>
      <c r="I57" s="13" t="n"/>
      <c r="J57" s="16">
        <f>IF($A57="","",1)</f>
        <v/>
      </c>
    </row>
    <row r="58">
      <c r="A58" s="13" t="n"/>
      <c r="B58" s="15" t="n"/>
      <c r="C58" s="14" t="n"/>
      <c r="D58" s="15" t="n"/>
      <c r="E58" s="14" t="n"/>
      <c r="F58" s="17" t="n"/>
      <c r="G58" s="16">
        <f>IF($A58="","",IFERROR(SUMIF(tblVeriA[UrunKodu],$A58,tblVeriA[SatisFiyati])-SUMIF(tblVeriA[UrunKodu],$A58,tblVeriA[Maliyet])-SUMIF(tblVeriA[UrunKodu],$A58,tblVeriA[SatisFiyati])*$B58-$C58-SUMIF(tblVeriA[UrunKodu],$A58,tblVeriA[SatisFiyati])*$D58-$E58,0))</f>
        <v/>
      </c>
      <c r="H58" s="13" t="n"/>
      <c r="I58" s="13" t="n"/>
      <c r="J58" s="16">
        <f>IF($A58="","",1)</f>
        <v/>
      </c>
    </row>
    <row r="59">
      <c r="A59" s="13" t="n"/>
      <c r="B59" s="15" t="n"/>
      <c r="C59" s="14" t="n"/>
      <c r="D59" s="15" t="n"/>
      <c r="E59" s="14" t="n"/>
      <c r="F59" s="17" t="n"/>
      <c r="G59" s="16">
        <f>IF($A59="","",IFERROR(SUMIF(tblVeriA[UrunKodu],$A59,tblVeriA[SatisFiyati])-SUMIF(tblVeriA[UrunKodu],$A59,tblVeriA[Maliyet])-SUMIF(tblVeriA[UrunKodu],$A59,tblVeriA[SatisFiyati])*$B59-$C59-SUMIF(tblVeriA[UrunKodu],$A59,tblVeriA[SatisFiyati])*$D59-$E59,0))</f>
        <v/>
      </c>
      <c r="H59" s="13" t="n"/>
      <c r="I59" s="13" t="n"/>
      <c r="J59" s="16">
        <f>IF($A59="","",1)</f>
        <v/>
      </c>
    </row>
    <row r="60">
      <c r="A60" s="13" t="n"/>
      <c r="B60" s="15" t="n"/>
      <c r="C60" s="14" t="n"/>
      <c r="D60" s="15" t="n"/>
      <c r="E60" s="14" t="n"/>
      <c r="F60" s="17" t="n"/>
      <c r="G60" s="16">
        <f>IF($A60="","",IFERROR(SUMIF(tblVeriA[UrunKodu],$A60,tblVeriA[SatisFiyati])-SUMIF(tblVeriA[UrunKodu],$A60,tblVeriA[Maliyet])-SUMIF(tblVeriA[UrunKodu],$A60,tblVeriA[SatisFiyati])*$B60-$C60-SUMIF(tblVeriA[UrunKodu],$A60,tblVeriA[SatisFiyati])*$D60-$E60,0))</f>
        <v/>
      </c>
      <c r="H60" s="13" t="n"/>
      <c r="I60" s="13" t="n"/>
      <c r="J60" s="16">
        <f>IF($A60="","",1)</f>
        <v/>
      </c>
    </row>
    <row r="61">
      <c r="A61" s="13" t="n"/>
      <c r="B61" s="15" t="n"/>
      <c r="C61" s="14" t="n"/>
      <c r="D61" s="15" t="n"/>
      <c r="E61" s="14" t="n"/>
      <c r="F61" s="17" t="n"/>
      <c r="G61" s="16">
        <f>IF($A61="","",IFERROR(SUMIF(tblVeriA[UrunKodu],$A61,tblVeriA[SatisFiyati])-SUMIF(tblVeriA[UrunKodu],$A61,tblVeriA[Maliyet])-SUMIF(tblVeriA[UrunKodu],$A61,tblVeriA[SatisFiyati])*$B61-$C61-SUMIF(tblVeriA[UrunKodu],$A61,tblVeriA[SatisFiyati])*$D61-$E61,0))</f>
        <v/>
      </c>
      <c r="H61" s="13" t="n"/>
      <c r="I61" s="13" t="n"/>
      <c r="J61" s="16">
        <f>IF($A61="","",1)</f>
        <v/>
      </c>
    </row>
    <row r="62">
      <c r="A62" s="13" t="n"/>
      <c r="B62" s="15" t="n"/>
      <c r="C62" s="14" t="n"/>
      <c r="D62" s="15" t="n"/>
      <c r="E62" s="14" t="n"/>
      <c r="F62" s="17" t="n"/>
      <c r="G62" s="16">
        <f>IF($A62="","",IFERROR(SUMIF(tblVeriA[UrunKodu],$A62,tblVeriA[SatisFiyati])-SUMIF(tblVeriA[UrunKodu],$A62,tblVeriA[Maliyet])-SUMIF(tblVeriA[UrunKodu],$A62,tblVeriA[SatisFiyati])*$B62-$C62-SUMIF(tblVeriA[UrunKodu],$A62,tblVeriA[SatisFiyati])*$D62-$E62,0))</f>
        <v/>
      </c>
      <c r="H62" s="13" t="n"/>
      <c r="I62" s="13" t="n"/>
      <c r="J62" s="16">
        <f>IF($A62="","",1)</f>
        <v/>
      </c>
    </row>
    <row r="63">
      <c r="A63" s="13" t="n"/>
      <c r="B63" s="15" t="n"/>
      <c r="C63" s="14" t="n"/>
      <c r="D63" s="15" t="n"/>
      <c r="E63" s="14" t="n"/>
      <c r="F63" s="17" t="n"/>
      <c r="G63" s="16">
        <f>IF($A63="","",IFERROR(SUMIF(tblVeriA[UrunKodu],$A63,tblVeriA[SatisFiyati])-SUMIF(tblVeriA[UrunKodu],$A63,tblVeriA[Maliyet])-SUMIF(tblVeriA[UrunKodu],$A63,tblVeriA[SatisFiyati])*$B63-$C63-SUMIF(tblVeriA[UrunKodu],$A63,tblVeriA[SatisFiyati])*$D63-$E63,0))</f>
        <v/>
      </c>
      <c r="H63" s="13" t="n"/>
      <c r="I63" s="13" t="n"/>
      <c r="J63" s="16">
        <f>IF($A63="","",1)</f>
        <v/>
      </c>
    </row>
    <row r="64">
      <c r="A64" s="13" t="n"/>
      <c r="B64" s="15" t="n"/>
      <c r="C64" s="14" t="n"/>
      <c r="D64" s="15" t="n"/>
      <c r="E64" s="14" t="n"/>
      <c r="F64" s="17" t="n"/>
      <c r="G64" s="16">
        <f>IF($A64="","",IFERROR(SUMIF(tblVeriA[UrunKodu],$A64,tblVeriA[SatisFiyati])-SUMIF(tblVeriA[UrunKodu],$A64,tblVeriA[Maliyet])-SUMIF(tblVeriA[UrunKodu],$A64,tblVeriA[SatisFiyati])*$B64-$C64-SUMIF(tblVeriA[UrunKodu],$A64,tblVeriA[SatisFiyati])*$D64-$E64,0))</f>
        <v/>
      </c>
      <c r="H64" s="13" t="n"/>
      <c r="I64" s="13" t="n"/>
      <c r="J64" s="16">
        <f>IF($A64="","",1)</f>
        <v/>
      </c>
    </row>
    <row r="65">
      <c r="A65" s="13" t="n"/>
      <c r="B65" s="15" t="n"/>
      <c r="C65" s="14" t="n"/>
      <c r="D65" s="15" t="n"/>
      <c r="E65" s="14" t="n"/>
      <c r="F65" s="17" t="n"/>
      <c r="G65" s="16">
        <f>IF($A65="","",IFERROR(SUMIF(tblVeriA[UrunKodu],$A65,tblVeriA[SatisFiyati])-SUMIF(tblVeriA[UrunKodu],$A65,tblVeriA[Maliyet])-SUMIF(tblVeriA[UrunKodu],$A65,tblVeriA[SatisFiyati])*$B65-$C65-SUMIF(tblVeriA[UrunKodu],$A65,tblVeriA[SatisFiyati])*$D65-$E65,0))</f>
        <v/>
      </c>
      <c r="H65" s="13" t="n"/>
      <c r="I65" s="13" t="n"/>
      <c r="J65" s="16">
        <f>IF($A65="","",1)</f>
        <v/>
      </c>
    </row>
    <row r="66">
      <c r="A66" s="13" t="n"/>
      <c r="B66" s="15" t="n"/>
      <c r="C66" s="14" t="n"/>
      <c r="D66" s="15" t="n"/>
      <c r="E66" s="14" t="n"/>
      <c r="F66" s="17" t="n"/>
      <c r="G66" s="16">
        <f>IF($A66="","",IFERROR(SUMIF(tblVeriA[UrunKodu],$A66,tblVeriA[SatisFiyati])-SUMIF(tblVeriA[UrunKodu],$A66,tblVeriA[Maliyet])-SUMIF(tblVeriA[UrunKodu],$A66,tblVeriA[SatisFiyati])*$B66-$C66-SUMIF(tblVeriA[UrunKodu],$A66,tblVeriA[SatisFiyati])*$D66-$E66,0))</f>
        <v/>
      </c>
      <c r="H66" s="13" t="n"/>
      <c r="I66" s="13" t="n"/>
      <c r="J66" s="16">
        <f>IF($A66="","",1)</f>
        <v/>
      </c>
    </row>
    <row r="67">
      <c r="A67" s="13" t="n"/>
      <c r="B67" s="15" t="n"/>
      <c r="C67" s="14" t="n"/>
      <c r="D67" s="15" t="n"/>
      <c r="E67" s="14" t="n"/>
      <c r="F67" s="17" t="n"/>
      <c r="G67" s="16">
        <f>IF($A67="","",IFERROR(SUMIF(tblVeriA[UrunKodu],$A67,tblVeriA[SatisFiyati])-SUMIF(tblVeriA[UrunKodu],$A67,tblVeriA[Maliyet])-SUMIF(tblVeriA[UrunKodu],$A67,tblVeriA[SatisFiyati])*$B67-$C67-SUMIF(tblVeriA[UrunKodu],$A67,tblVeriA[SatisFiyati])*$D67-$E67,0))</f>
        <v/>
      </c>
      <c r="H67" s="13" t="n"/>
      <c r="I67" s="13" t="n"/>
      <c r="J67" s="16">
        <f>IF($A67="","",1)</f>
        <v/>
      </c>
    </row>
    <row r="68">
      <c r="A68" s="13" t="n"/>
      <c r="B68" s="15" t="n"/>
      <c r="C68" s="14" t="n"/>
      <c r="D68" s="15" t="n"/>
      <c r="E68" s="14" t="n"/>
      <c r="F68" s="17" t="n"/>
      <c r="G68" s="16">
        <f>IF($A68="","",IFERROR(SUMIF(tblVeriA[UrunKodu],$A68,tblVeriA[SatisFiyati])-SUMIF(tblVeriA[UrunKodu],$A68,tblVeriA[Maliyet])-SUMIF(tblVeriA[UrunKodu],$A68,tblVeriA[SatisFiyati])*$B68-$C68-SUMIF(tblVeriA[UrunKodu],$A68,tblVeriA[SatisFiyati])*$D68-$E68,0))</f>
        <v/>
      </c>
      <c r="H68" s="13" t="n"/>
      <c r="I68" s="13" t="n"/>
      <c r="J68" s="16">
        <f>IF($A68="","",1)</f>
        <v/>
      </c>
    </row>
    <row r="69">
      <c r="A69" s="13" t="n"/>
      <c r="B69" s="15" t="n"/>
      <c r="C69" s="14" t="n"/>
      <c r="D69" s="15" t="n"/>
      <c r="E69" s="14" t="n"/>
      <c r="F69" s="17" t="n"/>
      <c r="G69" s="16">
        <f>IF($A69="","",IFERROR(SUMIF(tblVeriA[UrunKodu],$A69,tblVeriA[SatisFiyati])-SUMIF(tblVeriA[UrunKodu],$A69,tblVeriA[Maliyet])-SUMIF(tblVeriA[UrunKodu],$A69,tblVeriA[SatisFiyati])*$B69-$C69-SUMIF(tblVeriA[UrunKodu],$A69,tblVeriA[SatisFiyati])*$D69-$E69,0))</f>
        <v/>
      </c>
      <c r="H69" s="13" t="n"/>
      <c r="I69" s="13" t="n"/>
      <c r="J69" s="16">
        <f>IF($A69="","",1)</f>
        <v/>
      </c>
    </row>
    <row r="70">
      <c r="A70" s="13" t="n"/>
      <c r="B70" s="15" t="n"/>
      <c r="C70" s="14" t="n"/>
      <c r="D70" s="15" t="n"/>
      <c r="E70" s="14" t="n"/>
      <c r="F70" s="17" t="n"/>
      <c r="G70" s="16">
        <f>IF($A70="","",IFERROR(SUMIF(tblVeriA[UrunKodu],$A70,tblVeriA[SatisFiyati])-SUMIF(tblVeriA[UrunKodu],$A70,tblVeriA[Maliyet])-SUMIF(tblVeriA[UrunKodu],$A70,tblVeriA[SatisFiyati])*$B70-$C70-SUMIF(tblVeriA[UrunKodu],$A70,tblVeriA[SatisFiyati])*$D70-$E70,0))</f>
        <v/>
      </c>
      <c r="H70" s="13" t="n"/>
      <c r="I70" s="13" t="n"/>
      <c r="J70" s="16">
        <f>IF($A70="","",1)</f>
        <v/>
      </c>
    </row>
    <row r="71">
      <c r="A71" s="13" t="n"/>
      <c r="B71" s="15" t="n"/>
      <c r="C71" s="14" t="n"/>
      <c r="D71" s="15" t="n"/>
      <c r="E71" s="14" t="n"/>
      <c r="F71" s="17" t="n"/>
      <c r="G71" s="16">
        <f>IF($A71="","",IFERROR(SUMIF(tblVeriA[UrunKodu],$A71,tblVeriA[SatisFiyati])-SUMIF(tblVeriA[UrunKodu],$A71,tblVeriA[Maliyet])-SUMIF(tblVeriA[UrunKodu],$A71,tblVeriA[SatisFiyati])*$B71-$C71-SUMIF(tblVeriA[UrunKodu],$A71,tblVeriA[SatisFiyati])*$D71-$E71,0))</f>
        <v/>
      </c>
      <c r="H71" s="13" t="n"/>
      <c r="I71" s="13" t="n"/>
      <c r="J71" s="16">
        <f>IF($A71="","",1)</f>
        <v/>
      </c>
    </row>
    <row r="72">
      <c r="A72" s="13" t="n"/>
      <c r="B72" s="15" t="n"/>
      <c r="C72" s="14" t="n"/>
      <c r="D72" s="15" t="n"/>
      <c r="E72" s="14" t="n"/>
      <c r="F72" s="17" t="n"/>
      <c r="G72" s="16">
        <f>IF($A72="","",IFERROR(SUMIF(tblVeriA[UrunKodu],$A72,tblVeriA[SatisFiyati])-SUMIF(tblVeriA[UrunKodu],$A72,tblVeriA[Maliyet])-SUMIF(tblVeriA[UrunKodu],$A72,tblVeriA[SatisFiyati])*$B72-$C72-SUMIF(tblVeriA[UrunKodu],$A72,tblVeriA[SatisFiyati])*$D72-$E72,0))</f>
        <v/>
      </c>
      <c r="H72" s="13" t="n"/>
      <c r="I72" s="13" t="n"/>
      <c r="J72" s="16">
        <f>IF($A72="","",1)</f>
        <v/>
      </c>
    </row>
    <row r="73">
      <c r="A73" s="13" t="n"/>
      <c r="B73" s="15" t="n"/>
      <c r="C73" s="14" t="n"/>
      <c r="D73" s="15" t="n"/>
      <c r="E73" s="14" t="n"/>
      <c r="F73" s="17" t="n"/>
      <c r="G73" s="16">
        <f>IF($A73="","",IFERROR(SUMIF(tblVeriA[UrunKodu],$A73,tblVeriA[SatisFiyati])-SUMIF(tblVeriA[UrunKodu],$A73,tblVeriA[Maliyet])-SUMIF(tblVeriA[UrunKodu],$A73,tblVeriA[SatisFiyati])*$B73-$C73-SUMIF(tblVeriA[UrunKodu],$A73,tblVeriA[SatisFiyati])*$D73-$E73,0))</f>
        <v/>
      </c>
      <c r="H73" s="13" t="n"/>
      <c r="I73" s="13" t="n"/>
      <c r="J73" s="16">
        <f>IF($A73="","",1)</f>
        <v/>
      </c>
    </row>
    <row r="74">
      <c r="A74" s="13" t="n"/>
      <c r="B74" s="15" t="n"/>
      <c r="C74" s="14" t="n"/>
      <c r="D74" s="15" t="n"/>
      <c r="E74" s="14" t="n"/>
      <c r="F74" s="17" t="n"/>
      <c r="G74" s="16">
        <f>IF($A74="","",IFERROR(SUMIF(tblVeriA[UrunKodu],$A74,tblVeriA[SatisFiyati])-SUMIF(tblVeriA[UrunKodu],$A74,tblVeriA[Maliyet])-SUMIF(tblVeriA[UrunKodu],$A74,tblVeriA[SatisFiyati])*$B74-$C74-SUMIF(tblVeriA[UrunKodu],$A74,tblVeriA[SatisFiyati])*$D74-$E74,0))</f>
        <v/>
      </c>
      <c r="H74" s="13" t="n"/>
      <c r="I74" s="13" t="n"/>
      <c r="J74" s="16">
        <f>IF($A74="","",1)</f>
        <v/>
      </c>
    </row>
    <row r="75">
      <c r="A75" s="13" t="n"/>
      <c r="B75" s="15" t="n"/>
      <c r="C75" s="14" t="n"/>
      <c r="D75" s="15" t="n"/>
      <c r="E75" s="14" t="n"/>
      <c r="F75" s="17" t="n"/>
      <c r="G75" s="16">
        <f>IF($A75="","",IFERROR(SUMIF(tblVeriA[UrunKodu],$A75,tblVeriA[SatisFiyati])-SUMIF(tblVeriA[UrunKodu],$A75,tblVeriA[Maliyet])-SUMIF(tblVeriA[UrunKodu],$A75,tblVeriA[SatisFiyati])*$B75-$C75-SUMIF(tblVeriA[UrunKodu],$A75,tblVeriA[SatisFiyati])*$D75-$E75,0))</f>
        <v/>
      </c>
      <c r="H75" s="13" t="n"/>
      <c r="I75" s="13" t="n"/>
      <c r="J75" s="16">
        <f>IF($A75="","",1)</f>
        <v/>
      </c>
    </row>
    <row r="76">
      <c r="A76" s="13" t="n"/>
      <c r="B76" s="15" t="n"/>
      <c r="C76" s="14" t="n"/>
      <c r="D76" s="15" t="n"/>
      <c r="E76" s="14" t="n"/>
      <c r="F76" s="17" t="n"/>
      <c r="G76" s="16">
        <f>IF($A76="","",IFERROR(SUMIF(tblVeriA[UrunKodu],$A76,tblVeriA[SatisFiyati])-SUMIF(tblVeriA[UrunKodu],$A76,tblVeriA[Maliyet])-SUMIF(tblVeriA[UrunKodu],$A76,tblVeriA[SatisFiyati])*$B76-$C76-SUMIF(tblVeriA[UrunKodu],$A76,tblVeriA[SatisFiyati])*$D76-$E76,0))</f>
        <v/>
      </c>
      <c r="H76" s="13" t="n"/>
      <c r="I76" s="13" t="n"/>
      <c r="J76" s="16">
        <f>IF($A76="","",1)</f>
        <v/>
      </c>
    </row>
    <row r="77">
      <c r="A77" s="13" t="n"/>
      <c r="B77" s="15" t="n"/>
      <c r="C77" s="14" t="n"/>
      <c r="D77" s="15" t="n"/>
      <c r="E77" s="14" t="n"/>
      <c r="F77" s="17" t="n"/>
      <c r="G77" s="16">
        <f>IF($A77="","",IFERROR(SUMIF(tblVeriA[UrunKodu],$A77,tblVeriA[SatisFiyati])-SUMIF(tblVeriA[UrunKodu],$A77,tblVeriA[Maliyet])-SUMIF(tblVeriA[UrunKodu],$A77,tblVeriA[SatisFiyati])*$B77-$C77-SUMIF(tblVeriA[UrunKodu],$A77,tblVeriA[SatisFiyati])*$D77-$E77,0))</f>
        <v/>
      </c>
      <c r="H77" s="13" t="n"/>
      <c r="I77" s="13" t="n"/>
      <c r="J77" s="16">
        <f>IF($A77="","",1)</f>
        <v/>
      </c>
    </row>
    <row r="78">
      <c r="A78" s="13" t="n"/>
      <c r="B78" s="15" t="n"/>
      <c r="C78" s="14" t="n"/>
      <c r="D78" s="15" t="n"/>
      <c r="E78" s="14" t="n"/>
      <c r="F78" s="17" t="n"/>
      <c r="G78" s="16">
        <f>IF($A78="","",IFERROR(SUMIF(tblVeriA[UrunKodu],$A78,tblVeriA[SatisFiyati])-SUMIF(tblVeriA[UrunKodu],$A78,tblVeriA[Maliyet])-SUMIF(tblVeriA[UrunKodu],$A78,tblVeriA[SatisFiyati])*$B78-$C78-SUMIF(tblVeriA[UrunKodu],$A78,tblVeriA[SatisFiyati])*$D78-$E78,0))</f>
        <v/>
      </c>
      <c r="H78" s="13" t="n"/>
      <c r="I78" s="13" t="n"/>
      <c r="J78" s="16">
        <f>IF($A78="","",1)</f>
        <v/>
      </c>
    </row>
    <row r="79">
      <c r="A79" s="13" t="n"/>
      <c r="B79" s="15" t="n"/>
      <c r="C79" s="14" t="n"/>
      <c r="D79" s="15" t="n"/>
      <c r="E79" s="14" t="n"/>
      <c r="F79" s="17" t="n"/>
      <c r="G79" s="16">
        <f>IF($A79="","",IFERROR(SUMIF(tblVeriA[UrunKodu],$A79,tblVeriA[SatisFiyati])-SUMIF(tblVeriA[UrunKodu],$A79,tblVeriA[Maliyet])-SUMIF(tblVeriA[UrunKodu],$A79,tblVeriA[SatisFiyati])*$B79-$C79-SUMIF(tblVeriA[UrunKodu],$A79,tblVeriA[SatisFiyati])*$D79-$E79,0))</f>
        <v/>
      </c>
      <c r="H79" s="13" t="n"/>
      <c r="I79" s="13" t="n"/>
      <c r="J79" s="16">
        <f>IF($A79="","",1)</f>
        <v/>
      </c>
    </row>
    <row r="80">
      <c r="A80" s="13" t="n"/>
      <c r="B80" s="15" t="n"/>
      <c r="C80" s="14" t="n"/>
      <c r="D80" s="15" t="n"/>
      <c r="E80" s="14" t="n"/>
      <c r="F80" s="17" t="n"/>
      <c r="G80" s="16">
        <f>IF($A80="","",IFERROR(SUMIF(tblVeriA[UrunKodu],$A80,tblVeriA[SatisFiyati])-SUMIF(tblVeriA[UrunKodu],$A80,tblVeriA[Maliyet])-SUMIF(tblVeriA[UrunKodu],$A80,tblVeriA[SatisFiyati])*$B80-$C80-SUMIF(tblVeriA[UrunKodu],$A80,tblVeriA[SatisFiyati])*$D80-$E80,0))</f>
        <v/>
      </c>
      <c r="H80" s="13" t="n"/>
      <c r="I80" s="13" t="n"/>
      <c r="J80" s="16">
        <f>IF($A80="","",1)</f>
        <v/>
      </c>
    </row>
    <row r="81">
      <c r="A81" s="13" t="n"/>
      <c r="B81" s="15" t="n"/>
      <c r="C81" s="14" t="n"/>
      <c r="D81" s="15" t="n"/>
      <c r="E81" s="14" t="n"/>
      <c r="F81" s="17" t="n"/>
      <c r="G81" s="16">
        <f>IF($A81="","",IFERROR(SUMIF(tblVeriA[UrunKodu],$A81,tblVeriA[SatisFiyati])-SUMIF(tblVeriA[UrunKodu],$A81,tblVeriA[Maliyet])-SUMIF(tblVeriA[UrunKodu],$A81,tblVeriA[SatisFiyati])*$B81-$C81-SUMIF(tblVeriA[UrunKodu],$A81,tblVeriA[SatisFiyati])*$D81-$E81,0))</f>
        <v/>
      </c>
      <c r="H81" s="13" t="n"/>
      <c r="I81" s="13" t="n"/>
      <c r="J81" s="16">
        <f>IF($A81="","",1)</f>
        <v/>
      </c>
    </row>
    <row r="82">
      <c r="A82" s="13" t="n"/>
      <c r="B82" s="15" t="n"/>
      <c r="C82" s="14" t="n"/>
      <c r="D82" s="15" t="n"/>
      <c r="E82" s="14" t="n"/>
      <c r="F82" s="17" t="n"/>
      <c r="G82" s="16">
        <f>IF($A82="","",IFERROR(SUMIF(tblVeriA[UrunKodu],$A82,tblVeriA[SatisFiyati])-SUMIF(tblVeriA[UrunKodu],$A82,tblVeriA[Maliyet])-SUMIF(tblVeriA[UrunKodu],$A82,tblVeriA[SatisFiyati])*$B82-$C82-SUMIF(tblVeriA[UrunKodu],$A82,tblVeriA[SatisFiyati])*$D82-$E82,0))</f>
        <v/>
      </c>
      <c r="H82" s="13" t="n"/>
      <c r="I82" s="13" t="n"/>
      <c r="J82" s="16">
        <f>IF($A82="","",1)</f>
        <v/>
      </c>
    </row>
    <row r="83">
      <c r="A83" s="13" t="n"/>
      <c r="B83" s="15" t="n"/>
      <c r="C83" s="14" t="n"/>
      <c r="D83" s="15" t="n"/>
      <c r="E83" s="14" t="n"/>
      <c r="F83" s="17" t="n"/>
      <c r="G83" s="16">
        <f>IF($A83="","",IFERROR(SUMIF(tblVeriA[UrunKodu],$A83,tblVeriA[SatisFiyati])-SUMIF(tblVeriA[UrunKodu],$A83,tblVeriA[Maliyet])-SUMIF(tblVeriA[UrunKodu],$A83,tblVeriA[SatisFiyati])*$B83-$C83-SUMIF(tblVeriA[UrunKodu],$A83,tblVeriA[SatisFiyati])*$D83-$E83,0))</f>
        <v/>
      </c>
      <c r="H83" s="13" t="n"/>
      <c r="I83" s="13" t="n"/>
      <c r="J83" s="16">
        <f>IF($A83="","",1)</f>
        <v/>
      </c>
    </row>
    <row r="84">
      <c r="A84" s="13" t="n"/>
      <c r="B84" s="15" t="n"/>
      <c r="C84" s="14" t="n"/>
      <c r="D84" s="15" t="n"/>
      <c r="E84" s="14" t="n"/>
      <c r="F84" s="17" t="n"/>
      <c r="G84" s="16">
        <f>IF($A84="","",IFERROR(SUMIF(tblVeriA[UrunKodu],$A84,tblVeriA[SatisFiyati])-SUMIF(tblVeriA[UrunKodu],$A84,tblVeriA[Maliyet])-SUMIF(tblVeriA[UrunKodu],$A84,tblVeriA[SatisFiyati])*$B84-$C84-SUMIF(tblVeriA[UrunKodu],$A84,tblVeriA[SatisFiyati])*$D84-$E84,0))</f>
        <v/>
      </c>
      <c r="H84" s="13" t="n"/>
      <c r="I84" s="13" t="n"/>
      <c r="J84" s="16">
        <f>IF($A84="","",1)</f>
        <v/>
      </c>
    </row>
    <row r="85">
      <c r="A85" s="13" t="n"/>
      <c r="B85" s="15" t="n"/>
      <c r="C85" s="14" t="n"/>
      <c r="D85" s="15" t="n"/>
      <c r="E85" s="14" t="n"/>
      <c r="F85" s="17" t="n"/>
      <c r="G85" s="16">
        <f>IF($A85="","",IFERROR(SUMIF(tblVeriA[UrunKodu],$A85,tblVeriA[SatisFiyati])-SUMIF(tblVeriA[UrunKodu],$A85,tblVeriA[Maliyet])-SUMIF(tblVeriA[UrunKodu],$A85,tblVeriA[SatisFiyati])*$B85-$C85-SUMIF(tblVeriA[UrunKodu],$A85,tblVeriA[SatisFiyati])*$D85-$E85,0))</f>
        <v/>
      </c>
      <c r="H85" s="13" t="n"/>
      <c r="I85" s="13" t="n"/>
      <c r="J85" s="16">
        <f>IF($A85="","",1)</f>
        <v/>
      </c>
    </row>
    <row r="86">
      <c r="A86" s="13" t="n"/>
      <c r="B86" s="15" t="n"/>
      <c r="C86" s="14" t="n"/>
      <c r="D86" s="15" t="n"/>
      <c r="E86" s="14" t="n"/>
      <c r="F86" s="17" t="n"/>
      <c r="G86" s="16">
        <f>IF($A86="","",IFERROR(SUMIF(tblVeriA[UrunKodu],$A86,tblVeriA[SatisFiyati])-SUMIF(tblVeriA[UrunKodu],$A86,tblVeriA[Maliyet])-SUMIF(tblVeriA[UrunKodu],$A86,tblVeriA[SatisFiyati])*$B86-$C86-SUMIF(tblVeriA[UrunKodu],$A86,tblVeriA[SatisFiyati])*$D86-$E86,0))</f>
        <v/>
      </c>
      <c r="H86" s="13" t="n"/>
      <c r="I86" s="13" t="n"/>
      <c r="J86" s="16">
        <f>IF($A86="","",1)</f>
        <v/>
      </c>
    </row>
    <row r="87">
      <c r="A87" s="13" t="n"/>
      <c r="B87" s="15" t="n"/>
      <c r="C87" s="14" t="n"/>
      <c r="D87" s="15" t="n"/>
      <c r="E87" s="14" t="n"/>
      <c r="F87" s="17" t="n"/>
      <c r="G87" s="16">
        <f>IF($A87="","",IFERROR(SUMIF(tblVeriA[UrunKodu],$A87,tblVeriA[SatisFiyati])-SUMIF(tblVeriA[UrunKodu],$A87,tblVeriA[Maliyet])-SUMIF(tblVeriA[UrunKodu],$A87,tblVeriA[SatisFiyati])*$B87-$C87-SUMIF(tblVeriA[UrunKodu],$A87,tblVeriA[SatisFiyati])*$D87-$E87,0))</f>
        <v/>
      </c>
      <c r="H87" s="13" t="n"/>
      <c r="I87" s="13" t="n"/>
      <c r="J87" s="16">
        <f>IF($A87="","",1)</f>
        <v/>
      </c>
    </row>
    <row r="88">
      <c r="A88" s="13" t="n"/>
      <c r="B88" s="15" t="n"/>
      <c r="C88" s="14" t="n"/>
      <c r="D88" s="15" t="n"/>
      <c r="E88" s="14" t="n"/>
      <c r="F88" s="17" t="n"/>
      <c r="G88" s="16">
        <f>IF($A88="","",IFERROR(SUMIF(tblVeriA[UrunKodu],$A88,tblVeriA[SatisFiyati])-SUMIF(tblVeriA[UrunKodu],$A88,tblVeriA[Maliyet])-SUMIF(tblVeriA[UrunKodu],$A88,tblVeriA[SatisFiyati])*$B88-$C88-SUMIF(tblVeriA[UrunKodu],$A88,tblVeriA[SatisFiyati])*$D88-$E88,0))</f>
        <v/>
      </c>
      <c r="H88" s="13" t="n"/>
      <c r="I88" s="13" t="n"/>
      <c r="J88" s="16">
        <f>IF($A88="","",1)</f>
        <v/>
      </c>
    </row>
    <row r="89">
      <c r="A89" s="13" t="n"/>
      <c r="B89" s="15" t="n"/>
      <c r="C89" s="14" t="n"/>
      <c r="D89" s="15" t="n"/>
      <c r="E89" s="14" t="n"/>
      <c r="F89" s="17" t="n"/>
      <c r="G89" s="16">
        <f>IF($A89="","",IFERROR(SUMIF(tblVeriA[UrunKodu],$A89,tblVeriA[SatisFiyati])-SUMIF(tblVeriA[UrunKodu],$A89,tblVeriA[Maliyet])-SUMIF(tblVeriA[UrunKodu],$A89,tblVeriA[SatisFiyati])*$B89-$C89-SUMIF(tblVeriA[UrunKodu],$A89,tblVeriA[SatisFiyati])*$D89-$E89,0))</f>
        <v/>
      </c>
      <c r="H89" s="13" t="n"/>
      <c r="I89" s="13" t="n"/>
      <c r="J89" s="16">
        <f>IF($A89="","",1)</f>
        <v/>
      </c>
    </row>
    <row r="90">
      <c r="A90" s="13" t="n"/>
      <c r="B90" s="15" t="n"/>
      <c r="C90" s="14" t="n"/>
      <c r="D90" s="15" t="n"/>
      <c r="E90" s="14" t="n"/>
      <c r="F90" s="17" t="n"/>
      <c r="G90" s="16">
        <f>IF($A90="","",IFERROR(SUMIF(tblVeriA[UrunKodu],$A90,tblVeriA[SatisFiyati])-SUMIF(tblVeriA[UrunKodu],$A90,tblVeriA[Maliyet])-SUMIF(tblVeriA[UrunKodu],$A90,tblVeriA[SatisFiyati])*$B90-$C90-SUMIF(tblVeriA[UrunKodu],$A90,tblVeriA[SatisFiyati])*$D90-$E90,0))</f>
        <v/>
      </c>
      <c r="H90" s="13" t="n"/>
      <c r="I90" s="13" t="n"/>
      <c r="J90" s="16">
        <f>IF($A90="","",1)</f>
        <v/>
      </c>
    </row>
    <row r="91">
      <c r="A91" s="13" t="n"/>
      <c r="B91" s="15" t="n"/>
      <c r="C91" s="14" t="n"/>
      <c r="D91" s="15" t="n"/>
      <c r="E91" s="14" t="n"/>
      <c r="F91" s="17" t="n"/>
      <c r="G91" s="16">
        <f>IF($A91="","",IFERROR(SUMIF(tblVeriA[UrunKodu],$A91,tblVeriA[SatisFiyati])-SUMIF(tblVeriA[UrunKodu],$A91,tblVeriA[Maliyet])-SUMIF(tblVeriA[UrunKodu],$A91,tblVeriA[SatisFiyati])*$B91-$C91-SUMIF(tblVeriA[UrunKodu],$A91,tblVeriA[SatisFiyati])*$D91-$E91,0))</f>
        <v/>
      </c>
      <c r="H91" s="13" t="n"/>
      <c r="I91" s="13" t="n"/>
      <c r="J91" s="16">
        <f>IF($A91="","",1)</f>
        <v/>
      </c>
    </row>
    <row r="92">
      <c r="A92" s="13" t="n"/>
      <c r="B92" s="15" t="n"/>
      <c r="C92" s="14" t="n"/>
      <c r="D92" s="15" t="n"/>
      <c r="E92" s="14" t="n"/>
      <c r="F92" s="17" t="n"/>
      <c r="G92" s="16">
        <f>IF($A92="","",IFERROR(SUMIF(tblVeriA[UrunKodu],$A92,tblVeriA[SatisFiyati])-SUMIF(tblVeriA[UrunKodu],$A92,tblVeriA[Maliyet])-SUMIF(tblVeriA[UrunKodu],$A92,tblVeriA[SatisFiyati])*$B92-$C92-SUMIF(tblVeriA[UrunKodu],$A92,tblVeriA[SatisFiyati])*$D92-$E92,0))</f>
        <v/>
      </c>
      <c r="H92" s="13" t="n"/>
      <c r="I92" s="13" t="n"/>
      <c r="J92" s="16">
        <f>IF($A92="","",1)</f>
        <v/>
      </c>
    </row>
    <row r="93">
      <c r="A93" s="13" t="n"/>
      <c r="B93" s="15" t="n"/>
      <c r="C93" s="14" t="n"/>
      <c r="D93" s="15" t="n"/>
      <c r="E93" s="14" t="n"/>
      <c r="F93" s="17" t="n"/>
      <c r="G93" s="16">
        <f>IF($A93="","",IFERROR(SUMIF(tblVeriA[UrunKodu],$A93,tblVeriA[SatisFiyati])-SUMIF(tblVeriA[UrunKodu],$A93,tblVeriA[Maliyet])-SUMIF(tblVeriA[UrunKodu],$A93,tblVeriA[SatisFiyati])*$B93-$C93-SUMIF(tblVeriA[UrunKodu],$A93,tblVeriA[SatisFiyati])*$D93-$E93,0))</f>
        <v/>
      </c>
      <c r="H93" s="13" t="n"/>
      <c r="I93" s="13" t="n"/>
      <c r="J93" s="16">
        <f>IF($A93="","",1)</f>
        <v/>
      </c>
    </row>
    <row r="94">
      <c r="A94" s="13" t="n"/>
      <c r="B94" s="15" t="n"/>
      <c r="C94" s="14" t="n"/>
      <c r="D94" s="15" t="n"/>
      <c r="E94" s="14" t="n"/>
      <c r="F94" s="17" t="n"/>
      <c r="G94" s="16">
        <f>IF($A94="","",IFERROR(SUMIF(tblVeriA[UrunKodu],$A94,tblVeriA[SatisFiyati])-SUMIF(tblVeriA[UrunKodu],$A94,tblVeriA[Maliyet])-SUMIF(tblVeriA[UrunKodu],$A94,tblVeriA[SatisFiyati])*$B94-$C94-SUMIF(tblVeriA[UrunKodu],$A94,tblVeriA[SatisFiyati])*$D94-$E94,0))</f>
        <v/>
      </c>
      <c r="H94" s="13" t="n"/>
      <c r="I94" s="13" t="n"/>
      <c r="J94" s="16">
        <f>IF($A94="","",1)</f>
        <v/>
      </c>
    </row>
    <row r="95">
      <c r="A95" s="13" t="n"/>
      <c r="B95" s="15" t="n"/>
      <c r="C95" s="14" t="n"/>
      <c r="D95" s="15" t="n"/>
      <c r="E95" s="14" t="n"/>
      <c r="F95" s="17" t="n"/>
      <c r="G95" s="16">
        <f>IF($A95="","",IFERROR(SUMIF(tblVeriA[UrunKodu],$A95,tblVeriA[SatisFiyati])-SUMIF(tblVeriA[UrunKodu],$A95,tblVeriA[Maliyet])-SUMIF(tblVeriA[UrunKodu],$A95,tblVeriA[SatisFiyati])*$B95-$C95-SUMIF(tblVeriA[UrunKodu],$A95,tblVeriA[SatisFiyati])*$D95-$E95,0))</f>
        <v/>
      </c>
      <c r="H95" s="13" t="n"/>
      <c r="I95" s="13" t="n"/>
      <c r="J95" s="16">
        <f>IF($A95="","",1)</f>
        <v/>
      </c>
    </row>
    <row r="96">
      <c r="A96" s="13" t="n"/>
      <c r="B96" s="15" t="n"/>
      <c r="C96" s="14" t="n"/>
      <c r="D96" s="15" t="n"/>
      <c r="E96" s="14" t="n"/>
      <c r="F96" s="17" t="n"/>
      <c r="G96" s="16">
        <f>IF($A96="","",IFERROR(SUMIF(tblVeriA[UrunKodu],$A96,tblVeriA[SatisFiyati])-SUMIF(tblVeriA[UrunKodu],$A96,tblVeriA[Maliyet])-SUMIF(tblVeriA[UrunKodu],$A96,tblVeriA[SatisFiyati])*$B96-$C96-SUMIF(tblVeriA[UrunKodu],$A96,tblVeriA[SatisFiyati])*$D96-$E96,0))</f>
        <v/>
      </c>
      <c r="H96" s="13" t="n"/>
      <c r="I96" s="13" t="n"/>
      <c r="J96" s="16">
        <f>IF($A96="","",1)</f>
        <v/>
      </c>
    </row>
    <row r="97">
      <c r="A97" s="13" t="n"/>
      <c r="B97" s="15" t="n"/>
      <c r="C97" s="14" t="n"/>
      <c r="D97" s="15" t="n"/>
      <c r="E97" s="14" t="n"/>
      <c r="F97" s="17" t="n"/>
      <c r="G97" s="16">
        <f>IF($A97="","",IFERROR(SUMIF(tblVeriA[UrunKodu],$A97,tblVeriA[SatisFiyati])-SUMIF(tblVeriA[UrunKodu],$A97,tblVeriA[Maliyet])-SUMIF(tblVeriA[UrunKodu],$A97,tblVeriA[SatisFiyati])*$B97-$C97-SUMIF(tblVeriA[UrunKodu],$A97,tblVeriA[SatisFiyati])*$D97-$E97,0))</f>
        <v/>
      </c>
      <c r="H97" s="13" t="n"/>
      <c r="I97" s="13" t="n"/>
      <c r="J97" s="16">
        <f>IF($A97="","",1)</f>
        <v/>
      </c>
    </row>
    <row r="98">
      <c r="A98" s="13" t="n"/>
      <c r="B98" s="15" t="n"/>
      <c r="C98" s="14" t="n"/>
      <c r="D98" s="15" t="n"/>
      <c r="E98" s="14" t="n"/>
      <c r="F98" s="17" t="n"/>
      <c r="G98" s="16">
        <f>IF($A98="","",IFERROR(SUMIF(tblVeriA[UrunKodu],$A98,tblVeriA[SatisFiyati])-SUMIF(tblVeriA[UrunKodu],$A98,tblVeriA[Maliyet])-SUMIF(tblVeriA[UrunKodu],$A98,tblVeriA[SatisFiyati])*$B98-$C98-SUMIF(tblVeriA[UrunKodu],$A98,tblVeriA[SatisFiyati])*$D98-$E98,0))</f>
        <v/>
      </c>
      <c r="H98" s="13" t="n"/>
      <c r="I98" s="13" t="n"/>
      <c r="J98" s="16">
        <f>IF($A98="","",1)</f>
        <v/>
      </c>
    </row>
    <row r="99">
      <c r="A99" s="13" t="n"/>
      <c r="B99" s="15" t="n"/>
      <c r="C99" s="14" t="n"/>
      <c r="D99" s="15" t="n"/>
      <c r="E99" s="14" t="n"/>
      <c r="F99" s="17" t="n"/>
      <c r="G99" s="16">
        <f>IF($A99="","",IFERROR(SUMIF(tblVeriA[UrunKodu],$A99,tblVeriA[SatisFiyati])-SUMIF(tblVeriA[UrunKodu],$A99,tblVeriA[Maliyet])-SUMIF(tblVeriA[UrunKodu],$A99,tblVeriA[SatisFiyati])*$B99-$C99-SUMIF(tblVeriA[UrunKodu],$A99,tblVeriA[SatisFiyati])*$D99-$E99,0))</f>
        <v/>
      </c>
      <c r="H99" s="13" t="n"/>
      <c r="I99" s="13" t="n"/>
      <c r="J99" s="16">
        <f>IF($A99="","",1)</f>
        <v/>
      </c>
    </row>
    <row r="100">
      <c r="A100" s="13" t="n"/>
      <c r="B100" s="15" t="n"/>
      <c r="C100" s="14" t="n"/>
      <c r="D100" s="15" t="n"/>
      <c r="E100" s="14" t="n"/>
      <c r="F100" s="17" t="n"/>
      <c r="G100" s="16">
        <f>IF($A100="","",IFERROR(SUMIF(tblVeriA[UrunKodu],$A100,tblVeriA[SatisFiyati])-SUMIF(tblVeriA[UrunKodu],$A100,tblVeriA[Maliyet])-SUMIF(tblVeriA[UrunKodu],$A100,tblVeriA[SatisFiyati])*$B100-$C100-SUMIF(tblVeriA[UrunKodu],$A100,tblVeriA[SatisFiyati])*$D100-$E100,0))</f>
        <v/>
      </c>
      <c r="H100" s="13" t="n"/>
      <c r="I100" s="13" t="n"/>
      <c r="J100" s="16">
        <f>IF($A100="","",1)</f>
        <v/>
      </c>
    </row>
    <row r="101">
      <c r="A101" s="13" t="n"/>
      <c r="B101" s="15" t="n"/>
      <c r="C101" s="14" t="n"/>
      <c r="D101" s="15" t="n"/>
      <c r="E101" s="14" t="n"/>
      <c r="F101" s="17" t="n"/>
      <c r="G101" s="16">
        <f>IF($A101="","",IFERROR(SUMIF(tblVeriA[UrunKodu],$A101,tblVeriA[SatisFiyati])-SUMIF(tblVeriA[UrunKodu],$A101,tblVeriA[Maliyet])-SUMIF(tblVeriA[UrunKodu],$A101,tblVeriA[SatisFiyati])*$B101-$C101-SUMIF(tblVeriA[UrunKodu],$A101,tblVeriA[SatisFiyati])*$D101-$E101,0))</f>
        <v/>
      </c>
      <c r="H101" s="13" t="n"/>
      <c r="I101" s="13" t="n"/>
      <c r="J101" s="16">
        <f>IF($A101="","",1)</f>
        <v/>
      </c>
    </row>
    <row r="102">
      <c r="A102" s="13" t="n"/>
      <c r="B102" s="15" t="n"/>
      <c r="C102" s="14" t="n"/>
      <c r="D102" s="15" t="n"/>
      <c r="E102" s="14" t="n"/>
      <c r="F102" s="17" t="n"/>
      <c r="G102" s="16">
        <f>IF($A102="","",IFERROR(SUMIF(tblVeriA[UrunKodu],$A102,tblVeriA[SatisFiyati])-SUMIF(tblVeriA[UrunKodu],$A102,tblVeriA[Maliyet])-SUMIF(tblVeriA[UrunKodu],$A102,tblVeriA[SatisFiyati])*$B102-$C102-SUMIF(tblVeriA[UrunKodu],$A102,tblVeriA[SatisFiyati])*$D102-$E102,0))</f>
        <v/>
      </c>
      <c r="H102" s="13" t="n"/>
      <c r="I102" s="13" t="n"/>
      <c r="J102" s="16">
        <f>IF($A102="","",1)</f>
        <v/>
      </c>
    </row>
    <row r="103">
      <c r="A103" s="13" t="n"/>
      <c r="B103" s="15" t="n"/>
      <c r="C103" s="14" t="n"/>
      <c r="D103" s="15" t="n"/>
      <c r="E103" s="14" t="n"/>
      <c r="F103" s="17" t="n"/>
      <c r="G103" s="16">
        <f>IF($A103="","",IFERROR(SUMIF(tblVeriA[UrunKodu],$A103,tblVeriA[SatisFiyati])-SUMIF(tblVeriA[UrunKodu],$A103,tblVeriA[Maliyet])-SUMIF(tblVeriA[UrunKodu],$A103,tblVeriA[SatisFiyati])*$B103-$C103-SUMIF(tblVeriA[UrunKodu],$A103,tblVeriA[SatisFiyati])*$D103-$E103,0))</f>
        <v/>
      </c>
      <c r="H103" s="13" t="n"/>
      <c r="I103" s="13" t="n"/>
      <c r="J103" s="16">
        <f>IF($A103="","",1)</f>
        <v/>
      </c>
    </row>
    <row r="104">
      <c r="A104" s="13" t="n"/>
      <c r="B104" s="15" t="n"/>
      <c r="C104" s="14" t="n"/>
      <c r="D104" s="15" t="n"/>
      <c r="E104" s="14" t="n"/>
      <c r="F104" s="17" t="n"/>
      <c r="G104" s="16">
        <f>IF($A104="","",IFERROR(SUMIF(tblVeriA[UrunKodu],$A104,tblVeriA[SatisFiyati])-SUMIF(tblVeriA[UrunKodu],$A104,tblVeriA[Maliyet])-SUMIF(tblVeriA[UrunKodu],$A104,tblVeriA[SatisFiyati])*$B104-$C104-SUMIF(tblVeriA[UrunKodu],$A104,tblVeriA[SatisFiyati])*$D104-$E104,0))</f>
        <v/>
      </c>
      <c r="H104" s="13" t="n"/>
      <c r="I104" s="13" t="n"/>
      <c r="J104" s="16">
        <f>IF($A104="","",1)</f>
        <v/>
      </c>
    </row>
    <row r="105">
      <c r="A105" s="13" t="n"/>
      <c r="B105" s="15" t="n"/>
      <c r="C105" s="14" t="n"/>
      <c r="D105" s="15" t="n"/>
      <c r="E105" s="14" t="n"/>
      <c r="F105" s="17" t="n"/>
      <c r="G105" s="16">
        <f>IF($A105="","",IFERROR(SUMIF(tblVeriA[UrunKodu],$A105,tblVeriA[SatisFiyati])-SUMIF(tblVeriA[UrunKodu],$A105,tblVeriA[Maliyet])-SUMIF(tblVeriA[UrunKodu],$A105,tblVeriA[SatisFiyati])*$B105-$C105-SUMIF(tblVeriA[UrunKodu],$A105,tblVeriA[SatisFiyati])*$D105-$E105,0))</f>
        <v/>
      </c>
      <c r="H105" s="13" t="n"/>
      <c r="I105" s="13" t="n"/>
      <c r="J105" s="16">
        <f>IF($A105="","",1)</f>
        <v/>
      </c>
    </row>
    <row r="106">
      <c r="A106" s="13" t="n"/>
      <c r="B106" s="15" t="n"/>
      <c r="C106" s="14" t="n"/>
      <c r="D106" s="15" t="n"/>
      <c r="E106" s="14" t="n"/>
      <c r="F106" s="17" t="n"/>
      <c r="G106" s="16">
        <f>IF($A106="","",IFERROR(SUMIF(tblVeriA[UrunKodu],$A106,tblVeriA[SatisFiyati])-SUMIF(tblVeriA[UrunKodu],$A106,tblVeriA[Maliyet])-SUMIF(tblVeriA[UrunKodu],$A106,tblVeriA[SatisFiyati])*$B106-$C106-SUMIF(tblVeriA[UrunKodu],$A106,tblVeriA[SatisFiyati])*$D106-$E106,0))</f>
        <v/>
      </c>
      <c r="H106" s="13" t="n"/>
      <c r="I106" s="13" t="n"/>
      <c r="J106" s="16">
        <f>IF($A106="","",1)</f>
        <v/>
      </c>
    </row>
    <row r="107">
      <c r="A107" s="13" t="n"/>
      <c r="B107" s="15" t="n"/>
      <c r="C107" s="14" t="n"/>
      <c r="D107" s="15" t="n"/>
      <c r="E107" s="14" t="n"/>
      <c r="F107" s="17" t="n"/>
      <c r="G107" s="16">
        <f>IF($A107="","",IFERROR(SUMIF(tblVeriA[UrunKodu],$A107,tblVeriA[SatisFiyati])-SUMIF(tblVeriA[UrunKodu],$A107,tblVeriA[Maliyet])-SUMIF(tblVeriA[UrunKodu],$A107,tblVeriA[SatisFiyati])*$B107-$C107-SUMIF(tblVeriA[UrunKodu],$A107,tblVeriA[SatisFiyati])*$D107-$E107,0))</f>
        <v/>
      </c>
      <c r="H107" s="13" t="n"/>
      <c r="I107" s="13" t="n"/>
      <c r="J107" s="16">
        <f>IF($A107="","",1)</f>
        <v/>
      </c>
    </row>
    <row r="108">
      <c r="A108" s="13" t="n"/>
      <c r="B108" s="15" t="n"/>
      <c r="C108" s="14" t="n"/>
      <c r="D108" s="15" t="n"/>
      <c r="E108" s="14" t="n"/>
      <c r="F108" s="17" t="n"/>
      <c r="G108" s="16">
        <f>IF($A108="","",IFERROR(SUMIF(tblVeriA[UrunKodu],$A108,tblVeriA[SatisFiyati])-SUMIF(tblVeriA[UrunKodu],$A108,tblVeriA[Maliyet])-SUMIF(tblVeriA[UrunKodu],$A108,tblVeriA[SatisFiyati])*$B108-$C108-SUMIF(tblVeriA[UrunKodu],$A108,tblVeriA[SatisFiyati])*$D108-$E108,0))</f>
        <v/>
      </c>
      <c r="H108" s="13" t="n"/>
      <c r="I108" s="13" t="n"/>
      <c r="J108" s="16">
        <f>IF($A108="","",1)</f>
        <v/>
      </c>
    </row>
    <row r="109">
      <c r="A109" s="13" t="n"/>
      <c r="B109" s="15" t="n"/>
      <c r="C109" s="14" t="n"/>
      <c r="D109" s="15" t="n"/>
      <c r="E109" s="14" t="n"/>
      <c r="F109" s="17" t="n"/>
      <c r="G109" s="16">
        <f>IF($A109="","",IFERROR(SUMIF(tblVeriA[UrunKodu],$A109,tblVeriA[SatisFiyati])-SUMIF(tblVeriA[UrunKodu],$A109,tblVeriA[Maliyet])-SUMIF(tblVeriA[UrunKodu],$A109,tblVeriA[SatisFiyati])*$B109-$C109-SUMIF(tblVeriA[UrunKodu],$A109,tblVeriA[SatisFiyati])*$D109-$E109,0))</f>
        <v/>
      </c>
      <c r="H109" s="13" t="n"/>
      <c r="I109" s="13" t="n"/>
      <c r="J109" s="16">
        <f>IF($A109="","",1)</f>
        <v/>
      </c>
    </row>
    <row r="110">
      <c r="A110" s="13" t="n"/>
      <c r="B110" s="15" t="n"/>
      <c r="C110" s="14" t="n"/>
      <c r="D110" s="15" t="n"/>
      <c r="E110" s="14" t="n"/>
      <c r="F110" s="17" t="n"/>
      <c r="G110" s="16">
        <f>IF($A110="","",IFERROR(SUMIF(tblVeriA[UrunKodu],$A110,tblVeriA[SatisFiyati])-SUMIF(tblVeriA[UrunKodu],$A110,tblVeriA[Maliyet])-SUMIF(tblVeriA[UrunKodu],$A110,tblVeriA[SatisFiyati])*$B110-$C110-SUMIF(tblVeriA[UrunKodu],$A110,tblVeriA[SatisFiyati])*$D110-$E110,0))</f>
        <v/>
      </c>
      <c r="H110" s="13" t="n"/>
      <c r="I110" s="13" t="n"/>
      <c r="J110" s="16">
        <f>IF($A110="","",1)</f>
        <v/>
      </c>
    </row>
    <row r="111">
      <c r="A111" s="13" t="n"/>
      <c r="B111" s="15" t="n"/>
      <c r="C111" s="14" t="n"/>
      <c r="D111" s="15" t="n"/>
      <c r="E111" s="14" t="n"/>
      <c r="F111" s="17" t="n"/>
      <c r="G111" s="16">
        <f>IF($A111="","",IFERROR(SUMIF(tblVeriA[UrunKodu],$A111,tblVeriA[SatisFiyati])-SUMIF(tblVeriA[UrunKodu],$A111,tblVeriA[Maliyet])-SUMIF(tblVeriA[UrunKodu],$A111,tblVeriA[SatisFiyati])*$B111-$C111-SUMIF(tblVeriA[UrunKodu],$A111,tblVeriA[SatisFiyati])*$D111-$E111,0))</f>
        <v/>
      </c>
      <c r="H111" s="13" t="n"/>
      <c r="I111" s="13" t="n"/>
      <c r="J111" s="16">
        <f>IF($A111="","",1)</f>
        <v/>
      </c>
    </row>
    <row r="112">
      <c r="A112" s="13" t="n"/>
      <c r="B112" s="15" t="n"/>
      <c r="C112" s="14" t="n"/>
      <c r="D112" s="15" t="n"/>
      <c r="E112" s="14" t="n"/>
      <c r="F112" s="17" t="n"/>
      <c r="G112" s="16">
        <f>IF($A112="","",IFERROR(SUMIF(tblVeriA[UrunKodu],$A112,tblVeriA[SatisFiyati])-SUMIF(tblVeriA[UrunKodu],$A112,tblVeriA[Maliyet])-SUMIF(tblVeriA[UrunKodu],$A112,tblVeriA[SatisFiyati])*$B112-$C112-SUMIF(tblVeriA[UrunKodu],$A112,tblVeriA[SatisFiyati])*$D112-$E112,0))</f>
        <v/>
      </c>
      <c r="H112" s="13" t="n"/>
      <c r="I112" s="13" t="n"/>
      <c r="J112" s="16">
        <f>IF($A112="","",1)</f>
        <v/>
      </c>
    </row>
    <row r="113">
      <c r="A113" s="13" t="n"/>
      <c r="B113" s="15" t="n"/>
      <c r="C113" s="14" t="n"/>
      <c r="D113" s="15" t="n"/>
      <c r="E113" s="14" t="n"/>
      <c r="F113" s="17" t="n"/>
      <c r="G113" s="16">
        <f>IF($A113="","",IFERROR(SUMIF(tblVeriA[UrunKodu],$A113,tblVeriA[SatisFiyati])-SUMIF(tblVeriA[UrunKodu],$A113,tblVeriA[Maliyet])-SUMIF(tblVeriA[UrunKodu],$A113,tblVeriA[SatisFiyati])*$B113-$C113-SUMIF(tblVeriA[UrunKodu],$A113,tblVeriA[SatisFiyati])*$D113-$E113,0))</f>
        <v/>
      </c>
      <c r="H113" s="13" t="n"/>
      <c r="I113" s="13" t="n"/>
      <c r="J113" s="16">
        <f>IF($A113="","",1)</f>
        <v/>
      </c>
    </row>
    <row r="114">
      <c r="A114" s="13" t="n"/>
      <c r="B114" s="15" t="n"/>
      <c r="C114" s="14" t="n"/>
      <c r="D114" s="15" t="n"/>
      <c r="E114" s="14" t="n"/>
      <c r="F114" s="17" t="n"/>
      <c r="G114" s="16">
        <f>IF($A114="","",IFERROR(SUMIF(tblVeriA[UrunKodu],$A114,tblVeriA[SatisFiyati])-SUMIF(tblVeriA[UrunKodu],$A114,tblVeriA[Maliyet])-SUMIF(tblVeriA[UrunKodu],$A114,tblVeriA[SatisFiyati])*$B114-$C114-SUMIF(tblVeriA[UrunKodu],$A114,tblVeriA[SatisFiyati])*$D114-$E114,0))</f>
        <v/>
      </c>
      <c r="H114" s="13" t="n"/>
      <c r="I114" s="13" t="n"/>
      <c r="J114" s="16">
        <f>IF($A114="","",1)</f>
        <v/>
      </c>
    </row>
    <row r="115">
      <c r="A115" s="13" t="n"/>
      <c r="B115" s="15" t="n"/>
      <c r="C115" s="14" t="n"/>
      <c r="D115" s="15" t="n"/>
      <c r="E115" s="14" t="n"/>
      <c r="F115" s="17" t="n"/>
      <c r="G115" s="16">
        <f>IF($A115="","",IFERROR(SUMIF(tblVeriA[UrunKodu],$A115,tblVeriA[SatisFiyati])-SUMIF(tblVeriA[UrunKodu],$A115,tblVeriA[Maliyet])-SUMIF(tblVeriA[UrunKodu],$A115,tblVeriA[SatisFiyati])*$B115-$C115-SUMIF(tblVeriA[UrunKodu],$A115,tblVeriA[SatisFiyati])*$D115-$E115,0))</f>
        <v/>
      </c>
      <c r="H115" s="13" t="n"/>
      <c r="I115" s="13" t="n"/>
      <c r="J115" s="16">
        <f>IF($A115="","",1)</f>
        <v/>
      </c>
    </row>
    <row r="116">
      <c r="A116" s="13" t="n"/>
      <c r="B116" s="15" t="n"/>
      <c r="C116" s="14" t="n"/>
      <c r="D116" s="15" t="n"/>
      <c r="E116" s="14" t="n"/>
      <c r="F116" s="17" t="n"/>
      <c r="G116" s="16">
        <f>IF($A116="","",IFERROR(SUMIF(tblVeriA[UrunKodu],$A116,tblVeriA[SatisFiyati])-SUMIF(tblVeriA[UrunKodu],$A116,tblVeriA[Maliyet])-SUMIF(tblVeriA[UrunKodu],$A116,tblVeriA[SatisFiyati])*$B116-$C116-SUMIF(tblVeriA[UrunKodu],$A116,tblVeriA[SatisFiyati])*$D116-$E116,0))</f>
        <v/>
      </c>
      <c r="H116" s="13" t="n"/>
      <c r="I116" s="13" t="n"/>
      <c r="J116" s="16">
        <f>IF($A116="","",1)</f>
        <v/>
      </c>
    </row>
    <row r="117">
      <c r="A117" s="13" t="n"/>
      <c r="B117" s="15" t="n"/>
      <c r="C117" s="14" t="n"/>
      <c r="D117" s="15" t="n"/>
      <c r="E117" s="14" t="n"/>
      <c r="F117" s="17" t="n"/>
      <c r="G117" s="16">
        <f>IF($A117="","",IFERROR(SUMIF(tblVeriA[UrunKodu],$A117,tblVeriA[SatisFiyati])-SUMIF(tblVeriA[UrunKodu],$A117,tblVeriA[Maliyet])-SUMIF(tblVeriA[UrunKodu],$A117,tblVeriA[SatisFiyati])*$B117-$C117-SUMIF(tblVeriA[UrunKodu],$A117,tblVeriA[SatisFiyati])*$D117-$E117,0))</f>
        <v/>
      </c>
      <c r="H117" s="13" t="n"/>
      <c r="I117" s="13" t="n"/>
      <c r="J117" s="16">
        <f>IF($A117="","",1)</f>
        <v/>
      </c>
    </row>
    <row r="118">
      <c r="A118" s="13" t="n"/>
      <c r="B118" s="15" t="n"/>
      <c r="C118" s="14" t="n"/>
      <c r="D118" s="15" t="n"/>
      <c r="E118" s="14" t="n"/>
      <c r="F118" s="17" t="n"/>
      <c r="G118" s="16">
        <f>IF($A118="","",IFERROR(SUMIF(tblVeriA[UrunKodu],$A118,tblVeriA[SatisFiyati])-SUMIF(tblVeriA[UrunKodu],$A118,tblVeriA[Maliyet])-SUMIF(tblVeriA[UrunKodu],$A118,tblVeriA[SatisFiyati])*$B118-$C118-SUMIF(tblVeriA[UrunKodu],$A118,tblVeriA[SatisFiyati])*$D118-$E118,0))</f>
        <v/>
      </c>
      <c r="H118" s="13" t="n"/>
      <c r="I118" s="13" t="n"/>
      <c r="J118" s="16">
        <f>IF($A118="","",1)</f>
        <v/>
      </c>
    </row>
    <row r="119">
      <c r="A119" s="13" t="n"/>
      <c r="B119" s="15" t="n"/>
      <c r="C119" s="14" t="n"/>
      <c r="D119" s="15" t="n"/>
      <c r="E119" s="14" t="n"/>
      <c r="F119" s="17" t="n"/>
      <c r="G119" s="16">
        <f>IF($A119="","",IFERROR(SUMIF(tblVeriA[UrunKodu],$A119,tblVeriA[SatisFiyati])-SUMIF(tblVeriA[UrunKodu],$A119,tblVeriA[Maliyet])-SUMIF(tblVeriA[UrunKodu],$A119,tblVeriA[SatisFiyati])*$B119-$C119-SUMIF(tblVeriA[UrunKodu],$A119,tblVeriA[SatisFiyati])*$D119-$E119,0))</f>
        <v/>
      </c>
      <c r="H119" s="13" t="n"/>
      <c r="I119" s="13" t="n"/>
      <c r="J119" s="16">
        <f>IF($A119="","",1)</f>
        <v/>
      </c>
    </row>
    <row r="120">
      <c r="A120" s="13" t="n"/>
      <c r="B120" s="15" t="n"/>
      <c r="C120" s="14" t="n"/>
      <c r="D120" s="15" t="n"/>
      <c r="E120" s="14" t="n"/>
      <c r="F120" s="17" t="n"/>
      <c r="G120" s="16">
        <f>IF($A120="","",IFERROR(SUMIF(tblVeriA[UrunKodu],$A120,tblVeriA[SatisFiyati])-SUMIF(tblVeriA[UrunKodu],$A120,tblVeriA[Maliyet])-SUMIF(tblVeriA[UrunKodu],$A120,tblVeriA[SatisFiyati])*$B120-$C120-SUMIF(tblVeriA[UrunKodu],$A120,tblVeriA[SatisFiyati])*$D120-$E120,0))</f>
        <v/>
      </c>
      <c r="H120" s="13" t="n"/>
      <c r="I120" s="13" t="n"/>
      <c r="J120" s="16">
        <f>IF($A120="","",1)</f>
        <v/>
      </c>
    </row>
    <row r="121">
      <c r="A121" s="13" t="n"/>
      <c r="B121" s="15" t="n"/>
      <c r="C121" s="14" t="n"/>
      <c r="D121" s="15" t="n"/>
      <c r="E121" s="14" t="n"/>
      <c r="F121" s="17" t="n"/>
      <c r="G121" s="16">
        <f>IF($A121="","",IFERROR(SUMIF(tblVeriA[UrunKodu],$A121,tblVeriA[SatisFiyati])-SUMIF(tblVeriA[UrunKodu],$A121,tblVeriA[Maliyet])-SUMIF(tblVeriA[UrunKodu],$A121,tblVeriA[SatisFiyati])*$B121-$C121-SUMIF(tblVeriA[UrunKodu],$A121,tblVeriA[SatisFiyati])*$D121-$E121,0))</f>
        <v/>
      </c>
      <c r="H121" s="13" t="n"/>
      <c r="I121" s="13" t="n"/>
      <c r="J121" s="16">
        <f>IF($A121="","",1)</f>
        <v/>
      </c>
    </row>
    <row r="122">
      <c r="A122" s="13" t="n"/>
      <c r="B122" s="15" t="n"/>
      <c r="C122" s="14" t="n"/>
      <c r="D122" s="15" t="n"/>
      <c r="E122" s="14" t="n"/>
      <c r="F122" s="17" t="n"/>
      <c r="G122" s="16">
        <f>IF($A122="","",IFERROR(SUMIF(tblVeriA[UrunKodu],$A122,tblVeriA[SatisFiyati])-SUMIF(tblVeriA[UrunKodu],$A122,tblVeriA[Maliyet])-SUMIF(tblVeriA[UrunKodu],$A122,tblVeriA[SatisFiyati])*$B122-$C122-SUMIF(tblVeriA[UrunKodu],$A122,tblVeriA[SatisFiyati])*$D122-$E122,0))</f>
        <v/>
      </c>
      <c r="H122" s="13" t="n"/>
      <c r="I122" s="13" t="n"/>
      <c r="J122" s="16">
        <f>IF($A122="","",1)</f>
        <v/>
      </c>
    </row>
    <row r="123">
      <c r="A123" s="13" t="n"/>
      <c r="B123" s="15" t="n"/>
      <c r="C123" s="14" t="n"/>
      <c r="D123" s="15" t="n"/>
      <c r="E123" s="14" t="n"/>
      <c r="F123" s="17" t="n"/>
      <c r="G123" s="16">
        <f>IF($A123="","",IFERROR(SUMIF(tblVeriA[UrunKodu],$A123,tblVeriA[SatisFiyati])-SUMIF(tblVeriA[UrunKodu],$A123,tblVeriA[Maliyet])-SUMIF(tblVeriA[UrunKodu],$A123,tblVeriA[SatisFiyati])*$B123-$C123-SUMIF(tblVeriA[UrunKodu],$A123,tblVeriA[SatisFiyati])*$D123-$E123,0))</f>
        <v/>
      </c>
      <c r="H123" s="13" t="n"/>
      <c r="I123" s="13" t="n"/>
      <c r="J123" s="16">
        <f>IF($A123="","",1)</f>
        <v/>
      </c>
    </row>
    <row r="124">
      <c r="A124" s="13" t="n"/>
      <c r="B124" s="15" t="n"/>
      <c r="C124" s="14" t="n"/>
      <c r="D124" s="15" t="n"/>
      <c r="E124" s="14" t="n"/>
      <c r="F124" s="17" t="n"/>
      <c r="G124" s="16">
        <f>IF($A124="","",IFERROR(SUMIF(tblVeriA[UrunKodu],$A124,tblVeriA[SatisFiyati])-SUMIF(tblVeriA[UrunKodu],$A124,tblVeriA[Maliyet])-SUMIF(tblVeriA[UrunKodu],$A124,tblVeriA[SatisFiyati])*$B124-$C124-SUMIF(tblVeriA[UrunKodu],$A124,tblVeriA[SatisFiyati])*$D124-$E124,0))</f>
        <v/>
      </c>
      <c r="H124" s="13" t="n"/>
      <c r="I124" s="13" t="n"/>
      <c r="J124" s="16">
        <f>IF($A124="","",1)</f>
        <v/>
      </c>
    </row>
    <row r="125">
      <c r="A125" s="13" t="n"/>
      <c r="B125" s="15" t="n"/>
      <c r="C125" s="14" t="n"/>
      <c r="D125" s="15" t="n"/>
      <c r="E125" s="14" t="n"/>
      <c r="F125" s="17" t="n"/>
      <c r="G125" s="16">
        <f>IF($A125="","",IFERROR(SUMIF(tblVeriA[UrunKodu],$A125,tblVeriA[SatisFiyati])-SUMIF(tblVeriA[UrunKodu],$A125,tblVeriA[Maliyet])-SUMIF(tblVeriA[UrunKodu],$A125,tblVeriA[SatisFiyati])*$B125-$C125-SUMIF(tblVeriA[UrunKodu],$A125,tblVeriA[SatisFiyati])*$D125-$E125,0))</f>
        <v/>
      </c>
      <c r="H125" s="13" t="n"/>
      <c r="I125" s="13" t="n"/>
      <c r="J125" s="16">
        <f>IF($A125="","",1)</f>
        <v/>
      </c>
    </row>
    <row r="126">
      <c r="A126" s="13" t="n"/>
      <c r="B126" s="15" t="n"/>
      <c r="C126" s="14" t="n"/>
      <c r="D126" s="15" t="n"/>
      <c r="E126" s="14" t="n"/>
      <c r="F126" s="17" t="n"/>
      <c r="G126" s="16">
        <f>IF($A126="","",IFERROR(SUMIF(tblVeriA[UrunKodu],$A126,tblVeriA[SatisFiyati])-SUMIF(tblVeriA[UrunKodu],$A126,tblVeriA[Maliyet])-SUMIF(tblVeriA[UrunKodu],$A126,tblVeriA[SatisFiyati])*$B126-$C126-SUMIF(tblVeriA[UrunKodu],$A126,tblVeriA[SatisFiyati])*$D126-$E126,0))</f>
        <v/>
      </c>
      <c r="H126" s="13" t="n"/>
      <c r="I126" s="13" t="n"/>
      <c r="J126" s="16">
        <f>IF($A126="","",1)</f>
        <v/>
      </c>
    </row>
    <row r="127">
      <c r="A127" s="13" t="n"/>
      <c r="B127" s="15" t="n"/>
      <c r="C127" s="14" t="n"/>
      <c r="D127" s="15" t="n"/>
      <c r="E127" s="14" t="n"/>
      <c r="F127" s="17" t="n"/>
      <c r="G127" s="16">
        <f>IF($A127="","",IFERROR(SUMIF(tblVeriA[UrunKodu],$A127,tblVeriA[SatisFiyati])-SUMIF(tblVeriA[UrunKodu],$A127,tblVeriA[Maliyet])-SUMIF(tblVeriA[UrunKodu],$A127,tblVeriA[SatisFiyati])*$B127-$C127-SUMIF(tblVeriA[UrunKodu],$A127,tblVeriA[SatisFiyati])*$D127-$E127,0))</f>
        <v/>
      </c>
      <c r="H127" s="13" t="n"/>
      <c r="I127" s="13" t="n"/>
      <c r="J127" s="16">
        <f>IF($A127="","",1)</f>
        <v/>
      </c>
    </row>
    <row r="128">
      <c r="A128" s="13" t="n"/>
      <c r="B128" s="15" t="n"/>
      <c r="C128" s="14" t="n"/>
      <c r="D128" s="15" t="n"/>
      <c r="E128" s="14" t="n"/>
      <c r="F128" s="17" t="n"/>
      <c r="G128" s="16">
        <f>IF($A128="","",IFERROR(SUMIF(tblVeriA[UrunKodu],$A128,tblVeriA[SatisFiyati])-SUMIF(tblVeriA[UrunKodu],$A128,tblVeriA[Maliyet])-SUMIF(tblVeriA[UrunKodu],$A128,tblVeriA[SatisFiyati])*$B128-$C128-SUMIF(tblVeriA[UrunKodu],$A128,tblVeriA[SatisFiyati])*$D128-$E128,0))</f>
        <v/>
      </c>
      <c r="H128" s="13" t="n"/>
      <c r="I128" s="13" t="n"/>
      <c r="J128" s="16">
        <f>IF($A128="","",1)</f>
        <v/>
      </c>
    </row>
    <row r="129">
      <c r="A129" s="13" t="n"/>
      <c r="B129" s="15" t="n"/>
      <c r="C129" s="14" t="n"/>
      <c r="D129" s="15" t="n"/>
      <c r="E129" s="14" t="n"/>
      <c r="F129" s="17" t="n"/>
      <c r="G129" s="16">
        <f>IF($A129="","",IFERROR(SUMIF(tblVeriA[UrunKodu],$A129,tblVeriA[SatisFiyati])-SUMIF(tblVeriA[UrunKodu],$A129,tblVeriA[Maliyet])-SUMIF(tblVeriA[UrunKodu],$A129,tblVeriA[SatisFiyati])*$B129-$C129-SUMIF(tblVeriA[UrunKodu],$A129,tblVeriA[SatisFiyati])*$D129-$E129,0))</f>
        <v/>
      </c>
      <c r="H129" s="13" t="n"/>
      <c r="I129" s="13" t="n"/>
      <c r="J129" s="16">
        <f>IF($A129="","",1)</f>
        <v/>
      </c>
    </row>
    <row r="130">
      <c r="A130" s="13" t="n"/>
      <c r="B130" s="15" t="n"/>
      <c r="C130" s="14" t="n"/>
      <c r="D130" s="15" t="n"/>
      <c r="E130" s="14" t="n"/>
      <c r="F130" s="17" t="n"/>
      <c r="G130" s="16">
        <f>IF($A130="","",IFERROR(SUMIF(tblVeriA[UrunKodu],$A130,tblVeriA[SatisFiyati])-SUMIF(tblVeriA[UrunKodu],$A130,tblVeriA[Maliyet])-SUMIF(tblVeriA[UrunKodu],$A130,tblVeriA[SatisFiyati])*$B130-$C130-SUMIF(tblVeriA[UrunKodu],$A130,tblVeriA[SatisFiyati])*$D130-$E130,0))</f>
        <v/>
      </c>
      <c r="H130" s="13" t="n"/>
      <c r="I130" s="13" t="n"/>
      <c r="J130" s="16">
        <f>IF($A130="","",1)</f>
        <v/>
      </c>
    </row>
    <row r="131">
      <c r="A131" s="13" t="n"/>
      <c r="B131" s="15" t="n"/>
      <c r="C131" s="14" t="n"/>
      <c r="D131" s="15" t="n"/>
      <c r="E131" s="14" t="n"/>
      <c r="F131" s="17" t="n"/>
      <c r="G131" s="16">
        <f>IF($A131="","",IFERROR(SUMIF(tblVeriA[UrunKodu],$A131,tblVeriA[SatisFiyati])-SUMIF(tblVeriA[UrunKodu],$A131,tblVeriA[Maliyet])-SUMIF(tblVeriA[UrunKodu],$A131,tblVeriA[SatisFiyati])*$B131-$C131-SUMIF(tblVeriA[UrunKodu],$A131,tblVeriA[SatisFiyati])*$D131-$E131,0))</f>
        <v/>
      </c>
      <c r="H131" s="13" t="n"/>
      <c r="I131" s="13" t="n"/>
      <c r="J131" s="16">
        <f>IF($A131="","",1)</f>
        <v/>
      </c>
    </row>
    <row r="132">
      <c r="A132" s="13" t="n"/>
      <c r="B132" s="15" t="n"/>
      <c r="C132" s="14" t="n"/>
      <c r="D132" s="15" t="n"/>
      <c r="E132" s="14" t="n"/>
      <c r="F132" s="17" t="n"/>
      <c r="G132" s="16">
        <f>IF($A132="","",IFERROR(SUMIF(tblVeriA[UrunKodu],$A132,tblVeriA[SatisFiyati])-SUMIF(tblVeriA[UrunKodu],$A132,tblVeriA[Maliyet])-SUMIF(tblVeriA[UrunKodu],$A132,tblVeriA[SatisFiyati])*$B132-$C132-SUMIF(tblVeriA[UrunKodu],$A132,tblVeriA[SatisFiyati])*$D132-$E132,0))</f>
        <v/>
      </c>
      <c r="H132" s="13" t="n"/>
      <c r="I132" s="13" t="n"/>
      <c r="J132" s="16">
        <f>IF($A132="","",1)</f>
        <v/>
      </c>
    </row>
    <row r="133">
      <c r="A133" s="13" t="n"/>
      <c r="B133" s="15" t="n"/>
      <c r="C133" s="14" t="n"/>
      <c r="D133" s="15" t="n"/>
      <c r="E133" s="14" t="n"/>
      <c r="F133" s="17" t="n"/>
      <c r="G133" s="16">
        <f>IF($A133="","",IFERROR(SUMIF(tblVeriA[UrunKodu],$A133,tblVeriA[SatisFiyati])-SUMIF(tblVeriA[UrunKodu],$A133,tblVeriA[Maliyet])-SUMIF(tblVeriA[UrunKodu],$A133,tblVeriA[SatisFiyati])*$B133-$C133-SUMIF(tblVeriA[UrunKodu],$A133,tblVeriA[SatisFiyati])*$D133-$E133,0))</f>
        <v/>
      </c>
      <c r="H133" s="13" t="n"/>
      <c r="I133" s="13" t="n"/>
      <c r="J133" s="16">
        <f>IF($A133="","",1)</f>
        <v/>
      </c>
    </row>
    <row r="134">
      <c r="A134" s="13" t="n"/>
      <c r="B134" s="15" t="n"/>
      <c r="C134" s="14" t="n"/>
      <c r="D134" s="15" t="n"/>
      <c r="E134" s="14" t="n"/>
      <c r="F134" s="17" t="n"/>
      <c r="G134" s="16">
        <f>IF($A134="","",IFERROR(SUMIF(tblVeriA[UrunKodu],$A134,tblVeriA[SatisFiyati])-SUMIF(tblVeriA[UrunKodu],$A134,tblVeriA[Maliyet])-SUMIF(tblVeriA[UrunKodu],$A134,tblVeriA[SatisFiyati])*$B134-$C134-SUMIF(tblVeriA[UrunKodu],$A134,tblVeriA[SatisFiyati])*$D134-$E134,0))</f>
        <v/>
      </c>
      <c r="H134" s="13" t="n"/>
      <c r="I134" s="13" t="n"/>
      <c r="J134" s="16">
        <f>IF($A134="","",1)</f>
        <v/>
      </c>
    </row>
    <row r="135">
      <c r="A135" s="13" t="n"/>
      <c r="B135" s="15" t="n"/>
      <c r="C135" s="14" t="n"/>
      <c r="D135" s="15" t="n"/>
      <c r="E135" s="14" t="n"/>
      <c r="F135" s="17" t="n"/>
      <c r="G135" s="16">
        <f>IF($A135="","",IFERROR(SUMIF(tblVeriA[UrunKodu],$A135,tblVeriA[SatisFiyati])-SUMIF(tblVeriA[UrunKodu],$A135,tblVeriA[Maliyet])-SUMIF(tblVeriA[UrunKodu],$A135,tblVeriA[SatisFiyati])*$B135-$C135-SUMIF(tblVeriA[UrunKodu],$A135,tblVeriA[SatisFiyati])*$D135-$E135,0))</f>
        <v/>
      </c>
      <c r="H135" s="13" t="n"/>
      <c r="I135" s="13" t="n"/>
      <c r="J135" s="16">
        <f>IF($A135="","",1)</f>
        <v/>
      </c>
    </row>
    <row r="136">
      <c r="A136" s="13" t="n"/>
      <c r="B136" s="15" t="n"/>
      <c r="C136" s="14" t="n"/>
      <c r="D136" s="15" t="n"/>
      <c r="E136" s="14" t="n"/>
      <c r="F136" s="17" t="n"/>
      <c r="G136" s="16">
        <f>IF($A136="","",IFERROR(SUMIF(tblVeriA[UrunKodu],$A136,tblVeriA[SatisFiyati])-SUMIF(tblVeriA[UrunKodu],$A136,tblVeriA[Maliyet])-SUMIF(tblVeriA[UrunKodu],$A136,tblVeriA[SatisFiyati])*$B136-$C136-SUMIF(tblVeriA[UrunKodu],$A136,tblVeriA[SatisFiyati])*$D136-$E136,0))</f>
        <v/>
      </c>
      <c r="H136" s="13" t="n"/>
      <c r="I136" s="13" t="n"/>
      <c r="J136" s="16">
        <f>IF($A136="","",1)</f>
        <v/>
      </c>
    </row>
    <row r="137">
      <c r="A137" s="13" t="n"/>
      <c r="B137" s="15" t="n"/>
      <c r="C137" s="14" t="n"/>
      <c r="D137" s="15" t="n"/>
      <c r="E137" s="14" t="n"/>
      <c r="F137" s="17" t="n"/>
      <c r="G137" s="16">
        <f>IF($A137="","",IFERROR(SUMIF(tblVeriA[UrunKodu],$A137,tblVeriA[SatisFiyati])-SUMIF(tblVeriA[UrunKodu],$A137,tblVeriA[Maliyet])-SUMIF(tblVeriA[UrunKodu],$A137,tblVeriA[SatisFiyati])*$B137-$C137-SUMIF(tblVeriA[UrunKodu],$A137,tblVeriA[SatisFiyati])*$D137-$E137,0))</f>
        <v/>
      </c>
      <c r="H137" s="13" t="n"/>
      <c r="I137" s="13" t="n"/>
      <c r="J137" s="16">
        <f>IF($A137="","",1)</f>
        <v/>
      </c>
    </row>
    <row r="138">
      <c r="A138" s="13" t="n"/>
      <c r="B138" s="15" t="n"/>
      <c r="C138" s="14" t="n"/>
      <c r="D138" s="15" t="n"/>
      <c r="E138" s="14" t="n"/>
      <c r="F138" s="17" t="n"/>
      <c r="G138" s="16">
        <f>IF($A138="","",IFERROR(SUMIF(tblVeriA[UrunKodu],$A138,tblVeriA[SatisFiyati])-SUMIF(tblVeriA[UrunKodu],$A138,tblVeriA[Maliyet])-SUMIF(tblVeriA[UrunKodu],$A138,tblVeriA[SatisFiyati])*$B138-$C138-SUMIF(tblVeriA[UrunKodu],$A138,tblVeriA[SatisFiyati])*$D138-$E138,0))</f>
        <v/>
      </c>
      <c r="H138" s="13" t="n"/>
      <c r="I138" s="13" t="n"/>
      <c r="J138" s="16">
        <f>IF($A138="","",1)</f>
        <v/>
      </c>
    </row>
    <row r="139">
      <c r="A139" s="13" t="n"/>
      <c r="B139" s="15" t="n"/>
      <c r="C139" s="14" t="n"/>
      <c r="D139" s="15" t="n"/>
      <c r="E139" s="14" t="n"/>
      <c r="F139" s="17" t="n"/>
      <c r="G139" s="16">
        <f>IF($A139="","",IFERROR(SUMIF(tblVeriA[UrunKodu],$A139,tblVeriA[SatisFiyati])-SUMIF(tblVeriA[UrunKodu],$A139,tblVeriA[Maliyet])-SUMIF(tblVeriA[UrunKodu],$A139,tblVeriA[SatisFiyati])*$B139-$C139-SUMIF(tblVeriA[UrunKodu],$A139,tblVeriA[SatisFiyati])*$D139-$E139,0))</f>
        <v/>
      </c>
      <c r="H139" s="13" t="n"/>
      <c r="I139" s="13" t="n"/>
      <c r="J139" s="16">
        <f>IF($A139="","",1)</f>
        <v/>
      </c>
    </row>
    <row r="140">
      <c r="A140" s="13" t="n"/>
      <c r="B140" s="15" t="n"/>
      <c r="C140" s="14" t="n"/>
      <c r="D140" s="15" t="n"/>
      <c r="E140" s="14" t="n"/>
      <c r="F140" s="17" t="n"/>
      <c r="G140" s="16">
        <f>IF($A140="","",IFERROR(SUMIF(tblVeriA[UrunKodu],$A140,tblVeriA[SatisFiyati])-SUMIF(tblVeriA[UrunKodu],$A140,tblVeriA[Maliyet])-SUMIF(tblVeriA[UrunKodu],$A140,tblVeriA[SatisFiyati])*$B140-$C140-SUMIF(tblVeriA[UrunKodu],$A140,tblVeriA[SatisFiyati])*$D140-$E140,0))</f>
        <v/>
      </c>
      <c r="H140" s="13" t="n"/>
      <c r="I140" s="13" t="n"/>
      <c r="J140" s="16">
        <f>IF($A140="","",1)</f>
        <v/>
      </c>
    </row>
    <row r="141">
      <c r="A141" s="13" t="n"/>
      <c r="B141" s="15" t="n"/>
      <c r="C141" s="14" t="n"/>
      <c r="D141" s="15" t="n"/>
      <c r="E141" s="14" t="n"/>
      <c r="F141" s="17" t="n"/>
      <c r="G141" s="16">
        <f>IF($A141="","",IFERROR(SUMIF(tblVeriA[UrunKodu],$A141,tblVeriA[SatisFiyati])-SUMIF(tblVeriA[UrunKodu],$A141,tblVeriA[Maliyet])-SUMIF(tblVeriA[UrunKodu],$A141,tblVeriA[SatisFiyati])*$B141-$C141-SUMIF(tblVeriA[UrunKodu],$A141,tblVeriA[SatisFiyati])*$D141-$E141,0))</f>
        <v/>
      </c>
      <c r="H141" s="13" t="n"/>
      <c r="I141" s="13" t="n"/>
      <c r="J141" s="16">
        <f>IF($A141="","",1)</f>
        <v/>
      </c>
    </row>
    <row r="142">
      <c r="A142" s="13" t="n"/>
      <c r="B142" s="15" t="n"/>
      <c r="C142" s="14" t="n"/>
      <c r="D142" s="15" t="n"/>
      <c r="E142" s="14" t="n"/>
      <c r="F142" s="17" t="n"/>
      <c r="G142" s="16">
        <f>IF($A142="","",IFERROR(SUMIF(tblVeriA[UrunKodu],$A142,tblVeriA[SatisFiyati])-SUMIF(tblVeriA[UrunKodu],$A142,tblVeriA[Maliyet])-SUMIF(tblVeriA[UrunKodu],$A142,tblVeriA[SatisFiyati])*$B142-$C142-SUMIF(tblVeriA[UrunKodu],$A142,tblVeriA[SatisFiyati])*$D142-$E142,0))</f>
        <v/>
      </c>
      <c r="H142" s="13" t="n"/>
      <c r="I142" s="13" t="n"/>
      <c r="J142" s="16">
        <f>IF($A142="","",1)</f>
        <v/>
      </c>
    </row>
    <row r="143">
      <c r="A143" s="13" t="n"/>
      <c r="B143" s="15" t="n"/>
      <c r="C143" s="14" t="n"/>
      <c r="D143" s="15" t="n"/>
      <c r="E143" s="14" t="n"/>
      <c r="F143" s="17" t="n"/>
      <c r="G143" s="16">
        <f>IF($A143="","",IFERROR(SUMIF(tblVeriA[UrunKodu],$A143,tblVeriA[SatisFiyati])-SUMIF(tblVeriA[UrunKodu],$A143,tblVeriA[Maliyet])-SUMIF(tblVeriA[UrunKodu],$A143,tblVeriA[SatisFiyati])*$B143-$C143-SUMIF(tblVeriA[UrunKodu],$A143,tblVeriA[SatisFiyati])*$D143-$E143,0))</f>
        <v/>
      </c>
      <c r="H143" s="13" t="n"/>
      <c r="I143" s="13" t="n"/>
      <c r="J143" s="16">
        <f>IF($A143="","",1)</f>
        <v/>
      </c>
    </row>
    <row r="144">
      <c r="A144" s="13" t="n"/>
      <c r="B144" s="15" t="n"/>
      <c r="C144" s="14" t="n"/>
      <c r="D144" s="15" t="n"/>
      <c r="E144" s="14" t="n"/>
      <c r="F144" s="17" t="n"/>
      <c r="G144" s="16">
        <f>IF($A144="","",IFERROR(SUMIF(tblVeriA[UrunKodu],$A144,tblVeriA[SatisFiyati])-SUMIF(tblVeriA[UrunKodu],$A144,tblVeriA[Maliyet])-SUMIF(tblVeriA[UrunKodu],$A144,tblVeriA[SatisFiyati])*$B144-$C144-SUMIF(tblVeriA[UrunKodu],$A144,tblVeriA[SatisFiyati])*$D144-$E144,0))</f>
        <v/>
      </c>
      <c r="H144" s="13" t="n"/>
      <c r="I144" s="13" t="n"/>
      <c r="J144" s="16">
        <f>IF($A144="","",1)</f>
        <v/>
      </c>
    </row>
    <row r="145">
      <c r="A145" s="13" t="n"/>
      <c r="B145" s="15" t="n"/>
      <c r="C145" s="14" t="n"/>
      <c r="D145" s="15" t="n"/>
      <c r="E145" s="14" t="n"/>
      <c r="F145" s="17" t="n"/>
      <c r="G145" s="16">
        <f>IF($A145="","",IFERROR(SUMIF(tblVeriA[UrunKodu],$A145,tblVeriA[SatisFiyati])-SUMIF(tblVeriA[UrunKodu],$A145,tblVeriA[Maliyet])-SUMIF(tblVeriA[UrunKodu],$A145,tblVeriA[SatisFiyati])*$B145-$C145-SUMIF(tblVeriA[UrunKodu],$A145,tblVeriA[SatisFiyati])*$D145-$E145,0))</f>
        <v/>
      </c>
      <c r="H145" s="13" t="n"/>
      <c r="I145" s="13" t="n"/>
      <c r="J145" s="16">
        <f>IF($A145="","",1)</f>
        <v/>
      </c>
    </row>
    <row r="146">
      <c r="A146" s="13" t="n"/>
      <c r="B146" s="15" t="n"/>
      <c r="C146" s="14" t="n"/>
      <c r="D146" s="15" t="n"/>
      <c r="E146" s="14" t="n"/>
      <c r="F146" s="17" t="n"/>
      <c r="G146" s="16">
        <f>IF($A146="","",IFERROR(SUMIF(tblVeriA[UrunKodu],$A146,tblVeriA[SatisFiyati])-SUMIF(tblVeriA[UrunKodu],$A146,tblVeriA[Maliyet])-SUMIF(tblVeriA[UrunKodu],$A146,tblVeriA[SatisFiyati])*$B146-$C146-SUMIF(tblVeriA[UrunKodu],$A146,tblVeriA[SatisFiyati])*$D146-$E146,0))</f>
        <v/>
      </c>
      <c r="H146" s="13" t="n"/>
      <c r="I146" s="13" t="n"/>
      <c r="J146" s="16">
        <f>IF($A146="","",1)</f>
        <v/>
      </c>
    </row>
    <row r="147">
      <c r="A147" s="13" t="n"/>
      <c r="B147" s="15" t="n"/>
      <c r="C147" s="14" t="n"/>
      <c r="D147" s="15" t="n"/>
      <c r="E147" s="14" t="n"/>
      <c r="F147" s="17" t="n"/>
      <c r="G147" s="16">
        <f>IF($A147="","",IFERROR(SUMIF(tblVeriA[UrunKodu],$A147,tblVeriA[SatisFiyati])-SUMIF(tblVeriA[UrunKodu],$A147,tblVeriA[Maliyet])-SUMIF(tblVeriA[UrunKodu],$A147,tblVeriA[SatisFiyati])*$B147-$C147-SUMIF(tblVeriA[UrunKodu],$A147,tblVeriA[SatisFiyati])*$D147-$E147,0))</f>
        <v/>
      </c>
      <c r="H147" s="13" t="n"/>
      <c r="I147" s="13" t="n"/>
      <c r="J147" s="16">
        <f>IF($A147="","",1)</f>
        <v/>
      </c>
    </row>
    <row r="148">
      <c r="A148" s="13" t="n"/>
      <c r="B148" s="15" t="n"/>
      <c r="C148" s="14" t="n"/>
      <c r="D148" s="15" t="n"/>
      <c r="E148" s="14" t="n"/>
      <c r="F148" s="17" t="n"/>
      <c r="G148" s="16">
        <f>IF($A148="","",IFERROR(SUMIF(tblVeriA[UrunKodu],$A148,tblVeriA[SatisFiyati])-SUMIF(tblVeriA[UrunKodu],$A148,tblVeriA[Maliyet])-SUMIF(tblVeriA[UrunKodu],$A148,tblVeriA[SatisFiyati])*$B148-$C148-SUMIF(tblVeriA[UrunKodu],$A148,tblVeriA[SatisFiyati])*$D148-$E148,0))</f>
        <v/>
      </c>
      <c r="H148" s="13" t="n"/>
      <c r="I148" s="13" t="n"/>
      <c r="J148" s="16">
        <f>IF($A148="","",1)</f>
        <v/>
      </c>
    </row>
    <row r="149">
      <c r="A149" s="13" t="n"/>
      <c r="B149" s="15" t="n"/>
      <c r="C149" s="14" t="n"/>
      <c r="D149" s="15" t="n"/>
      <c r="E149" s="14" t="n"/>
      <c r="F149" s="17" t="n"/>
      <c r="G149" s="16">
        <f>IF($A149="","",IFERROR(SUMIF(tblVeriA[UrunKodu],$A149,tblVeriA[SatisFiyati])-SUMIF(tblVeriA[UrunKodu],$A149,tblVeriA[Maliyet])-SUMIF(tblVeriA[UrunKodu],$A149,tblVeriA[SatisFiyati])*$B149-$C149-SUMIF(tblVeriA[UrunKodu],$A149,tblVeriA[SatisFiyati])*$D149-$E149,0))</f>
        <v/>
      </c>
      <c r="H149" s="13" t="n"/>
      <c r="I149" s="13" t="n"/>
      <c r="J149" s="16">
        <f>IF($A149="","",1)</f>
        <v/>
      </c>
    </row>
    <row r="150">
      <c r="A150" s="13" t="n"/>
      <c r="B150" s="15" t="n"/>
      <c r="C150" s="14" t="n"/>
      <c r="D150" s="15" t="n"/>
      <c r="E150" s="14" t="n"/>
      <c r="F150" s="17" t="n"/>
      <c r="G150" s="16">
        <f>IF($A150="","",IFERROR(SUMIF(tblVeriA[UrunKodu],$A150,tblVeriA[SatisFiyati])-SUMIF(tblVeriA[UrunKodu],$A150,tblVeriA[Maliyet])-SUMIF(tblVeriA[UrunKodu],$A150,tblVeriA[SatisFiyati])*$B150-$C150-SUMIF(tblVeriA[UrunKodu],$A150,tblVeriA[SatisFiyati])*$D150-$E150,0))</f>
        <v/>
      </c>
      <c r="H150" s="13" t="n"/>
      <c r="I150" s="13" t="n"/>
      <c r="J150" s="16">
        <f>IF($A150="","",1)</f>
        <v/>
      </c>
    </row>
    <row r="151">
      <c r="A151" s="13" t="n"/>
      <c r="B151" s="15" t="n"/>
      <c r="C151" s="14" t="n"/>
      <c r="D151" s="15" t="n"/>
      <c r="E151" s="14" t="n"/>
      <c r="F151" s="17" t="n"/>
      <c r="G151" s="16">
        <f>IF($A151="","",IFERROR(SUMIF(tblVeriA[UrunKodu],$A151,tblVeriA[SatisFiyati])-SUMIF(tblVeriA[UrunKodu],$A151,tblVeriA[Maliyet])-SUMIF(tblVeriA[UrunKodu],$A151,tblVeriA[SatisFiyati])*$B151-$C151-SUMIF(tblVeriA[UrunKodu],$A151,tblVeriA[SatisFiyati])*$D151-$E151,0))</f>
        <v/>
      </c>
      <c r="H151" s="13" t="n"/>
      <c r="I151" s="13" t="n"/>
      <c r="J151" s="16">
        <f>IF($A151="","",1)</f>
        <v/>
      </c>
    </row>
    <row r="152">
      <c r="A152" s="13" t="n"/>
      <c r="B152" s="15" t="n"/>
      <c r="C152" s="14" t="n"/>
      <c r="D152" s="15" t="n"/>
      <c r="E152" s="14" t="n"/>
      <c r="F152" s="17" t="n"/>
      <c r="G152" s="16">
        <f>IF($A152="","",IFERROR(SUMIF(tblVeriA[UrunKodu],$A152,tblVeriA[SatisFiyati])-SUMIF(tblVeriA[UrunKodu],$A152,tblVeriA[Maliyet])-SUMIF(tblVeriA[UrunKodu],$A152,tblVeriA[SatisFiyati])*$B152-$C152-SUMIF(tblVeriA[UrunKodu],$A152,tblVeriA[SatisFiyati])*$D152-$E152,0))</f>
        <v/>
      </c>
      <c r="H152" s="13" t="n"/>
      <c r="I152" s="13" t="n"/>
      <c r="J152" s="16">
        <f>IF($A152="","",1)</f>
        <v/>
      </c>
    </row>
    <row r="153">
      <c r="A153" s="13" t="n"/>
      <c r="B153" s="15" t="n"/>
      <c r="C153" s="14" t="n"/>
      <c r="D153" s="15" t="n"/>
      <c r="E153" s="14" t="n"/>
      <c r="F153" s="17" t="n"/>
      <c r="G153" s="16">
        <f>IF($A153="","",IFERROR(SUMIF(tblVeriA[UrunKodu],$A153,tblVeriA[SatisFiyati])-SUMIF(tblVeriA[UrunKodu],$A153,tblVeriA[Maliyet])-SUMIF(tblVeriA[UrunKodu],$A153,tblVeriA[SatisFiyati])*$B153-$C153-SUMIF(tblVeriA[UrunKodu],$A153,tblVeriA[SatisFiyati])*$D153-$E153,0))</f>
        <v/>
      </c>
      <c r="H153" s="13" t="n"/>
      <c r="I153" s="13" t="n"/>
      <c r="J153" s="16">
        <f>IF($A153="","",1)</f>
        <v/>
      </c>
    </row>
    <row r="154">
      <c r="A154" s="13" t="n"/>
      <c r="B154" s="15" t="n"/>
      <c r="C154" s="14" t="n"/>
      <c r="D154" s="15" t="n"/>
      <c r="E154" s="14" t="n"/>
      <c r="F154" s="17" t="n"/>
      <c r="G154" s="16">
        <f>IF($A154="","",IFERROR(SUMIF(tblVeriA[UrunKodu],$A154,tblVeriA[SatisFiyati])-SUMIF(tblVeriA[UrunKodu],$A154,tblVeriA[Maliyet])-SUMIF(tblVeriA[UrunKodu],$A154,tblVeriA[SatisFiyati])*$B154-$C154-SUMIF(tblVeriA[UrunKodu],$A154,tblVeriA[SatisFiyati])*$D154-$E154,0))</f>
        <v/>
      </c>
      <c r="H154" s="13" t="n"/>
      <c r="I154" s="13" t="n"/>
      <c r="J154" s="16">
        <f>IF($A154="","",1)</f>
        <v/>
      </c>
    </row>
    <row r="155">
      <c r="A155" s="13" t="n"/>
      <c r="B155" s="15" t="n"/>
      <c r="C155" s="14" t="n"/>
      <c r="D155" s="15" t="n"/>
      <c r="E155" s="14" t="n"/>
      <c r="F155" s="17" t="n"/>
      <c r="G155" s="16">
        <f>IF($A155="","",IFERROR(SUMIF(tblVeriA[UrunKodu],$A155,tblVeriA[SatisFiyati])-SUMIF(tblVeriA[UrunKodu],$A155,tblVeriA[Maliyet])-SUMIF(tblVeriA[UrunKodu],$A155,tblVeriA[SatisFiyati])*$B155-$C155-SUMIF(tblVeriA[UrunKodu],$A155,tblVeriA[SatisFiyati])*$D155-$E155,0))</f>
        <v/>
      </c>
      <c r="H155" s="13" t="n"/>
      <c r="I155" s="13" t="n"/>
      <c r="J155" s="16">
        <f>IF($A155="","",1)</f>
        <v/>
      </c>
    </row>
    <row r="156">
      <c r="A156" s="13" t="n"/>
      <c r="B156" s="15" t="n"/>
      <c r="C156" s="14" t="n"/>
      <c r="D156" s="15" t="n"/>
      <c r="E156" s="14" t="n"/>
      <c r="F156" s="17" t="n"/>
      <c r="G156" s="16">
        <f>IF($A156="","",IFERROR(SUMIF(tblVeriA[UrunKodu],$A156,tblVeriA[SatisFiyati])-SUMIF(tblVeriA[UrunKodu],$A156,tblVeriA[Maliyet])-SUMIF(tblVeriA[UrunKodu],$A156,tblVeriA[SatisFiyati])*$B156-$C156-SUMIF(tblVeriA[UrunKodu],$A156,tblVeriA[SatisFiyati])*$D156-$E156,0))</f>
        <v/>
      </c>
      <c r="H156" s="13" t="n"/>
      <c r="I156" s="13" t="n"/>
      <c r="J156" s="16">
        <f>IF($A156="","",1)</f>
        <v/>
      </c>
    </row>
    <row r="157">
      <c r="A157" s="13" t="n"/>
      <c r="B157" s="15" t="n"/>
      <c r="C157" s="14" t="n"/>
      <c r="D157" s="15" t="n"/>
      <c r="E157" s="14" t="n"/>
      <c r="F157" s="17" t="n"/>
      <c r="G157" s="16">
        <f>IF($A157="","",IFERROR(SUMIF(tblVeriA[UrunKodu],$A157,tblVeriA[SatisFiyati])-SUMIF(tblVeriA[UrunKodu],$A157,tblVeriA[Maliyet])-SUMIF(tblVeriA[UrunKodu],$A157,tblVeriA[SatisFiyati])*$B157-$C157-SUMIF(tblVeriA[UrunKodu],$A157,tblVeriA[SatisFiyati])*$D157-$E157,0))</f>
        <v/>
      </c>
      <c r="H157" s="13" t="n"/>
      <c r="I157" s="13" t="n"/>
      <c r="J157" s="16">
        <f>IF($A157="","",1)</f>
        <v/>
      </c>
    </row>
    <row r="158">
      <c r="A158" s="13" t="n"/>
      <c r="B158" s="15" t="n"/>
      <c r="C158" s="14" t="n"/>
      <c r="D158" s="15" t="n"/>
      <c r="E158" s="14" t="n"/>
      <c r="F158" s="17" t="n"/>
      <c r="G158" s="16">
        <f>IF($A158="","",IFERROR(SUMIF(tblVeriA[UrunKodu],$A158,tblVeriA[SatisFiyati])-SUMIF(tblVeriA[UrunKodu],$A158,tblVeriA[Maliyet])-SUMIF(tblVeriA[UrunKodu],$A158,tblVeriA[SatisFiyati])*$B158-$C158-SUMIF(tblVeriA[UrunKodu],$A158,tblVeriA[SatisFiyati])*$D158-$E158,0))</f>
        <v/>
      </c>
      <c r="H158" s="13" t="n"/>
      <c r="I158" s="13" t="n"/>
      <c r="J158" s="16">
        <f>IF($A158="","",1)</f>
        <v/>
      </c>
    </row>
    <row r="159">
      <c r="A159" s="13" t="n"/>
      <c r="B159" s="15" t="n"/>
      <c r="C159" s="14" t="n"/>
      <c r="D159" s="15" t="n"/>
      <c r="E159" s="14" t="n"/>
      <c r="F159" s="17" t="n"/>
      <c r="G159" s="16">
        <f>IF($A159="","",IFERROR(SUMIF(tblVeriA[UrunKodu],$A159,tblVeriA[SatisFiyati])-SUMIF(tblVeriA[UrunKodu],$A159,tblVeriA[Maliyet])-SUMIF(tblVeriA[UrunKodu],$A159,tblVeriA[SatisFiyati])*$B159-$C159-SUMIF(tblVeriA[UrunKodu],$A159,tblVeriA[SatisFiyati])*$D159-$E159,0))</f>
        <v/>
      </c>
      <c r="H159" s="13" t="n"/>
      <c r="I159" s="13" t="n"/>
      <c r="J159" s="16">
        <f>IF($A159="","",1)</f>
        <v/>
      </c>
    </row>
    <row r="160">
      <c r="A160" s="13" t="n"/>
      <c r="B160" s="15" t="n"/>
      <c r="C160" s="14" t="n"/>
      <c r="D160" s="15" t="n"/>
      <c r="E160" s="14" t="n"/>
      <c r="F160" s="17" t="n"/>
      <c r="G160" s="16">
        <f>IF($A160="","",IFERROR(SUMIF(tblVeriA[UrunKodu],$A160,tblVeriA[SatisFiyati])-SUMIF(tblVeriA[UrunKodu],$A160,tblVeriA[Maliyet])-SUMIF(tblVeriA[UrunKodu],$A160,tblVeriA[SatisFiyati])*$B160-$C160-SUMIF(tblVeriA[UrunKodu],$A160,tblVeriA[SatisFiyati])*$D160-$E160,0))</f>
        <v/>
      </c>
      <c r="H160" s="13" t="n"/>
      <c r="I160" s="13" t="n"/>
      <c r="J160" s="16">
        <f>IF($A160="","",1)</f>
        <v/>
      </c>
    </row>
    <row r="161">
      <c r="A161" s="13" t="n"/>
      <c r="B161" s="15" t="n"/>
      <c r="C161" s="14" t="n"/>
      <c r="D161" s="15" t="n"/>
      <c r="E161" s="14" t="n"/>
      <c r="F161" s="17" t="n"/>
      <c r="G161" s="16">
        <f>IF($A161="","",IFERROR(SUMIF(tblVeriA[UrunKodu],$A161,tblVeriA[SatisFiyati])-SUMIF(tblVeriA[UrunKodu],$A161,tblVeriA[Maliyet])-SUMIF(tblVeriA[UrunKodu],$A161,tblVeriA[SatisFiyati])*$B161-$C161-SUMIF(tblVeriA[UrunKodu],$A161,tblVeriA[SatisFiyati])*$D161-$E161,0))</f>
        <v/>
      </c>
      <c r="H161" s="13" t="n"/>
      <c r="I161" s="13" t="n"/>
      <c r="J161" s="16">
        <f>IF($A161="","",1)</f>
        <v/>
      </c>
    </row>
    <row r="162">
      <c r="A162" s="13" t="n"/>
      <c r="B162" s="15" t="n"/>
      <c r="C162" s="14" t="n"/>
      <c r="D162" s="15" t="n"/>
      <c r="E162" s="14" t="n"/>
      <c r="F162" s="17" t="n"/>
      <c r="G162" s="16">
        <f>IF($A162="","",IFERROR(SUMIF(tblVeriA[UrunKodu],$A162,tblVeriA[SatisFiyati])-SUMIF(tblVeriA[UrunKodu],$A162,tblVeriA[Maliyet])-SUMIF(tblVeriA[UrunKodu],$A162,tblVeriA[SatisFiyati])*$B162-$C162-SUMIF(tblVeriA[UrunKodu],$A162,tblVeriA[SatisFiyati])*$D162-$E162,0))</f>
        <v/>
      </c>
      <c r="H162" s="13" t="n"/>
      <c r="I162" s="13" t="n"/>
      <c r="J162" s="16">
        <f>IF($A162="","",1)</f>
        <v/>
      </c>
    </row>
    <row r="163">
      <c r="A163" s="13" t="n"/>
      <c r="B163" s="15" t="n"/>
      <c r="C163" s="14" t="n"/>
      <c r="D163" s="15" t="n"/>
      <c r="E163" s="14" t="n"/>
      <c r="F163" s="17" t="n"/>
      <c r="G163" s="16">
        <f>IF($A163="","",IFERROR(SUMIF(tblVeriA[UrunKodu],$A163,tblVeriA[SatisFiyati])-SUMIF(tblVeriA[UrunKodu],$A163,tblVeriA[Maliyet])-SUMIF(tblVeriA[UrunKodu],$A163,tblVeriA[SatisFiyati])*$B163-$C163-SUMIF(tblVeriA[UrunKodu],$A163,tblVeriA[SatisFiyati])*$D163-$E163,0))</f>
        <v/>
      </c>
      <c r="H163" s="13" t="n"/>
      <c r="I163" s="13" t="n"/>
      <c r="J163" s="16">
        <f>IF($A163="","",1)</f>
        <v/>
      </c>
    </row>
    <row r="164">
      <c r="A164" s="13" t="n"/>
      <c r="B164" s="15" t="n"/>
      <c r="C164" s="14" t="n"/>
      <c r="D164" s="15" t="n"/>
      <c r="E164" s="14" t="n"/>
      <c r="F164" s="17" t="n"/>
      <c r="G164" s="16">
        <f>IF($A164="","",IFERROR(SUMIF(tblVeriA[UrunKodu],$A164,tblVeriA[SatisFiyati])-SUMIF(tblVeriA[UrunKodu],$A164,tblVeriA[Maliyet])-SUMIF(tblVeriA[UrunKodu],$A164,tblVeriA[SatisFiyati])*$B164-$C164-SUMIF(tblVeriA[UrunKodu],$A164,tblVeriA[SatisFiyati])*$D164-$E164,0))</f>
        <v/>
      </c>
      <c r="H164" s="13" t="n"/>
      <c r="I164" s="13" t="n"/>
      <c r="J164" s="16">
        <f>IF($A164="","",1)</f>
        <v/>
      </c>
    </row>
    <row r="165">
      <c r="A165" s="13" t="n"/>
      <c r="B165" s="15" t="n"/>
      <c r="C165" s="14" t="n"/>
      <c r="D165" s="15" t="n"/>
      <c r="E165" s="14" t="n"/>
      <c r="F165" s="17" t="n"/>
      <c r="G165" s="16">
        <f>IF($A165="","",IFERROR(SUMIF(tblVeriA[UrunKodu],$A165,tblVeriA[SatisFiyati])-SUMIF(tblVeriA[UrunKodu],$A165,tblVeriA[Maliyet])-SUMIF(tblVeriA[UrunKodu],$A165,tblVeriA[SatisFiyati])*$B165-$C165-SUMIF(tblVeriA[UrunKodu],$A165,tblVeriA[SatisFiyati])*$D165-$E165,0))</f>
        <v/>
      </c>
      <c r="H165" s="13" t="n"/>
      <c r="I165" s="13" t="n"/>
      <c r="J165" s="16">
        <f>IF($A165="","",1)</f>
        <v/>
      </c>
    </row>
    <row r="166">
      <c r="A166" s="13" t="n"/>
      <c r="B166" s="15" t="n"/>
      <c r="C166" s="14" t="n"/>
      <c r="D166" s="15" t="n"/>
      <c r="E166" s="14" t="n"/>
      <c r="F166" s="17" t="n"/>
      <c r="G166" s="16">
        <f>IF($A166="","",IFERROR(SUMIF(tblVeriA[UrunKodu],$A166,tblVeriA[SatisFiyati])-SUMIF(tblVeriA[UrunKodu],$A166,tblVeriA[Maliyet])-SUMIF(tblVeriA[UrunKodu],$A166,tblVeriA[SatisFiyati])*$B166-$C166-SUMIF(tblVeriA[UrunKodu],$A166,tblVeriA[SatisFiyati])*$D166-$E166,0))</f>
        <v/>
      </c>
      <c r="H166" s="13" t="n"/>
      <c r="I166" s="13" t="n"/>
      <c r="J166" s="16">
        <f>IF($A166="","",1)</f>
        <v/>
      </c>
    </row>
    <row r="167">
      <c r="A167" s="13" t="n"/>
      <c r="B167" s="15" t="n"/>
      <c r="C167" s="14" t="n"/>
      <c r="D167" s="15" t="n"/>
      <c r="E167" s="14" t="n"/>
      <c r="F167" s="17" t="n"/>
      <c r="G167" s="16">
        <f>IF($A167="","",IFERROR(SUMIF(tblVeriA[UrunKodu],$A167,tblVeriA[SatisFiyati])-SUMIF(tblVeriA[UrunKodu],$A167,tblVeriA[Maliyet])-SUMIF(tblVeriA[UrunKodu],$A167,tblVeriA[SatisFiyati])*$B167-$C167-SUMIF(tblVeriA[UrunKodu],$A167,tblVeriA[SatisFiyati])*$D167-$E167,0))</f>
        <v/>
      </c>
      <c r="H167" s="13" t="n"/>
      <c r="I167" s="13" t="n"/>
      <c r="J167" s="16">
        <f>IF($A167="","",1)</f>
        <v/>
      </c>
    </row>
    <row r="168">
      <c r="A168" s="13" t="n"/>
      <c r="B168" s="15" t="n"/>
      <c r="C168" s="14" t="n"/>
      <c r="D168" s="15" t="n"/>
      <c r="E168" s="14" t="n"/>
      <c r="F168" s="17" t="n"/>
      <c r="G168" s="16">
        <f>IF($A168="","",IFERROR(SUMIF(tblVeriA[UrunKodu],$A168,tblVeriA[SatisFiyati])-SUMIF(tblVeriA[UrunKodu],$A168,tblVeriA[Maliyet])-SUMIF(tblVeriA[UrunKodu],$A168,tblVeriA[SatisFiyati])*$B168-$C168-SUMIF(tblVeriA[UrunKodu],$A168,tblVeriA[SatisFiyati])*$D168-$E168,0))</f>
        <v/>
      </c>
      <c r="H168" s="13" t="n"/>
      <c r="I168" s="13" t="n"/>
      <c r="J168" s="16">
        <f>IF($A168="","",1)</f>
        <v/>
      </c>
    </row>
    <row r="169">
      <c r="A169" s="13" t="n"/>
      <c r="B169" s="15" t="n"/>
      <c r="C169" s="14" t="n"/>
      <c r="D169" s="15" t="n"/>
      <c r="E169" s="14" t="n"/>
      <c r="F169" s="17" t="n"/>
      <c r="G169" s="16">
        <f>IF($A169="","",IFERROR(SUMIF(tblVeriA[UrunKodu],$A169,tblVeriA[SatisFiyati])-SUMIF(tblVeriA[UrunKodu],$A169,tblVeriA[Maliyet])-SUMIF(tblVeriA[UrunKodu],$A169,tblVeriA[SatisFiyati])*$B169-$C169-SUMIF(tblVeriA[UrunKodu],$A169,tblVeriA[SatisFiyati])*$D169-$E169,0))</f>
        <v/>
      </c>
      <c r="H169" s="13" t="n"/>
      <c r="I169" s="13" t="n"/>
      <c r="J169" s="16">
        <f>IF($A169="","",1)</f>
        <v/>
      </c>
    </row>
    <row r="170">
      <c r="A170" s="13" t="n"/>
      <c r="B170" s="15" t="n"/>
      <c r="C170" s="14" t="n"/>
      <c r="D170" s="15" t="n"/>
      <c r="E170" s="14" t="n"/>
      <c r="F170" s="17" t="n"/>
      <c r="G170" s="16">
        <f>IF($A170="","",IFERROR(SUMIF(tblVeriA[UrunKodu],$A170,tblVeriA[SatisFiyati])-SUMIF(tblVeriA[UrunKodu],$A170,tblVeriA[Maliyet])-SUMIF(tblVeriA[UrunKodu],$A170,tblVeriA[SatisFiyati])*$B170-$C170-SUMIF(tblVeriA[UrunKodu],$A170,tblVeriA[SatisFiyati])*$D170-$E170,0))</f>
        <v/>
      </c>
      <c r="H170" s="13" t="n"/>
      <c r="I170" s="13" t="n"/>
      <c r="J170" s="16">
        <f>IF($A170="","",1)</f>
        <v/>
      </c>
    </row>
    <row r="171">
      <c r="A171" s="13" t="n"/>
      <c r="B171" s="15" t="n"/>
      <c r="C171" s="14" t="n"/>
      <c r="D171" s="15" t="n"/>
      <c r="E171" s="14" t="n"/>
      <c r="F171" s="17" t="n"/>
      <c r="G171" s="16">
        <f>IF($A171="","",IFERROR(SUMIF(tblVeriA[UrunKodu],$A171,tblVeriA[SatisFiyati])-SUMIF(tblVeriA[UrunKodu],$A171,tblVeriA[Maliyet])-SUMIF(tblVeriA[UrunKodu],$A171,tblVeriA[SatisFiyati])*$B171-$C171-SUMIF(tblVeriA[UrunKodu],$A171,tblVeriA[SatisFiyati])*$D171-$E171,0))</f>
        <v/>
      </c>
      <c r="H171" s="13" t="n"/>
      <c r="I171" s="13" t="n"/>
      <c r="J171" s="16">
        <f>IF($A171="","",1)</f>
        <v/>
      </c>
    </row>
    <row r="172">
      <c r="A172" s="13" t="n"/>
      <c r="B172" s="15" t="n"/>
      <c r="C172" s="14" t="n"/>
      <c r="D172" s="15" t="n"/>
      <c r="E172" s="14" t="n"/>
      <c r="F172" s="17" t="n"/>
      <c r="G172" s="16">
        <f>IF($A172="","",IFERROR(SUMIF(tblVeriA[UrunKodu],$A172,tblVeriA[SatisFiyati])-SUMIF(tblVeriA[UrunKodu],$A172,tblVeriA[Maliyet])-SUMIF(tblVeriA[UrunKodu],$A172,tblVeriA[SatisFiyati])*$B172-$C172-SUMIF(tblVeriA[UrunKodu],$A172,tblVeriA[SatisFiyati])*$D172-$E172,0))</f>
        <v/>
      </c>
      <c r="H172" s="13" t="n"/>
      <c r="I172" s="13" t="n"/>
      <c r="J172" s="16">
        <f>IF($A172="","",1)</f>
        <v/>
      </c>
    </row>
    <row r="173">
      <c r="A173" s="13" t="n"/>
      <c r="B173" s="15" t="n"/>
      <c r="C173" s="14" t="n"/>
      <c r="D173" s="15" t="n"/>
      <c r="E173" s="14" t="n"/>
      <c r="F173" s="17" t="n"/>
      <c r="G173" s="16">
        <f>IF($A173="","",IFERROR(SUMIF(tblVeriA[UrunKodu],$A173,tblVeriA[SatisFiyati])-SUMIF(tblVeriA[UrunKodu],$A173,tblVeriA[Maliyet])-SUMIF(tblVeriA[UrunKodu],$A173,tblVeriA[SatisFiyati])*$B173-$C173-SUMIF(tblVeriA[UrunKodu],$A173,tblVeriA[SatisFiyati])*$D173-$E173,0))</f>
        <v/>
      </c>
      <c r="H173" s="13" t="n"/>
      <c r="I173" s="13" t="n"/>
      <c r="J173" s="16">
        <f>IF($A173="","",1)</f>
        <v/>
      </c>
    </row>
    <row r="174">
      <c r="A174" s="13" t="n"/>
      <c r="B174" s="15" t="n"/>
      <c r="C174" s="14" t="n"/>
      <c r="D174" s="15" t="n"/>
      <c r="E174" s="14" t="n"/>
      <c r="F174" s="17" t="n"/>
      <c r="G174" s="16">
        <f>IF($A174="","",IFERROR(SUMIF(tblVeriA[UrunKodu],$A174,tblVeriA[SatisFiyati])-SUMIF(tblVeriA[UrunKodu],$A174,tblVeriA[Maliyet])-SUMIF(tblVeriA[UrunKodu],$A174,tblVeriA[SatisFiyati])*$B174-$C174-SUMIF(tblVeriA[UrunKodu],$A174,tblVeriA[SatisFiyati])*$D174-$E174,0))</f>
        <v/>
      </c>
      <c r="H174" s="13" t="n"/>
      <c r="I174" s="13" t="n"/>
      <c r="J174" s="16">
        <f>IF($A174="","",1)</f>
        <v/>
      </c>
    </row>
    <row r="175">
      <c r="A175" s="13" t="n"/>
      <c r="B175" s="15" t="n"/>
      <c r="C175" s="14" t="n"/>
      <c r="D175" s="15" t="n"/>
      <c r="E175" s="14" t="n"/>
      <c r="F175" s="17" t="n"/>
      <c r="G175" s="16">
        <f>IF($A175="","",IFERROR(SUMIF(tblVeriA[UrunKodu],$A175,tblVeriA[SatisFiyati])-SUMIF(tblVeriA[UrunKodu],$A175,tblVeriA[Maliyet])-SUMIF(tblVeriA[UrunKodu],$A175,tblVeriA[SatisFiyati])*$B175-$C175-SUMIF(tblVeriA[UrunKodu],$A175,tblVeriA[SatisFiyati])*$D175-$E175,0))</f>
        <v/>
      </c>
      <c r="H175" s="13" t="n"/>
      <c r="I175" s="13" t="n"/>
      <c r="J175" s="16">
        <f>IF($A175="","",1)</f>
        <v/>
      </c>
    </row>
    <row r="176">
      <c r="A176" s="13" t="n"/>
      <c r="B176" s="15" t="n"/>
      <c r="C176" s="14" t="n"/>
      <c r="D176" s="15" t="n"/>
      <c r="E176" s="14" t="n"/>
      <c r="F176" s="17" t="n"/>
      <c r="G176" s="16">
        <f>IF($A176="","",IFERROR(SUMIF(tblVeriA[UrunKodu],$A176,tblVeriA[SatisFiyati])-SUMIF(tblVeriA[UrunKodu],$A176,tblVeriA[Maliyet])-SUMIF(tblVeriA[UrunKodu],$A176,tblVeriA[SatisFiyati])*$B176-$C176-SUMIF(tblVeriA[UrunKodu],$A176,tblVeriA[SatisFiyati])*$D176-$E176,0))</f>
        <v/>
      </c>
      <c r="H176" s="13" t="n"/>
      <c r="I176" s="13" t="n"/>
      <c r="J176" s="16">
        <f>IF($A176="","",1)</f>
        <v/>
      </c>
    </row>
    <row r="177">
      <c r="A177" s="13" t="n"/>
      <c r="B177" s="15" t="n"/>
      <c r="C177" s="14" t="n"/>
      <c r="D177" s="15" t="n"/>
      <c r="E177" s="14" t="n"/>
      <c r="F177" s="17" t="n"/>
      <c r="G177" s="16">
        <f>IF($A177="","",IFERROR(SUMIF(tblVeriA[UrunKodu],$A177,tblVeriA[SatisFiyati])-SUMIF(tblVeriA[UrunKodu],$A177,tblVeriA[Maliyet])-SUMIF(tblVeriA[UrunKodu],$A177,tblVeriA[SatisFiyati])*$B177-$C177-SUMIF(tblVeriA[UrunKodu],$A177,tblVeriA[SatisFiyati])*$D177-$E177,0))</f>
        <v/>
      </c>
      <c r="H177" s="13" t="n"/>
      <c r="I177" s="13" t="n"/>
      <c r="J177" s="16">
        <f>IF($A177="","",1)</f>
        <v/>
      </c>
    </row>
    <row r="178">
      <c r="A178" s="13" t="n"/>
      <c r="B178" s="15" t="n"/>
      <c r="C178" s="14" t="n"/>
      <c r="D178" s="15" t="n"/>
      <c r="E178" s="14" t="n"/>
      <c r="F178" s="17" t="n"/>
      <c r="G178" s="16">
        <f>IF($A178="","",IFERROR(SUMIF(tblVeriA[UrunKodu],$A178,tblVeriA[SatisFiyati])-SUMIF(tblVeriA[UrunKodu],$A178,tblVeriA[Maliyet])-SUMIF(tblVeriA[UrunKodu],$A178,tblVeriA[SatisFiyati])*$B178-$C178-SUMIF(tblVeriA[UrunKodu],$A178,tblVeriA[SatisFiyati])*$D178-$E178,0))</f>
        <v/>
      </c>
      <c r="H178" s="13" t="n"/>
      <c r="I178" s="13" t="n"/>
      <c r="J178" s="16">
        <f>IF($A178="","",1)</f>
        <v/>
      </c>
    </row>
    <row r="179">
      <c r="A179" s="13" t="n"/>
      <c r="B179" s="15" t="n"/>
      <c r="C179" s="14" t="n"/>
      <c r="D179" s="15" t="n"/>
      <c r="E179" s="14" t="n"/>
      <c r="F179" s="17" t="n"/>
      <c r="G179" s="16">
        <f>IF($A179="","",IFERROR(SUMIF(tblVeriA[UrunKodu],$A179,tblVeriA[SatisFiyati])-SUMIF(tblVeriA[UrunKodu],$A179,tblVeriA[Maliyet])-SUMIF(tblVeriA[UrunKodu],$A179,tblVeriA[SatisFiyati])*$B179-$C179-SUMIF(tblVeriA[UrunKodu],$A179,tblVeriA[SatisFiyati])*$D179-$E179,0))</f>
        <v/>
      </c>
      <c r="H179" s="13" t="n"/>
      <c r="I179" s="13" t="n"/>
      <c r="J179" s="16">
        <f>IF($A179="","",1)</f>
        <v/>
      </c>
    </row>
    <row r="180">
      <c r="A180" s="13" t="n"/>
      <c r="B180" s="15" t="n"/>
      <c r="C180" s="14" t="n"/>
      <c r="D180" s="15" t="n"/>
      <c r="E180" s="14" t="n"/>
      <c r="F180" s="17" t="n"/>
      <c r="G180" s="16">
        <f>IF($A180="","",IFERROR(SUMIF(tblVeriA[UrunKodu],$A180,tblVeriA[SatisFiyati])-SUMIF(tblVeriA[UrunKodu],$A180,tblVeriA[Maliyet])-SUMIF(tblVeriA[UrunKodu],$A180,tblVeriA[SatisFiyati])*$B180-$C180-SUMIF(tblVeriA[UrunKodu],$A180,tblVeriA[SatisFiyati])*$D180-$E180,0))</f>
        <v/>
      </c>
      <c r="H180" s="13" t="n"/>
      <c r="I180" s="13" t="n"/>
      <c r="J180" s="16">
        <f>IF($A180="","",1)</f>
        <v/>
      </c>
    </row>
    <row r="181">
      <c r="A181" s="13" t="n"/>
      <c r="B181" s="15" t="n"/>
      <c r="C181" s="14" t="n"/>
      <c r="D181" s="15" t="n"/>
      <c r="E181" s="14" t="n"/>
      <c r="F181" s="17" t="n"/>
      <c r="G181" s="16">
        <f>IF($A181="","",IFERROR(SUMIF(tblVeriA[UrunKodu],$A181,tblVeriA[SatisFiyati])-SUMIF(tblVeriA[UrunKodu],$A181,tblVeriA[Maliyet])-SUMIF(tblVeriA[UrunKodu],$A181,tblVeriA[SatisFiyati])*$B181-$C181-SUMIF(tblVeriA[UrunKodu],$A181,tblVeriA[SatisFiyati])*$D181-$E181,0))</f>
        <v/>
      </c>
      <c r="H181" s="13" t="n"/>
      <c r="I181" s="13" t="n"/>
      <c r="J181" s="16">
        <f>IF($A181="","",1)</f>
        <v/>
      </c>
    </row>
    <row r="182">
      <c r="A182" s="13" t="n"/>
      <c r="B182" s="15" t="n"/>
      <c r="C182" s="14" t="n"/>
      <c r="D182" s="15" t="n"/>
      <c r="E182" s="14" t="n"/>
      <c r="F182" s="17" t="n"/>
      <c r="G182" s="16">
        <f>IF($A182="","",IFERROR(SUMIF(tblVeriA[UrunKodu],$A182,tblVeriA[SatisFiyati])-SUMIF(tblVeriA[UrunKodu],$A182,tblVeriA[Maliyet])-SUMIF(tblVeriA[UrunKodu],$A182,tblVeriA[SatisFiyati])*$B182-$C182-SUMIF(tblVeriA[UrunKodu],$A182,tblVeriA[SatisFiyati])*$D182-$E182,0))</f>
        <v/>
      </c>
      <c r="H182" s="13" t="n"/>
      <c r="I182" s="13" t="n"/>
      <c r="J182" s="16">
        <f>IF($A182="","",1)</f>
        <v/>
      </c>
    </row>
    <row r="183">
      <c r="A183" s="13" t="n"/>
      <c r="B183" s="15" t="n"/>
      <c r="C183" s="14" t="n"/>
      <c r="D183" s="15" t="n"/>
      <c r="E183" s="14" t="n"/>
      <c r="F183" s="17" t="n"/>
      <c r="G183" s="16">
        <f>IF($A183="","",IFERROR(SUMIF(tblVeriA[UrunKodu],$A183,tblVeriA[SatisFiyati])-SUMIF(tblVeriA[UrunKodu],$A183,tblVeriA[Maliyet])-SUMIF(tblVeriA[UrunKodu],$A183,tblVeriA[SatisFiyati])*$B183-$C183-SUMIF(tblVeriA[UrunKodu],$A183,tblVeriA[SatisFiyati])*$D183-$E183,0))</f>
        <v/>
      </c>
      <c r="H183" s="13" t="n"/>
      <c r="I183" s="13" t="n"/>
      <c r="J183" s="16">
        <f>IF($A183="","",1)</f>
        <v/>
      </c>
    </row>
    <row r="184">
      <c r="A184" s="13" t="n"/>
      <c r="B184" s="15" t="n"/>
      <c r="C184" s="14" t="n"/>
      <c r="D184" s="15" t="n"/>
      <c r="E184" s="14" t="n"/>
      <c r="F184" s="17" t="n"/>
      <c r="G184" s="16">
        <f>IF($A184="","",IFERROR(SUMIF(tblVeriA[UrunKodu],$A184,tblVeriA[SatisFiyati])-SUMIF(tblVeriA[UrunKodu],$A184,tblVeriA[Maliyet])-SUMIF(tblVeriA[UrunKodu],$A184,tblVeriA[SatisFiyati])*$B184-$C184-SUMIF(tblVeriA[UrunKodu],$A184,tblVeriA[SatisFiyati])*$D184-$E184,0))</f>
        <v/>
      </c>
      <c r="H184" s="13" t="n"/>
      <c r="I184" s="13" t="n"/>
      <c r="J184" s="16">
        <f>IF($A184="","",1)</f>
        <v/>
      </c>
    </row>
    <row r="185">
      <c r="A185" s="13" t="n"/>
      <c r="B185" s="15" t="n"/>
      <c r="C185" s="14" t="n"/>
      <c r="D185" s="15" t="n"/>
      <c r="E185" s="14" t="n"/>
      <c r="F185" s="17" t="n"/>
      <c r="G185" s="16">
        <f>IF($A185="","",IFERROR(SUMIF(tblVeriA[UrunKodu],$A185,tblVeriA[SatisFiyati])-SUMIF(tblVeriA[UrunKodu],$A185,tblVeriA[Maliyet])-SUMIF(tblVeriA[UrunKodu],$A185,tblVeriA[SatisFiyati])*$B185-$C185-SUMIF(tblVeriA[UrunKodu],$A185,tblVeriA[SatisFiyati])*$D185-$E185,0))</f>
        <v/>
      </c>
      <c r="H185" s="13" t="n"/>
      <c r="I185" s="13" t="n"/>
      <c r="J185" s="16">
        <f>IF($A185="","",1)</f>
        <v/>
      </c>
    </row>
    <row r="186">
      <c r="A186" s="13" t="n"/>
      <c r="B186" s="15" t="n"/>
      <c r="C186" s="14" t="n"/>
      <c r="D186" s="15" t="n"/>
      <c r="E186" s="14" t="n"/>
      <c r="F186" s="17" t="n"/>
      <c r="G186" s="16">
        <f>IF($A186="","",IFERROR(SUMIF(tblVeriA[UrunKodu],$A186,tblVeriA[SatisFiyati])-SUMIF(tblVeriA[UrunKodu],$A186,tblVeriA[Maliyet])-SUMIF(tblVeriA[UrunKodu],$A186,tblVeriA[SatisFiyati])*$B186-$C186-SUMIF(tblVeriA[UrunKodu],$A186,tblVeriA[SatisFiyati])*$D186-$E186,0))</f>
        <v/>
      </c>
      <c r="H186" s="13" t="n"/>
      <c r="I186" s="13" t="n"/>
      <c r="J186" s="16">
        <f>IF($A186="","",1)</f>
        <v/>
      </c>
    </row>
    <row r="187">
      <c r="A187" s="13" t="n"/>
      <c r="B187" s="15" t="n"/>
      <c r="C187" s="14" t="n"/>
      <c r="D187" s="15" t="n"/>
      <c r="E187" s="14" t="n"/>
      <c r="F187" s="17" t="n"/>
      <c r="G187" s="16">
        <f>IF($A187="","",IFERROR(SUMIF(tblVeriA[UrunKodu],$A187,tblVeriA[SatisFiyati])-SUMIF(tblVeriA[UrunKodu],$A187,tblVeriA[Maliyet])-SUMIF(tblVeriA[UrunKodu],$A187,tblVeriA[SatisFiyati])*$B187-$C187-SUMIF(tblVeriA[UrunKodu],$A187,tblVeriA[SatisFiyati])*$D187-$E187,0))</f>
        <v/>
      </c>
      <c r="H187" s="13" t="n"/>
      <c r="I187" s="13" t="n"/>
      <c r="J187" s="16">
        <f>IF($A187="","",1)</f>
        <v/>
      </c>
    </row>
    <row r="188">
      <c r="A188" s="13" t="n"/>
      <c r="B188" s="15" t="n"/>
      <c r="C188" s="14" t="n"/>
      <c r="D188" s="15" t="n"/>
      <c r="E188" s="14" t="n"/>
      <c r="F188" s="17" t="n"/>
      <c r="G188" s="16">
        <f>IF($A188="","",IFERROR(SUMIF(tblVeriA[UrunKodu],$A188,tblVeriA[SatisFiyati])-SUMIF(tblVeriA[UrunKodu],$A188,tblVeriA[Maliyet])-SUMIF(tblVeriA[UrunKodu],$A188,tblVeriA[SatisFiyati])*$B188-$C188-SUMIF(tblVeriA[UrunKodu],$A188,tblVeriA[SatisFiyati])*$D188-$E188,0))</f>
        <v/>
      </c>
      <c r="H188" s="13" t="n"/>
      <c r="I188" s="13" t="n"/>
      <c r="J188" s="16">
        <f>IF($A188="","",1)</f>
        <v/>
      </c>
    </row>
    <row r="189">
      <c r="A189" s="13" t="n"/>
      <c r="B189" s="15" t="n"/>
      <c r="C189" s="14" t="n"/>
      <c r="D189" s="15" t="n"/>
      <c r="E189" s="14" t="n"/>
      <c r="F189" s="17" t="n"/>
      <c r="G189" s="16">
        <f>IF($A189="","",IFERROR(SUMIF(tblVeriA[UrunKodu],$A189,tblVeriA[SatisFiyati])-SUMIF(tblVeriA[UrunKodu],$A189,tblVeriA[Maliyet])-SUMIF(tblVeriA[UrunKodu],$A189,tblVeriA[SatisFiyati])*$B189-$C189-SUMIF(tblVeriA[UrunKodu],$A189,tblVeriA[SatisFiyati])*$D189-$E189,0))</f>
        <v/>
      </c>
      <c r="H189" s="13" t="n"/>
      <c r="I189" s="13" t="n"/>
      <c r="J189" s="16">
        <f>IF($A189="","",1)</f>
        <v/>
      </c>
    </row>
    <row r="190">
      <c r="A190" s="13" t="n"/>
      <c r="B190" s="15" t="n"/>
      <c r="C190" s="14" t="n"/>
      <c r="D190" s="15" t="n"/>
      <c r="E190" s="14" t="n"/>
      <c r="F190" s="17" t="n"/>
      <c r="G190" s="16">
        <f>IF($A190="","",IFERROR(SUMIF(tblVeriA[UrunKodu],$A190,tblVeriA[SatisFiyati])-SUMIF(tblVeriA[UrunKodu],$A190,tblVeriA[Maliyet])-SUMIF(tblVeriA[UrunKodu],$A190,tblVeriA[SatisFiyati])*$B190-$C190-SUMIF(tblVeriA[UrunKodu],$A190,tblVeriA[SatisFiyati])*$D190-$E190,0))</f>
        <v/>
      </c>
      <c r="H190" s="13" t="n"/>
      <c r="I190" s="13" t="n"/>
      <c r="J190" s="16">
        <f>IF($A190="","",1)</f>
        <v/>
      </c>
    </row>
    <row r="191">
      <c r="A191" s="13" t="n"/>
      <c r="B191" s="15" t="n"/>
      <c r="C191" s="14" t="n"/>
      <c r="D191" s="15" t="n"/>
      <c r="E191" s="14" t="n"/>
      <c r="F191" s="17" t="n"/>
      <c r="G191" s="16">
        <f>IF($A191="","",IFERROR(SUMIF(tblVeriA[UrunKodu],$A191,tblVeriA[SatisFiyati])-SUMIF(tblVeriA[UrunKodu],$A191,tblVeriA[Maliyet])-SUMIF(tblVeriA[UrunKodu],$A191,tblVeriA[SatisFiyati])*$B191-$C191-SUMIF(tblVeriA[UrunKodu],$A191,tblVeriA[SatisFiyati])*$D191-$E191,0))</f>
        <v/>
      </c>
      <c r="H191" s="13" t="n"/>
      <c r="I191" s="13" t="n"/>
      <c r="J191" s="16">
        <f>IF($A191="","",1)</f>
        <v/>
      </c>
    </row>
    <row r="192">
      <c r="A192" s="13" t="n"/>
      <c r="B192" s="15" t="n"/>
      <c r="C192" s="14" t="n"/>
      <c r="D192" s="15" t="n"/>
      <c r="E192" s="14" t="n"/>
      <c r="F192" s="17" t="n"/>
      <c r="G192" s="16">
        <f>IF($A192="","",IFERROR(SUMIF(tblVeriA[UrunKodu],$A192,tblVeriA[SatisFiyati])-SUMIF(tblVeriA[UrunKodu],$A192,tblVeriA[Maliyet])-SUMIF(tblVeriA[UrunKodu],$A192,tblVeriA[SatisFiyati])*$B192-$C192-SUMIF(tblVeriA[UrunKodu],$A192,tblVeriA[SatisFiyati])*$D192-$E192,0))</f>
        <v/>
      </c>
      <c r="H192" s="13" t="n"/>
      <c r="I192" s="13" t="n"/>
      <c r="J192" s="16">
        <f>IF($A192="","",1)</f>
        <v/>
      </c>
    </row>
    <row r="193">
      <c r="A193" s="13" t="n"/>
      <c r="B193" s="15" t="n"/>
      <c r="C193" s="14" t="n"/>
      <c r="D193" s="15" t="n"/>
      <c r="E193" s="14" t="n"/>
      <c r="F193" s="17" t="n"/>
      <c r="G193" s="16">
        <f>IF($A193="","",IFERROR(SUMIF(tblVeriA[UrunKodu],$A193,tblVeriA[SatisFiyati])-SUMIF(tblVeriA[UrunKodu],$A193,tblVeriA[Maliyet])-SUMIF(tblVeriA[UrunKodu],$A193,tblVeriA[SatisFiyati])*$B193-$C193-SUMIF(tblVeriA[UrunKodu],$A193,tblVeriA[SatisFiyati])*$D193-$E193,0))</f>
        <v/>
      </c>
      <c r="H193" s="13" t="n"/>
      <c r="I193" s="13" t="n"/>
      <c r="J193" s="16">
        <f>IF($A193="","",1)</f>
        <v/>
      </c>
    </row>
    <row r="194">
      <c r="A194" s="13" t="n"/>
      <c r="B194" s="15" t="n"/>
      <c r="C194" s="14" t="n"/>
      <c r="D194" s="15" t="n"/>
      <c r="E194" s="14" t="n"/>
      <c r="F194" s="17" t="n"/>
      <c r="G194" s="16">
        <f>IF($A194="","",IFERROR(SUMIF(tblVeriA[UrunKodu],$A194,tblVeriA[SatisFiyati])-SUMIF(tblVeriA[UrunKodu],$A194,tblVeriA[Maliyet])-SUMIF(tblVeriA[UrunKodu],$A194,tblVeriA[SatisFiyati])*$B194-$C194-SUMIF(tblVeriA[UrunKodu],$A194,tblVeriA[SatisFiyati])*$D194-$E194,0))</f>
        <v/>
      </c>
      <c r="H194" s="13" t="n"/>
      <c r="I194" s="13" t="n"/>
      <c r="J194" s="16">
        <f>IF($A194="","",1)</f>
        <v/>
      </c>
    </row>
    <row r="195">
      <c r="A195" s="13" t="n"/>
      <c r="B195" s="15" t="n"/>
      <c r="C195" s="14" t="n"/>
      <c r="D195" s="15" t="n"/>
      <c r="E195" s="14" t="n"/>
      <c r="F195" s="17" t="n"/>
      <c r="G195" s="16">
        <f>IF($A195="","",IFERROR(SUMIF(tblVeriA[UrunKodu],$A195,tblVeriA[SatisFiyati])-SUMIF(tblVeriA[UrunKodu],$A195,tblVeriA[Maliyet])-SUMIF(tblVeriA[UrunKodu],$A195,tblVeriA[SatisFiyati])*$B195-$C195-SUMIF(tblVeriA[UrunKodu],$A195,tblVeriA[SatisFiyati])*$D195-$E195,0))</f>
        <v/>
      </c>
      <c r="H195" s="13" t="n"/>
      <c r="I195" s="13" t="n"/>
      <c r="J195" s="16">
        <f>IF($A195="","",1)</f>
        <v/>
      </c>
    </row>
    <row r="196">
      <c r="A196" s="13" t="n"/>
      <c r="B196" s="15" t="n"/>
      <c r="C196" s="14" t="n"/>
      <c r="D196" s="15" t="n"/>
      <c r="E196" s="14" t="n"/>
      <c r="F196" s="17" t="n"/>
      <c r="G196" s="16">
        <f>IF($A196="","",IFERROR(SUMIF(tblVeriA[UrunKodu],$A196,tblVeriA[SatisFiyati])-SUMIF(tblVeriA[UrunKodu],$A196,tblVeriA[Maliyet])-SUMIF(tblVeriA[UrunKodu],$A196,tblVeriA[SatisFiyati])*$B196-$C196-SUMIF(tblVeriA[UrunKodu],$A196,tblVeriA[SatisFiyati])*$D196-$E196,0))</f>
        <v/>
      </c>
      <c r="H196" s="13" t="n"/>
      <c r="I196" s="13" t="n"/>
      <c r="J196" s="16">
        <f>IF($A196="","",1)</f>
        <v/>
      </c>
    </row>
    <row r="197">
      <c r="A197" s="13" t="n"/>
      <c r="B197" s="15" t="n"/>
      <c r="C197" s="14" t="n"/>
      <c r="D197" s="15" t="n"/>
      <c r="E197" s="14" t="n"/>
      <c r="F197" s="17" t="n"/>
      <c r="G197" s="16">
        <f>IF($A197="","",IFERROR(SUMIF(tblVeriA[UrunKodu],$A197,tblVeriA[SatisFiyati])-SUMIF(tblVeriA[UrunKodu],$A197,tblVeriA[Maliyet])-SUMIF(tblVeriA[UrunKodu],$A197,tblVeriA[SatisFiyati])*$B197-$C197-SUMIF(tblVeriA[UrunKodu],$A197,tblVeriA[SatisFiyati])*$D197-$E197,0))</f>
        <v/>
      </c>
      <c r="H197" s="13" t="n"/>
      <c r="I197" s="13" t="n"/>
      <c r="J197" s="16">
        <f>IF($A197="","",1)</f>
        <v/>
      </c>
    </row>
    <row r="198">
      <c r="A198" s="13" t="n"/>
      <c r="B198" s="15" t="n"/>
      <c r="C198" s="14" t="n"/>
      <c r="D198" s="15" t="n"/>
      <c r="E198" s="14" t="n"/>
      <c r="F198" s="17" t="n"/>
      <c r="G198" s="16">
        <f>IF($A198="","",IFERROR(SUMIF(tblVeriA[UrunKodu],$A198,tblVeriA[SatisFiyati])-SUMIF(tblVeriA[UrunKodu],$A198,tblVeriA[Maliyet])-SUMIF(tblVeriA[UrunKodu],$A198,tblVeriA[SatisFiyati])*$B198-$C198-SUMIF(tblVeriA[UrunKodu],$A198,tblVeriA[SatisFiyati])*$D198-$E198,0))</f>
        <v/>
      </c>
      <c r="H198" s="13" t="n"/>
      <c r="I198" s="13" t="n"/>
      <c r="J198" s="16">
        <f>IF($A198="","",1)</f>
        <v/>
      </c>
    </row>
    <row r="199">
      <c r="A199" s="13" t="n"/>
      <c r="B199" s="15" t="n"/>
      <c r="C199" s="14" t="n"/>
      <c r="D199" s="15" t="n"/>
      <c r="E199" s="14" t="n"/>
      <c r="F199" s="17" t="n"/>
      <c r="G199" s="16">
        <f>IF($A199="","",IFERROR(SUMIF(tblVeriA[UrunKodu],$A199,tblVeriA[SatisFiyati])-SUMIF(tblVeriA[UrunKodu],$A199,tblVeriA[Maliyet])-SUMIF(tblVeriA[UrunKodu],$A199,tblVeriA[SatisFiyati])*$B199-$C199-SUMIF(tblVeriA[UrunKodu],$A199,tblVeriA[SatisFiyati])*$D199-$E199,0))</f>
        <v/>
      </c>
      <c r="H199" s="13" t="n"/>
      <c r="I199" s="13" t="n"/>
      <c r="J199" s="16">
        <f>IF($A199="","",1)</f>
        <v/>
      </c>
    </row>
    <row r="200">
      <c r="A200" s="13" t="n"/>
      <c r="B200" s="15" t="n"/>
      <c r="C200" s="14" t="n"/>
      <c r="D200" s="15" t="n"/>
      <c r="E200" s="14" t="n"/>
      <c r="F200" s="17" t="n"/>
      <c r="G200" s="16">
        <f>IF($A200="","",IFERROR(SUMIF(tblVeriA[UrunKodu],$A200,tblVeriA[SatisFiyati])-SUMIF(tblVeriA[UrunKodu],$A200,tblVeriA[Maliyet])-SUMIF(tblVeriA[UrunKodu],$A200,tblVeriA[SatisFiyati])*$B200-$C200-SUMIF(tblVeriA[UrunKodu],$A200,tblVeriA[SatisFiyati])*$D200-$E200,0))</f>
        <v/>
      </c>
      <c r="H200" s="13" t="n"/>
      <c r="I200" s="13" t="n"/>
      <c r="J200" s="16">
        <f>IF($A200="","",1)</f>
        <v/>
      </c>
    </row>
    <row r="201">
      <c r="A201" s="13" t="n"/>
      <c r="B201" s="15" t="n"/>
      <c r="C201" s="14" t="n"/>
      <c r="D201" s="15" t="n"/>
      <c r="E201" s="14" t="n"/>
      <c r="F201" s="17" t="n"/>
      <c r="G201" s="16">
        <f>IF($A201="","",IFERROR(SUMIF(tblVeriA[UrunKodu],$A201,tblVeriA[SatisFiyati])-SUMIF(tblVeriA[UrunKodu],$A201,tblVeriA[Maliyet])-SUMIF(tblVeriA[UrunKodu],$A201,tblVeriA[SatisFiyati])*$B201-$C201-SUMIF(tblVeriA[UrunKodu],$A201,tblVeriA[SatisFiyati])*$D201-$E201,0))</f>
        <v/>
      </c>
      <c r="H201" s="13" t="n"/>
      <c r="I201" s="13" t="n"/>
      <c r="J201" s="16">
        <f>IF($A201="","",1)</f>
        <v/>
      </c>
    </row>
    <row r="202">
      <c r="A202" s="13" t="n"/>
      <c r="B202" s="15" t="n"/>
      <c r="C202" s="14" t="n"/>
      <c r="D202" s="15" t="n"/>
      <c r="E202" s="14" t="n"/>
      <c r="F202" s="17" t="n"/>
      <c r="G202" s="16">
        <f>IF($A202="","",IFERROR(SUMIF(tblVeriA[UrunKodu],$A202,tblVeriA[SatisFiyati])-SUMIF(tblVeriA[UrunKodu],$A202,tblVeriA[Maliyet])-SUMIF(tblVeriA[UrunKodu],$A202,tblVeriA[SatisFiyati])*$B202-$C202-SUMIF(tblVeriA[UrunKodu],$A202,tblVeriA[SatisFiyati])*$D202-$E202,0))</f>
        <v/>
      </c>
      <c r="H202" s="13" t="n"/>
      <c r="I202" s="13" t="n"/>
      <c r="J202" s="16">
        <f>IF($A202="","",1)</f>
        <v/>
      </c>
    </row>
    <row r="203">
      <c r="A203" s="13" t="n"/>
      <c r="B203" s="15" t="n"/>
      <c r="C203" s="14" t="n"/>
      <c r="D203" s="15" t="n"/>
      <c r="E203" s="14" t="n"/>
      <c r="F203" s="17" t="n"/>
      <c r="G203" s="16">
        <f>IF($A203="","",IFERROR(SUMIF(tblVeriA[UrunKodu],$A203,tblVeriA[SatisFiyati])-SUMIF(tblVeriA[UrunKodu],$A203,tblVeriA[Maliyet])-SUMIF(tblVeriA[UrunKodu],$A203,tblVeriA[SatisFiyati])*$B203-$C203-SUMIF(tblVeriA[UrunKodu],$A203,tblVeriA[SatisFiyati])*$D203-$E203,0))</f>
        <v/>
      </c>
      <c r="H203" s="13" t="n"/>
      <c r="I203" s="13" t="n"/>
      <c r="J203" s="16">
        <f>IF($A203="","",1)</f>
        <v/>
      </c>
    </row>
    <row r="204">
      <c r="A204" s="13" t="n"/>
      <c r="B204" s="15" t="n"/>
      <c r="C204" s="14" t="n"/>
      <c r="D204" s="15" t="n"/>
      <c r="E204" s="14" t="n"/>
      <c r="F204" s="17" t="n"/>
      <c r="G204" s="16">
        <f>IF($A204="","",IFERROR(SUMIF(tblVeriA[UrunKodu],$A204,tblVeriA[SatisFiyati])-SUMIF(tblVeriA[UrunKodu],$A204,tblVeriA[Maliyet])-SUMIF(tblVeriA[UrunKodu],$A204,tblVeriA[SatisFiyati])*$B204-$C204-SUMIF(tblVeriA[UrunKodu],$A204,tblVeriA[SatisFiyati])*$D204-$E204,0))</f>
        <v/>
      </c>
      <c r="H204" s="13" t="n"/>
      <c r="I204" s="13" t="n"/>
      <c r="J204" s="16">
        <f>IF($A204="","",1)</f>
        <v/>
      </c>
    </row>
    <row r="205">
      <c r="A205" s="13" t="n"/>
      <c r="B205" s="15" t="n"/>
      <c r="C205" s="14" t="n"/>
      <c r="D205" s="15" t="n"/>
      <c r="E205" s="14" t="n"/>
      <c r="F205" s="17" t="n"/>
      <c r="G205" s="16">
        <f>IF($A205="","",IFERROR(SUMIF(tblVeriA[UrunKodu],$A205,tblVeriA[SatisFiyati])-SUMIF(tblVeriA[UrunKodu],$A205,tblVeriA[Maliyet])-SUMIF(tblVeriA[UrunKodu],$A205,tblVeriA[SatisFiyati])*$B205-$C205-SUMIF(tblVeriA[UrunKodu],$A205,tblVeriA[SatisFiyati])*$D205-$E205,0))</f>
        <v/>
      </c>
      <c r="H205" s="13" t="n"/>
      <c r="I205" s="13" t="n"/>
      <c r="J205" s="16">
        <f>IF($A205="","",1)</f>
        <v/>
      </c>
    </row>
    <row r="206">
      <c r="A206" s="13" t="n"/>
      <c r="B206" s="15" t="n"/>
      <c r="C206" s="14" t="n"/>
      <c r="D206" s="15" t="n"/>
      <c r="E206" s="14" t="n"/>
      <c r="F206" s="17" t="n"/>
      <c r="G206" s="16">
        <f>IF($A206="","",IFERROR(SUMIF(tblVeriA[UrunKodu],$A206,tblVeriA[SatisFiyati])-SUMIF(tblVeriA[UrunKodu],$A206,tblVeriA[Maliyet])-SUMIF(tblVeriA[UrunKodu],$A206,tblVeriA[SatisFiyati])*$B206-$C206-SUMIF(tblVeriA[UrunKodu],$A206,tblVeriA[SatisFiyati])*$D206-$E206,0))</f>
        <v/>
      </c>
      <c r="H206" s="13" t="n"/>
      <c r="I206" s="13" t="n"/>
      <c r="J206" s="16">
        <f>IF($A206="","",1)</f>
        <v/>
      </c>
    </row>
    <row r="207">
      <c r="A207" s="13" t="n"/>
      <c r="B207" s="15" t="n"/>
      <c r="C207" s="14" t="n"/>
      <c r="D207" s="15" t="n"/>
      <c r="E207" s="14" t="n"/>
      <c r="F207" s="17" t="n"/>
      <c r="G207" s="16">
        <f>IF($A207="","",IFERROR(SUMIF(tblVeriA[UrunKodu],$A207,tblVeriA[SatisFiyati])-SUMIF(tblVeriA[UrunKodu],$A207,tblVeriA[Maliyet])-SUMIF(tblVeriA[UrunKodu],$A207,tblVeriA[SatisFiyati])*$B207-$C207-SUMIF(tblVeriA[UrunKodu],$A207,tblVeriA[SatisFiyati])*$D207-$E207,0))</f>
        <v/>
      </c>
      <c r="H207" s="13" t="n"/>
      <c r="I207" s="13" t="n"/>
      <c r="J207" s="16">
        <f>IF($A207="","",1)</f>
        <v/>
      </c>
    </row>
    <row r="208">
      <c r="A208" s="13" t="n"/>
      <c r="B208" s="15" t="n"/>
      <c r="C208" s="14" t="n"/>
      <c r="D208" s="15" t="n"/>
      <c r="E208" s="14" t="n"/>
      <c r="F208" s="17" t="n"/>
      <c r="G208" s="16">
        <f>IF($A208="","",IFERROR(SUMIF(tblVeriA[UrunKodu],$A208,tblVeriA[SatisFiyati])-SUMIF(tblVeriA[UrunKodu],$A208,tblVeriA[Maliyet])-SUMIF(tblVeriA[UrunKodu],$A208,tblVeriA[SatisFiyati])*$B208-$C208-SUMIF(tblVeriA[UrunKodu],$A208,tblVeriA[SatisFiyati])*$D208-$E208,0))</f>
        <v/>
      </c>
      <c r="H208" s="13" t="n"/>
      <c r="I208" s="13" t="n"/>
      <c r="J208" s="16">
        <f>IF($A208="","",1)</f>
        <v/>
      </c>
    </row>
    <row r="209">
      <c r="A209" s="13" t="n"/>
      <c r="B209" s="15" t="n"/>
      <c r="C209" s="14" t="n"/>
      <c r="D209" s="15" t="n"/>
      <c r="E209" s="14" t="n"/>
      <c r="F209" s="17" t="n"/>
      <c r="G209" s="16">
        <f>IF($A209="","",IFERROR(SUMIF(tblVeriA[UrunKodu],$A209,tblVeriA[SatisFiyati])-SUMIF(tblVeriA[UrunKodu],$A209,tblVeriA[Maliyet])-SUMIF(tblVeriA[UrunKodu],$A209,tblVeriA[SatisFiyati])*$B209-$C209-SUMIF(tblVeriA[UrunKodu],$A209,tblVeriA[SatisFiyati])*$D209-$E209,0))</f>
        <v/>
      </c>
      <c r="H209" s="13" t="n"/>
      <c r="I209" s="13" t="n"/>
      <c r="J209" s="16">
        <f>IF($A209="","",1)</f>
        <v/>
      </c>
    </row>
    <row r="210">
      <c r="A210" s="13" t="n"/>
      <c r="B210" s="15" t="n"/>
      <c r="C210" s="14" t="n"/>
      <c r="D210" s="15" t="n"/>
      <c r="E210" s="14" t="n"/>
      <c r="F210" s="17" t="n"/>
      <c r="G210" s="16">
        <f>IF($A210="","",IFERROR(SUMIF(tblVeriA[UrunKodu],$A210,tblVeriA[SatisFiyati])-SUMIF(tblVeriA[UrunKodu],$A210,tblVeriA[Maliyet])-SUMIF(tblVeriA[UrunKodu],$A210,tblVeriA[SatisFiyati])*$B210-$C210-SUMIF(tblVeriA[UrunKodu],$A210,tblVeriA[SatisFiyati])*$D210-$E210,0))</f>
        <v/>
      </c>
      <c r="H210" s="13" t="n"/>
      <c r="I210" s="13" t="n"/>
      <c r="J210" s="16">
        <f>IF($A210="","",1)</f>
        <v/>
      </c>
    </row>
    <row r="211">
      <c r="A211" s="13" t="n"/>
      <c r="B211" s="15" t="n"/>
      <c r="C211" s="14" t="n"/>
      <c r="D211" s="15" t="n"/>
      <c r="E211" s="14" t="n"/>
      <c r="F211" s="17" t="n"/>
      <c r="G211" s="16">
        <f>IF($A211="","",IFERROR(SUMIF(tblVeriA[UrunKodu],$A211,tblVeriA[SatisFiyati])-SUMIF(tblVeriA[UrunKodu],$A211,tblVeriA[Maliyet])-SUMIF(tblVeriA[UrunKodu],$A211,tblVeriA[SatisFiyati])*$B211-$C211-SUMIF(tblVeriA[UrunKodu],$A211,tblVeriA[SatisFiyati])*$D211-$E211,0))</f>
        <v/>
      </c>
      <c r="H211" s="13" t="n"/>
      <c r="I211" s="13" t="n"/>
      <c r="J211" s="16">
        <f>IF($A211="","",1)</f>
        <v/>
      </c>
    </row>
    <row r="212">
      <c r="A212" s="13" t="n"/>
      <c r="B212" s="15" t="n"/>
      <c r="C212" s="14" t="n"/>
      <c r="D212" s="15" t="n"/>
      <c r="E212" s="14" t="n"/>
      <c r="F212" s="17" t="n"/>
      <c r="G212" s="16">
        <f>IF($A212="","",IFERROR(SUMIF(tblVeriA[UrunKodu],$A212,tblVeriA[SatisFiyati])-SUMIF(tblVeriA[UrunKodu],$A212,tblVeriA[Maliyet])-SUMIF(tblVeriA[UrunKodu],$A212,tblVeriA[SatisFiyati])*$B212-$C212-SUMIF(tblVeriA[UrunKodu],$A212,tblVeriA[SatisFiyati])*$D212-$E212,0))</f>
        <v/>
      </c>
      <c r="H212" s="13" t="n"/>
      <c r="I212" s="13" t="n"/>
      <c r="J212" s="16">
        <f>IF($A212="","",1)</f>
        <v/>
      </c>
    </row>
    <row r="213">
      <c r="A213" s="13" t="n"/>
      <c r="B213" s="15" t="n"/>
      <c r="C213" s="14" t="n"/>
      <c r="D213" s="15" t="n"/>
      <c r="E213" s="14" t="n"/>
      <c r="F213" s="17" t="n"/>
      <c r="G213" s="16">
        <f>IF($A213="","",IFERROR(SUMIF(tblVeriA[UrunKodu],$A213,tblVeriA[SatisFiyati])-SUMIF(tblVeriA[UrunKodu],$A213,tblVeriA[Maliyet])-SUMIF(tblVeriA[UrunKodu],$A213,tblVeriA[SatisFiyati])*$B213-$C213-SUMIF(tblVeriA[UrunKodu],$A213,tblVeriA[SatisFiyati])*$D213-$E213,0))</f>
        <v/>
      </c>
      <c r="H213" s="13" t="n"/>
      <c r="I213" s="13" t="n"/>
      <c r="J213" s="16">
        <f>IF($A213="","",1)</f>
        <v/>
      </c>
    </row>
    <row r="214">
      <c r="A214" s="13" t="n"/>
      <c r="B214" s="15" t="n"/>
      <c r="C214" s="14" t="n"/>
      <c r="D214" s="15" t="n"/>
      <c r="E214" s="14" t="n"/>
      <c r="F214" s="17" t="n"/>
      <c r="G214" s="16">
        <f>IF($A214="","",IFERROR(SUMIF(tblVeriA[UrunKodu],$A214,tblVeriA[SatisFiyati])-SUMIF(tblVeriA[UrunKodu],$A214,tblVeriA[Maliyet])-SUMIF(tblVeriA[UrunKodu],$A214,tblVeriA[SatisFiyati])*$B214-$C214-SUMIF(tblVeriA[UrunKodu],$A214,tblVeriA[SatisFiyati])*$D214-$E214,0))</f>
        <v/>
      </c>
      <c r="H214" s="13" t="n"/>
      <c r="I214" s="13" t="n"/>
      <c r="J214" s="16">
        <f>IF($A214="","",1)</f>
        <v/>
      </c>
    </row>
    <row r="215">
      <c r="A215" s="13" t="n"/>
      <c r="B215" s="15" t="n"/>
      <c r="C215" s="14" t="n"/>
      <c r="D215" s="15" t="n"/>
      <c r="E215" s="14" t="n"/>
      <c r="F215" s="17" t="n"/>
      <c r="G215" s="16">
        <f>IF($A215="","",IFERROR(SUMIF(tblVeriA[UrunKodu],$A215,tblVeriA[SatisFiyati])-SUMIF(tblVeriA[UrunKodu],$A215,tblVeriA[Maliyet])-SUMIF(tblVeriA[UrunKodu],$A215,tblVeriA[SatisFiyati])*$B215-$C215-SUMIF(tblVeriA[UrunKodu],$A215,tblVeriA[SatisFiyati])*$D215-$E215,0))</f>
        <v/>
      </c>
      <c r="H215" s="13" t="n"/>
      <c r="I215" s="13" t="n"/>
      <c r="J215" s="16">
        <f>IF($A215="","",1)</f>
        <v/>
      </c>
    </row>
    <row r="216">
      <c r="A216" s="13" t="n"/>
      <c r="B216" s="15" t="n"/>
      <c r="C216" s="14" t="n"/>
      <c r="D216" s="15" t="n"/>
      <c r="E216" s="14" t="n"/>
      <c r="F216" s="17" t="n"/>
      <c r="G216" s="16">
        <f>IF($A216="","",IFERROR(SUMIF(tblVeriA[UrunKodu],$A216,tblVeriA[SatisFiyati])-SUMIF(tblVeriA[UrunKodu],$A216,tblVeriA[Maliyet])-SUMIF(tblVeriA[UrunKodu],$A216,tblVeriA[SatisFiyati])*$B216-$C216-SUMIF(tblVeriA[UrunKodu],$A216,tblVeriA[SatisFiyati])*$D216-$E216,0))</f>
        <v/>
      </c>
      <c r="H216" s="13" t="n"/>
      <c r="I216" s="13" t="n"/>
      <c r="J216" s="16">
        <f>IF($A216="","",1)</f>
        <v/>
      </c>
    </row>
    <row r="217">
      <c r="A217" s="13" t="n"/>
      <c r="B217" s="15" t="n"/>
      <c r="C217" s="14" t="n"/>
      <c r="D217" s="15" t="n"/>
      <c r="E217" s="14" t="n"/>
      <c r="F217" s="17" t="n"/>
      <c r="G217" s="16">
        <f>IF($A217="","",IFERROR(SUMIF(tblVeriA[UrunKodu],$A217,tblVeriA[SatisFiyati])-SUMIF(tblVeriA[UrunKodu],$A217,tblVeriA[Maliyet])-SUMIF(tblVeriA[UrunKodu],$A217,tblVeriA[SatisFiyati])*$B217-$C217-SUMIF(tblVeriA[UrunKodu],$A217,tblVeriA[SatisFiyati])*$D217-$E217,0))</f>
        <v/>
      </c>
      <c r="H217" s="13" t="n"/>
      <c r="I217" s="13" t="n"/>
      <c r="J217" s="16">
        <f>IF($A217="","",1)</f>
        <v/>
      </c>
    </row>
    <row r="218">
      <c r="A218" s="13" t="n"/>
      <c r="B218" s="15" t="n"/>
      <c r="C218" s="14" t="n"/>
      <c r="D218" s="15" t="n"/>
      <c r="E218" s="14" t="n"/>
      <c r="F218" s="17" t="n"/>
      <c r="G218" s="16">
        <f>IF($A218="","",IFERROR(SUMIF(tblVeriA[UrunKodu],$A218,tblVeriA[SatisFiyati])-SUMIF(tblVeriA[UrunKodu],$A218,tblVeriA[Maliyet])-SUMIF(tblVeriA[UrunKodu],$A218,tblVeriA[SatisFiyati])*$B218-$C218-SUMIF(tblVeriA[UrunKodu],$A218,tblVeriA[SatisFiyati])*$D218-$E218,0))</f>
        <v/>
      </c>
      <c r="H218" s="13" t="n"/>
      <c r="I218" s="13" t="n"/>
      <c r="J218" s="16">
        <f>IF($A218="","",1)</f>
        <v/>
      </c>
    </row>
    <row r="219">
      <c r="A219" s="13" t="n"/>
      <c r="B219" s="15" t="n"/>
      <c r="C219" s="14" t="n"/>
      <c r="D219" s="15" t="n"/>
      <c r="E219" s="14" t="n"/>
      <c r="F219" s="17" t="n"/>
      <c r="G219" s="16">
        <f>IF($A219="","",IFERROR(SUMIF(tblVeriA[UrunKodu],$A219,tblVeriA[SatisFiyati])-SUMIF(tblVeriA[UrunKodu],$A219,tblVeriA[Maliyet])-SUMIF(tblVeriA[UrunKodu],$A219,tblVeriA[SatisFiyati])*$B219-$C219-SUMIF(tblVeriA[UrunKodu],$A219,tblVeriA[SatisFiyati])*$D219-$E219,0))</f>
        <v/>
      </c>
      <c r="H219" s="13" t="n"/>
      <c r="I219" s="13" t="n"/>
      <c r="J219" s="16">
        <f>IF($A219="","",1)</f>
        <v/>
      </c>
    </row>
    <row r="220">
      <c r="A220" s="13" t="n"/>
      <c r="B220" s="15" t="n"/>
      <c r="C220" s="14" t="n"/>
      <c r="D220" s="15" t="n"/>
      <c r="E220" s="14" t="n"/>
      <c r="F220" s="17" t="n"/>
      <c r="G220" s="16">
        <f>IF($A220="","",IFERROR(SUMIF(tblVeriA[UrunKodu],$A220,tblVeriA[SatisFiyati])-SUMIF(tblVeriA[UrunKodu],$A220,tblVeriA[Maliyet])-SUMIF(tblVeriA[UrunKodu],$A220,tblVeriA[SatisFiyati])*$B220-$C220-SUMIF(tblVeriA[UrunKodu],$A220,tblVeriA[SatisFiyati])*$D220-$E220,0))</f>
        <v/>
      </c>
      <c r="H220" s="13" t="n"/>
      <c r="I220" s="13" t="n"/>
      <c r="J220" s="16">
        <f>IF($A220="","",1)</f>
        <v/>
      </c>
    </row>
    <row r="221">
      <c r="A221" s="13" t="n"/>
      <c r="B221" s="15" t="n"/>
      <c r="C221" s="14" t="n"/>
      <c r="D221" s="15" t="n"/>
      <c r="E221" s="14" t="n"/>
      <c r="F221" s="17" t="n"/>
      <c r="G221" s="16">
        <f>IF($A221="","",IFERROR(SUMIF(tblVeriA[UrunKodu],$A221,tblVeriA[SatisFiyati])-SUMIF(tblVeriA[UrunKodu],$A221,tblVeriA[Maliyet])-SUMIF(tblVeriA[UrunKodu],$A221,tblVeriA[SatisFiyati])*$B221-$C221-SUMIF(tblVeriA[UrunKodu],$A221,tblVeriA[SatisFiyati])*$D221-$E221,0))</f>
        <v/>
      </c>
      <c r="H221" s="13" t="n"/>
      <c r="I221" s="13" t="n"/>
      <c r="J221" s="16">
        <f>IF($A221="","",1)</f>
        <v/>
      </c>
    </row>
    <row r="222">
      <c r="A222" s="13" t="n"/>
      <c r="B222" s="15" t="n"/>
      <c r="C222" s="14" t="n"/>
      <c r="D222" s="15" t="n"/>
      <c r="E222" s="14" t="n"/>
      <c r="F222" s="17" t="n"/>
      <c r="G222" s="16">
        <f>IF($A222="","",IFERROR(SUMIF(tblVeriA[UrunKodu],$A222,tblVeriA[SatisFiyati])-SUMIF(tblVeriA[UrunKodu],$A222,tblVeriA[Maliyet])-SUMIF(tblVeriA[UrunKodu],$A222,tblVeriA[SatisFiyati])*$B222-$C222-SUMIF(tblVeriA[UrunKodu],$A222,tblVeriA[SatisFiyati])*$D222-$E222,0))</f>
        <v/>
      </c>
      <c r="H222" s="13" t="n"/>
      <c r="I222" s="13" t="n"/>
      <c r="J222" s="16">
        <f>IF($A222="","",1)</f>
        <v/>
      </c>
    </row>
    <row r="223">
      <c r="A223" s="13" t="n"/>
      <c r="B223" s="15" t="n"/>
      <c r="C223" s="14" t="n"/>
      <c r="D223" s="15" t="n"/>
      <c r="E223" s="14" t="n"/>
      <c r="F223" s="17" t="n"/>
      <c r="G223" s="16">
        <f>IF($A223="","",IFERROR(SUMIF(tblVeriA[UrunKodu],$A223,tblVeriA[SatisFiyati])-SUMIF(tblVeriA[UrunKodu],$A223,tblVeriA[Maliyet])-SUMIF(tblVeriA[UrunKodu],$A223,tblVeriA[SatisFiyati])*$B223-$C223-SUMIF(tblVeriA[UrunKodu],$A223,tblVeriA[SatisFiyati])*$D223-$E223,0))</f>
        <v/>
      </c>
      <c r="H223" s="13" t="n"/>
      <c r="I223" s="13" t="n"/>
      <c r="J223" s="16">
        <f>IF($A223="","",1)</f>
        <v/>
      </c>
    </row>
    <row r="224">
      <c r="A224" s="13" t="n"/>
      <c r="B224" s="15" t="n"/>
      <c r="C224" s="14" t="n"/>
      <c r="D224" s="15" t="n"/>
      <c r="E224" s="14" t="n"/>
      <c r="F224" s="17" t="n"/>
      <c r="G224" s="16">
        <f>IF($A224="","",IFERROR(SUMIF(tblVeriA[UrunKodu],$A224,tblVeriA[SatisFiyati])-SUMIF(tblVeriA[UrunKodu],$A224,tblVeriA[Maliyet])-SUMIF(tblVeriA[UrunKodu],$A224,tblVeriA[SatisFiyati])*$B224-$C224-SUMIF(tblVeriA[UrunKodu],$A224,tblVeriA[SatisFiyati])*$D224-$E224,0))</f>
        <v/>
      </c>
      <c r="H224" s="13" t="n"/>
      <c r="I224" s="13" t="n"/>
      <c r="J224" s="16">
        <f>IF($A224="","",1)</f>
        <v/>
      </c>
    </row>
    <row r="225">
      <c r="A225" s="13" t="n"/>
      <c r="B225" s="15" t="n"/>
      <c r="C225" s="14" t="n"/>
      <c r="D225" s="15" t="n"/>
      <c r="E225" s="14" t="n"/>
      <c r="F225" s="17" t="n"/>
      <c r="G225" s="16">
        <f>IF($A225="","",IFERROR(SUMIF(tblVeriA[UrunKodu],$A225,tblVeriA[SatisFiyati])-SUMIF(tblVeriA[UrunKodu],$A225,tblVeriA[Maliyet])-SUMIF(tblVeriA[UrunKodu],$A225,tblVeriA[SatisFiyati])*$B225-$C225-SUMIF(tblVeriA[UrunKodu],$A225,tblVeriA[SatisFiyati])*$D225-$E225,0))</f>
        <v/>
      </c>
      <c r="H225" s="13" t="n"/>
      <c r="I225" s="13" t="n"/>
      <c r="J225" s="16">
        <f>IF($A225="","",1)</f>
        <v/>
      </c>
    </row>
    <row r="226">
      <c r="A226" s="13" t="n"/>
      <c r="B226" s="15" t="n"/>
      <c r="C226" s="14" t="n"/>
      <c r="D226" s="15" t="n"/>
      <c r="E226" s="14" t="n"/>
      <c r="F226" s="17" t="n"/>
      <c r="G226" s="16">
        <f>IF($A226="","",IFERROR(SUMIF(tblVeriA[UrunKodu],$A226,tblVeriA[SatisFiyati])-SUMIF(tblVeriA[UrunKodu],$A226,tblVeriA[Maliyet])-SUMIF(tblVeriA[UrunKodu],$A226,tblVeriA[SatisFiyati])*$B226-$C226-SUMIF(tblVeriA[UrunKodu],$A226,tblVeriA[SatisFiyati])*$D226-$E226,0))</f>
        <v/>
      </c>
      <c r="H226" s="13" t="n"/>
      <c r="I226" s="13" t="n"/>
      <c r="J226" s="16">
        <f>IF($A226="","",1)</f>
        <v/>
      </c>
    </row>
    <row r="227">
      <c r="A227" s="13" t="n"/>
      <c r="B227" s="15" t="n"/>
      <c r="C227" s="14" t="n"/>
      <c r="D227" s="15" t="n"/>
      <c r="E227" s="14" t="n"/>
      <c r="F227" s="17" t="n"/>
      <c r="G227" s="16">
        <f>IF($A227="","",IFERROR(SUMIF(tblVeriA[UrunKodu],$A227,tblVeriA[SatisFiyati])-SUMIF(tblVeriA[UrunKodu],$A227,tblVeriA[Maliyet])-SUMIF(tblVeriA[UrunKodu],$A227,tblVeriA[SatisFiyati])*$B227-$C227-SUMIF(tblVeriA[UrunKodu],$A227,tblVeriA[SatisFiyati])*$D227-$E227,0))</f>
        <v/>
      </c>
      <c r="H227" s="13" t="n"/>
      <c r="I227" s="13" t="n"/>
      <c r="J227" s="16">
        <f>IF($A227="","",1)</f>
        <v/>
      </c>
    </row>
    <row r="228">
      <c r="A228" s="13" t="n"/>
      <c r="B228" s="15" t="n"/>
      <c r="C228" s="14" t="n"/>
      <c r="D228" s="15" t="n"/>
      <c r="E228" s="14" t="n"/>
      <c r="F228" s="17" t="n"/>
      <c r="G228" s="16">
        <f>IF($A228="","",IFERROR(SUMIF(tblVeriA[UrunKodu],$A228,tblVeriA[SatisFiyati])-SUMIF(tblVeriA[UrunKodu],$A228,tblVeriA[Maliyet])-SUMIF(tblVeriA[UrunKodu],$A228,tblVeriA[SatisFiyati])*$B228-$C228-SUMIF(tblVeriA[UrunKodu],$A228,tblVeriA[SatisFiyati])*$D228-$E228,0))</f>
        <v/>
      </c>
      <c r="H228" s="13" t="n"/>
      <c r="I228" s="13" t="n"/>
      <c r="J228" s="16">
        <f>IF($A228="","",1)</f>
        <v/>
      </c>
    </row>
    <row r="229">
      <c r="A229" s="13" t="n"/>
      <c r="B229" s="15" t="n"/>
      <c r="C229" s="14" t="n"/>
      <c r="D229" s="15" t="n"/>
      <c r="E229" s="14" t="n"/>
      <c r="F229" s="17" t="n"/>
      <c r="G229" s="16">
        <f>IF($A229="","",IFERROR(SUMIF(tblVeriA[UrunKodu],$A229,tblVeriA[SatisFiyati])-SUMIF(tblVeriA[UrunKodu],$A229,tblVeriA[Maliyet])-SUMIF(tblVeriA[UrunKodu],$A229,tblVeriA[SatisFiyati])*$B229-$C229-SUMIF(tblVeriA[UrunKodu],$A229,tblVeriA[SatisFiyati])*$D229-$E229,0))</f>
        <v/>
      </c>
      <c r="H229" s="13" t="n"/>
      <c r="I229" s="13" t="n"/>
      <c r="J229" s="16">
        <f>IF($A229="","",1)</f>
        <v/>
      </c>
    </row>
    <row r="230">
      <c r="A230" s="13" t="n"/>
      <c r="B230" s="15" t="n"/>
      <c r="C230" s="14" t="n"/>
      <c r="D230" s="15" t="n"/>
      <c r="E230" s="14" t="n"/>
      <c r="F230" s="17" t="n"/>
      <c r="G230" s="16">
        <f>IF($A230="","",IFERROR(SUMIF(tblVeriA[UrunKodu],$A230,tblVeriA[SatisFiyati])-SUMIF(tblVeriA[UrunKodu],$A230,tblVeriA[Maliyet])-SUMIF(tblVeriA[UrunKodu],$A230,tblVeriA[SatisFiyati])*$B230-$C230-SUMIF(tblVeriA[UrunKodu],$A230,tblVeriA[SatisFiyati])*$D230-$E230,0))</f>
        <v/>
      </c>
      <c r="H230" s="13" t="n"/>
      <c r="I230" s="13" t="n"/>
      <c r="J230" s="16">
        <f>IF($A230="","",1)</f>
        <v/>
      </c>
    </row>
    <row r="231">
      <c r="A231" s="13" t="n"/>
      <c r="B231" s="15" t="n"/>
      <c r="C231" s="14" t="n"/>
      <c r="D231" s="15" t="n"/>
      <c r="E231" s="14" t="n"/>
      <c r="F231" s="17" t="n"/>
      <c r="G231" s="16">
        <f>IF($A231="","",IFERROR(SUMIF(tblVeriA[UrunKodu],$A231,tblVeriA[SatisFiyati])-SUMIF(tblVeriA[UrunKodu],$A231,tblVeriA[Maliyet])-SUMIF(tblVeriA[UrunKodu],$A231,tblVeriA[SatisFiyati])*$B231-$C231-SUMIF(tblVeriA[UrunKodu],$A231,tblVeriA[SatisFiyati])*$D231-$E231,0))</f>
        <v/>
      </c>
      <c r="H231" s="13" t="n"/>
      <c r="I231" s="13" t="n"/>
      <c r="J231" s="16">
        <f>IF($A231="","",1)</f>
        <v/>
      </c>
    </row>
    <row r="232">
      <c r="A232" s="13" t="n"/>
      <c r="B232" s="15" t="n"/>
      <c r="C232" s="14" t="n"/>
      <c r="D232" s="15" t="n"/>
      <c r="E232" s="14" t="n"/>
      <c r="F232" s="17" t="n"/>
      <c r="G232" s="16">
        <f>IF($A232="","",IFERROR(SUMIF(tblVeriA[UrunKodu],$A232,tblVeriA[SatisFiyati])-SUMIF(tblVeriA[UrunKodu],$A232,tblVeriA[Maliyet])-SUMIF(tblVeriA[UrunKodu],$A232,tblVeriA[SatisFiyati])*$B232-$C232-SUMIF(tblVeriA[UrunKodu],$A232,tblVeriA[SatisFiyati])*$D232-$E232,0))</f>
        <v/>
      </c>
      <c r="H232" s="13" t="n"/>
      <c r="I232" s="13" t="n"/>
      <c r="J232" s="16">
        <f>IF($A232="","",1)</f>
        <v/>
      </c>
    </row>
    <row r="233">
      <c r="A233" s="13" t="n"/>
      <c r="B233" s="15" t="n"/>
      <c r="C233" s="14" t="n"/>
      <c r="D233" s="15" t="n"/>
      <c r="E233" s="14" t="n"/>
      <c r="F233" s="17" t="n"/>
      <c r="G233" s="16">
        <f>IF($A233="","",IFERROR(SUMIF(tblVeriA[UrunKodu],$A233,tblVeriA[SatisFiyati])-SUMIF(tblVeriA[UrunKodu],$A233,tblVeriA[Maliyet])-SUMIF(tblVeriA[UrunKodu],$A233,tblVeriA[SatisFiyati])*$B233-$C233-SUMIF(tblVeriA[UrunKodu],$A233,tblVeriA[SatisFiyati])*$D233-$E233,0))</f>
        <v/>
      </c>
      <c r="H233" s="13" t="n"/>
      <c r="I233" s="13" t="n"/>
      <c r="J233" s="16">
        <f>IF($A233="","",1)</f>
        <v/>
      </c>
    </row>
    <row r="234">
      <c r="A234" s="13" t="n"/>
      <c r="B234" s="15" t="n"/>
      <c r="C234" s="14" t="n"/>
      <c r="D234" s="15" t="n"/>
      <c r="E234" s="14" t="n"/>
      <c r="F234" s="17" t="n"/>
      <c r="G234" s="16">
        <f>IF($A234="","",IFERROR(SUMIF(tblVeriA[UrunKodu],$A234,tblVeriA[SatisFiyati])-SUMIF(tblVeriA[UrunKodu],$A234,tblVeriA[Maliyet])-SUMIF(tblVeriA[UrunKodu],$A234,tblVeriA[SatisFiyati])*$B234-$C234-SUMIF(tblVeriA[UrunKodu],$A234,tblVeriA[SatisFiyati])*$D234-$E234,0))</f>
        <v/>
      </c>
      <c r="H234" s="13" t="n"/>
      <c r="I234" s="13" t="n"/>
      <c r="J234" s="16">
        <f>IF($A234="","",1)</f>
        <v/>
      </c>
    </row>
    <row r="235">
      <c r="A235" s="13" t="n"/>
      <c r="B235" s="15" t="n"/>
      <c r="C235" s="14" t="n"/>
      <c r="D235" s="15" t="n"/>
      <c r="E235" s="14" t="n"/>
      <c r="F235" s="17" t="n"/>
      <c r="G235" s="16">
        <f>IF($A235="","",IFERROR(SUMIF(tblVeriA[UrunKodu],$A235,tblVeriA[SatisFiyati])-SUMIF(tblVeriA[UrunKodu],$A235,tblVeriA[Maliyet])-SUMIF(tblVeriA[UrunKodu],$A235,tblVeriA[SatisFiyati])*$B235-$C235-SUMIF(tblVeriA[UrunKodu],$A235,tblVeriA[SatisFiyati])*$D235-$E235,0))</f>
        <v/>
      </c>
      <c r="H235" s="13" t="n"/>
      <c r="I235" s="13" t="n"/>
      <c r="J235" s="16">
        <f>IF($A235="","",1)</f>
        <v/>
      </c>
    </row>
    <row r="236">
      <c r="A236" s="13" t="n"/>
      <c r="B236" s="15" t="n"/>
      <c r="C236" s="14" t="n"/>
      <c r="D236" s="15" t="n"/>
      <c r="E236" s="14" t="n"/>
      <c r="F236" s="17" t="n"/>
      <c r="G236" s="16">
        <f>IF($A236="","",IFERROR(SUMIF(tblVeriA[UrunKodu],$A236,tblVeriA[SatisFiyati])-SUMIF(tblVeriA[UrunKodu],$A236,tblVeriA[Maliyet])-SUMIF(tblVeriA[UrunKodu],$A236,tblVeriA[SatisFiyati])*$B236-$C236-SUMIF(tblVeriA[UrunKodu],$A236,tblVeriA[SatisFiyati])*$D236-$E236,0))</f>
        <v/>
      </c>
      <c r="H236" s="13" t="n"/>
      <c r="I236" s="13" t="n"/>
      <c r="J236" s="16">
        <f>IF($A236="","",1)</f>
        <v/>
      </c>
    </row>
    <row r="237">
      <c r="A237" s="13" t="n"/>
      <c r="B237" s="15" t="n"/>
      <c r="C237" s="14" t="n"/>
      <c r="D237" s="15" t="n"/>
      <c r="E237" s="14" t="n"/>
      <c r="F237" s="17" t="n"/>
      <c r="G237" s="16">
        <f>IF($A237="","",IFERROR(SUMIF(tblVeriA[UrunKodu],$A237,tblVeriA[SatisFiyati])-SUMIF(tblVeriA[UrunKodu],$A237,tblVeriA[Maliyet])-SUMIF(tblVeriA[UrunKodu],$A237,tblVeriA[SatisFiyati])*$B237-$C237-SUMIF(tblVeriA[UrunKodu],$A237,tblVeriA[SatisFiyati])*$D237-$E237,0))</f>
        <v/>
      </c>
      <c r="H237" s="13" t="n"/>
      <c r="I237" s="13" t="n"/>
      <c r="J237" s="16">
        <f>IF($A237="","",1)</f>
        <v/>
      </c>
    </row>
    <row r="238">
      <c r="A238" s="13" t="n"/>
      <c r="B238" s="15" t="n"/>
      <c r="C238" s="14" t="n"/>
      <c r="D238" s="15" t="n"/>
      <c r="E238" s="14" t="n"/>
      <c r="F238" s="17" t="n"/>
      <c r="G238" s="16">
        <f>IF($A238="","",IFERROR(SUMIF(tblVeriA[UrunKodu],$A238,tblVeriA[SatisFiyati])-SUMIF(tblVeriA[UrunKodu],$A238,tblVeriA[Maliyet])-SUMIF(tblVeriA[UrunKodu],$A238,tblVeriA[SatisFiyati])*$B238-$C238-SUMIF(tblVeriA[UrunKodu],$A238,tblVeriA[SatisFiyati])*$D238-$E238,0))</f>
        <v/>
      </c>
      <c r="H238" s="13" t="n"/>
      <c r="I238" s="13" t="n"/>
      <c r="J238" s="16">
        <f>IF($A238="","",1)</f>
        <v/>
      </c>
    </row>
    <row r="239">
      <c r="A239" s="13" t="n"/>
      <c r="B239" s="15" t="n"/>
      <c r="C239" s="14" t="n"/>
      <c r="D239" s="15" t="n"/>
      <c r="E239" s="14" t="n"/>
      <c r="F239" s="17" t="n"/>
      <c r="G239" s="16">
        <f>IF($A239="","",IFERROR(SUMIF(tblVeriA[UrunKodu],$A239,tblVeriA[SatisFiyati])-SUMIF(tblVeriA[UrunKodu],$A239,tblVeriA[Maliyet])-SUMIF(tblVeriA[UrunKodu],$A239,tblVeriA[SatisFiyati])*$B239-$C239-SUMIF(tblVeriA[UrunKodu],$A239,tblVeriA[SatisFiyati])*$D239-$E239,0))</f>
        <v/>
      </c>
      <c r="H239" s="13" t="n"/>
      <c r="I239" s="13" t="n"/>
      <c r="J239" s="16">
        <f>IF($A239="","",1)</f>
        <v/>
      </c>
    </row>
    <row r="240">
      <c r="A240" s="13" t="n"/>
      <c r="B240" s="15" t="n"/>
      <c r="C240" s="14" t="n"/>
      <c r="D240" s="15" t="n"/>
      <c r="E240" s="14" t="n"/>
      <c r="F240" s="17" t="n"/>
      <c r="G240" s="16">
        <f>IF($A240="","",IFERROR(SUMIF(tblVeriA[UrunKodu],$A240,tblVeriA[SatisFiyati])-SUMIF(tblVeriA[UrunKodu],$A240,tblVeriA[Maliyet])-SUMIF(tblVeriA[UrunKodu],$A240,tblVeriA[SatisFiyati])*$B240-$C240-SUMIF(tblVeriA[UrunKodu],$A240,tblVeriA[SatisFiyati])*$D240-$E240,0))</f>
        <v/>
      </c>
      <c r="H240" s="13" t="n"/>
      <c r="I240" s="13" t="n"/>
      <c r="J240" s="16">
        <f>IF($A240="","",1)</f>
        <v/>
      </c>
    </row>
    <row r="241">
      <c r="A241" s="13" t="n"/>
      <c r="B241" s="15" t="n"/>
      <c r="C241" s="14" t="n"/>
      <c r="D241" s="15" t="n"/>
      <c r="E241" s="14" t="n"/>
      <c r="F241" s="17" t="n"/>
      <c r="G241" s="16">
        <f>IF($A241="","",IFERROR(SUMIF(tblVeriA[UrunKodu],$A241,tblVeriA[SatisFiyati])-SUMIF(tblVeriA[UrunKodu],$A241,tblVeriA[Maliyet])-SUMIF(tblVeriA[UrunKodu],$A241,tblVeriA[SatisFiyati])*$B241-$C241-SUMIF(tblVeriA[UrunKodu],$A241,tblVeriA[SatisFiyati])*$D241-$E241,0))</f>
        <v/>
      </c>
      <c r="H241" s="13" t="n"/>
      <c r="I241" s="13" t="n"/>
      <c r="J241" s="16">
        <f>IF($A241="","",1)</f>
        <v/>
      </c>
    </row>
    <row r="242">
      <c r="A242" s="13" t="n"/>
      <c r="B242" s="15" t="n"/>
      <c r="C242" s="14" t="n"/>
      <c r="D242" s="15" t="n"/>
      <c r="E242" s="14" t="n"/>
      <c r="F242" s="17" t="n"/>
      <c r="G242" s="16">
        <f>IF($A242="","",IFERROR(SUMIF(tblVeriA[UrunKodu],$A242,tblVeriA[SatisFiyati])-SUMIF(tblVeriA[UrunKodu],$A242,tblVeriA[Maliyet])-SUMIF(tblVeriA[UrunKodu],$A242,tblVeriA[SatisFiyati])*$B242-$C242-SUMIF(tblVeriA[UrunKodu],$A242,tblVeriA[SatisFiyati])*$D242-$E242,0))</f>
        <v/>
      </c>
      <c r="H242" s="13" t="n"/>
      <c r="I242" s="13" t="n"/>
      <c r="J242" s="16">
        <f>IF($A242="","",1)</f>
        <v/>
      </c>
    </row>
    <row r="243">
      <c r="A243" s="13" t="n"/>
      <c r="B243" s="15" t="n"/>
      <c r="C243" s="14" t="n"/>
      <c r="D243" s="15" t="n"/>
      <c r="E243" s="14" t="n"/>
      <c r="F243" s="17" t="n"/>
      <c r="G243" s="16">
        <f>IF($A243="","",IFERROR(SUMIF(tblVeriA[UrunKodu],$A243,tblVeriA[SatisFiyati])-SUMIF(tblVeriA[UrunKodu],$A243,tblVeriA[Maliyet])-SUMIF(tblVeriA[UrunKodu],$A243,tblVeriA[SatisFiyati])*$B243-$C243-SUMIF(tblVeriA[UrunKodu],$A243,tblVeriA[SatisFiyati])*$D243-$E243,0))</f>
        <v/>
      </c>
      <c r="H243" s="13" t="n"/>
      <c r="I243" s="13" t="n"/>
      <c r="J243" s="16">
        <f>IF($A243="","",1)</f>
        <v/>
      </c>
    </row>
    <row r="244">
      <c r="A244" s="13" t="n"/>
      <c r="B244" s="15" t="n"/>
      <c r="C244" s="14" t="n"/>
      <c r="D244" s="15" t="n"/>
      <c r="E244" s="14" t="n"/>
      <c r="F244" s="17" t="n"/>
      <c r="G244" s="16">
        <f>IF($A244="","",IFERROR(SUMIF(tblVeriA[UrunKodu],$A244,tblVeriA[SatisFiyati])-SUMIF(tblVeriA[UrunKodu],$A244,tblVeriA[Maliyet])-SUMIF(tblVeriA[UrunKodu],$A244,tblVeriA[SatisFiyati])*$B244-$C244-SUMIF(tblVeriA[UrunKodu],$A244,tblVeriA[SatisFiyati])*$D244-$E244,0))</f>
        <v/>
      </c>
      <c r="H244" s="13" t="n"/>
      <c r="I244" s="13" t="n"/>
      <c r="J244" s="16">
        <f>IF($A244="","",1)</f>
        <v/>
      </c>
    </row>
    <row r="245">
      <c r="A245" s="13" t="n"/>
      <c r="B245" s="15" t="n"/>
      <c r="C245" s="14" t="n"/>
      <c r="D245" s="15" t="n"/>
      <c r="E245" s="14" t="n"/>
      <c r="F245" s="17" t="n"/>
      <c r="G245" s="16">
        <f>IF($A245="","",IFERROR(SUMIF(tblVeriA[UrunKodu],$A245,tblVeriA[SatisFiyati])-SUMIF(tblVeriA[UrunKodu],$A245,tblVeriA[Maliyet])-SUMIF(tblVeriA[UrunKodu],$A245,tblVeriA[SatisFiyati])*$B245-$C245-SUMIF(tblVeriA[UrunKodu],$A245,tblVeriA[SatisFiyati])*$D245-$E245,0))</f>
        <v/>
      </c>
      <c r="H245" s="13" t="n"/>
      <c r="I245" s="13" t="n"/>
      <c r="J245" s="16">
        <f>IF($A245="","",1)</f>
        <v/>
      </c>
    </row>
    <row r="246">
      <c r="A246" s="13" t="n"/>
      <c r="B246" s="15" t="n"/>
      <c r="C246" s="14" t="n"/>
      <c r="D246" s="15" t="n"/>
      <c r="E246" s="14" t="n"/>
      <c r="F246" s="17" t="n"/>
      <c r="G246" s="16">
        <f>IF($A246="","",IFERROR(SUMIF(tblVeriA[UrunKodu],$A246,tblVeriA[SatisFiyati])-SUMIF(tblVeriA[UrunKodu],$A246,tblVeriA[Maliyet])-SUMIF(tblVeriA[UrunKodu],$A246,tblVeriA[SatisFiyati])*$B246-$C246-SUMIF(tblVeriA[UrunKodu],$A246,tblVeriA[SatisFiyati])*$D246-$E246,0))</f>
        <v/>
      </c>
      <c r="H246" s="13" t="n"/>
      <c r="I246" s="13" t="n"/>
      <c r="J246" s="16">
        <f>IF($A246="","",1)</f>
        <v/>
      </c>
    </row>
    <row r="247">
      <c r="A247" s="13" t="n"/>
      <c r="B247" s="15" t="n"/>
      <c r="C247" s="14" t="n"/>
      <c r="D247" s="15" t="n"/>
      <c r="E247" s="14" t="n"/>
      <c r="F247" s="17" t="n"/>
      <c r="G247" s="16">
        <f>IF($A247="","",IFERROR(SUMIF(tblVeriA[UrunKodu],$A247,tblVeriA[SatisFiyati])-SUMIF(tblVeriA[UrunKodu],$A247,tblVeriA[Maliyet])-SUMIF(tblVeriA[UrunKodu],$A247,tblVeriA[SatisFiyati])*$B247-$C247-SUMIF(tblVeriA[UrunKodu],$A247,tblVeriA[SatisFiyati])*$D247-$E247,0))</f>
        <v/>
      </c>
      <c r="H247" s="13" t="n"/>
      <c r="I247" s="13" t="n"/>
      <c r="J247" s="16">
        <f>IF($A247="","",1)</f>
        <v/>
      </c>
    </row>
    <row r="248">
      <c r="A248" s="13" t="n"/>
      <c r="B248" s="15" t="n"/>
      <c r="C248" s="14" t="n"/>
      <c r="D248" s="15" t="n"/>
      <c r="E248" s="14" t="n"/>
      <c r="F248" s="17" t="n"/>
      <c r="G248" s="16">
        <f>IF($A248="","",IFERROR(SUMIF(tblVeriA[UrunKodu],$A248,tblVeriA[SatisFiyati])-SUMIF(tblVeriA[UrunKodu],$A248,tblVeriA[Maliyet])-SUMIF(tblVeriA[UrunKodu],$A248,tblVeriA[SatisFiyati])*$B248-$C248-SUMIF(tblVeriA[UrunKodu],$A248,tblVeriA[SatisFiyati])*$D248-$E248,0))</f>
        <v/>
      </c>
      <c r="H248" s="13" t="n"/>
      <c r="I248" s="13" t="n"/>
      <c r="J248" s="16">
        <f>IF($A248="","",1)</f>
        <v/>
      </c>
    </row>
    <row r="249">
      <c r="A249" s="13" t="n"/>
      <c r="B249" s="15" t="n"/>
      <c r="C249" s="14" t="n"/>
      <c r="D249" s="15" t="n"/>
      <c r="E249" s="14" t="n"/>
      <c r="F249" s="17" t="n"/>
      <c r="G249" s="16">
        <f>IF($A249="","",IFERROR(SUMIF(tblVeriA[UrunKodu],$A249,tblVeriA[SatisFiyati])-SUMIF(tblVeriA[UrunKodu],$A249,tblVeriA[Maliyet])-SUMIF(tblVeriA[UrunKodu],$A249,tblVeriA[SatisFiyati])*$B249-$C249-SUMIF(tblVeriA[UrunKodu],$A249,tblVeriA[SatisFiyati])*$D249-$E249,0))</f>
        <v/>
      </c>
      <c r="H249" s="13" t="n"/>
      <c r="I249" s="13" t="n"/>
      <c r="J249" s="16">
        <f>IF($A249="","",1)</f>
        <v/>
      </c>
    </row>
    <row r="250">
      <c r="A250" s="13" t="n"/>
      <c r="B250" s="15" t="n"/>
      <c r="C250" s="14" t="n"/>
      <c r="D250" s="15" t="n"/>
      <c r="E250" s="14" t="n"/>
      <c r="F250" s="17" t="n"/>
      <c r="G250" s="16">
        <f>IF($A250="","",IFERROR(SUMIF(tblVeriA[UrunKodu],$A250,tblVeriA[SatisFiyati])-SUMIF(tblVeriA[UrunKodu],$A250,tblVeriA[Maliyet])-SUMIF(tblVeriA[UrunKodu],$A250,tblVeriA[SatisFiyati])*$B250-$C250-SUMIF(tblVeriA[UrunKodu],$A250,tblVeriA[SatisFiyati])*$D250-$E250,0))</f>
        <v/>
      </c>
      <c r="H250" s="13" t="n"/>
      <c r="I250" s="13" t="n"/>
      <c r="J250" s="16">
        <f>IF($A250="","",1)</f>
        <v/>
      </c>
    </row>
    <row r="251">
      <c r="A251" s="13" t="n"/>
      <c r="B251" s="15" t="n"/>
      <c r="C251" s="14" t="n"/>
      <c r="D251" s="15" t="n"/>
      <c r="E251" s="14" t="n"/>
      <c r="F251" s="17" t="n"/>
      <c r="G251" s="16">
        <f>IF($A251="","",IFERROR(SUMIF(tblVeriA[UrunKodu],$A251,tblVeriA[SatisFiyati])-SUMIF(tblVeriA[UrunKodu],$A251,tblVeriA[Maliyet])-SUMIF(tblVeriA[UrunKodu],$A251,tblVeriA[SatisFiyati])*$B251-$C251-SUMIF(tblVeriA[UrunKodu],$A251,tblVeriA[SatisFiyati])*$D251-$E251,0))</f>
        <v/>
      </c>
      <c r="H251" s="13" t="n"/>
      <c r="I251" s="13" t="n"/>
      <c r="J251" s="16">
        <f>IF($A251="","",1)</f>
        <v/>
      </c>
    </row>
    <row r="252">
      <c r="A252" s="13" t="n"/>
      <c r="B252" s="15" t="n"/>
      <c r="C252" s="14" t="n"/>
      <c r="D252" s="15" t="n"/>
      <c r="E252" s="14" t="n"/>
      <c r="F252" s="17" t="n"/>
      <c r="G252" s="16">
        <f>IF($A252="","",IFERROR(SUMIF(tblVeriA[UrunKodu],$A252,tblVeriA[SatisFiyati])-SUMIF(tblVeriA[UrunKodu],$A252,tblVeriA[Maliyet])-SUMIF(tblVeriA[UrunKodu],$A252,tblVeriA[SatisFiyati])*$B252-$C252-SUMIF(tblVeriA[UrunKodu],$A252,tblVeriA[SatisFiyati])*$D252-$E252,0))</f>
        <v/>
      </c>
      <c r="H252" s="13" t="n"/>
      <c r="I252" s="13" t="n"/>
      <c r="J252" s="16">
        <f>IF($A252="","",1)</f>
        <v/>
      </c>
    </row>
    <row r="253">
      <c r="A253" s="13" t="n"/>
      <c r="B253" s="15" t="n"/>
      <c r="C253" s="14" t="n"/>
      <c r="D253" s="15" t="n"/>
      <c r="E253" s="14" t="n"/>
      <c r="F253" s="17" t="n"/>
      <c r="G253" s="16">
        <f>IF($A253="","",IFERROR(SUMIF(tblVeriA[UrunKodu],$A253,tblVeriA[SatisFiyati])-SUMIF(tblVeriA[UrunKodu],$A253,tblVeriA[Maliyet])-SUMIF(tblVeriA[UrunKodu],$A253,tblVeriA[SatisFiyati])*$B253-$C253-SUMIF(tblVeriA[UrunKodu],$A253,tblVeriA[SatisFiyati])*$D253-$E253,0))</f>
        <v/>
      </c>
      <c r="H253" s="13" t="n"/>
      <c r="I253" s="13" t="n"/>
      <c r="J253" s="16">
        <f>IF($A253="","",1)</f>
        <v/>
      </c>
    </row>
    <row r="254">
      <c r="A254" s="13" t="n"/>
      <c r="B254" s="15" t="n"/>
      <c r="C254" s="14" t="n"/>
      <c r="D254" s="15" t="n"/>
      <c r="E254" s="14" t="n"/>
      <c r="F254" s="17" t="n"/>
      <c r="G254" s="16">
        <f>IF($A254="","",IFERROR(SUMIF(tblVeriA[UrunKodu],$A254,tblVeriA[SatisFiyati])-SUMIF(tblVeriA[UrunKodu],$A254,tblVeriA[Maliyet])-SUMIF(tblVeriA[UrunKodu],$A254,tblVeriA[SatisFiyati])*$B254-$C254-SUMIF(tblVeriA[UrunKodu],$A254,tblVeriA[SatisFiyati])*$D254-$E254,0))</f>
        <v/>
      </c>
      <c r="H254" s="13" t="n"/>
      <c r="I254" s="13" t="n"/>
      <c r="J254" s="16">
        <f>IF($A254="","",1)</f>
        <v/>
      </c>
    </row>
    <row r="255">
      <c r="A255" s="13" t="n"/>
      <c r="B255" s="15" t="n"/>
      <c r="C255" s="14" t="n"/>
      <c r="D255" s="15" t="n"/>
      <c r="E255" s="14" t="n"/>
      <c r="F255" s="17" t="n"/>
      <c r="G255" s="16">
        <f>IF($A255="","",IFERROR(SUMIF(tblVeriA[UrunKodu],$A255,tblVeriA[SatisFiyati])-SUMIF(tblVeriA[UrunKodu],$A255,tblVeriA[Maliyet])-SUMIF(tblVeriA[UrunKodu],$A255,tblVeriA[SatisFiyati])*$B255-$C255-SUMIF(tblVeriA[UrunKodu],$A255,tblVeriA[SatisFiyati])*$D255-$E255,0))</f>
        <v/>
      </c>
      <c r="H255" s="13" t="n"/>
      <c r="I255" s="13" t="n"/>
      <c r="J255" s="16">
        <f>IF($A255="","",1)</f>
        <v/>
      </c>
    </row>
    <row r="256">
      <c r="A256" s="13" t="n"/>
      <c r="B256" s="15" t="n"/>
      <c r="C256" s="14" t="n"/>
      <c r="D256" s="15" t="n"/>
      <c r="E256" s="14" t="n"/>
      <c r="F256" s="17" t="n"/>
      <c r="G256" s="16">
        <f>IF($A256="","",IFERROR(SUMIF(tblVeriA[UrunKodu],$A256,tblVeriA[SatisFiyati])-SUMIF(tblVeriA[UrunKodu],$A256,tblVeriA[Maliyet])-SUMIF(tblVeriA[UrunKodu],$A256,tblVeriA[SatisFiyati])*$B256-$C256-SUMIF(tblVeriA[UrunKodu],$A256,tblVeriA[SatisFiyati])*$D256-$E256,0))</f>
        <v/>
      </c>
      <c r="H256" s="13" t="n"/>
      <c r="I256" s="13" t="n"/>
      <c r="J256" s="16">
        <f>IF($A256="","",1)</f>
        <v/>
      </c>
    </row>
    <row r="257">
      <c r="A257" s="13" t="n"/>
      <c r="B257" s="15" t="n"/>
      <c r="C257" s="14" t="n"/>
      <c r="D257" s="15" t="n"/>
      <c r="E257" s="14" t="n"/>
      <c r="F257" s="17" t="n"/>
      <c r="G257" s="16">
        <f>IF($A257="","",IFERROR(SUMIF(tblVeriA[UrunKodu],$A257,tblVeriA[SatisFiyati])-SUMIF(tblVeriA[UrunKodu],$A257,tblVeriA[Maliyet])-SUMIF(tblVeriA[UrunKodu],$A257,tblVeriA[SatisFiyati])*$B257-$C257-SUMIF(tblVeriA[UrunKodu],$A257,tblVeriA[SatisFiyati])*$D257-$E257,0))</f>
        <v/>
      </c>
      <c r="H257" s="13" t="n"/>
      <c r="I257" s="13" t="n"/>
      <c r="J257" s="16">
        <f>IF($A257="","",1)</f>
        <v/>
      </c>
    </row>
    <row r="258">
      <c r="A258" s="13" t="n"/>
      <c r="B258" s="15" t="n"/>
      <c r="C258" s="14" t="n"/>
      <c r="D258" s="15" t="n"/>
      <c r="E258" s="14" t="n"/>
      <c r="F258" s="17" t="n"/>
      <c r="G258" s="16">
        <f>IF($A258="","",IFERROR(SUMIF(tblVeriA[UrunKodu],$A258,tblVeriA[SatisFiyati])-SUMIF(tblVeriA[UrunKodu],$A258,tblVeriA[Maliyet])-SUMIF(tblVeriA[UrunKodu],$A258,tblVeriA[SatisFiyati])*$B258-$C258-SUMIF(tblVeriA[UrunKodu],$A258,tblVeriA[SatisFiyati])*$D258-$E258,0))</f>
        <v/>
      </c>
      <c r="H258" s="13" t="n"/>
      <c r="I258" s="13" t="n"/>
      <c r="J258" s="16">
        <f>IF($A258="","",1)</f>
        <v/>
      </c>
    </row>
    <row r="259">
      <c r="A259" s="13" t="n"/>
      <c r="B259" s="15" t="n"/>
      <c r="C259" s="14" t="n"/>
      <c r="D259" s="15" t="n"/>
      <c r="E259" s="14" t="n"/>
      <c r="F259" s="17" t="n"/>
      <c r="G259" s="16">
        <f>IF($A259="","",IFERROR(SUMIF(tblVeriA[UrunKodu],$A259,tblVeriA[SatisFiyati])-SUMIF(tblVeriA[UrunKodu],$A259,tblVeriA[Maliyet])-SUMIF(tblVeriA[UrunKodu],$A259,tblVeriA[SatisFiyati])*$B259-$C259-SUMIF(tblVeriA[UrunKodu],$A259,tblVeriA[SatisFiyati])*$D259-$E259,0))</f>
        <v/>
      </c>
      <c r="H259" s="13" t="n"/>
      <c r="I259" s="13" t="n"/>
      <c r="J259" s="16">
        <f>IF($A259="","",1)</f>
        <v/>
      </c>
    </row>
    <row r="260">
      <c r="A260" s="13" t="n"/>
      <c r="B260" s="15" t="n"/>
      <c r="C260" s="14" t="n"/>
      <c r="D260" s="15" t="n"/>
      <c r="E260" s="14" t="n"/>
      <c r="F260" s="17" t="n"/>
      <c r="G260" s="16">
        <f>IF($A260="","",IFERROR(SUMIF(tblVeriA[UrunKodu],$A260,tblVeriA[SatisFiyati])-SUMIF(tblVeriA[UrunKodu],$A260,tblVeriA[Maliyet])-SUMIF(tblVeriA[UrunKodu],$A260,tblVeriA[SatisFiyati])*$B260-$C260-SUMIF(tblVeriA[UrunKodu],$A260,tblVeriA[SatisFiyati])*$D260-$E260,0))</f>
        <v/>
      </c>
      <c r="H260" s="13" t="n"/>
      <c r="I260" s="13" t="n"/>
      <c r="J260" s="16">
        <f>IF($A260="","",1)</f>
        <v/>
      </c>
    </row>
    <row r="261">
      <c r="A261" s="13" t="n"/>
      <c r="B261" s="15" t="n"/>
      <c r="C261" s="14" t="n"/>
      <c r="D261" s="15" t="n"/>
      <c r="E261" s="14" t="n"/>
      <c r="F261" s="17" t="n"/>
      <c r="G261" s="16">
        <f>IF($A261="","",IFERROR(SUMIF(tblVeriA[UrunKodu],$A261,tblVeriA[SatisFiyati])-SUMIF(tblVeriA[UrunKodu],$A261,tblVeriA[Maliyet])-SUMIF(tblVeriA[UrunKodu],$A261,tblVeriA[SatisFiyati])*$B261-$C261-SUMIF(tblVeriA[UrunKodu],$A261,tblVeriA[SatisFiyati])*$D261-$E261,0))</f>
        <v/>
      </c>
      <c r="H261" s="13" t="n"/>
      <c r="I261" s="13" t="n"/>
      <c r="J261" s="16">
        <f>IF($A261="","",1)</f>
        <v/>
      </c>
    </row>
    <row r="262">
      <c r="A262" s="13" t="n"/>
      <c r="B262" s="15" t="n"/>
      <c r="C262" s="14" t="n"/>
      <c r="D262" s="15" t="n"/>
      <c r="E262" s="14" t="n"/>
      <c r="F262" s="17" t="n"/>
      <c r="G262" s="16">
        <f>IF($A262="","",IFERROR(SUMIF(tblVeriA[UrunKodu],$A262,tblVeriA[SatisFiyati])-SUMIF(tblVeriA[UrunKodu],$A262,tblVeriA[Maliyet])-SUMIF(tblVeriA[UrunKodu],$A262,tblVeriA[SatisFiyati])*$B262-$C262-SUMIF(tblVeriA[UrunKodu],$A262,tblVeriA[SatisFiyati])*$D262-$E262,0))</f>
        <v/>
      </c>
      <c r="H262" s="13" t="n"/>
      <c r="I262" s="13" t="n"/>
      <c r="J262" s="16">
        <f>IF($A262="","",1)</f>
        <v/>
      </c>
    </row>
    <row r="263">
      <c r="A263" s="13" t="n"/>
      <c r="B263" s="15" t="n"/>
      <c r="C263" s="14" t="n"/>
      <c r="D263" s="15" t="n"/>
      <c r="E263" s="14" t="n"/>
      <c r="F263" s="17" t="n"/>
      <c r="G263" s="16">
        <f>IF($A263="","",IFERROR(SUMIF(tblVeriA[UrunKodu],$A263,tblVeriA[SatisFiyati])-SUMIF(tblVeriA[UrunKodu],$A263,tblVeriA[Maliyet])-SUMIF(tblVeriA[UrunKodu],$A263,tblVeriA[SatisFiyati])*$B263-$C263-SUMIF(tblVeriA[UrunKodu],$A263,tblVeriA[SatisFiyati])*$D263-$E263,0))</f>
        <v/>
      </c>
      <c r="H263" s="13" t="n"/>
      <c r="I263" s="13" t="n"/>
      <c r="J263" s="16">
        <f>IF($A263="","",1)</f>
        <v/>
      </c>
    </row>
    <row r="264">
      <c r="A264" s="13" t="n"/>
      <c r="B264" s="15" t="n"/>
      <c r="C264" s="14" t="n"/>
      <c r="D264" s="15" t="n"/>
      <c r="E264" s="14" t="n"/>
      <c r="F264" s="17" t="n"/>
      <c r="G264" s="16">
        <f>IF($A264="","",IFERROR(SUMIF(tblVeriA[UrunKodu],$A264,tblVeriA[SatisFiyati])-SUMIF(tblVeriA[UrunKodu],$A264,tblVeriA[Maliyet])-SUMIF(tblVeriA[UrunKodu],$A264,tblVeriA[SatisFiyati])*$B264-$C264-SUMIF(tblVeriA[UrunKodu],$A264,tblVeriA[SatisFiyati])*$D264-$E264,0))</f>
        <v/>
      </c>
      <c r="H264" s="13" t="n"/>
      <c r="I264" s="13" t="n"/>
      <c r="J264" s="16">
        <f>IF($A264="","",1)</f>
        <v/>
      </c>
    </row>
    <row r="265">
      <c r="A265" s="13" t="n"/>
      <c r="B265" s="15" t="n"/>
      <c r="C265" s="14" t="n"/>
      <c r="D265" s="15" t="n"/>
      <c r="E265" s="14" t="n"/>
      <c r="F265" s="17" t="n"/>
      <c r="G265" s="16">
        <f>IF($A265="","",IFERROR(SUMIF(tblVeriA[UrunKodu],$A265,tblVeriA[SatisFiyati])-SUMIF(tblVeriA[UrunKodu],$A265,tblVeriA[Maliyet])-SUMIF(tblVeriA[UrunKodu],$A265,tblVeriA[SatisFiyati])*$B265-$C265-SUMIF(tblVeriA[UrunKodu],$A265,tblVeriA[SatisFiyati])*$D265-$E265,0))</f>
        <v/>
      </c>
      <c r="H265" s="13" t="n"/>
      <c r="I265" s="13" t="n"/>
      <c r="J265" s="16">
        <f>IF($A265="","",1)</f>
        <v/>
      </c>
    </row>
    <row r="266">
      <c r="A266" s="13" t="n"/>
      <c r="B266" s="15" t="n"/>
      <c r="C266" s="14" t="n"/>
      <c r="D266" s="15" t="n"/>
      <c r="E266" s="14" t="n"/>
      <c r="F266" s="17" t="n"/>
      <c r="G266" s="16">
        <f>IF($A266="","",IFERROR(SUMIF(tblVeriA[UrunKodu],$A266,tblVeriA[SatisFiyati])-SUMIF(tblVeriA[UrunKodu],$A266,tblVeriA[Maliyet])-SUMIF(tblVeriA[UrunKodu],$A266,tblVeriA[SatisFiyati])*$B266-$C266-SUMIF(tblVeriA[UrunKodu],$A266,tblVeriA[SatisFiyati])*$D266-$E266,0))</f>
        <v/>
      </c>
      <c r="H266" s="13" t="n"/>
      <c r="I266" s="13" t="n"/>
      <c r="J266" s="16">
        <f>IF($A266="","",1)</f>
        <v/>
      </c>
    </row>
    <row r="267">
      <c r="A267" s="13" t="n"/>
      <c r="B267" s="15" t="n"/>
      <c r="C267" s="14" t="n"/>
      <c r="D267" s="15" t="n"/>
      <c r="E267" s="14" t="n"/>
      <c r="F267" s="17" t="n"/>
      <c r="G267" s="16">
        <f>IF($A267="","",IFERROR(SUMIF(tblVeriA[UrunKodu],$A267,tblVeriA[SatisFiyati])-SUMIF(tblVeriA[UrunKodu],$A267,tblVeriA[Maliyet])-SUMIF(tblVeriA[UrunKodu],$A267,tblVeriA[SatisFiyati])*$B267-$C267-SUMIF(tblVeriA[UrunKodu],$A267,tblVeriA[SatisFiyati])*$D267-$E267,0))</f>
        <v/>
      </c>
      <c r="H267" s="13" t="n"/>
      <c r="I267" s="13" t="n"/>
      <c r="J267" s="16">
        <f>IF($A267="","",1)</f>
        <v/>
      </c>
    </row>
    <row r="268">
      <c r="A268" s="13" t="n"/>
      <c r="B268" s="15" t="n"/>
      <c r="C268" s="14" t="n"/>
      <c r="D268" s="15" t="n"/>
      <c r="E268" s="14" t="n"/>
      <c r="F268" s="17" t="n"/>
      <c r="G268" s="16">
        <f>IF($A268="","",IFERROR(SUMIF(tblVeriA[UrunKodu],$A268,tblVeriA[SatisFiyati])-SUMIF(tblVeriA[UrunKodu],$A268,tblVeriA[Maliyet])-SUMIF(tblVeriA[UrunKodu],$A268,tblVeriA[SatisFiyati])*$B268-$C268-SUMIF(tblVeriA[UrunKodu],$A268,tblVeriA[SatisFiyati])*$D268-$E268,0))</f>
        <v/>
      </c>
      <c r="H268" s="13" t="n"/>
      <c r="I268" s="13" t="n"/>
      <c r="J268" s="16">
        <f>IF($A268="","",1)</f>
        <v/>
      </c>
    </row>
    <row r="269">
      <c r="A269" s="13" t="n"/>
      <c r="B269" s="15" t="n"/>
      <c r="C269" s="14" t="n"/>
      <c r="D269" s="15" t="n"/>
      <c r="E269" s="14" t="n"/>
      <c r="F269" s="17" t="n"/>
      <c r="G269" s="16">
        <f>IF($A269="","",IFERROR(SUMIF(tblVeriA[UrunKodu],$A269,tblVeriA[SatisFiyati])-SUMIF(tblVeriA[UrunKodu],$A269,tblVeriA[Maliyet])-SUMIF(tblVeriA[UrunKodu],$A269,tblVeriA[SatisFiyati])*$B269-$C269-SUMIF(tblVeriA[UrunKodu],$A269,tblVeriA[SatisFiyati])*$D269-$E269,0))</f>
        <v/>
      </c>
      <c r="H269" s="13" t="n"/>
      <c r="I269" s="13" t="n"/>
      <c r="J269" s="16">
        <f>IF($A269="","",1)</f>
        <v/>
      </c>
    </row>
    <row r="270">
      <c r="A270" s="13" t="n"/>
      <c r="B270" s="15" t="n"/>
      <c r="C270" s="14" t="n"/>
      <c r="D270" s="15" t="n"/>
      <c r="E270" s="14" t="n"/>
      <c r="F270" s="17" t="n"/>
      <c r="G270" s="16">
        <f>IF($A270="","",IFERROR(SUMIF(tblVeriA[UrunKodu],$A270,tblVeriA[SatisFiyati])-SUMIF(tblVeriA[UrunKodu],$A270,tblVeriA[Maliyet])-SUMIF(tblVeriA[UrunKodu],$A270,tblVeriA[SatisFiyati])*$B270-$C270-SUMIF(tblVeriA[UrunKodu],$A270,tblVeriA[SatisFiyati])*$D270-$E270,0))</f>
        <v/>
      </c>
      <c r="H270" s="13" t="n"/>
      <c r="I270" s="13" t="n"/>
      <c r="J270" s="16">
        <f>IF($A270="","",1)</f>
        <v/>
      </c>
    </row>
    <row r="271">
      <c r="A271" s="13" t="n"/>
      <c r="B271" s="15" t="n"/>
      <c r="C271" s="14" t="n"/>
      <c r="D271" s="15" t="n"/>
      <c r="E271" s="14" t="n"/>
      <c r="F271" s="17" t="n"/>
      <c r="G271" s="16">
        <f>IF($A271="","",IFERROR(SUMIF(tblVeriA[UrunKodu],$A271,tblVeriA[SatisFiyati])-SUMIF(tblVeriA[UrunKodu],$A271,tblVeriA[Maliyet])-SUMIF(tblVeriA[UrunKodu],$A271,tblVeriA[SatisFiyati])*$B271-$C271-SUMIF(tblVeriA[UrunKodu],$A271,tblVeriA[SatisFiyati])*$D271-$E271,0))</f>
        <v/>
      </c>
      <c r="H271" s="13" t="n"/>
      <c r="I271" s="13" t="n"/>
      <c r="J271" s="16">
        <f>IF($A271="","",1)</f>
        <v/>
      </c>
    </row>
    <row r="272">
      <c r="A272" s="13" t="n"/>
      <c r="B272" s="15" t="n"/>
      <c r="C272" s="14" t="n"/>
      <c r="D272" s="15" t="n"/>
      <c r="E272" s="14" t="n"/>
      <c r="F272" s="17" t="n"/>
      <c r="G272" s="16">
        <f>IF($A272="","",IFERROR(SUMIF(tblVeriA[UrunKodu],$A272,tblVeriA[SatisFiyati])-SUMIF(tblVeriA[UrunKodu],$A272,tblVeriA[Maliyet])-SUMIF(tblVeriA[UrunKodu],$A272,tblVeriA[SatisFiyati])*$B272-$C272-SUMIF(tblVeriA[UrunKodu],$A272,tblVeriA[SatisFiyati])*$D272-$E272,0))</f>
        <v/>
      </c>
      <c r="H272" s="13" t="n"/>
      <c r="I272" s="13" t="n"/>
      <c r="J272" s="16">
        <f>IF($A272="","",1)</f>
        <v/>
      </c>
    </row>
    <row r="273">
      <c r="A273" s="13" t="n"/>
      <c r="B273" s="15" t="n"/>
      <c r="C273" s="14" t="n"/>
      <c r="D273" s="15" t="n"/>
      <c r="E273" s="14" t="n"/>
      <c r="F273" s="17" t="n"/>
      <c r="G273" s="16">
        <f>IF($A273="","",IFERROR(SUMIF(tblVeriA[UrunKodu],$A273,tblVeriA[SatisFiyati])-SUMIF(tblVeriA[UrunKodu],$A273,tblVeriA[Maliyet])-SUMIF(tblVeriA[UrunKodu],$A273,tblVeriA[SatisFiyati])*$B273-$C273-SUMIF(tblVeriA[UrunKodu],$A273,tblVeriA[SatisFiyati])*$D273-$E273,0))</f>
        <v/>
      </c>
      <c r="H273" s="13" t="n"/>
      <c r="I273" s="13" t="n"/>
      <c r="J273" s="16">
        <f>IF($A273="","",1)</f>
        <v/>
      </c>
    </row>
    <row r="274">
      <c r="A274" s="13" t="n"/>
      <c r="B274" s="15" t="n"/>
      <c r="C274" s="14" t="n"/>
      <c r="D274" s="15" t="n"/>
      <c r="E274" s="14" t="n"/>
      <c r="F274" s="17" t="n"/>
      <c r="G274" s="16">
        <f>IF($A274="","",IFERROR(SUMIF(tblVeriA[UrunKodu],$A274,tblVeriA[SatisFiyati])-SUMIF(tblVeriA[UrunKodu],$A274,tblVeriA[Maliyet])-SUMIF(tblVeriA[UrunKodu],$A274,tblVeriA[SatisFiyati])*$B274-$C274-SUMIF(tblVeriA[UrunKodu],$A274,tblVeriA[SatisFiyati])*$D274-$E274,0))</f>
        <v/>
      </c>
      <c r="H274" s="13" t="n"/>
      <c r="I274" s="13" t="n"/>
      <c r="J274" s="16">
        <f>IF($A274="","",1)</f>
        <v/>
      </c>
    </row>
    <row r="275">
      <c r="A275" s="13" t="n"/>
      <c r="B275" s="15" t="n"/>
      <c r="C275" s="14" t="n"/>
      <c r="D275" s="15" t="n"/>
      <c r="E275" s="14" t="n"/>
      <c r="F275" s="17" t="n"/>
      <c r="G275" s="16">
        <f>IF($A275="","",IFERROR(SUMIF(tblVeriA[UrunKodu],$A275,tblVeriA[SatisFiyati])-SUMIF(tblVeriA[UrunKodu],$A275,tblVeriA[Maliyet])-SUMIF(tblVeriA[UrunKodu],$A275,tblVeriA[SatisFiyati])*$B275-$C275-SUMIF(tblVeriA[UrunKodu],$A275,tblVeriA[SatisFiyati])*$D275-$E275,0))</f>
        <v/>
      </c>
      <c r="H275" s="13" t="n"/>
      <c r="I275" s="13" t="n"/>
      <c r="J275" s="16">
        <f>IF($A275="","",1)</f>
        <v/>
      </c>
    </row>
    <row r="276">
      <c r="A276" s="13" t="n"/>
      <c r="B276" s="15" t="n"/>
      <c r="C276" s="14" t="n"/>
      <c r="D276" s="15" t="n"/>
      <c r="E276" s="14" t="n"/>
      <c r="F276" s="17" t="n"/>
      <c r="G276" s="16">
        <f>IF($A276="","",IFERROR(SUMIF(tblVeriA[UrunKodu],$A276,tblVeriA[SatisFiyati])-SUMIF(tblVeriA[UrunKodu],$A276,tblVeriA[Maliyet])-SUMIF(tblVeriA[UrunKodu],$A276,tblVeriA[SatisFiyati])*$B276-$C276-SUMIF(tblVeriA[UrunKodu],$A276,tblVeriA[SatisFiyati])*$D276-$E276,0))</f>
        <v/>
      </c>
      <c r="H276" s="13" t="n"/>
      <c r="I276" s="13" t="n"/>
      <c r="J276" s="16">
        <f>IF($A276="","",1)</f>
        <v/>
      </c>
    </row>
    <row r="277">
      <c r="A277" s="13" t="n"/>
      <c r="B277" s="15" t="n"/>
      <c r="C277" s="14" t="n"/>
      <c r="D277" s="15" t="n"/>
      <c r="E277" s="14" t="n"/>
      <c r="F277" s="17" t="n"/>
      <c r="G277" s="16">
        <f>IF($A277="","",IFERROR(SUMIF(tblVeriA[UrunKodu],$A277,tblVeriA[SatisFiyati])-SUMIF(tblVeriA[UrunKodu],$A277,tblVeriA[Maliyet])-SUMIF(tblVeriA[UrunKodu],$A277,tblVeriA[SatisFiyati])*$B277-$C277-SUMIF(tblVeriA[UrunKodu],$A277,tblVeriA[SatisFiyati])*$D277-$E277,0))</f>
        <v/>
      </c>
      <c r="H277" s="13" t="n"/>
      <c r="I277" s="13" t="n"/>
      <c r="J277" s="16">
        <f>IF($A277="","",1)</f>
        <v/>
      </c>
    </row>
    <row r="278">
      <c r="A278" s="13" t="n"/>
      <c r="B278" s="15" t="n"/>
      <c r="C278" s="14" t="n"/>
      <c r="D278" s="15" t="n"/>
      <c r="E278" s="14" t="n"/>
      <c r="F278" s="17" t="n"/>
      <c r="G278" s="16">
        <f>IF($A278="","",IFERROR(SUMIF(tblVeriA[UrunKodu],$A278,tblVeriA[SatisFiyati])-SUMIF(tblVeriA[UrunKodu],$A278,tblVeriA[Maliyet])-SUMIF(tblVeriA[UrunKodu],$A278,tblVeriA[SatisFiyati])*$B278-$C278-SUMIF(tblVeriA[UrunKodu],$A278,tblVeriA[SatisFiyati])*$D278-$E278,0))</f>
        <v/>
      </c>
      <c r="H278" s="13" t="n"/>
      <c r="I278" s="13" t="n"/>
      <c r="J278" s="16">
        <f>IF($A278="","",1)</f>
        <v/>
      </c>
    </row>
    <row r="279">
      <c r="A279" s="13" t="n"/>
      <c r="B279" s="15" t="n"/>
      <c r="C279" s="14" t="n"/>
      <c r="D279" s="15" t="n"/>
      <c r="E279" s="14" t="n"/>
      <c r="F279" s="17" t="n"/>
      <c r="G279" s="16">
        <f>IF($A279="","",IFERROR(SUMIF(tblVeriA[UrunKodu],$A279,tblVeriA[SatisFiyati])-SUMIF(tblVeriA[UrunKodu],$A279,tblVeriA[Maliyet])-SUMIF(tblVeriA[UrunKodu],$A279,tblVeriA[SatisFiyati])*$B279-$C279-SUMIF(tblVeriA[UrunKodu],$A279,tblVeriA[SatisFiyati])*$D279-$E279,0))</f>
        <v/>
      </c>
      <c r="H279" s="13" t="n"/>
      <c r="I279" s="13" t="n"/>
      <c r="J279" s="16">
        <f>IF($A279="","",1)</f>
        <v/>
      </c>
    </row>
    <row r="280">
      <c r="A280" s="13" t="n"/>
      <c r="B280" s="15" t="n"/>
      <c r="C280" s="14" t="n"/>
      <c r="D280" s="15" t="n"/>
      <c r="E280" s="14" t="n"/>
      <c r="F280" s="17" t="n"/>
      <c r="G280" s="16">
        <f>IF($A280="","",IFERROR(SUMIF(tblVeriA[UrunKodu],$A280,tblVeriA[SatisFiyati])-SUMIF(tblVeriA[UrunKodu],$A280,tblVeriA[Maliyet])-SUMIF(tblVeriA[UrunKodu],$A280,tblVeriA[SatisFiyati])*$B280-$C280-SUMIF(tblVeriA[UrunKodu],$A280,tblVeriA[SatisFiyati])*$D280-$E280,0))</f>
        <v/>
      </c>
      <c r="H280" s="13" t="n"/>
      <c r="I280" s="13" t="n"/>
      <c r="J280" s="16">
        <f>IF($A280="","",1)</f>
        <v/>
      </c>
    </row>
    <row r="281">
      <c r="A281" s="13" t="n"/>
      <c r="B281" s="15" t="n"/>
      <c r="C281" s="14" t="n"/>
      <c r="D281" s="15" t="n"/>
      <c r="E281" s="14" t="n"/>
      <c r="F281" s="17" t="n"/>
      <c r="G281" s="16">
        <f>IF($A281="","",IFERROR(SUMIF(tblVeriA[UrunKodu],$A281,tblVeriA[SatisFiyati])-SUMIF(tblVeriA[UrunKodu],$A281,tblVeriA[Maliyet])-SUMIF(tblVeriA[UrunKodu],$A281,tblVeriA[SatisFiyati])*$B281-$C281-SUMIF(tblVeriA[UrunKodu],$A281,tblVeriA[SatisFiyati])*$D281-$E281,0))</f>
        <v/>
      </c>
      <c r="H281" s="13" t="n"/>
      <c r="I281" s="13" t="n"/>
      <c r="J281" s="16">
        <f>IF($A281="","",1)</f>
        <v/>
      </c>
    </row>
    <row r="282">
      <c r="A282" s="13" t="n"/>
      <c r="B282" s="15" t="n"/>
      <c r="C282" s="14" t="n"/>
      <c r="D282" s="15" t="n"/>
      <c r="E282" s="14" t="n"/>
      <c r="F282" s="17" t="n"/>
      <c r="G282" s="16">
        <f>IF($A282="","",IFERROR(SUMIF(tblVeriA[UrunKodu],$A282,tblVeriA[SatisFiyati])-SUMIF(tblVeriA[UrunKodu],$A282,tblVeriA[Maliyet])-SUMIF(tblVeriA[UrunKodu],$A282,tblVeriA[SatisFiyati])*$B282-$C282-SUMIF(tblVeriA[UrunKodu],$A282,tblVeriA[SatisFiyati])*$D282-$E282,0))</f>
        <v/>
      </c>
      <c r="H282" s="13" t="n"/>
      <c r="I282" s="13" t="n"/>
      <c r="J282" s="16">
        <f>IF($A282="","",1)</f>
        <v/>
      </c>
    </row>
    <row r="283">
      <c r="A283" s="13" t="n"/>
      <c r="B283" s="15" t="n"/>
      <c r="C283" s="14" t="n"/>
      <c r="D283" s="15" t="n"/>
      <c r="E283" s="14" t="n"/>
      <c r="F283" s="17" t="n"/>
      <c r="G283" s="16">
        <f>IF($A283="","",IFERROR(SUMIF(tblVeriA[UrunKodu],$A283,tblVeriA[SatisFiyati])-SUMIF(tblVeriA[UrunKodu],$A283,tblVeriA[Maliyet])-SUMIF(tblVeriA[UrunKodu],$A283,tblVeriA[SatisFiyati])*$B283-$C283-SUMIF(tblVeriA[UrunKodu],$A283,tblVeriA[SatisFiyati])*$D283-$E283,0))</f>
        <v/>
      </c>
      <c r="H283" s="13" t="n"/>
      <c r="I283" s="13" t="n"/>
      <c r="J283" s="16">
        <f>IF($A283="","",1)</f>
        <v/>
      </c>
    </row>
    <row r="284">
      <c r="A284" s="13" t="n"/>
      <c r="B284" s="15" t="n"/>
      <c r="C284" s="14" t="n"/>
      <c r="D284" s="15" t="n"/>
      <c r="E284" s="14" t="n"/>
      <c r="F284" s="17" t="n"/>
      <c r="G284" s="16">
        <f>IF($A284="","",IFERROR(SUMIF(tblVeriA[UrunKodu],$A284,tblVeriA[SatisFiyati])-SUMIF(tblVeriA[UrunKodu],$A284,tblVeriA[Maliyet])-SUMIF(tblVeriA[UrunKodu],$A284,tblVeriA[SatisFiyati])*$B284-$C284-SUMIF(tblVeriA[UrunKodu],$A284,tblVeriA[SatisFiyati])*$D284-$E284,0))</f>
        <v/>
      </c>
      <c r="H284" s="13" t="n"/>
      <c r="I284" s="13" t="n"/>
      <c r="J284" s="16">
        <f>IF($A284="","",1)</f>
        <v/>
      </c>
    </row>
    <row r="285">
      <c r="A285" s="13" t="n"/>
      <c r="B285" s="15" t="n"/>
      <c r="C285" s="14" t="n"/>
      <c r="D285" s="15" t="n"/>
      <c r="E285" s="14" t="n"/>
      <c r="F285" s="17" t="n"/>
      <c r="G285" s="16">
        <f>IF($A285="","",IFERROR(SUMIF(tblVeriA[UrunKodu],$A285,tblVeriA[SatisFiyati])-SUMIF(tblVeriA[UrunKodu],$A285,tblVeriA[Maliyet])-SUMIF(tblVeriA[UrunKodu],$A285,tblVeriA[SatisFiyati])*$B285-$C285-SUMIF(tblVeriA[UrunKodu],$A285,tblVeriA[SatisFiyati])*$D285-$E285,0))</f>
        <v/>
      </c>
      <c r="H285" s="13" t="n"/>
      <c r="I285" s="13" t="n"/>
      <c r="J285" s="16">
        <f>IF($A285="","",1)</f>
        <v/>
      </c>
    </row>
    <row r="286">
      <c r="A286" s="13" t="n"/>
      <c r="B286" s="15" t="n"/>
      <c r="C286" s="14" t="n"/>
      <c r="D286" s="15" t="n"/>
      <c r="E286" s="14" t="n"/>
      <c r="F286" s="17" t="n"/>
      <c r="G286" s="16">
        <f>IF($A286="","",IFERROR(SUMIF(tblVeriA[UrunKodu],$A286,tblVeriA[SatisFiyati])-SUMIF(tblVeriA[UrunKodu],$A286,tblVeriA[Maliyet])-SUMIF(tblVeriA[UrunKodu],$A286,tblVeriA[SatisFiyati])*$B286-$C286-SUMIF(tblVeriA[UrunKodu],$A286,tblVeriA[SatisFiyati])*$D286-$E286,0))</f>
        <v/>
      </c>
      <c r="H286" s="13" t="n"/>
      <c r="I286" s="13" t="n"/>
      <c r="J286" s="16">
        <f>IF($A286="","",1)</f>
        <v/>
      </c>
    </row>
    <row r="287">
      <c r="A287" s="13" t="n"/>
      <c r="B287" s="15" t="n"/>
      <c r="C287" s="14" t="n"/>
      <c r="D287" s="15" t="n"/>
      <c r="E287" s="14" t="n"/>
      <c r="F287" s="17" t="n"/>
      <c r="G287" s="16">
        <f>IF($A287="","",IFERROR(SUMIF(tblVeriA[UrunKodu],$A287,tblVeriA[SatisFiyati])-SUMIF(tblVeriA[UrunKodu],$A287,tblVeriA[Maliyet])-SUMIF(tblVeriA[UrunKodu],$A287,tblVeriA[SatisFiyati])*$B287-$C287-SUMIF(tblVeriA[UrunKodu],$A287,tblVeriA[SatisFiyati])*$D287-$E287,0))</f>
        <v/>
      </c>
      <c r="H287" s="13" t="n"/>
      <c r="I287" s="13" t="n"/>
      <c r="J287" s="16">
        <f>IF($A287="","",1)</f>
        <v/>
      </c>
    </row>
    <row r="288">
      <c r="A288" s="13" t="n"/>
      <c r="B288" s="15" t="n"/>
      <c r="C288" s="14" t="n"/>
      <c r="D288" s="15" t="n"/>
      <c r="E288" s="14" t="n"/>
      <c r="F288" s="17" t="n"/>
      <c r="G288" s="16">
        <f>IF($A288="","",IFERROR(SUMIF(tblVeriA[UrunKodu],$A288,tblVeriA[SatisFiyati])-SUMIF(tblVeriA[UrunKodu],$A288,tblVeriA[Maliyet])-SUMIF(tblVeriA[UrunKodu],$A288,tblVeriA[SatisFiyati])*$B288-$C288-SUMIF(tblVeriA[UrunKodu],$A288,tblVeriA[SatisFiyati])*$D288-$E288,0))</f>
        <v/>
      </c>
      <c r="H288" s="13" t="n"/>
      <c r="I288" s="13" t="n"/>
      <c r="J288" s="16">
        <f>IF($A288="","",1)</f>
        <v/>
      </c>
    </row>
    <row r="289">
      <c r="A289" s="13" t="n"/>
      <c r="B289" s="15" t="n"/>
      <c r="C289" s="14" t="n"/>
      <c r="D289" s="15" t="n"/>
      <c r="E289" s="14" t="n"/>
      <c r="F289" s="17" t="n"/>
      <c r="G289" s="16">
        <f>IF($A289="","",IFERROR(SUMIF(tblVeriA[UrunKodu],$A289,tblVeriA[SatisFiyati])-SUMIF(tblVeriA[UrunKodu],$A289,tblVeriA[Maliyet])-SUMIF(tblVeriA[UrunKodu],$A289,tblVeriA[SatisFiyati])*$B289-$C289-SUMIF(tblVeriA[UrunKodu],$A289,tblVeriA[SatisFiyati])*$D289-$E289,0))</f>
        <v/>
      </c>
      <c r="H289" s="13" t="n"/>
      <c r="I289" s="13" t="n"/>
      <c r="J289" s="16">
        <f>IF($A289="","",1)</f>
        <v/>
      </c>
    </row>
    <row r="290">
      <c r="A290" s="13" t="n"/>
      <c r="B290" s="15" t="n"/>
      <c r="C290" s="14" t="n"/>
      <c r="D290" s="15" t="n"/>
      <c r="E290" s="14" t="n"/>
      <c r="F290" s="17" t="n"/>
      <c r="G290" s="16">
        <f>IF($A290="","",IFERROR(SUMIF(tblVeriA[UrunKodu],$A290,tblVeriA[SatisFiyati])-SUMIF(tblVeriA[UrunKodu],$A290,tblVeriA[Maliyet])-SUMIF(tblVeriA[UrunKodu],$A290,tblVeriA[SatisFiyati])*$B290-$C290-SUMIF(tblVeriA[UrunKodu],$A290,tblVeriA[SatisFiyati])*$D290-$E290,0))</f>
        <v/>
      </c>
      <c r="H290" s="13" t="n"/>
      <c r="I290" s="13" t="n"/>
      <c r="J290" s="16">
        <f>IF($A290="","",1)</f>
        <v/>
      </c>
    </row>
    <row r="291">
      <c r="A291" s="13" t="n"/>
      <c r="B291" s="15" t="n"/>
      <c r="C291" s="14" t="n"/>
      <c r="D291" s="15" t="n"/>
      <c r="E291" s="14" t="n"/>
      <c r="F291" s="17" t="n"/>
      <c r="G291" s="16">
        <f>IF($A291="","",IFERROR(SUMIF(tblVeriA[UrunKodu],$A291,tblVeriA[SatisFiyati])-SUMIF(tblVeriA[UrunKodu],$A291,tblVeriA[Maliyet])-SUMIF(tblVeriA[UrunKodu],$A291,tblVeriA[SatisFiyati])*$B291-$C291-SUMIF(tblVeriA[UrunKodu],$A291,tblVeriA[SatisFiyati])*$D291-$E291,0))</f>
        <v/>
      </c>
      <c r="H291" s="13" t="n"/>
      <c r="I291" s="13" t="n"/>
      <c r="J291" s="16">
        <f>IF($A291="","",1)</f>
        <v/>
      </c>
    </row>
    <row r="292">
      <c r="A292" s="13" t="n"/>
      <c r="B292" s="15" t="n"/>
      <c r="C292" s="14" t="n"/>
      <c r="D292" s="15" t="n"/>
      <c r="E292" s="14" t="n"/>
      <c r="F292" s="17" t="n"/>
      <c r="G292" s="16">
        <f>IF($A292="","",IFERROR(SUMIF(tblVeriA[UrunKodu],$A292,tblVeriA[SatisFiyati])-SUMIF(tblVeriA[UrunKodu],$A292,tblVeriA[Maliyet])-SUMIF(tblVeriA[UrunKodu],$A292,tblVeriA[SatisFiyati])*$B292-$C292-SUMIF(tblVeriA[UrunKodu],$A292,tblVeriA[SatisFiyati])*$D292-$E292,0))</f>
        <v/>
      </c>
      <c r="H292" s="13" t="n"/>
      <c r="I292" s="13" t="n"/>
      <c r="J292" s="16">
        <f>IF($A292="","",1)</f>
        <v/>
      </c>
    </row>
    <row r="293">
      <c r="A293" s="13" t="n"/>
      <c r="B293" s="15" t="n"/>
      <c r="C293" s="14" t="n"/>
      <c r="D293" s="15" t="n"/>
      <c r="E293" s="14" t="n"/>
      <c r="F293" s="17" t="n"/>
      <c r="G293" s="16">
        <f>IF($A293="","",IFERROR(SUMIF(tblVeriA[UrunKodu],$A293,tblVeriA[SatisFiyati])-SUMIF(tblVeriA[UrunKodu],$A293,tblVeriA[Maliyet])-SUMIF(tblVeriA[UrunKodu],$A293,tblVeriA[SatisFiyati])*$B293-$C293-SUMIF(tblVeriA[UrunKodu],$A293,tblVeriA[SatisFiyati])*$D293-$E293,0))</f>
        <v/>
      </c>
      <c r="H293" s="13" t="n"/>
      <c r="I293" s="13" t="n"/>
      <c r="J293" s="16">
        <f>IF($A293="","",1)</f>
        <v/>
      </c>
    </row>
    <row r="294">
      <c r="A294" s="13" t="n"/>
      <c r="B294" s="15" t="n"/>
      <c r="C294" s="14" t="n"/>
      <c r="D294" s="15" t="n"/>
      <c r="E294" s="14" t="n"/>
      <c r="F294" s="17" t="n"/>
      <c r="G294" s="16">
        <f>IF($A294="","",IFERROR(SUMIF(tblVeriA[UrunKodu],$A294,tblVeriA[SatisFiyati])-SUMIF(tblVeriA[UrunKodu],$A294,tblVeriA[Maliyet])-SUMIF(tblVeriA[UrunKodu],$A294,tblVeriA[SatisFiyati])*$B294-$C294-SUMIF(tblVeriA[UrunKodu],$A294,tblVeriA[SatisFiyati])*$D294-$E294,0))</f>
        <v/>
      </c>
      <c r="H294" s="13" t="n"/>
      <c r="I294" s="13" t="n"/>
      <c r="J294" s="16">
        <f>IF($A294="","",1)</f>
        <v/>
      </c>
    </row>
    <row r="295">
      <c r="A295" s="13" t="n"/>
      <c r="B295" s="15" t="n"/>
      <c r="C295" s="14" t="n"/>
      <c r="D295" s="15" t="n"/>
      <c r="E295" s="14" t="n"/>
      <c r="F295" s="17" t="n"/>
      <c r="G295" s="16">
        <f>IF($A295="","",IFERROR(SUMIF(tblVeriA[UrunKodu],$A295,tblVeriA[SatisFiyati])-SUMIF(tblVeriA[UrunKodu],$A295,tblVeriA[Maliyet])-SUMIF(tblVeriA[UrunKodu],$A295,tblVeriA[SatisFiyati])*$B295-$C295-SUMIF(tblVeriA[UrunKodu],$A295,tblVeriA[SatisFiyati])*$D295-$E295,0))</f>
        <v/>
      </c>
      <c r="H295" s="13" t="n"/>
      <c r="I295" s="13" t="n"/>
      <c r="J295" s="16">
        <f>IF($A295="","",1)</f>
        <v/>
      </c>
    </row>
    <row r="296">
      <c r="A296" s="13" t="n"/>
      <c r="B296" s="15" t="n"/>
      <c r="C296" s="14" t="n"/>
      <c r="D296" s="15" t="n"/>
      <c r="E296" s="14" t="n"/>
      <c r="F296" s="17" t="n"/>
      <c r="G296" s="16">
        <f>IF($A296="","",IFERROR(SUMIF(tblVeriA[UrunKodu],$A296,tblVeriA[SatisFiyati])-SUMIF(tblVeriA[UrunKodu],$A296,tblVeriA[Maliyet])-SUMIF(tblVeriA[UrunKodu],$A296,tblVeriA[SatisFiyati])*$B296-$C296-SUMIF(tblVeriA[UrunKodu],$A296,tblVeriA[SatisFiyati])*$D296-$E296,0))</f>
        <v/>
      </c>
      <c r="H296" s="13" t="n"/>
      <c r="I296" s="13" t="n"/>
      <c r="J296" s="16">
        <f>IF($A296="","",1)</f>
        <v/>
      </c>
    </row>
    <row r="297">
      <c r="A297" s="13" t="n"/>
      <c r="B297" s="15" t="n"/>
      <c r="C297" s="14" t="n"/>
      <c r="D297" s="15" t="n"/>
      <c r="E297" s="14" t="n"/>
      <c r="F297" s="17" t="n"/>
      <c r="G297" s="16">
        <f>IF($A297="","",IFERROR(SUMIF(tblVeriA[UrunKodu],$A297,tblVeriA[SatisFiyati])-SUMIF(tblVeriA[UrunKodu],$A297,tblVeriA[Maliyet])-SUMIF(tblVeriA[UrunKodu],$A297,tblVeriA[SatisFiyati])*$B297-$C297-SUMIF(tblVeriA[UrunKodu],$A297,tblVeriA[SatisFiyati])*$D297-$E297,0))</f>
        <v/>
      </c>
      <c r="H297" s="13" t="n"/>
      <c r="I297" s="13" t="n"/>
      <c r="J297" s="16">
        <f>IF($A297="","",1)</f>
        <v/>
      </c>
    </row>
    <row r="298">
      <c r="A298" s="13" t="n"/>
      <c r="B298" s="15" t="n"/>
      <c r="C298" s="14" t="n"/>
      <c r="D298" s="15" t="n"/>
      <c r="E298" s="14" t="n"/>
      <c r="F298" s="17" t="n"/>
      <c r="G298" s="16">
        <f>IF($A298="","",IFERROR(SUMIF(tblVeriA[UrunKodu],$A298,tblVeriA[SatisFiyati])-SUMIF(tblVeriA[UrunKodu],$A298,tblVeriA[Maliyet])-SUMIF(tblVeriA[UrunKodu],$A298,tblVeriA[SatisFiyati])*$B298-$C298-SUMIF(tblVeriA[UrunKodu],$A298,tblVeriA[SatisFiyati])*$D298-$E298,0))</f>
        <v/>
      </c>
      <c r="H298" s="13" t="n"/>
      <c r="I298" s="13" t="n"/>
      <c r="J298" s="16">
        <f>IF($A298="","",1)</f>
        <v/>
      </c>
    </row>
    <row r="299">
      <c r="A299" s="13" t="n"/>
      <c r="B299" s="15" t="n"/>
      <c r="C299" s="14" t="n"/>
      <c r="D299" s="15" t="n"/>
      <c r="E299" s="14" t="n"/>
      <c r="F299" s="17" t="n"/>
      <c r="G299" s="16">
        <f>IF($A299="","",IFERROR(SUMIF(tblVeriA[UrunKodu],$A299,tblVeriA[SatisFiyati])-SUMIF(tblVeriA[UrunKodu],$A299,tblVeriA[Maliyet])-SUMIF(tblVeriA[UrunKodu],$A299,tblVeriA[SatisFiyati])*$B299-$C299-SUMIF(tblVeriA[UrunKodu],$A299,tblVeriA[SatisFiyati])*$D299-$E299,0))</f>
        <v/>
      </c>
      <c r="H299" s="13" t="n"/>
      <c r="I299" s="13" t="n"/>
      <c r="J299" s="16">
        <f>IF($A299="","",1)</f>
        <v/>
      </c>
    </row>
    <row r="300">
      <c r="A300" s="13" t="n"/>
      <c r="B300" s="15" t="n"/>
      <c r="C300" s="14" t="n"/>
      <c r="D300" s="15" t="n"/>
      <c r="E300" s="14" t="n"/>
      <c r="F300" s="17" t="n"/>
      <c r="G300" s="16">
        <f>IF($A300="","",IFERROR(SUMIF(tblVeriA[UrunKodu],$A300,tblVeriA[SatisFiyati])-SUMIF(tblVeriA[UrunKodu],$A300,tblVeriA[Maliyet])-SUMIF(tblVeriA[UrunKodu],$A300,tblVeriA[SatisFiyati])*$B300-$C300-SUMIF(tblVeriA[UrunKodu],$A300,tblVeriA[SatisFiyati])*$D300-$E300,0))</f>
        <v/>
      </c>
      <c r="H300" s="13" t="n"/>
      <c r="I300" s="13" t="n"/>
      <c r="J300" s="16">
        <f>IF($A300="","",1)</f>
        <v/>
      </c>
    </row>
    <row r="301">
      <c r="A301" s="13" t="n"/>
      <c r="B301" s="15" t="n"/>
      <c r="C301" s="14" t="n"/>
      <c r="D301" s="15" t="n"/>
      <c r="E301" s="14" t="n"/>
      <c r="F301" s="17" t="n"/>
      <c r="G301" s="16">
        <f>IF($A301="","",IFERROR(SUMIF(tblVeriA[UrunKodu],$A301,tblVeriA[SatisFiyati])-SUMIF(tblVeriA[UrunKodu],$A301,tblVeriA[Maliyet])-SUMIF(tblVeriA[UrunKodu],$A301,tblVeriA[SatisFiyati])*$B301-$C301-SUMIF(tblVeriA[UrunKodu],$A301,tblVeriA[SatisFiyati])*$D301-$E301,0))</f>
        <v/>
      </c>
      <c r="H301" s="13" t="n"/>
      <c r="I301" s="13" t="n"/>
      <c r="J301" s="16">
        <f>IF($A301="","",1)</f>
        <v/>
      </c>
    </row>
    <row r="302">
      <c r="A302" s="13" t="n"/>
      <c r="B302" s="15" t="n"/>
      <c r="C302" s="14" t="n"/>
      <c r="D302" s="15" t="n"/>
      <c r="E302" s="14" t="n"/>
      <c r="F302" s="17" t="n"/>
      <c r="G302" s="16">
        <f>IF($A302="","",IFERROR(SUMIF(tblVeriA[UrunKodu],$A302,tblVeriA[SatisFiyati])-SUMIF(tblVeriA[UrunKodu],$A302,tblVeriA[Maliyet])-SUMIF(tblVeriA[UrunKodu],$A302,tblVeriA[SatisFiyati])*$B302-$C302-SUMIF(tblVeriA[UrunKodu],$A302,tblVeriA[SatisFiyati])*$D302-$E302,0))</f>
        <v/>
      </c>
      <c r="H302" s="13" t="n"/>
      <c r="I302" s="13" t="n"/>
      <c r="J302" s="16">
        <f>IF($A302="","",1)</f>
        <v/>
      </c>
    </row>
    <row r="303">
      <c r="A303" s="13" t="n"/>
      <c r="B303" s="15" t="n"/>
      <c r="C303" s="14" t="n"/>
      <c r="D303" s="15" t="n"/>
      <c r="E303" s="14" t="n"/>
      <c r="F303" s="17" t="n"/>
      <c r="G303" s="16">
        <f>IF($A303="","",IFERROR(SUMIF(tblVeriA[UrunKodu],$A303,tblVeriA[SatisFiyati])-SUMIF(tblVeriA[UrunKodu],$A303,tblVeriA[Maliyet])-SUMIF(tblVeriA[UrunKodu],$A303,tblVeriA[SatisFiyati])*$B303-$C303-SUMIF(tblVeriA[UrunKodu],$A303,tblVeriA[SatisFiyati])*$D303-$E303,0))</f>
        <v/>
      </c>
      <c r="H303" s="13" t="n"/>
      <c r="I303" s="13" t="n"/>
      <c r="J303" s="16">
        <f>IF($A303="","",1)</f>
        <v/>
      </c>
    </row>
    <row r="304">
      <c r="A304" s="13" t="n"/>
      <c r="B304" s="15" t="n"/>
      <c r="C304" s="14" t="n"/>
      <c r="D304" s="15" t="n"/>
      <c r="E304" s="14" t="n"/>
      <c r="F304" s="17" t="n"/>
      <c r="G304" s="16">
        <f>IF($A304="","",IFERROR(SUMIF(tblVeriA[UrunKodu],$A304,tblVeriA[SatisFiyati])-SUMIF(tblVeriA[UrunKodu],$A304,tblVeriA[Maliyet])-SUMIF(tblVeriA[UrunKodu],$A304,tblVeriA[SatisFiyati])*$B304-$C304-SUMIF(tblVeriA[UrunKodu],$A304,tblVeriA[SatisFiyati])*$D304-$E304,0))</f>
        <v/>
      </c>
      <c r="H304" s="13" t="n"/>
      <c r="I304" s="13" t="n"/>
      <c r="J304" s="16">
        <f>IF($A304="","",1)</f>
        <v/>
      </c>
    </row>
    <row r="305">
      <c r="A305" s="13" t="n"/>
      <c r="B305" s="15" t="n"/>
      <c r="C305" s="14" t="n"/>
      <c r="D305" s="15" t="n"/>
      <c r="E305" s="14" t="n"/>
      <c r="F305" s="17" t="n"/>
      <c r="G305" s="16">
        <f>IF($A305="","",IFERROR(SUMIF(tblVeriA[UrunKodu],$A305,tblVeriA[SatisFiyati])-SUMIF(tblVeriA[UrunKodu],$A305,tblVeriA[Maliyet])-SUMIF(tblVeriA[UrunKodu],$A305,tblVeriA[SatisFiyati])*$B305-$C305-SUMIF(tblVeriA[UrunKodu],$A305,tblVeriA[SatisFiyati])*$D305-$E305,0))</f>
        <v/>
      </c>
      <c r="H305" s="13" t="n"/>
      <c r="I305" s="13" t="n"/>
      <c r="J305" s="16">
        <f>IF($A305="","",1)</f>
        <v/>
      </c>
    </row>
    <row r="306">
      <c r="A306" s="13" t="n"/>
      <c r="B306" s="15" t="n"/>
      <c r="C306" s="14" t="n"/>
      <c r="D306" s="15" t="n"/>
      <c r="E306" s="14" t="n"/>
      <c r="F306" s="17" t="n"/>
      <c r="G306" s="16">
        <f>IF($A306="","",IFERROR(SUMIF(tblVeriA[UrunKodu],$A306,tblVeriA[SatisFiyati])-SUMIF(tblVeriA[UrunKodu],$A306,tblVeriA[Maliyet])-SUMIF(tblVeriA[UrunKodu],$A306,tblVeriA[SatisFiyati])*$B306-$C306-SUMIF(tblVeriA[UrunKodu],$A306,tblVeriA[SatisFiyati])*$D306-$E306,0))</f>
        <v/>
      </c>
      <c r="H306" s="13" t="n"/>
      <c r="I306" s="13" t="n"/>
      <c r="J306" s="16">
        <f>IF($A306="","",1)</f>
        <v/>
      </c>
    </row>
    <row r="307">
      <c r="A307" s="13" t="n"/>
      <c r="B307" s="15" t="n"/>
      <c r="C307" s="14" t="n"/>
      <c r="D307" s="15" t="n"/>
      <c r="E307" s="14" t="n"/>
      <c r="F307" s="17" t="n"/>
      <c r="G307" s="16">
        <f>IF($A307="","",IFERROR(SUMIF(tblVeriA[UrunKodu],$A307,tblVeriA[SatisFiyati])-SUMIF(tblVeriA[UrunKodu],$A307,tblVeriA[Maliyet])-SUMIF(tblVeriA[UrunKodu],$A307,tblVeriA[SatisFiyati])*$B307-$C307-SUMIF(tblVeriA[UrunKodu],$A307,tblVeriA[SatisFiyati])*$D307-$E307,0))</f>
        <v/>
      </c>
      <c r="H307" s="13" t="n"/>
      <c r="I307" s="13" t="n"/>
      <c r="J307" s="16">
        <f>IF($A307="","",1)</f>
        <v/>
      </c>
    </row>
    <row r="308">
      <c r="A308" s="13" t="n"/>
      <c r="B308" s="15" t="n"/>
      <c r="C308" s="14" t="n"/>
      <c r="D308" s="15" t="n"/>
      <c r="E308" s="14" t="n"/>
      <c r="F308" s="17" t="n"/>
      <c r="G308" s="16">
        <f>IF($A308="","",IFERROR(SUMIF(tblVeriA[UrunKodu],$A308,tblVeriA[SatisFiyati])-SUMIF(tblVeriA[UrunKodu],$A308,tblVeriA[Maliyet])-SUMIF(tblVeriA[UrunKodu],$A308,tblVeriA[SatisFiyati])*$B308-$C308-SUMIF(tblVeriA[UrunKodu],$A308,tblVeriA[SatisFiyati])*$D308-$E308,0))</f>
        <v/>
      </c>
      <c r="H308" s="13" t="n"/>
      <c r="I308" s="13" t="n"/>
      <c r="J308" s="16">
        <f>IF($A308="","",1)</f>
        <v/>
      </c>
    </row>
    <row r="309">
      <c r="A309" s="13" t="n"/>
      <c r="B309" s="15" t="n"/>
      <c r="C309" s="14" t="n"/>
      <c r="D309" s="15" t="n"/>
      <c r="E309" s="14" t="n"/>
      <c r="F309" s="17" t="n"/>
      <c r="G309" s="16">
        <f>IF($A309="","",IFERROR(SUMIF(tblVeriA[UrunKodu],$A309,tblVeriA[SatisFiyati])-SUMIF(tblVeriA[UrunKodu],$A309,tblVeriA[Maliyet])-SUMIF(tblVeriA[UrunKodu],$A309,tblVeriA[SatisFiyati])*$B309-$C309-SUMIF(tblVeriA[UrunKodu],$A309,tblVeriA[SatisFiyati])*$D309-$E309,0))</f>
        <v/>
      </c>
      <c r="H309" s="13" t="n"/>
      <c r="I309" s="13" t="n"/>
      <c r="J309" s="16">
        <f>IF($A309="","",1)</f>
        <v/>
      </c>
    </row>
    <row r="310">
      <c r="A310" s="13" t="n"/>
      <c r="B310" s="15" t="n"/>
      <c r="C310" s="14" t="n"/>
      <c r="D310" s="15" t="n"/>
      <c r="E310" s="14" t="n"/>
      <c r="F310" s="17" t="n"/>
      <c r="G310" s="16">
        <f>IF($A310="","",IFERROR(SUMIF(tblVeriA[UrunKodu],$A310,tblVeriA[SatisFiyati])-SUMIF(tblVeriA[UrunKodu],$A310,tblVeriA[Maliyet])-SUMIF(tblVeriA[UrunKodu],$A310,tblVeriA[SatisFiyati])*$B310-$C310-SUMIF(tblVeriA[UrunKodu],$A310,tblVeriA[SatisFiyati])*$D310-$E310,0))</f>
        <v/>
      </c>
      <c r="H310" s="13" t="n"/>
      <c r="I310" s="13" t="n"/>
      <c r="J310" s="16">
        <f>IF($A310="","",1)</f>
        <v/>
      </c>
    </row>
    <row r="311">
      <c r="A311" s="13" t="n"/>
      <c r="B311" s="15" t="n"/>
      <c r="C311" s="14" t="n"/>
      <c r="D311" s="15" t="n"/>
      <c r="E311" s="14" t="n"/>
      <c r="F311" s="17" t="n"/>
      <c r="G311" s="16">
        <f>IF($A311="","",IFERROR(SUMIF(tblVeriA[UrunKodu],$A311,tblVeriA[SatisFiyati])-SUMIF(tblVeriA[UrunKodu],$A311,tblVeriA[Maliyet])-SUMIF(tblVeriA[UrunKodu],$A311,tblVeriA[SatisFiyati])*$B311-$C311-SUMIF(tblVeriA[UrunKodu],$A311,tblVeriA[SatisFiyati])*$D311-$E311,0))</f>
        <v/>
      </c>
      <c r="H311" s="13" t="n"/>
      <c r="I311" s="13" t="n"/>
      <c r="J311" s="16">
        <f>IF($A311="","",1)</f>
        <v/>
      </c>
    </row>
    <row r="312">
      <c r="A312" s="13" t="n"/>
      <c r="B312" s="15" t="n"/>
      <c r="C312" s="14" t="n"/>
      <c r="D312" s="15" t="n"/>
      <c r="E312" s="14" t="n"/>
      <c r="F312" s="17" t="n"/>
      <c r="G312" s="16">
        <f>IF($A312="","",IFERROR(SUMIF(tblVeriA[UrunKodu],$A312,tblVeriA[SatisFiyati])-SUMIF(tblVeriA[UrunKodu],$A312,tblVeriA[Maliyet])-SUMIF(tblVeriA[UrunKodu],$A312,tblVeriA[SatisFiyati])*$B312-$C312-SUMIF(tblVeriA[UrunKodu],$A312,tblVeriA[SatisFiyati])*$D312-$E312,0))</f>
        <v/>
      </c>
      <c r="H312" s="13" t="n"/>
      <c r="I312" s="13" t="n"/>
      <c r="J312" s="16">
        <f>IF($A312="","",1)</f>
        <v/>
      </c>
    </row>
    <row r="313">
      <c r="A313" s="13" t="n"/>
      <c r="B313" s="15" t="n"/>
      <c r="C313" s="14" t="n"/>
      <c r="D313" s="15" t="n"/>
      <c r="E313" s="14" t="n"/>
      <c r="F313" s="17" t="n"/>
      <c r="G313" s="16">
        <f>IF($A313="","",IFERROR(SUMIF(tblVeriA[UrunKodu],$A313,tblVeriA[SatisFiyati])-SUMIF(tblVeriA[UrunKodu],$A313,tblVeriA[Maliyet])-SUMIF(tblVeriA[UrunKodu],$A313,tblVeriA[SatisFiyati])*$B313-$C313-SUMIF(tblVeriA[UrunKodu],$A313,tblVeriA[SatisFiyati])*$D313-$E313,0))</f>
        <v/>
      </c>
      <c r="H313" s="13" t="n"/>
      <c r="I313" s="13" t="n"/>
      <c r="J313" s="16">
        <f>IF($A313="","",1)</f>
        <v/>
      </c>
    </row>
    <row r="314">
      <c r="A314" s="13" t="n"/>
      <c r="B314" s="15" t="n"/>
      <c r="C314" s="14" t="n"/>
      <c r="D314" s="15" t="n"/>
      <c r="E314" s="14" t="n"/>
      <c r="F314" s="17" t="n"/>
      <c r="G314" s="16">
        <f>IF($A314="","",IFERROR(SUMIF(tblVeriA[UrunKodu],$A314,tblVeriA[SatisFiyati])-SUMIF(tblVeriA[UrunKodu],$A314,tblVeriA[Maliyet])-SUMIF(tblVeriA[UrunKodu],$A314,tblVeriA[SatisFiyati])*$B314-$C314-SUMIF(tblVeriA[UrunKodu],$A314,tblVeriA[SatisFiyati])*$D314-$E314,0))</f>
        <v/>
      </c>
      <c r="H314" s="13" t="n"/>
      <c r="I314" s="13" t="n"/>
      <c r="J314" s="16">
        <f>IF($A314="","",1)</f>
        <v/>
      </c>
    </row>
    <row r="315">
      <c r="A315" s="13" t="n"/>
      <c r="B315" s="15" t="n"/>
      <c r="C315" s="14" t="n"/>
      <c r="D315" s="15" t="n"/>
      <c r="E315" s="14" t="n"/>
      <c r="F315" s="17" t="n"/>
      <c r="G315" s="16">
        <f>IF($A315="","",IFERROR(SUMIF(tblVeriA[UrunKodu],$A315,tblVeriA[SatisFiyati])-SUMIF(tblVeriA[UrunKodu],$A315,tblVeriA[Maliyet])-SUMIF(tblVeriA[UrunKodu],$A315,tblVeriA[SatisFiyati])*$B315-$C315-SUMIF(tblVeriA[UrunKodu],$A315,tblVeriA[SatisFiyati])*$D315-$E315,0))</f>
        <v/>
      </c>
      <c r="H315" s="13" t="n"/>
      <c r="I315" s="13" t="n"/>
      <c r="J315" s="16">
        <f>IF($A315="","",1)</f>
        <v/>
      </c>
    </row>
    <row r="316">
      <c r="A316" s="13" t="n"/>
      <c r="B316" s="15" t="n"/>
      <c r="C316" s="14" t="n"/>
      <c r="D316" s="15" t="n"/>
      <c r="E316" s="14" t="n"/>
      <c r="F316" s="17" t="n"/>
      <c r="G316" s="16">
        <f>IF($A316="","",IFERROR(SUMIF(tblVeriA[UrunKodu],$A316,tblVeriA[SatisFiyati])-SUMIF(tblVeriA[UrunKodu],$A316,tblVeriA[Maliyet])-SUMIF(tblVeriA[UrunKodu],$A316,tblVeriA[SatisFiyati])*$B316-$C316-SUMIF(tblVeriA[UrunKodu],$A316,tblVeriA[SatisFiyati])*$D316-$E316,0))</f>
        <v/>
      </c>
      <c r="H316" s="13" t="n"/>
      <c r="I316" s="13" t="n"/>
      <c r="J316" s="16">
        <f>IF($A316="","",1)</f>
        <v/>
      </c>
    </row>
    <row r="317">
      <c r="A317" s="13" t="n"/>
      <c r="B317" s="15" t="n"/>
      <c r="C317" s="14" t="n"/>
      <c r="D317" s="15" t="n"/>
      <c r="E317" s="14" t="n"/>
      <c r="F317" s="17" t="n"/>
      <c r="G317" s="16">
        <f>IF($A317="","",IFERROR(SUMIF(tblVeriA[UrunKodu],$A317,tblVeriA[SatisFiyati])-SUMIF(tblVeriA[UrunKodu],$A317,tblVeriA[Maliyet])-SUMIF(tblVeriA[UrunKodu],$A317,tblVeriA[SatisFiyati])*$B317-$C317-SUMIF(tblVeriA[UrunKodu],$A317,tblVeriA[SatisFiyati])*$D317-$E317,0))</f>
        <v/>
      </c>
      <c r="H317" s="13" t="n"/>
      <c r="I317" s="13" t="n"/>
      <c r="J317" s="16">
        <f>IF($A317="","",1)</f>
        <v/>
      </c>
    </row>
    <row r="318">
      <c r="A318" s="13" t="n"/>
      <c r="B318" s="15" t="n"/>
      <c r="C318" s="14" t="n"/>
      <c r="D318" s="15" t="n"/>
      <c r="E318" s="14" t="n"/>
      <c r="F318" s="17" t="n"/>
      <c r="G318" s="16">
        <f>IF($A318="","",IFERROR(SUMIF(tblVeriA[UrunKodu],$A318,tblVeriA[SatisFiyati])-SUMIF(tblVeriA[UrunKodu],$A318,tblVeriA[Maliyet])-SUMIF(tblVeriA[UrunKodu],$A318,tblVeriA[SatisFiyati])*$B318-$C318-SUMIF(tblVeriA[UrunKodu],$A318,tblVeriA[SatisFiyati])*$D318-$E318,0))</f>
        <v/>
      </c>
      <c r="H318" s="13" t="n"/>
      <c r="I318" s="13" t="n"/>
      <c r="J318" s="16">
        <f>IF($A318="","",1)</f>
        <v/>
      </c>
    </row>
    <row r="319">
      <c r="A319" s="13" t="n"/>
      <c r="B319" s="15" t="n"/>
      <c r="C319" s="14" t="n"/>
      <c r="D319" s="15" t="n"/>
      <c r="E319" s="14" t="n"/>
      <c r="F319" s="17" t="n"/>
      <c r="G319" s="16">
        <f>IF($A319="","",IFERROR(SUMIF(tblVeriA[UrunKodu],$A319,tblVeriA[SatisFiyati])-SUMIF(tblVeriA[UrunKodu],$A319,tblVeriA[Maliyet])-SUMIF(tblVeriA[UrunKodu],$A319,tblVeriA[SatisFiyati])*$B319-$C319-SUMIF(tblVeriA[UrunKodu],$A319,tblVeriA[SatisFiyati])*$D319-$E319,0))</f>
        <v/>
      </c>
      <c r="H319" s="13" t="n"/>
      <c r="I319" s="13" t="n"/>
      <c r="J319" s="16">
        <f>IF($A319="","",1)</f>
        <v/>
      </c>
    </row>
    <row r="320">
      <c r="A320" s="13" t="n"/>
      <c r="B320" s="15" t="n"/>
      <c r="C320" s="14" t="n"/>
      <c r="D320" s="15" t="n"/>
      <c r="E320" s="14" t="n"/>
      <c r="F320" s="17" t="n"/>
      <c r="G320" s="16">
        <f>IF($A320="","",IFERROR(SUMIF(tblVeriA[UrunKodu],$A320,tblVeriA[SatisFiyati])-SUMIF(tblVeriA[UrunKodu],$A320,tblVeriA[Maliyet])-SUMIF(tblVeriA[UrunKodu],$A320,tblVeriA[SatisFiyati])*$B320-$C320-SUMIF(tblVeriA[UrunKodu],$A320,tblVeriA[SatisFiyati])*$D320-$E320,0))</f>
        <v/>
      </c>
      <c r="H320" s="13" t="n"/>
      <c r="I320" s="13" t="n"/>
      <c r="J320" s="16">
        <f>IF($A320="","",1)</f>
        <v/>
      </c>
    </row>
    <row r="321">
      <c r="A321" s="13" t="n"/>
      <c r="B321" s="15" t="n"/>
      <c r="C321" s="14" t="n"/>
      <c r="D321" s="15" t="n"/>
      <c r="E321" s="14" t="n"/>
      <c r="F321" s="17" t="n"/>
      <c r="G321" s="16">
        <f>IF($A321="","",IFERROR(SUMIF(tblVeriA[UrunKodu],$A321,tblVeriA[SatisFiyati])-SUMIF(tblVeriA[UrunKodu],$A321,tblVeriA[Maliyet])-SUMIF(tblVeriA[UrunKodu],$A321,tblVeriA[SatisFiyati])*$B321-$C321-SUMIF(tblVeriA[UrunKodu],$A321,tblVeriA[SatisFiyati])*$D321-$E321,0))</f>
        <v/>
      </c>
      <c r="H321" s="13" t="n"/>
      <c r="I321" s="13" t="n"/>
      <c r="J321" s="16">
        <f>IF($A321="","",1)</f>
        <v/>
      </c>
    </row>
    <row r="322">
      <c r="A322" s="13" t="n"/>
      <c r="B322" s="15" t="n"/>
      <c r="C322" s="14" t="n"/>
      <c r="D322" s="15" t="n"/>
      <c r="E322" s="14" t="n"/>
      <c r="F322" s="17" t="n"/>
      <c r="G322" s="16">
        <f>IF($A322="","",IFERROR(SUMIF(tblVeriA[UrunKodu],$A322,tblVeriA[SatisFiyati])-SUMIF(tblVeriA[UrunKodu],$A322,tblVeriA[Maliyet])-SUMIF(tblVeriA[UrunKodu],$A322,tblVeriA[SatisFiyati])*$B322-$C322-SUMIF(tblVeriA[UrunKodu],$A322,tblVeriA[SatisFiyati])*$D322-$E322,0))</f>
        <v/>
      </c>
      <c r="H322" s="13" t="n"/>
      <c r="I322" s="13" t="n"/>
      <c r="J322" s="16">
        <f>IF($A322="","",1)</f>
        <v/>
      </c>
    </row>
    <row r="323">
      <c r="A323" s="13" t="n"/>
      <c r="B323" s="15" t="n"/>
      <c r="C323" s="14" t="n"/>
      <c r="D323" s="15" t="n"/>
      <c r="E323" s="14" t="n"/>
      <c r="F323" s="17" t="n"/>
      <c r="G323" s="16">
        <f>IF($A323="","",IFERROR(SUMIF(tblVeriA[UrunKodu],$A323,tblVeriA[SatisFiyati])-SUMIF(tblVeriA[UrunKodu],$A323,tblVeriA[Maliyet])-SUMIF(tblVeriA[UrunKodu],$A323,tblVeriA[SatisFiyati])*$B323-$C323-SUMIF(tblVeriA[UrunKodu],$A323,tblVeriA[SatisFiyati])*$D323-$E323,0))</f>
        <v/>
      </c>
      <c r="H323" s="13" t="n"/>
      <c r="I323" s="13" t="n"/>
      <c r="J323" s="16">
        <f>IF($A323="","",1)</f>
        <v/>
      </c>
    </row>
    <row r="324">
      <c r="A324" s="13" t="n"/>
      <c r="B324" s="15" t="n"/>
      <c r="C324" s="14" t="n"/>
      <c r="D324" s="15" t="n"/>
      <c r="E324" s="14" t="n"/>
      <c r="F324" s="17" t="n"/>
      <c r="G324" s="16">
        <f>IF($A324="","",IFERROR(SUMIF(tblVeriA[UrunKodu],$A324,tblVeriA[SatisFiyati])-SUMIF(tblVeriA[UrunKodu],$A324,tblVeriA[Maliyet])-SUMIF(tblVeriA[UrunKodu],$A324,tblVeriA[SatisFiyati])*$B324-$C324-SUMIF(tblVeriA[UrunKodu],$A324,tblVeriA[SatisFiyati])*$D324-$E324,0))</f>
        <v/>
      </c>
      <c r="H324" s="13" t="n"/>
      <c r="I324" s="13" t="n"/>
      <c r="J324" s="16">
        <f>IF($A324="","",1)</f>
        <v/>
      </c>
    </row>
    <row r="325">
      <c r="A325" s="13" t="n"/>
      <c r="B325" s="15" t="n"/>
      <c r="C325" s="14" t="n"/>
      <c r="D325" s="15" t="n"/>
      <c r="E325" s="14" t="n"/>
      <c r="F325" s="17" t="n"/>
      <c r="G325" s="16">
        <f>IF($A325="","",IFERROR(SUMIF(tblVeriA[UrunKodu],$A325,tblVeriA[SatisFiyati])-SUMIF(tblVeriA[UrunKodu],$A325,tblVeriA[Maliyet])-SUMIF(tblVeriA[UrunKodu],$A325,tblVeriA[SatisFiyati])*$B325-$C325-SUMIF(tblVeriA[UrunKodu],$A325,tblVeriA[SatisFiyati])*$D325-$E325,0))</f>
        <v/>
      </c>
      <c r="H325" s="13" t="n"/>
      <c r="I325" s="13" t="n"/>
      <c r="J325" s="16">
        <f>IF($A325="","",1)</f>
        <v/>
      </c>
    </row>
    <row r="326">
      <c r="A326" s="13" t="n"/>
      <c r="B326" s="15" t="n"/>
      <c r="C326" s="14" t="n"/>
      <c r="D326" s="15" t="n"/>
      <c r="E326" s="14" t="n"/>
      <c r="F326" s="17" t="n"/>
      <c r="G326" s="16">
        <f>IF($A326="","",IFERROR(SUMIF(tblVeriA[UrunKodu],$A326,tblVeriA[SatisFiyati])-SUMIF(tblVeriA[UrunKodu],$A326,tblVeriA[Maliyet])-SUMIF(tblVeriA[UrunKodu],$A326,tblVeriA[SatisFiyati])*$B326-$C326-SUMIF(tblVeriA[UrunKodu],$A326,tblVeriA[SatisFiyati])*$D326-$E326,0))</f>
        <v/>
      </c>
      <c r="H326" s="13" t="n"/>
      <c r="I326" s="13" t="n"/>
      <c r="J326" s="16">
        <f>IF($A326="","",1)</f>
        <v/>
      </c>
    </row>
    <row r="327">
      <c r="A327" s="13" t="n"/>
      <c r="B327" s="15" t="n"/>
      <c r="C327" s="14" t="n"/>
      <c r="D327" s="15" t="n"/>
      <c r="E327" s="14" t="n"/>
      <c r="F327" s="17" t="n"/>
      <c r="G327" s="16">
        <f>IF($A327="","",IFERROR(SUMIF(tblVeriA[UrunKodu],$A327,tblVeriA[SatisFiyati])-SUMIF(tblVeriA[UrunKodu],$A327,tblVeriA[Maliyet])-SUMIF(tblVeriA[UrunKodu],$A327,tblVeriA[SatisFiyati])*$B327-$C327-SUMIF(tblVeriA[UrunKodu],$A327,tblVeriA[SatisFiyati])*$D327-$E327,0))</f>
        <v/>
      </c>
      <c r="H327" s="13" t="n"/>
      <c r="I327" s="13" t="n"/>
      <c r="J327" s="16">
        <f>IF($A327="","",1)</f>
        <v/>
      </c>
    </row>
    <row r="328">
      <c r="A328" s="13" t="n"/>
      <c r="B328" s="15" t="n"/>
      <c r="C328" s="14" t="n"/>
      <c r="D328" s="15" t="n"/>
      <c r="E328" s="14" t="n"/>
      <c r="F328" s="17" t="n"/>
      <c r="G328" s="16">
        <f>IF($A328="","",IFERROR(SUMIF(tblVeriA[UrunKodu],$A328,tblVeriA[SatisFiyati])-SUMIF(tblVeriA[UrunKodu],$A328,tblVeriA[Maliyet])-SUMIF(tblVeriA[UrunKodu],$A328,tblVeriA[SatisFiyati])*$B328-$C328-SUMIF(tblVeriA[UrunKodu],$A328,tblVeriA[SatisFiyati])*$D328-$E328,0))</f>
        <v/>
      </c>
      <c r="H328" s="13" t="n"/>
      <c r="I328" s="13" t="n"/>
      <c r="J328" s="16">
        <f>IF($A328="","",1)</f>
        <v/>
      </c>
    </row>
    <row r="329">
      <c r="A329" s="13" t="n"/>
      <c r="B329" s="15" t="n"/>
      <c r="C329" s="14" t="n"/>
      <c r="D329" s="15" t="n"/>
      <c r="E329" s="14" t="n"/>
      <c r="F329" s="17" t="n"/>
      <c r="G329" s="16">
        <f>IF($A329="","",IFERROR(SUMIF(tblVeriA[UrunKodu],$A329,tblVeriA[SatisFiyati])-SUMIF(tblVeriA[UrunKodu],$A329,tblVeriA[Maliyet])-SUMIF(tblVeriA[UrunKodu],$A329,tblVeriA[SatisFiyati])*$B329-$C329-SUMIF(tblVeriA[UrunKodu],$A329,tblVeriA[SatisFiyati])*$D329-$E329,0))</f>
        <v/>
      </c>
      <c r="H329" s="13" t="n"/>
      <c r="I329" s="13" t="n"/>
      <c r="J329" s="16">
        <f>IF($A329="","",1)</f>
        <v/>
      </c>
    </row>
    <row r="330">
      <c r="A330" s="13" t="n"/>
      <c r="B330" s="15" t="n"/>
      <c r="C330" s="14" t="n"/>
      <c r="D330" s="15" t="n"/>
      <c r="E330" s="14" t="n"/>
      <c r="F330" s="17" t="n"/>
      <c r="G330" s="16">
        <f>IF($A330="","",IFERROR(SUMIF(tblVeriA[UrunKodu],$A330,tblVeriA[SatisFiyati])-SUMIF(tblVeriA[UrunKodu],$A330,tblVeriA[Maliyet])-SUMIF(tblVeriA[UrunKodu],$A330,tblVeriA[SatisFiyati])*$B330-$C330-SUMIF(tblVeriA[UrunKodu],$A330,tblVeriA[SatisFiyati])*$D330-$E330,0))</f>
        <v/>
      </c>
      <c r="H330" s="13" t="n"/>
      <c r="I330" s="13" t="n"/>
      <c r="J330" s="16">
        <f>IF($A330="","",1)</f>
        <v/>
      </c>
    </row>
    <row r="331">
      <c r="A331" s="13" t="n"/>
      <c r="B331" s="15" t="n"/>
      <c r="C331" s="14" t="n"/>
      <c r="D331" s="15" t="n"/>
      <c r="E331" s="14" t="n"/>
      <c r="F331" s="17" t="n"/>
      <c r="G331" s="16">
        <f>IF($A331="","",IFERROR(SUMIF(tblVeriA[UrunKodu],$A331,tblVeriA[SatisFiyati])-SUMIF(tblVeriA[UrunKodu],$A331,tblVeriA[Maliyet])-SUMIF(tblVeriA[UrunKodu],$A331,tblVeriA[SatisFiyati])*$B331-$C331-SUMIF(tblVeriA[UrunKodu],$A331,tblVeriA[SatisFiyati])*$D331-$E331,0))</f>
        <v/>
      </c>
      <c r="H331" s="13" t="n"/>
      <c r="I331" s="13" t="n"/>
      <c r="J331" s="16">
        <f>IF($A331="","",1)</f>
        <v/>
      </c>
    </row>
    <row r="332">
      <c r="A332" s="13" t="n"/>
      <c r="B332" s="15" t="n"/>
      <c r="C332" s="14" t="n"/>
      <c r="D332" s="15" t="n"/>
      <c r="E332" s="14" t="n"/>
      <c r="F332" s="17" t="n"/>
      <c r="G332" s="16">
        <f>IF($A332="","",IFERROR(SUMIF(tblVeriA[UrunKodu],$A332,tblVeriA[SatisFiyati])-SUMIF(tblVeriA[UrunKodu],$A332,tblVeriA[Maliyet])-SUMIF(tblVeriA[UrunKodu],$A332,tblVeriA[SatisFiyati])*$B332-$C332-SUMIF(tblVeriA[UrunKodu],$A332,tblVeriA[SatisFiyati])*$D332-$E332,0))</f>
        <v/>
      </c>
      <c r="H332" s="13" t="n"/>
      <c r="I332" s="13" t="n"/>
      <c r="J332" s="16">
        <f>IF($A332="","",1)</f>
        <v/>
      </c>
    </row>
    <row r="333">
      <c r="A333" s="13" t="n"/>
      <c r="B333" s="15" t="n"/>
      <c r="C333" s="14" t="n"/>
      <c r="D333" s="15" t="n"/>
      <c r="E333" s="14" t="n"/>
      <c r="F333" s="17" t="n"/>
      <c r="G333" s="16">
        <f>IF($A333="","",IFERROR(SUMIF(tblVeriA[UrunKodu],$A333,tblVeriA[SatisFiyati])-SUMIF(tblVeriA[UrunKodu],$A333,tblVeriA[Maliyet])-SUMIF(tblVeriA[UrunKodu],$A333,tblVeriA[SatisFiyati])*$B333-$C333-SUMIF(tblVeriA[UrunKodu],$A333,tblVeriA[SatisFiyati])*$D333-$E333,0))</f>
        <v/>
      </c>
      <c r="H333" s="13" t="n"/>
      <c r="I333" s="13" t="n"/>
      <c r="J333" s="16">
        <f>IF($A333="","",1)</f>
        <v/>
      </c>
    </row>
    <row r="334">
      <c r="A334" s="13" t="n"/>
      <c r="B334" s="15" t="n"/>
      <c r="C334" s="14" t="n"/>
      <c r="D334" s="15" t="n"/>
      <c r="E334" s="14" t="n"/>
      <c r="F334" s="17" t="n"/>
      <c r="G334" s="16">
        <f>IF($A334="","",IFERROR(SUMIF(tblVeriA[UrunKodu],$A334,tblVeriA[SatisFiyati])-SUMIF(tblVeriA[UrunKodu],$A334,tblVeriA[Maliyet])-SUMIF(tblVeriA[UrunKodu],$A334,tblVeriA[SatisFiyati])*$B334-$C334-SUMIF(tblVeriA[UrunKodu],$A334,tblVeriA[SatisFiyati])*$D334-$E334,0))</f>
        <v/>
      </c>
      <c r="H334" s="13" t="n"/>
      <c r="I334" s="13" t="n"/>
      <c r="J334" s="16">
        <f>IF($A334="","",1)</f>
        <v/>
      </c>
    </row>
    <row r="335">
      <c r="A335" s="13" t="n"/>
      <c r="B335" s="15" t="n"/>
      <c r="C335" s="14" t="n"/>
      <c r="D335" s="15" t="n"/>
      <c r="E335" s="14" t="n"/>
      <c r="F335" s="17" t="n"/>
      <c r="G335" s="16">
        <f>IF($A335="","",IFERROR(SUMIF(tblVeriA[UrunKodu],$A335,tblVeriA[SatisFiyati])-SUMIF(tblVeriA[UrunKodu],$A335,tblVeriA[Maliyet])-SUMIF(tblVeriA[UrunKodu],$A335,tblVeriA[SatisFiyati])*$B335-$C335-SUMIF(tblVeriA[UrunKodu],$A335,tblVeriA[SatisFiyati])*$D335-$E335,0))</f>
        <v/>
      </c>
      <c r="H335" s="13" t="n"/>
      <c r="I335" s="13" t="n"/>
      <c r="J335" s="16">
        <f>IF($A335="","",1)</f>
        <v/>
      </c>
    </row>
    <row r="336">
      <c r="A336" s="13" t="n"/>
      <c r="B336" s="15" t="n"/>
      <c r="C336" s="14" t="n"/>
      <c r="D336" s="15" t="n"/>
      <c r="E336" s="14" t="n"/>
      <c r="F336" s="17" t="n"/>
      <c r="G336" s="16">
        <f>IF($A336="","",IFERROR(SUMIF(tblVeriA[UrunKodu],$A336,tblVeriA[SatisFiyati])-SUMIF(tblVeriA[UrunKodu],$A336,tblVeriA[Maliyet])-SUMIF(tblVeriA[UrunKodu],$A336,tblVeriA[SatisFiyati])*$B336-$C336-SUMIF(tblVeriA[UrunKodu],$A336,tblVeriA[SatisFiyati])*$D336-$E336,0))</f>
        <v/>
      </c>
      <c r="H336" s="13" t="n"/>
      <c r="I336" s="13" t="n"/>
      <c r="J336" s="16">
        <f>IF($A336="","",1)</f>
        <v/>
      </c>
    </row>
    <row r="337">
      <c r="A337" s="13" t="n"/>
      <c r="B337" s="15" t="n"/>
      <c r="C337" s="14" t="n"/>
      <c r="D337" s="15" t="n"/>
      <c r="E337" s="14" t="n"/>
      <c r="F337" s="17" t="n"/>
      <c r="G337" s="16">
        <f>IF($A337="","",IFERROR(SUMIF(tblVeriA[UrunKodu],$A337,tblVeriA[SatisFiyati])-SUMIF(tblVeriA[UrunKodu],$A337,tblVeriA[Maliyet])-SUMIF(tblVeriA[UrunKodu],$A337,tblVeriA[SatisFiyati])*$B337-$C337-SUMIF(tblVeriA[UrunKodu],$A337,tblVeriA[SatisFiyati])*$D337-$E337,0))</f>
        <v/>
      </c>
      <c r="H337" s="13" t="n"/>
      <c r="I337" s="13" t="n"/>
      <c r="J337" s="16">
        <f>IF($A337="","",1)</f>
        <v/>
      </c>
    </row>
    <row r="338">
      <c r="A338" s="13" t="n"/>
      <c r="B338" s="15" t="n"/>
      <c r="C338" s="14" t="n"/>
      <c r="D338" s="15" t="n"/>
      <c r="E338" s="14" t="n"/>
      <c r="F338" s="17" t="n"/>
      <c r="G338" s="16">
        <f>IF($A338="","",IFERROR(SUMIF(tblVeriA[UrunKodu],$A338,tblVeriA[SatisFiyati])-SUMIF(tblVeriA[UrunKodu],$A338,tblVeriA[Maliyet])-SUMIF(tblVeriA[UrunKodu],$A338,tblVeriA[SatisFiyati])*$B338-$C338-SUMIF(tblVeriA[UrunKodu],$A338,tblVeriA[SatisFiyati])*$D338-$E338,0))</f>
        <v/>
      </c>
      <c r="H338" s="13" t="n"/>
      <c r="I338" s="13" t="n"/>
      <c r="J338" s="16">
        <f>IF($A338="","",1)</f>
        <v/>
      </c>
    </row>
    <row r="339">
      <c r="A339" s="13" t="n"/>
      <c r="B339" s="15" t="n"/>
      <c r="C339" s="14" t="n"/>
      <c r="D339" s="15" t="n"/>
      <c r="E339" s="14" t="n"/>
      <c r="F339" s="17" t="n"/>
      <c r="G339" s="16">
        <f>IF($A339="","",IFERROR(SUMIF(tblVeriA[UrunKodu],$A339,tblVeriA[SatisFiyati])-SUMIF(tblVeriA[UrunKodu],$A339,tblVeriA[Maliyet])-SUMIF(tblVeriA[UrunKodu],$A339,tblVeriA[SatisFiyati])*$B339-$C339-SUMIF(tblVeriA[UrunKodu],$A339,tblVeriA[SatisFiyati])*$D339-$E339,0))</f>
        <v/>
      </c>
      <c r="H339" s="13" t="n"/>
      <c r="I339" s="13" t="n"/>
      <c r="J339" s="16">
        <f>IF($A339="","",1)</f>
        <v/>
      </c>
    </row>
    <row r="340">
      <c r="A340" s="13" t="n"/>
      <c r="B340" s="15" t="n"/>
      <c r="C340" s="14" t="n"/>
      <c r="D340" s="15" t="n"/>
      <c r="E340" s="14" t="n"/>
      <c r="F340" s="17" t="n"/>
      <c r="G340" s="16">
        <f>IF($A340="","",IFERROR(SUMIF(tblVeriA[UrunKodu],$A340,tblVeriA[SatisFiyati])-SUMIF(tblVeriA[UrunKodu],$A340,tblVeriA[Maliyet])-SUMIF(tblVeriA[UrunKodu],$A340,tblVeriA[SatisFiyati])*$B340-$C340-SUMIF(tblVeriA[UrunKodu],$A340,tblVeriA[SatisFiyati])*$D340-$E340,0))</f>
        <v/>
      </c>
      <c r="H340" s="13" t="n"/>
      <c r="I340" s="13" t="n"/>
      <c r="J340" s="16">
        <f>IF($A340="","",1)</f>
        <v/>
      </c>
    </row>
    <row r="341">
      <c r="A341" s="13" t="n"/>
      <c r="B341" s="15" t="n"/>
      <c r="C341" s="14" t="n"/>
      <c r="D341" s="15" t="n"/>
      <c r="E341" s="14" t="n"/>
      <c r="F341" s="17" t="n"/>
      <c r="G341" s="16">
        <f>IF($A341="","",IFERROR(SUMIF(tblVeriA[UrunKodu],$A341,tblVeriA[SatisFiyati])-SUMIF(tblVeriA[UrunKodu],$A341,tblVeriA[Maliyet])-SUMIF(tblVeriA[UrunKodu],$A341,tblVeriA[SatisFiyati])*$B341-$C341-SUMIF(tblVeriA[UrunKodu],$A341,tblVeriA[SatisFiyati])*$D341-$E341,0))</f>
        <v/>
      </c>
      <c r="H341" s="13" t="n"/>
      <c r="I341" s="13" t="n"/>
      <c r="J341" s="16">
        <f>IF($A341="","",1)</f>
        <v/>
      </c>
    </row>
    <row r="342">
      <c r="A342" s="13" t="n"/>
      <c r="B342" s="15" t="n"/>
      <c r="C342" s="14" t="n"/>
      <c r="D342" s="15" t="n"/>
      <c r="E342" s="14" t="n"/>
      <c r="F342" s="17" t="n"/>
      <c r="G342" s="16">
        <f>IF($A342="","",IFERROR(SUMIF(tblVeriA[UrunKodu],$A342,tblVeriA[SatisFiyati])-SUMIF(tblVeriA[UrunKodu],$A342,tblVeriA[Maliyet])-SUMIF(tblVeriA[UrunKodu],$A342,tblVeriA[SatisFiyati])*$B342-$C342-SUMIF(tblVeriA[UrunKodu],$A342,tblVeriA[SatisFiyati])*$D342-$E342,0))</f>
        <v/>
      </c>
      <c r="H342" s="13" t="n"/>
      <c r="I342" s="13" t="n"/>
      <c r="J342" s="16">
        <f>IF($A342="","",1)</f>
        <v/>
      </c>
    </row>
    <row r="343">
      <c r="A343" s="13" t="n"/>
      <c r="B343" s="15" t="n"/>
      <c r="C343" s="14" t="n"/>
      <c r="D343" s="15" t="n"/>
      <c r="E343" s="14" t="n"/>
      <c r="F343" s="17" t="n"/>
      <c r="G343" s="16">
        <f>IF($A343="","",IFERROR(SUMIF(tblVeriA[UrunKodu],$A343,tblVeriA[SatisFiyati])-SUMIF(tblVeriA[UrunKodu],$A343,tblVeriA[Maliyet])-SUMIF(tblVeriA[UrunKodu],$A343,tblVeriA[SatisFiyati])*$B343-$C343-SUMIF(tblVeriA[UrunKodu],$A343,tblVeriA[SatisFiyati])*$D343-$E343,0))</f>
        <v/>
      </c>
      <c r="H343" s="13" t="n"/>
      <c r="I343" s="13" t="n"/>
      <c r="J343" s="16">
        <f>IF($A343="","",1)</f>
        <v/>
      </c>
    </row>
    <row r="344">
      <c r="A344" s="13" t="n"/>
      <c r="B344" s="15" t="n"/>
      <c r="C344" s="14" t="n"/>
      <c r="D344" s="15" t="n"/>
      <c r="E344" s="14" t="n"/>
      <c r="F344" s="17" t="n"/>
      <c r="G344" s="16">
        <f>IF($A344="","",IFERROR(SUMIF(tblVeriA[UrunKodu],$A344,tblVeriA[SatisFiyati])-SUMIF(tblVeriA[UrunKodu],$A344,tblVeriA[Maliyet])-SUMIF(tblVeriA[UrunKodu],$A344,tblVeriA[SatisFiyati])*$B344-$C344-SUMIF(tblVeriA[UrunKodu],$A344,tblVeriA[SatisFiyati])*$D344-$E344,0))</f>
        <v/>
      </c>
      <c r="H344" s="13" t="n"/>
      <c r="I344" s="13" t="n"/>
      <c r="J344" s="16">
        <f>IF($A344="","",1)</f>
        <v/>
      </c>
    </row>
    <row r="345">
      <c r="A345" s="13" t="n"/>
      <c r="B345" s="15" t="n"/>
      <c r="C345" s="14" t="n"/>
      <c r="D345" s="15" t="n"/>
      <c r="E345" s="14" t="n"/>
      <c r="F345" s="17" t="n"/>
      <c r="G345" s="16">
        <f>IF($A345="","",IFERROR(SUMIF(tblVeriA[UrunKodu],$A345,tblVeriA[SatisFiyati])-SUMIF(tblVeriA[UrunKodu],$A345,tblVeriA[Maliyet])-SUMIF(tblVeriA[UrunKodu],$A345,tblVeriA[SatisFiyati])*$B345-$C345-SUMIF(tblVeriA[UrunKodu],$A345,tblVeriA[SatisFiyati])*$D345-$E345,0))</f>
        <v/>
      </c>
      <c r="H345" s="13" t="n"/>
      <c r="I345" s="13" t="n"/>
      <c r="J345" s="16">
        <f>IF($A345="","",1)</f>
        <v/>
      </c>
    </row>
    <row r="346">
      <c r="A346" s="13" t="n"/>
      <c r="B346" s="15" t="n"/>
      <c r="C346" s="14" t="n"/>
      <c r="D346" s="15" t="n"/>
      <c r="E346" s="14" t="n"/>
      <c r="F346" s="17" t="n"/>
      <c r="G346" s="16">
        <f>IF($A346="","",IFERROR(SUMIF(tblVeriA[UrunKodu],$A346,tblVeriA[SatisFiyati])-SUMIF(tblVeriA[UrunKodu],$A346,tblVeriA[Maliyet])-SUMIF(tblVeriA[UrunKodu],$A346,tblVeriA[SatisFiyati])*$B346-$C346-SUMIF(tblVeriA[UrunKodu],$A346,tblVeriA[SatisFiyati])*$D346-$E346,0))</f>
        <v/>
      </c>
      <c r="H346" s="13" t="n"/>
      <c r="I346" s="13" t="n"/>
      <c r="J346" s="16">
        <f>IF($A346="","",1)</f>
        <v/>
      </c>
    </row>
    <row r="347">
      <c r="A347" s="13" t="n"/>
      <c r="B347" s="15" t="n"/>
      <c r="C347" s="14" t="n"/>
      <c r="D347" s="15" t="n"/>
      <c r="E347" s="14" t="n"/>
      <c r="F347" s="17" t="n"/>
      <c r="G347" s="16">
        <f>IF($A347="","",IFERROR(SUMIF(tblVeriA[UrunKodu],$A347,tblVeriA[SatisFiyati])-SUMIF(tblVeriA[UrunKodu],$A347,tblVeriA[Maliyet])-SUMIF(tblVeriA[UrunKodu],$A347,tblVeriA[SatisFiyati])*$B347-$C347-SUMIF(tblVeriA[UrunKodu],$A347,tblVeriA[SatisFiyati])*$D347-$E347,0))</f>
        <v/>
      </c>
      <c r="H347" s="13" t="n"/>
      <c r="I347" s="13" t="n"/>
      <c r="J347" s="16">
        <f>IF($A347="","",1)</f>
        <v/>
      </c>
    </row>
    <row r="348">
      <c r="A348" s="13" t="n"/>
      <c r="B348" s="15" t="n"/>
      <c r="C348" s="14" t="n"/>
      <c r="D348" s="15" t="n"/>
      <c r="E348" s="14" t="n"/>
      <c r="F348" s="17" t="n"/>
      <c r="G348" s="16">
        <f>IF($A348="","",IFERROR(SUMIF(tblVeriA[UrunKodu],$A348,tblVeriA[SatisFiyati])-SUMIF(tblVeriA[UrunKodu],$A348,tblVeriA[Maliyet])-SUMIF(tblVeriA[UrunKodu],$A348,tblVeriA[SatisFiyati])*$B348-$C348-SUMIF(tblVeriA[UrunKodu],$A348,tblVeriA[SatisFiyati])*$D348-$E348,0))</f>
        <v/>
      </c>
      <c r="H348" s="13" t="n"/>
      <c r="I348" s="13" t="n"/>
      <c r="J348" s="16">
        <f>IF($A348="","",1)</f>
        <v/>
      </c>
    </row>
    <row r="349">
      <c r="A349" s="13" t="n"/>
      <c r="B349" s="15" t="n"/>
      <c r="C349" s="14" t="n"/>
      <c r="D349" s="15" t="n"/>
      <c r="E349" s="14" t="n"/>
      <c r="F349" s="17" t="n"/>
      <c r="G349" s="16">
        <f>IF($A349="","",IFERROR(SUMIF(tblVeriA[UrunKodu],$A349,tblVeriA[SatisFiyati])-SUMIF(tblVeriA[UrunKodu],$A349,tblVeriA[Maliyet])-SUMIF(tblVeriA[UrunKodu],$A349,tblVeriA[SatisFiyati])*$B349-$C349-SUMIF(tblVeriA[UrunKodu],$A349,tblVeriA[SatisFiyati])*$D349-$E349,0))</f>
        <v/>
      </c>
      <c r="H349" s="13" t="n"/>
      <c r="I349" s="13" t="n"/>
      <c r="J349" s="16">
        <f>IF($A349="","",1)</f>
        <v/>
      </c>
    </row>
    <row r="350">
      <c r="A350" s="13" t="n"/>
      <c r="B350" s="15" t="n"/>
      <c r="C350" s="14" t="n"/>
      <c r="D350" s="15" t="n"/>
      <c r="E350" s="14" t="n"/>
      <c r="F350" s="17" t="n"/>
      <c r="G350" s="16">
        <f>IF($A350="","",IFERROR(SUMIF(tblVeriA[UrunKodu],$A350,tblVeriA[SatisFiyati])-SUMIF(tblVeriA[UrunKodu],$A350,tblVeriA[Maliyet])-SUMIF(tblVeriA[UrunKodu],$A350,tblVeriA[SatisFiyati])*$B350-$C350-SUMIF(tblVeriA[UrunKodu],$A350,tblVeriA[SatisFiyati])*$D350-$E350,0))</f>
        <v/>
      </c>
      <c r="H350" s="13" t="n"/>
      <c r="I350" s="13" t="n"/>
      <c r="J350" s="16">
        <f>IF($A350="","",1)</f>
        <v/>
      </c>
    </row>
    <row r="351">
      <c r="A351" s="13" t="n"/>
      <c r="B351" s="15" t="n"/>
      <c r="C351" s="14" t="n"/>
      <c r="D351" s="15" t="n"/>
      <c r="E351" s="14" t="n"/>
      <c r="F351" s="17" t="n"/>
      <c r="G351" s="16">
        <f>IF($A351="","",IFERROR(SUMIF(tblVeriA[UrunKodu],$A351,tblVeriA[SatisFiyati])-SUMIF(tblVeriA[UrunKodu],$A351,tblVeriA[Maliyet])-SUMIF(tblVeriA[UrunKodu],$A351,tblVeriA[SatisFiyati])*$B351-$C351-SUMIF(tblVeriA[UrunKodu],$A351,tblVeriA[SatisFiyati])*$D351-$E351,0))</f>
        <v/>
      </c>
      <c r="H351" s="13" t="n"/>
      <c r="I351" s="13" t="n"/>
      <c r="J351" s="16">
        <f>IF($A351="","",1)</f>
        <v/>
      </c>
    </row>
    <row r="352">
      <c r="A352" s="13" t="n"/>
      <c r="B352" s="15" t="n"/>
      <c r="C352" s="14" t="n"/>
      <c r="D352" s="15" t="n"/>
      <c r="E352" s="14" t="n"/>
      <c r="F352" s="17" t="n"/>
      <c r="G352" s="16">
        <f>IF($A352="","",IFERROR(SUMIF(tblVeriA[UrunKodu],$A352,tblVeriA[SatisFiyati])-SUMIF(tblVeriA[UrunKodu],$A352,tblVeriA[Maliyet])-SUMIF(tblVeriA[UrunKodu],$A352,tblVeriA[SatisFiyati])*$B352-$C352-SUMIF(tblVeriA[UrunKodu],$A352,tblVeriA[SatisFiyati])*$D352-$E352,0))</f>
        <v/>
      </c>
      <c r="H352" s="13" t="n"/>
      <c r="I352" s="13" t="n"/>
      <c r="J352" s="16">
        <f>IF($A352="","",1)</f>
        <v/>
      </c>
    </row>
    <row r="353">
      <c r="A353" s="13" t="n"/>
      <c r="B353" s="15" t="n"/>
      <c r="C353" s="14" t="n"/>
      <c r="D353" s="15" t="n"/>
      <c r="E353" s="14" t="n"/>
      <c r="F353" s="17" t="n"/>
      <c r="G353" s="16">
        <f>IF($A353="","",IFERROR(SUMIF(tblVeriA[UrunKodu],$A353,tblVeriA[SatisFiyati])-SUMIF(tblVeriA[UrunKodu],$A353,tblVeriA[Maliyet])-SUMIF(tblVeriA[UrunKodu],$A353,tblVeriA[SatisFiyati])*$B353-$C353-SUMIF(tblVeriA[UrunKodu],$A353,tblVeriA[SatisFiyati])*$D353-$E353,0))</f>
        <v/>
      </c>
      <c r="H353" s="13" t="n"/>
      <c r="I353" s="13" t="n"/>
      <c r="J353" s="16">
        <f>IF($A353="","",1)</f>
        <v/>
      </c>
    </row>
    <row r="354">
      <c r="A354" s="13" t="n"/>
      <c r="B354" s="15" t="n"/>
      <c r="C354" s="14" t="n"/>
      <c r="D354" s="15" t="n"/>
      <c r="E354" s="14" t="n"/>
      <c r="F354" s="17" t="n"/>
      <c r="G354" s="16">
        <f>IF($A354="","",IFERROR(SUMIF(tblVeriA[UrunKodu],$A354,tblVeriA[SatisFiyati])-SUMIF(tblVeriA[UrunKodu],$A354,tblVeriA[Maliyet])-SUMIF(tblVeriA[UrunKodu],$A354,tblVeriA[SatisFiyati])*$B354-$C354-SUMIF(tblVeriA[UrunKodu],$A354,tblVeriA[SatisFiyati])*$D354-$E354,0))</f>
        <v/>
      </c>
      <c r="H354" s="13" t="n"/>
      <c r="I354" s="13" t="n"/>
      <c r="J354" s="16">
        <f>IF($A354="","",1)</f>
        <v/>
      </c>
    </row>
    <row r="355">
      <c r="A355" s="13" t="n"/>
      <c r="B355" s="15" t="n"/>
      <c r="C355" s="14" t="n"/>
      <c r="D355" s="15" t="n"/>
      <c r="E355" s="14" t="n"/>
      <c r="F355" s="17" t="n"/>
      <c r="G355" s="16">
        <f>IF($A355="","",IFERROR(SUMIF(tblVeriA[UrunKodu],$A355,tblVeriA[SatisFiyati])-SUMIF(tblVeriA[UrunKodu],$A355,tblVeriA[Maliyet])-SUMIF(tblVeriA[UrunKodu],$A355,tblVeriA[SatisFiyati])*$B355-$C355-SUMIF(tblVeriA[UrunKodu],$A355,tblVeriA[SatisFiyati])*$D355-$E355,0))</f>
        <v/>
      </c>
      <c r="H355" s="13" t="n"/>
      <c r="I355" s="13" t="n"/>
      <c r="J355" s="16">
        <f>IF($A355="","",1)</f>
        <v/>
      </c>
    </row>
    <row r="356">
      <c r="A356" s="13" t="n"/>
      <c r="B356" s="15" t="n"/>
      <c r="C356" s="14" t="n"/>
      <c r="D356" s="15" t="n"/>
      <c r="E356" s="14" t="n"/>
      <c r="F356" s="17" t="n"/>
      <c r="G356" s="16">
        <f>IF($A356="","",IFERROR(SUMIF(tblVeriA[UrunKodu],$A356,tblVeriA[SatisFiyati])-SUMIF(tblVeriA[UrunKodu],$A356,tblVeriA[Maliyet])-SUMIF(tblVeriA[UrunKodu],$A356,tblVeriA[SatisFiyati])*$B356-$C356-SUMIF(tblVeriA[UrunKodu],$A356,tblVeriA[SatisFiyati])*$D356-$E356,0))</f>
        <v/>
      </c>
      <c r="H356" s="13" t="n"/>
      <c r="I356" s="13" t="n"/>
      <c r="J356" s="16">
        <f>IF($A356="","",1)</f>
        <v/>
      </c>
    </row>
    <row r="357">
      <c r="A357" s="13" t="n"/>
      <c r="B357" s="15" t="n"/>
      <c r="C357" s="14" t="n"/>
      <c r="D357" s="15" t="n"/>
      <c r="E357" s="14" t="n"/>
      <c r="F357" s="17" t="n"/>
      <c r="G357" s="16">
        <f>IF($A357="","",IFERROR(SUMIF(tblVeriA[UrunKodu],$A357,tblVeriA[SatisFiyati])-SUMIF(tblVeriA[UrunKodu],$A357,tblVeriA[Maliyet])-SUMIF(tblVeriA[UrunKodu],$A357,tblVeriA[SatisFiyati])*$B357-$C357-SUMIF(tblVeriA[UrunKodu],$A357,tblVeriA[SatisFiyati])*$D357-$E357,0))</f>
        <v/>
      </c>
      <c r="H357" s="13" t="n"/>
      <c r="I357" s="13" t="n"/>
      <c r="J357" s="16">
        <f>IF($A357="","",1)</f>
        <v/>
      </c>
    </row>
    <row r="358">
      <c r="A358" s="13" t="n"/>
      <c r="B358" s="15" t="n"/>
      <c r="C358" s="14" t="n"/>
      <c r="D358" s="15" t="n"/>
      <c r="E358" s="14" t="n"/>
      <c r="F358" s="17" t="n"/>
      <c r="G358" s="16">
        <f>IF($A358="","",IFERROR(SUMIF(tblVeriA[UrunKodu],$A358,tblVeriA[SatisFiyati])-SUMIF(tblVeriA[UrunKodu],$A358,tblVeriA[Maliyet])-SUMIF(tblVeriA[UrunKodu],$A358,tblVeriA[SatisFiyati])*$B358-$C358-SUMIF(tblVeriA[UrunKodu],$A358,tblVeriA[SatisFiyati])*$D358-$E358,0))</f>
        <v/>
      </c>
      <c r="H358" s="13" t="n"/>
      <c r="I358" s="13" t="n"/>
      <c r="J358" s="16">
        <f>IF($A358="","",1)</f>
        <v/>
      </c>
    </row>
    <row r="359">
      <c r="A359" s="13" t="n"/>
      <c r="B359" s="15" t="n"/>
      <c r="C359" s="14" t="n"/>
      <c r="D359" s="15" t="n"/>
      <c r="E359" s="14" t="n"/>
      <c r="F359" s="17" t="n"/>
      <c r="G359" s="16">
        <f>IF($A359="","",IFERROR(SUMIF(tblVeriA[UrunKodu],$A359,tblVeriA[SatisFiyati])-SUMIF(tblVeriA[UrunKodu],$A359,tblVeriA[Maliyet])-SUMIF(tblVeriA[UrunKodu],$A359,tblVeriA[SatisFiyati])*$B359-$C359-SUMIF(tblVeriA[UrunKodu],$A359,tblVeriA[SatisFiyati])*$D359-$E359,0))</f>
        <v/>
      </c>
      <c r="H359" s="13" t="n"/>
      <c r="I359" s="13" t="n"/>
      <c r="J359" s="16">
        <f>IF($A359="","",1)</f>
        <v/>
      </c>
    </row>
    <row r="360">
      <c r="A360" s="13" t="n"/>
      <c r="B360" s="15" t="n"/>
      <c r="C360" s="14" t="n"/>
      <c r="D360" s="15" t="n"/>
      <c r="E360" s="14" t="n"/>
      <c r="F360" s="17" t="n"/>
      <c r="G360" s="16">
        <f>IF($A360="","",IFERROR(SUMIF(tblVeriA[UrunKodu],$A360,tblVeriA[SatisFiyati])-SUMIF(tblVeriA[UrunKodu],$A360,tblVeriA[Maliyet])-SUMIF(tblVeriA[UrunKodu],$A360,tblVeriA[SatisFiyati])*$B360-$C360-SUMIF(tblVeriA[UrunKodu],$A360,tblVeriA[SatisFiyati])*$D360-$E360,0))</f>
        <v/>
      </c>
      <c r="H360" s="13" t="n"/>
      <c r="I360" s="13" t="n"/>
      <c r="J360" s="16">
        <f>IF($A360="","",1)</f>
        <v/>
      </c>
    </row>
    <row r="361">
      <c r="A361" s="13" t="n"/>
      <c r="B361" s="15" t="n"/>
      <c r="C361" s="14" t="n"/>
      <c r="D361" s="15" t="n"/>
      <c r="E361" s="14" t="n"/>
      <c r="F361" s="17" t="n"/>
      <c r="G361" s="16">
        <f>IF($A361="","",IFERROR(SUMIF(tblVeriA[UrunKodu],$A361,tblVeriA[SatisFiyati])-SUMIF(tblVeriA[UrunKodu],$A361,tblVeriA[Maliyet])-SUMIF(tblVeriA[UrunKodu],$A361,tblVeriA[SatisFiyati])*$B361-$C361-SUMIF(tblVeriA[UrunKodu],$A361,tblVeriA[SatisFiyati])*$D361-$E361,0))</f>
        <v/>
      </c>
      <c r="H361" s="13" t="n"/>
      <c r="I361" s="13" t="n"/>
      <c r="J361" s="16">
        <f>IF($A361="","",1)</f>
        <v/>
      </c>
    </row>
    <row r="362">
      <c r="A362" s="13" t="n"/>
      <c r="B362" s="15" t="n"/>
      <c r="C362" s="14" t="n"/>
      <c r="D362" s="15" t="n"/>
      <c r="E362" s="14" t="n"/>
      <c r="F362" s="17" t="n"/>
      <c r="G362" s="16">
        <f>IF($A362="","",IFERROR(SUMIF(tblVeriA[UrunKodu],$A362,tblVeriA[SatisFiyati])-SUMIF(tblVeriA[UrunKodu],$A362,tblVeriA[Maliyet])-SUMIF(tblVeriA[UrunKodu],$A362,tblVeriA[SatisFiyati])*$B362-$C362-SUMIF(tblVeriA[UrunKodu],$A362,tblVeriA[SatisFiyati])*$D362-$E362,0))</f>
        <v/>
      </c>
      <c r="H362" s="13" t="n"/>
      <c r="I362" s="13" t="n"/>
      <c r="J362" s="16">
        <f>IF($A362="","",1)</f>
        <v/>
      </c>
    </row>
    <row r="363">
      <c r="A363" s="13" t="n"/>
      <c r="B363" s="15" t="n"/>
      <c r="C363" s="14" t="n"/>
      <c r="D363" s="15" t="n"/>
      <c r="E363" s="14" t="n"/>
      <c r="F363" s="17" t="n"/>
      <c r="G363" s="16">
        <f>IF($A363="","",IFERROR(SUMIF(tblVeriA[UrunKodu],$A363,tblVeriA[SatisFiyati])-SUMIF(tblVeriA[UrunKodu],$A363,tblVeriA[Maliyet])-SUMIF(tblVeriA[UrunKodu],$A363,tblVeriA[SatisFiyati])*$B363-$C363-SUMIF(tblVeriA[UrunKodu],$A363,tblVeriA[SatisFiyati])*$D363-$E363,0))</f>
        <v/>
      </c>
      <c r="H363" s="13" t="n"/>
      <c r="I363" s="13" t="n"/>
      <c r="J363" s="16">
        <f>IF($A363="","",1)</f>
        <v/>
      </c>
    </row>
    <row r="364">
      <c r="A364" s="13" t="n"/>
      <c r="B364" s="15" t="n"/>
      <c r="C364" s="14" t="n"/>
      <c r="D364" s="15" t="n"/>
      <c r="E364" s="14" t="n"/>
      <c r="F364" s="17" t="n"/>
      <c r="G364" s="16">
        <f>IF($A364="","",IFERROR(SUMIF(tblVeriA[UrunKodu],$A364,tblVeriA[SatisFiyati])-SUMIF(tblVeriA[UrunKodu],$A364,tblVeriA[Maliyet])-SUMIF(tblVeriA[UrunKodu],$A364,tblVeriA[SatisFiyati])*$B364-$C364-SUMIF(tblVeriA[UrunKodu],$A364,tblVeriA[SatisFiyati])*$D364-$E364,0))</f>
        <v/>
      </c>
      <c r="H364" s="13" t="n"/>
      <c r="I364" s="13" t="n"/>
      <c r="J364" s="16">
        <f>IF($A364="","",1)</f>
        <v/>
      </c>
    </row>
    <row r="365">
      <c r="A365" s="13" t="n"/>
      <c r="B365" s="15" t="n"/>
      <c r="C365" s="14" t="n"/>
      <c r="D365" s="15" t="n"/>
      <c r="E365" s="14" t="n"/>
      <c r="F365" s="17" t="n"/>
      <c r="G365" s="16">
        <f>IF($A365="","",IFERROR(SUMIF(tblVeriA[UrunKodu],$A365,tblVeriA[SatisFiyati])-SUMIF(tblVeriA[UrunKodu],$A365,tblVeriA[Maliyet])-SUMIF(tblVeriA[UrunKodu],$A365,tblVeriA[SatisFiyati])*$B365-$C365-SUMIF(tblVeriA[UrunKodu],$A365,tblVeriA[SatisFiyati])*$D365-$E365,0))</f>
        <v/>
      </c>
      <c r="H365" s="13" t="n"/>
      <c r="I365" s="13" t="n"/>
      <c r="J365" s="16">
        <f>IF($A365="","",1)</f>
        <v/>
      </c>
    </row>
    <row r="366">
      <c r="A366" s="13" t="n"/>
      <c r="B366" s="15" t="n"/>
      <c r="C366" s="14" t="n"/>
      <c r="D366" s="15" t="n"/>
      <c r="E366" s="14" t="n"/>
      <c r="F366" s="17" t="n"/>
      <c r="G366" s="16">
        <f>IF($A366="","",IFERROR(SUMIF(tblVeriA[UrunKodu],$A366,tblVeriA[SatisFiyati])-SUMIF(tblVeriA[UrunKodu],$A366,tblVeriA[Maliyet])-SUMIF(tblVeriA[UrunKodu],$A366,tblVeriA[SatisFiyati])*$B366-$C366-SUMIF(tblVeriA[UrunKodu],$A366,tblVeriA[SatisFiyati])*$D366-$E366,0))</f>
        <v/>
      </c>
      <c r="H366" s="13" t="n"/>
      <c r="I366" s="13" t="n"/>
      <c r="J366" s="16">
        <f>IF($A366="","",1)</f>
        <v/>
      </c>
    </row>
    <row r="367">
      <c r="A367" s="13" t="n"/>
      <c r="B367" s="15" t="n"/>
      <c r="C367" s="14" t="n"/>
      <c r="D367" s="15" t="n"/>
      <c r="E367" s="14" t="n"/>
      <c r="F367" s="17" t="n"/>
      <c r="G367" s="16">
        <f>IF($A367="","",IFERROR(SUMIF(tblVeriA[UrunKodu],$A367,tblVeriA[SatisFiyati])-SUMIF(tblVeriA[UrunKodu],$A367,tblVeriA[Maliyet])-SUMIF(tblVeriA[UrunKodu],$A367,tblVeriA[SatisFiyati])*$B367-$C367-SUMIF(tblVeriA[UrunKodu],$A367,tblVeriA[SatisFiyati])*$D367-$E367,0))</f>
        <v/>
      </c>
      <c r="H367" s="13" t="n"/>
      <c r="I367" s="13" t="n"/>
      <c r="J367" s="16">
        <f>IF($A367="","",1)</f>
        <v/>
      </c>
    </row>
    <row r="368">
      <c r="A368" s="13" t="n"/>
      <c r="B368" s="15" t="n"/>
      <c r="C368" s="14" t="n"/>
      <c r="D368" s="15" t="n"/>
      <c r="E368" s="14" t="n"/>
      <c r="F368" s="17" t="n"/>
      <c r="G368" s="16">
        <f>IF($A368="","",IFERROR(SUMIF(tblVeriA[UrunKodu],$A368,tblVeriA[SatisFiyati])-SUMIF(tblVeriA[UrunKodu],$A368,tblVeriA[Maliyet])-SUMIF(tblVeriA[UrunKodu],$A368,tblVeriA[SatisFiyati])*$B368-$C368-SUMIF(tblVeriA[UrunKodu],$A368,tblVeriA[SatisFiyati])*$D368-$E368,0))</f>
        <v/>
      </c>
      <c r="H368" s="13" t="n"/>
      <c r="I368" s="13" t="n"/>
      <c r="J368" s="16">
        <f>IF($A368="","",1)</f>
        <v/>
      </c>
    </row>
    <row r="369">
      <c r="A369" s="13" t="n"/>
      <c r="B369" s="15" t="n"/>
      <c r="C369" s="14" t="n"/>
      <c r="D369" s="15" t="n"/>
      <c r="E369" s="14" t="n"/>
      <c r="F369" s="17" t="n"/>
      <c r="G369" s="16">
        <f>IF($A369="","",IFERROR(SUMIF(tblVeriA[UrunKodu],$A369,tblVeriA[SatisFiyati])-SUMIF(tblVeriA[UrunKodu],$A369,tblVeriA[Maliyet])-SUMIF(tblVeriA[UrunKodu],$A369,tblVeriA[SatisFiyati])*$B369-$C369-SUMIF(tblVeriA[UrunKodu],$A369,tblVeriA[SatisFiyati])*$D369-$E369,0))</f>
        <v/>
      </c>
      <c r="H369" s="13" t="n"/>
      <c r="I369" s="13" t="n"/>
      <c r="J369" s="16">
        <f>IF($A369="","",1)</f>
        <v/>
      </c>
    </row>
    <row r="370">
      <c r="A370" s="13" t="n"/>
      <c r="B370" s="15" t="n"/>
      <c r="C370" s="14" t="n"/>
      <c r="D370" s="15" t="n"/>
      <c r="E370" s="14" t="n"/>
      <c r="F370" s="17" t="n"/>
      <c r="G370" s="16">
        <f>IF($A370="","",IFERROR(SUMIF(tblVeriA[UrunKodu],$A370,tblVeriA[SatisFiyati])-SUMIF(tblVeriA[UrunKodu],$A370,tblVeriA[Maliyet])-SUMIF(tblVeriA[UrunKodu],$A370,tblVeriA[SatisFiyati])*$B370-$C370-SUMIF(tblVeriA[UrunKodu],$A370,tblVeriA[SatisFiyati])*$D370-$E370,0))</f>
        <v/>
      </c>
      <c r="H370" s="13" t="n"/>
      <c r="I370" s="13" t="n"/>
      <c r="J370" s="16">
        <f>IF($A370="","",1)</f>
        <v/>
      </c>
    </row>
    <row r="371">
      <c r="A371" s="13" t="n"/>
      <c r="B371" s="15" t="n"/>
      <c r="C371" s="14" t="n"/>
      <c r="D371" s="15" t="n"/>
      <c r="E371" s="14" t="n"/>
      <c r="F371" s="17" t="n"/>
      <c r="G371" s="16">
        <f>IF($A371="","",IFERROR(SUMIF(tblVeriA[UrunKodu],$A371,tblVeriA[SatisFiyati])-SUMIF(tblVeriA[UrunKodu],$A371,tblVeriA[Maliyet])-SUMIF(tblVeriA[UrunKodu],$A371,tblVeriA[SatisFiyati])*$B371-$C371-SUMIF(tblVeriA[UrunKodu],$A371,tblVeriA[SatisFiyati])*$D371-$E371,0))</f>
        <v/>
      </c>
      <c r="H371" s="13" t="n"/>
      <c r="I371" s="13" t="n"/>
      <c r="J371" s="16">
        <f>IF($A371="","",1)</f>
        <v/>
      </c>
    </row>
    <row r="372">
      <c r="A372" s="13" t="n"/>
      <c r="B372" s="15" t="n"/>
      <c r="C372" s="14" t="n"/>
      <c r="D372" s="15" t="n"/>
      <c r="E372" s="14" t="n"/>
      <c r="F372" s="17" t="n"/>
      <c r="G372" s="16">
        <f>IF($A372="","",IFERROR(SUMIF(tblVeriA[UrunKodu],$A372,tblVeriA[SatisFiyati])-SUMIF(tblVeriA[UrunKodu],$A372,tblVeriA[Maliyet])-SUMIF(tblVeriA[UrunKodu],$A372,tblVeriA[SatisFiyati])*$B372-$C372-SUMIF(tblVeriA[UrunKodu],$A372,tblVeriA[SatisFiyati])*$D372-$E372,0))</f>
        <v/>
      </c>
      <c r="H372" s="13" t="n"/>
      <c r="I372" s="13" t="n"/>
      <c r="J372" s="16">
        <f>IF($A372="","",1)</f>
        <v/>
      </c>
    </row>
    <row r="373">
      <c r="A373" s="13" t="n"/>
      <c r="B373" s="15" t="n"/>
      <c r="C373" s="14" t="n"/>
      <c r="D373" s="15" t="n"/>
      <c r="E373" s="14" t="n"/>
      <c r="F373" s="17" t="n"/>
      <c r="G373" s="16">
        <f>IF($A373="","",IFERROR(SUMIF(tblVeriA[UrunKodu],$A373,tblVeriA[SatisFiyati])-SUMIF(tblVeriA[UrunKodu],$A373,tblVeriA[Maliyet])-SUMIF(tblVeriA[UrunKodu],$A373,tblVeriA[SatisFiyati])*$B373-$C373-SUMIF(tblVeriA[UrunKodu],$A373,tblVeriA[SatisFiyati])*$D373-$E373,0))</f>
        <v/>
      </c>
      <c r="H373" s="13" t="n"/>
      <c r="I373" s="13" t="n"/>
      <c r="J373" s="16">
        <f>IF($A373="","",1)</f>
        <v/>
      </c>
    </row>
    <row r="374">
      <c r="A374" s="13" t="n"/>
      <c r="B374" s="15" t="n"/>
      <c r="C374" s="14" t="n"/>
      <c r="D374" s="15" t="n"/>
      <c r="E374" s="14" t="n"/>
      <c r="F374" s="17" t="n"/>
      <c r="G374" s="16">
        <f>IF($A374="","",IFERROR(SUMIF(tblVeriA[UrunKodu],$A374,tblVeriA[SatisFiyati])-SUMIF(tblVeriA[UrunKodu],$A374,tblVeriA[Maliyet])-SUMIF(tblVeriA[UrunKodu],$A374,tblVeriA[SatisFiyati])*$B374-$C374-SUMIF(tblVeriA[UrunKodu],$A374,tblVeriA[SatisFiyati])*$D374-$E374,0))</f>
        <v/>
      </c>
      <c r="H374" s="13" t="n"/>
      <c r="I374" s="13" t="n"/>
      <c r="J374" s="16">
        <f>IF($A374="","",1)</f>
        <v/>
      </c>
    </row>
    <row r="375">
      <c r="A375" s="13" t="n"/>
      <c r="B375" s="15" t="n"/>
      <c r="C375" s="14" t="n"/>
      <c r="D375" s="15" t="n"/>
      <c r="E375" s="14" t="n"/>
      <c r="F375" s="17" t="n"/>
      <c r="G375" s="16">
        <f>IF($A375="","",IFERROR(SUMIF(tblVeriA[UrunKodu],$A375,tblVeriA[SatisFiyati])-SUMIF(tblVeriA[UrunKodu],$A375,tblVeriA[Maliyet])-SUMIF(tblVeriA[UrunKodu],$A375,tblVeriA[SatisFiyati])*$B375-$C375-SUMIF(tblVeriA[UrunKodu],$A375,tblVeriA[SatisFiyati])*$D375-$E375,0))</f>
        <v/>
      </c>
      <c r="H375" s="13" t="n"/>
      <c r="I375" s="13" t="n"/>
      <c r="J375" s="16">
        <f>IF($A375="","",1)</f>
        <v/>
      </c>
    </row>
    <row r="376">
      <c r="A376" s="13" t="n"/>
      <c r="B376" s="15" t="n"/>
      <c r="C376" s="14" t="n"/>
      <c r="D376" s="15" t="n"/>
      <c r="E376" s="14" t="n"/>
      <c r="F376" s="17" t="n"/>
      <c r="G376" s="16">
        <f>IF($A376="","",IFERROR(SUMIF(tblVeriA[UrunKodu],$A376,tblVeriA[SatisFiyati])-SUMIF(tblVeriA[UrunKodu],$A376,tblVeriA[Maliyet])-SUMIF(tblVeriA[UrunKodu],$A376,tblVeriA[SatisFiyati])*$B376-$C376-SUMIF(tblVeriA[UrunKodu],$A376,tblVeriA[SatisFiyati])*$D376-$E376,0))</f>
        <v/>
      </c>
      <c r="H376" s="13" t="n"/>
      <c r="I376" s="13" t="n"/>
      <c r="J376" s="16">
        <f>IF($A376="","",1)</f>
        <v/>
      </c>
    </row>
    <row r="377">
      <c r="A377" s="13" t="n"/>
      <c r="B377" s="15" t="n"/>
      <c r="C377" s="14" t="n"/>
      <c r="D377" s="15" t="n"/>
      <c r="E377" s="14" t="n"/>
      <c r="F377" s="17" t="n"/>
      <c r="G377" s="16">
        <f>IF($A377="","",IFERROR(SUMIF(tblVeriA[UrunKodu],$A377,tblVeriA[SatisFiyati])-SUMIF(tblVeriA[UrunKodu],$A377,tblVeriA[Maliyet])-SUMIF(tblVeriA[UrunKodu],$A377,tblVeriA[SatisFiyati])*$B377-$C377-SUMIF(tblVeriA[UrunKodu],$A377,tblVeriA[SatisFiyati])*$D377-$E377,0))</f>
        <v/>
      </c>
      <c r="H377" s="13" t="n"/>
      <c r="I377" s="13" t="n"/>
      <c r="J377" s="16">
        <f>IF($A377="","",1)</f>
        <v/>
      </c>
    </row>
    <row r="378">
      <c r="A378" s="13" t="n"/>
      <c r="B378" s="15" t="n"/>
      <c r="C378" s="14" t="n"/>
      <c r="D378" s="15" t="n"/>
      <c r="E378" s="14" t="n"/>
      <c r="F378" s="17" t="n"/>
      <c r="G378" s="16">
        <f>IF($A378="","",IFERROR(SUMIF(tblVeriA[UrunKodu],$A378,tblVeriA[SatisFiyati])-SUMIF(tblVeriA[UrunKodu],$A378,tblVeriA[Maliyet])-SUMIF(tblVeriA[UrunKodu],$A378,tblVeriA[SatisFiyati])*$B378-$C378-SUMIF(tblVeriA[UrunKodu],$A378,tblVeriA[SatisFiyati])*$D378-$E378,0))</f>
        <v/>
      </c>
      <c r="H378" s="13" t="n"/>
      <c r="I378" s="13" t="n"/>
      <c r="J378" s="16">
        <f>IF($A378="","",1)</f>
        <v/>
      </c>
    </row>
    <row r="379">
      <c r="A379" s="13" t="n"/>
      <c r="B379" s="15" t="n"/>
      <c r="C379" s="14" t="n"/>
      <c r="D379" s="15" t="n"/>
      <c r="E379" s="14" t="n"/>
      <c r="F379" s="17" t="n"/>
      <c r="G379" s="16">
        <f>IF($A379="","",IFERROR(SUMIF(tblVeriA[UrunKodu],$A379,tblVeriA[SatisFiyati])-SUMIF(tblVeriA[UrunKodu],$A379,tblVeriA[Maliyet])-SUMIF(tblVeriA[UrunKodu],$A379,tblVeriA[SatisFiyati])*$B379-$C379-SUMIF(tblVeriA[UrunKodu],$A379,tblVeriA[SatisFiyati])*$D379-$E379,0))</f>
        <v/>
      </c>
      <c r="H379" s="13" t="n"/>
      <c r="I379" s="13" t="n"/>
      <c r="J379" s="16">
        <f>IF($A379="","",1)</f>
        <v/>
      </c>
    </row>
    <row r="380">
      <c r="A380" s="13" t="n"/>
      <c r="B380" s="15" t="n"/>
      <c r="C380" s="14" t="n"/>
      <c r="D380" s="15" t="n"/>
      <c r="E380" s="14" t="n"/>
      <c r="F380" s="17" t="n"/>
      <c r="G380" s="16">
        <f>IF($A380="","",IFERROR(SUMIF(tblVeriA[UrunKodu],$A380,tblVeriA[SatisFiyati])-SUMIF(tblVeriA[UrunKodu],$A380,tblVeriA[Maliyet])-SUMIF(tblVeriA[UrunKodu],$A380,tblVeriA[SatisFiyati])*$B380-$C380-SUMIF(tblVeriA[UrunKodu],$A380,tblVeriA[SatisFiyati])*$D380-$E380,0))</f>
        <v/>
      </c>
      <c r="H380" s="13" t="n"/>
      <c r="I380" s="13" t="n"/>
      <c r="J380" s="16">
        <f>IF($A380="","",1)</f>
        <v/>
      </c>
    </row>
    <row r="381">
      <c r="A381" s="13" t="n"/>
      <c r="B381" s="15" t="n"/>
      <c r="C381" s="14" t="n"/>
      <c r="D381" s="15" t="n"/>
      <c r="E381" s="14" t="n"/>
      <c r="F381" s="17" t="n"/>
      <c r="G381" s="16">
        <f>IF($A381="","",IFERROR(SUMIF(tblVeriA[UrunKodu],$A381,tblVeriA[SatisFiyati])-SUMIF(tblVeriA[UrunKodu],$A381,tblVeriA[Maliyet])-SUMIF(tblVeriA[UrunKodu],$A381,tblVeriA[SatisFiyati])*$B381-$C381-SUMIF(tblVeriA[UrunKodu],$A381,tblVeriA[SatisFiyati])*$D381-$E381,0))</f>
        <v/>
      </c>
      <c r="H381" s="13" t="n"/>
      <c r="I381" s="13" t="n"/>
      <c r="J381" s="16">
        <f>IF($A381="","",1)</f>
        <v/>
      </c>
    </row>
    <row r="382">
      <c r="A382" s="13" t="n"/>
      <c r="B382" s="15" t="n"/>
      <c r="C382" s="14" t="n"/>
      <c r="D382" s="15" t="n"/>
      <c r="E382" s="14" t="n"/>
      <c r="F382" s="17" t="n"/>
      <c r="G382" s="16">
        <f>IF($A382="","",IFERROR(SUMIF(tblVeriA[UrunKodu],$A382,tblVeriA[SatisFiyati])-SUMIF(tblVeriA[UrunKodu],$A382,tblVeriA[Maliyet])-SUMIF(tblVeriA[UrunKodu],$A382,tblVeriA[SatisFiyati])*$B382-$C382-SUMIF(tblVeriA[UrunKodu],$A382,tblVeriA[SatisFiyati])*$D382-$E382,0))</f>
        <v/>
      </c>
      <c r="H382" s="13" t="n"/>
      <c r="I382" s="13" t="n"/>
      <c r="J382" s="16">
        <f>IF($A382="","",1)</f>
        <v/>
      </c>
    </row>
    <row r="383">
      <c r="A383" s="13" t="n"/>
      <c r="B383" s="15" t="n"/>
      <c r="C383" s="14" t="n"/>
      <c r="D383" s="15" t="n"/>
      <c r="E383" s="14" t="n"/>
      <c r="F383" s="17" t="n"/>
      <c r="G383" s="16">
        <f>IF($A383="","",IFERROR(SUMIF(tblVeriA[UrunKodu],$A383,tblVeriA[SatisFiyati])-SUMIF(tblVeriA[UrunKodu],$A383,tblVeriA[Maliyet])-SUMIF(tblVeriA[UrunKodu],$A383,tblVeriA[SatisFiyati])*$B383-$C383-SUMIF(tblVeriA[UrunKodu],$A383,tblVeriA[SatisFiyati])*$D383-$E383,0))</f>
        <v/>
      </c>
      <c r="H383" s="13" t="n"/>
      <c r="I383" s="13" t="n"/>
      <c r="J383" s="16">
        <f>IF($A383="","",1)</f>
        <v/>
      </c>
    </row>
    <row r="384">
      <c r="A384" s="13" t="n"/>
      <c r="B384" s="15" t="n"/>
      <c r="C384" s="14" t="n"/>
      <c r="D384" s="15" t="n"/>
      <c r="E384" s="14" t="n"/>
      <c r="F384" s="17" t="n"/>
      <c r="G384" s="16">
        <f>IF($A384="","",IFERROR(SUMIF(tblVeriA[UrunKodu],$A384,tblVeriA[SatisFiyati])-SUMIF(tblVeriA[UrunKodu],$A384,tblVeriA[Maliyet])-SUMIF(tblVeriA[UrunKodu],$A384,tblVeriA[SatisFiyati])*$B384-$C384-SUMIF(tblVeriA[UrunKodu],$A384,tblVeriA[SatisFiyati])*$D384-$E384,0))</f>
        <v/>
      </c>
      <c r="H384" s="13" t="n"/>
      <c r="I384" s="13" t="n"/>
      <c r="J384" s="16">
        <f>IF($A384="","",1)</f>
        <v/>
      </c>
    </row>
    <row r="385">
      <c r="A385" s="13" t="n"/>
      <c r="B385" s="15" t="n"/>
      <c r="C385" s="14" t="n"/>
      <c r="D385" s="15" t="n"/>
      <c r="E385" s="14" t="n"/>
      <c r="F385" s="17" t="n"/>
      <c r="G385" s="16">
        <f>IF($A385="","",IFERROR(SUMIF(tblVeriA[UrunKodu],$A385,tblVeriA[SatisFiyati])-SUMIF(tblVeriA[UrunKodu],$A385,tblVeriA[Maliyet])-SUMIF(tblVeriA[UrunKodu],$A385,tblVeriA[SatisFiyati])*$B385-$C385-SUMIF(tblVeriA[UrunKodu],$A385,tblVeriA[SatisFiyati])*$D385-$E385,0))</f>
        <v/>
      </c>
      <c r="H385" s="13" t="n"/>
      <c r="I385" s="13" t="n"/>
      <c r="J385" s="16">
        <f>IF($A385="","",1)</f>
        <v/>
      </c>
    </row>
    <row r="386">
      <c r="A386" s="13" t="n"/>
      <c r="B386" s="15" t="n"/>
      <c r="C386" s="14" t="n"/>
      <c r="D386" s="15" t="n"/>
      <c r="E386" s="14" t="n"/>
      <c r="F386" s="17" t="n"/>
      <c r="G386" s="16">
        <f>IF($A386="","",IFERROR(SUMIF(tblVeriA[UrunKodu],$A386,tblVeriA[SatisFiyati])-SUMIF(tblVeriA[UrunKodu],$A386,tblVeriA[Maliyet])-SUMIF(tblVeriA[UrunKodu],$A386,tblVeriA[SatisFiyati])*$B386-$C386-SUMIF(tblVeriA[UrunKodu],$A386,tblVeriA[SatisFiyati])*$D386-$E386,0))</f>
        <v/>
      </c>
      <c r="H386" s="13" t="n"/>
      <c r="I386" s="13" t="n"/>
      <c r="J386" s="16">
        <f>IF($A386="","",1)</f>
        <v/>
      </c>
    </row>
    <row r="387">
      <c r="A387" s="13" t="n"/>
      <c r="B387" s="15" t="n"/>
      <c r="C387" s="14" t="n"/>
      <c r="D387" s="15" t="n"/>
      <c r="E387" s="14" t="n"/>
      <c r="F387" s="17" t="n"/>
      <c r="G387" s="16">
        <f>IF($A387="","",IFERROR(SUMIF(tblVeriA[UrunKodu],$A387,tblVeriA[SatisFiyati])-SUMIF(tblVeriA[UrunKodu],$A387,tblVeriA[Maliyet])-SUMIF(tblVeriA[UrunKodu],$A387,tblVeriA[SatisFiyati])*$B387-$C387-SUMIF(tblVeriA[UrunKodu],$A387,tblVeriA[SatisFiyati])*$D387-$E387,0))</f>
        <v/>
      </c>
      <c r="H387" s="13" t="n"/>
      <c r="I387" s="13" t="n"/>
      <c r="J387" s="16">
        <f>IF($A387="","",1)</f>
        <v/>
      </c>
    </row>
    <row r="388">
      <c r="A388" s="13" t="n"/>
      <c r="B388" s="15" t="n"/>
      <c r="C388" s="14" t="n"/>
      <c r="D388" s="15" t="n"/>
      <c r="E388" s="14" t="n"/>
      <c r="F388" s="17" t="n"/>
      <c r="G388" s="16">
        <f>IF($A388="","",IFERROR(SUMIF(tblVeriA[UrunKodu],$A388,tblVeriA[SatisFiyati])-SUMIF(tblVeriA[UrunKodu],$A388,tblVeriA[Maliyet])-SUMIF(tblVeriA[UrunKodu],$A388,tblVeriA[SatisFiyati])*$B388-$C388-SUMIF(tblVeriA[UrunKodu],$A388,tblVeriA[SatisFiyati])*$D388-$E388,0))</f>
        <v/>
      </c>
      <c r="H388" s="13" t="n"/>
      <c r="I388" s="13" t="n"/>
      <c r="J388" s="16">
        <f>IF($A388="","",1)</f>
        <v/>
      </c>
    </row>
    <row r="389">
      <c r="A389" s="13" t="n"/>
      <c r="B389" s="15" t="n"/>
      <c r="C389" s="14" t="n"/>
      <c r="D389" s="15" t="n"/>
      <c r="E389" s="14" t="n"/>
      <c r="F389" s="17" t="n"/>
      <c r="G389" s="16">
        <f>IF($A389="","",IFERROR(SUMIF(tblVeriA[UrunKodu],$A389,tblVeriA[SatisFiyati])-SUMIF(tblVeriA[UrunKodu],$A389,tblVeriA[Maliyet])-SUMIF(tblVeriA[UrunKodu],$A389,tblVeriA[SatisFiyati])*$B389-$C389-SUMIF(tblVeriA[UrunKodu],$A389,tblVeriA[SatisFiyati])*$D389-$E389,0))</f>
        <v/>
      </c>
      <c r="H389" s="13" t="n"/>
      <c r="I389" s="13" t="n"/>
      <c r="J389" s="16">
        <f>IF($A389="","",1)</f>
        <v/>
      </c>
    </row>
    <row r="390">
      <c r="A390" s="13" t="n"/>
      <c r="B390" s="15" t="n"/>
      <c r="C390" s="14" t="n"/>
      <c r="D390" s="15" t="n"/>
      <c r="E390" s="14" t="n"/>
      <c r="F390" s="17" t="n"/>
      <c r="G390" s="16">
        <f>IF($A390="","",IFERROR(SUMIF(tblVeriA[UrunKodu],$A390,tblVeriA[SatisFiyati])-SUMIF(tblVeriA[UrunKodu],$A390,tblVeriA[Maliyet])-SUMIF(tblVeriA[UrunKodu],$A390,tblVeriA[SatisFiyati])*$B390-$C390-SUMIF(tblVeriA[UrunKodu],$A390,tblVeriA[SatisFiyati])*$D390-$E390,0))</f>
        <v/>
      </c>
      <c r="H390" s="13" t="n"/>
      <c r="I390" s="13" t="n"/>
      <c r="J390" s="16">
        <f>IF($A390="","",1)</f>
        <v/>
      </c>
    </row>
    <row r="391">
      <c r="A391" s="13" t="n"/>
      <c r="B391" s="15" t="n"/>
      <c r="C391" s="14" t="n"/>
      <c r="D391" s="15" t="n"/>
      <c r="E391" s="14" t="n"/>
      <c r="F391" s="17" t="n"/>
      <c r="G391" s="16">
        <f>IF($A391="","",IFERROR(SUMIF(tblVeriA[UrunKodu],$A391,tblVeriA[SatisFiyati])-SUMIF(tblVeriA[UrunKodu],$A391,tblVeriA[Maliyet])-SUMIF(tblVeriA[UrunKodu],$A391,tblVeriA[SatisFiyati])*$B391-$C391-SUMIF(tblVeriA[UrunKodu],$A391,tblVeriA[SatisFiyati])*$D391-$E391,0))</f>
        <v/>
      </c>
      <c r="H391" s="13" t="n"/>
      <c r="I391" s="13" t="n"/>
      <c r="J391" s="16">
        <f>IF($A391="","",1)</f>
        <v/>
      </c>
    </row>
    <row r="392">
      <c r="A392" s="13" t="n"/>
      <c r="B392" s="15" t="n"/>
      <c r="C392" s="14" t="n"/>
      <c r="D392" s="15" t="n"/>
      <c r="E392" s="14" t="n"/>
      <c r="F392" s="17" t="n"/>
      <c r="G392" s="16">
        <f>IF($A392="","",IFERROR(SUMIF(tblVeriA[UrunKodu],$A392,tblVeriA[SatisFiyati])-SUMIF(tblVeriA[UrunKodu],$A392,tblVeriA[Maliyet])-SUMIF(tblVeriA[UrunKodu],$A392,tblVeriA[SatisFiyati])*$B392-$C392-SUMIF(tblVeriA[UrunKodu],$A392,tblVeriA[SatisFiyati])*$D392-$E392,0))</f>
        <v/>
      </c>
      <c r="H392" s="13" t="n"/>
      <c r="I392" s="13" t="n"/>
      <c r="J392" s="16">
        <f>IF($A392="","",1)</f>
        <v/>
      </c>
    </row>
    <row r="393">
      <c r="A393" s="13" t="n"/>
      <c r="B393" s="15" t="n"/>
      <c r="C393" s="14" t="n"/>
      <c r="D393" s="15" t="n"/>
      <c r="E393" s="14" t="n"/>
      <c r="F393" s="17" t="n"/>
      <c r="G393" s="16">
        <f>IF($A393="","",IFERROR(SUMIF(tblVeriA[UrunKodu],$A393,tblVeriA[SatisFiyati])-SUMIF(tblVeriA[UrunKodu],$A393,tblVeriA[Maliyet])-SUMIF(tblVeriA[UrunKodu],$A393,tblVeriA[SatisFiyati])*$B393-$C393-SUMIF(tblVeriA[UrunKodu],$A393,tblVeriA[SatisFiyati])*$D393-$E393,0))</f>
        <v/>
      </c>
      <c r="H393" s="13" t="n"/>
      <c r="I393" s="13" t="n"/>
      <c r="J393" s="16">
        <f>IF($A393="","",1)</f>
        <v/>
      </c>
    </row>
    <row r="394">
      <c r="A394" s="13" t="n"/>
      <c r="B394" s="15" t="n"/>
      <c r="C394" s="14" t="n"/>
      <c r="D394" s="15" t="n"/>
      <c r="E394" s="14" t="n"/>
      <c r="F394" s="17" t="n"/>
      <c r="G394" s="16">
        <f>IF($A394="","",IFERROR(SUMIF(tblVeriA[UrunKodu],$A394,tblVeriA[SatisFiyati])-SUMIF(tblVeriA[UrunKodu],$A394,tblVeriA[Maliyet])-SUMIF(tblVeriA[UrunKodu],$A394,tblVeriA[SatisFiyati])*$B394-$C394-SUMIF(tblVeriA[UrunKodu],$A394,tblVeriA[SatisFiyati])*$D394-$E394,0))</f>
        <v/>
      </c>
      <c r="H394" s="13" t="n"/>
      <c r="I394" s="13" t="n"/>
      <c r="J394" s="16">
        <f>IF($A394="","",1)</f>
        <v/>
      </c>
    </row>
    <row r="395">
      <c r="A395" s="13" t="n"/>
      <c r="B395" s="15" t="n"/>
      <c r="C395" s="14" t="n"/>
      <c r="D395" s="15" t="n"/>
      <c r="E395" s="14" t="n"/>
      <c r="F395" s="17" t="n"/>
      <c r="G395" s="16">
        <f>IF($A395="","",IFERROR(SUMIF(tblVeriA[UrunKodu],$A395,tblVeriA[SatisFiyati])-SUMIF(tblVeriA[UrunKodu],$A395,tblVeriA[Maliyet])-SUMIF(tblVeriA[UrunKodu],$A395,tblVeriA[SatisFiyati])*$B395-$C395-SUMIF(tblVeriA[UrunKodu],$A395,tblVeriA[SatisFiyati])*$D395-$E395,0))</f>
        <v/>
      </c>
      <c r="H395" s="13" t="n"/>
      <c r="I395" s="13" t="n"/>
      <c r="J395" s="16">
        <f>IF($A395="","",1)</f>
        <v/>
      </c>
    </row>
    <row r="396">
      <c r="A396" s="13" t="n"/>
      <c r="B396" s="15" t="n"/>
      <c r="C396" s="14" t="n"/>
      <c r="D396" s="15" t="n"/>
      <c r="E396" s="14" t="n"/>
      <c r="F396" s="17" t="n"/>
      <c r="G396" s="16">
        <f>IF($A396="","",IFERROR(SUMIF(tblVeriA[UrunKodu],$A396,tblVeriA[SatisFiyati])-SUMIF(tblVeriA[UrunKodu],$A396,tblVeriA[Maliyet])-SUMIF(tblVeriA[UrunKodu],$A396,tblVeriA[SatisFiyati])*$B396-$C396-SUMIF(tblVeriA[UrunKodu],$A396,tblVeriA[SatisFiyati])*$D396-$E396,0))</f>
        <v/>
      </c>
      <c r="H396" s="13" t="n"/>
      <c r="I396" s="13" t="n"/>
      <c r="J396" s="16">
        <f>IF($A396="","",1)</f>
        <v/>
      </c>
    </row>
    <row r="397">
      <c r="A397" s="13" t="n"/>
      <c r="B397" s="15" t="n"/>
      <c r="C397" s="14" t="n"/>
      <c r="D397" s="15" t="n"/>
      <c r="E397" s="14" t="n"/>
      <c r="F397" s="17" t="n"/>
      <c r="G397" s="16">
        <f>IF($A397="","",IFERROR(SUMIF(tblVeriA[UrunKodu],$A397,tblVeriA[SatisFiyati])-SUMIF(tblVeriA[UrunKodu],$A397,tblVeriA[Maliyet])-SUMIF(tblVeriA[UrunKodu],$A397,tblVeriA[SatisFiyati])*$B397-$C397-SUMIF(tblVeriA[UrunKodu],$A397,tblVeriA[SatisFiyati])*$D397-$E397,0))</f>
        <v/>
      </c>
      <c r="H397" s="13" t="n"/>
      <c r="I397" s="13" t="n"/>
      <c r="J397" s="16">
        <f>IF($A397="","",1)</f>
        <v/>
      </c>
    </row>
    <row r="398">
      <c r="A398" s="13" t="n"/>
      <c r="B398" s="15" t="n"/>
      <c r="C398" s="14" t="n"/>
      <c r="D398" s="15" t="n"/>
      <c r="E398" s="14" t="n"/>
      <c r="F398" s="17" t="n"/>
      <c r="G398" s="16">
        <f>IF($A398="","",IFERROR(SUMIF(tblVeriA[UrunKodu],$A398,tblVeriA[SatisFiyati])-SUMIF(tblVeriA[UrunKodu],$A398,tblVeriA[Maliyet])-SUMIF(tblVeriA[UrunKodu],$A398,tblVeriA[SatisFiyati])*$B398-$C398-SUMIF(tblVeriA[UrunKodu],$A398,tblVeriA[SatisFiyati])*$D398-$E398,0))</f>
        <v/>
      </c>
      <c r="H398" s="13" t="n"/>
      <c r="I398" s="13" t="n"/>
      <c r="J398" s="16">
        <f>IF($A398="","",1)</f>
        <v/>
      </c>
    </row>
    <row r="399">
      <c r="A399" s="13" t="n"/>
      <c r="B399" s="15" t="n"/>
      <c r="C399" s="14" t="n"/>
      <c r="D399" s="15" t="n"/>
      <c r="E399" s="14" t="n"/>
      <c r="F399" s="17" t="n"/>
      <c r="G399" s="16">
        <f>IF($A399="","",IFERROR(SUMIF(tblVeriA[UrunKodu],$A399,tblVeriA[SatisFiyati])-SUMIF(tblVeriA[UrunKodu],$A399,tblVeriA[Maliyet])-SUMIF(tblVeriA[UrunKodu],$A399,tblVeriA[SatisFiyati])*$B399-$C399-SUMIF(tblVeriA[UrunKodu],$A399,tblVeriA[SatisFiyati])*$D399-$E399,0))</f>
        <v/>
      </c>
      <c r="H399" s="13" t="n"/>
      <c r="I399" s="13" t="n"/>
      <c r="J399" s="16">
        <f>IF($A399="","",1)</f>
        <v/>
      </c>
    </row>
    <row r="400">
      <c r="A400" s="13" t="n"/>
      <c r="B400" s="15" t="n"/>
      <c r="C400" s="14" t="n"/>
      <c r="D400" s="15" t="n"/>
      <c r="E400" s="14" t="n"/>
      <c r="F400" s="17" t="n"/>
      <c r="G400" s="16">
        <f>IF($A400="","",IFERROR(SUMIF(tblVeriA[UrunKodu],$A400,tblVeriA[SatisFiyati])-SUMIF(tblVeriA[UrunKodu],$A400,tblVeriA[Maliyet])-SUMIF(tblVeriA[UrunKodu],$A400,tblVeriA[SatisFiyati])*$B400-$C400-SUMIF(tblVeriA[UrunKodu],$A400,tblVeriA[SatisFiyati])*$D400-$E400,0))</f>
        <v/>
      </c>
      <c r="H400" s="13" t="n"/>
      <c r="I400" s="13" t="n"/>
      <c r="J400" s="16">
        <f>IF($A400="","",1)</f>
        <v/>
      </c>
    </row>
    <row r="401">
      <c r="A401" s="13" t="n"/>
      <c r="B401" s="15" t="n"/>
      <c r="C401" s="14" t="n"/>
      <c r="D401" s="15" t="n"/>
      <c r="E401" s="14" t="n"/>
      <c r="F401" s="17" t="n"/>
      <c r="G401" s="16">
        <f>IF($A401="","",IFERROR(SUMIF(tblVeriA[UrunKodu],$A401,tblVeriA[SatisFiyati])-SUMIF(tblVeriA[UrunKodu],$A401,tblVeriA[Maliyet])-SUMIF(tblVeriA[UrunKodu],$A401,tblVeriA[SatisFiyati])*$B401-$C401-SUMIF(tblVeriA[UrunKodu],$A401,tblVeriA[SatisFiyati])*$D401-$E401,0))</f>
        <v/>
      </c>
      <c r="H401" s="13" t="n"/>
      <c r="I401" s="13" t="n"/>
      <c r="J401" s="16">
        <f>IF($A401="","",1)</f>
        <v/>
      </c>
    </row>
    <row r="402">
      <c r="A402" s="13" t="n"/>
      <c r="B402" s="15" t="n"/>
      <c r="C402" s="14" t="n"/>
      <c r="D402" s="15" t="n"/>
      <c r="E402" s="14" t="n"/>
      <c r="F402" s="17" t="n"/>
      <c r="G402" s="16">
        <f>IF($A402="","",IFERROR(SUMIF(tblVeriA[UrunKodu],$A402,tblVeriA[SatisFiyati])-SUMIF(tblVeriA[UrunKodu],$A402,tblVeriA[Maliyet])-SUMIF(tblVeriA[UrunKodu],$A402,tblVeriA[SatisFiyati])*$B402-$C402-SUMIF(tblVeriA[UrunKodu],$A402,tblVeriA[SatisFiyati])*$D402-$E402,0))</f>
        <v/>
      </c>
      <c r="H402" s="13" t="n"/>
      <c r="I402" s="13" t="n"/>
      <c r="J402" s="16">
        <f>IF($A402="","",1)</f>
        <v/>
      </c>
    </row>
    <row r="403">
      <c r="A403" s="13" t="n"/>
      <c r="B403" s="15" t="n"/>
      <c r="C403" s="14" t="n"/>
      <c r="D403" s="15" t="n"/>
      <c r="E403" s="14" t="n"/>
      <c r="F403" s="17" t="n"/>
      <c r="G403" s="16">
        <f>IF($A403="","",IFERROR(SUMIF(tblVeriA[UrunKodu],$A403,tblVeriA[SatisFiyati])-SUMIF(tblVeriA[UrunKodu],$A403,tblVeriA[Maliyet])-SUMIF(tblVeriA[UrunKodu],$A403,tblVeriA[SatisFiyati])*$B403-$C403-SUMIF(tblVeriA[UrunKodu],$A403,tblVeriA[SatisFiyati])*$D403-$E403,0))</f>
        <v/>
      </c>
      <c r="H403" s="13" t="n"/>
      <c r="I403" s="13" t="n"/>
      <c r="J403" s="16">
        <f>IF($A403="","",1)</f>
        <v/>
      </c>
    </row>
    <row r="404">
      <c r="A404" s="13" t="n"/>
      <c r="B404" s="15" t="n"/>
      <c r="C404" s="14" t="n"/>
      <c r="D404" s="15" t="n"/>
      <c r="E404" s="14" t="n"/>
      <c r="F404" s="17" t="n"/>
      <c r="G404" s="16">
        <f>IF($A404="","",IFERROR(SUMIF(tblVeriA[UrunKodu],$A404,tblVeriA[SatisFiyati])-SUMIF(tblVeriA[UrunKodu],$A404,tblVeriA[Maliyet])-SUMIF(tblVeriA[UrunKodu],$A404,tblVeriA[SatisFiyati])*$B404-$C404-SUMIF(tblVeriA[UrunKodu],$A404,tblVeriA[SatisFiyati])*$D404-$E404,0))</f>
        <v/>
      </c>
      <c r="H404" s="13" t="n"/>
      <c r="I404" s="13" t="n"/>
      <c r="J404" s="16">
        <f>IF($A404="","",1)</f>
        <v/>
      </c>
    </row>
    <row r="405">
      <c r="A405" s="13" t="n"/>
      <c r="B405" s="15" t="n"/>
      <c r="C405" s="14" t="n"/>
      <c r="D405" s="15" t="n"/>
      <c r="E405" s="14" t="n"/>
      <c r="F405" s="17" t="n"/>
      <c r="G405" s="16">
        <f>IF($A405="","",IFERROR(SUMIF(tblVeriA[UrunKodu],$A405,tblVeriA[SatisFiyati])-SUMIF(tblVeriA[UrunKodu],$A405,tblVeriA[Maliyet])-SUMIF(tblVeriA[UrunKodu],$A405,tblVeriA[SatisFiyati])*$B405-$C405-SUMIF(tblVeriA[UrunKodu],$A405,tblVeriA[SatisFiyati])*$D405-$E405,0))</f>
        <v/>
      </c>
      <c r="H405" s="13" t="n"/>
      <c r="I405" s="13" t="n"/>
      <c r="J405" s="16">
        <f>IF($A405="","",1)</f>
        <v/>
      </c>
    </row>
    <row r="406">
      <c r="A406" s="13" t="n"/>
      <c r="B406" s="15" t="n"/>
      <c r="C406" s="14" t="n"/>
      <c r="D406" s="15" t="n"/>
      <c r="E406" s="14" t="n"/>
      <c r="F406" s="17" t="n"/>
      <c r="G406" s="16">
        <f>IF($A406="","",IFERROR(SUMIF(tblVeriA[UrunKodu],$A406,tblVeriA[SatisFiyati])-SUMIF(tblVeriA[UrunKodu],$A406,tblVeriA[Maliyet])-SUMIF(tblVeriA[UrunKodu],$A406,tblVeriA[SatisFiyati])*$B406-$C406-SUMIF(tblVeriA[UrunKodu],$A406,tblVeriA[SatisFiyati])*$D406-$E406,0))</f>
        <v/>
      </c>
      <c r="H406" s="13" t="n"/>
      <c r="I406" s="13" t="n"/>
      <c r="J406" s="16">
        <f>IF($A406="","",1)</f>
        <v/>
      </c>
    </row>
    <row r="407">
      <c r="A407" s="13" t="n"/>
      <c r="B407" s="15" t="n"/>
      <c r="C407" s="14" t="n"/>
      <c r="D407" s="15" t="n"/>
      <c r="E407" s="14" t="n"/>
      <c r="F407" s="17" t="n"/>
      <c r="G407" s="16">
        <f>IF($A407="","",IFERROR(SUMIF(tblVeriA[UrunKodu],$A407,tblVeriA[SatisFiyati])-SUMIF(tblVeriA[UrunKodu],$A407,tblVeriA[Maliyet])-SUMIF(tblVeriA[UrunKodu],$A407,tblVeriA[SatisFiyati])*$B407-$C407-SUMIF(tblVeriA[UrunKodu],$A407,tblVeriA[SatisFiyati])*$D407-$E407,0))</f>
        <v/>
      </c>
      <c r="H407" s="13" t="n"/>
      <c r="I407" s="13" t="n"/>
      <c r="J407" s="16">
        <f>IF($A407="","",1)</f>
        <v/>
      </c>
    </row>
    <row r="408">
      <c r="A408" s="13" t="n"/>
      <c r="B408" s="15" t="n"/>
      <c r="C408" s="14" t="n"/>
      <c r="D408" s="15" t="n"/>
      <c r="E408" s="14" t="n"/>
      <c r="F408" s="17" t="n"/>
      <c r="G408" s="16">
        <f>IF($A408="","",IFERROR(SUMIF(tblVeriA[UrunKodu],$A408,tblVeriA[SatisFiyati])-SUMIF(tblVeriA[UrunKodu],$A408,tblVeriA[Maliyet])-SUMIF(tblVeriA[UrunKodu],$A408,tblVeriA[SatisFiyati])*$B408-$C408-SUMIF(tblVeriA[UrunKodu],$A408,tblVeriA[SatisFiyati])*$D408-$E408,0))</f>
        <v/>
      </c>
      <c r="H408" s="13" t="n"/>
      <c r="I408" s="13" t="n"/>
      <c r="J408" s="16">
        <f>IF($A408="","",1)</f>
        <v/>
      </c>
    </row>
    <row r="409">
      <c r="A409" s="13" t="n"/>
      <c r="B409" s="15" t="n"/>
      <c r="C409" s="14" t="n"/>
      <c r="D409" s="15" t="n"/>
      <c r="E409" s="14" t="n"/>
      <c r="F409" s="17" t="n"/>
      <c r="G409" s="16">
        <f>IF($A409="","",IFERROR(SUMIF(tblVeriA[UrunKodu],$A409,tblVeriA[SatisFiyati])-SUMIF(tblVeriA[UrunKodu],$A409,tblVeriA[Maliyet])-SUMIF(tblVeriA[UrunKodu],$A409,tblVeriA[SatisFiyati])*$B409-$C409-SUMIF(tblVeriA[UrunKodu],$A409,tblVeriA[SatisFiyati])*$D409-$E409,0))</f>
        <v/>
      </c>
      <c r="H409" s="13" t="n"/>
      <c r="I409" s="13" t="n"/>
      <c r="J409" s="16">
        <f>IF($A409="","",1)</f>
        <v/>
      </c>
    </row>
    <row r="410">
      <c r="A410" s="13" t="n"/>
      <c r="B410" s="15" t="n"/>
      <c r="C410" s="14" t="n"/>
      <c r="D410" s="15" t="n"/>
      <c r="E410" s="14" t="n"/>
      <c r="F410" s="17" t="n"/>
      <c r="G410" s="16">
        <f>IF($A410="","",IFERROR(SUMIF(tblVeriA[UrunKodu],$A410,tblVeriA[SatisFiyati])-SUMIF(tblVeriA[UrunKodu],$A410,tblVeriA[Maliyet])-SUMIF(tblVeriA[UrunKodu],$A410,tblVeriA[SatisFiyati])*$B410-$C410-SUMIF(tblVeriA[UrunKodu],$A410,tblVeriA[SatisFiyati])*$D410-$E410,0))</f>
        <v/>
      </c>
      <c r="H410" s="13" t="n"/>
      <c r="I410" s="13" t="n"/>
      <c r="J410" s="16">
        <f>IF($A410="","",1)</f>
        <v/>
      </c>
    </row>
    <row r="411">
      <c r="A411" s="13" t="n"/>
      <c r="B411" s="15" t="n"/>
      <c r="C411" s="14" t="n"/>
      <c r="D411" s="15" t="n"/>
      <c r="E411" s="14" t="n"/>
      <c r="F411" s="17" t="n"/>
      <c r="G411" s="16">
        <f>IF($A411="","",IFERROR(SUMIF(tblVeriA[UrunKodu],$A411,tblVeriA[SatisFiyati])-SUMIF(tblVeriA[UrunKodu],$A411,tblVeriA[Maliyet])-SUMIF(tblVeriA[UrunKodu],$A411,tblVeriA[SatisFiyati])*$B411-$C411-SUMIF(tblVeriA[UrunKodu],$A411,tblVeriA[SatisFiyati])*$D411-$E411,0))</f>
        <v/>
      </c>
      <c r="H411" s="13" t="n"/>
      <c r="I411" s="13" t="n"/>
      <c r="J411" s="16">
        <f>IF($A411="","",1)</f>
        <v/>
      </c>
    </row>
    <row r="412">
      <c r="A412" s="13" t="n"/>
      <c r="B412" s="15" t="n"/>
      <c r="C412" s="14" t="n"/>
      <c r="D412" s="15" t="n"/>
      <c r="E412" s="14" t="n"/>
      <c r="F412" s="17" t="n"/>
      <c r="G412" s="16">
        <f>IF($A412="","",IFERROR(SUMIF(tblVeriA[UrunKodu],$A412,tblVeriA[SatisFiyati])-SUMIF(tblVeriA[UrunKodu],$A412,tblVeriA[Maliyet])-SUMIF(tblVeriA[UrunKodu],$A412,tblVeriA[SatisFiyati])*$B412-$C412-SUMIF(tblVeriA[UrunKodu],$A412,tblVeriA[SatisFiyati])*$D412-$E412,0))</f>
        <v/>
      </c>
      <c r="H412" s="13" t="n"/>
      <c r="I412" s="13" t="n"/>
      <c r="J412" s="16">
        <f>IF($A412="","",1)</f>
        <v/>
      </c>
    </row>
    <row r="413">
      <c r="A413" s="13" t="n"/>
      <c r="B413" s="15" t="n"/>
      <c r="C413" s="14" t="n"/>
      <c r="D413" s="15" t="n"/>
      <c r="E413" s="14" t="n"/>
      <c r="F413" s="17" t="n"/>
      <c r="G413" s="16">
        <f>IF($A413="","",IFERROR(SUMIF(tblVeriA[UrunKodu],$A413,tblVeriA[SatisFiyati])-SUMIF(tblVeriA[UrunKodu],$A413,tblVeriA[Maliyet])-SUMIF(tblVeriA[UrunKodu],$A413,tblVeriA[SatisFiyati])*$B413-$C413-SUMIF(tblVeriA[UrunKodu],$A413,tblVeriA[SatisFiyati])*$D413-$E413,0))</f>
        <v/>
      </c>
      <c r="H413" s="13" t="n"/>
      <c r="I413" s="13" t="n"/>
      <c r="J413" s="16">
        <f>IF($A413="","",1)</f>
        <v/>
      </c>
    </row>
    <row r="414">
      <c r="A414" s="13" t="n"/>
      <c r="B414" s="15" t="n"/>
      <c r="C414" s="14" t="n"/>
      <c r="D414" s="15" t="n"/>
      <c r="E414" s="14" t="n"/>
      <c r="F414" s="17" t="n"/>
      <c r="G414" s="16">
        <f>IF($A414="","",IFERROR(SUMIF(tblVeriA[UrunKodu],$A414,tblVeriA[SatisFiyati])-SUMIF(tblVeriA[UrunKodu],$A414,tblVeriA[Maliyet])-SUMIF(tblVeriA[UrunKodu],$A414,tblVeriA[SatisFiyati])*$B414-$C414-SUMIF(tblVeriA[UrunKodu],$A414,tblVeriA[SatisFiyati])*$D414-$E414,0))</f>
        <v/>
      </c>
      <c r="H414" s="13" t="n"/>
      <c r="I414" s="13" t="n"/>
      <c r="J414" s="16">
        <f>IF($A414="","",1)</f>
        <v/>
      </c>
    </row>
    <row r="415">
      <c r="A415" s="13" t="n"/>
      <c r="B415" s="15" t="n"/>
      <c r="C415" s="14" t="n"/>
      <c r="D415" s="15" t="n"/>
      <c r="E415" s="14" t="n"/>
      <c r="F415" s="17" t="n"/>
      <c r="G415" s="16">
        <f>IF($A415="","",IFERROR(SUMIF(tblVeriA[UrunKodu],$A415,tblVeriA[SatisFiyati])-SUMIF(tblVeriA[UrunKodu],$A415,tblVeriA[Maliyet])-SUMIF(tblVeriA[UrunKodu],$A415,tblVeriA[SatisFiyati])*$B415-$C415-SUMIF(tblVeriA[UrunKodu],$A415,tblVeriA[SatisFiyati])*$D415-$E415,0))</f>
        <v/>
      </c>
      <c r="H415" s="13" t="n"/>
      <c r="I415" s="13" t="n"/>
      <c r="J415" s="16">
        <f>IF($A415="","",1)</f>
        <v/>
      </c>
    </row>
    <row r="416">
      <c r="A416" s="13" t="n"/>
      <c r="B416" s="15" t="n"/>
      <c r="C416" s="14" t="n"/>
      <c r="D416" s="15" t="n"/>
      <c r="E416" s="14" t="n"/>
      <c r="F416" s="17" t="n"/>
      <c r="G416" s="16">
        <f>IF($A416="","",IFERROR(SUMIF(tblVeriA[UrunKodu],$A416,tblVeriA[SatisFiyati])-SUMIF(tblVeriA[UrunKodu],$A416,tblVeriA[Maliyet])-SUMIF(tblVeriA[UrunKodu],$A416,tblVeriA[SatisFiyati])*$B416-$C416-SUMIF(tblVeriA[UrunKodu],$A416,tblVeriA[SatisFiyati])*$D416-$E416,0))</f>
        <v/>
      </c>
      <c r="H416" s="13" t="n"/>
      <c r="I416" s="13" t="n"/>
      <c r="J416" s="16">
        <f>IF($A416="","",1)</f>
        <v/>
      </c>
    </row>
    <row r="417">
      <c r="A417" s="13" t="n"/>
      <c r="B417" s="15" t="n"/>
      <c r="C417" s="14" t="n"/>
      <c r="D417" s="15" t="n"/>
      <c r="E417" s="14" t="n"/>
      <c r="F417" s="17" t="n"/>
      <c r="G417" s="16">
        <f>IF($A417="","",IFERROR(SUMIF(tblVeriA[UrunKodu],$A417,tblVeriA[SatisFiyati])-SUMIF(tblVeriA[UrunKodu],$A417,tblVeriA[Maliyet])-SUMIF(tblVeriA[UrunKodu],$A417,tblVeriA[SatisFiyati])*$B417-$C417-SUMIF(tblVeriA[UrunKodu],$A417,tblVeriA[SatisFiyati])*$D417-$E417,0))</f>
        <v/>
      </c>
      <c r="H417" s="13" t="n"/>
      <c r="I417" s="13" t="n"/>
      <c r="J417" s="16">
        <f>IF($A417="","",1)</f>
        <v/>
      </c>
    </row>
    <row r="418">
      <c r="A418" s="13" t="n"/>
      <c r="B418" s="15" t="n"/>
      <c r="C418" s="14" t="n"/>
      <c r="D418" s="15" t="n"/>
      <c r="E418" s="14" t="n"/>
      <c r="F418" s="17" t="n"/>
      <c r="G418" s="16">
        <f>IF($A418="","",IFERROR(SUMIF(tblVeriA[UrunKodu],$A418,tblVeriA[SatisFiyati])-SUMIF(tblVeriA[UrunKodu],$A418,tblVeriA[Maliyet])-SUMIF(tblVeriA[UrunKodu],$A418,tblVeriA[SatisFiyati])*$B418-$C418-SUMIF(tblVeriA[UrunKodu],$A418,tblVeriA[SatisFiyati])*$D418-$E418,0))</f>
        <v/>
      </c>
      <c r="H418" s="13" t="n"/>
      <c r="I418" s="13" t="n"/>
      <c r="J418" s="16">
        <f>IF($A418="","",1)</f>
        <v/>
      </c>
    </row>
    <row r="419">
      <c r="A419" s="13" t="n"/>
      <c r="B419" s="15" t="n"/>
      <c r="C419" s="14" t="n"/>
      <c r="D419" s="15" t="n"/>
      <c r="E419" s="14" t="n"/>
      <c r="F419" s="17" t="n"/>
      <c r="G419" s="16">
        <f>IF($A419="","",IFERROR(SUMIF(tblVeriA[UrunKodu],$A419,tblVeriA[SatisFiyati])-SUMIF(tblVeriA[UrunKodu],$A419,tblVeriA[Maliyet])-SUMIF(tblVeriA[UrunKodu],$A419,tblVeriA[SatisFiyati])*$B419-$C419-SUMIF(tblVeriA[UrunKodu],$A419,tblVeriA[SatisFiyati])*$D419-$E419,0))</f>
        <v/>
      </c>
      <c r="H419" s="13" t="n"/>
      <c r="I419" s="13" t="n"/>
      <c r="J419" s="16">
        <f>IF($A419="","",1)</f>
        <v/>
      </c>
    </row>
    <row r="420">
      <c r="A420" s="13" t="n"/>
      <c r="B420" s="15" t="n"/>
      <c r="C420" s="14" t="n"/>
      <c r="D420" s="15" t="n"/>
      <c r="E420" s="14" t="n"/>
      <c r="F420" s="17" t="n"/>
      <c r="G420" s="16">
        <f>IF($A420="","",IFERROR(SUMIF(tblVeriA[UrunKodu],$A420,tblVeriA[SatisFiyati])-SUMIF(tblVeriA[UrunKodu],$A420,tblVeriA[Maliyet])-SUMIF(tblVeriA[UrunKodu],$A420,tblVeriA[SatisFiyati])*$B420-$C420-SUMIF(tblVeriA[UrunKodu],$A420,tblVeriA[SatisFiyati])*$D420-$E420,0))</f>
        <v/>
      </c>
      <c r="H420" s="13" t="n"/>
      <c r="I420" s="13" t="n"/>
      <c r="J420" s="16">
        <f>IF($A420="","",1)</f>
        <v/>
      </c>
    </row>
    <row r="421">
      <c r="A421" s="13" t="n"/>
      <c r="B421" s="15" t="n"/>
      <c r="C421" s="14" t="n"/>
      <c r="D421" s="15" t="n"/>
      <c r="E421" s="14" t="n"/>
      <c r="F421" s="17" t="n"/>
      <c r="G421" s="16">
        <f>IF($A421="","",IFERROR(SUMIF(tblVeriA[UrunKodu],$A421,tblVeriA[SatisFiyati])-SUMIF(tblVeriA[UrunKodu],$A421,tblVeriA[Maliyet])-SUMIF(tblVeriA[UrunKodu],$A421,tblVeriA[SatisFiyati])*$B421-$C421-SUMIF(tblVeriA[UrunKodu],$A421,tblVeriA[SatisFiyati])*$D421-$E421,0))</f>
        <v/>
      </c>
      <c r="H421" s="13" t="n"/>
      <c r="I421" s="13" t="n"/>
      <c r="J421" s="16">
        <f>IF($A421="","",1)</f>
        <v/>
      </c>
    </row>
    <row r="422">
      <c r="A422" s="13" t="n"/>
      <c r="B422" s="15" t="n"/>
      <c r="C422" s="14" t="n"/>
      <c r="D422" s="15" t="n"/>
      <c r="E422" s="14" t="n"/>
      <c r="F422" s="17" t="n"/>
      <c r="G422" s="16">
        <f>IF($A422="","",IFERROR(SUMIF(tblVeriA[UrunKodu],$A422,tblVeriA[SatisFiyati])-SUMIF(tblVeriA[UrunKodu],$A422,tblVeriA[Maliyet])-SUMIF(tblVeriA[UrunKodu],$A422,tblVeriA[SatisFiyati])*$B422-$C422-SUMIF(tblVeriA[UrunKodu],$A422,tblVeriA[SatisFiyati])*$D422-$E422,0))</f>
        <v/>
      </c>
      <c r="H422" s="13" t="n"/>
      <c r="I422" s="13" t="n"/>
      <c r="J422" s="16">
        <f>IF($A422="","",1)</f>
        <v/>
      </c>
    </row>
    <row r="423">
      <c r="A423" s="13" t="n"/>
      <c r="B423" s="15" t="n"/>
      <c r="C423" s="14" t="n"/>
      <c r="D423" s="15" t="n"/>
      <c r="E423" s="14" t="n"/>
      <c r="F423" s="17" t="n"/>
      <c r="G423" s="16">
        <f>IF($A423="","",IFERROR(SUMIF(tblVeriA[UrunKodu],$A423,tblVeriA[SatisFiyati])-SUMIF(tblVeriA[UrunKodu],$A423,tblVeriA[Maliyet])-SUMIF(tblVeriA[UrunKodu],$A423,tblVeriA[SatisFiyati])*$B423-$C423-SUMIF(tblVeriA[UrunKodu],$A423,tblVeriA[SatisFiyati])*$D423-$E423,0))</f>
        <v/>
      </c>
      <c r="H423" s="13" t="n"/>
      <c r="I423" s="13" t="n"/>
      <c r="J423" s="16">
        <f>IF($A423="","",1)</f>
        <v/>
      </c>
    </row>
    <row r="424">
      <c r="A424" s="13" t="n"/>
      <c r="B424" s="15" t="n"/>
      <c r="C424" s="14" t="n"/>
      <c r="D424" s="15" t="n"/>
      <c r="E424" s="14" t="n"/>
      <c r="F424" s="17" t="n"/>
      <c r="G424" s="16">
        <f>IF($A424="","",IFERROR(SUMIF(tblVeriA[UrunKodu],$A424,tblVeriA[SatisFiyati])-SUMIF(tblVeriA[UrunKodu],$A424,tblVeriA[Maliyet])-SUMIF(tblVeriA[UrunKodu],$A424,tblVeriA[SatisFiyati])*$B424-$C424-SUMIF(tblVeriA[UrunKodu],$A424,tblVeriA[SatisFiyati])*$D424-$E424,0))</f>
        <v/>
      </c>
      <c r="H424" s="13" t="n"/>
      <c r="I424" s="13" t="n"/>
      <c r="J424" s="16">
        <f>IF($A424="","",1)</f>
        <v/>
      </c>
    </row>
    <row r="425">
      <c r="A425" s="13" t="n"/>
      <c r="B425" s="15" t="n"/>
      <c r="C425" s="14" t="n"/>
      <c r="D425" s="15" t="n"/>
      <c r="E425" s="14" t="n"/>
      <c r="F425" s="17" t="n"/>
      <c r="G425" s="16">
        <f>IF($A425="","",IFERROR(SUMIF(tblVeriA[UrunKodu],$A425,tblVeriA[SatisFiyati])-SUMIF(tblVeriA[UrunKodu],$A425,tblVeriA[Maliyet])-SUMIF(tblVeriA[UrunKodu],$A425,tblVeriA[SatisFiyati])*$B425-$C425-SUMIF(tblVeriA[UrunKodu],$A425,tblVeriA[SatisFiyati])*$D425-$E425,0))</f>
        <v/>
      </c>
      <c r="H425" s="13" t="n"/>
      <c r="I425" s="13" t="n"/>
      <c r="J425" s="16">
        <f>IF($A425="","",1)</f>
        <v/>
      </c>
    </row>
    <row r="426">
      <c r="A426" s="13" t="n"/>
      <c r="B426" s="15" t="n"/>
      <c r="C426" s="14" t="n"/>
      <c r="D426" s="15" t="n"/>
      <c r="E426" s="14" t="n"/>
      <c r="F426" s="17" t="n"/>
      <c r="G426" s="16">
        <f>IF($A426="","",IFERROR(SUMIF(tblVeriA[UrunKodu],$A426,tblVeriA[SatisFiyati])-SUMIF(tblVeriA[UrunKodu],$A426,tblVeriA[Maliyet])-SUMIF(tblVeriA[UrunKodu],$A426,tblVeriA[SatisFiyati])*$B426-$C426-SUMIF(tblVeriA[UrunKodu],$A426,tblVeriA[SatisFiyati])*$D426-$E426,0))</f>
        <v/>
      </c>
      <c r="H426" s="13" t="n"/>
      <c r="I426" s="13" t="n"/>
      <c r="J426" s="16">
        <f>IF($A426="","",1)</f>
        <v/>
      </c>
    </row>
    <row r="427">
      <c r="A427" s="13" t="n"/>
      <c r="B427" s="15" t="n"/>
      <c r="C427" s="14" t="n"/>
      <c r="D427" s="15" t="n"/>
      <c r="E427" s="14" t="n"/>
      <c r="F427" s="17" t="n"/>
      <c r="G427" s="16">
        <f>IF($A427="","",IFERROR(SUMIF(tblVeriA[UrunKodu],$A427,tblVeriA[SatisFiyati])-SUMIF(tblVeriA[UrunKodu],$A427,tblVeriA[Maliyet])-SUMIF(tblVeriA[UrunKodu],$A427,tblVeriA[SatisFiyati])*$B427-$C427-SUMIF(tblVeriA[UrunKodu],$A427,tblVeriA[SatisFiyati])*$D427-$E427,0))</f>
        <v/>
      </c>
      <c r="H427" s="13" t="n"/>
      <c r="I427" s="13" t="n"/>
      <c r="J427" s="16">
        <f>IF($A427="","",1)</f>
        <v/>
      </c>
    </row>
    <row r="428">
      <c r="A428" s="13" t="n"/>
      <c r="B428" s="15" t="n"/>
      <c r="C428" s="14" t="n"/>
      <c r="D428" s="15" t="n"/>
      <c r="E428" s="14" t="n"/>
      <c r="F428" s="17" t="n"/>
      <c r="G428" s="16">
        <f>IF($A428="","",IFERROR(SUMIF(tblVeriA[UrunKodu],$A428,tblVeriA[SatisFiyati])-SUMIF(tblVeriA[UrunKodu],$A428,tblVeriA[Maliyet])-SUMIF(tblVeriA[UrunKodu],$A428,tblVeriA[SatisFiyati])*$B428-$C428-SUMIF(tblVeriA[UrunKodu],$A428,tblVeriA[SatisFiyati])*$D428-$E428,0))</f>
        <v/>
      </c>
      <c r="H428" s="13" t="n"/>
      <c r="I428" s="13" t="n"/>
      <c r="J428" s="16">
        <f>IF($A428="","",1)</f>
        <v/>
      </c>
    </row>
    <row r="429">
      <c r="A429" s="13" t="n"/>
      <c r="B429" s="15" t="n"/>
      <c r="C429" s="14" t="n"/>
      <c r="D429" s="15" t="n"/>
      <c r="E429" s="14" t="n"/>
      <c r="F429" s="17" t="n"/>
      <c r="G429" s="16">
        <f>IF($A429="","",IFERROR(SUMIF(tblVeriA[UrunKodu],$A429,tblVeriA[SatisFiyati])-SUMIF(tblVeriA[UrunKodu],$A429,tblVeriA[Maliyet])-SUMIF(tblVeriA[UrunKodu],$A429,tblVeriA[SatisFiyati])*$B429-$C429-SUMIF(tblVeriA[UrunKodu],$A429,tblVeriA[SatisFiyati])*$D429-$E429,0))</f>
        <v/>
      </c>
      <c r="H429" s="13" t="n"/>
      <c r="I429" s="13" t="n"/>
      <c r="J429" s="16">
        <f>IF($A429="","",1)</f>
        <v/>
      </c>
    </row>
    <row r="430">
      <c r="A430" s="13" t="n"/>
      <c r="B430" s="15" t="n"/>
      <c r="C430" s="14" t="n"/>
      <c r="D430" s="15" t="n"/>
      <c r="E430" s="14" t="n"/>
      <c r="F430" s="17" t="n"/>
      <c r="G430" s="16">
        <f>IF($A430="","",IFERROR(SUMIF(tblVeriA[UrunKodu],$A430,tblVeriA[SatisFiyati])-SUMIF(tblVeriA[UrunKodu],$A430,tblVeriA[Maliyet])-SUMIF(tblVeriA[UrunKodu],$A430,tblVeriA[SatisFiyati])*$B430-$C430-SUMIF(tblVeriA[UrunKodu],$A430,tblVeriA[SatisFiyati])*$D430-$E430,0))</f>
        <v/>
      </c>
      <c r="H430" s="13" t="n"/>
      <c r="I430" s="13" t="n"/>
      <c r="J430" s="16">
        <f>IF($A430="","",1)</f>
        <v/>
      </c>
    </row>
    <row r="431">
      <c r="A431" s="13" t="n"/>
      <c r="B431" s="15" t="n"/>
      <c r="C431" s="14" t="n"/>
      <c r="D431" s="15" t="n"/>
      <c r="E431" s="14" t="n"/>
      <c r="F431" s="17" t="n"/>
      <c r="G431" s="16">
        <f>IF($A431="","",IFERROR(SUMIF(tblVeriA[UrunKodu],$A431,tblVeriA[SatisFiyati])-SUMIF(tblVeriA[UrunKodu],$A431,tblVeriA[Maliyet])-SUMIF(tblVeriA[UrunKodu],$A431,tblVeriA[SatisFiyati])*$B431-$C431-SUMIF(tblVeriA[UrunKodu],$A431,tblVeriA[SatisFiyati])*$D431-$E431,0))</f>
        <v/>
      </c>
      <c r="H431" s="13" t="n"/>
      <c r="I431" s="13" t="n"/>
      <c r="J431" s="16">
        <f>IF($A431="","",1)</f>
        <v/>
      </c>
    </row>
    <row r="432">
      <c r="A432" s="13" t="n"/>
      <c r="B432" s="15" t="n"/>
      <c r="C432" s="14" t="n"/>
      <c r="D432" s="15" t="n"/>
      <c r="E432" s="14" t="n"/>
      <c r="F432" s="17" t="n"/>
      <c r="G432" s="16">
        <f>IF($A432="","",IFERROR(SUMIF(tblVeriA[UrunKodu],$A432,tblVeriA[SatisFiyati])-SUMIF(tblVeriA[UrunKodu],$A432,tblVeriA[Maliyet])-SUMIF(tblVeriA[UrunKodu],$A432,tblVeriA[SatisFiyati])*$B432-$C432-SUMIF(tblVeriA[UrunKodu],$A432,tblVeriA[SatisFiyati])*$D432-$E432,0))</f>
        <v/>
      </c>
      <c r="H432" s="13" t="n"/>
      <c r="I432" s="13" t="n"/>
      <c r="J432" s="16">
        <f>IF($A432="","",1)</f>
        <v/>
      </c>
    </row>
    <row r="433">
      <c r="A433" s="13" t="n"/>
      <c r="B433" s="15" t="n"/>
      <c r="C433" s="14" t="n"/>
      <c r="D433" s="15" t="n"/>
      <c r="E433" s="14" t="n"/>
      <c r="F433" s="17" t="n"/>
      <c r="G433" s="16">
        <f>IF($A433="","",IFERROR(SUMIF(tblVeriA[UrunKodu],$A433,tblVeriA[SatisFiyati])-SUMIF(tblVeriA[UrunKodu],$A433,tblVeriA[Maliyet])-SUMIF(tblVeriA[UrunKodu],$A433,tblVeriA[SatisFiyati])*$B433-$C433-SUMIF(tblVeriA[UrunKodu],$A433,tblVeriA[SatisFiyati])*$D433-$E433,0))</f>
        <v/>
      </c>
      <c r="H433" s="13" t="n"/>
      <c r="I433" s="13" t="n"/>
      <c r="J433" s="16">
        <f>IF($A433="","",1)</f>
        <v/>
      </c>
    </row>
    <row r="434">
      <c r="A434" s="13" t="n"/>
      <c r="B434" s="15" t="n"/>
      <c r="C434" s="14" t="n"/>
      <c r="D434" s="15" t="n"/>
      <c r="E434" s="14" t="n"/>
      <c r="F434" s="17" t="n"/>
      <c r="G434" s="16">
        <f>IF($A434="","",IFERROR(SUMIF(tblVeriA[UrunKodu],$A434,tblVeriA[SatisFiyati])-SUMIF(tblVeriA[UrunKodu],$A434,tblVeriA[Maliyet])-SUMIF(tblVeriA[UrunKodu],$A434,tblVeriA[SatisFiyati])*$B434-$C434-SUMIF(tblVeriA[UrunKodu],$A434,tblVeriA[SatisFiyati])*$D434-$E434,0))</f>
        <v/>
      </c>
      <c r="H434" s="13" t="n"/>
      <c r="I434" s="13" t="n"/>
      <c r="J434" s="16">
        <f>IF($A434="","",1)</f>
        <v/>
      </c>
    </row>
    <row r="435">
      <c r="A435" s="13" t="n"/>
      <c r="B435" s="15" t="n"/>
      <c r="C435" s="14" t="n"/>
      <c r="D435" s="15" t="n"/>
      <c r="E435" s="14" t="n"/>
      <c r="F435" s="17" t="n"/>
      <c r="G435" s="16">
        <f>IF($A435="","",IFERROR(SUMIF(tblVeriA[UrunKodu],$A435,tblVeriA[SatisFiyati])-SUMIF(tblVeriA[UrunKodu],$A435,tblVeriA[Maliyet])-SUMIF(tblVeriA[UrunKodu],$A435,tblVeriA[SatisFiyati])*$B435-$C435-SUMIF(tblVeriA[UrunKodu],$A435,tblVeriA[SatisFiyati])*$D435-$E435,0))</f>
        <v/>
      </c>
      <c r="H435" s="13" t="n"/>
      <c r="I435" s="13" t="n"/>
      <c r="J435" s="16">
        <f>IF($A435="","",1)</f>
        <v/>
      </c>
    </row>
    <row r="436">
      <c r="A436" s="13" t="n"/>
      <c r="B436" s="15" t="n"/>
      <c r="C436" s="14" t="n"/>
      <c r="D436" s="15" t="n"/>
      <c r="E436" s="14" t="n"/>
      <c r="F436" s="17" t="n"/>
      <c r="G436" s="16">
        <f>IF($A436="","",IFERROR(SUMIF(tblVeriA[UrunKodu],$A436,tblVeriA[SatisFiyati])-SUMIF(tblVeriA[UrunKodu],$A436,tblVeriA[Maliyet])-SUMIF(tblVeriA[UrunKodu],$A436,tblVeriA[SatisFiyati])*$B436-$C436-SUMIF(tblVeriA[UrunKodu],$A436,tblVeriA[SatisFiyati])*$D436-$E436,0))</f>
        <v/>
      </c>
      <c r="H436" s="13" t="n"/>
      <c r="I436" s="13" t="n"/>
      <c r="J436" s="16">
        <f>IF($A436="","",1)</f>
        <v/>
      </c>
    </row>
    <row r="437">
      <c r="A437" s="13" t="n"/>
      <c r="B437" s="15" t="n"/>
      <c r="C437" s="14" t="n"/>
      <c r="D437" s="15" t="n"/>
      <c r="E437" s="14" t="n"/>
      <c r="F437" s="17" t="n"/>
      <c r="G437" s="16">
        <f>IF($A437="","",IFERROR(SUMIF(tblVeriA[UrunKodu],$A437,tblVeriA[SatisFiyati])-SUMIF(tblVeriA[UrunKodu],$A437,tblVeriA[Maliyet])-SUMIF(tblVeriA[UrunKodu],$A437,tblVeriA[SatisFiyati])*$B437-$C437-SUMIF(tblVeriA[UrunKodu],$A437,tblVeriA[SatisFiyati])*$D437-$E437,0))</f>
        <v/>
      </c>
      <c r="H437" s="13" t="n"/>
      <c r="I437" s="13" t="n"/>
      <c r="J437" s="16">
        <f>IF($A437="","",1)</f>
        <v/>
      </c>
    </row>
    <row r="438">
      <c r="A438" s="13" t="n"/>
      <c r="B438" s="15" t="n"/>
      <c r="C438" s="14" t="n"/>
      <c r="D438" s="15" t="n"/>
      <c r="E438" s="14" t="n"/>
      <c r="F438" s="17" t="n"/>
      <c r="G438" s="16">
        <f>IF($A438="","",IFERROR(SUMIF(tblVeriA[UrunKodu],$A438,tblVeriA[SatisFiyati])-SUMIF(tblVeriA[UrunKodu],$A438,tblVeriA[Maliyet])-SUMIF(tblVeriA[UrunKodu],$A438,tblVeriA[SatisFiyati])*$B438-$C438-SUMIF(tblVeriA[UrunKodu],$A438,tblVeriA[SatisFiyati])*$D438-$E438,0))</f>
        <v/>
      </c>
      <c r="H438" s="13" t="n"/>
      <c r="I438" s="13" t="n"/>
      <c r="J438" s="16">
        <f>IF($A438="","",1)</f>
        <v/>
      </c>
    </row>
    <row r="439">
      <c r="A439" s="13" t="n"/>
      <c r="B439" s="15" t="n"/>
      <c r="C439" s="14" t="n"/>
      <c r="D439" s="15" t="n"/>
      <c r="E439" s="14" t="n"/>
      <c r="F439" s="17" t="n"/>
      <c r="G439" s="16">
        <f>IF($A439="","",IFERROR(SUMIF(tblVeriA[UrunKodu],$A439,tblVeriA[SatisFiyati])-SUMIF(tblVeriA[UrunKodu],$A439,tblVeriA[Maliyet])-SUMIF(tblVeriA[UrunKodu],$A439,tblVeriA[SatisFiyati])*$B439-$C439-SUMIF(tblVeriA[UrunKodu],$A439,tblVeriA[SatisFiyati])*$D439-$E439,0))</f>
        <v/>
      </c>
      <c r="H439" s="13" t="n"/>
      <c r="I439" s="13" t="n"/>
      <c r="J439" s="16">
        <f>IF($A439="","",1)</f>
        <v/>
      </c>
    </row>
    <row r="440">
      <c r="A440" s="13" t="n"/>
      <c r="B440" s="15" t="n"/>
      <c r="C440" s="14" t="n"/>
      <c r="D440" s="15" t="n"/>
      <c r="E440" s="14" t="n"/>
      <c r="F440" s="17" t="n"/>
      <c r="G440" s="16">
        <f>IF($A440="","",IFERROR(SUMIF(tblVeriA[UrunKodu],$A440,tblVeriA[SatisFiyati])-SUMIF(tblVeriA[UrunKodu],$A440,tblVeriA[Maliyet])-SUMIF(tblVeriA[UrunKodu],$A440,tblVeriA[SatisFiyati])*$B440-$C440-SUMIF(tblVeriA[UrunKodu],$A440,tblVeriA[SatisFiyati])*$D440-$E440,0))</f>
        <v/>
      </c>
      <c r="H440" s="13" t="n"/>
      <c r="I440" s="13" t="n"/>
      <c r="J440" s="16">
        <f>IF($A440="","",1)</f>
        <v/>
      </c>
    </row>
    <row r="441">
      <c r="A441" s="13" t="n"/>
      <c r="B441" s="15" t="n"/>
      <c r="C441" s="14" t="n"/>
      <c r="D441" s="15" t="n"/>
      <c r="E441" s="14" t="n"/>
      <c r="F441" s="17" t="n"/>
      <c r="G441" s="16">
        <f>IF($A441="","",IFERROR(SUMIF(tblVeriA[UrunKodu],$A441,tblVeriA[SatisFiyati])-SUMIF(tblVeriA[UrunKodu],$A441,tblVeriA[Maliyet])-SUMIF(tblVeriA[UrunKodu],$A441,tblVeriA[SatisFiyati])*$B441-$C441-SUMIF(tblVeriA[UrunKodu],$A441,tblVeriA[SatisFiyati])*$D441-$E441,0))</f>
        <v/>
      </c>
      <c r="H441" s="13" t="n"/>
      <c r="I441" s="13" t="n"/>
      <c r="J441" s="16">
        <f>IF($A441="","",1)</f>
        <v/>
      </c>
    </row>
    <row r="442">
      <c r="A442" s="13" t="n"/>
      <c r="B442" s="15" t="n"/>
      <c r="C442" s="14" t="n"/>
      <c r="D442" s="15" t="n"/>
      <c r="E442" s="14" t="n"/>
      <c r="F442" s="17" t="n"/>
      <c r="G442" s="16">
        <f>IF($A442="","",IFERROR(SUMIF(tblVeriA[UrunKodu],$A442,tblVeriA[SatisFiyati])-SUMIF(tblVeriA[UrunKodu],$A442,tblVeriA[Maliyet])-SUMIF(tblVeriA[UrunKodu],$A442,tblVeriA[SatisFiyati])*$B442-$C442-SUMIF(tblVeriA[UrunKodu],$A442,tblVeriA[SatisFiyati])*$D442-$E442,0))</f>
        <v/>
      </c>
      <c r="H442" s="13" t="n"/>
      <c r="I442" s="13" t="n"/>
      <c r="J442" s="16">
        <f>IF($A442="","",1)</f>
        <v/>
      </c>
    </row>
    <row r="443">
      <c r="A443" s="13" t="n"/>
      <c r="B443" s="15" t="n"/>
      <c r="C443" s="14" t="n"/>
      <c r="D443" s="15" t="n"/>
      <c r="E443" s="14" t="n"/>
      <c r="F443" s="17" t="n"/>
      <c r="G443" s="16">
        <f>IF($A443="","",IFERROR(SUMIF(tblVeriA[UrunKodu],$A443,tblVeriA[SatisFiyati])-SUMIF(tblVeriA[UrunKodu],$A443,tblVeriA[Maliyet])-SUMIF(tblVeriA[UrunKodu],$A443,tblVeriA[SatisFiyati])*$B443-$C443-SUMIF(tblVeriA[UrunKodu],$A443,tblVeriA[SatisFiyati])*$D443-$E443,0))</f>
        <v/>
      </c>
      <c r="H443" s="13" t="n"/>
      <c r="I443" s="13" t="n"/>
      <c r="J443" s="16">
        <f>IF($A443="","",1)</f>
        <v/>
      </c>
    </row>
    <row r="444">
      <c r="A444" s="13" t="n"/>
      <c r="B444" s="15" t="n"/>
      <c r="C444" s="14" t="n"/>
      <c r="D444" s="15" t="n"/>
      <c r="E444" s="14" t="n"/>
      <c r="F444" s="17" t="n"/>
      <c r="G444" s="16">
        <f>IF($A444="","",IFERROR(SUMIF(tblVeriA[UrunKodu],$A444,tblVeriA[SatisFiyati])-SUMIF(tblVeriA[UrunKodu],$A444,tblVeriA[Maliyet])-SUMIF(tblVeriA[UrunKodu],$A444,tblVeriA[SatisFiyati])*$B444-$C444-SUMIF(tblVeriA[UrunKodu],$A444,tblVeriA[SatisFiyati])*$D444-$E444,0))</f>
        <v/>
      </c>
      <c r="H444" s="13" t="n"/>
      <c r="I444" s="13" t="n"/>
      <c r="J444" s="16">
        <f>IF($A444="","",1)</f>
        <v/>
      </c>
    </row>
    <row r="445">
      <c r="A445" s="13" t="n"/>
      <c r="B445" s="15" t="n"/>
      <c r="C445" s="14" t="n"/>
      <c r="D445" s="15" t="n"/>
      <c r="E445" s="14" t="n"/>
      <c r="F445" s="17" t="n"/>
      <c r="G445" s="16">
        <f>IF($A445="","",IFERROR(SUMIF(tblVeriA[UrunKodu],$A445,tblVeriA[SatisFiyati])-SUMIF(tblVeriA[UrunKodu],$A445,tblVeriA[Maliyet])-SUMIF(tblVeriA[UrunKodu],$A445,tblVeriA[SatisFiyati])*$B445-$C445-SUMIF(tblVeriA[UrunKodu],$A445,tblVeriA[SatisFiyati])*$D445-$E445,0))</f>
        <v/>
      </c>
      <c r="H445" s="13" t="n"/>
      <c r="I445" s="13" t="n"/>
      <c r="J445" s="16">
        <f>IF($A445="","",1)</f>
        <v/>
      </c>
    </row>
    <row r="446">
      <c r="A446" s="13" t="n"/>
      <c r="B446" s="15" t="n"/>
      <c r="C446" s="14" t="n"/>
      <c r="D446" s="15" t="n"/>
      <c r="E446" s="14" t="n"/>
      <c r="F446" s="17" t="n"/>
      <c r="G446" s="16">
        <f>IF($A446="","",IFERROR(SUMIF(tblVeriA[UrunKodu],$A446,tblVeriA[SatisFiyati])-SUMIF(tblVeriA[UrunKodu],$A446,tblVeriA[Maliyet])-SUMIF(tblVeriA[UrunKodu],$A446,tblVeriA[SatisFiyati])*$B446-$C446-SUMIF(tblVeriA[UrunKodu],$A446,tblVeriA[SatisFiyati])*$D446-$E446,0))</f>
        <v/>
      </c>
      <c r="H446" s="13" t="n"/>
      <c r="I446" s="13" t="n"/>
      <c r="J446" s="16">
        <f>IF($A446="","",1)</f>
        <v/>
      </c>
    </row>
    <row r="447">
      <c r="A447" s="13" t="n"/>
      <c r="B447" s="15" t="n"/>
      <c r="C447" s="14" t="n"/>
      <c r="D447" s="15" t="n"/>
      <c r="E447" s="14" t="n"/>
      <c r="F447" s="17" t="n"/>
      <c r="G447" s="16">
        <f>IF($A447="","",IFERROR(SUMIF(tblVeriA[UrunKodu],$A447,tblVeriA[SatisFiyati])-SUMIF(tblVeriA[UrunKodu],$A447,tblVeriA[Maliyet])-SUMIF(tblVeriA[UrunKodu],$A447,tblVeriA[SatisFiyati])*$B447-$C447-SUMIF(tblVeriA[UrunKodu],$A447,tblVeriA[SatisFiyati])*$D447-$E447,0))</f>
        <v/>
      </c>
      <c r="H447" s="13" t="n"/>
      <c r="I447" s="13" t="n"/>
      <c r="J447" s="16">
        <f>IF($A447="","",1)</f>
        <v/>
      </c>
    </row>
    <row r="448">
      <c r="A448" s="13" t="n"/>
      <c r="B448" s="15" t="n"/>
      <c r="C448" s="14" t="n"/>
      <c r="D448" s="15" t="n"/>
      <c r="E448" s="14" t="n"/>
      <c r="F448" s="17" t="n"/>
      <c r="G448" s="16">
        <f>IF($A448="","",IFERROR(SUMIF(tblVeriA[UrunKodu],$A448,tblVeriA[SatisFiyati])-SUMIF(tblVeriA[UrunKodu],$A448,tblVeriA[Maliyet])-SUMIF(tblVeriA[UrunKodu],$A448,tblVeriA[SatisFiyati])*$B448-$C448-SUMIF(tblVeriA[UrunKodu],$A448,tblVeriA[SatisFiyati])*$D448-$E448,0))</f>
        <v/>
      </c>
      <c r="H448" s="13" t="n"/>
      <c r="I448" s="13" t="n"/>
      <c r="J448" s="16">
        <f>IF($A448="","",1)</f>
        <v/>
      </c>
    </row>
    <row r="449">
      <c r="A449" s="13" t="n"/>
      <c r="B449" s="15" t="n"/>
      <c r="C449" s="14" t="n"/>
      <c r="D449" s="15" t="n"/>
      <c r="E449" s="14" t="n"/>
      <c r="F449" s="17" t="n"/>
      <c r="G449" s="16">
        <f>IF($A449="","",IFERROR(SUMIF(tblVeriA[UrunKodu],$A449,tblVeriA[SatisFiyati])-SUMIF(tblVeriA[UrunKodu],$A449,tblVeriA[Maliyet])-SUMIF(tblVeriA[UrunKodu],$A449,tblVeriA[SatisFiyati])*$B449-$C449-SUMIF(tblVeriA[UrunKodu],$A449,tblVeriA[SatisFiyati])*$D449-$E449,0))</f>
        <v/>
      </c>
      <c r="H449" s="13" t="n"/>
      <c r="I449" s="13" t="n"/>
      <c r="J449" s="16">
        <f>IF($A449="","",1)</f>
        <v/>
      </c>
    </row>
    <row r="450">
      <c r="A450" s="13" t="n"/>
      <c r="B450" s="15" t="n"/>
      <c r="C450" s="14" t="n"/>
      <c r="D450" s="15" t="n"/>
      <c r="E450" s="14" t="n"/>
      <c r="F450" s="17" t="n"/>
      <c r="G450" s="16">
        <f>IF($A450="","",IFERROR(SUMIF(tblVeriA[UrunKodu],$A450,tblVeriA[SatisFiyati])-SUMIF(tblVeriA[UrunKodu],$A450,tblVeriA[Maliyet])-SUMIF(tblVeriA[UrunKodu],$A450,tblVeriA[SatisFiyati])*$B450-$C450-SUMIF(tblVeriA[UrunKodu],$A450,tblVeriA[SatisFiyati])*$D450-$E450,0))</f>
        <v/>
      </c>
      <c r="H450" s="13" t="n"/>
      <c r="I450" s="13" t="n"/>
      <c r="J450" s="16">
        <f>IF($A450="","",1)</f>
        <v/>
      </c>
    </row>
    <row r="451">
      <c r="A451" s="13" t="n"/>
      <c r="B451" s="15" t="n"/>
      <c r="C451" s="14" t="n"/>
      <c r="D451" s="15" t="n"/>
      <c r="E451" s="14" t="n"/>
      <c r="F451" s="17" t="n"/>
      <c r="G451" s="16">
        <f>IF($A451="","",IFERROR(SUMIF(tblVeriA[UrunKodu],$A451,tblVeriA[SatisFiyati])-SUMIF(tblVeriA[UrunKodu],$A451,tblVeriA[Maliyet])-SUMIF(tblVeriA[UrunKodu],$A451,tblVeriA[SatisFiyati])*$B451-$C451-SUMIF(tblVeriA[UrunKodu],$A451,tblVeriA[SatisFiyati])*$D451-$E451,0))</f>
        <v/>
      </c>
      <c r="H451" s="13" t="n"/>
      <c r="I451" s="13" t="n"/>
      <c r="J451" s="16">
        <f>IF($A451="","",1)</f>
        <v/>
      </c>
    </row>
    <row r="452">
      <c r="A452" s="13" t="n"/>
      <c r="B452" s="15" t="n"/>
      <c r="C452" s="14" t="n"/>
      <c r="D452" s="15" t="n"/>
      <c r="E452" s="14" t="n"/>
      <c r="F452" s="17" t="n"/>
      <c r="G452" s="16">
        <f>IF($A452="","",IFERROR(SUMIF(tblVeriA[UrunKodu],$A452,tblVeriA[SatisFiyati])-SUMIF(tblVeriA[UrunKodu],$A452,tblVeriA[Maliyet])-SUMIF(tblVeriA[UrunKodu],$A452,tblVeriA[SatisFiyati])*$B452-$C452-SUMIF(tblVeriA[UrunKodu],$A452,tblVeriA[SatisFiyati])*$D452-$E452,0))</f>
        <v/>
      </c>
      <c r="H452" s="13" t="n"/>
      <c r="I452" s="13" t="n"/>
      <c r="J452" s="16">
        <f>IF($A452="","",1)</f>
        <v/>
      </c>
    </row>
    <row r="453">
      <c r="A453" s="13" t="n"/>
      <c r="B453" s="15" t="n"/>
      <c r="C453" s="14" t="n"/>
      <c r="D453" s="15" t="n"/>
      <c r="E453" s="14" t="n"/>
      <c r="F453" s="17" t="n"/>
      <c r="G453" s="16">
        <f>IF($A453="","",IFERROR(SUMIF(tblVeriA[UrunKodu],$A453,tblVeriA[SatisFiyati])-SUMIF(tblVeriA[UrunKodu],$A453,tblVeriA[Maliyet])-SUMIF(tblVeriA[UrunKodu],$A453,tblVeriA[SatisFiyati])*$B453-$C453-SUMIF(tblVeriA[UrunKodu],$A453,tblVeriA[SatisFiyati])*$D453-$E453,0))</f>
        <v/>
      </c>
      <c r="H453" s="13" t="n"/>
      <c r="I453" s="13" t="n"/>
      <c r="J453" s="16">
        <f>IF($A453="","",1)</f>
        <v/>
      </c>
    </row>
    <row r="454">
      <c r="A454" s="13" t="n"/>
      <c r="B454" s="15" t="n"/>
      <c r="C454" s="14" t="n"/>
      <c r="D454" s="15" t="n"/>
      <c r="E454" s="14" t="n"/>
      <c r="F454" s="17" t="n"/>
      <c r="G454" s="16">
        <f>IF($A454="","",IFERROR(SUMIF(tblVeriA[UrunKodu],$A454,tblVeriA[SatisFiyati])-SUMIF(tblVeriA[UrunKodu],$A454,tblVeriA[Maliyet])-SUMIF(tblVeriA[UrunKodu],$A454,tblVeriA[SatisFiyati])*$B454-$C454-SUMIF(tblVeriA[UrunKodu],$A454,tblVeriA[SatisFiyati])*$D454-$E454,0))</f>
        <v/>
      </c>
      <c r="H454" s="13" t="n"/>
      <c r="I454" s="13" t="n"/>
      <c r="J454" s="16">
        <f>IF($A454="","",1)</f>
        <v/>
      </c>
    </row>
    <row r="455">
      <c r="A455" s="13" t="n"/>
      <c r="B455" s="15" t="n"/>
      <c r="C455" s="14" t="n"/>
      <c r="D455" s="15" t="n"/>
      <c r="E455" s="14" t="n"/>
      <c r="F455" s="17" t="n"/>
      <c r="G455" s="16">
        <f>IF($A455="","",IFERROR(SUMIF(tblVeriA[UrunKodu],$A455,tblVeriA[SatisFiyati])-SUMIF(tblVeriA[UrunKodu],$A455,tblVeriA[Maliyet])-SUMIF(tblVeriA[UrunKodu],$A455,tblVeriA[SatisFiyati])*$B455-$C455-SUMIF(tblVeriA[UrunKodu],$A455,tblVeriA[SatisFiyati])*$D455-$E455,0))</f>
        <v/>
      </c>
      <c r="H455" s="13" t="n"/>
      <c r="I455" s="13" t="n"/>
      <c r="J455" s="16">
        <f>IF($A455="","",1)</f>
        <v/>
      </c>
    </row>
    <row r="456">
      <c r="A456" s="13" t="n"/>
      <c r="B456" s="15" t="n"/>
      <c r="C456" s="14" t="n"/>
      <c r="D456" s="15" t="n"/>
      <c r="E456" s="14" t="n"/>
      <c r="F456" s="17" t="n"/>
      <c r="G456" s="16">
        <f>IF($A456="","",IFERROR(SUMIF(tblVeriA[UrunKodu],$A456,tblVeriA[SatisFiyati])-SUMIF(tblVeriA[UrunKodu],$A456,tblVeriA[Maliyet])-SUMIF(tblVeriA[UrunKodu],$A456,tblVeriA[SatisFiyati])*$B456-$C456-SUMIF(tblVeriA[UrunKodu],$A456,tblVeriA[SatisFiyati])*$D456-$E456,0))</f>
        <v/>
      </c>
      <c r="H456" s="13" t="n"/>
      <c r="I456" s="13" t="n"/>
      <c r="J456" s="16">
        <f>IF($A456="","",1)</f>
        <v/>
      </c>
    </row>
    <row r="457">
      <c r="A457" s="13" t="n"/>
      <c r="B457" s="15" t="n"/>
      <c r="C457" s="14" t="n"/>
      <c r="D457" s="15" t="n"/>
      <c r="E457" s="14" t="n"/>
      <c r="F457" s="17" t="n"/>
      <c r="G457" s="16">
        <f>IF($A457="","",IFERROR(SUMIF(tblVeriA[UrunKodu],$A457,tblVeriA[SatisFiyati])-SUMIF(tblVeriA[UrunKodu],$A457,tblVeriA[Maliyet])-SUMIF(tblVeriA[UrunKodu],$A457,tblVeriA[SatisFiyati])*$B457-$C457-SUMIF(tblVeriA[UrunKodu],$A457,tblVeriA[SatisFiyati])*$D457-$E457,0))</f>
        <v/>
      </c>
      <c r="H457" s="13" t="n"/>
      <c r="I457" s="13" t="n"/>
      <c r="J457" s="16">
        <f>IF($A457="","",1)</f>
        <v/>
      </c>
    </row>
    <row r="458">
      <c r="A458" s="13" t="n"/>
      <c r="B458" s="15" t="n"/>
      <c r="C458" s="14" t="n"/>
      <c r="D458" s="15" t="n"/>
      <c r="E458" s="14" t="n"/>
      <c r="F458" s="17" t="n"/>
      <c r="G458" s="16">
        <f>IF($A458="","",IFERROR(SUMIF(tblVeriA[UrunKodu],$A458,tblVeriA[SatisFiyati])-SUMIF(tblVeriA[UrunKodu],$A458,tblVeriA[Maliyet])-SUMIF(tblVeriA[UrunKodu],$A458,tblVeriA[SatisFiyati])*$B458-$C458-SUMIF(tblVeriA[UrunKodu],$A458,tblVeriA[SatisFiyati])*$D458-$E458,0))</f>
        <v/>
      </c>
      <c r="H458" s="13" t="n"/>
      <c r="I458" s="13" t="n"/>
      <c r="J458" s="16">
        <f>IF($A458="","",1)</f>
        <v/>
      </c>
    </row>
    <row r="459">
      <c r="A459" s="13" t="n"/>
      <c r="B459" s="15" t="n"/>
      <c r="C459" s="14" t="n"/>
      <c r="D459" s="15" t="n"/>
      <c r="E459" s="14" t="n"/>
      <c r="F459" s="17" t="n"/>
      <c r="G459" s="16">
        <f>IF($A459="","",IFERROR(SUMIF(tblVeriA[UrunKodu],$A459,tblVeriA[SatisFiyati])-SUMIF(tblVeriA[UrunKodu],$A459,tblVeriA[Maliyet])-SUMIF(tblVeriA[UrunKodu],$A459,tblVeriA[SatisFiyati])*$B459-$C459-SUMIF(tblVeriA[UrunKodu],$A459,tblVeriA[SatisFiyati])*$D459-$E459,0))</f>
        <v/>
      </c>
      <c r="H459" s="13" t="n"/>
      <c r="I459" s="13" t="n"/>
      <c r="J459" s="16">
        <f>IF($A459="","",1)</f>
        <v/>
      </c>
    </row>
    <row r="460">
      <c r="A460" s="13" t="n"/>
      <c r="B460" s="15" t="n"/>
      <c r="C460" s="14" t="n"/>
      <c r="D460" s="15" t="n"/>
      <c r="E460" s="14" t="n"/>
      <c r="F460" s="17" t="n"/>
      <c r="G460" s="16">
        <f>IF($A460="","",IFERROR(SUMIF(tblVeriA[UrunKodu],$A460,tblVeriA[SatisFiyati])-SUMIF(tblVeriA[UrunKodu],$A460,tblVeriA[Maliyet])-SUMIF(tblVeriA[UrunKodu],$A460,tblVeriA[SatisFiyati])*$B460-$C460-SUMIF(tblVeriA[UrunKodu],$A460,tblVeriA[SatisFiyati])*$D460-$E460,0))</f>
        <v/>
      </c>
      <c r="H460" s="13" t="n"/>
      <c r="I460" s="13" t="n"/>
      <c r="J460" s="16">
        <f>IF($A460="","",1)</f>
        <v/>
      </c>
    </row>
    <row r="461">
      <c r="A461" s="13" t="n"/>
      <c r="B461" s="15" t="n"/>
      <c r="C461" s="14" t="n"/>
      <c r="D461" s="15" t="n"/>
      <c r="E461" s="14" t="n"/>
      <c r="F461" s="17" t="n"/>
      <c r="G461" s="16">
        <f>IF($A461="","",IFERROR(SUMIF(tblVeriA[UrunKodu],$A461,tblVeriA[SatisFiyati])-SUMIF(tblVeriA[UrunKodu],$A461,tblVeriA[Maliyet])-SUMIF(tblVeriA[UrunKodu],$A461,tblVeriA[SatisFiyati])*$B461-$C461-SUMIF(tblVeriA[UrunKodu],$A461,tblVeriA[SatisFiyati])*$D461-$E461,0))</f>
        <v/>
      </c>
      <c r="H461" s="13" t="n"/>
      <c r="I461" s="13" t="n"/>
      <c r="J461" s="16">
        <f>IF($A461="","",1)</f>
        <v/>
      </c>
    </row>
    <row r="462">
      <c r="A462" s="13" t="n"/>
      <c r="B462" s="15" t="n"/>
      <c r="C462" s="14" t="n"/>
      <c r="D462" s="15" t="n"/>
      <c r="E462" s="14" t="n"/>
      <c r="F462" s="17" t="n"/>
      <c r="G462" s="16">
        <f>IF($A462="","",IFERROR(SUMIF(tblVeriA[UrunKodu],$A462,tblVeriA[SatisFiyati])-SUMIF(tblVeriA[UrunKodu],$A462,tblVeriA[Maliyet])-SUMIF(tblVeriA[UrunKodu],$A462,tblVeriA[SatisFiyati])*$B462-$C462-SUMIF(tblVeriA[UrunKodu],$A462,tblVeriA[SatisFiyati])*$D462-$E462,0))</f>
        <v/>
      </c>
      <c r="H462" s="13" t="n"/>
      <c r="I462" s="13" t="n"/>
      <c r="J462" s="16">
        <f>IF($A462="","",1)</f>
        <v/>
      </c>
    </row>
    <row r="463">
      <c r="A463" s="13" t="n"/>
      <c r="B463" s="15" t="n"/>
      <c r="C463" s="14" t="n"/>
      <c r="D463" s="15" t="n"/>
      <c r="E463" s="14" t="n"/>
      <c r="F463" s="17" t="n"/>
      <c r="G463" s="16">
        <f>IF($A463="","",IFERROR(SUMIF(tblVeriA[UrunKodu],$A463,tblVeriA[SatisFiyati])-SUMIF(tblVeriA[UrunKodu],$A463,tblVeriA[Maliyet])-SUMIF(tblVeriA[UrunKodu],$A463,tblVeriA[SatisFiyati])*$B463-$C463-SUMIF(tblVeriA[UrunKodu],$A463,tblVeriA[SatisFiyati])*$D463-$E463,0))</f>
        <v/>
      </c>
      <c r="H463" s="13" t="n"/>
      <c r="I463" s="13" t="n"/>
      <c r="J463" s="16">
        <f>IF($A463="","",1)</f>
        <v/>
      </c>
    </row>
    <row r="464">
      <c r="A464" s="13" t="n"/>
      <c r="B464" s="15" t="n"/>
      <c r="C464" s="14" t="n"/>
      <c r="D464" s="15" t="n"/>
      <c r="E464" s="14" t="n"/>
      <c r="F464" s="17" t="n"/>
      <c r="G464" s="16">
        <f>IF($A464="","",IFERROR(SUMIF(tblVeriA[UrunKodu],$A464,tblVeriA[SatisFiyati])-SUMIF(tblVeriA[UrunKodu],$A464,tblVeriA[Maliyet])-SUMIF(tblVeriA[UrunKodu],$A464,tblVeriA[SatisFiyati])*$B464-$C464-SUMIF(tblVeriA[UrunKodu],$A464,tblVeriA[SatisFiyati])*$D464-$E464,0))</f>
        <v/>
      </c>
      <c r="H464" s="13" t="n"/>
      <c r="I464" s="13" t="n"/>
      <c r="J464" s="16">
        <f>IF($A464="","",1)</f>
        <v/>
      </c>
    </row>
    <row r="465">
      <c r="A465" s="13" t="n"/>
      <c r="B465" s="15" t="n"/>
      <c r="C465" s="14" t="n"/>
      <c r="D465" s="15" t="n"/>
      <c r="E465" s="14" t="n"/>
      <c r="F465" s="17" t="n"/>
      <c r="G465" s="16">
        <f>IF($A465="","",IFERROR(SUMIF(tblVeriA[UrunKodu],$A465,tblVeriA[SatisFiyati])-SUMIF(tblVeriA[UrunKodu],$A465,tblVeriA[Maliyet])-SUMIF(tblVeriA[UrunKodu],$A465,tblVeriA[SatisFiyati])*$B465-$C465-SUMIF(tblVeriA[UrunKodu],$A465,tblVeriA[SatisFiyati])*$D465-$E465,0))</f>
        <v/>
      </c>
      <c r="H465" s="13" t="n"/>
      <c r="I465" s="13" t="n"/>
      <c r="J465" s="16">
        <f>IF($A465="","",1)</f>
        <v/>
      </c>
    </row>
    <row r="466">
      <c r="A466" s="13" t="n"/>
      <c r="B466" s="15" t="n"/>
      <c r="C466" s="14" t="n"/>
      <c r="D466" s="15" t="n"/>
      <c r="E466" s="14" t="n"/>
      <c r="F466" s="17" t="n"/>
      <c r="G466" s="16">
        <f>IF($A466="","",IFERROR(SUMIF(tblVeriA[UrunKodu],$A466,tblVeriA[SatisFiyati])-SUMIF(tblVeriA[UrunKodu],$A466,tblVeriA[Maliyet])-SUMIF(tblVeriA[UrunKodu],$A466,tblVeriA[SatisFiyati])*$B466-$C466-SUMIF(tblVeriA[UrunKodu],$A466,tblVeriA[SatisFiyati])*$D466-$E466,0))</f>
        <v/>
      </c>
      <c r="H466" s="13" t="n"/>
      <c r="I466" s="13" t="n"/>
      <c r="J466" s="16">
        <f>IF($A466="","",1)</f>
        <v/>
      </c>
    </row>
    <row r="467">
      <c r="A467" s="13" t="n"/>
      <c r="B467" s="15" t="n"/>
      <c r="C467" s="14" t="n"/>
      <c r="D467" s="15" t="n"/>
      <c r="E467" s="14" t="n"/>
      <c r="F467" s="17" t="n"/>
      <c r="G467" s="16">
        <f>IF($A467="","",IFERROR(SUMIF(tblVeriA[UrunKodu],$A467,tblVeriA[SatisFiyati])-SUMIF(tblVeriA[UrunKodu],$A467,tblVeriA[Maliyet])-SUMIF(tblVeriA[UrunKodu],$A467,tblVeriA[SatisFiyati])*$B467-$C467-SUMIF(tblVeriA[UrunKodu],$A467,tblVeriA[SatisFiyati])*$D467-$E467,0))</f>
        <v/>
      </c>
      <c r="H467" s="13" t="n"/>
      <c r="I467" s="13" t="n"/>
      <c r="J467" s="16">
        <f>IF($A467="","",1)</f>
        <v/>
      </c>
    </row>
    <row r="468">
      <c r="A468" s="13" t="n"/>
      <c r="B468" s="15" t="n"/>
      <c r="C468" s="14" t="n"/>
      <c r="D468" s="15" t="n"/>
      <c r="E468" s="14" t="n"/>
      <c r="F468" s="17" t="n"/>
      <c r="G468" s="16">
        <f>IF($A468="","",IFERROR(SUMIF(tblVeriA[UrunKodu],$A468,tblVeriA[SatisFiyati])-SUMIF(tblVeriA[UrunKodu],$A468,tblVeriA[Maliyet])-SUMIF(tblVeriA[UrunKodu],$A468,tblVeriA[SatisFiyati])*$B468-$C468-SUMIF(tblVeriA[UrunKodu],$A468,tblVeriA[SatisFiyati])*$D468-$E468,0))</f>
        <v/>
      </c>
      <c r="H468" s="13" t="n"/>
      <c r="I468" s="13" t="n"/>
      <c r="J468" s="16">
        <f>IF($A468="","",1)</f>
        <v/>
      </c>
    </row>
    <row r="469">
      <c r="A469" s="13" t="n"/>
      <c r="B469" s="15" t="n"/>
      <c r="C469" s="14" t="n"/>
      <c r="D469" s="15" t="n"/>
      <c r="E469" s="14" t="n"/>
      <c r="F469" s="17" t="n"/>
      <c r="G469" s="16">
        <f>IF($A469="","",IFERROR(SUMIF(tblVeriA[UrunKodu],$A469,tblVeriA[SatisFiyati])-SUMIF(tblVeriA[UrunKodu],$A469,tblVeriA[Maliyet])-SUMIF(tblVeriA[UrunKodu],$A469,tblVeriA[SatisFiyati])*$B469-$C469-SUMIF(tblVeriA[UrunKodu],$A469,tblVeriA[SatisFiyati])*$D469-$E469,0))</f>
        <v/>
      </c>
      <c r="H469" s="13" t="n"/>
      <c r="I469" s="13" t="n"/>
      <c r="J469" s="16">
        <f>IF($A469="","",1)</f>
        <v/>
      </c>
    </row>
    <row r="470">
      <c r="A470" s="13" t="n"/>
      <c r="B470" s="15" t="n"/>
      <c r="C470" s="14" t="n"/>
      <c r="D470" s="15" t="n"/>
      <c r="E470" s="14" t="n"/>
      <c r="F470" s="17" t="n"/>
      <c r="G470" s="16">
        <f>IF($A470="","",IFERROR(SUMIF(tblVeriA[UrunKodu],$A470,tblVeriA[SatisFiyati])-SUMIF(tblVeriA[UrunKodu],$A470,tblVeriA[Maliyet])-SUMIF(tblVeriA[UrunKodu],$A470,tblVeriA[SatisFiyati])*$B470-$C470-SUMIF(tblVeriA[UrunKodu],$A470,tblVeriA[SatisFiyati])*$D470-$E470,0))</f>
        <v/>
      </c>
      <c r="H470" s="13" t="n"/>
      <c r="I470" s="13" t="n"/>
      <c r="J470" s="16">
        <f>IF($A470="","",1)</f>
        <v/>
      </c>
    </row>
    <row r="471">
      <c r="A471" s="13" t="n"/>
      <c r="B471" s="15" t="n"/>
      <c r="C471" s="14" t="n"/>
      <c r="D471" s="15" t="n"/>
      <c r="E471" s="14" t="n"/>
      <c r="F471" s="17" t="n"/>
      <c r="G471" s="16">
        <f>IF($A471="","",IFERROR(SUMIF(tblVeriA[UrunKodu],$A471,tblVeriA[SatisFiyati])-SUMIF(tblVeriA[UrunKodu],$A471,tblVeriA[Maliyet])-SUMIF(tblVeriA[UrunKodu],$A471,tblVeriA[SatisFiyati])*$B471-$C471-SUMIF(tblVeriA[UrunKodu],$A471,tblVeriA[SatisFiyati])*$D471-$E471,0))</f>
        <v/>
      </c>
      <c r="H471" s="13" t="n"/>
      <c r="I471" s="13" t="n"/>
      <c r="J471" s="16">
        <f>IF($A471="","",1)</f>
        <v/>
      </c>
    </row>
    <row r="472">
      <c r="A472" s="13" t="n"/>
      <c r="B472" s="15" t="n"/>
      <c r="C472" s="14" t="n"/>
      <c r="D472" s="15" t="n"/>
      <c r="E472" s="14" t="n"/>
      <c r="F472" s="17" t="n"/>
      <c r="G472" s="16">
        <f>IF($A472="","",IFERROR(SUMIF(tblVeriA[UrunKodu],$A472,tblVeriA[SatisFiyati])-SUMIF(tblVeriA[UrunKodu],$A472,tblVeriA[Maliyet])-SUMIF(tblVeriA[UrunKodu],$A472,tblVeriA[SatisFiyati])*$B472-$C472-SUMIF(tblVeriA[UrunKodu],$A472,tblVeriA[SatisFiyati])*$D472-$E472,0))</f>
        <v/>
      </c>
      <c r="H472" s="13" t="n"/>
      <c r="I472" s="13" t="n"/>
      <c r="J472" s="16">
        <f>IF($A472="","",1)</f>
        <v/>
      </c>
    </row>
    <row r="473">
      <c r="A473" s="13" t="n"/>
      <c r="B473" s="15" t="n"/>
      <c r="C473" s="14" t="n"/>
      <c r="D473" s="15" t="n"/>
      <c r="E473" s="14" t="n"/>
      <c r="F473" s="17" t="n"/>
      <c r="G473" s="16">
        <f>IF($A473="","",IFERROR(SUMIF(tblVeriA[UrunKodu],$A473,tblVeriA[SatisFiyati])-SUMIF(tblVeriA[UrunKodu],$A473,tblVeriA[Maliyet])-SUMIF(tblVeriA[UrunKodu],$A473,tblVeriA[SatisFiyati])*$B473-$C473-SUMIF(tblVeriA[UrunKodu],$A473,tblVeriA[SatisFiyati])*$D473-$E473,0))</f>
        <v/>
      </c>
      <c r="H473" s="13" t="n"/>
      <c r="I473" s="13" t="n"/>
      <c r="J473" s="16">
        <f>IF($A473="","",1)</f>
        <v/>
      </c>
    </row>
    <row r="474">
      <c r="A474" s="13" t="n"/>
      <c r="B474" s="15" t="n"/>
      <c r="C474" s="14" t="n"/>
      <c r="D474" s="15" t="n"/>
      <c r="E474" s="14" t="n"/>
      <c r="F474" s="17" t="n"/>
      <c r="G474" s="16">
        <f>IF($A474="","",IFERROR(SUMIF(tblVeriA[UrunKodu],$A474,tblVeriA[SatisFiyati])-SUMIF(tblVeriA[UrunKodu],$A474,tblVeriA[Maliyet])-SUMIF(tblVeriA[UrunKodu],$A474,tblVeriA[SatisFiyati])*$B474-$C474-SUMIF(tblVeriA[UrunKodu],$A474,tblVeriA[SatisFiyati])*$D474-$E474,0))</f>
        <v/>
      </c>
      <c r="H474" s="13" t="n"/>
      <c r="I474" s="13" t="n"/>
      <c r="J474" s="16">
        <f>IF($A474="","",1)</f>
        <v/>
      </c>
    </row>
    <row r="475">
      <c r="A475" s="13" t="n"/>
      <c r="B475" s="15" t="n"/>
      <c r="C475" s="14" t="n"/>
      <c r="D475" s="15" t="n"/>
      <c r="E475" s="14" t="n"/>
      <c r="F475" s="17" t="n"/>
      <c r="G475" s="16">
        <f>IF($A475="","",IFERROR(SUMIF(tblVeriA[UrunKodu],$A475,tblVeriA[SatisFiyati])-SUMIF(tblVeriA[UrunKodu],$A475,tblVeriA[Maliyet])-SUMIF(tblVeriA[UrunKodu],$A475,tblVeriA[SatisFiyati])*$B475-$C475-SUMIF(tblVeriA[UrunKodu],$A475,tblVeriA[SatisFiyati])*$D475-$E475,0))</f>
        <v/>
      </c>
      <c r="H475" s="13" t="n"/>
      <c r="I475" s="13" t="n"/>
      <c r="J475" s="16">
        <f>IF($A475="","",1)</f>
        <v/>
      </c>
    </row>
    <row r="476">
      <c r="A476" s="13" t="n"/>
      <c r="B476" s="15" t="n"/>
      <c r="C476" s="14" t="n"/>
      <c r="D476" s="15" t="n"/>
      <c r="E476" s="14" t="n"/>
      <c r="F476" s="17" t="n"/>
      <c r="G476" s="16">
        <f>IF($A476="","",IFERROR(SUMIF(tblVeriA[UrunKodu],$A476,tblVeriA[SatisFiyati])-SUMIF(tblVeriA[UrunKodu],$A476,tblVeriA[Maliyet])-SUMIF(tblVeriA[UrunKodu],$A476,tblVeriA[SatisFiyati])*$B476-$C476-SUMIF(tblVeriA[UrunKodu],$A476,tblVeriA[SatisFiyati])*$D476-$E476,0))</f>
        <v/>
      </c>
      <c r="H476" s="13" t="n"/>
      <c r="I476" s="13" t="n"/>
      <c r="J476" s="16">
        <f>IF($A476="","",1)</f>
        <v/>
      </c>
    </row>
    <row r="477">
      <c r="A477" s="13" t="n"/>
      <c r="B477" s="15" t="n"/>
      <c r="C477" s="14" t="n"/>
      <c r="D477" s="15" t="n"/>
      <c r="E477" s="14" t="n"/>
      <c r="F477" s="17" t="n"/>
      <c r="G477" s="16">
        <f>IF($A477="","",IFERROR(SUMIF(tblVeriA[UrunKodu],$A477,tblVeriA[SatisFiyati])-SUMIF(tblVeriA[UrunKodu],$A477,tblVeriA[Maliyet])-SUMIF(tblVeriA[UrunKodu],$A477,tblVeriA[SatisFiyati])*$B477-$C477-SUMIF(tblVeriA[UrunKodu],$A477,tblVeriA[SatisFiyati])*$D477-$E477,0))</f>
        <v/>
      </c>
      <c r="H477" s="13" t="n"/>
      <c r="I477" s="13" t="n"/>
      <c r="J477" s="16">
        <f>IF($A477="","",1)</f>
        <v/>
      </c>
    </row>
    <row r="478">
      <c r="A478" s="13" t="n"/>
      <c r="B478" s="15" t="n"/>
      <c r="C478" s="14" t="n"/>
      <c r="D478" s="15" t="n"/>
      <c r="E478" s="14" t="n"/>
      <c r="F478" s="17" t="n"/>
      <c r="G478" s="16">
        <f>IF($A478="","",IFERROR(SUMIF(tblVeriA[UrunKodu],$A478,tblVeriA[SatisFiyati])-SUMIF(tblVeriA[UrunKodu],$A478,tblVeriA[Maliyet])-SUMIF(tblVeriA[UrunKodu],$A478,tblVeriA[SatisFiyati])*$B478-$C478-SUMIF(tblVeriA[UrunKodu],$A478,tblVeriA[SatisFiyati])*$D478-$E478,0))</f>
        <v/>
      </c>
      <c r="H478" s="13" t="n"/>
      <c r="I478" s="13" t="n"/>
      <c r="J478" s="16">
        <f>IF($A478="","",1)</f>
        <v/>
      </c>
    </row>
    <row r="479">
      <c r="A479" s="13" t="n"/>
      <c r="B479" s="15" t="n"/>
      <c r="C479" s="14" t="n"/>
      <c r="D479" s="15" t="n"/>
      <c r="E479" s="14" t="n"/>
      <c r="F479" s="17" t="n"/>
      <c r="G479" s="16">
        <f>IF($A479="","",IFERROR(SUMIF(tblVeriA[UrunKodu],$A479,tblVeriA[SatisFiyati])-SUMIF(tblVeriA[UrunKodu],$A479,tblVeriA[Maliyet])-SUMIF(tblVeriA[UrunKodu],$A479,tblVeriA[SatisFiyati])*$B479-$C479-SUMIF(tblVeriA[UrunKodu],$A479,tblVeriA[SatisFiyati])*$D479-$E479,0))</f>
        <v/>
      </c>
      <c r="H479" s="13" t="n"/>
      <c r="I479" s="13" t="n"/>
      <c r="J479" s="16">
        <f>IF($A479="","",1)</f>
        <v/>
      </c>
    </row>
    <row r="480">
      <c r="A480" s="13" t="n"/>
      <c r="B480" s="15" t="n"/>
      <c r="C480" s="14" t="n"/>
      <c r="D480" s="15" t="n"/>
      <c r="E480" s="14" t="n"/>
      <c r="F480" s="17" t="n"/>
      <c r="G480" s="16">
        <f>IF($A480="","",IFERROR(SUMIF(tblVeriA[UrunKodu],$A480,tblVeriA[SatisFiyati])-SUMIF(tblVeriA[UrunKodu],$A480,tblVeriA[Maliyet])-SUMIF(tblVeriA[UrunKodu],$A480,tblVeriA[SatisFiyati])*$B480-$C480-SUMIF(tblVeriA[UrunKodu],$A480,tblVeriA[SatisFiyati])*$D480-$E480,0))</f>
        <v/>
      </c>
      <c r="H480" s="13" t="n"/>
      <c r="I480" s="13" t="n"/>
      <c r="J480" s="16">
        <f>IF($A480="","",1)</f>
        <v/>
      </c>
    </row>
    <row r="481">
      <c r="A481" s="13" t="n"/>
      <c r="B481" s="15" t="n"/>
      <c r="C481" s="14" t="n"/>
      <c r="D481" s="15" t="n"/>
      <c r="E481" s="14" t="n"/>
      <c r="F481" s="17" t="n"/>
      <c r="G481" s="16">
        <f>IF($A481="","",IFERROR(SUMIF(tblVeriA[UrunKodu],$A481,tblVeriA[SatisFiyati])-SUMIF(tblVeriA[UrunKodu],$A481,tblVeriA[Maliyet])-SUMIF(tblVeriA[UrunKodu],$A481,tblVeriA[SatisFiyati])*$B481-$C481-SUMIF(tblVeriA[UrunKodu],$A481,tblVeriA[SatisFiyati])*$D481-$E481,0))</f>
        <v/>
      </c>
      <c r="H481" s="13" t="n"/>
      <c r="I481" s="13" t="n"/>
      <c r="J481" s="16">
        <f>IF($A481="","",1)</f>
        <v/>
      </c>
    </row>
    <row r="482">
      <c r="A482" s="13" t="n"/>
      <c r="B482" s="15" t="n"/>
      <c r="C482" s="14" t="n"/>
      <c r="D482" s="15" t="n"/>
      <c r="E482" s="14" t="n"/>
      <c r="F482" s="17" t="n"/>
      <c r="G482" s="16">
        <f>IF($A482="","",IFERROR(SUMIF(tblVeriA[UrunKodu],$A482,tblVeriA[SatisFiyati])-SUMIF(tblVeriA[UrunKodu],$A482,tblVeriA[Maliyet])-SUMIF(tblVeriA[UrunKodu],$A482,tblVeriA[SatisFiyati])*$B482-$C482-SUMIF(tblVeriA[UrunKodu],$A482,tblVeriA[SatisFiyati])*$D482-$E482,0))</f>
        <v/>
      </c>
      <c r="H482" s="13" t="n"/>
      <c r="I482" s="13" t="n"/>
      <c r="J482" s="16">
        <f>IF($A482="","",1)</f>
        <v/>
      </c>
    </row>
    <row r="483">
      <c r="A483" s="13" t="n"/>
      <c r="B483" s="15" t="n"/>
      <c r="C483" s="14" t="n"/>
      <c r="D483" s="15" t="n"/>
      <c r="E483" s="14" t="n"/>
      <c r="F483" s="17" t="n"/>
      <c r="G483" s="16">
        <f>IF($A483="","",IFERROR(SUMIF(tblVeriA[UrunKodu],$A483,tblVeriA[SatisFiyati])-SUMIF(tblVeriA[UrunKodu],$A483,tblVeriA[Maliyet])-SUMIF(tblVeriA[UrunKodu],$A483,tblVeriA[SatisFiyati])*$B483-$C483-SUMIF(tblVeriA[UrunKodu],$A483,tblVeriA[SatisFiyati])*$D483-$E483,0))</f>
        <v/>
      </c>
      <c r="H483" s="13" t="n"/>
      <c r="I483" s="13" t="n"/>
      <c r="J483" s="16">
        <f>IF($A483="","",1)</f>
        <v/>
      </c>
    </row>
    <row r="484">
      <c r="A484" s="13" t="n"/>
      <c r="B484" s="15" t="n"/>
      <c r="C484" s="14" t="n"/>
      <c r="D484" s="15" t="n"/>
      <c r="E484" s="14" t="n"/>
      <c r="F484" s="17" t="n"/>
      <c r="G484" s="16">
        <f>IF($A484="","",IFERROR(SUMIF(tblVeriA[UrunKodu],$A484,tblVeriA[SatisFiyati])-SUMIF(tblVeriA[UrunKodu],$A484,tblVeriA[Maliyet])-SUMIF(tblVeriA[UrunKodu],$A484,tblVeriA[SatisFiyati])*$B484-$C484-SUMIF(tblVeriA[UrunKodu],$A484,tblVeriA[SatisFiyati])*$D484-$E484,0))</f>
        <v/>
      </c>
      <c r="H484" s="13" t="n"/>
      <c r="I484" s="13" t="n"/>
      <c r="J484" s="16">
        <f>IF($A484="","",1)</f>
        <v/>
      </c>
    </row>
    <row r="485">
      <c r="A485" s="13" t="n"/>
      <c r="B485" s="15" t="n"/>
      <c r="C485" s="14" t="n"/>
      <c r="D485" s="15" t="n"/>
      <c r="E485" s="14" t="n"/>
      <c r="F485" s="17" t="n"/>
      <c r="G485" s="16">
        <f>IF($A485="","",IFERROR(SUMIF(tblVeriA[UrunKodu],$A485,tblVeriA[SatisFiyati])-SUMIF(tblVeriA[UrunKodu],$A485,tblVeriA[Maliyet])-SUMIF(tblVeriA[UrunKodu],$A485,tblVeriA[SatisFiyati])*$B485-$C485-SUMIF(tblVeriA[UrunKodu],$A485,tblVeriA[SatisFiyati])*$D485-$E485,0))</f>
        <v/>
      </c>
      <c r="H485" s="13" t="n"/>
      <c r="I485" s="13" t="n"/>
      <c r="J485" s="16">
        <f>IF($A485="","",1)</f>
        <v/>
      </c>
    </row>
    <row r="486">
      <c r="A486" s="13" t="n"/>
      <c r="B486" s="15" t="n"/>
      <c r="C486" s="14" t="n"/>
      <c r="D486" s="15" t="n"/>
      <c r="E486" s="14" t="n"/>
      <c r="F486" s="17" t="n"/>
      <c r="G486" s="16">
        <f>IF($A486="","",IFERROR(SUMIF(tblVeriA[UrunKodu],$A486,tblVeriA[SatisFiyati])-SUMIF(tblVeriA[UrunKodu],$A486,tblVeriA[Maliyet])-SUMIF(tblVeriA[UrunKodu],$A486,tblVeriA[SatisFiyati])*$B486-$C486-SUMIF(tblVeriA[UrunKodu],$A486,tblVeriA[SatisFiyati])*$D486-$E486,0))</f>
        <v/>
      </c>
      <c r="H486" s="13" t="n"/>
      <c r="I486" s="13" t="n"/>
      <c r="J486" s="16">
        <f>IF($A486="","",1)</f>
        <v/>
      </c>
    </row>
    <row r="487">
      <c r="A487" s="13" t="n"/>
      <c r="B487" s="15" t="n"/>
      <c r="C487" s="14" t="n"/>
      <c r="D487" s="15" t="n"/>
      <c r="E487" s="14" t="n"/>
      <c r="F487" s="17" t="n"/>
      <c r="G487" s="16">
        <f>IF($A487="","",IFERROR(SUMIF(tblVeriA[UrunKodu],$A487,tblVeriA[SatisFiyati])-SUMIF(tblVeriA[UrunKodu],$A487,tblVeriA[Maliyet])-SUMIF(tblVeriA[UrunKodu],$A487,tblVeriA[SatisFiyati])*$B487-$C487-SUMIF(tblVeriA[UrunKodu],$A487,tblVeriA[SatisFiyati])*$D487-$E487,0))</f>
        <v/>
      </c>
      <c r="H487" s="13" t="n"/>
      <c r="I487" s="13" t="n"/>
      <c r="J487" s="16">
        <f>IF($A487="","",1)</f>
        <v/>
      </c>
    </row>
    <row r="488">
      <c r="A488" s="13" t="n"/>
      <c r="B488" s="15" t="n"/>
      <c r="C488" s="14" t="n"/>
      <c r="D488" s="15" t="n"/>
      <c r="E488" s="14" t="n"/>
      <c r="F488" s="17" t="n"/>
      <c r="G488" s="16">
        <f>IF($A488="","",IFERROR(SUMIF(tblVeriA[UrunKodu],$A488,tblVeriA[SatisFiyati])-SUMIF(tblVeriA[UrunKodu],$A488,tblVeriA[Maliyet])-SUMIF(tblVeriA[UrunKodu],$A488,tblVeriA[SatisFiyati])*$B488-$C488-SUMIF(tblVeriA[UrunKodu],$A488,tblVeriA[SatisFiyati])*$D488-$E488,0))</f>
        <v/>
      </c>
      <c r="H488" s="13" t="n"/>
      <c r="I488" s="13" t="n"/>
      <c r="J488" s="16">
        <f>IF($A488="","",1)</f>
        <v/>
      </c>
    </row>
    <row r="489">
      <c r="A489" s="13" t="n"/>
      <c r="B489" s="15" t="n"/>
      <c r="C489" s="14" t="n"/>
      <c r="D489" s="15" t="n"/>
      <c r="E489" s="14" t="n"/>
      <c r="F489" s="17" t="n"/>
      <c r="G489" s="16">
        <f>IF($A489="","",IFERROR(SUMIF(tblVeriA[UrunKodu],$A489,tblVeriA[SatisFiyati])-SUMIF(tblVeriA[UrunKodu],$A489,tblVeriA[Maliyet])-SUMIF(tblVeriA[UrunKodu],$A489,tblVeriA[SatisFiyati])*$B489-$C489-SUMIF(tblVeriA[UrunKodu],$A489,tblVeriA[SatisFiyati])*$D489-$E489,0))</f>
        <v/>
      </c>
      <c r="H489" s="13" t="n"/>
      <c r="I489" s="13" t="n"/>
      <c r="J489" s="16">
        <f>IF($A489="","",1)</f>
        <v/>
      </c>
    </row>
    <row r="490">
      <c r="A490" s="13" t="n"/>
      <c r="B490" s="15" t="n"/>
      <c r="C490" s="14" t="n"/>
      <c r="D490" s="15" t="n"/>
      <c r="E490" s="14" t="n"/>
      <c r="F490" s="17" t="n"/>
      <c r="G490" s="16">
        <f>IF($A490="","",IFERROR(SUMIF(tblVeriA[UrunKodu],$A490,tblVeriA[SatisFiyati])-SUMIF(tblVeriA[UrunKodu],$A490,tblVeriA[Maliyet])-SUMIF(tblVeriA[UrunKodu],$A490,tblVeriA[SatisFiyati])*$B490-$C490-SUMIF(tblVeriA[UrunKodu],$A490,tblVeriA[SatisFiyati])*$D490-$E490,0))</f>
        <v/>
      </c>
      <c r="H490" s="13" t="n"/>
      <c r="I490" s="13" t="n"/>
      <c r="J490" s="16">
        <f>IF($A490="","",1)</f>
        <v/>
      </c>
    </row>
    <row r="491">
      <c r="A491" s="13" t="n"/>
      <c r="B491" s="15" t="n"/>
      <c r="C491" s="14" t="n"/>
      <c r="D491" s="15" t="n"/>
      <c r="E491" s="14" t="n"/>
      <c r="F491" s="17" t="n"/>
      <c r="G491" s="16">
        <f>IF($A491="","",IFERROR(SUMIF(tblVeriA[UrunKodu],$A491,tblVeriA[SatisFiyati])-SUMIF(tblVeriA[UrunKodu],$A491,tblVeriA[Maliyet])-SUMIF(tblVeriA[UrunKodu],$A491,tblVeriA[SatisFiyati])*$B491-$C491-SUMIF(tblVeriA[UrunKodu],$A491,tblVeriA[SatisFiyati])*$D491-$E491,0))</f>
        <v/>
      </c>
      <c r="H491" s="13" t="n"/>
      <c r="I491" s="13" t="n"/>
      <c r="J491" s="16">
        <f>IF($A491="","",1)</f>
        <v/>
      </c>
    </row>
    <row r="492">
      <c r="A492" s="13" t="n"/>
      <c r="B492" s="15" t="n"/>
      <c r="C492" s="14" t="n"/>
      <c r="D492" s="15" t="n"/>
      <c r="E492" s="14" t="n"/>
      <c r="F492" s="17" t="n"/>
      <c r="G492" s="16">
        <f>IF($A492="","",IFERROR(SUMIF(tblVeriA[UrunKodu],$A492,tblVeriA[SatisFiyati])-SUMIF(tblVeriA[UrunKodu],$A492,tblVeriA[Maliyet])-SUMIF(tblVeriA[UrunKodu],$A492,tblVeriA[SatisFiyati])*$B492-$C492-SUMIF(tblVeriA[UrunKodu],$A492,tblVeriA[SatisFiyati])*$D492-$E492,0))</f>
        <v/>
      </c>
      <c r="H492" s="13" t="n"/>
      <c r="I492" s="13" t="n"/>
      <c r="J492" s="16">
        <f>IF($A492="","",1)</f>
        <v/>
      </c>
    </row>
    <row r="493">
      <c r="A493" s="13" t="n"/>
      <c r="B493" s="15" t="n"/>
      <c r="C493" s="14" t="n"/>
      <c r="D493" s="15" t="n"/>
      <c r="E493" s="14" t="n"/>
      <c r="F493" s="17" t="n"/>
      <c r="G493" s="16">
        <f>IF($A493="","",IFERROR(SUMIF(tblVeriA[UrunKodu],$A493,tblVeriA[SatisFiyati])-SUMIF(tblVeriA[UrunKodu],$A493,tblVeriA[Maliyet])-SUMIF(tblVeriA[UrunKodu],$A493,tblVeriA[SatisFiyati])*$B493-$C493-SUMIF(tblVeriA[UrunKodu],$A493,tblVeriA[SatisFiyati])*$D493-$E493,0))</f>
        <v/>
      </c>
      <c r="H493" s="13" t="n"/>
      <c r="I493" s="13" t="n"/>
      <c r="J493" s="16">
        <f>IF($A493="","",1)</f>
        <v/>
      </c>
    </row>
    <row r="494">
      <c r="A494" s="13" t="n"/>
      <c r="B494" s="15" t="n"/>
      <c r="C494" s="14" t="n"/>
      <c r="D494" s="15" t="n"/>
      <c r="E494" s="14" t="n"/>
      <c r="F494" s="17" t="n"/>
      <c r="G494" s="16">
        <f>IF($A494="","",IFERROR(SUMIF(tblVeriA[UrunKodu],$A494,tblVeriA[SatisFiyati])-SUMIF(tblVeriA[UrunKodu],$A494,tblVeriA[Maliyet])-SUMIF(tblVeriA[UrunKodu],$A494,tblVeriA[SatisFiyati])*$B494-$C494-SUMIF(tblVeriA[UrunKodu],$A494,tblVeriA[SatisFiyati])*$D494-$E494,0))</f>
        <v/>
      </c>
      <c r="H494" s="13" t="n"/>
      <c r="I494" s="13" t="n"/>
      <c r="J494" s="16">
        <f>IF($A494="","",1)</f>
        <v/>
      </c>
    </row>
    <row r="495">
      <c r="A495" s="13" t="n"/>
      <c r="B495" s="15" t="n"/>
      <c r="C495" s="14" t="n"/>
      <c r="D495" s="15" t="n"/>
      <c r="E495" s="14" t="n"/>
      <c r="F495" s="17" t="n"/>
      <c r="G495" s="16">
        <f>IF($A495="","",IFERROR(SUMIF(tblVeriA[UrunKodu],$A495,tblVeriA[SatisFiyati])-SUMIF(tblVeriA[UrunKodu],$A495,tblVeriA[Maliyet])-SUMIF(tblVeriA[UrunKodu],$A495,tblVeriA[SatisFiyati])*$B495-$C495-SUMIF(tblVeriA[UrunKodu],$A495,tblVeriA[SatisFiyati])*$D495-$E495,0))</f>
        <v/>
      </c>
      <c r="H495" s="13" t="n"/>
      <c r="I495" s="13" t="n"/>
      <c r="J495" s="16">
        <f>IF($A495="","",1)</f>
        <v/>
      </c>
    </row>
    <row r="496">
      <c r="A496" s="13" t="n"/>
      <c r="B496" s="15" t="n"/>
      <c r="C496" s="14" t="n"/>
      <c r="D496" s="15" t="n"/>
      <c r="E496" s="14" t="n"/>
      <c r="F496" s="17" t="n"/>
      <c r="G496" s="16">
        <f>IF($A496="","",IFERROR(SUMIF(tblVeriA[UrunKodu],$A496,tblVeriA[SatisFiyati])-SUMIF(tblVeriA[UrunKodu],$A496,tblVeriA[Maliyet])-SUMIF(tblVeriA[UrunKodu],$A496,tblVeriA[SatisFiyati])*$B496-$C496-SUMIF(tblVeriA[UrunKodu],$A496,tblVeriA[SatisFiyati])*$D496-$E496,0))</f>
        <v/>
      </c>
      <c r="H496" s="13" t="n"/>
      <c r="I496" s="13" t="n"/>
      <c r="J496" s="16">
        <f>IF($A496="","",1)</f>
        <v/>
      </c>
    </row>
    <row r="497">
      <c r="A497" s="13" t="n"/>
      <c r="B497" s="15" t="n"/>
      <c r="C497" s="14" t="n"/>
      <c r="D497" s="15" t="n"/>
      <c r="E497" s="14" t="n"/>
      <c r="F497" s="17" t="n"/>
      <c r="G497" s="16">
        <f>IF($A497="","",IFERROR(SUMIF(tblVeriA[UrunKodu],$A497,tblVeriA[SatisFiyati])-SUMIF(tblVeriA[UrunKodu],$A497,tblVeriA[Maliyet])-SUMIF(tblVeriA[UrunKodu],$A497,tblVeriA[SatisFiyati])*$B497-$C497-SUMIF(tblVeriA[UrunKodu],$A497,tblVeriA[SatisFiyati])*$D497-$E497,0))</f>
        <v/>
      </c>
      <c r="H497" s="13" t="n"/>
      <c r="I497" s="13" t="n"/>
      <c r="J497" s="16">
        <f>IF($A497="","",1)</f>
        <v/>
      </c>
    </row>
    <row r="498">
      <c r="A498" s="13" t="n"/>
      <c r="B498" s="15" t="n"/>
      <c r="C498" s="14" t="n"/>
      <c r="D498" s="15" t="n"/>
      <c r="E498" s="14" t="n"/>
      <c r="F498" s="17" t="n"/>
      <c r="G498" s="16">
        <f>IF($A498="","",IFERROR(SUMIF(tblVeriA[UrunKodu],$A498,tblVeriA[SatisFiyati])-SUMIF(tblVeriA[UrunKodu],$A498,tblVeriA[Maliyet])-SUMIF(tblVeriA[UrunKodu],$A498,tblVeriA[SatisFiyati])*$B498-$C498-SUMIF(tblVeriA[UrunKodu],$A498,tblVeriA[SatisFiyati])*$D498-$E498,0))</f>
        <v/>
      </c>
      <c r="H498" s="13" t="n"/>
      <c r="I498" s="13" t="n"/>
      <c r="J498" s="16">
        <f>IF($A498="","",1)</f>
        <v/>
      </c>
    </row>
    <row r="499">
      <c r="A499" s="13" t="n"/>
      <c r="B499" s="15" t="n"/>
      <c r="C499" s="14" t="n"/>
      <c r="D499" s="15" t="n"/>
      <c r="E499" s="14" t="n"/>
      <c r="F499" s="17" t="n"/>
      <c r="G499" s="16">
        <f>IF($A499="","",IFERROR(SUMIF(tblVeriA[UrunKodu],$A499,tblVeriA[SatisFiyati])-SUMIF(tblVeriA[UrunKodu],$A499,tblVeriA[Maliyet])-SUMIF(tblVeriA[UrunKodu],$A499,tblVeriA[SatisFiyati])*$B499-$C499-SUMIF(tblVeriA[UrunKodu],$A499,tblVeriA[SatisFiyati])*$D499-$E499,0))</f>
        <v/>
      </c>
      <c r="H499" s="13" t="n"/>
      <c r="I499" s="13" t="n"/>
      <c r="J499" s="16">
        <f>IF($A499="","",1)</f>
        <v/>
      </c>
    </row>
    <row r="500">
      <c r="A500" s="13" t="n"/>
      <c r="B500" s="15" t="n"/>
      <c r="C500" s="14" t="n"/>
      <c r="D500" s="15" t="n"/>
      <c r="E500" s="14" t="n"/>
      <c r="F500" s="17" t="n"/>
      <c r="G500" s="16">
        <f>IF($A500="","",IFERROR(SUMIF(tblVeriA[UrunKodu],$A500,tblVeriA[SatisFiyati])-SUMIF(tblVeriA[UrunKodu],$A500,tblVeriA[Maliyet])-SUMIF(tblVeriA[UrunKodu],$A500,tblVeriA[SatisFiyati])*$B500-$C500-SUMIF(tblVeriA[UrunKodu],$A500,tblVeriA[SatisFiyati])*$D500-$E500,0))</f>
        <v/>
      </c>
      <c r="H500" s="13" t="n"/>
      <c r="I500" s="13" t="n"/>
      <c r="J500" s="16">
        <f>IF($A500="","",1)</f>
        <v/>
      </c>
    </row>
    <row r="501">
      <c r="A501" s="13" t="n"/>
      <c r="B501" s="15" t="n"/>
      <c r="C501" s="14" t="n"/>
      <c r="D501" s="15" t="n"/>
      <c r="E501" s="14" t="n"/>
      <c r="F501" s="17" t="n"/>
      <c r="G501" s="16">
        <f>IF($A501="","",IFERROR(SUMIF(tblVeriA[UrunKodu],$A501,tblVeriA[SatisFiyati])-SUMIF(tblVeriA[UrunKodu],$A501,tblVeriA[Maliyet])-SUMIF(tblVeriA[UrunKodu],$A501,tblVeriA[SatisFiyati])*$B501-$C501-SUMIF(tblVeriA[UrunKodu],$A501,tblVeriA[SatisFiyati])*$D501-$E501,0))</f>
        <v/>
      </c>
      <c r="H501" s="13" t="n"/>
      <c r="I501" s="13" t="n"/>
      <c r="J501" s="16">
        <f>IF($A501="","",1)</f>
        <v/>
      </c>
    </row>
    <row r="502">
      <c r="A502" s="13" t="n"/>
      <c r="B502" s="15" t="n"/>
      <c r="C502" s="14" t="n"/>
      <c r="D502" s="15" t="n"/>
      <c r="E502" s="14" t="n"/>
      <c r="F502" s="17" t="n"/>
      <c r="G502" s="16">
        <f>IF($A502="","",IFERROR(SUMIF(tblVeriA[UrunKodu],$A502,tblVeriA[SatisFiyati])-SUMIF(tblVeriA[UrunKodu],$A502,tblVeriA[Maliyet])-SUMIF(tblVeriA[UrunKodu],$A502,tblVeriA[SatisFiyati])*$B502-$C502-SUMIF(tblVeriA[UrunKodu],$A502,tblVeriA[SatisFiyati])*$D502-$E502,0))</f>
        <v/>
      </c>
      <c r="H502" s="13" t="n"/>
      <c r="I502" s="13" t="n"/>
      <c r="J502" s="16">
        <f>IF($A502="","",1)</f>
        <v/>
      </c>
    </row>
    <row r="503">
      <c r="A503" s="13" t="n"/>
      <c r="B503" s="15" t="n"/>
      <c r="C503" s="14" t="n"/>
      <c r="D503" s="15" t="n"/>
      <c r="E503" s="14" t="n"/>
      <c r="F503" s="17" t="n"/>
      <c r="G503" s="16">
        <f>IF($A503="","",IFERROR(SUMIF(tblVeriA[UrunKodu],$A503,tblVeriA[SatisFiyati])-SUMIF(tblVeriA[UrunKodu],$A503,tblVeriA[Maliyet])-SUMIF(tblVeriA[UrunKodu],$A503,tblVeriA[SatisFiyati])*$B503-$C503-SUMIF(tblVeriA[UrunKodu],$A503,tblVeriA[SatisFiyati])*$D503-$E503,0))</f>
        <v/>
      </c>
      <c r="H503" s="13" t="n"/>
      <c r="I503" s="13" t="n"/>
      <c r="J503" s="16">
        <f>IF($A503="","",1)</f>
        <v/>
      </c>
    </row>
    <row r="504">
      <c r="A504" s="13" t="n"/>
      <c r="B504" s="15" t="n"/>
      <c r="C504" s="14" t="n"/>
      <c r="D504" s="15" t="n"/>
      <c r="E504" s="14" t="n"/>
      <c r="F504" s="17" t="n"/>
      <c r="G504" s="16">
        <f>IF($A504="","",IFERROR(SUMIF(tblVeriA[UrunKodu],$A504,tblVeriA[SatisFiyati])-SUMIF(tblVeriA[UrunKodu],$A504,tblVeriA[Maliyet])-SUMIF(tblVeriA[UrunKodu],$A504,tblVeriA[SatisFiyati])*$B504-$C504-SUMIF(tblVeriA[UrunKodu],$A504,tblVeriA[SatisFiyati])*$D504-$E504,0))</f>
        <v/>
      </c>
      <c r="H504" s="13" t="n"/>
      <c r="I504" s="13" t="n"/>
      <c r="J504" s="16">
        <f>IF($A504="","",1)</f>
        <v/>
      </c>
    </row>
    <row r="505">
      <c r="A505" s="13" t="n"/>
      <c r="B505" s="15" t="n"/>
      <c r="C505" s="14" t="n"/>
      <c r="D505" s="15" t="n"/>
      <c r="E505" s="14" t="n"/>
      <c r="F505" s="17" t="n"/>
      <c r="G505" s="16">
        <f>IF($A505="","",IFERROR(SUMIF(tblVeriA[UrunKodu],$A505,tblVeriA[SatisFiyati])-SUMIF(tblVeriA[UrunKodu],$A505,tblVeriA[Maliyet])-SUMIF(tblVeriA[UrunKodu],$A505,tblVeriA[SatisFiyati])*$B505-$C505-SUMIF(tblVeriA[UrunKodu],$A505,tblVeriA[SatisFiyati])*$D505-$E505,0))</f>
        <v/>
      </c>
      <c r="H505" s="13" t="n"/>
      <c r="I505" s="13" t="n"/>
      <c r="J505" s="16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100</formula>
    </cfRule>
  </conditionalFormatting>
  <conditionalFormatting sqref="E6:E505">
    <cfRule type="cellIs" priority="2" operator="greaterThan" dxfId="0">
      <formula>500</formula>
    </cfRule>
  </conditionalFormatting>
  <dataValidations count="8">
    <dataValidation sqref="A6:A505" showDropDown="0" showInputMessage="1" showErrorMessage="1" allowBlank="1" errorTitle="Eksik" error="Boş olamaz" promptTitle="Ürün Kodu" prompt="SKU girin" type="textLength" errorStyle="stop" operator="greaterThan">
      <formula1>1</formula1>
      <formula2>40</formula2>
    </dataValidation>
    <dataValidation sqref="B6:B505" showDropDown="0" showInputMessage="1" showErrorMessage="1" allowBlank="1" errorTitle="Komisyon" error="0 veya üzeri" promptTitle="Komisyon" prompt="0-1 arası oran" type="decimal" errorStyle="stop" operator="greaterThanOrEqual">
      <formula1>0</formula1>
    </dataValidation>
    <dataValidation sqref="D6:D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C6:C505" showDropDown="0" showInputMessage="1" showErrorMessage="1" allowBlank="1" errorTitle="Kargo" error="Geçersiz" promptTitle="Kargo" prompt="0 veya üzeri" type="decimal" errorStyle="stop" operator="greaterThanOrEqual">
      <formula1>0</formula1>
    </dataValidation>
    <dataValidation sqref="E6:E505" showDropDown="0" showInputMessage="1" showErrorMessage="1" allowBlank="1" errorTitle="Reklam" error="Geçersiz" promptTitle="Reklam" prompt="0 veya üzeri" type="decimal" errorStyle="stop" operator="greaterThanOrEqual">
      <formula1>0</formula1>
    </dataValidation>
    <dataValidation sqref="F6:F505" showDropDown="0" showInputMessage="1" showErrorMessage="1" allowBlank="1" errorTitle="ROAS" error="Geçersiz" promptTitle="ROAS" prompt="0 veya üzeri" type="decimal" errorStyle="stop" operator="greaterThanOrEqual">
      <formula1>0</formula1>
    </dataValidation>
    <dataValidation sqref="H6:H505" showDropDown="0" showInputMessage="1" showErrorMessage="1" allowBlank="1" errorTitle="Liste" error="Listeden seçin" promptTitle="Platform" prompt="Listeden seçin" type="list" errorStyle="stop">
      <formula1>ListePlatformlar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E-Ticaret Gerçek Kârlılık &amp; Fiyatlama</t>
        </is>
      </c>
    </row>
    <row r="3" ht="20" customHeight="1">
      <c r="A3" s="10" t="inlineStr">
        <is>
          <t>Normalize SKU anahtarı + uzunluk + ikincil + duplike (Ç7 / E01 / E05)</t>
        </is>
      </c>
    </row>
    <row r="4">
      <c r="A4" s="18" t="inlineStr">
        <is>
          <t>A Tarafı (Katalog)</t>
        </is>
      </c>
      <c r="I4" s="18" t="inlineStr">
        <is>
          <t>B Tarafı (Platform)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IF($B6="","",LEFT($B6,egk_ikincilUzunluk))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IF($J6="","",LEFT($J6,egk_ikincilUzunluk))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IF($B7="","",LEFT($B7,egk_ikincilUzunluk))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IF($J7="","",LEFT($J7,egk_ikincilUzunluk))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IF($B8="","",LEFT($B8,egk_ikincilUzunluk))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IF($J8="","",LEFT($J8,egk_ikincilUzunluk))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IF($B9="","",LEFT($B9,egk_ikincilUzunluk))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IF($J9="","",LEFT($J9,egk_ikincilUzunluk))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IF($B10="","",LEFT($B10,egk_ikincilUzunluk))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IF($J10="","",LEFT($J10,egk_ikincilUzunluk))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IF($B11="","",LEFT($B11,egk_ikincilUzunluk))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IF($J11="","",LEFT($J11,egk_ikincilUzunluk))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IF($B12="","",LEFT($B12,egk_ikincilUzunluk))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IF($J12="","",LEFT($J12,egk_ikincilUzunluk))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IF($B13="","",LEFT($B13,egk_ikincilUzunluk))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IF($J13="","",LEFT($J13,egk_ikincilUzunluk))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IF($B14="","",LEFT($B14,egk_ikincilUzunluk))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IF($J14="","",LEFT($J14,egk_ikincilUzunluk))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IF($B15="","",LEFT($B15,egk_ikincilUzunluk))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IF($J15="","",LEFT($J15,egk_ikincilUzunluk))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IF($B16="","",LEFT($B16,egk_ikincilUzunluk))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IF($J16="","",LEFT($J16,egk_ikincilUzunluk))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IF($B17="","",LEFT($B17,egk_ikincilUzunluk))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IF($J17="","",LEFT($J17,egk_ikincilUzunluk))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IF($B18="","",LEFT($B18,egk_ikincilUzunluk))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IF($J18="","",LEFT($J18,egk_ikincilUzunluk))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IF($B19="","",LEFT($B19,egk_ikincilUzunluk))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IF($J19="","",LEFT($J19,egk_ikincilUzunluk))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IF($B20="","",LEFT($B20,egk_ikincilUzunluk))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IF($J20="","",LEFT($J20,egk_ikincilUzunluk))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IF($B21="","",LEFT($B21,egk_ikincilUzunluk))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IF($J21="","",LEFT($J21,egk_ikincilUzunluk))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IF($B22="","",LEFT($B22,egk_ikincilUzunluk))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IF($J22="","",LEFT($J22,egk_ikincilUzunluk))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IF($B23="","",LEFT($B23,egk_ikincilUzunluk))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IF($J23="","",LEFT($J23,egk_ikincilUzunluk))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IF($B24="","",LEFT($B24,egk_ikincilUzunluk))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IF($J24="","",LEFT($J24,egk_ikincilUzunluk))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IF($B25="","",LEFT($B25,egk_ikincilUzunluk))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IF($J25="","",LEFT($J25,egk_ikincilUzunluk))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IF($B26="","",LEFT($B26,egk_ikincilUzunluk))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IF($J26="","",LEFT($J26,egk_ikincilUzunluk))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IF($B27="","",LEFT($B27,egk_ikincilUzunluk))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IF($J27="","",LEFT($J27,egk_ikincilUzunluk))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IF($B28="","",LEFT($B28,egk_ikincilUzunluk))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IF($J28="","",LEFT($J28,egk_ikincilUzunluk))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IF($B29="","",LEFT($B29,egk_ikincilUzunluk))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IF($J29="","",LEFT($J29,egk_ikincilUzunluk))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IF($B30="","",LEFT($B30,egk_ikincilUzunluk))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IF($J30="","",LEFT($J30,egk_ikincilUzunluk))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IF($B31="","",LEFT($B31,egk_ikincilUzunluk))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IF($J31="","",LEFT($J31,egk_ikincilUzunluk))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IF($B32="","",LEFT($B32,egk_ikincilUzunluk))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IF($J32="","",LEFT($J32,egk_ikincilUzunluk))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IF($B33="","",LEFT($B33,egk_ikincilUzunluk))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IF($J33="","",LEFT($J33,egk_ikincilUzunluk))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IF($B34="","",LEFT($B34,egk_ikincilUzunluk))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IF($J34="","",LEFT($J34,egk_ikincilUzunluk))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IF($B35="","",LEFT($B35,egk_ikincilUzunluk))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IF($J35="","",LEFT($J35,egk_ikincilUzunluk))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IF($B36="","",LEFT($B36,egk_ikincilUzunluk))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IF($J36="","",LEFT($J36,egk_ikincilUzunluk))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IF($B37="","",LEFT($B37,egk_ikincilUzunluk))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IF($J37="","",LEFT($J37,egk_ikincilUzunluk))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IF($B38="","",LEFT($B38,egk_ikincilUzunluk))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IF($J38="","",LEFT($J38,egk_ikincilUzunluk))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IF($B39="","",LEFT($B39,egk_ikincilUzunluk))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IF($J39="","",LEFT($J39,egk_ikincilUzunluk))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IF($B40="","",LEFT($B40,egk_ikincilUzunluk))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IF($J40="","",LEFT($J40,egk_ikincilUzunluk))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IF($B41="","",LEFT($B41,egk_ikincilUzunluk))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IF($J41="","",LEFT($J41,egk_ikincilUzunluk))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IF($B42="","",LEFT($B42,egk_ikincilUzunluk))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IF($J42="","",LEFT($J42,egk_ikincilUzunluk))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IF($B43="","",LEFT($B43,egk_ikincilUzunluk))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IF($J43="","",LEFT($J43,egk_ikincilUzunluk))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IF($B44="","",LEFT($B44,egk_ikincilUzunluk))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IF($J44="","",LEFT($J44,egk_ikincilUzunluk))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IF($B45="","",LEFT($B45,egk_ikincilUzunluk))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IF($J45="","",LEFT($J45,egk_ikincilUzunluk))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IF($B46="","",LEFT($B46,egk_ikincilUzunluk))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IF($J46="","",LEFT($J46,egk_ikincilUzunluk))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IF($B47="","",LEFT($B47,egk_ikincilUzunluk))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IF($J47="","",LEFT($J47,egk_ikincilUzunluk))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IF($B48="","",LEFT($B48,egk_ikincilUzunluk))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IF($J48="","",LEFT($J48,egk_ikincilUzunluk))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IF($B49="","",LEFT($B49,egk_ikincilUzunluk))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IF($J49="","",LEFT($J49,egk_ikincilUzunluk))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IF($B50="","",LEFT($B50,egk_ikincilUzunluk))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IF($J50="","",LEFT($J50,egk_ikincilUzunluk))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IF($B51="","",LEFT($B51,egk_ikincilUzunluk))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IF($J51="","",LEFT($J51,egk_ikincilUzunluk))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IF($B52="","",LEFT($B52,egk_ikincilUzunluk))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IF($J52="","",LEFT($J52,egk_ikincilUzunluk))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IF($B53="","",LEFT($B53,egk_ikincilUzunluk))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IF($J53="","",LEFT($J53,egk_ikincilUzunluk))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IF($B54="","",LEFT($B54,egk_ikincilUzunluk))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IF($J54="","",LEFT($J54,egk_ikincilUzunluk))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IF($B55="","",LEFT($B55,egk_ikincilUzunluk))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IF($J55="","",LEFT($J55,egk_ikincilUzunluk))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IF($B56="","",LEFT($B56,egk_ikincilUzunluk))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IF($J56="","",LEFT($J56,egk_ikincilUzunluk))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IF($B57="","",LEFT($B57,egk_ikincilUzunluk))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IF($J57="","",LEFT($J57,egk_ikincilUzunluk))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IF($B58="","",LEFT($B58,egk_ikincilUzunluk))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IF($J58="","",LEFT($J58,egk_ikincilUzunluk))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IF($B59="","",LEFT($B59,egk_ikincilUzunluk))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IF($J59="","",LEFT($J59,egk_ikincilUzunluk))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IF($B60="","",LEFT($B60,egk_ikincilUzunluk))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IF($J60="","",LEFT($J60,egk_ikincilUzunluk))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IF($B61="","",LEFT($B61,egk_ikincilUzunluk))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IF($J61="","",LEFT($J61,egk_ikincilUzunluk))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IF($B62="","",LEFT($B62,egk_ikincilUzunluk))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IF($J62="","",LEFT($J62,egk_ikincilUzunluk))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IF($B63="","",LEFT($B63,egk_ikincilUzunluk))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IF($J63="","",LEFT($J63,egk_ikincilUzunluk))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IF($B64="","",LEFT($B64,egk_ikincilUzunluk))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IF($J64="","",LEFT($J64,egk_ikincilUzunluk))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IF($B65="","",LEFT($B65,egk_ikincilUzunluk))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IF($J65="","",LEFT($J65,egk_ikincilUzunluk))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IF($B66="","",LEFT($B66,egk_ikincilUzunluk))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IF($J66="","",LEFT($J66,egk_ikincilUzunluk))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IF($B67="","",LEFT($B67,egk_ikincilUzunluk))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IF($J67="","",LEFT($J67,egk_ikincilUzunluk))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IF($B68="","",LEFT($B68,egk_ikincilUzunluk))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IF($J68="","",LEFT($J68,egk_ikincilUzunluk))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IF($B69="","",LEFT($B69,egk_ikincilUzunluk))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IF($J69="","",LEFT($J69,egk_ikincilUzunluk))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IF($B70="","",LEFT($B70,egk_ikincilUzunluk))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IF($J70="","",LEFT($J70,egk_ikincilUzunluk))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IF($B71="","",LEFT($B71,egk_ikincilUzunluk))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IF($J71="","",LEFT($J71,egk_ikincilUzunluk))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IF($B72="","",LEFT($B72,egk_ikincilUzunluk))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IF($J72="","",LEFT($J72,egk_ikincilUzunluk))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IF($B73="","",LEFT($B73,egk_ikincilUzunluk))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IF($J73="","",LEFT($J73,egk_ikincilUzunluk))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IF($B74="","",LEFT($B74,egk_ikincilUzunluk))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IF($J74="","",LEFT($J74,egk_ikincilUzunluk))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IF($B75="","",LEFT($B75,egk_ikincilUzunluk))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IF($J75="","",LEFT($J75,egk_ikincilUzunluk))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IF($B76="","",LEFT($B76,egk_ikincilUzunluk))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IF($J76="","",LEFT($J76,egk_ikincilUzunluk))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IF($B77="","",LEFT($B77,egk_ikincilUzunluk))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IF($J77="","",LEFT($J77,egk_ikincilUzunluk))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IF($B78="","",LEFT($B78,egk_ikincilUzunluk))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IF($J78="","",LEFT($J78,egk_ikincilUzunluk))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IF($B79="","",LEFT($B79,egk_ikincilUzunluk))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IF($J79="","",LEFT($J79,egk_ikincilUzunluk))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IF($B80="","",LEFT($B80,egk_ikincilUzunluk))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IF($J80="","",LEFT($J80,egk_ikincilUzunluk))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IF($B81="","",LEFT($B81,egk_ikincilUzunluk))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IF($J81="","",LEFT($J81,egk_ikincilUzunluk))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IF($B82="","",LEFT($B82,egk_ikincilUzunluk))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IF($J82="","",LEFT($J82,egk_ikincilUzunluk))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IF($B83="","",LEFT($B83,egk_ikincilUzunluk))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IF($J83="","",LEFT($J83,egk_ikincilUzunluk))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IF($B84="","",LEFT($B84,egk_ikincilUzunluk))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IF($J84="","",LEFT($J84,egk_ikincilUzunluk))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IF($B85="","",LEFT($B85,egk_ikincilUzunluk))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IF($J85="","",LEFT($J85,egk_ikincilUzunluk))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IF($B86="","",LEFT($B86,egk_ikincilUzunluk))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IF($J86="","",LEFT($J86,egk_ikincilUzunluk))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IF($B87="","",LEFT($B87,egk_ikincilUzunluk))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IF($J87="","",LEFT($J87,egk_ikincilUzunluk))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IF($B88="","",LEFT($B88,egk_ikincilUzunluk))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IF($J88="","",LEFT($J88,egk_ikincilUzunluk))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IF($B89="","",LEFT($B89,egk_ikincilUzunluk))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IF($J89="","",LEFT($J89,egk_ikincilUzunluk))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IF($B90="","",LEFT($B90,egk_ikincilUzunluk))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IF($J90="","",LEFT($J90,egk_ikincilUzunluk))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IF($B91="","",LEFT($B91,egk_ikincilUzunluk))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IF($J91="","",LEFT($J91,egk_ikincilUzunluk))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IF($B92="","",LEFT($B92,egk_ikincilUzunluk))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IF($J92="","",LEFT($J92,egk_ikincilUzunluk))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IF($B93="","",LEFT($B93,egk_ikincilUzunluk))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IF($J93="","",LEFT($J93,egk_ikincilUzunluk))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IF($B94="","",LEFT($B94,egk_ikincilUzunluk))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IF($J94="","",LEFT($J94,egk_ikincilUzunluk))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IF($B95="","",LEFT($B95,egk_ikincilUzunluk))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IF($J95="","",LEFT($J95,egk_ikincilUzunluk))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IF($B96="","",LEFT($B96,egk_ikincilUzunluk))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IF($J96="","",LEFT($J96,egk_ikincilUzunluk))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IF($B97="","",LEFT($B97,egk_ikincilUzunluk))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IF($J97="","",LEFT($J97,egk_ikincilUzunluk))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IF($B98="","",LEFT($B98,egk_ikincilUzunluk))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IF($J98="","",LEFT($J98,egk_ikincilUzunluk))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IF($B99="","",LEFT($B99,egk_ikincilUzunluk))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IF($J99="","",LEFT($J99,egk_ikincilUzunluk))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IF($B100="","",LEFT($B100,egk_ikincilUzunluk))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IF($J100="","",LEFT($J100,egk_ikincilUzunluk))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IF($B101="","",LEFT($B101,egk_ikincilUzunluk))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IF($J101="","",LEFT($J101,egk_ikincilUzunluk))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IF($B102="","",LEFT($B102,egk_ikincilUzunluk))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IF($J102="","",LEFT($J102,egk_ikincilUzunluk))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IF($B103="","",LEFT($B103,egk_ikincilUzunluk))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IF($J103="","",LEFT($J103,egk_ikincilUzunluk))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IF($B104="","",LEFT($B104,egk_ikincilUzunluk))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IF($J104="","",LEFT($J104,egk_ikincilUzunluk))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IF($B105="","",LEFT($B105,egk_ikincilUzunluk))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IF($J105="","",LEFT($J105,egk_ikincilUzunluk))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IF($B106="","",LEFT($B106,egk_ikincilUzunluk))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IF($J106="","",LEFT($J106,egk_ikincilUzunluk))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IF($B107="","",LEFT($B107,egk_ikincilUzunluk))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IF($J107="","",LEFT($J107,egk_ikincilUzunluk))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IF($B108="","",LEFT($B108,egk_ikincilUzunluk))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IF($J108="","",LEFT($J108,egk_ikincilUzunluk))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IF($B109="","",LEFT($B109,egk_ikincilUzunluk))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IF($J109="","",LEFT($J109,egk_ikincilUzunluk))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IF($B110="","",LEFT($B110,egk_ikincilUzunluk))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IF($J110="","",LEFT($J110,egk_ikincilUzunluk))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IF($B111="","",LEFT($B111,egk_ikincilUzunluk))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IF($J111="","",LEFT($J111,egk_ikincilUzunluk))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IF($B112="","",LEFT($B112,egk_ikincilUzunluk))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IF($J112="","",LEFT($J112,egk_ikincilUzunluk))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IF($B113="","",LEFT($B113,egk_ikincilUzunluk))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IF($J113="","",LEFT($J113,egk_ikincilUzunluk))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IF($B114="","",LEFT($B114,egk_ikincilUzunluk))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IF($J114="","",LEFT($J114,egk_ikincilUzunluk))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IF($B115="","",LEFT($B115,egk_ikincilUzunluk))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IF($J115="","",LEFT($J115,egk_ikincilUzunluk))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IF($B116="","",LEFT($B116,egk_ikincilUzunluk))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IF($J116="","",LEFT($J116,egk_ikincilUzunluk))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IF($B117="","",LEFT($B117,egk_ikincilUzunluk))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IF($J117="","",LEFT($J117,egk_ikincilUzunluk))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IF($B118="","",LEFT($B118,egk_ikincilUzunluk))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IF($J118="","",LEFT($J118,egk_ikincilUzunluk))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IF($B119="","",LEFT($B119,egk_ikincilUzunluk))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IF($J119="","",LEFT($J119,egk_ikincilUzunluk))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IF($B120="","",LEFT($B120,egk_ikincilUzunluk))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IF($J120="","",LEFT($J120,egk_ikincilUzunluk))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IF($B121="","",LEFT($B121,egk_ikincilUzunluk))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IF($J121="","",LEFT($J121,egk_ikincilUzunluk))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IF($B122="","",LEFT($B122,egk_ikincilUzunluk))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IF($J122="","",LEFT($J122,egk_ikincilUzunluk))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IF($B123="","",LEFT($B123,egk_ikincilUzunluk))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IF($J123="","",LEFT($J123,egk_ikincilUzunluk))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IF($B124="","",LEFT($B124,egk_ikincilUzunluk))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IF($J124="","",LEFT($J124,egk_ikincilUzunluk))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IF($B125="","",LEFT($B125,egk_ikincilUzunluk))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IF($J125="","",LEFT($J125,egk_ikincilUzunluk))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IF($B126="","",LEFT($B126,egk_ikincilUzunluk))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IF($J126="","",LEFT($J126,egk_ikincilUzunluk))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IF($B127="","",LEFT($B127,egk_ikincilUzunluk))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IF($J127="","",LEFT($J127,egk_ikincilUzunluk))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IF($B128="","",LEFT($B128,egk_ikincilUzunluk))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IF($J128="","",LEFT($J128,egk_ikincilUzunluk))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IF($B129="","",LEFT($B129,egk_ikincilUzunluk))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IF($J129="","",LEFT($J129,egk_ikincilUzunluk))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IF($B130="","",LEFT($B130,egk_ikincilUzunluk))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IF($J130="","",LEFT($J130,egk_ikincilUzunluk))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IF($B131="","",LEFT($B131,egk_ikincilUzunluk))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IF($J131="","",LEFT($J131,egk_ikincilUzunluk))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IF($B132="","",LEFT($B132,egk_ikincilUzunluk))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IF($J132="","",LEFT($J132,egk_ikincilUzunluk))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IF($B133="","",LEFT($B133,egk_ikincilUzunluk))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IF($J133="","",LEFT($J133,egk_ikincilUzunluk))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IF($B134="","",LEFT($B134,egk_ikincilUzunluk))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IF($J134="","",LEFT($J134,egk_ikincilUzunluk))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IF($B135="","",LEFT($B135,egk_ikincilUzunluk))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IF($J135="","",LEFT($J135,egk_ikincilUzunluk))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IF($B136="","",LEFT($B136,egk_ikincilUzunluk))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IF($J136="","",LEFT($J136,egk_ikincilUzunluk))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IF($B137="","",LEFT($B137,egk_ikincilUzunluk))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IF($J137="","",LEFT($J137,egk_ikincilUzunluk))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IF($B138="","",LEFT($B138,egk_ikincilUzunluk))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IF($J138="","",LEFT($J138,egk_ikincilUzunluk))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IF($B139="","",LEFT($B139,egk_ikincilUzunluk))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IF($J139="","",LEFT($J139,egk_ikincilUzunluk))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IF($B140="","",LEFT($B140,egk_ikincilUzunluk))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IF($J140="","",LEFT($J140,egk_ikincilUzunluk))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IF($B141="","",LEFT($B141,egk_ikincilUzunluk))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IF($J141="","",LEFT($J141,egk_ikincilUzunluk))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IF($B142="","",LEFT($B142,egk_ikincilUzunluk))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IF($J142="","",LEFT($J142,egk_ikincilUzunluk))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IF($B143="","",LEFT($B143,egk_ikincilUzunluk))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IF($J143="","",LEFT($J143,egk_ikincilUzunluk))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IF($B144="","",LEFT($B144,egk_ikincilUzunluk))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IF($J144="","",LEFT($J144,egk_ikincilUzunluk))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IF($B145="","",LEFT($B145,egk_ikincilUzunluk))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IF($J145="","",LEFT($J145,egk_ikincilUzunluk))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IF($B146="","",LEFT($B146,egk_ikincilUzunluk))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IF($J146="","",LEFT($J146,egk_ikincilUzunluk))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IF($B147="","",LEFT($B147,egk_ikincilUzunluk))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IF($J147="","",LEFT($J147,egk_ikincilUzunluk))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IF($B148="","",LEFT($B148,egk_ikincilUzunluk))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IF($J148="","",LEFT($J148,egk_ikincilUzunluk))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IF($B149="","",LEFT($B149,egk_ikincilUzunluk))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IF($J149="","",LEFT($J149,egk_ikincilUzunluk))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IF($B150="","",LEFT($B150,egk_ikincilUzunluk))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IF($J150="","",LEFT($J150,egk_ikincilUzunluk))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IF($B151="","",LEFT($B151,egk_ikincilUzunluk))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IF($J151="","",LEFT($J151,egk_ikincilUzunluk))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IF($B152="","",LEFT($B152,egk_ikincilUzunluk))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IF($J152="","",LEFT($J152,egk_ikincilUzunluk))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IF($B153="","",LEFT($B153,egk_ikincilUzunluk))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IF($J153="","",LEFT($J153,egk_ikincilUzunluk))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IF($B154="","",LEFT($B154,egk_ikincilUzunluk))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IF($J154="","",LEFT($J154,egk_ikincilUzunluk))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IF($B155="","",LEFT($B155,egk_ikincilUzunluk))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IF($J155="","",LEFT($J155,egk_ikincilUzunluk))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IF($B156="","",LEFT($B156,egk_ikincilUzunluk))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IF($J156="","",LEFT($J156,egk_ikincilUzunluk))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IF($B157="","",LEFT($B157,egk_ikincilUzunluk))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IF($J157="","",LEFT($J157,egk_ikincilUzunluk))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IF($B158="","",LEFT($B158,egk_ikincilUzunluk))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IF($J158="","",LEFT($J158,egk_ikincilUzunluk))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IF($B159="","",LEFT($B159,egk_ikincilUzunluk))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IF($J159="","",LEFT($J159,egk_ikincilUzunluk))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IF($B160="","",LEFT($B160,egk_ikincilUzunluk))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IF($J160="","",LEFT($J160,egk_ikincilUzunluk))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IF($B161="","",LEFT($B161,egk_ikincilUzunluk))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IF($J161="","",LEFT($J161,egk_ikincilUzunluk))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IF($B162="","",LEFT($B162,egk_ikincilUzunluk))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IF($J162="","",LEFT($J162,egk_ikincilUzunluk))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IF($B163="","",LEFT($B163,egk_ikincilUzunluk))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IF($J163="","",LEFT($J163,egk_ikincilUzunluk))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IF($B164="","",LEFT($B164,egk_ikincilUzunluk))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IF($J164="","",LEFT($J164,egk_ikincilUzunluk))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IF($B165="","",LEFT($B165,egk_ikincilUzunluk))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IF($J165="","",LEFT($J165,egk_ikincilUzunluk))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IF($B166="","",LEFT($B166,egk_ikincilUzunluk))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IF($J166="","",LEFT($J166,egk_ikincilUzunluk))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IF($B167="","",LEFT($B167,egk_ikincilUzunluk))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IF($J167="","",LEFT($J167,egk_ikincilUzunluk))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IF($B168="","",LEFT($B168,egk_ikincilUzunluk))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IF($J168="","",LEFT($J168,egk_ikincilUzunluk))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IF($B169="","",LEFT($B169,egk_ikincilUzunluk))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IF($J169="","",LEFT($J169,egk_ikincilUzunluk))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IF($B170="","",LEFT($B170,egk_ikincilUzunluk))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IF($J170="","",LEFT($J170,egk_ikincilUzunluk))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IF($B171="","",LEFT($B171,egk_ikincilUzunluk))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IF($J171="","",LEFT($J171,egk_ikincilUzunluk))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IF($B172="","",LEFT($B172,egk_ikincilUzunluk))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IF($J172="","",LEFT($J172,egk_ikincilUzunluk))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IF($B173="","",LEFT($B173,egk_ikincilUzunluk))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IF($J173="","",LEFT($J173,egk_ikincilUzunluk))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IF($B174="","",LEFT($B174,egk_ikincilUzunluk))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IF($J174="","",LEFT($J174,egk_ikincilUzunluk))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IF($B175="","",LEFT($B175,egk_ikincilUzunluk))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IF($J175="","",LEFT($J175,egk_ikincilUzunluk))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IF($B176="","",LEFT($B176,egk_ikincilUzunluk))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IF($J176="","",LEFT($J176,egk_ikincilUzunluk))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IF($B177="","",LEFT($B177,egk_ikincilUzunluk))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IF($J177="","",LEFT($J177,egk_ikincilUzunluk))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IF($B178="","",LEFT($B178,egk_ikincilUzunluk))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IF($J178="","",LEFT($J178,egk_ikincilUzunluk))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IF($B179="","",LEFT($B179,egk_ikincilUzunluk))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IF($J179="","",LEFT($J179,egk_ikincilUzunluk))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IF($B180="","",LEFT($B180,egk_ikincilUzunluk))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IF($J180="","",LEFT($J180,egk_ikincilUzunluk))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IF($B181="","",LEFT($B181,egk_ikincilUzunluk))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IF($J181="","",LEFT($J181,egk_ikincilUzunluk))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IF($B182="","",LEFT($B182,egk_ikincilUzunluk))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IF($J182="","",LEFT($J182,egk_ikincilUzunluk))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IF($B183="","",LEFT($B183,egk_ikincilUzunluk))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IF($J183="","",LEFT($J183,egk_ikincilUzunluk))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IF($B184="","",LEFT($B184,egk_ikincilUzunluk))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IF($J184="","",LEFT($J184,egk_ikincilUzunluk))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IF($B185="","",LEFT($B185,egk_ikincilUzunluk))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IF($J185="","",LEFT($J185,egk_ikincilUzunluk))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IF($B186="","",LEFT($B186,egk_ikincilUzunluk))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IF($J186="","",LEFT($J186,egk_ikincilUzunluk))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IF($B187="","",LEFT($B187,egk_ikincilUzunluk))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IF($J187="","",LEFT($J187,egk_ikincilUzunluk))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IF($B188="","",LEFT($B188,egk_ikincilUzunluk))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IF($J188="","",LEFT($J188,egk_ikincilUzunluk))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IF($B189="","",LEFT($B189,egk_ikincilUzunluk))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IF($J189="","",LEFT($J189,egk_ikincilUzunluk))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IF($B190="","",LEFT($B190,egk_ikincilUzunluk))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IF($J190="","",LEFT($J190,egk_ikincilUzunluk))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IF($B191="","",LEFT($B191,egk_ikincilUzunluk))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IF($J191="","",LEFT($J191,egk_ikincilUzunluk))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IF($B192="","",LEFT($B192,egk_ikincilUzunluk))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IF($J192="","",LEFT($J192,egk_ikincilUzunluk))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IF($B193="","",LEFT($B193,egk_ikincilUzunluk))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IF($J193="","",LEFT($J193,egk_ikincilUzunluk))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IF($B194="","",LEFT($B194,egk_ikincilUzunluk))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IF($J194="","",LEFT($J194,egk_ikincilUzunluk))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IF($B195="","",LEFT($B195,egk_ikincilUzunluk))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IF($J195="","",LEFT($J195,egk_ikincilUzunluk))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IF($B196="","",LEFT($B196,egk_ikincilUzunluk))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IF($J196="","",LEFT($J196,egk_ikincilUzunluk))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IF($B197="","",LEFT($B197,egk_ikincilUzunluk))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IF($J197="","",LEFT($J197,egk_ikincilUzunluk))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IF($B198="","",LEFT($B198,egk_ikincilUzunluk))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IF($J198="","",LEFT($J198,egk_ikincilUzunluk))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IF($B199="","",LEFT($B199,egk_ikincilUzunluk))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IF($J199="","",LEFT($J199,egk_ikincilUzunluk))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IF($B200="","",LEFT($B200,egk_ikincilUzunluk))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IF($J200="","",LEFT($J200,egk_ikincilUzunluk))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IF($B201="","",LEFT($B201,egk_ikincilUzunluk))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IF($J201="","",LEFT($J201,egk_ikincilUzunluk))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IF($B202="","",LEFT($B202,egk_ikincilUzunluk))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IF($J202="","",LEFT($J202,egk_ikincilUzunluk))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IF($B203="","",LEFT($B203,egk_ikincilUzunluk))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IF($J203="","",LEFT($J203,egk_ikincilUzunluk))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IF($B204="","",LEFT($B204,egk_ikincilUzunluk))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IF($J204="","",LEFT($J204,egk_ikincilUzunluk))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IF($B205="","",LEFT($B205,egk_ikincilUzunluk))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IF($J205="","",LEFT($J205,egk_ikincilUzunluk))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IF($B206="","",LEFT($B206,egk_ikincilUzunluk))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IF($J206="","",LEFT($J206,egk_ikincilUzunluk))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IF($B207="","",LEFT($B207,egk_ikincilUzunluk))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IF($J207="","",LEFT($J207,egk_ikincilUzunluk))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IF($B208="","",LEFT($B208,egk_ikincilUzunluk))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IF($J208="","",LEFT($J208,egk_ikincilUzunluk))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IF($B209="","",LEFT($B209,egk_ikincilUzunluk))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IF($J209="","",LEFT($J209,egk_ikincilUzunluk))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IF($B210="","",LEFT($B210,egk_ikincilUzunluk))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IF($J210="","",LEFT($J210,egk_ikincilUzunluk))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IF($B211="","",LEFT($B211,egk_ikincilUzunluk))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IF($J211="","",LEFT($J211,egk_ikincilUzunluk))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IF($B212="","",LEFT($B212,egk_ikincilUzunluk))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IF($J212="","",LEFT($J212,egk_ikincilUzunluk))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IF($B213="","",LEFT($B213,egk_ikincilUzunluk))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IF($J213="","",LEFT($J213,egk_ikincilUzunluk))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IF($B214="","",LEFT($B214,egk_ikincilUzunluk))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IF($J214="","",LEFT($J214,egk_ikincilUzunluk))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IF($B215="","",LEFT($B215,egk_ikincilUzunluk))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IF($J215="","",LEFT($J215,egk_ikincilUzunluk))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IF($B216="","",LEFT($B216,egk_ikincilUzunluk))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IF($J216="","",LEFT($J216,egk_ikincilUzunluk))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IF($B217="","",LEFT($B217,egk_ikincilUzunluk))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IF($J217="","",LEFT($J217,egk_ikincilUzunluk))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IF($B218="","",LEFT($B218,egk_ikincilUzunluk))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IF($J218="","",LEFT($J218,egk_ikincilUzunluk))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IF($B219="","",LEFT($B219,egk_ikincilUzunluk))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IF($J219="","",LEFT($J219,egk_ikincilUzunluk))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IF($B220="","",LEFT($B220,egk_ikincilUzunluk))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IF($J220="","",LEFT($J220,egk_ikincilUzunluk))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IF($B221="","",LEFT($B221,egk_ikincilUzunluk))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IF($J221="","",LEFT($J221,egk_ikincilUzunluk))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IF($B222="","",LEFT($B222,egk_ikincilUzunluk))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IF($J222="","",LEFT($J222,egk_ikincilUzunluk))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IF($B223="","",LEFT($B223,egk_ikincilUzunluk))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IF($J223="","",LEFT($J223,egk_ikincilUzunluk))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IF($B224="","",LEFT($B224,egk_ikincilUzunluk))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IF($J224="","",LEFT($J224,egk_ikincilUzunluk))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IF($B225="","",LEFT($B225,egk_ikincilUzunluk))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IF($J225="","",LEFT($J225,egk_ikincilUzunluk))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IF($B226="","",LEFT($B226,egk_ikincilUzunluk))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IF($J226="","",LEFT($J226,egk_ikincilUzunluk))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IF($B227="","",LEFT($B227,egk_ikincilUzunluk))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IF($J227="","",LEFT($J227,egk_ikincilUzunluk))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IF($B228="","",LEFT($B228,egk_ikincilUzunluk))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IF($J228="","",LEFT($J228,egk_ikincilUzunluk))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IF($B229="","",LEFT($B229,egk_ikincilUzunluk))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IF($J229="","",LEFT($J229,egk_ikincilUzunluk))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IF($B230="","",LEFT($B230,egk_ikincilUzunluk))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IF($J230="","",LEFT($J230,egk_ikincilUzunluk))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IF($B231="","",LEFT($B231,egk_ikincilUzunluk))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IF($J231="","",LEFT($J231,egk_ikincilUzunluk))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IF($B232="","",LEFT($B232,egk_ikincilUzunluk))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IF($J232="","",LEFT($J232,egk_ikincilUzunluk))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IF($B233="","",LEFT($B233,egk_ikincilUzunluk))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IF($J233="","",LEFT($J233,egk_ikincilUzunluk))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IF($B234="","",LEFT($B234,egk_ikincilUzunluk))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IF($J234="","",LEFT($J234,egk_ikincilUzunluk))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IF($B235="","",LEFT($B235,egk_ikincilUzunluk))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IF($J235="","",LEFT($J235,egk_ikincilUzunluk))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IF($B236="","",LEFT($B236,egk_ikincilUzunluk))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IF($J236="","",LEFT($J236,egk_ikincilUzunluk))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IF($B237="","",LEFT($B237,egk_ikincilUzunluk))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IF($J237="","",LEFT($J237,egk_ikincilUzunluk))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IF($B238="","",LEFT($B238,egk_ikincilUzunluk))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IF($J238="","",LEFT($J238,egk_ikincilUzunluk))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IF($B239="","",LEFT($B239,egk_ikincilUzunluk))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IF($J239="","",LEFT($J239,egk_ikincilUzunluk))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IF($B240="","",LEFT($B240,egk_ikincilUzunluk))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IF($J240="","",LEFT($J240,egk_ikincilUzunluk))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IF($B241="","",LEFT($B241,egk_ikincilUzunluk))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IF($J241="","",LEFT($J241,egk_ikincilUzunluk))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IF($B242="","",LEFT($B242,egk_ikincilUzunluk))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IF($J242="","",LEFT($J242,egk_ikincilUzunluk))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IF($B243="","",LEFT($B243,egk_ikincilUzunluk))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IF($J243="","",LEFT($J243,egk_ikincilUzunluk))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IF($B244="","",LEFT($B244,egk_ikincilUzunluk))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IF($J244="","",LEFT($J244,egk_ikincilUzunluk))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IF($B245="","",LEFT($B245,egk_ikincilUzunluk))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IF($J245="","",LEFT($J245,egk_ikincilUzunluk))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IF($B246="","",LEFT($B246,egk_ikincilUzunluk))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IF($J246="","",LEFT($J246,egk_ikincilUzunluk))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IF($B247="","",LEFT($B247,egk_ikincilUzunluk))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IF($J247="","",LEFT($J247,egk_ikincilUzunluk))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IF($B248="","",LEFT($B248,egk_ikincilUzunluk))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IF($J248="","",LEFT($J248,egk_ikincilUzunluk))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IF($B249="","",LEFT($B249,egk_ikincilUzunluk))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IF($J249="","",LEFT($J249,egk_ikincilUzunluk))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IF($B250="","",LEFT($B250,egk_ikincilUzunluk))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IF($J250="","",LEFT($J250,egk_ikincilUzunluk))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IF($B251="","",LEFT($B251,egk_ikincilUzunluk))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IF($J251="","",LEFT($J251,egk_ikincilUzunluk))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IF($B252="","",LEFT($B252,egk_ikincilUzunluk))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IF($J252="","",LEFT($J252,egk_ikincilUzunluk))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IF($B253="","",LEFT($B253,egk_ikincilUzunluk))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IF($J253="","",LEFT($J253,egk_ikincilUzunluk))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IF($B254="","",LEFT($B254,egk_ikincilUzunluk))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IF($J254="","",LEFT($J254,egk_ikincilUzunluk))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IF($B255="","",LEFT($B255,egk_ikincilUzunluk))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IF($J255="","",LEFT($J255,egk_ikincilUzunluk))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IF($B256="","",LEFT($B256,egk_ikincilUzunluk))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IF($J256="","",LEFT($J256,egk_ikincilUzunluk))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IF($B257="","",LEFT($B257,egk_ikincilUzunluk))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IF($J257="","",LEFT($J257,egk_ikincilUzunluk))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IF($B258="","",LEFT($B258,egk_ikincilUzunluk))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IF($J258="","",LEFT($J258,egk_ikincilUzunluk))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IF($B259="","",LEFT($B259,egk_ikincilUzunluk))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IF($J259="","",LEFT($J259,egk_ikincilUzunluk))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IF($B260="","",LEFT($B260,egk_ikincilUzunluk))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IF($J260="","",LEFT($J260,egk_ikincilUzunluk))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IF($B261="","",LEFT($B261,egk_ikincilUzunluk))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IF($J261="","",LEFT($J261,egk_ikincilUzunluk))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IF($B262="","",LEFT($B262,egk_ikincilUzunluk))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IF($J262="","",LEFT($J262,egk_ikincilUzunluk))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IF($B263="","",LEFT($B263,egk_ikincilUzunluk))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IF($J263="","",LEFT($J263,egk_ikincilUzunluk))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IF($B264="","",LEFT($B264,egk_ikincilUzunluk))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IF($J264="","",LEFT($J264,egk_ikincilUzunluk))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IF($B265="","",LEFT($B265,egk_ikincilUzunluk))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IF($J265="","",LEFT($J265,egk_ikincilUzunluk))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IF($B266="","",LEFT($B266,egk_ikincilUzunluk))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IF($J266="","",LEFT($J266,egk_ikincilUzunluk))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IF($B267="","",LEFT($B267,egk_ikincilUzunluk))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IF($J267="","",LEFT($J267,egk_ikincilUzunluk))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IF($B268="","",LEFT($B268,egk_ikincilUzunluk))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IF($J268="","",LEFT($J268,egk_ikincilUzunluk))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IF($B269="","",LEFT($B269,egk_ikincilUzunluk))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IF($J269="","",LEFT($J269,egk_ikincilUzunluk))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IF($B270="","",LEFT($B270,egk_ikincilUzunluk))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IF($J270="","",LEFT($J270,egk_ikincilUzunluk))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IF($B271="","",LEFT($B271,egk_ikincilUzunluk))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IF($J271="","",LEFT($J271,egk_ikincilUzunluk))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IF($B272="","",LEFT($B272,egk_ikincilUzunluk))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IF($J272="","",LEFT($J272,egk_ikincilUzunluk))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IF($B273="","",LEFT($B273,egk_ikincilUzunluk))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IF($J273="","",LEFT($J273,egk_ikincilUzunluk))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IF($B274="","",LEFT($B274,egk_ikincilUzunluk))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IF($J274="","",LEFT($J274,egk_ikincilUzunluk))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IF($B275="","",LEFT($B275,egk_ikincilUzunluk))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IF($J275="","",LEFT($J275,egk_ikincilUzunluk))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IF($B276="","",LEFT($B276,egk_ikincilUzunluk))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IF($J276="","",LEFT($J276,egk_ikincilUzunluk))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IF($B277="","",LEFT($B277,egk_ikincilUzunluk))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IF($J277="","",LEFT($J277,egk_ikincilUzunluk))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IF($B278="","",LEFT($B278,egk_ikincilUzunluk))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IF($J278="","",LEFT($J278,egk_ikincilUzunluk))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IF($B279="","",LEFT($B279,egk_ikincilUzunluk))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IF($J279="","",LEFT($J279,egk_ikincilUzunluk))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IF($B280="","",LEFT($B280,egk_ikincilUzunluk))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IF($J280="","",LEFT($J280,egk_ikincilUzunluk))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IF($B281="","",LEFT($B281,egk_ikincilUzunluk))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IF($J281="","",LEFT($J281,egk_ikincilUzunluk))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IF($B282="","",LEFT($B282,egk_ikincilUzunluk))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IF($J282="","",LEFT($J282,egk_ikincilUzunluk))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IF($B283="","",LEFT($B283,egk_ikincilUzunluk))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IF($J283="","",LEFT($J283,egk_ikincilUzunluk))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IF($B284="","",LEFT($B284,egk_ikincilUzunluk))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IF($J284="","",LEFT($J284,egk_ikincilUzunluk))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IF($B285="","",LEFT($B285,egk_ikincilUzunluk))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IF($J285="","",LEFT($J285,egk_ikincilUzunluk))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IF($B286="","",LEFT($B286,egk_ikincilUzunluk))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IF($J286="","",LEFT($J286,egk_ikincilUzunluk))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IF($B287="","",LEFT($B287,egk_ikincilUzunluk))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IF($J287="","",LEFT($J287,egk_ikincilUzunluk))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IF($B288="","",LEFT($B288,egk_ikincilUzunluk))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IF($J288="","",LEFT($J288,egk_ikincilUzunluk))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IF($B289="","",LEFT($B289,egk_ikincilUzunluk))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IF($J289="","",LEFT($J289,egk_ikincilUzunluk))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IF($B290="","",LEFT($B290,egk_ikincilUzunluk))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IF($J290="","",LEFT($J290,egk_ikincilUzunluk))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IF($B291="","",LEFT($B291,egk_ikincilUzunluk))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IF($J291="","",LEFT($J291,egk_ikincilUzunluk))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IF($B292="","",LEFT($B292,egk_ikincilUzunluk))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IF($J292="","",LEFT($J292,egk_ikincilUzunluk))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IF($B293="","",LEFT($B293,egk_ikincilUzunluk))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IF($J293="","",LEFT($J293,egk_ikincilUzunluk))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IF($B294="","",LEFT($B294,egk_ikincilUzunluk))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IF($J294="","",LEFT($J294,egk_ikincilUzunluk))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IF($B295="","",LEFT($B295,egk_ikincilUzunluk))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IF($J295="","",LEFT($J295,egk_ikincilUzunluk))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IF($B296="","",LEFT($B296,egk_ikincilUzunluk))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IF($J296="","",LEFT($J296,egk_ikincilUzunluk))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IF($B297="","",LEFT($B297,egk_ikincilUzunluk))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IF($J297="","",LEFT($J297,egk_ikincilUzunluk))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IF($B298="","",LEFT($B298,egk_ikincilUzunluk))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IF($J298="","",LEFT($J298,egk_ikincilUzunluk))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IF($B299="","",LEFT($B299,egk_ikincilUzunluk))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IF($J299="","",LEFT($J299,egk_ikincilUzunluk))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IF($B300="","",LEFT($B300,egk_ikincilUzunluk))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IF($J300="","",LEFT($J300,egk_ikincilUzunluk))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IF($B301="","",LEFT($B301,egk_ikincilUzunluk))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IF($J301="","",LEFT($J301,egk_ikincilUzunluk))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IF($B302="","",LEFT($B302,egk_ikincilUzunluk))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IF($J302="","",LEFT($J302,egk_ikincilUzunluk))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IF($B303="","",LEFT($B303,egk_ikincilUzunluk))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IF($J303="","",LEFT($J303,egk_ikincilUzunluk))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IF($B304="","",LEFT($B304,egk_ikincilUzunluk))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IF($J304="","",LEFT($J304,egk_ikincilUzunluk))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IF($B305="","",LEFT($B305,egk_ikincilUzunluk))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IF($J305="","",LEFT($J305,egk_ikincilUzunluk))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IF($B306="","",LEFT($B306,egk_ikincilUzunluk))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IF($J306="","",LEFT($J306,egk_ikincilUzunluk))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IF($B307="","",LEFT($B307,egk_ikincilUzunluk))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IF($J307="","",LEFT($J307,egk_ikincilUzunluk))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IF($B308="","",LEFT($B308,egk_ikincilUzunluk))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IF($J308="","",LEFT($J308,egk_ikincilUzunluk))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IF($B309="","",LEFT($B309,egk_ikincilUzunluk))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IF($J309="","",LEFT($J309,egk_ikincilUzunluk))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IF($B310="","",LEFT($B310,egk_ikincilUzunluk))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IF($J310="","",LEFT($J310,egk_ikincilUzunluk))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IF($B311="","",LEFT($B311,egk_ikincilUzunluk))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IF($J311="","",LEFT($J311,egk_ikincilUzunluk))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IF($B312="","",LEFT($B312,egk_ikincilUzunluk))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IF($J312="","",LEFT($J312,egk_ikincilUzunluk))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IF($B313="","",LEFT($B313,egk_ikincilUzunluk))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IF($J313="","",LEFT($J313,egk_ikincilUzunluk))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IF($B314="","",LEFT($B314,egk_ikincilUzunluk))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IF($J314="","",LEFT($J314,egk_ikincilUzunluk))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IF($B315="","",LEFT($B315,egk_ikincilUzunluk))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IF($J315="","",LEFT($J315,egk_ikincilUzunluk))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IF($B316="","",LEFT($B316,egk_ikincilUzunluk))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IF($J316="","",LEFT($J316,egk_ikincilUzunluk))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IF($B317="","",LEFT($B317,egk_ikincilUzunluk))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IF($J317="","",LEFT($J317,egk_ikincilUzunluk))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IF($B318="","",LEFT($B318,egk_ikincilUzunluk))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IF($J318="","",LEFT($J318,egk_ikincilUzunluk))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IF($B319="","",LEFT($B319,egk_ikincilUzunluk))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IF($J319="","",LEFT($J319,egk_ikincilUzunluk))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IF($B320="","",LEFT($B320,egk_ikincilUzunluk))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IF($J320="","",LEFT($J320,egk_ikincilUzunluk))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IF($B321="","",LEFT($B321,egk_ikincilUzunluk))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IF($J321="","",LEFT($J321,egk_ikincilUzunluk))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IF($B322="","",LEFT($B322,egk_ikincilUzunluk))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IF($J322="","",LEFT($J322,egk_ikincilUzunluk))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IF($B323="","",LEFT($B323,egk_ikincilUzunluk))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IF($J323="","",LEFT($J323,egk_ikincilUzunluk))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IF($B324="","",LEFT($B324,egk_ikincilUzunluk))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IF($J324="","",LEFT($J324,egk_ikincilUzunluk))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IF($B325="","",LEFT($B325,egk_ikincilUzunluk))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IF($J325="","",LEFT($J325,egk_ikincilUzunluk))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IF($B326="","",LEFT($B326,egk_ikincilUzunluk))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IF($J326="","",LEFT($J326,egk_ikincilUzunluk))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IF($B327="","",LEFT($B327,egk_ikincilUzunluk))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IF($J327="","",LEFT($J327,egk_ikincilUzunluk))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IF($B328="","",LEFT($B328,egk_ikincilUzunluk))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IF($J328="","",LEFT($J328,egk_ikincilUzunluk))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IF($B329="","",LEFT($B329,egk_ikincilUzunluk))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IF($J329="","",LEFT($J329,egk_ikincilUzunluk))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IF($B330="","",LEFT($B330,egk_ikincilUzunluk))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IF($J330="","",LEFT($J330,egk_ikincilUzunluk))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IF($B331="","",LEFT($B331,egk_ikincilUzunluk))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IF($J331="","",LEFT($J331,egk_ikincilUzunluk))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IF($B332="","",LEFT($B332,egk_ikincilUzunluk))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IF($J332="","",LEFT($J332,egk_ikincilUzunluk))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IF($B333="","",LEFT($B333,egk_ikincilUzunluk))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IF($J333="","",LEFT($J333,egk_ikincilUzunluk))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IF($B334="","",LEFT($B334,egk_ikincilUzunluk))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IF($J334="","",LEFT($J334,egk_ikincilUzunluk))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IF($B335="","",LEFT($B335,egk_ikincilUzunluk))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IF($J335="","",LEFT($J335,egk_ikincilUzunluk))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IF($B336="","",LEFT($B336,egk_ikincilUzunluk))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IF($J336="","",LEFT($J336,egk_ikincilUzunluk))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IF($B337="","",LEFT($B337,egk_ikincilUzunluk))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IF($J337="","",LEFT($J337,egk_ikincilUzunluk))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IF($B338="","",LEFT($B338,egk_ikincilUzunluk))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IF($J338="","",LEFT($J338,egk_ikincilUzunluk))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IF($B339="","",LEFT($B339,egk_ikincilUzunluk))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IF($J339="","",LEFT($J339,egk_ikincilUzunluk))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IF($B340="","",LEFT($B340,egk_ikincilUzunluk))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IF($J340="","",LEFT($J340,egk_ikincilUzunluk))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IF($B341="","",LEFT($B341,egk_ikincilUzunluk))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IF($J341="","",LEFT($J341,egk_ikincilUzunluk))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IF($B342="","",LEFT($B342,egk_ikincilUzunluk))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IF($J342="","",LEFT($J342,egk_ikincilUzunluk))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IF($B343="","",LEFT($B343,egk_ikincilUzunluk))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IF($J343="","",LEFT($J343,egk_ikincilUzunluk))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IF($B344="","",LEFT($B344,egk_ikincilUzunluk))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IF($J344="","",LEFT($J344,egk_ikincilUzunluk))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IF($B345="","",LEFT($B345,egk_ikincilUzunluk))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IF($J345="","",LEFT($J345,egk_ikincilUzunluk))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IF($B346="","",LEFT($B346,egk_ikincilUzunluk))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IF($J346="","",LEFT($J346,egk_ikincilUzunluk))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IF($B347="","",LEFT($B347,egk_ikincilUzunluk))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IF($J347="","",LEFT($J347,egk_ikincilUzunluk))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IF($B348="","",LEFT($B348,egk_ikincilUzunluk))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IF($J348="","",LEFT($J348,egk_ikincilUzunluk))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IF($B349="","",LEFT($B349,egk_ikincilUzunluk))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IF($J349="","",LEFT($J349,egk_ikincilUzunluk))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IF($B350="","",LEFT($B350,egk_ikincilUzunluk))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IF($J350="","",LEFT($J350,egk_ikincilUzunluk))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IF($B351="","",LEFT($B351,egk_ikincilUzunluk))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IF($J351="","",LEFT($J351,egk_ikincilUzunluk))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IF($B352="","",LEFT($B352,egk_ikincilUzunluk))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IF($J352="","",LEFT($J352,egk_ikincilUzunluk))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IF($B353="","",LEFT($B353,egk_ikincilUzunluk))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IF($J353="","",LEFT($J353,egk_ikincilUzunluk))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IF($B354="","",LEFT($B354,egk_ikincilUzunluk))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IF($J354="","",LEFT($J354,egk_ikincilUzunluk))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IF($B355="","",LEFT($B355,egk_ikincilUzunluk))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IF($J355="","",LEFT($J355,egk_ikincilUzunluk))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IF($B356="","",LEFT($B356,egk_ikincilUzunluk))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IF($J356="","",LEFT($J356,egk_ikincilUzunluk))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IF($B357="","",LEFT($B357,egk_ikincilUzunluk))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IF($J357="","",LEFT($J357,egk_ikincilUzunluk))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IF($B358="","",LEFT($B358,egk_ikincilUzunluk))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IF($J358="","",LEFT($J358,egk_ikincilUzunluk))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IF($B359="","",LEFT($B359,egk_ikincilUzunluk))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IF($J359="","",LEFT($J359,egk_ikincilUzunluk))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IF($B360="","",LEFT($B360,egk_ikincilUzunluk))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IF($J360="","",LEFT($J360,egk_ikincilUzunluk))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IF($B361="","",LEFT($B361,egk_ikincilUzunluk))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IF($J361="","",LEFT($J361,egk_ikincilUzunluk))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IF($B362="","",LEFT($B362,egk_ikincilUzunluk))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IF($J362="","",LEFT($J362,egk_ikincilUzunluk))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IF($B363="","",LEFT($B363,egk_ikincilUzunluk))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IF($J363="","",LEFT($J363,egk_ikincilUzunluk))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IF($B364="","",LEFT($B364,egk_ikincilUzunluk))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IF($J364="","",LEFT($J364,egk_ikincilUzunluk))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IF($B365="","",LEFT($B365,egk_ikincilUzunluk))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IF($J365="","",LEFT($J365,egk_ikincilUzunluk))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IF($B366="","",LEFT($B366,egk_ikincilUzunluk))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IF($J366="","",LEFT($J366,egk_ikincilUzunluk))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IF($B367="","",LEFT($B367,egk_ikincilUzunluk))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IF($J367="","",LEFT($J367,egk_ikincilUzunluk))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IF($B368="","",LEFT($B368,egk_ikincilUzunluk))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IF($J368="","",LEFT($J368,egk_ikincilUzunluk))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IF($B369="","",LEFT($B369,egk_ikincilUzunluk))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IF($J369="","",LEFT($J369,egk_ikincilUzunluk))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IF($B370="","",LEFT($B370,egk_ikincilUzunluk))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IF($J370="","",LEFT($J370,egk_ikincilUzunluk))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IF($B371="","",LEFT($B371,egk_ikincilUzunluk))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IF($J371="","",LEFT($J371,egk_ikincilUzunluk))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IF($B372="","",LEFT($B372,egk_ikincilUzunluk))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IF($J372="","",LEFT($J372,egk_ikincilUzunluk))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IF($B373="","",LEFT($B373,egk_ikincilUzunluk))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IF($J373="","",LEFT($J373,egk_ikincilUzunluk))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IF($B374="","",LEFT($B374,egk_ikincilUzunluk))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IF($J374="","",LEFT($J374,egk_ikincilUzunluk))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IF($B375="","",LEFT($B375,egk_ikincilUzunluk))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IF($J375="","",LEFT($J375,egk_ikincilUzunluk))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IF($B376="","",LEFT($B376,egk_ikincilUzunluk))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IF($J376="","",LEFT($J376,egk_ikincilUzunluk))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IF($B377="","",LEFT($B377,egk_ikincilUzunluk))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IF($J377="","",LEFT($J377,egk_ikincilUzunluk))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IF($B378="","",LEFT($B378,egk_ikincilUzunluk))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IF($J378="","",LEFT($J378,egk_ikincilUzunluk))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IF($B379="","",LEFT($B379,egk_ikincilUzunluk))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IF($J379="","",LEFT($J379,egk_ikincilUzunluk))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IF($B380="","",LEFT($B380,egk_ikincilUzunluk))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IF($J380="","",LEFT($J380,egk_ikincilUzunluk))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IF($B381="","",LEFT($B381,egk_ikincilUzunluk))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IF($J381="","",LEFT($J381,egk_ikincilUzunluk))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IF($B382="","",LEFT($B382,egk_ikincilUzunluk))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IF($J382="","",LEFT($J382,egk_ikincilUzunluk))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IF($B383="","",LEFT($B383,egk_ikincilUzunluk))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IF($J383="","",LEFT($J383,egk_ikincilUzunluk))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IF($B384="","",LEFT($B384,egk_ikincilUzunluk))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IF($J384="","",LEFT($J384,egk_ikincilUzunluk))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IF($B385="","",LEFT($B385,egk_ikincilUzunluk))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IF($J385="","",LEFT($J385,egk_ikincilUzunluk))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IF($B386="","",LEFT($B386,egk_ikincilUzunluk))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IF($J386="","",LEFT($J386,egk_ikincilUzunluk))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IF($B387="","",LEFT($B387,egk_ikincilUzunluk))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IF($J387="","",LEFT($J387,egk_ikincilUzunluk))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IF($B388="","",LEFT($B388,egk_ikincilUzunluk))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IF($J388="","",LEFT($J388,egk_ikincilUzunluk))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IF($B389="","",LEFT($B389,egk_ikincilUzunluk))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IF($J389="","",LEFT($J389,egk_ikincilUzunluk))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IF($B390="","",LEFT($B390,egk_ikincilUzunluk))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IF($J390="","",LEFT($J390,egk_ikincilUzunluk))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IF($B391="","",LEFT($B391,egk_ikincilUzunluk))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IF($J391="","",LEFT($J391,egk_ikincilUzunluk))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IF($B392="","",LEFT($B392,egk_ikincilUzunluk))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IF($J392="","",LEFT($J392,egk_ikincilUzunluk))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IF($B393="","",LEFT($B393,egk_ikincilUzunluk))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IF($J393="","",LEFT($J393,egk_ikincilUzunluk))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IF($B394="","",LEFT($B394,egk_ikincilUzunluk))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IF($J394="","",LEFT($J394,egk_ikincilUzunluk))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IF($B395="","",LEFT($B395,egk_ikincilUzunluk))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IF($J395="","",LEFT($J395,egk_ikincilUzunluk))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IF($B396="","",LEFT($B396,egk_ikincilUzunluk))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IF($J396="","",LEFT($J396,egk_ikincilUzunluk))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IF($B397="","",LEFT($B397,egk_ikincilUzunluk))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IF($J397="","",LEFT($J397,egk_ikincilUzunluk))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IF($B398="","",LEFT($B398,egk_ikincilUzunluk))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IF($J398="","",LEFT($J398,egk_ikincilUzunluk))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IF($B399="","",LEFT($B399,egk_ikincilUzunluk))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IF($J399="","",LEFT($J399,egk_ikincilUzunluk))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IF($B400="","",LEFT($B400,egk_ikincilUzunluk))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IF($J400="","",LEFT($J400,egk_ikincilUzunluk))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IF($B401="","",LEFT($B401,egk_ikincilUzunluk))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IF($J401="","",LEFT($J401,egk_ikincilUzunluk))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IF($B402="","",LEFT($B402,egk_ikincilUzunluk))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IF($J402="","",LEFT($J402,egk_ikincilUzunluk))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IF($B403="","",LEFT($B403,egk_ikincilUzunluk))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IF($J403="","",LEFT($J403,egk_ikincilUzunluk))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IF($B404="","",LEFT($B404,egk_ikincilUzunluk))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IF($J404="","",LEFT($J404,egk_ikincilUzunluk))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IF($B405="","",LEFT($B405,egk_ikincilUzunluk))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IF($J405="","",LEFT($J405,egk_ikincilUzunluk))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IF($B406="","",LEFT($B406,egk_ikincilUzunluk))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IF($J406="","",LEFT($J406,egk_ikincilUzunluk))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IF($B407="","",LEFT($B407,egk_ikincilUzunluk))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IF($J407="","",LEFT($J407,egk_ikincilUzunluk))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IF($B408="","",LEFT($B408,egk_ikincilUzunluk))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IF($J408="","",LEFT($J408,egk_ikincilUzunluk))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IF($B409="","",LEFT($B409,egk_ikincilUzunluk))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IF($J409="","",LEFT($J409,egk_ikincilUzunluk))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IF($B410="","",LEFT($B410,egk_ikincilUzunluk))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IF($J410="","",LEFT($J410,egk_ikincilUzunluk))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IF($B411="","",LEFT($B411,egk_ikincilUzunluk))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IF($J411="","",LEFT($J411,egk_ikincilUzunluk))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IF($B412="","",LEFT($B412,egk_ikincilUzunluk))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IF($J412="","",LEFT($J412,egk_ikincilUzunluk))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IF($B413="","",LEFT($B413,egk_ikincilUzunluk))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IF($J413="","",LEFT($J413,egk_ikincilUzunluk))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IF($B414="","",LEFT($B414,egk_ikincilUzunluk))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IF($J414="","",LEFT($J414,egk_ikincilUzunluk))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IF($B415="","",LEFT($B415,egk_ikincilUzunluk))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IF($J415="","",LEFT($J415,egk_ikincilUzunluk))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IF($B416="","",LEFT($B416,egk_ikincilUzunluk))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IF($J416="","",LEFT($J416,egk_ikincilUzunluk))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IF($B417="","",LEFT($B417,egk_ikincilUzunluk))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IF($J417="","",LEFT($J417,egk_ikincilUzunluk))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IF($B418="","",LEFT($B418,egk_ikincilUzunluk))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IF($J418="","",LEFT($J418,egk_ikincilUzunluk))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IF($B419="","",LEFT($B419,egk_ikincilUzunluk))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IF($J419="","",LEFT($J419,egk_ikincilUzunluk))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IF($B420="","",LEFT($B420,egk_ikincilUzunluk))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IF($J420="","",LEFT($J420,egk_ikincilUzunluk))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IF($B421="","",LEFT($B421,egk_ikincilUzunluk))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IF($J421="","",LEFT($J421,egk_ikincilUzunluk))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IF($B422="","",LEFT($B422,egk_ikincilUzunluk))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IF($J422="","",LEFT($J422,egk_ikincilUzunluk))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IF($B423="","",LEFT($B423,egk_ikincilUzunluk))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IF($J423="","",LEFT($J423,egk_ikincilUzunluk))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IF($B424="","",LEFT($B424,egk_ikincilUzunluk))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IF($J424="","",LEFT($J424,egk_ikincilUzunluk))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IF($B425="","",LEFT($B425,egk_ikincilUzunluk))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IF($J425="","",LEFT($J425,egk_ikincilUzunluk))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IF($B426="","",LEFT($B426,egk_ikincilUzunluk))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IF($J426="","",LEFT($J426,egk_ikincilUzunluk))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IF($B427="","",LEFT($B427,egk_ikincilUzunluk))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IF($J427="","",LEFT($J427,egk_ikincilUzunluk))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IF($B428="","",LEFT($B428,egk_ikincilUzunluk))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IF($J428="","",LEFT($J428,egk_ikincilUzunluk))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IF($B429="","",LEFT($B429,egk_ikincilUzunluk))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IF($J429="","",LEFT($J429,egk_ikincilUzunluk))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IF($B430="","",LEFT($B430,egk_ikincilUzunluk))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IF($J430="","",LEFT($J430,egk_ikincilUzunluk))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IF($B431="","",LEFT($B431,egk_ikincilUzunluk))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IF($J431="","",LEFT($J431,egk_ikincilUzunluk))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IF($B432="","",LEFT($B432,egk_ikincilUzunluk))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IF($J432="","",LEFT($J432,egk_ikincilUzunluk))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IF($B433="","",LEFT($B433,egk_ikincilUzunluk))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IF($J433="","",LEFT($J433,egk_ikincilUzunluk))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IF($B434="","",LEFT($B434,egk_ikincilUzunluk))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IF($J434="","",LEFT($J434,egk_ikincilUzunluk))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IF($B435="","",LEFT($B435,egk_ikincilUzunluk))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IF($J435="","",LEFT($J435,egk_ikincilUzunluk))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IF($B436="","",LEFT($B436,egk_ikincilUzunluk))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IF($J436="","",LEFT($J436,egk_ikincilUzunluk))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IF($B437="","",LEFT($B437,egk_ikincilUzunluk))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IF($J437="","",LEFT($J437,egk_ikincilUzunluk))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IF($B438="","",LEFT($B438,egk_ikincilUzunluk))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IF($J438="","",LEFT($J438,egk_ikincilUzunluk))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IF($B439="","",LEFT($B439,egk_ikincilUzunluk))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IF($J439="","",LEFT($J439,egk_ikincilUzunluk))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IF($B440="","",LEFT($B440,egk_ikincilUzunluk))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IF($J440="","",LEFT($J440,egk_ikincilUzunluk))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IF($B441="","",LEFT($B441,egk_ikincilUzunluk))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IF($J441="","",LEFT($J441,egk_ikincilUzunluk))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IF($B442="","",LEFT($B442,egk_ikincilUzunluk))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IF($J442="","",LEFT($J442,egk_ikincilUzunluk))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IF($B443="","",LEFT($B443,egk_ikincilUzunluk))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IF($J443="","",LEFT($J443,egk_ikincilUzunluk))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IF($B444="","",LEFT($B444,egk_ikincilUzunluk))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IF($J444="","",LEFT($J444,egk_ikincilUzunluk))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IF($B445="","",LEFT($B445,egk_ikincilUzunluk))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IF($J445="","",LEFT($J445,egk_ikincilUzunluk))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IF($B446="","",LEFT($B446,egk_ikincilUzunluk))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IF($J446="","",LEFT($J446,egk_ikincilUzunluk))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IF($B447="","",LEFT($B447,egk_ikincilUzunluk))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IF($J447="","",LEFT($J447,egk_ikincilUzunluk))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IF($B448="","",LEFT($B448,egk_ikincilUzunluk))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IF($J448="","",LEFT($J448,egk_ikincilUzunluk))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IF($B449="","",LEFT($B449,egk_ikincilUzunluk))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IF($J449="","",LEFT($J449,egk_ikincilUzunluk))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IF($B450="","",LEFT($B450,egk_ikincilUzunluk))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IF($J450="","",LEFT($J450,egk_ikincilUzunluk))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IF($B451="","",LEFT($B451,egk_ikincilUzunluk))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IF($J451="","",LEFT($J451,egk_ikincilUzunluk))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IF($B452="","",LEFT($B452,egk_ikincilUzunluk))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IF($J452="","",LEFT($J452,egk_ikincilUzunluk))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IF($B453="","",LEFT($B453,egk_ikincilUzunluk))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IF($J453="","",LEFT($J453,egk_ikincilUzunluk))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IF($B454="","",LEFT($B454,egk_ikincilUzunluk))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IF($J454="","",LEFT($J454,egk_ikincilUzunluk))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IF($B455="","",LEFT($B455,egk_ikincilUzunluk))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IF($J455="","",LEFT($J455,egk_ikincilUzunluk))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IF($B456="","",LEFT($B456,egk_ikincilUzunluk))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IF($J456="","",LEFT($J456,egk_ikincilUzunluk))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IF($B457="","",LEFT($B457,egk_ikincilUzunluk))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IF($J457="","",LEFT($J457,egk_ikincilUzunluk))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IF($B458="","",LEFT($B458,egk_ikincilUzunluk))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IF($J458="","",LEFT($J458,egk_ikincilUzunluk))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IF($B459="","",LEFT($B459,egk_ikincilUzunluk))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IF($J459="","",LEFT($J459,egk_ikincilUzunluk))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IF($B460="","",LEFT($B460,egk_ikincilUzunluk))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IF($J460="","",LEFT($J460,egk_ikincilUzunluk))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IF($B461="","",LEFT($B461,egk_ikincilUzunluk))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IF($J461="","",LEFT($J461,egk_ikincilUzunluk))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IF($B462="","",LEFT($B462,egk_ikincilUzunluk))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IF($J462="","",LEFT($J462,egk_ikincilUzunluk))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IF($B463="","",LEFT($B463,egk_ikincilUzunluk))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IF($J463="","",LEFT($J463,egk_ikincilUzunluk))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IF($B464="","",LEFT($B464,egk_ikincilUzunluk))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IF($J464="","",LEFT($J464,egk_ikincilUzunluk))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IF($B465="","",LEFT($B465,egk_ikincilUzunluk))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IF($J465="","",LEFT($J465,egk_ikincilUzunluk))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IF($B466="","",LEFT($B466,egk_ikincilUzunluk))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IF($J466="","",LEFT($J466,egk_ikincilUzunluk))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IF($B467="","",LEFT($B467,egk_ikincilUzunluk))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IF($J467="","",LEFT($J467,egk_ikincilUzunluk))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IF($B468="","",LEFT($B468,egk_ikincilUzunluk))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IF($J468="","",LEFT($J468,egk_ikincilUzunluk))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IF($B469="","",LEFT($B469,egk_ikincilUzunluk))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IF($J469="","",LEFT($J469,egk_ikincilUzunluk))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IF($B470="","",LEFT($B470,egk_ikincilUzunluk))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IF($J470="","",LEFT($J470,egk_ikincilUzunluk))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IF($B471="","",LEFT($B471,egk_ikincilUzunluk))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IF($J471="","",LEFT($J471,egk_ikincilUzunluk))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IF($B472="","",LEFT($B472,egk_ikincilUzunluk))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IF($J472="","",LEFT($J472,egk_ikincilUzunluk))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IF($B473="","",LEFT($B473,egk_ikincilUzunluk))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IF($J473="","",LEFT($J473,egk_ikincilUzunluk))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IF($B474="","",LEFT($B474,egk_ikincilUzunluk))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IF($J474="","",LEFT($J474,egk_ikincilUzunluk))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IF($B475="","",LEFT($B475,egk_ikincilUzunluk))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IF($J475="","",LEFT($J475,egk_ikincilUzunluk))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IF($B476="","",LEFT($B476,egk_ikincilUzunluk))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IF($J476="","",LEFT($J476,egk_ikincilUzunluk))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IF($B477="","",LEFT($B477,egk_ikincilUzunluk))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IF($J477="","",LEFT($J477,egk_ikincilUzunluk))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IF($B478="","",LEFT($B478,egk_ikincilUzunluk))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IF($J478="","",LEFT($J478,egk_ikincilUzunluk))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IF($B479="","",LEFT($B479,egk_ikincilUzunluk))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IF($J479="","",LEFT($J479,egk_ikincilUzunluk))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IF($B480="","",LEFT($B480,egk_ikincilUzunluk))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IF($J480="","",LEFT($J480,egk_ikincilUzunluk))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IF($B481="","",LEFT($B481,egk_ikincilUzunluk))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IF($J481="","",LEFT($J481,egk_ikincilUzunluk))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IF($B482="","",LEFT($B482,egk_ikincilUzunluk))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IF($J482="","",LEFT($J482,egk_ikincilUzunluk))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IF($B483="","",LEFT($B483,egk_ikincilUzunluk))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IF($J483="","",LEFT($J483,egk_ikincilUzunluk))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IF($B484="","",LEFT($B484,egk_ikincilUzunluk))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IF($J484="","",LEFT($J484,egk_ikincilUzunluk))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IF($B485="","",LEFT($B485,egk_ikincilUzunluk))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IF($J485="","",LEFT($J485,egk_ikincilUzunluk))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IF($B486="","",LEFT($B486,egk_ikincilUzunluk))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IF($J486="","",LEFT($J486,egk_ikincilUzunluk))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IF($B487="","",LEFT($B487,egk_ikincilUzunluk))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IF($J487="","",LEFT($J487,egk_ikincilUzunluk))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IF($B488="","",LEFT($B488,egk_ikincilUzunluk))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IF($J488="","",LEFT($J488,egk_ikincilUzunluk))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IF($B489="","",LEFT($B489,egk_ikincilUzunluk))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IF($J489="","",LEFT($J489,egk_ikincilUzunluk))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IF($B490="","",LEFT($B490,egk_ikincilUzunluk))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IF($J490="","",LEFT($J490,egk_ikincilUzunluk))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IF($B491="","",LEFT($B491,egk_ikincilUzunluk))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IF($J491="","",LEFT($J491,egk_ikincilUzunluk))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IF($B492="","",LEFT($B492,egk_ikincilUzunluk))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IF($J492="","",LEFT($J492,egk_ikincilUzunluk))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IF($B493="","",LEFT($B493,egk_ikincilUzunluk))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IF($J493="","",LEFT($J493,egk_ikincilUzunluk))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IF($B494="","",LEFT($B494,egk_ikincilUzunluk))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IF($J494="","",LEFT($J494,egk_ikincilUzunluk))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IF($B495="","",LEFT($B495,egk_ikincilUzunluk))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IF($J495="","",LEFT($J495,egk_ikincilUzunluk))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IF($B496="","",LEFT($B496,egk_ikincilUzunluk))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IF($J496="","",LEFT($J496,egk_ikincilUzunluk))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IF($B497="","",LEFT($B497,egk_ikincilUzunluk))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IF($J497="","",LEFT($J497,egk_ikincilUzunluk))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IF($B498="","",LEFT($B498,egk_ikincilUzunluk))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IF($J498="","",LEFT($J498,egk_ikincilUzunluk))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IF($B499="","",LEFT($B499,egk_ikincilUzunluk))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IF($J499="","",LEFT($J499,egk_ikincilUzunluk))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IF($B500="","",LEFT($B500,egk_ikincilUzunluk))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IF($J500="","",LEFT($J500,egk_ikincilUzunluk))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IF($B501="","",LEFT($B501,egk_ikincilUzunluk))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IF($J501="","",LEFT($J501,egk_ikincilUzunluk))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IF($B502="","",LEFT($B502,egk_ikincilUzunluk))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IF($J502="","",LEFT($J502,egk_ikincilUzunluk))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IF($B503="","",LEFT($B503,egk_ikincilUzunluk))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IF($J503="","",LEFT($J503,egk_ikincilUzunluk))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IF($B504="","",LEFT($B504,egk_ikincilUzunluk))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IF($J504="","",LEFT($J504,egk_ikincilUzunluk))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IF($B505="","",LEFT($B505,egk_ikincilUzunluk))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IF($J505="","",LEFT($J505,egk_ikincilUzunluk))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E-Ticaret Gerçek Kârlılık &amp; Fiyatlama</t>
        </is>
      </c>
    </row>
    <row r="3" ht="20" customHeight="1">
      <c r="A3" s="10" t="inlineStr">
        <is>
          <t>Gerçek kârlılık motoru — brüt/net, katkı, başabaş, satır kararı (D13)</t>
        </is>
      </c>
    </row>
    <row r="5" ht="30" customHeight="1">
      <c r="A5" s="12" t="inlineStr">
        <is>
          <t>A_Norm</t>
        </is>
      </c>
      <c r="B5" s="12" t="inlineStr">
        <is>
          <t>Satis</t>
        </is>
      </c>
      <c r="C5" s="12" t="inlineStr">
        <is>
          <t>Maliyet</t>
        </is>
      </c>
      <c r="D5" s="12" t="inlineStr">
        <is>
          <t>KomisyonOran</t>
        </is>
      </c>
      <c r="E5" s="12" t="inlineStr">
        <is>
          <t>KomisyonTutar</t>
        </is>
      </c>
      <c r="F5" s="12" t="inlineStr">
        <is>
          <t>Kargo</t>
        </is>
      </c>
      <c r="G5" s="12" t="inlineStr">
        <is>
          <t>IadeOran</t>
        </is>
      </c>
      <c r="H5" s="12" t="inlineStr">
        <is>
          <t>IadeMaliyet</t>
        </is>
      </c>
      <c r="I5" s="12" t="inlineStr">
        <is>
          <t>ReklamHarcama</t>
        </is>
      </c>
      <c r="J5" s="12" t="inlineStr">
        <is>
          <t>BrutKar</t>
        </is>
      </c>
      <c r="K5" s="12" t="inlineStr">
        <is>
          <t>NetKar</t>
        </is>
      </c>
      <c r="L5" s="12" t="inlineStr">
        <is>
          <t>KatkiPayi</t>
        </is>
      </c>
      <c r="M5" s="12" t="inlineStr">
        <is>
          <t>BasabasFiyat</t>
        </is>
      </c>
      <c r="N5" s="12" t="inlineStr">
        <is>
          <t>HedefNet</t>
        </is>
      </c>
      <c r="O5" s="12" t="inlineStr">
        <is>
          <t>FarkHedef</t>
        </is>
      </c>
      <c r="P5" s="12" t="inlineStr">
        <is>
          <t>KararSatir</t>
        </is>
      </c>
      <c r="Q5" s="12" t="inlineStr">
        <is>
          <t>RoasEtki</t>
        </is>
      </c>
      <c r="R5" s="12" t="inlineStr">
        <is>
          <t>IndirimBayrak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6">
        <f>IF('ANAHTAR'!$B6="","",'ANAHTAR'!$B6)</f>
        <v/>
      </c>
      <c r="B6" s="16">
        <f>IF($A6="","",IFERROR(SUMIF(tblAnahtarA[Norm],$A6,tblVeriA[SatisFiyati]),0))</f>
        <v/>
      </c>
      <c r="C6" s="16">
        <f>IF($A6="","",IFERROR(SUMIF(tblAnahtarA[Norm],$A6,tblVeriA[Maliyet]),0))</f>
        <v/>
      </c>
      <c r="D6" s="16">
        <f>IF($A6="","",IFERROR(SUMIF(tblAnahtarB[NormB],$A6,tblVeriB[KomisyonOran]),0))</f>
        <v/>
      </c>
      <c r="E6" s="16">
        <f>IF($A6="","",ROUND($B6*$D6,2))</f>
        <v/>
      </c>
      <c r="F6" s="16">
        <f>IF($A6="","",IFERROR(SUMIF(tblAnahtarB[NormB],$A6,tblVeriB[Kargo]),0))</f>
        <v/>
      </c>
      <c r="G6" s="16">
        <f>IF($A6="","",IFERROR(SUMIF(tblAnahtarB[NormB],$A6,tblVeriB[IadeOran]),0))</f>
        <v/>
      </c>
      <c r="H6" s="16">
        <f>IF($A6="","",ROUND($B6*$G6,2))</f>
        <v/>
      </c>
      <c r="I6" s="16">
        <f>IF($A6="","",IFERROR(SUMIF(tblAnahtarB[NormB],$A6,tblVeriB[ReklamTutar]),0))</f>
        <v/>
      </c>
      <c r="J6" s="16">
        <f>IF($A6="","",ROUND($B6-$C6,2))</f>
        <v/>
      </c>
      <c r="K6" s="16">
        <f>IF($A6="","",ROUND($B6-$C6-$E6-$F6-$H6-$I6,2))</f>
        <v/>
      </c>
      <c r="L6" s="16">
        <f>IF(OR($A6="",$B6=0),0,$K6/$B6)</f>
        <v/>
      </c>
      <c r="M6" s="16">
        <f>IF($A6="","",IF((1-$D6-$G6)&lt;=0,0,ROUND(($C6+$F6+$I6)/(1-$D6-$G6),2)))</f>
        <v/>
      </c>
      <c r="N6" s="16">
        <f>IF($A6="","",IFERROR(SUMIF(tblAnahtarA[Norm],$A6,tblVeriA[HedefNet]),0))</f>
        <v/>
      </c>
      <c r="O6" s="16">
        <f>IF($A6="","",ROUND($K6-$N6,2))</f>
        <v/>
      </c>
      <c r="P6" s="16">
        <f>IF($A6="","",IF($L6&lt;egk_esikKatkiDusuk,"ZAM YAP",IF(AND($R6=1,$L6&lt;egk_esikKatkiHedef),"İNDİRİMİ KES","TUT")))</f>
        <v/>
      </c>
      <c r="Q6" s="16">
        <f>IF($A6="","",IFERROR(SUMIF(tblAnahtarB[NormB],$A6,tblVeriB[Roas]),0))</f>
        <v/>
      </c>
      <c r="R6" s="16">
        <f>IF($A6="","",IF(OR(IFERROR(INDEX(tblVeriA[YorumAB],MATCH($A6,tblAnahtarA[Norm],0)),"")="B",IFERROR(INDEX(tblVeriA[Durum],MATCH($A6,tblAnahtarA[Norm],0)),"")="Kampanya"),1,0))</f>
        <v/>
      </c>
      <c r="S6" s="16">
        <f>IF($A6="","",$J6-$E6)</f>
        <v/>
      </c>
      <c r="T6" s="16">
        <f>IF($A6="","",$K6-$O6)</f>
        <v/>
      </c>
    </row>
    <row r="7">
      <c r="A7" s="16">
        <f>IF('ANAHTAR'!$B7="","",'ANAHTAR'!$B7)</f>
        <v/>
      </c>
      <c r="B7" s="16">
        <f>IF($A7="","",IFERROR(SUMIF(tblAnahtarA[Norm],$A7,tblVeriA[SatisFiyati]),0))</f>
        <v/>
      </c>
      <c r="C7" s="16">
        <f>IF($A7="","",IFERROR(SUMIF(tblAnahtarA[Norm],$A7,tblVeriA[Maliyet]),0))</f>
        <v/>
      </c>
      <c r="D7" s="16">
        <f>IF($A7="","",IFERROR(SUMIF(tblAnahtarB[NormB],$A7,tblVeriB[KomisyonOran]),0))</f>
        <v/>
      </c>
      <c r="E7" s="16">
        <f>IF($A7="","",ROUND($B7*$D7,2))</f>
        <v/>
      </c>
      <c r="F7" s="16">
        <f>IF($A7="","",IFERROR(SUMIF(tblAnahtarB[NormB],$A7,tblVeriB[Kargo]),0))</f>
        <v/>
      </c>
      <c r="G7" s="16">
        <f>IF($A7="","",IFERROR(SUMIF(tblAnahtarB[NormB],$A7,tblVeriB[IadeOran]),0))</f>
        <v/>
      </c>
      <c r="H7" s="16">
        <f>IF($A7="","",ROUND($B7*$G7,2))</f>
        <v/>
      </c>
      <c r="I7" s="16">
        <f>IF($A7="","",IFERROR(SUMIF(tblAnahtarB[NormB],$A7,tblVeriB[ReklamTutar]),0))</f>
        <v/>
      </c>
      <c r="J7" s="16">
        <f>IF($A7="","",ROUND($B7-$C7,2))</f>
        <v/>
      </c>
      <c r="K7" s="16">
        <f>IF($A7="","",ROUND($B7-$C7-$E7-$F7-$H7-$I7,2))</f>
        <v/>
      </c>
      <c r="L7" s="16">
        <f>IF(OR($A7="",$B7=0),0,$K7/$B7)</f>
        <v/>
      </c>
      <c r="M7" s="16">
        <f>IF($A7="","",IF((1-$D7-$G7)&lt;=0,0,ROUND(($C7+$F7+$I7)/(1-$D7-$G7),2)))</f>
        <v/>
      </c>
      <c r="N7" s="16">
        <f>IF($A7="","",IFERROR(SUMIF(tblAnahtarA[Norm],$A7,tblVeriA[HedefNet]),0))</f>
        <v/>
      </c>
      <c r="O7" s="16">
        <f>IF($A7="","",ROUND($K7-$N7,2))</f>
        <v/>
      </c>
      <c r="P7" s="16">
        <f>IF($A7="","",IF($L7&lt;egk_esikKatkiDusuk,"ZAM YAP",IF(AND($R7=1,$L7&lt;egk_esikKatkiHedef),"İNDİRİMİ KES","TUT")))</f>
        <v/>
      </c>
      <c r="Q7" s="16">
        <f>IF($A7="","",IFERROR(SUMIF(tblAnahtarB[NormB],$A7,tblVeriB[Roas]),0))</f>
        <v/>
      </c>
      <c r="R7" s="16">
        <f>IF($A7="","",IF(OR(IFERROR(INDEX(tblVeriA[YorumAB],MATCH($A7,tblAnahtarA[Norm],0)),"")="B",IFERROR(INDEX(tblVeriA[Durum],MATCH($A7,tblAnahtarA[Norm],0)),"")="Kampanya"),1,0))</f>
        <v/>
      </c>
      <c r="S7" s="16">
        <f>IF($A7="","",$J7-$E7)</f>
        <v/>
      </c>
      <c r="T7" s="16">
        <f>IF($A7="","",$K7-$O7)</f>
        <v/>
      </c>
    </row>
    <row r="8">
      <c r="A8" s="16">
        <f>IF('ANAHTAR'!$B8="","",'ANAHTAR'!$B8)</f>
        <v/>
      </c>
      <c r="B8" s="16">
        <f>IF($A8="","",IFERROR(SUMIF(tblAnahtarA[Norm],$A8,tblVeriA[SatisFiyati]),0))</f>
        <v/>
      </c>
      <c r="C8" s="16">
        <f>IF($A8="","",IFERROR(SUMIF(tblAnahtarA[Norm],$A8,tblVeriA[Maliyet]),0))</f>
        <v/>
      </c>
      <c r="D8" s="16">
        <f>IF($A8="","",IFERROR(SUMIF(tblAnahtarB[NormB],$A8,tblVeriB[KomisyonOran]),0))</f>
        <v/>
      </c>
      <c r="E8" s="16">
        <f>IF($A8="","",ROUND($B8*$D8,2))</f>
        <v/>
      </c>
      <c r="F8" s="16">
        <f>IF($A8="","",IFERROR(SUMIF(tblAnahtarB[NormB],$A8,tblVeriB[Kargo]),0))</f>
        <v/>
      </c>
      <c r="G8" s="16">
        <f>IF($A8="","",IFERROR(SUMIF(tblAnahtarB[NormB],$A8,tblVeriB[IadeOran]),0))</f>
        <v/>
      </c>
      <c r="H8" s="16">
        <f>IF($A8="","",ROUND($B8*$G8,2))</f>
        <v/>
      </c>
      <c r="I8" s="16">
        <f>IF($A8="","",IFERROR(SUMIF(tblAnahtarB[NormB],$A8,tblVeriB[ReklamTutar]),0))</f>
        <v/>
      </c>
      <c r="J8" s="16">
        <f>IF($A8="","",ROUND($B8-$C8,2))</f>
        <v/>
      </c>
      <c r="K8" s="16">
        <f>IF($A8="","",ROUND($B8-$C8-$E8-$F8-$H8-$I8,2))</f>
        <v/>
      </c>
      <c r="L8" s="16">
        <f>IF(OR($A8="",$B8=0),0,$K8/$B8)</f>
        <v/>
      </c>
      <c r="M8" s="16">
        <f>IF($A8="","",IF((1-$D8-$G8)&lt;=0,0,ROUND(($C8+$F8+$I8)/(1-$D8-$G8),2)))</f>
        <v/>
      </c>
      <c r="N8" s="16">
        <f>IF($A8="","",IFERROR(SUMIF(tblAnahtarA[Norm],$A8,tblVeriA[HedefNet]),0))</f>
        <v/>
      </c>
      <c r="O8" s="16">
        <f>IF($A8="","",ROUND($K8-$N8,2))</f>
        <v/>
      </c>
      <c r="P8" s="16">
        <f>IF($A8="","",IF($L8&lt;egk_esikKatkiDusuk,"ZAM YAP",IF(AND($R8=1,$L8&lt;egk_esikKatkiHedef),"İNDİRİMİ KES","TUT")))</f>
        <v/>
      </c>
      <c r="Q8" s="16">
        <f>IF($A8="","",IFERROR(SUMIF(tblAnahtarB[NormB],$A8,tblVeriB[Roas]),0))</f>
        <v/>
      </c>
      <c r="R8" s="16">
        <f>IF($A8="","",IF(OR(IFERROR(INDEX(tblVeriA[YorumAB],MATCH($A8,tblAnahtarA[Norm],0)),"")="B",IFERROR(INDEX(tblVeriA[Durum],MATCH($A8,tblAnahtarA[Norm],0)),"")="Kampanya"),1,0))</f>
        <v/>
      </c>
      <c r="S8" s="16">
        <f>IF($A8="","",$J8-$E8)</f>
        <v/>
      </c>
      <c r="T8" s="16">
        <f>IF($A8="","",$K8-$O8)</f>
        <v/>
      </c>
    </row>
    <row r="9">
      <c r="A9" s="16">
        <f>IF('ANAHTAR'!$B9="","",'ANAHTAR'!$B9)</f>
        <v/>
      </c>
      <c r="B9" s="16">
        <f>IF($A9="","",IFERROR(SUMIF(tblAnahtarA[Norm],$A9,tblVeriA[SatisFiyati]),0))</f>
        <v/>
      </c>
      <c r="C9" s="16">
        <f>IF($A9="","",IFERROR(SUMIF(tblAnahtarA[Norm],$A9,tblVeriA[Maliyet]),0))</f>
        <v/>
      </c>
      <c r="D9" s="16">
        <f>IF($A9="","",IFERROR(SUMIF(tblAnahtarB[NormB],$A9,tblVeriB[KomisyonOran]),0))</f>
        <v/>
      </c>
      <c r="E9" s="16">
        <f>IF($A9="","",ROUND($B9*$D9,2))</f>
        <v/>
      </c>
      <c r="F9" s="16">
        <f>IF($A9="","",IFERROR(SUMIF(tblAnahtarB[NormB],$A9,tblVeriB[Kargo]),0))</f>
        <v/>
      </c>
      <c r="G9" s="16">
        <f>IF($A9="","",IFERROR(SUMIF(tblAnahtarB[NormB],$A9,tblVeriB[IadeOran]),0))</f>
        <v/>
      </c>
      <c r="H9" s="16">
        <f>IF($A9="","",ROUND($B9*$G9,2))</f>
        <v/>
      </c>
      <c r="I9" s="16">
        <f>IF($A9="","",IFERROR(SUMIF(tblAnahtarB[NormB],$A9,tblVeriB[ReklamTutar]),0))</f>
        <v/>
      </c>
      <c r="J9" s="16">
        <f>IF($A9="","",ROUND($B9-$C9,2))</f>
        <v/>
      </c>
      <c r="K9" s="16">
        <f>IF($A9="","",ROUND($B9-$C9-$E9-$F9-$H9-$I9,2))</f>
        <v/>
      </c>
      <c r="L9" s="16">
        <f>IF(OR($A9="",$B9=0),0,$K9/$B9)</f>
        <v/>
      </c>
      <c r="M9" s="16">
        <f>IF($A9="","",IF((1-$D9-$G9)&lt;=0,0,ROUND(($C9+$F9+$I9)/(1-$D9-$G9),2)))</f>
        <v/>
      </c>
      <c r="N9" s="16">
        <f>IF($A9="","",IFERROR(SUMIF(tblAnahtarA[Norm],$A9,tblVeriA[HedefNet]),0))</f>
        <v/>
      </c>
      <c r="O9" s="16">
        <f>IF($A9="","",ROUND($K9-$N9,2))</f>
        <v/>
      </c>
      <c r="P9" s="16">
        <f>IF($A9="","",IF($L9&lt;egk_esikKatkiDusuk,"ZAM YAP",IF(AND($R9=1,$L9&lt;egk_esikKatkiHedef),"İNDİRİMİ KES","TUT")))</f>
        <v/>
      </c>
      <c r="Q9" s="16">
        <f>IF($A9="","",IFERROR(SUMIF(tblAnahtarB[NormB],$A9,tblVeriB[Roas]),0))</f>
        <v/>
      </c>
      <c r="R9" s="16">
        <f>IF($A9="","",IF(OR(IFERROR(INDEX(tblVeriA[YorumAB],MATCH($A9,tblAnahtarA[Norm],0)),"")="B",IFERROR(INDEX(tblVeriA[Durum],MATCH($A9,tblAnahtarA[Norm],0)),"")="Kampanya"),1,0))</f>
        <v/>
      </c>
      <c r="S9" s="16">
        <f>IF($A9="","",$J9-$E9)</f>
        <v/>
      </c>
      <c r="T9" s="16">
        <f>IF($A9="","",$K9-$O9)</f>
        <v/>
      </c>
    </row>
    <row r="10">
      <c r="A10" s="16">
        <f>IF('ANAHTAR'!$B10="","",'ANAHTAR'!$B10)</f>
        <v/>
      </c>
      <c r="B10" s="16">
        <f>IF($A10="","",IFERROR(SUMIF(tblAnahtarA[Norm],$A10,tblVeriA[SatisFiyati]),0))</f>
        <v/>
      </c>
      <c r="C10" s="16">
        <f>IF($A10="","",IFERROR(SUMIF(tblAnahtarA[Norm],$A10,tblVeriA[Maliyet]),0))</f>
        <v/>
      </c>
      <c r="D10" s="16">
        <f>IF($A10="","",IFERROR(SUMIF(tblAnahtarB[NormB],$A10,tblVeriB[KomisyonOran]),0))</f>
        <v/>
      </c>
      <c r="E10" s="16">
        <f>IF($A10="","",ROUND($B10*$D10,2))</f>
        <v/>
      </c>
      <c r="F10" s="16">
        <f>IF($A10="","",IFERROR(SUMIF(tblAnahtarB[NormB],$A10,tblVeriB[Kargo]),0))</f>
        <v/>
      </c>
      <c r="G10" s="16">
        <f>IF($A10="","",IFERROR(SUMIF(tblAnahtarB[NormB],$A10,tblVeriB[IadeOran]),0))</f>
        <v/>
      </c>
      <c r="H10" s="16">
        <f>IF($A10="","",ROUND($B10*$G10,2))</f>
        <v/>
      </c>
      <c r="I10" s="16">
        <f>IF($A10="","",IFERROR(SUMIF(tblAnahtarB[NormB],$A10,tblVeriB[ReklamTutar]),0))</f>
        <v/>
      </c>
      <c r="J10" s="16">
        <f>IF($A10="","",ROUND($B10-$C10,2))</f>
        <v/>
      </c>
      <c r="K10" s="16">
        <f>IF($A10="","",ROUND($B10-$C10-$E10-$F10-$H10-$I10,2))</f>
        <v/>
      </c>
      <c r="L10" s="16">
        <f>IF(OR($A10="",$B10=0),0,$K10/$B10)</f>
        <v/>
      </c>
      <c r="M10" s="16">
        <f>IF($A10="","",IF((1-$D10-$G10)&lt;=0,0,ROUND(($C10+$F10+$I10)/(1-$D10-$G10),2)))</f>
        <v/>
      </c>
      <c r="N10" s="16">
        <f>IF($A10="","",IFERROR(SUMIF(tblAnahtarA[Norm],$A10,tblVeriA[HedefNet]),0))</f>
        <v/>
      </c>
      <c r="O10" s="16">
        <f>IF($A10="","",ROUND($K10-$N10,2))</f>
        <v/>
      </c>
      <c r="P10" s="16">
        <f>IF($A10="","",IF($L10&lt;egk_esikKatkiDusuk,"ZAM YAP",IF(AND($R10=1,$L10&lt;egk_esikKatkiHedef),"İNDİRİMİ KES","TUT")))</f>
        <v/>
      </c>
      <c r="Q10" s="16">
        <f>IF($A10="","",IFERROR(SUMIF(tblAnahtarB[NormB],$A10,tblVeriB[Roas]),0))</f>
        <v/>
      </c>
      <c r="R10" s="16">
        <f>IF($A10="","",IF(OR(IFERROR(INDEX(tblVeriA[YorumAB],MATCH($A10,tblAnahtarA[Norm],0)),"")="B",IFERROR(INDEX(tblVeriA[Durum],MATCH($A10,tblAnahtarA[Norm],0)),"")="Kampanya"),1,0))</f>
        <v/>
      </c>
      <c r="S10" s="16">
        <f>IF($A10="","",$J10-$E10)</f>
        <v/>
      </c>
      <c r="T10" s="16">
        <f>IF($A10="","",$K10-$O10)</f>
        <v/>
      </c>
    </row>
    <row r="11">
      <c r="A11" s="16">
        <f>IF('ANAHTAR'!$B11="","",'ANAHTAR'!$B11)</f>
        <v/>
      </c>
      <c r="B11" s="16">
        <f>IF($A11="","",IFERROR(SUMIF(tblAnahtarA[Norm],$A11,tblVeriA[SatisFiyati]),0))</f>
        <v/>
      </c>
      <c r="C11" s="16">
        <f>IF($A11="","",IFERROR(SUMIF(tblAnahtarA[Norm],$A11,tblVeriA[Maliyet]),0))</f>
        <v/>
      </c>
      <c r="D11" s="16">
        <f>IF($A11="","",IFERROR(SUMIF(tblAnahtarB[NormB],$A11,tblVeriB[KomisyonOran]),0))</f>
        <v/>
      </c>
      <c r="E11" s="16">
        <f>IF($A11="","",ROUND($B11*$D11,2))</f>
        <v/>
      </c>
      <c r="F11" s="16">
        <f>IF($A11="","",IFERROR(SUMIF(tblAnahtarB[NormB],$A11,tblVeriB[Kargo]),0))</f>
        <v/>
      </c>
      <c r="G11" s="16">
        <f>IF($A11="","",IFERROR(SUMIF(tblAnahtarB[NormB],$A11,tblVeriB[IadeOran]),0))</f>
        <v/>
      </c>
      <c r="H11" s="16">
        <f>IF($A11="","",ROUND($B11*$G11,2))</f>
        <v/>
      </c>
      <c r="I11" s="16">
        <f>IF($A11="","",IFERROR(SUMIF(tblAnahtarB[NormB],$A11,tblVeriB[ReklamTutar]),0))</f>
        <v/>
      </c>
      <c r="J11" s="16">
        <f>IF($A11="","",ROUND($B11-$C11,2))</f>
        <v/>
      </c>
      <c r="K11" s="16">
        <f>IF($A11="","",ROUND($B11-$C11-$E11-$F11-$H11-$I11,2))</f>
        <v/>
      </c>
      <c r="L11" s="16">
        <f>IF(OR($A11="",$B11=0),0,$K11/$B11)</f>
        <v/>
      </c>
      <c r="M11" s="16">
        <f>IF($A11="","",IF((1-$D11-$G11)&lt;=0,0,ROUND(($C11+$F11+$I11)/(1-$D11-$G11),2)))</f>
        <v/>
      </c>
      <c r="N11" s="16">
        <f>IF($A11="","",IFERROR(SUMIF(tblAnahtarA[Norm],$A11,tblVeriA[HedefNet]),0))</f>
        <v/>
      </c>
      <c r="O11" s="16">
        <f>IF($A11="","",ROUND($K11-$N11,2))</f>
        <v/>
      </c>
      <c r="P11" s="16">
        <f>IF($A11="","",IF($L11&lt;egk_esikKatkiDusuk,"ZAM YAP",IF(AND($R11=1,$L11&lt;egk_esikKatkiHedef),"İNDİRİMİ KES","TUT")))</f>
        <v/>
      </c>
      <c r="Q11" s="16">
        <f>IF($A11="","",IFERROR(SUMIF(tblAnahtarB[NormB],$A11,tblVeriB[Roas]),0))</f>
        <v/>
      </c>
      <c r="R11" s="16">
        <f>IF($A11="","",IF(OR(IFERROR(INDEX(tblVeriA[YorumAB],MATCH($A11,tblAnahtarA[Norm],0)),"")="B",IFERROR(INDEX(tblVeriA[Durum],MATCH($A11,tblAnahtarA[Norm],0)),"")="Kampanya"),1,0))</f>
        <v/>
      </c>
      <c r="S11" s="16">
        <f>IF($A11="","",$J11-$E11)</f>
        <v/>
      </c>
      <c r="T11" s="16">
        <f>IF($A11="","",$K11-$O11)</f>
        <v/>
      </c>
    </row>
    <row r="12">
      <c r="A12" s="16">
        <f>IF('ANAHTAR'!$B12="","",'ANAHTAR'!$B12)</f>
        <v/>
      </c>
      <c r="B12" s="16">
        <f>IF($A12="","",IFERROR(SUMIF(tblAnahtarA[Norm],$A12,tblVeriA[SatisFiyati]),0))</f>
        <v/>
      </c>
      <c r="C12" s="16">
        <f>IF($A12="","",IFERROR(SUMIF(tblAnahtarA[Norm],$A12,tblVeriA[Maliyet]),0))</f>
        <v/>
      </c>
      <c r="D12" s="16">
        <f>IF($A12="","",IFERROR(SUMIF(tblAnahtarB[NormB],$A12,tblVeriB[KomisyonOran]),0))</f>
        <v/>
      </c>
      <c r="E12" s="16">
        <f>IF($A12="","",ROUND($B12*$D12,2))</f>
        <v/>
      </c>
      <c r="F12" s="16">
        <f>IF($A12="","",IFERROR(SUMIF(tblAnahtarB[NormB],$A12,tblVeriB[Kargo]),0))</f>
        <v/>
      </c>
      <c r="G12" s="16">
        <f>IF($A12="","",IFERROR(SUMIF(tblAnahtarB[NormB],$A12,tblVeriB[IadeOran]),0))</f>
        <v/>
      </c>
      <c r="H12" s="16">
        <f>IF($A12="","",ROUND($B12*$G12,2))</f>
        <v/>
      </c>
      <c r="I12" s="16">
        <f>IF($A12="","",IFERROR(SUMIF(tblAnahtarB[NormB],$A12,tblVeriB[ReklamTutar]),0))</f>
        <v/>
      </c>
      <c r="J12" s="16">
        <f>IF($A12="","",ROUND($B12-$C12,2))</f>
        <v/>
      </c>
      <c r="K12" s="16">
        <f>IF($A12="","",ROUND($B12-$C12-$E12-$F12-$H12-$I12,2))</f>
        <v/>
      </c>
      <c r="L12" s="16">
        <f>IF(OR($A12="",$B12=0),0,$K12/$B12)</f>
        <v/>
      </c>
      <c r="M12" s="16">
        <f>IF($A12="","",IF((1-$D12-$G12)&lt;=0,0,ROUND(($C12+$F12+$I12)/(1-$D12-$G12),2)))</f>
        <v/>
      </c>
      <c r="N12" s="16">
        <f>IF($A12="","",IFERROR(SUMIF(tblAnahtarA[Norm],$A12,tblVeriA[HedefNet]),0))</f>
        <v/>
      </c>
      <c r="O12" s="16">
        <f>IF($A12="","",ROUND($K12-$N12,2))</f>
        <v/>
      </c>
      <c r="P12" s="16">
        <f>IF($A12="","",IF($L12&lt;egk_esikKatkiDusuk,"ZAM YAP",IF(AND($R12=1,$L12&lt;egk_esikKatkiHedef),"İNDİRİMİ KES","TUT")))</f>
        <v/>
      </c>
      <c r="Q12" s="16">
        <f>IF($A12="","",IFERROR(SUMIF(tblAnahtarB[NormB],$A12,tblVeriB[Roas]),0))</f>
        <v/>
      </c>
      <c r="R12" s="16">
        <f>IF($A12="","",IF(OR(IFERROR(INDEX(tblVeriA[YorumAB],MATCH($A12,tblAnahtarA[Norm],0)),"")="B",IFERROR(INDEX(tblVeriA[Durum],MATCH($A12,tblAnahtarA[Norm],0)),"")="Kampanya"),1,0))</f>
        <v/>
      </c>
      <c r="S12" s="16">
        <f>IF($A12="","",$J12-$E12)</f>
        <v/>
      </c>
      <c r="T12" s="16">
        <f>IF($A12="","",$K12-$O12)</f>
        <v/>
      </c>
    </row>
    <row r="13">
      <c r="A13" s="16">
        <f>IF('ANAHTAR'!$B13="","",'ANAHTAR'!$B13)</f>
        <v/>
      </c>
      <c r="B13" s="16">
        <f>IF($A13="","",IFERROR(SUMIF(tblAnahtarA[Norm],$A13,tblVeriA[SatisFiyati]),0))</f>
        <v/>
      </c>
      <c r="C13" s="16">
        <f>IF($A13="","",IFERROR(SUMIF(tblAnahtarA[Norm],$A13,tblVeriA[Maliyet]),0))</f>
        <v/>
      </c>
      <c r="D13" s="16">
        <f>IF($A13="","",IFERROR(SUMIF(tblAnahtarB[NormB],$A13,tblVeriB[KomisyonOran]),0))</f>
        <v/>
      </c>
      <c r="E13" s="16">
        <f>IF($A13="","",ROUND($B13*$D13,2))</f>
        <v/>
      </c>
      <c r="F13" s="16">
        <f>IF($A13="","",IFERROR(SUMIF(tblAnahtarB[NormB],$A13,tblVeriB[Kargo]),0))</f>
        <v/>
      </c>
      <c r="G13" s="16">
        <f>IF($A13="","",IFERROR(SUMIF(tblAnahtarB[NormB],$A13,tblVeriB[IadeOran]),0))</f>
        <v/>
      </c>
      <c r="H13" s="16">
        <f>IF($A13="","",ROUND($B13*$G13,2))</f>
        <v/>
      </c>
      <c r="I13" s="16">
        <f>IF($A13="","",IFERROR(SUMIF(tblAnahtarB[NormB],$A13,tblVeriB[ReklamTutar]),0))</f>
        <v/>
      </c>
      <c r="J13" s="16">
        <f>IF($A13="","",ROUND($B13-$C13,2))</f>
        <v/>
      </c>
      <c r="K13" s="16">
        <f>IF($A13="","",ROUND($B13-$C13-$E13-$F13-$H13-$I13,2))</f>
        <v/>
      </c>
      <c r="L13" s="16">
        <f>IF(OR($A13="",$B13=0),0,$K13/$B13)</f>
        <v/>
      </c>
      <c r="M13" s="16">
        <f>IF($A13="","",IF((1-$D13-$G13)&lt;=0,0,ROUND(($C13+$F13+$I13)/(1-$D13-$G13),2)))</f>
        <v/>
      </c>
      <c r="N13" s="16">
        <f>IF($A13="","",IFERROR(SUMIF(tblAnahtarA[Norm],$A13,tblVeriA[HedefNet]),0))</f>
        <v/>
      </c>
      <c r="O13" s="16">
        <f>IF($A13="","",ROUND($K13-$N13,2))</f>
        <v/>
      </c>
      <c r="P13" s="16">
        <f>IF($A13="","",IF($L13&lt;egk_esikKatkiDusuk,"ZAM YAP",IF(AND($R13=1,$L13&lt;egk_esikKatkiHedef),"İNDİRİMİ KES","TUT")))</f>
        <v/>
      </c>
      <c r="Q13" s="16">
        <f>IF($A13="","",IFERROR(SUMIF(tblAnahtarB[NormB],$A13,tblVeriB[Roas]),0))</f>
        <v/>
      </c>
      <c r="R13" s="16">
        <f>IF($A13="","",IF(OR(IFERROR(INDEX(tblVeriA[YorumAB],MATCH($A13,tblAnahtarA[Norm],0)),"")="B",IFERROR(INDEX(tblVeriA[Durum],MATCH($A13,tblAnahtarA[Norm],0)),"")="Kampanya"),1,0))</f>
        <v/>
      </c>
      <c r="S13" s="16">
        <f>IF($A13="","",$J13-$E13)</f>
        <v/>
      </c>
      <c r="T13" s="16">
        <f>IF($A13="","",$K13-$O13)</f>
        <v/>
      </c>
    </row>
    <row r="14">
      <c r="A14" s="16">
        <f>IF('ANAHTAR'!$B14="","",'ANAHTAR'!$B14)</f>
        <v/>
      </c>
      <c r="B14" s="16">
        <f>IF($A14="","",IFERROR(SUMIF(tblAnahtarA[Norm],$A14,tblVeriA[SatisFiyati]),0))</f>
        <v/>
      </c>
      <c r="C14" s="16">
        <f>IF($A14="","",IFERROR(SUMIF(tblAnahtarA[Norm],$A14,tblVeriA[Maliyet]),0))</f>
        <v/>
      </c>
      <c r="D14" s="16">
        <f>IF($A14="","",IFERROR(SUMIF(tblAnahtarB[NormB],$A14,tblVeriB[KomisyonOran]),0))</f>
        <v/>
      </c>
      <c r="E14" s="16">
        <f>IF($A14="","",ROUND($B14*$D14,2))</f>
        <v/>
      </c>
      <c r="F14" s="16">
        <f>IF($A14="","",IFERROR(SUMIF(tblAnahtarB[NormB],$A14,tblVeriB[Kargo]),0))</f>
        <v/>
      </c>
      <c r="G14" s="16">
        <f>IF($A14="","",IFERROR(SUMIF(tblAnahtarB[NormB],$A14,tblVeriB[IadeOran]),0))</f>
        <v/>
      </c>
      <c r="H14" s="16">
        <f>IF($A14="","",ROUND($B14*$G14,2))</f>
        <v/>
      </c>
      <c r="I14" s="16">
        <f>IF($A14="","",IFERROR(SUMIF(tblAnahtarB[NormB],$A14,tblVeriB[ReklamTutar]),0))</f>
        <v/>
      </c>
      <c r="J14" s="16">
        <f>IF($A14="","",ROUND($B14-$C14,2))</f>
        <v/>
      </c>
      <c r="K14" s="16">
        <f>IF($A14="","",ROUND($B14-$C14-$E14-$F14-$H14-$I14,2))</f>
        <v/>
      </c>
      <c r="L14" s="16">
        <f>IF(OR($A14="",$B14=0),0,$K14/$B14)</f>
        <v/>
      </c>
      <c r="M14" s="16">
        <f>IF($A14="","",IF((1-$D14-$G14)&lt;=0,0,ROUND(($C14+$F14+$I14)/(1-$D14-$G14),2)))</f>
        <v/>
      </c>
      <c r="N14" s="16">
        <f>IF($A14="","",IFERROR(SUMIF(tblAnahtarA[Norm],$A14,tblVeriA[HedefNet]),0))</f>
        <v/>
      </c>
      <c r="O14" s="16">
        <f>IF($A14="","",ROUND($K14-$N14,2))</f>
        <v/>
      </c>
      <c r="P14" s="16">
        <f>IF($A14="","",IF($L14&lt;egk_esikKatkiDusuk,"ZAM YAP",IF(AND($R14=1,$L14&lt;egk_esikKatkiHedef),"İNDİRİMİ KES","TUT")))</f>
        <v/>
      </c>
      <c r="Q14" s="16">
        <f>IF($A14="","",IFERROR(SUMIF(tblAnahtarB[NormB],$A14,tblVeriB[Roas]),0))</f>
        <v/>
      </c>
      <c r="R14" s="16">
        <f>IF($A14="","",IF(OR(IFERROR(INDEX(tblVeriA[YorumAB],MATCH($A14,tblAnahtarA[Norm],0)),"")="B",IFERROR(INDEX(tblVeriA[Durum],MATCH($A14,tblAnahtarA[Norm],0)),"")="Kampanya"),1,0))</f>
        <v/>
      </c>
      <c r="S14" s="16">
        <f>IF($A14="","",$J14-$E14)</f>
        <v/>
      </c>
      <c r="T14" s="16">
        <f>IF($A14="","",$K14-$O14)</f>
        <v/>
      </c>
    </row>
    <row r="15">
      <c r="A15" s="16">
        <f>IF('ANAHTAR'!$B15="","",'ANAHTAR'!$B15)</f>
        <v/>
      </c>
      <c r="B15" s="16">
        <f>IF($A15="","",IFERROR(SUMIF(tblAnahtarA[Norm],$A15,tblVeriA[SatisFiyati]),0))</f>
        <v/>
      </c>
      <c r="C15" s="16">
        <f>IF($A15="","",IFERROR(SUMIF(tblAnahtarA[Norm],$A15,tblVeriA[Maliyet]),0))</f>
        <v/>
      </c>
      <c r="D15" s="16">
        <f>IF($A15="","",IFERROR(SUMIF(tblAnahtarB[NormB],$A15,tblVeriB[KomisyonOran]),0))</f>
        <v/>
      </c>
      <c r="E15" s="16">
        <f>IF($A15="","",ROUND($B15*$D15,2))</f>
        <v/>
      </c>
      <c r="F15" s="16">
        <f>IF($A15="","",IFERROR(SUMIF(tblAnahtarB[NormB],$A15,tblVeriB[Kargo]),0))</f>
        <v/>
      </c>
      <c r="G15" s="16">
        <f>IF($A15="","",IFERROR(SUMIF(tblAnahtarB[NormB],$A15,tblVeriB[IadeOran]),0))</f>
        <v/>
      </c>
      <c r="H15" s="16">
        <f>IF($A15="","",ROUND($B15*$G15,2))</f>
        <v/>
      </c>
      <c r="I15" s="16">
        <f>IF($A15="","",IFERROR(SUMIF(tblAnahtarB[NormB],$A15,tblVeriB[ReklamTutar]),0))</f>
        <v/>
      </c>
      <c r="J15" s="16">
        <f>IF($A15="","",ROUND($B15-$C15,2))</f>
        <v/>
      </c>
      <c r="K15" s="16">
        <f>IF($A15="","",ROUND($B15-$C15-$E15-$F15-$H15-$I15,2))</f>
        <v/>
      </c>
      <c r="L15" s="16">
        <f>IF(OR($A15="",$B15=0),0,$K15/$B15)</f>
        <v/>
      </c>
      <c r="M15" s="16">
        <f>IF($A15="","",IF((1-$D15-$G15)&lt;=0,0,ROUND(($C15+$F15+$I15)/(1-$D15-$G15),2)))</f>
        <v/>
      </c>
      <c r="N15" s="16">
        <f>IF($A15="","",IFERROR(SUMIF(tblAnahtarA[Norm],$A15,tblVeriA[HedefNet]),0))</f>
        <v/>
      </c>
      <c r="O15" s="16">
        <f>IF($A15="","",ROUND($K15-$N15,2))</f>
        <v/>
      </c>
      <c r="P15" s="16">
        <f>IF($A15="","",IF($L15&lt;egk_esikKatkiDusuk,"ZAM YAP",IF(AND($R15=1,$L15&lt;egk_esikKatkiHedef),"İNDİRİMİ KES","TUT")))</f>
        <v/>
      </c>
      <c r="Q15" s="16">
        <f>IF($A15="","",IFERROR(SUMIF(tblAnahtarB[NormB],$A15,tblVeriB[Roas]),0))</f>
        <v/>
      </c>
      <c r="R15" s="16">
        <f>IF($A15="","",IF(OR(IFERROR(INDEX(tblVeriA[YorumAB],MATCH($A15,tblAnahtarA[Norm],0)),"")="B",IFERROR(INDEX(tblVeriA[Durum],MATCH($A15,tblAnahtarA[Norm],0)),"")="Kampanya"),1,0))</f>
        <v/>
      </c>
      <c r="S15" s="16">
        <f>IF($A15="","",$J15-$E15)</f>
        <v/>
      </c>
      <c r="T15" s="16">
        <f>IF($A15="","",$K15-$O15)</f>
        <v/>
      </c>
    </row>
    <row r="16">
      <c r="A16" s="16">
        <f>IF('ANAHTAR'!$B16="","",'ANAHTAR'!$B16)</f>
        <v/>
      </c>
      <c r="B16" s="16">
        <f>IF($A16="","",IFERROR(SUMIF(tblAnahtarA[Norm],$A16,tblVeriA[SatisFiyati]),0))</f>
        <v/>
      </c>
      <c r="C16" s="16">
        <f>IF($A16="","",IFERROR(SUMIF(tblAnahtarA[Norm],$A16,tblVeriA[Maliyet]),0))</f>
        <v/>
      </c>
      <c r="D16" s="16">
        <f>IF($A16="","",IFERROR(SUMIF(tblAnahtarB[NormB],$A16,tblVeriB[KomisyonOran]),0))</f>
        <v/>
      </c>
      <c r="E16" s="16">
        <f>IF($A16="","",ROUND($B16*$D16,2))</f>
        <v/>
      </c>
      <c r="F16" s="16">
        <f>IF($A16="","",IFERROR(SUMIF(tblAnahtarB[NormB],$A16,tblVeriB[Kargo]),0))</f>
        <v/>
      </c>
      <c r="G16" s="16">
        <f>IF($A16="","",IFERROR(SUMIF(tblAnahtarB[NormB],$A16,tblVeriB[IadeOran]),0))</f>
        <v/>
      </c>
      <c r="H16" s="16">
        <f>IF($A16="","",ROUND($B16*$G16,2))</f>
        <v/>
      </c>
      <c r="I16" s="16">
        <f>IF($A16="","",IFERROR(SUMIF(tblAnahtarB[NormB],$A16,tblVeriB[ReklamTutar]),0))</f>
        <v/>
      </c>
      <c r="J16" s="16">
        <f>IF($A16="","",ROUND($B16-$C16,2))</f>
        <v/>
      </c>
      <c r="K16" s="16">
        <f>IF($A16="","",ROUND($B16-$C16-$E16-$F16-$H16-$I16,2))</f>
        <v/>
      </c>
      <c r="L16" s="16">
        <f>IF(OR($A16="",$B16=0),0,$K16/$B16)</f>
        <v/>
      </c>
      <c r="M16" s="16">
        <f>IF($A16="","",IF((1-$D16-$G16)&lt;=0,0,ROUND(($C16+$F16+$I16)/(1-$D16-$G16),2)))</f>
        <v/>
      </c>
      <c r="N16" s="16">
        <f>IF($A16="","",IFERROR(SUMIF(tblAnahtarA[Norm],$A16,tblVeriA[HedefNet]),0))</f>
        <v/>
      </c>
      <c r="O16" s="16">
        <f>IF($A16="","",ROUND($K16-$N16,2))</f>
        <v/>
      </c>
      <c r="P16" s="16">
        <f>IF($A16="","",IF($L16&lt;egk_esikKatkiDusuk,"ZAM YAP",IF(AND($R16=1,$L16&lt;egk_esikKatkiHedef),"İNDİRİMİ KES","TUT")))</f>
        <v/>
      </c>
      <c r="Q16" s="16">
        <f>IF($A16="","",IFERROR(SUMIF(tblAnahtarB[NormB],$A16,tblVeriB[Roas]),0))</f>
        <v/>
      </c>
      <c r="R16" s="16">
        <f>IF($A16="","",IF(OR(IFERROR(INDEX(tblVeriA[YorumAB],MATCH($A16,tblAnahtarA[Norm],0)),"")="B",IFERROR(INDEX(tblVeriA[Durum],MATCH($A16,tblAnahtarA[Norm],0)),"")="Kampanya"),1,0))</f>
        <v/>
      </c>
      <c r="S16" s="16">
        <f>IF($A16="","",$J16-$E16)</f>
        <v/>
      </c>
      <c r="T16" s="16">
        <f>IF($A16="","",$K16-$O16)</f>
        <v/>
      </c>
    </row>
    <row r="17">
      <c r="A17" s="16">
        <f>IF('ANAHTAR'!$B17="","",'ANAHTAR'!$B17)</f>
        <v/>
      </c>
      <c r="B17" s="16">
        <f>IF($A17="","",IFERROR(SUMIF(tblAnahtarA[Norm],$A17,tblVeriA[SatisFiyati]),0))</f>
        <v/>
      </c>
      <c r="C17" s="16">
        <f>IF($A17="","",IFERROR(SUMIF(tblAnahtarA[Norm],$A17,tblVeriA[Maliyet]),0))</f>
        <v/>
      </c>
      <c r="D17" s="16">
        <f>IF($A17="","",IFERROR(SUMIF(tblAnahtarB[NormB],$A17,tblVeriB[KomisyonOran]),0))</f>
        <v/>
      </c>
      <c r="E17" s="16">
        <f>IF($A17="","",ROUND($B17*$D17,2))</f>
        <v/>
      </c>
      <c r="F17" s="16">
        <f>IF($A17="","",IFERROR(SUMIF(tblAnahtarB[NormB],$A17,tblVeriB[Kargo]),0))</f>
        <v/>
      </c>
      <c r="G17" s="16">
        <f>IF($A17="","",IFERROR(SUMIF(tblAnahtarB[NormB],$A17,tblVeriB[IadeOran]),0))</f>
        <v/>
      </c>
      <c r="H17" s="16">
        <f>IF($A17="","",ROUND($B17*$G17,2))</f>
        <v/>
      </c>
      <c r="I17" s="16">
        <f>IF($A17="","",IFERROR(SUMIF(tblAnahtarB[NormB],$A17,tblVeriB[ReklamTutar]),0))</f>
        <v/>
      </c>
      <c r="J17" s="16">
        <f>IF($A17="","",ROUND($B17-$C17,2))</f>
        <v/>
      </c>
      <c r="K17" s="16">
        <f>IF($A17="","",ROUND($B17-$C17-$E17-$F17-$H17-$I17,2))</f>
        <v/>
      </c>
      <c r="L17" s="16">
        <f>IF(OR($A17="",$B17=0),0,$K17/$B17)</f>
        <v/>
      </c>
      <c r="M17" s="16">
        <f>IF($A17="","",IF((1-$D17-$G17)&lt;=0,0,ROUND(($C17+$F17+$I17)/(1-$D17-$G17),2)))</f>
        <v/>
      </c>
      <c r="N17" s="16">
        <f>IF($A17="","",IFERROR(SUMIF(tblAnahtarA[Norm],$A17,tblVeriA[HedefNet]),0))</f>
        <v/>
      </c>
      <c r="O17" s="16">
        <f>IF($A17="","",ROUND($K17-$N17,2))</f>
        <v/>
      </c>
      <c r="P17" s="16">
        <f>IF($A17="","",IF($L17&lt;egk_esikKatkiDusuk,"ZAM YAP",IF(AND($R17=1,$L17&lt;egk_esikKatkiHedef),"İNDİRİMİ KES","TUT")))</f>
        <v/>
      </c>
      <c r="Q17" s="16">
        <f>IF($A17="","",IFERROR(SUMIF(tblAnahtarB[NormB],$A17,tblVeriB[Roas]),0))</f>
        <v/>
      </c>
      <c r="R17" s="16">
        <f>IF($A17="","",IF(OR(IFERROR(INDEX(tblVeriA[YorumAB],MATCH($A17,tblAnahtarA[Norm],0)),"")="B",IFERROR(INDEX(tblVeriA[Durum],MATCH($A17,tblAnahtarA[Norm],0)),"")="Kampanya"),1,0))</f>
        <v/>
      </c>
      <c r="S17" s="16">
        <f>IF($A17="","",$J17-$E17)</f>
        <v/>
      </c>
      <c r="T17" s="16">
        <f>IF($A17="","",$K17-$O17)</f>
        <v/>
      </c>
    </row>
    <row r="18">
      <c r="A18" s="16">
        <f>IF('ANAHTAR'!$B18="","",'ANAHTAR'!$B18)</f>
        <v/>
      </c>
      <c r="B18" s="16">
        <f>IF($A18="","",IFERROR(SUMIF(tblAnahtarA[Norm],$A18,tblVeriA[SatisFiyati]),0))</f>
        <v/>
      </c>
      <c r="C18" s="16">
        <f>IF($A18="","",IFERROR(SUMIF(tblAnahtarA[Norm],$A18,tblVeriA[Maliyet]),0))</f>
        <v/>
      </c>
      <c r="D18" s="16">
        <f>IF($A18="","",IFERROR(SUMIF(tblAnahtarB[NormB],$A18,tblVeriB[KomisyonOran]),0))</f>
        <v/>
      </c>
      <c r="E18" s="16">
        <f>IF($A18="","",ROUND($B18*$D18,2))</f>
        <v/>
      </c>
      <c r="F18" s="16">
        <f>IF($A18="","",IFERROR(SUMIF(tblAnahtarB[NormB],$A18,tblVeriB[Kargo]),0))</f>
        <v/>
      </c>
      <c r="G18" s="16">
        <f>IF($A18="","",IFERROR(SUMIF(tblAnahtarB[NormB],$A18,tblVeriB[IadeOran]),0))</f>
        <v/>
      </c>
      <c r="H18" s="16">
        <f>IF($A18="","",ROUND($B18*$G18,2))</f>
        <v/>
      </c>
      <c r="I18" s="16">
        <f>IF($A18="","",IFERROR(SUMIF(tblAnahtarB[NormB],$A18,tblVeriB[ReklamTutar]),0))</f>
        <v/>
      </c>
      <c r="J18" s="16">
        <f>IF($A18="","",ROUND($B18-$C18,2))</f>
        <v/>
      </c>
      <c r="K18" s="16">
        <f>IF($A18="","",ROUND($B18-$C18-$E18-$F18-$H18-$I18,2))</f>
        <v/>
      </c>
      <c r="L18" s="16">
        <f>IF(OR($A18="",$B18=0),0,$K18/$B18)</f>
        <v/>
      </c>
      <c r="M18" s="16">
        <f>IF($A18="","",IF((1-$D18-$G18)&lt;=0,0,ROUND(($C18+$F18+$I18)/(1-$D18-$G18),2)))</f>
        <v/>
      </c>
      <c r="N18" s="16">
        <f>IF($A18="","",IFERROR(SUMIF(tblAnahtarA[Norm],$A18,tblVeriA[HedefNet]),0))</f>
        <v/>
      </c>
      <c r="O18" s="16">
        <f>IF($A18="","",ROUND($K18-$N18,2))</f>
        <v/>
      </c>
      <c r="P18" s="16">
        <f>IF($A18="","",IF($L18&lt;egk_esikKatkiDusuk,"ZAM YAP",IF(AND($R18=1,$L18&lt;egk_esikKatkiHedef),"İNDİRİMİ KES","TUT")))</f>
        <v/>
      </c>
      <c r="Q18" s="16">
        <f>IF($A18="","",IFERROR(SUMIF(tblAnahtarB[NormB],$A18,tblVeriB[Roas]),0))</f>
        <v/>
      </c>
      <c r="R18" s="16">
        <f>IF($A18="","",IF(OR(IFERROR(INDEX(tblVeriA[YorumAB],MATCH($A18,tblAnahtarA[Norm],0)),"")="B",IFERROR(INDEX(tblVeriA[Durum],MATCH($A18,tblAnahtarA[Norm],0)),"")="Kampanya"),1,0))</f>
        <v/>
      </c>
      <c r="S18" s="16">
        <f>IF($A18="","",$J18-$E18)</f>
        <v/>
      </c>
      <c r="T18" s="16">
        <f>IF($A18="","",$K18-$O18)</f>
        <v/>
      </c>
    </row>
    <row r="19">
      <c r="A19" s="16">
        <f>IF('ANAHTAR'!$B19="","",'ANAHTAR'!$B19)</f>
        <v/>
      </c>
      <c r="B19" s="16">
        <f>IF($A19="","",IFERROR(SUMIF(tblAnahtarA[Norm],$A19,tblVeriA[SatisFiyati]),0))</f>
        <v/>
      </c>
      <c r="C19" s="16">
        <f>IF($A19="","",IFERROR(SUMIF(tblAnahtarA[Norm],$A19,tblVeriA[Maliyet]),0))</f>
        <v/>
      </c>
      <c r="D19" s="16">
        <f>IF($A19="","",IFERROR(SUMIF(tblAnahtarB[NormB],$A19,tblVeriB[KomisyonOran]),0))</f>
        <v/>
      </c>
      <c r="E19" s="16">
        <f>IF($A19="","",ROUND($B19*$D19,2))</f>
        <v/>
      </c>
      <c r="F19" s="16">
        <f>IF($A19="","",IFERROR(SUMIF(tblAnahtarB[NormB],$A19,tblVeriB[Kargo]),0))</f>
        <v/>
      </c>
      <c r="G19" s="16">
        <f>IF($A19="","",IFERROR(SUMIF(tblAnahtarB[NormB],$A19,tblVeriB[IadeOran]),0))</f>
        <v/>
      </c>
      <c r="H19" s="16">
        <f>IF($A19="","",ROUND($B19*$G19,2))</f>
        <v/>
      </c>
      <c r="I19" s="16">
        <f>IF($A19="","",IFERROR(SUMIF(tblAnahtarB[NormB],$A19,tblVeriB[ReklamTutar]),0))</f>
        <v/>
      </c>
      <c r="J19" s="16">
        <f>IF($A19="","",ROUND($B19-$C19,2))</f>
        <v/>
      </c>
      <c r="K19" s="16">
        <f>IF($A19="","",ROUND($B19-$C19-$E19-$F19-$H19-$I19,2))</f>
        <v/>
      </c>
      <c r="L19" s="16">
        <f>IF(OR($A19="",$B19=0),0,$K19/$B19)</f>
        <v/>
      </c>
      <c r="M19" s="16">
        <f>IF($A19="","",IF((1-$D19-$G19)&lt;=0,0,ROUND(($C19+$F19+$I19)/(1-$D19-$G19),2)))</f>
        <v/>
      </c>
      <c r="N19" s="16">
        <f>IF($A19="","",IFERROR(SUMIF(tblAnahtarA[Norm],$A19,tblVeriA[HedefNet]),0))</f>
        <v/>
      </c>
      <c r="O19" s="16">
        <f>IF($A19="","",ROUND($K19-$N19,2))</f>
        <v/>
      </c>
      <c r="P19" s="16">
        <f>IF($A19="","",IF($L19&lt;egk_esikKatkiDusuk,"ZAM YAP",IF(AND($R19=1,$L19&lt;egk_esikKatkiHedef),"İNDİRİMİ KES","TUT")))</f>
        <v/>
      </c>
      <c r="Q19" s="16">
        <f>IF($A19="","",IFERROR(SUMIF(tblAnahtarB[NormB],$A19,tblVeriB[Roas]),0))</f>
        <v/>
      </c>
      <c r="R19" s="16">
        <f>IF($A19="","",IF(OR(IFERROR(INDEX(tblVeriA[YorumAB],MATCH($A19,tblAnahtarA[Norm],0)),"")="B",IFERROR(INDEX(tblVeriA[Durum],MATCH($A19,tblAnahtarA[Norm],0)),"")="Kampanya"),1,0))</f>
        <v/>
      </c>
      <c r="S19" s="16">
        <f>IF($A19="","",$J19-$E19)</f>
        <v/>
      </c>
      <c r="T19" s="16">
        <f>IF($A19="","",$K19-$O19)</f>
        <v/>
      </c>
    </row>
    <row r="20">
      <c r="A20" s="16">
        <f>IF('ANAHTAR'!$B20="","",'ANAHTAR'!$B20)</f>
        <v/>
      </c>
      <c r="B20" s="16">
        <f>IF($A20="","",IFERROR(SUMIF(tblAnahtarA[Norm],$A20,tblVeriA[SatisFiyati]),0))</f>
        <v/>
      </c>
      <c r="C20" s="16">
        <f>IF($A20="","",IFERROR(SUMIF(tblAnahtarA[Norm],$A20,tblVeriA[Maliyet]),0))</f>
        <v/>
      </c>
      <c r="D20" s="16">
        <f>IF($A20="","",IFERROR(SUMIF(tblAnahtarB[NormB],$A20,tblVeriB[KomisyonOran]),0))</f>
        <v/>
      </c>
      <c r="E20" s="16">
        <f>IF($A20="","",ROUND($B20*$D20,2))</f>
        <v/>
      </c>
      <c r="F20" s="16">
        <f>IF($A20="","",IFERROR(SUMIF(tblAnahtarB[NormB],$A20,tblVeriB[Kargo]),0))</f>
        <v/>
      </c>
      <c r="G20" s="16">
        <f>IF($A20="","",IFERROR(SUMIF(tblAnahtarB[NormB],$A20,tblVeriB[IadeOran]),0))</f>
        <v/>
      </c>
      <c r="H20" s="16">
        <f>IF($A20="","",ROUND($B20*$G20,2))</f>
        <v/>
      </c>
      <c r="I20" s="16">
        <f>IF($A20="","",IFERROR(SUMIF(tblAnahtarB[NormB],$A20,tblVeriB[ReklamTutar]),0))</f>
        <v/>
      </c>
      <c r="J20" s="16">
        <f>IF($A20="","",ROUND($B20-$C20,2))</f>
        <v/>
      </c>
      <c r="K20" s="16">
        <f>IF($A20="","",ROUND($B20-$C20-$E20-$F20-$H20-$I20,2))</f>
        <v/>
      </c>
      <c r="L20" s="16">
        <f>IF(OR($A20="",$B20=0),0,$K20/$B20)</f>
        <v/>
      </c>
      <c r="M20" s="16">
        <f>IF($A20="","",IF((1-$D20-$G20)&lt;=0,0,ROUND(($C20+$F20+$I20)/(1-$D20-$G20),2)))</f>
        <v/>
      </c>
      <c r="N20" s="16">
        <f>IF($A20="","",IFERROR(SUMIF(tblAnahtarA[Norm],$A20,tblVeriA[HedefNet]),0))</f>
        <v/>
      </c>
      <c r="O20" s="16">
        <f>IF($A20="","",ROUND($K20-$N20,2))</f>
        <v/>
      </c>
      <c r="P20" s="16">
        <f>IF($A20="","",IF($L20&lt;egk_esikKatkiDusuk,"ZAM YAP",IF(AND($R20=1,$L20&lt;egk_esikKatkiHedef),"İNDİRİMİ KES","TUT")))</f>
        <v/>
      </c>
      <c r="Q20" s="16">
        <f>IF($A20="","",IFERROR(SUMIF(tblAnahtarB[NormB],$A20,tblVeriB[Roas]),0))</f>
        <v/>
      </c>
      <c r="R20" s="16">
        <f>IF($A20="","",IF(OR(IFERROR(INDEX(tblVeriA[YorumAB],MATCH($A20,tblAnahtarA[Norm],0)),"")="B",IFERROR(INDEX(tblVeriA[Durum],MATCH($A20,tblAnahtarA[Norm],0)),"")="Kampanya"),1,0))</f>
        <v/>
      </c>
      <c r="S20" s="16">
        <f>IF($A20="","",$J20-$E20)</f>
        <v/>
      </c>
      <c r="T20" s="16">
        <f>IF($A20="","",$K20-$O20)</f>
        <v/>
      </c>
    </row>
    <row r="21">
      <c r="A21" s="16">
        <f>IF('ANAHTAR'!$B21="","",'ANAHTAR'!$B21)</f>
        <v/>
      </c>
      <c r="B21" s="16">
        <f>IF($A21="","",IFERROR(SUMIF(tblAnahtarA[Norm],$A21,tblVeriA[SatisFiyati]),0))</f>
        <v/>
      </c>
      <c r="C21" s="16">
        <f>IF($A21="","",IFERROR(SUMIF(tblAnahtarA[Norm],$A21,tblVeriA[Maliyet]),0))</f>
        <v/>
      </c>
      <c r="D21" s="16">
        <f>IF($A21="","",IFERROR(SUMIF(tblAnahtarB[NormB],$A21,tblVeriB[KomisyonOran]),0))</f>
        <v/>
      </c>
      <c r="E21" s="16">
        <f>IF($A21="","",ROUND($B21*$D21,2))</f>
        <v/>
      </c>
      <c r="F21" s="16">
        <f>IF($A21="","",IFERROR(SUMIF(tblAnahtarB[NormB],$A21,tblVeriB[Kargo]),0))</f>
        <v/>
      </c>
      <c r="G21" s="16">
        <f>IF($A21="","",IFERROR(SUMIF(tblAnahtarB[NormB],$A21,tblVeriB[IadeOran]),0))</f>
        <v/>
      </c>
      <c r="H21" s="16">
        <f>IF($A21="","",ROUND($B21*$G21,2))</f>
        <v/>
      </c>
      <c r="I21" s="16">
        <f>IF($A21="","",IFERROR(SUMIF(tblAnahtarB[NormB],$A21,tblVeriB[ReklamTutar]),0))</f>
        <v/>
      </c>
      <c r="J21" s="16">
        <f>IF($A21="","",ROUND($B21-$C21,2))</f>
        <v/>
      </c>
      <c r="K21" s="16">
        <f>IF($A21="","",ROUND($B21-$C21-$E21-$F21-$H21-$I21,2))</f>
        <v/>
      </c>
      <c r="L21" s="16">
        <f>IF(OR($A21="",$B21=0),0,$K21/$B21)</f>
        <v/>
      </c>
      <c r="M21" s="16">
        <f>IF($A21="","",IF((1-$D21-$G21)&lt;=0,0,ROUND(($C21+$F21+$I21)/(1-$D21-$G21),2)))</f>
        <v/>
      </c>
      <c r="N21" s="16">
        <f>IF($A21="","",IFERROR(SUMIF(tblAnahtarA[Norm],$A21,tblVeriA[HedefNet]),0))</f>
        <v/>
      </c>
      <c r="O21" s="16">
        <f>IF($A21="","",ROUND($K21-$N21,2))</f>
        <v/>
      </c>
      <c r="P21" s="16">
        <f>IF($A21="","",IF($L21&lt;egk_esikKatkiDusuk,"ZAM YAP",IF(AND($R21=1,$L21&lt;egk_esikKatkiHedef),"İNDİRİMİ KES","TUT")))</f>
        <v/>
      </c>
      <c r="Q21" s="16">
        <f>IF($A21="","",IFERROR(SUMIF(tblAnahtarB[NormB],$A21,tblVeriB[Roas]),0))</f>
        <v/>
      </c>
      <c r="R21" s="16">
        <f>IF($A21="","",IF(OR(IFERROR(INDEX(tblVeriA[YorumAB],MATCH($A21,tblAnahtarA[Norm],0)),"")="B",IFERROR(INDEX(tblVeriA[Durum],MATCH($A21,tblAnahtarA[Norm],0)),"")="Kampanya"),1,0))</f>
        <v/>
      </c>
      <c r="S21" s="16">
        <f>IF($A21="","",$J21-$E21)</f>
        <v/>
      </c>
      <c r="T21" s="16">
        <f>IF($A21="","",$K21-$O21)</f>
        <v/>
      </c>
    </row>
    <row r="22">
      <c r="A22" s="16">
        <f>IF('ANAHTAR'!$B22="","",'ANAHTAR'!$B22)</f>
        <v/>
      </c>
      <c r="B22" s="16">
        <f>IF($A22="","",IFERROR(SUMIF(tblAnahtarA[Norm],$A22,tblVeriA[SatisFiyati]),0))</f>
        <v/>
      </c>
      <c r="C22" s="16">
        <f>IF($A22="","",IFERROR(SUMIF(tblAnahtarA[Norm],$A22,tblVeriA[Maliyet]),0))</f>
        <v/>
      </c>
      <c r="D22" s="16">
        <f>IF($A22="","",IFERROR(SUMIF(tblAnahtarB[NormB],$A22,tblVeriB[KomisyonOran]),0))</f>
        <v/>
      </c>
      <c r="E22" s="16">
        <f>IF($A22="","",ROUND($B22*$D22,2))</f>
        <v/>
      </c>
      <c r="F22" s="16">
        <f>IF($A22="","",IFERROR(SUMIF(tblAnahtarB[NormB],$A22,tblVeriB[Kargo]),0))</f>
        <v/>
      </c>
      <c r="G22" s="16">
        <f>IF($A22="","",IFERROR(SUMIF(tblAnahtarB[NormB],$A22,tblVeriB[IadeOran]),0))</f>
        <v/>
      </c>
      <c r="H22" s="16">
        <f>IF($A22="","",ROUND($B22*$G22,2))</f>
        <v/>
      </c>
      <c r="I22" s="16">
        <f>IF($A22="","",IFERROR(SUMIF(tblAnahtarB[NormB],$A22,tblVeriB[ReklamTutar]),0))</f>
        <v/>
      </c>
      <c r="J22" s="16">
        <f>IF($A22="","",ROUND($B22-$C22,2))</f>
        <v/>
      </c>
      <c r="K22" s="16">
        <f>IF($A22="","",ROUND($B22-$C22-$E22-$F22-$H22-$I22,2))</f>
        <v/>
      </c>
      <c r="L22" s="16">
        <f>IF(OR($A22="",$B22=0),0,$K22/$B22)</f>
        <v/>
      </c>
      <c r="M22" s="16">
        <f>IF($A22="","",IF((1-$D22-$G22)&lt;=0,0,ROUND(($C22+$F22+$I22)/(1-$D22-$G22),2)))</f>
        <v/>
      </c>
      <c r="N22" s="16">
        <f>IF($A22="","",IFERROR(SUMIF(tblAnahtarA[Norm],$A22,tblVeriA[HedefNet]),0))</f>
        <v/>
      </c>
      <c r="O22" s="16">
        <f>IF($A22="","",ROUND($K22-$N22,2))</f>
        <v/>
      </c>
      <c r="P22" s="16">
        <f>IF($A22="","",IF($L22&lt;egk_esikKatkiDusuk,"ZAM YAP",IF(AND($R22=1,$L22&lt;egk_esikKatkiHedef),"İNDİRİMİ KES","TUT")))</f>
        <v/>
      </c>
      <c r="Q22" s="16">
        <f>IF($A22="","",IFERROR(SUMIF(tblAnahtarB[NormB],$A22,tblVeriB[Roas]),0))</f>
        <v/>
      </c>
      <c r="R22" s="16">
        <f>IF($A22="","",IF(OR(IFERROR(INDEX(tblVeriA[YorumAB],MATCH($A22,tblAnahtarA[Norm],0)),"")="B",IFERROR(INDEX(tblVeriA[Durum],MATCH($A22,tblAnahtarA[Norm],0)),"")="Kampanya"),1,0))</f>
        <v/>
      </c>
      <c r="S22" s="16">
        <f>IF($A22="","",$J22-$E22)</f>
        <v/>
      </c>
      <c r="T22" s="16">
        <f>IF($A22="","",$K22-$O22)</f>
        <v/>
      </c>
    </row>
    <row r="23">
      <c r="A23" s="16">
        <f>IF('ANAHTAR'!$B23="","",'ANAHTAR'!$B23)</f>
        <v/>
      </c>
      <c r="B23" s="16">
        <f>IF($A23="","",IFERROR(SUMIF(tblAnahtarA[Norm],$A23,tblVeriA[SatisFiyati]),0))</f>
        <v/>
      </c>
      <c r="C23" s="16">
        <f>IF($A23="","",IFERROR(SUMIF(tblAnahtarA[Norm],$A23,tblVeriA[Maliyet]),0))</f>
        <v/>
      </c>
      <c r="D23" s="16">
        <f>IF($A23="","",IFERROR(SUMIF(tblAnahtarB[NormB],$A23,tblVeriB[KomisyonOran]),0))</f>
        <v/>
      </c>
      <c r="E23" s="16">
        <f>IF($A23="","",ROUND($B23*$D23,2))</f>
        <v/>
      </c>
      <c r="F23" s="16">
        <f>IF($A23="","",IFERROR(SUMIF(tblAnahtarB[NormB],$A23,tblVeriB[Kargo]),0))</f>
        <v/>
      </c>
      <c r="G23" s="16">
        <f>IF($A23="","",IFERROR(SUMIF(tblAnahtarB[NormB],$A23,tblVeriB[IadeOran]),0))</f>
        <v/>
      </c>
      <c r="H23" s="16">
        <f>IF($A23="","",ROUND($B23*$G23,2))</f>
        <v/>
      </c>
      <c r="I23" s="16">
        <f>IF($A23="","",IFERROR(SUMIF(tblAnahtarB[NormB],$A23,tblVeriB[ReklamTutar]),0))</f>
        <v/>
      </c>
      <c r="J23" s="16">
        <f>IF($A23="","",ROUND($B23-$C23,2))</f>
        <v/>
      </c>
      <c r="K23" s="16">
        <f>IF($A23="","",ROUND($B23-$C23-$E23-$F23-$H23-$I23,2))</f>
        <v/>
      </c>
      <c r="L23" s="16">
        <f>IF(OR($A23="",$B23=0),0,$K23/$B23)</f>
        <v/>
      </c>
      <c r="M23" s="16">
        <f>IF($A23="","",IF((1-$D23-$G23)&lt;=0,0,ROUND(($C23+$F23+$I23)/(1-$D23-$G23),2)))</f>
        <v/>
      </c>
      <c r="N23" s="16">
        <f>IF($A23="","",IFERROR(SUMIF(tblAnahtarA[Norm],$A23,tblVeriA[HedefNet]),0))</f>
        <v/>
      </c>
      <c r="O23" s="16">
        <f>IF($A23="","",ROUND($K23-$N23,2))</f>
        <v/>
      </c>
      <c r="P23" s="16">
        <f>IF($A23="","",IF($L23&lt;egk_esikKatkiDusuk,"ZAM YAP",IF(AND($R23=1,$L23&lt;egk_esikKatkiHedef),"İNDİRİMİ KES","TUT")))</f>
        <v/>
      </c>
      <c r="Q23" s="16">
        <f>IF($A23="","",IFERROR(SUMIF(tblAnahtarB[NormB],$A23,tblVeriB[Roas]),0))</f>
        <v/>
      </c>
      <c r="R23" s="16">
        <f>IF($A23="","",IF(OR(IFERROR(INDEX(tblVeriA[YorumAB],MATCH($A23,tblAnahtarA[Norm],0)),"")="B",IFERROR(INDEX(tblVeriA[Durum],MATCH($A23,tblAnahtarA[Norm],0)),"")="Kampanya"),1,0))</f>
        <v/>
      </c>
      <c r="S23" s="16">
        <f>IF($A23="","",$J23-$E23)</f>
        <v/>
      </c>
      <c r="T23" s="16">
        <f>IF($A23="","",$K23-$O23)</f>
        <v/>
      </c>
    </row>
    <row r="24">
      <c r="A24" s="16">
        <f>IF('ANAHTAR'!$B24="","",'ANAHTAR'!$B24)</f>
        <v/>
      </c>
      <c r="B24" s="16">
        <f>IF($A24="","",IFERROR(SUMIF(tblAnahtarA[Norm],$A24,tblVeriA[SatisFiyati]),0))</f>
        <v/>
      </c>
      <c r="C24" s="16">
        <f>IF($A24="","",IFERROR(SUMIF(tblAnahtarA[Norm],$A24,tblVeriA[Maliyet]),0))</f>
        <v/>
      </c>
      <c r="D24" s="16">
        <f>IF($A24="","",IFERROR(SUMIF(tblAnahtarB[NormB],$A24,tblVeriB[KomisyonOran]),0))</f>
        <v/>
      </c>
      <c r="E24" s="16">
        <f>IF($A24="","",ROUND($B24*$D24,2))</f>
        <v/>
      </c>
      <c r="F24" s="16">
        <f>IF($A24="","",IFERROR(SUMIF(tblAnahtarB[NormB],$A24,tblVeriB[Kargo]),0))</f>
        <v/>
      </c>
      <c r="G24" s="16">
        <f>IF($A24="","",IFERROR(SUMIF(tblAnahtarB[NormB],$A24,tblVeriB[IadeOran]),0))</f>
        <v/>
      </c>
      <c r="H24" s="16">
        <f>IF($A24="","",ROUND($B24*$G24,2))</f>
        <v/>
      </c>
      <c r="I24" s="16">
        <f>IF($A24="","",IFERROR(SUMIF(tblAnahtarB[NormB],$A24,tblVeriB[ReklamTutar]),0))</f>
        <v/>
      </c>
      <c r="J24" s="16">
        <f>IF($A24="","",ROUND($B24-$C24,2))</f>
        <v/>
      </c>
      <c r="K24" s="16">
        <f>IF($A24="","",ROUND($B24-$C24-$E24-$F24-$H24-$I24,2))</f>
        <v/>
      </c>
      <c r="L24" s="16">
        <f>IF(OR($A24="",$B24=0),0,$K24/$B24)</f>
        <v/>
      </c>
      <c r="M24" s="16">
        <f>IF($A24="","",IF((1-$D24-$G24)&lt;=0,0,ROUND(($C24+$F24+$I24)/(1-$D24-$G24),2)))</f>
        <v/>
      </c>
      <c r="N24" s="16">
        <f>IF($A24="","",IFERROR(SUMIF(tblAnahtarA[Norm],$A24,tblVeriA[HedefNet]),0))</f>
        <v/>
      </c>
      <c r="O24" s="16">
        <f>IF($A24="","",ROUND($K24-$N24,2))</f>
        <v/>
      </c>
      <c r="P24" s="16">
        <f>IF($A24="","",IF($L24&lt;egk_esikKatkiDusuk,"ZAM YAP",IF(AND($R24=1,$L24&lt;egk_esikKatkiHedef),"İNDİRİMİ KES","TUT")))</f>
        <v/>
      </c>
      <c r="Q24" s="16">
        <f>IF($A24="","",IFERROR(SUMIF(tblAnahtarB[NormB],$A24,tblVeriB[Roas]),0))</f>
        <v/>
      </c>
      <c r="R24" s="16">
        <f>IF($A24="","",IF(OR(IFERROR(INDEX(tblVeriA[YorumAB],MATCH($A24,tblAnahtarA[Norm],0)),"")="B",IFERROR(INDEX(tblVeriA[Durum],MATCH($A24,tblAnahtarA[Norm],0)),"")="Kampanya"),1,0))</f>
        <v/>
      </c>
      <c r="S24" s="16">
        <f>IF($A24="","",$J24-$E24)</f>
        <v/>
      </c>
      <c r="T24" s="16">
        <f>IF($A24="","",$K24-$O24)</f>
        <v/>
      </c>
    </row>
    <row r="25">
      <c r="A25" s="16">
        <f>IF('ANAHTAR'!$B25="","",'ANAHTAR'!$B25)</f>
        <v/>
      </c>
      <c r="B25" s="16">
        <f>IF($A25="","",IFERROR(SUMIF(tblAnahtarA[Norm],$A25,tblVeriA[SatisFiyati]),0))</f>
        <v/>
      </c>
      <c r="C25" s="16">
        <f>IF($A25="","",IFERROR(SUMIF(tblAnahtarA[Norm],$A25,tblVeriA[Maliyet]),0))</f>
        <v/>
      </c>
      <c r="D25" s="16">
        <f>IF($A25="","",IFERROR(SUMIF(tblAnahtarB[NormB],$A25,tblVeriB[KomisyonOran]),0))</f>
        <v/>
      </c>
      <c r="E25" s="16">
        <f>IF($A25="","",ROUND($B25*$D25,2))</f>
        <v/>
      </c>
      <c r="F25" s="16">
        <f>IF($A25="","",IFERROR(SUMIF(tblAnahtarB[NormB],$A25,tblVeriB[Kargo]),0))</f>
        <v/>
      </c>
      <c r="G25" s="16">
        <f>IF($A25="","",IFERROR(SUMIF(tblAnahtarB[NormB],$A25,tblVeriB[IadeOran]),0))</f>
        <v/>
      </c>
      <c r="H25" s="16">
        <f>IF($A25="","",ROUND($B25*$G25,2))</f>
        <v/>
      </c>
      <c r="I25" s="16">
        <f>IF($A25="","",IFERROR(SUMIF(tblAnahtarB[NormB],$A25,tblVeriB[ReklamTutar]),0))</f>
        <v/>
      </c>
      <c r="J25" s="16">
        <f>IF($A25="","",ROUND($B25-$C25,2))</f>
        <v/>
      </c>
      <c r="K25" s="16">
        <f>IF($A25="","",ROUND($B25-$C25-$E25-$F25-$H25-$I25,2))</f>
        <v/>
      </c>
      <c r="L25" s="16">
        <f>IF(OR($A25="",$B25=0),0,$K25/$B25)</f>
        <v/>
      </c>
      <c r="M25" s="16">
        <f>IF($A25="","",IF((1-$D25-$G25)&lt;=0,0,ROUND(($C25+$F25+$I25)/(1-$D25-$G25),2)))</f>
        <v/>
      </c>
      <c r="N25" s="16">
        <f>IF($A25="","",IFERROR(SUMIF(tblAnahtarA[Norm],$A25,tblVeriA[HedefNet]),0))</f>
        <v/>
      </c>
      <c r="O25" s="16">
        <f>IF($A25="","",ROUND($K25-$N25,2))</f>
        <v/>
      </c>
      <c r="P25" s="16">
        <f>IF($A25="","",IF($L25&lt;egk_esikKatkiDusuk,"ZAM YAP",IF(AND($R25=1,$L25&lt;egk_esikKatkiHedef),"İNDİRİMİ KES","TUT")))</f>
        <v/>
      </c>
      <c r="Q25" s="16">
        <f>IF($A25="","",IFERROR(SUMIF(tblAnahtarB[NormB],$A25,tblVeriB[Roas]),0))</f>
        <v/>
      </c>
      <c r="R25" s="16">
        <f>IF($A25="","",IF(OR(IFERROR(INDEX(tblVeriA[YorumAB],MATCH($A25,tblAnahtarA[Norm],0)),"")="B",IFERROR(INDEX(tblVeriA[Durum],MATCH($A25,tblAnahtarA[Norm],0)),"")="Kampanya"),1,0))</f>
        <v/>
      </c>
      <c r="S25" s="16">
        <f>IF($A25="","",$J25-$E25)</f>
        <v/>
      </c>
      <c r="T25" s="16">
        <f>IF($A25="","",$K25-$O25)</f>
        <v/>
      </c>
    </row>
    <row r="26">
      <c r="A26" s="16">
        <f>IF('ANAHTAR'!$B26="","",'ANAHTAR'!$B26)</f>
        <v/>
      </c>
      <c r="B26" s="16">
        <f>IF($A26="","",IFERROR(SUMIF(tblAnahtarA[Norm],$A26,tblVeriA[SatisFiyati]),0))</f>
        <v/>
      </c>
      <c r="C26" s="16">
        <f>IF($A26="","",IFERROR(SUMIF(tblAnahtarA[Norm],$A26,tblVeriA[Maliyet]),0))</f>
        <v/>
      </c>
      <c r="D26" s="16">
        <f>IF($A26="","",IFERROR(SUMIF(tblAnahtarB[NormB],$A26,tblVeriB[KomisyonOran]),0))</f>
        <v/>
      </c>
      <c r="E26" s="16">
        <f>IF($A26="","",ROUND($B26*$D26,2))</f>
        <v/>
      </c>
      <c r="F26" s="16">
        <f>IF($A26="","",IFERROR(SUMIF(tblAnahtarB[NormB],$A26,tblVeriB[Kargo]),0))</f>
        <v/>
      </c>
      <c r="G26" s="16">
        <f>IF($A26="","",IFERROR(SUMIF(tblAnahtarB[NormB],$A26,tblVeriB[IadeOran]),0))</f>
        <v/>
      </c>
      <c r="H26" s="16">
        <f>IF($A26="","",ROUND($B26*$G26,2))</f>
        <v/>
      </c>
      <c r="I26" s="16">
        <f>IF($A26="","",IFERROR(SUMIF(tblAnahtarB[NormB],$A26,tblVeriB[ReklamTutar]),0))</f>
        <v/>
      </c>
      <c r="J26" s="16">
        <f>IF($A26="","",ROUND($B26-$C26,2))</f>
        <v/>
      </c>
      <c r="K26" s="16">
        <f>IF($A26="","",ROUND($B26-$C26-$E26-$F26-$H26-$I26,2))</f>
        <v/>
      </c>
      <c r="L26" s="16">
        <f>IF(OR($A26="",$B26=0),0,$K26/$B26)</f>
        <v/>
      </c>
      <c r="M26" s="16">
        <f>IF($A26="","",IF((1-$D26-$G26)&lt;=0,0,ROUND(($C26+$F26+$I26)/(1-$D26-$G26),2)))</f>
        <v/>
      </c>
      <c r="N26" s="16">
        <f>IF($A26="","",IFERROR(SUMIF(tblAnahtarA[Norm],$A26,tblVeriA[HedefNet]),0))</f>
        <v/>
      </c>
      <c r="O26" s="16">
        <f>IF($A26="","",ROUND($K26-$N26,2))</f>
        <v/>
      </c>
      <c r="P26" s="16">
        <f>IF($A26="","",IF($L26&lt;egk_esikKatkiDusuk,"ZAM YAP",IF(AND($R26=1,$L26&lt;egk_esikKatkiHedef),"İNDİRİMİ KES","TUT")))</f>
        <v/>
      </c>
      <c r="Q26" s="16">
        <f>IF($A26="","",IFERROR(SUMIF(tblAnahtarB[NormB],$A26,tblVeriB[Roas]),0))</f>
        <v/>
      </c>
      <c r="R26" s="16">
        <f>IF($A26="","",IF(OR(IFERROR(INDEX(tblVeriA[YorumAB],MATCH($A26,tblAnahtarA[Norm],0)),"")="B",IFERROR(INDEX(tblVeriA[Durum],MATCH($A26,tblAnahtarA[Norm],0)),"")="Kampanya"),1,0))</f>
        <v/>
      </c>
      <c r="S26" s="16">
        <f>IF($A26="","",$J26-$E26)</f>
        <v/>
      </c>
      <c r="T26" s="16">
        <f>IF($A26="","",$K26-$O26)</f>
        <v/>
      </c>
    </row>
    <row r="27">
      <c r="A27" s="16">
        <f>IF('ANAHTAR'!$B27="","",'ANAHTAR'!$B27)</f>
        <v/>
      </c>
      <c r="B27" s="16">
        <f>IF($A27="","",IFERROR(SUMIF(tblAnahtarA[Norm],$A27,tblVeriA[SatisFiyati]),0))</f>
        <v/>
      </c>
      <c r="C27" s="16">
        <f>IF($A27="","",IFERROR(SUMIF(tblAnahtarA[Norm],$A27,tblVeriA[Maliyet]),0))</f>
        <v/>
      </c>
      <c r="D27" s="16">
        <f>IF($A27="","",IFERROR(SUMIF(tblAnahtarB[NormB],$A27,tblVeriB[KomisyonOran]),0))</f>
        <v/>
      </c>
      <c r="E27" s="16">
        <f>IF($A27="","",ROUND($B27*$D27,2))</f>
        <v/>
      </c>
      <c r="F27" s="16">
        <f>IF($A27="","",IFERROR(SUMIF(tblAnahtarB[NormB],$A27,tblVeriB[Kargo]),0))</f>
        <v/>
      </c>
      <c r="G27" s="16">
        <f>IF($A27="","",IFERROR(SUMIF(tblAnahtarB[NormB],$A27,tblVeriB[IadeOran]),0))</f>
        <v/>
      </c>
      <c r="H27" s="16">
        <f>IF($A27="","",ROUND($B27*$G27,2))</f>
        <v/>
      </c>
      <c r="I27" s="16">
        <f>IF($A27="","",IFERROR(SUMIF(tblAnahtarB[NormB],$A27,tblVeriB[ReklamTutar]),0))</f>
        <v/>
      </c>
      <c r="J27" s="16">
        <f>IF($A27="","",ROUND($B27-$C27,2))</f>
        <v/>
      </c>
      <c r="K27" s="16">
        <f>IF($A27="","",ROUND($B27-$C27-$E27-$F27-$H27-$I27,2))</f>
        <v/>
      </c>
      <c r="L27" s="16">
        <f>IF(OR($A27="",$B27=0),0,$K27/$B27)</f>
        <v/>
      </c>
      <c r="M27" s="16">
        <f>IF($A27="","",IF((1-$D27-$G27)&lt;=0,0,ROUND(($C27+$F27+$I27)/(1-$D27-$G27),2)))</f>
        <v/>
      </c>
      <c r="N27" s="16">
        <f>IF($A27="","",IFERROR(SUMIF(tblAnahtarA[Norm],$A27,tblVeriA[HedefNet]),0))</f>
        <v/>
      </c>
      <c r="O27" s="16">
        <f>IF($A27="","",ROUND($K27-$N27,2))</f>
        <v/>
      </c>
      <c r="P27" s="16">
        <f>IF($A27="","",IF($L27&lt;egk_esikKatkiDusuk,"ZAM YAP",IF(AND($R27=1,$L27&lt;egk_esikKatkiHedef),"İNDİRİMİ KES","TUT")))</f>
        <v/>
      </c>
      <c r="Q27" s="16">
        <f>IF($A27="","",IFERROR(SUMIF(tblAnahtarB[NormB],$A27,tblVeriB[Roas]),0))</f>
        <v/>
      </c>
      <c r="R27" s="16">
        <f>IF($A27="","",IF(OR(IFERROR(INDEX(tblVeriA[YorumAB],MATCH($A27,tblAnahtarA[Norm],0)),"")="B",IFERROR(INDEX(tblVeriA[Durum],MATCH($A27,tblAnahtarA[Norm],0)),"")="Kampanya"),1,0))</f>
        <v/>
      </c>
      <c r="S27" s="16">
        <f>IF($A27="","",$J27-$E27)</f>
        <v/>
      </c>
      <c r="T27" s="16">
        <f>IF($A27="","",$K27-$O27)</f>
        <v/>
      </c>
    </row>
    <row r="28">
      <c r="A28" s="16">
        <f>IF('ANAHTAR'!$B28="","",'ANAHTAR'!$B28)</f>
        <v/>
      </c>
      <c r="B28" s="16">
        <f>IF($A28="","",IFERROR(SUMIF(tblAnahtarA[Norm],$A28,tblVeriA[SatisFiyati]),0))</f>
        <v/>
      </c>
      <c r="C28" s="16">
        <f>IF($A28="","",IFERROR(SUMIF(tblAnahtarA[Norm],$A28,tblVeriA[Maliyet]),0))</f>
        <v/>
      </c>
      <c r="D28" s="16">
        <f>IF($A28="","",IFERROR(SUMIF(tblAnahtarB[NormB],$A28,tblVeriB[KomisyonOran]),0))</f>
        <v/>
      </c>
      <c r="E28" s="16">
        <f>IF($A28="","",ROUND($B28*$D28,2))</f>
        <v/>
      </c>
      <c r="F28" s="16">
        <f>IF($A28="","",IFERROR(SUMIF(tblAnahtarB[NormB],$A28,tblVeriB[Kargo]),0))</f>
        <v/>
      </c>
      <c r="G28" s="16">
        <f>IF($A28="","",IFERROR(SUMIF(tblAnahtarB[NormB],$A28,tblVeriB[IadeOran]),0))</f>
        <v/>
      </c>
      <c r="H28" s="16">
        <f>IF($A28="","",ROUND($B28*$G28,2))</f>
        <v/>
      </c>
      <c r="I28" s="16">
        <f>IF($A28="","",IFERROR(SUMIF(tblAnahtarB[NormB],$A28,tblVeriB[ReklamTutar]),0))</f>
        <v/>
      </c>
      <c r="J28" s="16">
        <f>IF($A28="","",ROUND($B28-$C28,2))</f>
        <v/>
      </c>
      <c r="K28" s="16">
        <f>IF($A28="","",ROUND($B28-$C28-$E28-$F28-$H28-$I28,2))</f>
        <v/>
      </c>
      <c r="L28" s="16">
        <f>IF(OR($A28="",$B28=0),0,$K28/$B28)</f>
        <v/>
      </c>
      <c r="M28" s="16">
        <f>IF($A28="","",IF((1-$D28-$G28)&lt;=0,0,ROUND(($C28+$F28+$I28)/(1-$D28-$G28),2)))</f>
        <v/>
      </c>
      <c r="N28" s="16">
        <f>IF($A28="","",IFERROR(SUMIF(tblAnahtarA[Norm],$A28,tblVeriA[HedefNet]),0))</f>
        <v/>
      </c>
      <c r="O28" s="16">
        <f>IF($A28="","",ROUND($K28-$N28,2))</f>
        <v/>
      </c>
      <c r="P28" s="16">
        <f>IF($A28="","",IF($L28&lt;egk_esikKatkiDusuk,"ZAM YAP",IF(AND($R28=1,$L28&lt;egk_esikKatkiHedef),"İNDİRİMİ KES","TUT")))</f>
        <v/>
      </c>
      <c r="Q28" s="16">
        <f>IF($A28="","",IFERROR(SUMIF(tblAnahtarB[NormB],$A28,tblVeriB[Roas]),0))</f>
        <v/>
      </c>
      <c r="R28" s="16">
        <f>IF($A28="","",IF(OR(IFERROR(INDEX(tblVeriA[YorumAB],MATCH($A28,tblAnahtarA[Norm],0)),"")="B",IFERROR(INDEX(tblVeriA[Durum],MATCH($A28,tblAnahtarA[Norm],0)),"")="Kampanya"),1,0))</f>
        <v/>
      </c>
      <c r="S28" s="16">
        <f>IF($A28="","",$J28-$E28)</f>
        <v/>
      </c>
      <c r="T28" s="16">
        <f>IF($A28="","",$K28-$O28)</f>
        <v/>
      </c>
    </row>
    <row r="29">
      <c r="A29" s="16">
        <f>IF('ANAHTAR'!$B29="","",'ANAHTAR'!$B29)</f>
        <v/>
      </c>
      <c r="B29" s="16">
        <f>IF($A29="","",IFERROR(SUMIF(tblAnahtarA[Norm],$A29,tblVeriA[SatisFiyati]),0))</f>
        <v/>
      </c>
      <c r="C29" s="16">
        <f>IF($A29="","",IFERROR(SUMIF(tblAnahtarA[Norm],$A29,tblVeriA[Maliyet]),0))</f>
        <v/>
      </c>
      <c r="D29" s="16">
        <f>IF($A29="","",IFERROR(SUMIF(tblAnahtarB[NormB],$A29,tblVeriB[KomisyonOran]),0))</f>
        <v/>
      </c>
      <c r="E29" s="16">
        <f>IF($A29="","",ROUND($B29*$D29,2))</f>
        <v/>
      </c>
      <c r="F29" s="16">
        <f>IF($A29="","",IFERROR(SUMIF(tblAnahtarB[NormB],$A29,tblVeriB[Kargo]),0))</f>
        <v/>
      </c>
      <c r="G29" s="16">
        <f>IF($A29="","",IFERROR(SUMIF(tblAnahtarB[NormB],$A29,tblVeriB[IadeOran]),0))</f>
        <v/>
      </c>
      <c r="H29" s="16">
        <f>IF($A29="","",ROUND($B29*$G29,2))</f>
        <v/>
      </c>
      <c r="I29" s="16">
        <f>IF($A29="","",IFERROR(SUMIF(tblAnahtarB[NormB],$A29,tblVeriB[ReklamTutar]),0))</f>
        <v/>
      </c>
      <c r="J29" s="16">
        <f>IF($A29="","",ROUND($B29-$C29,2))</f>
        <v/>
      </c>
      <c r="K29" s="16">
        <f>IF($A29="","",ROUND($B29-$C29-$E29-$F29-$H29-$I29,2))</f>
        <v/>
      </c>
      <c r="L29" s="16">
        <f>IF(OR($A29="",$B29=0),0,$K29/$B29)</f>
        <v/>
      </c>
      <c r="M29" s="16">
        <f>IF($A29="","",IF((1-$D29-$G29)&lt;=0,0,ROUND(($C29+$F29+$I29)/(1-$D29-$G29),2)))</f>
        <v/>
      </c>
      <c r="N29" s="16">
        <f>IF($A29="","",IFERROR(SUMIF(tblAnahtarA[Norm],$A29,tblVeriA[HedefNet]),0))</f>
        <v/>
      </c>
      <c r="O29" s="16">
        <f>IF($A29="","",ROUND($K29-$N29,2))</f>
        <v/>
      </c>
      <c r="P29" s="16">
        <f>IF($A29="","",IF($L29&lt;egk_esikKatkiDusuk,"ZAM YAP",IF(AND($R29=1,$L29&lt;egk_esikKatkiHedef),"İNDİRİMİ KES","TUT")))</f>
        <v/>
      </c>
      <c r="Q29" s="16">
        <f>IF($A29="","",IFERROR(SUMIF(tblAnahtarB[NormB],$A29,tblVeriB[Roas]),0))</f>
        <v/>
      </c>
      <c r="R29" s="16">
        <f>IF($A29="","",IF(OR(IFERROR(INDEX(tblVeriA[YorumAB],MATCH($A29,tblAnahtarA[Norm],0)),"")="B",IFERROR(INDEX(tblVeriA[Durum],MATCH($A29,tblAnahtarA[Norm],0)),"")="Kampanya"),1,0))</f>
        <v/>
      </c>
      <c r="S29" s="16">
        <f>IF($A29="","",$J29-$E29)</f>
        <v/>
      </c>
      <c r="T29" s="16">
        <f>IF($A29="","",$K29-$O29)</f>
        <v/>
      </c>
    </row>
    <row r="30">
      <c r="A30" s="16">
        <f>IF('ANAHTAR'!$B30="","",'ANAHTAR'!$B30)</f>
        <v/>
      </c>
      <c r="B30" s="16">
        <f>IF($A30="","",IFERROR(SUMIF(tblAnahtarA[Norm],$A30,tblVeriA[SatisFiyati]),0))</f>
        <v/>
      </c>
      <c r="C30" s="16">
        <f>IF($A30="","",IFERROR(SUMIF(tblAnahtarA[Norm],$A30,tblVeriA[Maliyet]),0))</f>
        <v/>
      </c>
      <c r="D30" s="16">
        <f>IF($A30="","",IFERROR(SUMIF(tblAnahtarB[NormB],$A30,tblVeriB[KomisyonOran]),0))</f>
        <v/>
      </c>
      <c r="E30" s="16">
        <f>IF($A30="","",ROUND($B30*$D30,2))</f>
        <v/>
      </c>
      <c r="F30" s="16">
        <f>IF($A30="","",IFERROR(SUMIF(tblAnahtarB[NormB],$A30,tblVeriB[Kargo]),0))</f>
        <v/>
      </c>
      <c r="G30" s="16">
        <f>IF($A30="","",IFERROR(SUMIF(tblAnahtarB[NormB],$A30,tblVeriB[IadeOran]),0))</f>
        <v/>
      </c>
      <c r="H30" s="16">
        <f>IF($A30="","",ROUND($B30*$G30,2))</f>
        <v/>
      </c>
      <c r="I30" s="16">
        <f>IF($A30="","",IFERROR(SUMIF(tblAnahtarB[NormB],$A30,tblVeriB[ReklamTutar]),0))</f>
        <v/>
      </c>
      <c r="J30" s="16">
        <f>IF($A30="","",ROUND($B30-$C30,2))</f>
        <v/>
      </c>
      <c r="K30" s="16">
        <f>IF($A30="","",ROUND($B30-$C30-$E30-$F30-$H30-$I30,2))</f>
        <v/>
      </c>
      <c r="L30" s="16">
        <f>IF(OR($A30="",$B30=0),0,$K30/$B30)</f>
        <v/>
      </c>
      <c r="M30" s="16">
        <f>IF($A30="","",IF((1-$D30-$G30)&lt;=0,0,ROUND(($C30+$F30+$I30)/(1-$D30-$G30),2)))</f>
        <v/>
      </c>
      <c r="N30" s="16">
        <f>IF($A30="","",IFERROR(SUMIF(tblAnahtarA[Norm],$A30,tblVeriA[HedefNet]),0))</f>
        <v/>
      </c>
      <c r="O30" s="16">
        <f>IF($A30="","",ROUND($K30-$N30,2))</f>
        <v/>
      </c>
      <c r="P30" s="16">
        <f>IF($A30="","",IF($L30&lt;egk_esikKatkiDusuk,"ZAM YAP",IF(AND($R30=1,$L30&lt;egk_esikKatkiHedef),"İNDİRİMİ KES","TUT")))</f>
        <v/>
      </c>
      <c r="Q30" s="16">
        <f>IF($A30="","",IFERROR(SUMIF(tblAnahtarB[NormB],$A30,tblVeriB[Roas]),0))</f>
        <v/>
      </c>
      <c r="R30" s="16">
        <f>IF($A30="","",IF(OR(IFERROR(INDEX(tblVeriA[YorumAB],MATCH($A30,tblAnahtarA[Norm],0)),"")="B",IFERROR(INDEX(tblVeriA[Durum],MATCH($A30,tblAnahtarA[Norm],0)),"")="Kampanya"),1,0))</f>
        <v/>
      </c>
      <c r="S30" s="16">
        <f>IF($A30="","",$J30-$E30)</f>
        <v/>
      </c>
      <c r="T30" s="16">
        <f>IF($A30="","",$K30-$O30)</f>
        <v/>
      </c>
    </row>
    <row r="31">
      <c r="A31" s="16">
        <f>IF('ANAHTAR'!$B31="","",'ANAHTAR'!$B31)</f>
        <v/>
      </c>
      <c r="B31" s="16">
        <f>IF($A31="","",IFERROR(SUMIF(tblAnahtarA[Norm],$A31,tblVeriA[SatisFiyati]),0))</f>
        <v/>
      </c>
      <c r="C31" s="16">
        <f>IF($A31="","",IFERROR(SUMIF(tblAnahtarA[Norm],$A31,tblVeriA[Maliyet]),0))</f>
        <v/>
      </c>
      <c r="D31" s="16">
        <f>IF($A31="","",IFERROR(SUMIF(tblAnahtarB[NormB],$A31,tblVeriB[KomisyonOran]),0))</f>
        <v/>
      </c>
      <c r="E31" s="16">
        <f>IF($A31="","",ROUND($B31*$D31,2))</f>
        <v/>
      </c>
      <c r="F31" s="16">
        <f>IF($A31="","",IFERROR(SUMIF(tblAnahtarB[NormB],$A31,tblVeriB[Kargo]),0))</f>
        <v/>
      </c>
      <c r="G31" s="16">
        <f>IF($A31="","",IFERROR(SUMIF(tblAnahtarB[NormB],$A31,tblVeriB[IadeOran]),0))</f>
        <v/>
      </c>
      <c r="H31" s="16">
        <f>IF($A31="","",ROUND($B31*$G31,2))</f>
        <v/>
      </c>
      <c r="I31" s="16">
        <f>IF($A31="","",IFERROR(SUMIF(tblAnahtarB[NormB],$A31,tblVeriB[ReklamTutar]),0))</f>
        <v/>
      </c>
      <c r="J31" s="16">
        <f>IF($A31="","",ROUND($B31-$C31,2))</f>
        <v/>
      </c>
      <c r="K31" s="16">
        <f>IF($A31="","",ROUND($B31-$C31-$E31-$F31-$H31-$I31,2))</f>
        <v/>
      </c>
      <c r="L31" s="16">
        <f>IF(OR($A31="",$B31=0),0,$K31/$B31)</f>
        <v/>
      </c>
      <c r="M31" s="16">
        <f>IF($A31="","",IF((1-$D31-$G31)&lt;=0,0,ROUND(($C31+$F31+$I31)/(1-$D31-$G31),2)))</f>
        <v/>
      </c>
      <c r="N31" s="16">
        <f>IF($A31="","",IFERROR(SUMIF(tblAnahtarA[Norm],$A31,tblVeriA[HedefNet]),0))</f>
        <v/>
      </c>
      <c r="O31" s="16">
        <f>IF($A31="","",ROUND($K31-$N31,2))</f>
        <v/>
      </c>
      <c r="P31" s="16">
        <f>IF($A31="","",IF($L31&lt;egk_esikKatkiDusuk,"ZAM YAP",IF(AND($R31=1,$L31&lt;egk_esikKatkiHedef),"İNDİRİMİ KES","TUT")))</f>
        <v/>
      </c>
      <c r="Q31" s="16">
        <f>IF($A31="","",IFERROR(SUMIF(tblAnahtarB[NormB],$A31,tblVeriB[Roas]),0))</f>
        <v/>
      </c>
      <c r="R31" s="16">
        <f>IF($A31="","",IF(OR(IFERROR(INDEX(tblVeriA[YorumAB],MATCH($A31,tblAnahtarA[Norm],0)),"")="B",IFERROR(INDEX(tblVeriA[Durum],MATCH($A31,tblAnahtarA[Norm],0)),"")="Kampanya"),1,0))</f>
        <v/>
      </c>
      <c r="S31" s="16">
        <f>IF($A31="","",$J31-$E31)</f>
        <v/>
      </c>
      <c r="T31" s="16">
        <f>IF($A31="","",$K31-$O31)</f>
        <v/>
      </c>
    </row>
    <row r="32">
      <c r="A32" s="16">
        <f>IF('ANAHTAR'!$B32="","",'ANAHTAR'!$B32)</f>
        <v/>
      </c>
      <c r="B32" s="16">
        <f>IF($A32="","",IFERROR(SUMIF(tblAnahtarA[Norm],$A32,tblVeriA[SatisFiyati]),0))</f>
        <v/>
      </c>
      <c r="C32" s="16">
        <f>IF($A32="","",IFERROR(SUMIF(tblAnahtarA[Norm],$A32,tblVeriA[Maliyet]),0))</f>
        <v/>
      </c>
      <c r="D32" s="16">
        <f>IF($A32="","",IFERROR(SUMIF(tblAnahtarB[NormB],$A32,tblVeriB[KomisyonOran]),0))</f>
        <v/>
      </c>
      <c r="E32" s="16">
        <f>IF($A32="","",ROUND($B32*$D32,2))</f>
        <v/>
      </c>
      <c r="F32" s="16">
        <f>IF($A32="","",IFERROR(SUMIF(tblAnahtarB[NormB],$A32,tblVeriB[Kargo]),0))</f>
        <v/>
      </c>
      <c r="G32" s="16">
        <f>IF($A32="","",IFERROR(SUMIF(tblAnahtarB[NormB],$A32,tblVeriB[IadeOran]),0))</f>
        <v/>
      </c>
      <c r="H32" s="16">
        <f>IF($A32="","",ROUND($B32*$G32,2))</f>
        <v/>
      </c>
      <c r="I32" s="16">
        <f>IF($A32="","",IFERROR(SUMIF(tblAnahtarB[NormB],$A32,tblVeriB[ReklamTutar]),0))</f>
        <v/>
      </c>
      <c r="J32" s="16">
        <f>IF($A32="","",ROUND($B32-$C32,2))</f>
        <v/>
      </c>
      <c r="K32" s="16">
        <f>IF($A32="","",ROUND($B32-$C32-$E32-$F32-$H32-$I32,2))</f>
        <v/>
      </c>
      <c r="L32" s="16">
        <f>IF(OR($A32="",$B32=0),0,$K32/$B32)</f>
        <v/>
      </c>
      <c r="M32" s="16">
        <f>IF($A32="","",IF((1-$D32-$G32)&lt;=0,0,ROUND(($C32+$F32+$I32)/(1-$D32-$G32),2)))</f>
        <v/>
      </c>
      <c r="N32" s="16">
        <f>IF($A32="","",IFERROR(SUMIF(tblAnahtarA[Norm],$A32,tblVeriA[HedefNet]),0))</f>
        <v/>
      </c>
      <c r="O32" s="16">
        <f>IF($A32="","",ROUND($K32-$N32,2))</f>
        <v/>
      </c>
      <c r="P32" s="16">
        <f>IF($A32="","",IF($L32&lt;egk_esikKatkiDusuk,"ZAM YAP",IF(AND($R32=1,$L32&lt;egk_esikKatkiHedef),"İNDİRİMİ KES","TUT")))</f>
        <v/>
      </c>
      <c r="Q32" s="16">
        <f>IF($A32="","",IFERROR(SUMIF(tblAnahtarB[NormB],$A32,tblVeriB[Roas]),0))</f>
        <v/>
      </c>
      <c r="R32" s="16">
        <f>IF($A32="","",IF(OR(IFERROR(INDEX(tblVeriA[YorumAB],MATCH($A32,tblAnahtarA[Norm],0)),"")="B",IFERROR(INDEX(tblVeriA[Durum],MATCH($A32,tblAnahtarA[Norm],0)),"")="Kampanya"),1,0))</f>
        <v/>
      </c>
      <c r="S32" s="16">
        <f>IF($A32="","",$J32-$E32)</f>
        <v/>
      </c>
      <c r="T32" s="16">
        <f>IF($A32="","",$K32-$O32)</f>
        <v/>
      </c>
    </row>
    <row r="33">
      <c r="A33" s="16">
        <f>IF('ANAHTAR'!$B33="","",'ANAHTAR'!$B33)</f>
        <v/>
      </c>
      <c r="B33" s="16">
        <f>IF($A33="","",IFERROR(SUMIF(tblAnahtarA[Norm],$A33,tblVeriA[SatisFiyati]),0))</f>
        <v/>
      </c>
      <c r="C33" s="16">
        <f>IF($A33="","",IFERROR(SUMIF(tblAnahtarA[Norm],$A33,tblVeriA[Maliyet]),0))</f>
        <v/>
      </c>
      <c r="D33" s="16">
        <f>IF($A33="","",IFERROR(SUMIF(tblAnahtarB[NormB],$A33,tblVeriB[KomisyonOran]),0))</f>
        <v/>
      </c>
      <c r="E33" s="16">
        <f>IF($A33="","",ROUND($B33*$D33,2))</f>
        <v/>
      </c>
      <c r="F33" s="16">
        <f>IF($A33="","",IFERROR(SUMIF(tblAnahtarB[NormB],$A33,tblVeriB[Kargo]),0))</f>
        <v/>
      </c>
      <c r="G33" s="16">
        <f>IF($A33="","",IFERROR(SUMIF(tblAnahtarB[NormB],$A33,tblVeriB[IadeOran]),0))</f>
        <v/>
      </c>
      <c r="H33" s="16">
        <f>IF($A33="","",ROUND($B33*$G33,2))</f>
        <v/>
      </c>
      <c r="I33" s="16">
        <f>IF($A33="","",IFERROR(SUMIF(tblAnahtarB[NormB],$A33,tblVeriB[ReklamTutar]),0))</f>
        <v/>
      </c>
      <c r="J33" s="16">
        <f>IF($A33="","",ROUND($B33-$C33,2))</f>
        <v/>
      </c>
      <c r="K33" s="16">
        <f>IF($A33="","",ROUND($B33-$C33-$E33-$F33-$H33-$I33,2))</f>
        <v/>
      </c>
      <c r="L33" s="16">
        <f>IF(OR($A33="",$B33=0),0,$K33/$B33)</f>
        <v/>
      </c>
      <c r="M33" s="16">
        <f>IF($A33="","",IF((1-$D33-$G33)&lt;=0,0,ROUND(($C33+$F33+$I33)/(1-$D33-$G33),2)))</f>
        <v/>
      </c>
      <c r="N33" s="16">
        <f>IF($A33="","",IFERROR(SUMIF(tblAnahtarA[Norm],$A33,tblVeriA[HedefNet]),0))</f>
        <v/>
      </c>
      <c r="O33" s="16">
        <f>IF($A33="","",ROUND($K33-$N33,2))</f>
        <v/>
      </c>
      <c r="P33" s="16">
        <f>IF($A33="","",IF($L33&lt;egk_esikKatkiDusuk,"ZAM YAP",IF(AND($R33=1,$L33&lt;egk_esikKatkiHedef),"İNDİRİMİ KES","TUT")))</f>
        <v/>
      </c>
      <c r="Q33" s="16">
        <f>IF($A33="","",IFERROR(SUMIF(tblAnahtarB[NormB],$A33,tblVeriB[Roas]),0))</f>
        <v/>
      </c>
      <c r="R33" s="16">
        <f>IF($A33="","",IF(OR(IFERROR(INDEX(tblVeriA[YorumAB],MATCH($A33,tblAnahtarA[Norm],0)),"")="B",IFERROR(INDEX(tblVeriA[Durum],MATCH($A33,tblAnahtarA[Norm],0)),"")="Kampanya"),1,0))</f>
        <v/>
      </c>
      <c r="S33" s="16">
        <f>IF($A33="","",$J33-$E33)</f>
        <v/>
      </c>
      <c r="T33" s="16">
        <f>IF($A33="","",$K33-$O33)</f>
        <v/>
      </c>
    </row>
    <row r="34">
      <c r="A34" s="16">
        <f>IF('ANAHTAR'!$B34="","",'ANAHTAR'!$B34)</f>
        <v/>
      </c>
      <c r="B34" s="16">
        <f>IF($A34="","",IFERROR(SUMIF(tblAnahtarA[Norm],$A34,tblVeriA[SatisFiyati]),0))</f>
        <v/>
      </c>
      <c r="C34" s="16">
        <f>IF($A34="","",IFERROR(SUMIF(tblAnahtarA[Norm],$A34,tblVeriA[Maliyet]),0))</f>
        <v/>
      </c>
      <c r="D34" s="16">
        <f>IF($A34="","",IFERROR(SUMIF(tblAnahtarB[NormB],$A34,tblVeriB[KomisyonOran]),0))</f>
        <v/>
      </c>
      <c r="E34" s="16">
        <f>IF($A34="","",ROUND($B34*$D34,2))</f>
        <v/>
      </c>
      <c r="F34" s="16">
        <f>IF($A34="","",IFERROR(SUMIF(tblAnahtarB[NormB],$A34,tblVeriB[Kargo]),0))</f>
        <v/>
      </c>
      <c r="G34" s="16">
        <f>IF($A34="","",IFERROR(SUMIF(tblAnahtarB[NormB],$A34,tblVeriB[IadeOran]),0))</f>
        <v/>
      </c>
      <c r="H34" s="16">
        <f>IF($A34="","",ROUND($B34*$G34,2))</f>
        <v/>
      </c>
      <c r="I34" s="16">
        <f>IF($A34="","",IFERROR(SUMIF(tblAnahtarB[NormB],$A34,tblVeriB[ReklamTutar]),0))</f>
        <v/>
      </c>
      <c r="J34" s="16">
        <f>IF($A34="","",ROUND($B34-$C34,2))</f>
        <v/>
      </c>
      <c r="K34" s="16">
        <f>IF($A34="","",ROUND($B34-$C34-$E34-$F34-$H34-$I34,2))</f>
        <v/>
      </c>
      <c r="L34" s="16">
        <f>IF(OR($A34="",$B34=0),0,$K34/$B34)</f>
        <v/>
      </c>
      <c r="M34" s="16">
        <f>IF($A34="","",IF((1-$D34-$G34)&lt;=0,0,ROUND(($C34+$F34+$I34)/(1-$D34-$G34),2)))</f>
        <v/>
      </c>
      <c r="N34" s="16">
        <f>IF($A34="","",IFERROR(SUMIF(tblAnahtarA[Norm],$A34,tblVeriA[HedefNet]),0))</f>
        <v/>
      </c>
      <c r="O34" s="16">
        <f>IF($A34="","",ROUND($K34-$N34,2))</f>
        <v/>
      </c>
      <c r="P34" s="16">
        <f>IF($A34="","",IF($L34&lt;egk_esikKatkiDusuk,"ZAM YAP",IF(AND($R34=1,$L34&lt;egk_esikKatkiHedef),"İNDİRİMİ KES","TUT")))</f>
        <v/>
      </c>
      <c r="Q34" s="16">
        <f>IF($A34="","",IFERROR(SUMIF(tblAnahtarB[NormB],$A34,tblVeriB[Roas]),0))</f>
        <v/>
      </c>
      <c r="R34" s="16">
        <f>IF($A34="","",IF(OR(IFERROR(INDEX(tblVeriA[YorumAB],MATCH($A34,tblAnahtarA[Norm],0)),"")="B",IFERROR(INDEX(tblVeriA[Durum],MATCH($A34,tblAnahtarA[Norm],0)),"")="Kampanya"),1,0))</f>
        <v/>
      </c>
      <c r="S34" s="16">
        <f>IF($A34="","",$J34-$E34)</f>
        <v/>
      </c>
      <c r="T34" s="16">
        <f>IF($A34="","",$K34-$O34)</f>
        <v/>
      </c>
    </row>
    <row r="35">
      <c r="A35" s="16">
        <f>IF('ANAHTAR'!$B35="","",'ANAHTAR'!$B35)</f>
        <v/>
      </c>
      <c r="B35" s="16">
        <f>IF($A35="","",IFERROR(SUMIF(tblAnahtarA[Norm],$A35,tblVeriA[SatisFiyati]),0))</f>
        <v/>
      </c>
      <c r="C35" s="16">
        <f>IF($A35="","",IFERROR(SUMIF(tblAnahtarA[Norm],$A35,tblVeriA[Maliyet]),0))</f>
        <v/>
      </c>
      <c r="D35" s="16">
        <f>IF($A35="","",IFERROR(SUMIF(tblAnahtarB[NormB],$A35,tblVeriB[KomisyonOran]),0))</f>
        <v/>
      </c>
      <c r="E35" s="16">
        <f>IF($A35="","",ROUND($B35*$D35,2))</f>
        <v/>
      </c>
      <c r="F35" s="16">
        <f>IF($A35="","",IFERROR(SUMIF(tblAnahtarB[NormB],$A35,tblVeriB[Kargo]),0))</f>
        <v/>
      </c>
      <c r="G35" s="16">
        <f>IF($A35="","",IFERROR(SUMIF(tblAnahtarB[NormB],$A35,tblVeriB[IadeOran]),0))</f>
        <v/>
      </c>
      <c r="H35" s="16">
        <f>IF($A35="","",ROUND($B35*$G35,2))</f>
        <v/>
      </c>
      <c r="I35" s="16">
        <f>IF($A35="","",IFERROR(SUMIF(tblAnahtarB[NormB],$A35,tblVeriB[ReklamTutar]),0))</f>
        <v/>
      </c>
      <c r="J35" s="16">
        <f>IF($A35="","",ROUND($B35-$C35,2))</f>
        <v/>
      </c>
      <c r="K35" s="16">
        <f>IF($A35="","",ROUND($B35-$C35-$E35-$F35-$H35-$I35,2))</f>
        <v/>
      </c>
      <c r="L35" s="16">
        <f>IF(OR($A35="",$B35=0),0,$K35/$B35)</f>
        <v/>
      </c>
      <c r="M35" s="16">
        <f>IF($A35="","",IF((1-$D35-$G35)&lt;=0,0,ROUND(($C35+$F35+$I35)/(1-$D35-$G35),2)))</f>
        <v/>
      </c>
      <c r="N35" s="16">
        <f>IF($A35="","",IFERROR(SUMIF(tblAnahtarA[Norm],$A35,tblVeriA[HedefNet]),0))</f>
        <v/>
      </c>
      <c r="O35" s="16">
        <f>IF($A35="","",ROUND($K35-$N35,2))</f>
        <v/>
      </c>
      <c r="P35" s="16">
        <f>IF($A35="","",IF($L35&lt;egk_esikKatkiDusuk,"ZAM YAP",IF(AND($R35=1,$L35&lt;egk_esikKatkiHedef),"İNDİRİMİ KES","TUT")))</f>
        <v/>
      </c>
      <c r="Q35" s="16">
        <f>IF($A35="","",IFERROR(SUMIF(tblAnahtarB[NormB],$A35,tblVeriB[Roas]),0))</f>
        <v/>
      </c>
      <c r="R35" s="16">
        <f>IF($A35="","",IF(OR(IFERROR(INDEX(tblVeriA[YorumAB],MATCH($A35,tblAnahtarA[Norm],0)),"")="B",IFERROR(INDEX(tblVeriA[Durum],MATCH($A35,tblAnahtarA[Norm],0)),"")="Kampanya"),1,0))</f>
        <v/>
      </c>
      <c r="S35" s="16">
        <f>IF($A35="","",$J35-$E35)</f>
        <v/>
      </c>
      <c r="T35" s="16">
        <f>IF($A35="","",$K35-$O35)</f>
        <v/>
      </c>
    </row>
    <row r="36">
      <c r="A36" s="16">
        <f>IF('ANAHTAR'!$B36="","",'ANAHTAR'!$B36)</f>
        <v/>
      </c>
      <c r="B36" s="16">
        <f>IF($A36="","",IFERROR(SUMIF(tblAnahtarA[Norm],$A36,tblVeriA[SatisFiyati]),0))</f>
        <v/>
      </c>
      <c r="C36" s="16">
        <f>IF($A36="","",IFERROR(SUMIF(tblAnahtarA[Norm],$A36,tblVeriA[Maliyet]),0))</f>
        <v/>
      </c>
      <c r="D36" s="16">
        <f>IF($A36="","",IFERROR(SUMIF(tblAnahtarB[NormB],$A36,tblVeriB[KomisyonOran]),0))</f>
        <v/>
      </c>
      <c r="E36" s="16">
        <f>IF($A36="","",ROUND($B36*$D36,2))</f>
        <v/>
      </c>
      <c r="F36" s="16">
        <f>IF($A36="","",IFERROR(SUMIF(tblAnahtarB[NormB],$A36,tblVeriB[Kargo]),0))</f>
        <v/>
      </c>
      <c r="G36" s="16">
        <f>IF($A36="","",IFERROR(SUMIF(tblAnahtarB[NormB],$A36,tblVeriB[IadeOran]),0))</f>
        <v/>
      </c>
      <c r="H36" s="16">
        <f>IF($A36="","",ROUND($B36*$G36,2))</f>
        <v/>
      </c>
      <c r="I36" s="16">
        <f>IF($A36="","",IFERROR(SUMIF(tblAnahtarB[NormB],$A36,tblVeriB[ReklamTutar]),0))</f>
        <v/>
      </c>
      <c r="J36" s="16">
        <f>IF($A36="","",ROUND($B36-$C36,2))</f>
        <v/>
      </c>
      <c r="K36" s="16">
        <f>IF($A36="","",ROUND($B36-$C36-$E36-$F36-$H36-$I36,2))</f>
        <v/>
      </c>
      <c r="L36" s="16">
        <f>IF(OR($A36="",$B36=0),0,$K36/$B36)</f>
        <v/>
      </c>
      <c r="M36" s="16">
        <f>IF($A36="","",IF((1-$D36-$G36)&lt;=0,0,ROUND(($C36+$F36+$I36)/(1-$D36-$G36),2)))</f>
        <v/>
      </c>
      <c r="N36" s="16">
        <f>IF($A36="","",IFERROR(SUMIF(tblAnahtarA[Norm],$A36,tblVeriA[HedefNet]),0))</f>
        <v/>
      </c>
      <c r="O36" s="16">
        <f>IF($A36="","",ROUND($K36-$N36,2))</f>
        <v/>
      </c>
      <c r="P36" s="16">
        <f>IF($A36="","",IF($L36&lt;egk_esikKatkiDusuk,"ZAM YAP",IF(AND($R36=1,$L36&lt;egk_esikKatkiHedef),"İNDİRİMİ KES","TUT")))</f>
        <v/>
      </c>
      <c r="Q36" s="16">
        <f>IF($A36="","",IFERROR(SUMIF(tblAnahtarB[NormB],$A36,tblVeriB[Roas]),0))</f>
        <v/>
      </c>
      <c r="R36" s="16">
        <f>IF($A36="","",IF(OR(IFERROR(INDEX(tblVeriA[YorumAB],MATCH($A36,tblAnahtarA[Norm],0)),"")="B",IFERROR(INDEX(tblVeriA[Durum],MATCH($A36,tblAnahtarA[Norm],0)),"")="Kampanya"),1,0))</f>
        <v/>
      </c>
      <c r="S36" s="16">
        <f>IF($A36="","",$J36-$E36)</f>
        <v/>
      </c>
      <c r="T36" s="16">
        <f>IF($A36="","",$K36-$O36)</f>
        <v/>
      </c>
    </row>
    <row r="37">
      <c r="A37" s="16">
        <f>IF('ANAHTAR'!$B37="","",'ANAHTAR'!$B37)</f>
        <v/>
      </c>
      <c r="B37" s="16">
        <f>IF($A37="","",IFERROR(SUMIF(tblAnahtarA[Norm],$A37,tblVeriA[SatisFiyati]),0))</f>
        <v/>
      </c>
      <c r="C37" s="16">
        <f>IF($A37="","",IFERROR(SUMIF(tblAnahtarA[Norm],$A37,tblVeriA[Maliyet]),0))</f>
        <v/>
      </c>
      <c r="D37" s="16">
        <f>IF($A37="","",IFERROR(SUMIF(tblAnahtarB[NormB],$A37,tblVeriB[KomisyonOran]),0))</f>
        <v/>
      </c>
      <c r="E37" s="16">
        <f>IF($A37="","",ROUND($B37*$D37,2))</f>
        <v/>
      </c>
      <c r="F37" s="16">
        <f>IF($A37="","",IFERROR(SUMIF(tblAnahtarB[NormB],$A37,tblVeriB[Kargo]),0))</f>
        <v/>
      </c>
      <c r="G37" s="16">
        <f>IF($A37="","",IFERROR(SUMIF(tblAnahtarB[NormB],$A37,tblVeriB[IadeOran]),0))</f>
        <v/>
      </c>
      <c r="H37" s="16">
        <f>IF($A37="","",ROUND($B37*$G37,2))</f>
        <v/>
      </c>
      <c r="I37" s="16">
        <f>IF($A37="","",IFERROR(SUMIF(tblAnahtarB[NormB],$A37,tblVeriB[ReklamTutar]),0))</f>
        <v/>
      </c>
      <c r="J37" s="16">
        <f>IF($A37="","",ROUND($B37-$C37,2))</f>
        <v/>
      </c>
      <c r="K37" s="16">
        <f>IF($A37="","",ROUND($B37-$C37-$E37-$F37-$H37-$I37,2))</f>
        <v/>
      </c>
      <c r="L37" s="16">
        <f>IF(OR($A37="",$B37=0),0,$K37/$B37)</f>
        <v/>
      </c>
      <c r="M37" s="16">
        <f>IF($A37="","",IF((1-$D37-$G37)&lt;=0,0,ROUND(($C37+$F37+$I37)/(1-$D37-$G37),2)))</f>
        <v/>
      </c>
      <c r="N37" s="16">
        <f>IF($A37="","",IFERROR(SUMIF(tblAnahtarA[Norm],$A37,tblVeriA[HedefNet]),0))</f>
        <v/>
      </c>
      <c r="O37" s="16">
        <f>IF($A37="","",ROUND($K37-$N37,2))</f>
        <v/>
      </c>
      <c r="P37" s="16">
        <f>IF($A37="","",IF($L37&lt;egk_esikKatkiDusuk,"ZAM YAP",IF(AND($R37=1,$L37&lt;egk_esikKatkiHedef),"İNDİRİMİ KES","TUT")))</f>
        <v/>
      </c>
      <c r="Q37" s="16">
        <f>IF($A37="","",IFERROR(SUMIF(tblAnahtarB[NormB],$A37,tblVeriB[Roas]),0))</f>
        <v/>
      </c>
      <c r="R37" s="16">
        <f>IF($A37="","",IF(OR(IFERROR(INDEX(tblVeriA[YorumAB],MATCH($A37,tblAnahtarA[Norm],0)),"")="B",IFERROR(INDEX(tblVeriA[Durum],MATCH($A37,tblAnahtarA[Norm],0)),"")="Kampanya"),1,0))</f>
        <v/>
      </c>
      <c r="S37" s="16">
        <f>IF($A37="","",$J37-$E37)</f>
        <v/>
      </c>
      <c r="T37" s="16">
        <f>IF($A37="","",$K37-$O37)</f>
        <v/>
      </c>
    </row>
    <row r="38">
      <c r="A38" s="16">
        <f>IF('ANAHTAR'!$B38="","",'ANAHTAR'!$B38)</f>
        <v/>
      </c>
      <c r="B38" s="16">
        <f>IF($A38="","",IFERROR(SUMIF(tblAnahtarA[Norm],$A38,tblVeriA[SatisFiyati]),0))</f>
        <v/>
      </c>
      <c r="C38" s="16">
        <f>IF($A38="","",IFERROR(SUMIF(tblAnahtarA[Norm],$A38,tblVeriA[Maliyet]),0))</f>
        <v/>
      </c>
      <c r="D38" s="16">
        <f>IF($A38="","",IFERROR(SUMIF(tblAnahtarB[NormB],$A38,tblVeriB[KomisyonOran]),0))</f>
        <v/>
      </c>
      <c r="E38" s="16">
        <f>IF($A38="","",ROUND($B38*$D38,2))</f>
        <v/>
      </c>
      <c r="F38" s="16">
        <f>IF($A38="","",IFERROR(SUMIF(tblAnahtarB[NormB],$A38,tblVeriB[Kargo]),0))</f>
        <v/>
      </c>
      <c r="G38" s="16">
        <f>IF($A38="","",IFERROR(SUMIF(tblAnahtarB[NormB],$A38,tblVeriB[IadeOran]),0))</f>
        <v/>
      </c>
      <c r="H38" s="16">
        <f>IF($A38="","",ROUND($B38*$G38,2))</f>
        <v/>
      </c>
      <c r="I38" s="16">
        <f>IF($A38="","",IFERROR(SUMIF(tblAnahtarB[NormB],$A38,tblVeriB[ReklamTutar]),0))</f>
        <v/>
      </c>
      <c r="J38" s="16">
        <f>IF($A38="","",ROUND($B38-$C38,2))</f>
        <v/>
      </c>
      <c r="K38" s="16">
        <f>IF($A38="","",ROUND($B38-$C38-$E38-$F38-$H38-$I38,2))</f>
        <v/>
      </c>
      <c r="L38" s="16">
        <f>IF(OR($A38="",$B38=0),0,$K38/$B38)</f>
        <v/>
      </c>
      <c r="M38" s="16">
        <f>IF($A38="","",IF((1-$D38-$G38)&lt;=0,0,ROUND(($C38+$F38+$I38)/(1-$D38-$G38),2)))</f>
        <v/>
      </c>
      <c r="N38" s="16">
        <f>IF($A38="","",IFERROR(SUMIF(tblAnahtarA[Norm],$A38,tblVeriA[HedefNet]),0))</f>
        <v/>
      </c>
      <c r="O38" s="16">
        <f>IF($A38="","",ROUND($K38-$N38,2))</f>
        <v/>
      </c>
      <c r="P38" s="16">
        <f>IF($A38="","",IF($L38&lt;egk_esikKatkiDusuk,"ZAM YAP",IF(AND($R38=1,$L38&lt;egk_esikKatkiHedef),"İNDİRİMİ KES","TUT")))</f>
        <v/>
      </c>
      <c r="Q38" s="16">
        <f>IF($A38="","",IFERROR(SUMIF(tblAnahtarB[NormB],$A38,tblVeriB[Roas]),0))</f>
        <v/>
      </c>
      <c r="R38" s="16">
        <f>IF($A38="","",IF(OR(IFERROR(INDEX(tblVeriA[YorumAB],MATCH($A38,tblAnahtarA[Norm],0)),"")="B",IFERROR(INDEX(tblVeriA[Durum],MATCH($A38,tblAnahtarA[Norm],0)),"")="Kampanya"),1,0))</f>
        <v/>
      </c>
      <c r="S38" s="16">
        <f>IF($A38="","",$J38-$E38)</f>
        <v/>
      </c>
      <c r="T38" s="16">
        <f>IF($A38="","",$K38-$O38)</f>
        <v/>
      </c>
    </row>
    <row r="39">
      <c r="A39" s="16">
        <f>IF('ANAHTAR'!$B39="","",'ANAHTAR'!$B39)</f>
        <v/>
      </c>
      <c r="B39" s="16">
        <f>IF($A39="","",IFERROR(SUMIF(tblAnahtarA[Norm],$A39,tblVeriA[SatisFiyati]),0))</f>
        <v/>
      </c>
      <c r="C39" s="16">
        <f>IF($A39="","",IFERROR(SUMIF(tblAnahtarA[Norm],$A39,tblVeriA[Maliyet]),0))</f>
        <v/>
      </c>
      <c r="D39" s="16">
        <f>IF($A39="","",IFERROR(SUMIF(tblAnahtarB[NormB],$A39,tblVeriB[KomisyonOran]),0))</f>
        <v/>
      </c>
      <c r="E39" s="16">
        <f>IF($A39="","",ROUND($B39*$D39,2))</f>
        <v/>
      </c>
      <c r="F39" s="16">
        <f>IF($A39="","",IFERROR(SUMIF(tblAnahtarB[NormB],$A39,tblVeriB[Kargo]),0))</f>
        <v/>
      </c>
      <c r="G39" s="16">
        <f>IF($A39="","",IFERROR(SUMIF(tblAnahtarB[NormB],$A39,tblVeriB[IadeOran]),0))</f>
        <v/>
      </c>
      <c r="H39" s="16">
        <f>IF($A39="","",ROUND($B39*$G39,2))</f>
        <v/>
      </c>
      <c r="I39" s="16">
        <f>IF($A39="","",IFERROR(SUMIF(tblAnahtarB[NormB],$A39,tblVeriB[ReklamTutar]),0))</f>
        <v/>
      </c>
      <c r="J39" s="16">
        <f>IF($A39="","",ROUND($B39-$C39,2))</f>
        <v/>
      </c>
      <c r="K39" s="16">
        <f>IF($A39="","",ROUND($B39-$C39-$E39-$F39-$H39-$I39,2))</f>
        <v/>
      </c>
      <c r="L39" s="16">
        <f>IF(OR($A39="",$B39=0),0,$K39/$B39)</f>
        <v/>
      </c>
      <c r="M39" s="16">
        <f>IF($A39="","",IF((1-$D39-$G39)&lt;=0,0,ROUND(($C39+$F39+$I39)/(1-$D39-$G39),2)))</f>
        <v/>
      </c>
      <c r="N39" s="16">
        <f>IF($A39="","",IFERROR(SUMIF(tblAnahtarA[Norm],$A39,tblVeriA[HedefNet]),0))</f>
        <v/>
      </c>
      <c r="O39" s="16">
        <f>IF($A39="","",ROUND($K39-$N39,2))</f>
        <v/>
      </c>
      <c r="P39" s="16">
        <f>IF($A39="","",IF($L39&lt;egk_esikKatkiDusuk,"ZAM YAP",IF(AND($R39=1,$L39&lt;egk_esikKatkiHedef),"İNDİRİMİ KES","TUT")))</f>
        <v/>
      </c>
      <c r="Q39" s="16">
        <f>IF($A39="","",IFERROR(SUMIF(tblAnahtarB[NormB],$A39,tblVeriB[Roas]),0))</f>
        <v/>
      </c>
      <c r="R39" s="16">
        <f>IF($A39="","",IF(OR(IFERROR(INDEX(tblVeriA[YorumAB],MATCH($A39,tblAnahtarA[Norm],0)),"")="B",IFERROR(INDEX(tblVeriA[Durum],MATCH($A39,tblAnahtarA[Norm],0)),"")="Kampanya"),1,0))</f>
        <v/>
      </c>
      <c r="S39" s="16">
        <f>IF($A39="","",$J39-$E39)</f>
        <v/>
      </c>
      <c r="T39" s="16">
        <f>IF($A39="","",$K39-$O39)</f>
        <v/>
      </c>
    </row>
    <row r="40">
      <c r="A40" s="16">
        <f>IF('ANAHTAR'!$B40="","",'ANAHTAR'!$B40)</f>
        <v/>
      </c>
      <c r="B40" s="16">
        <f>IF($A40="","",IFERROR(SUMIF(tblAnahtarA[Norm],$A40,tblVeriA[SatisFiyati]),0))</f>
        <v/>
      </c>
      <c r="C40" s="16">
        <f>IF($A40="","",IFERROR(SUMIF(tblAnahtarA[Norm],$A40,tblVeriA[Maliyet]),0))</f>
        <v/>
      </c>
      <c r="D40" s="16">
        <f>IF($A40="","",IFERROR(SUMIF(tblAnahtarB[NormB],$A40,tblVeriB[KomisyonOran]),0))</f>
        <v/>
      </c>
      <c r="E40" s="16">
        <f>IF($A40="","",ROUND($B40*$D40,2))</f>
        <v/>
      </c>
      <c r="F40" s="16">
        <f>IF($A40="","",IFERROR(SUMIF(tblAnahtarB[NormB],$A40,tblVeriB[Kargo]),0))</f>
        <v/>
      </c>
      <c r="G40" s="16">
        <f>IF($A40="","",IFERROR(SUMIF(tblAnahtarB[NormB],$A40,tblVeriB[IadeOran]),0))</f>
        <v/>
      </c>
      <c r="H40" s="16">
        <f>IF($A40="","",ROUND($B40*$G40,2))</f>
        <v/>
      </c>
      <c r="I40" s="16">
        <f>IF($A40="","",IFERROR(SUMIF(tblAnahtarB[NormB],$A40,tblVeriB[ReklamTutar]),0))</f>
        <v/>
      </c>
      <c r="J40" s="16">
        <f>IF($A40="","",ROUND($B40-$C40,2))</f>
        <v/>
      </c>
      <c r="K40" s="16">
        <f>IF($A40="","",ROUND($B40-$C40-$E40-$F40-$H40-$I40,2))</f>
        <v/>
      </c>
      <c r="L40" s="16">
        <f>IF(OR($A40="",$B40=0),0,$K40/$B40)</f>
        <v/>
      </c>
      <c r="M40" s="16">
        <f>IF($A40="","",IF((1-$D40-$G40)&lt;=0,0,ROUND(($C40+$F40+$I40)/(1-$D40-$G40),2)))</f>
        <v/>
      </c>
      <c r="N40" s="16">
        <f>IF($A40="","",IFERROR(SUMIF(tblAnahtarA[Norm],$A40,tblVeriA[HedefNet]),0))</f>
        <v/>
      </c>
      <c r="O40" s="16">
        <f>IF($A40="","",ROUND($K40-$N40,2))</f>
        <v/>
      </c>
      <c r="P40" s="16">
        <f>IF($A40="","",IF($L40&lt;egk_esikKatkiDusuk,"ZAM YAP",IF(AND($R40=1,$L40&lt;egk_esikKatkiHedef),"İNDİRİMİ KES","TUT")))</f>
        <v/>
      </c>
      <c r="Q40" s="16">
        <f>IF($A40="","",IFERROR(SUMIF(tblAnahtarB[NormB],$A40,tblVeriB[Roas]),0))</f>
        <v/>
      </c>
      <c r="R40" s="16">
        <f>IF($A40="","",IF(OR(IFERROR(INDEX(tblVeriA[YorumAB],MATCH($A40,tblAnahtarA[Norm],0)),"")="B",IFERROR(INDEX(tblVeriA[Durum],MATCH($A40,tblAnahtarA[Norm],0)),"")="Kampanya"),1,0))</f>
        <v/>
      </c>
      <c r="S40" s="16">
        <f>IF($A40="","",$J40-$E40)</f>
        <v/>
      </c>
      <c r="T40" s="16">
        <f>IF($A40="","",$K40-$O40)</f>
        <v/>
      </c>
    </row>
    <row r="41">
      <c r="A41" s="16">
        <f>IF('ANAHTAR'!$B41="","",'ANAHTAR'!$B41)</f>
        <v/>
      </c>
      <c r="B41" s="16">
        <f>IF($A41="","",IFERROR(SUMIF(tblAnahtarA[Norm],$A41,tblVeriA[SatisFiyati]),0))</f>
        <v/>
      </c>
      <c r="C41" s="16">
        <f>IF($A41="","",IFERROR(SUMIF(tblAnahtarA[Norm],$A41,tblVeriA[Maliyet]),0))</f>
        <v/>
      </c>
      <c r="D41" s="16">
        <f>IF($A41="","",IFERROR(SUMIF(tblAnahtarB[NormB],$A41,tblVeriB[KomisyonOran]),0))</f>
        <v/>
      </c>
      <c r="E41" s="16">
        <f>IF($A41="","",ROUND($B41*$D41,2))</f>
        <v/>
      </c>
      <c r="F41" s="16">
        <f>IF($A41="","",IFERROR(SUMIF(tblAnahtarB[NormB],$A41,tblVeriB[Kargo]),0))</f>
        <v/>
      </c>
      <c r="G41" s="16">
        <f>IF($A41="","",IFERROR(SUMIF(tblAnahtarB[NormB],$A41,tblVeriB[IadeOran]),0))</f>
        <v/>
      </c>
      <c r="H41" s="16">
        <f>IF($A41="","",ROUND($B41*$G41,2))</f>
        <v/>
      </c>
      <c r="I41" s="16">
        <f>IF($A41="","",IFERROR(SUMIF(tblAnahtarB[NormB],$A41,tblVeriB[ReklamTutar]),0))</f>
        <v/>
      </c>
      <c r="J41" s="16">
        <f>IF($A41="","",ROUND($B41-$C41,2))</f>
        <v/>
      </c>
      <c r="K41" s="16">
        <f>IF($A41="","",ROUND($B41-$C41-$E41-$F41-$H41-$I41,2))</f>
        <v/>
      </c>
      <c r="L41" s="16">
        <f>IF(OR($A41="",$B41=0),0,$K41/$B41)</f>
        <v/>
      </c>
      <c r="M41" s="16">
        <f>IF($A41="","",IF((1-$D41-$G41)&lt;=0,0,ROUND(($C41+$F41+$I41)/(1-$D41-$G41),2)))</f>
        <v/>
      </c>
      <c r="N41" s="16">
        <f>IF($A41="","",IFERROR(SUMIF(tblAnahtarA[Norm],$A41,tblVeriA[HedefNet]),0))</f>
        <v/>
      </c>
      <c r="O41" s="16">
        <f>IF($A41="","",ROUND($K41-$N41,2))</f>
        <v/>
      </c>
      <c r="P41" s="16">
        <f>IF($A41="","",IF($L41&lt;egk_esikKatkiDusuk,"ZAM YAP",IF(AND($R41=1,$L41&lt;egk_esikKatkiHedef),"İNDİRİMİ KES","TUT")))</f>
        <v/>
      </c>
      <c r="Q41" s="16">
        <f>IF($A41="","",IFERROR(SUMIF(tblAnahtarB[NormB],$A41,tblVeriB[Roas]),0))</f>
        <v/>
      </c>
      <c r="R41" s="16">
        <f>IF($A41="","",IF(OR(IFERROR(INDEX(tblVeriA[YorumAB],MATCH($A41,tblAnahtarA[Norm],0)),"")="B",IFERROR(INDEX(tblVeriA[Durum],MATCH($A41,tblAnahtarA[Norm],0)),"")="Kampanya"),1,0))</f>
        <v/>
      </c>
      <c r="S41" s="16">
        <f>IF($A41="","",$J41-$E41)</f>
        <v/>
      </c>
      <c r="T41" s="16">
        <f>IF($A41="","",$K41-$O41)</f>
        <v/>
      </c>
    </row>
    <row r="42">
      <c r="A42" s="16">
        <f>IF('ANAHTAR'!$B42="","",'ANAHTAR'!$B42)</f>
        <v/>
      </c>
      <c r="B42" s="16">
        <f>IF($A42="","",IFERROR(SUMIF(tblAnahtarA[Norm],$A42,tblVeriA[SatisFiyati]),0))</f>
        <v/>
      </c>
      <c r="C42" s="16">
        <f>IF($A42="","",IFERROR(SUMIF(tblAnahtarA[Norm],$A42,tblVeriA[Maliyet]),0))</f>
        <v/>
      </c>
      <c r="D42" s="16">
        <f>IF($A42="","",IFERROR(SUMIF(tblAnahtarB[NormB],$A42,tblVeriB[KomisyonOran]),0))</f>
        <v/>
      </c>
      <c r="E42" s="16">
        <f>IF($A42="","",ROUND($B42*$D42,2))</f>
        <v/>
      </c>
      <c r="F42" s="16">
        <f>IF($A42="","",IFERROR(SUMIF(tblAnahtarB[NormB],$A42,tblVeriB[Kargo]),0))</f>
        <v/>
      </c>
      <c r="G42" s="16">
        <f>IF($A42="","",IFERROR(SUMIF(tblAnahtarB[NormB],$A42,tblVeriB[IadeOran]),0))</f>
        <v/>
      </c>
      <c r="H42" s="16">
        <f>IF($A42="","",ROUND($B42*$G42,2))</f>
        <v/>
      </c>
      <c r="I42" s="16">
        <f>IF($A42="","",IFERROR(SUMIF(tblAnahtarB[NormB],$A42,tblVeriB[ReklamTutar]),0))</f>
        <v/>
      </c>
      <c r="J42" s="16">
        <f>IF($A42="","",ROUND($B42-$C42,2))</f>
        <v/>
      </c>
      <c r="K42" s="16">
        <f>IF($A42="","",ROUND($B42-$C42-$E42-$F42-$H42-$I42,2))</f>
        <v/>
      </c>
      <c r="L42" s="16">
        <f>IF(OR($A42="",$B42=0),0,$K42/$B42)</f>
        <v/>
      </c>
      <c r="M42" s="16">
        <f>IF($A42="","",IF((1-$D42-$G42)&lt;=0,0,ROUND(($C42+$F42+$I42)/(1-$D42-$G42),2)))</f>
        <v/>
      </c>
      <c r="N42" s="16">
        <f>IF($A42="","",IFERROR(SUMIF(tblAnahtarA[Norm],$A42,tblVeriA[HedefNet]),0))</f>
        <v/>
      </c>
      <c r="O42" s="16">
        <f>IF($A42="","",ROUND($K42-$N42,2))</f>
        <v/>
      </c>
      <c r="P42" s="16">
        <f>IF($A42="","",IF($L42&lt;egk_esikKatkiDusuk,"ZAM YAP",IF(AND($R42=1,$L42&lt;egk_esikKatkiHedef),"İNDİRİMİ KES","TUT")))</f>
        <v/>
      </c>
      <c r="Q42" s="16">
        <f>IF($A42="","",IFERROR(SUMIF(tblAnahtarB[NormB],$A42,tblVeriB[Roas]),0))</f>
        <v/>
      </c>
      <c r="R42" s="16">
        <f>IF($A42="","",IF(OR(IFERROR(INDEX(tblVeriA[YorumAB],MATCH($A42,tblAnahtarA[Norm],0)),"")="B",IFERROR(INDEX(tblVeriA[Durum],MATCH($A42,tblAnahtarA[Norm],0)),"")="Kampanya"),1,0))</f>
        <v/>
      </c>
      <c r="S42" s="16">
        <f>IF($A42="","",$J42-$E42)</f>
        <v/>
      </c>
      <c r="T42" s="16">
        <f>IF($A42="","",$K42-$O42)</f>
        <v/>
      </c>
    </row>
    <row r="43">
      <c r="A43" s="16">
        <f>IF('ANAHTAR'!$B43="","",'ANAHTAR'!$B43)</f>
        <v/>
      </c>
      <c r="B43" s="16">
        <f>IF($A43="","",IFERROR(SUMIF(tblAnahtarA[Norm],$A43,tblVeriA[SatisFiyati]),0))</f>
        <v/>
      </c>
      <c r="C43" s="16">
        <f>IF($A43="","",IFERROR(SUMIF(tblAnahtarA[Norm],$A43,tblVeriA[Maliyet]),0))</f>
        <v/>
      </c>
      <c r="D43" s="16">
        <f>IF($A43="","",IFERROR(SUMIF(tblAnahtarB[NormB],$A43,tblVeriB[KomisyonOran]),0))</f>
        <v/>
      </c>
      <c r="E43" s="16">
        <f>IF($A43="","",ROUND($B43*$D43,2))</f>
        <v/>
      </c>
      <c r="F43" s="16">
        <f>IF($A43="","",IFERROR(SUMIF(tblAnahtarB[NormB],$A43,tblVeriB[Kargo]),0))</f>
        <v/>
      </c>
      <c r="G43" s="16">
        <f>IF($A43="","",IFERROR(SUMIF(tblAnahtarB[NormB],$A43,tblVeriB[IadeOran]),0))</f>
        <v/>
      </c>
      <c r="H43" s="16">
        <f>IF($A43="","",ROUND($B43*$G43,2))</f>
        <v/>
      </c>
      <c r="I43" s="16">
        <f>IF($A43="","",IFERROR(SUMIF(tblAnahtarB[NormB],$A43,tblVeriB[ReklamTutar]),0))</f>
        <v/>
      </c>
      <c r="J43" s="16">
        <f>IF($A43="","",ROUND($B43-$C43,2))</f>
        <v/>
      </c>
      <c r="K43" s="16">
        <f>IF($A43="","",ROUND($B43-$C43-$E43-$F43-$H43-$I43,2))</f>
        <v/>
      </c>
      <c r="L43" s="16">
        <f>IF(OR($A43="",$B43=0),0,$K43/$B43)</f>
        <v/>
      </c>
      <c r="M43" s="16">
        <f>IF($A43="","",IF((1-$D43-$G43)&lt;=0,0,ROUND(($C43+$F43+$I43)/(1-$D43-$G43),2)))</f>
        <v/>
      </c>
      <c r="N43" s="16">
        <f>IF($A43="","",IFERROR(SUMIF(tblAnahtarA[Norm],$A43,tblVeriA[HedefNet]),0))</f>
        <v/>
      </c>
      <c r="O43" s="16">
        <f>IF($A43="","",ROUND($K43-$N43,2))</f>
        <v/>
      </c>
      <c r="P43" s="16">
        <f>IF($A43="","",IF($L43&lt;egk_esikKatkiDusuk,"ZAM YAP",IF(AND($R43=1,$L43&lt;egk_esikKatkiHedef),"İNDİRİMİ KES","TUT")))</f>
        <v/>
      </c>
      <c r="Q43" s="16">
        <f>IF($A43="","",IFERROR(SUMIF(tblAnahtarB[NormB],$A43,tblVeriB[Roas]),0))</f>
        <v/>
      </c>
      <c r="R43" s="16">
        <f>IF($A43="","",IF(OR(IFERROR(INDEX(tblVeriA[YorumAB],MATCH($A43,tblAnahtarA[Norm],0)),"")="B",IFERROR(INDEX(tblVeriA[Durum],MATCH($A43,tblAnahtarA[Norm],0)),"")="Kampanya"),1,0))</f>
        <v/>
      </c>
      <c r="S43" s="16">
        <f>IF($A43="","",$J43-$E43)</f>
        <v/>
      </c>
      <c r="T43" s="16">
        <f>IF($A43="","",$K43-$O43)</f>
        <v/>
      </c>
    </row>
    <row r="44">
      <c r="A44" s="16">
        <f>IF('ANAHTAR'!$B44="","",'ANAHTAR'!$B44)</f>
        <v/>
      </c>
      <c r="B44" s="16">
        <f>IF($A44="","",IFERROR(SUMIF(tblAnahtarA[Norm],$A44,tblVeriA[SatisFiyati]),0))</f>
        <v/>
      </c>
      <c r="C44" s="16">
        <f>IF($A44="","",IFERROR(SUMIF(tblAnahtarA[Norm],$A44,tblVeriA[Maliyet]),0))</f>
        <v/>
      </c>
      <c r="D44" s="16">
        <f>IF($A44="","",IFERROR(SUMIF(tblAnahtarB[NormB],$A44,tblVeriB[KomisyonOran]),0))</f>
        <v/>
      </c>
      <c r="E44" s="16">
        <f>IF($A44="","",ROUND($B44*$D44,2))</f>
        <v/>
      </c>
      <c r="F44" s="16">
        <f>IF($A44="","",IFERROR(SUMIF(tblAnahtarB[NormB],$A44,tblVeriB[Kargo]),0))</f>
        <v/>
      </c>
      <c r="G44" s="16">
        <f>IF($A44="","",IFERROR(SUMIF(tblAnahtarB[NormB],$A44,tblVeriB[IadeOran]),0))</f>
        <v/>
      </c>
      <c r="H44" s="16">
        <f>IF($A44="","",ROUND($B44*$G44,2))</f>
        <v/>
      </c>
      <c r="I44" s="16">
        <f>IF($A44="","",IFERROR(SUMIF(tblAnahtarB[NormB],$A44,tblVeriB[ReklamTutar]),0))</f>
        <v/>
      </c>
      <c r="J44" s="16">
        <f>IF($A44="","",ROUND($B44-$C44,2))</f>
        <v/>
      </c>
      <c r="K44" s="16">
        <f>IF($A44="","",ROUND($B44-$C44-$E44-$F44-$H44-$I44,2))</f>
        <v/>
      </c>
      <c r="L44" s="16">
        <f>IF(OR($A44="",$B44=0),0,$K44/$B44)</f>
        <v/>
      </c>
      <c r="M44" s="16">
        <f>IF($A44="","",IF((1-$D44-$G44)&lt;=0,0,ROUND(($C44+$F44+$I44)/(1-$D44-$G44),2)))</f>
        <v/>
      </c>
      <c r="N44" s="16">
        <f>IF($A44="","",IFERROR(SUMIF(tblAnahtarA[Norm],$A44,tblVeriA[HedefNet]),0))</f>
        <v/>
      </c>
      <c r="O44" s="16">
        <f>IF($A44="","",ROUND($K44-$N44,2))</f>
        <v/>
      </c>
      <c r="P44" s="16">
        <f>IF($A44="","",IF($L44&lt;egk_esikKatkiDusuk,"ZAM YAP",IF(AND($R44=1,$L44&lt;egk_esikKatkiHedef),"İNDİRİMİ KES","TUT")))</f>
        <v/>
      </c>
      <c r="Q44" s="16">
        <f>IF($A44="","",IFERROR(SUMIF(tblAnahtarB[NormB],$A44,tblVeriB[Roas]),0))</f>
        <v/>
      </c>
      <c r="R44" s="16">
        <f>IF($A44="","",IF(OR(IFERROR(INDEX(tblVeriA[YorumAB],MATCH($A44,tblAnahtarA[Norm],0)),"")="B",IFERROR(INDEX(tblVeriA[Durum],MATCH($A44,tblAnahtarA[Norm],0)),"")="Kampanya"),1,0))</f>
        <v/>
      </c>
      <c r="S44" s="16">
        <f>IF($A44="","",$J44-$E44)</f>
        <v/>
      </c>
      <c r="T44" s="16">
        <f>IF($A44="","",$K44-$O44)</f>
        <v/>
      </c>
    </row>
    <row r="45">
      <c r="A45" s="16">
        <f>IF('ANAHTAR'!$B45="","",'ANAHTAR'!$B45)</f>
        <v/>
      </c>
      <c r="B45" s="16">
        <f>IF($A45="","",IFERROR(SUMIF(tblAnahtarA[Norm],$A45,tblVeriA[SatisFiyati]),0))</f>
        <v/>
      </c>
      <c r="C45" s="16">
        <f>IF($A45="","",IFERROR(SUMIF(tblAnahtarA[Norm],$A45,tblVeriA[Maliyet]),0))</f>
        <v/>
      </c>
      <c r="D45" s="16">
        <f>IF($A45="","",IFERROR(SUMIF(tblAnahtarB[NormB],$A45,tblVeriB[KomisyonOran]),0))</f>
        <v/>
      </c>
      <c r="E45" s="16">
        <f>IF($A45="","",ROUND($B45*$D45,2))</f>
        <v/>
      </c>
      <c r="F45" s="16">
        <f>IF($A45="","",IFERROR(SUMIF(tblAnahtarB[NormB],$A45,tblVeriB[Kargo]),0))</f>
        <v/>
      </c>
      <c r="G45" s="16">
        <f>IF($A45="","",IFERROR(SUMIF(tblAnahtarB[NormB],$A45,tblVeriB[IadeOran]),0))</f>
        <v/>
      </c>
      <c r="H45" s="16">
        <f>IF($A45="","",ROUND($B45*$G45,2))</f>
        <v/>
      </c>
      <c r="I45" s="16">
        <f>IF($A45="","",IFERROR(SUMIF(tblAnahtarB[NormB],$A45,tblVeriB[ReklamTutar]),0))</f>
        <v/>
      </c>
      <c r="J45" s="16">
        <f>IF($A45="","",ROUND($B45-$C45,2))</f>
        <v/>
      </c>
      <c r="K45" s="16">
        <f>IF($A45="","",ROUND($B45-$C45-$E45-$F45-$H45-$I45,2))</f>
        <v/>
      </c>
      <c r="L45" s="16">
        <f>IF(OR($A45="",$B45=0),0,$K45/$B45)</f>
        <v/>
      </c>
      <c r="M45" s="16">
        <f>IF($A45="","",IF((1-$D45-$G45)&lt;=0,0,ROUND(($C45+$F45+$I45)/(1-$D45-$G45),2)))</f>
        <v/>
      </c>
      <c r="N45" s="16">
        <f>IF($A45="","",IFERROR(SUMIF(tblAnahtarA[Norm],$A45,tblVeriA[HedefNet]),0))</f>
        <v/>
      </c>
      <c r="O45" s="16">
        <f>IF($A45="","",ROUND($K45-$N45,2))</f>
        <v/>
      </c>
      <c r="P45" s="16">
        <f>IF($A45="","",IF($L45&lt;egk_esikKatkiDusuk,"ZAM YAP",IF(AND($R45=1,$L45&lt;egk_esikKatkiHedef),"İNDİRİMİ KES","TUT")))</f>
        <v/>
      </c>
      <c r="Q45" s="16">
        <f>IF($A45="","",IFERROR(SUMIF(tblAnahtarB[NormB],$A45,tblVeriB[Roas]),0))</f>
        <v/>
      </c>
      <c r="R45" s="16">
        <f>IF($A45="","",IF(OR(IFERROR(INDEX(tblVeriA[YorumAB],MATCH($A45,tblAnahtarA[Norm],0)),"")="B",IFERROR(INDEX(tblVeriA[Durum],MATCH($A45,tblAnahtarA[Norm],0)),"")="Kampanya"),1,0))</f>
        <v/>
      </c>
      <c r="S45" s="16">
        <f>IF($A45="","",$J45-$E45)</f>
        <v/>
      </c>
      <c r="T45" s="16">
        <f>IF($A45="","",$K45-$O45)</f>
        <v/>
      </c>
    </row>
    <row r="46">
      <c r="A46" s="16">
        <f>IF('ANAHTAR'!$B46="","",'ANAHTAR'!$B46)</f>
        <v/>
      </c>
      <c r="B46" s="16">
        <f>IF($A46="","",IFERROR(SUMIF(tblAnahtarA[Norm],$A46,tblVeriA[SatisFiyati]),0))</f>
        <v/>
      </c>
      <c r="C46" s="16">
        <f>IF($A46="","",IFERROR(SUMIF(tblAnahtarA[Norm],$A46,tblVeriA[Maliyet]),0))</f>
        <v/>
      </c>
      <c r="D46" s="16">
        <f>IF($A46="","",IFERROR(SUMIF(tblAnahtarB[NormB],$A46,tblVeriB[KomisyonOran]),0))</f>
        <v/>
      </c>
      <c r="E46" s="16">
        <f>IF($A46="","",ROUND($B46*$D46,2))</f>
        <v/>
      </c>
      <c r="F46" s="16">
        <f>IF($A46="","",IFERROR(SUMIF(tblAnahtarB[NormB],$A46,tblVeriB[Kargo]),0))</f>
        <v/>
      </c>
      <c r="G46" s="16">
        <f>IF($A46="","",IFERROR(SUMIF(tblAnahtarB[NormB],$A46,tblVeriB[IadeOran]),0))</f>
        <v/>
      </c>
      <c r="H46" s="16">
        <f>IF($A46="","",ROUND($B46*$G46,2))</f>
        <v/>
      </c>
      <c r="I46" s="16">
        <f>IF($A46="","",IFERROR(SUMIF(tblAnahtarB[NormB],$A46,tblVeriB[ReklamTutar]),0))</f>
        <v/>
      </c>
      <c r="J46" s="16">
        <f>IF($A46="","",ROUND($B46-$C46,2))</f>
        <v/>
      </c>
      <c r="K46" s="16">
        <f>IF($A46="","",ROUND($B46-$C46-$E46-$F46-$H46-$I46,2))</f>
        <v/>
      </c>
      <c r="L46" s="16">
        <f>IF(OR($A46="",$B46=0),0,$K46/$B46)</f>
        <v/>
      </c>
      <c r="M46" s="16">
        <f>IF($A46="","",IF((1-$D46-$G46)&lt;=0,0,ROUND(($C46+$F46+$I46)/(1-$D46-$G46),2)))</f>
        <v/>
      </c>
      <c r="N46" s="16">
        <f>IF($A46="","",IFERROR(SUMIF(tblAnahtarA[Norm],$A46,tblVeriA[HedefNet]),0))</f>
        <v/>
      </c>
      <c r="O46" s="16">
        <f>IF($A46="","",ROUND($K46-$N46,2))</f>
        <v/>
      </c>
      <c r="P46" s="16">
        <f>IF($A46="","",IF($L46&lt;egk_esikKatkiDusuk,"ZAM YAP",IF(AND($R46=1,$L46&lt;egk_esikKatkiHedef),"İNDİRİMİ KES","TUT")))</f>
        <v/>
      </c>
      <c r="Q46" s="16">
        <f>IF($A46="","",IFERROR(SUMIF(tblAnahtarB[NormB],$A46,tblVeriB[Roas]),0))</f>
        <v/>
      </c>
      <c r="R46" s="16">
        <f>IF($A46="","",IF(OR(IFERROR(INDEX(tblVeriA[YorumAB],MATCH($A46,tblAnahtarA[Norm],0)),"")="B",IFERROR(INDEX(tblVeriA[Durum],MATCH($A46,tblAnahtarA[Norm],0)),"")="Kampanya"),1,0))</f>
        <v/>
      </c>
      <c r="S46" s="16">
        <f>IF($A46="","",$J46-$E46)</f>
        <v/>
      </c>
      <c r="T46" s="16">
        <f>IF($A46="","",$K46-$O46)</f>
        <v/>
      </c>
    </row>
    <row r="47">
      <c r="A47" s="16">
        <f>IF('ANAHTAR'!$B47="","",'ANAHTAR'!$B47)</f>
        <v/>
      </c>
      <c r="B47" s="16">
        <f>IF($A47="","",IFERROR(SUMIF(tblAnahtarA[Norm],$A47,tblVeriA[SatisFiyati]),0))</f>
        <v/>
      </c>
      <c r="C47" s="16">
        <f>IF($A47="","",IFERROR(SUMIF(tblAnahtarA[Norm],$A47,tblVeriA[Maliyet]),0))</f>
        <v/>
      </c>
      <c r="D47" s="16">
        <f>IF($A47="","",IFERROR(SUMIF(tblAnahtarB[NormB],$A47,tblVeriB[KomisyonOran]),0))</f>
        <v/>
      </c>
      <c r="E47" s="16">
        <f>IF($A47="","",ROUND($B47*$D47,2))</f>
        <v/>
      </c>
      <c r="F47" s="16">
        <f>IF($A47="","",IFERROR(SUMIF(tblAnahtarB[NormB],$A47,tblVeriB[Kargo]),0))</f>
        <v/>
      </c>
      <c r="G47" s="16">
        <f>IF($A47="","",IFERROR(SUMIF(tblAnahtarB[NormB],$A47,tblVeriB[IadeOran]),0))</f>
        <v/>
      </c>
      <c r="H47" s="16">
        <f>IF($A47="","",ROUND($B47*$G47,2))</f>
        <v/>
      </c>
      <c r="I47" s="16">
        <f>IF($A47="","",IFERROR(SUMIF(tblAnahtarB[NormB],$A47,tblVeriB[ReklamTutar]),0))</f>
        <v/>
      </c>
      <c r="J47" s="16">
        <f>IF($A47="","",ROUND($B47-$C47,2))</f>
        <v/>
      </c>
      <c r="K47" s="16">
        <f>IF($A47="","",ROUND($B47-$C47-$E47-$F47-$H47-$I47,2))</f>
        <v/>
      </c>
      <c r="L47" s="16">
        <f>IF(OR($A47="",$B47=0),0,$K47/$B47)</f>
        <v/>
      </c>
      <c r="M47" s="16">
        <f>IF($A47="","",IF((1-$D47-$G47)&lt;=0,0,ROUND(($C47+$F47+$I47)/(1-$D47-$G47),2)))</f>
        <v/>
      </c>
      <c r="N47" s="16">
        <f>IF($A47="","",IFERROR(SUMIF(tblAnahtarA[Norm],$A47,tblVeriA[HedefNet]),0))</f>
        <v/>
      </c>
      <c r="O47" s="16">
        <f>IF($A47="","",ROUND($K47-$N47,2))</f>
        <v/>
      </c>
      <c r="P47" s="16">
        <f>IF($A47="","",IF($L47&lt;egk_esikKatkiDusuk,"ZAM YAP",IF(AND($R47=1,$L47&lt;egk_esikKatkiHedef),"İNDİRİMİ KES","TUT")))</f>
        <v/>
      </c>
      <c r="Q47" s="16">
        <f>IF($A47="","",IFERROR(SUMIF(tblAnahtarB[NormB],$A47,tblVeriB[Roas]),0))</f>
        <v/>
      </c>
      <c r="R47" s="16">
        <f>IF($A47="","",IF(OR(IFERROR(INDEX(tblVeriA[YorumAB],MATCH($A47,tblAnahtarA[Norm],0)),"")="B",IFERROR(INDEX(tblVeriA[Durum],MATCH($A47,tblAnahtarA[Norm],0)),"")="Kampanya"),1,0))</f>
        <v/>
      </c>
      <c r="S47" s="16">
        <f>IF($A47="","",$J47-$E47)</f>
        <v/>
      </c>
      <c r="T47" s="16">
        <f>IF($A47="","",$K47-$O47)</f>
        <v/>
      </c>
    </row>
    <row r="48">
      <c r="A48" s="16">
        <f>IF('ANAHTAR'!$B48="","",'ANAHTAR'!$B48)</f>
        <v/>
      </c>
      <c r="B48" s="16">
        <f>IF($A48="","",IFERROR(SUMIF(tblAnahtarA[Norm],$A48,tblVeriA[SatisFiyati]),0))</f>
        <v/>
      </c>
      <c r="C48" s="16">
        <f>IF($A48="","",IFERROR(SUMIF(tblAnahtarA[Norm],$A48,tblVeriA[Maliyet]),0))</f>
        <v/>
      </c>
      <c r="D48" s="16">
        <f>IF($A48="","",IFERROR(SUMIF(tblAnahtarB[NormB],$A48,tblVeriB[KomisyonOran]),0))</f>
        <v/>
      </c>
      <c r="E48" s="16">
        <f>IF($A48="","",ROUND($B48*$D48,2))</f>
        <v/>
      </c>
      <c r="F48" s="16">
        <f>IF($A48="","",IFERROR(SUMIF(tblAnahtarB[NormB],$A48,tblVeriB[Kargo]),0))</f>
        <v/>
      </c>
      <c r="G48" s="16">
        <f>IF($A48="","",IFERROR(SUMIF(tblAnahtarB[NormB],$A48,tblVeriB[IadeOran]),0))</f>
        <v/>
      </c>
      <c r="H48" s="16">
        <f>IF($A48="","",ROUND($B48*$G48,2))</f>
        <v/>
      </c>
      <c r="I48" s="16">
        <f>IF($A48="","",IFERROR(SUMIF(tblAnahtarB[NormB],$A48,tblVeriB[ReklamTutar]),0))</f>
        <v/>
      </c>
      <c r="J48" s="16">
        <f>IF($A48="","",ROUND($B48-$C48,2))</f>
        <v/>
      </c>
      <c r="K48" s="16">
        <f>IF($A48="","",ROUND($B48-$C48-$E48-$F48-$H48-$I48,2))</f>
        <v/>
      </c>
      <c r="L48" s="16">
        <f>IF(OR($A48="",$B48=0),0,$K48/$B48)</f>
        <v/>
      </c>
      <c r="M48" s="16">
        <f>IF($A48="","",IF((1-$D48-$G48)&lt;=0,0,ROUND(($C48+$F48+$I48)/(1-$D48-$G48),2)))</f>
        <v/>
      </c>
      <c r="N48" s="16">
        <f>IF($A48="","",IFERROR(SUMIF(tblAnahtarA[Norm],$A48,tblVeriA[HedefNet]),0))</f>
        <v/>
      </c>
      <c r="O48" s="16">
        <f>IF($A48="","",ROUND($K48-$N48,2))</f>
        <v/>
      </c>
      <c r="P48" s="16">
        <f>IF($A48="","",IF($L48&lt;egk_esikKatkiDusuk,"ZAM YAP",IF(AND($R48=1,$L48&lt;egk_esikKatkiHedef),"İNDİRİMİ KES","TUT")))</f>
        <v/>
      </c>
      <c r="Q48" s="16">
        <f>IF($A48="","",IFERROR(SUMIF(tblAnahtarB[NormB],$A48,tblVeriB[Roas]),0))</f>
        <v/>
      </c>
      <c r="R48" s="16">
        <f>IF($A48="","",IF(OR(IFERROR(INDEX(tblVeriA[YorumAB],MATCH($A48,tblAnahtarA[Norm],0)),"")="B",IFERROR(INDEX(tblVeriA[Durum],MATCH($A48,tblAnahtarA[Norm],0)),"")="Kampanya"),1,0))</f>
        <v/>
      </c>
      <c r="S48" s="16">
        <f>IF($A48="","",$J48-$E48)</f>
        <v/>
      </c>
      <c r="T48" s="16">
        <f>IF($A48="","",$K48-$O48)</f>
        <v/>
      </c>
    </row>
    <row r="49">
      <c r="A49" s="16">
        <f>IF('ANAHTAR'!$B49="","",'ANAHTAR'!$B49)</f>
        <v/>
      </c>
      <c r="B49" s="16">
        <f>IF($A49="","",IFERROR(SUMIF(tblAnahtarA[Norm],$A49,tblVeriA[SatisFiyati]),0))</f>
        <v/>
      </c>
      <c r="C49" s="16">
        <f>IF($A49="","",IFERROR(SUMIF(tblAnahtarA[Norm],$A49,tblVeriA[Maliyet]),0))</f>
        <v/>
      </c>
      <c r="D49" s="16">
        <f>IF($A49="","",IFERROR(SUMIF(tblAnahtarB[NormB],$A49,tblVeriB[KomisyonOran]),0))</f>
        <v/>
      </c>
      <c r="E49" s="16">
        <f>IF($A49="","",ROUND($B49*$D49,2))</f>
        <v/>
      </c>
      <c r="F49" s="16">
        <f>IF($A49="","",IFERROR(SUMIF(tblAnahtarB[NormB],$A49,tblVeriB[Kargo]),0))</f>
        <v/>
      </c>
      <c r="G49" s="16">
        <f>IF($A49="","",IFERROR(SUMIF(tblAnahtarB[NormB],$A49,tblVeriB[IadeOran]),0))</f>
        <v/>
      </c>
      <c r="H49" s="16">
        <f>IF($A49="","",ROUND($B49*$G49,2))</f>
        <v/>
      </c>
      <c r="I49" s="16">
        <f>IF($A49="","",IFERROR(SUMIF(tblAnahtarB[NormB],$A49,tblVeriB[ReklamTutar]),0))</f>
        <v/>
      </c>
      <c r="J49" s="16">
        <f>IF($A49="","",ROUND($B49-$C49,2))</f>
        <v/>
      </c>
      <c r="K49" s="16">
        <f>IF($A49="","",ROUND($B49-$C49-$E49-$F49-$H49-$I49,2))</f>
        <v/>
      </c>
      <c r="L49" s="16">
        <f>IF(OR($A49="",$B49=0),0,$K49/$B49)</f>
        <v/>
      </c>
      <c r="M49" s="16">
        <f>IF($A49="","",IF((1-$D49-$G49)&lt;=0,0,ROUND(($C49+$F49+$I49)/(1-$D49-$G49),2)))</f>
        <v/>
      </c>
      <c r="N49" s="16">
        <f>IF($A49="","",IFERROR(SUMIF(tblAnahtarA[Norm],$A49,tblVeriA[HedefNet]),0))</f>
        <v/>
      </c>
      <c r="O49" s="16">
        <f>IF($A49="","",ROUND($K49-$N49,2))</f>
        <v/>
      </c>
      <c r="P49" s="16">
        <f>IF($A49="","",IF($L49&lt;egk_esikKatkiDusuk,"ZAM YAP",IF(AND($R49=1,$L49&lt;egk_esikKatkiHedef),"İNDİRİMİ KES","TUT")))</f>
        <v/>
      </c>
      <c r="Q49" s="16">
        <f>IF($A49="","",IFERROR(SUMIF(tblAnahtarB[NormB],$A49,tblVeriB[Roas]),0))</f>
        <v/>
      </c>
      <c r="R49" s="16">
        <f>IF($A49="","",IF(OR(IFERROR(INDEX(tblVeriA[YorumAB],MATCH($A49,tblAnahtarA[Norm],0)),"")="B",IFERROR(INDEX(tblVeriA[Durum],MATCH($A49,tblAnahtarA[Norm],0)),"")="Kampanya"),1,0))</f>
        <v/>
      </c>
      <c r="S49" s="16">
        <f>IF($A49="","",$J49-$E49)</f>
        <v/>
      </c>
      <c r="T49" s="16">
        <f>IF($A49="","",$K49-$O49)</f>
        <v/>
      </c>
    </row>
    <row r="50">
      <c r="A50" s="16">
        <f>IF('ANAHTAR'!$B50="","",'ANAHTAR'!$B50)</f>
        <v/>
      </c>
      <c r="B50" s="16">
        <f>IF($A50="","",IFERROR(SUMIF(tblAnahtarA[Norm],$A50,tblVeriA[SatisFiyati]),0))</f>
        <v/>
      </c>
      <c r="C50" s="16">
        <f>IF($A50="","",IFERROR(SUMIF(tblAnahtarA[Norm],$A50,tblVeriA[Maliyet]),0))</f>
        <v/>
      </c>
      <c r="D50" s="16">
        <f>IF($A50="","",IFERROR(SUMIF(tblAnahtarB[NormB],$A50,tblVeriB[KomisyonOran]),0))</f>
        <v/>
      </c>
      <c r="E50" s="16">
        <f>IF($A50="","",ROUND($B50*$D50,2))</f>
        <v/>
      </c>
      <c r="F50" s="16">
        <f>IF($A50="","",IFERROR(SUMIF(tblAnahtarB[NormB],$A50,tblVeriB[Kargo]),0))</f>
        <v/>
      </c>
      <c r="G50" s="16">
        <f>IF($A50="","",IFERROR(SUMIF(tblAnahtarB[NormB],$A50,tblVeriB[IadeOran]),0))</f>
        <v/>
      </c>
      <c r="H50" s="16">
        <f>IF($A50="","",ROUND($B50*$G50,2))</f>
        <v/>
      </c>
      <c r="I50" s="16">
        <f>IF($A50="","",IFERROR(SUMIF(tblAnahtarB[NormB],$A50,tblVeriB[ReklamTutar]),0))</f>
        <v/>
      </c>
      <c r="J50" s="16">
        <f>IF($A50="","",ROUND($B50-$C50,2))</f>
        <v/>
      </c>
      <c r="K50" s="16">
        <f>IF($A50="","",ROUND($B50-$C50-$E50-$F50-$H50-$I50,2))</f>
        <v/>
      </c>
      <c r="L50" s="16">
        <f>IF(OR($A50="",$B50=0),0,$K50/$B50)</f>
        <v/>
      </c>
      <c r="M50" s="16">
        <f>IF($A50="","",IF((1-$D50-$G50)&lt;=0,0,ROUND(($C50+$F50+$I50)/(1-$D50-$G50),2)))</f>
        <v/>
      </c>
      <c r="N50" s="16">
        <f>IF($A50="","",IFERROR(SUMIF(tblAnahtarA[Norm],$A50,tblVeriA[HedefNet]),0))</f>
        <v/>
      </c>
      <c r="O50" s="16">
        <f>IF($A50="","",ROUND($K50-$N50,2))</f>
        <v/>
      </c>
      <c r="P50" s="16">
        <f>IF($A50="","",IF($L50&lt;egk_esikKatkiDusuk,"ZAM YAP",IF(AND($R50=1,$L50&lt;egk_esikKatkiHedef),"İNDİRİMİ KES","TUT")))</f>
        <v/>
      </c>
      <c r="Q50" s="16">
        <f>IF($A50="","",IFERROR(SUMIF(tblAnahtarB[NormB],$A50,tblVeriB[Roas]),0))</f>
        <v/>
      </c>
      <c r="R50" s="16">
        <f>IF($A50="","",IF(OR(IFERROR(INDEX(tblVeriA[YorumAB],MATCH($A50,tblAnahtarA[Norm],0)),"")="B",IFERROR(INDEX(tblVeriA[Durum],MATCH($A50,tblAnahtarA[Norm],0)),"")="Kampanya"),1,0))</f>
        <v/>
      </c>
      <c r="S50" s="16">
        <f>IF($A50="","",$J50-$E50)</f>
        <v/>
      </c>
      <c r="T50" s="16">
        <f>IF($A50="","",$K50-$O50)</f>
        <v/>
      </c>
    </row>
    <row r="51">
      <c r="A51" s="16">
        <f>IF('ANAHTAR'!$B51="","",'ANAHTAR'!$B51)</f>
        <v/>
      </c>
      <c r="B51" s="16">
        <f>IF($A51="","",IFERROR(SUMIF(tblAnahtarA[Norm],$A51,tblVeriA[SatisFiyati]),0))</f>
        <v/>
      </c>
      <c r="C51" s="16">
        <f>IF($A51="","",IFERROR(SUMIF(tblAnahtarA[Norm],$A51,tblVeriA[Maliyet]),0))</f>
        <v/>
      </c>
      <c r="D51" s="16">
        <f>IF($A51="","",IFERROR(SUMIF(tblAnahtarB[NormB],$A51,tblVeriB[KomisyonOran]),0))</f>
        <v/>
      </c>
      <c r="E51" s="16">
        <f>IF($A51="","",ROUND($B51*$D51,2))</f>
        <v/>
      </c>
      <c r="F51" s="16">
        <f>IF($A51="","",IFERROR(SUMIF(tblAnahtarB[NormB],$A51,tblVeriB[Kargo]),0))</f>
        <v/>
      </c>
      <c r="G51" s="16">
        <f>IF($A51="","",IFERROR(SUMIF(tblAnahtarB[NormB],$A51,tblVeriB[IadeOran]),0))</f>
        <v/>
      </c>
      <c r="H51" s="16">
        <f>IF($A51="","",ROUND($B51*$G51,2))</f>
        <v/>
      </c>
      <c r="I51" s="16">
        <f>IF($A51="","",IFERROR(SUMIF(tblAnahtarB[NormB],$A51,tblVeriB[ReklamTutar]),0))</f>
        <v/>
      </c>
      <c r="J51" s="16">
        <f>IF($A51="","",ROUND($B51-$C51,2))</f>
        <v/>
      </c>
      <c r="K51" s="16">
        <f>IF($A51="","",ROUND($B51-$C51-$E51-$F51-$H51-$I51,2))</f>
        <v/>
      </c>
      <c r="L51" s="16">
        <f>IF(OR($A51="",$B51=0),0,$K51/$B51)</f>
        <v/>
      </c>
      <c r="M51" s="16">
        <f>IF($A51="","",IF((1-$D51-$G51)&lt;=0,0,ROUND(($C51+$F51+$I51)/(1-$D51-$G51),2)))</f>
        <v/>
      </c>
      <c r="N51" s="16">
        <f>IF($A51="","",IFERROR(SUMIF(tblAnahtarA[Norm],$A51,tblVeriA[HedefNet]),0))</f>
        <v/>
      </c>
      <c r="O51" s="16">
        <f>IF($A51="","",ROUND($K51-$N51,2))</f>
        <v/>
      </c>
      <c r="P51" s="16">
        <f>IF($A51="","",IF($L51&lt;egk_esikKatkiDusuk,"ZAM YAP",IF(AND($R51=1,$L51&lt;egk_esikKatkiHedef),"İNDİRİMİ KES","TUT")))</f>
        <v/>
      </c>
      <c r="Q51" s="16">
        <f>IF($A51="","",IFERROR(SUMIF(tblAnahtarB[NormB],$A51,tblVeriB[Roas]),0))</f>
        <v/>
      </c>
      <c r="R51" s="16">
        <f>IF($A51="","",IF(OR(IFERROR(INDEX(tblVeriA[YorumAB],MATCH($A51,tblAnahtarA[Norm],0)),"")="B",IFERROR(INDEX(tblVeriA[Durum],MATCH($A51,tblAnahtarA[Norm],0)),"")="Kampanya"),1,0))</f>
        <v/>
      </c>
      <c r="S51" s="16">
        <f>IF($A51="","",$J51-$E51)</f>
        <v/>
      </c>
      <c r="T51" s="16">
        <f>IF($A51="","",$K51-$O51)</f>
        <v/>
      </c>
    </row>
    <row r="52">
      <c r="A52" s="16">
        <f>IF('ANAHTAR'!$B52="","",'ANAHTAR'!$B52)</f>
        <v/>
      </c>
      <c r="B52" s="16">
        <f>IF($A52="","",IFERROR(SUMIF(tblAnahtarA[Norm],$A52,tblVeriA[SatisFiyati]),0))</f>
        <v/>
      </c>
      <c r="C52" s="16">
        <f>IF($A52="","",IFERROR(SUMIF(tblAnahtarA[Norm],$A52,tblVeriA[Maliyet]),0))</f>
        <v/>
      </c>
      <c r="D52" s="16">
        <f>IF($A52="","",IFERROR(SUMIF(tblAnahtarB[NormB],$A52,tblVeriB[KomisyonOran]),0))</f>
        <v/>
      </c>
      <c r="E52" s="16">
        <f>IF($A52="","",ROUND($B52*$D52,2))</f>
        <v/>
      </c>
      <c r="F52" s="16">
        <f>IF($A52="","",IFERROR(SUMIF(tblAnahtarB[NormB],$A52,tblVeriB[Kargo]),0))</f>
        <v/>
      </c>
      <c r="G52" s="16">
        <f>IF($A52="","",IFERROR(SUMIF(tblAnahtarB[NormB],$A52,tblVeriB[IadeOran]),0))</f>
        <v/>
      </c>
      <c r="H52" s="16">
        <f>IF($A52="","",ROUND($B52*$G52,2))</f>
        <v/>
      </c>
      <c r="I52" s="16">
        <f>IF($A52="","",IFERROR(SUMIF(tblAnahtarB[NormB],$A52,tblVeriB[ReklamTutar]),0))</f>
        <v/>
      </c>
      <c r="J52" s="16">
        <f>IF($A52="","",ROUND($B52-$C52,2))</f>
        <v/>
      </c>
      <c r="K52" s="16">
        <f>IF($A52="","",ROUND($B52-$C52-$E52-$F52-$H52-$I52,2))</f>
        <v/>
      </c>
      <c r="L52" s="16">
        <f>IF(OR($A52="",$B52=0),0,$K52/$B52)</f>
        <v/>
      </c>
      <c r="M52" s="16">
        <f>IF($A52="","",IF((1-$D52-$G52)&lt;=0,0,ROUND(($C52+$F52+$I52)/(1-$D52-$G52),2)))</f>
        <v/>
      </c>
      <c r="N52" s="16">
        <f>IF($A52="","",IFERROR(SUMIF(tblAnahtarA[Norm],$A52,tblVeriA[HedefNet]),0))</f>
        <v/>
      </c>
      <c r="O52" s="16">
        <f>IF($A52="","",ROUND($K52-$N52,2))</f>
        <v/>
      </c>
      <c r="P52" s="16">
        <f>IF($A52="","",IF($L52&lt;egk_esikKatkiDusuk,"ZAM YAP",IF(AND($R52=1,$L52&lt;egk_esikKatkiHedef),"İNDİRİMİ KES","TUT")))</f>
        <v/>
      </c>
      <c r="Q52" s="16">
        <f>IF($A52="","",IFERROR(SUMIF(tblAnahtarB[NormB],$A52,tblVeriB[Roas]),0))</f>
        <v/>
      </c>
      <c r="R52" s="16">
        <f>IF($A52="","",IF(OR(IFERROR(INDEX(tblVeriA[YorumAB],MATCH($A52,tblAnahtarA[Norm],0)),"")="B",IFERROR(INDEX(tblVeriA[Durum],MATCH($A52,tblAnahtarA[Norm],0)),"")="Kampanya"),1,0))</f>
        <v/>
      </c>
      <c r="S52" s="16">
        <f>IF($A52="","",$J52-$E52)</f>
        <v/>
      </c>
      <c r="T52" s="16">
        <f>IF($A52="","",$K52-$O52)</f>
        <v/>
      </c>
    </row>
    <row r="53">
      <c r="A53" s="16">
        <f>IF('ANAHTAR'!$B53="","",'ANAHTAR'!$B53)</f>
        <v/>
      </c>
      <c r="B53" s="16">
        <f>IF($A53="","",IFERROR(SUMIF(tblAnahtarA[Norm],$A53,tblVeriA[SatisFiyati]),0))</f>
        <v/>
      </c>
      <c r="C53" s="16">
        <f>IF($A53="","",IFERROR(SUMIF(tblAnahtarA[Norm],$A53,tblVeriA[Maliyet]),0))</f>
        <v/>
      </c>
      <c r="D53" s="16">
        <f>IF($A53="","",IFERROR(SUMIF(tblAnahtarB[NormB],$A53,tblVeriB[KomisyonOran]),0))</f>
        <v/>
      </c>
      <c r="E53" s="16">
        <f>IF($A53="","",ROUND($B53*$D53,2))</f>
        <v/>
      </c>
      <c r="F53" s="16">
        <f>IF($A53="","",IFERROR(SUMIF(tblAnahtarB[NormB],$A53,tblVeriB[Kargo]),0))</f>
        <v/>
      </c>
      <c r="G53" s="16">
        <f>IF($A53="","",IFERROR(SUMIF(tblAnahtarB[NormB],$A53,tblVeriB[IadeOran]),0))</f>
        <v/>
      </c>
      <c r="H53" s="16">
        <f>IF($A53="","",ROUND($B53*$G53,2))</f>
        <v/>
      </c>
      <c r="I53" s="16">
        <f>IF($A53="","",IFERROR(SUMIF(tblAnahtarB[NormB],$A53,tblVeriB[ReklamTutar]),0))</f>
        <v/>
      </c>
      <c r="J53" s="16">
        <f>IF($A53="","",ROUND($B53-$C53,2))</f>
        <v/>
      </c>
      <c r="K53" s="16">
        <f>IF($A53="","",ROUND($B53-$C53-$E53-$F53-$H53-$I53,2))</f>
        <v/>
      </c>
      <c r="L53" s="16">
        <f>IF(OR($A53="",$B53=0),0,$K53/$B53)</f>
        <v/>
      </c>
      <c r="M53" s="16">
        <f>IF($A53="","",IF((1-$D53-$G53)&lt;=0,0,ROUND(($C53+$F53+$I53)/(1-$D53-$G53),2)))</f>
        <v/>
      </c>
      <c r="N53" s="16">
        <f>IF($A53="","",IFERROR(SUMIF(tblAnahtarA[Norm],$A53,tblVeriA[HedefNet]),0))</f>
        <v/>
      </c>
      <c r="O53" s="16">
        <f>IF($A53="","",ROUND($K53-$N53,2))</f>
        <v/>
      </c>
      <c r="P53" s="16">
        <f>IF($A53="","",IF($L53&lt;egk_esikKatkiDusuk,"ZAM YAP",IF(AND($R53=1,$L53&lt;egk_esikKatkiHedef),"İNDİRİMİ KES","TUT")))</f>
        <v/>
      </c>
      <c r="Q53" s="16">
        <f>IF($A53="","",IFERROR(SUMIF(tblAnahtarB[NormB],$A53,tblVeriB[Roas]),0))</f>
        <v/>
      </c>
      <c r="R53" s="16">
        <f>IF($A53="","",IF(OR(IFERROR(INDEX(tblVeriA[YorumAB],MATCH($A53,tblAnahtarA[Norm],0)),"")="B",IFERROR(INDEX(tblVeriA[Durum],MATCH($A53,tblAnahtarA[Norm],0)),"")="Kampanya"),1,0))</f>
        <v/>
      </c>
      <c r="S53" s="16">
        <f>IF($A53="","",$J53-$E53)</f>
        <v/>
      </c>
      <c r="T53" s="16">
        <f>IF($A53="","",$K53-$O53)</f>
        <v/>
      </c>
    </row>
    <row r="54">
      <c r="A54" s="16">
        <f>IF('ANAHTAR'!$B54="","",'ANAHTAR'!$B54)</f>
        <v/>
      </c>
      <c r="B54" s="16">
        <f>IF($A54="","",IFERROR(SUMIF(tblAnahtarA[Norm],$A54,tblVeriA[SatisFiyati]),0))</f>
        <v/>
      </c>
      <c r="C54" s="16">
        <f>IF($A54="","",IFERROR(SUMIF(tblAnahtarA[Norm],$A54,tblVeriA[Maliyet]),0))</f>
        <v/>
      </c>
      <c r="D54" s="16">
        <f>IF($A54="","",IFERROR(SUMIF(tblAnahtarB[NormB],$A54,tblVeriB[KomisyonOran]),0))</f>
        <v/>
      </c>
      <c r="E54" s="16">
        <f>IF($A54="","",ROUND($B54*$D54,2))</f>
        <v/>
      </c>
      <c r="F54" s="16">
        <f>IF($A54="","",IFERROR(SUMIF(tblAnahtarB[NormB],$A54,tblVeriB[Kargo]),0))</f>
        <v/>
      </c>
      <c r="G54" s="16">
        <f>IF($A54="","",IFERROR(SUMIF(tblAnahtarB[NormB],$A54,tblVeriB[IadeOran]),0))</f>
        <v/>
      </c>
      <c r="H54" s="16">
        <f>IF($A54="","",ROUND($B54*$G54,2))</f>
        <v/>
      </c>
      <c r="I54" s="16">
        <f>IF($A54="","",IFERROR(SUMIF(tblAnahtarB[NormB],$A54,tblVeriB[ReklamTutar]),0))</f>
        <v/>
      </c>
      <c r="J54" s="16">
        <f>IF($A54="","",ROUND($B54-$C54,2))</f>
        <v/>
      </c>
      <c r="K54" s="16">
        <f>IF($A54="","",ROUND($B54-$C54-$E54-$F54-$H54-$I54,2))</f>
        <v/>
      </c>
      <c r="L54" s="16">
        <f>IF(OR($A54="",$B54=0),0,$K54/$B54)</f>
        <v/>
      </c>
      <c r="M54" s="16">
        <f>IF($A54="","",IF((1-$D54-$G54)&lt;=0,0,ROUND(($C54+$F54+$I54)/(1-$D54-$G54),2)))</f>
        <v/>
      </c>
      <c r="N54" s="16">
        <f>IF($A54="","",IFERROR(SUMIF(tblAnahtarA[Norm],$A54,tblVeriA[HedefNet]),0))</f>
        <v/>
      </c>
      <c r="O54" s="16">
        <f>IF($A54="","",ROUND($K54-$N54,2))</f>
        <v/>
      </c>
      <c r="P54" s="16">
        <f>IF($A54="","",IF($L54&lt;egk_esikKatkiDusuk,"ZAM YAP",IF(AND($R54=1,$L54&lt;egk_esikKatkiHedef),"İNDİRİMİ KES","TUT")))</f>
        <v/>
      </c>
      <c r="Q54" s="16">
        <f>IF($A54="","",IFERROR(SUMIF(tblAnahtarB[NormB],$A54,tblVeriB[Roas]),0))</f>
        <v/>
      </c>
      <c r="R54" s="16">
        <f>IF($A54="","",IF(OR(IFERROR(INDEX(tblVeriA[YorumAB],MATCH($A54,tblAnahtarA[Norm],0)),"")="B",IFERROR(INDEX(tblVeriA[Durum],MATCH($A54,tblAnahtarA[Norm],0)),"")="Kampanya"),1,0))</f>
        <v/>
      </c>
      <c r="S54" s="16">
        <f>IF($A54="","",$J54-$E54)</f>
        <v/>
      </c>
      <c r="T54" s="16">
        <f>IF($A54="","",$K54-$O54)</f>
        <v/>
      </c>
    </row>
    <row r="55">
      <c r="A55" s="16">
        <f>IF('ANAHTAR'!$B55="","",'ANAHTAR'!$B55)</f>
        <v/>
      </c>
      <c r="B55" s="16">
        <f>IF($A55="","",IFERROR(SUMIF(tblAnahtarA[Norm],$A55,tblVeriA[SatisFiyati]),0))</f>
        <v/>
      </c>
      <c r="C55" s="16">
        <f>IF($A55="","",IFERROR(SUMIF(tblAnahtarA[Norm],$A55,tblVeriA[Maliyet]),0))</f>
        <v/>
      </c>
      <c r="D55" s="16">
        <f>IF($A55="","",IFERROR(SUMIF(tblAnahtarB[NormB],$A55,tblVeriB[KomisyonOran]),0))</f>
        <v/>
      </c>
      <c r="E55" s="16">
        <f>IF($A55="","",ROUND($B55*$D55,2))</f>
        <v/>
      </c>
      <c r="F55" s="16">
        <f>IF($A55="","",IFERROR(SUMIF(tblAnahtarB[NormB],$A55,tblVeriB[Kargo]),0))</f>
        <v/>
      </c>
      <c r="G55" s="16">
        <f>IF($A55="","",IFERROR(SUMIF(tblAnahtarB[NormB],$A55,tblVeriB[IadeOran]),0))</f>
        <v/>
      </c>
      <c r="H55" s="16">
        <f>IF($A55="","",ROUND($B55*$G55,2))</f>
        <v/>
      </c>
      <c r="I55" s="16">
        <f>IF($A55="","",IFERROR(SUMIF(tblAnahtarB[NormB],$A55,tblVeriB[ReklamTutar]),0))</f>
        <v/>
      </c>
      <c r="J55" s="16">
        <f>IF($A55="","",ROUND($B55-$C55,2))</f>
        <v/>
      </c>
      <c r="K55" s="16">
        <f>IF($A55="","",ROUND($B55-$C55-$E55-$F55-$H55-$I55,2))</f>
        <v/>
      </c>
      <c r="L55" s="16">
        <f>IF(OR($A55="",$B55=0),0,$K55/$B55)</f>
        <v/>
      </c>
      <c r="M55" s="16">
        <f>IF($A55="","",IF((1-$D55-$G55)&lt;=0,0,ROUND(($C55+$F55+$I55)/(1-$D55-$G55),2)))</f>
        <v/>
      </c>
      <c r="N55" s="16">
        <f>IF($A55="","",IFERROR(SUMIF(tblAnahtarA[Norm],$A55,tblVeriA[HedefNet]),0))</f>
        <v/>
      </c>
      <c r="O55" s="16">
        <f>IF($A55="","",ROUND($K55-$N55,2))</f>
        <v/>
      </c>
      <c r="P55" s="16">
        <f>IF($A55="","",IF($L55&lt;egk_esikKatkiDusuk,"ZAM YAP",IF(AND($R55=1,$L55&lt;egk_esikKatkiHedef),"İNDİRİMİ KES","TUT")))</f>
        <v/>
      </c>
      <c r="Q55" s="16">
        <f>IF($A55="","",IFERROR(SUMIF(tblAnahtarB[NormB],$A55,tblVeriB[Roas]),0))</f>
        <v/>
      </c>
      <c r="R55" s="16">
        <f>IF($A55="","",IF(OR(IFERROR(INDEX(tblVeriA[YorumAB],MATCH($A55,tblAnahtarA[Norm],0)),"")="B",IFERROR(INDEX(tblVeriA[Durum],MATCH($A55,tblAnahtarA[Norm],0)),"")="Kampanya"),1,0))</f>
        <v/>
      </c>
      <c r="S55" s="16">
        <f>IF($A55="","",$J55-$E55)</f>
        <v/>
      </c>
      <c r="T55" s="16">
        <f>IF($A55="","",$K55-$O55)</f>
        <v/>
      </c>
    </row>
    <row r="56">
      <c r="A56" s="16">
        <f>IF('ANAHTAR'!$B56="","",'ANAHTAR'!$B56)</f>
        <v/>
      </c>
      <c r="B56" s="16">
        <f>IF($A56="","",IFERROR(SUMIF(tblAnahtarA[Norm],$A56,tblVeriA[SatisFiyati]),0))</f>
        <v/>
      </c>
      <c r="C56" s="16">
        <f>IF($A56="","",IFERROR(SUMIF(tblAnahtarA[Norm],$A56,tblVeriA[Maliyet]),0))</f>
        <v/>
      </c>
      <c r="D56" s="16">
        <f>IF($A56="","",IFERROR(SUMIF(tblAnahtarB[NormB],$A56,tblVeriB[KomisyonOran]),0))</f>
        <v/>
      </c>
      <c r="E56" s="16">
        <f>IF($A56="","",ROUND($B56*$D56,2))</f>
        <v/>
      </c>
      <c r="F56" s="16">
        <f>IF($A56="","",IFERROR(SUMIF(tblAnahtarB[NormB],$A56,tblVeriB[Kargo]),0))</f>
        <v/>
      </c>
      <c r="G56" s="16">
        <f>IF($A56="","",IFERROR(SUMIF(tblAnahtarB[NormB],$A56,tblVeriB[IadeOran]),0))</f>
        <v/>
      </c>
      <c r="H56" s="16">
        <f>IF($A56="","",ROUND($B56*$G56,2))</f>
        <v/>
      </c>
      <c r="I56" s="16">
        <f>IF($A56="","",IFERROR(SUMIF(tblAnahtarB[NormB],$A56,tblVeriB[ReklamTutar]),0))</f>
        <v/>
      </c>
      <c r="J56" s="16">
        <f>IF($A56="","",ROUND($B56-$C56,2))</f>
        <v/>
      </c>
      <c r="K56" s="16">
        <f>IF($A56="","",ROUND($B56-$C56-$E56-$F56-$H56-$I56,2))</f>
        <v/>
      </c>
      <c r="L56" s="16">
        <f>IF(OR($A56="",$B56=0),0,$K56/$B56)</f>
        <v/>
      </c>
      <c r="M56" s="16">
        <f>IF($A56="","",IF((1-$D56-$G56)&lt;=0,0,ROUND(($C56+$F56+$I56)/(1-$D56-$G56),2)))</f>
        <v/>
      </c>
      <c r="N56" s="16">
        <f>IF($A56="","",IFERROR(SUMIF(tblAnahtarA[Norm],$A56,tblVeriA[HedefNet]),0))</f>
        <v/>
      </c>
      <c r="O56" s="16">
        <f>IF($A56="","",ROUND($K56-$N56,2))</f>
        <v/>
      </c>
      <c r="P56" s="16">
        <f>IF($A56="","",IF($L56&lt;egk_esikKatkiDusuk,"ZAM YAP",IF(AND($R56=1,$L56&lt;egk_esikKatkiHedef),"İNDİRİMİ KES","TUT")))</f>
        <v/>
      </c>
      <c r="Q56" s="16">
        <f>IF($A56="","",IFERROR(SUMIF(tblAnahtarB[NormB],$A56,tblVeriB[Roas]),0))</f>
        <v/>
      </c>
      <c r="R56" s="16">
        <f>IF($A56="","",IF(OR(IFERROR(INDEX(tblVeriA[YorumAB],MATCH($A56,tblAnahtarA[Norm],0)),"")="B",IFERROR(INDEX(tblVeriA[Durum],MATCH($A56,tblAnahtarA[Norm],0)),"")="Kampanya"),1,0))</f>
        <v/>
      </c>
      <c r="S56" s="16">
        <f>IF($A56="","",$J56-$E56)</f>
        <v/>
      </c>
      <c r="T56" s="16">
        <f>IF($A56="","",$K56-$O56)</f>
        <v/>
      </c>
    </row>
    <row r="57">
      <c r="A57" s="16">
        <f>IF('ANAHTAR'!$B57="","",'ANAHTAR'!$B57)</f>
        <v/>
      </c>
      <c r="B57" s="16">
        <f>IF($A57="","",IFERROR(SUMIF(tblAnahtarA[Norm],$A57,tblVeriA[SatisFiyati]),0))</f>
        <v/>
      </c>
      <c r="C57" s="16">
        <f>IF($A57="","",IFERROR(SUMIF(tblAnahtarA[Norm],$A57,tblVeriA[Maliyet]),0))</f>
        <v/>
      </c>
      <c r="D57" s="16">
        <f>IF($A57="","",IFERROR(SUMIF(tblAnahtarB[NormB],$A57,tblVeriB[KomisyonOran]),0))</f>
        <v/>
      </c>
      <c r="E57" s="16">
        <f>IF($A57="","",ROUND($B57*$D57,2))</f>
        <v/>
      </c>
      <c r="F57" s="16">
        <f>IF($A57="","",IFERROR(SUMIF(tblAnahtarB[NormB],$A57,tblVeriB[Kargo]),0))</f>
        <v/>
      </c>
      <c r="G57" s="16">
        <f>IF($A57="","",IFERROR(SUMIF(tblAnahtarB[NormB],$A57,tblVeriB[IadeOran]),0))</f>
        <v/>
      </c>
      <c r="H57" s="16">
        <f>IF($A57="","",ROUND($B57*$G57,2))</f>
        <v/>
      </c>
      <c r="I57" s="16">
        <f>IF($A57="","",IFERROR(SUMIF(tblAnahtarB[NormB],$A57,tblVeriB[ReklamTutar]),0))</f>
        <v/>
      </c>
      <c r="J57" s="16">
        <f>IF($A57="","",ROUND($B57-$C57,2))</f>
        <v/>
      </c>
      <c r="K57" s="16">
        <f>IF($A57="","",ROUND($B57-$C57-$E57-$F57-$H57-$I57,2))</f>
        <v/>
      </c>
      <c r="L57" s="16">
        <f>IF(OR($A57="",$B57=0),0,$K57/$B57)</f>
        <v/>
      </c>
      <c r="M57" s="16">
        <f>IF($A57="","",IF((1-$D57-$G57)&lt;=0,0,ROUND(($C57+$F57+$I57)/(1-$D57-$G57),2)))</f>
        <v/>
      </c>
      <c r="N57" s="16">
        <f>IF($A57="","",IFERROR(SUMIF(tblAnahtarA[Norm],$A57,tblVeriA[HedefNet]),0))</f>
        <v/>
      </c>
      <c r="O57" s="16">
        <f>IF($A57="","",ROUND($K57-$N57,2))</f>
        <v/>
      </c>
      <c r="P57" s="16">
        <f>IF($A57="","",IF($L57&lt;egk_esikKatkiDusuk,"ZAM YAP",IF(AND($R57=1,$L57&lt;egk_esikKatkiHedef),"İNDİRİMİ KES","TUT")))</f>
        <v/>
      </c>
      <c r="Q57" s="16">
        <f>IF($A57="","",IFERROR(SUMIF(tblAnahtarB[NormB],$A57,tblVeriB[Roas]),0))</f>
        <v/>
      </c>
      <c r="R57" s="16">
        <f>IF($A57="","",IF(OR(IFERROR(INDEX(tblVeriA[YorumAB],MATCH($A57,tblAnahtarA[Norm],0)),"")="B",IFERROR(INDEX(tblVeriA[Durum],MATCH($A57,tblAnahtarA[Norm],0)),"")="Kampanya"),1,0))</f>
        <v/>
      </c>
      <c r="S57" s="16">
        <f>IF($A57="","",$J57-$E57)</f>
        <v/>
      </c>
      <c r="T57" s="16">
        <f>IF($A57="","",$K57-$O57)</f>
        <v/>
      </c>
    </row>
    <row r="58">
      <c r="A58" s="16">
        <f>IF('ANAHTAR'!$B58="","",'ANAHTAR'!$B58)</f>
        <v/>
      </c>
      <c r="B58" s="16">
        <f>IF($A58="","",IFERROR(SUMIF(tblAnahtarA[Norm],$A58,tblVeriA[SatisFiyati]),0))</f>
        <v/>
      </c>
      <c r="C58" s="16">
        <f>IF($A58="","",IFERROR(SUMIF(tblAnahtarA[Norm],$A58,tblVeriA[Maliyet]),0))</f>
        <v/>
      </c>
      <c r="D58" s="16">
        <f>IF($A58="","",IFERROR(SUMIF(tblAnahtarB[NormB],$A58,tblVeriB[KomisyonOran]),0))</f>
        <v/>
      </c>
      <c r="E58" s="16">
        <f>IF($A58="","",ROUND($B58*$D58,2))</f>
        <v/>
      </c>
      <c r="F58" s="16">
        <f>IF($A58="","",IFERROR(SUMIF(tblAnahtarB[NormB],$A58,tblVeriB[Kargo]),0))</f>
        <v/>
      </c>
      <c r="G58" s="16">
        <f>IF($A58="","",IFERROR(SUMIF(tblAnahtarB[NormB],$A58,tblVeriB[IadeOran]),0))</f>
        <v/>
      </c>
      <c r="H58" s="16">
        <f>IF($A58="","",ROUND($B58*$G58,2))</f>
        <v/>
      </c>
      <c r="I58" s="16">
        <f>IF($A58="","",IFERROR(SUMIF(tblAnahtarB[NormB],$A58,tblVeriB[ReklamTutar]),0))</f>
        <v/>
      </c>
      <c r="J58" s="16">
        <f>IF($A58="","",ROUND($B58-$C58,2))</f>
        <v/>
      </c>
      <c r="K58" s="16">
        <f>IF($A58="","",ROUND($B58-$C58-$E58-$F58-$H58-$I58,2))</f>
        <v/>
      </c>
      <c r="L58" s="16">
        <f>IF(OR($A58="",$B58=0),0,$K58/$B58)</f>
        <v/>
      </c>
      <c r="M58" s="16">
        <f>IF($A58="","",IF((1-$D58-$G58)&lt;=0,0,ROUND(($C58+$F58+$I58)/(1-$D58-$G58),2)))</f>
        <v/>
      </c>
      <c r="N58" s="16">
        <f>IF($A58="","",IFERROR(SUMIF(tblAnahtarA[Norm],$A58,tblVeriA[HedefNet]),0))</f>
        <v/>
      </c>
      <c r="O58" s="16">
        <f>IF($A58="","",ROUND($K58-$N58,2))</f>
        <v/>
      </c>
      <c r="P58" s="16">
        <f>IF($A58="","",IF($L58&lt;egk_esikKatkiDusuk,"ZAM YAP",IF(AND($R58=1,$L58&lt;egk_esikKatkiHedef),"İNDİRİMİ KES","TUT")))</f>
        <v/>
      </c>
      <c r="Q58" s="16">
        <f>IF($A58="","",IFERROR(SUMIF(tblAnahtarB[NormB],$A58,tblVeriB[Roas]),0))</f>
        <v/>
      </c>
      <c r="R58" s="16">
        <f>IF($A58="","",IF(OR(IFERROR(INDEX(tblVeriA[YorumAB],MATCH($A58,tblAnahtarA[Norm],0)),"")="B",IFERROR(INDEX(tblVeriA[Durum],MATCH($A58,tblAnahtarA[Norm],0)),"")="Kampanya"),1,0))</f>
        <v/>
      </c>
      <c r="S58" s="16">
        <f>IF($A58="","",$J58-$E58)</f>
        <v/>
      </c>
      <c r="T58" s="16">
        <f>IF($A58="","",$K58-$O58)</f>
        <v/>
      </c>
    </row>
    <row r="59">
      <c r="A59" s="16">
        <f>IF('ANAHTAR'!$B59="","",'ANAHTAR'!$B59)</f>
        <v/>
      </c>
      <c r="B59" s="16">
        <f>IF($A59="","",IFERROR(SUMIF(tblAnahtarA[Norm],$A59,tblVeriA[SatisFiyati]),0))</f>
        <v/>
      </c>
      <c r="C59" s="16">
        <f>IF($A59="","",IFERROR(SUMIF(tblAnahtarA[Norm],$A59,tblVeriA[Maliyet]),0))</f>
        <v/>
      </c>
      <c r="D59" s="16">
        <f>IF($A59="","",IFERROR(SUMIF(tblAnahtarB[NormB],$A59,tblVeriB[KomisyonOran]),0))</f>
        <v/>
      </c>
      <c r="E59" s="16">
        <f>IF($A59="","",ROUND($B59*$D59,2))</f>
        <v/>
      </c>
      <c r="F59" s="16">
        <f>IF($A59="","",IFERROR(SUMIF(tblAnahtarB[NormB],$A59,tblVeriB[Kargo]),0))</f>
        <v/>
      </c>
      <c r="G59" s="16">
        <f>IF($A59="","",IFERROR(SUMIF(tblAnahtarB[NormB],$A59,tblVeriB[IadeOran]),0))</f>
        <v/>
      </c>
      <c r="H59" s="16">
        <f>IF($A59="","",ROUND($B59*$G59,2))</f>
        <v/>
      </c>
      <c r="I59" s="16">
        <f>IF($A59="","",IFERROR(SUMIF(tblAnahtarB[NormB],$A59,tblVeriB[ReklamTutar]),0))</f>
        <v/>
      </c>
      <c r="J59" s="16">
        <f>IF($A59="","",ROUND($B59-$C59,2))</f>
        <v/>
      </c>
      <c r="K59" s="16">
        <f>IF($A59="","",ROUND($B59-$C59-$E59-$F59-$H59-$I59,2))</f>
        <v/>
      </c>
      <c r="L59" s="16">
        <f>IF(OR($A59="",$B59=0),0,$K59/$B59)</f>
        <v/>
      </c>
      <c r="M59" s="16">
        <f>IF($A59="","",IF((1-$D59-$G59)&lt;=0,0,ROUND(($C59+$F59+$I59)/(1-$D59-$G59),2)))</f>
        <v/>
      </c>
      <c r="N59" s="16">
        <f>IF($A59="","",IFERROR(SUMIF(tblAnahtarA[Norm],$A59,tblVeriA[HedefNet]),0))</f>
        <v/>
      </c>
      <c r="O59" s="16">
        <f>IF($A59="","",ROUND($K59-$N59,2))</f>
        <v/>
      </c>
      <c r="P59" s="16">
        <f>IF($A59="","",IF($L59&lt;egk_esikKatkiDusuk,"ZAM YAP",IF(AND($R59=1,$L59&lt;egk_esikKatkiHedef),"İNDİRİMİ KES","TUT")))</f>
        <v/>
      </c>
      <c r="Q59" s="16">
        <f>IF($A59="","",IFERROR(SUMIF(tblAnahtarB[NormB],$A59,tblVeriB[Roas]),0))</f>
        <v/>
      </c>
      <c r="R59" s="16">
        <f>IF($A59="","",IF(OR(IFERROR(INDEX(tblVeriA[YorumAB],MATCH($A59,tblAnahtarA[Norm],0)),"")="B",IFERROR(INDEX(tblVeriA[Durum],MATCH($A59,tblAnahtarA[Norm],0)),"")="Kampanya"),1,0))</f>
        <v/>
      </c>
      <c r="S59" s="16">
        <f>IF($A59="","",$J59-$E59)</f>
        <v/>
      </c>
      <c r="T59" s="16">
        <f>IF($A59="","",$K59-$O59)</f>
        <v/>
      </c>
    </row>
    <row r="60">
      <c r="A60" s="16">
        <f>IF('ANAHTAR'!$B60="","",'ANAHTAR'!$B60)</f>
        <v/>
      </c>
      <c r="B60" s="16">
        <f>IF($A60="","",IFERROR(SUMIF(tblAnahtarA[Norm],$A60,tblVeriA[SatisFiyati]),0))</f>
        <v/>
      </c>
      <c r="C60" s="16">
        <f>IF($A60="","",IFERROR(SUMIF(tblAnahtarA[Norm],$A60,tblVeriA[Maliyet]),0))</f>
        <v/>
      </c>
      <c r="D60" s="16">
        <f>IF($A60="","",IFERROR(SUMIF(tblAnahtarB[NormB],$A60,tblVeriB[KomisyonOran]),0))</f>
        <v/>
      </c>
      <c r="E60" s="16">
        <f>IF($A60="","",ROUND($B60*$D60,2))</f>
        <v/>
      </c>
      <c r="F60" s="16">
        <f>IF($A60="","",IFERROR(SUMIF(tblAnahtarB[NormB],$A60,tblVeriB[Kargo]),0))</f>
        <v/>
      </c>
      <c r="G60" s="16">
        <f>IF($A60="","",IFERROR(SUMIF(tblAnahtarB[NormB],$A60,tblVeriB[IadeOran]),0))</f>
        <v/>
      </c>
      <c r="H60" s="16">
        <f>IF($A60="","",ROUND($B60*$G60,2))</f>
        <v/>
      </c>
      <c r="I60" s="16">
        <f>IF($A60="","",IFERROR(SUMIF(tblAnahtarB[NormB],$A60,tblVeriB[ReklamTutar]),0))</f>
        <v/>
      </c>
      <c r="J60" s="16">
        <f>IF($A60="","",ROUND($B60-$C60,2))</f>
        <v/>
      </c>
      <c r="K60" s="16">
        <f>IF($A60="","",ROUND($B60-$C60-$E60-$F60-$H60-$I60,2))</f>
        <v/>
      </c>
      <c r="L60" s="16">
        <f>IF(OR($A60="",$B60=0),0,$K60/$B60)</f>
        <v/>
      </c>
      <c r="M60" s="16">
        <f>IF($A60="","",IF((1-$D60-$G60)&lt;=0,0,ROUND(($C60+$F60+$I60)/(1-$D60-$G60),2)))</f>
        <v/>
      </c>
      <c r="N60" s="16">
        <f>IF($A60="","",IFERROR(SUMIF(tblAnahtarA[Norm],$A60,tblVeriA[HedefNet]),0))</f>
        <v/>
      </c>
      <c r="O60" s="16">
        <f>IF($A60="","",ROUND($K60-$N60,2))</f>
        <v/>
      </c>
      <c r="P60" s="16">
        <f>IF($A60="","",IF($L60&lt;egk_esikKatkiDusuk,"ZAM YAP",IF(AND($R60=1,$L60&lt;egk_esikKatkiHedef),"İNDİRİMİ KES","TUT")))</f>
        <v/>
      </c>
      <c r="Q60" s="16">
        <f>IF($A60="","",IFERROR(SUMIF(tblAnahtarB[NormB],$A60,tblVeriB[Roas]),0))</f>
        <v/>
      </c>
      <c r="R60" s="16">
        <f>IF($A60="","",IF(OR(IFERROR(INDEX(tblVeriA[YorumAB],MATCH($A60,tblAnahtarA[Norm],0)),"")="B",IFERROR(INDEX(tblVeriA[Durum],MATCH($A60,tblAnahtarA[Norm],0)),"")="Kampanya"),1,0))</f>
        <v/>
      </c>
      <c r="S60" s="16">
        <f>IF($A60="","",$J60-$E60)</f>
        <v/>
      </c>
      <c r="T60" s="16">
        <f>IF($A60="","",$K60-$O60)</f>
        <v/>
      </c>
    </row>
    <row r="61">
      <c r="A61" s="16">
        <f>IF('ANAHTAR'!$B61="","",'ANAHTAR'!$B61)</f>
        <v/>
      </c>
      <c r="B61" s="16">
        <f>IF($A61="","",IFERROR(SUMIF(tblAnahtarA[Norm],$A61,tblVeriA[SatisFiyati]),0))</f>
        <v/>
      </c>
      <c r="C61" s="16">
        <f>IF($A61="","",IFERROR(SUMIF(tblAnahtarA[Norm],$A61,tblVeriA[Maliyet]),0))</f>
        <v/>
      </c>
      <c r="D61" s="16">
        <f>IF($A61="","",IFERROR(SUMIF(tblAnahtarB[NormB],$A61,tblVeriB[KomisyonOran]),0))</f>
        <v/>
      </c>
      <c r="E61" s="16">
        <f>IF($A61="","",ROUND($B61*$D61,2))</f>
        <v/>
      </c>
      <c r="F61" s="16">
        <f>IF($A61="","",IFERROR(SUMIF(tblAnahtarB[NormB],$A61,tblVeriB[Kargo]),0))</f>
        <v/>
      </c>
      <c r="G61" s="16">
        <f>IF($A61="","",IFERROR(SUMIF(tblAnahtarB[NormB],$A61,tblVeriB[IadeOran]),0))</f>
        <v/>
      </c>
      <c r="H61" s="16">
        <f>IF($A61="","",ROUND($B61*$G61,2))</f>
        <v/>
      </c>
      <c r="I61" s="16">
        <f>IF($A61="","",IFERROR(SUMIF(tblAnahtarB[NormB],$A61,tblVeriB[ReklamTutar]),0))</f>
        <v/>
      </c>
      <c r="J61" s="16">
        <f>IF($A61="","",ROUND($B61-$C61,2))</f>
        <v/>
      </c>
      <c r="K61" s="16">
        <f>IF($A61="","",ROUND($B61-$C61-$E61-$F61-$H61-$I61,2))</f>
        <v/>
      </c>
      <c r="L61" s="16">
        <f>IF(OR($A61="",$B61=0),0,$K61/$B61)</f>
        <v/>
      </c>
      <c r="M61" s="16">
        <f>IF($A61="","",IF((1-$D61-$G61)&lt;=0,0,ROUND(($C61+$F61+$I61)/(1-$D61-$G61),2)))</f>
        <v/>
      </c>
      <c r="N61" s="16">
        <f>IF($A61="","",IFERROR(SUMIF(tblAnahtarA[Norm],$A61,tblVeriA[HedefNet]),0))</f>
        <v/>
      </c>
      <c r="O61" s="16">
        <f>IF($A61="","",ROUND($K61-$N61,2))</f>
        <v/>
      </c>
      <c r="P61" s="16">
        <f>IF($A61="","",IF($L61&lt;egk_esikKatkiDusuk,"ZAM YAP",IF(AND($R61=1,$L61&lt;egk_esikKatkiHedef),"İNDİRİMİ KES","TUT")))</f>
        <v/>
      </c>
      <c r="Q61" s="16">
        <f>IF($A61="","",IFERROR(SUMIF(tblAnahtarB[NormB],$A61,tblVeriB[Roas]),0))</f>
        <v/>
      </c>
      <c r="R61" s="16">
        <f>IF($A61="","",IF(OR(IFERROR(INDEX(tblVeriA[YorumAB],MATCH($A61,tblAnahtarA[Norm],0)),"")="B",IFERROR(INDEX(tblVeriA[Durum],MATCH($A61,tblAnahtarA[Norm],0)),"")="Kampanya"),1,0))</f>
        <v/>
      </c>
      <c r="S61" s="16">
        <f>IF($A61="","",$J61-$E61)</f>
        <v/>
      </c>
      <c r="T61" s="16">
        <f>IF($A61="","",$K61-$O61)</f>
        <v/>
      </c>
    </row>
    <row r="62">
      <c r="A62" s="16">
        <f>IF('ANAHTAR'!$B62="","",'ANAHTAR'!$B62)</f>
        <v/>
      </c>
      <c r="B62" s="16">
        <f>IF($A62="","",IFERROR(SUMIF(tblAnahtarA[Norm],$A62,tblVeriA[SatisFiyati]),0))</f>
        <v/>
      </c>
      <c r="C62" s="16">
        <f>IF($A62="","",IFERROR(SUMIF(tblAnahtarA[Norm],$A62,tblVeriA[Maliyet]),0))</f>
        <v/>
      </c>
      <c r="D62" s="16">
        <f>IF($A62="","",IFERROR(SUMIF(tblAnahtarB[NormB],$A62,tblVeriB[KomisyonOran]),0))</f>
        <v/>
      </c>
      <c r="E62" s="16">
        <f>IF($A62="","",ROUND($B62*$D62,2))</f>
        <v/>
      </c>
      <c r="F62" s="16">
        <f>IF($A62="","",IFERROR(SUMIF(tblAnahtarB[NormB],$A62,tblVeriB[Kargo]),0))</f>
        <v/>
      </c>
      <c r="G62" s="16">
        <f>IF($A62="","",IFERROR(SUMIF(tblAnahtarB[NormB],$A62,tblVeriB[IadeOran]),0))</f>
        <v/>
      </c>
      <c r="H62" s="16">
        <f>IF($A62="","",ROUND($B62*$G62,2))</f>
        <v/>
      </c>
      <c r="I62" s="16">
        <f>IF($A62="","",IFERROR(SUMIF(tblAnahtarB[NormB],$A62,tblVeriB[ReklamTutar]),0))</f>
        <v/>
      </c>
      <c r="J62" s="16">
        <f>IF($A62="","",ROUND($B62-$C62,2))</f>
        <v/>
      </c>
      <c r="K62" s="16">
        <f>IF($A62="","",ROUND($B62-$C62-$E62-$F62-$H62-$I62,2))</f>
        <v/>
      </c>
      <c r="L62" s="16">
        <f>IF(OR($A62="",$B62=0),0,$K62/$B62)</f>
        <v/>
      </c>
      <c r="M62" s="16">
        <f>IF($A62="","",IF((1-$D62-$G62)&lt;=0,0,ROUND(($C62+$F62+$I62)/(1-$D62-$G62),2)))</f>
        <v/>
      </c>
      <c r="N62" s="16">
        <f>IF($A62="","",IFERROR(SUMIF(tblAnahtarA[Norm],$A62,tblVeriA[HedefNet]),0))</f>
        <v/>
      </c>
      <c r="O62" s="16">
        <f>IF($A62="","",ROUND($K62-$N62,2))</f>
        <v/>
      </c>
      <c r="P62" s="16">
        <f>IF($A62="","",IF($L62&lt;egk_esikKatkiDusuk,"ZAM YAP",IF(AND($R62=1,$L62&lt;egk_esikKatkiHedef),"İNDİRİMİ KES","TUT")))</f>
        <v/>
      </c>
      <c r="Q62" s="16">
        <f>IF($A62="","",IFERROR(SUMIF(tblAnahtarB[NormB],$A62,tblVeriB[Roas]),0))</f>
        <v/>
      </c>
      <c r="R62" s="16">
        <f>IF($A62="","",IF(OR(IFERROR(INDEX(tblVeriA[YorumAB],MATCH($A62,tblAnahtarA[Norm],0)),"")="B",IFERROR(INDEX(tblVeriA[Durum],MATCH($A62,tblAnahtarA[Norm],0)),"")="Kampanya"),1,0))</f>
        <v/>
      </c>
      <c r="S62" s="16">
        <f>IF($A62="","",$J62-$E62)</f>
        <v/>
      </c>
      <c r="T62" s="16">
        <f>IF($A62="","",$K62-$O62)</f>
        <v/>
      </c>
    </row>
    <row r="63">
      <c r="A63" s="16">
        <f>IF('ANAHTAR'!$B63="","",'ANAHTAR'!$B63)</f>
        <v/>
      </c>
      <c r="B63" s="16">
        <f>IF($A63="","",IFERROR(SUMIF(tblAnahtarA[Norm],$A63,tblVeriA[SatisFiyati]),0))</f>
        <v/>
      </c>
      <c r="C63" s="16">
        <f>IF($A63="","",IFERROR(SUMIF(tblAnahtarA[Norm],$A63,tblVeriA[Maliyet]),0))</f>
        <v/>
      </c>
      <c r="D63" s="16">
        <f>IF($A63="","",IFERROR(SUMIF(tblAnahtarB[NormB],$A63,tblVeriB[KomisyonOran]),0))</f>
        <v/>
      </c>
      <c r="E63" s="16">
        <f>IF($A63="","",ROUND($B63*$D63,2))</f>
        <v/>
      </c>
      <c r="F63" s="16">
        <f>IF($A63="","",IFERROR(SUMIF(tblAnahtarB[NormB],$A63,tblVeriB[Kargo]),0))</f>
        <v/>
      </c>
      <c r="G63" s="16">
        <f>IF($A63="","",IFERROR(SUMIF(tblAnahtarB[NormB],$A63,tblVeriB[IadeOran]),0))</f>
        <v/>
      </c>
      <c r="H63" s="16">
        <f>IF($A63="","",ROUND($B63*$G63,2))</f>
        <v/>
      </c>
      <c r="I63" s="16">
        <f>IF($A63="","",IFERROR(SUMIF(tblAnahtarB[NormB],$A63,tblVeriB[ReklamTutar]),0))</f>
        <v/>
      </c>
      <c r="J63" s="16">
        <f>IF($A63="","",ROUND($B63-$C63,2))</f>
        <v/>
      </c>
      <c r="K63" s="16">
        <f>IF($A63="","",ROUND($B63-$C63-$E63-$F63-$H63-$I63,2))</f>
        <v/>
      </c>
      <c r="L63" s="16">
        <f>IF(OR($A63="",$B63=0),0,$K63/$B63)</f>
        <v/>
      </c>
      <c r="M63" s="16">
        <f>IF($A63="","",IF((1-$D63-$G63)&lt;=0,0,ROUND(($C63+$F63+$I63)/(1-$D63-$G63),2)))</f>
        <v/>
      </c>
      <c r="N63" s="16">
        <f>IF($A63="","",IFERROR(SUMIF(tblAnahtarA[Norm],$A63,tblVeriA[HedefNet]),0))</f>
        <v/>
      </c>
      <c r="O63" s="16">
        <f>IF($A63="","",ROUND($K63-$N63,2))</f>
        <v/>
      </c>
      <c r="P63" s="16">
        <f>IF($A63="","",IF($L63&lt;egk_esikKatkiDusuk,"ZAM YAP",IF(AND($R63=1,$L63&lt;egk_esikKatkiHedef),"İNDİRİMİ KES","TUT")))</f>
        <v/>
      </c>
      <c r="Q63" s="16">
        <f>IF($A63="","",IFERROR(SUMIF(tblAnahtarB[NormB],$A63,tblVeriB[Roas]),0))</f>
        <v/>
      </c>
      <c r="R63" s="16">
        <f>IF($A63="","",IF(OR(IFERROR(INDEX(tblVeriA[YorumAB],MATCH($A63,tblAnahtarA[Norm],0)),"")="B",IFERROR(INDEX(tblVeriA[Durum],MATCH($A63,tblAnahtarA[Norm],0)),"")="Kampanya"),1,0))</f>
        <v/>
      </c>
      <c r="S63" s="16">
        <f>IF($A63="","",$J63-$E63)</f>
        <v/>
      </c>
      <c r="T63" s="16">
        <f>IF($A63="","",$K63-$O63)</f>
        <v/>
      </c>
    </row>
    <row r="64">
      <c r="A64" s="16">
        <f>IF('ANAHTAR'!$B64="","",'ANAHTAR'!$B64)</f>
        <v/>
      </c>
      <c r="B64" s="16">
        <f>IF($A64="","",IFERROR(SUMIF(tblAnahtarA[Norm],$A64,tblVeriA[SatisFiyati]),0))</f>
        <v/>
      </c>
      <c r="C64" s="16">
        <f>IF($A64="","",IFERROR(SUMIF(tblAnahtarA[Norm],$A64,tblVeriA[Maliyet]),0))</f>
        <v/>
      </c>
      <c r="D64" s="16">
        <f>IF($A64="","",IFERROR(SUMIF(tblAnahtarB[NormB],$A64,tblVeriB[KomisyonOran]),0))</f>
        <v/>
      </c>
      <c r="E64" s="16">
        <f>IF($A64="","",ROUND($B64*$D64,2))</f>
        <v/>
      </c>
      <c r="F64" s="16">
        <f>IF($A64="","",IFERROR(SUMIF(tblAnahtarB[NormB],$A64,tblVeriB[Kargo]),0))</f>
        <v/>
      </c>
      <c r="G64" s="16">
        <f>IF($A64="","",IFERROR(SUMIF(tblAnahtarB[NormB],$A64,tblVeriB[IadeOran]),0))</f>
        <v/>
      </c>
      <c r="H64" s="16">
        <f>IF($A64="","",ROUND($B64*$G64,2))</f>
        <v/>
      </c>
      <c r="I64" s="16">
        <f>IF($A64="","",IFERROR(SUMIF(tblAnahtarB[NormB],$A64,tblVeriB[ReklamTutar]),0))</f>
        <v/>
      </c>
      <c r="J64" s="16">
        <f>IF($A64="","",ROUND($B64-$C64,2))</f>
        <v/>
      </c>
      <c r="K64" s="16">
        <f>IF($A64="","",ROUND($B64-$C64-$E64-$F64-$H64-$I64,2))</f>
        <v/>
      </c>
      <c r="L64" s="16">
        <f>IF(OR($A64="",$B64=0),0,$K64/$B64)</f>
        <v/>
      </c>
      <c r="M64" s="16">
        <f>IF($A64="","",IF((1-$D64-$G64)&lt;=0,0,ROUND(($C64+$F64+$I64)/(1-$D64-$G64),2)))</f>
        <v/>
      </c>
      <c r="N64" s="16">
        <f>IF($A64="","",IFERROR(SUMIF(tblAnahtarA[Norm],$A64,tblVeriA[HedefNet]),0))</f>
        <v/>
      </c>
      <c r="O64" s="16">
        <f>IF($A64="","",ROUND($K64-$N64,2))</f>
        <v/>
      </c>
      <c r="P64" s="16">
        <f>IF($A64="","",IF($L64&lt;egk_esikKatkiDusuk,"ZAM YAP",IF(AND($R64=1,$L64&lt;egk_esikKatkiHedef),"İNDİRİMİ KES","TUT")))</f>
        <v/>
      </c>
      <c r="Q64" s="16">
        <f>IF($A64="","",IFERROR(SUMIF(tblAnahtarB[NormB],$A64,tblVeriB[Roas]),0))</f>
        <v/>
      </c>
      <c r="R64" s="16">
        <f>IF($A64="","",IF(OR(IFERROR(INDEX(tblVeriA[YorumAB],MATCH($A64,tblAnahtarA[Norm],0)),"")="B",IFERROR(INDEX(tblVeriA[Durum],MATCH($A64,tblAnahtarA[Norm],0)),"")="Kampanya"),1,0))</f>
        <v/>
      </c>
      <c r="S64" s="16">
        <f>IF($A64="","",$J64-$E64)</f>
        <v/>
      </c>
      <c r="T64" s="16">
        <f>IF($A64="","",$K64-$O64)</f>
        <v/>
      </c>
    </row>
    <row r="65">
      <c r="A65" s="16">
        <f>IF('ANAHTAR'!$B65="","",'ANAHTAR'!$B65)</f>
        <v/>
      </c>
      <c r="B65" s="16">
        <f>IF($A65="","",IFERROR(SUMIF(tblAnahtarA[Norm],$A65,tblVeriA[SatisFiyati]),0))</f>
        <v/>
      </c>
      <c r="C65" s="16">
        <f>IF($A65="","",IFERROR(SUMIF(tblAnahtarA[Norm],$A65,tblVeriA[Maliyet]),0))</f>
        <v/>
      </c>
      <c r="D65" s="16">
        <f>IF($A65="","",IFERROR(SUMIF(tblAnahtarB[NormB],$A65,tblVeriB[KomisyonOran]),0))</f>
        <v/>
      </c>
      <c r="E65" s="16">
        <f>IF($A65="","",ROUND($B65*$D65,2))</f>
        <v/>
      </c>
      <c r="F65" s="16">
        <f>IF($A65="","",IFERROR(SUMIF(tblAnahtarB[NormB],$A65,tblVeriB[Kargo]),0))</f>
        <v/>
      </c>
      <c r="G65" s="16">
        <f>IF($A65="","",IFERROR(SUMIF(tblAnahtarB[NormB],$A65,tblVeriB[IadeOran]),0))</f>
        <v/>
      </c>
      <c r="H65" s="16">
        <f>IF($A65="","",ROUND($B65*$G65,2))</f>
        <v/>
      </c>
      <c r="I65" s="16">
        <f>IF($A65="","",IFERROR(SUMIF(tblAnahtarB[NormB],$A65,tblVeriB[ReklamTutar]),0))</f>
        <v/>
      </c>
      <c r="J65" s="16">
        <f>IF($A65="","",ROUND($B65-$C65,2))</f>
        <v/>
      </c>
      <c r="K65" s="16">
        <f>IF($A65="","",ROUND($B65-$C65-$E65-$F65-$H65-$I65,2))</f>
        <v/>
      </c>
      <c r="L65" s="16">
        <f>IF(OR($A65="",$B65=0),0,$K65/$B65)</f>
        <v/>
      </c>
      <c r="M65" s="16">
        <f>IF($A65="","",IF((1-$D65-$G65)&lt;=0,0,ROUND(($C65+$F65+$I65)/(1-$D65-$G65),2)))</f>
        <v/>
      </c>
      <c r="N65" s="16">
        <f>IF($A65="","",IFERROR(SUMIF(tblAnahtarA[Norm],$A65,tblVeriA[HedefNet]),0))</f>
        <v/>
      </c>
      <c r="O65" s="16">
        <f>IF($A65="","",ROUND($K65-$N65,2))</f>
        <v/>
      </c>
      <c r="P65" s="16">
        <f>IF($A65="","",IF($L65&lt;egk_esikKatkiDusuk,"ZAM YAP",IF(AND($R65=1,$L65&lt;egk_esikKatkiHedef),"İNDİRİMİ KES","TUT")))</f>
        <v/>
      </c>
      <c r="Q65" s="16">
        <f>IF($A65="","",IFERROR(SUMIF(tblAnahtarB[NormB],$A65,tblVeriB[Roas]),0))</f>
        <v/>
      </c>
      <c r="R65" s="16">
        <f>IF($A65="","",IF(OR(IFERROR(INDEX(tblVeriA[YorumAB],MATCH($A65,tblAnahtarA[Norm],0)),"")="B",IFERROR(INDEX(tblVeriA[Durum],MATCH($A65,tblAnahtarA[Norm],0)),"")="Kampanya"),1,0))</f>
        <v/>
      </c>
      <c r="S65" s="16">
        <f>IF($A65="","",$J65-$E65)</f>
        <v/>
      </c>
      <c r="T65" s="16">
        <f>IF($A65="","",$K65-$O65)</f>
        <v/>
      </c>
    </row>
    <row r="66">
      <c r="A66" s="16">
        <f>IF('ANAHTAR'!$B66="","",'ANAHTAR'!$B66)</f>
        <v/>
      </c>
      <c r="B66" s="16">
        <f>IF($A66="","",IFERROR(SUMIF(tblAnahtarA[Norm],$A66,tblVeriA[SatisFiyati]),0))</f>
        <v/>
      </c>
      <c r="C66" s="16">
        <f>IF($A66="","",IFERROR(SUMIF(tblAnahtarA[Norm],$A66,tblVeriA[Maliyet]),0))</f>
        <v/>
      </c>
      <c r="D66" s="16">
        <f>IF($A66="","",IFERROR(SUMIF(tblAnahtarB[NormB],$A66,tblVeriB[KomisyonOran]),0))</f>
        <v/>
      </c>
      <c r="E66" s="16">
        <f>IF($A66="","",ROUND($B66*$D66,2))</f>
        <v/>
      </c>
      <c r="F66" s="16">
        <f>IF($A66="","",IFERROR(SUMIF(tblAnahtarB[NormB],$A66,tblVeriB[Kargo]),0))</f>
        <v/>
      </c>
      <c r="G66" s="16">
        <f>IF($A66="","",IFERROR(SUMIF(tblAnahtarB[NormB],$A66,tblVeriB[IadeOran]),0))</f>
        <v/>
      </c>
      <c r="H66" s="16">
        <f>IF($A66="","",ROUND($B66*$G66,2))</f>
        <v/>
      </c>
      <c r="I66" s="16">
        <f>IF($A66="","",IFERROR(SUMIF(tblAnahtarB[NormB],$A66,tblVeriB[ReklamTutar]),0))</f>
        <v/>
      </c>
      <c r="J66" s="16">
        <f>IF($A66="","",ROUND($B66-$C66,2))</f>
        <v/>
      </c>
      <c r="K66" s="16">
        <f>IF($A66="","",ROUND($B66-$C66-$E66-$F66-$H66-$I66,2))</f>
        <v/>
      </c>
      <c r="L66" s="16">
        <f>IF(OR($A66="",$B66=0),0,$K66/$B66)</f>
        <v/>
      </c>
      <c r="M66" s="16">
        <f>IF($A66="","",IF((1-$D66-$G66)&lt;=0,0,ROUND(($C66+$F66+$I66)/(1-$D66-$G66),2)))</f>
        <v/>
      </c>
      <c r="N66" s="16">
        <f>IF($A66="","",IFERROR(SUMIF(tblAnahtarA[Norm],$A66,tblVeriA[HedefNet]),0))</f>
        <v/>
      </c>
      <c r="O66" s="16">
        <f>IF($A66="","",ROUND($K66-$N66,2))</f>
        <v/>
      </c>
      <c r="P66" s="16">
        <f>IF($A66="","",IF($L66&lt;egk_esikKatkiDusuk,"ZAM YAP",IF(AND($R66=1,$L66&lt;egk_esikKatkiHedef),"İNDİRİMİ KES","TUT")))</f>
        <v/>
      </c>
      <c r="Q66" s="16">
        <f>IF($A66="","",IFERROR(SUMIF(tblAnahtarB[NormB],$A66,tblVeriB[Roas]),0))</f>
        <v/>
      </c>
      <c r="R66" s="16">
        <f>IF($A66="","",IF(OR(IFERROR(INDEX(tblVeriA[YorumAB],MATCH($A66,tblAnahtarA[Norm],0)),"")="B",IFERROR(INDEX(tblVeriA[Durum],MATCH($A66,tblAnahtarA[Norm],0)),"")="Kampanya"),1,0))</f>
        <v/>
      </c>
      <c r="S66" s="16">
        <f>IF($A66="","",$J66-$E66)</f>
        <v/>
      </c>
      <c r="T66" s="16">
        <f>IF($A66="","",$K66-$O66)</f>
        <v/>
      </c>
    </row>
    <row r="67">
      <c r="A67" s="16">
        <f>IF('ANAHTAR'!$B67="","",'ANAHTAR'!$B67)</f>
        <v/>
      </c>
      <c r="B67" s="16">
        <f>IF($A67="","",IFERROR(SUMIF(tblAnahtarA[Norm],$A67,tblVeriA[SatisFiyati]),0))</f>
        <v/>
      </c>
      <c r="C67" s="16">
        <f>IF($A67="","",IFERROR(SUMIF(tblAnahtarA[Norm],$A67,tblVeriA[Maliyet]),0))</f>
        <v/>
      </c>
      <c r="D67" s="16">
        <f>IF($A67="","",IFERROR(SUMIF(tblAnahtarB[NormB],$A67,tblVeriB[KomisyonOran]),0))</f>
        <v/>
      </c>
      <c r="E67" s="16">
        <f>IF($A67="","",ROUND($B67*$D67,2))</f>
        <v/>
      </c>
      <c r="F67" s="16">
        <f>IF($A67="","",IFERROR(SUMIF(tblAnahtarB[NormB],$A67,tblVeriB[Kargo]),0))</f>
        <v/>
      </c>
      <c r="G67" s="16">
        <f>IF($A67="","",IFERROR(SUMIF(tblAnahtarB[NormB],$A67,tblVeriB[IadeOran]),0))</f>
        <v/>
      </c>
      <c r="H67" s="16">
        <f>IF($A67="","",ROUND($B67*$G67,2))</f>
        <v/>
      </c>
      <c r="I67" s="16">
        <f>IF($A67="","",IFERROR(SUMIF(tblAnahtarB[NormB],$A67,tblVeriB[ReklamTutar]),0))</f>
        <v/>
      </c>
      <c r="J67" s="16">
        <f>IF($A67="","",ROUND($B67-$C67,2))</f>
        <v/>
      </c>
      <c r="K67" s="16">
        <f>IF($A67="","",ROUND($B67-$C67-$E67-$F67-$H67-$I67,2))</f>
        <v/>
      </c>
      <c r="L67" s="16">
        <f>IF(OR($A67="",$B67=0),0,$K67/$B67)</f>
        <v/>
      </c>
      <c r="M67" s="16">
        <f>IF($A67="","",IF((1-$D67-$G67)&lt;=0,0,ROUND(($C67+$F67+$I67)/(1-$D67-$G67),2)))</f>
        <v/>
      </c>
      <c r="N67" s="16">
        <f>IF($A67="","",IFERROR(SUMIF(tblAnahtarA[Norm],$A67,tblVeriA[HedefNet]),0))</f>
        <v/>
      </c>
      <c r="O67" s="16">
        <f>IF($A67="","",ROUND($K67-$N67,2))</f>
        <v/>
      </c>
      <c r="P67" s="16">
        <f>IF($A67="","",IF($L67&lt;egk_esikKatkiDusuk,"ZAM YAP",IF(AND($R67=1,$L67&lt;egk_esikKatkiHedef),"İNDİRİMİ KES","TUT")))</f>
        <v/>
      </c>
      <c r="Q67" s="16">
        <f>IF($A67="","",IFERROR(SUMIF(tblAnahtarB[NormB],$A67,tblVeriB[Roas]),0))</f>
        <v/>
      </c>
      <c r="R67" s="16">
        <f>IF($A67="","",IF(OR(IFERROR(INDEX(tblVeriA[YorumAB],MATCH($A67,tblAnahtarA[Norm],0)),"")="B",IFERROR(INDEX(tblVeriA[Durum],MATCH($A67,tblAnahtarA[Norm],0)),"")="Kampanya"),1,0))</f>
        <v/>
      </c>
      <c r="S67" s="16">
        <f>IF($A67="","",$J67-$E67)</f>
        <v/>
      </c>
      <c r="T67" s="16">
        <f>IF($A67="","",$K67-$O67)</f>
        <v/>
      </c>
    </row>
    <row r="68">
      <c r="A68" s="16">
        <f>IF('ANAHTAR'!$B68="","",'ANAHTAR'!$B68)</f>
        <v/>
      </c>
      <c r="B68" s="16">
        <f>IF($A68="","",IFERROR(SUMIF(tblAnahtarA[Norm],$A68,tblVeriA[SatisFiyati]),0))</f>
        <v/>
      </c>
      <c r="C68" s="16">
        <f>IF($A68="","",IFERROR(SUMIF(tblAnahtarA[Norm],$A68,tblVeriA[Maliyet]),0))</f>
        <v/>
      </c>
      <c r="D68" s="16">
        <f>IF($A68="","",IFERROR(SUMIF(tblAnahtarB[NormB],$A68,tblVeriB[KomisyonOran]),0))</f>
        <v/>
      </c>
      <c r="E68" s="16">
        <f>IF($A68="","",ROUND($B68*$D68,2))</f>
        <v/>
      </c>
      <c r="F68" s="16">
        <f>IF($A68="","",IFERROR(SUMIF(tblAnahtarB[NormB],$A68,tblVeriB[Kargo]),0))</f>
        <v/>
      </c>
      <c r="G68" s="16">
        <f>IF($A68="","",IFERROR(SUMIF(tblAnahtarB[NormB],$A68,tblVeriB[IadeOran]),0))</f>
        <v/>
      </c>
      <c r="H68" s="16">
        <f>IF($A68="","",ROUND($B68*$G68,2))</f>
        <v/>
      </c>
      <c r="I68" s="16">
        <f>IF($A68="","",IFERROR(SUMIF(tblAnahtarB[NormB],$A68,tblVeriB[ReklamTutar]),0))</f>
        <v/>
      </c>
      <c r="J68" s="16">
        <f>IF($A68="","",ROUND($B68-$C68,2))</f>
        <v/>
      </c>
      <c r="K68" s="16">
        <f>IF($A68="","",ROUND($B68-$C68-$E68-$F68-$H68-$I68,2))</f>
        <v/>
      </c>
      <c r="L68" s="16">
        <f>IF(OR($A68="",$B68=0),0,$K68/$B68)</f>
        <v/>
      </c>
      <c r="M68" s="16">
        <f>IF($A68="","",IF((1-$D68-$G68)&lt;=0,0,ROUND(($C68+$F68+$I68)/(1-$D68-$G68),2)))</f>
        <v/>
      </c>
      <c r="N68" s="16">
        <f>IF($A68="","",IFERROR(SUMIF(tblAnahtarA[Norm],$A68,tblVeriA[HedefNet]),0))</f>
        <v/>
      </c>
      <c r="O68" s="16">
        <f>IF($A68="","",ROUND($K68-$N68,2))</f>
        <v/>
      </c>
      <c r="P68" s="16">
        <f>IF($A68="","",IF($L68&lt;egk_esikKatkiDusuk,"ZAM YAP",IF(AND($R68=1,$L68&lt;egk_esikKatkiHedef),"İNDİRİMİ KES","TUT")))</f>
        <v/>
      </c>
      <c r="Q68" s="16">
        <f>IF($A68="","",IFERROR(SUMIF(tblAnahtarB[NormB],$A68,tblVeriB[Roas]),0))</f>
        <v/>
      </c>
      <c r="R68" s="16">
        <f>IF($A68="","",IF(OR(IFERROR(INDEX(tblVeriA[YorumAB],MATCH($A68,tblAnahtarA[Norm],0)),"")="B",IFERROR(INDEX(tblVeriA[Durum],MATCH($A68,tblAnahtarA[Norm],0)),"")="Kampanya"),1,0))</f>
        <v/>
      </c>
      <c r="S68" s="16">
        <f>IF($A68="","",$J68-$E68)</f>
        <v/>
      </c>
      <c r="T68" s="16">
        <f>IF($A68="","",$K68-$O68)</f>
        <v/>
      </c>
    </row>
    <row r="69">
      <c r="A69" s="16">
        <f>IF('ANAHTAR'!$B69="","",'ANAHTAR'!$B69)</f>
        <v/>
      </c>
      <c r="B69" s="16">
        <f>IF($A69="","",IFERROR(SUMIF(tblAnahtarA[Norm],$A69,tblVeriA[SatisFiyati]),0))</f>
        <v/>
      </c>
      <c r="C69" s="16">
        <f>IF($A69="","",IFERROR(SUMIF(tblAnahtarA[Norm],$A69,tblVeriA[Maliyet]),0))</f>
        <v/>
      </c>
      <c r="D69" s="16">
        <f>IF($A69="","",IFERROR(SUMIF(tblAnahtarB[NormB],$A69,tblVeriB[KomisyonOran]),0))</f>
        <v/>
      </c>
      <c r="E69" s="16">
        <f>IF($A69="","",ROUND($B69*$D69,2))</f>
        <v/>
      </c>
      <c r="F69" s="16">
        <f>IF($A69="","",IFERROR(SUMIF(tblAnahtarB[NormB],$A69,tblVeriB[Kargo]),0))</f>
        <v/>
      </c>
      <c r="G69" s="16">
        <f>IF($A69="","",IFERROR(SUMIF(tblAnahtarB[NormB],$A69,tblVeriB[IadeOran]),0))</f>
        <v/>
      </c>
      <c r="H69" s="16">
        <f>IF($A69="","",ROUND($B69*$G69,2))</f>
        <v/>
      </c>
      <c r="I69" s="16">
        <f>IF($A69="","",IFERROR(SUMIF(tblAnahtarB[NormB],$A69,tblVeriB[ReklamTutar]),0))</f>
        <v/>
      </c>
      <c r="J69" s="16">
        <f>IF($A69="","",ROUND($B69-$C69,2))</f>
        <v/>
      </c>
      <c r="K69" s="16">
        <f>IF($A69="","",ROUND($B69-$C69-$E69-$F69-$H69-$I69,2))</f>
        <v/>
      </c>
      <c r="L69" s="16">
        <f>IF(OR($A69="",$B69=0),0,$K69/$B69)</f>
        <v/>
      </c>
      <c r="M69" s="16">
        <f>IF($A69="","",IF((1-$D69-$G69)&lt;=0,0,ROUND(($C69+$F69+$I69)/(1-$D69-$G69),2)))</f>
        <v/>
      </c>
      <c r="N69" s="16">
        <f>IF($A69="","",IFERROR(SUMIF(tblAnahtarA[Norm],$A69,tblVeriA[HedefNet]),0))</f>
        <v/>
      </c>
      <c r="O69" s="16">
        <f>IF($A69="","",ROUND($K69-$N69,2))</f>
        <v/>
      </c>
      <c r="P69" s="16">
        <f>IF($A69="","",IF($L69&lt;egk_esikKatkiDusuk,"ZAM YAP",IF(AND($R69=1,$L69&lt;egk_esikKatkiHedef),"İNDİRİMİ KES","TUT")))</f>
        <v/>
      </c>
      <c r="Q69" s="16">
        <f>IF($A69="","",IFERROR(SUMIF(tblAnahtarB[NormB],$A69,tblVeriB[Roas]),0))</f>
        <v/>
      </c>
      <c r="R69" s="16">
        <f>IF($A69="","",IF(OR(IFERROR(INDEX(tblVeriA[YorumAB],MATCH($A69,tblAnahtarA[Norm],0)),"")="B",IFERROR(INDEX(tblVeriA[Durum],MATCH($A69,tblAnahtarA[Norm],0)),"")="Kampanya"),1,0))</f>
        <v/>
      </c>
      <c r="S69" s="16">
        <f>IF($A69="","",$J69-$E69)</f>
        <v/>
      </c>
      <c r="T69" s="16">
        <f>IF($A69="","",$K69-$O69)</f>
        <v/>
      </c>
    </row>
    <row r="70">
      <c r="A70" s="16">
        <f>IF('ANAHTAR'!$B70="","",'ANAHTAR'!$B70)</f>
        <v/>
      </c>
      <c r="B70" s="16">
        <f>IF($A70="","",IFERROR(SUMIF(tblAnahtarA[Norm],$A70,tblVeriA[SatisFiyati]),0))</f>
        <v/>
      </c>
      <c r="C70" s="16">
        <f>IF($A70="","",IFERROR(SUMIF(tblAnahtarA[Norm],$A70,tblVeriA[Maliyet]),0))</f>
        <v/>
      </c>
      <c r="D70" s="16">
        <f>IF($A70="","",IFERROR(SUMIF(tblAnahtarB[NormB],$A70,tblVeriB[KomisyonOran]),0))</f>
        <v/>
      </c>
      <c r="E70" s="16">
        <f>IF($A70="","",ROUND($B70*$D70,2))</f>
        <v/>
      </c>
      <c r="F70" s="16">
        <f>IF($A70="","",IFERROR(SUMIF(tblAnahtarB[NormB],$A70,tblVeriB[Kargo]),0))</f>
        <v/>
      </c>
      <c r="G70" s="16">
        <f>IF($A70="","",IFERROR(SUMIF(tblAnahtarB[NormB],$A70,tblVeriB[IadeOran]),0))</f>
        <v/>
      </c>
      <c r="H70" s="16">
        <f>IF($A70="","",ROUND($B70*$G70,2))</f>
        <v/>
      </c>
      <c r="I70" s="16">
        <f>IF($A70="","",IFERROR(SUMIF(tblAnahtarB[NormB],$A70,tblVeriB[ReklamTutar]),0))</f>
        <v/>
      </c>
      <c r="J70" s="16">
        <f>IF($A70="","",ROUND($B70-$C70,2))</f>
        <v/>
      </c>
      <c r="K70" s="16">
        <f>IF($A70="","",ROUND($B70-$C70-$E70-$F70-$H70-$I70,2))</f>
        <v/>
      </c>
      <c r="L70" s="16">
        <f>IF(OR($A70="",$B70=0),0,$K70/$B70)</f>
        <v/>
      </c>
      <c r="M70" s="16">
        <f>IF($A70="","",IF((1-$D70-$G70)&lt;=0,0,ROUND(($C70+$F70+$I70)/(1-$D70-$G70),2)))</f>
        <v/>
      </c>
      <c r="N70" s="16">
        <f>IF($A70="","",IFERROR(SUMIF(tblAnahtarA[Norm],$A70,tblVeriA[HedefNet]),0))</f>
        <v/>
      </c>
      <c r="O70" s="16">
        <f>IF($A70="","",ROUND($K70-$N70,2))</f>
        <v/>
      </c>
      <c r="P70" s="16">
        <f>IF($A70="","",IF($L70&lt;egk_esikKatkiDusuk,"ZAM YAP",IF(AND($R70=1,$L70&lt;egk_esikKatkiHedef),"İNDİRİMİ KES","TUT")))</f>
        <v/>
      </c>
      <c r="Q70" s="16">
        <f>IF($A70="","",IFERROR(SUMIF(tblAnahtarB[NormB],$A70,tblVeriB[Roas]),0))</f>
        <v/>
      </c>
      <c r="R70" s="16">
        <f>IF($A70="","",IF(OR(IFERROR(INDEX(tblVeriA[YorumAB],MATCH($A70,tblAnahtarA[Norm],0)),"")="B",IFERROR(INDEX(tblVeriA[Durum],MATCH($A70,tblAnahtarA[Norm],0)),"")="Kampanya"),1,0))</f>
        <v/>
      </c>
      <c r="S70" s="16">
        <f>IF($A70="","",$J70-$E70)</f>
        <v/>
      </c>
      <c r="T70" s="16">
        <f>IF($A70="","",$K70-$O70)</f>
        <v/>
      </c>
    </row>
    <row r="71">
      <c r="A71" s="16">
        <f>IF('ANAHTAR'!$B71="","",'ANAHTAR'!$B71)</f>
        <v/>
      </c>
      <c r="B71" s="16">
        <f>IF($A71="","",IFERROR(SUMIF(tblAnahtarA[Norm],$A71,tblVeriA[SatisFiyati]),0))</f>
        <v/>
      </c>
      <c r="C71" s="16">
        <f>IF($A71="","",IFERROR(SUMIF(tblAnahtarA[Norm],$A71,tblVeriA[Maliyet]),0))</f>
        <v/>
      </c>
      <c r="D71" s="16">
        <f>IF($A71="","",IFERROR(SUMIF(tblAnahtarB[NormB],$A71,tblVeriB[KomisyonOran]),0))</f>
        <v/>
      </c>
      <c r="E71" s="16">
        <f>IF($A71="","",ROUND($B71*$D71,2))</f>
        <v/>
      </c>
      <c r="F71" s="16">
        <f>IF($A71="","",IFERROR(SUMIF(tblAnahtarB[NormB],$A71,tblVeriB[Kargo]),0))</f>
        <v/>
      </c>
      <c r="G71" s="16">
        <f>IF($A71="","",IFERROR(SUMIF(tblAnahtarB[NormB],$A71,tblVeriB[IadeOran]),0))</f>
        <v/>
      </c>
      <c r="H71" s="16">
        <f>IF($A71="","",ROUND($B71*$G71,2))</f>
        <v/>
      </c>
      <c r="I71" s="16">
        <f>IF($A71="","",IFERROR(SUMIF(tblAnahtarB[NormB],$A71,tblVeriB[ReklamTutar]),0))</f>
        <v/>
      </c>
      <c r="J71" s="16">
        <f>IF($A71="","",ROUND($B71-$C71,2))</f>
        <v/>
      </c>
      <c r="K71" s="16">
        <f>IF($A71="","",ROUND($B71-$C71-$E71-$F71-$H71-$I71,2))</f>
        <v/>
      </c>
      <c r="L71" s="16">
        <f>IF(OR($A71="",$B71=0),0,$K71/$B71)</f>
        <v/>
      </c>
      <c r="M71" s="16">
        <f>IF($A71="","",IF((1-$D71-$G71)&lt;=0,0,ROUND(($C71+$F71+$I71)/(1-$D71-$G71),2)))</f>
        <v/>
      </c>
      <c r="N71" s="16">
        <f>IF($A71="","",IFERROR(SUMIF(tblAnahtarA[Norm],$A71,tblVeriA[HedefNet]),0))</f>
        <v/>
      </c>
      <c r="O71" s="16">
        <f>IF($A71="","",ROUND($K71-$N71,2))</f>
        <v/>
      </c>
      <c r="P71" s="16">
        <f>IF($A71="","",IF($L71&lt;egk_esikKatkiDusuk,"ZAM YAP",IF(AND($R71=1,$L71&lt;egk_esikKatkiHedef),"İNDİRİMİ KES","TUT")))</f>
        <v/>
      </c>
      <c r="Q71" s="16">
        <f>IF($A71="","",IFERROR(SUMIF(tblAnahtarB[NormB],$A71,tblVeriB[Roas]),0))</f>
        <v/>
      </c>
      <c r="R71" s="16">
        <f>IF($A71="","",IF(OR(IFERROR(INDEX(tblVeriA[YorumAB],MATCH($A71,tblAnahtarA[Norm],0)),"")="B",IFERROR(INDEX(tblVeriA[Durum],MATCH($A71,tblAnahtarA[Norm],0)),"")="Kampanya"),1,0))</f>
        <v/>
      </c>
      <c r="S71" s="16">
        <f>IF($A71="","",$J71-$E71)</f>
        <v/>
      </c>
      <c r="T71" s="16">
        <f>IF($A71="","",$K71-$O71)</f>
        <v/>
      </c>
    </row>
    <row r="72">
      <c r="A72" s="16">
        <f>IF('ANAHTAR'!$B72="","",'ANAHTAR'!$B72)</f>
        <v/>
      </c>
      <c r="B72" s="16">
        <f>IF($A72="","",IFERROR(SUMIF(tblAnahtarA[Norm],$A72,tblVeriA[SatisFiyati]),0))</f>
        <v/>
      </c>
      <c r="C72" s="16">
        <f>IF($A72="","",IFERROR(SUMIF(tblAnahtarA[Norm],$A72,tblVeriA[Maliyet]),0))</f>
        <v/>
      </c>
      <c r="D72" s="16">
        <f>IF($A72="","",IFERROR(SUMIF(tblAnahtarB[NormB],$A72,tblVeriB[KomisyonOran]),0))</f>
        <v/>
      </c>
      <c r="E72" s="16">
        <f>IF($A72="","",ROUND($B72*$D72,2))</f>
        <v/>
      </c>
      <c r="F72" s="16">
        <f>IF($A72="","",IFERROR(SUMIF(tblAnahtarB[NormB],$A72,tblVeriB[Kargo]),0))</f>
        <v/>
      </c>
      <c r="G72" s="16">
        <f>IF($A72="","",IFERROR(SUMIF(tblAnahtarB[NormB],$A72,tblVeriB[IadeOran]),0))</f>
        <v/>
      </c>
      <c r="H72" s="16">
        <f>IF($A72="","",ROUND($B72*$G72,2))</f>
        <v/>
      </c>
      <c r="I72" s="16">
        <f>IF($A72="","",IFERROR(SUMIF(tblAnahtarB[NormB],$A72,tblVeriB[ReklamTutar]),0))</f>
        <v/>
      </c>
      <c r="J72" s="16">
        <f>IF($A72="","",ROUND($B72-$C72,2))</f>
        <v/>
      </c>
      <c r="K72" s="16">
        <f>IF($A72="","",ROUND($B72-$C72-$E72-$F72-$H72-$I72,2))</f>
        <v/>
      </c>
      <c r="L72" s="16">
        <f>IF(OR($A72="",$B72=0),0,$K72/$B72)</f>
        <v/>
      </c>
      <c r="M72" s="16">
        <f>IF($A72="","",IF((1-$D72-$G72)&lt;=0,0,ROUND(($C72+$F72+$I72)/(1-$D72-$G72),2)))</f>
        <v/>
      </c>
      <c r="N72" s="16">
        <f>IF($A72="","",IFERROR(SUMIF(tblAnahtarA[Norm],$A72,tblVeriA[HedefNet]),0))</f>
        <v/>
      </c>
      <c r="O72" s="16">
        <f>IF($A72="","",ROUND($K72-$N72,2))</f>
        <v/>
      </c>
      <c r="P72" s="16">
        <f>IF($A72="","",IF($L72&lt;egk_esikKatkiDusuk,"ZAM YAP",IF(AND($R72=1,$L72&lt;egk_esikKatkiHedef),"İNDİRİMİ KES","TUT")))</f>
        <v/>
      </c>
      <c r="Q72" s="16">
        <f>IF($A72="","",IFERROR(SUMIF(tblAnahtarB[NormB],$A72,tblVeriB[Roas]),0))</f>
        <v/>
      </c>
      <c r="R72" s="16">
        <f>IF($A72="","",IF(OR(IFERROR(INDEX(tblVeriA[YorumAB],MATCH($A72,tblAnahtarA[Norm],0)),"")="B",IFERROR(INDEX(tblVeriA[Durum],MATCH($A72,tblAnahtarA[Norm],0)),"")="Kampanya"),1,0))</f>
        <v/>
      </c>
      <c r="S72" s="16">
        <f>IF($A72="","",$J72-$E72)</f>
        <v/>
      </c>
      <c r="T72" s="16">
        <f>IF($A72="","",$K72-$O72)</f>
        <v/>
      </c>
    </row>
    <row r="73">
      <c r="A73" s="16">
        <f>IF('ANAHTAR'!$B73="","",'ANAHTAR'!$B73)</f>
        <v/>
      </c>
      <c r="B73" s="16">
        <f>IF($A73="","",IFERROR(SUMIF(tblAnahtarA[Norm],$A73,tblVeriA[SatisFiyati]),0))</f>
        <v/>
      </c>
      <c r="C73" s="16">
        <f>IF($A73="","",IFERROR(SUMIF(tblAnahtarA[Norm],$A73,tblVeriA[Maliyet]),0))</f>
        <v/>
      </c>
      <c r="D73" s="16">
        <f>IF($A73="","",IFERROR(SUMIF(tblAnahtarB[NormB],$A73,tblVeriB[KomisyonOran]),0))</f>
        <v/>
      </c>
      <c r="E73" s="16">
        <f>IF($A73="","",ROUND($B73*$D73,2))</f>
        <v/>
      </c>
      <c r="F73" s="16">
        <f>IF($A73="","",IFERROR(SUMIF(tblAnahtarB[NormB],$A73,tblVeriB[Kargo]),0))</f>
        <v/>
      </c>
      <c r="G73" s="16">
        <f>IF($A73="","",IFERROR(SUMIF(tblAnahtarB[NormB],$A73,tblVeriB[IadeOran]),0))</f>
        <v/>
      </c>
      <c r="H73" s="16">
        <f>IF($A73="","",ROUND($B73*$G73,2))</f>
        <v/>
      </c>
      <c r="I73" s="16">
        <f>IF($A73="","",IFERROR(SUMIF(tblAnahtarB[NormB],$A73,tblVeriB[ReklamTutar]),0))</f>
        <v/>
      </c>
      <c r="J73" s="16">
        <f>IF($A73="","",ROUND($B73-$C73,2))</f>
        <v/>
      </c>
      <c r="K73" s="16">
        <f>IF($A73="","",ROUND($B73-$C73-$E73-$F73-$H73-$I73,2))</f>
        <v/>
      </c>
      <c r="L73" s="16">
        <f>IF(OR($A73="",$B73=0),0,$K73/$B73)</f>
        <v/>
      </c>
      <c r="M73" s="16">
        <f>IF($A73="","",IF((1-$D73-$G73)&lt;=0,0,ROUND(($C73+$F73+$I73)/(1-$D73-$G73),2)))</f>
        <v/>
      </c>
      <c r="N73" s="16">
        <f>IF($A73="","",IFERROR(SUMIF(tblAnahtarA[Norm],$A73,tblVeriA[HedefNet]),0))</f>
        <v/>
      </c>
      <c r="O73" s="16">
        <f>IF($A73="","",ROUND($K73-$N73,2))</f>
        <v/>
      </c>
      <c r="P73" s="16">
        <f>IF($A73="","",IF($L73&lt;egk_esikKatkiDusuk,"ZAM YAP",IF(AND($R73=1,$L73&lt;egk_esikKatkiHedef),"İNDİRİMİ KES","TUT")))</f>
        <v/>
      </c>
      <c r="Q73" s="16">
        <f>IF($A73="","",IFERROR(SUMIF(tblAnahtarB[NormB],$A73,tblVeriB[Roas]),0))</f>
        <v/>
      </c>
      <c r="R73" s="16">
        <f>IF($A73="","",IF(OR(IFERROR(INDEX(tblVeriA[YorumAB],MATCH($A73,tblAnahtarA[Norm],0)),"")="B",IFERROR(INDEX(tblVeriA[Durum],MATCH($A73,tblAnahtarA[Norm],0)),"")="Kampanya"),1,0))</f>
        <v/>
      </c>
      <c r="S73" s="16">
        <f>IF($A73="","",$J73-$E73)</f>
        <v/>
      </c>
      <c r="T73" s="16">
        <f>IF($A73="","",$K73-$O73)</f>
        <v/>
      </c>
    </row>
    <row r="74">
      <c r="A74" s="16">
        <f>IF('ANAHTAR'!$B74="","",'ANAHTAR'!$B74)</f>
        <v/>
      </c>
      <c r="B74" s="16">
        <f>IF($A74="","",IFERROR(SUMIF(tblAnahtarA[Norm],$A74,tblVeriA[SatisFiyati]),0))</f>
        <v/>
      </c>
      <c r="C74" s="16">
        <f>IF($A74="","",IFERROR(SUMIF(tblAnahtarA[Norm],$A74,tblVeriA[Maliyet]),0))</f>
        <v/>
      </c>
      <c r="D74" s="16">
        <f>IF($A74="","",IFERROR(SUMIF(tblAnahtarB[NormB],$A74,tblVeriB[KomisyonOran]),0))</f>
        <v/>
      </c>
      <c r="E74" s="16">
        <f>IF($A74="","",ROUND($B74*$D74,2))</f>
        <v/>
      </c>
      <c r="F74" s="16">
        <f>IF($A74="","",IFERROR(SUMIF(tblAnahtarB[NormB],$A74,tblVeriB[Kargo]),0))</f>
        <v/>
      </c>
      <c r="G74" s="16">
        <f>IF($A74="","",IFERROR(SUMIF(tblAnahtarB[NormB],$A74,tblVeriB[IadeOran]),0))</f>
        <v/>
      </c>
      <c r="H74" s="16">
        <f>IF($A74="","",ROUND($B74*$G74,2))</f>
        <v/>
      </c>
      <c r="I74" s="16">
        <f>IF($A74="","",IFERROR(SUMIF(tblAnahtarB[NormB],$A74,tblVeriB[ReklamTutar]),0))</f>
        <v/>
      </c>
      <c r="J74" s="16">
        <f>IF($A74="","",ROUND($B74-$C74,2))</f>
        <v/>
      </c>
      <c r="K74" s="16">
        <f>IF($A74="","",ROUND($B74-$C74-$E74-$F74-$H74-$I74,2))</f>
        <v/>
      </c>
      <c r="L74" s="16">
        <f>IF(OR($A74="",$B74=0),0,$K74/$B74)</f>
        <v/>
      </c>
      <c r="M74" s="16">
        <f>IF($A74="","",IF((1-$D74-$G74)&lt;=0,0,ROUND(($C74+$F74+$I74)/(1-$D74-$G74),2)))</f>
        <v/>
      </c>
      <c r="N74" s="16">
        <f>IF($A74="","",IFERROR(SUMIF(tblAnahtarA[Norm],$A74,tblVeriA[HedefNet]),0))</f>
        <v/>
      </c>
      <c r="O74" s="16">
        <f>IF($A74="","",ROUND($K74-$N74,2))</f>
        <v/>
      </c>
      <c r="P74" s="16">
        <f>IF($A74="","",IF($L74&lt;egk_esikKatkiDusuk,"ZAM YAP",IF(AND($R74=1,$L74&lt;egk_esikKatkiHedef),"İNDİRİMİ KES","TUT")))</f>
        <v/>
      </c>
      <c r="Q74" s="16">
        <f>IF($A74="","",IFERROR(SUMIF(tblAnahtarB[NormB],$A74,tblVeriB[Roas]),0))</f>
        <v/>
      </c>
      <c r="R74" s="16">
        <f>IF($A74="","",IF(OR(IFERROR(INDEX(tblVeriA[YorumAB],MATCH($A74,tblAnahtarA[Norm],0)),"")="B",IFERROR(INDEX(tblVeriA[Durum],MATCH($A74,tblAnahtarA[Norm],0)),"")="Kampanya"),1,0))</f>
        <v/>
      </c>
      <c r="S74" s="16">
        <f>IF($A74="","",$J74-$E74)</f>
        <v/>
      </c>
      <c r="T74" s="16">
        <f>IF($A74="","",$K74-$O74)</f>
        <v/>
      </c>
    </row>
    <row r="75">
      <c r="A75" s="16">
        <f>IF('ANAHTAR'!$B75="","",'ANAHTAR'!$B75)</f>
        <v/>
      </c>
      <c r="B75" s="16">
        <f>IF($A75="","",IFERROR(SUMIF(tblAnahtarA[Norm],$A75,tblVeriA[SatisFiyati]),0))</f>
        <v/>
      </c>
      <c r="C75" s="16">
        <f>IF($A75="","",IFERROR(SUMIF(tblAnahtarA[Norm],$A75,tblVeriA[Maliyet]),0))</f>
        <v/>
      </c>
      <c r="D75" s="16">
        <f>IF($A75="","",IFERROR(SUMIF(tblAnahtarB[NormB],$A75,tblVeriB[KomisyonOran]),0))</f>
        <v/>
      </c>
      <c r="E75" s="16">
        <f>IF($A75="","",ROUND($B75*$D75,2))</f>
        <v/>
      </c>
      <c r="F75" s="16">
        <f>IF($A75="","",IFERROR(SUMIF(tblAnahtarB[NormB],$A75,tblVeriB[Kargo]),0))</f>
        <v/>
      </c>
      <c r="G75" s="16">
        <f>IF($A75="","",IFERROR(SUMIF(tblAnahtarB[NormB],$A75,tblVeriB[IadeOran]),0))</f>
        <v/>
      </c>
      <c r="H75" s="16">
        <f>IF($A75="","",ROUND($B75*$G75,2))</f>
        <v/>
      </c>
      <c r="I75" s="16">
        <f>IF($A75="","",IFERROR(SUMIF(tblAnahtarB[NormB],$A75,tblVeriB[ReklamTutar]),0))</f>
        <v/>
      </c>
      <c r="J75" s="16">
        <f>IF($A75="","",ROUND($B75-$C75,2))</f>
        <v/>
      </c>
      <c r="K75" s="16">
        <f>IF($A75="","",ROUND($B75-$C75-$E75-$F75-$H75-$I75,2))</f>
        <v/>
      </c>
      <c r="L75" s="16">
        <f>IF(OR($A75="",$B75=0),0,$K75/$B75)</f>
        <v/>
      </c>
      <c r="M75" s="16">
        <f>IF($A75="","",IF((1-$D75-$G75)&lt;=0,0,ROUND(($C75+$F75+$I75)/(1-$D75-$G75),2)))</f>
        <v/>
      </c>
      <c r="N75" s="16">
        <f>IF($A75="","",IFERROR(SUMIF(tblAnahtarA[Norm],$A75,tblVeriA[HedefNet]),0))</f>
        <v/>
      </c>
      <c r="O75" s="16">
        <f>IF($A75="","",ROUND($K75-$N75,2))</f>
        <v/>
      </c>
      <c r="P75" s="16">
        <f>IF($A75="","",IF($L75&lt;egk_esikKatkiDusuk,"ZAM YAP",IF(AND($R75=1,$L75&lt;egk_esikKatkiHedef),"İNDİRİMİ KES","TUT")))</f>
        <v/>
      </c>
      <c r="Q75" s="16">
        <f>IF($A75="","",IFERROR(SUMIF(tblAnahtarB[NormB],$A75,tblVeriB[Roas]),0))</f>
        <v/>
      </c>
      <c r="R75" s="16">
        <f>IF($A75="","",IF(OR(IFERROR(INDEX(tblVeriA[YorumAB],MATCH($A75,tblAnahtarA[Norm],0)),"")="B",IFERROR(INDEX(tblVeriA[Durum],MATCH($A75,tblAnahtarA[Norm],0)),"")="Kampanya"),1,0))</f>
        <v/>
      </c>
      <c r="S75" s="16">
        <f>IF($A75="","",$J75-$E75)</f>
        <v/>
      </c>
      <c r="T75" s="16">
        <f>IF($A75="","",$K75-$O75)</f>
        <v/>
      </c>
    </row>
    <row r="76">
      <c r="A76" s="16">
        <f>IF('ANAHTAR'!$B76="","",'ANAHTAR'!$B76)</f>
        <v/>
      </c>
      <c r="B76" s="16">
        <f>IF($A76="","",IFERROR(SUMIF(tblAnahtarA[Norm],$A76,tblVeriA[SatisFiyati]),0))</f>
        <v/>
      </c>
      <c r="C76" s="16">
        <f>IF($A76="","",IFERROR(SUMIF(tblAnahtarA[Norm],$A76,tblVeriA[Maliyet]),0))</f>
        <v/>
      </c>
      <c r="D76" s="16">
        <f>IF($A76="","",IFERROR(SUMIF(tblAnahtarB[NormB],$A76,tblVeriB[KomisyonOran]),0))</f>
        <v/>
      </c>
      <c r="E76" s="16">
        <f>IF($A76="","",ROUND($B76*$D76,2))</f>
        <v/>
      </c>
      <c r="F76" s="16">
        <f>IF($A76="","",IFERROR(SUMIF(tblAnahtarB[NormB],$A76,tblVeriB[Kargo]),0))</f>
        <v/>
      </c>
      <c r="G76" s="16">
        <f>IF($A76="","",IFERROR(SUMIF(tblAnahtarB[NormB],$A76,tblVeriB[IadeOran]),0))</f>
        <v/>
      </c>
      <c r="H76" s="16">
        <f>IF($A76="","",ROUND($B76*$G76,2))</f>
        <v/>
      </c>
      <c r="I76" s="16">
        <f>IF($A76="","",IFERROR(SUMIF(tblAnahtarB[NormB],$A76,tblVeriB[ReklamTutar]),0))</f>
        <v/>
      </c>
      <c r="J76" s="16">
        <f>IF($A76="","",ROUND($B76-$C76,2))</f>
        <v/>
      </c>
      <c r="K76" s="16">
        <f>IF($A76="","",ROUND($B76-$C76-$E76-$F76-$H76-$I76,2))</f>
        <v/>
      </c>
      <c r="L76" s="16">
        <f>IF(OR($A76="",$B76=0),0,$K76/$B76)</f>
        <v/>
      </c>
      <c r="M76" s="16">
        <f>IF($A76="","",IF((1-$D76-$G76)&lt;=0,0,ROUND(($C76+$F76+$I76)/(1-$D76-$G76),2)))</f>
        <v/>
      </c>
      <c r="N76" s="16">
        <f>IF($A76="","",IFERROR(SUMIF(tblAnahtarA[Norm],$A76,tblVeriA[HedefNet]),0))</f>
        <v/>
      </c>
      <c r="O76" s="16">
        <f>IF($A76="","",ROUND($K76-$N76,2))</f>
        <v/>
      </c>
      <c r="P76" s="16">
        <f>IF($A76="","",IF($L76&lt;egk_esikKatkiDusuk,"ZAM YAP",IF(AND($R76=1,$L76&lt;egk_esikKatkiHedef),"İNDİRİMİ KES","TUT")))</f>
        <v/>
      </c>
      <c r="Q76" s="16">
        <f>IF($A76="","",IFERROR(SUMIF(tblAnahtarB[NormB],$A76,tblVeriB[Roas]),0))</f>
        <v/>
      </c>
      <c r="R76" s="16">
        <f>IF($A76="","",IF(OR(IFERROR(INDEX(tblVeriA[YorumAB],MATCH($A76,tblAnahtarA[Norm],0)),"")="B",IFERROR(INDEX(tblVeriA[Durum],MATCH($A76,tblAnahtarA[Norm],0)),"")="Kampanya"),1,0))</f>
        <v/>
      </c>
      <c r="S76" s="16">
        <f>IF($A76="","",$J76-$E76)</f>
        <v/>
      </c>
      <c r="T76" s="16">
        <f>IF($A76="","",$K76-$O76)</f>
        <v/>
      </c>
    </row>
    <row r="77">
      <c r="A77" s="16">
        <f>IF('ANAHTAR'!$B77="","",'ANAHTAR'!$B77)</f>
        <v/>
      </c>
      <c r="B77" s="16">
        <f>IF($A77="","",IFERROR(SUMIF(tblAnahtarA[Norm],$A77,tblVeriA[SatisFiyati]),0))</f>
        <v/>
      </c>
      <c r="C77" s="16">
        <f>IF($A77="","",IFERROR(SUMIF(tblAnahtarA[Norm],$A77,tblVeriA[Maliyet]),0))</f>
        <v/>
      </c>
      <c r="D77" s="16">
        <f>IF($A77="","",IFERROR(SUMIF(tblAnahtarB[NormB],$A77,tblVeriB[KomisyonOran]),0))</f>
        <v/>
      </c>
      <c r="E77" s="16">
        <f>IF($A77="","",ROUND($B77*$D77,2))</f>
        <v/>
      </c>
      <c r="F77" s="16">
        <f>IF($A77="","",IFERROR(SUMIF(tblAnahtarB[NormB],$A77,tblVeriB[Kargo]),0))</f>
        <v/>
      </c>
      <c r="G77" s="16">
        <f>IF($A77="","",IFERROR(SUMIF(tblAnahtarB[NormB],$A77,tblVeriB[IadeOran]),0))</f>
        <v/>
      </c>
      <c r="H77" s="16">
        <f>IF($A77="","",ROUND($B77*$G77,2))</f>
        <v/>
      </c>
      <c r="I77" s="16">
        <f>IF($A77="","",IFERROR(SUMIF(tblAnahtarB[NormB],$A77,tblVeriB[ReklamTutar]),0))</f>
        <v/>
      </c>
      <c r="J77" s="16">
        <f>IF($A77="","",ROUND($B77-$C77,2))</f>
        <v/>
      </c>
      <c r="K77" s="16">
        <f>IF($A77="","",ROUND($B77-$C77-$E77-$F77-$H77-$I77,2))</f>
        <v/>
      </c>
      <c r="L77" s="16">
        <f>IF(OR($A77="",$B77=0),0,$K77/$B77)</f>
        <v/>
      </c>
      <c r="M77" s="16">
        <f>IF($A77="","",IF((1-$D77-$G77)&lt;=0,0,ROUND(($C77+$F77+$I77)/(1-$D77-$G77),2)))</f>
        <v/>
      </c>
      <c r="N77" s="16">
        <f>IF($A77="","",IFERROR(SUMIF(tblAnahtarA[Norm],$A77,tblVeriA[HedefNet]),0))</f>
        <v/>
      </c>
      <c r="O77" s="16">
        <f>IF($A77="","",ROUND($K77-$N77,2))</f>
        <v/>
      </c>
      <c r="P77" s="16">
        <f>IF($A77="","",IF($L77&lt;egk_esikKatkiDusuk,"ZAM YAP",IF(AND($R77=1,$L77&lt;egk_esikKatkiHedef),"İNDİRİMİ KES","TUT")))</f>
        <v/>
      </c>
      <c r="Q77" s="16">
        <f>IF($A77="","",IFERROR(SUMIF(tblAnahtarB[NormB],$A77,tblVeriB[Roas]),0))</f>
        <v/>
      </c>
      <c r="R77" s="16">
        <f>IF($A77="","",IF(OR(IFERROR(INDEX(tblVeriA[YorumAB],MATCH($A77,tblAnahtarA[Norm],0)),"")="B",IFERROR(INDEX(tblVeriA[Durum],MATCH($A77,tblAnahtarA[Norm],0)),"")="Kampanya"),1,0))</f>
        <v/>
      </c>
      <c r="S77" s="16">
        <f>IF($A77="","",$J77-$E77)</f>
        <v/>
      </c>
      <c r="T77" s="16">
        <f>IF($A77="","",$K77-$O77)</f>
        <v/>
      </c>
    </row>
    <row r="78">
      <c r="A78" s="16">
        <f>IF('ANAHTAR'!$B78="","",'ANAHTAR'!$B78)</f>
        <v/>
      </c>
      <c r="B78" s="16">
        <f>IF($A78="","",IFERROR(SUMIF(tblAnahtarA[Norm],$A78,tblVeriA[SatisFiyati]),0))</f>
        <v/>
      </c>
      <c r="C78" s="16">
        <f>IF($A78="","",IFERROR(SUMIF(tblAnahtarA[Norm],$A78,tblVeriA[Maliyet]),0))</f>
        <v/>
      </c>
      <c r="D78" s="16">
        <f>IF($A78="","",IFERROR(SUMIF(tblAnahtarB[NormB],$A78,tblVeriB[KomisyonOran]),0))</f>
        <v/>
      </c>
      <c r="E78" s="16">
        <f>IF($A78="","",ROUND($B78*$D78,2))</f>
        <v/>
      </c>
      <c r="F78" s="16">
        <f>IF($A78="","",IFERROR(SUMIF(tblAnahtarB[NormB],$A78,tblVeriB[Kargo]),0))</f>
        <v/>
      </c>
      <c r="G78" s="16">
        <f>IF($A78="","",IFERROR(SUMIF(tblAnahtarB[NormB],$A78,tblVeriB[IadeOran]),0))</f>
        <v/>
      </c>
      <c r="H78" s="16">
        <f>IF($A78="","",ROUND($B78*$G78,2))</f>
        <v/>
      </c>
      <c r="I78" s="16">
        <f>IF($A78="","",IFERROR(SUMIF(tblAnahtarB[NormB],$A78,tblVeriB[ReklamTutar]),0))</f>
        <v/>
      </c>
      <c r="J78" s="16">
        <f>IF($A78="","",ROUND($B78-$C78,2))</f>
        <v/>
      </c>
      <c r="K78" s="16">
        <f>IF($A78="","",ROUND($B78-$C78-$E78-$F78-$H78-$I78,2))</f>
        <v/>
      </c>
      <c r="L78" s="16">
        <f>IF(OR($A78="",$B78=0),0,$K78/$B78)</f>
        <v/>
      </c>
      <c r="M78" s="16">
        <f>IF($A78="","",IF((1-$D78-$G78)&lt;=0,0,ROUND(($C78+$F78+$I78)/(1-$D78-$G78),2)))</f>
        <v/>
      </c>
      <c r="N78" s="16">
        <f>IF($A78="","",IFERROR(SUMIF(tblAnahtarA[Norm],$A78,tblVeriA[HedefNet]),0))</f>
        <v/>
      </c>
      <c r="O78" s="16">
        <f>IF($A78="","",ROUND($K78-$N78,2))</f>
        <v/>
      </c>
      <c r="P78" s="16">
        <f>IF($A78="","",IF($L78&lt;egk_esikKatkiDusuk,"ZAM YAP",IF(AND($R78=1,$L78&lt;egk_esikKatkiHedef),"İNDİRİMİ KES","TUT")))</f>
        <v/>
      </c>
      <c r="Q78" s="16">
        <f>IF($A78="","",IFERROR(SUMIF(tblAnahtarB[NormB],$A78,tblVeriB[Roas]),0))</f>
        <v/>
      </c>
      <c r="R78" s="16">
        <f>IF($A78="","",IF(OR(IFERROR(INDEX(tblVeriA[YorumAB],MATCH($A78,tblAnahtarA[Norm],0)),"")="B",IFERROR(INDEX(tblVeriA[Durum],MATCH($A78,tblAnahtarA[Norm],0)),"")="Kampanya"),1,0))</f>
        <v/>
      </c>
      <c r="S78" s="16">
        <f>IF($A78="","",$J78-$E78)</f>
        <v/>
      </c>
      <c r="T78" s="16">
        <f>IF($A78="","",$K78-$O78)</f>
        <v/>
      </c>
    </row>
    <row r="79">
      <c r="A79" s="16">
        <f>IF('ANAHTAR'!$B79="","",'ANAHTAR'!$B79)</f>
        <v/>
      </c>
      <c r="B79" s="16">
        <f>IF($A79="","",IFERROR(SUMIF(tblAnahtarA[Norm],$A79,tblVeriA[SatisFiyati]),0))</f>
        <v/>
      </c>
      <c r="C79" s="16">
        <f>IF($A79="","",IFERROR(SUMIF(tblAnahtarA[Norm],$A79,tblVeriA[Maliyet]),0))</f>
        <v/>
      </c>
      <c r="D79" s="16">
        <f>IF($A79="","",IFERROR(SUMIF(tblAnahtarB[NormB],$A79,tblVeriB[KomisyonOran]),0))</f>
        <v/>
      </c>
      <c r="E79" s="16">
        <f>IF($A79="","",ROUND($B79*$D79,2))</f>
        <v/>
      </c>
      <c r="F79" s="16">
        <f>IF($A79="","",IFERROR(SUMIF(tblAnahtarB[NormB],$A79,tblVeriB[Kargo]),0))</f>
        <v/>
      </c>
      <c r="G79" s="16">
        <f>IF($A79="","",IFERROR(SUMIF(tblAnahtarB[NormB],$A79,tblVeriB[IadeOran]),0))</f>
        <v/>
      </c>
      <c r="H79" s="16">
        <f>IF($A79="","",ROUND($B79*$G79,2))</f>
        <v/>
      </c>
      <c r="I79" s="16">
        <f>IF($A79="","",IFERROR(SUMIF(tblAnahtarB[NormB],$A79,tblVeriB[ReklamTutar]),0))</f>
        <v/>
      </c>
      <c r="J79" s="16">
        <f>IF($A79="","",ROUND($B79-$C79,2))</f>
        <v/>
      </c>
      <c r="K79" s="16">
        <f>IF($A79="","",ROUND($B79-$C79-$E79-$F79-$H79-$I79,2))</f>
        <v/>
      </c>
      <c r="L79" s="16">
        <f>IF(OR($A79="",$B79=0),0,$K79/$B79)</f>
        <v/>
      </c>
      <c r="M79" s="16">
        <f>IF($A79="","",IF((1-$D79-$G79)&lt;=0,0,ROUND(($C79+$F79+$I79)/(1-$D79-$G79),2)))</f>
        <v/>
      </c>
      <c r="N79" s="16">
        <f>IF($A79="","",IFERROR(SUMIF(tblAnahtarA[Norm],$A79,tblVeriA[HedefNet]),0))</f>
        <v/>
      </c>
      <c r="O79" s="16">
        <f>IF($A79="","",ROUND($K79-$N79,2))</f>
        <v/>
      </c>
      <c r="P79" s="16">
        <f>IF($A79="","",IF($L79&lt;egk_esikKatkiDusuk,"ZAM YAP",IF(AND($R79=1,$L79&lt;egk_esikKatkiHedef),"İNDİRİMİ KES","TUT")))</f>
        <v/>
      </c>
      <c r="Q79" s="16">
        <f>IF($A79="","",IFERROR(SUMIF(tblAnahtarB[NormB],$A79,tblVeriB[Roas]),0))</f>
        <v/>
      </c>
      <c r="R79" s="16">
        <f>IF($A79="","",IF(OR(IFERROR(INDEX(tblVeriA[YorumAB],MATCH($A79,tblAnahtarA[Norm],0)),"")="B",IFERROR(INDEX(tblVeriA[Durum],MATCH($A79,tblAnahtarA[Norm],0)),"")="Kampanya"),1,0))</f>
        <v/>
      </c>
      <c r="S79" s="16">
        <f>IF($A79="","",$J79-$E79)</f>
        <v/>
      </c>
      <c r="T79" s="16">
        <f>IF($A79="","",$K79-$O79)</f>
        <v/>
      </c>
    </row>
    <row r="80">
      <c r="A80" s="16">
        <f>IF('ANAHTAR'!$B80="","",'ANAHTAR'!$B80)</f>
        <v/>
      </c>
      <c r="B80" s="16">
        <f>IF($A80="","",IFERROR(SUMIF(tblAnahtarA[Norm],$A80,tblVeriA[SatisFiyati]),0))</f>
        <v/>
      </c>
      <c r="C80" s="16">
        <f>IF($A80="","",IFERROR(SUMIF(tblAnahtarA[Norm],$A80,tblVeriA[Maliyet]),0))</f>
        <v/>
      </c>
      <c r="D80" s="16">
        <f>IF($A80="","",IFERROR(SUMIF(tblAnahtarB[NormB],$A80,tblVeriB[KomisyonOran]),0))</f>
        <v/>
      </c>
      <c r="E80" s="16">
        <f>IF($A80="","",ROUND($B80*$D80,2))</f>
        <v/>
      </c>
      <c r="F80" s="16">
        <f>IF($A80="","",IFERROR(SUMIF(tblAnahtarB[NormB],$A80,tblVeriB[Kargo]),0))</f>
        <v/>
      </c>
      <c r="G80" s="16">
        <f>IF($A80="","",IFERROR(SUMIF(tblAnahtarB[NormB],$A80,tblVeriB[IadeOran]),0))</f>
        <v/>
      </c>
      <c r="H80" s="16">
        <f>IF($A80="","",ROUND($B80*$G80,2))</f>
        <v/>
      </c>
      <c r="I80" s="16">
        <f>IF($A80="","",IFERROR(SUMIF(tblAnahtarB[NormB],$A80,tblVeriB[ReklamTutar]),0))</f>
        <v/>
      </c>
      <c r="J80" s="16">
        <f>IF($A80="","",ROUND($B80-$C80,2))</f>
        <v/>
      </c>
      <c r="K80" s="16">
        <f>IF($A80="","",ROUND($B80-$C80-$E80-$F80-$H80-$I80,2))</f>
        <v/>
      </c>
      <c r="L80" s="16">
        <f>IF(OR($A80="",$B80=0),0,$K80/$B80)</f>
        <v/>
      </c>
      <c r="M80" s="16">
        <f>IF($A80="","",IF((1-$D80-$G80)&lt;=0,0,ROUND(($C80+$F80+$I80)/(1-$D80-$G80),2)))</f>
        <v/>
      </c>
      <c r="N80" s="16">
        <f>IF($A80="","",IFERROR(SUMIF(tblAnahtarA[Norm],$A80,tblVeriA[HedefNet]),0))</f>
        <v/>
      </c>
      <c r="O80" s="16">
        <f>IF($A80="","",ROUND($K80-$N80,2))</f>
        <v/>
      </c>
      <c r="P80" s="16">
        <f>IF($A80="","",IF($L80&lt;egk_esikKatkiDusuk,"ZAM YAP",IF(AND($R80=1,$L80&lt;egk_esikKatkiHedef),"İNDİRİMİ KES","TUT")))</f>
        <v/>
      </c>
      <c r="Q80" s="16">
        <f>IF($A80="","",IFERROR(SUMIF(tblAnahtarB[NormB],$A80,tblVeriB[Roas]),0))</f>
        <v/>
      </c>
      <c r="R80" s="16">
        <f>IF($A80="","",IF(OR(IFERROR(INDEX(tblVeriA[YorumAB],MATCH($A80,tblAnahtarA[Norm],0)),"")="B",IFERROR(INDEX(tblVeriA[Durum],MATCH($A80,tblAnahtarA[Norm],0)),"")="Kampanya"),1,0))</f>
        <v/>
      </c>
      <c r="S80" s="16">
        <f>IF($A80="","",$J80-$E80)</f>
        <v/>
      </c>
      <c r="T80" s="16">
        <f>IF($A80="","",$K80-$O80)</f>
        <v/>
      </c>
    </row>
    <row r="81">
      <c r="A81" s="16">
        <f>IF('ANAHTAR'!$B81="","",'ANAHTAR'!$B81)</f>
        <v/>
      </c>
      <c r="B81" s="16">
        <f>IF($A81="","",IFERROR(SUMIF(tblAnahtarA[Norm],$A81,tblVeriA[SatisFiyati]),0))</f>
        <v/>
      </c>
      <c r="C81" s="16">
        <f>IF($A81="","",IFERROR(SUMIF(tblAnahtarA[Norm],$A81,tblVeriA[Maliyet]),0))</f>
        <v/>
      </c>
      <c r="D81" s="16">
        <f>IF($A81="","",IFERROR(SUMIF(tblAnahtarB[NormB],$A81,tblVeriB[KomisyonOran]),0))</f>
        <v/>
      </c>
      <c r="E81" s="16">
        <f>IF($A81="","",ROUND($B81*$D81,2))</f>
        <v/>
      </c>
      <c r="F81" s="16">
        <f>IF($A81="","",IFERROR(SUMIF(tblAnahtarB[NormB],$A81,tblVeriB[Kargo]),0))</f>
        <v/>
      </c>
      <c r="G81" s="16">
        <f>IF($A81="","",IFERROR(SUMIF(tblAnahtarB[NormB],$A81,tblVeriB[IadeOran]),0))</f>
        <v/>
      </c>
      <c r="H81" s="16">
        <f>IF($A81="","",ROUND($B81*$G81,2))</f>
        <v/>
      </c>
      <c r="I81" s="16">
        <f>IF($A81="","",IFERROR(SUMIF(tblAnahtarB[NormB],$A81,tblVeriB[ReklamTutar]),0))</f>
        <v/>
      </c>
      <c r="J81" s="16">
        <f>IF($A81="","",ROUND($B81-$C81,2))</f>
        <v/>
      </c>
      <c r="K81" s="16">
        <f>IF($A81="","",ROUND($B81-$C81-$E81-$F81-$H81-$I81,2))</f>
        <v/>
      </c>
      <c r="L81" s="16">
        <f>IF(OR($A81="",$B81=0),0,$K81/$B81)</f>
        <v/>
      </c>
      <c r="M81" s="16">
        <f>IF($A81="","",IF((1-$D81-$G81)&lt;=0,0,ROUND(($C81+$F81+$I81)/(1-$D81-$G81),2)))</f>
        <v/>
      </c>
      <c r="N81" s="16">
        <f>IF($A81="","",IFERROR(SUMIF(tblAnahtarA[Norm],$A81,tblVeriA[HedefNet]),0))</f>
        <v/>
      </c>
      <c r="O81" s="16">
        <f>IF($A81="","",ROUND($K81-$N81,2))</f>
        <v/>
      </c>
      <c r="P81" s="16">
        <f>IF($A81="","",IF($L81&lt;egk_esikKatkiDusuk,"ZAM YAP",IF(AND($R81=1,$L81&lt;egk_esikKatkiHedef),"İNDİRİMİ KES","TUT")))</f>
        <v/>
      </c>
      <c r="Q81" s="16">
        <f>IF($A81="","",IFERROR(SUMIF(tblAnahtarB[NormB],$A81,tblVeriB[Roas]),0))</f>
        <v/>
      </c>
      <c r="R81" s="16">
        <f>IF($A81="","",IF(OR(IFERROR(INDEX(tblVeriA[YorumAB],MATCH($A81,tblAnahtarA[Norm],0)),"")="B",IFERROR(INDEX(tblVeriA[Durum],MATCH($A81,tblAnahtarA[Norm],0)),"")="Kampanya"),1,0))</f>
        <v/>
      </c>
      <c r="S81" s="16">
        <f>IF($A81="","",$J81-$E81)</f>
        <v/>
      </c>
      <c r="T81" s="16">
        <f>IF($A81="","",$K81-$O81)</f>
        <v/>
      </c>
    </row>
    <row r="82">
      <c r="A82" s="16">
        <f>IF('ANAHTAR'!$B82="","",'ANAHTAR'!$B82)</f>
        <v/>
      </c>
      <c r="B82" s="16">
        <f>IF($A82="","",IFERROR(SUMIF(tblAnahtarA[Norm],$A82,tblVeriA[SatisFiyati]),0))</f>
        <v/>
      </c>
      <c r="C82" s="16">
        <f>IF($A82="","",IFERROR(SUMIF(tblAnahtarA[Norm],$A82,tblVeriA[Maliyet]),0))</f>
        <v/>
      </c>
      <c r="D82" s="16">
        <f>IF($A82="","",IFERROR(SUMIF(tblAnahtarB[NormB],$A82,tblVeriB[KomisyonOran]),0))</f>
        <v/>
      </c>
      <c r="E82" s="16">
        <f>IF($A82="","",ROUND($B82*$D82,2))</f>
        <v/>
      </c>
      <c r="F82" s="16">
        <f>IF($A82="","",IFERROR(SUMIF(tblAnahtarB[NormB],$A82,tblVeriB[Kargo]),0))</f>
        <v/>
      </c>
      <c r="G82" s="16">
        <f>IF($A82="","",IFERROR(SUMIF(tblAnahtarB[NormB],$A82,tblVeriB[IadeOran]),0))</f>
        <v/>
      </c>
      <c r="H82" s="16">
        <f>IF($A82="","",ROUND($B82*$G82,2))</f>
        <v/>
      </c>
      <c r="I82" s="16">
        <f>IF($A82="","",IFERROR(SUMIF(tblAnahtarB[NormB],$A82,tblVeriB[ReklamTutar]),0))</f>
        <v/>
      </c>
      <c r="J82" s="16">
        <f>IF($A82="","",ROUND($B82-$C82,2))</f>
        <v/>
      </c>
      <c r="K82" s="16">
        <f>IF($A82="","",ROUND($B82-$C82-$E82-$F82-$H82-$I82,2))</f>
        <v/>
      </c>
      <c r="L82" s="16">
        <f>IF(OR($A82="",$B82=0),0,$K82/$B82)</f>
        <v/>
      </c>
      <c r="M82" s="16">
        <f>IF($A82="","",IF((1-$D82-$G82)&lt;=0,0,ROUND(($C82+$F82+$I82)/(1-$D82-$G82),2)))</f>
        <v/>
      </c>
      <c r="N82" s="16">
        <f>IF($A82="","",IFERROR(SUMIF(tblAnahtarA[Norm],$A82,tblVeriA[HedefNet]),0))</f>
        <v/>
      </c>
      <c r="O82" s="16">
        <f>IF($A82="","",ROUND($K82-$N82,2))</f>
        <v/>
      </c>
      <c r="P82" s="16">
        <f>IF($A82="","",IF($L82&lt;egk_esikKatkiDusuk,"ZAM YAP",IF(AND($R82=1,$L82&lt;egk_esikKatkiHedef),"İNDİRİMİ KES","TUT")))</f>
        <v/>
      </c>
      <c r="Q82" s="16">
        <f>IF($A82="","",IFERROR(SUMIF(tblAnahtarB[NormB],$A82,tblVeriB[Roas]),0))</f>
        <v/>
      </c>
      <c r="R82" s="16">
        <f>IF($A82="","",IF(OR(IFERROR(INDEX(tblVeriA[YorumAB],MATCH($A82,tblAnahtarA[Norm],0)),"")="B",IFERROR(INDEX(tblVeriA[Durum],MATCH($A82,tblAnahtarA[Norm],0)),"")="Kampanya"),1,0))</f>
        <v/>
      </c>
      <c r="S82" s="16">
        <f>IF($A82="","",$J82-$E82)</f>
        <v/>
      </c>
      <c r="T82" s="16">
        <f>IF($A82="","",$K82-$O82)</f>
        <v/>
      </c>
    </row>
    <row r="83">
      <c r="A83" s="16">
        <f>IF('ANAHTAR'!$B83="","",'ANAHTAR'!$B83)</f>
        <v/>
      </c>
      <c r="B83" s="16">
        <f>IF($A83="","",IFERROR(SUMIF(tblAnahtarA[Norm],$A83,tblVeriA[SatisFiyati]),0))</f>
        <v/>
      </c>
      <c r="C83" s="16">
        <f>IF($A83="","",IFERROR(SUMIF(tblAnahtarA[Norm],$A83,tblVeriA[Maliyet]),0))</f>
        <v/>
      </c>
      <c r="D83" s="16">
        <f>IF($A83="","",IFERROR(SUMIF(tblAnahtarB[NormB],$A83,tblVeriB[KomisyonOran]),0))</f>
        <v/>
      </c>
      <c r="E83" s="16">
        <f>IF($A83="","",ROUND($B83*$D83,2))</f>
        <v/>
      </c>
      <c r="F83" s="16">
        <f>IF($A83="","",IFERROR(SUMIF(tblAnahtarB[NormB],$A83,tblVeriB[Kargo]),0))</f>
        <v/>
      </c>
      <c r="G83" s="16">
        <f>IF($A83="","",IFERROR(SUMIF(tblAnahtarB[NormB],$A83,tblVeriB[IadeOran]),0))</f>
        <v/>
      </c>
      <c r="H83" s="16">
        <f>IF($A83="","",ROUND($B83*$G83,2))</f>
        <v/>
      </c>
      <c r="I83" s="16">
        <f>IF($A83="","",IFERROR(SUMIF(tblAnahtarB[NormB],$A83,tblVeriB[ReklamTutar]),0))</f>
        <v/>
      </c>
      <c r="J83" s="16">
        <f>IF($A83="","",ROUND($B83-$C83,2))</f>
        <v/>
      </c>
      <c r="K83" s="16">
        <f>IF($A83="","",ROUND($B83-$C83-$E83-$F83-$H83-$I83,2))</f>
        <v/>
      </c>
      <c r="L83" s="16">
        <f>IF(OR($A83="",$B83=0),0,$K83/$B83)</f>
        <v/>
      </c>
      <c r="M83" s="16">
        <f>IF($A83="","",IF((1-$D83-$G83)&lt;=0,0,ROUND(($C83+$F83+$I83)/(1-$D83-$G83),2)))</f>
        <v/>
      </c>
      <c r="N83" s="16">
        <f>IF($A83="","",IFERROR(SUMIF(tblAnahtarA[Norm],$A83,tblVeriA[HedefNet]),0))</f>
        <v/>
      </c>
      <c r="O83" s="16">
        <f>IF($A83="","",ROUND($K83-$N83,2))</f>
        <v/>
      </c>
      <c r="P83" s="16">
        <f>IF($A83="","",IF($L83&lt;egk_esikKatkiDusuk,"ZAM YAP",IF(AND($R83=1,$L83&lt;egk_esikKatkiHedef),"İNDİRİMİ KES","TUT")))</f>
        <v/>
      </c>
      <c r="Q83" s="16">
        <f>IF($A83="","",IFERROR(SUMIF(tblAnahtarB[NormB],$A83,tblVeriB[Roas]),0))</f>
        <v/>
      </c>
      <c r="R83" s="16">
        <f>IF($A83="","",IF(OR(IFERROR(INDEX(tblVeriA[YorumAB],MATCH($A83,tblAnahtarA[Norm],0)),"")="B",IFERROR(INDEX(tblVeriA[Durum],MATCH($A83,tblAnahtarA[Norm],0)),"")="Kampanya"),1,0))</f>
        <v/>
      </c>
      <c r="S83" s="16">
        <f>IF($A83="","",$J83-$E83)</f>
        <v/>
      </c>
      <c r="T83" s="16">
        <f>IF($A83="","",$K83-$O83)</f>
        <v/>
      </c>
    </row>
    <row r="84">
      <c r="A84" s="16">
        <f>IF('ANAHTAR'!$B84="","",'ANAHTAR'!$B84)</f>
        <v/>
      </c>
      <c r="B84" s="16">
        <f>IF($A84="","",IFERROR(SUMIF(tblAnahtarA[Norm],$A84,tblVeriA[SatisFiyati]),0))</f>
        <v/>
      </c>
      <c r="C84" s="16">
        <f>IF($A84="","",IFERROR(SUMIF(tblAnahtarA[Norm],$A84,tblVeriA[Maliyet]),0))</f>
        <v/>
      </c>
      <c r="D84" s="16">
        <f>IF($A84="","",IFERROR(SUMIF(tblAnahtarB[NormB],$A84,tblVeriB[KomisyonOran]),0))</f>
        <v/>
      </c>
      <c r="E84" s="16">
        <f>IF($A84="","",ROUND($B84*$D84,2))</f>
        <v/>
      </c>
      <c r="F84" s="16">
        <f>IF($A84="","",IFERROR(SUMIF(tblAnahtarB[NormB],$A84,tblVeriB[Kargo]),0))</f>
        <v/>
      </c>
      <c r="G84" s="16">
        <f>IF($A84="","",IFERROR(SUMIF(tblAnahtarB[NormB],$A84,tblVeriB[IadeOran]),0))</f>
        <v/>
      </c>
      <c r="H84" s="16">
        <f>IF($A84="","",ROUND($B84*$G84,2))</f>
        <v/>
      </c>
      <c r="I84" s="16">
        <f>IF($A84="","",IFERROR(SUMIF(tblAnahtarB[NormB],$A84,tblVeriB[ReklamTutar]),0))</f>
        <v/>
      </c>
      <c r="J84" s="16">
        <f>IF($A84="","",ROUND($B84-$C84,2))</f>
        <v/>
      </c>
      <c r="K84" s="16">
        <f>IF($A84="","",ROUND($B84-$C84-$E84-$F84-$H84-$I84,2))</f>
        <v/>
      </c>
      <c r="L84" s="16">
        <f>IF(OR($A84="",$B84=0),0,$K84/$B84)</f>
        <v/>
      </c>
      <c r="M84" s="16">
        <f>IF($A84="","",IF((1-$D84-$G84)&lt;=0,0,ROUND(($C84+$F84+$I84)/(1-$D84-$G84),2)))</f>
        <v/>
      </c>
      <c r="N84" s="16">
        <f>IF($A84="","",IFERROR(SUMIF(tblAnahtarA[Norm],$A84,tblVeriA[HedefNet]),0))</f>
        <v/>
      </c>
      <c r="O84" s="16">
        <f>IF($A84="","",ROUND($K84-$N84,2))</f>
        <v/>
      </c>
      <c r="P84" s="16">
        <f>IF($A84="","",IF($L84&lt;egk_esikKatkiDusuk,"ZAM YAP",IF(AND($R84=1,$L84&lt;egk_esikKatkiHedef),"İNDİRİMİ KES","TUT")))</f>
        <v/>
      </c>
      <c r="Q84" s="16">
        <f>IF($A84="","",IFERROR(SUMIF(tblAnahtarB[NormB],$A84,tblVeriB[Roas]),0))</f>
        <v/>
      </c>
      <c r="R84" s="16">
        <f>IF($A84="","",IF(OR(IFERROR(INDEX(tblVeriA[YorumAB],MATCH($A84,tblAnahtarA[Norm],0)),"")="B",IFERROR(INDEX(tblVeriA[Durum],MATCH($A84,tblAnahtarA[Norm],0)),"")="Kampanya"),1,0))</f>
        <v/>
      </c>
      <c r="S84" s="16">
        <f>IF($A84="","",$J84-$E84)</f>
        <v/>
      </c>
      <c r="T84" s="16">
        <f>IF($A84="","",$K84-$O84)</f>
        <v/>
      </c>
    </row>
    <row r="85">
      <c r="A85" s="16">
        <f>IF('ANAHTAR'!$B85="","",'ANAHTAR'!$B85)</f>
        <v/>
      </c>
      <c r="B85" s="16">
        <f>IF($A85="","",IFERROR(SUMIF(tblAnahtarA[Norm],$A85,tblVeriA[SatisFiyati]),0))</f>
        <v/>
      </c>
      <c r="C85" s="16">
        <f>IF($A85="","",IFERROR(SUMIF(tblAnahtarA[Norm],$A85,tblVeriA[Maliyet]),0))</f>
        <v/>
      </c>
      <c r="D85" s="16">
        <f>IF($A85="","",IFERROR(SUMIF(tblAnahtarB[NormB],$A85,tblVeriB[KomisyonOran]),0))</f>
        <v/>
      </c>
      <c r="E85" s="16">
        <f>IF($A85="","",ROUND($B85*$D85,2))</f>
        <v/>
      </c>
      <c r="F85" s="16">
        <f>IF($A85="","",IFERROR(SUMIF(tblAnahtarB[NormB],$A85,tblVeriB[Kargo]),0))</f>
        <v/>
      </c>
      <c r="G85" s="16">
        <f>IF($A85="","",IFERROR(SUMIF(tblAnahtarB[NormB],$A85,tblVeriB[IadeOran]),0))</f>
        <v/>
      </c>
      <c r="H85" s="16">
        <f>IF($A85="","",ROUND($B85*$G85,2))</f>
        <v/>
      </c>
      <c r="I85" s="16">
        <f>IF($A85="","",IFERROR(SUMIF(tblAnahtarB[NormB],$A85,tblVeriB[ReklamTutar]),0))</f>
        <v/>
      </c>
      <c r="J85" s="16">
        <f>IF($A85="","",ROUND($B85-$C85,2))</f>
        <v/>
      </c>
      <c r="K85" s="16">
        <f>IF($A85="","",ROUND($B85-$C85-$E85-$F85-$H85-$I85,2))</f>
        <v/>
      </c>
      <c r="L85" s="16">
        <f>IF(OR($A85="",$B85=0),0,$K85/$B85)</f>
        <v/>
      </c>
      <c r="M85" s="16">
        <f>IF($A85="","",IF((1-$D85-$G85)&lt;=0,0,ROUND(($C85+$F85+$I85)/(1-$D85-$G85),2)))</f>
        <v/>
      </c>
      <c r="N85" s="16">
        <f>IF($A85="","",IFERROR(SUMIF(tblAnahtarA[Norm],$A85,tblVeriA[HedefNet]),0))</f>
        <v/>
      </c>
      <c r="O85" s="16">
        <f>IF($A85="","",ROUND($K85-$N85,2))</f>
        <v/>
      </c>
      <c r="P85" s="16">
        <f>IF($A85="","",IF($L85&lt;egk_esikKatkiDusuk,"ZAM YAP",IF(AND($R85=1,$L85&lt;egk_esikKatkiHedef),"İNDİRİMİ KES","TUT")))</f>
        <v/>
      </c>
      <c r="Q85" s="16">
        <f>IF($A85="","",IFERROR(SUMIF(tblAnahtarB[NormB],$A85,tblVeriB[Roas]),0))</f>
        <v/>
      </c>
      <c r="R85" s="16">
        <f>IF($A85="","",IF(OR(IFERROR(INDEX(tblVeriA[YorumAB],MATCH($A85,tblAnahtarA[Norm],0)),"")="B",IFERROR(INDEX(tblVeriA[Durum],MATCH($A85,tblAnahtarA[Norm],0)),"")="Kampanya"),1,0))</f>
        <v/>
      </c>
      <c r="S85" s="16">
        <f>IF($A85="","",$J85-$E85)</f>
        <v/>
      </c>
      <c r="T85" s="16">
        <f>IF($A85="","",$K85-$O85)</f>
        <v/>
      </c>
    </row>
    <row r="86">
      <c r="A86" s="16">
        <f>IF('ANAHTAR'!$B86="","",'ANAHTAR'!$B86)</f>
        <v/>
      </c>
      <c r="B86" s="16">
        <f>IF($A86="","",IFERROR(SUMIF(tblAnahtarA[Norm],$A86,tblVeriA[SatisFiyati]),0))</f>
        <v/>
      </c>
      <c r="C86" s="16">
        <f>IF($A86="","",IFERROR(SUMIF(tblAnahtarA[Norm],$A86,tblVeriA[Maliyet]),0))</f>
        <v/>
      </c>
      <c r="D86" s="16">
        <f>IF($A86="","",IFERROR(SUMIF(tblAnahtarB[NormB],$A86,tblVeriB[KomisyonOran]),0))</f>
        <v/>
      </c>
      <c r="E86" s="16">
        <f>IF($A86="","",ROUND($B86*$D86,2))</f>
        <v/>
      </c>
      <c r="F86" s="16">
        <f>IF($A86="","",IFERROR(SUMIF(tblAnahtarB[NormB],$A86,tblVeriB[Kargo]),0))</f>
        <v/>
      </c>
      <c r="G86" s="16">
        <f>IF($A86="","",IFERROR(SUMIF(tblAnahtarB[NormB],$A86,tblVeriB[IadeOran]),0))</f>
        <v/>
      </c>
      <c r="H86" s="16">
        <f>IF($A86="","",ROUND($B86*$G86,2))</f>
        <v/>
      </c>
      <c r="I86" s="16">
        <f>IF($A86="","",IFERROR(SUMIF(tblAnahtarB[NormB],$A86,tblVeriB[ReklamTutar]),0))</f>
        <v/>
      </c>
      <c r="J86" s="16">
        <f>IF($A86="","",ROUND($B86-$C86,2))</f>
        <v/>
      </c>
      <c r="K86" s="16">
        <f>IF($A86="","",ROUND($B86-$C86-$E86-$F86-$H86-$I86,2))</f>
        <v/>
      </c>
      <c r="L86" s="16">
        <f>IF(OR($A86="",$B86=0),0,$K86/$B86)</f>
        <v/>
      </c>
      <c r="M86" s="16">
        <f>IF($A86="","",IF((1-$D86-$G86)&lt;=0,0,ROUND(($C86+$F86+$I86)/(1-$D86-$G86),2)))</f>
        <v/>
      </c>
      <c r="N86" s="16">
        <f>IF($A86="","",IFERROR(SUMIF(tblAnahtarA[Norm],$A86,tblVeriA[HedefNet]),0))</f>
        <v/>
      </c>
      <c r="O86" s="16">
        <f>IF($A86="","",ROUND($K86-$N86,2))</f>
        <v/>
      </c>
      <c r="P86" s="16">
        <f>IF($A86="","",IF($L86&lt;egk_esikKatkiDusuk,"ZAM YAP",IF(AND($R86=1,$L86&lt;egk_esikKatkiHedef),"İNDİRİMİ KES","TUT")))</f>
        <v/>
      </c>
      <c r="Q86" s="16">
        <f>IF($A86="","",IFERROR(SUMIF(tblAnahtarB[NormB],$A86,tblVeriB[Roas]),0))</f>
        <v/>
      </c>
      <c r="R86" s="16">
        <f>IF($A86="","",IF(OR(IFERROR(INDEX(tblVeriA[YorumAB],MATCH($A86,tblAnahtarA[Norm],0)),"")="B",IFERROR(INDEX(tblVeriA[Durum],MATCH($A86,tblAnahtarA[Norm],0)),"")="Kampanya"),1,0))</f>
        <v/>
      </c>
      <c r="S86" s="16">
        <f>IF($A86="","",$J86-$E86)</f>
        <v/>
      </c>
      <c r="T86" s="16">
        <f>IF($A86="","",$K86-$O86)</f>
        <v/>
      </c>
    </row>
    <row r="87">
      <c r="A87" s="16">
        <f>IF('ANAHTAR'!$B87="","",'ANAHTAR'!$B87)</f>
        <v/>
      </c>
      <c r="B87" s="16">
        <f>IF($A87="","",IFERROR(SUMIF(tblAnahtarA[Norm],$A87,tblVeriA[SatisFiyati]),0))</f>
        <v/>
      </c>
      <c r="C87" s="16">
        <f>IF($A87="","",IFERROR(SUMIF(tblAnahtarA[Norm],$A87,tblVeriA[Maliyet]),0))</f>
        <v/>
      </c>
      <c r="D87" s="16">
        <f>IF($A87="","",IFERROR(SUMIF(tblAnahtarB[NormB],$A87,tblVeriB[KomisyonOran]),0))</f>
        <v/>
      </c>
      <c r="E87" s="16">
        <f>IF($A87="","",ROUND($B87*$D87,2))</f>
        <v/>
      </c>
      <c r="F87" s="16">
        <f>IF($A87="","",IFERROR(SUMIF(tblAnahtarB[NormB],$A87,tblVeriB[Kargo]),0))</f>
        <v/>
      </c>
      <c r="G87" s="16">
        <f>IF($A87="","",IFERROR(SUMIF(tblAnahtarB[NormB],$A87,tblVeriB[IadeOran]),0))</f>
        <v/>
      </c>
      <c r="H87" s="16">
        <f>IF($A87="","",ROUND($B87*$G87,2))</f>
        <v/>
      </c>
      <c r="I87" s="16">
        <f>IF($A87="","",IFERROR(SUMIF(tblAnahtarB[NormB],$A87,tblVeriB[ReklamTutar]),0))</f>
        <v/>
      </c>
      <c r="J87" s="16">
        <f>IF($A87="","",ROUND($B87-$C87,2))</f>
        <v/>
      </c>
      <c r="K87" s="16">
        <f>IF($A87="","",ROUND($B87-$C87-$E87-$F87-$H87-$I87,2))</f>
        <v/>
      </c>
      <c r="L87" s="16">
        <f>IF(OR($A87="",$B87=0),0,$K87/$B87)</f>
        <v/>
      </c>
      <c r="M87" s="16">
        <f>IF($A87="","",IF((1-$D87-$G87)&lt;=0,0,ROUND(($C87+$F87+$I87)/(1-$D87-$G87),2)))</f>
        <v/>
      </c>
      <c r="N87" s="16">
        <f>IF($A87="","",IFERROR(SUMIF(tblAnahtarA[Norm],$A87,tblVeriA[HedefNet]),0))</f>
        <v/>
      </c>
      <c r="O87" s="16">
        <f>IF($A87="","",ROUND($K87-$N87,2))</f>
        <v/>
      </c>
      <c r="P87" s="16">
        <f>IF($A87="","",IF($L87&lt;egk_esikKatkiDusuk,"ZAM YAP",IF(AND($R87=1,$L87&lt;egk_esikKatkiHedef),"İNDİRİMİ KES","TUT")))</f>
        <v/>
      </c>
      <c r="Q87" s="16">
        <f>IF($A87="","",IFERROR(SUMIF(tblAnahtarB[NormB],$A87,tblVeriB[Roas]),0))</f>
        <v/>
      </c>
      <c r="R87" s="16">
        <f>IF($A87="","",IF(OR(IFERROR(INDEX(tblVeriA[YorumAB],MATCH($A87,tblAnahtarA[Norm],0)),"")="B",IFERROR(INDEX(tblVeriA[Durum],MATCH($A87,tblAnahtarA[Norm],0)),"")="Kampanya"),1,0))</f>
        <v/>
      </c>
      <c r="S87" s="16">
        <f>IF($A87="","",$J87-$E87)</f>
        <v/>
      </c>
      <c r="T87" s="16">
        <f>IF($A87="","",$K87-$O87)</f>
        <v/>
      </c>
    </row>
    <row r="88">
      <c r="A88" s="16">
        <f>IF('ANAHTAR'!$B88="","",'ANAHTAR'!$B88)</f>
        <v/>
      </c>
      <c r="B88" s="16">
        <f>IF($A88="","",IFERROR(SUMIF(tblAnahtarA[Norm],$A88,tblVeriA[SatisFiyati]),0))</f>
        <v/>
      </c>
      <c r="C88" s="16">
        <f>IF($A88="","",IFERROR(SUMIF(tblAnahtarA[Norm],$A88,tblVeriA[Maliyet]),0))</f>
        <v/>
      </c>
      <c r="D88" s="16">
        <f>IF($A88="","",IFERROR(SUMIF(tblAnahtarB[NormB],$A88,tblVeriB[KomisyonOran]),0))</f>
        <v/>
      </c>
      <c r="E88" s="16">
        <f>IF($A88="","",ROUND($B88*$D88,2))</f>
        <v/>
      </c>
      <c r="F88" s="16">
        <f>IF($A88="","",IFERROR(SUMIF(tblAnahtarB[NormB],$A88,tblVeriB[Kargo]),0))</f>
        <v/>
      </c>
      <c r="G88" s="16">
        <f>IF($A88="","",IFERROR(SUMIF(tblAnahtarB[NormB],$A88,tblVeriB[IadeOran]),0))</f>
        <v/>
      </c>
      <c r="H88" s="16">
        <f>IF($A88="","",ROUND($B88*$G88,2))</f>
        <v/>
      </c>
      <c r="I88" s="16">
        <f>IF($A88="","",IFERROR(SUMIF(tblAnahtarB[NormB],$A88,tblVeriB[ReklamTutar]),0))</f>
        <v/>
      </c>
      <c r="J88" s="16">
        <f>IF($A88="","",ROUND($B88-$C88,2))</f>
        <v/>
      </c>
      <c r="K88" s="16">
        <f>IF($A88="","",ROUND($B88-$C88-$E88-$F88-$H88-$I88,2))</f>
        <v/>
      </c>
      <c r="L88" s="16">
        <f>IF(OR($A88="",$B88=0),0,$K88/$B88)</f>
        <v/>
      </c>
      <c r="M88" s="16">
        <f>IF($A88="","",IF((1-$D88-$G88)&lt;=0,0,ROUND(($C88+$F88+$I88)/(1-$D88-$G88),2)))</f>
        <v/>
      </c>
      <c r="N88" s="16">
        <f>IF($A88="","",IFERROR(SUMIF(tblAnahtarA[Norm],$A88,tblVeriA[HedefNet]),0))</f>
        <v/>
      </c>
      <c r="O88" s="16">
        <f>IF($A88="","",ROUND($K88-$N88,2))</f>
        <v/>
      </c>
      <c r="P88" s="16">
        <f>IF($A88="","",IF($L88&lt;egk_esikKatkiDusuk,"ZAM YAP",IF(AND($R88=1,$L88&lt;egk_esikKatkiHedef),"İNDİRİMİ KES","TUT")))</f>
        <v/>
      </c>
      <c r="Q88" s="16">
        <f>IF($A88="","",IFERROR(SUMIF(tblAnahtarB[NormB],$A88,tblVeriB[Roas]),0))</f>
        <v/>
      </c>
      <c r="R88" s="16">
        <f>IF($A88="","",IF(OR(IFERROR(INDEX(tblVeriA[YorumAB],MATCH($A88,tblAnahtarA[Norm],0)),"")="B",IFERROR(INDEX(tblVeriA[Durum],MATCH($A88,tblAnahtarA[Norm],0)),"")="Kampanya"),1,0))</f>
        <v/>
      </c>
      <c r="S88" s="16">
        <f>IF($A88="","",$J88-$E88)</f>
        <v/>
      </c>
      <c r="T88" s="16">
        <f>IF($A88="","",$K88-$O88)</f>
        <v/>
      </c>
    </row>
    <row r="89">
      <c r="A89" s="16">
        <f>IF('ANAHTAR'!$B89="","",'ANAHTAR'!$B89)</f>
        <v/>
      </c>
      <c r="B89" s="16">
        <f>IF($A89="","",IFERROR(SUMIF(tblAnahtarA[Norm],$A89,tblVeriA[SatisFiyati]),0))</f>
        <v/>
      </c>
      <c r="C89" s="16">
        <f>IF($A89="","",IFERROR(SUMIF(tblAnahtarA[Norm],$A89,tblVeriA[Maliyet]),0))</f>
        <v/>
      </c>
      <c r="D89" s="16">
        <f>IF($A89="","",IFERROR(SUMIF(tblAnahtarB[NormB],$A89,tblVeriB[KomisyonOran]),0))</f>
        <v/>
      </c>
      <c r="E89" s="16">
        <f>IF($A89="","",ROUND($B89*$D89,2))</f>
        <v/>
      </c>
      <c r="F89" s="16">
        <f>IF($A89="","",IFERROR(SUMIF(tblAnahtarB[NormB],$A89,tblVeriB[Kargo]),0))</f>
        <v/>
      </c>
      <c r="G89" s="16">
        <f>IF($A89="","",IFERROR(SUMIF(tblAnahtarB[NormB],$A89,tblVeriB[IadeOran]),0))</f>
        <v/>
      </c>
      <c r="H89" s="16">
        <f>IF($A89="","",ROUND($B89*$G89,2))</f>
        <v/>
      </c>
      <c r="I89" s="16">
        <f>IF($A89="","",IFERROR(SUMIF(tblAnahtarB[NormB],$A89,tblVeriB[ReklamTutar]),0))</f>
        <v/>
      </c>
      <c r="J89" s="16">
        <f>IF($A89="","",ROUND($B89-$C89,2))</f>
        <v/>
      </c>
      <c r="K89" s="16">
        <f>IF($A89="","",ROUND($B89-$C89-$E89-$F89-$H89-$I89,2))</f>
        <v/>
      </c>
      <c r="L89" s="16">
        <f>IF(OR($A89="",$B89=0),0,$K89/$B89)</f>
        <v/>
      </c>
      <c r="M89" s="16">
        <f>IF($A89="","",IF((1-$D89-$G89)&lt;=0,0,ROUND(($C89+$F89+$I89)/(1-$D89-$G89),2)))</f>
        <v/>
      </c>
      <c r="N89" s="16">
        <f>IF($A89="","",IFERROR(SUMIF(tblAnahtarA[Norm],$A89,tblVeriA[HedefNet]),0))</f>
        <v/>
      </c>
      <c r="O89" s="16">
        <f>IF($A89="","",ROUND($K89-$N89,2))</f>
        <v/>
      </c>
      <c r="P89" s="16">
        <f>IF($A89="","",IF($L89&lt;egk_esikKatkiDusuk,"ZAM YAP",IF(AND($R89=1,$L89&lt;egk_esikKatkiHedef),"İNDİRİMİ KES","TUT")))</f>
        <v/>
      </c>
      <c r="Q89" s="16">
        <f>IF($A89="","",IFERROR(SUMIF(tblAnahtarB[NormB],$A89,tblVeriB[Roas]),0))</f>
        <v/>
      </c>
      <c r="R89" s="16">
        <f>IF($A89="","",IF(OR(IFERROR(INDEX(tblVeriA[YorumAB],MATCH($A89,tblAnahtarA[Norm],0)),"")="B",IFERROR(INDEX(tblVeriA[Durum],MATCH($A89,tblAnahtarA[Norm],0)),"")="Kampanya"),1,0))</f>
        <v/>
      </c>
      <c r="S89" s="16">
        <f>IF($A89="","",$J89-$E89)</f>
        <v/>
      </c>
      <c r="T89" s="16">
        <f>IF($A89="","",$K89-$O89)</f>
        <v/>
      </c>
    </row>
    <row r="90">
      <c r="A90" s="16">
        <f>IF('ANAHTAR'!$B90="","",'ANAHTAR'!$B90)</f>
        <v/>
      </c>
      <c r="B90" s="16">
        <f>IF($A90="","",IFERROR(SUMIF(tblAnahtarA[Norm],$A90,tblVeriA[SatisFiyati]),0))</f>
        <v/>
      </c>
      <c r="C90" s="16">
        <f>IF($A90="","",IFERROR(SUMIF(tblAnahtarA[Norm],$A90,tblVeriA[Maliyet]),0))</f>
        <v/>
      </c>
      <c r="D90" s="16">
        <f>IF($A90="","",IFERROR(SUMIF(tblAnahtarB[NormB],$A90,tblVeriB[KomisyonOran]),0))</f>
        <v/>
      </c>
      <c r="E90" s="16">
        <f>IF($A90="","",ROUND($B90*$D90,2))</f>
        <v/>
      </c>
      <c r="F90" s="16">
        <f>IF($A90="","",IFERROR(SUMIF(tblAnahtarB[NormB],$A90,tblVeriB[Kargo]),0))</f>
        <v/>
      </c>
      <c r="G90" s="16">
        <f>IF($A90="","",IFERROR(SUMIF(tblAnahtarB[NormB],$A90,tblVeriB[IadeOran]),0))</f>
        <v/>
      </c>
      <c r="H90" s="16">
        <f>IF($A90="","",ROUND($B90*$G90,2))</f>
        <v/>
      </c>
      <c r="I90" s="16">
        <f>IF($A90="","",IFERROR(SUMIF(tblAnahtarB[NormB],$A90,tblVeriB[ReklamTutar]),0))</f>
        <v/>
      </c>
      <c r="J90" s="16">
        <f>IF($A90="","",ROUND($B90-$C90,2))</f>
        <v/>
      </c>
      <c r="K90" s="16">
        <f>IF($A90="","",ROUND($B90-$C90-$E90-$F90-$H90-$I90,2))</f>
        <v/>
      </c>
      <c r="L90" s="16">
        <f>IF(OR($A90="",$B90=0),0,$K90/$B90)</f>
        <v/>
      </c>
      <c r="M90" s="16">
        <f>IF($A90="","",IF((1-$D90-$G90)&lt;=0,0,ROUND(($C90+$F90+$I90)/(1-$D90-$G90),2)))</f>
        <v/>
      </c>
      <c r="N90" s="16">
        <f>IF($A90="","",IFERROR(SUMIF(tblAnahtarA[Norm],$A90,tblVeriA[HedefNet]),0))</f>
        <v/>
      </c>
      <c r="O90" s="16">
        <f>IF($A90="","",ROUND($K90-$N90,2))</f>
        <v/>
      </c>
      <c r="P90" s="16">
        <f>IF($A90="","",IF($L90&lt;egk_esikKatkiDusuk,"ZAM YAP",IF(AND($R90=1,$L90&lt;egk_esikKatkiHedef),"İNDİRİMİ KES","TUT")))</f>
        <v/>
      </c>
      <c r="Q90" s="16">
        <f>IF($A90="","",IFERROR(SUMIF(tblAnahtarB[NormB],$A90,tblVeriB[Roas]),0))</f>
        <v/>
      </c>
      <c r="R90" s="16">
        <f>IF($A90="","",IF(OR(IFERROR(INDEX(tblVeriA[YorumAB],MATCH($A90,tblAnahtarA[Norm],0)),"")="B",IFERROR(INDEX(tblVeriA[Durum],MATCH($A90,tblAnahtarA[Norm],0)),"")="Kampanya"),1,0))</f>
        <v/>
      </c>
      <c r="S90" s="16">
        <f>IF($A90="","",$J90-$E90)</f>
        <v/>
      </c>
      <c r="T90" s="16">
        <f>IF($A90="","",$K90-$O90)</f>
        <v/>
      </c>
    </row>
    <row r="91">
      <c r="A91" s="16">
        <f>IF('ANAHTAR'!$B91="","",'ANAHTAR'!$B91)</f>
        <v/>
      </c>
      <c r="B91" s="16">
        <f>IF($A91="","",IFERROR(SUMIF(tblAnahtarA[Norm],$A91,tblVeriA[SatisFiyati]),0))</f>
        <v/>
      </c>
      <c r="C91" s="16">
        <f>IF($A91="","",IFERROR(SUMIF(tblAnahtarA[Norm],$A91,tblVeriA[Maliyet]),0))</f>
        <v/>
      </c>
      <c r="D91" s="16">
        <f>IF($A91="","",IFERROR(SUMIF(tblAnahtarB[NormB],$A91,tblVeriB[KomisyonOran]),0))</f>
        <v/>
      </c>
      <c r="E91" s="16">
        <f>IF($A91="","",ROUND($B91*$D91,2))</f>
        <v/>
      </c>
      <c r="F91" s="16">
        <f>IF($A91="","",IFERROR(SUMIF(tblAnahtarB[NormB],$A91,tblVeriB[Kargo]),0))</f>
        <v/>
      </c>
      <c r="G91" s="16">
        <f>IF($A91="","",IFERROR(SUMIF(tblAnahtarB[NormB],$A91,tblVeriB[IadeOran]),0))</f>
        <v/>
      </c>
      <c r="H91" s="16">
        <f>IF($A91="","",ROUND($B91*$G91,2))</f>
        <v/>
      </c>
      <c r="I91" s="16">
        <f>IF($A91="","",IFERROR(SUMIF(tblAnahtarB[NormB],$A91,tblVeriB[ReklamTutar]),0))</f>
        <v/>
      </c>
      <c r="J91" s="16">
        <f>IF($A91="","",ROUND($B91-$C91,2))</f>
        <v/>
      </c>
      <c r="K91" s="16">
        <f>IF($A91="","",ROUND($B91-$C91-$E91-$F91-$H91-$I91,2))</f>
        <v/>
      </c>
      <c r="L91" s="16">
        <f>IF(OR($A91="",$B91=0),0,$K91/$B91)</f>
        <v/>
      </c>
      <c r="M91" s="16">
        <f>IF($A91="","",IF((1-$D91-$G91)&lt;=0,0,ROUND(($C91+$F91+$I91)/(1-$D91-$G91),2)))</f>
        <v/>
      </c>
      <c r="N91" s="16">
        <f>IF($A91="","",IFERROR(SUMIF(tblAnahtarA[Norm],$A91,tblVeriA[HedefNet]),0))</f>
        <v/>
      </c>
      <c r="O91" s="16">
        <f>IF($A91="","",ROUND($K91-$N91,2))</f>
        <v/>
      </c>
      <c r="P91" s="16">
        <f>IF($A91="","",IF($L91&lt;egk_esikKatkiDusuk,"ZAM YAP",IF(AND($R91=1,$L91&lt;egk_esikKatkiHedef),"İNDİRİMİ KES","TUT")))</f>
        <v/>
      </c>
      <c r="Q91" s="16">
        <f>IF($A91="","",IFERROR(SUMIF(tblAnahtarB[NormB],$A91,tblVeriB[Roas]),0))</f>
        <v/>
      </c>
      <c r="R91" s="16">
        <f>IF($A91="","",IF(OR(IFERROR(INDEX(tblVeriA[YorumAB],MATCH($A91,tblAnahtarA[Norm],0)),"")="B",IFERROR(INDEX(tblVeriA[Durum],MATCH($A91,tblAnahtarA[Norm],0)),"")="Kampanya"),1,0))</f>
        <v/>
      </c>
      <c r="S91" s="16">
        <f>IF($A91="","",$J91-$E91)</f>
        <v/>
      </c>
      <c r="T91" s="16">
        <f>IF($A91="","",$K91-$O91)</f>
        <v/>
      </c>
    </row>
    <row r="92">
      <c r="A92" s="16">
        <f>IF('ANAHTAR'!$B92="","",'ANAHTAR'!$B92)</f>
        <v/>
      </c>
      <c r="B92" s="16">
        <f>IF($A92="","",IFERROR(SUMIF(tblAnahtarA[Norm],$A92,tblVeriA[SatisFiyati]),0))</f>
        <v/>
      </c>
      <c r="C92" s="16">
        <f>IF($A92="","",IFERROR(SUMIF(tblAnahtarA[Norm],$A92,tblVeriA[Maliyet]),0))</f>
        <v/>
      </c>
      <c r="D92" s="16">
        <f>IF($A92="","",IFERROR(SUMIF(tblAnahtarB[NormB],$A92,tblVeriB[KomisyonOran]),0))</f>
        <v/>
      </c>
      <c r="E92" s="16">
        <f>IF($A92="","",ROUND($B92*$D92,2))</f>
        <v/>
      </c>
      <c r="F92" s="16">
        <f>IF($A92="","",IFERROR(SUMIF(tblAnahtarB[NormB],$A92,tblVeriB[Kargo]),0))</f>
        <v/>
      </c>
      <c r="G92" s="16">
        <f>IF($A92="","",IFERROR(SUMIF(tblAnahtarB[NormB],$A92,tblVeriB[IadeOran]),0))</f>
        <v/>
      </c>
      <c r="H92" s="16">
        <f>IF($A92="","",ROUND($B92*$G92,2))</f>
        <v/>
      </c>
      <c r="I92" s="16">
        <f>IF($A92="","",IFERROR(SUMIF(tblAnahtarB[NormB],$A92,tblVeriB[ReklamTutar]),0))</f>
        <v/>
      </c>
      <c r="J92" s="16">
        <f>IF($A92="","",ROUND($B92-$C92,2))</f>
        <v/>
      </c>
      <c r="K92" s="16">
        <f>IF($A92="","",ROUND($B92-$C92-$E92-$F92-$H92-$I92,2))</f>
        <v/>
      </c>
      <c r="L92" s="16">
        <f>IF(OR($A92="",$B92=0),0,$K92/$B92)</f>
        <v/>
      </c>
      <c r="M92" s="16">
        <f>IF($A92="","",IF((1-$D92-$G92)&lt;=0,0,ROUND(($C92+$F92+$I92)/(1-$D92-$G92),2)))</f>
        <v/>
      </c>
      <c r="N92" s="16">
        <f>IF($A92="","",IFERROR(SUMIF(tblAnahtarA[Norm],$A92,tblVeriA[HedefNet]),0))</f>
        <v/>
      </c>
      <c r="O92" s="16">
        <f>IF($A92="","",ROUND($K92-$N92,2))</f>
        <v/>
      </c>
      <c r="P92" s="16">
        <f>IF($A92="","",IF($L92&lt;egk_esikKatkiDusuk,"ZAM YAP",IF(AND($R92=1,$L92&lt;egk_esikKatkiHedef),"İNDİRİMİ KES","TUT")))</f>
        <v/>
      </c>
      <c r="Q92" s="16">
        <f>IF($A92="","",IFERROR(SUMIF(tblAnahtarB[NormB],$A92,tblVeriB[Roas]),0))</f>
        <v/>
      </c>
      <c r="R92" s="16">
        <f>IF($A92="","",IF(OR(IFERROR(INDEX(tblVeriA[YorumAB],MATCH($A92,tblAnahtarA[Norm],0)),"")="B",IFERROR(INDEX(tblVeriA[Durum],MATCH($A92,tblAnahtarA[Norm],0)),"")="Kampanya"),1,0))</f>
        <v/>
      </c>
      <c r="S92" s="16">
        <f>IF($A92="","",$J92-$E92)</f>
        <v/>
      </c>
      <c r="T92" s="16">
        <f>IF($A92="","",$K92-$O92)</f>
        <v/>
      </c>
    </row>
    <row r="93">
      <c r="A93" s="16">
        <f>IF('ANAHTAR'!$B93="","",'ANAHTAR'!$B93)</f>
        <v/>
      </c>
      <c r="B93" s="16">
        <f>IF($A93="","",IFERROR(SUMIF(tblAnahtarA[Norm],$A93,tblVeriA[SatisFiyati]),0))</f>
        <v/>
      </c>
      <c r="C93" s="16">
        <f>IF($A93="","",IFERROR(SUMIF(tblAnahtarA[Norm],$A93,tblVeriA[Maliyet]),0))</f>
        <v/>
      </c>
      <c r="D93" s="16">
        <f>IF($A93="","",IFERROR(SUMIF(tblAnahtarB[NormB],$A93,tblVeriB[KomisyonOran]),0))</f>
        <v/>
      </c>
      <c r="E93" s="16">
        <f>IF($A93="","",ROUND($B93*$D93,2))</f>
        <v/>
      </c>
      <c r="F93" s="16">
        <f>IF($A93="","",IFERROR(SUMIF(tblAnahtarB[NormB],$A93,tblVeriB[Kargo]),0))</f>
        <v/>
      </c>
      <c r="G93" s="16">
        <f>IF($A93="","",IFERROR(SUMIF(tblAnahtarB[NormB],$A93,tblVeriB[IadeOran]),0))</f>
        <v/>
      </c>
      <c r="H93" s="16">
        <f>IF($A93="","",ROUND($B93*$G93,2))</f>
        <v/>
      </c>
      <c r="I93" s="16">
        <f>IF($A93="","",IFERROR(SUMIF(tblAnahtarB[NormB],$A93,tblVeriB[ReklamTutar]),0))</f>
        <v/>
      </c>
      <c r="J93" s="16">
        <f>IF($A93="","",ROUND($B93-$C93,2))</f>
        <v/>
      </c>
      <c r="K93" s="16">
        <f>IF($A93="","",ROUND($B93-$C93-$E93-$F93-$H93-$I93,2))</f>
        <v/>
      </c>
      <c r="L93" s="16">
        <f>IF(OR($A93="",$B93=0),0,$K93/$B93)</f>
        <v/>
      </c>
      <c r="M93" s="16">
        <f>IF($A93="","",IF((1-$D93-$G93)&lt;=0,0,ROUND(($C93+$F93+$I93)/(1-$D93-$G93),2)))</f>
        <v/>
      </c>
      <c r="N93" s="16">
        <f>IF($A93="","",IFERROR(SUMIF(tblAnahtarA[Norm],$A93,tblVeriA[HedefNet]),0))</f>
        <v/>
      </c>
      <c r="O93" s="16">
        <f>IF($A93="","",ROUND($K93-$N93,2))</f>
        <v/>
      </c>
      <c r="P93" s="16">
        <f>IF($A93="","",IF($L93&lt;egk_esikKatkiDusuk,"ZAM YAP",IF(AND($R93=1,$L93&lt;egk_esikKatkiHedef),"İNDİRİMİ KES","TUT")))</f>
        <v/>
      </c>
      <c r="Q93" s="16">
        <f>IF($A93="","",IFERROR(SUMIF(tblAnahtarB[NormB],$A93,tblVeriB[Roas]),0))</f>
        <v/>
      </c>
      <c r="R93" s="16">
        <f>IF($A93="","",IF(OR(IFERROR(INDEX(tblVeriA[YorumAB],MATCH($A93,tblAnahtarA[Norm],0)),"")="B",IFERROR(INDEX(tblVeriA[Durum],MATCH($A93,tblAnahtarA[Norm],0)),"")="Kampanya"),1,0))</f>
        <v/>
      </c>
      <c r="S93" s="16">
        <f>IF($A93="","",$J93-$E93)</f>
        <v/>
      </c>
      <c r="T93" s="16">
        <f>IF($A93="","",$K93-$O93)</f>
        <v/>
      </c>
    </row>
    <row r="94">
      <c r="A94" s="16">
        <f>IF('ANAHTAR'!$B94="","",'ANAHTAR'!$B94)</f>
        <v/>
      </c>
      <c r="B94" s="16">
        <f>IF($A94="","",IFERROR(SUMIF(tblAnahtarA[Norm],$A94,tblVeriA[SatisFiyati]),0))</f>
        <v/>
      </c>
      <c r="C94" s="16">
        <f>IF($A94="","",IFERROR(SUMIF(tblAnahtarA[Norm],$A94,tblVeriA[Maliyet]),0))</f>
        <v/>
      </c>
      <c r="D94" s="16">
        <f>IF($A94="","",IFERROR(SUMIF(tblAnahtarB[NormB],$A94,tblVeriB[KomisyonOran]),0))</f>
        <v/>
      </c>
      <c r="E94" s="16">
        <f>IF($A94="","",ROUND($B94*$D94,2))</f>
        <v/>
      </c>
      <c r="F94" s="16">
        <f>IF($A94="","",IFERROR(SUMIF(tblAnahtarB[NormB],$A94,tblVeriB[Kargo]),0))</f>
        <v/>
      </c>
      <c r="G94" s="16">
        <f>IF($A94="","",IFERROR(SUMIF(tblAnahtarB[NormB],$A94,tblVeriB[IadeOran]),0))</f>
        <v/>
      </c>
      <c r="H94" s="16">
        <f>IF($A94="","",ROUND($B94*$G94,2))</f>
        <v/>
      </c>
      <c r="I94" s="16">
        <f>IF($A94="","",IFERROR(SUMIF(tblAnahtarB[NormB],$A94,tblVeriB[ReklamTutar]),0))</f>
        <v/>
      </c>
      <c r="J94" s="16">
        <f>IF($A94="","",ROUND($B94-$C94,2))</f>
        <v/>
      </c>
      <c r="K94" s="16">
        <f>IF($A94="","",ROUND($B94-$C94-$E94-$F94-$H94-$I94,2))</f>
        <v/>
      </c>
      <c r="L94" s="16">
        <f>IF(OR($A94="",$B94=0),0,$K94/$B94)</f>
        <v/>
      </c>
      <c r="M94" s="16">
        <f>IF($A94="","",IF((1-$D94-$G94)&lt;=0,0,ROUND(($C94+$F94+$I94)/(1-$D94-$G94),2)))</f>
        <v/>
      </c>
      <c r="N94" s="16">
        <f>IF($A94="","",IFERROR(SUMIF(tblAnahtarA[Norm],$A94,tblVeriA[HedefNet]),0))</f>
        <v/>
      </c>
      <c r="O94" s="16">
        <f>IF($A94="","",ROUND($K94-$N94,2))</f>
        <v/>
      </c>
      <c r="P94" s="16">
        <f>IF($A94="","",IF($L94&lt;egk_esikKatkiDusuk,"ZAM YAP",IF(AND($R94=1,$L94&lt;egk_esikKatkiHedef),"İNDİRİMİ KES","TUT")))</f>
        <v/>
      </c>
      <c r="Q94" s="16">
        <f>IF($A94="","",IFERROR(SUMIF(tblAnahtarB[NormB],$A94,tblVeriB[Roas]),0))</f>
        <v/>
      </c>
      <c r="R94" s="16">
        <f>IF($A94="","",IF(OR(IFERROR(INDEX(tblVeriA[YorumAB],MATCH($A94,tblAnahtarA[Norm],0)),"")="B",IFERROR(INDEX(tblVeriA[Durum],MATCH($A94,tblAnahtarA[Norm],0)),"")="Kampanya"),1,0))</f>
        <v/>
      </c>
      <c r="S94" s="16">
        <f>IF($A94="","",$J94-$E94)</f>
        <v/>
      </c>
      <c r="T94" s="16">
        <f>IF($A94="","",$K94-$O94)</f>
        <v/>
      </c>
    </row>
    <row r="95">
      <c r="A95" s="16">
        <f>IF('ANAHTAR'!$B95="","",'ANAHTAR'!$B95)</f>
        <v/>
      </c>
      <c r="B95" s="16">
        <f>IF($A95="","",IFERROR(SUMIF(tblAnahtarA[Norm],$A95,tblVeriA[SatisFiyati]),0))</f>
        <v/>
      </c>
      <c r="C95" s="16">
        <f>IF($A95="","",IFERROR(SUMIF(tblAnahtarA[Norm],$A95,tblVeriA[Maliyet]),0))</f>
        <v/>
      </c>
      <c r="D95" s="16">
        <f>IF($A95="","",IFERROR(SUMIF(tblAnahtarB[NormB],$A95,tblVeriB[KomisyonOran]),0))</f>
        <v/>
      </c>
      <c r="E95" s="16">
        <f>IF($A95="","",ROUND($B95*$D95,2))</f>
        <v/>
      </c>
      <c r="F95" s="16">
        <f>IF($A95="","",IFERROR(SUMIF(tblAnahtarB[NormB],$A95,tblVeriB[Kargo]),0))</f>
        <v/>
      </c>
      <c r="G95" s="16">
        <f>IF($A95="","",IFERROR(SUMIF(tblAnahtarB[NormB],$A95,tblVeriB[IadeOran]),0))</f>
        <v/>
      </c>
      <c r="H95" s="16">
        <f>IF($A95="","",ROUND($B95*$G95,2))</f>
        <v/>
      </c>
      <c r="I95" s="16">
        <f>IF($A95="","",IFERROR(SUMIF(tblAnahtarB[NormB],$A95,tblVeriB[ReklamTutar]),0))</f>
        <v/>
      </c>
      <c r="J95" s="16">
        <f>IF($A95="","",ROUND($B95-$C95,2))</f>
        <v/>
      </c>
      <c r="K95" s="16">
        <f>IF($A95="","",ROUND($B95-$C95-$E95-$F95-$H95-$I95,2))</f>
        <v/>
      </c>
      <c r="L95" s="16">
        <f>IF(OR($A95="",$B95=0),0,$K95/$B95)</f>
        <v/>
      </c>
      <c r="M95" s="16">
        <f>IF($A95="","",IF((1-$D95-$G95)&lt;=0,0,ROUND(($C95+$F95+$I95)/(1-$D95-$G95),2)))</f>
        <v/>
      </c>
      <c r="N95" s="16">
        <f>IF($A95="","",IFERROR(SUMIF(tblAnahtarA[Norm],$A95,tblVeriA[HedefNet]),0))</f>
        <v/>
      </c>
      <c r="O95" s="16">
        <f>IF($A95="","",ROUND($K95-$N95,2))</f>
        <v/>
      </c>
      <c r="P95" s="16">
        <f>IF($A95="","",IF($L95&lt;egk_esikKatkiDusuk,"ZAM YAP",IF(AND($R95=1,$L95&lt;egk_esikKatkiHedef),"İNDİRİMİ KES","TUT")))</f>
        <v/>
      </c>
      <c r="Q95" s="16">
        <f>IF($A95="","",IFERROR(SUMIF(tblAnahtarB[NormB],$A95,tblVeriB[Roas]),0))</f>
        <v/>
      </c>
      <c r="R95" s="16">
        <f>IF($A95="","",IF(OR(IFERROR(INDEX(tblVeriA[YorumAB],MATCH($A95,tblAnahtarA[Norm],0)),"")="B",IFERROR(INDEX(tblVeriA[Durum],MATCH($A95,tblAnahtarA[Norm],0)),"")="Kampanya"),1,0))</f>
        <v/>
      </c>
      <c r="S95" s="16">
        <f>IF($A95="","",$J95-$E95)</f>
        <v/>
      </c>
      <c r="T95" s="16">
        <f>IF($A95="","",$K95-$O95)</f>
        <v/>
      </c>
    </row>
    <row r="96">
      <c r="A96" s="16">
        <f>IF('ANAHTAR'!$B96="","",'ANAHTAR'!$B96)</f>
        <v/>
      </c>
      <c r="B96" s="16">
        <f>IF($A96="","",IFERROR(SUMIF(tblAnahtarA[Norm],$A96,tblVeriA[SatisFiyati]),0))</f>
        <v/>
      </c>
      <c r="C96" s="16">
        <f>IF($A96="","",IFERROR(SUMIF(tblAnahtarA[Norm],$A96,tblVeriA[Maliyet]),0))</f>
        <v/>
      </c>
      <c r="D96" s="16">
        <f>IF($A96="","",IFERROR(SUMIF(tblAnahtarB[NormB],$A96,tblVeriB[KomisyonOran]),0))</f>
        <v/>
      </c>
      <c r="E96" s="16">
        <f>IF($A96="","",ROUND($B96*$D96,2))</f>
        <v/>
      </c>
      <c r="F96" s="16">
        <f>IF($A96="","",IFERROR(SUMIF(tblAnahtarB[NormB],$A96,tblVeriB[Kargo]),0))</f>
        <v/>
      </c>
      <c r="G96" s="16">
        <f>IF($A96="","",IFERROR(SUMIF(tblAnahtarB[NormB],$A96,tblVeriB[IadeOran]),0))</f>
        <v/>
      </c>
      <c r="H96" s="16">
        <f>IF($A96="","",ROUND($B96*$G96,2))</f>
        <v/>
      </c>
      <c r="I96" s="16">
        <f>IF($A96="","",IFERROR(SUMIF(tblAnahtarB[NormB],$A96,tblVeriB[ReklamTutar]),0))</f>
        <v/>
      </c>
      <c r="J96" s="16">
        <f>IF($A96="","",ROUND($B96-$C96,2))</f>
        <v/>
      </c>
      <c r="K96" s="16">
        <f>IF($A96="","",ROUND($B96-$C96-$E96-$F96-$H96-$I96,2))</f>
        <v/>
      </c>
      <c r="L96" s="16">
        <f>IF(OR($A96="",$B96=0),0,$K96/$B96)</f>
        <v/>
      </c>
      <c r="M96" s="16">
        <f>IF($A96="","",IF((1-$D96-$G96)&lt;=0,0,ROUND(($C96+$F96+$I96)/(1-$D96-$G96),2)))</f>
        <v/>
      </c>
      <c r="N96" s="16">
        <f>IF($A96="","",IFERROR(SUMIF(tblAnahtarA[Norm],$A96,tblVeriA[HedefNet]),0))</f>
        <v/>
      </c>
      <c r="O96" s="16">
        <f>IF($A96="","",ROUND($K96-$N96,2))</f>
        <v/>
      </c>
      <c r="P96" s="16">
        <f>IF($A96="","",IF($L96&lt;egk_esikKatkiDusuk,"ZAM YAP",IF(AND($R96=1,$L96&lt;egk_esikKatkiHedef),"İNDİRİMİ KES","TUT")))</f>
        <v/>
      </c>
      <c r="Q96" s="16">
        <f>IF($A96="","",IFERROR(SUMIF(tblAnahtarB[NormB],$A96,tblVeriB[Roas]),0))</f>
        <v/>
      </c>
      <c r="R96" s="16">
        <f>IF($A96="","",IF(OR(IFERROR(INDEX(tblVeriA[YorumAB],MATCH($A96,tblAnahtarA[Norm],0)),"")="B",IFERROR(INDEX(tblVeriA[Durum],MATCH($A96,tblAnahtarA[Norm],0)),"")="Kampanya"),1,0))</f>
        <v/>
      </c>
      <c r="S96" s="16">
        <f>IF($A96="","",$J96-$E96)</f>
        <v/>
      </c>
      <c r="T96" s="16">
        <f>IF($A96="","",$K96-$O96)</f>
        <v/>
      </c>
    </row>
    <row r="97">
      <c r="A97" s="16">
        <f>IF('ANAHTAR'!$B97="","",'ANAHTAR'!$B97)</f>
        <v/>
      </c>
      <c r="B97" s="16">
        <f>IF($A97="","",IFERROR(SUMIF(tblAnahtarA[Norm],$A97,tblVeriA[SatisFiyati]),0))</f>
        <v/>
      </c>
      <c r="C97" s="16">
        <f>IF($A97="","",IFERROR(SUMIF(tblAnahtarA[Norm],$A97,tblVeriA[Maliyet]),0))</f>
        <v/>
      </c>
      <c r="D97" s="16">
        <f>IF($A97="","",IFERROR(SUMIF(tblAnahtarB[NormB],$A97,tblVeriB[KomisyonOran]),0))</f>
        <v/>
      </c>
      <c r="E97" s="16">
        <f>IF($A97="","",ROUND($B97*$D97,2))</f>
        <v/>
      </c>
      <c r="F97" s="16">
        <f>IF($A97="","",IFERROR(SUMIF(tblAnahtarB[NormB],$A97,tblVeriB[Kargo]),0))</f>
        <v/>
      </c>
      <c r="G97" s="16">
        <f>IF($A97="","",IFERROR(SUMIF(tblAnahtarB[NormB],$A97,tblVeriB[IadeOran]),0))</f>
        <v/>
      </c>
      <c r="H97" s="16">
        <f>IF($A97="","",ROUND($B97*$G97,2))</f>
        <v/>
      </c>
      <c r="I97" s="16">
        <f>IF($A97="","",IFERROR(SUMIF(tblAnahtarB[NormB],$A97,tblVeriB[ReklamTutar]),0))</f>
        <v/>
      </c>
      <c r="J97" s="16">
        <f>IF($A97="","",ROUND($B97-$C97,2))</f>
        <v/>
      </c>
      <c r="K97" s="16">
        <f>IF($A97="","",ROUND($B97-$C97-$E97-$F97-$H97-$I97,2))</f>
        <v/>
      </c>
      <c r="L97" s="16">
        <f>IF(OR($A97="",$B97=0),0,$K97/$B97)</f>
        <v/>
      </c>
      <c r="M97" s="16">
        <f>IF($A97="","",IF((1-$D97-$G97)&lt;=0,0,ROUND(($C97+$F97+$I97)/(1-$D97-$G97),2)))</f>
        <v/>
      </c>
      <c r="N97" s="16">
        <f>IF($A97="","",IFERROR(SUMIF(tblAnahtarA[Norm],$A97,tblVeriA[HedefNet]),0))</f>
        <v/>
      </c>
      <c r="O97" s="16">
        <f>IF($A97="","",ROUND($K97-$N97,2))</f>
        <v/>
      </c>
      <c r="P97" s="16">
        <f>IF($A97="","",IF($L97&lt;egk_esikKatkiDusuk,"ZAM YAP",IF(AND($R97=1,$L97&lt;egk_esikKatkiHedef),"İNDİRİMİ KES","TUT")))</f>
        <v/>
      </c>
      <c r="Q97" s="16">
        <f>IF($A97="","",IFERROR(SUMIF(tblAnahtarB[NormB],$A97,tblVeriB[Roas]),0))</f>
        <v/>
      </c>
      <c r="R97" s="16">
        <f>IF($A97="","",IF(OR(IFERROR(INDEX(tblVeriA[YorumAB],MATCH($A97,tblAnahtarA[Norm],0)),"")="B",IFERROR(INDEX(tblVeriA[Durum],MATCH($A97,tblAnahtarA[Norm],0)),"")="Kampanya"),1,0))</f>
        <v/>
      </c>
      <c r="S97" s="16">
        <f>IF($A97="","",$J97-$E97)</f>
        <v/>
      </c>
      <c r="T97" s="16">
        <f>IF($A97="","",$K97-$O97)</f>
        <v/>
      </c>
    </row>
    <row r="98">
      <c r="A98" s="16">
        <f>IF('ANAHTAR'!$B98="","",'ANAHTAR'!$B98)</f>
        <v/>
      </c>
      <c r="B98" s="16">
        <f>IF($A98="","",IFERROR(SUMIF(tblAnahtarA[Norm],$A98,tblVeriA[SatisFiyati]),0))</f>
        <v/>
      </c>
      <c r="C98" s="16">
        <f>IF($A98="","",IFERROR(SUMIF(tblAnahtarA[Norm],$A98,tblVeriA[Maliyet]),0))</f>
        <v/>
      </c>
      <c r="D98" s="16">
        <f>IF($A98="","",IFERROR(SUMIF(tblAnahtarB[NormB],$A98,tblVeriB[KomisyonOran]),0))</f>
        <v/>
      </c>
      <c r="E98" s="16">
        <f>IF($A98="","",ROUND($B98*$D98,2))</f>
        <v/>
      </c>
      <c r="F98" s="16">
        <f>IF($A98="","",IFERROR(SUMIF(tblAnahtarB[NormB],$A98,tblVeriB[Kargo]),0))</f>
        <v/>
      </c>
      <c r="G98" s="16">
        <f>IF($A98="","",IFERROR(SUMIF(tblAnahtarB[NormB],$A98,tblVeriB[IadeOran]),0))</f>
        <v/>
      </c>
      <c r="H98" s="16">
        <f>IF($A98="","",ROUND($B98*$G98,2))</f>
        <v/>
      </c>
      <c r="I98" s="16">
        <f>IF($A98="","",IFERROR(SUMIF(tblAnahtarB[NormB],$A98,tblVeriB[ReklamTutar]),0))</f>
        <v/>
      </c>
      <c r="J98" s="16">
        <f>IF($A98="","",ROUND($B98-$C98,2))</f>
        <v/>
      </c>
      <c r="K98" s="16">
        <f>IF($A98="","",ROUND($B98-$C98-$E98-$F98-$H98-$I98,2))</f>
        <v/>
      </c>
      <c r="L98" s="16">
        <f>IF(OR($A98="",$B98=0),0,$K98/$B98)</f>
        <v/>
      </c>
      <c r="M98" s="16">
        <f>IF($A98="","",IF((1-$D98-$G98)&lt;=0,0,ROUND(($C98+$F98+$I98)/(1-$D98-$G98),2)))</f>
        <v/>
      </c>
      <c r="N98" s="16">
        <f>IF($A98="","",IFERROR(SUMIF(tblAnahtarA[Norm],$A98,tblVeriA[HedefNet]),0))</f>
        <v/>
      </c>
      <c r="O98" s="16">
        <f>IF($A98="","",ROUND($K98-$N98,2))</f>
        <v/>
      </c>
      <c r="P98" s="16">
        <f>IF($A98="","",IF($L98&lt;egk_esikKatkiDusuk,"ZAM YAP",IF(AND($R98=1,$L98&lt;egk_esikKatkiHedef),"İNDİRİMİ KES","TUT")))</f>
        <v/>
      </c>
      <c r="Q98" s="16">
        <f>IF($A98="","",IFERROR(SUMIF(tblAnahtarB[NormB],$A98,tblVeriB[Roas]),0))</f>
        <v/>
      </c>
      <c r="R98" s="16">
        <f>IF($A98="","",IF(OR(IFERROR(INDEX(tblVeriA[YorumAB],MATCH($A98,tblAnahtarA[Norm],0)),"")="B",IFERROR(INDEX(tblVeriA[Durum],MATCH($A98,tblAnahtarA[Norm],0)),"")="Kampanya"),1,0))</f>
        <v/>
      </c>
      <c r="S98" s="16">
        <f>IF($A98="","",$J98-$E98)</f>
        <v/>
      </c>
      <c r="T98" s="16">
        <f>IF($A98="","",$K98-$O98)</f>
        <v/>
      </c>
    </row>
    <row r="99">
      <c r="A99" s="16">
        <f>IF('ANAHTAR'!$B99="","",'ANAHTAR'!$B99)</f>
        <v/>
      </c>
      <c r="B99" s="16">
        <f>IF($A99="","",IFERROR(SUMIF(tblAnahtarA[Norm],$A99,tblVeriA[SatisFiyati]),0))</f>
        <v/>
      </c>
      <c r="C99" s="16">
        <f>IF($A99="","",IFERROR(SUMIF(tblAnahtarA[Norm],$A99,tblVeriA[Maliyet]),0))</f>
        <v/>
      </c>
      <c r="D99" s="16">
        <f>IF($A99="","",IFERROR(SUMIF(tblAnahtarB[NormB],$A99,tblVeriB[KomisyonOran]),0))</f>
        <v/>
      </c>
      <c r="E99" s="16">
        <f>IF($A99="","",ROUND($B99*$D99,2))</f>
        <v/>
      </c>
      <c r="F99" s="16">
        <f>IF($A99="","",IFERROR(SUMIF(tblAnahtarB[NormB],$A99,tblVeriB[Kargo]),0))</f>
        <v/>
      </c>
      <c r="G99" s="16">
        <f>IF($A99="","",IFERROR(SUMIF(tblAnahtarB[NormB],$A99,tblVeriB[IadeOran]),0))</f>
        <v/>
      </c>
      <c r="H99" s="16">
        <f>IF($A99="","",ROUND($B99*$G99,2))</f>
        <v/>
      </c>
      <c r="I99" s="16">
        <f>IF($A99="","",IFERROR(SUMIF(tblAnahtarB[NormB],$A99,tblVeriB[ReklamTutar]),0))</f>
        <v/>
      </c>
      <c r="J99" s="16">
        <f>IF($A99="","",ROUND($B99-$C99,2))</f>
        <v/>
      </c>
      <c r="K99" s="16">
        <f>IF($A99="","",ROUND($B99-$C99-$E99-$F99-$H99-$I99,2))</f>
        <v/>
      </c>
      <c r="L99" s="16">
        <f>IF(OR($A99="",$B99=0),0,$K99/$B99)</f>
        <v/>
      </c>
      <c r="M99" s="16">
        <f>IF($A99="","",IF((1-$D99-$G99)&lt;=0,0,ROUND(($C99+$F99+$I99)/(1-$D99-$G99),2)))</f>
        <v/>
      </c>
      <c r="N99" s="16">
        <f>IF($A99="","",IFERROR(SUMIF(tblAnahtarA[Norm],$A99,tblVeriA[HedefNet]),0))</f>
        <v/>
      </c>
      <c r="O99" s="16">
        <f>IF($A99="","",ROUND($K99-$N99,2))</f>
        <v/>
      </c>
      <c r="P99" s="16">
        <f>IF($A99="","",IF($L99&lt;egk_esikKatkiDusuk,"ZAM YAP",IF(AND($R99=1,$L99&lt;egk_esikKatkiHedef),"İNDİRİMİ KES","TUT")))</f>
        <v/>
      </c>
      <c r="Q99" s="16">
        <f>IF($A99="","",IFERROR(SUMIF(tblAnahtarB[NormB],$A99,tblVeriB[Roas]),0))</f>
        <v/>
      </c>
      <c r="R99" s="16">
        <f>IF($A99="","",IF(OR(IFERROR(INDEX(tblVeriA[YorumAB],MATCH($A99,tblAnahtarA[Norm],0)),"")="B",IFERROR(INDEX(tblVeriA[Durum],MATCH($A99,tblAnahtarA[Norm],0)),"")="Kampanya"),1,0))</f>
        <v/>
      </c>
      <c r="S99" s="16">
        <f>IF($A99="","",$J99-$E99)</f>
        <v/>
      </c>
      <c r="T99" s="16">
        <f>IF($A99="","",$K99-$O99)</f>
        <v/>
      </c>
    </row>
    <row r="100">
      <c r="A100" s="16">
        <f>IF('ANAHTAR'!$B100="","",'ANAHTAR'!$B100)</f>
        <v/>
      </c>
      <c r="B100" s="16">
        <f>IF($A100="","",IFERROR(SUMIF(tblAnahtarA[Norm],$A100,tblVeriA[SatisFiyati]),0))</f>
        <v/>
      </c>
      <c r="C100" s="16">
        <f>IF($A100="","",IFERROR(SUMIF(tblAnahtarA[Norm],$A100,tblVeriA[Maliyet]),0))</f>
        <v/>
      </c>
      <c r="D100" s="16">
        <f>IF($A100="","",IFERROR(SUMIF(tblAnahtarB[NormB],$A100,tblVeriB[KomisyonOran]),0))</f>
        <v/>
      </c>
      <c r="E100" s="16">
        <f>IF($A100="","",ROUND($B100*$D100,2))</f>
        <v/>
      </c>
      <c r="F100" s="16">
        <f>IF($A100="","",IFERROR(SUMIF(tblAnahtarB[NormB],$A100,tblVeriB[Kargo]),0))</f>
        <v/>
      </c>
      <c r="G100" s="16">
        <f>IF($A100="","",IFERROR(SUMIF(tblAnahtarB[NormB],$A100,tblVeriB[IadeOran]),0))</f>
        <v/>
      </c>
      <c r="H100" s="16">
        <f>IF($A100="","",ROUND($B100*$G100,2))</f>
        <v/>
      </c>
      <c r="I100" s="16">
        <f>IF($A100="","",IFERROR(SUMIF(tblAnahtarB[NormB],$A100,tblVeriB[ReklamTutar]),0))</f>
        <v/>
      </c>
      <c r="J100" s="16">
        <f>IF($A100="","",ROUND($B100-$C100,2))</f>
        <v/>
      </c>
      <c r="K100" s="16">
        <f>IF($A100="","",ROUND($B100-$C100-$E100-$F100-$H100-$I100,2))</f>
        <v/>
      </c>
      <c r="L100" s="16">
        <f>IF(OR($A100="",$B100=0),0,$K100/$B100)</f>
        <v/>
      </c>
      <c r="M100" s="16">
        <f>IF($A100="","",IF((1-$D100-$G100)&lt;=0,0,ROUND(($C100+$F100+$I100)/(1-$D100-$G100),2)))</f>
        <v/>
      </c>
      <c r="N100" s="16">
        <f>IF($A100="","",IFERROR(SUMIF(tblAnahtarA[Norm],$A100,tblVeriA[HedefNet]),0))</f>
        <v/>
      </c>
      <c r="O100" s="16">
        <f>IF($A100="","",ROUND($K100-$N100,2))</f>
        <v/>
      </c>
      <c r="P100" s="16">
        <f>IF($A100="","",IF($L100&lt;egk_esikKatkiDusuk,"ZAM YAP",IF(AND($R100=1,$L100&lt;egk_esikKatkiHedef),"İNDİRİMİ KES","TUT")))</f>
        <v/>
      </c>
      <c r="Q100" s="16">
        <f>IF($A100="","",IFERROR(SUMIF(tblAnahtarB[NormB],$A100,tblVeriB[Roas]),0))</f>
        <v/>
      </c>
      <c r="R100" s="16">
        <f>IF($A100="","",IF(OR(IFERROR(INDEX(tblVeriA[YorumAB],MATCH($A100,tblAnahtarA[Norm],0)),"")="B",IFERROR(INDEX(tblVeriA[Durum],MATCH($A100,tblAnahtarA[Norm],0)),"")="Kampanya"),1,0))</f>
        <v/>
      </c>
      <c r="S100" s="16">
        <f>IF($A100="","",$J100-$E100)</f>
        <v/>
      </c>
      <c r="T100" s="16">
        <f>IF($A100="","",$K100-$O100)</f>
        <v/>
      </c>
    </row>
    <row r="101">
      <c r="A101" s="16">
        <f>IF('ANAHTAR'!$B101="","",'ANAHTAR'!$B101)</f>
        <v/>
      </c>
      <c r="B101" s="16">
        <f>IF($A101="","",IFERROR(SUMIF(tblAnahtarA[Norm],$A101,tblVeriA[SatisFiyati]),0))</f>
        <v/>
      </c>
      <c r="C101" s="16">
        <f>IF($A101="","",IFERROR(SUMIF(tblAnahtarA[Norm],$A101,tblVeriA[Maliyet]),0))</f>
        <v/>
      </c>
      <c r="D101" s="16">
        <f>IF($A101="","",IFERROR(SUMIF(tblAnahtarB[NormB],$A101,tblVeriB[KomisyonOran]),0))</f>
        <v/>
      </c>
      <c r="E101" s="16">
        <f>IF($A101="","",ROUND($B101*$D101,2))</f>
        <v/>
      </c>
      <c r="F101" s="16">
        <f>IF($A101="","",IFERROR(SUMIF(tblAnahtarB[NormB],$A101,tblVeriB[Kargo]),0))</f>
        <v/>
      </c>
      <c r="G101" s="16">
        <f>IF($A101="","",IFERROR(SUMIF(tblAnahtarB[NormB],$A101,tblVeriB[IadeOran]),0))</f>
        <v/>
      </c>
      <c r="H101" s="16">
        <f>IF($A101="","",ROUND($B101*$G101,2))</f>
        <v/>
      </c>
      <c r="I101" s="16">
        <f>IF($A101="","",IFERROR(SUMIF(tblAnahtarB[NormB],$A101,tblVeriB[ReklamTutar]),0))</f>
        <v/>
      </c>
      <c r="J101" s="16">
        <f>IF($A101="","",ROUND($B101-$C101,2))</f>
        <v/>
      </c>
      <c r="K101" s="16">
        <f>IF($A101="","",ROUND($B101-$C101-$E101-$F101-$H101-$I101,2))</f>
        <v/>
      </c>
      <c r="L101" s="16">
        <f>IF(OR($A101="",$B101=0),0,$K101/$B101)</f>
        <v/>
      </c>
      <c r="M101" s="16">
        <f>IF($A101="","",IF((1-$D101-$G101)&lt;=0,0,ROUND(($C101+$F101+$I101)/(1-$D101-$G101),2)))</f>
        <v/>
      </c>
      <c r="N101" s="16">
        <f>IF($A101="","",IFERROR(SUMIF(tblAnahtarA[Norm],$A101,tblVeriA[HedefNet]),0))</f>
        <v/>
      </c>
      <c r="O101" s="16">
        <f>IF($A101="","",ROUND($K101-$N101,2))</f>
        <v/>
      </c>
      <c r="P101" s="16">
        <f>IF($A101="","",IF($L101&lt;egk_esikKatkiDusuk,"ZAM YAP",IF(AND($R101=1,$L101&lt;egk_esikKatkiHedef),"İNDİRİMİ KES","TUT")))</f>
        <v/>
      </c>
      <c r="Q101" s="16">
        <f>IF($A101="","",IFERROR(SUMIF(tblAnahtarB[NormB],$A101,tblVeriB[Roas]),0))</f>
        <v/>
      </c>
      <c r="R101" s="16">
        <f>IF($A101="","",IF(OR(IFERROR(INDEX(tblVeriA[YorumAB],MATCH($A101,tblAnahtarA[Norm],0)),"")="B",IFERROR(INDEX(tblVeriA[Durum],MATCH($A101,tblAnahtarA[Norm],0)),"")="Kampanya"),1,0))</f>
        <v/>
      </c>
      <c r="S101" s="16">
        <f>IF($A101="","",$J101-$E101)</f>
        <v/>
      </c>
      <c r="T101" s="16">
        <f>IF($A101="","",$K101-$O101)</f>
        <v/>
      </c>
    </row>
    <row r="102">
      <c r="A102" s="16">
        <f>IF('ANAHTAR'!$B102="","",'ANAHTAR'!$B102)</f>
        <v/>
      </c>
      <c r="B102" s="16">
        <f>IF($A102="","",IFERROR(SUMIF(tblAnahtarA[Norm],$A102,tblVeriA[SatisFiyati]),0))</f>
        <v/>
      </c>
      <c r="C102" s="16">
        <f>IF($A102="","",IFERROR(SUMIF(tblAnahtarA[Norm],$A102,tblVeriA[Maliyet]),0))</f>
        <v/>
      </c>
      <c r="D102" s="16">
        <f>IF($A102="","",IFERROR(SUMIF(tblAnahtarB[NormB],$A102,tblVeriB[KomisyonOran]),0))</f>
        <v/>
      </c>
      <c r="E102" s="16">
        <f>IF($A102="","",ROUND($B102*$D102,2))</f>
        <v/>
      </c>
      <c r="F102" s="16">
        <f>IF($A102="","",IFERROR(SUMIF(tblAnahtarB[NormB],$A102,tblVeriB[Kargo]),0))</f>
        <v/>
      </c>
      <c r="G102" s="16">
        <f>IF($A102="","",IFERROR(SUMIF(tblAnahtarB[NormB],$A102,tblVeriB[IadeOran]),0))</f>
        <v/>
      </c>
      <c r="H102" s="16">
        <f>IF($A102="","",ROUND($B102*$G102,2))</f>
        <v/>
      </c>
      <c r="I102" s="16">
        <f>IF($A102="","",IFERROR(SUMIF(tblAnahtarB[NormB],$A102,tblVeriB[ReklamTutar]),0))</f>
        <v/>
      </c>
      <c r="J102" s="16">
        <f>IF($A102="","",ROUND($B102-$C102,2))</f>
        <v/>
      </c>
      <c r="K102" s="16">
        <f>IF($A102="","",ROUND($B102-$C102-$E102-$F102-$H102-$I102,2))</f>
        <v/>
      </c>
      <c r="L102" s="16">
        <f>IF(OR($A102="",$B102=0),0,$K102/$B102)</f>
        <v/>
      </c>
      <c r="M102" s="16">
        <f>IF($A102="","",IF((1-$D102-$G102)&lt;=0,0,ROUND(($C102+$F102+$I102)/(1-$D102-$G102),2)))</f>
        <v/>
      </c>
      <c r="N102" s="16">
        <f>IF($A102="","",IFERROR(SUMIF(tblAnahtarA[Norm],$A102,tblVeriA[HedefNet]),0))</f>
        <v/>
      </c>
      <c r="O102" s="16">
        <f>IF($A102="","",ROUND($K102-$N102,2))</f>
        <v/>
      </c>
      <c r="P102" s="16">
        <f>IF($A102="","",IF($L102&lt;egk_esikKatkiDusuk,"ZAM YAP",IF(AND($R102=1,$L102&lt;egk_esikKatkiHedef),"İNDİRİMİ KES","TUT")))</f>
        <v/>
      </c>
      <c r="Q102" s="16">
        <f>IF($A102="","",IFERROR(SUMIF(tblAnahtarB[NormB],$A102,tblVeriB[Roas]),0))</f>
        <v/>
      </c>
      <c r="R102" s="16">
        <f>IF($A102="","",IF(OR(IFERROR(INDEX(tblVeriA[YorumAB],MATCH($A102,tblAnahtarA[Norm],0)),"")="B",IFERROR(INDEX(tblVeriA[Durum],MATCH($A102,tblAnahtarA[Norm],0)),"")="Kampanya"),1,0))</f>
        <v/>
      </c>
      <c r="S102" s="16">
        <f>IF($A102="","",$J102-$E102)</f>
        <v/>
      </c>
      <c r="T102" s="16">
        <f>IF($A102="","",$K102-$O102)</f>
        <v/>
      </c>
    </row>
    <row r="103">
      <c r="A103" s="16">
        <f>IF('ANAHTAR'!$B103="","",'ANAHTAR'!$B103)</f>
        <v/>
      </c>
      <c r="B103" s="16">
        <f>IF($A103="","",IFERROR(SUMIF(tblAnahtarA[Norm],$A103,tblVeriA[SatisFiyati]),0))</f>
        <v/>
      </c>
      <c r="C103" s="16">
        <f>IF($A103="","",IFERROR(SUMIF(tblAnahtarA[Norm],$A103,tblVeriA[Maliyet]),0))</f>
        <v/>
      </c>
      <c r="D103" s="16">
        <f>IF($A103="","",IFERROR(SUMIF(tblAnahtarB[NormB],$A103,tblVeriB[KomisyonOran]),0))</f>
        <v/>
      </c>
      <c r="E103" s="16">
        <f>IF($A103="","",ROUND($B103*$D103,2))</f>
        <v/>
      </c>
      <c r="F103" s="16">
        <f>IF($A103="","",IFERROR(SUMIF(tblAnahtarB[NormB],$A103,tblVeriB[Kargo]),0))</f>
        <v/>
      </c>
      <c r="G103" s="16">
        <f>IF($A103="","",IFERROR(SUMIF(tblAnahtarB[NormB],$A103,tblVeriB[IadeOran]),0))</f>
        <v/>
      </c>
      <c r="H103" s="16">
        <f>IF($A103="","",ROUND($B103*$G103,2))</f>
        <v/>
      </c>
      <c r="I103" s="16">
        <f>IF($A103="","",IFERROR(SUMIF(tblAnahtarB[NormB],$A103,tblVeriB[ReklamTutar]),0))</f>
        <v/>
      </c>
      <c r="J103" s="16">
        <f>IF($A103="","",ROUND($B103-$C103,2))</f>
        <v/>
      </c>
      <c r="K103" s="16">
        <f>IF($A103="","",ROUND($B103-$C103-$E103-$F103-$H103-$I103,2))</f>
        <v/>
      </c>
      <c r="L103" s="16">
        <f>IF(OR($A103="",$B103=0),0,$K103/$B103)</f>
        <v/>
      </c>
      <c r="M103" s="16">
        <f>IF($A103="","",IF((1-$D103-$G103)&lt;=0,0,ROUND(($C103+$F103+$I103)/(1-$D103-$G103),2)))</f>
        <v/>
      </c>
      <c r="N103" s="16">
        <f>IF($A103="","",IFERROR(SUMIF(tblAnahtarA[Norm],$A103,tblVeriA[HedefNet]),0))</f>
        <v/>
      </c>
      <c r="O103" s="16">
        <f>IF($A103="","",ROUND($K103-$N103,2))</f>
        <v/>
      </c>
      <c r="P103" s="16">
        <f>IF($A103="","",IF($L103&lt;egk_esikKatkiDusuk,"ZAM YAP",IF(AND($R103=1,$L103&lt;egk_esikKatkiHedef),"İNDİRİMİ KES","TUT")))</f>
        <v/>
      </c>
      <c r="Q103" s="16">
        <f>IF($A103="","",IFERROR(SUMIF(tblAnahtarB[NormB],$A103,tblVeriB[Roas]),0))</f>
        <v/>
      </c>
      <c r="R103" s="16">
        <f>IF($A103="","",IF(OR(IFERROR(INDEX(tblVeriA[YorumAB],MATCH($A103,tblAnahtarA[Norm],0)),"")="B",IFERROR(INDEX(tblVeriA[Durum],MATCH($A103,tblAnahtarA[Norm],0)),"")="Kampanya"),1,0))</f>
        <v/>
      </c>
      <c r="S103" s="16">
        <f>IF($A103="","",$J103-$E103)</f>
        <v/>
      </c>
      <c r="T103" s="16">
        <f>IF($A103="","",$K103-$O103)</f>
        <v/>
      </c>
    </row>
    <row r="104">
      <c r="A104" s="16">
        <f>IF('ANAHTAR'!$B104="","",'ANAHTAR'!$B104)</f>
        <v/>
      </c>
      <c r="B104" s="16">
        <f>IF($A104="","",IFERROR(SUMIF(tblAnahtarA[Norm],$A104,tblVeriA[SatisFiyati]),0))</f>
        <v/>
      </c>
      <c r="C104" s="16">
        <f>IF($A104="","",IFERROR(SUMIF(tblAnahtarA[Norm],$A104,tblVeriA[Maliyet]),0))</f>
        <v/>
      </c>
      <c r="D104" s="16">
        <f>IF($A104="","",IFERROR(SUMIF(tblAnahtarB[NormB],$A104,tblVeriB[KomisyonOran]),0))</f>
        <v/>
      </c>
      <c r="E104" s="16">
        <f>IF($A104="","",ROUND($B104*$D104,2))</f>
        <v/>
      </c>
      <c r="F104" s="16">
        <f>IF($A104="","",IFERROR(SUMIF(tblAnahtarB[NormB],$A104,tblVeriB[Kargo]),0))</f>
        <v/>
      </c>
      <c r="G104" s="16">
        <f>IF($A104="","",IFERROR(SUMIF(tblAnahtarB[NormB],$A104,tblVeriB[IadeOran]),0))</f>
        <v/>
      </c>
      <c r="H104" s="16">
        <f>IF($A104="","",ROUND($B104*$G104,2))</f>
        <v/>
      </c>
      <c r="I104" s="16">
        <f>IF($A104="","",IFERROR(SUMIF(tblAnahtarB[NormB],$A104,tblVeriB[ReklamTutar]),0))</f>
        <v/>
      </c>
      <c r="J104" s="16">
        <f>IF($A104="","",ROUND($B104-$C104,2))</f>
        <v/>
      </c>
      <c r="K104" s="16">
        <f>IF($A104="","",ROUND($B104-$C104-$E104-$F104-$H104-$I104,2))</f>
        <v/>
      </c>
      <c r="L104" s="16">
        <f>IF(OR($A104="",$B104=0),0,$K104/$B104)</f>
        <v/>
      </c>
      <c r="M104" s="16">
        <f>IF($A104="","",IF((1-$D104-$G104)&lt;=0,0,ROUND(($C104+$F104+$I104)/(1-$D104-$G104),2)))</f>
        <v/>
      </c>
      <c r="N104" s="16">
        <f>IF($A104="","",IFERROR(SUMIF(tblAnahtarA[Norm],$A104,tblVeriA[HedefNet]),0))</f>
        <v/>
      </c>
      <c r="O104" s="16">
        <f>IF($A104="","",ROUND($K104-$N104,2))</f>
        <v/>
      </c>
      <c r="P104" s="16">
        <f>IF($A104="","",IF($L104&lt;egk_esikKatkiDusuk,"ZAM YAP",IF(AND($R104=1,$L104&lt;egk_esikKatkiHedef),"İNDİRİMİ KES","TUT")))</f>
        <v/>
      </c>
      <c r="Q104" s="16">
        <f>IF($A104="","",IFERROR(SUMIF(tblAnahtarB[NormB],$A104,tblVeriB[Roas]),0))</f>
        <v/>
      </c>
      <c r="R104" s="16">
        <f>IF($A104="","",IF(OR(IFERROR(INDEX(tblVeriA[YorumAB],MATCH($A104,tblAnahtarA[Norm],0)),"")="B",IFERROR(INDEX(tblVeriA[Durum],MATCH($A104,tblAnahtarA[Norm],0)),"")="Kampanya"),1,0))</f>
        <v/>
      </c>
      <c r="S104" s="16">
        <f>IF($A104="","",$J104-$E104)</f>
        <v/>
      </c>
      <c r="T104" s="16">
        <f>IF($A104="","",$K104-$O104)</f>
        <v/>
      </c>
    </row>
    <row r="105">
      <c r="A105" s="16">
        <f>IF('ANAHTAR'!$B105="","",'ANAHTAR'!$B105)</f>
        <v/>
      </c>
      <c r="B105" s="16">
        <f>IF($A105="","",IFERROR(SUMIF(tblAnahtarA[Norm],$A105,tblVeriA[SatisFiyati]),0))</f>
        <v/>
      </c>
      <c r="C105" s="16">
        <f>IF($A105="","",IFERROR(SUMIF(tblAnahtarA[Norm],$A105,tblVeriA[Maliyet]),0))</f>
        <v/>
      </c>
      <c r="D105" s="16">
        <f>IF($A105="","",IFERROR(SUMIF(tblAnahtarB[NormB],$A105,tblVeriB[KomisyonOran]),0))</f>
        <v/>
      </c>
      <c r="E105" s="16">
        <f>IF($A105="","",ROUND($B105*$D105,2))</f>
        <v/>
      </c>
      <c r="F105" s="16">
        <f>IF($A105="","",IFERROR(SUMIF(tblAnahtarB[NormB],$A105,tblVeriB[Kargo]),0))</f>
        <v/>
      </c>
      <c r="G105" s="16">
        <f>IF($A105="","",IFERROR(SUMIF(tblAnahtarB[NormB],$A105,tblVeriB[IadeOran]),0))</f>
        <v/>
      </c>
      <c r="H105" s="16">
        <f>IF($A105="","",ROUND($B105*$G105,2))</f>
        <v/>
      </c>
      <c r="I105" s="16">
        <f>IF($A105="","",IFERROR(SUMIF(tblAnahtarB[NormB],$A105,tblVeriB[ReklamTutar]),0))</f>
        <v/>
      </c>
      <c r="J105" s="16">
        <f>IF($A105="","",ROUND($B105-$C105,2))</f>
        <v/>
      </c>
      <c r="K105" s="16">
        <f>IF($A105="","",ROUND($B105-$C105-$E105-$F105-$H105-$I105,2))</f>
        <v/>
      </c>
      <c r="L105" s="16">
        <f>IF(OR($A105="",$B105=0),0,$K105/$B105)</f>
        <v/>
      </c>
      <c r="M105" s="16">
        <f>IF($A105="","",IF((1-$D105-$G105)&lt;=0,0,ROUND(($C105+$F105+$I105)/(1-$D105-$G105),2)))</f>
        <v/>
      </c>
      <c r="N105" s="16">
        <f>IF($A105="","",IFERROR(SUMIF(tblAnahtarA[Norm],$A105,tblVeriA[HedefNet]),0))</f>
        <v/>
      </c>
      <c r="O105" s="16">
        <f>IF($A105="","",ROUND($K105-$N105,2))</f>
        <v/>
      </c>
      <c r="P105" s="16">
        <f>IF($A105="","",IF($L105&lt;egk_esikKatkiDusuk,"ZAM YAP",IF(AND($R105=1,$L105&lt;egk_esikKatkiHedef),"İNDİRİMİ KES","TUT")))</f>
        <v/>
      </c>
      <c r="Q105" s="16">
        <f>IF($A105="","",IFERROR(SUMIF(tblAnahtarB[NormB],$A105,tblVeriB[Roas]),0))</f>
        <v/>
      </c>
      <c r="R105" s="16">
        <f>IF($A105="","",IF(OR(IFERROR(INDEX(tblVeriA[YorumAB],MATCH($A105,tblAnahtarA[Norm],0)),"")="B",IFERROR(INDEX(tblVeriA[Durum],MATCH($A105,tblAnahtarA[Norm],0)),"")="Kampanya"),1,0))</f>
        <v/>
      </c>
      <c r="S105" s="16">
        <f>IF($A105="","",$J105-$E105)</f>
        <v/>
      </c>
      <c r="T105" s="16">
        <f>IF($A105="","",$K105-$O105)</f>
        <v/>
      </c>
    </row>
    <row r="106">
      <c r="A106" s="16">
        <f>IF('ANAHTAR'!$B106="","",'ANAHTAR'!$B106)</f>
        <v/>
      </c>
      <c r="B106" s="16">
        <f>IF($A106="","",IFERROR(SUMIF(tblAnahtarA[Norm],$A106,tblVeriA[SatisFiyati]),0))</f>
        <v/>
      </c>
      <c r="C106" s="16">
        <f>IF($A106="","",IFERROR(SUMIF(tblAnahtarA[Norm],$A106,tblVeriA[Maliyet]),0))</f>
        <v/>
      </c>
      <c r="D106" s="16">
        <f>IF($A106="","",IFERROR(SUMIF(tblAnahtarB[NormB],$A106,tblVeriB[KomisyonOran]),0))</f>
        <v/>
      </c>
      <c r="E106" s="16">
        <f>IF($A106="","",ROUND($B106*$D106,2))</f>
        <v/>
      </c>
      <c r="F106" s="16">
        <f>IF($A106="","",IFERROR(SUMIF(tblAnahtarB[NormB],$A106,tblVeriB[Kargo]),0))</f>
        <v/>
      </c>
      <c r="G106" s="16">
        <f>IF($A106="","",IFERROR(SUMIF(tblAnahtarB[NormB],$A106,tblVeriB[IadeOran]),0))</f>
        <v/>
      </c>
      <c r="H106" s="16">
        <f>IF($A106="","",ROUND($B106*$G106,2))</f>
        <v/>
      </c>
      <c r="I106" s="16">
        <f>IF($A106="","",IFERROR(SUMIF(tblAnahtarB[NormB],$A106,tblVeriB[ReklamTutar]),0))</f>
        <v/>
      </c>
      <c r="J106" s="16">
        <f>IF($A106="","",ROUND($B106-$C106,2))</f>
        <v/>
      </c>
      <c r="K106" s="16">
        <f>IF($A106="","",ROUND($B106-$C106-$E106-$F106-$H106-$I106,2))</f>
        <v/>
      </c>
      <c r="L106" s="16">
        <f>IF(OR($A106="",$B106=0),0,$K106/$B106)</f>
        <v/>
      </c>
      <c r="M106" s="16">
        <f>IF($A106="","",IF((1-$D106-$G106)&lt;=0,0,ROUND(($C106+$F106+$I106)/(1-$D106-$G106),2)))</f>
        <v/>
      </c>
      <c r="N106" s="16">
        <f>IF($A106="","",IFERROR(SUMIF(tblAnahtarA[Norm],$A106,tblVeriA[HedefNet]),0))</f>
        <v/>
      </c>
      <c r="O106" s="16">
        <f>IF($A106="","",ROUND($K106-$N106,2))</f>
        <v/>
      </c>
      <c r="P106" s="16">
        <f>IF($A106="","",IF($L106&lt;egk_esikKatkiDusuk,"ZAM YAP",IF(AND($R106=1,$L106&lt;egk_esikKatkiHedef),"İNDİRİMİ KES","TUT")))</f>
        <v/>
      </c>
      <c r="Q106" s="16">
        <f>IF($A106="","",IFERROR(SUMIF(tblAnahtarB[NormB],$A106,tblVeriB[Roas]),0))</f>
        <v/>
      </c>
      <c r="R106" s="16">
        <f>IF($A106="","",IF(OR(IFERROR(INDEX(tblVeriA[YorumAB],MATCH($A106,tblAnahtarA[Norm],0)),"")="B",IFERROR(INDEX(tblVeriA[Durum],MATCH($A106,tblAnahtarA[Norm],0)),"")="Kampanya"),1,0))</f>
        <v/>
      </c>
      <c r="S106" s="16">
        <f>IF($A106="","",$J106-$E106)</f>
        <v/>
      </c>
      <c r="T106" s="16">
        <f>IF($A106="","",$K106-$O106)</f>
        <v/>
      </c>
    </row>
    <row r="107">
      <c r="A107" s="16">
        <f>IF('ANAHTAR'!$B107="","",'ANAHTAR'!$B107)</f>
        <v/>
      </c>
      <c r="B107" s="16">
        <f>IF($A107="","",IFERROR(SUMIF(tblAnahtarA[Norm],$A107,tblVeriA[SatisFiyati]),0))</f>
        <v/>
      </c>
      <c r="C107" s="16">
        <f>IF($A107="","",IFERROR(SUMIF(tblAnahtarA[Norm],$A107,tblVeriA[Maliyet]),0))</f>
        <v/>
      </c>
      <c r="D107" s="16">
        <f>IF($A107="","",IFERROR(SUMIF(tblAnahtarB[NormB],$A107,tblVeriB[KomisyonOran]),0))</f>
        <v/>
      </c>
      <c r="E107" s="16">
        <f>IF($A107="","",ROUND($B107*$D107,2))</f>
        <v/>
      </c>
      <c r="F107" s="16">
        <f>IF($A107="","",IFERROR(SUMIF(tblAnahtarB[NormB],$A107,tblVeriB[Kargo]),0))</f>
        <v/>
      </c>
      <c r="G107" s="16">
        <f>IF($A107="","",IFERROR(SUMIF(tblAnahtarB[NormB],$A107,tblVeriB[IadeOran]),0))</f>
        <v/>
      </c>
      <c r="H107" s="16">
        <f>IF($A107="","",ROUND($B107*$G107,2))</f>
        <v/>
      </c>
      <c r="I107" s="16">
        <f>IF($A107="","",IFERROR(SUMIF(tblAnahtarB[NormB],$A107,tblVeriB[ReklamTutar]),0))</f>
        <v/>
      </c>
      <c r="J107" s="16">
        <f>IF($A107="","",ROUND($B107-$C107,2))</f>
        <v/>
      </c>
      <c r="K107" s="16">
        <f>IF($A107="","",ROUND($B107-$C107-$E107-$F107-$H107-$I107,2))</f>
        <v/>
      </c>
      <c r="L107" s="16">
        <f>IF(OR($A107="",$B107=0),0,$K107/$B107)</f>
        <v/>
      </c>
      <c r="M107" s="16">
        <f>IF($A107="","",IF((1-$D107-$G107)&lt;=0,0,ROUND(($C107+$F107+$I107)/(1-$D107-$G107),2)))</f>
        <v/>
      </c>
      <c r="N107" s="16">
        <f>IF($A107="","",IFERROR(SUMIF(tblAnahtarA[Norm],$A107,tblVeriA[HedefNet]),0))</f>
        <v/>
      </c>
      <c r="O107" s="16">
        <f>IF($A107="","",ROUND($K107-$N107,2))</f>
        <v/>
      </c>
      <c r="P107" s="16">
        <f>IF($A107="","",IF($L107&lt;egk_esikKatkiDusuk,"ZAM YAP",IF(AND($R107=1,$L107&lt;egk_esikKatkiHedef),"İNDİRİMİ KES","TUT")))</f>
        <v/>
      </c>
      <c r="Q107" s="16">
        <f>IF($A107="","",IFERROR(SUMIF(tblAnahtarB[NormB],$A107,tblVeriB[Roas]),0))</f>
        <v/>
      </c>
      <c r="R107" s="16">
        <f>IF($A107="","",IF(OR(IFERROR(INDEX(tblVeriA[YorumAB],MATCH($A107,tblAnahtarA[Norm],0)),"")="B",IFERROR(INDEX(tblVeriA[Durum],MATCH($A107,tblAnahtarA[Norm],0)),"")="Kampanya"),1,0))</f>
        <v/>
      </c>
      <c r="S107" s="16">
        <f>IF($A107="","",$J107-$E107)</f>
        <v/>
      </c>
      <c r="T107" s="16">
        <f>IF($A107="","",$K107-$O107)</f>
        <v/>
      </c>
    </row>
    <row r="108">
      <c r="A108" s="16">
        <f>IF('ANAHTAR'!$B108="","",'ANAHTAR'!$B108)</f>
        <v/>
      </c>
      <c r="B108" s="16">
        <f>IF($A108="","",IFERROR(SUMIF(tblAnahtarA[Norm],$A108,tblVeriA[SatisFiyati]),0))</f>
        <v/>
      </c>
      <c r="C108" s="16">
        <f>IF($A108="","",IFERROR(SUMIF(tblAnahtarA[Norm],$A108,tblVeriA[Maliyet]),0))</f>
        <v/>
      </c>
      <c r="D108" s="16">
        <f>IF($A108="","",IFERROR(SUMIF(tblAnahtarB[NormB],$A108,tblVeriB[KomisyonOran]),0))</f>
        <v/>
      </c>
      <c r="E108" s="16">
        <f>IF($A108="","",ROUND($B108*$D108,2))</f>
        <v/>
      </c>
      <c r="F108" s="16">
        <f>IF($A108="","",IFERROR(SUMIF(tblAnahtarB[NormB],$A108,tblVeriB[Kargo]),0))</f>
        <v/>
      </c>
      <c r="G108" s="16">
        <f>IF($A108="","",IFERROR(SUMIF(tblAnahtarB[NormB],$A108,tblVeriB[IadeOran]),0))</f>
        <v/>
      </c>
      <c r="H108" s="16">
        <f>IF($A108="","",ROUND($B108*$G108,2))</f>
        <v/>
      </c>
      <c r="I108" s="16">
        <f>IF($A108="","",IFERROR(SUMIF(tblAnahtarB[NormB],$A108,tblVeriB[ReklamTutar]),0))</f>
        <v/>
      </c>
      <c r="J108" s="16">
        <f>IF($A108="","",ROUND($B108-$C108,2))</f>
        <v/>
      </c>
      <c r="K108" s="16">
        <f>IF($A108="","",ROUND($B108-$C108-$E108-$F108-$H108-$I108,2))</f>
        <v/>
      </c>
      <c r="L108" s="16">
        <f>IF(OR($A108="",$B108=0),0,$K108/$B108)</f>
        <v/>
      </c>
      <c r="M108" s="16">
        <f>IF($A108="","",IF((1-$D108-$G108)&lt;=0,0,ROUND(($C108+$F108+$I108)/(1-$D108-$G108),2)))</f>
        <v/>
      </c>
      <c r="N108" s="16">
        <f>IF($A108="","",IFERROR(SUMIF(tblAnahtarA[Norm],$A108,tblVeriA[HedefNet]),0))</f>
        <v/>
      </c>
      <c r="O108" s="16">
        <f>IF($A108="","",ROUND($K108-$N108,2))</f>
        <v/>
      </c>
      <c r="P108" s="16">
        <f>IF($A108="","",IF($L108&lt;egk_esikKatkiDusuk,"ZAM YAP",IF(AND($R108=1,$L108&lt;egk_esikKatkiHedef),"İNDİRİMİ KES","TUT")))</f>
        <v/>
      </c>
      <c r="Q108" s="16">
        <f>IF($A108="","",IFERROR(SUMIF(tblAnahtarB[NormB],$A108,tblVeriB[Roas]),0))</f>
        <v/>
      </c>
      <c r="R108" s="16">
        <f>IF($A108="","",IF(OR(IFERROR(INDEX(tblVeriA[YorumAB],MATCH($A108,tblAnahtarA[Norm],0)),"")="B",IFERROR(INDEX(tblVeriA[Durum],MATCH($A108,tblAnahtarA[Norm],0)),"")="Kampanya"),1,0))</f>
        <v/>
      </c>
      <c r="S108" s="16">
        <f>IF($A108="","",$J108-$E108)</f>
        <v/>
      </c>
      <c r="T108" s="16">
        <f>IF($A108="","",$K108-$O108)</f>
        <v/>
      </c>
    </row>
    <row r="109">
      <c r="A109" s="16">
        <f>IF('ANAHTAR'!$B109="","",'ANAHTAR'!$B109)</f>
        <v/>
      </c>
      <c r="B109" s="16">
        <f>IF($A109="","",IFERROR(SUMIF(tblAnahtarA[Norm],$A109,tblVeriA[SatisFiyati]),0))</f>
        <v/>
      </c>
      <c r="C109" s="16">
        <f>IF($A109="","",IFERROR(SUMIF(tblAnahtarA[Norm],$A109,tblVeriA[Maliyet]),0))</f>
        <v/>
      </c>
      <c r="D109" s="16">
        <f>IF($A109="","",IFERROR(SUMIF(tblAnahtarB[NormB],$A109,tblVeriB[KomisyonOran]),0))</f>
        <v/>
      </c>
      <c r="E109" s="16">
        <f>IF($A109="","",ROUND($B109*$D109,2))</f>
        <v/>
      </c>
      <c r="F109" s="16">
        <f>IF($A109="","",IFERROR(SUMIF(tblAnahtarB[NormB],$A109,tblVeriB[Kargo]),0))</f>
        <v/>
      </c>
      <c r="G109" s="16">
        <f>IF($A109="","",IFERROR(SUMIF(tblAnahtarB[NormB],$A109,tblVeriB[IadeOran]),0))</f>
        <v/>
      </c>
      <c r="H109" s="16">
        <f>IF($A109="","",ROUND($B109*$G109,2))</f>
        <v/>
      </c>
      <c r="I109" s="16">
        <f>IF($A109="","",IFERROR(SUMIF(tblAnahtarB[NormB],$A109,tblVeriB[ReklamTutar]),0))</f>
        <v/>
      </c>
      <c r="J109" s="16">
        <f>IF($A109="","",ROUND($B109-$C109,2))</f>
        <v/>
      </c>
      <c r="K109" s="16">
        <f>IF($A109="","",ROUND($B109-$C109-$E109-$F109-$H109-$I109,2))</f>
        <v/>
      </c>
      <c r="L109" s="16">
        <f>IF(OR($A109="",$B109=0),0,$K109/$B109)</f>
        <v/>
      </c>
      <c r="M109" s="16">
        <f>IF($A109="","",IF((1-$D109-$G109)&lt;=0,0,ROUND(($C109+$F109+$I109)/(1-$D109-$G109),2)))</f>
        <v/>
      </c>
      <c r="N109" s="16">
        <f>IF($A109="","",IFERROR(SUMIF(tblAnahtarA[Norm],$A109,tblVeriA[HedefNet]),0))</f>
        <v/>
      </c>
      <c r="O109" s="16">
        <f>IF($A109="","",ROUND($K109-$N109,2))</f>
        <v/>
      </c>
      <c r="P109" s="16">
        <f>IF($A109="","",IF($L109&lt;egk_esikKatkiDusuk,"ZAM YAP",IF(AND($R109=1,$L109&lt;egk_esikKatkiHedef),"İNDİRİMİ KES","TUT")))</f>
        <v/>
      </c>
      <c r="Q109" s="16">
        <f>IF($A109="","",IFERROR(SUMIF(tblAnahtarB[NormB],$A109,tblVeriB[Roas]),0))</f>
        <v/>
      </c>
      <c r="R109" s="16">
        <f>IF($A109="","",IF(OR(IFERROR(INDEX(tblVeriA[YorumAB],MATCH($A109,tblAnahtarA[Norm],0)),"")="B",IFERROR(INDEX(tblVeriA[Durum],MATCH($A109,tblAnahtarA[Norm],0)),"")="Kampanya"),1,0))</f>
        <v/>
      </c>
      <c r="S109" s="16">
        <f>IF($A109="","",$J109-$E109)</f>
        <v/>
      </c>
      <c r="T109" s="16">
        <f>IF($A109="","",$K109-$O109)</f>
        <v/>
      </c>
    </row>
    <row r="110">
      <c r="A110" s="16">
        <f>IF('ANAHTAR'!$B110="","",'ANAHTAR'!$B110)</f>
        <v/>
      </c>
      <c r="B110" s="16">
        <f>IF($A110="","",IFERROR(SUMIF(tblAnahtarA[Norm],$A110,tblVeriA[SatisFiyati]),0))</f>
        <v/>
      </c>
      <c r="C110" s="16">
        <f>IF($A110="","",IFERROR(SUMIF(tblAnahtarA[Norm],$A110,tblVeriA[Maliyet]),0))</f>
        <v/>
      </c>
      <c r="D110" s="16">
        <f>IF($A110="","",IFERROR(SUMIF(tblAnahtarB[NormB],$A110,tblVeriB[KomisyonOran]),0))</f>
        <v/>
      </c>
      <c r="E110" s="16">
        <f>IF($A110="","",ROUND($B110*$D110,2))</f>
        <v/>
      </c>
      <c r="F110" s="16">
        <f>IF($A110="","",IFERROR(SUMIF(tblAnahtarB[NormB],$A110,tblVeriB[Kargo]),0))</f>
        <v/>
      </c>
      <c r="G110" s="16">
        <f>IF($A110="","",IFERROR(SUMIF(tblAnahtarB[NormB],$A110,tblVeriB[IadeOran]),0))</f>
        <v/>
      </c>
      <c r="H110" s="16">
        <f>IF($A110="","",ROUND($B110*$G110,2))</f>
        <v/>
      </c>
      <c r="I110" s="16">
        <f>IF($A110="","",IFERROR(SUMIF(tblAnahtarB[NormB],$A110,tblVeriB[ReklamTutar]),0))</f>
        <v/>
      </c>
      <c r="J110" s="16">
        <f>IF($A110="","",ROUND($B110-$C110,2))</f>
        <v/>
      </c>
      <c r="K110" s="16">
        <f>IF($A110="","",ROUND($B110-$C110-$E110-$F110-$H110-$I110,2))</f>
        <v/>
      </c>
      <c r="L110" s="16">
        <f>IF(OR($A110="",$B110=0),0,$K110/$B110)</f>
        <v/>
      </c>
      <c r="M110" s="16">
        <f>IF($A110="","",IF((1-$D110-$G110)&lt;=0,0,ROUND(($C110+$F110+$I110)/(1-$D110-$G110),2)))</f>
        <v/>
      </c>
      <c r="N110" s="16">
        <f>IF($A110="","",IFERROR(SUMIF(tblAnahtarA[Norm],$A110,tblVeriA[HedefNet]),0))</f>
        <v/>
      </c>
      <c r="O110" s="16">
        <f>IF($A110="","",ROUND($K110-$N110,2))</f>
        <v/>
      </c>
      <c r="P110" s="16">
        <f>IF($A110="","",IF($L110&lt;egk_esikKatkiDusuk,"ZAM YAP",IF(AND($R110=1,$L110&lt;egk_esikKatkiHedef),"İNDİRİMİ KES","TUT")))</f>
        <v/>
      </c>
      <c r="Q110" s="16">
        <f>IF($A110="","",IFERROR(SUMIF(tblAnahtarB[NormB],$A110,tblVeriB[Roas]),0))</f>
        <v/>
      </c>
      <c r="R110" s="16">
        <f>IF($A110="","",IF(OR(IFERROR(INDEX(tblVeriA[YorumAB],MATCH($A110,tblAnahtarA[Norm],0)),"")="B",IFERROR(INDEX(tblVeriA[Durum],MATCH($A110,tblAnahtarA[Norm],0)),"")="Kampanya"),1,0))</f>
        <v/>
      </c>
      <c r="S110" s="16">
        <f>IF($A110="","",$J110-$E110)</f>
        <v/>
      </c>
      <c r="T110" s="16">
        <f>IF($A110="","",$K110-$O110)</f>
        <v/>
      </c>
    </row>
    <row r="111">
      <c r="A111" s="16">
        <f>IF('ANAHTAR'!$B111="","",'ANAHTAR'!$B111)</f>
        <v/>
      </c>
      <c r="B111" s="16">
        <f>IF($A111="","",IFERROR(SUMIF(tblAnahtarA[Norm],$A111,tblVeriA[SatisFiyati]),0))</f>
        <v/>
      </c>
      <c r="C111" s="16">
        <f>IF($A111="","",IFERROR(SUMIF(tblAnahtarA[Norm],$A111,tblVeriA[Maliyet]),0))</f>
        <v/>
      </c>
      <c r="D111" s="16">
        <f>IF($A111="","",IFERROR(SUMIF(tblAnahtarB[NormB],$A111,tblVeriB[KomisyonOran]),0))</f>
        <v/>
      </c>
      <c r="E111" s="16">
        <f>IF($A111="","",ROUND($B111*$D111,2))</f>
        <v/>
      </c>
      <c r="F111" s="16">
        <f>IF($A111="","",IFERROR(SUMIF(tblAnahtarB[NormB],$A111,tblVeriB[Kargo]),0))</f>
        <v/>
      </c>
      <c r="G111" s="16">
        <f>IF($A111="","",IFERROR(SUMIF(tblAnahtarB[NormB],$A111,tblVeriB[IadeOran]),0))</f>
        <v/>
      </c>
      <c r="H111" s="16">
        <f>IF($A111="","",ROUND($B111*$G111,2))</f>
        <v/>
      </c>
      <c r="I111" s="16">
        <f>IF($A111="","",IFERROR(SUMIF(tblAnahtarB[NormB],$A111,tblVeriB[ReklamTutar]),0))</f>
        <v/>
      </c>
      <c r="J111" s="16">
        <f>IF($A111="","",ROUND($B111-$C111,2))</f>
        <v/>
      </c>
      <c r="K111" s="16">
        <f>IF($A111="","",ROUND($B111-$C111-$E111-$F111-$H111-$I111,2))</f>
        <v/>
      </c>
      <c r="L111" s="16">
        <f>IF(OR($A111="",$B111=0),0,$K111/$B111)</f>
        <v/>
      </c>
      <c r="M111" s="16">
        <f>IF($A111="","",IF((1-$D111-$G111)&lt;=0,0,ROUND(($C111+$F111+$I111)/(1-$D111-$G111),2)))</f>
        <v/>
      </c>
      <c r="N111" s="16">
        <f>IF($A111="","",IFERROR(SUMIF(tblAnahtarA[Norm],$A111,tblVeriA[HedefNet]),0))</f>
        <v/>
      </c>
      <c r="O111" s="16">
        <f>IF($A111="","",ROUND($K111-$N111,2))</f>
        <v/>
      </c>
      <c r="P111" s="16">
        <f>IF($A111="","",IF($L111&lt;egk_esikKatkiDusuk,"ZAM YAP",IF(AND($R111=1,$L111&lt;egk_esikKatkiHedef),"İNDİRİMİ KES","TUT")))</f>
        <v/>
      </c>
      <c r="Q111" s="16">
        <f>IF($A111="","",IFERROR(SUMIF(tblAnahtarB[NormB],$A111,tblVeriB[Roas]),0))</f>
        <v/>
      </c>
      <c r="R111" s="16">
        <f>IF($A111="","",IF(OR(IFERROR(INDEX(tblVeriA[YorumAB],MATCH($A111,tblAnahtarA[Norm],0)),"")="B",IFERROR(INDEX(tblVeriA[Durum],MATCH($A111,tblAnahtarA[Norm],0)),"")="Kampanya"),1,0))</f>
        <v/>
      </c>
      <c r="S111" s="16">
        <f>IF($A111="","",$J111-$E111)</f>
        <v/>
      </c>
      <c r="T111" s="16">
        <f>IF($A111="","",$K111-$O111)</f>
        <v/>
      </c>
    </row>
    <row r="112">
      <c r="A112" s="16">
        <f>IF('ANAHTAR'!$B112="","",'ANAHTAR'!$B112)</f>
        <v/>
      </c>
      <c r="B112" s="16">
        <f>IF($A112="","",IFERROR(SUMIF(tblAnahtarA[Norm],$A112,tblVeriA[SatisFiyati]),0))</f>
        <v/>
      </c>
      <c r="C112" s="16">
        <f>IF($A112="","",IFERROR(SUMIF(tblAnahtarA[Norm],$A112,tblVeriA[Maliyet]),0))</f>
        <v/>
      </c>
      <c r="D112" s="16">
        <f>IF($A112="","",IFERROR(SUMIF(tblAnahtarB[NormB],$A112,tblVeriB[KomisyonOran]),0))</f>
        <v/>
      </c>
      <c r="E112" s="16">
        <f>IF($A112="","",ROUND($B112*$D112,2))</f>
        <v/>
      </c>
      <c r="F112" s="16">
        <f>IF($A112="","",IFERROR(SUMIF(tblAnahtarB[NormB],$A112,tblVeriB[Kargo]),0))</f>
        <v/>
      </c>
      <c r="G112" s="16">
        <f>IF($A112="","",IFERROR(SUMIF(tblAnahtarB[NormB],$A112,tblVeriB[IadeOran]),0))</f>
        <v/>
      </c>
      <c r="H112" s="16">
        <f>IF($A112="","",ROUND($B112*$G112,2))</f>
        <v/>
      </c>
      <c r="I112" s="16">
        <f>IF($A112="","",IFERROR(SUMIF(tblAnahtarB[NormB],$A112,tblVeriB[ReklamTutar]),0))</f>
        <v/>
      </c>
      <c r="J112" s="16">
        <f>IF($A112="","",ROUND($B112-$C112,2))</f>
        <v/>
      </c>
      <c r="K112" s="16">
        <f>IF($A112="","",ROUND($B112-$C112-$E112-$F112-$H112-$I112,2))</f>
        <v/>
      </c>
      <c r="L112" s="16">
        <f>IF(OR($A112="",$B112=0),0,$K112/$B112)</f>
        <v/>
      </c>
      <c r="M112" s="16">
        <f>IF($A112="","",IF((1-$D112-$G112)&lt;=0,0,ROUND(($C112+$F112+$I112)/(1-$D112-$G112),2)))</f>
        <v/>
      </c>
      <c r="N112" s="16">
        <f>IF($A112="","",IFERROR(SUMIF(tblAnahtarA[Norm],$A112,tblVeriA[HedefNet]),0))</f>
        <v/>
      </c>
      <c r="O112" s="16">
        <f>IF($A112="","",ROUND($K112-$N112,2))</f>
        <v/>
      </c>
      <c r="P112" s="16">
        <f>IF($A112="","",IF($L112&lt;egk_esikKatkiDusuk,"ZAM YAP",IF(AND($R112=1,$L112&lt;egk_esikKatkiHedef),"İNDİRİMİ KES","TUT")))</f>
        <v/>
      </c>
      <c r="Q112" s="16">
        <f>IF($A112="","",IFERROR(SUMIF(tblAnahtarB[NormB],$A112,tblVeriB[Roas]),0))</f>
        <v/>
      </c>
      <c r="R112" s="16">
        <f>IF($A112="","",IF(OR(IFERROR(INDEX(tblVeriA[YorumAB],MATCH($A112,tblAnahtarA[Norm],0)),"")="B",IFERROR(INDEX(tblVeriA[Durum],MATCH($A112,tblAnahtarA[Norm],0)),"")="Kampanya"),1,0))</f>
        <v/>
      </c>
      <c r="S112" s="16">
        <f>IF($A112="","",$J112-$E112)</f>
        <v/>
      </c>
      <c r="T112" s="16">
        <f>IF($A112="","",$K112-$O112)</f>
        <v/>
      </c>
    </row>
    <row r="113">
      <c r="A113" s="16">
        <f>IF('ANAHTAR'!$B113="","",'ANAHTAR'!$B113)</f>
        <v/>
      </c>
      <c r="B113" s="16">
        <f>IF($A113="","",IFERROR(SUMIF(tblAnahtarA[Norm],$A113,tblVeriA[SatisFiyati]),0))</f>
        <v/>
      </c>
      <c r="C113" s="16">
        <f>IF($A113="","",IFERROR(SUMIF(tblAnahtarA[Norm],$A113,tblVeriA[Maliyet]),0))</f>
        <v/>
      </c>
      <c r="D113" s="16">
        <f>IF($A113="","",IFERROR(SUMIF(tblAnahtarB[NormB],$A113,tblVeriB[KomisyonOran]),0))</f>
        <v/>
      </c>
      <c r="E113" s="16">
        <f>IF($A113="","",ROUND($B113*$D113,2))</f>
        <v/>
      </c>
      <c r="F113" s="16">
        <f>IF($A113="","",IFERROR(SUMIF(tblAnahtarB[NormB],$A113,tblVeriB[Kargo]),0))</f>
        <v/>
      </c>
      <c r="G113" s="16">
        <f>IF($A113="","",IFERROR(SUMIF(tblAnahtarB[NormB],$A113,tblVeriB[IadeOran]),0))</f>
        <v/>
      </c>
      <c r="H113" s="16">
        <f>IF($A113="","",ROUND($B113*$G113,2))</f>
        <v/>
      </c>
      <c r="I113" s="16">
        <f>IF($A113="","",IFERROR(SUMIF(tblAnahtarB[NormB],$A113,tblVeriB[ReklamTutar]),0))</f>
        <v/>
      </c>
      <c r="J113" s="16">
        <f>IF($A113="","",ROUND($B113-$C113,2))</f>
        <v/>
      </c>
      <c r="K113" s="16">
        <f>IF($A113="","",ROUND($B113-$C113-$E113-$F113-$H113-$I113,2))</f>
        <v/>
      </c>
      <c r="L113" s="16">
        <f>IF(OR($A113="",$B113=0),0,$K113/$B113)</f>
        <v/>
      </c>
      <c r="M113" s="16">
        <f>IF($A113="","",IF((1-$D113-$G113)&lt;=0,0,ROUND(($C113+$F113+$I113)/(1-$D113-$G113),2)))</f>
        <v/>
      </c>
      <c r="N113" s="16">
        <f>IF($A113="","",IFERROR(SUMIF(tblAnahtarA[Norm],$A113,tblVeriA[HedefNet]),0))</f>
        <v/>
      </c>
      <c r="O113" s="16">
        <f>IF($A113="","",ROUND($K113-$N113,2))</f>
        <v/>
      </c>
      <c r="P113" s="16">
        <f>IF($A113="","",IF($L113&lt;egk_esikKatkiDusuk,"ZAM YAP",IF(AND($R113=1,$L113&lt;egk_esikKatkiHedef),"İNDİRİMİ KES","TUT")))</f>
        <v/>
      </c>
      <c r="Q113" s="16">
        <f>IF($A113="","",IFERROR(SUMIF(tblAnahtarB[NormB],$A113,tblVeriB[Roas]),0))</f>
        <v/>
      </c>
      <c r="R113" s="16">
        <f>IF($A113="","",IF(OR(IFERROR(INDEX(tblVeriA[YorumAB],MATCH($A113,tblAnahtarA[Norm],0)),"")="B",IFERROR(INDEX(tblVeriA[Durum],MATCH($A113,tblAnahtarA[Norm],0)),"")="Kampanya"),1,0))</f>
        <v/>
      </c>
      <c r="S113" s="16">
        <f>IF($A113="","",$J113-$E113)</f>
        <v/>
      </c>
      <c r="T113" s="16">
        <f>IF($A113="","",$K113-$O113)</f>
        <v/>
      </c>
    </row>
    <row r="114">
      <c r="A114" s="16">
        <f>IF('ANAHTAR'!$B114="","",'ANAHTAR'!$B114)</f>
        <v/>
      </c>
      <c r="B114" s="16">
        <f>IF($A114="","",IFERROR(SUMIF(tblAnahtarA[Norm],$A114,tblVeriA[SatisFiyati]),0))</f>
        <v/>
      </c>
      <c r="C114" s="16">
        <f>IF($A114="","",IFERROR(SUMIF(tblAnahtarA[Norm],$A114,tblVeriA[Maliyet]),0))</f>
        <v/>
      </c>
      <c r="D114" s="16">
        <f>IF($A114="","",IFERROR(SUMIF(tblAnahtarB[NormB],$A114,tblVeriB[KomisyonOran]),0))</f>
        <v/>
      </c>
      <c r="E114" s="16">
        <f>IF($A114="","",ROUND($B114*$D114,2))</f>
        <v/>
      </c>
      <c r="F114" s="16">
        <f>IF($A114="","",IFERROR(SUMIF(tblAnahtarB[NormB],$A114,tblVeriB[Kargo]),0))</f>
        <v/>
      </c>
      <c r="G114" s="16">
        <f>IF($A114="","",IFERROR(SUMIF(tblAnahtarB[NormB],$A114,tblVeriB[IadeOran]),0))</f>
        <v/>
      </c>
      <c r="H114" s="16">
        <f>IF($A114="","",ROUND($B114*$G114,2))</f>
        <v/>
      </c>
      <c r="I114" s="16">
        <f>IF($A114="","",IFERROR(SUMIF(tblAnahtarB[NormB],$A114,tblVeriB[ReklamTutar]),0))</f>
        <v/>
      </c>
      <c r="J114" s="16">
        <f>IF($A114="","",ROUND($B114-$C114,2))</f>
        <v/>
      </c>
      <c r="K114" s="16">
        <f>IF($A114="","",ROUND($B114-$C114-$E114-$F114-$H114-$I114,2))</f>
        <v/>
      </c>
      <c r="L114" s="16">
        <f>IF(OR($A114="",$B114=0),0,$K114/$B114)</f>
        <v/>
      </c>
      <c r="M114" s="16">
        <f>IF($A114="","",IF((1-$D114-$G114)&lt;=0,0,ROUND(($C114+$F114+$I114)/(1-$D114-$G114),2)))</f>
        <v/>
      </c>
      <c r="N114" s="16">
        <f>IF($A114="","",IFERROR(SUMIF(tblAnahtarA[Norm],$A114,tblVeriA[HedefNet]),0))</f>
        <v/>
      </c>
      <c r="O114" s="16">
        <f>IF($A114="","",ROUND($K114-$N114,2))</f>
        <v/>
      </c>
      <c r="P114" s="16">
        <f>IF($A114="","",IF($L114&lt;egk_esikKatkiDusuk,"ZAM YAP",IF(AND($R114=1,$L114&lt;egk_esikKatkiHedef),"İNDİRİMİ KES","TUT")))</f>
        <v/>
      </c>
      <c r="Q114" s="16">
        <f>IF($A114="","",IFERROR(SUMIF(tblAnahtarB[NormB],$A114,tblVeriB[Roas]),0))</f>
        <v/>
      </c>
      <c r="R114" s="16">
        <f>IF($A114="","",IF(OR(IFERROR(INDEX(tblVeriA[YorumAB],MATCH($A114,tblAnahtarA[Norm],0)),"")="B",IFERROR(INDEX(tblVeriA[Durum],MATCH($A114,tblAnahtarA[Norm],0)),"")="Kampanya"),1,0))</f>
        <v/>
      </c>
      <c r="S114" s="16">
        <f>IF($A114="","",$J114-$E114)</f>
        <v/>
      </c>
      <c r="T114" s="16">
        <f>IF($A114="","",$K114-$O114)</f>
        <v/>
      </c>
    </row>
    <row r="115">
      <c r="A115" s="16">
        <f>IF('ANAHTAR'!$B115="","",'ANAHTAR'!$B115)</f>
        <v/>
      </c>
      <c r="B115" s="16">
        <f>IF($A115="","",IFERROR(SUMIF(tblAnahtarA[Norm],$A115,tblVeriA[SatisFiyati]),0))</f>
        <v/>
      </c>
      <c r="C115" s="16">
        <f>IF($A115="","",IFERROR(SUMIF(tblAnahtarA[Norm],$A115,tblVeriA[Maliyet]),0))</f>
        <v/>
      </c>
      <c r="D115" s="16">
        <f>IF($A115="","",IFERROR(SUMIF(tblAnahtarB[NormB],$A115,tblVeriB[KomisyonOran]),0))</f>
        <v/>
      </c>
      <c r="E115" s="16">
        <f>IF($A115="","",ROUND($B115*$D115,2))</f>
        <v/>
      </c>
      <c r="F115" s="16">
        <f>IF($A115="","",IFERROR(SUMIF(tblAnahtarB[NormB],$A115,tblVeriB[Kargo]),0))</f>
        <v/>
      </c>
      <c r="G115" s="16">
        <f>IF($A115="","",IFERROR(SUMIF(tblAnahtarB[NormB],$A115,tblVeriB[IadeOran]),0))</f>
        <v/>
      </c>
      <c r="H115" s="16">
        <f>IF($A115="","",ROUND($B115*$G115,2))</f>
        <v/>
      </c>
      <c r="I115" s="16">
        <f>IF($A115="","",IFERROR(SUMIF(tblAnahtarB[NormB],$A115,tblVeriB[ReklamTutar]),0))</f>
        <v/>
      </c>
      <c r="J115" s="16">
        <f>IF($A115="","",ROUND($B115-$C115,2))</f>
        <v/>
      </c>
      <c r="K115" s="16">
        <f>IF($A115="","",ROUND($B115-$C115-$E115-$F115-$H115-$I115,2))</f>
        <v/>
      </c>
      <c r="L115" s="16">
        <f>IF(OR($A115="",$B115=0),0,$K115/$B115)</f>
        <v/>
      </c>
      <c r="M115" s="16">
        <f>IF($A115="","",IF((1-$D115-$G115)&lt;=0,0,ROUND(($C115+$F115+$I115)/(1-$D115-$G115),2)))</f>
        <v/>
      </c>
      <c r="N115" s="16">
        <f>IF($A115="","",IFERROR(SUMIF(tblAnahtarA[Norm],$A115,tblVeriA[HedefNet]),0))</f>
        <v/>
      </c>
      <c r="O115" s="16">
        <f>IF($A115="","",ROUND($K115-$N115,2))</f>
        <v/>
      </c>
      <c r="P115" s="16">
        <f>IF($A115="","",IF($L115&lt;egk_esikKatkiDusuk,"ZAM YAP",IF(AND($R115=1,$L115&lt;egk_esikKatkiHedef),"İNDİRİMİ KES","TUT")))</f>
        <v/>
      </c>
      <c r="Q115" s="16">
        <f>IF($A115="","",IFERROR(SUMIF(tblAnahtarB[NormB],$A115,tblVeriB[Roas]),0))</f>
        <v/>
      </c>
      <c r="R115" s="16">
        <f>IF($A115="","",IF(OR(IFERROR(INDEX(tblVeriA[YorumAB],MATCH($A115,tblAnahtarA[Norm],0)),"")="B",IFERROR(INDEX(tblVeriA[Durum],MATCH($A115,tblAnahtarA[Norm],0)),"")="Kampanya"),1,0))</f>
        <v/>
      </c>
      <c r="S115" s="16">
        <f>IF($A115="","",$J115-$E115)</f>
        <v/>
      </c>
      <c r="T115" s="16">
        <f>IF($A115="","",$K115-$O115)</f>
        <v/>
      </c>
    </row>
    <row r="116">
      <c r="A116" s="16">
        <f>IF('ANAHTAR'!$B116="","",'ANAHTAR'!$B116)</f>
        <v/>
      </c>
      <c r="B116" s="16">
        <f>IF($A116="","",IFERROR(SUMIF(tblAnahtarA[Norm],$A116,tblVeriA[SatisFiyati]),0))</f>
        <v/>
      </c>
      <c r="C116" s="16">
        <f>IF($A116="","",IFERROR(SUMIF(tblAnahtarA[Norm],$A116,tblVeriA[Maliyet]),0))</f>
        <v/>
      </c>
      <c r="D116" s="16">
        <f>IF($A116="","",IFERROR(SUMIF(tblAnahtarB[NormB],$A116,tblVeriB[KomisyonOran]),0))</f>
        <v/>
      </c>
      <c r="E116" s="16">
        <f>IF($A116="","",ROUND($B116*$D116,2))</f>
        <v/>
      </c>
      <c r="F116" s="16">
        <f>IF($A116="","",IFERROR(SUMIF(tblAnahtarB[NormB],$A116,tblVeriB[Kargo]),0))</f>
        <v/>
      </c>
      <c r="G116" s="16">
        <f>IF($A116="","",IFERROR(SUMIF(tblAnahtarB[NormB],$A116,tblVeriB[IadeOran]),0))</f>
        <v/>
      </c>
      <c r="H116" s="16">
        <f>IF($A116="","",ROUND($B116*$G116,2))</f>
        <v/>
      </c>
      <c r="I116" s="16">
        <f>IF($A116="","",IFERROR(SUMIF(tblAnahtarB[NormB],$A116,tblVeriB[ReklamTutar]),0))</f>
        <v/>
      </c>
      <c r="J116" s="16">
        <f>IF($A116="","",ROUND($B116-$C116,2))</f>
        <v/>
      </c>
      <c r="K116" s="16">
        <f>IF($A116="","",ROUND($B116-$C116-$E116-$F116-$H116-$I116,2))</f>
        <v/>
      </c>
      <c r="L116" s="16">
        <f>IF(OR($A116="",$B116=0),0,$K116/$B116)</f>
        <v/>
      </c>
      <c r="M116" s="16">
        <f>IF($A116="","",IF((1-$D116-$G116)&lt;=0,0,ROUND(($C116+$F116+$I116)/(1-$D116-$G116),2)))</f>
        <v/>
      </c>
      <c r="N116" s="16">
        <f>IF($A116="","",IFERROR(SUMIF(tblAnahtarA[Norm],$A116,tblVeriA[HedefNet]),0))</f>
        <v/>
      </c>
      <c r="O116" s="16">
        <f>IF($A116="","",ROUND($K116-$N116,2))</f>
        <v/>
      </c>
      <c r="P116" s="16">
        <f>IF($A116="","",IF($L116&lt;egk_esikKatkiDusuk,"ZAM YAP",IF(AND($R116=1,$L116&lt;egk_esikKatkiHedef),"İNDİRİMİ KES","TUT")))</f>
        <v/>
      </c>
      <c r="Q116" s="16">
        <f>IF($A116="","",IFERROR(SUMIF(tblAnahtarB[NormB],$A116,tblVeriB[Roas]),0))</f>
        <v/>
      </c>
      <c r="R116" s="16">
        <f>IF($A116="","",IF(OR(IFERROR(INDEX(tblVeriA[YorumAB],MATCH($A116,tblAnahtarA[Norm],0)),"")="B",IFERROR(INDEX(tblVeriA[Durum],MATCH($A116,tblAnahtarA[Norm],0)),"")="Kampanya"),1,0))</f>
        <v/>
      </c>
      <c r="S116" s="16">
        <f>IF($A116="","",$J116-$E116)</f>
        <v/>
      </c>
      <c r="T116" s="16">
        <f>IF($A116="","",$K116-$O116)</f>
        <v/>
      </c>
    </row>
    <row r="117">
      <c r="A117" s="16">
        <f>IF('ANAHTAR'!$B117="","",'ANAHTAR'!$B117)</f>
        <v/>
      </c>
      <c r="B117" s="16">
        <f>IF($A117="","",IFERROR(SUMIF(tblAnahtarA[Norm],$A117,tblVeriA[SatisFiyati]),0))</f>
        <v/>
      </c>
      <c r="C117" s="16">
        <f>IF($A117="","",IFERROR(SUMIF(tblAnahtarA[Norm],$A117,tblVeriA[Maliyet]),0))</f>
        <v/>
      </c>
      <c r="D117" s="16">
        <f>IF($A117="","",IFERROR(SUMIF(tblAnahtarB[NormB],$A117,tblVeriB[KomisyonOran]),0))</f>
        <v/>
      </c>
      <c r="E117" s="16">
        <f>IF($A117="","",ROUND($B117*$D117,2))</f>
        <v/>
      </c>
      <c r="F117" s="16">
        <f>IF($A117="","",IFERROR(SUMIF(tblAnahtarB[NormB],$A117,tblVeriB[Kargo]),0))</f>
        <v/>
      </c>
      <c r="G117" s="16">
        <f>IF($A117="","",IFERROR(SUMIF(tblAnahtarB[NormB],$A117,tblVeriB[IadeOran]),0))</f>
        <v/>
      </c>
      <c r="H117" s="16">
        <f>IF($A117="","",ROUND($B117*$G117,2))</f>
        <v/>
      </c>
      <c r="I117" s="16">
        <f>IF($A117="","",IFERROR(SUMIF(tblAnahtarB[NormB],$A117,tblVeriB[ReklamTutar]),0))</f>
        <v/>
      </c>
      <c r="J117" s="16">
        <f>IF($A117="","",ROUND($B117-$C117,2))</f>
        <v/>
      </c>
      <c r="K117" s="16">
        <f>IF($A117="","",ROUND($B117-$C117-$E117-$F117-$H117-$I117,2))</f>
        <v/>
      </c>
      <c r="L117" s="16">
        <f>IF(OR($A117="",$B117=0),0,$K117/$B117)</f>
        <v/>
      </c>
      <c r="M117" s="16">
        <f>IF($A117="","",IF((1-$D117-$G117)&lt;=0,0,ROUND(($C117+$F117+$I117)/(1-$D117-$G117),2)))</f>
        <v/>
      </c>
      <c r="N117" s="16">
        <f>IF($A117="","",IFERROR(SUMIF(tblAnahtarA[Norm],$A117,tblVeriA[HedefNet]),0))</f>
        <v/>
      </c>
      <c r="O117" s="16">
        <f>IF($A117="","",ROUND($K117-$N117,2))</f>
        <v/>
      </c>
      <c r="P117" s="16">
        <f>IF($A117="","",IF($L117&lt;egk_esikKatkiDusuk,"ZAM YAP",IF(AND($R117=1,$L117&lt;egk_esikKatkiHedef),"İNDİRİMİ KES","TUT")))</f>
        <v/>
      </c>
      <c r="Q117" s="16">
        <f>IF($A117="","",IFERROR(SUMIF(tblAnahtarB[NormB],$A117,tblVeriB[Roas]),0))</f>
        <v/>
      </c>
      <c r="R117" s="16">
        <f>IF($A117="","",IF(OR(IFERROR(INDEX(tblVeriA[YorumAB],MATCH($A117,tblAnahtarA[Norm],0)),"")="B",IFERROR(INDEX(tblVeriA[Durum],MATCH($A117,tblAnahtarA[Norm],0)),"")="Kampanya"),1,0))</f>
        <v/>
      </c>
      <c r="S117" s="16">
        <f>IF($A117="","",$J117-$E117)</f>
        <v/>
      </c>
      <c r="T117" s="16">
        <f>IF($A117="","",$K117-$O117)</f>
        <v/>
      </c>
    </row>
    <row r="118">
      <c r="A118" s="16">
        <f>IF('ANAHTAR'!$B118="","",'ANAHTAR'!$B118)</f>
        <v/>
      </c>
      <c r="B118" s="16">
        <f>IF($A118="","",IFERROR(SUMIF(tblAnahtarA[Norm],$A118,tblVeriA[SatisFiyati]),0))</f>
        <v/>
      </c>
      <c r="C118" s="16">
        <f>IF($A118="","",IFERROR(SUMIF(tblAnahtarA[Norm],$A118,tblVeriA[Maliyet]),0))</f>
        <v/>
      </c>
      <c r="D118" s="16">
        <f>IF($A118="","",IFERROR(SUMIF(tblAnahtarB[NormB],$A118,tblVeriB[KomisyonOran]),0))</f>
        <v/>
      </c>
      <c r="E118" s="16">
        <f>IF($A118="","",ROUND($B118*$D118,2))</f>
        <v/>
      </c>
      <c r="F118" s="16">
        <f>IF($A118="","",IFERROR(SUMIF(tblAnahtarB[NormB],$A118,tblVeriB[Kargo]),0))</f>
        <v/>
      </c>
      <c r="G118" s="16">
        <f>IF($A118="","",IFERROR(SUMIF(tblAnahtarB[NormB],$A118,tblVeriB[IadeOran]),0))</f>
        <v/>
      </c>
      <c r="H118" s="16">
        <f>IF($A118="","",ROUND($B118*$G118,2))</f>
        <v/>
      </c>
      <c r="I118" s="16">
        <f>IF($A118="","",IFERROR(SUMIF(tblAnahtarB[NormB],$A118,tblVeriB[ReklamTutar]),0))</f>
        <v/>
      </c>
      <c r="J118" s="16">
        <f>IF($A118="","",ROUND($B118-$C118,2))</f>
        <v/>
      </c>
      <c r="K118" s="16">
        <f>IF($A118="","",ROUND($B118-$C118-$E118-$F118-$H118-$I118,2))</f>
        <v/>
      </c>
      <c r="L118" s="16">
        <f>IF(OR($A118="",$B118=0),0,$K118/$B118)</f>
        <v/>
      </c>
      <c r="M118" s="16">
        <f>IF($A118="","",IF((1-$D118-$G118)&lt;=0,0,ROUND(($C118+$F118+$I118)/(1-$D118-$G118),2)))</f>
        <v/>
      </c>
      <c r="N118" s="16">
        <f>IF($A118="","",IFERROR(SUMIF(tblAnahtarA[Norm],$A118,tblVeriA[HedefNet]),0))</f>
        <v/>
      </c>
      <c r="O118" s="16">
        <f>IF($A118="","",ROUND($K118-$N118,2))</f>
        <v/>
      </c>
      <c r="P118" s="16">
        <f>IF($A118="","",IF($L118&lt;egk_esikKatkiDusuk,"ZAM YAP",IF(AND($R118=1,$L118&lt;egk_esikKatkiHedef),"İNDİRİMİ KES","TUT")))</f>
        <v/>
      </c>
      <c r="Q118" s="16">
        <f>IF($A118="","",IFERROR(SUMIF(tblAnahtarB[NormB],$A118,tblVeriB[Roas]),0))</f>
        <v/>
      </c>
      <c r="R118" s="16">
        <f>IF($A118="","",IF(OR(IFERROR(INDEX(tblVeriA[YorumAB],MATCH($A118,tblAnahtarA[Norm],0)),"")="B",IFERROR(INDEX(tblVeriA[Durum],MATCH($A118,tblAnahtarA[Norm],0)),"")="Kampanya"),1,0))</f>
        <v/>
      </c>
      <c r="S118" s="16">
        <f>IF($A118="","",$J118-$E118)</f>
        <v/>
      </c>
      <c r="T118" s="16">
        <f>IF($A118="","",$K118-$O118)</f>
        <v/>
      </c>
    </row>
    <row r="119">
      <c r="A119" s="16">
        <f>IF('ANAHTAR'!$B119="","",'ANAHTAR'!$B119)</f>
        <v/>
      </c>
      <c r="B119" s="16">
        <f>IF($A119="","",IFERROR(SUMIF(tblAnahtarA[Norm],$A119,tblVeriA[SatisFiyati]),0))</f>
        <v/>
      </c>
      <c r="C119" s="16">
        <f>IF($A119="","",IFERROR(SUMIF(tblAnahtarA[Norm],$A119,tblVeriA[Maliyet]),0))</f>
        <v/>
      </c>
      <c r="D119" s="16">
        <f>IF($A119="","",IFERROR(SUMIF(tblAnahtarB[NormB],$A119,tblVeriB[KomisyonOran]),0))</f>
        <v/>
      </c>
      <c r="E119" s="16">
        <f>IF($A119="","",ROUND($B119*$D119,2))</f>
        <v/>
      </c>
      <c r="F119" s="16">
        <f>IF($A119="","",IFERROR(SUMIF(tblAnahtarB[NormB],$A119,tblVeriB[Kargo]),0))</f>
        <v/>
      </c>
      <c r="G119" s="16">
        <f>IF($A119="","",IFERROR(SUMIF(tblAnahtarB[NormB],$A119,tblVeriB[IadeOran]),0))</f>
        <v/>
      </c>
      <c r="H119" s="16">
        <f>IF($A119="","",ROUND($B119*$G119,2))</f>
        <v/>
      </c>
      <c r="I119" s="16">
        <f>IF($A119="","",IFERROR(SUMIF(tblAnahtarB[NormB],$A119,tblVeriB[ReklamTutar]),0))</f>
        <v/>
      </c>
      <c r="J119" s="16">
        <f>IF($A119="","",ROUND($B119-$C119,2))</f>
        <v/>
      </c>
      <c r="K119" s="16">
        <f>IF($A119="","",ROUND($B119-$C119-$E119-$F119-$H119-$I119,2))</f>
        <v/>
      </c>
      <c r="L119" s="16">
        <f>IF(OR($A119="",$B119=0),0,$K119/$B119)</f>
        <v/>
      </c>
      <c r="M119" s="16">
        <f>IF($A119="","",IF((1-$D119-$G119)&lt;=0,0,ROUND(($C119+$F119+$I119)/(1-$D119-$G119),2)))</f>
        <v/>
      </c>
      <c r="N119" s="16">
        <f>IF($A119="","",IFERROR(SUMIF(tblAnahtarA[Norm],$A119,tblVeriA[HedefNet]),0))</f>
        <v/>
      </c>
      <c r="O119" s="16">
        <f>IF($A119="","",ROUND($K119-$N119,2))</f>
        <v/>
      </c>
      <c r="P119" s="16">
        <f>IF($A119="","",IF($L119&lt;egk_esikKatkiDusuk,"ZAM YAP",IF(AND($R119=1,$L119&lt;egk_esikKatkiHedef),"İNDİRİMİ KES","TUT")))</f>
        <v/>
      </c>
      <c r="Q119" s="16">
        <f>IF($A119="","",IFERROR(SUMIF(tblAnahtarB[NormB],$A119,tblVeriB[Roas]),0))</f>
        <v/>
      </c>
      <c r="R119" s="16">
        <f>IF($A119="","",IF(OR(IFERROR(INDEX(tblVeriA[YorumAB],MATCH($A119,tblAnahtarA[Norm],0)),"")="B",IFERROR(INDEX(tblVeriA[Durum],MATCH($A119,tblAnahtarA[Norm],0)),"")="Kampanya"),1,0))</f>
        <v/>
      </c>
      <c r="S119" s="16">
        <f>IF($A119="","",$J119-$E119)</f>
        <v/>
      </c>
      <c r="T119" s="16">
        <f>IF($A119="","",$K119-$O119)</f>
        <v/>
      </c>
    </row>
    <row r="120">
      <c r="A120" s="16">
        <f>IF('ANAHTAR'!$B120="","",'ANAHTAR'!$B120)</f>
        <v/>
      </c>
      <c r="B120" s="16">
        <f>IF($A120="","",IFERROR(SUMIF(tblAnahtarA[Norm],$A120,tblVeriA[SatisFiyati]),0))</f>
        <v/>
      </c>
      <c r="C120" s="16">
        <f>IF($A120="","",IFERROR(SUMIF(tblAnahtarA[Norm],$A120,tblVeriA[Maliyet]),0))</f>
        <v/>
      </c>
      <c r="D120" s="16">
        <f>IF($A120="","",IFERROR(SUMIF(tblAnahtarB[NormB],$A120,tblVeriB[KomisyonOran]),0))</f>
        <v/>
      </c>
      <c r="E120" s="16">
        <f>IF($A120="","",ROUND($B120*$D120,2))</f>
        <v/>
      </c>
      <c r="F120" s="16">
        <f>IF($A120="","",IFERROR(SUMIF(tblAnahtarB[NormB],$A120,tblVeriB[Kargo]),0))</f>
        <v/>
      </c>
      <c r="G120" s="16">
        <f>IF($A120="","",IFERROR(SUMIF(tblAnahtarB[NormB],$A120,tblVeriB[IadeOran]),0))</f>
        <v/>
      </c>
      <c r="H120" s="16">
        <f>IF($A120="","",ROUND($B120*$G120,2))</f>
        <v/>
      </c>
      <c r="I120" s="16">
        <f>IF($A120="","",IFERROR(SUMIF(tblAnahtarB[NormB],$A120,tblVeriB[ReklamTutar]),0))</f>
        <v/>
      </c>
      <c r="J120" s="16">
        <f>IF($A120="","",ROUND($B120-$C120,2))</f>
        <v/>
      </c>
      <c r="K120" s="16">
        <f>IF($A120="","",ROUND($B120-$C120-$E120-$F120-$H120-$I120,2))</f>
        <v/>
      </c>
      <c r="L120" s="16">
        <f>IF(OR($A120="",$B120=0),0,$K120/$B120)</f>
        <v/>
      </c>
      <c r="M120" s="16">
        <f>IF($A120="","",IF((1-$D120-$G120)&lt;=0,0,ROUND(($C120+$F120+$I120)/(1-$D120-$G120),2)))</f>
        <v/>
      </c>
      <c r="N120" s="16">
        <f>IF($A120="","",IFERROR(SUMIF(tblAnahtarA[Norm],$A120,tblVeriA[HedefNet]),0))</f>
        <v/>
      </c>
      <c r="O120" s="16">
        <f>IF($A120="","",ROUND($K120-$N120,2))</f>
        <v/>
      </c>
      <c r="P120" s="16">
        <f>IF($A120="","",IF($L120&lt;egk_esikKatkiDusuk,"ZAM YAP",IF(AND($R120=1,$L120&lt;egk_esikKatkiHedef),"İNDİRİMİ KES","TUT")))</f>
        <v/>
      </c>
      <c r="Q120" s="16">
        <f>IF($A120="","",IFERROR(SUMIF(tblAnahtarB[NormB],$A120,tblVeriB[Roas]),0))</f>
        <v/>
      </c>
      <c r="R120" s="16">
        <f>IF($A120="","",IF(OR(IFERROR(INDEX(tblVeriA[YorumAB],MATCH($A120,tblAnahtarA[Norm],0)),"")="B",IFERROR(INDEX(tblVeriA[Durum],MATCH($A120,tblAnahtarA[Norm],0)),"")="Kampanya"),1,0))</f>
        <v/>
      </c>
      <c r="S120" s="16">
        <f>IF($A120="","",$J120-$E120)</f>
        <v/>
      </c>
      <c r="T120" s="16">
        <f>IF($A120="","",$K120-$O120)</f>
        <v/>
      </c>
    </row>
    <row r="121">
      <c r="A121" s="16">
        <f>IF('ANAHTAR'!$B121="","",'ANAHTAR'!$B121)</f>
        <v/>
      </c>
      <c r="B121" s="16">
        <f>IF($A121="","",IFERROR(SUMIF(tblAnahtarA[Norm],$A121,tblVeriA[SatisFiyati]),0))</f>
        <v/>
      </c>
      <c r="C121" s="16">
        <f>IF($A121="","",IFERROR(SUMIF(tblAnahtarA[Norm],$A121,tblVeriA[Maliyet]),0))</f>
        <v/>
      </c>
      <c r="D121" s="16">
        <f>IF($A121="","",IFERROR(SUMIF(tblAnahtarB[NormB],$A121,tblVeriB[KomisyonOran]),0))</f>
        <v/>
      </c>
      <c r="E121" s="16">
        <f>IF($A121="","",ROUND($B121*$D121,2))</f>
        <v/>
      </c>
      <c r="F121" s="16">
        <f>IF($A121="","",IFERROR(SUMIF(tblAnahtarB[NormB],$A121,tblVeriB[Kargo]),0))</f>
        <v/>
      </c>
      <c r="G121" s="16">
        <f>IF($A121="","",IFERROR(SUMIF(tblAnahtarB[NormB],$A121,tblVeriB[IadeOran]),0))</f>
        <v/>
      </c>
      <c r="H121" s="16">
        <f>IF($A121="","",ROUND($B121*$G121,2))</f>
        <v/>
      </c>
      <c r="I121" s="16">
        <f>IF($A121="","",IFERROR(SUMIF(tblAnahtarB[NormB],$A121,tblVeriB[ReklamTutar]),0))</f>
        <v/>
      </c>
      <c r="J121" s="16">
        <f>IF($A121="","",ROUND($B121-$C121,2))</f>
        <v/>
      </c>
      <c r="K121" s="16">
        <f>IF($A121="","",ROUND($B121-$C121-$E121-$F121-$H121-$I121,2))</f>
        <v/>
      </c>
      <c r="L121" s="16">
        <f>IF(OR($A121="",$B121=0),0,$K121/$B121)</f>
        <v/>
      </c>
      <c r="M121" s="16">
        <f>IF($A121="","",IF((1-$D121-$G121)&lt;=0,0,ROUND(($C121+$F121+$I121)/(1-$D121-$G121),2)))</f>
        <v/>
      </c>
      <c r="N121" s="16">
        <f>IF($A121="","",IFERROR(SUMIF(tblAnahtarA[Norm],$A121,tblVeriA[HedefNet]),0))</f>
        <v/>
      </c>
      <c r="O121" s="16">
        <f>IF($A121="","",ROUND($K121-$N121,2))</f>
        <v/>
      </c>
      <c r="P121" s="16">
        <f>IF($A121="","",IF($L121&lt;egk_esikKatkiDusuk,"ZAM YAP",IF(AND($R121=1,$L121&lt;egk_esikKatkiHedef),"İNDİRİMİ KES","TUT")))</f>
        <v/>
      </c>
      <c r="Q121" s="16">
        <f>IF($A121="","",IFERROR(SUMIF(tblAnahtarB[NormB],$A121,tblVeriB[Roas]),0))</f>
        <v/>
      </c>
      <c r="R121" s="16">
        <f>IF($A121="","",IF(OR(IFERROR(INDEX(tblVeriA[YorumAB],MATCH($A121,tblAnahtarA[Norm],0)),"")="B",IFERROR(INDEX(tblVeriA[Durum],MATCH($A121,tblAnahtarA[Norm],0)),"")="Kampanya"),1,0))</f>
        <v/>
      </c>
      <c r="S121" s="16">
        <f>IF($A121="","",$J121-$E121)</f>
        <v/>
      </c>
      <c r="T121" s="16">
        <f>IF($A121="","",$K121-$O121)</f>
        <v/>
      </c>
    </row>
    <row r="122">
      <c r="A122" s="16">
        <f>IF('ANAHTAR'!$B122="","",'ANAHTAR'!$B122)</f>
        <v/>
      </c>
      <c r="B122" s="16">
        <f>IF($A122="","",IFERROR(SUMIF(tblAnahtarA[Norm],$A122,tblVeriA[SatisFiyati]),0))</f>
        <v/>
      </c>
      <c r="C122" s="16">
        <f>IF($A122="","",IFERROR(SUMIF(tblAnahtarA[Norm],$A122,tblVeriA[Maliyet]),0))</f>
        <v/>
      </c>
      <c r="D122" s="16">
        <f>IF($A122="","",IFERROR(SUMIF(tblAnahtarB[NormB],$A122,tblVeriB[KomisyonOran]),0))</f>
        <v/>
      </c>
      <c r="E122" s="16">
        <f>IF($A122="","",ROUND($B122*$D122,2))</f>
        <v/>
      </c>
      <c r="F122" s="16">
        <f>IF($A122="","",IFERROR(SUMIF(tblAnahtarB[NormB],$A122,tblVeriB[Kargo]),0))</f>
        <v/>
      </c>
      <c r="G122" s="16">
        <f>IF($A122="","",IFERROR(SUMIF(tblAnahtarB[NormB],$A122,tblVeriB[IadeOran]),0))</f>
        <v/>
      </c>
      <c r="H122" s="16">
        <f>IF($A122="","",ROUND($B122*$G122,2))</f>
        <v/>
      </c>
      <c r="I122" s="16">
        <f>IF($A122="","",IFERROR(SUMIF(tblAnahtarB[NormB],$A122,tblVeriB[ReklamTutar]),0))</f>
        <v/>
      </c>
      <c r="J122" s="16">
        <f>IF($A122="","",ROUND($B122-$C122,2))</f>
        <v/>
      </c>
      <c r="K122" s="16">
        <f>IF($A122="","",ROUND($B122-$C122-$E122-$F122-$H122-$I122,2))</f>
        <v/>
      </c>
      <c r="L122" s="16">
        <f>IF(OR($A122="",$B122=0),0,$K122/$B122)</f>
        <v/>
      </c>
      <c r="M122" s="16">
        <f>IF($A122="","",IF((1-$D122-$G122)&lt;=0,0,ROUND(($C122+$F122+$I122)/(1-$D122-$G122),2)))</f>
        <v/>
      </c>
      <c r="N122" s="16">
        <f>IF($A122="","",IFERROR(SUMIF(tblAnahtarA[Norm],$A122,tblVeriA[HedefNet]),0))</f>
        <v/>
      </c>
      <c r="O122" s="16">
        <f>IF($A122="","",ROUND($K122-$N122,2))</f>
        <v/>
      </c>
      <c r="P122" s="16">
        <f>IF($A122="","",IF($L122&lt;egk_esikKatkiDusuk,"ZAM YAP",IF(AND($R122=1,$L122&lt;egk_esikKatkiHedef),"İNDİRİMİ KES","TUT")))</f>
        <v/>
      </c>
      <c r="Q122" s="16">
        <f>IF($A122="","",IFERROR(SUMIF(tblAnahtarB[NormB],$A122,tblVeriB[Roas]),0))</f>
        <v/>
      </c>
      <c r="R122" s="16">
        <f>IF($A122="","",IF(OR(IFERROR(INDEX(tblVeriA[YorumAB],MATCH($A122,tblAnahtarA[Norm],0)),"")="B",IFERROR(INDEX(tblVeriA[Durum],MATCH($A122,tblAnahtarA[Norm],0)),"")="Kampanya"),1,0))</f>
        <v/>
      </c>
      <c r="S122" s="16">
        <f>IF($A122="","",$J122-$E122)</f>
        <v/>
      </c>
      <c r="T122" s="16">
        <f>IF($A122="","",$K122-$O122)</f>
        <v/>
      </c>
    </row>
    <row r="123">
      <c r="A123" s="16">
        <f>IF('ANAHTAR'!$B123="","",'ANAHTAR'!$B123)</f>
        <v/>
      </c>
      <c r="B123" s="16">
        <f>IF($A123="","",IFERROR(SUMIF(tblAnahtarA[Norm],$A123,tblVeriA[SatisFiyati]),0))</f>
        <v/>
      </c>
      <c r="C123" s="16">
        <f>IF($A123="","",IFERROR(SUMIF(tblAnahtarA[Norm],$A123,tblVeriA[Maliyet]),0))</f>
        <v/>
      </c>
      <c r="D123" s="16">
        <f>IF($A123="","",IFERROR(SUMIF(tblAnahtarB[NormB],$A123,tblVeriB[KomisyonOran]),0))</f>
        <v/>
      </c>
      <c r="E123" s="16">
        <f>IF($A123="","",ROUND($B123*$D123,2))</f>
        <v/>
      </c>
      <c r="F123" s="16">
        <f>IF($A123="","",IFERROR(SUMIF(tblAnahtarB[NormB],$A123,tblVeriB[Kargo]),0))</f>
        <v/>
      </c>
      <c r="G123" s="16">
        <f>IF($A123="","",IFERROR(SUMIF(tblAnahtarB[NormB],$A123,tblVeriB[IadeOran]),0))</f>
        <v/>
      </c>
      <c r="H123" s="16">
        <f>IF($A123="","",ROUND($B123*$G123,2))</f>
        <v/>
      </c>
      <c r="I123" s="16">
        <f>IF($A123="","",IFERROR(SUMIF(tblAnahtarB[NormB],$A123,tblVeriB[ReklamTutar]),0))</f>
        <v/>
      </c>
      <c r="J123" s="16">
        <f>IF($A123="","",ROUND($B123-$C123,2))</f>
        <v/>
      </c>
      <c r="K123" s="16">
        <f>IF($A123="","",ROUND($B123-$C123-$E123-$F123-$H123-$I123,2))</f>
        <v/>
      </c>
      <c r="L123" s="16">
        <f>IF(OR($A123="",$B123=0),0,$K123/$B123)</f>
        <v/>
      </c>
      <c r="M123" s="16">
        <f>IF($A123="","",IF((1-$D123-$G123)&lt;=0,0,ROUND(($C123+$F123+$I123)/(1-$D123-$G123),2)))</f>
        <v/>
      </c>
      <c r="N123" s="16">
        <f>IF($A123="","",IFERROR(SUMIF(tblAnahtarA[Norm],$A123,tblVeriA[HedefNet]),0))</f>
        <v/>
      </c>
      <c r="O123" s="16">
        <f>IF($A123="","",ROUND($K123-$N123,2))</f>
        <v/>
      </c>
      <c r="P123" s="16">
        <f>IF($A123="","",IF($L123&lt;egk_esikKatkiDusuk,"ZAM YAP",IF(AND($R123=1,$L123&lt;egk_esikKatkiHedef),"İNDİRİMİ KES","TUT")))</f>
        <v/>
      </c>
      <c r="Q123" s="16">
        <f>IF($A123="","",IFERROR(SUMIF(tblAnahtarB[NormB],$A123,tblVeriB[Roas]),0))</f>
        <v/>
      </c>
      <c r="R123" s="16">
        <f>IF($A123="","",IF(OR(IFERROR(INDEX(tblVeriA[YorumAB],MATCH($A123,tblAnahtarA[Norm],0)),"")="B",IFERROR(INDEX(tblVeriA[Durum],MATCH($A123,tblAnahtarA[Norm],0)),"")="Kampanya"),1,0))</f>
        <v/>
      </c>
      <c r="S123" s="16">
        <f>IF($A123="","",$J123-$E123)</f>
        <v/>
      </c>
      <c r="T123" s="16">
        <f>IF($A123="","",$K123-$O123)</f>
        <v/>
      </c>
    </row>
    <row r="124">
      <c r="A124" s="16">
        <f>IF('ANAHTAR'!$B124="","",'ANAHTAR'!$B124)</f>
        <v/>
      </c>
      <c r="B124" s="16">
        <f>IF($A124="","",IFERROR(SUMIF(tblAnahtarA[Norm],$A124,tblVeriA[SatisFiyati]),0))</f>
        <v/>
      </c>
      <c r="C124" s="16">
        <f>IF($A124="","",IFERROR(SUMIF(tblAnahtarA[Norm],$A124,tblVeriA[Maliyet]),0))</f>
        <v/>
      </c>
      <c r="D124" s="16">
        <f>IF($A124="","",IFERROR(SUMIF(tblAnahtarB[NormB],$A124,tblVeriB[KomisyonOran]),0))</f>
        <v/>
      </c>
      <c r="E124" s="16">
        <f>IF($A124="","",ROUND($B124*$D124,2))</f>
        <v/>
      </c>
      <c r="F124" s="16">
        <f>IF($A124="","",IFERROR(SUMIF(tblAnahtarB[NormB],$A124,tblVeriB[Kargo]),0))</f>
        <v/>
      </c>
      <c r="G124" s="16">
        <f>IF($A124="","",IFERROR(SUMIF(tblAnahtarB[NormB],$A124,tblVeriB[IadeOran]),0))</f>
        <v/>
      </c>
      <c r="H124" s="16">
        <f>IF($A124="","",ROUND($B124*$G124,2))</f>
        <v/>
      </c>
      <c r="I124" s="16">
        <f>IF($A124="","",IFERROR(SUMIF(tblAnahtarB[NormB],$A124,tblVeriB[ReklamTutar]),0))</f>
        <v/>
      </c>
      <c r="J124" s="16">
        <f>IF($A124="","",ROUND($B124-$C124,2))</f>
        <v/>
      </c>
      <c r="K124" s="16">
        <f>IF($A124="","",ROUND($B124-$C124-$E124-$F124-$H124-$I124,2))</f>
        <v/>
      </c>
      <c r="L124" s="16">
        <f>IF(OR($A124="",$B124=0),0,$K124/$B124)</f>
        <v/>
      </c>
      <c r="M124" s="16">
        <f>IF($A124="","",IF((1-$D124-$G124)&lt;=0,0,ROUND(($C124+$F124+$I124)/(1-$D124-$G124),2)))</f>
        <v/>
      </c>
      <c r="N124" s="16">
        <f>IF($A124="","",IFERROR(SUMIF(tblAnahtarA[Norm],$A124,tblVeriA[HedefNet]),0))</f>
        <v/>
      </c>
      <c r="O124" s="16">
        <f>IF($A124="","",ROUND($K124-$N124,2))</f>
        <v/>
      </c>
      <c r="P124" s="16">
        <f>IF($A124="","",IF($L124&lt;egk_esikKatkiDusuk,"ZAM YAP",IF(AND($R124=1,$L124&lt;egk_esikKatkiHedef),"İNDİRİMİ KES","TUT")))</f>
        <v/>
      </c>
      <c r="Q124" s="16">
        <f>IF($A124="","",IFERROR(SUMIF(tblAnahtarB[NormB],$A124,tblVeriB[Roas]),0))</f>
        <v/>
      </c>
      <c r="R124" s="16">
        <f>IF($A124="","",IF(OR(IFERROR(INDEX(tblVeriA[YorumAB],MATCH($A124,tblAnahtarA[Norm],0)),"")="B",IFERROR(INDEX(tblVeriA[Durum],MATCH($A124,tblAnahtarA[Norm],0)),"")="Kampanya"),1,0))</f>
        <v/>
      </c>
      <c r="S124" s="16">
        <f>IF($A124="","",$J124-$E124)</f>
        <v/>
      </c>
      <c r="T124" s="16">
        <f>IF($A124="","",$K124-$O124)</f>
        <v/>
      </c>
    </row>
    <row r="125">
      <c r="A125" s="16">
        <f>IF('ANAHTAR'!$B125="","",'ANAHTAR'!$B125)</f>
        <v/>
      </c>
      <c r="B125" s="16">
        <f>IF($A125="","",IFERROR(SUMIF(tblAnahtarA[Norm],$A125,tblVeriA[SatisFiyati]),0))</f>
        <v/>
      </c>
      <c r="C125" s="16">
        <f>IF($A125="","",IFERROR(SUMIF(tblAnahtarA[Norm],$A125,tblVeriA[Maliyet]),0))</f>
        <v/>
      </c>
      <c r="D125" s="16">
        <f>IF($A125="","",IFERROR(SUMIF(tblAnahtarB[NormB],$A125,tblVeriB[KomisyonOran]),0))</f>
        <v/>
      </c>
      <c r="E125" s="16">
        <f>IF($A125="","",ROUND($B125*$D125,2))</f>
        <v/>
      </c>
      <c r="F125" s="16">
        <f>IF($A125="","",IFERROR(SUMIF(tblAnahtarB[NormB],$A125,tblVeriB[Kargo]),0))</f>
        <v/>
      </c>
      <c r="G125" s="16">
        <f>IF($A125="","",IFERROR(SUMIF(tblAnahtarB[NormB],$A125,tblVeriB[IadeOran]),0))</f>
        <v/>
      </c>
      <c r="H125" s="16">
        <f>IF($A125="","",ROUND($B125*$G125,2))</f>
        <v/>
      </c>
      <c r="I125" s="16">
        <f>IF($A125="","",IFERROR(SUMIF(tblAnahtarB[NormB],$A125,tblVeriB[ReklamTutar]),0))</f>
        <v/>
      </c>
      <c r="J125" s="16">
        <f>IF($A125="","",ROUND($B125-$C125,2))</f>
        <v/>
      </c>
      <c r="K125" s="16">
        <f>IF($A125="","",ROUND($B125-$C125-$E125-$F125-$H125-$I125,2))</f>
        <v/>
      </c>
      <c r="L125" s="16">
        <f>IF(OR($A125="",$B125=0),0,$K125/$B125)</f>
        <v/>
      </c>
      <c r="M125" s="16">
        <f>IF($A125="","",IF((1-$D125-$G125)&lt;=0,0,ROUND(($C125+$F125+$I125)/(1-$D125-$G125),2)))</f>
        <v/>
      </c>
      <c r="N125" s="16">
        <f>IF($A125="","",IFERROR(SUMIF(tblAnahtarA[Norm],$A125,tblVeriA[HedefNet]),0))</f>
        <v/>
      </c>
      <c r="O125" s="16">
        <f>IF($A125="","",ROUND($K125-$N125,2))</f>
        <v/>
      </c>
      <c r="P125" s="16">
        <f>IF($A125="","",IF($L125&lt;egk_esikKatkiDusuk,"ZAM YAP",IF(AND($R125=1,$L125&lt;egk_esikKatkiHedef),"İNDİRİMİ KES","TUT")))</f>
        <v/>
      </c>
      <c r="Q125" s="16">
        <f>IF($A125="","",IFERROR(SUMIF(tblAnahtarB[NormB],$A125,tblVeriB[Roas]),0))</f>
        <v/>
      </c>
      <c r="R125" s="16">
        <f>IF($A125="","",IF(OR(IFERROR(INDEX(tblVeriA[YorumAB],MATCH($A125,tblAnahtarA[Norm],0)),"")="B",IFERROR(INDEX(tblVeriA[Durum],MATCH($A125,tblAnahtarA[Norm],0)),"")="Kampanya"),1,0))</f>
        <v/>
      </c>
      <c r="S125" s="16">
        <f>IF($A125="","",$J125-$E125)</f>
        <v/>
      </c>
      <c r="T125" s="16">
        <f>IF($A125="","",$K125-$O125)</f>
        <v/>
      </c>
    </row>
    <row r="126">
      <c r="A126" s="16">
        <f>IF('ANAHTAR'!$B126="","",'ANAHTAR'!$B126)</f>
        <v/>
      </c>
      <c r="B126" s="16">
        <f>IF($A126="","",IFERROR(SUMIF(tblAnahtarA[Norm],$A126,tblVeriA[SatisFiyati]),0))</f>
        <v/>
      </c>
      <c r="C126" s="16">
        <f>IF($A126="","",IFERROR(SUMIF(tblAnahtarA[Norm],$A126,tblVeriA[Maliyet]),0))</f>
        <v/>
      </c>
      <c r="D126" s="16">
        <f>IF($A126="","",IFERROR(SUMIF(tblAnahtarB[NormB],$A126,tblVeriB[KomisyonOran]),0))</f>
        <v/>
      </c>
      <c r="E126" s="16">
        <f>IF($A126="","",ROUND($B126*$D126,2))</f>
        <v/>
      </c>
      <c r="F126" s="16">
        <f>IF($A126="","",IFERROR(SUMIF(tblAnahtarB[NormB],$A126,tblVeriB[Kargo]),0))</f>
        <v/>
      </c>
      <c r="G126" s="16">
        <f>IF($A126="","",IFERROR(SUMIF(tblAnahtarB[NormB],$A126,tblVeriB[IadeOran]),0))</f>
        <v/>
      </c>
      <c r="H126" s="16">
        <f>IF($A126="","",ROUND($B126*$G126,2))</f>
        <v/>
      </c>
      <c r="I126" s="16">
        <f>IF($A126="","",IFERROR(SUMIF(tblAnahtarB[NormB],$A126,tblVeriB[ReklamTutar]),0))</f>
        <v/>
      </c>
      <c r="J126" s="16">
        <f>IF($A126="","",ROUND($B126-$C126,2))</f>
        <v/>
      </c>
      <c r="K126" s="16">
        <f>IF($A126="","",ROUND($B126-$C126-$E126-$F126-$H126-$I126,2))</f>
        <v/>
      </c>
      <c r="L126" s="16">
        <f>IF(OR($A126="",$B126=0),0,$K126/$B126)</f>
        <v/>
      </c>
      <c r="M126" s="16">
        <f>IF($A126="","",IF((1-$D126-$G126)&lt;=0,0,ROUND(($C126+$F126+$I126)/(1-$D126-$G126),2)))</f>
        <v/>
      </c>
      <c r="N126" s="16">
        <f>IF($A126="","",IFERROR(SUMIF(tblAnahtarA[Norm],$A126,tblVeriA[HedefNet]),0))</f>
        <v/>
      </c>
      <c r="O126" s="16">
        <f>IF($A126="","",ROUND($K126-$N126,2))</f>
        <v/>
      </c>
      <c r="P126" s="16">
        <f>IF($A126="","",IF($L126&lt;egk_esikKatkiDusuk,"ZAM YAP",IF(AND($R126=1,$L126&lt;egk_esikKatkiHedef),"İNDİRİMİ KES","TUT")))</f>
        <v/>
      </c>
      <c r="Q126" s="16">
        <f>IF($A126="","",IFERROR(SUMIF(tblAnahtarB[NormB],$A126,tblVeriB[Roas]),0))</f>
        <v/>
      </c>
      <c r="R126" s="16">
        <f>IF($A126="","",IF(OR(IFERROR(INDEX(tblVeriA[YorumAB],MATCH($A126,tblAnahtarA[Norm],0)),"")="B",IFERROR(INDEX(tblVeriA[Durum],MATCH($A126,tblAnahtarA[Norm],0)),"")="Kampanya"),1,0))</f>
        <v/>
      </c>
      <c r="S126" s="16">
        <f>IF($A126="","",$J126-$E126)</f>
        <v/>
      </c>
      <c r="T126" s="16">
        <f>IF($A126="","",$K126-$O126)</f>
        <v/>
      </c>
    </row>
    <row r="127">
      <c r="A127" s="16">
        <f>IF('ANAHTAR'!$B127="","",'ANAHTAR'!$B127)</f>
        <v/>
      </c>
      <c r="B127" s="16">
        <f>IF($A127="","",IFERROR(SUMIF(tblAnahtarA[Norm],$A127,tblVeriA[SatisFiyati]),0))</f>
        <v/>
      </c>
      <c r="C127" s="16">
        <f>IF($A127="","",IFERROR(SUMIF(tblAnahtarA[Norm],$A127,tblVeriA[Maliyet]),0))</f>
        <v/>
      </c>
      <c r="D127" s="16">
        <f>IF($A127="","",IFERROR(SUMIF(tblAnahtarB[NormB],$A127,tblVeriB[KomisyonOran]),0))</f>
        <v/>
      </c>
      <c r="E127" s="16">
        <f>IF($A127="","",ROUND($B127*$D127,2))</f>
        <v/>
      </c>
      <c r="F127" s="16">
        <f>IF($A127="","",IFERROR(SUMIF(tblAnahtarB[NormB],$A127,tblVeriB[Kargo]),0))</f>
        <v/>
      </c>
      <c r="G127" s="16">
        <f>IF($A127="","",IFERROR(SUMIF(tblAnahtarB[NormB],$A127,tblVeriB[IadeOran]),0))</f>
        <v/>
      </c>
      <c r="H127" s="16">
        <f>IF($A127="","",ROUND($B127*$G127,2))</f>
        <v/>
      </c>
      <c r="I127" s="16">
        <f>IF($A127="","",IFERROR(SUMIF(tblAnahtarB[NormB],$A127,tblVeriB[ReklamTutar]),0))</f>
        <v/>
      </c>
      <c r="J127" s="16">
        <f>IF($A127="","",ROUND($B127-$C127,2))</f>
        <v/>
      </c>
      <c r="K127" s="16">
        <f>IF($A127="","",ROUND($B127-$C127-$E127-$F127-$H127-$I127,2))</f>
        <v/>
      </c>
      <c r="L127" s="16">
        <f>IF(OR($A127="",$B127=0),0,$K127/$B127)</f>
        <v/>
      </c>
      <c r="M127" s="16">
        <f>IF($A127="","",IF((1-$D127-$G127)&lt;=0,0,ROUND(($C127+$F127+$I127)/(1-$D127-$G127),2)))</f>
        <v/>
      </c>
      <c r="N127" s="16">
        <f>IF($A127="","",IFERROR(SUMIF(tblAnahtarA[Norm],$A127,tblVeriA[HedefNet]),0))</f>
        <v/>
      </c>
      <c r="O127" s="16">
        <f>IF($A127="","",ROUND($K127-$N127,2))</f>
        <v/>
      </c>
      <c r="P127" s="16">
        <f>IF($A127="","",IF($L127&lt;egk_esikKatkiDusuk,"ZAM YAP",IF(AND($R127=1,$L127&lt;egk_esikKatkiHedef),"İNDİRİMİ KES","TUT")))</f>
        <v/>
      </c>
      <c r="Q127" s="16">
        <f>IF($A127="","",IFERROR(SUMIF(tblAnahtarB[NormB],$A127,tblVeriB[Roas]),0))</f>
        <v/>
      </c>
      <c r="R127" s="16">
        <f>IF($A127="","",IF(OR(IFERROR(INDEX(tblVeriA[YorumAB],MATCH($A127,tblAnahtarA[Norm],0)),"")="B",IFERROR(INDEX(tblVeriA[Durum],MATCH($A127,tblAnahtarA[Norm],0)),"")="Kampanya"),1,0))</f>
        <v/>
      </c>
      <c r="S127" s="16">
        <f>IF($A127="","",$J127-$E127)</f>
        <v/>
      </c>
      <c r="T127" s="16">
        <f>IF($A127="","",$K127-$O127)</f>
        <v/>
      </c>
    </row>
    <row r="128">
      <c r="A128" s="16">
        <f>IF('ANAHTAR'!$B128="","",'ANAHTAR'!$B128)</f>
        <v/>
      </c>
      <c r="B128" s="16">
        <f>IF($A128="","",IFERROR(SUMIF(tblAnahtarA[Norm],$A128,tblVeriA[SatisFiyati]),0))</f>
        <v/>
      </c>
      <c r="C128" s="16">
        <f>IF($A128="","",IFERROR(SUMIF(tblAnahtarA[Norm],$A128,tblVeriA[Maliyet]),0))</f>
        <v/>
      </c>
      <c r="D128" s="16">
        <f>IF($A128="","",IFERROR(SUMIF(tblAnahtarB[NormB],$A128,tblVeriB[KomisyonOran]),0))</f>
        <v/>
      </c>
      <c r="E128" s="16">
        <f>IF($A128="","",ROUND($B128*$D128,2))</f>
        <v/>
      </c>
      <c r="F128" s="16">
        <f>IF($A128="","",IFERROR(SUMIF(tblAnahtarB[NormB],$A128,tblVeriB[Kargo]),0))</f>
        <v/>
      </c>
      <c r="G128" s="16">
        <f>IF($A128="","",IFERROR(SUMIF(tblAnahtarB[NormB],$A128,tblVeriB[IadeOran]),0))</f>
        <v/>
      </c>
      <c r="H128" s="16">
        <f>IF($A128="","",ROUND($B128*$G128,2))</f>
        <v/>
      </c>
      <c r="I128" s="16">
        <f>IF($A128="","",IFERROR(SUMIF(tblAnahtarB[NormB],$A128,tblVeriB[ReklamTutar]),0))</f>
        <v/>
      </c>
      <c r="J128" s="16">
        <f>IF($A128="","",ROUND($B128-$C128,2))</f>
        <v/>
      </c>
      <c r="K128" s="16">
        <f>IF($A128="","",ROUND($B128-$C128-$E128-$F128-$H128-$I128,2))</f>
        <v/>
      </c>
      <c r="L128" s="16">
        <f>IF(OR($A128="",$B128=0),0,$K128/$B128)</f>
        <v/>
      </c>
      <c r="M128" s="16">
        <f>IF($A128="","",IF((1-$D128-$G128)&lt;=0,0,ROUND(($C128+$F128+$I128)/(1-$D128-$G128),2)))</f>
        <v/>
      </c>
      <c r="N128" s="16">
        <f>IF($A128="","",IFERROR(SUMIF(tblAnahtarA[Norm],$A128,tblVeriA[HedefNet]),0))</f>
        <v/>
      </c>
      <c r="O128" s="16">
        <f>IF($A128="","",ROUND($K128-$N128,2))</f>
        <v/>
      </c>
      <c r="P128" s="16">
        <f>IF($A128="","",IF($L128&lt;egk_esikKatkiDusuk,"ZAM YAP",IF(AND($R128=1,$L128&lt;egk_esikKatkiHedef),"İNDİRİMİ KES","TUT")))</f>
        <v/>
      </c>
      <c r="Q128" s="16">
        <f>IF($A128="","",IFERROR(SUMIF(tblAnahtarB[NormB],$A128,tblVeriB[Roas]),0))</f>
        <v/>
      </c>
      <c r="R128" s="16">
        <f>IF($A128="","",IF(OR(IFERROR(INDEX(tblVeriA[YorumAB],MATCH($A128,tblAnahtarA[Norm],0)),"")="B",IFERROR(INDEX(tblVeriA[Durum],MATCH($A128,tblAnahtarA[Norm],0)),"")="Kampanya"),1,0))</f>
        <v/>
      </c>
      <c r="S128" s="16">
        <f>IF($A128="","",$J128-$E128)</f>
        <v/>
      </c>
      <c r="T128" s="16">
        <f>IF($A128="","",$K128-$O128)</f>
        <v/>
      </c>
    </row>
    <row r="129">
      <c r="A129" s="16">
        <f>IF('ANAHTAR'!$B129="","",'ANAHTAR'!$B129)</f>
        <v/>
      </c>
      <c r="B129" s="16">
        <f>IF($A129="","",IFERROR(SUMIF(tblAnahtarA[Norm],$A129,tblVeriA[SatisFiyati]),0))</f>
        <v/>
      </c>
      <c r="C129" s="16">
        <f>IF($A129="","",IFERROR(SUMIF(tblAnahtarA[Norm],$A129,tblVeriA[Maliyet]),0))</f>
        <v/>
      </c>
      <c r="D129" s="16">
        <f>IF($A129="","",IFERROR(SUMIF(tblAnahtarB[NormB],$A129,tblVeriB[KomisyonOran]),0))</f>
        <v/>
      </c>
      <c r="E129" s="16">
        <f>IF($A129="","",ROUND($B129*$D129,2))</f>
        <v/>
      </c>
      <c r="F129" s="16">
        <f>IF($A129="","",IFERROR(SUMIF(tblAnahtarB[NormB],$A129,tblVeriB[Kargo]),0))</f>
        <v/>
      </c>
      <c r="G129" s="16">
        <f>IF($A129="","",IFERROR(SUMIF(tblAnahtarB[NormB],$A129,tblVeriB[IadeOran]),0))</f>
        <v/>
      </c>
      <c r="H129" s="16">
        <f>IF($A129="","",ROUND($B129*$G129,2))</f>
        <v/>
      </c>
      <c r="I129" s="16">
        <f>IF($A129="","",IFERROR(SUMIF(tblAnahtarB[NormB],$A129,tblVeriB[ReklamTutar]),0))</f>
        <v/>
      </c>
      <c r="J129" s="16">
        <f>IF($A129="","",ROUND($B129-$C129,2))</f>
        <v/>
      </c>
      <c r="K129" s="16">
        <f>IF($A129="","",ROUND($B129-$C129-$E129-$F129-$H129-$I129,2))</f>
        <v/>
      </c>
      <c r="L129" s="16">
        <f>IF(OR($A129="",$B129=0),0,$K129/$B129)</f>
        <v/>
      </c>
      <c r="M129" s="16">
        <f>IF($A129="","",IF((1-$D129-$G129)&lt;=0,0,ROUND(($C129+$F129+$I129)/(1-$D129-$G129),2)))</f>
        <v/>
      </c>
      <c r="N129" s="16">
        <f>IF($A129="","",IFERROR(SUMIF(tblAnahtarA[Norm],$A129,tblVeriA[HedefNet]),0))</f>
        <v/>
      </c>
      <c r="O129" s="16">
        <f>IF($A129="","",ROUND($K129-$N129,2))</f>
        <v/>
      </c>
      <c r="P129" s="16">
        <f>IF($A129="","",IF($L129&lt;egk_esikKatkiDusuk,"ZAM YAP",IF(AND($R129=1,$L129&lt;egk_esikKatkiHedef),"İNDİRİMİ KES","TUT")))</f>
        <v/>
      </c>
      <c r="Q129" s="16">
        <f>IF($A129="","",IFERROR(SUMIF(tblAnahtarB[NormB],$A129,tblVeriB[Roas]),0))</f>
        <v/>
      </c>
      <c r="R129" s="16">
        <f>IF($A129="","",IF(OR(IFERROR(INDEX(tblVeriA[YorumAB],MATCH($A129,tblAnahtarA[Norm],0)),"")="B",IFERROR(INDEX(tblVeriA[Durum],MATCH($A129,tblAnahtarA[Norm],0)),"")="Kampanya"),1,0))</f>
        <v/>
      </c>
      <c r="S129" s="16">
        <f>IF($A129="","",$J129-$E129)</f>
        <v/>
      </c>
      <c r="T129" s="16">
        <f>IF($A129="","",$K129-$O129)</f>
        <v/>
      </c>
    </row>
    <row r="130">
      <c r="A130" s="16">
        <f>IF('ANAHTAR'!$B130="","",'ANAHTAR'!$B130)</f>
        <v/>
      </c>
      <c r="B130" s="16">
        <f>IF($A130="","",IFERROR(SUMIF(tblAnahtarA[Norm],$A130,tblVeriA[SatisFiyati]),0))</f>
        <v/>
      </c>
      <c r="C130" s="16">
        <f>IF($A130="","",IFERROR(SUMIF(tblAnahtarA[Norm],$A130,tblVeriA[Maliyet]),0))</f>
        <v/>
      </c>
      <c r="D130" s="16">
        <f>IF($A130="","",IFERROR(SUMIF(tblAnahtarB[NormB],$A130,tblVeriB[KomisyonOran]),0))</f>
        <v/>
      </c>
      <c r="E130" s="16">
        <f>IF($A130="","",ROUND($B130*$D130,2))</f>
        <v/>
      </c>
      <c r="F130" s="16">
        <f>IF($A130="","",IFERROR(SUMIF(tblAnahtarB[NormB],$A130,tblVeriB[Kargo]),0))</f>
        <v/>
      </c>
      <c r="G130" s="16">
        <f>IF($A130="","",IFERROR(SUMIF(tblAnahtarB[NormB],$A130,tblVeriB[IadeOran]),0))</f>
        <v/>
      </c>
      <c r="H130" s="16">
        <f>IF($A130="","",ROUND($B130*$G130,2))</f>
        <v/>
      </c>
      <c r="I130" s="16">
        <f>IF($A130="","",IFERROR(SUMIF(tblAnahtarB[NormB],$A130,tblVeriB[ReklamTutar]),0))</f>
        <v/>
      </c>
      <c r="J130" s="16">
        <f>IF($A130="","",ROUND($B130-$C130,2))</f>
        <v/>
      </c>
      <c r="K130" s="16">
        <f>IF($A130="","",ROUND($B130-$C130-$E130-$F130-$H130-$I130,2))</f>
        <v/>
      </c>
      <c r="L130" s="16">
        <f>IF(OR($A130="",$B130=0),0,$K130/$B130)</f>
        <v/>
      </c>
      <c r="M130" s="16">
        <f>IF($A130="","",IF((1-$D130-$G130)&lt;=0,0,ROUND(($C130+$F130+$I130)/(1-$D130-$G130),2)))</f>
        <v/>
      </c>
      <c r="N130" s="16">
        <f>IF($A130="","",IFERROR(SUMIF(tblAnahtarA[Norm],$A130,tblVeriA[HedefNet]),0))</f>
        <v/>
      </c>
      <c r="O130" s="16">
        <f>IF($A130="","",ROUND($K130-$N130,2))</f>
        <v/>
      </c>
      <c r="P130" s="16">
        <f>IF($A130="","",IF($L130&lt;egk_esikKatkiDusuk,"ZAM YAP",IF(AND($R130=1,$L130&lt;egk_esikKatkiHedef),"İNDİRİMİ KES","TUT")))</f>
        <v/>
      </c>
      <c r="Q130" s="16">
        <f>IF($A130="","",IFERROR(SUMIF(tblAnahtarB[NormB],$A130,tblVeriB[Roas]),0))</f>
        <v/>
      </c>
      <c r="R130" s="16">
        <f>IF($A130="","",IF(OR(IFERROR(INDEX(tblVeriA[YorumAB],MATCH($A130,tblAnahtarA[Norm],0)),"")="B",IFERROR(INDEX(tblVeriA[Durum],MATCH($A130,tblAnahtarA[Norm],0)),"")="Kampanya"),1,0))</f>
        <v/>
      </c>
      <c r="S130" s="16">
        <f>IF($A130="","",$J130-$E130)</f>
        <v/>
      </c>
      <c r="T130" s="16">
        <f>IF($A130="","",$K130-$O130)</f>
        <v/>
      </c>
    </row>
    <row r="131">
      <c r="A131" s="16">
        <f>IF('ANAHTAR'!$B131="","",'ANAHTAR'!$B131)</f>
        <v/>
      </c>
      <c r="B131" s="16">
        <f>IF($A131="","",IFERROR(SUMIF(tblAnahtarA[Norm],$A131,tblVeriA[SatisFiyati]),0))</f>
        <v/>
      </c>
      <c r="C131" s="16">
        <f>IF($A131="","",IFERROR(SUMIF(tblAnahtarA[Norm],$A131,tblVeriA[Maliyet]),0))</f>
        <v/>
      </c>
      <c r="D131" s="16">
        <f>IF($A131="","",IFERROR(SUMIF(tblAnahtarB[NormB],$A131,tblVeriB[KomisyonOran]),0))</f>
        <v/>
      </c>
      <c r="E131" s="16">
        <f>IF($A131="","",ROUND($B131*$D131,2))</f>
        <v/>
      </c>
      <c r="F131" s="16">
        <f>IF($A131="","",IFERROR(SUMIF(tblAnahtarB[NormB],$A131,tblVeriB[Kargo]),0))</f>
        <v/>
      </c>
      <c r="G131" s="16">
        <f>IF($A131="","",IFERROR(SUMIF(tblAnahtarB[NormB],$A131,tblVeriB[IadeOran]),0))</f>
        <v/>
      </c>
      <c r="H131" s="16">
        <f>IF($A131="","",ROUND($B131*$G131,2))</f>
        <v/>
      </c>
      <c r="I131" s="16">
        <f>IF($A131="","",IFERROR(SUMIF(tblAnahtarB[NormB],$A131,tblVeriB[ReklamTutar]),0))</f>
        <v/>
      </c>
      <c r="J131" s="16">
        <f>IF($A131="","",ROUND($B131-$C131,2))</f>
        <v/>
      </c>
      <c r="K131" s="16">
        <f>IF($A131="","",ROUND($B131-$C131-$E131-$F131-$H131-$I131,2))</f>
        <v/>
      </c>
      <c r="L131" s="16">
        <f>IF(OR($A131="",$B131=0),0,$K131/$B131)</f>
        <v/>
      </c>
      <c r="M131" s="16">
        <f>IF($A131="","",IF((1-$D131-$G131)&lt;=0,0,ROUND(($C131+$F131+$I131)/(1-$D131-$G131),2)))</f>
        <v/>
      </c>
      <c r="N131" s="16">
        <f>IF($A131="","",IFERROR(SUMIF(tblAnahtarA[Norm],$A131,tblVeriA[HedefNet]),0))</f>
        <v/>
      </c>
      <c r="O131" s="16">
        <f>IF($A131="","",ROUND($K131-$N131,2))</f>
        <v/>
      </c>
      <c r="P131" s="16">
        <f>IF($A131="","",IF($L131&lt;egk_esikKatkiDusuk,"ZAM YAP",IF(AND($R131=1,$L131&lt;egk_esikKatkiHedef),"İNDİRİMİ KES","TUT")))</f>
        <v/>
      </c>
      <c r="Q131" s="16">
        <f>IF($A131="","",IFERROR(SUMIF(tblAnahtarB[NormB],$A131,tblVeriB[Roas]),0))</f>
        <v/>
      </c>
      <c r="R131" s="16">
        <f>IF($A131="","",IF(OR(IFERROR(INDEX(tblVeriA[YorumAB],MATCH($A131,tblAnahtarA[Norm],0)),"")="B",IFERROR(INDEX(tblVeriA[Durum],MATCH($A131,tblAnahtarA[Norm],0)),"")="Kampanya"),1,0))</f>
        <v/>
      </c>
      <c r="S131" s="16">
        <f>IF($A131="","",$J131-$E131)</f>
        <v/>
      </c>
      <c r="T131" s="16">
        <f>IF($A131="","",$K131-$O131)</f>
        <v/>
      </c>
    </row>
    <row r="132">
      <c r="A132" s="16">
        <f>IF('ANAHTAR'!$B132="","",'ANAHTAR'!$B132)</f>
        <v/>
      </c>
      <c r="B132" s="16">
        <f>IF($A132="","",IFERROR(SUMIF(tblAnahtarA[Norm],$A132,tblVeriA[SatisFiyati]),0))</f>
        <v/>
      </c>
      <c r="C132" s="16">
        <f>IF($A132="","",IFERROR(SUMIF(tblAnahtarA[Norm],$A132,tblVeriA[Maliyet]),0))</f>
        <v/>
      </c>
      <c r="D132" s="16">
        <f>IF($A132="","",IFERROR(SUMIF(tblAnahtarB[NormB],$A132,tblVeriB[KomisyonOran]),0))</f>
        <v/>
      </c>
      <c r="E132" s="16">
        <f>IF($A132="","",ROUND($B132*$D132,2))</f>
        <v/>
      </c>
      <c r="F132" s="16">
        <f>IF($A132="","",IFERROR(SUMIF(tblAnahtarB[NormB],$A132,tblVeriB[Kargo]),0))</f>
        <v/>
      </c>
      <c r="G132" s="16">
        <f>IF($A132="","",IFERROR(SUMIF(tblAnahtarB[NormB],$A132,tblVeriB[IadeOran]),0))</f>
        <v/>
      </c>
      <c r="H132" s="16">
        <f>IF($A132="","",ROUND($B132*$G132,2))</f>
        <v/>
      </c>
      <c r="I132" s="16">
        <f>IF($A132="","",IFERROR(SUMIF(tblAnahtarB[NormB],$A132,tblVeriB[ReklamTutar]),0))</f>
        <v/>
      </c>
      <c r="J132" s="16">
        <f>IF($A132="","",ROUND($B132-$C132,2))</f>
        <v/>
      </c>
      <c r="K132" s="16">
        <f>IF($A132="","",ROUND($B132-$C132-$E132-$F132-$H132-$I132,2))</f>
        <v/>
      </c>
      <c r="L132" s="16">
        <f>IF(OR($A132="",$B132=0),0,$K132/$B132)</f>
        <v/>
      </c>
      <c r="M132" s="16">
        <f>IF($A132="","",IF((1-$D132-$G132)&lt;=0,0,ROUND(($C132+$F132+$I132)/(1-$D132-$G132),2)))</f>
        <v/>
      </c>
      <c r="N132" s="16">
        <f>IF($A132="","",IFERROR(SUMIF(tblAnahtarA[Norm],$A132,tblVeriA[HedefNet]),0))</f>
        <v/>
      </c>
      <c r="O132" s="16">
        <f>IF($A132="","",ROUND($K132-$N132,2))</f>
        <v/>
      </c>
      <c r="P132" s="16">
        <f>IF($A132="","",IF($L132&lt;egk_esikKatkiDusuk,"ZAM YAP",IF(AND($R132=1,$L132&lt;egk_esikKatkiHedef),"İNDİRİMİ KES","TUT")))</f>
        <v/>
      </c>
      <c r="Q132" s="16">
        <f>IF($A132="","",IFERROR(SUMIF(tblAnahtarB[NormB],$A132,tblVeriB[Roas]),0))</f>
        <v/>
      </c>
      <c r="R132" s="16">
        <f>IF($A132="","",IF(OR(IFERROR(INDEX(tblVeriA[YorumAB],MATCH($A132,tblAnahtarA[Norm],0)),"")="B",IFERROR(INDEX(tblVeriA[Durum],MATCH($A132,tblAnahtarA[Norm],0)),"")="Kampanya"),1,0))</f>
        <v/>
      </c>
      <c r="S132" s="16">
        <f>IF($A132="","",$J132-$E132)</f>
        <v/>
      </c>
      <c r="T132" s="16">
        <f>IF($A132="","",$K132-$O132)</f>
        <v/>
      </c>
    </row>
    <row r="133">
      <c r="A133" s="16">
        <f>IF('ANAHTAR'!$B133="","",'ANAHTAR'!$B133)</f>
        <v/>
      </c>
      <c r="B133" s="16">
        <f>IF($A133="","",IFERROR(SUMIF(tblAnahtarA[Norm],$A133,tblVeriA[SatisFiyati]),0))</f>
        <v/>
      </c>
      <c r="C133" s="16">
        <f>IF($A133="","",IFERROR(SUMIF(tblAnahtarA[Norm],$A133,tblVeriA[Maliyet]),0))</f>
        <v/>
      </c>
      <c r="D133" s="16">
        <f>IF($A133="","",IFERROR(SUMIF(tblAnahtarB[NormB],$A133,tblVeriB[KomisyonOran]),0))</f>
        <v/>
      </c>
      <c r="E133" s="16">
        <f>IF($A133="","",ROUND($B133*$D133,2))</f>
        <v/>
      </c>
      <c r="F133" s="16">
        <f>IF($A133="","",IFERROR(SUMIF(tblAnahtarB[NormB],$A133,tblVeriB[Kargo]),0))</f>
        <v/>
      </c>
      <c r="G133" s="16">
        <f>IF($A133="","",IFERROR(SUMIF(tblAnahtarB[NormB],$A133,tblVeriB[IadeOran]),0))</f>
        <v/>
      </c>
      <c r="H133" s="16">
        <f>IF($A133="","",ROUND($B133*$G133,2))</f>
        <v/>
      </c>
      <c r="I133" s="16">
        <f>IF($A133="","",IFERROR(SUMIF(tblAnahtarB[NormB],$A133,tblVeriB[ReklamTutar]),0))</f>
        <v/>
      </c>
      <c r="J133" s="16">
        <f>IF($A133="","",ROUND($B133-$C133,2))</f>
        <v/>
      </c>
      <c r="K133" s="16">
        <f>IF($A133="","",ROUND($B133-$C133-$E133-$F133-$H133-$I133,2))</f>
        <v/>
      </c>
      <c r="L133" s="16">
        <f>IF(OR($A133="",$B133=0),0,$K133/$B133)</f>
        <v/>
      </c>
      <c r="M133" s="16">
        <f>IF($A133="","",IF((1-$D133-$G133)&lt;=0,0,ROUND(($C133+$F133+$I133)/(1-$D133-$G133),2)))</f>
        <v/>
      </c>
      <c r="N133" s="16">
        <f>IF($A133="","",IFERROR(SUMIF(tblAnahtarA[Norm],$A133,tblVeriA[HedefNet]),0))</f>
        <v/>
      </c>
      <c r="O133" s="16">
        <f>IF($A133="","",ROUND($K133-$N133,2))</f>
        <v/>
      </c>
      <c r="P133" s="16">
        <f>IF($A133="","",IF($L133&lt;egk_esikKatkiDusuk,"ZAM YAP",IF(AND($R133=1,$L133&lt;egk_esikKatkiHedef),"İNDİRİMİ KES","TUT")))</f>
        <v/>
      </c>
      <c r="Q133" s="16">
        <f>IF($A133="","",IFERROR(SUMIF(tblAnahtarB[NormB],$A133,tblVeriB[Roas]),0))</f>
        <v/>
      </c>
      <c r="R133" s="16">
        <f>IF($A133="","",IF(OR(IFERROR(INDEX(tblVeriA[YorumAB],MATCH($A133,tblAnahtarA[Norm],0)),"")="B",IFERROR(INDEX(tblVeriA[Durum],MATCH($A133,tblAnahtarA[Norm],0)),"")="Kampanya"),1,0))</f>
        <v/>
      </c>
      <c r="S133" s="16">
        <f>IF($A133="","",$J133-$E133)</f>
        <v/>
      </c>
      <c r="T133" s="16">
        <f>IF($A133="","",$K133-$O133)</f>
        <v/>
      </c>
    </row>
    <row r="134">
      <c r="A134" s="16">
        <f>IF('ANAHTAR'!$B134="","",'ANAHTAR'!$B134)</f>
        <v/>
      </c>
      <c r="B134" s="16">
        <f>IF($A134="","",IFERROR(SUMIF(tblAnahtarA[Norm],$A134,tblVeriA[SatisFiyati]),0))</f>
        <v/>
      </c>
      <c r="C134" s="16">
        <f>IF($A134="","",IFERROR(SUMIF(tblAnahtarA[Norm],$A134,tblVeriA[Maliyet]),0))</f>
        <v/>
      </c>
      <c r="D134" s="16">
        <f>IF($A134="","",IFERROR(SUMIF(tblAnahtarB[NormB],$A134,tblVeriB[KomisyonOran]),0))</f>
        <v/>
      </c>
      <c r="E134" s="16">
        <f>IF($A134="","",ROUND($B134*$D134,2))</f>
        <v/>
      </c>
      <c r="F134" s="16">
        <f>IF($A134="","",IFERROR(SUMIF(tblAnahtarB[NormB],$A134,tblVeriB[Kargo]),0))</f>
        <v/>
      </c>
      <c r="G134" s="16">
        <f>IF($A134="","",IFERROR(SUMIF(tblAnahtarB[NormB],$A134,tblVeriB[IadeOran]),0))</f>
        <v/>
      </c>
      <c r="H134" s="16">
        <f>IF($A134="","",ROUND($B134*$G134,2))</f>
        <v/>
      </c>
      <c r="I134" s="16">
        <f>IF($A134="","",IFERROR(SUMIF(tblAnahtarB[NormB],$A134,tblVeriB[ReklamTutar]),0))</f>
        <v/>
      </c>
      <c r="J134" s="16">
        <f>IF($A134="","",ROUND($B134-$C134,2))</f>
        <v/>
      </c>
      <c r="K134" s="16">
        <f>IF($A134="","",ROUND($B134-$C134-$E134-$F134-$H134-$I134,2))</f>
        <v/>
      </c>
      <c r="L134" s="16">
        <f>IF(OR($A134="",$B134=0),0,$K134/$B134)</f>
        <v/>
      </c>
      <c r="M134" s="16">
        <f>IF($A134="","",IF((1-$D134-$G134)&lt;=0,0,ROUND(($C134+$F134+$I134)/(1-$D134-$G134),2)))</f>
        <v/>
      </c>
      <c r="N134" s="16">
        <f>IF($A134="","",IFERROR(SUMIF(tblAnahtarA[Norm],$A134,tblVeriA[HedefNet]),0))</f>
        <v/>
      </c>
      <c r="O134" s="16">
        <f>IF($A134="","",ROUND($K134-$N134,2))</f>
        <v/>
      </c>
      <c r="P134" s="16">
        <f>IF($A134="","",IF($L134&lt;egk_esikKatkiDusuk,"ZAM YAP",IF(AND($R134=1,$L134&lt;egk_esikKatkiHedef),"İNDİRİMİ KES","TUT")))</f>
        <v/>
      </c>
      <c r="Q134" s="16">
        <f>IF($A134="","",IFERROR(SUMIF(tblAnahtarB[NormB],$A134,tblVeriB[Roas]),0))</f>
        <v/>
      </c>
      <c r="R134" s="16">
        <f>IF($A134="","",IF(OR(IFERROR(INDEX(tblVeriA[YorumAB],MATCH($A134,tblAnahtarA[Norm],0)),"")="B",IFERROR(INDEX(tblVeriA[Durum],MATCH($A134,tblAnahtarA[Norm],0)),"")="Kampanya"),1,0))</f>
        <v/>
      </c>
      <c r="S134" s="16">
        <f>IF($A134="","",$J134-$E134)</f>
        <v/>
      </c>
      <c r="T134" s="16">
        <f>IF($A134="","",$K134-$O134)</f>
        <v/>
      </c>
    </row>
    <row r="135">
      <c r="A135" s="16">
        <f>IF('ANAHTAR'!$B135="","",'ANAHTAR'!$B135)</f>
        <v/>
      </c>
      <c r="B135" s="16">
        <f>IF($A135="","",IFERROR(SUMIF(tblAnahtarA[Norm],$A135,tblVeriA[SatisFiyati]),0))</f>
        <v/>
      </c>
      <c r="C135" s="16">
        <f>IF($A135="","",IFERROR(SUMIF(tblAnahtarA[Norm],$A135,tblVeriA[Maliyet]),0))</f>
        <v/>
      </c>
      <c r="D135" s="16">
        <f>IF($A135="","",IFERROR(SUMIF(tblAnahtarB[NormB],$A135,tblVeriB[KomisyonOran]),0))</f>
        <v/>
      </c>
      <c r="E135" s="16">
        <f>IF($A135="","",ROUND($B135*$D135,2))</f>
        <v/>
      </c>
      <c r="F135" s="16">
        <f>IF($A135="","",IFERROR(SUMIF(tblAnahtarB[NormB],$A135,tblVeriB[Kargo]),0))</f>
        <v/>
      </c>
      <c r="G135" s="16">
        <f>IF($A135="","",IFERROR(SUMIF(tblAnahtarB[NormB],$A135,tblVeriB[IadeOran]),0))</f>
        <v/>
      </c>
      <c r="H135" s="16">
        <f>IF($A135="","",ROUND($B135*$G135,2))</f>
        <v/>
      </c>
      <c r="I135" s="16">
        <f>IF($A135="","",IFERROR(SUMIF(tblAnahtarB[NormB],$A135,tblVeriB[ReklamTutar]),0))</f>
        <v/>
      </c>
      <c r="J135" s="16">
        <f>IF($A135="","",ROUND($B135-$C135,2))</f>
        <v/>
      </c>
      <c r="K135" s="16">
        <f>IF($A135="","",ROUND($B135-$C135-$E135-$F135-$H135-$I135,2))</f>
        <v/>
      </c>
      <c r="L135" s="16">
        <f>IF(OR($A135="",$B135=0),0,$K135/$B135)</f>
        <v/>
      </c>
      <c r="M135" s="16">
        <f>IF($A135="","",IF((1-$D135-$G135)&lt;=0,0,ROUND(($C135+$F135+$I135)/(1-$D135-$G135),2)))</f>
        <v/>
      </c>
      <c r="N135" s="16">
        <f>IF($A135="","",IFERROR(SUMIF(tblAnahtarA[Norm],$A135,tblVeriA[HedefNet]),0))</f>
        <v/>
      </c>
      <c r="O135" s="16">
        <f>IF($A135="","",ROUND($K135-$N135,2))</f>
        <v/>
      </c>
      <c r="P135" s="16">
        <f>IF($A135="","",IF($L135&lt;egk_esikKatkiDusuk,"ZAM YAP",IF(AND($R135=1,$L135&lt;egk_esikKatkiHedef),"İNDİRİMİ KES","TUT")))</f>
        <v/>
      </c>
      <c r="Q135" s="16">
        <f>IF($A135="","",IFERROR(SUMIF(tblAnahtarB[NormB],$A135,tblVeriB[Roas]),0))</f>
        <v/>
      </c>
      <c r="R135" s="16">
        <f>IF($A135="","",IF(OR(IFERROR(INDEX(tblVeriA[YorumAB],MATCH($A135,tblAnahtarA[Norm],0)),"")="B",IFERROR(INDEX(tblVeriA[Durum],MATCH($A135,tblAnahtarA[Norm],0)),"")="Kampanya"),1,0))</f>
        <v/>
      </c>
      <c r="S135" s="16">
        <f>IF($A135="","",$J135-$E135)</f>
        <v/>
      </c>
      <c r="T135" s="16">
        <f>IF($A135="","",$K135-$O135)</f>
        <v/>
      </c>
    </row>
    <row r="136">
      <c r="A136" s="16">
        <f>IF('ANAHTAR'!$B136="","",'ANAHTAR'!$B136)</f>
        <v/>
      </c>
      <c r="B136" s="16">
        <f>IF($A136="","",IFERROR(SUMIF(tblAnahtarA[Norm],$A136,tblVeriA[SatisFiyati]),0))</f>
        <v/>
      </c>
      <c r="C136" s="16">
        <f>IF($A136="","",IFERROR(SUMIF(tblAnahtarA[Norm],$A136,tblVeriA[Maliyet]),0))</f>
        <v/>
      </c>
      <c r="D136" s="16">
        <f>IF($A136="","",IFERROR(SUMIF(tblAnahtarB[NormB],$A136,tblVeriB[KomisyonOran]),0))</f>
        <v/>
      </c>
      <c r="E136" s="16">
        <f>IF($A136="","",ROUND($B136*$D136,2))</f>
        <v/>
      </c>
      <c r="F136" s="16">
        <f>IF($A136="","",IFERROR(SUMIF(tblAnahtarB[NormB],$A136,tblVeriB[Kargo]),0))</f>
        <v/>
      </c>
      <c r="G136" s="16">
        <f>IF($A136="","",IFERROR(SUMIF(tblAnahtarB[NormB],$A136,tblVeriB[IadeOran]),0))</f>
        <v/>
      </c>
      <c r="H136" s="16">
        <f>IF($A136="","",ROUND($B136*$G136,2))</f>
        <v/>
      </c>
      <c r="I136" s="16">
        <f>IF($A136="","",IFERROR(SUMIF(tblAnahtarB[NormB],$A136,tblVeriB[ReklamTutar]),0))</f>
        <v/>
      </c>
      <c r="J136" s="16">
        <f>IF($A136="","",ROUND($B136-$C136,2))</f>
        <v/>
      </c>
      <c r="K136" s="16">
        <f>IF($A136="","",ROUND($B136-$C136-$E136-$F136-$H136-$I136,2))</f>
        <v/>
      </c>
      <c r="L136" s="16">
        <f>IF(OR($A136="",$B136=0),0,$K136/$B136)</f>
        <v/>
      </c>
      <c r="M136" s="16">
        <f>IF($A136="","",IF((1-$D136-$G136)&lt;=0,0,ROUND(($C136+$F136+$I136)/(1-$D136-$G136),2)))</f>
        <v/>
      </c>
      <c r="N136" s="16">
        <f>IF($A136="","",IFERROR(SUMIF(tblAnahtarA[Norm],$A136,tblVeriA[HedefNet]),0))</f>
        <v/>
      </c>
      <c r="O136" s="16">
        <f>IF($A136="","",ROUND($K136-$N136,2))</f>
        <v/>
      </c>
      <c r="P136" s="16">
        <f>IF($A136="","",IF($L136&lt;egk_esikKatkiDusuk,"ZAM YAP",IF(AND($R136=1,$L136&lt;egk_esikKatkiHedef),"İNDİRİMİ KES","TUT")))</f>
        <v/>
      </c>
      <c r="Q136" s="16">
        <f>IF($A136="","",IFERROR(SUMIF(tblAnahtarB[NormB],$A136,tblVeriB[Roas]),0))</f>
        <v/>
      </c>
      <c r="R136" s="16">
        <f>IF($A136="","",IF(OR(IFERROR(INDEX(tblVeriA[YorumAB],MATCH($A136,tblAnahtarA[Norm],0)),"")="B",IFERROR(INDEX(tblVeriA[Durum],MATCH($A136,tblAnahtarA[Norm],0)),"")="Kampanya"),1,0))</f>
        <v/>
      </c>
      <c r="S136" s="16">
        <f>IF($A136="","",$J136-$E136)</f>
        <v/>
      </c>
      <c r="T136" s="16">
        <f>IF($A136="","",$K136-$O136)</f>
        <v/>
      </c>
    </row>
    <row r="137">
      <c r="A137" s="16">
        <f>IF('ANAHTAR'!$B137="","",'ANAHTAR'!$B137)</f>
        <v/>
      </c>
      <c r="B137" s="16">
        <f>IF($A137="","",IFERROR(SUMIF(tblAnahtarA[Norm],$A137,tblVeriA[SatisFiyati]),0))</f>
        <v/>
      </c>
      <c r="C137" s="16">
        <f>IF($A137="","",IFERROR(SUMIF(tblAnahtarA[Norm],$A137,tblVeriA[Maliyet]),0))</f>
        <v/>
      </c>
      <c r="D137" s="16">
        <f>IF($A137="","",IFERROR(SUMIF(tblAnahtarB[NormB],$A137,tblVeriB[KomisyonOran]),0))</f>
        <v/>
      </c>
      <c r="E137" s="16">
        <f>IF($A137="","",ROUND($B137*$D137,2))</f>
        <v/>
      </c>
      <c r="F137" s="16">
        <f>IF($A137="","",IFERROR(SUMIF(tblAnahtarB[NormB],$A137,tblVeriB[Kargo]),0))</f>
        <v/>
      </c>
      <c r="G137" s="16">
        <f>IF($A137="","",IFERROR(SUMIF(tblAnahtarB[NormB],$A137,tblVeriB[IadeOran]),0))</f>
        <v/>
      </c>
      <c r="H137" s="16">
        <f>IF($A137="","",ROUND($B137*$G137,2))</f>
        <v/>
      </c>
      <c r="I137" s="16">
        <f>IF($A137="","",IFERROR(SUMIF(tblAnahtarB[NormB],$A137,tblVeriB[ReklamTutar]),0))</f>
        <v/>
      </c>
      <c r="J137" s="16">
        <f>IF($A137="","",ROUND($B137-$C137,2))</f>
        <v/>
      </c>
      <c r="K137" s="16">
        <f>IF($A137="","",ROUND($B137-$C137-$E137-$F137-$H137-$I137,2))</f>
        <v/>
      </c>
      <c r="L137" s="16">
        <f>IF(OR($A137="",$B137=0),0,$K137/$B137)</f>
        <v/>
      </c>
      <c r="M137" s="16">
        <f>IF($A137="","",IF((1-$D137-$G137)&lt;=0,0,ROUND(($C137+$F137+$I137)/(1-$D137-$G137),2)))</f>
        <v/>
      </c>
      <c r="N137" s="16">
        <f>IF($A137="","",IFERROR(SUMIF(tblAnahtarA[Norm],$A137,tblVeriA[HedefNet]),0))</f>
        <v/>
      </c>
      <c r="O137" s="16">
        <f>IF($A137="","",ROUND($K137-$N137,2))</f>
        <v/>
      </c>
      <c r="P137" s="16">
        <f>IF($A137="","",IF($L137&lt;egk_esikKatkiDusuk,"ZAM YAP",IF(AND($R137=1,$L137&lt;egk_esikKatkiHedef),"İNDİRİMİ KES","TUT")))</f>
        <v/>
      </c>
      <c r="Q137" s="16">
        <f>IF($A137="","",IFERROR(SUMIF(tblAnahtarB[NormB],$A137,tblVeriB[Roas]),0))</f>
        <v/>
      </c>
      <c r="R137" s="16">
        <f>IF($A137="","",IF(OR(IFERROR(INDEX(tblVeriA[YorumAB],MATCH($A137,tblAnahtarA[Norm],0)),"")="B",IFERROR(INDEX(tblVeriA[Durum],MATCH($A137,tblAnahtarA[Norm],0)),"")="Kampanya"),1,0))</f>
        <v/>
      </c>
      <c r="S137" s="16">
        <f>IF($A137="","",$J137-$E137)</f>
        <v/>
      </c>
      <c r="T137" s="16">
        <f>IF($A137="","",$K137-$O137)</f>
        <v/>
      </c>
    </row>
    <row r="138">
      <c r="A138" s="16">
        <f>IF('ANAHTAR'!$B138="","",'ANAHTAR'!$B138)</f>
        <v/>
      </c>
      <c r="B138" s="16">
        <f>IF($A138="","",IFERROR(SUMIF(tblAnahtarA[Norm],$A138,tblVeriA[SatisFiyati]),0))</f>
        <v/>
      </c>
      <c r="C138" s="16">
        <f>IF($A138="","",IFERROR(SUMIF(tblAnahtarA[Norm],$A138,tblVeriA[Maliyet]),0))</f>
        <v/>
      </c>
      <c r="D138" s="16">
        <f>IF($A138="","",IFERROR(SUMIF(tblAnahtarB[NormB],$A138,tblVeriB[KomisyonOran]),0))</f>
        <v/>
      </c>
      <c r="E138" s="16">
        <f>IF($A138="","",ROUND($B138*$D138,2))</f>
        <v/>
      </c>
      <c r="F138" s="16">
        <f>IF($A138="","",IFERROR(SUMIF(tblAnahtarB[NormB],$A138,tblVeriB[Kargo]),0))</f>
        <v/>
      </c>
      <c r="G138" s="16">
        <f>IF($A138="","",IFERROR(SUMIF(tblAnahtarB[NormB],$A138,tblVeriB[IadeOran]),0))</f>
        <v/>
      </c>
      <c r="H138" s="16">
        <f>IF($A138="","",ROUND($B138*$G138,2))</f>
        <v/>
      </c>
      <c r="I138" s="16">
        <f>IF($A138="","",IFERROR(SUMIF(tblAnahtarB[NormB],$A138,tblVeriB[ReklamTutar]),0))</f>
        <v/>
      </c>
      <c r="J138" s="16">
        <f>IF($A138="","",ROUND($B138-$C138,2))</f>
        <v/>
      </c>
      <c r="K138" s="16">
        <f>IF($A138="","",ROUND($B138-$C138-$E138-$F138-$H138-$I138,2))</f>
        <v/>
      </c>
      <c r="L138" s="16">
        <f>IF(OR($A138="",$B138=0),0,$K138/$B138)</f>
        <v/>
      </c>
      <c r="M138" s="16">
        <f>IF($A138="","",IF((1-$D138-$G138)&lt;=0,0,ROUND(($C138+$F138+$I138)/(1-$D138-$G138),2)))</f>
        <v/>
      </c>
      <c r="N138" s="16">
        <f>IF($A138="","",IFERROR(SUMIF(tblAnahtarA[Norm],$A138,tblVeriA[HedefNet]),0))</f>
        <v/>
      </c>
      <c r="O138" s="16">
        <f>IF($A138="","",ROUND($K138-$N138,2))</f>
        <v/>
      </c>
      <c r="P138" s="16">
        <f>IF($A138="","",IF($L138&lt;egk_esikKatkiDusuk,"ZAM YAP",IF(AND($R138=1,$L138&lt;egk_esikKatkiHedef),"İNDİRİMİ KES","TUT")))</f>
        <v/>
      </c>
      <c r="Q138" s="16">
        <f>IF($A138="","",IFERROR(SUMIF(tblAnahtarB[NormB],$A138,tblVeriB[Roas]),0))</f>
        <v/>
      </c>
      <c r="R138" s="16">
        <f>IF($A138="","",IF(OR(IFERROR(INDEX(tblVeriA[YorumAB],MATCH($A138,tblAnahtarA[Norm],0)),"")="B",IFERROR(INDEX(tblVeriA[Durum],MATCH($A138,tblAnahtarA[Norm],0)),"")="Kampanya"),1,0))</f>
        <v/>
      </c>
      <c r="S138" s="16">
        <f>IF($A138="","",$J138-$E138)</f>
        <v/>
      </c>
      <c r="T138" s="16">
        <f>IF($A138="","",$K138-$O138)</f>
        <v/>
      </c>
    </row>
    <row r="139">
      <c r="A139" s="16">
        <f>IF('ANAHTAR'!$B139="","",'ANAHTAR'!$B139)</f>
        <v/>
      </c>
      <c r="B139" s="16">
        <f>IF($A139="","",IFERROR(SUMIF(tblAnahtarA[Norm],$A139,tblVeriA[SatisFiyati]),0))</f>
        <v/>
      </c>
      <c r="C139" s="16">
        <f>IF($A139="","",IFERROR(SUMIF(tblAnahtarA[Norm],$A139,tblVeriA[Maliyet]),0))</f>
        <v/>
      </c>
      <c r="D139" s="16">
        <f>IF($A139="","",IFERROR(SUMIF(tblAnahtarB[NormB],$A139,tblVeriB[KomisyonOran]),0))</f>
        <v/>
      </c>
      <c r="E139" s="16">
        <f>IF($A139="","",ROUND($B139*$D139,2))</f>
        <v/>
      </c>
      <c r="F139" s="16">
        <f>IF($A139="","",IFERROR(SUMIF(tblAnahtarB[NormB],$A139,tblVeriB[Kargo]),0))</f>
        <v/>
      </c>
      <c r="G139" s="16">
        <f>IF($A139="","",IFERROR(SUMIF(tblAnahtarB[NormB],$A139,tblVeriB[IadeOran]),0))</f>
        <v/>
      </c>
      <c r="H139" s="16">
        <f>IF($A139="","",ROUND($B139*$G139,2))</f>
        <v/>
      </c>
      <c r="I139" s="16">
        <f>IF($A139="","",IFERROR(SUMIF(tblAnahtarB[NormB],$A139,tblVeriB[ReklamTutar]),0))</f>
        <v/>
      </c>
      <c r="J139" s="16">
        <f>IF($A139="","",ROUND($B139-$C139,2))</f>
        <v/>
      </c>
      <c r="K139" s="16">
        <f>IF($A139="","",ROUND($B139-$C139-$E139-$F139-$H139-$I139,2))</f>
        <v/>
      </c>
      <c r="L139" s="16">
        <f>IF(OR($A139="",$B139=0),0,$K139/$B139)</f>
        <v/>
      </c>
      <c r="M139" s="16">
        <f>IF($A139="","",IF((1-$D139-$G139)&lt;=0,0,ROUND(($C139+$F139+$I139)/(1-$D139-$G139),2)))</f>
        <v/>
      </c>
      <c r="N139" s="16">
        <f>IF($A139="","",IFERROR(SUMIF(tblAnahtarA[Norm],$A139,tblVeriA[HedefNet]),0))</f>
        <v/>
      </c>
      <c r="O139" s="16">
        <f>IF($A139="","",ROUND($K139-$N139,2))</f>
        <v/>
      </c>
      <c r="P139" s="16">
        <f>IF($A139="","",IF($L139&lt;egk_esikKatkiDusuk,"ZAM YAP",IF(AND($R139=1,$L139&lt;egk_esikKatkiHedef),"İNDİRİMİ KES","TUT")))</f>
        <v/>
      </c>
      <c r="Q139" s="16">
        <f>IF($A139="","",IFERROR(SUMIF(tblAnahtarB[NormB],$A139,tblVeriB[Roas]),0))</f>
        <v/>
      </c>
      <c r="R139" s="16">
        <f>IF($A139="","",IF(OR(IFERROR(INDEX(tblVeriA[YorumAB],MATCH($A139,tblAnahtarA[Norm],0)),"")="B",IFERROR(INDEX(tblVeriA[Durum],MATCH($A139,tblAnahtarA[Norm],0)),"")="Kampanya"),1,0))</f>
        <v/>
      </c>
      <c r="S139" s="16">
        <f>IF($A139="","",$J139-$E139)</f>
        <v/>
      </c>
      <c r="T139" s="16">
        <f>IF($A139="","",$K139-$O139)</f>
        <v/>
      </c>
    </row>
    <row r="140">
      <c r="A140" s="16">
        <f>IF('ANAHTAR'!$B140="","",'ANAHTAR'!$B140)</f>
        <v/>
      </c>
      <c r="B140" s="16">
        <f>IF($A140="","",IFERROR(SUMIF(tblAnahtarA[Norm],$A140,tblVeriA[SatisFiyati]),0))</f>
        <v/>
      </c>
      <c r="C140" s="16">
        <f>IF($A140="","",IFERROR(SUMIF(tblAnahtarA[Norm],$A140,tblVeriA[Maliyet]),0))</f>
        <v/>
      </c>
      <c r="D140" s="16">
        <f>IF($A140="","",IFERROR(SUMIF(tblAnahtarB[NormB],$A140,tblVeriB[KomisyonOran]),0))</f>
        <v/>
      </c>
      <c r="E140" s="16">
        <f>IF($A140="","",ROUND($B140*$D140,2))</f>
        <v/>
      </c>
      <c r="F140" s="16">
        <f>IF($A140="","",IFERROR(SUMIF(tblAnahtarB[NormB],$A140,tblVeriB[Kargo]),0))</f>
        <v/>
      </c>
      <c r="G140" s="16">
        <f>IF($A140="","",IFERROR(SUMIF(tblAnahtarB[NormB],$A140,tblVeriB[IadeOran]),0))</f>
        <v/>
      </c>
      <c r="H140" s="16">
        <f>IF($A140="","",ROUND($B140*$G140,2))</f>
        <v/>
      </c>
      <c r="I140" s="16">
        <f>IF($A140="","",IFERROR(SUMIF(tblAnahtarB[NormB],$A140,tblVeriB[ReklamTutar]),0))</f>
        <v/>
      </c>
      <c r="J140" s="16">
        <f>IF($A140="","",ROUND($B140-$C140,2))</f>
        <v/>
      </c>
      <c r="K140" s="16">
        <f>IF($A140="","",ROUND($B140-$C140-$E140-$F140-$H140-$I140,2))</f>
        <v/>
      </c>
      <c r="L140" s="16">
        <f>IF(OR($A140="",$B140=0),0,$K140/$B140)</f>
        <v/>
      </c>
      <c r="M140" s="16">
        <f>IF($A140="","",IF((1-$D140-$G140)&lt;=0,0,ROUND(($C140+$F140+$I140)/(1-$D140-$G140),2)))</f>
        <v/>
      </c>
      <c r="N140" s="16">
        <f>IF($A140="","",IFERROR(SUMIF(tblAnahtarA[Norm],$A140,tblVeriA[HedefNet]),0))</f>
        <v/>
      </c>
      <c r="O140" s="16">
        <f>IF($A140="","",ROUND($K140-$N140,2))</f>
        <v/>
      </c>
      <c r="P140" s="16">
        <f>IF($A140="","",IF($L140&lt;egk_esikKatkiDusuk,"ZAM YAP",IF(AND($R140=1,$L140&lt;egk_esikKatkiHedef),"İNDİRİMİ KES","TUT")))</f>
        <v/>
      </c>
      <c r="Q140" s="16">
        <f>IF($A140="","",IFERROR(SUMIF(tblAnahtarB[NormB],$A140,tblVeriB[Roas]),0))</f>
        <v/>
      </c>
      <c r="R140" s="16">
        <f>IF($A140="","",IF(OR(IFERROR(INDEX(tblVeriA[YorumAB],MATCH($A140,tblAnahtarA[Norm],0)),"")="B",IFERROR(INDEX(tblVeriA[Durum],MATCH($A140,tblAnahtarA[Norm],0)),"")="Kampanya"),1,0))</f>
        <v/>
      </c>
      <c r="S140" s="16">
        <f>IF($A140="","",$J140-$E140)</f>
        <v/>
      </c>
      <c r="T140" s="16">
        <f>IF($A140="","",$K140-$O140)</f>
        <v/>
      </c>
    </row>
    <row r="141">
      <c r="A141" s="16">
        <f>IF('ANAHTAR'!$B141="","",'ANAHTAR'!$B141)</f>
        <v/>
      </c>
      <c r="B141" s="16">
        <f>IF($A141="","",IFERROR(SUMIF(tblAnahtarA[Norm],$A141,tblVeriA[SatisFiyati]),0))</f>
        <v/>
      </c>
      <c r="C141" s="16">
        <f>IF($A141="","",IFERROR(SUMIF(tblAnahtarA[Norm],$A141,tblVeriA[Maliyet]),0))</f>
        <v/>
      </c>
      <c r="D141" s="16">
        <f>IF($A141="","",IFERROR(SUMIF(tblAnahtarB[NormB],$A141,tblVeriB[KomisyonOran]),0))</f>
        <v/>
      </c>
      <c r="E141" s="16">
        <f>IF($A141="","",ROUND($B141*$D141,2))</f>
        <v/>
      </c>
      <c r="F141" s="16">
        <f>IF($A141="","",IFERROR(SUMIF(tblAnahtarB[NormB],$A141,tblVeriB[Kargo]),0))</f>
        <v/>
      </c>
      <c r="G141" s="16">
        <f>IF($A141="","",IFERROR(SUMIF(tblAnahtarB[NormB],$A141,tblVeriB[IadeOran]),0))</f>
        <v/>
      </c>
      <c r="H141" s="16">
        <f>IF($A141="","",ROUND($B141*$G141,2))</f>
        <v/>
      </c>
      <c r="I141" s="16">
        <f>IF($A141="","",IFERROR(SUMIF(tblAnahtarB[NormB],$A141,tblVeriB[ReklamTutar]),0))</f>
        <v/>
      </c>
      <c r="J141" s="16">
        <f>IF($A141="","",ROUND($B141-$C141,2))</f>
        <v/>
      </c>
      <c r="K141" s="16">
        <f>IF($A141="","",ROUND($B141-$C141-$E141-$F141-$H141-$I141,2))</f>
        <v/>
      </c>
      <c r="L141" s="16">
        <f>IF(OR($A141="",$B141=0),0,$K141/$B141)</f>
        <v/>
      </c>
      <c r="M141" s="16">
        <f>IF($A141="","",IF((1-$D141-$G141)&lt;=0,0,ROUND(($C141+$F141+$I141)/(1-$D141-$G141),2)))</f>
        <v/>
      </c>
      <c r="N141" s="16">
        <f>IF($A141="","",IFERROR(SUMIF(tblAnahtarA[Norm],$A141,tblVeriA[HedefNet]),0))</f>
        <v/>
      </c>
      <c r="O141" s="16">
        <f>IF($A141="","",ROUND($K141-$N141,2))</f>
        <v/>
      </c>
      <c r="P141" s="16">
        <f>IF($A141="","",IF($L141&lt;egk_esikKatkiDusuk,"ZAM YAP",IF(AND($R141=1,$L141&lt;egk_esikKatkiHedef),"İNDİRİMİ KES","TUT")))</f>
        <v/>
      </c>
      <c r="Q141" s="16">
        <f>IF($A141="","",IFERROR(SUMIF(tblAnahtarB[NormB],$A141,tblVeriB[Roas]),0))</f>
        <v/>
      </c>
      <c r="R141" s="16">
        <f>IF($A141="","",IF(OR(IFERROR(INDEX(tblVeriA[YorumAB],MATCH($A141,tblAnahtarA[Norm],0)),"")="B",IFERROR(INDEX(tblVeriA[Durum],MATCH($A141,tblAnahtarA[Norm],0)),"")="Kampanya"),1,0))</f>
        <v/>
      </c>
      <c r="S141" s="16">
        <f>IF($A141="","",$J141-$E141)</f>
        <v/>
      </c>
      <c r="T141" s="16">
        <f>IF($A141="","",$K141-$O141)</f>
        <v/>
      </c>
    </row>
    <row r="142">
      <c r="A142" s="16">
        <f>IF('ANAHTAR'!$B142="","",'ANAHTAR'!$B142)</f>
        <v/>
      </c>
      <c r="B142" s="16">
        <f>IF($A142="","",IFERROR(SUMIF(tblAnahtarA[Norm],$A142,tblVeriA[SatisFiyati]),0))</f>
        <v/>
      </c>
      <c r="C142" s="16">
        <f>IF($A142="","",IFERROR(SUMIF(tblAnahtarA[Norm],$A142,tblVeriA[Maliyet]),0))</f>
        <v/>
      </c>
      <c r="D142" s="16">
        <f>IF($A142="","",IFERROR(SUMIF(tblAnahtarB[NormB],$A142,tblVeriB[KomisyonOran]),0))</f>
        <v/>
      </c>
      <c r="E142" s="16">
        <f>IF($A142="","",ROUND($B142*$D142,2))</f>
        <v/>
      </c>
      <c r="F142" s="16">
        <f>IF($A142="","",IFERROR(SUMIF(tblAnahtarB[NormB],$A142,tblVeriB[Kargo]),0))</f>
        <v/>
      </c>
      <c r="G142" s="16">
        <f>IF($A142="","",IFERROR(SUMIF(tblAnahtarB[NormB],$A142,tblVeriB[IadeOran]),0))</f>
        <v/>
      </c>
      <c r="H142" s="16">
        <f>IF($A142="","",ROUND($B142*$G142,2))</f>
        <v/>
      </c>
      <c r="I142" s="16">
        <f>IF($A142="","",IFERROR(SUMIF(tblAnahtarB[NormB],$A142,tblVeriB[ReklamTutar]),0))</f>
        <v/>
      </c>
      <c r="J142" s="16">
        <f>IF($A142="","",ROUND($B142-$C142,2))</f>
        <v/>
      </c>
      <c r="K142" s="16">
        <f>IF($A142="","",ROUND($B142-$C142-$E142-$F142-$H142-$I142,2))</f>
        <v/>
      </c>
      <c r="L142" s="16">
        <f>IF(OR($A142="",$B142=0),0,$K142/$B142)</f>
        <v/>
      </c>
      <c r="M142" s="16">
        <f>IF($A142="","",IF((1-$D142-$G142)&lt;=0,0,ROUND(($C142+$F142+$I142)/(1-$D142-$G142),2)))</f>
        <v/>
      </c>
      <c r="N142" s="16">
        <f>IF($A142="","",IFERROR(SUMIF(tblAnahtarA[Norm],$A142,tblVeriA[HedefNet]),0))</f>
        <v/>
      </c>
      <c r="O142" s="16">
        <f>IF($A142="","",ROUND($K142-$N142,2))</f>
        <v/>
      </c>
      <c r="P142" s="16">
        <f>IF($A142="","",IF($L142&lt;egk_esikKatkiDusuk,"ZAM YAP",IF(AND($R142=1,$L142&lt;egk_esikKatkiHedef),"İNDİRİMİ KES","TUT")))</f>
        <v/>
      </c>
      <c r="Q142" s="16">
        <f>IF($A142="","",IFERROR(SUMIF(tblAnahtarB[NormB],$A142,tblVeriB[Roas]),0))</f>
        <v/>
      </c>
      <c r="R142" s="16">
        <f>IF($A142="","",IF(OR(IFERROR(INDEX(tblVeriA[YorumAB],MATCH($A142,tblAnahtarA[Norm],0)),"")="B",IFERROR(INDEX(tblVeriA[Durum],MATCH($A142,tblAnahtarA[Norm],0)),"")="Kampanya"),1,0))</f>
        <v/>
      </c>
      <c r="S142" s="16">
        <f>IF($A142="","",$J142-$E142)</f>
        <v/>
      </c>
      <c r="T142" s="16">
        <f>IF($A142="","",$K142-$O142)</f>
        <v/>
      </c>
    </row>
    <row r="143">
      <c r="A143" s="16">
        <f>IF('ANAHTAR'!$B143="","",'ANAHTAR'!$B143)</f>
        <v/>
      </c>
      <c r="B143" s="16">
        <f>IF($A143="","",IFERROR(SUMIF(tblAnahtarA[Norm],$A143,tblVeriA[SatisFiyati]),0))</f>
        <v/>
      </c>
      <c r="C143" s="16">
        <f>IF($A143="","",IFERROR(SUMIF(tblAnahtarA[Norm],$A143,tblVeriA[Maliyet]),0))</f>
        <v/>
      </c>
      <c r="D143" s="16">
        <f>IF($A143="","",IFERROR(SUMIF(tblAnahtarB[NormB],$A143,tblVeriB[KomisyonOran]),0))</f>
        <v/>
      </c>
      <c r="E143" s="16">
        <f>IF($A143="","",ROUND($B143*$D143,2))</f>
        <v/>
      </c>
      <c r="F143" s="16">
        <f>IF($A143="","",IFERROR(SUMIF(tblAnahtarB[NormB],$A143,tblVeriB[Kargo]),0))</f>
        <v/>
      </c>
      <c r="G143" s="16">
        <f>IF($A143="","",IFERROR(SUMIF(tblAnahtarB[NormB],$A143,tblVeriB[IadeOran]),0))</f>
        <v/>
      </c>
      <c r="H143" s="16">
        <f>IF($A143="","",ROUND($B143*$G143,2))</f>
        <v/>
      </c>
      <c r="I143" s="16">
        <f>IF($A143="","",IFERROR(SUMIF(tblAnahtarB[NormB],$A143,tblVeriB[ReklamTutar]),0))</f>
        <v/>
      </c>
      <c r="J143" s="16">
        <f>IF($A143="","",ROUND($B143-$C143,2))</f>
        <v/>
      </c>
      <c r="K143" s="16">
        <f>IF($A143="","",ROUND($B143-$C143-$E143-$F143-$H143-$I143,2))</f>
        <v/>
      </c>
      <c r="L143" s="16">
        <f>IF(OR($A143="",$B143=0),0,$K143/$B143)</f>
        <v/>
      </c>
      <c r="M143" s="16">
        <f>IF($A143="","",IF((1-$D143-$G143)&lt;=0,0,ROUND(($C143+$F143+$I143)/(1-$D143-$G143),2)))</f>
        <v/>
      </c>
      <c r="N143" s="16">
        <f>IF($A143="","",IFERROR(SUMIF(tblAnahtarA[Norm],$A143,tblVeriA[HedefNet]),0))</f>
        <v/>
      </c>
      <c r="O143" s="16">
        <f>IF($A143="","",ROUND($K143-$N143,2))</f>
        <v/>
      </c>
      <c r="P143" s="16">
        <f>IF($A143="","",IF($L143&lt;egk_esikKatkiDusuk,"ZAM YAP",IF(AND($R143=1,$L143&lt;egk_esikKatkiHedef),"İNDİRİMİ KES","TUT")))</f>
        <v/>
      </c>
      <c r="Q143" s="16">
        <f>IF($A143="","",IFERROR(SUMIF(tblAnahtarB[NormB],$A143,tblVeriB[Roas]),0))</f>
        <v/>
      </c>
      <c r="R143" s="16">
        <f>IF($A143="","",IF(OR(IFERROR(INDEX(tblVeriA[YorumAB],MATCH($A143,tblAnahtarA[Norm],0)),"")="B",IFERROR(INDEX(tblVeriA[Durum],MATCH($A143,tblAnahtarA[Norm],0)),"")="Kampanya"),1,0))</f>
        <v/>
      </c>
      <c r="S143" s="16">
        <f>IF($A143="","",$J143-$E143)</f>
        <v/>
      </c>
      <c r="T143" s="16">
        <f>IF($A143="","",$K143-$O143)</f>
        <v/>
      </c>
    </row>
    <row r="144">
      <c r="A144" s="16">
        <f>IF('ANAHTAR'!$B144="","",'ANAHTAR'!$B144)</f>
        <v/>
      </c>
      <c r="B144" s="16">
        <f>IF($A144="","",IFERROR(SUMIF(tblAnahtarA[Norm],$A144,tblVeriA[SatisFiyati]),0))</f>
        <v/>
      </c>
      <c r="C144" s="16">
        <f>IF($A144="","",IFERROR(SUMIF(tblAnahtarA[Norm],$A144,tblVeriA[Maliyet]),0))</f>
        <v/>
      </c>
      <c r="D144" s="16">
        <f>IF($A144="","",IFERROR(SUMIF(tblAnahtarB[NormB],$A144,tblVeriB[KomisyonOran]),0))</f>
        <v/>
      </c>
      <c r="E144" s="16">
        <f>IF($A144="","",ROUND($B144*$D144,2))</f>
        <v/>
      </c>
      <c r="F144" s="16">
        <f>IF($A144="","",IFERROR(SUMIF(tblAnahtarB[NormB],$A144,tblVeriB[Kargo]),0))</f>
        <v/>
      </c>
      <c r="G144" s="16">
        <f>IF($A144="","",IFERROR(SUMIF(tblAnahtarB[NormB],$A144,tblVeriB[IadeOran]),0))</f>
        <v/>
      </c>
      <c r="H144" s="16">
        <f>IF($A144="","",ROUND($B144*$G144,2))</f>
        <v/>
      </c>
      <c r="I144" s="16">
        <f>IF($A144="","",IFERROR(SUMIF(tblAnahtarB[NormB],$A144,tblVeriB[ReklamTutar]),0))</f>
        <v/>
      </c>
      <c r="J144" s="16">
        <f>IF($A144="","",ROUND($B144-$C144,2))</f>
        <v/>
      </c>
      <c r="K144" s="16">
        <f>IF($A144="","",ROUND($B144-$C144-$E144-$F144-$H144-$I144,2))</f>
        <v/>
      </c>
      <c r="L144" s="16">
        <f>IF(OR($A144="",$B144=0),0,$K144/$B144)</f>
        <v/>
      </c>
      <c r="M144" s="16">
        <f>IF($A144="","",IF((1-$D144-$G144)&lt;=0,0,ROUND(($C144+$F144+$I144)/(1-$D144-$G144),2)))</f>
        <v/>
      </c>
      <c r="N144" s="16">
        <f>IF($A144="","",IFERROR(SUMIF(tblAnahtarA[Norm],$A144,tblVeriA[HedefNet]),0))</f>
        <v/>
      </c>
      <c r="O144" s="16">
        <f>IF($A144="","",ROUND($K144-$N144,2))</f>
        <v/>
      </c>
      <c r="P144" s="16">
        <f>IF($A144="","",IF($L144&lt;egk_esikKatkiDusuk,"ZAM YAP",IF(AND($R144=1,$L144&lt;egk_esikKatkiHedef),"İNDİRİMİ KES","TUT")))</f>
        <v/>
      </c>
      <c r="Q144" s="16">
        <f>IF($A144="","",IFERROR(SUMIF(tblAnahtarB[NormB],$A144,tblVeriB[Roas]),0))</f>
        <v/>
      </c>
      <c r="R144" s="16">
        <f>IF($A144="","",IF(OR(IFERROR(INDEX(tblVeriA[YorumAB],MATCH($A144,tblAnahtarA[Norm],0)),"")="B",IFERROR(INDEX(tblVeriA[Durum],MATCH($A144,tblAnahtarA[Norm],0)),"")="Kampanya"),1,0))</f>
        <v/>
      </c>
      <c r="S144" s="16">
        <f>IF($A144="","",$J144-$E144)</f>
        <v/>
      </c>
      <c r="T144" s="16">
        <f>IF($A144="","",$K144-$O144)</f>
        <v/>
      </c>
    </row>
    <row r="145">
      <c r="A145" s="16">
        <f>IF('ANAHTAR'!$B145="","",'ANAHTAR'!$B145)</f>
        <v/>
      </c>
      <c r="B145" s="16">
        <f>IF($A145="","",IFERROR(SUMIF(tblAnahtarA[Norm],$A145,tblVeriA[SatisFiyati]),0))</f>
        <v/>
      </c>
      <c r="C145" s="16">
        <f>IF($A145="","",IFERROR(SUMIF(tblAnahtarA[Norm],$A145,tblVeriA[Maliyet]),0))</f>
        <v/>
      </c>
      <c r="D145" s="16">
        <f>IF($A145="","",IFERROR(SUMIF(tblAnahtarB[NormB],$A145,tblVeriB[KomisyonOran]),0))</f>
        <v/>
      </c>
      <c r="E145" s="16">
        <f>IF($A145="","",ROUND($B145*$D145,2))</f>
        <v/>
      </c>
      <c r="F145" s="16">
        <f>IF($A145="","",IFERROR(SUMIF(tblAnahtarB[NormB],$A145,tblVeriB[Kargo]),0))</f>
        <v/>
      </c>
      <c r="G145" s="16">
        <f>IF($A145="","",IFERROR(SUMIF(tblAnahtarB[NormB],$A145,tblVeriB[IadeOran]),0))</f>
        <v/>
      </c>
      <c r="H145" s="16">
        <f>IF($A145="","",ROUND($B145*$G145,2))</f>
        <v/>
      </c>
      <c r="I145" s="16">
        <f>IF($A145="","",IFERROR(SUMIF(tblAnahtarB[NormB],$A145,tblVeriB[ReklamTutar]),0))</f>
        <v/>
      </c>
      <c r="J145" s="16">
        <f>IF($A145="","",ROUND($B145-$C145,2))</f>
        <v/>
      </c>
      <c r="K145" s="16">
        <f>IF($A145="","",ROUND($B145-$C145-$E145-$F145-$H145-$I145,2))</f>
        <v/>
      </c>
      <c r="L145" s="16">
        <f>IF(OR($A145="",$B145=0),0,$K145/$B145)</f>
        <v/>
      </c>
      <c r="M145" s="16">
        <f>IF($A145="","",IF((1-$D145-$G145)&lt;=0,0,ROUND(($C145+$F145+$I145)/(1-$D145-$G145),2)))</f>
        <v/>
      </c>
      <c r="N145" s="16">
        <f>IF($A145="","",IFERROR(SUMIF(tblAnahtarA[Norm],$A145,tblVeriA[HedefNet]),0))</f>
        <v/>
      </c>
      <c r="O145" s="16">
        <f>IF($A145="","",ROUND($K145-$N145,2))</f>
        <v/>
      </c>
      <c r="P145" s="16">
        <f>IF($A145="","",IF($L145&lt;egk_esikKatkiDusuk,"ZAM YAP",IF(AND($R145=1,$L145&lt;egk_esikKatkiHedef),"İNDİRİMİ KES","TUT")))</f>
        <v/>
      </c>
      <c r="Q145" s="16">
        <f>IF($A145="","",IFERROR(SUMIF(tblAnahtarB[NormB],$A145,tblVeriB[Roas]),0))</f>
        <v/>
      </c>
      <c r="R145" s="16">
        <f>IF($A145="","",IF(OR(IFERROR(INDEX(tblVeriA[YorumAB],MATCH($A145,tblAnahtarA[Norm],0)),"")="B",IFERROR(INDEX(tblVeriA[Durum],MATCH($A145,tblAnahtarA[Norm],0)),"")="Kampanya"),1,0))</f>
        <v/>
      </c>
      <c r="S145" s="16">
        <f>IF($A145="","",$J145-$E145)</f>
        <v/>
      </c>
      <c r="T145" s="16">
        <f>IF($A145="","",$K145-$O145)</f>
        <v/>
      </c>
    </row>
    <row r="146">
      <c r="A146" s="16">
        <f>IF('ANAHTAR'!$B146="","",'ANAHTAR'!$B146)</f>
        <v/>
      </c>
      <c r="B146" s="16">
        <f>IF($A146="","",IFERROR(SUMIF(tblAnahtarA[Norm],$A146,tblVeriA[SatisFiyati]),0))</f>
        <v/>
      </c>
      <c r="C146" s="16">
        <f>IF($A146="","",IFERROR(SUMIF(tblAnahtarA[Norm],$A146,tblVeriA[Maliyet]),0))</f>
        <v/>
      </c>
      <c r="D146" s="16">
        <f>IF($A146="","",IFERROR(SUMIF(tblAnahtarB[NormB],$A146,tblVeriB[KomisyonOran]),0))</f>
        <v/>
      </c>
      <c r="E146" s="16">
        <f>IF($A146="","",ROUND($B146*$D146,2))</f>
        <v/>
      </c>
      <c r="F146" s="16">
        <f>IF($A146="","",IFERROR(SUMIF(tblAnahtarB[NormB],$A146,tblVeriB[Kargo]),0))</f>
        <v/>
      </c>
      <c r="G146" s="16">
        <f>IF($A146="","",IFERROR(SUMIF(tblAnahtarB[NormB],$A146,tblVeriB[IadeOran]),0))</f>
        <v/>
      </c>
      <c r="H146" s="16">
        <f>IF($A146="","",ROUND($B146*$G146,2))</f>
        <v/>
      </c>
      <c r="I146" s="16">
        <f>IF($A146="","",IFERROR(SUMIF(tblAnahtarB[NormB],$A146,tblVeriB[ReklamTutar]),0))</f>
        <v/>
      </c>
      <c r="J146" s="16">
        <f>IF($A146="","",ROUND($B146-$C146,2))</f>
        <v/>
      </c>
      <c r="K146" s="16">
        <f>IF($A146="","",ROUND($B146-$C146-$E146-$F146-$H146-$I146,2))</f>
        <v/>
      </c>
      <c r="L146" s="16">
        <f>IF(OR($A146="",$B146=0),0,$K146/$B146)</f>
        <v/>
      </c>
      <c r="M146" s="16">
        <f>IF($A146="","",IF((1-$D146-$G146)&lt;=0,0,ROUND(($C146+$F146+$I146)/(1-$D146-$G146),2)))</f>
        <v/>
      </c>
      <c r="N146" s="16">
        <f>IF($A146="","",IFERROR(SUMIF(tblAnahtarA[Norm],$A146,tblVeriA[HedefNet]),0))</f>
        <v/>
      </c>
      <c r="O146" s="16">
        <f>IF($A146="","",ROUND($K146-$N146,2))</f>
        <v/>
      </c>
      <c r="P146" s="16">
        <f>IF($A146="","",IF($L146&lt;egk_esikKatkiDusuk,"ZAM YAP",IF(AND($R146=1,$L146&lt;egk_esikKatkiHedef),"İNDİRİMİ KES","TUT")))</f>
        <v/>
      </c>
      <c r="Q146" s="16">
        <f>IF($A146="","",IFERROR(SUMIF(tblAnahtarB[NormB],$A146,tblVeriB[Roas]),0))</f>
        <v/>
      </c>
      <c r="R146" s="16">
        <f>IF($A146="","",IF(OR(IFERROR(INDEX(tblVeriA[YorumAB],MATCH($A146,tblAnahtarA[Norm],0)),"")="B",IFERROR(INDEX(tblVeriA[Durum],MATCH($A146,tblAnahtarA[Norm],0)),"")="Kampanya"),1,0))</f>
        <v/>
      </c>
      <c r="S146" s="16">
        <f>IF($A146="","",$J146-$E146)</f>
        <v/>
      </c>
      <c r="T146" s="16">
        <f>IF($A146="","",$K146-$O146)</f>
        <v/>
      </c>
    </row>
    <row r="147">
      <c r="A147" s="16">
        <f>IF('ANAHTAR'!$B147="","",'ANAHTAR'!$B147)</f>
        <v/>
      </c>
      <c r="B147" s="16">
        <f>IF($A147="","",IFERROR(SUMIF(tblAnahtarA[Norm],$A147,tblVeriA[SatisFiyati]),0))</f>
        <v/>
      </c>
      <c r="C147" s="16">
        <f>IF($A147="","",IFERROR(SUMIF(tblAnahtarA[Norm],$A147,tblVeriA[Maliyet]),0))</f>
        <v/>
      </c>
      <c r="D147" s="16">
        <f>IF($A147="","",IFERROR(SUMIF(tblAnahtarB[NormB],$A147,tblVeriB[KomisyonOran]),0))</f>
        <v/>
      </c>
      <c r="E147" s="16">
        <f>IF($A147="","",ROUND($B147*$D147,2))</f>
        <v/>
      </c>
      <c r="F147" s="16">
        <f>IF($A147="","",IFERROR(SUMIF(tblAnahtarB[NormB],$A147,tblVeriB[Kargo]),0))</f>
        <v/>
      </c>
      <c r="G147" s="16">
        <f>IF($A147="","",IFERROR(SUMIF(tblAnahtarB[NormB],$A147,tblVeriB[IadeOran]),0))</f>
        <v/>
      </c>
      <c r="H147" s="16">
        <f>IF($A147="","",ROUND($B147*$G147,2))</f>
        <v/>
      </c>
      <c r="I147" s="16">
        <f>IF($A147="","",IFERROR(SUMIF(tblAnahtarB[NormB],$A147,tblVeriB[ReklamTutar]),0))</f>
        <v/>
      </c>
      <c r="J147" s="16">
        <f>IF($A147="","",ROUND($B147-$C147,2))</f>
        <v/>
      </c>
      <c r="K147" s="16">
        <f>IF($A147="","",ROUND($B147-$C147-$E147-$F147-$H147-$I147,2))</f>
        <v/>
      </c>
      <c r="L147" s="16">
        <f>IF(OR($A147="",$B147=0),0,$K147/$B147)</f>
        <v/>
      </c>
      <c r="M147" s="16">
        <f>IF($A147="","",IF((1-$D147-$G147)&lt;=0,0,ROUND(($C147+$F147+$I147)/(1-$D147-$G147),2)))</f>
        <v/>
      </c>
      <c r="N147" s="16">
        <f>IF($A147="","",IFERROR(SUMIF(tblAnahtarA[Norm],$A147,tblVeriA[HedefNet]),0))</f>
        <v/>
      </c>
      <c r="O147" s="16">
        <f>IF($A147="","",ROUND($K147-$N147,2))</f>
        <v/>
      </c>
      <c r="P147" s="16">
        <f>IF($A147="","",IF($L147&lt;egk_esikKatkiDusuk,"ZAM YAP",IF(AND($R147=1,$L147&lt;egk_esikKatkiHedef),"İNDİRİMİ KES","TUT")))</f>
        <v/>
      </c>
      <c r="Q147" s="16">
        <f>IF($A147="","",IFERROR(SUMIF(tblAnahtarB[NormB],$A147,tblVeriB[Roas]),0))</f>
        <v/>
      </c>
      <c r="R147" s="16">
        <f>IF($A147="","",IF(OR(IFERROR(INDEX(tblVeriA[YorumAB],MATCH($A147,tblAnahtarA[Norm],0)),"")="B",IFERROR(INDEX(tblVeriA[Durum],MATCH($A147,tblAnahtarA[Norm],0)),"")="Kampanya"),1,0))</f>
        <v/>
      </c>
      <c r="S147" s="16">
        <f>IF($A147="","",$J147-$E147)</f>
        <v/>
      </c>
      <c r="T147" s="16">
        <f>IF($A147="","",$K147-$O147)</f>
        <v/>
      </c>
    </row>
    <row r="148">
      <c r="A148" s="16">
        <f>IF('ANAHTAR'!$B148="","",'ANAHTAR'!$B148)</f>
        <v/>
      </c>
      <c r="B148" s="16">
        <f>IF($A148="","",IFERROR(SUMIF(tblAnahtarA[Norm],$A148,tblVeriA[SatisFiyati]),0))</f>
        <v/>
      </c>
      <c r="C148" s="16">
        <f>IF($A148="","",IFERROR(SUMIF(tblAnahtarA[Norm],$A148,tblVeriA[Maliyet]),0))</f>
        <v/>
      </c>
      <c r="D148" s="16">
        <f>IF($A148="","",IFERROR(SUMIF(tblAnahtarB[NormB],$A148,tblVeriB[KomisyonOran]),0))</f>
        <v/>
      </c>
      <c r="E148" s="16">
        <f>IF($A148="","",ROUND($B148*$D148,2))</f>
        <v/>
      </c>
      <c r="F148" s="16">
        <f>IF($A148="","",IFERROR(SUMIF(tblAnahtarB[NormB],$A148,tblVeriB[Kargo]),0))</f>
        <v/>
      </c>
      <c r="G148" s="16">
        <f>IF($A148="","",IFERROR(SUMIF(tblAnahtarB[NormB],$A148,tblVeriB[IadeOran]),0))</f>
        <v/>
      </c>
      <c r="H148" s="16">
        <f>IF($A148="","",ROUND($B148*$G148,2))</f>
        <v/>
      </c>
      <c r="I148" s="16">
        <f>IF($A148="","",IFERROR(SUMIF(tblAnahtarB[NormB],$A148,tblVeriB[ReklamTutar]),0))</f>
        <v/>
      </c>
      <c r="J148" s="16">
        <f>IF($A148="","",ROUND($B148-$C148,2))</f>
        <v/>
      </c>
      <c r="K148" s="16">
        <f>IF($A148="","",ROUND($B148-$C148-$E148-$F148-$H148-$I148,2))</f>
        <v/>
      </c>
      <c r="L148" s="16">
        <f>IF(OR($A148="",$B148=0),0,$K148/$B148)</f>
        <v/>
      </c>
      <c r="M148" s="16">
        <f>IF($A148="","",IF((1-$D148-$G148)&lt;=0,0,ROUND(($C148+$F148+$I148)/(1-$D148-$G148),2)))</f>
        <v/>
      </c>
      <c r="N148" s="16">
        <f>IF($A148="","",IFERROR(SUMIF(tblAnahtarA[Norm],$A148,tblVeriA[HedefNet]),0))</f>
        <v/>
      </c>
      <c r="O148" s="16">
        <f>IF($A148="","",ROUND($K148-$N148,2))</f>
        <v/>
      </c>
      <c r="P148" s="16">
        <f>IF($A148="","",IF($L148&lt;egk_esikKatkiDusuk,"ZAM YAP",IF(AND($R148=1,$L148&lt;egk_esikKatkiHedef),"İNDİRİMİ KES","TUT")))</f>
        <v/>
      </c>
      <c r="Q148" s="16">
        <f>IF($A148="","",IFERROR(SUMIF(tblAnahtarB[NormB],$A148,tblVeriB[Roas]),0))</f>
        <v/>
      </c>
      <c r="R148" s="16">
        <f>IF($A148="","",IF(OR(IFERROR(INDEX(tblVeriA[YorumAB],MATCH($A148,tblAnahtarA[Norm],0)),"")="B",IFERROR(INDEX(tblVeriA[Durum],MATCH($A148,tblAnahtarA[Norm],0)),"")="Kampanya"),1,0))</f>
        <v/>
      </c>
      <c r="S148" s="16">
        <f>IF($A148="","",$J148-$E148)</f>
        <v/>
      </c>
      <c r="T148" s="16">
        <f>IF($A148="","",$K148-$O148)</f>
        <v/>
      </c>
    </row>
    <row r="149">
      <c r="A149" s="16">
        <f>IF('ANAHTAR'!$B149="","",'ANAHTAR'!$B149)</f>
        <v/>
      </c>
      <c r="B149" s="16">
        <f>IF($A149="","",IFERROR(SUMIF(tblAnahtarA[Norm],$A149,tblVeriA[SatisFiyati]),0))</f>
        <v/>
      </c>
      <c r="C149" s="16">
        <f>IF($A149="","",IFERROR(SUMIF(tblAnahtarA[Norm],$A149,tblVeriA[Maliyet]),0))</f>
        <v/>
      </c>
      <c r="D149" s="16">
        <f>IF($A149="","",IFERROR(SUMIF(tblAnahtarB[NormB],$A149,tblVeriB[KomisyonOran]),0))</f>
        <v/>
      </c>
      <c r="E149" s="16">
        <f>IF($A149="","",ROUND($B149*$D149,2))</f>
        <v/>
      </c>
      <c r="F149" s="16">
        <f>IF($A149="","",IFERROR(SUMIF(tblAnahtarB[NormB],$A149,tblVeriB[Kargo]),0))</f>
        <v/>
      </c>
      <c r="G149" s="16">
        <f>IF($A149="","",IFERROR(SUMIF(tblAnahtarB[NormB],$A149,tblVeriB[IadeOran]),0))</f>
        <v/>
      </c>
      <c r="H149" s="16">
        <f>IF($A149="","",ROUND($B149*$G149,2))</f>
        <v/>
      </c>
      <c r="I149" s="16">
        <f>IF($A149="","",IFERROR(SUMIF(tblAnahtarB[NormB],$A149,tblVeriB[ReklamTutar]),0))</f>
        <v/>
      </c>
      <c r="J149" s="16">
        <f>IF($A149="","",ROUND($B149-$C149,2))</f>
        <v/>
      </c>
      <c r="K149" s="16">
        <f>IF($A149="","",ROUND($B149-$C149-$E149-$F149-$H149-$I149,2))</f>
        <v/>
      </c>
      <c r="L149" s="16">
        <f>IF(OR($A149="",$B149=0),0,$K149/$B149)</f>
        <v/>
      </c>
      <c r="M149" s="16">
        <f>IF($A149="","",IF((1-$D149-$G149)&lt;=0,0,ROUND(($C149+$F149+$I149)/(1-$D149-$G149),2)))</f>
        <v/>
      </c>
      <c r="N149" s="16">
        <f>IF($A149="","",IFERROR(SUMIF(tblAnahtarA[Norm],$A149,tblVeriA[HedefNet]),0))</f>
        <v/>
      </c>
      <c r="O149" s="16">
        <f>IF($A149="","",ROUND($K149-$N149,2))</f>
        <v/>
      </c>
      <c r="P149" s="16">
        <f>IF($A149="","",IF($L149&lt;egk_esikKatkiDusuk,"ZAM YAP",IF(AND($R149=1,$L149&lt;egk_esikKatkiHedef),"İNDİRİMİ KES","TUT")))</f>
        <v/>
      </c>
      <c r="Q149" s="16">
        <f>IF($A149="","",IFERROR(SUMIF(tblAnahtarB[NormB],$A149,tblVeriB[Roas]),0))</f>
        <v/>
      </c>
      <c r="R149" s="16">
        <f>IF($A149="","",IF(OR(IFERROR(INDEX(tblVeriA[YorumAB],MATCH($A149,tblAnahtarA[Norm],0)),"")="B",IFERROR(INDEX(tblVeriA[Durum],MATCH($A149,tblAnahtarA[Norm],0)),"")="Kampanya"),1,0))</f>
        <v/>
      </c>
      <c r="S149" s="16">
        <f>IF($A149="","",$J149-$E149)</f>
        <v/>
      </c>
      <c r="T149" s="16">
        <f>IF($A149="","",$K149-$O149)</f>
        <v/>
      </c>
    </row>
    <row r="150">
      <c r="A150" s="16">
        <f>IF('ANAHTAR'!$B150="","",'ANAHTAR'!$B150)</f>
        <v/>
      </c>
      <c r="B150" s="16">
        <f>IF($A150="","",IFERROR(SUMIF(tblAnahtarA[Norm],$A150,tblVeriA[SatisFiyati]),0))</f>
        <v/>
      </c>
      <c r="C150" s="16">
        <f>IF($A150="","",IFERROR(SUMIF(tblAnahtarA[Norm],$A150,tblVeriA[Maliyet]),0))</f>
        <v/>
      </c>
      <c r="D150" s="16">
        <f>IF($A150="","",IFERROR(SUMIF(tblAnahtarB[NormB],$A150,tblVeriB[KomisyonOran]),0))</f>
        <v/>
      </c>
      <c r="E150" s="16">
        <f>IF($A150="","",ROUND($B150*$D150,2))</f>
        <v/>
      </c>
      <c r="F150" s="16">
        <f>IF($A150="","",IFERROR(SUMIF(tblAnahtarB[NormB],$A150,tblVeriB[Kargo]),0))</f>
        <v/>
      </c>
      <c r="G150" s="16">
        <f>IF($A150="","",IFERROR(SUMIF(tblAnahtarB[NormB],$A150,tblVeriB[IadeOran]),0))</f>
        <v/>
      </c>
      <c r="H150" s="16">
        <f>IF($A150="","",ROUND($B150*$G150,2))</f>
        <v/>
      </c>
      <c r="I150" s="16">
        <f>IF($A150="","",IFERROR(SUMIF(tblAnahtarB[NormB],$A150,tblVeriB[ReklamTutar]),0))</f>
        <v/>
      </c>
      <c r="J150" s="16">
        <f>IF($A150="","",ROUND($B150-$C150,2))</f>
        <v/>
      </c>
      <c r="K150" s="16">
        <f>IF($A150="","",ROUND($B150-$C150-$E150-$F150-$H150-$I150,2))</f>
        <v/>
      </c>
      <c r="L150" s="16">
        <f>IF(OR($A150="",$B150=0),0,$K150/$B150)</f>
        <v/>
      </c>
      <c r="M150" s="16">
        <f>IF($A150="","",IF((1-$D150-$G150)&lt;=0,0,ROUND(($C150+$F150+$I150)/(1-$D150-$G150),2)))</f>
        <v/>
      </c>
      <c r="N150" s="16">
        <f>IF($A150="","",IFERROR(SUMIF(tblAnahtarA[Norm],$A150,tblVeriA[HedefNet]),0))</f>
        <v/>
      </c>
      <c r="O150" s="16">
        <f>IF($A150="","",ROUND($K150-$N150,2))</f>
        <v/>
      </c>
      <c r="P150" s="16">
        <f>IF($A150="","",IF($L150&lt;egk_esikKatkiDusuk,"ZAM YAP",IF(AND($R150=1,$L150&lt;egk_esikKatkiHedef),"İNDİRİMİ KES","TUT")))</f>
        <v/>
      </c>
      <c r="Q150" s="16">
        <f>IF($A150="","",IFERROR(SUMIF(tblAnahtarB[NormB],$A150,tblVeriB[Roas]),0))</f>
        <v/>
      </c>
      <c r="R150" s="16">
        <f>IF($A150="","",IF(OR(IFERROR(INDEX(tblVeriA[YorumAB],MATCH($A150,tblAnahtarA[Norm],0)),"")="B",IFERROR(INDEX(tblVeriA[Durum],MATCH($A150,tblAnahtarA[Norm],0)),"")="Kampanya"),1,0))</f>
        <v/>
      </c>
      <c r="S150" s="16">
        <f>IF($A150="","",$J150-$E150)</f>
        <v/>
      </c>
      <c r="T150" s="16">
        <f>IF($A150="","",$K150-$O150)</f>
        <v/>
      </c>
    </row>
    <row r="151">
      <c r="A151" s="16">
        <f>IF('ANAHTAR'!$B151="","",'ANAHTAR'!$B151)</f>
        <v/>
      </c>
      <c r="B151" s="16">
        <f>IF($A151="","",IFERROR(SUMIF(tblAnahtarA[Norm],$A151,tblVeriA[SatisFiyati]),0))</f>
        <v/>
      </c>
      <c r="C151" s="16">
        <f>IF($A151="","",IFERROR(SUMIF(tblAnahtarA[Norm],$A151,tblVeriA[Maliyet]),0))</f>
        <v/>
      </c>
      <c r="D151" s="16">
        <f>IF($A151="","",IFERROR(SUMIF(tblAnahtarB[NormB],$A151,tblVeriB[KomisyonOran]),0))</f>
        <v/>
      </c>
      <c r="E151" s="16">
        <f>IF($A151="","",ROUND($B151*$D151,2))</f>
        <v/>
      </c>
      <c r="F151" s="16">
        <f>IF($A151="","",IFERROR(SUMIF(tblAnahtarB[NormB],$A151,tblVeriB[Kargo]),0))</f>
        <v/>
      </c>
      <c r="G151" s="16">
        <f>IF($A151="","",IFERROR(SUMIF(tblAnahtarB[NormB],$A151,tblVeriB[IadeOran]),0))</f>
        <v/>
      </c>
      <c r="H151" s="16">
        <f>IF($A151="","",ROUND($B151*$G151,2))</f>
        <v/>
      </c>
      <c r="I151" s="16">
        <f>IF($A151="","",IFERROR(SUMIF(tblAnahtarB[NormB],$A151,tblVeriB[ReklamTutar]),0))</f>
        <v/>
      </c>
      <c r="J151" s="16">
        <f>IF($A151="","",ROUND($B151-$C151,2))</f>
        <v/>
      </c>
      <c r="K151" s="16">
        <f>IF($A151="","",ROUND($B151-$C151-$E151-$F151-$H151-$I151,2))</f>
        <v/>
      </c>
      <c r="L151" s="16">
        <f>IF(OR($A151="",$B151=0),0,$K151/$B151)</f>
        <v/>
      </c>
      <c r="M151" s="16">
        <f>IF($A151="","",IF((1-$D151-$G151)&lt;=0,0,ROUND(($C151+$F151+$I151)/(1-$D151-$G151),2)))</f>
        <v/>
      </c>
      <c r="N151" s="16">
        <f>IF($A151="","",IFERROR(SUMIF(tblAnahtarA[Norm],$A151,tblVeriA[HedefNet]),0))</f>
        <v/>
      </c>
      <c r="O151" s="16">
        <f>IF($A151="","",ROUND($K151-$N151,2))</f>
        <v/>
      </c>
      <c r="P151" s="16">
        <f>IF($A151="","",IF($L151&lt;egk_esikKatkiDusuk,"ZAM YAP",IF(AND($R151=1,$L151&lt;egk_esikKatkiHedef),"İNDİRİMİ KES","TUT")))</f>
        <v/>
      </c>
      <c r="Q151" s="16">
        <f>IF($A151="","",IFERROR(SUMIF(tblAnahtarB[NormB],$A151,tblVeriB[Roas]),0))</f>
        <v/>
      </c>
      <c r="R151" s="16">
        <f>IF($A151="","",IF(OR(IFERROR(INDEX(tblVeriA[YorumAB],MATCH($A151,tblAnahtarA[Norm],0)),"")="B",IFERROR(INDEX(tblVeriA[Durum],MATCH($A151,tblAnahtarA[Norm],0)),"")="Kampanya"),1,0))</f>
        <v/>
      </c>
      <c r="S151" s="16">
        <f>IF($A151="","",$J151-$E151)</f>
        <v/>
      </c>
      <c r="T151" s="16">
        <f>IF($A151="","",$K151-$O151)</f>
        <v/>
      </c>
    </row>
    <row r="152">
      <c r="A152" s="16">
        <f>IF('ANAHTAR'!$B152="","",'ANAHTAR'!$B152)</f>
        <v/>
      </c>
      <c r="B152" s="16">
        <f>IF($A152="","",IFERROR(SUMIF(tblAnahtarA[Norm],$A152,tblVeriA[SatisFiyati]),0))</f>
        <v/>
      </c>
      <c r="C152" s="16">
        <f>IF($A152="","",IFERROR(SUMIF(tblAnahtarA[Norm],$A152,tblVeriA[Maliyet]),0))</f>
        <v/>
      </c>
      <c r="D152" s="16">
        <f>IF($A152="","",IFERROR(SUMIF(tblAnahtarB[NormB],$A152,tblVeriB[KomisyonOran]),0))</f>
        <v/>
      </c>
      <c r="E152" s="16">
        <f>IF($A152="","",ROUND($B152*$D152,2))</f>
        <v/>
      </c>
      <c r="F152" s="16">
        <f>IF($A152="","",IFERROR(SUMIF(tblAnahtarB[NormB],$A152,tblVeriB[Kargo]),0))</f>
        <v/>
      </c>
      <c r="G152" s="16">
        <f>IF($A152="","",IFERROR(SUMIF(tblAnahtarB[NormB],$A152,tblVeriB[IadeOran]),0))</f>
        <v/>
      </c>
      <c r="H152" s="16">
        <f>IF($A152="","",ROUND($B152*$G152,2))</f>
        <v/>
      </c>
      <c r="I152" s="16">
        <f>IF($A152="","",IFERROR(SUMIF(tblAnahtarB[NormB],$A152,tblVeriB[ReklamTutar]),0))</f>
        <v/>
      </c>
      <c r="J152" s="16">
        <f>IF($A152="","",ROUND($B152-$C152,2))</f>
        <v/>
      </c>
      <c r="K152" s="16">
        <f>IF($A152="","",ROUND($B152-$C152-$E152-$F152-$H152-$I152,2))</f>
        <v/>
      </c>
      <c r="L152" s="16">
        <f>IF(OR($A152="",$B152=0),0,$K152/$B152)</f>
        <v/>
      </c>
      <c r="M152" s="16">
        <f>IF($A152="","",IF((1-$D152-$G152)&lt;=0,0,ROUND(($C152+$F152+$I152)/(1-$D152-$G152),2)))</f>
        <v/>
      </c>
      <c r="N152" s="16">
        <f>IF($A152="","",IFERROR(SUMIF(tblAnahtarA[Norm],$A152,tblVeriA[HedefNet]),0))</f>
        <v/>
      </c>
      <c r="O152" s="16">
        <f>IF($A152="","",ROUND($K152-$N152,2))</f>
        <v/>
      </c>
      <c r="P152" s="16">
        <f>IF($A152="","",IF($L152&lt;egk_esikKatkiDusuk,"ZAM YAP",IF(AND($R152=1,$L152&lt;egk_esikKatkiHedef),"İNDİRİMİ KES","TUT")))</f>
        <v/>
      </c>
      <c r="Q152" s="16">
        <f>IF($A152="","",IFERROR(SUMIF(tblAnahtarB[NormB],$A152,tblVeriB[Roas]),0))</f>
        <v/>
      </c>
      <c r="R152" s="16">
        <f>IF($A152="","",IF(OR(IFERROR(INDEX(tblVeriA[YorumAB],MATCH($A152,tblAnahtarA[Norm],0)),"")="B",IFERROR(INDEX(tblVeriA[Durum],MATCH($A152,tblAnahtarA[Norm],0)),"")="Kampanya"),1,0))</f>
        <v/>
      </c>
      <c r="S152" s="16">
        <f>IF($A152="","",$J152-$E152)</f>
        <v/>
      </c>
      <c r="T152" s="16">
        <f>IF($A152="","",$K152-$O152)</f>
        <v/>
      </c>
    </row>
    <row r="153">
      <c r="A153" s="16">
        <f>IF('ANAHTAR'!$B153="","",'ANAHTAR'!$B153)</f>
        <v/>
      </c>
      <c r="B153" s="16">
        <f>IF($A153="","",IFERROR(SUMIF(tblAnahtarA[Norm],$A153,tblVeriA[SatisFiyati]),0))</f>
        <v/>
      </c>
      <c r="C153" s="16">
        <f>IF($A153="","",IFERROR(SUMIF(tblAnahtarA[Norm],$A153,tblVeriA[Maliyet]),0))</f>
        <v/>
      </c>
      <c r="D153" s="16">
        <f>IF($A153="","",IFERROR(SUMIF(tblAnahtarB[NormB],$A153,tblVeriB[KomisyonOran]),0))</f>
        <v/>
      </c>
      <c r="E153" s="16">
        <f>IF($A153="","",ROUND($B153*$D153,2))</f>
        <v/>
      </c>
      <c r="F153" s="16">
        <f>IF($A153="","",IFERROR(SUMIF(tblAnahtarB[NormB],$A153,tblVeriB[Kargo]),0))</f>
        <v/>
      </c>
      <c r="G153" s="16">
        <f>IF($A153="","",IFERROR(SUMIF(tblAnahtarB[NormB],$A153,tblVeriB[IadeOran]),0))</f>
        <v/>
      </c>
      <c r="H153" s="16">
        <f>IF($A153="","",ROUND($B153*$G153,2))</f>
        <v/>
      </c>
      <c r="I153" s="16">
        <f>IF($A153="","",IFERROR(SUMIF(tblAnahtarB[NormB],$A153,tblVeriB[ReklamTutar]),0))</f>
        <v/>
      </c>
      <c r="J153" s="16">
        <f>IF($A153="","",ROUND($B153-$C153,2))</f>
        <v/>
      </c>
      <c r="K153" s="16">
        <f>IF($A153="","",ROUND($B153-$C153-$E153-$F153-$H153-$I153,2))</f>
        <v/>
      </c>
      <c r="L153" s="16">
        <f>IF(OR($A153="",$B153=0),0,$K153/$B153)</f>
        <v/>
      </c>
      <c r="M153" s="16">
        <f>IF($A153="","",IF((1-$D153-$G153)&lt;=0,0,ROUND(($C153+$F153+$I153)/(1-$D153-$G153),2)))</f>
        <v/>
      </c>
      <c r="N153" s="16">
        <f>IF($A153="","",IFERROR(SUMIF(tblAnahtarA[Norm],$A153,tblVeriA[HedefNet]),0))</f>
        <v/>
      </c>
      <c r="O153" s="16">
        <f>IF($A153="","",ROUND($K153-$N153,2))</f>
        <v/>
      </c>
      <c r="P153" s="16">
        <f>IF($A153="","",IF($L153&lt;egk_esikKatkiDusuk,"ZAM YAP",IF(AND($R153=1,$L153&lt;egk_esikKatkiHedef),"İNDİRİMİ KES","TUT")))</f>
        <v/>
      </c>
      <c r="Q153" s="16">
        <f>IF($A153="","",IFERROR(SUMIF(tblAnahtarB[NormB],$A153,tblVeriB[Roas]),0))</f>
        <v/>
      </c>
      <c r="R153" s="16">
        <f>IF($A153="","",IF(OR(IFERROR(INDEX(tblVeriA[YorumAB],MATCH($A153,tblAnahtarA[Norm],0)),"")="B",IFERROR(INDEX(tblVeriA[Durum],MATCH($A153,tblAnahtarA[Norm],0)),"")="Kampanya"),1,0))</f>
        <v/>
      </c>
      <c r="S153" s="16">
        <f>IF($A153="","",$J153-$E153)</f>
        <v/>
      </c>
      <c r="T153" s="16">
        <f>IF($A153="","",$K153-$O153)</f>
        <v/>
      </c>
    </row>
    <row r="154">
      <c r="A154" s="16">
        <f>IF('ANAHTAR'!$B154="","",'ANAHTAR'!$B154)</f>
        <v/>
      </c>
      <c r="B154" s="16">
        <f>IF($A154="","",IFERROR(SUMIF(tblAnahtarA[Norm],$A154,tblVeriA[SatisFiyati]),0))</f>
        <v/>
      </c>
      <c r="C154" s="16">
        <f>IF($A154="","",IFERROR(SUMIF(tblAnahtarA[Norm],$A154,tblVeriA[Maliyet]),0))</f>
        <v/>
      </c>
      <c r="D154" s="16">
        <f>IF($A154="","",IFERROR(SUMIF(tblAnahtarB[NormB],$A154,tblVeriB[KomisyonOran]),0))</f>
        <v/>
      </c>
      <c r="E154" s="16">
        <f>IF($A154="","",ROUND($B154*$D154,2))</f>
        <v/>
      </c>
      <c r="F154" s="16">
        <f>IF($A154="","",IFERROR(SUMIF(tblAnahtarB[NormB],$A154,tblVeriB[Kargo]),0))</f>
        <v/>
      </c>
      <c r="G154" s="16">
        <f>IF($A154="","",IFERROR(SUMIF(tblAnahtarB[NormB],$A154,tblVeriB[IadeOran]),0))</f>
        <v/>
      </c>
      <c r="H154" s="16">
        <f>IF($A154="","",ROUND($B154*$G154,2))</f>
        <v/>
      </c>
      <c r="I154" s="16">
        <f>IF($A154="","",IFERROR(SUMIF(tblAnahtarB[NormB],$A154,tblVeriB[ReklamTutar]),0))</f>
        <v/>
      </c>
      <c r="J154" s="16">
        <f>IF($A154="","",ROUND($B154-$C154,2))</f>
        <v/>
      </c>
      <c r="K154" s="16">
        <f>IF($A154="","",ROUND($B154-$C154-$E154-$F154-$H154-$I154,2))</f>
        <v/>
      </c>
      <c r="L154" s="16">
        <f>IF(OR($A154="",$B154=0),0,$K154/$B154)</f>
        <v/>
      </c>
      <c r="M154" s="16">
        <f>IF($A154="","",IF((1-$D154-$G154)&lt;=0,0,ROUND(($C154+$F154+$I154)/(1-$D154-$G154),2)))</f>
        <v/>
      </c>
      <c r="N154" s="16">
        <f>IF($A154="","",IFERROR(SUMIF(tblAnahtarA[Norm],$A154,tblVeriA[HedefNet]),0))</f>
        <v/>
      </c>
      <c r="O154" s="16">
        <f>IF($A154="","",ROUND($K154-$N154,2))</f>
        <v/>
      </c>
      <c r="P154" s="16">
        <f>IF($A154="","",IF($L154&lt;egk_esikKatkiDusuk,"ZAM YAP",IF(AND($R154=1,$L154&lt;egk_esikKatkiHedef),"İNDİRİMİ KES","TUT")))</f>
        <v/>
      </c>
      <c r="Q154" s="16">
        <f>IF($A154="","",IFERROR(SUMIF(tblAnahtarB[NormB],$A154,tblVeriB[Roas]),0))</f>
        <v/>
      </c>
      <c r="R154" s="16">
        <f>IF($A154="","",IF(OR(IFERROR(INDEX(tblVeriA[YorumAB],MATCH($A154,tblAnahtarA[Norm],0)),"")="B",IFERROR(INDEX(tblVeriA[Durum],MATCH($A154,tblAnahtarA[Norm],0)),"")="Kampanya"),1,0))</f>
        <v/>
      </c>
      <c r="S154" s="16">
        <f>IF($A154="","",$J154-$E154)</f>
        <v/>
      </c>
      <c r="T154" s="16">
        <f>IF($A154="","",$K154-$O154)</f>
        <v/>
      </c>
    </row>
    <row r="155">
      <c r="A155" s="16">
        <f>IF('ANAHTAR'!$B155="","",'ANAHTAR'!$B155)</f>
        <v/>
      </c>
      <c r="B155" s="16">
        <f>IF($A155="","",IFERROR(SUMIF(tblAnahtarA[Norm],$A155,tblVeriA[SatisFiyati]),0))</f>
        <v/>
      </c>
      <c r="C155" s="16">
        <f>IF($A155="","",IFERROR(SUMIF(tblAnahtarA[Norm],$A155,tblVeriA[Maliyet]),0))</f>
        <v/>
      </c>
      <c r="D155" s="16">
        <f>IF($A155="","",IFERROR(SUMIF(tblAnahtarB[NormB],$A155,tblVeriB[KomisyonOran]),0))</f>
        <v/>
      </c>
      <c r="E155" s="16">
        <f>IF($A155="","",ROUND($B155*$D155,2))</f>
        <v/>
      </c>
      <c r="F155" s="16">
        <f>IF($A155="","",IFERROR(SUMIF(tblAnahtarB[NormB],$A155,tblVeriB[Kargo]),0))</f>
        <v/>
      </c>
      <c r="G155" s="16">
        <f>IF($A155="","",IFERROR(SUMIF(tblAnahtarB[NormB],$A155,tblVeriB[IadeOran]),0))</f>
        <v/>
      </c>
      <c r="H155" s="16">
        <f>IF($A155="","",ROUND($B155*$G155,2))</f>
        <v/>
      </c>
      <c r="I155" s="16">
        <f>IF($A155="","",IFERROR(SUMIF(tblAnahtarB[NormB],$A155,tblVeriB[ReklamTutar]),0))</f>
        <v/>
      </c>
      <c r="J155" s="16">
        <f>IF($A155="","",ROUND($B155-$C155,2))</f>
        <v/>
      </c>
      <c r="K155" s="16">
        <f>IF($A155="","",ROUND($B155-$C155-$E155-$F155-$H155-$I155,2))</f>
        <v/>
      </c>
      <c r="L155" s="16">
        <f>IF(OR($A155="",$B155=0),0,$K155/$B155)</f>
        <v/>
      </c>
      <c r="M155" s="16">
        <f>IF($A155="","",IF((1-$D155-$G155)&lt;=0,0,ROUND(($C155+$F155+$I155)/(1-$D155-$G155),2)))</f>
        <v/>
      </c>
      <c r="N155" s="16">
        <f>IF($A155="","",IFERROR(SUMIF(tblAnahtarA[Norm],$A155,tblVeriA[HedefNet]),0))</f>
        <v/>
      </c>
      <c r="O155" s="16">
        <f>IF($A155="","",ROUND($K155-$N155,2))</f>
        <v/>
      </c>
      <c r="P155" s="16">
        <f>IF($A155="","",IF($L155&lt;egk_esikKatkiDusuk,"ZAM YAP",IF(AND($R155=1,$L155&lt;egk_esikKatkiHedef),"İNDİRİMİ KES","TUT")))</f>
        <v/>
      </c>
      <c r="Q155" s="16">
        <f>IF($A155="","",IFERROR(SUMIF(tblAnahtarB[NormB],$A155,tblVeriB[Roas]),0))</f>
        <v/>
      </c>
      <c r="R155" s="16">
        <f>IF($A155="","",IF(OR(IFERROR(INDEX(tblVeriA[YorumAB],MATCH($A155,tblAnahtarA[Norm],0)),"")="B",IFERROR(INDEX(tblVeriA[Durum],MATCH($A155,tblAnahtarA[Norm],0)),"")="Kampanya"),1,0))</f>
        <v/>
      </c>
      <c r="S155" s="16">
        <f>IF($A155="","",$J155-$E155)</f>
        <v/>
      </c>
      <c r="T155" s="16">
        <f>IF($A155="","",$K155-$O155)</f>
        <v/>
      </c>
    </row>
    <row r="156">
      <c r="A156" s="16">
        <f>IF('ANAHTAR'!$B156="","",'ANAHTAR'!$B156)</f>
        <v/>
      </c>
      <c r="B156" s="16">
        <f>IF($A156="","",IFERROR(SUMIF(tblAnahtarA[Norm],$A156,tblVeriA[SatisFiyati]),0))</f>
        <v/>
      </c>
      <c r="C156" s="16">
        <f>IF($A156="","",IFERROR(SUMIF(tblAnahtarA[Norm],$A156,tblVeriA[Maliyet]),0))</f>
        <v/>
      </c>
      <c r="D156" s="16">
        <f>IF($A156="","",IFERROR(SUMIF(tblAnahtarB[NormB],$A156,tblVeriB[KomisyonOran]),0))</f>
        <v/>
      </c>
      <c r="E156" s="16">
        <f>IF($A156="","",ROUND($B156*$D156,2))</f>
        <v/>
      </c>
      <c r="F156" s="16">
        <f>IF($A156="","",IFERROR(SUMIF(tblAnahtarB[NormB],$A156,tblVeriB[Kargo]),0))</f>
        <v/>
      </c>
      <c r="G156" s="16">
        <f>IF($A156="","",IFERROR(SUMIF(tblAnahtarB[NormB],$A156,tblVeriB[IadeOran]),0))</f>
        <v/>
      </c>
      <c r="H156" s="16">
        <f>IF($A156="","",ROUND($B156*$G156,2))</f>
        <v/>
      </c>
      <c r="I156" s="16">
        <f>IF($A156="","",IFERROR(SUMIF(tblAnahtarB[NormB],$A156,tblVeriB[ReklamTutar]),0))</f>
        <v/>
      </c>
      <c r="J156" s="16">
        <f>IF($A156="","",ROUND($B156-$C156,2))</f>
        <v/>
      </c>
      <c r="K156" s="16">
        <f>IF($A156="","",ROUND($B156-$C156-$E156-$F156-$H156-$I156,2))</f>
        <v/>
      </c>
      <c r="L156" s="16">
        <f>IF(OR($A156="",$B156=0),0,$K156/$B156)</f>
        <v/>
      </c>
      <c r="M156" s="16">
        <f>IF($A156="","",IF((1-$D156-$G156)&lt;=0,0,ROUND(($C156+$F156+$I156)/(1-$D156-$G156),2)))</f>
        <v/>
      </c>
      <c r="N156" s="16">
        <f>IF($A156="","",IFERROR(SUMIF(tblAnahtarA[Norm],$A156,tblVeriA[HedefNet]),0))</f>
        <v/>
      </c>
      <c r="O156" s="16">
        <f>IF($A156="","",ROUND($K156-$N156,2))</f>
        <v/>
      </c>
      <c r="P156" s="16">
        <f>IF($A156="","",IF($L156&lt;egk_esikKatkiDusuk,"ZAM YAP",IF(AND($R156=1,$L156&lt;egk_esikKatkiHedef),"İNDİRİMİ KES","TUT")))</f>
        <v/>
      </c>
      <c r="Q156" s="16">
        <f>IF($A156="","",IFERROR(SUMIF(tblAnahtarB[NormB],$A156,tblVeriB[Roas]),0))</f>
        <v/>
      </c>
      <c r="R156" s="16">
        <f>IF($A156="","",IF(OR(IFERROR(INDEX(tblVeriA[YorumAB],MATCH($A156,tblAnahtarA[Norm],0)),"")="B",IFERROR(INDEX(tblVeriA[Durum],MATCH($A156,tblAnahtarA[Norm],0)),"")="Kampanya"),1,0))</f>
        <v/>
      </c>
      <c r="S156" s="16">
        <f>IF($A156="","",$J156-$E156)</f>
        <v/>
      </c>
      <c r="T156" s="16">
        <f>IF($A156="","",$K156-$O156)</f>
        <v/>
      </c>
    </row>
    <row r="157">
      <c r="A157" s="16">
        <f>IF('ANAHTAR'!$B157="","",'ANAHTAR'!$B157)</f>
        <v/>
      </c>
      <c r="B157" s="16">
        <f>IF($A157="","",IFERROR(SUMIF(tblAnahtarA[Norm],$A157,tblVeriA[SatisFiyati]),0))</f>
        <v/>
      </c>
      <c r="C157" s="16">
        <f>IF($A157="","",IFERROR(SUMIF(tblAnahtarA[Norm],$A157,tblVeriA[Maliyet]),0))</f>
        <v/>
      </c>
      <c r="D157" s="16">
        <f>IF($A157="","",IFERROR(SUMIF(tblAnahtarB[NormB],$A157,tblVeriB[KomisyonOran]),0))</f>
        <v/>
      </c>
      <c r="E157" s="16">
        <f>IF($A157="","",ROUND($B157*$D157,2))</f>
        <v/>
      </c>
      <c r="F157" s="16">
        <f>IF($A157="","",IFERROR(SUMIF(tblAnahtarB[NormB],$A157,tblVeriB[Kargo]),0))</f>
        <v/>
      </c>
      <c r="G157" s="16">
        <f>IF($A157="","",IFERROR(SUMIF(tblAnahtarB[NormB],$A157,tblVeriB[IadeOran]),0))</f>
        <v/>
      </c>
      <c r="H157" s="16">
        <f>IF($A157="","",ROUND($B157*$G157,2))</f>
        <v/>
      </c>
      <c r="I157" s="16">
        <f>IF($A157="","",IFERROR(SUMIF(tblAnahtarB[NormB],$A157,tblVeriB[ReklamTutar]),0))</f>
        <v/>
      </c>
      <c r="J157" s="16">
        <f>IF($A157="","",ROUND($B157-$C157,2))</f>
        <v/>
      </c>
      <c r="K157" s="16">
        <f>IF($A157="","",ROUND($B157-$C157-$E157-$F157-$H157-$I157,2))</f>
        <v/>
      </c>
      <c r="L157" s="16">
        <f>IF(OR($A157="",$B157=0),0,$K157/$B157)</f>
        <v/>
      </c>
      <c r="M157" s="16">
        <f>IF($A157="","",IF((1-$D157-$G157)&lt;=0,0,ROUND(($C157+$F157+$I157)/(1-$D157-$G157),2)))</f>
        <v/>
      </c>
      <c r="N157" s="16">
        <f>IF($A157="","",IFERROR(SUMIF(tblAnahtarA[Norm],$A157,tblVeriA[HedefNet]),0))</f>
        <v/>
      </c>
      <c r="O157" s="16">
        <f>IF($A157="","",ROUND($K157-$N157,2))</f>
        <v/>
      </c>
      <c r="P157" s="16">
        <f>IF($A157="","",IF($L157&lt;egk_esikKatkiDusuk,"ZAM YAP",IF(AND($R157=1,$L157&lt;egk_esikKatkiHedef),"İNDİRİMİ KES","TUT")))</f>
        <v/>
      </c>
      <c r="Q157" s="16">
        <f>IF($A157="","",IFERROR(SUMIF(tblAnahtarB[NormB],$A157,tblVeriB[Roas]),0))</f>
        <v/>
      </c>
      <c r="R157" s="16">
        <f>IF($A157="","",IF(OR(IFERROR(INDEX(tblVeriA[YorumAB],MATCH($A157,tblAnahtarA[Norm],0)),"")="B",IFERROR(INDEX(tblVeriA[Durum],MATCH($A157,tblAnahtarA[Norm],0)),"")="Kampanya"),1,0))</f>
        <v/>
      </c>
      <c r="S157" s="16">
        <f>IF($A157="","",$J157-$E157)</f>
        <v/>
      </c>
      <c r="T157" s="16">
        <f>IF($A157="","",$K157-$O157)</f>
        <v/>
      </c>
    </row>
    <row r="158">
      <c r="A158" s="16">
        <f>IF('ANAHTAR'!$B158="","",'ANAHTAR'!$B158)</f>
        <v/>
      </c>
      <c r="B158" s="16">
        <f>IF($A158="","",IFERROR(SUMIF(tblAnahtarA[Norm],$A158,tblVeriA[SatisFiyati]),0))</f>
        <v/>
      </c>
      <c r="C158" s="16">
        <f>IF($A158="","",IFERROR(SUMIF(tblAnahtarA[Norm],$A158,tblVeriA[Maliyet]),0))</f>
        <v/>
      </c>
      <c r="D158" s="16">
        <f>IF($A158="","",IFERROR(SUMIF(tblAnahtarB[NormB],$A158,tblVeriB[KomisyonOran]),0))</f>
        <v/>
      </c>
      <c r="E158" s="16">
        <f>IF($A158="","",ROUND($B158*$D158,2))</f>
        <v/>
      </c>
      <c r="F158" s="16">
        <f>IF($A158="","",IFERROR(SUMIF(tblAnahtarB[NormB],$A158,tblVeriB[Kargo]),0))</f>
        <v/>
      </c>
      <c r="G158" s="16">
        <f>IF($A158="","",IFERROR(SUMIF(tblAnahtarB[NormB],$A158,tblVeriB[IadeOran]),0))</f>
        <v/>
      </c>
      <c r="H158" s="16">
        <f>IF($A158="","",ROUND($B158*$G158,2))</f>
        <v/>
      </c>
      <c r="I158" s="16">
        <f>IF($A158="","",IFERROR(SUMIF(tblAnahtarB[NormB],$A158,tblVeriB[ReklamTutar]),0))</f>
        <v/>
      </c>
      <c r="J158" s="16">
        <f>IF($A158="","",ROUND($B158-$C158,2))</f>
        <v/>
      </c>
      <c r="K158" s="16">
        <f>IF($A158="","",ROUND($B158-$C158-$E158-$F158-$H158-$I158,2))</f>
        <v/>
      </c>
      <c r="L158" s="16">
        <f>IF(OR($A158="",$B158=0),0,$K158/$B158)</f>
        <v/>
      </c>
      <c r="M158" s="16">
        <f>IF($A158="","",IF((1-$D158-$G158)&lt;=0,0,ROUND(($C158+$F158+$I158)/(1-$D158-$G158),2)))</f>
        <v/>
      </c>
      <c r="N158" s="16">
        <f>IF($A158="","",IFERROR(SUMIF(tblAnahtarA[Norm],$A158,tblVeriA[HedefNet]),0))</f>
        <v/>
      </c>
      <c r="O158" s="16">
        <f>IF($A158="","",ROUND($K158-$N158,2))</f>
        <v/>
      </c>
      <c r="P158" s="16">
        <f>IF($A158="","",IF($L158&lt;egk_esikKatkiDusuk,"ZAM YAP",IF(AND($R158=1,$L158&lt;egk_esikKatkiHedef),"İNDİRİMİ KES","TUT")))</f>
        <v/>
      </c>
      <c r="Q158" s="16">
        <f>IF($A158="","",IFERROR(SUMIF(tblAnahtarB[NormB],$A158,tblVeriB[Roas]),0))</f>
        <v/>
      </c>
      <c r="R158" s="16">
        <f>IF($A158="","",IF(OR(IFERROR(INDEX(tblVeriA[YorumAB],MATCH($A158,tblAnahtarA[Norm],0)),"")="B",IFERROR(INDEX(tblVeriA[Durum],MATCH($A158,tblAnahtarA[Norm],0)),"")="Kampanya"),1,0))</f>
        <v/>
      </c>
      <c r="S158" s="16">
        <f>IF($A158="","",$J158-$E158)</f>
        <v/>
      </c>
      <c r="T158" s="16">
        <f>IF($A158="","",$K158-$O158)</f>
        <v/>
      </c>
    </row>
    <row r="159">
      <c r="A159" s="16">
        <f>IF('ANAHTAR'!$B159="","",'ANAHTAR'!$B159)</f>
        <v/>
      </c>
      <c r="B159" s="16">
        <f>IF($A159="","",IFERROR(SUMIF(tblAnahtarA[Norm],$A159,tblVeriA[SatisFiyati]),0))</f>
        <v/>
      </c>
      <c r="C159" s="16">
        <f>IF($A159="","",IFERROR(SUMIF(tblAnahtarA[Norm],$A159,tblVeriA[Maliyet]),0))</f>
        <v/>
      </c>
      <c r="D159" s="16">
        <f>IF($A159="","",IFERROR(SUMIF(tblAnahtarB[NormB],$A159,tblVeriB[KomisyonOran]),0))</f>
        <v/>
      </c>
      <c r="E159" s="16">
        <f>IF($A159="","",ROUND($B159*$D159,2))</f>
        <v/>
      </c>
      <c r="F159" s="16">
        <f>IF($A159="","",IFERROR(SUMIF(tblAnahtarB[NormB],$A159,tblVeriB[Kargo]),0))</f>
        <v/>
      </c>
      <c r="G159" s="16">
        <f>IF($A159="","",IFERROR(SUMIF(tblAnahtarB[NormB],$A159,tblVeriB[IadeOran]),0))</f>
        <v/>
      </c>
      <c r="H159" s="16">
        <f>IF($A159="","",ROUND($B159*$G159,2))</f>
        <v/>
      </c>
      <c r="I159" s="16">
        <f>IF($A159="","",IFERROR(SUMIF(tblAnahtarB[NormB],$A159,tblVeriB[ReklamTutar]),0))</f>
        <v/>
      </c>
      <c r="J159" s="16">
        <f>IF($A159="","",ROUND($B159-$C159,2))</f>
        <v/>
      </c>
      <c r="K159" s="16">
        <f>IF($A159="","",ROUND($B159-$C159-$E159-$F159-$H159-$I159,2))</f>
        <v/>
      </c>
      <c r="L159" s="16">
        <f>IF(OR($A159="",$B159=0),0,$K159/$B159)</f>
        <v/>
      </c>
      <c r="M159" s="16">
        <f>IF($A159="","",IF((1-$D159-$G159)&lt;=0,0,ROUND(($C159+$F159+$I159)/(1-$D159-$G159),2)))</f>
        <v/>
      </c>
      <c r="N159" s="16">
        <f>IF($A159="","",IFERROR(SUMIF(tblAnahtarA[Norm],$A159,tblVeriA[HedefNet]),0))</f>
        <v/>
      </c>
      <c r="O159" s="16">
        <f>IF($A159="","",ROUND($K159-$N159,2))</f>
        <v/>
      </c>
      <c r="P159" s="16">
        <f>IF($A159="","",IF($L159&lt;egk_esikKatkiDusuk,"ZAM YAP",IF(AND($R159=1,$L159&lt;egk_esikKatkiHedef),"İNDİRİMİ KES","TUT")))</f>
        <v/>
      </c>
      <c r="Q159" s="16">
        <f>IF($A159="","",IFERROR(SUMIF(tblAnahtarB[NormB],$A159,tblVeriB[Roas]),0))</f>
        <v/>
      </c>
      <c r="R159" s="16">
        <f>IF($A159="","",IF(OR(IFERROR(INDEX(tblVeriA[YorumAB],MATCH($A159,tblAnahtarA[Norm],0)),"")="B",IFERROR(INDEX(tblVeriA[Durum],MATCH($A159,tblAnahtarA[Norm],0)),"")="Kampanya"),1,0))</f>
        <v/>
      </c>
      <c r="S159" s="16">
        <f>IF($A159="","",$J159-$E159)</f>
        <v/>
      </c>
      <c r="T159" s="16">
        <f>IF($A159="","",$K159-$O159)</f>
        <v/>
      </c>
    </row>
    <row r="160">
      <c r="A160" s="16">
        <f>IF('ANAHTAR'!$B160="","",'ANAHTAR'!$B160)</f>
        <v/>
      </c>
      <c r="B160" s="16">
        <f>IF($A160="","",IFERROR(SUMIF(tblAnahtarA[Norm],$A160,tblVeriA[SatisFiyati]),0))</f>
        <v/>
      </c>
      <c r="C160" s="16">
        <f>IF($A160="","",IFERROR(SUMIF(tblAnahtarA[Norm],$A160,tblVeriA[Maliyet]),0))</f>
        <v/>
      </c>
      <c r="D160" s="16">
        <f>IF($A160="","",IFERROR(SUMIF(tblAnahtarB[NormB],$A160,tblVeriB[KomisyonOran]),0))</f>
        <v/>
      </c>
      <c r="E160" s="16">
        <f>IF($A160="","",ROUND($B160*$D160,2))</f>
        <v/>
      </c>
      <c r="F160" s="16">
        <f>IF($A160="","",IFERROR(SUMIF(tblAnahtarB[NormB],$A160,tblVeriB[Kargo]),0))</f>
        <v/>
      </c>
      <c r="G160" s="16">
        <f>IF($A160="","",IFERROR(SUMIF(tblAnahtarB[NormB],$A160,tblVeriB[IadeOran]),0))</f>
        <v/>
      </c>
      <c r="H160" s="16">
        <f>IF($A160="","",ROUND($B160*$G160,2))</f>
        <v/>
      </c>
      <c r="I160" s="16">
        <f>IF($A160="","",IFERROR(SUMIF(tblAnahtarB[NormB],$A160,tblVeriB[ReklamTutar]),0))</f>
        <v/>
      </c>
      <c r="J160" s="16">
        <f>IF($A160="","",ROUND($B160-$C160,2))</f>
        <v/>
      </c>
      <c r="K160" s="16">
        <f>IF($A160="","",ROUND($B160-$C160-$E160-$F160-$H160-$I160,2))</f>
        <v/>
      </c>
      <c r="L160" s="16">
        <f>IF(OR($A160="",$B160=0),0,$K160/$B160)</f>
        <v/>
      </c>
      <c r="M160" s="16">
        <f>IF($A160="","",IF((1-$D160-$G160)&lt;=0,0,ROUND(($C160+$F160+$I160)/(1-$D160-$G160),2)))</f>
        <v/>
      </c>
      <c r="N160" s="16">
        <f>IF($A160="","",IFERROR(SUMIF(tblAnahtarA[Norm],$A160,tblVeriA[HedefNet]),0))</f>
        <v/>
      </c>
      <c r="O160" s="16">
        <f>IF($A160="","",ROUND($K160-$N160,2))</f>
        <v/>
      </c>
      <c r="P160" s="16">
        <f>IF($A160="","",IF($L160&lt;egk_esikKatkiDusuk,"ZAM YAP",IF(AND($R160=1,$L160&lt;egk_esikKatkiHedef),"İNDİRİMİ KES","TUT")))</f>
        <v/>
      </c>
      <c r="Q160" s="16">
        <f>IF($A160="","",IFERROR(SUMIF(tblAnahtarB[NormB],$A160,tblVeriB[Roas]),0))</f>
        <v/>
      </c>
      <c r="R160" s="16">
        <f>IF($A160="","",IF(OR(IFERROR(INDEX(tblVeriA[YorumAB],MATCH($A160,tblAnahtarA[Norm],0)),"")="B",IFERROR(INDEX(tblVeriA[Durum],MATCH($A160,tblAnahtarA[Norm],0)),"")="Kampanya"),1,0))</f>
        <v/>
      </c>
      <c r="S160" s="16">
        <f>IF($A160="","",$J160-$E160)</f>
        <v/>
      </c>
      <c r="T160" s="16">
        <f>IF($A160="","",$K160-$O160)</f>
        <v/>
      </c>
    </row>
    <row r="161">
      <c r="A161" s="16">
        <f>IF('ANAHTAR'!$B161="","",'ANAHTAR'!$B161)</f>
        <v/>
      </c>
      <c r="B161" s="16">
        <f>IF($A161="","",IFERROR(SUMIF(tblAnahtarA[Norm],$A161,tblVeriA[SatisFiyati]),0))</f>
        <v/>
      </c>
      <c r="C161" s="16">
        <f>IF($A161="","",IFERROR(SUMIF(tblAnahtarA[Norm],$A161,tblVeriA[Maliyet]),0))</f>
        <v/>
      </c>
      <c r="D161" s="16">
        <f>IF($A161="","",IFERROR(SUMIF(tblAnahtarB[NormB],$A161,tblVeriB[KomisyonOran]),0))</f>
        <v/>
      </c>
      <c r="E161" s="16">
        <f>IF($A161="","",ROUND($B161*$D161,2))</f>
        <v/>
      </c>
      <c r="F161" s="16">
        <f>IF($A161="","",IFERROR(SUMIF(tblAnahtarB[NormB],$A161,tblVeriB[Kargo]),0))</f>
        <v/>
      </c>
      <c r="G161" s="16">
        <f>IF($A161="","",IFERROR(SUMIF(tblAnahtarB[NormB],$A161,tblVeriB[IadeOran]),0))</f>
        <v/>
      </c>
      <c r="H161" s="16">
        <f>IF($A161="","",ROUND($B161*$G161,2))</f>
        <v/>
      </c>
      <c r="I161" s="16">
        <f>IF($A161="","",IFERROR(SUMIF(tblAnahtarB[NormB],$A161,tblVeriB[ReklamTutar]),0))</f>
        <v/>
      </c>
      <c r="J161" s="16">
        <f>IF($A161="","",ROUND($B161-$C161,2))</f>
        <v/>
      </c>
      <c r="K161" s="16">
        <f>IF($A161="","",ROUND($B161-$C161-$E161-$F161-$H161-$I161,2))</f>
        <v/>
      </c>
      <c r="L161" s="16">
        <f>IF(OR($A161="",$B161=0),0,$K161/$B161)</f>
        <v/>
      </c>
      <c r="M161" s="16">
        <f>IF($A161="","",IF((1-$D161-$G161)&lt;=0,0,ROUND(($C161+$F161+$I161)/(1-$D161-$G161),2)))</f>
        <v/>
      </c>
      <c r="N161" s="16">
        <f>IF($A161="","",IFERROR(SUMIF(tblAnahtarA[Norm],$A161,tblVeriA[HedefNet]),0))</f>
        <v/>
      </c>
      <c r="O161" s="16">
        <f>IF($A161="","",ROUND($K161-$N161,2))</f>
        <v/>
      </c>
      <c r="P161" s="16">
        <f>IF($A161="","",IF($L161&lt;egk_esikKatkiDusuk,"ZAM YAP",IF(AND($R161=1,$L161&lt;egk_esikKatkiHedef),"İNDİRİMİ KES","TUT")))</f>
        <v/>
      </c>
      <c r="Q161" s="16">
        <f>IF($A161="","",IFERROR(SUMIF(tblAnahtarB[NormB],$A161,tblVeriB[Roas]),0))</f>
        <v/>
      </c>
      <c r="R161" s="16">
        <f>IF($A161="","",IF(OR(IFERROR(INDEX(tblVeriA[YorumAB],MATCH($A161,tblAnahtarA[Norm],0)),"")="B",IFERROR(INDEX(tblVeriA[Durum],MATCH($A161,tblAnahtarA[Norm],0)),"")="Kampanya"),1,0))</f>
        <v/>
      </c>
      <c r="S161" s="16">
        <f>IF($A161="","",$J161-$E161)</f>
        <v/>
      </c>
      <c r="T161" s="16">
        <f>IF($A161="","",$K161-$O161)</f>
        <v/>
      </c>
    </row>
    <row r="162">
      <c r="A162" s="16">
        <f>IF('ANAHTAR'!$B162="","",'ANAHTAR'!$B162)</f>
        <v/>
      </c>
      <c r="B162" s="16">
        <f>IF($A162="","",IFERROR(SUMIF(tblAnahtarA[Norm],$A162,tblVeriA[SatisFiyati]),0))</f>
        <v/>
      </c>
      <c r="C162" s="16">
        <f>IF($A162="","",IFERROR(SUMIF(tblAnahtarA[Norm],$A162,tblVeriA[Maliyet]),0))</f>
        <v/>
      </c>
      <c r="D162" s="16">
        <f>IF($A162="","",IFERROR(SUMIF(tblAnahtarB[NormB],$A162,tblVeriB[KomisyonOran]),0))</f>
        <v/>
      </c>
      <c r="E162" s="16">
        <f>IF($A162="","",ROUND($B162*$D162,2))</f>
        <v/>
      </c>
      <c r="F162" s="16">
        <f>IF($A162="","",IFERROR(SUMIF(tblAnahtarB[NormB],$A162,tblVeriB[Kargo]),0))</f>
        <v/>
      </c>
      <c r="G162" s="16">
        <f>IF($A162="","",IFERROR(SUMIF(tblAnahtarB[NormB],$A162,tblVeriB[IadeOran]),0))</f>
        <v/>
      </c>
      <c r="H162" s="16">
        <f>IF($A162="","",ROUND($B162*$G162,2))</f>
        <v/>
      </c>
      <c r="I162" s="16">
        <f>IF($A162="","",IFERROR(SUMIF(tblAnahtarB[NormB],$A162,tblVeriB[ReklamTutar]),0))</f>
        <v/>
      </c>
      <c r="J162" s="16">
        <f>IF($A162="","",ROUND($B162-$C162,2))</f>
        <v/>
      </c>
      <c r="K162" s="16">
        <f>IF($A162="","",ROUND($B162-$C162-$E162-$F162-$H162-$I162,2))</f>
        <v/>
      </c>
      <c r="L162" s="16">
        <f>IF(OR($A162="",$B162=0),0,$K162/$B162)</f>
        <v/>
      </c>
      <c r="M162" s="16">
        <f>IF($A162="","",IF((1-$D162-$G162)&lt;=0,0,ROUND(($C162+$F162+$I162)/(1-$D162-$G162),2)))</f>
        <v/>
      </c>
      <c r="N162" s="16">
        <f>IF($A162="","",IFERROR(SUMIF(tblAnahtarA[Norm],$A162,tblVeriA[HedefNet]),0))</f>
        <v/>
      </c>
      <c r="O162" s="16">
        <f>IF($A162="","",ROUND($K162-$N162,2))</f>
        <v/>
      </c>
      <c r="P162" s="16">
        <f>IF($A162="","",IF($L162&lt;egk_esikKatkiDusuk,"ZAM YAP",IF(AND($R162=1,$L162&lt;egk_esikKatkiHedef),"İNDİRİMİ KES","TUT")))</f>
        <v/>
      </c>
      <c r="Q162" s="16">
        <f>IF($A162="","",IFERROR(SUMIF(tblAnahtarB[NormB],$A162,tblVeriB[Roas]),0))</f>
        <v/>
      </c>
      <c r="R162" s="16">
        <f>IF($A162="","",IF(OR(IFERROR(INDEX(tblVeriA[YorumAB],MATCH($A162,tblAnahtarA[Norm],0)),"")="B",IFERROR(INDEX(tblVeriA[Durum],MATCH($A162,tblAnahtarA[Norm],0)),"")="Kampanya"),1,0))</f>
        <v/>
      </c>
      <c r="S162" s="16">
        <f>IF($A162="","",$J162-$E162)</f>
        <v/>
      </c>
      <c r="T162" s="16">
        <f>IF($A162="","",$K162-$O162)</f>
        <v/>
      </c>
    </row>
    <row r="163">
      <c r="A163" s="16">
        <f>IF('ANAHTAR'!$B163="","",'ANAHTAR'!$B163)</f>
        <v/>
      </c>
      <c r="B163" s="16">
        <f>IF($A163="","",IFERROR(SUMIF(tblAnahtarA[Norm],$A163,tblVeriA[SatisFiyati]),0))</f>
        <v/>
      </c>
      <c r="C163" s="16">
        <f>IF($A163="","",IFERROR(SUMIF(tblAnahtarA[Norm],$A163,tblVeriA[Maliyet]),0))</f>
        <v/>
      </c>
      <c r="D163" s="16">
        <f>IF($A163="","",IFERROR(SUMIF(tblAnahtarB[NormB],$A163,tblVeriB[KomisyonOran]),0))</f>
        <v/>
      </c>
      <c r="E163" s="16">
        <f>IF($A163="","",ROUND($B163*$D163,2))</f>
        <v/>
      </c>
      <c r="F163" s="16">
        <f>IF($A163="","",IFERROR(SUMIF(tblAnahtarB[NormB],$A163,tblVeriB[Kargo]),0))</f>
        <v/>
      </c>
      <c r="G163" s="16">
        <f>IF($A163="","",IFERROR(SUMIF(tblAnahtarB[NormB],$A163,tblVeriB[IadeOran]),0))</f>
        <v/>
      </c>
      <c r="H163" s="16">
        <f>IF($A163="","",ROUND($B163*$G163,2))</f>
        <v/>
      </c>
      <c r="I163" s="16">
        <f>IF($A163="","",IFERROR(SUMIF(tblAnahtarB[NormB],$A163,tblVeriB[ReklamTutar]),0))</f>
        <v/>
      </c>
      <c r="J163" s="16">
        <f>IF($A163="","",ROUND($B163-$C163,2))</f>
        <v/>
      </c>
      <c r="K163" s="16">
        <f>IF($A163="","",ROUND($B163-$C163-$E163-$F163-$H163-$I163,2))</f>
        <v/>
      </c>
      <c r="L163" s="16">
        <f>IF(OR($A163="",$B163=0),0,$K163/$B163)</f>
        <v/>
      </c>
      <c r="M163" s="16">
        <f>IF($A163="","",IF((1-$D163-$G163)&lt;=0,0,ROUND(($C163+$F163+$I163)/(1-$D163-$G163),2)))</f>
        <v/>
      </c>
      <c r="N163" s="16">
        <f>IF($A163="","",IFERROR(SUMIF(tblAnahtarA[Norm],$A163,tblVeriA[HedefNet]),0))</f>
        <v/>
      </c>
      <c r="O163" s="16">
        <f>IF($A163="","",ROUND($K163-$N163,2))</f>
        <v/>
      </c>
      <c r="P163" s="16">
        <f>IF($A163="","",IF($L163&lt;egk_esikKatkiDusuk,"ZAM YAP",IF(AND($R163=1,$L163&lt;egk_esikKatkiHedef),"İNDİRİMİ KES","TUT")))</f>
        <v/>
      </c>
      <c r="Q163" s="16">
        <f>IF($A163="","",IFERROR(SUMIF(tblAnahtarB[NormB],$A163,tblVeriB[Roas]),0))</f>
        <v/>
      </c>
      <c r="R163" s="16">
        <f>IF($A163="","",IF(OR(IFERROR(INDEX(tblVeriA[YorumAB],MATCH($A163,tblAnahtarA[Norm],0)),"")="B",IFERROR(INDEX(tblVeriA[Durum],MATCH($A163,tblAnahtarA[Norm],0)),"")="Kampanya"),1,0))</f>
        <v/>
      </c>
      <c r="S163" s="16">
        <f>IF($A163="","",$J163-$E163)</f>
        <v/>
      </c>
      <c r="T163" s="16">
        <f>IF($A163="","",$K163-$O163)</f>
        <v/>
      </c>
    </row>
    <row r="164">
      <c r="A164" s="16">
        <f>IF('ANAHTAR'!$B164="","",'ANAHTAR'!$B164)</f>
        <v/>
      </c>
      <c r="B164" s="16">
        <f>IF($A164="","",IFERROR(SUMIF(tblAnahtarA[Norm],$A164,tblVeriA[SatisFiyati]),0))</f>
        <v/>
      </c>
      <c r="C164" s="16">
        <f>IF($A164="","",IFERROR(SUMIF(tblAnahtarA[Norm],$A164,tblVeriA[Maliyet]),0))</f>
        <v/>
      </c>
      <c r="D164" s="16">
        <f>IF($A164="","",IFERROR(SUMIF(tblAnahtarB[NormB],$A164,tblVeriB[KomisyonOran]),0))</f>
        <v/>
      </c>
      <c r="E164" s="16">
        <f>IF($A164="","",ROUND($B164*$D164,2))</f>
        <v/>
      </c>
      <c r="F164" s="16">
        <f>IF($A164="","",IFERROR(SUMIF(tblAnahtarB[NormB],$A164,tblVeriB[Kargo]),0))</f>
        <v/>
      </c>
      <c r="G164" s="16">
        <f>IF($A164="","",IFERROR(SUMIF(tblAnahtarB[NormB],$A164,tblVeriB[IadeOran]),0))</f>
        <v/>
      </c>
      <c r="H164" s="16">
        <f>IF($A164="","",ROUND($B164*$G164,2))</f>
        <v/>
      </c>
      <c r="I164" s="16">
        <f>IF($A164="","",IFERROR(SUMIF(tblAnahtarB[NormB],$A164,tblVeriB[ReklamTutar]),0))</f>
        <v/>
      </c>
      <c r="J164" s="16">
        <f>IF($A164="","",ROUND($B164-$C164,2))</f>
        <v/>
      </c>
      <c r="K164" s="16">
        <f>IF($A164="","",ROUND($B164-$C164-$E164-$F164-$H164-$I164,2))</f>
        <v/>
      </c>
      <c r="L164" s="16">
        <f>IF(OR($A164="",$B164=0),0,$K164/$B164)</f>
        <v/>
      </c>
      <c r="M164" s="16">
        <f>IF($A164="","",IF((1-$D164-$G164)&lt;=0,0,ROUND(($C164+$F164+$I164)/(1-$D164-$G164),2)))</f>
        <v/>
      </c>
      <c r="N164" s="16">
        <f>IF($A164="","",IFERROR(SUMIF(tblAnahtarA[Norm],$A164,tblVeriA[HedefNet]),0))</f>
        <v/>
      </c>
      <c r="O164" s="16">
        <f>IF($A164="","",ROUND($K164-$N164,2))</f>
        <v/>
      </c>
      <c r="P164" s="16">
        <f>IF($A164="","",IF($L164&lt;egk_esikKatkiDusuk,"ZAM YAP",IF(AND($R164=1,$L164&lt;egk_esikKatkiHedef),"İNDİRİMİ KES","TUT")))</f>
        <v/>
      </c>
      <c r="Q164" s="16">
        <f>IF($A164="","",IFERROR(SUMIF(tblAnahtarB[NormB],$A164,tblVeriB[Roas]),0))</f>
        <v/>
      </c>
      <c r="R164" s="16">
        <f>IF($A164="","",IF(OR(IFERROR(INDEX(tblVeriA[YorumAB],MATCH($A164,tblAnahtarA[Norm],0)),"")="B",IFERROR(INDEX(tblVeriA[Durum],MATCH($A164,tblAnahtarA[Norm],0)),"")="Kampanya"),1,0))</f>
        <v/>
      </c>
      <c r="S164" s="16">
        <f>IF($A164="","",$J164-$E164)</f>
        <v/>
      </c>
      <c r="T164" s="16">
        <f>IF($A164="","",$K164-$O164)</f>
        <v/>
      </c>
    </row>
    <row r="165">
      <c r="A165" s="16">
        <f>IF('ANAHTAR'!$B165="","",'ANAHTAR'!$B165)</f>
        <v/>
      </c>
      <c r="B165" s="16">
        <f>IF($A165="","",IFERROR(SUMIF(tblAnahtarA[Norm],$A165,tblVeriA[SatisFiyati]),0))</f>
        <v/>
      </c>
      <c r="C165" s="16">
        <f>IF($A165="","",IFERROR(SUMIF(tblAnahtarA[Norm],$A165,tblVeriA[Maliyet]),0))</f>
        <v/>
      </c>
      <c r="D165" s="16">
        <f>IF($A165="","",IFERROR(SUMIF(tblAnahtarB[NormB],$A165,tblVeriB[KomisyonOran]),0))</f>
        <v/>
      </c>
      <c r="E165" s="16">
        <f>IF($A165="","",ROUND($B165*$D165,2))</f>
        <v/>
      </c>
      <c r="F165" s="16">
        <f>IF($A165="","",IFERROR(SUMIF(tblAnahtarB[NormB],$A165,tblVeriB[Kargo]),0))</f>
        <v/>
      </c>
      <c r="G165" s="16">
        <f>IF($A165="","",IFERROR(SUMIF(tblAnahtarB[NormB],$A165,tblVeriB[IadeOran]),0))</f>
        <v/>
      </c>
      <c r="H165" s="16">
        <f>IF($A165="","",ROUND($B165*$G165,2))</f>
        <v/>
      </c>
      <c r="I165" s="16">
        <f>IF($A165="","",IFERROR(SUMIF(tblAnahtarB[NormB],$A165,tblVeriB[ReklamTutar]),0))</f>
        <v/>
      </c>
      <c r="J165" s="16">
        <f>IF($A165="","",ROUND($B165-$C165,2))</f>
        <v/>
      </c>
      <c r="K165" s="16">
        <f>IF($A165="","",ROUND($B165-$C165-$E165-$F165-$H165-$I165,2))</f>
        <v/>
      </c>
      <c r="L165" s="16">
        <f>IF(OR($A165="",$B165=0),0,$K165/$B165)</f>
        <v/>
      </c>
      <c r="M165" s="16">
        <f>IF($A165="","",IF((1-$D165-$G165)&lt;=0,0,ROUND(($C165+$F165+$I165)/(1-$D165-$G165),2)))</f>
        <v/>
      </c>
      <c r="N165" s="16">
        <f>IF($A165="","",IFERROR(SUMIF(tblAnahtarA[Norm],$A165,tblVeriA[HedefNet]),0))</f>
        <v/>
      </c>
      <c r="O165" s="16">
        <f>IF($A165="","",ROUND($K165-$N165,2))</f>
        <v/>
      </c>
      <c r="P165" s="16">
        <f>IF($A165="","",IF($L165&lt;egk_esikKatkiDusuk,"ZAM YAP",IF(AND($R165=1,$L165&lt;egk_esikKatkiHedef),"İNDİRİMİ KES","TUT")))</f>
        <v/>
      </c>
      <c r="Q165" s="16">
        <f>IF($A165="","",IFERROR(SUMIF(tblAnahtarB[NormB],$A165,tblVeriB[Roas]),0))</f>
        <v/>
      </c>
      <c r="R165" s="16">
        <f>IF($A165="","",IF(OR(IFERROR(INDEX(tblVeriA[YorumAB],MATCH($A165,tblAnahtarA[Norm],0)),"")="B",IFERROR(INDEX(tblVeriA[Durum],MATCH($A165,tblAnahtarA[Norm],0)),"")="Kampanya"),1,0))</f>
        <v/>
      </c>
      <c r="S165" s="16">
        <f>IF($A165="","",$J165-$E165)</f>
        <v/>
      </c>
      <c r="T165" s="16">
        <f>IF($A165="","",$K165-$O165)</f>
        <v/>
      </c>
    </row>
    <row r="166">
      <c r="A166" s="16">
        <f>IF('ANAHTAR'!$B166="","",'ANAHTAR'!$B166)</f>
        <v/>
      </c>
      <c r="B166" s="16">
        <f>IF($A166="","",IFERROR(SUMIF(tblAnahtarA[Norm],$A166,tblVeriA[SatisFiyati]),0))</f>
        <v/>
      </c>
      <c r="C166" s="16">
        <f>IF($A166="","",IFERROR(SUMIF(tblAnahtarA[Norm],$A166,tblVeriA[Maliyet]),0))</f>
        <v/>
      </c>
      <c r="D166" s="16">
        <f>IF($A166="","",IFERROR(SUMIF(tblAnahtarB[NormB],$A166,tblVeriB[KomisyonOran]),0))</f>
        <v/>
      </c>
      <c r="E166" s="16">
        <f>IF($A166="","",ROUND($B166*$D166,2))</f>
        <v/>
      </c>
      <c r="F166" s="16">
        <f>IF($A166="","",IFERROR(SUMIF(tblAnahtarB[NormB],$A166,tblVeriB[Kargo]),0))</f>
        <v/>
      </c>
      <c r="G166" s="16">
        <f>IF($A166="","",IFERROR(SUMIF(tblAnahtarB[NormB],$A166,tblVeriB[IadeOran]),0))</f>
        <v/>
      </c>
      <c r="H166" s="16">
        <f>IF($A166="","",ROUND($B166*$G166,2))</f>
        <v/>
      </c>
      <c r="I166" s="16">
        <f>IF($A166="","",IFERROR(SUMIF(tblAnahtarB[NormB],$A166,tblVeriB[ReklamTutar]),0))</f>
        <v/>
      </c>
      <c r="J166" s="16">
        <f>IF($A166="","",ROUND($B166-$C166,2))</f>
        <v/>
      </c>
      <c r="K166" s="16">
        <f>IF($A166="","",ROUND($B166-$C166-$E166-$F166-$H166-$I166,2))</f>
        <v/>
      </c>
      <c r="L166" s="16">
        <f>IF(OR($A166="",$B166=0),0,$K166/$B166)</f>
        <v/>
      </c>
      <c r="M166" s="16">
        <f>IF($A166="","",IF((1-$D166-$G166)&lt;=0,0,ROUND(($C166+$F166+$I166)/(1-$D166-$G166),2)))</f>
        <v/>
      </c>
      <c r="N166" s="16">
        <f>IF($A166="","",IFERROR(SUMIF(tblAnahtarA[Norm],$A166,tblVeriA[HedefNet]),0))</f>
        <v/>
      </c>
      <c r="O166" s="16">
        <f>IF($A166="","",ROUND($K166-$N166,2))</f>
        <v/>
      </c>
      <c r="P166" s="16">
        <f>IF($A166="","",IF($L166&lt;egk_esikKatkiDusuk,"ZAM YAP",IF(AND($R166=1,$L166&lt;egk_esikKatkiHedef),"İNDİRİMİ KES","TUT")))</f>
        <v/>
      </c>
      <c r="Q166" s="16">
        <f>IF($A166="","",IFERROR(SUMIF(tblAnahtarB[NormB],$A166,tblVeriB[Roas]),0))</f>
        <v/>
      </c>
      <c r="R166" s="16">
        <f>IF($A166="","",IF(OR(IFERROR(INDEX(tblVeriA[YorumAB],MATCH($A166,tblAnahtarA[Norm],0)),"")="B",IFERROR(INDEX(tblVeriA[Durum],MATCH($A166,tblAnahtarA[Norm],0)),"")="Kampanya"),1,0))</f>
        <v/>
      </c>
      <c r="S166" s="16">
        <f>IF($A166="","",$J166-$E166)</f>
        <v/>
      </c>
      <c r="T166" s="16">
        <f>IF($A166="","",$K166-$O166)</f>
        <v/>
      </c>
    </row>
    <row r="167">
      <c r="A167" s="16">
        <f>IF('ANAHTAR'!$B167="","",'ANAHTAR'!$B167)</f>
        <v/>
      </c>
      <c r="B167" s="16">
        <f>IF($A167="","",IFERROR(SUMIF(tblAnahtarA[Norm],$A167,tblVeriA[SatisFiyati]),0))</f>
        <v/>
      </c>
      <c r="C167" s="16">
        <f>IF($A167="","",IFERROR(SUMIF(tblAnahtarA[Norm],$A167,tblVeriA[Maliyet]),0))</f>
        <v/>
      </c>
      <c r="D167" s="16">
        <f>IF($A167="","",IFERROR(SUMIF(tblAnahtarB[NormB],$A167,tblVeriB[KomisyonOran]),0))</f>
        <v/>
      </c>
      <c r="E167" s="16">
        <f>IF($A167="","",ROUND($B167*$D167,2))</f>
        <v/>
      </c>
      <c r="F167" s="16">
        <f>IF($A167="","",IFERROR(SUMIF(tblAnahtarB[NormB],$A167,tblVeriB[Kargo]),0))</f>
        <v/>
      </c>
      <c r="G167" s="16">
        <f>IF($A167="","",IFERROR(SUMIF(tblAnahtarB[NormB],$A167,tblVeriB[IadeOran]),0))</f>
        <v/>
      </c>
      <c r="H167" s="16">
        <f>IF($A167="","",ROUND($B167*$G167,2))</f>
        <v/>
      </c>
      <c r="I167" s="16">
        <f>IF($A167="","",IFERROR(SUMIF(tblAnahtarB[NormB],$A167,tblVeriB[ReklamTutar]),0))</f>
        <v/>
      </c>
      <c r="J167" s="16">
        <f>IF($A167="","",ROUND($B167-$C167,2))</f>
        <v/>
      </c>
      <c r="K167" s="16">
        <f>IF($A167="","",ROUND($B167-$C167-$E167-$F167-$H167-$I167,2))</f>
        <v/>
      </c>
      <c r="L167" s="16">
        <f>IF(OR($A167="",$B167=0),0,$K167/$B167)</f>
        <v/>
      </c>
      <c r="M167" s="16">
        <f>IF($A167="","",IF((1-$D167-$G167)&lt;=0,0,ROUND(($C167+$F167+$I167)/(1-$D167-$G167),2)))</f>
        <v/>
      </c>
      <c r="N167" s="16">
        <f>IF($A167="","",IFERROR(SUMIF(tblAnahtarA[Norm],$A167,tblVeriA[HedefNet]),0))</f>
        <v/>
      </c>
      <c r="O167" s="16">
        <f>IF($A167="","",ROUND($K167-$N167,2))</f>
        <v/>
      </c>
      <c r="P167" s="16">
        <f>IF($A167="","",IF($L167&lt;egk_esikKatkiDusuk,"ZAM YAP",IF(AND($R167=1,$L167&lt;egk_esikKatkiHedef),"İNDİRİMİ KES","TUT")))</f>
        <v/>
      </c>
      <c r="Q167" s="16">
        <f>IF($A167="","",IFERROR(SUMIF(tblAnahtarB[NormB],$A167,tblVeriB[Roas]),0))</f>
        <v/>
      </c>
      <c r="R167" s="16">
        <f>IF($A167="","",IF(OR(IFERROR(INDEX(tblVeriA[YorumAB],MATCH($A167,tblAnahtarA[Norm],0)),"")="B",IFERROR(INDEX(tblVeriA[Durum],MATCH($A167,tblAnahtarA[Norm],0)),"")="Kampanya"),1,0))</f>
        <v/>
      </c>
      <c r="S167" s="16">
        <f>IF($A167="","",$J167-$E167)</f>
        <v/>
      </c>
      <c r="T167" s="16">
        <f>IF($A167="","",$K167-$O167)</f>
        <v/>
      </c>
    </row>
    <row r="168">
      <c r="A168" s="16">
        <f>IF('ANAHTAR'!$B168="","",'ANAHTAR'!$B168)</f>
        <v/>
      </c>
      <c r="B168" s="16">
        <f>IF($A168="","",IFERROR(SUMIF(tblAnahtarA[Norm],$A168,tblVeriA[SatisFiyati]),0))</f>
        <v/>
      </c>
      <c r="C168" s="16">
        <f>IF($A168="","",IFERROR(SUMIF(tblAnahtarA[Norm],$A168,tblVeriA[Maliyet]),0))</f>
        <v/>
      </c>
      <c r="D168" s="16">
        <f>IF($A168="","",IFERROR(SUMIF(tblAnahtarB[NormB],$A168,tblVeriB[KomisyonOran]),0))</f>
        <v/>
      </c>
      <c r="E168" s="16">
        <f>IF($A168="","",ROUND($B168*$D168,2))</f>
        <v/>
      </c>
      <c r="F168" s="16">
        <f>IF($A168="","",IFERROR(SUMIF(tblAnahtarB[NormB],$A168,tblVeriB[Kargo]),0))</f>
        <v/>
      </c>
      <c r="G168" s="16">
        <f>IF($A168="","",IFERROR(SUMIF(tblAnahtarB[NormB],$A168,tblVeriB[IadeOran]),0))</f>
        <v/>
      </c>
      <c r="H168" s="16">
        <f>IF($A168="","",ROUND($B168*$G168,2))</f>
        <v/>
      </c>
      <c r="I168" s="16">
        <f>IF($A168="","",IFERROR(SUMIF(tblAnahtarB[NormB],$A168,tblVeriB[ReklamTutar]),0))</f>
        <v/>
      </c>
      <c r="J168" s="16">
        <f>IF($A168="","",ROUND($B168-$C168,2))</f>
        <v/>
      </c>
      <c r="K168" s="16">
        <f>IF($A168="","",ROUND($B168-$C168-$E168-$F168-$H168-$I168,2))</f>
        <v/>
      </c>
      <c r="L168" s="16">
        <f>IF(OR($A168="",$B168=0),0,$K168/$B168)</f>
        <v/>
      </c>
      <c r="M168" s="16">
        <f>IF($A168="","",IF((1-$D168-$G168)&lt;=0,0,ROUND(($C168+$F168+$I168)/(1-$D168-$G168),2)))</f>
        <v/>
      </c>
      <c r="N168" s="16">
        <f>IF($A168="","",IFERROR(SUMIF(tblAnahtarA[Norm],$A168,tblVeriA[HedefNet]),0))</f>
        <v/>
      </c>
      <c r="O168" s="16">
        <f>IF($A168="","",ROUND($K168-$N168,2))</f>
        <v/>
      </c>
      <c r="P168" s="16">
        <f>IF($A168="","",IF($L168&lt;egk_esikKatkiDusuk,"ZAM YAP",IF(AND($R168=1,$L168&lt;egk_esikKatkiHedef),"İNDİRİMİ KES","TUT")))</f>
        <v/>
      </c>
      <c r="Q168" s="16">
        <f>IF($A168="","",IFERROR(SUMIF(tblAnahtarB[NormB],$A168,tblVeriB[Roas]),0))</f>
        <v/>
      </c>
      <c r="R168" s="16">
        <f>IF($A168="","",IF(OR(IFERROR(INDEX(tblVeriA[YorumAB],MATCH($A168,tblAnahtarA[Norm],0)),"")="B",IFERROR(INDEX(tblVeriA[Durum],MATCH($A168,tblAnahtarA[Norm],0)),"")="Kampanya"),1,0))</f>
        <v/>
      </c>
      <c r="S168" s="16">
        <f>IF($A168="","",$J168-$E168)</f>
        <v/>
      </c>
      <c r="T168" s="16">
        <f>IF($A168="","",$K168-$O168)</f>
        <v/>
      </c>
    </row>
    <row r="169">
      <c r="A169" s="16">
        <f>IF('ANAHTAR'!$B169="","",'ANAHTAR'!$B169)</f>
        <v/>
      </c>
      <c r="B169" s="16">
        <f>IF($A169="","",IFERROR(SUMIF(tblAnahtarA[Norm],$A169,tblVeriA[SatisFiyati]),0))</f>
        <v/>
      </c>
      <c r="C169" s="16">
        <f>IF($A169="","",IFERROR(SUMIF(tblAnahtarA[Norm],$A169,tblVeriA[Maliyet]),0))</f>
        <v/>
      </c>
      <c r="D169" s="16">
        <f>IF($A169="","",IFERROR(SUMIF(tblAnahtarB[NormB],$A169,tblVeriB[KomisyonOran]),0))</f>
        <v/>
      </c>
      <c r="E169" s="16">
        <f>IF($A169="","",ROUND($B169*$D169,2))</f>
        <v/>
      </c>
      <c r="F169" s="16">
        <f>IF($A169="","",IFERROR(SUMIF(tblAnahtarB[NormB],$A169,tblVeriB[Kargo]),0))</f>
        <v/>
      </c>
      <c r="G169" s="16">
        <f>IF($A169="","",IFERROR(SUMIF(tblAnahtarB[NormB],$A169,tblVeriB[IadeOran]),0))</f>
        <v/>
      </c>
      <c r="H169" s="16">
        <f>IF($A169="","",ROUND($B169*$G169,2))</f>
        <v/>
      </c>
      <c r="I169" s="16">
        <f>IF($A169="","",IFERROR(SUMIF(tblAnahtarB[NormB],$A169,tblVeriB[ReklamTutar]),0))</f>
        <v/>
      </c>
      <c r="J169" s="16">
        <f>IF($A169="","",ROUND($B169-$C169,2))</f>
        <v/>
      </c>
      <c r="K169" s="16">
        <f>IF($A169="","",ROUND($B169-$C169-$E169-$F169-$H169-$I169,2))</f>
        <v/>
      </c>
      <c r="L169" s="16">
        <f>IF(OR($A169="",$B169=0),0,$K169/$B169)</f>
        <v/>
      </c>
      <c r="M169" s="16">
        <f>IF($A169="","",IF((1-$D169-$G169)&lt;=0,0,ROUND(($C169+$F169+$I169)/(1-$D169-$G169),2)))</f>
        <v/>
      </c>
      <c r="N169" s="16">
        <f>IF($A169="","",IFERROR(SUMIF(tblAnahtarA[Norm],$A169,tblVeriA[HedefNet]),0))</f>
        <v/>
      </c>
      <c r="O169" s="16">
        <f>IF($A169="","",ROUND($K169-$N169,2))</f>
        <v/>
      </c>
      <c r="P169" s="16">
        <f>IF($A169="","",IF($L169&lt;egk_esikKatkiDusuk,"ZAM YAP",IF(AND($R169=1,$L169&lt;egk_esikKatkiHedef),"İNDİRİMİ KES","TUT")))</f>
        <v/>
      </c>
      <c r="Q169" s="16">
        <f>IF($A169="","",IFERROR(SUMIF(tblAnahtarB[NormB],$A169,tblVeriB[Roas]),0))</f>
        <v/>
      </c>
      <c r="R169" s="16">
        <f>IF($A169="","",IF(OR(IFERROR(INDEX(tblVeriA[YorumAB],MATCH($A169,tblAnahtarA[Norm],0)),"")="B",IFERROR(INDEX(tblVeriA[Durum],MATCH($A169,tblAnahtarA[Norm],0)),"")="Kampanya"),1,0))</f>
        <v/>
      </c>
      <c r="S169" s="16">
        <f>IF($A169="","",$J169-$E169)</f>
        <v/>
      </c>
      <c r="T169" s="16">
        <f>IF($A169="","",$K169-$O169)</f>
        <v/>
      </c>
    </row>
    <row r="170">
      <c r="A170" s="16">
        <f>IF('ANAHTAR'!$B170="","",'ANAHTAR'!$B170)</f>
        <v/>
      </c>
      <c r="B170" s="16">
        <f>IF($A170="","",IFERROR(SUMIF(tblAnahtarA[Norm],$A170,tblVeriA[SatisFiyati]),0))</f>
        <v/>
      </c>
      <c r="C170" s="16">
        <f>IF($A170="","",IFERROR(SUMIF(tblAnahtarA[Norm],$A170,tblVeriA[Maliyet]),0))</f>
        <v/>
      </c>
      <c r="D170" s="16">
        <f>IF($A170="","",IFERROR(SUMIF(tblAnahtarB[NormB],$A170,tblVeriB[KomisyonOran]),0))</f>
        <v/>
      </c>
      <c r="E170" s="16">
        <f>IF($A170="","",ROUND($B170*$D170,2))</f>
        <v/>
      </c>
      <c r="F170" s="16">
        <f>IF($A170="","",IFERROR(SUMIF(tblAnahtarB[NormB],$A170,tblVeriB[Kargo]),0))</f>
        <v/>
      </c>
      <c r="G170" s="16">
        <f>IF($A170="","",IFERROR(SUMIF(tblAnahtarB[NormB],$A170,tblVeriB[IadeOran]),0))</f>
        <v/>
      </c>
      <c r="H170" s="16">
        <f>IF($A170="","",ROUND($B170*$G170,2))</f>
        <v/>
      </c>
      <c r="I170" s="16">
        <f>IF($A170="","",IFERROR(SUMIF(tblAnahtarB[NormB],$A170,tblVeriB[ReklamTutar]),0))</f>
        <v/>
      </c>
      <c r="J170" s="16">
        <f>IF($A170="","",ROUND($B170-$C170,2))</f>
        <v/>
      </c>
      <c r="K170" s="16">
        <f>IF($A170="","",ROUND($B170-$C170-$E170-$F170-$H170-$I170,2))</f>
        <v/>
      </c>
      <c r="L170" s="16">
        <f>IF(OR($A170="",$B170=0),0,$K170/$B170)</f>
        <v/>
      </c>
      <c r="M170" s="16">
        <f>IF($A170="","",IF((1-$D170-$G170)&lt;=0,0,ROUND(($C170+$F170+$I170)/(1-$D170-$G170),2)))</f>
        <v/>
      </c>
      <c r="N170" s="16">
        <f>IF($A170="","",IFERROR(SUMIF(tblAnahtarA[Norm],$A170,tblVeriA[HedefNet]),0))</f>
        <v/>
      </c>
      <c r="O170" s="16">
        <f>IF($A170="","",ROUND($K170-$N170,2))</f>
        <v/>
      </c>
      <c r="P170" s="16">
        <f>IF($A170="","",IF($L170&lt;egk_esikKatkiDusuk,"ZAM YAP",IF(AND($R170=1,$L170&lt;egk_esikKatkiHedef),"İNDİRİMİ KES","TUT")))</f>
        <v/>
      </c>
      <c r="Q170" s="16">
        <f>IF($A170="","",IFERROR(SUMIF(tblAnahtarB[NormB],$A170,tblVeriB[Roas]),0))</f>
        <v/>
      </c>
      <c r="R170" s="16">
        <f>IF($A170="","",IF(OR(IFERROR(INDEX(tblVeriA[YorumAB],MATCH($A170,tblAnahtarA[Norm],0)),"")="B",IFERROR(INDEX(tblVeriA[Durum],MATCH($A170,tblAnahtarA[Norm],0)),"")="Kampanya"),1,0))</f>
        <v/>
      </c>
      <c r="S170" s="16">
        <f>IF($A170="","",$J170-$E170)</f>
        <v/>
      </c>
      <c r="T170" s="16">
        <f>IF($A170="","",$K170-$O170)</f>
        <v/>
      </c>
    </row>
    <row r="171">
      <c r="A171" s="16">
        <f>IF('ANAHTAR'!$B171="","",'ANAHTAR'!$B171)</f>
        <v/>
      </c>
      <c r="B171" s="16">
        <f>IF($A171="","",IFERROR(SUMIF(tblAnahtarA[Norm],$A171,tblVeriA[SatisFiyati]),0))</f>
        <v/>
      </c>
      <c r="C171" s="16">
        <f>IF($A171="","",IFERROR(SUMIF(tblAnahtarA[Norm],$A171,tblVeriA[Maliyet]),0))</f>
        <v/>
      </c>
      <c r="D171" s="16">
        <f>IF($A171="","",IFERROR(SUMIF(tblAnahtarB[NormB],$A171,tblVeriB[KomisyonOran]),0))</f>
        <v/>
      </c>
      <c r="E171" s="16">
        <f>IF($A171="","",ROUND($B171*$D171,2))</f>
        <v/>
      </c>
      <c r="F171" s="16">
        <f>IF($A171="","",IFERROR(SUMIF(tblAnahtarB[NormB],$A171,tblVeriB[Kargo]),0))</f>
        <v/>
      </c>
      <c r="G171" s="16">
        <f>IF($A171="","",IFERROR(SUMIF(tblAnahtarB[NormB],$A171,tblVeriB[IadeOran]),0))</f>
        <v/>
      </c>
      <c r="H171" s="16">
        <f>IF($A171="","",ROUND($B171*$G171,2))</f>
        <v/>
      </c>
      <c r="I171" s="16">
        <f>IF($A171="","",IFERROR(SUMIF(tblAnahtarB[NormB],$A171,tblVeriB[ReklamTutar]),0))</f>
        <v/>
      </c>
      <c r="J171" s="16">
        <f>IF($A171="","",ROUND($B171-$C171,2))</f>
        <v/>
      </c>
      <c r="K171" s="16">
        <f>IF($A171="","",ROUND($B171-$C171-$E171-$F171-$H171-$I171,2))</f>
        <v/>
      </c>
      <c r="L171" s="16">
        <f>IF(OR($A171="",$B171=0),0,$K171/$B171)</f>
        <v/>
      </c>
      <c r="M171" s="16">
        <f>IF($A171="","",IF((1-$D171-$G171)&lt;=0,0,ROUND(($C171+$F171+$I171)/(1-$D171-$G171),2)))</f>
        <v/>
      </c>
      <c r="N171" s="16">
        <f>IF($A171="","",IFERROR(SUMIF(tblAnahtarA[Norm],$A171,tblVeriA[HedefNet]),0))</f>
        <v/>
      </c>
      <c r="O171" s="16">
        <f>IF($A171="","",ROUND($K171-$N171,2))</f>
        <v/>
      </c>
      <c r="P171" s="16">
        <f>IF($A171="","",IF($L171&lt;egk_esikKatkiDusuk,"ZAM YAP",IF(AND($R171=1,$L171&lt;egk_esikKatkiHedef),"İNDİRİMİ KES","TUT")))</f>
        <v/>
      </c>
      <c r="Q171" s="16">
        <f>IF($A171="","",IFERROR(SUMIF(tblAnahtarB[NormB],$A171,tblVeriB[Roas]),0))</f>
        <v/>
      </c>
      <c r="R171" s="16">
        <f>IF($A171="","",IF(OR(IFERROR(INDEX(tblVeriA[YorumAB],MATCH($A171,tblAnahtarA[Norm],0)),"")="B",IFERROR(INDEX(tblVeriA[Durum],MATCH($A171,tblAnahtarA[Norm],0)),"")="Kampanya"),1,0))</f>
        <v/>
      </c>
      <c r="S171" s="16">
        <f>IF($A171="","",$J171-$E171)</f>
        <v/>
      </c>
      <c r="T171" s="16">
        <f>IF($A171="","",$K171-$O171)</f>
        <v/>
      </c>
    </row>
    <row r="172">
      <c r="A172" s="16">
        <f>IF('ANAHTAR'!$B172="","",'ANAHTAR'!$B172)</f>
        <v/>
      </c>
      <c r="B172" s="16">
        <f>IF($A172="","",IFERROR(SUMIF(tblAnahtarA[Norm],$A172,tblVeriA[SatisFiyati]),0))</f>
        <v/>
      </c>
      <c r="C172" s="16">
        <f>IF($A172="","",IFERROR(SUMIF(tblAnahtarA[Norm],$A172,tblVeriA[Maliyet]),0))</f>
        <v/>
      </c>
      <c r="D172" s="16">
        <f>IF($A172="","",IFERROR(SUMIF(tblAnahtarB[NormB],$A172,tblVeriB[KomisyonOran]),0))</f>
        <v/>
      </c>
      <c r="E172" s="16">
        <f>IF($A172="","",ROUND($B172*$D172,2))</f>
        <v/>
      </c>
      <c r="F172" s="16">
        <f>IF($A172="","",IFERROR(SUMIF(tblAnahtarB[NormB],$A172,tblVeriB[Kargo]),0))</f>
        <v/>
      </c>
      <c r="G172" s="16">
        <f>IF($A172="","",IFERROR(SUMIF(tblAnahtarB[NormB],$A172,tblVeriB[IadeOran]),0))</f>
        <v/>
      </c>
      <c r="H172" s="16">
        <f>IF($A172="","",ROUND($B172*$G172,2))</f>
        <v/>
      </c>
      <c r="I172" s="16">
        <f>IF($A172="","",IFERROR(SUMIF(tblAnahtarB[NormB],$A172,tblVeriB[ReklamTutar]),0))</f>
        <v/>
      </c>
      <c r="J172" s="16">
        <f>IF($A172="","",ROUND($B172-$C172,2))</f>
        <v/>
      </c>
      <c r="K172" s="16">
        <f>IF($A172="","",ROUND($B172-$C172-$E172-$F172-$H172-$I172,2))</f>
        <v/>
      </c>
      <c r="L172" s="16">
        <f>IF(OR($A172="",$B172=0),0,$K172/$B172)</f>
        <v/>
      </c>
      <c r="M172" s="16">
        <f>IF($A172="","",IF((1-$D172-$G172)&lt;=0,0,ROUND(($C172+$F172+$I172)/(1-$D172-$G172),2)))</f>
        <v/>
      </c>
      <c r="N172" s="16">
        <f>IF($A172="","",IFERROR(SUMIF(tblAnahtarA[Norm],$A172,tblVeriA[HedefNet]),0))</f>
        <v/>
      </c>
      <c r="O172" s="16">
        <f>IF($A172="","",ROUND($K172-$N172,2))</f>
        <v/>
      </c>
      <c r="P172" s="16">
        <f>IF($A172="","",IF($L172&lt;egk_esikKatkiDusuk,"ZAM YAP",IF(AND($R172=1,$L172&lt;egk_esikKatkiHedef),"İNDİRİMİ KES","TUT")))</f>
        <v/>
      </c>
      <c r="Q172" s="16">
        <f>IF($A172="","",IFERROR(SUMIF(tblAnahtarB[NormB],$A172,tblVeriB[Roas]),0))</f>
        <v/>
      </c>
      <c r="R172" s="16">
        <f>IF($A172="","",IF(OR(IFERROR(INDEX(tblVeriA[YorumAB],MATCH($A172,tblAnahtarA[Norm],0)),"")="B",IFERROR(INDEX(tblVeriA[Durum],MATCH($A172,tblAnahtarA[Norm],0)),"")="Kampanya"),1,0))</f>
        <v/>
      </c>
      <c r="S172" s="16">
        <f>IF($A172="","",$J172-$E172)</f>
        <v/>
      </c>
      <c r="T172" s="16">
        <f>IF($A172="","",$K172-$O172)</f>
        <v/>
      </c>
    </row>
    <row r="173">
      <c r="A173" s="16">
        <f>IF('ANAHTAR'!$B173="","",'ANAHTAR'!$B173)</f>
        <v/>
      </c>
      <c r="B173" s="16">
        <f>IF($A173="","",IFERROR(SUMIF(tblAnahtarA[Norm],$A173,tblVeriA[SatisFiyati]),0))</f>
        <v/>
      </c>
      <c r="C173" s="16">
        <f>IF($A173="","",IFERROR(SUMIF(tblAnahtarA[Norm],$A173,tblVeriA[Maliyet]),0))</f>
        <v/>
      </c>
      <c r="D173" s="16">
        <f>IF($A173="","",IFERROR(SUMIF(tblAnahtarB[NormB],$A173,tblVeriB[KomisyonOran]),0))</f>
        <v/>
      </c>
      <c r="E173" s="16">
        <f>IF($A173="","",ROUND($B173*$D173,2))</f>
        <v/>
      </c>
      <c r="F173" s="16">
        <f>IF($A173="","",IFERROR(SUMIF(tblAnahtarB[NormB],$A173,tblVeriB[Kargo]),0))</f>
        <v/>
      </c>
      <c r="G173" s="16">
        <f>IF($A173="","",IFERROR(SUMIF(tblAnahtarB[NormB],$A173,tblVeriB[IadeOran]),0))</f>
        <v/>
      </c>
      <c r="H173" s="16">
        <f>IF($A173="","",ROUND($B173*$G173,2))</f>
        <v/>
      </c>
      <c r="I173" s="16">
        <f>IF($A173="","",IFERROR(SUMIF(tblAnahtarB[NormB],$A173,tblVeriB[ReklamTutar]),0))</f>
        <v/>
      </c>
      <c r="J173" s="16">
        <f>IF($A173="","",ROUND($B173-$C173,2))</f>
        <v/>
      </c>
      <c r="K173" s="16">
        <f>IF($A173="","",ROUND($B173-$C173-$E173-$F173-$H173-$I173,2))</f>
        <v/>
      </c>
      <c r="L173" s="16">
        <f>IF(OR($A173="",$B173=0),0,$K173/$B173)</f>
        <v/>
      </c>
      <c r="M173" s="16">
        <f>IF($A173="","",IF((1-$D173-$G173)&lt;=0,0,ROUND(($C173+$F173+$I173)/(1-$D173-$G173),2)))</f>
        <v/>
      </c>
      <c r="N173" s="16">
        <f>IF($A173="","",IFERROR(SUMIF(tblAnahtarA[Norm],$A173,tblVeriA[HedefNet]),0))</f>
        <v/>
      </c>
      <c r="O173" s="16">
        <f>IF($A173="","",ROUND($K173-$N173,2))</f>
        <v/>
      </c>
      <c r="P173" s="16">
        <f>IF($A173="","",IF($L173&lt;egk_esikKatkiDusuk,"ZAM YAP",IF(AND($R173=1,$L173&lt;egk_esikKatkiHedef),"İNDİRİMİ KES","TUT")))</f>
        <v/>
      </c>
      <c r="Q173" s="16">
        <f>IF($A173="","",IFERROR(SUMIF(tblAnahtarB[NormB],$A173,tblVeriB[Roas]),0))</f>
        <v/>
      </c>
      <c r="R173" s="16">
        <f>IF($A173="","",IF(OR(IFERROR(INDEX(tblVeriA[YorumAB],MATCH($A173,tblAnahtarA[Norm],0)),"")="B",IFERROR(INDEX(tblVeriA[Durum],MATCH($A173,tblAnahtarA[Norm],0)),"")="Kampanya"),1,0))</f>
        <v/>
      </c>
      <c r="S173" s="16">
        <f>IF($A173="","",$J173-$E173)</f>
        <v/>
      </c>
      <c r="T173" s="16">
        <f>IF($A173="","",$K173-$O173)</f>
        <v/>
      </c>
    </row>
    <row r="174">
      <c r="A174" s="16">
        <f>IF('ANAHTAR'!$B174="","",'ANAHTAR'!$B174)</f>
        <v/>
      </c>
      <c r="B174" s="16">
        <f>IF($A174="","",IFERROR(SUMIF(tblAnahtarA[Norm],$A174,tblVeriA[SatisFiyati]),0))</f>
        <v/>
      </c>
      <c r="C174" s="16">
        <f>IF($A174="","",IFERROR(SUMIF(tblAnahtarA[Norm],$A174,tblVeriA[Maliyet]),0))</f>
        <v/>
      </c>
      <c r="D174" s="16">
        <f>IF($A174="","",IFERROR(SUMIF(tblAnahtarB[NormB],$A174,tblVeriB[KomisyonOran]),0))</f>
        <v/>
      </c>
      <c r="E174" s="16">
        <f>IF($A174="","",ROUND($B174*$D174,2))</f>
        <v/>
      </c>
      <c r="F174" s="16">
        <f>IF($A174="","",IFERROR(SUMIF(tblAnahtarB[NormB],$A174,tblVeriB[Kargo]),0))</f>
        <v/>
      </c>
      <c r="G174" s="16">
        <f>IF($A174="","",IFERROR(SUMIF(tblAnahtarB[NormB],$A174,tblVeriB[IadeOran]),0))</f>
        <v/>
      </c>
      <c r="H174" s="16">
        <f>IF($A174="","",ROUND($B174*$G174,2))</f>
        <v/>
      </c>
      <c r="I174" s="16">
        <f>IF($A174="","",IFERROR(SUMIF(tblAnahtarB[NormB],$A174,tblVeriB[ReklamTutar]),0))</f>
        <v/>
      </c>
      <c r="J174" s="16">
        <f>IF($A174="","",ROUND($B174-$C174,2))</f>
        <v/>
      </c>
      <c r="K174" s="16">
        <f>IF($A174="","",ROUND($B174-$C174-$E174-$F174-$H174-$I174,2))</f>
        <v/>
      </c>
      <c r="L174" s="16">
        <f>IF(OR($A174="",$B174=0),0,$K174/$B174)</f>
        <v/>
      </c>
      <c r="M174" s="16">
        <f>IF($A174="","",IF((1-$D174-$G174)&lt;=0,0,ROUND(($C174+$F174+$I174)/(1-$D174-$G174),2)))</f>
        <v/>
      </c>
      <c r="N174" s="16">
        <f>IF($A174="","",IFERROR(SUMIF(tblAnahtarA[Norm],$A174,tblVeriA[HedefNet]),0))</f>
        <v/>
      </c>
      <c r="O174" s="16">
        <f>IF($A174="","",ROUND($K174-$N174,2))</f>
        <v/>
      </c>
      <c r="P174" s="16">
        <f>IF($A174="","",IF($L174&lt;egk_esikKatkiDusuk,"ZAM YAP",IF(AND($R174=1,$L174&lt;egk_esikKatkiHedef),"İNDİRİMİ KES","TUT")))</f>
        <v/>
      </c>
      <c r="Q174" s="16">
        <f>IF($A174="","",IFERROR(SUMIF(tblAnahtarB[NormB],$A174,tblVeriB[Roas]),0))</f>
        <v/>
      </c>
      <c r="R174" s="16">
        <f>IF($A174="","",IF(OR(IFERROR(INDEX(tblVeriA[YorumAB],MATCH($A174,tblAnahtarA[Norm],0)),"")="B",IFERROR(INDEX(tblVeriA[Durum],MATCH($A174,tblAnahtarA[Norm],0)),"")="Kampanya"),1,0))</f>
        <v/>
      </c>
      <c r="S174" s="16">
        <f>IF($A174="","",$J174-$E174)</f>
        <v/>
      </c>
      <c r="T174" s="16">
        <f>IF($A174="","",$K174-$O174)</f>
        <v/>
      </c>
    </row>
    <row r="175">
      <c r="A175" s="16">
        <f>IF('ANAHTAR'!$B175="","",'ANAHTAR'!$B175)</f>
        <v/>
      </c>
      <c r="B175" s="16">
        <f>IF($A175="","",IFERROR(SUMIF(tblAnahtarA[Norm],$A175,tblVeriA[SatisFiyati]),0))</f>
        <v/>
      </c>
      <c r="C175" s="16">
        <f>IF($A175="","",IFERROR(SUMIF(tblAnahtarA[Norm],$A175,tblVeriA[Maliyet]),0))</f>
        <v/>
      </c>
      <c r="D175" s="16">
        <f>IF($A175="","",IFERROR(SUMIF(tblAnahtarB[NormB],$A175,tblVeriB[KomisyonOran]),0))</f>
        <v/>
      </c>
      <c r="E175" s="16">
        <f>IF($A175="","",ROUND($B175*$D175,2))</f>
        <v/>
      </c>
      <c r="F175" s="16">
        <f>IF($A175="","",IFERROR(SUMIF(tblAnahtarB[NormB],$A175,tblVeriB[Kargo]),0))</f>
        <v/>
      </c>
      <c r="G175" s="16">
        <f>IF($A175="","",IFERROR(SUMIF(tblAnahtarB[NormB],$A175,tblVeriB[IadeOran]),0))</f>
        <v/>
      </c>
      <c r="H175" s="16">
        <f>IF($A175="","",ROUND($B175*$G175,2))</f>
        <v/>
      </c>
      <c r="I175" s="16">
        <f>IF($A175="","",IFERROR(SUMIF(tblAnahtarB[NormB],$A175,tblVeriB[ReklamTutar]),0))</f>
        <v/>
      </c>
      <c r="J175" s="16">
        <f>IF($A175="","",ROUND($B175-$C175,2))</f>
        <v/>
      </c>
      <c r="K175" s="16">
        <f>IF($A175="","",ROUND($B175-$C175-$E175-$F175-$H175-$I175,2))</f>
        <v/>
      </c>
      <c r="L175" s="16">
        <f>IF(OR($A175="",$B175=0),0,$K175/$B175)</f>
        <v/>
      </c>
      <c r="M175" s="16">
        <f>IF($A175="","",IF((1-$D175-$G175)&lt;=0,0,ROUND(($C175+$F175+$I175)/(1-$D175-$G175),2)))</f>
        <v/>
      </c>
      <c r="N175" s="16">
        <f>IF($A175="","",IFERROR(SUMIF(tblAnahtarA[Norm],$A175,tblVeriA[HedefNet]),0))</f>
        <v/>
      </c>
      <c r="O175" s="16">
        <f>IF($A175="","",ROUND($K175-$N175,2))</f>
        <v/>
      </c>
      <c r="P175" s="16">
        <f>IF($A175="","",IF($L175&lt;egk_esikKatkiDusuk,"ZAM YAP",IF(AND($R175=1,$L175&lt;egk_esikKatkiHedef),"İNDİRİMİ KES","TUT")))</f>
        <v/>
      </c>
      <c r="Q175" s="16">
        <f>IF($A175="","",IFERROR(SUMIF(tblAnahtarB[NormB],$A175,tblVeriB[Roas]),0))</f>
        <v/>
      </c>
      <c r="R175" s="16">
        <f>IF($A175="","",IF(OR(IFERROR(INDEX(tblVeriA[YorumAB],MATCH($A175,tblAnahtarA[Norm],0)),"")="B",IFERROR(INDEX(tblVeriA[Durum],MATCH($A175,tblAnahtarA[Norm],0)),"")="Kampanya"),1,0))</f>
        <v/>
      </c>
      <c r="S175" s="16">
        <f>IF($A175="","",$J175-$E175)</f>
        <v/>
      </c>
      <c r="T175" s="16">
        <f>IF($A175="","",$K175-$O175)</f>
        <v/>
      </c>
    </row>
    <row r="176">
      <c r="A176" s="16">
        <f>IF('ANAHTAR'!$B176="","",'ANAHTAR'!$B176)</f>
        <v/>
      </c>
      <c r="B176" s="16">
        <f>IF($A176="","",IFERROR(SUMIF(tblAnahtarA[Norm],$A176,tblVeriA[SatisFiyati]),0))</f>
        <v/>
      </c>
      <c r="C176" s="16">
        <f>IF($A176="","",IFERROR(SUMIF(tblAnahtarA[Norm],$A176,tblVeriA[Maliyet]),0))</f>
        <v/>
      </c>
      <c r="D176" s="16">
        <f>IF($A176="","",IFERROR(SUMIF(tblAnahtarB[NormB],$A176,tblVeriB[KomisyonOran]),0))</f>
        <v/>
      </c>
      <c r="E176" s="16">
        <f>IF($A176="","",ROUND($B176*$D176,2))</f>
        <v/>
      </c>
      <c r="F176" s="16">
        <f>IF($A176="","",IFERROR(SUMIF(tblAnahtarB[NormB],$A176,tblVeriB[Kargo]),0))</f>
        <v/>
      </c>
      <c r="G176" s="16">
        <f>IF($A176="","",IFERROR(SUMIF(tblAnahtarB[NormB],$A176,tblVeriB[IadeOran]),0))</f>
        <v/>
      </c>
      <c r="H176" s="16">
        <f>IF($A176="","",ROUND($B176*$G176,2))</f>
        <v/>
      </c>
      <c r="I176" s="16">
        <f>IF($A176="","",IFERROR(SUMIF(tblAnahtarB[NormB],$A176,tblVeriB[ReklamTutar]),0))</f>
        <v/>
      </c>
      <c r="J176" s="16">
        <f>IF($A176="","",ROUND($B176-$C176,2))</f>
        <v/>
      </c>
      <c r="K176" s="16">
        <f>IF($A176="","",ROUND($B176-$C176-$E176-$F176-$H176-$I176,2))</f>
        <v/>
      </c>
      <c r="L176" s="16">
        <f>IF(OR($A176="",$B176=0),0,$K176/$B176)</f>
        <v/>
      </c>
      <c r="M176" s="16">
        <f>IF($A176="","",IF((1-$D176-$G176)&lt;=0,0,ROUND(($C176+$F176+$I176)/(1-$D176-$G176),2)))</f>
        <v/>
      </c>
      <c r="N176" s="16">
        <f>IF($A176="","",IFERROR(SUMIF(tblAnahtarA[Norm],$A176,tblVeriA[HedefNet]),0))</f>
        <v/>
      </c>
      <c r="O176" s="16">
        <f>IF($A176="","",ROUND($K176-$N176,2))</f>
        <v/>
      </c>
      <c r="P176" s="16">
        <f>IF($A176="","",IF($L176&lt;egk_esikKatkiDusuk,"ZAM YAP",IF(AND($R176=1,$L176&lt;egk_esikKatkiHedef),"İNDİRİMİ KES","TUT")))</f>
        <v/>
      </c>
      <c r="Q176" s="16">
        <f>IF($A176="","",IFERROR(SUMIF(tblAnahtarB[NormB],$A176,tblVeriB[Roas]),0))</f>
        <v/>
      </c>
      <c r="R176" s="16">
        <f>IF($A176="","",IF(OR(IFERROR(INDEX(tblVeriA[YorumAB],MATCH($A176,tblAnahtarA[Norm],0)),"")="B",IFERROR(INDEX(tblVeriA[Durum],MATCH($A176,tblAnahtarA[Norm],0)),"")="Kampanya"),1,0))</f>
        <v/>
      </c>
      <c r="S176" s="16">
        <f>IF($A176="","",$J176-$E176)</f>
        <v/>
      </c>
      <c r="T176" s="16">
        <f>IF($A176="","",$K176-$O176)</f>
        <v/>
      </c>
    </row>
    <row r="177">
      <c r="A177" s="16">
        <f>IF('ANAHTAR'!$B177="","",'ANAHTAR'!$B177)</f>
        <v/>
      </c>
      <c r="B177" s="16">
        <f>IF($A177="","",IFERROR(SUMIF(tblAnahtarA[Norm],$A177,tblVeriA[SatisFiyati]),0))</f>
        <v/>
      </c>
      <c r="C177" s="16">
        <f>IF($A177="","",IFERROR(SUMIF(tblAnahtarA[Norm],$A177,tblVeriA[Maliyet]),0))</f>
        <v/>
      </c>
      <c r="D177" s="16">
        <f>IF($A177="","",IFERROR(SUMIF(tblAnahtarB[NormB],$A177,tblVeriB[KomisyonOran]),0))</f>
        <v/>
      </c>
      <c r="E177" s="16">
        <f>IF($A177="","",ROUND($B177*$D177,2))</f>
        <v/>
      </c>
      <c r="F177" s="16">
        <f>IF($A177="","",IFERROR(SUMIF(tblAnahtarB[NormB],$A177,tblVeriB[Kargo]),0))</f>
        <v/>
      </c>
      <c r="G177" s="16">
        <f>IF($A177="","",IFERROR(SUMIF(tblAnahtarB[NormB],$A177,tblVeriB[IadeOran]),0))</f>
        <v/>
      </c>
      <c r="H177" s="16">
        <f>IF($A177="","",ROUND($B177*$G177,2))</f>
        <v/>
      </c>
      <c r="I177" s="16">
        <f>IF($A177="","",IFERROR(SUMIF(tblAnahtarB[NormB],$A177,tblVeriB[ReklamTutar]),0))</f>
        <v/>
      </c>
      <c r="J177" s="16">
        <f>IF($A177="","",ROUND($B177-$C177,2))</f>
        <v/>
      </c>
      <c r="K177" s="16">
        <f>IF($A177="","",ROUND($B177-$C177-$E177-$F177-$H177-$I177,2))</f>
        <v/>
      </c>
      <c r="L177" s="16">
        <f>IF(OR($A177="",$B177=0),0,$K177/$B177)</f>
        <v/>
      </c>
      <c r="M177" s="16">
        <f>IF($A177="","",IF((1-$D177-$G177)&lt;=0,0,ROUND(($C177+$F177+$I177)/(1-$D177-$G177),2)))</f>
        <v/>
      </c>
      <c r="N177" s="16">
        <f>IF($A177="","",IFERROR(SUMIF(tblAnahtarA[Norm],$A177,tblVeriA[HedefNet]),0))</f>
        <v/>
      </c>
      <c r="O177" s="16">
        <f>IF($A177="","",ROUND($K177-$N177,2))</f>
        <v/>
      </c>
      <c r="P177" s="16">
        <f>IF($A177="","",IF($L177&lt;egk_esikKatkiDusuk,"ZAM YAP",IF(AND($R177=1,$L177&lt;egk_esikKatkiHedef),"İNDİRİMİ KES","TUT")))</f>
        <v/>
      </c>
      <c r="Q177" s="16">
        <f>IF($A177="","",IFERROR(SUMIF(tblAnahtarB[NormB],$A177,tblVeriB[Roas]),0))</f>
        <v/>
      </c>
      <c r="R177" s="16">
        <f>IF($A177="","",IF(OR(IFERROR(INDEX(tblVeriA[YorumAB],MATCH($A177,tblAnahtarA[Norm],0)),"")="B",IFERROR(INDEX(tblVeriA[Durum],MATCH($A177,tblAnahtarA[Norm],0)),"")="Kampanya"),1,0))</f>
        <v/>
      </c>
      <c r="S177" s="16">
        <f>IF($A177="","",$J177-$E177)</f>
        <v/>
      </c>
      <c r="T177" s="16">
        <f>IF($A177="","",$K177-$O177)</f>
        <v/>
      </c>
    </row>
    <row r="178">
      <c r="A178" s="16">
        <f>IF('ANAHTAR'!$B178="","",'ANAHTAR'!$B178)</f>
        <v/>
      </c>
      <c r="B178" s="16">
        <f>IF($A178="","",IFERROR(SUMIF(tblAnahtarA[Norm],$A178,tblVeriA[SatisFiyati]),0))</f>
        <v/>
      </c>
      <c r="C178" s="16">
        <f>IF($A178="","",IFERROR(SUMIF(tblAnahtarA[Norm],$A178,tblVeriA[Maliyet]),0))</f>
        <v/>
      </c>
      <c r="D178" s="16">
        <f>IF($A178="","",IFERROR(SUMIF(tblAnahtarB[NormB],$A178,tblVeriB[KomisyonOran]),0))</f>
        <v/>
      </c>
      <c r="E178" s="16">
        <f>IF($A178="","",ROUND($B178*$D178,2))</f>
        <v/>
      </c>
      <c r="F178" s="16">
        <f>IF($A178="","",IFERROR(SUMIF(tblAnahtarB[NormB],$A178,tblVeriB[Kargo]),0))</f>
        <v/>
      </c>
      <c r="G178" s="16">
        <f>IF($A178="","",IFERROR(SUMIF(tblAnahtarB[NormB],$A178,tblVeriB[IadeOran]),0))</f>
        <v/>
      </c>
      <c r="H178" s="16">
        <f>IF($A178="","",ROUND($B178*$G178,2))</f>
        <v/>
      </c>
      <c r="I178" s="16">
        <f>IF($A178="","",IFERROR(SUMIF(tblAnahtarB[NormB],$A178,tblVeriB[ReklamTutar]),0))</f>
        <v/>
      </c>
      <c r="J178" s="16">
        <f>IF($A178="","",ROUND($B178-$C178,2))</f>
        <v/>
      </c>
      <c r="K178" s="16">
        <f>IF($A178="","",ROUND($B178-$C178-$E178-$F178-$H178-$I178,2))</f>
        <v/>
      </c>
      <c r="L178" s="16">
        <f>IF(OR($A178="",$B178=0),0,$K178/$B178)</f>
        <v/>
      </c>
      <c r="M178" s="16">
        <f>IF($A178="","",IF((1-$D178-$G178)&lt;=0,0,ROUND(($C178+$F178+$I178)/(1-$D178-$G178),2)))</f>
        <v/>
      </c>
      <c r="N178" s="16">
        <f>IF($A178="","",IFERROR(SUMIF(tblAnahtarA[Norm],$A178,tblVeriA[HedefNet]),0))</f>
        <v/>
      </c>
      <c r="O178" s="16">
        <f>IF($A178="","",ROUND($K178-$N178,2))</f>
        <v/>
      </c>
      <c r="P178" s="16">
        <f>IF($A178="","",IF($L178&lt;egk_esikKatkiDusuk,"ZAM YAP",IF(AND($R178=1,$L178&lt;egk_esikKatkiHedef),"İNDİRİMİ KES","TUT")))</f>
        <v/>
      </c>
      <c r="Q178" s="16">
        <f>IF($A178="","",IFERROR(SUMIF(tblAnahtarB[NormB],$A178,tblVeriB[Roas]),0))</f>
        <v/>
      </c>
      <c r="R178" s="16">
        <f>IF($A178="","",IF(OR(IFERROR(INDEX(tblVeriA[YorumAB],MATCH($A178,tblAnahtarA[Norm],0)),"")="B",IFERROR(INDEX(tblVeriA[Durum],MATCH($A178,tblAnahtarA[Norm],0)),"")="Kampanya"),1,0))</f>
        <v/>
      </c>
      <c r="S178" s="16">
        <f>IF($A178="","",$J178-$E178)</f>
        <v/>
      </c>
      <c r="T178" s="16">
        <f>IF($A178="","",$K178-$O178)</f>
        <v/>
      </c>
    </row>
    <row r="179">
      <c r="A179" s="16">
        <f>IF('ANAHTAR'!$B179="","",'ANAHTAR'!$B179)</f>
        <v/>
      </c>
      <c r="B179" s="16">
        <f>IF($A179="","",IFERROR(SUMIF(tblAnahtarA[Norm],$A179,tblVeriA[SatisFiyati]),0))</f>
        <v/>
      </c>
      <c r="C179" s="16">
        <f>IF($A179="","",IFERROR(SUMIF(tblAnahtarA[Norm],$A179,tblVeriA[Maliyet]),0))</f>
        <v/>
      </c>
      <c r="D179" s="16">
        <f>IF($A179="","",IFERROR(SUMIF(tblAnahtarB[NormB],$A179,tblVeriB[KomisyonOran]),0))</f>
        <v/>
      </c>
      <c r="E179" s="16">
        <f>IF($A179="","",ROUND($B179*$D179,2))</f>
        <v/>
      </c>
      <c r="F179" s="16">
        <f>IF($A179="","",IFERROR(SUMIF(tblAnahtarB[NormB],$A179,tblVeriB[Kargo]),0))</f>
        <v/>
      </c>
      <c r="G179" s="16">
        <f>IF($A179="","",IFERROR(SUMIF(tblAnahtarB[NormB],$A179,tblVeriB[IadeOran]),0))</f>
        <v/>
      </c>
      <c r="H179" s="16">
        <f>IF($A179="","",ROUND($B179*$G179,2))</f>
        <v/>
      </c>
      <c r="I179" s="16">
        <f>IF($A179="","",IFERROR(SUMIF(tblAnahtarB[NormB],$A179,tblVeriB[ReklamTutar]),0))</f>
        <v/>
      </c>
      <c r="J179" s="16">
        <f>IF($A179="","",ROUND($B179-$C179,2))</f>
        <v/>
      </c>
      <c r="K179" s="16">
        <f>IF($A179="","",ROUND($B179-$C179-$E179-$F179-$H179-$I179,2))</f>
        <v/>
      </c>
      <c r="L179" s="16">
        <f>IF(OR($A179="",$B179=0),0,$K179/$B179)</f>
        <v/>
      </c>
      <c r="M179" s="16">
        <f>IF($A179="","",IF((1-$D179-$G179)&lt;=0,0,ROUND(($C179+$F179+$I179)/(1-$D179-$G179),2)))</f>
        <v/>
      </c>
      <c r="N179" s="16">
        <f>IF($A179="","",IFERROR(SUMIF(tblAnahtarA[Norm],$A179,tblVeriA[HedefNet]),0))</f>
        <v/>
      </c>
      <c r="O179" s="16">
        <f>IF($A179="","",ROUND($K179-$N179,2))</f>
        <v/>
      </c>
      <c r="P179" s="16">
        <f>IF($A179="","",IF($L179&lt;egk_esikKatkiDusuk,"ZAM YAP",IF(AND($R179=1,$L179&lt;egk_esikKatkiHedef),"İNDİRİMİ KES","TUT")))</f>
        <v/>
      </c>
      <c r="Q179" s="16">
        <f>IF($A179="","",IFERROR(SUMIF(tblAnahtarB[NormB],$A179,tblVeriB[Roas]),0))</f>
        <v/>
      </c>
      <c r="R179" s="16">
        <f>IF($A179="","",IF(OR(IFERROR(INDEX(tblVeriA[YorumAB],MATCH($A179,tblAnahtarA[Norm],0)),"")="B",IFERROR(INDEX(tblVeriA[Durum],MATCH($A179,tblAnahtarA[Norm],0)),"")="Kampanya"),1,0))</f>
        <v/>
      </c>
      <c r="S179" s="16">
        <f>IF($A179="","",$J179-$E179)</f>
        <v/>
      </c>
      <c r="T179" s="16">
        <f>IF($A179="","",$K179-$O179)</f>
        <v/>
      </c>
    </row>
    <row r="180">
      <c r="A180" s="16">
        <f>IF('ANAHTAR'!$B180="","",'ANAHTAR'!$B180)</f>
        <v/>
      </c>
      <c r="B180" s="16">
        <f>IF($A180="","",IFERROR(SUMIF(tblAnahtarA[Norm],$A180,tblVeriA[SatisFiyati]),0))</f>
        <v/>
      </c>
      <c r="C180" s="16">
        <f>IF($A180="","",IFERROR(SUMIF(tblAnahtarA[Norm],$A180,tblVeriA[Maliyet]),0))</f>
        <v/>
      </c>
      <c r="D180" s="16">
        <f>IF($A180="","",IFERROR(SUMIF(tblAnahtarB[NormB],$A180,tblVeriB[KomisyonOran]),0))</f>
        <v/>
      </c>
      <c r="E180" s="16">
        <f>IF($A180="","",ROUND($B180*$D180,2))</f>
        <v/>
      </c>
      <c r="F180" s="16">
        <f>IF($A180="","",IFERROR(SUMIF(tblAnahtarB[NormB],$A180,tblVeriB[Kargo]),0))</f>
        <v/>
      </c>
      <c r="G180" s="16">
        <f>IF($A180="","",IFERROR(SUMIF(tblAnahtarB[NormB],$A180,tblVeriB[IadeOran]),0))</f>
        <v/>
      </c>
      <c r="H180" s="16">
        <f>IF($A180="","",ROUND($B180*$G180,2))</f>
        <v/>
      </c>
      <c r="I180" s="16">
        <f>IF($A180="","",IFERROR(SUMIF(tblAnahtarB[NormB],$A180,tblVeriB[ReklamTutar]),0))</f>
        <v/>
      </c>
      <c r="J180" s="16">
        <f>IF($A180="","",ROUND($B180-$C180,2))</f>
        <v/>
      </c>
      <c r="K180" s="16">
        <f>IF($A180="","",ROUND($B180-$C180-$E180-$F180-$H180-$I180,2))</f>
        <v/>
      </c>
      <c r="L180" s="16">
        <f>IF(OR($A180="",$B180=0),0,$K180/$B180)</f>
        <v/>
      </c>
      <c r="M180" s="16">
        <f>IF($A180="","",IF((1-$D180-$G180)&lt;=0,0,ROUND(($C180+$F180+$I180)/(1-$D180-$G180),2)))</f>
        <v/>
      </c>
      <c r="N180" s="16">
        <f>IF($A180="","",IFERROR(SUMIF(tblAnahtarA[Norm],$A180,tblVeriA[HedefNet]),0))</f>
        <v/>
      </c>
      <c r="O180" s="16">
        <f>IF($A180="","",ROUND($K180-$N180,2))</f>
        <v/>
      </c>
      <c r="P180" s="16">
        <f>IF($A180="","",IF($L180&lt;egk_esikKatkiDusuk,"ZAM YAP",IF(AND($R180=1,$L180&lt;egk_esikKatkiHedef),"İNDİRİMİ KES","TUT")))</f>
        <v/>
      </c>
      <c r="Q180" s="16">
        <f>IF($A180="","",IFERROR(SUMIF(tblAnahtarB[NormB],$A180,tblVeriB[Roas]),0))</f>
        <v/>
      </c>
      <c r="R180" s="16">
        <f>IF($A180="","",IF(OR(IFERROR(INDEX(tblVeriA[YorumAB],MATCH($A180,tblAnahtarA[Norm],0)),"")="B",IFERROR(INDEX(tblVeriA[Durum],MATCH($A180,tblAnahtarA[Norm],0)),"")="Kampanya"),1,0))</f>
        <v/>
      </c>
      <c r="S180" s="16">
        <f>IF($A180="","",$J180-$E180)</f>
        <v/>
      </c>
      <c r="T180" s="16">
        <f>IF($A180="","",$K180-$O180)</f>
        <v/>
      </c>
    </row>
    <row r="181">
      <c r="A181" s="16">
        <f>IF('ANAHTAR'!$B181="","",'ANAHTAR'!$B181)</f>
        <v/>
      </c>
      <c r="B181" s="16">
        <f>IF($A181="","",IFERROR(SUMIF(tblAnahtarA[Norm],$A181,tblVeriA[SatisFiyati]),0))</f>
        <v/>
      </c>
      <c r="C181" s="16">
        <f>IF($A181="","",IFERROR(SUMIF(tblAnahtarA[Norm],$A181,tblVeriA[Maliyet]),0))</f>
        <v/>
      </c>
      <c r="D181" s="16">
        <f>IF($A181="","",IFERROR(SUMIF(tblAnahtarB[NormB],$A181,tblVeriB[KomisyonOran]),0))</f>
        <v/>
      </c>
      <c r="E181" s="16">
        <f>IF($A181="","",ROUND($B181*$D181,2))</f>
        <v/>
      </c>
      <c r="F181" s="16">
        <f>IF($A181="","",IFERROR(SUMIF(tblAnahtarB[NormB],$A181,tblVeriB[Kargo]),0))</f>
        <v/>
      </c>
      <c r="G181" s="16">
        <f>IF($A181="","",IFERROR(SUMIF(tblAnahtarB[NormB],$A181,tblVeriB[IadeOran]),0))</f>
        <v/>
      </c>
      <c r="H181" s="16">
        <f>IF($A181="","",ROUND($B181*$G181,2))</f>
        <v/>
      </c>
      <c r="I181" s="16">
        <f>IF($A181="","",IFERROR(SUMIF(tblAnahtarB[NormB],$A181,tblVeriB[ReklamTutar]),0))</f>
        <v/>
      </c>
      <c r="J181" s="16">
        <f>IF($A181="","",ROUND($B181-$C181,2))</f>
        <v/>
      </c>
      <c r="K181" s="16">
        <f>IF($A181="","",ROUND($B181-$C181-$E181-$F181-$H181-$I181,2))</f>
        <v/>
      </c>
      <c r="L181" s="16">
        <f>IF(OR($A181="",$B181=0),0,$K181/$B181)</f>
        <v/>
      </c>
      <c r="M181" s="16">
        <f>IF($A181="","",IF((1-$D181-$G181)&lt;=0,0,ROUND(($C181+$F181+$I181)/(1-$D181-$G181),2)))</f>
        <v/>
      </c>
      <c r="N181" s="16">
        <f>IF($A181="","",IFERROR(SUMIF(tblAnahtarA[Norm],$A181,tblVeriA[HedefNet]),0))</f>
        <v/>
      </c>
      <c r="O181" s="16">
        <f>IF($A181="","",ROUND($K181-$N181,2))</f>
        <v/>
      </c>
      <c r="P181" s="16">
        <f>IF($A181="","",IF($L181&lt;egk_esikKatkiDusuk,"ZAM YAP",IF(AND($R181=1,$L181&lt;egk_esikKatkiHedef),"İNDİRİMİ KES","TUT")))</f>
        <v/>
      </c>
      <c r="Q181" s="16">
        <f>IF($A181="","",IFERROR(SUMIF(tblAnahtarB[NormB],$A181,tblVeriB[Roas]),0))</f>
        <v/>
      </c>
      <c r="R181" s="16">
        <f>IF($A181="","",IF(OR(IFERROR(INDEX(tblVeriA[YorumAB],MATCH($A181,tblAnahtarA[Norm],0)),"")="B",IFERROR(INDEX(tblVeriA[Durum],MATCH($A181,tblAnahtarA[Norm],0)),"")="Kampanya"),1,0))</f>
        <v/>
      </c>
      <c r="S181" s="16">
        <f>IF($A181="","",$J181-$E181)</f>
        <v/>
      </c>
      <c r="T181" s="16">
        <f>IF($A181="","",$K181-$O181)</f>
        <v/>
      </c>
    </row>
    <row r="182">
      <c r="A182" s="16">
        <f>IF('ANAHTAR'!$B182="","",'ANAHTAR'!$B182)</f>
        <v/>
      </c>
      <c r="B182" s="16">
        <f>IF($A182="","",IFERROR(SUMIF(tblAnahtarA[Norm],$A182,tblVeriA[SatisFiyati]),0))</f>
        <v/>
      </c>
      <c r="C182" s="16">
        <f>IF($A182="","",IFERROR(SUMIF(tblAnahtarA[Norm],$A182,tblVeriA[Maliyet]),0))</f>
        <v/>
      </c>
      <c r="D182" s="16">
        <f>IF($A182="","",IFERROR(SUMIF(tblAnahtarB[NormB],$A182,tblVeriB[KomisyonOran]),0))</f>
        <v/>
      </c>
      <c r="E182" s="16">
        <f>IF($A182="","",ROUND($B182*$D182,2))</f>
        <v/>
      </c>
      <c r="F182" s="16">
        <f>IF($A182="","",IFERROR(SUMIF(tblAnahtarB[NormB],$A182,tblVeriB[Kargo]),0))</f>
        <v/>
      </c>
      <c r="G182" s="16">
        <f>IF($A182="","",IFERROR(SUMIF(tblAnahtarB[NormB],$A182,tblVeriB[IadeOran]),0))</f>
        <v/>
      </c>
      <c r="H182" s="16">
        <f>IF($A182="","",ROUND($B182*$G182,2))</f>
        <v/>
      </c>
      <c r="I182" s="16">
        <f>IF($A182="","",IFERROR(SUMIF(tblAnahtarB[NormB],$A182,tblVeriB[ReklamTutar]),0))</f>
        <v/>
      </c>
      <c r="J182" s="16">
        <f>IF($A182="","",ROUND($B182-$C182,2))</f>
        <v/>
      </c>
      <c r="K182" s="16">
        <f>IF($A182="","",ROUND($B182-$C182-$E182-$F182-$H182-$I182,2))</f>
        <v/>
      </c>
      <c r="L182" s="16">
        <f>IF(OR($A182="",$B182=0),0,$K182/$B182)</f>
        <v/>
      </c>
      <c r="M182" s="16">
        <f>IF($A182="","",IF((1-$D182-$G182)&lt;=0,0,ROUND(($C182+$F182+$I182)/(1-$D182-$G182),2)))</f>
        <v/>
      </c>
      <c r="N182" s="16">
        <f>IF($A182="","",IFERROR(SUMIF(tblAnahtarA[Norm],$A182,tblVeriA[HedefNet]),0))</f>
        <v/>
      </c>
      <c r="O182" s="16">
        <f>IF($A182="","",ROUND($K182-$N182,2))</f>
        <v/>
      </c>
      <c r="P182" s="16">
        <f>IF($A182="","",IF($L182&lt;egk_esikKatkiDusuk,"ZAM YAP",IF(AND($R182=1,$L182&lt;egk_esikKatkiHedef),"İNDİRİMİ KES","TUT")))</f>
        <v/>
      </c>
      <c r="Q182" s="16">
        <f>IF($A182="","",IFERROR(SUMIF(tblAnahtarB[NormB],$A182,tblVeriB[Roas]),0))</f>
        <v/>
      </c>
      <c r="R182" s="16">
        <f>IF($A182="","",IF(OR(IFERROR(INDEX(tblVeriA[YorumAB],MATCH($A182,tblAnahtarA[Norm],0)),"")="B",IFERROR(INDEX(tblVeriA[Durum],MATCH($A182,tblAnahtarA[Norm],0)),"")="Kampanya"),1,0))</f>
        <v/>
      </c>
      <c r="S182" s="16">
        <f>IF($A182="","",$J182-$E182)</f>
        <v/>
      </c>
      <c r="T182" s="16">
        <f>IF($A182="","",$K182-$O182)</f>
        <v/>
      </c>
    </row>
    <row r="183">
      <c r="A183" s="16">
        <f>IF('ANAHTAR'!$B183="","",'ANAHTAR'!$B183)</f>
        <v/>
      </c>
      <c r="B183" s="16">
        <f>IF($A183="","",IFERROR(SUMIF(tblAnahtarA[Norm],$A183,tblVeriA[SatisFiyati]),0))</f>
        <v/>
      </c>
      <c r="C183" s="16">
        <f>IF($A183="","",IFERROR(SUMIF(tblAnahtarA[Norm],$A183,tblVeriA[Maliyet]),0))</f>
        <v/>
      </c>
      <c r="D183" s="16">
        <f>IF($A183="","",IFERROR(SUMIF(tblAnahtarB[NormB],$A183,tblVeriB[KomisyonOran]),0))</f>
        <v/>
      </c>
      <c r="E183" s="16">
        <f>IF($A183="","",ROUND($B183*$D183,2))</f>
        <v/>
      </c>
      <c r="F183" s="16">
        <f>IF($A183="","",IFERROR(SUMIF(tblAnahtarB[NormB],$A183,tblVeriB[Kargo]),0))</f>
        <v/>
      </c>
      <c r="G183" s="16">
        <f>IF($A183="","",IFERROR(SUMIF(tblAnahtarB[NormB],$A183,tblVeriB[IadeOran]),0))</f>
        <v/>
      </c>
      <c r="H183" s="16">
        <f>IF($A183="","",ROUND($B183*$G183,2))</f>
        <v/>
      </c>
      <c r="I183" s="16">
        <f>IF($A183="","",IFERROR(SUMIF(tblAnahtarB[NormB],$A183,tblVeriB[ReklamTutar]),0))</f>
        <v/>
      </c>
      <c r="J183" s="16">
        <f>IF($A183="","",ROUND($B183-$C183,2))</f>
        <v/>
      </c>
      <c r="K183" s="16">
        <f>IF($A183="","",ROUND($B183-$C183-$E183-$F183-$H183-$I183,2))</f>
        <v/>
      </c>
      <c r="L183" s="16">
        <f>IF(OR($A183="",$B183=0),0,$K183/$B183)</f>
        <v/>
      </c>
      <c r="M183" s="16">
        <f>IF($A183="","",IF((1-$D183-$G183)&lt;=0,0,ROUND(($C183+$F183+$I183)/(1-$D183-$G183),2)))</f>
        <v/>
      </c>
      <c r="N183" s="16">
        <f>IF($A183="","",IFERROR(SUMIF(tblAnahtarA[Norm],$A183,tblVeriA[HedefNet]),0))</f>
        <v/>
      </c>
      <c r="O183" s="16">
        <f>IF($A183="","",ROUND($K183-$N183,2))</f>
        <v/>
      </c>
      <c r="P183" s="16">
        <f>IF($A183="","",IF($L183&lt;egk_esikKatkiDusuk,"ZAM YAP",IF(AND($R183=1,$L183&lt;egk_esikKatkiHedef),"İNDİRİMİ KES","TUT")))</f>
        <v/>
      </c>
      <c r="Q183" s="16">
        <f>IF($A183="","",IFERROR(SUMIF(tblAnahtarB[NormB],$A183,tblVeriB[Roas]),0))</f>
        <v/>
      </c>
      <c r="R183" s="16">
        <f>IF($A183="","",IF(OR(IFERROR(INDEX(tblVeriA[YorumAB],MATCH($A183,tblAnahtarA[Norm],0)),"")="B",IFERROR(INDEX(tblVeriA[Durum],MATCH($A183,tblAnahtarA[Norm],0)),"")="Kampanya"),1,0))</f>
        <v/>
      </c>
      <c r="S183" s="16">
        <f>IF($A183="","",$J183-$E183)</f>
        <v/>
      </c>
      <c r="T183" s="16">
        <f>IF($A183="","",$K183-$O183)</f>
        <v/>
      </c>
    </row>
    <row r="184">
      <c r="A184" s="16">
        <f>IF('ANAHTAR'!$B184="","",'ANAHTAR'!$B184)</f>
        <v/>
      </c>
      <c r="B184" s="16">
        <f>IF($A184="","",IFERROR(SUMIF(tblAnahtarA[Norm],$A184,tblVeriA[SatisFiyati]),0))</f>
        <v/>
      </c>
      <c r="C184" s="16">
        <f>IF($A184="","",IFERROR(SUMIF(tblAnahtarA[Norm],$A184,tblVeriA[Maliyet]),0))</f>
        <v/>
      </c>
      <c r="D184" s="16">
        <f>IF($A184="","",IFERROR(SUMIF(tblAnahtarB[NormB],$A184,tblVeriB[KomisyonOran]),0))</f>
        <v/>
      </c>
      <c r="E184" s="16">
        <f>IF($A184="","",ROUND($B184*$D184,2))</f>
        <v/>
      </c>
      <c r="F184" s="16">
        <f>IF($A184="","",IFERROR(SUMIF(tblAnahtarB[NormB],$A184,tblVeriB[Kargo]),0))</f>
        <v/>
      </c>
      <c r="G184" s="16">
        <f>IF($A184="","",IFERROR(SUMIF(tblAnahtarB[NormB],$A184,tblVeriB[IadeOran]),0))</f>
        <v/>
      </c>
      <c r="H184" s="16">
        <f>IF($A184="","",ROUND($B184*$G184,2))</f>
        <v/>
      </c>
      <c r="I184" s="16">
        <f>IF($A184="","",IFERROR(SUMIF(tblAnahtarB[NormB],$A184,tblVeriB[ReklamTutar]),0))</f>
        <v/>
      </c>
      <c r="J184" s="16">
        <f>IF($A184="","",ROUND($B184-$C184,2))</f>
        <v/>
      </c>
      <c r="K184" s="16">
        <f>IF($A184="","",ROUND($B184-$C184-$E184-$F184-$H184-$I184,2))</f>
        <v/>
      </c>
      <c r="L184" s="16">
        <f>IF(OR($A184="",$B184=0),0,$K184/$B184)</f>
        <v/>
      </c>
      <c r="M184" s="16">
        <f>IF($A184="","",IF((1-$D184-$G184)&lt;=0,0,ROUND(($C184+$F184+$I184)/(1-$D184-$G184),2)))</f>
        <v/>
      </c>
      <c r="N184" s="16">
        <f>IF($A184="","",IFERROR(SUMIF(tblAnahtarA[Norm],$A184,tblVeriA[HedefNet]),0))</f>
        <v/>
      </c>
      <c r="O184" s="16">
        <f>IF($A184="","",ROUND($K184-$N184,2))</f>
        <v/>
      </c>
      <c r="P184" s="16">
        <f>IF($A184="","",IF($L184&lt;egk_esikKatkiDusuk,"ZAM YAP",IF(AND($R184=1,$L184&lt;egk_esikKatkiHedef),"İNDİRİMİ KES","TUT")))</f>
        <v/>
      </c>
      <c r="Q184" s="16">
        <f>IF($A184="","",IFERROR(SUMIF(tblAnahtarB[NormB],$A184,tblVeriB[Roas]),0))</f>
        <v/>
      </c>
      <c r="R184" s="16">
        <f>IF($A184="","",IF(OR(IFERROR(INDEX(tblVeriA[YorumAB],MATCH($A184,tblAnahtarA[Norm],0)),"")="B",IFERROR(INDEX(tblVeriA[Durum],MATCH($A184,tblAnahtarA[Norm],0)),"")="Kampanya"),1,0))</f>
        <v/>
      </c>
      <c r="S184" s="16">
        <f>IF($A184="","",$J184-$E184)</f>
        <v/>
      </c>
      <c r="T184" s="16">
        <f>IF($A184="","",$K184-$O184)</f>
        <v/>
      </c>
    </row>
    <row r="185">
      <c r="A185" s="16">
        <f>IF('ANAHTAR'!$B185="","",'ANAHTAR'!$B185)</f>
        <v/>
      </c>
      <c r="B185" s="16">
        <f>IF($A185="","",IFERROR(SUMIF(tblAnahtarA[Norm],$A185,tblVeriA[SatisFiyati]),0))</f>
        <v/>
      </c>
      <c r="C185" s="16">
        <f>IF($A185="","",IFERROR(SUMIF(tblAnahtarA[Norm],$A185,tblVeriA[Maliyet]),0))</f>
        <v/>
      </c>
      <c r="D185" s="16">
        <f>IF($A185="","",IFERROR(SUMIF(tblAnahtarB[NormB],$A185,tblVeriB[KomisyonOran]),0))</f>
        <v/>
      </c>
      <c r="E185" s="16">
        <f>IF($A185="","",ROUND($B185*$D185,2))</f>
        <v/>
      </c>
      <c r="F185" s="16">
        <f>IF($A185="","",IFERROR(SUMIF(tblAnahtarB[NormB],$A185,tblVeriB[Kargo]),0))</f>
        <v/>
      </c>
      <c r="G185" s="16">
        <f>IF($A185="","",IFERROR(SUMIF(tblAnahtarB[NormB],$A185,tblVeriB[IadeOran]),0))</f>
        <v/>
      </c>
      <c r="H185" s="16">
        <f>IF($A185="","",ROUND($B185*$G185,2))</f>
        <v/>
      </c>
      <c r="I185" s="16">
        <f>IF($A185="","",IFERROR(SUMIF(tblAnahtarB[NormB],$A185,tblVeriB[ReklamTutar]),0))</f>
        <v/>
      </c>
      <c r="J185" s="16">
        <f>IF($A185="","",ROUND($B185-$C185,2))</f>
        <v/>
      </c>
      <c r="K185" s="16">
        <f>IF($A185="","",ROUND($B185-$C185-$E185-$F185-$H185-$I185,2))</f>
        <v/>
      </c>
      <c r="L185" s="16">
        <f>IF(OR($A185="",$B185=0),0,$K185/$B185)</f>
        <v/>
      </c>
      <c r="M185" s="16">
        <f>IF($A185="","",IF((1-$D185-$G185)&lt;=0,0,ROUND(($C185+$F185+$I185)/(1-$D185-$G185),2)))</f>
        <v/>
      </c>
      <c r="N185" s="16">
        <f>IF($A185="","",IFERROR(SUMIF(tblAnahtarA[Norm],$A185,tblVeriA[HedefNet]),0))</f>
        <v/>
      </c>
      <c r="O185" s="16">
        <f>IF($A185="","",ROUND($K185-$N185,2))</f>
        <v/>
      </c>
      <c r="P185" s="16">
        <f>IF($A185="","",IF($L185&lt;egk_esikKatkiDusuk,"ZAM YAP",IF(AND($R185=1,$L185&lt;egk_esikKatkiHedef),"İNDİRİMİ KES","TUT")))</f>
        <v/>
      </c>
      <c r="Q185" s="16">
        <f>IF($A185="","",IFERROR(SUMIF(tblAnahtarB[NormB],$A185,tblVeriB[Roas]),0))</f>
        <v/>
      </c>
      <c r="R185" s="16">
        <f>IF($A185="","",IF(OR(IFERROR(INDEX(tblVeriA[YorumAB],MATCH($A185,tblAnahtarA[Norm],0)),"")="B",IFERROR(INDEX(tblVeriA[Durum],MATCH($A185,tblAnahtarA[Norm],0)),"")="Kampanya"),1,0))</f>
        <v/>
      </c>
      <c r="S185" s="16">
        <f>IF($A185="","",$J185-$E185)</f>
        <v/>
      </c>
      <c r="T185" s="16">
        <f>IF($A185="","",$K185-$O185)</f>
        <v/>
      </c>
    </row>
    <row r="186">
      <c r="A186" s="16">
        <f>IF('ANAHTAR'!$B186="","",'ANAHTAR'!$B186)</f>
        <v/>
      </c>
      <c r="B186" s="16">
        <f>IF($A186="","",IFERROR(SUMIF(tblAnahtarA[Norm],$A186,tblVeriA[SatisFiyati]),0))</f>
        <v/>
      </c>
      <c r="C186" s="16">
        <f>IF($A186="","",IFERROR(SUMIF(tblAnahtarA[Norm],$A186,tblVeriA[Maliyet]),0))</f>
        <v/>
      </c>
      <c r="D186" s="16">
        <f>IF($A186="","",IFERROR(SUMIF(tblAnahtarB[NormB],$A186,tblVeriB[KomisyonOran]),0))</f>
        <v/>
      </c>
      <c r="E186" s="16">
        <f>IF($A186="","",ROUND($B186*$D186,2))</f>
        <v/>
      </c>
      <c r="F186" s="16">
        <f>IF($A186="","",IFERROR(SUMIF(tblAnahtarB[NormB],$A186,tblVeriB[Kargo]),0))</f>
        <v/>
      </c>
      <c r="G186" s="16">
        <f>IF($A186="","",IFERROR(SUMIF(tblAnahtarB[NormB],$A186,tblVeriB[IadeOran]),0))</f>
        <v/>
      </c>
      <c r="H186" s="16">
        <f>IF($A186="","",ROUND($B186*$G186,2))</f>
        <v/>
      </c>
      <c r="I186" s="16">
        <f>IF($A186="","",IFERROR(SUMIF(tblAnahtarB[NormB],$A186,tblVeriB[ReklamTutar]),0))</f>
        <v/>
      </c>
      <c r="J186" s="16">
        <f>IF($A186="","",ROUND($B186-$C186,2))</f>
        <v/>
      </c>
      <c r="K186" s="16">
        <f>IF($A186="","",ROUND($B186-$C186-$E186-$F186-$H186-$I186,2))</f>
        <v/>
      </c>
      <c r="L186" s="16">
        <f>IF(OR($A186="",$B186=0),0,$K186/$B186)</f>
        <v/>
      </c>
      <c r="M186" s="16">
        <f>IF($A186="","",IF((1-$D186-$G186)&lt;=0,0,ROUND(($C186+$F186+$I186)/(1-$D186-$G186),2)))</f>
        <v/>
      </c>
      <c r="N186" s="16">
        <f>IF($A186="","",IFERROR(SUMIF(tblAnahtarA[Norm],$A186,tblVeriA[HedefNet]),0))</f>
        <v/>
      </c>
      <c r="O186" s="16">
        <f>IF($A186="","",ROUND($K186-$N186,2))</f>
        <v/>
      </c>
      <c r="P186" s="16">
        <f>IF($A186="","",IF($L186&lt;egk_esikKatkiDusuk,"ZAM YAP",IF(AND($R186=1,$L186&lt;egk_esikKatkiHedef),"İNDİRİMİ KES","TUT")))</f>
        <v/>
      </c>
      <c r="Q186" s="16">
        <f>IF($A186="","",IFERROR(SUMIF(tblAnahtarB[NormB],$A186,tblVeriB[Roas]),0))</f>
        <v/>
      </c>
      <c r="R186" s="16">
        <f>IF($A186="","",IF(OR(IFERROR(INDEX(tblVeriA[YorumAB],MATCH($A186,tblAnahtarA[Norm],0)),"")="B",IFERROR(INDEX(tblVeriA[Durum],MATCH($A186,tblAnahtarA[Norm],0)),"")="Kampanya"),1,0))</f>
        <v/>
      </c>
      <c r="S186" s="16">
        <f>IF($A186="","",$J186-$E186)</f>
        <v/>
      </c>
      <c r="T186" s="16">
        <f>IF($A186="","",$K186-$O186)</f>
        <v/>
      </c>
    </row>
    <row r="187">
      <c r="A187" s="16">
        <f>IF('ANAHTAR'!$B187="","",'ANAHTAR'!$B187)</f>
        <v/>
      </c>
      <c r="B187" s="16">
        <f>IF($A187="","",IFERROR(SUMIF(tblAnahtarA[Norm],$A187,tblVeriA[SatisFiyati]),0))</f>
        <v/>
      </c>
      <c r="C187" s="16">
        <f>IF($A187="","",IFERROR(SUMIF(tblAnahtarA[Norm],$A187,tblVeriA[Maliyet]),0))</f>
        <v/>
      </c>
      <c r="D187" s="16">
        <f>IF($A187="","",IFERROR(SUMIF(tblAnahtarB[NormB],$A187,tblVeriB[KomisyonOran]),0))</f>
        <v/>
      </c>
      <c r="E187" s="16">
        <f>IF($A187="","",ROUND($B187*$D187,2))</f>
        <v/>
      </c>
      <c r="F187" s="16">
        <f>IF($A187="","",IFERROR(SUMIF(tblAnahtarB[NormB],$A187,tblVeriB[Kargo]),0))</f>
        <v/>
      </c>
      <c r="G187" s="16">
        <f>IF($A187="","",IFERROR(SUMIF(tblAnahtarB[NormB],$A187,tblVeriB[IadeOran]),0))</f>
        <v/>
      </c>
      <c r="H187" s="16">
        <f>IF($A187="","",ROUND($B187*$G187,2))</f>
        <v/>
      </c>
      <c r="I187" s="16">
        <f>IF($A187="","",IFERROR(SUMIF(tblAnahtarB[NormB],$A187,tblVeriB[ReklamTutar]),0))</f>
        <v/>
      </c>
      <c r="J187" s="16">
        <f>IF($A187="","",ROUND($B187-$C187,2))</f>
        <v/>
      </c>
      <c r="K187" s="16">
        <f>IF($A187="","",ROUND($B187-$C187-$E187-$F187-$H187-$I187,2))</f>
        <v/>
      </c>
      <c r="L187" s="16">
        <f>IF(OR($A187="",$B187=0),0,$K187/$B187)</f>
        <v/>
      </c>
      <c r="M187" s="16">
        <f>IF($A187="","",IF((1-$D187-$G187)&lt;=0,0,ROUND(($C187+$F187+$I187)/(1-$D187-$G187),2)))</f>
        <v/>
      </c>
      <c r="N187" s="16">
        <f>IF($A187="","",IFERROR(SUMIF(tblAnahtarA[Norm],$A187,tblVeriA[HedefNet]),0))</f>
        <v/>
      </c>
      <c r="O187" s="16">
        <f>IF($A187="","",ROUND($K187-$N187,2))</f>
        <v/>
      </c>
      <c r="P187" s="16">
        <f>IF($A187="","",IF($L187&lt;egk_esikKatkiDusuk,"ZAM YAP",IF(AND($R187=1,$L187&lt;egk_esikKatkiHedef),"İNDİRİMİ KES","TUT")))</f>
        <v/>
      </c>
      <c r="Q187" s="16">
        <f>IF($A187="","",IFERROR(SUMIF(tblAnahtarB[NormB],$A187,tblVeriB[Roas]),0))</f>
        <v/>
      </c>
      <c r="R187" s="16">
        <f>IF($A187="","",IF(OR(IFERROR(INDEX(tblVeriA[YorumAB],MATCH($A187,tblAnahtarA[Norm],0)),"")="B",IFERROR(INDEX(tblVeriA[Durum],MATCH($A187,tblAnahtarA[Norm],0)),"")="Kampanya"),1,0))</f>
        <v/>
      </c>
      <c r="S187" s="16">
        <f>IF($A187="","",$J187-$E187)</f>
        <v/>
      </c>
      <c r="T187" s="16">
        <f>IF($A187="","",$K187-$O187)</f>
        <v/>
      </c>
    </row>
    <row r="188">
      <c r="A188" s="16">
        <f>IF('ANAHTAR'!$B188="","",'ANAHTAR'!$B188)</f>
        <v/>
      </c>
      <c r="B188" s="16">
        <f>IF($A188="","",IFERROR(SUMIF(tblAnahtarA[Norm],$A188,tblVeriA[SatisFiyati]),0))</f>
        <v/>
      </c>
      <c r="C188" s="16">
        <f>IF($A188="","",IFERROR(SUMIF(tblAnahtarA[Norm],$A188,tblVeriA[Maliyet]),0))</f>
        <v/>
      </c>
      <c r="D188" s="16">
        <f>IF($A188="","",IFERROR(SUMIF(tblAnahtarB[NormB],$A188,tblVeriB[KomisyonOran]),0))</f>
        <v/>
      </c>
      <c r="E188" s="16">
        <f>IF($A188="","",ROUND($B188*$D188,2))</f>
        <v/>
      </c>
      <c r="F188" s="16">
        <f>IF($A188="","",IFERROR(SUMIF(tblAnahtarB[NormB],$A188,tblVeriB[Kargo]),0))</f>
        <v/>
      </c>
      <c r="G188" s="16">
        <f>IF($A188="","",IFERROR(SUMIF(tblAnahtarB[NormB],$A188,tblVeriB[IadeOran]),0))</f>
        <v/>
      </c>
      <c r="H188" s="16">
        <f>IF($A188="","",ROUND($B188*$G188,2))</f>
        <v/>
      </c>
      <c r="I188" s="16">
        <f>IF($A188="","",IFERROR(SUMIF(tblAnahtarB[NormB],$A188,tblVeriB[ReklamTutar]),0))</f>
        <v/>
      </c>
      <c r="J188" s="16">
        <f>IF($A188="","",ROUND($B188-$C188,2))</f>
        <v/>
      </c>
      <c r="K188" s="16">
        <f>IF($A188="","",ROUND($B188-$C188-$E188-$F188-$H188-$I188,2))</f>
        <v/>
      </c>
      <c r="L188" s="16">
        <f>IF(OR($A188="",$B188=0),0,$K188/$B188)</f>
        <v/>
      </c>
      <c r="M188" s="16">
        <f>IF($A188="","",IF((1-$D188-$G188)&lt;=0,0,ROUND(($C188+$F188+$I188)/(1-$D188-$G188),2)))</f>
        <v/>
      </c>
      <c r="N188" s="16">
        <f>IF($A188="","",IFERROR(SUMIF(tblAnahtarA[Norm],$A188,tblVeriA[HedefNet]),0))</f>
        <v/>
      </c>
      <c r="O188" s="16">
        <f>IF($A188="","",ROUND($K188-$N188,2))</f>
        <v/>
      </c>
      <c r="P188" s="16">
        <f>IF($A188="","",IF($L188&lt;egk_esikKatkiDusuk,"ZAM YAP",IF(AND($R188=1,$L188&lt;egk_esikKatkiHedef),"İNDİRİMİ KES","TUT")))</f>
        <v/>
      </c>
      <c r="Q188" s="16">
        <f>IF($A188="","",IFERROR(SUMIF(tblAnahtarB[NormB],$A188,tblVeriB[Roas]),0))</f>
        <v/>
      </c>
      <c r="R188" s="16">
        <f>IF($A188="","",IF(OR(IFERROR(INDEX(tblVeriA[YorumAB],MATCH($A188,tblAnahtarA[Norm],0)),"")="B",IFERROR(INDEX(tblVeriA[Durum],MATCH($A188,tblAnahtarA[Norm],0)),"")="Kampanya"),1,0))</f>
        <v/>
      </c>
      <c r="S188" s="16">
        <f>IF($A188="","",$J188-$E188)</f>
        <v/>
      </c>
      <c r="T188" s="16">
        <f>IF($A188="","",$K188-$O188)</f>
        <v/>
      </c>
    </row>
    <row r="189">
      <c r="A189" s="16">
        <f>IF('ANAHTAR'!$B189="","",'ANAHTAR'!$B189)</f>
        <v/>
      </c>
      <c r="B189" s="16">
        <f>IF($A189="","",IFERROR(SUMIF(tblAnahtarA[Norm],$A189,tblVeriA[SatisFiyati]),0))</f>
        <v/>
      </c>
      <c r="C189" s="16">
        <f>IF($A189="","",IFERROR(SUMIF(tblAnahtarA[Norm],$A189,tblVeriA[Maliyet]),0))</f>
        <v/>
      </c>
      <c r="D189" s="16">
        <f>IF($A189="","",IFERROR(SUMIF(tblAnahtarB[NormB],$A189,tblVeriB[KomisyonOran]),0))</f>
        <v/>
      </c>
      <c r="E189" s="16">
        <f>IF($A189="","",ROUND($B189*$D189,2))</f>
        <v/>
      </c>
      <c r="F189" s="16">
        <f>IF($A189="","",IFERROR(SUMIF(tblAnahtarB[NormB],$A189,tblVeriB[Kargo]),0))</f>
        <v/>
      </c>
      <c r="G189" s="16">
        <f>IF($A189="","",IFERROR(SUMIF(tblAnahtarB[NormB],$A189,tblVeriB[IadeOran]),0))</f>
        <v/>
      </c>
      <c r="H189" s="16">
        <f>IF($A189="","",ROUND($B189*$G189,2))</f>
        <v/>
      </c>
      <c r="I189" s="16">
        <f>IF($A189="","",IFERROR(SUMIF(tblAnahtarB[NormB],$A189,tblVeriB[ReklamTutar]),0))</f>
        <v/>
      </c>
      <c r="J189" s="16">
        <f>IF($A189="","",ROUND($B189-$C189,2))</f>
        <v/>
      </c>
      <c r="K189" s="16">
        <f>IF($A189="","",ROUND($B189-$C189-$E189-$F189-$H189-$I189,2))</f>
        <v/>
      </c>
      <c r="L189" s="16">
        <f>IF(OR($A189="",$B189=0),0,$K189/$B189)</f>
        <v/>
      </c>
      <c r="M189" s="16">
        <f>IF($A189="","",IF((1-$D189-$G189)&lt;=0,0,ROUND(($C189+$F189+$I189)/(1-$D189-$G189),2)))</f>
        <v/>
      </c>
      <c r="N189" s="16">
        <f>IF($A189="","",IFERROR(SUMIF(tblAnahtarA[Norm],$A189,tblVeriA[HedefNet]),0))</f>
        <v/>
      </c>
      <c r="O189" s="16">
        <f>IF($A189="","",ROUND($K189-$N189,2))</f>
        <v/>
      </c>
      <c r="P189" s="16">
        <f>IF($A189="","",IF($L189&lt;egk_esikKatkiDusuk,"ZAM YAP",IF(AND($R189=1,$L189&lt;egk_esikKatkiHedef),"İNDİRİMİ KES","TUT")))</f>
        <v/>
      </c>
      <c r="Q189" s="16">
        <f>IF($A189="","",IFERROR(SUMIF(tblAnahtarB[NormB],$A189,tblVeriB[Roas]),0))</f>
        <v/>
      </c>
      <c r="R189" s="16">
        <f>IF($A189="","",IF(OR(IFERROR(INDEX(tblVeriA[YorumAB],MATCH($A189,tblAnahtarA[Norm],0)),"")="B",IFERROR(INDEX(tblVeriA[Durum],MATCH($A189,tblAnahtarA[Norm],0)),"")="Kampanya"),1,0))</f>
        <v/>
      </c>
      <c r="S189" s="16">
        <f>IF($A189="","",$J189-$E189)</f>
        <v/>
      </c>
      <c r="T189" s="16">
        <f>IF($A189="","",$K189-$O189)</f>
        <v/>
      </c>
    </row>
    <row r="190">
      <c r="A190" s="16">
        <f>IF('ANAHTAR'!$B190="","",'ANAHTAR'!$B190)</f>
        <v/>
      </c>
      <c r="B190" s="16">
        <f>IF($A190="","",IFERROR(SUMIF(tblAnahtarA[Norm],$A190,tblVeriA[SatisFiyati]),0))</f>
        <v/>
      </c>
      <c r="C190" s="16">
        <f>IF($A190="","",IFERROR(SUMIF(tblAnahtarA[Norm],$A190,tblVeriA[Maliyet]),0))</f>
        <v/>
      </c>
      <c r="D190" s="16">
        <f>IF($A190="","",IFERROR(SUMIF(tblAnahtarB[NormB],$A190,tblVeriB[KomisyonOran]),0))</f>
        <v/>
      </c>
      <c r="E190" s="16">
        <f>IF($A190="","",ROUND($B190*$D190,2))</f>
        <v/>
      </c>
      <c r="F190" s="16">
        <f>IF($A190="","",IFERROR(SUMIF(tblAnahtarB[NormB],$A190,tblVeriB[Kargo]),0))</f>
        <v/>
      </c>
      <c r="G190" s="16">
        <f>IF($A190="","",IFERROR(SUMIF(tblAnahtarB[NormB],$A190,tblVeriB[IadeOran]),0))</f>
        <v/>
      </c>
      <c r="H190" s="16">
        <f>IF($A190="","",ROUND($B190*$G190,2))</f>
        <v/>
      </c>
      <c r="I190" s="16">
        <f>IF($A190="","",IFERROR(SUMIF(tblAnahtarB[NormB],$A190,tblVeriB[ReklamTutar]),0))</f>
        <v/>
      </c>
      <c r="J190" s="16">
        <f>IF($A190="","",ROUND($B190-$C190,2))</f>
        <v/>
      </c>
      <c r="K190" s="16">
        <f>IF($A190="","",ROUND($B190-$C190-$E190-$F190-$H190-$I190,2))</f>
        <v/>
      </c>
      <c r="L190" s="16">
        <f>IF(OR($A190="",$B190=0),0,$K190/$B190)</f>
        <v/>
      </c>
      <c r="M190" s="16">
        <f>IF($A190="","",IF((1-$D190-$G190)&lt;=0,0,ROUND(($C190+$F190+$I190)/(1-$D190-$G190),2)))</f>
        <v/>
      </c>
      <c r="N190" s="16">
        <f>IF($A190="","",IFERROR(SUMIF(tblAnahtarA[Norm],$A190,tblVeriA[HedefNet]),0))</f>
        <v/>
      </c>
      <c r="O190" s="16">
        <f>IF($A190="","",ROUND($K190-$N190,2))</f>
        <v/>
      </c>
      <c r="P190" s="16">
        <f>IF($A190="","",IF($L190&lt;egk_esikKatkiDusuk,"ZAM YAP",IF(AND($R190=1,$L190&lt;egk_esikKatkiHedef),"İNDİRİMİ KES","TUT")))</f>
        <v/>
      </c>
      <c r="Q190" s="16">
        <f>IF($A190="","",IFERROR(SUMIF(tblAnahtarB[NormB],$A190,tblVeriB[Roas]),0))</f>
        <v/>
      </c>
      <c r="R190" s="16">
        <f>IF($A190="","",IF(OR(IFERROR(INDEX(tblVeriA[YorumAB],MATCH($A190,tblAnahtarA[Norm],0)),"")="B",IFERROR(INDEX(tblVeriA[Durum],MATCH($A190,tblAnahtarA[Norm],0)),"")="Kampanya"),1,0))</f>
        <v/>
      </c>
      <c r="S190" s="16">
        <f>IF($A190="","",$J190-$E190)</f>
        <v/>
      </c>
      <c r="T190" s="16">
        <f>IF($A190="","",$K190-$O190)</f>
        <v/>
      </c>
    </row>
    <row r="191">
      <c r="A191" s="16">
        <f>IF('ANAHTAR'!$B191="","",'ANAHTAR'!$B191)</f>
        <v/>
      </c>
      <c r="B191" s="16">
        <f>IF($A191="","",IFERROR(SUMIF(tblAnahtarA[Norm],$A191,tblVeriA[SatisFiyati]),0))</f>
        <v/>
      </c>
      <c r="C191" s="16">
        <f>IF($A191="","",IFERROR(SUMIF(tblAnahtarA[Norm],$A191,tblVeriA[Maliyet]),0))</f>
        <v/>
      </c>
      <c r="D191" s="16">
        <f>IF($A191="","",IFERROR(SUMIF(tblAnahtarB[NormB],$A191,tblVeriB[KomisyonOran]),0))</f>
        <v/>
      </c>
      <c r="E191" s="16">
        <f>IF($A191="","",ROUND($B191*$D191,2))</f>
        <v/>
      </c>
      <c r="F191" s="16">
        <f>IF($A191="","",IFERROR(SUMIF(tblAnahtarB[NormB],$A191,tblVeriB[Kargo]),0))</f>
        <v/>
      </c>
      <c r="G191" s="16">
        <f>IF($A191="","",IFERROR(SUMIF(tblAnahtarB[NormB],$A191,tblVeriB[IadeOran]),0))</f>
        <v/>
      </c>
      <c r="H191" s="16">
        <f>IF($A191="","",ROUND($B191*$G191,2))</f>
        <v/>
      </c>
      <c r="I191" s="16">
        <f>IF($A191="","",IFERROR(SUMIF(tblAnahtarB[NormB],$A191,tblVeriB[ReklamTutar]),0))</f>
        <v/>
      </c>
      <c r="J191" s="16">
        <f>IF($A191="","",ROUND($B191-$C191,2))</f>
        <v/>
      </c>
      <c r="K191" s="16">
        <f>IF($A191="","",ROUND($B191-$C191-$E191-$F191-$H191-$I191,2))</f>
        <v/>
      </c>
      <c r="L191" s="16">
        <f>IF(OR($A191="",$B191=0),0,$K191/$B191)</f>
        <v/>
      </c>
      <c r="M191" s="16">
        <f>IF($A191="","",IF((1-$D191-$G191)&lt;=0,0,ROUND(($C191+$F191+$I191)/(1-$D191-$G191),2)))</f>
        <v/>
      </c>
      <c r="N191" s="16">
        <f>IF($A191="","",IFERROR(SUMIF(tblAnahtarA[Norm],$A191,tblVeriA[HedefNet]),0))</f>
        <v/>
      </c>
      <c r="O191" s="16">
        <f>IF($A191="","",ROUND($K191-$N191,2))</f>
        <v/>
      </c>
      <c r="P191" s="16">
        <f>IF($A191="","",IF($L191&lt;egk_esikKatkiDusuk,"ZAM YAP",IF(AND($R191=1,$L191&lt;egk_esikKatkiHedef),"İNDİRİMİ KES","TUT")))</f>
        <v/>
      </c>
      <c r="Q191" s="16">
        <f>IF($A191="","",IFERROR(SUMIF(tblAnahtarB[NormB],$A191,tblVeriB[Roas]),0))</f>
        <v/>
      </c>
      <c r="R191" s="16">
        <f>IF($A191="","",IF(OR(IFERROR(INDEX(tblVeriA[YorumAB],MATCH($A191,tblAnahtarA[Norm],0)),"")="B",IFERROR(INDEX(tblVeriA[Durum],MATCH($A191,tblAnahtarA[Norm],0)),"")="Kampanya"),1,0))</f>
        <v/>
      </c>
      <c r="S191" s="16">
        <f>IF($A191="","",$J191-$E191)</f>
        <v/>
      </c>
      <c r="T191" s="16">
        <f>IF($A191="","",$K191-$O191)</f>
        <v/>
      </c>
    </row>
    <row r="192">
      <c r="A192" s="16">
        <f>IF('ANAHTAR'!$B192="","",'ANAHTAR'!$B192)</f>
        <v/>
      </c>
      <c r="B192" s="16">
        <f>IF($A192="","",IFERROR(SUMIF(tblAnahtarA[Norm],$A192,tblVeriA[SatisFiyati]),0))</f>
        <v/>
      </c>
      <c r="C192" s="16">
        <f>IF($A192="","",IFERROR(SUMIF(tblAnahtarA[Norm],$A192,tblVeriA[Maliyet]),0))</f>
        <v/>
      </c>
      <c r="D192" s="16">
        <f>IF($A192="","",IFERROR(SUMIF(tblAnahtarB[NormB],$A192,tblVeriB[KomisyonOran]),0))</f>
        <v/>
      </c>
      <c r="E192" s="16">
        <f>IF($A192="","",ROUND($B192*$D192,2))</f>
        <v/>
      </c>
      <c r="F192" s="16">
        <f>IF($A192="","",IFERROR(SUMIF(tblAnahtarB[NormB],$A192,tblVeriB[Kargo]),0))</f>
        <v/>
      </c>
      <c r="G192" s="16">
        <f>IF($A192="","",IFERROR(SUMIF(tblAnahtarB[NormB],$A192,tblVeriB[IadeOran]),0))</f>
        <v/>
      </c>
      <c r="H192" s="16">
        <f>IF($A192="","",ROUND($B192*$G192,2))</f>
        <v/>
      </c>
      <c r="I192" s="16">
        <f>IF($A192="","",IFERROR(SUMIF(tblAnahtarB[NormB],$A192,tblVeriB[ReklamTutar]),0))</f>
        <v/>
      </c>
      <c r="J192" s="16">
        <f>IF($A192="","",ROUND($B192-$C192,2))</f>
        <v/>
      </c>
      <c r="K192" s="16">
        <f>IF($A192="","",ROUND($B192-$C192-$E192-$F192-$H192-$I192,2))</f>
        <v/>
      </c>
      <c r="L192" s="16">
        <f>IF(OR($A192="",$B192=0),0,$K192/$B192)</f>
        <v/>
      </c>
      <c r="M192" s="16">
        <f>IF($A192="","",IF((1-$D192-$G192)&lt;=0,0,ROUND(($C192+$F192+$I192)/(1-$D192-$G192),2)))</f>
        <v/>
      </c>
      <c r="N192" s="16">
        <f>IF($A192="","",IFERROR(SUMIF(tblAnahtarA[Norm],$A192,tblVeriA[HedefNet]),0))</f>
        <v/>
      </c>
      <c r="O192" s="16">
        <f>IF($A192="","",ROUND($K192-$N192,2))</f>
        <v/>
      </c>
      <c r="P192" s="16">
        <f>IF($A192="","",IF($L192&lt;egk_esikKatkiDusuk,"ZAM YAP",IF(AND($R192=1,$L192&lt;egk_esikKatkiHedef),"İNDİRİMİ KES","TUT")))</f>
        <v/>
      </c>
      <c r="Q192" s="16">
        <f>IF($A192="","",IFERROR(SUMIF(tblAnahtarB[NormB],$A192,tblVeriB[Roas]),0))</f>
        <v/>
      </c>
      <c r="R192" s="16">
        <f>IF($A192="","",IF(OR(IFERROR(INDEX(tblVeriA[YorumAB],MATCH($A192,tblAnahtarA[Norm],0)),"")="B",IFERROR(INDEX(tblVeriA[Durum],MATCH($A192,tblAnahtarA[Norm],0)),"")="Kampanya"),1,0))</f>
        <v/>
      </c>
      <c r="S192" s="16">
        <f>IF($A192="","",$J192-$E192)</f>
        <v/>
      </c>
      <c r="T192" s="16">
        <f>IF($A192="","",$K192-$O192)</f>
        <v/>
      </c>
    </row>
    <row r="193">
      <c r="A193" s="16">
        <f>IF('ANAHTAR'!$B193="","",'ANAHTAR'!$B193)</f>
        <v/>
      </c>
      <c r="B193" s="16">
        <f>IF($A193="","",IFERROR(SUMIF(tblAnahtarA[Norm],$A193,tblVeriA[SatisFiyati]),0))</f>
        <v/>
      </c>
      <c r="C193" s="16">
        <f>IF($A193="","",IFERROR(SUMIF(tblAnahtarA[Norm],$A193,tblVeriA[Maliyet]),0))</f>
        <v/>
      </c>
      <c r="D193" s="16">
        <f>IF($A193="","",IFERROR(SUMIF(tblAnahtarB[NormB],$A193,tblVeriB[KomisyonOran]),0))</f>
        <v/>
      </c>
      <c r="E193" s="16">
        <f>IF($A193="","",ROUND($B193*$D193,2))</f>
        <v/>
      </c>
      <c r="F193" s="16">
        <f>IF($A193="","",IFERROR(SUMIF(tblAnahtarB[NormB],$A193,tblVeriB[Kargo]),0))</f>
        <v/>
      </c>
      <c r="G193" s="16">
        <f>IF($A193="","",IFERROR(SUMIF(tblAnahtarB[NormB],$A193,tblVeriB[IadeOran]),0))</f>
        <v/>
      </c>
      <c r="H193" s="16">
        <f>IF($A193="","",ROUND($B193*$G193,2))</f>
        <v/>
      </c>
      <c r="I193" s="16">
        <f>IF($A193="","",IFERROR(SUMIF(tblAnahtarB[NormB],$A193,tblVeriB[ReklamTutar]),0))</f>
        <v/>
      </c>
      <c r="J193" s="16">
        <f>IF($A193="","",ROUND($B193-$C193,2))</f>
        <v/>
      </c>
      <c r="K193" s="16">
        <f>IF($A193="","",ROUND($B193-$C193-$E193-$F193-$H193-$I193,2))</f>
        <v/>
      </c>
      <c r="L193" s="16">
        <f>IF(OR($A193="",$B193=0),0,$K193/$B193)</f>
        <v/>
      </c>
      <c r="M193" s="16">
        <f>IF($A193="","",IF((1-$D193-$G193)&lt;=0,0,ROUND(($C193+$F193+$I193)/(1-$D193-$G193),2)))</f>
        <v/>
      </c>
      <c r="N193" s="16">
        <f>IF($A193="","",IFERROR(SUMIF(tblAnahtarA[Norm],$A193,tblVeriA[HedefNet]),0))</f>
        <v/>
      </c>
      <c r="O193" s="16">
        <f>IF($A193="","",ROUND($K193-$N193,2))</f>
        <v/>
      </c>
      <c r="P193" s="16">
        <f>IF($A193="","",IF($L193&lt;egk_esikKatkiDusuk,"ZAM YAP",IF(AND($R193=1,$L193&lt;egk_esikKatkiHedef),"İNDİRİMİ KES","TUT")))</f>
        <v/>
      </c>
      <c r="Q193" s="16">
        <f>IF($A193="","",IFERROR(SUMIF(tblAnahtarB[NormB],$A193,tblVeriB[Roas]),0))</f>
        <v/>
      </c>
      <c r="R193" s="16">
        <f>IF($A193="","",IF(OR(IFERROR(INDEX(tblVeriA[YorumAB],MATCH($A193,tblAnahtarA[Norm],0)),"")="B",IFERROR(INDEX(tblVeriA[Durum],MATCH($A193,tblAnahtarA[Norm],0)),"")="Kampanya"),1,0))</f>
        <v/>
      </c>
      <c r="S193" s="16">
        <f>IF($A193="","",$J193-$E193)</f>
        <v/>
      </c>
      <c r="T193" s="16">
        <f>IF($A193="","",$K193-$O193)</f>
        <v/>
      </c>
    </row>
    <row r="194">
      <c r="A194" s="16">
        <f>IF('ANAHTAR'!$B194="","",'ANAHTAR'!$B194)</f>
        <v/>
      </c>
      <c r="B194" s="16">
        <f>IF($A194="","",IFERROR(SUMIF(tblAnahtarA[Norm],$A194,tblVeriA[SatisFiyati]),0))</f>
        <v/>
      </c>
      <c r="C194" s="16">
        <f>IF($A194="","",IFERROR(SUMIF(tblAnahtarA[Norm],$A194,tblVeriA[Maliyet]),0))</f>
        <v/>
      </c>
      <c r="D194" s="16">
        <f>IF($A194="","",IFERROR(SUMIF(tblAnahtarB[NormB],$A194,tblVeriB[KomisyonOran]),0))</f>
        <v/>
      </c>
      <c r="E194" s="16">
        <f>IF($A194="","",ROUND($B194*$D194,2))</f>
        <v/>
      </c>
      <c r="F194" s="16">
        <f>IF($A194="","",IFERROR(SUMIF(tblAnahtarB[NormB],$A194,tblVeriB[Kargo]),0))</f>
        <v/>
      </c>
      <c r="G194" s="16">
        <f>IF($A194="","",IFERROR(SUMIF(tblAnahtarB[NormB],$A194,tblVeriB[IadeOran]),0))</f>
        <v/>
      </c>
      <c r="H194" s="16">
        <f>IF($A194="","",ROUND($B194*$G194,2))</f>
        <v/>
      </c>
      <c r="I194" s="16">
        <f>IF($A194="","",IFERROR(SUMIF(tblAnahtarB[NormB],$A194,tblVeriB[ReklamTutar]),0))</f>
        <v/>
      </c>
      <c r="J194" s="16">
        <f>IF($A194="","",ROUND($B194-$C194,2))</f>
        <v/>
      </c>
      <c r="K194" s="16">
        <f>IF($A194="","",ROUND($B194-$C194-$E194-$F194-$H194-$I194,2))</f>
        <v/>
      </c>
      <c r="L194" s="16">
        <f>IF(OR($A194="",$B194=0),0,$K194/$B194)</f>
        <v/>
      </c>
      <c r="M194" s="16">
        <f>IF($A194="","",IF((1-$D194-$G194)&lt;=0,0,ROUND(($C194+$F194+$I194)/(1-$D194-$G194),2)))</f>
        <v/>
      </c>
      <c r="N194" s="16">
        <f>IF($A194="","",IFERROR(SUMIF(tblAnahtarA[Norm],$A194,tblVeriA[HedefNet]),0))</f>
        <v/>
      </c>
      <c r="O194" s="16">
        <f>IF($A194="","",ROUND($K194-$N194,2))</f>
        <v/>
      </c>
      <c r="P194" s="16">
        <f>IF($A194="","",IF($L194&lt;egk_esikKatkiDusuk,"ZAM YAP",IF(AND($R194=1,$L194&lt;egk_esikKatkiHedef),"İNDİRİMİ KES","TUT")))</f>
        <v/>
      </c>
      <c r="Q194" s="16">
        <f>IF($A194="","",IFERROR(SUMIF(tblAnahtarB[NormB],$A194,tblVeriB[Roas]),0))</f>
        <v/>
      </c>
      <c r="R194" s="16">
        <f>IF($A194="","",IF(OR(IFERROR(INDEX(tblVeriA[YorumAB],MATCH($A194,tblAnahtarA[Norm],0)),"")="B",IFERROR(INDEX(tblVeriA[Durum],MATCH($A194,tblAnahtarA[Norm],0)),"")="Kampanya"),1,0))</f>
        <v/>
      </c>
      <c r="S194" s="16">
        <f>IF($A194="","",$J194-$E194)</f>
        <v/>
      </c>
      <c r="T194" s="16">
        <f>IF($A194="","",$K194-$O194)</f>
        <v/>
      </c>
    </row>
    <row r="195">
      <c r="A195" s="16">
        <f>IF('ANAHTAR'!$B195="","",'ANAHTAR'!$B195)</f>
        <v/>
      </c>
      <c r="B195" s="16">
        <f>IF($A195="","",IFERROR(SUMIF(tblAnahtarA[Norm],$A195,tblVeriA[SatisFiyati]),0))</f>
        <v/>
      </c>
      <c r="C195" s="16">
        <f>IF($A195="","",IFERROR(SUMIF(tblAnahtarA[Norm],$A195,tblVeriA[Maliyet]),0))</f>
        <v/>
      </c>
      <c r="D195" s="16">
        <f>IF($A195="","",IFERROR(SUMIF(tblAnahtarB[NormB],$A195,tblVeriB[KomisyonOran]),0))</f>
        <v/>
      </c>
      <c r="E195" s="16">
        <f>IF($A195="","",ROUND($B195*$D195,2))</f>
        <v/>
      </c>
      <c r="F195" s="16">
        <f>IF($A195="","",IFERROR(SUMIF(tblAnahtarB[NormB],$A195,tblVeriB[Kargo]),0))</f>
        <v/>
      </c>
      <c r="G195" s="16">
        <f>IF($A195="","",IFERROR(SUMIF(tblAnahtarB[NormB],$A195,tblVeriB[IadeOran]),0))</f>
        <v/>
      </c>
      <c r="H195" s="16">
        <f>IF($A195="","",ROUND($B195*$G195,2))</f>
        <v/>
      </c>
      <c r="I195" s="16">
        <f>IF($A195="","",IFERROR(SUMIF(tblAnahtarB[NormB],$A195,tblVeriB[ReklamTutar]),0))</f>
        <v/>
      </c>
      <c r="J195" s="16">
        <f>IF($A195="","",ROUND($B195-$C195,2))</f>
        <v/>
      </c>
      <c r="K195" s="16">
        <f>IF($A195="","",ROUND($B195-$C195-$E195-$F195-$H195-$I195,2))</f>
        <v/>
      </c>
      <c r="L195" s="16">
        <f>IF(OR($A195="",$B195=0),0,$K195/$B195)</f>
        <v/>
      </c>
      <c r="M195" s="16">
        <f>IF($A195="","",IF((1-$D195-$G195)&lt;=0,0,ROUND(($C195+$F195+$I195)/(1-$D195-$G195),2)))</f>
        <v/>
      </c>
      <c r="N195" s="16">
        <f>IF($A195="","",IFERROR(SUMIF(tblAnahtarA[Norm],$A195,tblVeriA[HedefNet]),0))</f>
        <v/>
      </c>
      <c r="O195" s="16">
        <f>IF($A195="","",ROUND($K195-$N195,2))</f>
        <v/>
      </c>
      <c r="P195" s="16">
        <f>IF($A195="","",IF($L195&lt;egk_esikKatkiDusuk,"ZAM YAP",IF(AND($R195=1,$L195&lt;egk_esikKatkiHedef),"İNDİRİMİ KES","TUT")))</f>
        <v/>
      </c>
      <c r="Q195" s="16">
        <f>IF($A195="","",IFERROR(SUMIF(tblAnahtarB[NormB],$A195,tblVeriB[Roas]),0))</f>
        <v/>
      </c>
      <c r="R195" s="16">
        <f>IF($A195="","",IF(OR(IFERROR(INDEX(tblVeriA[YorumAB],MATCH($A195,tblAnahtarA[Norm],0)),"")="B",IFERROR(INDEX(tblVeriA[Durum],MATCH($A195,tblAnahtarA[Norm],0)),"")="Kampanya"),1,0))</f>
        <v/>
      </c>
      <c r="S195" s="16">
        <f>IF($A195="","",$J195-$E195)</f>
        <v/>
      </c>
      <c r="T195" s="16">
        <f>IF($A195="","",$K195-$O195)</f>
        <v/>
      </c>
    </row>
    <row r="196">
      <c r="A196" s="16">
        <f>IF('ANAHTAR'!$B196="","",'ANAHTAR'!$B196)</f>
        <v/>
      </c>
      <c r="B196" s="16">
        <f>IF($A196="","",IFERROR(SUMIF(tblAnahtarA[Norm],$A196,tblVeriA[SatisFiyati]),0))</f>
        <v/>
      </c>
      <c r="C196" s="16">
        <f>IF($A196="","",IFERROR(SUMIF(tblAnahtarA[Norm],$A196,tblVeriA[Maliyet]),0))</f>
        <v/>
      </c>
      <c r="D196" s="16">
        <f>IF($A196="","",IFERROR(SUMIF(tblAnahtarB[NormB],$A196,tblVeriB[KomisyonOran]),0))</f>
        <v/>
      </c>
      <c r="E196" s="16">
        <f>IF($A196="","",ROUND($B196*$D196,2))</f>
        <v/>
      </c>
      <c r="F196" s="16">
        <f>IF($A196="","",IFERROR(SUMIF(tblAnahtarB[NormB],$A196,tblVeriB[Kargo]),0))</f>
        <v/>
      </c>
      <c r="G196" s="16">
        <f>IF($A196="","",IFERROR(SUMIF(tblAnahtarB[NormB],$A196,tblVeriB[IadeOran]),0))</f>
        <v/>
      </c>
      <c r="H196" s="16">
        <f>IF($A196="","",ROUND($B196*$G196,2))</f>
        <v/>
      </c>
      <c r="I196" s="16">
        <f>IF($A196="","",IFERROR(SUMIF(tblAnahtarB[NormB],$A196,tblVeriB[ReklamTutar]),0))</f>
        <v/>
      </c>
      <c r="J196" s="16">
        <f>IF($A196="","",ROUND($B196-$C196,2))</f>
        <v/>
      </c>
      <c r="K196" s="16">
        <f>IF($A196="","",ROUND($B196-$C196-$E196-$F196-$H196-$I196,2))</f>
        <v/>
      </c>
      <c r="L196" s="16">
        <f>IF(OR($A196="",$B196=0),0,$K196/$B196)</f>
        <v/>
      </c>
      <c r="M196" s="16">
        <f>IF($A196="","",IF((1-$D196-$G196)&lt;=0,0,ROUND(($C196+$F196+$I196)/(1-$D196-$G196),2)))</f>
        <v/>
      </c>
      <c r="N196" s="16">
        <f>IF($A196="","",IFERROR(SUMIF(tblAnahtarA[Norm],$A196,tblVeriA[HedefNet]),0))</f>
        <v/>
      </c>
      <c r="O196" s="16">
        <f>IF($A196="","",ROUND($K196-$N196,2))</f>
        <v/>
      </c>
      <c r="P196" s="16">
        <f>IF($A196="","",IF($L196&lt;egk_esikKatkiDusuk,"ZAM YAP",IF(AND($R196=1,$L196&lt;egk_esikKatkiHedef),"İNDİRİMİ KES","TUT")))</f>
        <v/>
      </c>
      <c r="Q196" s="16">
        <f>IF($A196="","",IFERROR(SUMIF(tblAnahtarB[NormB],$A196,tblVeriB[Roas]),0))</f>
        <v/>
      </c>
      <c r="R196" s="16">
        <f>IF($A196="","",IF(OR(IFERROR(INDEX(tblVeriA[YorumAB],MATCH($A196,tblAnahtarA[Norm],0)),"")="B",IFERROR(INDEX(tblVeriA[Durum],MATCH($A196,tblAnahtarA[Norm],0)),"")="Kampanya"),1,0))</f>
        <v/>
      </c>
      <c r="S196" s="16">
        <f>IF($A196="","",$J196-$E196)</f>
        <v/>
      </c>
      <c r="T196" s="16">
        <f>IF($A196="","",$K196-$O196)</f>
        <v/>
      </c>
    </row>
    <row r="197">
      <c r="A197" s="16">
        <f>IF('ANAHTAR'!$B197="","",'ANAHTAR'!$B197)</f>
        <v/>
      </c>
      <c r="B197" s="16">
        <f>IF($A197="","",IFERROR(SUMIF(tblAnahtarA[Norm],$A197,tblVeriA[SatisFiyati]),0))</f>
        <v/>
      </c>
      <c r="C197" s="16">
        <f>IF($A197="","",IFERROR(SUMIF(tblAnahtarA[Norm],$A197,tblVeriA[Maliyet]),0))</f>
        <v/>
      </c>
      <c r="D197" s="16">
        <f>IF($A197="","",IFERROR(SUMIF(tblAnahtarB[NormB],$A197,tblVeriB[KomisyonOran]),0))</f>
        <v/>
      </c>
      <c r="E197" s="16">
        <f>IF($A197="","",ROUND($B197*$D197,2))</f>
        <v/>
      </c>
      <c r="F197" s="16">
        <f>IF($A197="","",IFERROR(SUMIF(tblAnahtarB[NormB],$A197,tblVeriB[Kargo]),0))</f>
        <v/>
      </c>
      <c r="G197" s="16">
        <f>IF($A197="","",IFERROR(SUMIF(tblAnahtarB[NormB],$A197,tblVeriB[IadeOran]),0))</f>
        <v/>
      </c>
      <c r="H197" s="16">
        <f>IF($A197="","",ROUND($B197*$G197,2))</f>
        <v/>
      </c>
      <c r="I197" s="16">
        <f>IF($A197="","",IFERROR(SUMIF(tblAnahtarB[NormB],$A197,tblVeriB[ReklamTutar]),0))</f>
        <v/>
      </c>
      <c r="J197" s="16">
        <f>IF($A197="","",ROUND($B197-$C197,2))</f>
        <v/>
      </c>
      <c r="K197" s="16">
        <f>IF($A197="","",ROUND($B197-$C197-$E197-$F197-$H197-$I197,2))</f>
        <v/>
      </c>
      <c r="L197" s="16">
        <f>IF(OR($A197="",$B197=0),0,$K197/$B197)</f>
        <v/>
      </c>
      <c r="M197" s="16">
        <f>IF($A197="","",IF((1-$D197-$G197)&lt;=0,0,ROUND(($C197+$F197+$I197)/(1-$D197-$G197),2)))</f>
        <v/>
      </c>
      <c r="N197" s="16">
        <f>IF($A197="","",IFERROR(SUMIF(tblAnahtarA[Norm],$A197,tblVeriA[HedefNet]),0))</f>
        <v/>
      </c>
      <c r="O197" s="16">
        <f>IF($A197="","",ROUND($K197-$N197,2))</f>
        <v/>
      </c>
      <c r="P197" s="16">
        <f>IF($A197="","",IF($L197&lt;egk_esikKatkiDusuk,"ZAM YAP",IF(AND($R197=1,$L197&lt;egk_esikKatkiHedef),"İNDİRİMİ KES","TUT")))</f>
        <v/>
      </c>
      <c r="Q197" s="16">
        <f>IF($A197="","",IFERROR(SUMIF(tblAnahtarB[NormB],$A197,tblVeriB[Roas]),0))</f>
        <v/>
      </c>
      <c r="R197" s="16">
        <f>IF($A197="","",IF(OR(IFERROR(INDEX(tblVeriA[YorumAB],MATCH($A197,tblAnahtarA[Norm],0)),"")="B",IFERROR(INDEX(tblVeriA[Durum],MATCH($A197,tblAnahtarA[Norm],0)),"")="Kampanya"),1,0))</f>
        <v/>
      </c>
      <c r="S197" s="16">
        <f>IF($A197="","",$J197-$E197)</f>
        <v/>
      </c>
      <c r="T197" s="16">
        <f>IF($A197="","",$K197-$O197)</f>
        <v/>
      </c>
    </row>
    <row r="198">
      <c r="A198" s="16">
        <f>IF('ANAHTAR'!$B198="","",'ANAHTAR'!$B198)</f>
        <v/>
      </c>
      <c r="B198" s="16">
        <f>IF($A198="","",IFERROR(SUMIF(tblAnahtarA[Norm],$A198,tblVeriA[SatisFiyati]),0))</f>
        <v/>
      </c>
      <c r="C198" s="16">
        <f>IF($A198="","",IFERROR(SUMIF(tblAnahtarA[Norm],$A198,tblVeriA[Maliyet]),0))</f>
        <v/>
      </c>
      <c r="D198" s="16">
        <f>IF($A198="","",IFERROR(SUMIF(tblAnahtarB[NormB],$A198,tblVeriB[KomisyonOran]),0))</f>
        <v/>
      </c>
      <c r="E198" s="16">
        <f>IF($A198="","",ROUND($B198*$D198,2))</f>
        <v/>
      </c>
      <c r="F198" s="16">
        <f>IF($A198="","",IFERROR(SUMIF(tblAnahtarB[NormB],$A198,tblVeriB[Kargo]),0))</f>
        <v/>
      </c>
      <c r="G198" s="16">
        <f>IF($A198="","",IFERROR(SUMIF(tblAnahtarB[NormB],$A198,tblVeriB[IadeOran]),0))</f>
        <v/>
      </c>
      <c r="H198" s="16">
        <f>IF($A198="","",ROUND($B198*$G198,2))</f>
        <v/>
      </c>
      <c r="I198" s="16">
        <f>IF($A198="","",IFERROR(SUMIF(tblAnahtarB[NormB],$A198,tblVeriB[ReklamTutar]),0))</f>
        <v/>
      </c>
      <c r="J198" s="16">
        <f>IF($A198="","",ROUND($B198-$C198,2))</f>
        <v/>
      </c>
      <c r="K198" s="16">
        <f>IF($A198="","",ROUND($B198-$C198-$E198-$F198-$H198-$I198,2))</f>
        <v/>
      </c>
      <c r="L198" s="16">
        <f>IF(OR($A198="",$B198=0),0,$K198/$B198)</f>
        <v/>
      </c>
      <c r="M198" s="16">
        <f>IF($A198="","",IF((1-$D198-$G198)&lt;=0,0,ROUND(($C198+$F198+$I198)/(1-$D198-$G198),2)))</f>
        <v/>
      </c>
      <c r="N198" s="16">
        <f>IF($A198="","",IFERROR(SUMIF(tblAnahtarA[Norm],$A198,tblVeriA[HedefNet]),0))</f>
        <v/>
      </c>
      <c r="O198" s="16">
        <f>IF($A198="","",ROUND($K198-$N198,2))</f>
        <v/>
      </c>
      <c r="P198" s="16">
        <f>IF($A198="","",IF($L198&lt;egk_esikKatkiDusuk,"ZAM YAP",IF(AND($R198=1,$L198&lt;egk_esikKatkiHedef),"İNDİRİMİ KES","TUT")))</f>
        <v/>
      </c>
      <c r="Q198" s="16">
        <f>IF($A198="","",IFERROR(SUMIF(tblAnahtarB[NormB],$A198,tblVeriB[Roas]),0))</f>
        <v/>
      </c>
      <c r="R198" s="16">
        <f>IF($A198="","",IF(OR(IFERROR(INDEX(tblVeriA[YorumAB],MATCH($A198,tblAnahtarA[Norm],0)),"")="B",IFERROR(INDEX(tblVeriA[Durum],MATCH($A198,tblAnahtarA[Norm],0)),"")="Kampanya"),1,0))</f>
        <v/>
      </c>
      <c r="S198" s="16">
        <f>IF($A198="","",$J198-$E198)</f>
        <v/>
      </c>
      <c r="T198" s="16">
        <f>IF($A198="","",$K198-$O198)</f>
        <v/>
      </c>
    </row>
    <row r="199">
      <c r="A199" s="16">
        <f>IF('ANAHTAR'!$B199="","",'ANAHTAR'!$B199)</f>
        <v/>
      </c>
      <c r="B199" s="16">
        <f>IF($A199="","",IFERROR(SUMIF(tblAnahtarA[Norm],$A199,tblVeriA[SatisFiyati]),0))</f>
        <v/>
      </c>
      <c r="C199" s="16">
        <f>IF($A199="","",IFERROR(SUMIF(tblAnahtarA[Norm],$A199,tblVeriA[Maliyet]),0))</f>
        <v/>
      </c>
      <c r="D199" s="16">
        <f>IF($A199="","",IFERROR(SUMIF(tblAnahtarB[NormB],$A199,tblVeriB[KomisyonOran]),0))</f>
        <v/>
      </c>
      <c r="E199" s="16">
        <f>IF($A199="","",ROUND($B199*$D199,2))</f>
        <v/>
      </c>
      <c r="F199" s="16">
        <f>IF($A199="","",IFERROR(SUMIF(tblAnahtarB[NormB],$A199,tblVeriB[Kargo]),0))</f>
        <v/>
      </c>
      <c r="G199" s="16">
        <f>IF($A199="","",IFERROR(SUMIF(tblAnahtarB[NormB],$A199,tblVeriB[IadeOran]),0))</f>
        <v/>
      </c>
      <c r="H199" s="16">
        <f>IF($A199="","",ROUND($B199*$G199,2))</f>
        <v/>
      </c>
      <c r="I199" s="16">
        <f>IF($A199="","",IFERROR(SUMIF(tblAnahtarB[NormB],$A199,tblVeriB[ReklamTutar]),0))</f>
        <v/>
      </c>
      <c r="J199" s="16">
        <f>IF($A199="","",ROUND($B199-$C199,2))</f>
        <v/>
      </c>
      <c r="K199" s="16">
        <f>IF($A199="","",ROUND($B199-$C199-$E199-$F199-$H199-$I199,2))</f>
        <v/>
      </c>
      <c r="L199" s="16">
        <f>IF(OR($A199="",$B199=0),0,$K199/$B199)</f>
        <v/>
      </c>
      <c r="M199" s="16">
        <f>IF($A199="","",IF((1-$D199-$G199)&lt;=0,0,ROUND(($C199+$F199+$I199)/(1-$D199-$G199),2)))</f>
        <v/>
      </c>
      <c r="N199" s="16">
        <f>IF($A199="","",IFERROR(SUMIF(tblAnahtarA[Norm],$A199,tblVeriA[HedefNet]),0))</f>
        <v/>
      </c>
      <c r="O199" s="16">
        <f>IF($A199="","",ROUND($K199-$N199,2))</f>
        <v/>
      </c>
      <c r="P199" s="16">
        <f>IF($A199="","",IF($L199&lt;egk_esikKatkiDusuk,"ZAM YAP",IF(AND($R199=1,$L199&lt;egk_esikKatkiHedef),"İNDİRİMİ KES","TUT")))</f>
        <v/>
      </c>
      <c r="Q199" s="16">
        <f>IF($A199="","",IFERROR(SUMIF(tblAnahtarB[NormB],$A199,tblVeriB[Roas]),0))</f>
        <v/>
      </c>
      <c r="R199" s="16">
        <f>IF($A199="","",IF(OR(IFERROR(INDEX(tblVeriA[YorumAB],MATCH($A199,tblAnahtarA[Norm],0)),"")="B",IFERROR(INDEX(tblVeriA[Durum],MATCH($A199,tblAnahtarA[Norm],0)),"")="Kampanya"),1,0))</f>
        <v/>
      </c>
      <c r="S199" s="16">
        <f>IF($A199="","",$J199-$E199)</f>
        <v/>
      </c>
      <c r="T199" s="16">
        <f>IF($A199="","",$K199-$O199)</f>
        <v/>
      </c>
    </row>
    <row r="200">
      <c r="A200" s="16">
        <f>IF('ANAHTAR'!$B200="","",'ANAHTAR'!$B200)</f>
        <v/>
      </c>
      <c r="B200" s="16">
        <f>IF($A200="","",IFERROR(SUMIF(tblAnahtarA[Norm],$A200,tblVeriA[SatisFiyati]),0))</f>
        <v/>
      </c>
      <c r="C200" s="16">
        <f>IF($A200="","",IFERROR(SUMIF(tblAnahtarA[Norm],$A200,tblVeriA[Maliyet]),0))</f>
        <v/>
      </c>
      <c r="D200" s="16">
        <f>IF($A200="","",IFERROR(SUMIF(tblAnahtarB[NormB],$A200,tblVeriB[KomisyonOran]),0))</f>
        <v/>
      </c>
      <c r="E200" s="16">
        <f>IF($A200="","",ROUND($B200*$D200,2))</f>
        <v/>
      </c>
      <c r="F200" s="16">
        <f>IF($A200="","",IFERROR(SUMIF(tblAnahtarB[NormB],$A200,tblVeriB[Kargo]),0))</f>
        <v/>
      </c>
      <c r="G200" s="16">
        <f>IF($A200="","",IFERROR(SUMIF(tblAnahtarB[NormB],$A200,tblVeriB[IadeOran]),0))</f>
        <v/>
      </c>
      <c r="H200" s="16">
        <f>IF($A200="","",ROUND($B200*$G200,2))</f>
        <v/>
      </c>
      <c r="I200" s="16">
        <f>IF($A200="","",IFERROR(SUMIF(tblAnahtarB[NormB],$A200,tblVeriB[ReklamTutar]),0))</f>
        <v/>
      </c>
      <c r="J200" s="16">
        <f>IF($A200="","",ROUND($B200-$C200,2))</f>
        <v/>
      </c>
      <c r="K200" s="16">
        <f>IF($A200="","",ROUND($B200-$C200-$E200-$F200-$H200-$I200,2))</f>
        <v/>
      </c>
      <c r="L200" s="16">
        <f>IF(OR($A200="",$B200=0),0,$K200/$B200)</f>
        <v/>
      </c>
      <c r="M200" s="16">
        <f>IF($A200="","",IF((1-$D200-$G200)&lt;=0,0,ROUND(($C200+$F200+$I200)/(1-$D200-$G200),2)))</f>
        <v/>
      </c>
      <c r="N200" s="16">
        <f>IF($A200="","",IFERROR(SUMIF(tblAnahtarA[Norm],$A200,tblVeriA[HedefNet]),0))</f>
        <v/>
      </c>
      <c r="O200" s="16">
        <f>IF($A200="","",ROUND($K200-$N200,2))</f>
        <v/>
      </c>
      <c r="P200" s="16">
        <f>IF($A200="","",IF($L200&lt;egk_esikKatkiDusuk,"ZAM YAP",IF(AND($R200=1,$L200&lt;egk_esikKatkiHedef),"İNDİRİMİ KES","TUT")))</f>
        <v/>
      </c>
      <c r="Q200" s="16">
        <f>IF($A200="","",IFERROR(SUMIF(tblAnahtarB[NormB],$A200,tblVeriB[Roas]),0))</f>
        <v/>
      </c>
      <c r="R200" s="16">
        <f>IF($A200="","",IF(OR(IFERROR(INDEX(tblVeriA[YorumAB],MATCH($A200,tblAnahtarA[Norm],0)),"")="B",IFERROR(INDEX(tblVeriA[Durum],MATCH($A200,tblAnahtarA[Norm],0)),"")="Kampanya"),1,0))</f>
        <v/>
      </c>
      <c r="S200" s="16">
        <f>IF($A200="","",$J200-$E200)</f>
        <v/>
      </c>
      <c r="T200" s="16">
        <f>IF($A200="","",$K200-$O200)</f>
        <v/>
      </c>
    </row>
    <row r="201">
      <c r="A201" s="16">
        <f>IF('ANAHTAR'!$B201="","",'ANAHTAR'!$B201)</f>
        <v/>
      </c>
      <c r="B201" s="16">
        <f>IF($A201="","",IFERROR(SUMIF(tblAnahtarA[Norm],$A201,tblVeriA[SatisFiyati]),0))</f>
        <v/>
      </c>
      <c r="C201" s="16">
        <f>IF($A201="","",IFERROR(SUMIF(tblAnahtarA[Norm],$A201,tblVeriA[Maliyet]),0))</f>
        <v/>
      </c>
      <c r="D201" s="16">
        <f>IF($A201="","",IFERROR(SUMIF(tblAnahtarB[NormB],$A201,tblVeriB[KomisyonOran]),0))</f>
        <v/>
      </c>
      <c r="E201" s="16">
        <f>IF($A201="","",ROUND($B201*$D201,2))</f>
        <v/>
      </c>
      <c r="F201" s="16">
        <f>IF($A201="","",IFERROR(SUMIF(tblAnahtarB[NormB],$A201,tblVeriB[Kargo]),0))</f>
        <v/>
      </c>
      <c r="G201" s="16">
        <f>IF($A201="","",IFERROR(SUMIF(tblAnahtarB[NormB],$A201,tblVeriB[IadeOran]),0))</f>
        <v/>
      </c>
      <c r="H201" s="16">
        <f>IF($A201="","",ROUND($B201*$G201,2))</f>
        <v/>
      </c>
      <c r="I201" s="16">
        <f>IF($A201="","",IFERROR(SUMIF(tblAnahtarB[NormB],$A201,tblVeriB[ReklamTutar]),0))</f>
        <v/>
      </c>
      <c r="J201" s="16">
        <f>IF($A201="","",ROUND($B201-$C201,2))</f>
        <v/>
      </c>
      <c r="K201" s="16">
        <f>IF($A201="","",ROUND($B201-$C201-$E201-$F201-$H201-$I201,2))</f>
        <v/>
      </c>
      <c r="L201" s="16">
        <f>IF(OR($A201="",$B201=0),0,$K201/$B201)</f>
        <v/>
      </c>
      <c r="M201" s="16">
        <f>IF($A201="","",IF((1-$D201-$G201)&lt;=0,0,ROUND(($C201+$F201+$I201)/(1-$D201-$G201),2)))</f>
        <v/>
      </c>
      <c r="N201" s="16">
        <f>IF($A201="","",IFERROR(SUMIF(tblAnahtarA[Norm],$A201,tblVeriA[HedefNet]),0))</f>
        <v/>
      </c>
      <c r="O201" s="16">
        <f>IF($A201="","",ROUND($K201-$N201,2))</f>
        <v/>
      </c>
      <c r="P201" s="16">
        <f>IF($A201="","",IF($L201&lt;egk_esikKatkiDusuk,"ZAM YAP",IF(AND($R201=1,$L201&lt;egk_esikKatkiHedef),"İNDİRİMİ KES","TUT")))</f>
        <v/>
      </c>
      <c r="Q201" s="16">
        <f>IF($A201="","",IFERROR(SUMIF(tblAnahtarB[NormB],$A201,tblVeriB[Roas]),0))</f>
        <v/>
      </c>
      <c r="R201" s="16">
        <f>IF($A201="","",IF(OR(IFERROR(INDEX(tblVeriA[YorumAB],MATCH($A201,tblAnahtarA[Norm],0)),"")="B",IFERROR(INDEX(tblVeriA[Durum],MATCH($A201,tblAnahtarA[Norm],0)),"")="Kampanya"),1,0))</f>
        <v/>
      </c>
      <c r="S201" s="16">
        <f>IF($A201="","",$J201-$E201)</f>
        <v/>
      </c>
      <c r="T201" s="16">
        <f>IF($A201="","",$K201-$O201)</f>
        <v/>
      </c>
    </row>
    <row r="202">
      <c r="A202" s="16">
        <f>IF('ANAHTAR'!$B202="","",'ANAHTAR'!$B202)</f>
        <v/>
      </c>
      <c r="B202" s="16">
        <f>IF($A202="","",IFERROR(SUMIF(tblAnahtarA[Norm],$A202,tblVeriA[SatisFiyati]),0))</f>
        <v/>
      </c>
      <c r="C202" s="16">
        <f>IF($A202="","",IFERROR(SUMIF(tblAnahtarA[Norm],$A202,tblVeriA[Maliyet]),0))</f>
        <v/>
      </c>
      <c r="D202" s="16">
        <f>IF($A202="","",IFERROR(SUMIF(tblAnahtarB[NormB],$A202,tblVeriB[KomisyonOran]),0))</f>
        <v/>
      </c>
      <c r="E202" s="16">
        <f>IF($A202="","",ROUND($B202*$D202,2))</f>
        <v/>
      </c>
      <c r="F202" s="16">
        <f>IF($A202="","",IFERROR(SUMIF(tblAnahtarB[NormB],$A202,tblVeriB[Kargo]),0))</f>
        <v/>
      </c>
      <c r="G202" s="16">
        <f>IF($A202="","",IFERROR(SUMIF(tblAnahtarB[NormB],$A202,tblVeriB[IadeOran]),0))</f>
        <v/>
      </c>
      <c r="H202" s="16">
        <f>IF($A202="","",ROUND($B202*$G202,2))</f>
        <v/>
      </c>
      <c r="I202" s="16">
        <f>IF($A202="","",IFERROR(SUMIF(tblAnahtarB[NormB],$A202,tblVeriB[ReklamTutar]),0))</f>
        <v/>
      </c>
      <c r="J202" s="16">
        <f>IF($A202="","",ROUND($B202-$C202,2))</f>
        <v/>
      </c>
      <c r="K202" s="16">
        <f>IF($A202="","",ROUND($B202-$C202-$E202-$F202-$H202-$I202,2))</f>
        <v/>
      </c>
      <c r="L202" s="16">
        <f>IF(OR($A202="",$B202=0),0,$K202/$B202)</f>
        <v/>
      </c>
      <c r="M202" s="16">
        <f>IF($A202="","",IF((1-$D202-$G202)&lt;=0,0,ROUND(($C202+$F202+$I202)/(1-$D202-$G202),2)))</f>
        <v/>
      </c>
      <c r="N202" s="16">
        <f>IF($A202="","",IFERROR(SUMIF(tblAnahtarA[Norm],$A202,tblVeriA[HedefNet]),0))</f>
        <v/>
      </c>
      <c r="O202" s="16">
        <f>IF($A202="","",ROUND($K202-$N202,2))</f>
        <v/>
      </c>
      <c r="P202" s="16">
        <f>IF($A202="","",IF($L202&lt;egk_esikKatkiDusuk,"ZAM YAP",IF(AND($R202=1,$L202&lt;egk_esikKatkiHedef),"İNDİRİMİ KES","TUT")))</f>
        <v/>
      </c>
      <c r="Q202" s="16">
        <f>IF($A202="","",IFERROR(SUMIF(tblAnahtarB[NormB],$A202,tblVeriB[Roas]),0))</f>
        <v/>
      </c>
      <c r="R202" s="16">
        <f>IF($A202="","",IF(OR(IFERROR(INDEX(tblVeriA[YorumAB],MATCH($A202,tblAnahtarA[Norm],0)),"")="B",IFERROR(INDEX(tblVeriA[Durum],MATCH($A202,tblAnahtarA[Norm],0)),"")="Kampanya"),1,0))</f>
        <v/>
      </c>
      <c r="S202" s="16">
        <f>IF($A202="","",$J202-$E202)</f>
        <v/>
      </c>
      <c r="T202" s="16">
        <f>IF($A202="","",$K202-$O202)</f>
        <v/>
      </c>
    </row>
    <row r="203">
      <c r="A203" s="16">
        <f>IF('ANAHTAR'!$B203="","",'ANAHTAR'!$B203)</f>
        <v/>
      </c>
      <c r="B203" s="16">
        <f>IF($A203="","",IFERROR(SUMIF(tblAnahtarA[Norm],$A203,tblVeriA[SatisFiyati]),0))</f>
        <v/>
      </c>
      <c r="C203" s="16">
        <f>IF($A203="","",IFERROR(SUMIF(tblAnahtarA[Norm],$A203,tblVeriA[Maliyet]),0))</f>
        <v/>
      </c>
      <c r="D203" s="16">
        <f>IF($A203="","",IFERROR(SUMIF(tblAnahtarB[NormB],$A203,tblVeriB[KomisyonOran]),0))</f>
        <v/>
      </c>
      <c r="E203" s="16">
        <f>IF($A203="","",ROUND($B203*$D203,2))</f>
        <v/>
      </c>
      <c r="F203" s="16">
        <f>IF($A203="","",IFERROR(SUMIF(tblAnahtarB[NormB],$A203,tblVeriB[Kargo]),0))</f>
        <v/>
      </c>
      <c r="G203" s="16">
        <f>IF($A203="","",IFERROR(SUMIF(tblAnahtarB[NormB],$A203,tblVeriB[IadeOran]),0))</f>
        <v/>
      </c>
      <c r="H203" s="16">
        <f>IF($A203="","",ROUND($B203*$G203,2))</f>
        <v/>
      </c>
      <c r="I203" s="16">
        <f>IF($A203="","",IFERROR(SUMIF(tblAnahtarB[NormB],$A203,tblVeriB[ReklamTutar]),0))</f>
        <v/>
      </c>
      <c r="J203" s="16">
        <f>IF($A203="","",ROUND($B203-$C203,2))</f>
        <v/>
      </c>
      <c r="K203" s="16">
        <f>IF($A203="","",ROUND($B203-$C203-$E203-$F203-$H203-$I203,2))</f>
        <v/>
      </c>
      <c r="L203" s="16">
        <f>IF(OR($A203="",$B203=0),0,$K203/$B203)</f>
        <v/>
      </c>
      <c r="M203" s="16">
        <f>IF($A203="","",IF((1-$D203-$G203)&lt;=0,0,ROUND(($C203+$F203+$I203)/(1-$D203-$G203),2)))</f>
        <v/>
      </c>
      <c r="N203" s="16">
        <f>IF($A203="","",IFERROR(SUMIF(tblAnahtarA[Norm],$A203,tblVeriA[HedefNet]),0))</f>
        <v/>
      </c>
      <c r="O203" s="16">
        <f>IF($A203="","",ROUND($K203-$N203,2))</f>
        <v/>
      </c>
      <c r="P203" s="16">
        <f>IF($A203="","",IF($L203&lt;egk_esikKatkiDusuk,"ZAM YAP",IF(AND($R203=1,$L203&lt;egk_esikKatkiHedef),"İNDİRİMİ KES","TUT")))</f>
        <v/>
      </c>
      <c r="Q203" s="16">
        <f>IF($A203="","",IFERROR(SUMIF(tblAnahtarB[NormB],$A203,tblVeriB[Roas]),0))</f>
        <v/>
      </c>
      <c r="R203" s="16">
        <f>IF($A203="","",IF(OR(IFERROR(INDEX(tblVeriA[YorumAB],MATCH($A203,tblAnahtarA[Norm],0)),"")="B",IFERROR(INDEX(tblVeriA[Durum],MATCH($A203,tblAnahtarA[Norm],0)),"")="Kampanya"),1,0))</f>
        <v/>
      </c>
      <c r="S203" s="16">
        <f>IF($A203="","",$J203-$E203)</f>
        <v/>
      </c>
      <c r="T203" s="16">
        <f>IF($A203="","",$K203-$O203)</f>
        <v/>
      </c>
    </row>
    <row r="204">
      <c r="A204" s="16">
        <f>IF('ANAHTAR'!$B204="","",'ANAHTAR'!$B204)</f>
        <v/>
      </c>
      <c r="B204" s="16">
        <f>IF($A204="","",IFERROR(SUMIF(tblAnahtarA[Norm],$A204,tblVeriA[SatisFiyati]),0))</f>
        <v/>
      </c>
      <c r="C204" s="16">
        <f>IF($A204="","",IFERROR(SUMIF(tblAnahtarA[Norm],$A204,tblVeriA[Maliyet]),0))</f>
        <v/>
      </c>
      <c r="D204" s="16">
        <f>IF($A204="","",IFERROR(SUMIF(tblAnahtarB[NormB],$A204,tblVeriB[KomisyonOran]),0))</f>
        <v/>
      </c>
      <c r="E204" s="16">
        <f>IF($A204="","",ROUND($B204*$D204,2))</f>
        <v/>
      </c>
      <c r="F204" s="16">
        <f>IF($A204="","",IFERROR(SUMIF(tblAnahtarB[NormB],$A204,tblVeriB[Kargo]),0))</f>
        <v/>
      </c>
      <c r="G204" s="16">
        <f>IF($A204="","",IFERROR(SUMIF(tblAnahtarB[NormB],$A204,tblVeriB[IadeOran]),0))</f>
        <v/>
      </c>
      <c r="H204" s="16">
        <f>IF($A204="","",ROUND($B204*$G204,2))</f>
        <v/>
      </c>
      <c r="I204" s="16">
        <f>IF($A204="","",IFERROR(SUMIF(tblAnahtarB[NormB],$A204,tblVeriB[ReklamTutar]),0))</f>
        <v/>
      </c>
      <c r="J204" s="16">
        <f>IF($A204="","",ROUND($B204-$C204,2))</f>
        <v/>
      </c>
      <c r="K204" s="16">
        <f>IF($A204="","",ROUND($B204-$C204-$E204-$F204-$H204-$I204,2))</f>
        <v/>
      </c>
      <c r="L204" s="16">
        <f>IF(OR($A204="",$B204=0),0,$K204/$B204)</f>
        <v/>
      </c>
      <c r="M204" s="16">
        <f>IF($A204="","",IF((1-$D204-$G204)&lt;=0,0,ROUND(($C204+$F204+$I204)/(1-$D204-$G204),2)))</f>
        <v/>
      </c>
      <c r="N204" s="16">
        <f>IF($A204="","",IFERROR(SUMIF(tblAnahtarA[Norm],$A204,tblVeriA[HedefNet]),0))</f>
        <v/>
      </c>
      <c r="O204" s="16">
        <f>IF($A204="","",ROUND($K204-$N204,2))</f>
        <v/>
      </c>
      <c r="P204" s="16">
        <f>IF($A204="","",IF($L204&lt;egk_esikKatkiDusuk,"ZAM YAP",IF(AND($R204=1,$L204&lt;egk_esikKatkiHedef),"İNDİRİMİ KES","TUT")))</f>
        <v/>
      </c>
      <c r="Q204" s="16">
        <f>IF($A204="","",IFERROR(SUMIF(tblAnahtarB[NormB],$A204,tblVeriB[Roas]),0))</f>
        <v/>
      </c>
      <c r="R204" s="16">
        <f>IF($A204="","",IF(OR(IFERROR(INDEX(tblVeriA[YorumAB],MATCH($A204,tblAnahtarA[Norm],0)),"")="B",IFERROR(INDEX(tblVeriA[Durum],MATCH($A204,tblAnahtarA[Norm],0)),"")="Kampanya"),1,0))</f>
        <v/>
      </c>
      <c r="S204" s="16">
        <f>IF($A204="","",$J204-$E204)</f>
        <v/>
      </c>
      <c r="T204" s="16">
        <f>IF($A204="","",$K204-$O204)</f>
        <v/>
      </c>
    </row>
    <row r="205">
      <c r="A205" s="16">
        <f>IF('ANAHTAR'!$B205="","",'ANAHTAR'!$B205)</f>
        <v/>
      </c>
      <c r="B205" s="16">
        <f>IF($A205="","",IFERROR(SUMIF(tblAnahtarA[Norm],$A205,tblVeriA[SatisFiyati]),0))</f>
        <v/>
      </c>
      <c r="C205" s="16">
        <f>IF($A205="","",IFERROR(SUMIF(tblAnahtarA[Norm],$A205,tblVeriA[Maliyet]),0))</f>
        <v/>
      </c>
      <c r="D205" s="16">
        <f>IF($A205="","",IFERROR(SUMIF(tblAnahtarB[NormB],$A205,tblVeriB[KomisyonOran]),0))</f>
        <v/>
      </c>
      <c r="E205" s="16">
        <f>IF($A205="","",ROUND($B205*$D205,2))</f>
        <v/>
      </c>
      <c r="F205" s="16">
        <f>IF($A205="","",IFERROR(SUMIF(tblAnahtarB[NormB],$A205,tblVeriB[Kargo]),0))</f>
        <v/>
      </c>
      <c r="G205" s="16">
        <f>IF($A205="","",IFERROR(SUMIF(tblAnahtarB[NormB],$A205,tblVeriB[IadeOran]),0))</f>
        <v/>
      </c>
      <c r="H205" s="16">
        <f>IF($A205="","",ROUND($B205*$G205,2))</f>
        <v/>
      </c>
      <c r="I205" s="16">
        <f>IF($A205="","",IFERROR(SUMIF(tblAnahtarB[NormB],$A205,tblVeriB[ReklamTutar]),0))</f>
        <v/>
      </c>
      <c r="J205" s="16">
        <f>IF($A205="","",ROUND($B205-$C205,2))</f>
        <v/>
      </c>
      <c r="K205" s="16">
        <f>IF($A205="","",ROUND($B205-$C205-$E205-$F205-$H205-$I205,2))</f>
        <v/>
      </c>
      <c r="L205" s="16">
        <f>IF(OR($A205="",$B205=0),0,$K205/$B205)</f>
        <v/>
      </c>
      <c r="M205" s="16">
        <f>IF($A205="","",IF((1-$D205-$G205)&lt;=0,0,ROUND(($C205+$F205+$I205)/(1-$D205-$G205),2)))</f>
        <v/>
      </c>
      <c r="N205" s="16">
        <f>IF($A205="","",IFERROR(SUMIF(tblAnahtarA[Norm],$A205,tblVeriA[HedefNet]),0))</f>
        <v/>
      </c>
      <c r="O205" s="16">
        <f>IF($A205="","",ROUND($K205-$N205,2))</f>
        <v/>
      </c>
      <c r="P205" s="16">
        <f>IF($A205="","",IF($L205&lt;egk_esikKatkiDusuk,"ZAM YAP",IF(AND($R205=1,$L205&lt;egk_esikKatkiHedef),"İNDİRİMİ KES","TUT")))</f>
        <v/>
      </c>
      <c r="Q205" s="16">
        <f>IF($A205="","",IFERROR(SUMIF(tblAnahtarB[NormB],$A205,tblVeriB[Roas]),0))</f>
        <v/>
      </c>
      <c r="R205" s="16">
        <f>IF($A205="","",IF(OR(IFERROR(INDEX(tblVeriA[YorumAB],MATCH($A205,tblAnahtarA[Norm],0)),"")="B",IFERROR(INDEX(tblVeriA[Durum],MATCH($A205,tblAnahtarA[Norm],0)),"")="Kampanya"),1,0))</f>
        <v/>
      </c>
      <c r="S205" s="16">
        <f>IF($A205="","",$J205-$E205)</f>
        <v/>
      </c>
      <c r="T205" s="16">
        <f>IF($A205="","",$K205-$O205)</f>
        <v/>
      </c>
    </row>
    <row r="206">
      <c r="A206" s="16">
        <f>IF('ANAHTAR'!$B206="","",'ANAHTAR'!$B206)</f>
        <v/>
      </c>
      <c r="B206" s="16">
        <f>IF($A206="","",IFERROR(SUMIF(tblAnahtarA[Norm],$A206,tblVeriA[SatisFiyati]),0))</f>
        <v/>
      </c>
      <c r="C206" s="16">
        <f>IF($A206="","",IFERROR(SUMIF(tblAnahtarA[Norm],$A206,tblVeriA[Maliyet]),0))</f>
        <v/>
      </c>
      <c r="D206" s="16">
        <f>IF($A206="","",IFERROR(SUMIF(tblAnahtarB[NormB],$A206,tblVeriB[KomisyonOran]),0))</f>
        <v/>
      </c>
      <c r="E206" s="16">
        <f>IF($A206="","",ROUND($B206*$D206,2))</f>
        <v/>
      </c>
      <c r="F206" s="16">
        <f>IF($A206="","",IFERROR(SUMIF(tblAnahtarB[NormB],$A206,tblVeriB[Kargo]),0))</f>
        <v/>
      </c>
      <c r="G206" s="16">
        <f>IF($A206="","",IFERROR(SUMIF(tblAnahtarB[NormB],$A206,tblVeriB[IadeOran]),0))</f>
        <v/>
      </c>
      <c r="H206" s="16">
        <f>IF($A206="","",ROUND($B206*$G206,2))</f>
        <v/>
      </c>
      <c r="I206" s="16">
        <f>IF($A206="","",IFERROR(SUMIF(tblAnahtarB[NormB],$A206,tblVeriB[ReklamTutar]),0))</f>
        <v/>
      </c>
      <c r="J206" s="16">
        <f>IF($A206="","",ROUND($B206-$C206,2))</f>
        <v/>
      </c>
      <c r="K206" s="16">
        <f>IF($A206="","",ROUND($B206-$C206-$E206-$F206-$H206-$I206,2))</f>
        <v/>
      </c>
      <c r="L206" s="16">
        <f>IF(OR($A206="",$B206=0),0,$K206/$B206)</f>
        <v/>
      </c>
      <c r="M206" s="16">
        <f>IF($A206="","",IF((1-$D206-$G206)&lt;=0,0,ROUND(($C206+$F206+$I206)/(1-$D206-$G206),2)))</f>
        <v/>
      </c>
      <c r="N206" s="16">
        <f>IF($A206="","",IFERROR(SUMIF(tblAnahtarA[Norm],$A206,tblVeriA[HedefNet]),0))</f>
        <v/>
      </c>
      <c r="O206" s="16">
        <f>IF($A206="","",ROUND($K206-$N206,2))</f>
        <v/>
      </c>
      <c r="P206" s="16">
        <f>IF($A206="","",IF($L206&lt;egk_esikKatkiDusuk,"ZAM YAP",IF(AND($R206=1,$L206&lt;egk_esikKatkiHedef),"İNDİRİMİ KES","TUT")))</f>
        <v/>
      </c>
      <c r="Q206" s="16">
        <f>IF($A206="","",IFERROR(SUMIF(tblAnahtarB[NormB],$A206,tblVeriB[Roas]),0))</f>
        <v/>
      </c>
      <c r="R206" s="16">
        <f>IF($A206="","",IF(OR(IFERROR(INDEX(tblVeriA[YorumAB],MATCH($A206,tblAnahtarA[Norm],0)),"")="B",IFERROR(INDEX(tblVeriA[Durum],MATCH($A206,tblAnahtarA[Norm],0)),"")="Kampanya"),1,0))</f>
        <v/>
      </c>
      <c r="S206" s="16">
        <f>IF($A206="","",$J206-$E206)</f>
        <v/>
      </c>
      <c r="T206" s="16">
        <f>IF($A206="","",$K206-$O206)</f>
        <v/>
      </c>
    </row>
    <row r="207">
      <c r="A207" s="16">
        <f>IF('ANAHTAR'!$B207="","",'ANAHTAR'!$B207)</f>
        <v/>
      </c>
      <c r="B207" s="16">
        <f>IF($A207="","",IFERROR(SUMIF(tblAnahtarA[Norm],$A207,tblVeriA[SatisFiyati]),0))</f>
        <v/>
      </c>
      <c r="C207" s="16">
        <f>IF($A207="","",IFERROR(SUMIF(tblAnahtarA[Norm],$A207,tblVeriA[Maliyet]),0))</f>
        <v/>
      </c>
      <c r="D207" s="16">
        <f>IF($A207="","",IFERROR(SUMIF(tblAnahtarB[NormB],$A207,tblVeriB[KomisyonOran]),0))</f>
        <v/>
      </c>
      <c r="E207" s="16">
        <f>IF($A207="","",ROUND($B207*$D207,2))</f>
        <v/>
      </c>
      <c r="F207" s="16">
        <f>IF($A207="","",IFERROR(SUMIF(tblAnahtarB[NormB],$A207,tblVeriB[Kargo]),0))</f>
        <v/>
      </c>
      <c r="G207" s="16">
        <f>IF($A207="","",IFERROR(SUMIF(tblAnahtarB[NormB],$A207,tblVeriB[IadeOran]),0))</f>
        <v/>
      </c>
      <c r="H207" s="16">
        <f>IF($A207="","",ROUND($B207*$G207,2))</f>
        <v/>
      </c>
      <c r="I207" s="16">
        <f>IF($A207="","",IFERROR(SUMIF(tblAnahtarB[NormB],$A207,tblVeriB[ReklamTutar]),0))</f>
        <v/>
      </c>
      <c r="J207" s="16">
        <f>IF($A207="","",ROUND($B207-$C207,2))</f>
        <v/>
      </c>
      <c r="K207" s="16">
        <f>IF($A207="","",ROUND($B207-$C207-$E207-$F207-$H207-$I207,2))</f>
        <v/>
      </c>
      <c r="L207" s="16">
        <f>IF(OR($A207="",$B207=0),0,$K207/$B207)</f>
        <v/>
      </c>
      <c r="M207" s="16">
        <f>IF($A207="","",IF((1-$D207-$G207)&lt;=0,0,ROUND(($C207+$F207+$I207)/(1-$D207-$G207),2)))</f>
        <v/>
      </c>
      <c r="N207" s="16">
        <f>IF($A207="","",IFERROR(SUMIF(tblAnahtarA[Norm],$A207,tblVeriA[HedefNet]),0))</f>
        <v/>
      </c>
      <c r="O207" s="16">
        <f>IF($A207="","",ROUND($K207-$N207,2))</f>
        <v/>
      </c>
      <c r="P207" s="16">
        <f>IF($A207="","",IF($L207&lt;egk_esikKatkiDusuk,"ZAM YAP",IF(AND($R207=1,$L207&lt;egk_esikKatkiHedef),"İNDİRİMİ KES","TUT")))</f>
        <v/>
      </c>
      <c r="Q207" s="16">
        <f>IF($A207="","",IFERROR(SUMIF(tblAnahtarB[NormB],$A207,tblVeriB[Roas]),0))</f>
        <v/>
      </c>
      <c r="R207" s="16">
        <f>IF($A207="","",IF(OR(IFERROR(INDEX(tblVeriA[YorumAB],MATCH($A207,tblAnahtarA[Norm],0)),"")="B",IFERROR(INDEX(tblVeriA[Durum],MATCH($A207,tblAnahtarA[Norm],0)),"")="Kampanya"),1,0))</f>
        <v/>
      </c>
      <c r="S207" s="16">
        <f>IF($A207="","",$J207-$E207)</f>
        <v/>
      </c>
      <c r="T207" s="16">
        <f>IF($A207="","",$K207-$O207)</f>
        <v/>
      </c>
    </row>
    <row r="208">
      <c r="A208" s="16">
        <f>IF('ANAHTAR'!$B208="","",'ANAHTAR'!$B208)</f>
        <v/>
      </c>
      <c r="B208" s="16">
        <f>IF($A208="","",IFERROR(SUMIF(tblAnahtarA[Norm],$A208,tblVeriA[SatisFiyati]),0))</f>
        <v/>
      </c>
      <c r="C208" s="16">
        <f>IF($A208="","",IFERROR(SUMIF(tblAnahtarA[Norm],$A208,tblVeriA[Maliyet]),0))</f>
        <v/>
      </c>
      <c r="D208" s="16">
        <f>IF($A208="","",IFERROR(SUMIF(tblAnahtarB[NormB],$A208,tblVeriB[KomisyonOran]),0))</f>
        <v/>
      </c>
      <c r="E208" s="16">
        <f>IF($A208="","",ROUND($B208*$D208,2))</f>
        <v/>
      </c>
      <c r="F208" s="16">
        <f>IF($A208="","",IFERROR(SUMIF(tblAnahtarB[NormB],$A208,tblVeriB[Kargo]),0))</f>
        <v/>
      </c>
      <c r="G208" s="16">
        <f>IF($A208="","",IFERROR(SUMIF(tblAnahtarB[NormB],$A208,tblVeriB[IadeOran]),0))</f>
        <v/>
      </c>
      <c r="H208" s="16">
        <f>IF($A208="","",ROUND($B208*$G208,2))</f>
        <v/>
      </c>
      <c r="I208" s="16">
        <f>IF($A208="","",IFERROR(SUMIF(tblAnahtarB[NormB],$A208,tblVeriB[ReklamTutar]),0))</f>
        <v/>
      </c>
      <c r="J208" s="16">
        <f>IF($A208="","",ROUND($B208-$C208,2))</f>
        <v/>
      </c>
      <c r="K208" s="16">
        <f>IF($A208="","",ROUND($B208-$C208-$E208-$F208-$H208-$I208,2))</f>
        <v/>
      </c>
      <c r="L208" s="16">
        <f>IF(OR($A208="",$B208=0),0,$K208/$B208)</f>
        <v/>
      </c>
      <c r="M208" s="16">
        <f>IF($A208="","",IF((1-$D208-$G208)&lt;=0,0,ROUND(($C208+$F208+$I208)/(1-$D208-$G208),2)))</f>
        <v/>
      </c>
      <c r="N208" s="16">
        <f>IF($A208="","",IFERROR(SUMIF(tblAnahtarA[Norm],$A208,tblVeriA[HedefNet]),0))</f>
        <v/>
      </c>
      <c r="O208" s="16">
        <f>IF($A208="","",ROUND($K208-$N208,2))</f>
        <v/>
      </c>
      <c r="P208" s="16">
        <f>IF($A208="","",IF($L208&lt;egk_esikKatkiDusuk,"ZAM YAP",IF(AND($R208=1,$L208&lt;egk_esikKatkiHedef),"İNDİRİMİ KES","TUT")))</f>
        <v/>
      </c>
      <c r="Q208" s="16">
        <f>IF($A208="","",IFERROR(SUMIF(tblAnahtarB[NormB],$A208,tblVeriB[Roas]),0))</f>
        <v/>
      </c>
      <c r="R208" s="16">
        <f>IF($A208="","",IF(OR(IFERROR(INDEX(tblVeriA[YorumAB],MATCH($A208,tblAnahtarA[Norm],0)),"")="B",IFERROR(INDEX(tblVeriA[Durum],MATCH($A208,tblAnahtarA[Norm],0)),"")="Kampanya"),1,0))</f>
        <v/>
      </c>
      <c r="S208" s="16">
        <f>IF($A208="","",$J208-$E208)</f>
        <v/>
      </c>
      <c r="T208" s="16">
        <f>IF($A208="","",$K208-$O208)</f>
        <v/>
      </c>
    </row>
    <row r="209">
      <c r="A209" s="16">
        <f>IF('ANAHTAR'!$B209="","",'ANAHTAR'!$B209)</f>
        <v/>
      </c>
      <c r="B209" s="16">
        <f>IF($A209="","",IFERROR(SUMIF(tblAnahtarA[Norm],$A209,tblVeriA[SatisFiyati]),0))</f>
        <v/>
      </c>
      <c r="C209" s="16">
        <f>IF($A209="","",IFERROR(SUMIF(tblAnahtarA[Norm],$A209,tblVeriA[Maliyet]),0))</f>
        <v/>
      </c>
      <c r="D209" s="16">
        <f>IF($A209="","",IFERROR(SUMIF(tblAnahtarB[NormB],$A209,tblVeriB[KomisyonOran]),0))</f>
        <v/>
      </c>
      <c r="E209" s="16">
        <f>IF($A209="","",ROUND($B209*$D209,2))</f>
        <v/>
      </c>
      <c r="F209" s="16">
        <f>IF($A209="","",IFERROR(SUMIF(tblAnahtarB[NormB],$A209,tblVeriB[Kargo]),0))</f>
        <v/>
      </c>
      <c r="G209" s="16">
        <f>IF($A209="","",IFERROR(SUMIF(tblAnahtarB[NormB],$A209,tblVeriB[IadeOran]),0))</f>
        <v/>
      </c>
      <c r="H209" s="16">
        <f>IF($A209="","",ROUND($B209*$G209,2))</f>
        <v/>
      </c>
      <c r="I209" s="16">
        <f>IF($A209="","",IFERROR(SUMIF(tblAnahtarB[NormB],$A209,tblVeriB[ReklamTutar]),0))</f>
        <v/>
      </c>
      <c r="J209" s="16">
        <f>IF($A209="","",ROUND($B209-$C209,2))</f>
        <v/>
      </c>
      <c r="K209" s="16">
        <f>IF($A209="","",ROUND($B209-$C209-$E209-$F209-$H209-$I209,2))</f>
        <v/>
      </c>
      <c r="L209" s="16">
        <f>IF(OR($A209="",$B209=0),0,$K209/$B209)</f>
        <v/>
      </c>
      <c r="M209" s="16">
        <f>IF($A209="","",IF((1-$D209-$G209)&lt;=0,0,ROUND(($C209+$F209+$I209)/(1-$D209-$G209),2)))</f>
        <v/>
      </c>
      <c r="N209" s="16">
        <f>IF($A209="","",IFERROR(SUMIF(tblAnahtarA[Norm],$A209,tblVeriA[HedefNet]),0))</f>
        <v/>
      </c>
      <c r="O209" s="16">
        <f>IF($A209="","",ROUND($K209-$N209,2))</f>
        <v/>
      </c>
      <c r="P209" s="16">
        <f>IF($A209="","",IF($L209&lt;egk_esikKatkiDusuk,"ZAM YAP",IF(AND($R209=1,$L209&lt;egk_esikKatkiHedef),"İNDİRİMİ KES","TUT")))</f>
        <v/>
      </c>
      <c r="Q209" s="16">
        <f>IF($A209="","",IFERROR(SUMIF(tblAnahtarB[NormB],$A209,tblVeriB[Roas]),0))</f>
        <v/>
      </c>
      <c r="R209" s="16">
        <f>IF($A209="","",IF(OR(IFERROR(INDEX(tblVeriA[YorumAB],MATCH($A209,tblAnahtarA[Norm],0)),"")="B",IFERROR(INDEX(tblVeriA[Durum],MATCH($A209,tblAnahtarA[Norm],0)),"")="Kampanya"),1,0))</f>
        <v/>
      </c>
      <c r="S209" s="16">
        <f>IF($A209="","",$J209-$E209)</f>
        <v/>
      </c>
      <c r="T209" s="16">
        <f>IF($A209="","",$K209-$O209)</f>
        <v/>
      </c>
    </row>
    <row r="210">
      <c r="A210" s="16">
        <f>IF('ANAHTAR'!$B210="","",'ANAHTAR'!$B210)</f>
        <v/>
      </c>
      <c r="B210" s="16">
        <f>IF($A210="","",IFERROR(SUMIF(tblAnahtarA[Norm],$A210,tblVeriA[SatisFiyati]),0))</f>
        <v/>
      </c>
      <c r="C210" s="16">
        <f>IF($A210="","",IFERROR(SUMIF(tblAnahtarA[Norm],$A210,tblVeriA[Maliyet]),0))</f>
        <v/>
      </c>
      <c r="D210" s="16">
        <f>IF($A210="","",IFERROR(SUMIF(tblAnahtarB[NormB],$A210,tblVeriB[KomisyonOran]),0))</f>
        <v/>
      </c>
      <c r="E210" s="16">
        <f>IF($A210="","",ROUND($B210*$D210,2))</f>
        <v/>
      </c>
      <c r="F210" s="16">
        <f>IF($A210="","",IFERROR(SUMIF(tblAnahtarB[NormB],$A210,tblVeriB[Kargo]),0))</f>
        <v/>
      </c>
      <c r="G210" s="16">
        <f>IF($A210="","",IFERROR(SUMIF(tblAnahtarB[NormB],$A210,tblVeriB[IadeOran]),0))</f>
        <v/>
      </c>
      <c r="H210" s="16">
        <f>IF($A210="","",ROUND($B210*$G210,2))</f>
        <v/>
      </c>
      <c r="I210" s="16">
        <f>IF($A210="","",IFERROR(SUMIF(tblAnahtarB[NormB],$A210,tblVeriB[ReklamTutar]),0))</f>
        <v/>
      </c>
      <c r="J210" s="16">
        <f>IF($A210="","",ROUND($B210-$C210,2))</f>
        <v/>
      </c>
      <c r="K210" s="16">
        <f>IF($A210="","",ROUND($B210-$C210-$E210-$F210-$H210-$I210,2))</f>
        <v/>
      </c>
      <c r="L210" s="16">
        <f>IF(OR($A210="",$B210=0),0,$K210/$B210)</f>
        <v/>
      </c>
      <c r="M210" s="16">
        <f>IF($A210="","",IF((1-$D210-$G210)&lt;=0,0,ROUND(($C210+$F210+$I210)/(1-$D210-$G210),2)))</f>
        <v/>
      </c>
      <c r="N210" s="16">
        <f>IF($A210="","",IFERROR(SUMIF(tblAnahtarA[Norm],$A210,tblVeriA[HedefNet]),0))</f>
        <v/>
      </c>
      <c r="O210" s="16">
        <f>IF($A210="","",ROUND($K210-$N210,2))</f>
        <v/>
      </c>
      <c r="P210" s="16">
        <f>IF($A210="","",IF($L210&lt;egk_esikKatkiDusuk,"ZAM YAP",IF(AND($R210=1,$L210&lt;egk_esikKatkiHedef),"İNDİRİMİ KES","TUT")))</f>
        <v/>
      </c>
      <c r="Q210" s="16">
        <f>IF($A210="","",IFERROR(SUMIF(tblAnahtarB[NormB],$A210,tblVeriB[Roas]),0))</f>
        <v/>
      </c>
      <c r="R210" s="16">
        <f>IF($A210="","",IF(OR(IFERROR(INDEX(tblVeriA[YorumAB],MATCH($A210,tblAnahtarA[Norm],0)),"")="B",IFERROR(INDEX(tblVeriA[Durum],MATCH($A210,tblAnahtarA[Norm],0)),"")="Kampanya"),1,0))</f>
        <v/>
      </c>
      <c r="S210" s="16">
        <f>IF($A210="","",$J210-$E210)</f>
        <v/>
      </c>
      <c r="T210" s="16">
        <f>IF($A210="","",$K210-$O210)</f>
        <v/>
      </c>
    </row>
    <row r="211">
      <c r="A211" s="16">
        <f>IF('ANAHTAR'!$B211="","",'ANAHTAR'!$B211)</f>
        <v/>
      </c>
      <c r="B211" s="16">
        <f>IF($A211="","",IFERROR(SUMIF(tblAnahtarA[Norm],$A211,tblVeriA[SatisFiyati]),0))</f>
        <v/>
      </c>
      <c r="C211" s="16">
        <f>IF($A211="","",IFERROR(SUMIF(tblAnahtarA[Norm],$A211,tblVeriA[Maliyet]),0))</f>
        <v/>
      </c>
      <c r="D211" s="16">
        <f>IF($A211="","",IFERROR(SUMIF(tblAnahtarB[NormB],$A211,tblVeriB[KomisyonOran]),0))</f>
        <v/>
      </c>
      <c r="E211" s="16">
        <f>IF($A211="","",ROUND($B211*$D211,2))</f>
        <v/>
      </c>
      <c r="F211" s="16">
        <f>IF($A211="","",IFERROR(SUMIF(tblAnahtarB[NormB],$A211,tblVeriB[Kargo]),0))</f>
        <v/>
      </c>
      <c r="G211" s="16">
        <f>IF($A211="","",IFERROR(SUMIF(tblAnahtarB[NormB],$A211,tblVeriB[IadeOran]),0))</f>
        <v/>
      </c>
      <c r="H211" s="16">
        <f>IF($A211="","",ROUND($B211*$G211,2))</f>
        <v/>
      </c>
      <c r="I211" s="16">
        <f>IF($A211="","",IFERROR(SUMIF(tblAnahtarB[NormB],$A211,tblVeriB[ReklamTutar]),0))</f>
        <v/>
      </c>
      <c r="J211" s="16">
        <f>IF($A211="","",ROUND($B211-$C211,2))</f>
        <v/>
      </c>
      <c r="K211" s="16">
        <f>IF($A211="","",ROUND($B211-$C211-$E211-$F211-$H211-$I211,2))</f>
        <v/>
      </c>
      <c r="L211" s="16">
        <f>IF(OR($A211="",$B211=0),0,$K211/$B211)</f>
        <v/>
      </c>
      <c r="M211" s="16">
        <f>IF($A211="","",IF((1-$D211-$G211)&lt;=0,0,ROUND(($C211+$F211+$I211)/(1-$D211-$G211),2)))</f>
        <v/>
      </c>
      <c r="N211" s="16">
        <f>IF($A211="","",IFERROR(SUMIF(tblAnahtarA[Norm],$A211,tblVeriA[HedefNet]),0))</f>
        <v/>
      </c>
      <c r="O211" s="16">
        <f>IF($A211="","",ROUND($K211-$N211,2))</f>
        <v/>
      </c>
      <c r="P211" s="16">
        <f>IF($A211="","",IF($L211&lt;egk_esikKatkiDusuk,"ZAM YAP",IF(AND($R211=1,$L211&lt;egk_esikKatkiHedef),"İNDİRİMİ KES","TUT")))</f>
        <v/>
      </c>
      <c r="Q211" s="16">
        <f>IF($A211="","",IFERROR(SUMIF(tblAnahtarB[NormB],$A211,tblVeriB[Roas]),0))</f>
        <v/>
      </c>
      <c r="R211" s="16">
        <f>IF($A211="","",IF(OR(IFERROR(INDEX(tblVeriA[YorumAB],MATCH($A211,tblAnahtarA[Norm],0)),"")="B",IFERROR(INDEX(tblVeriA[Durum],MATCH($A211,tblAnahtarA[Norm],0)),"")="Kampanya"),1,0))</f>
        <v/>
      </c>
      <c r="S211" s="16">
        <f>IF($A211="","",$J211-$E211)</f>
        <v/>
      </c>
      <c r="T211" s="16">
        <f>IF($A211="","",$K211-$O211)</f>
        <v/>
      </c>
    </row>
    <row r="212">
      <c r="A212" s="16">
        <f>IF('ANAHTAR'!$B212="","",'ANAHTAR'!$B212)</f>
        <v/>
      </c>
      <c r="B212" s="16">
        <f>IF($A212="","",IFERROR(SUMIF(tblAnahtarA[Norm],$A212,tblVeriA[SatisFiyati]),0))</f>
        <v/>
      </c>
      <c r="C212" s="16">
        <f>IF($A212="","",IFERROR(SUMIF(tblAnahtarA[Norm],$A212,tblVeriA[Maliyet]),0))</f>
        <v/>
      </c>
      <c r="D212" s="16">
        <f>IF($A212="","",IFERROR(SUMIF(tblAnahtarB[NormB],$A212,tblVeriB[KomisyonOran]),0))</f>
        <v/>
      </c>
      <c r="E212" s="16">
        <f>IF($A212="","",ROUND($B212*$D212,2))</f>
        <v/>
      </c>
      <c r="F212" s="16">
        <f>IF($A212="","",IFERROR(SUMIF(tblAnahtarB[NormB],$A212,tblVeriB[Kargo]),0))</f>
        <v/>
      </c>
      <c r="G212" s="16">
        <f>IF($A212="","",IFERROR(SUMIF(tblAnahtarB[NormB],$A212,tblVeriB[IadeOran]),0))</f>
        <v/>
      </c>
      <c r="H212" s="16">
        <f>IF($A212="","",ROUND($B212*$G212,2))</f>
        <v/>
      </c>
      <c r="I212" s="16">
        <f>IF($A212="","",IFERROR(SUMIF(tblAnahtarB[NormB],$A212,tblVeriB[ReklamTutar]),0))</f>
        <v/>
      </c>
      <c r="J212" s="16">
        <f>IF($A212="","",ROUND($B212-$C212,2))</f>
        <v/>
      </c>
      <c r="K212" s="16">
        <f>IF($A212="","",ROUND($B212-$C212-$E212-$F212-$H212-$I212,2))</f>
        <v/>
      </c>
      <c r="L212" s="16">
        <f>IF(OR($A212="",$B212=0),0,$K212/$B212)</f>
        <v/>
      </c>
      <c r="M212" s="16">
        <f>IF($A212="","",IF((1-$D212-$G212)&lt;=0,0,ROUND(($C212+$F212+$I212)/(1-$D212-$G212),2)))</f>
        <v/>
      </c>
      <c r="N212" s="16">
        <f>IF($A212="","",IFERROR(SUMIF(tblAnahtarA[Norm],$A212,tblVeriA[HedefNet]),0))</f>
        <v/>
      </c>
      <c r="O212" s="16">
        <f>IF($A212="","",ROUND($K212-$N212,2))</f>
        <v/>
      </c>
      <c r="P212" s="16">
        <f>IF($A212="","",IF($L212&lt;egk_esikKatkiDusuk,"ZAM YAP",IF(AND($R212=1,$L212&lt;egk_esikKatkiHedef),"İNDİRİMİ KES","TUT")))</f>
        <v/>
      </c>
      <c r="Q212" s="16">
        <f>IF($A212="","",IFERROR(SUMIF(tblAnahtarB[NormB],$A212,tblVeriB[Roas]),0))</f>
        <v/>
      </c>
      <c r="R212" s="16">
        <f>IF($A212="","",IF(OR(IFERROR(INDEX(tblVeriA[YorumAB],MATCH($A212,tblAnahtarA[Norm],0)),"")="B",IFERROR(INDEX(tblVeriA[Durum],MATCH($A212,tblAnahtarA[Norm],0)),"")="Kampanya"),1,0))</f>
        <v/>
      </c>
      <c r="S212" s="16">
        <f>IF($A212="","",$J212-$E212)</f>
        <v/>
      </c>
      <c r="T212" s="16">
        <f>IF($A212="","",$K212-$O212)</f>
        <v/>
      </c>
    </row>
    <row r="213">
      <c r="A213" s="16">
        <f>IF('ANAHTAR'!$B213="","",'ANAHTAR'!$B213)</f>
        <v/>
      </c>
      <c r="B213" s="16">
        <f>IF($A213="","",IFERROR(SUMIF(tblAnahtarA[Norm],$A213,tblVeriA[SatisFiyati]),0))</f>
        <v/>
      </c>
      <c r="C213" s="16">
        <f>IF($A213="","",IFERROR(SUMIF(tblAnahtarA[Norm],$A213,tblVeriA[Maliyet]),0))</f>
        <v/>
      </c>
      <c r="D213" s="16">
        <f>IF($A213="","",IFERROR(SUMIF(tblAnahtarB[NormB],$A213,tblVeriB[KomisyonOran]),0))</f>
        <v/>
      </c>
      <c r="E213" s="16">
        <f>IF($A213="","",ROUND($B213*$D213,2))</f>
        <v/>
      </c>
      <c r="F213" s="16">
        <f>IF($A213="","",IFERROR(SUMIF(tblAnahtarB[NormB],$A213,tblVeriB[Kargo]),0))</f>
        <v/>
      </c>
      <c r="G213" s="16">
        <f>IF($A213="","",IFERROR(SUMIF(tblAnahtarB[NormB],$A213,tblVeriB[IadeOran]),0))</f>
        <v/>
      </c>
      <c r="H213" s="16">
        <f>IF($A213="","",ROUND($B213*$G213,2))</f>
        <v/>
      </c>
      <c r="I213" s="16">
        <f>IF($A213="","",IFERROR(SUMIF(tblAnahtarB[NormB],$A213,tblVeriB[ReklamTutar]),0))</f>
        <v/>
      </c>
      <c r="J213" s="16">
        <f>IF($A213="","",ROUND($B213-$C213,2))</f>
        <v/>
      </c>
      <c r="K213" s="16">
        <f>IF($A213="","",ROUND($B213-$C213-$E213-$F213-$H213-$I213,2))</f>
        <v/>
      </c>
      <c r="L213" s="16">
        <f>IF(OR($A213="",$B213=0),0,$K213/$B213)</f>
        <v/>
      </c>
      <c r="M213" s="16">
        <f>IF($A213="","",IF((1-$D213-$G213)&lt;=0,0,ROUND(($C213+$F213+$I213)/(1-$D213-$G213),2)))</f>
        <v/>
      </c>
      <c r="N213" s="16">
        <f>IF($A213="","",IFERROR(SUMIF(tblAnahtarA[Norm],$A213,tblVeriA[HedefNet]),0))</f>
        <v/>
      </c>
      <c r="O213" s="16">
        <f>IF($A213="","",ROUND($K213-$N213,2))</f>
        <v/>
      </c>
      <c r="P213" s="16">
        <f>IF($A213="","",IF($L213&lt;egk_esikKatkiDusuk,"ZAM YAP",IF(AND($R213=1,$L213&lt;egk_esikKatkiHedef),"İNDİRİMİ KES","TUT")))</f>
        <v/>
      </c>
      <c r="Q213" s="16">
        <f>IF($A213="","",IFERROR(SUMIF(tblAnahtarB[NormB],$A213,tblVeriB[Roas]),0))</f>
        <v/>
      </c>
      <c r="R213" s="16">
        <f>IF($A213="","",IF(OR(IFERROR(INDEX(tblVeriA[YorumAB],MATCH($A213,tblAnahtarA[Norm],0)),"")="B",IFERROR(INDEX(tblVeriA[Durum],MATCH($A213,tblAnahtarA[Norm],0)),"")="Kampanya"),1,0))</f>
        <v/>
      </c>
      <c r="S213" s="16">
        <f>IF($A213="","",$J213-$E213)</f>
        <v/>
      </c>
      <c r="T213" s="16">
        <f>IF($A213="","",$K213-$O213)</f>
        <v/>
      </c>
    </row>
    <row r="214">
      <c r="A214" s="16">
        <f>IF('ANAHTAR'!$B214="","",'ANAHTAR'!$B214)</f>
        <v/>
      </c>
      <c r="B214" s="16">
        <f>IF($A214="","",IFERROR(SUMIF(tblAnahtarA[Norm],$A214,tblVeriA[SatisFiyati]),0))</f>
        <v/>
      </c>
      <c r="C214" s="16">
        <f>IF($A214="","",IFERROR(SUMIF(tblAnahtarA[Norm],$A214,tblVeriA[Maliyet]),0))</f>
        <v/>
      </c>
      <c r="D214" s="16">
        <f>IF($A214="","",IFERROR(SUMIF(tblAnahtarB[NormB],$A214,tblVeriB[KomisyonOran]),0))</f>
        <v/>
      </c>
      <c r="E214" s="16">
        <f>IF($A214="","",ROUND($B214*$D214,2))</f>
        <v/>
      </c>
      <c r="F214" s="16">
        <f>IF($A214="","",IFERROR(SUMIF(tblAnahtarB[NormB],$A214,tblVeriB[Kargo]),0))</f>
        <v/>
      </c>
      <c r="G214" s="16">
        <f>IF($A214="","",IFERROR(SUMIF(tblAnahtarB[NormB],$A214,tblVeriB[IadeOran]),0))</f>
        <v/>
      </c>
      <c r="H214" s="16">
        <f>IF($A214="","",ROUND($B214*$G214,2))</f>
        <v/>
      </c>
      <c r="I214" s="16">
        <f>IF($A214="","",IFERROR(SUMIF(tblAnahtarB[NormB],$A214,tblVeriB[ReklamTutar]),0))</f>
        <v/>
      </c>
      <c r="J214" s="16">
        <f>IF($A214="","",ROUND($B214-$C214,2))</f>
        <v/>
      </c>
      <c r="K214" s="16">
        <f>IF($A214="","",ROUND($B214-$C214-$E214-$F214-$H214-$I214,2))</f>
        <v/>
      </c>
      <c r="L214" s="16">
        <f>IF(OR($A214="",$B214=0),0,$K214/$B214)</f>
        <v/>
      </c>
      <c r="M214" s="16">
        <f>IF($A214="","",IF((1-$D214-$G214)&lt;=0,0,ROUND(($C214+$F214+$I214)/(1-$D214-$G214),2)))</f>
        <v/>
      </c>
      <c r="N214" s="16">
        <f>IF($A214="","",IFERROR(SUMIF(tblAnahtarA[Norm],$A214,tblVeriA[HedefNet]),0))</f>
        <v/>
      </c>
      <c r="O214" s="16">
        <f>IF($A214="","",ROUND($K214-$N214,2))</f>
        <v/>
      </c>
      <c r="P214" s="16">
        <f>IF($A214="","",IF($L214&lt;egk_esikKatkiDusuk,"ZAM YAP",IF(AND($R214=1,$L214&lt;egk_esikKatkiHedef),"İNDİRİMİ KES","TUT")))</f>
        <v/>
      </c>
      <c r="Q214" s="16">
        <f>IF($A214="","",IFERROR(SUMIF(tblAnahtarB[NormB],$A214,tblVeriB[Roas]),0))</f>
        <v/>
      </c>
      <c r="R214" s="16">
        <f>IF($A214="","",IF(OR(IFERROR(INDEX(tblVeriA[YorumAB],MATCH($A214,tblAnahtarA[Norm],0)),"")="B",IFERROR(INDEX(tblVeriA[Durum],MATCH($A214,tblAnahtarA[Norm],0)),"")="Kampanya"),1,0))</f>
        <v/>
      </c>
      <c r="S214" s="16">
        <f>IF($A214="","",$J214-$E214)</f>
        <v/>
      </c>
      <c r="T214" s="16">
        <f>IF($A214="","",$K214-$O214)</f>
        <v/>
      </c>
    </row>
    <row r="215">
      <c r="A215" s="16">
        <f>IF('ANAHTAR'!$B215="","",'ANAHTAR'!$B215)</f>
        <v/>
      </c>
      <c r="B215" s="16">
        <f>IF($A215="","",IFERROR(SUMIF(tblAnahtarA[Norm],$A215,tblVeriA[SatisFiyati]),0))</f>
        <v/>
      </c>
      <c r="C215" s="16">
        <f>IF($A215="","",IFERROR(SUMIF(tblAnahtarA[Norm],$A215,tblVeriA[Maliyet]),0))</f>
        <v/>
      </c>
      <c r="D215" s="16">
        <f>IF($A215="","",IFERROR(SUMIF(tblAnahtarB[NormB],$A215,tblVeriB[KomisyonOran]),0))</f>
        <v/>
      </c>
      <c r="E215" s="16">
        <f>IF($A215="","",ROUND($B215*$D215,2))</f>
        <v/>
      </c>
      <c r="F215" s="16">
        <f>IF($A215="","",IFERROR(SUMIF(tblAnahtarB[NormB],$A215,tblVeriB[Kargo]),0))</f>
        <v/>
      </c>
      <c r="G215" s="16">
        <f>IF($A215="","",IFERROR(SUMIF(tblAnahtarB[NormB],$A215,tblVeriB[IadeOran]),0))</f>
        <v/>
      </c>
      <c r="H215" s="16">
        <f>IF($A215="","",ROUND($B215*$G215,2))</f>
        <v/>
      </c>
      <c r="I215" s="16">
        <f>IF($A215="","",IFERROR(SUMIF(tblAnahtarB[NormB],$A215,tblVeriB[ReklamTutar]),0))</f>
        <v/>
      </c>
      <c r="J215" s="16">
        <f>IF($A215="","",ROUND($B215-$C215,2))</f>
        <v/>
      </c>
      <c r="K215" s="16">
        <f>IF($A215="","",ROUND($B215-$C215-$E215-$F215-$H215-$I215,2))</f>
        <v/>
      </c>
      <c r="L215" s="16">
        <f>IF(OR($A215="",$B215=0),0,$K215/$B215)</f>
        <v/>
      </c>
      <c r="M215" s="16">
        <f>IF($A215="","",IF((1-$D215-$G215)&lt;=0,0,ROUND(($C215+$F215+$I215)/(1-$D215-$G215),2)))</f>
        <v/>
      </c>
      <c r="N215" s="16">
        <f>IF($A215="","",IFERROR(SUMIF(tblAnahtarA[Norm],$A215,tblVeriA[HedefNet]),0))</f>
        <v/>
      </c>
      <c r="O215" s="16">
        <f>IF($A215="","",ROUND($K215-$N215,2))</f>
        <v/>
      </c>
      <c r="P215" s="16">
        <f>IF($A215="","",IF($L215&lt;egk_esikKatkiDusuk,"ZAM YAP",IF(AND($R215=1,$L215&lt;egk_esikKatkiHedef),"İNDİRİMİ KES","TUT")))</f>
        <v/>
      </c>
      <c r="Q215" s="16">
        <f>IF($A215="","",IFERROR(SUMIF(tblAnahtarB[NormB],$A215,tblVeriB[Roas]),0))</f>
        <v/>
      </c>
      <c r="R215" s="16">
        <f>IF($A215="","",IF(OR(IFERROR(INDEX(tblVeriA[YorumAB],MATCH($A215,tblAnahtarA[Norm],0)),"")="B",IFERROR(INDEX(tblVeriA[Durum],MATCH($A215,tblAnahtarA[Norm],0)),"")="Kampanya"),1,0))</f>
        <v/>
      </c>
      <c r="S215" s="16">
        <f>IF($A215="","",$J215-$E215)</f>
        <v/>
      </c>
      <c r="T215" s="16">
        <f>IF($A215="","",$K215-$O215)</f>
        <v/>
      </c>
    </row>
    <row r="216">
      <c r="A216" s="16">
        <f>IF('ANAHTAR'!$B216="","",'ANAHTAR'!$B216)</f>
        <v/>
      </c>
      <c r="B216" s="16">
        <f>IF($A216="","",IFERROR(SUMIF(tblAnahtarA[Norm],$A216,tblVeriA[SatisFiyati]),0))</f>
        <v/>
      </c>
      <c r="C216" s="16">
        <f>IF($A216="","",IFERROR(SUMIF(tblAnahtarA[Norm],$A216,tblVeriA[Maliyet]),0))</f>
        <v/>
      </c>
      <c r="D216" s="16">
        <f>IF($A216="","",IFERROR(SUMIF(tblAnahtarB[NormB],$A216,tblVeriB[KomisyonOran]),0))</f>
        <v/>
      </c>
      <c r="E216" s="16">
        <f>IF($A216="","",ROUND($B216*$D216,2))</f>
        <v/>
      </c>
      <c r="F216" s="16">
        <f>IF($A216="","",IFERROR(SUMIF(tblAnahtarB[NormB],$A216,tblVeriB[Kargo]),0))</f>
        <v/>
      </c>
      <c r="G216" s="16">
        <f>IF($A216="","",IFERROR(SUMIF(tblAnahtarB[NormB],$A216,tblVeriB[IadeOran]),0))</f>
        <v/>
      </c>
      <c r="H216" s="16">
        <f>IF($A216="","",ROUND($B216*$G216,2))</f>
        <v/>
      </c>
      <c r="I216" s="16">
        <f>IF($A216="","",IFERROR(SUMIF(tblAnahtarB[NormB],$A216,tblVeriB[ReklamTutar]),0))</f>
        <v/>
      </c>
      <c r="J216" s="16">
        <f>IF($A216="","",ROUND($B216-$C216,2))</f>
        <v/>
      </c>
      <c r="K216" s="16">
        <f>IF($A216="","",ROUND($B216-$C216-$E216-$F216-$H216-$I216,2))</f>
        <v/>
      </c>
      <c r="L216" s="16">
        <f>IF(OR($A216="",$B216=0),0,$K216/$B216)</f>
        <v/>
      </c>
      <c r="M216" s="16">
        <f>IF($A216="","",IF((1-$D216-$G216)&lt;=0,0,ROUND(($C216+$F216+$I216)/(1-$D216-$G216),2)))</f>
        <v/>
      </c>
      <c r="N216" s="16">
        <f>IF($A216="","",IFERROR(SUMIF(tblAnahtarA[Norm],$A216,tblVeriA[HedefNet]),0))</f>
        <v/>
      </c>
      <c r="O216" s="16">
        <f>IF($A216="","",ROUND($K216-$N216,2))</f>
        <v/>
      </c>
      <c r="P216" s="16">
        <f>IF($A216="","",IF($L216&lt;egk_esikKatkiDusuk,"ZAM YAP",IF(AND($R216=1,$L216&lt;egk_esikKatkiHedef),"İNDİRİMİ KES","TUT")))</f>
        <v/>
      </c>
      <c r="Q216" s="16">
        <f>IF($A216="","",IFERROR(SUMIF(tblAnahtarB[NormB],$A216,tblVeriB[Roas]),0))</f>
        <v/>
      </c>
      <c r="R216" s="16">
        <f>IF($A216="","",IF(OR(IFERROR(INDEX(tblVeriA[YorumAB],MATCH($A216,tblAnahtarA[Norm],0)),"")="B",IFERROR(INDEX(tblVeriA[Durum],MATCH($A216,tblAnahtarA[Norm],0)),"")="Kampanya"),1,0))</f>
        <v/>
      </c>
      <c r="S216" s="16">
        <f>IF($A216="","",$J216-$E216)</f>
        <v/>
      </c>
      <c r="T216" s="16">
        <f>IF($A216="","",$K216-$O216)</f>
        <v/>
      </c>
    </row>
    <row r="217">
      <c r="A217" s="16">
        <f>IF('ANAHTAR'!$B217="","",'ANAHTAR'!$B217)</f>
        <v/>
      </c>
      <c r="B217" s="16">
        <f>IF($A217="","",IFERROR(SUMIF(tblAnahtarA[Norm],$A217,tblVeriA[SatisFiyati]),0))</f>
        <v/>
      </c>
      <c r="C217" s="16">
        <f>IF($A217="","",IFERROR(SUMIF(tblAnahtarA[Norm],$A217,tblVeriA[Maliyet]),0))</f>
        <v/>
      </c>
      <c r="D217" s="16">
        <f>IF($A217="","",IFERROR(SUMIF(tblAnahtarB[NormB],$A217,tblVeriB[KomisyonOran]),0))</f>
        <v/>
      </c>
      <c r="E217" s="16">
        <f>IF($A217="","",ROUND($B217*$D217,2))</f>
        <v/>
      </c>
      <c r="F217" s="16">
        <f>IF($A217="","",IFERROR(SUMIF(tblAnahtarB[NormB],$A217,tblVeriB[Kargo]),0))</f>
        <v/>
      </c>
      <c r="G217" s="16">
        <f>IF($A217="","",IFERROR(SUMIF(tblAnahtarB[NormB],$A217,tblVeriB[IadeOran]),0))</f>
        <v/>
      </c>
      <c r="H217" s="16">
        <f>IF($A217="","",ROUND($B217*$G217,2))</f>
        <v/>
      </c>
      <c r="I217" s="16">
        <f>IF($A217="","",IFERROR(SUMIF(tblAnahtarB[NormB],$A217,tblVeriB[ReklamTutar]),0))</f>
        <v/>
      </c>
      <c r="J217" s="16">
        <f>IF($A217="","",ROUND($B217-$C217,2))</f>
        <v/>
      </c>
      <c r="K217" s="16">
        <f>IF($A217="","",ROUND($B217-$C217-$E217-$F217-$H217-$I217,2))</f>
        <v/>
      </c>
      <c r="L217" s="16">
        <f>IF(OR($A217="",$B217=0),0,$K217/$B217)</f>
        <v/>
      </c>
      <c r="M217" s="16">
        <f>IF($A217="","",IF((1-$D217-$G217)&lt;=0,0,ROUND(($C217+$F217+$I217)/(1-$D217-$G217),2)))</f>
        <v/>
      </c>
      <c r="N217" s="16">
        <f>IF($A217="","",IFERROR(SUMIF(tblAnahtarA[Norm],$A217,tblVeriA[HedefNet]),0))</f>
        <v/>
      </c>
      <c r="O217" s="16">
        <f>IF($A217="","",ROUND($K217-$N217,2))</f>
        <v/>
      </c>
      <c r="P217" s="16">
        <f>IF($A217="","",IF($L217&lt;egk_esikKatkiDusuk,"ZAM YAP",IF(AND($R217=1,$L217&lt;egk_esikKatkiHedef),"İNDİRİMİ KES","TUT")))</f>
        <v/>
      </c>
      <c r="Q217" s="16">
        <f>IF($A217="","",IFERROR(SUMIF(tblAnahtarB[NormB],$A217,tblVeriB[Roas]),0))</f>
        <v/>
      </c>
      <c r="R217" s="16">
        <f>IF($A217="","",IF(OR(IFERROR(INDEX(tblVeriA[YorumAB],MATCH($A217,tblAnahtarA[Norm],0)),"")="B",IFERROR(INDEX(tblVeriA[Durum],MATCH($A217,tblAnahtarA[Norm],0)),"")="Kampanya"),1,0))</f>
        <v/>
      </c>
      <c r="S217" s="16">
        <f>IF($A217="","",$J217-$E217)</f>
        <v/>
      </c>
      <c r="T217" s="16">
        <f>IF($A217="","",$K217-$O217)</f>
        <v/>
      </c>
    </row>
    <row r="218">
      <c r="A218" s="16">
        <f>IF('ANAHTAR'!$B218="","",'ANAHTAR'!$B218)</f>
        <v/>
      </c>
      <c r="B218" s="16">
        <f>IF($A218="","",IFERROR(SUMIF(tblAnahtarA[Norm],$A218,tblVeriA[SatisFiyati]),0))</f>
        <v/>
      </c>
      <c r="C218" s="16">
        <f>IF($A218="","",IFERROR(SUMIF(tblAnahtarA[Norm],$A218,tblVeriA[Maliyet]),0))</f>
        <v/>
      </c>
      <c r="D218" s="16">
        <f>IF($A218="","",IFERROR(SUMIF(tblAnahtarB[NormB],$A218,tblVeriB[KomisyonOran]),0))</f>
        <v/>
      </c>
      <c r="E218" s="16">
        <f>IF($A218="","",ROUND($B218*$D218,2))</f>
        <v/>
      </c>
      <c r="F218" s="16">
        <f>IF($A218="","",IFERROR(SUMIF(tblAnahtarB[NormB],$A218,tblVeriB[Kargo]),0))</f>
        <v/>
      </c>
      <c r="G218" s="16">
        <f>IF($A218="","",IFERROR(SUMIF(tblAnahtarB[NormB],$A218,tblVeriB[IadeOran]),0))</f>
        <v/>
      </c>
      <c r="H218" s="16">
        <f>IF($A218="","",ROUND($B218*$G218,2))</f>
        <v/>
      </c>
      <c r="I218" s="16">
        <f>IF($A218="","",IFERROR(SUMIF(tblAnahtarB[NormB],$A218,tblVeriB[ReklamTutar]),0))</f>
        <v/>
      </c>
      <c r="J218" s="16">
        <f>IF($A218="","",ROUND($B218-$C218,2))</f>
        <v/>
      </c>
      <c r="K218" s="16">
        <f>IF($A218="","",ROUND($B218-$C218-$E218-$F218-$H218-$I218,2))</f>
        <v/>
      </c>
      <c r="L218" s="16">
        <f>IF(OR($A218="",$B218=0),0,$K218/$B218)</f>
        <v/>
      </c>
      <c r="M218" s="16">
        <f>IF($A218="","",IF((1-$D218-$G218)&lt;=0,0,ROUND(($C218+$F218+$I218)/(1-$D218-$G218),2)))</f>
        <v/>
      </c>
      <c r="N218" s="16">
        <f>IF($A218="","",IFERROR(SUMIF(tblAnahtarA[Norm],$A218,tblVeriA[HedefNet]),0))</f>
        <v/>
      </c>
      <c r="O218" s="16">
        <f>IF($A218="","",ROUND($K218-$N218,2))</f>
        <v/>
      </c>
      <c r="P218" s="16">
        <f>IF($A218="","",IF($L218&lt;egk_esikKatkiDusuk,"ZAM YAP",IF(AND($R218=1,$L218&lt;egk_esikKatkiHedef),"İNDİRİMİ KES","TUT")))</f>
        <v/>
      </c>
      <c r="Q218" s="16">
        <f>IF($A218="","",IFERROR(SUMIF(tblAnahtarB[NormB],$A218,tblVeriB[Roas]),0))</f>
        <v/>
      </c>
      <c r="R218" s="16">
        <f>IF($A218="","",IF(OR(IFERROR(INDEX(tblVeriA[YorumAB],MATCH($A218,tblAnahtarA[Norm],0)),"")="B",IFERROR(INDEX(tblVeriA[Durum],MATCH($A218,tblAnahtarA[Norm],0)),"")="Kampanya"),1,0))</f>
        <v/>
      </c>
      <c r="S218" s="16">
        <f>IF($A218="","",$J218-$E218)</f>
        <v/>
      </c>
      <c r="T218" s="16">
        <f>IF($A218="","",$K218-$O218)</f>
        <v/>
      </c>
    </row>
    <row r="219">
      <c r="A219" s="16">
        <f>IF('ANAHTAR'!$B219="","",'ANAHTAR'!$B219)</f>
        <v/>
      </c>
      <c r="B219" s="16">
        <f>IF($A219="","",IFERROR(SUMIF(tblAnahtarA[Norm],$A219,tblVeriA[SatisFiyati]),0))</f>
        <v/>
      </c>
      <c r="C219" s="16">
        <f>IF($A219="","",IFERROR(SUMIF(tblAnahtarA[Norm],$A219,tblVeriA[Maliyet]),0))</f>
        <v/>
      </c>
      <c r="D219" s="16">
        <f>IF($A219="","",IFERROR(SUMIF(tblAnahtarB[NormB],$A219,tblVeriB[KomisyonOran]),0))</f>
        <v/>
      </c>
      <c r="E219" s="16">
        <f>IF($A219="","",ROUND($B219*$D219,2))</f>
        <v/>
      </c>
      <c r="F219" s="16">
        <f>IF($A219="","",IFERROR(SUMIF(tblAnahtarB[NormB],$A219,tblVeriB[Kargo]),0))</f>
        <v/>
      </c>
      <c r="G219" s="16">
        <f>IF($A219="","",IFERROR(SUMIF(tblAnahtarB[NormB],$A219,tblVeriB[IadeOran]),0))</f>
        <v/>
      </c>
      <c r="H219" s="16">
        <f>IF($A219="","",ROUND($B219*$G219,2))</f>
        <v/>
      </c>
      <c r="I219" s="16">
        <f>IF($A219="","",IFERROR(SUMIF(tblAnahtarB[NormB],$A219,tblVeriB[ReklamTutar]),0))</f>
        <v/>
      </c>
      <c r="J219" s="16">
        <f>IF($A219="","",ROUND($B219-$C219,2))</f>
        <v/>
      </c>
      <c r="K219" s="16">
        <f>IF($A219="","",ROUND($B219-$C219-$E219-$F219-$H219-$I219,2))</f>
        <v/>
      </c>
      <c r="L219" s="16">
        <f>IF(OR($A219="",$B219=0),0,$K219/$B219)</f>
        <v/>
      </c>
      <c r="M219" s="16">
        <f>IF($A219="","",IF((1-$D219-$G219)&lt;=0,0,ROUND(($C219+$F219+$I219)/(1-$D219-$G219),2)))</f>
        <v/>
      </c>
      <c r="N219" s="16">
        <f>IF($A219="","",IFERROR(SUMIF(tblAnahtarA[Norm],$A219,tblVeriA[HedefNet]),0))</f>
        <v/>
      </c>
      <c r="O219" s="16">
        <f>IF($A219="","",ROUND($K219-$N219,2))</f>
        <v/>
      </c>
      <c r="P219" s="16">
        <f>IF($A219="","",IF($L219&lt;egk_esikKatkiDusuk,"ZAM YAP",IF(AND($R219=1,$L219&lt;egk_esikKatkiHedef),"İNDİRİMİ KES","TUT")))</f>
        <v/>
      </c>
      <c r="Q219" s="16">
        <f>IF($A219="","",IFERROR(SUMIF(tblAnahtarB[NormB],$A219,tblVeriB[Roas]),0))</f>
        <v/>
      </c>
      <c r="R219" s="16">
        <f>IF($A219="","",IF(OR(IFERROR(INDEX(tblVeriA[YorumAB],MATCH($A219,tblAnahtarA[Norm],0)),"")="B",IFERROR(INDEX(tblVeriA[Durum],MATCH($A219,tblAnahtarA[Norm],0)),"")="Kampanya"),1,0))</f>
        <v/>
      </c>
      <c r="S219" s="16">
        <f>IF($A219="","",$J219-$E219)</f>
        <v/>
      </c>
      <c r="T219" s="16">
        <f>IF($A219="","",$K219-$O219)</f>
        <v/>
      </c>
    </row>
    <row r="220">
      <c r="A220" s="16">
        <f>IF('ANAHTAR'!$B220="","",'ANAHTAR'!$B220)</f>
        <v/>
      </c>
      <c r="B220" s="16">
        <f>IF($A220="","",IFERROR(SUMIF(tblAnahtarA[Norm],$A220,tblVeriA[SatisFiyati]),0))</f>
        <v/>
      </c>
      <c r="C220" s="16">
        <f>IF($A220="","",IFERROR(SUMIF(tblAnahtarA[Norm],$A220,tblVeriA[Maliyet]),0))</f>
        <v/>
      </c>
      <c r="D220" s="16">
        <f>IF($A220="","",IFERROR(SUMIF(tblAnahtarB[NormB],$A220,tblVeriB[KomisyonOran]),0))</f>
        <v/>
      </c>
      <c r="E220" s="16">
        <f>IF($A220="","",ROUND($B220*$D220,2))</f>
        <v/>
      </c>
      <c r="F220" s="16">
        <f>IF($A220="","",IFERROR(SUMIF(tblAnahtarB[NormB],$A220,tblVeriB[Kargo]),0))</f>
        <v/>
      </c>
      <c r="G220" s="16">
        <f>IF($A220="","",IFERROR(SUMIF(tblAnahtarB[NormB],$A220,tblVeriB[IadeOran]),0))</f>
        <v/>
      </c>
      <c r="H220" s="16">
        <f>IF($A220="","",ROUND($B220*$G220,2))</f>
        <v/>
      </c>
      <c r="I220" s="16">
        <f>IF($A220="","",IFERROR(SUMIF(tblAnahtarB[NormB],$A220,tblVeriB[ReklamTutar]),0))</f>
        <v/>
      </c>
      <c r="J220" s="16">
        <f>IF($A220="","",ROUND($B220-$C220,2))</f>
        <v/>
      </c>
      <c r="K220" s="16">
        <f>IF($A220="","",ROUND($B220-$C220-$E220-$F220-$H220-$I220,2))</f>
        <v/>
      </c>
      <c r="L220" s="16">
        <f>IF(OR($A220="",$B220=0),0,$K220/$B220)</f>
        <v/>
      </c>
      <c r="M220" s="16">
        <f>IF($A220="","",IF((1-$D220-$G220)&lt;=0,0,ROUND(($C220+$F220+$I220)/(1-$D220-$G220),2)))</f>
        <v/>
      </c>
      <c r="N220" s="16">
        <f>IF($A220="","",IFERROR(SUMIF(tblAnahtarA[Norm],$A220,tblVeriA[HedefNet]),0))</f>
        <v/>
      </c>
      <c r="O220" s="16">
        <f>IF($A220="","",ROUND($K220-$N220,2))</f>
        <v/>
      </c>
      <c r="P220" s="16">
        <f>IF($A220="","",IF($L220&lt;egk_esikKatkiDusuk,"ZAM YAP",IF(AND($R220=1,$L220&lt;egk_esikKatkiHedef),"İNDİRİMİ KES","TUT")))</f>
        <v/>
      </c>
      <c r="Q220" s="16">
        <f>IF($A220="","",IFERROR(SUMIF(tblAnahtarB[NormB],$A220,tblVeriB[Roas]),0))</f>
        <v/>
      </c>
      <c r="R220" s="16">
        <f>IF($A220="","",IF(OR(IFERROR(INDEX(tblVeriA[YorumAB],MATCH($A220,tblAnahtarA[Norm],0)),"")="B",IFERROR(INDEX(tblVeriA[Durum],MATCH($A220,tblAnahtarA[Norm],0)),"")="Kampanya"),1,0))</f>
        <v/>
      </c>
      <c r="S220" s="16">
        <f>IF($A220="","",$J220-$E220)</f>
        <v/>
      </c>
      <c r="T220" s="16">
        <f>IF($A220="","",$K220-$O220)</f>
        <v/>
      </c>
    </row>
    <row r="221">
      <c r="A221" s="16">
        <f>IF('ANAHTAR'!$B221="","",'ANAHTAR'!$B221)</f>
        <v/>
      </c>
      <c r="B221" s="16">
        <f>IF($A221="","",IFERROR(SUMIF(tblAnahtarA[Norm],$A221,tblVeriA[SatisFiyati]),0))</f>
        <v/>
      </c>
      <c r="C221" s="16">
        <f>IF($A221="","",IFERROR(SUMIF(tblAnahtarA[Norm],$A221,tblVeriA[Maliyet]),0))</f>
        <v/>
      </c>
      <c r="D221" s="16">
        <f>IF($A221="","",IFERROR(SUMIF(tblAnahtarB[NormB],$A221,tblVeriB[KomisyonOran]),0))</f>
        <v/>
      </c>
      <c r="E221" s="16">
        <f>IF($A221="","",ROUND($B221*$D221,2))</f>
        <v/>
      </c>
      <c r="F221" s="16">
        <f>IF($A221="","",IFERROR(SUMIF(tblAnahtarB[NormB],$A221,tblVeriB[Kargo]),0))</f>
        <v/>
      </c>
      <c r="G221" s="16">
        <f>IF($A221="","",IFERROR(SUMIF(tblAnahtarB[NormB],$A221,tblVeriB[IadeOran]),0))</f>
        <v/>
      </c>
      <c r="H221" s="16">
        <f>IF($A221="","",ROUND($B221*$G221,2))</f>
        <v/>
      </c>
      <c r="I221" s="16">
        <f>IF($A221="","",IFERROR(SUMIF(tblAnahtarB[NormB],$A221,tblVeriB[ReklamTutar]),0))</f>
        <v/>
      </c>
      <c r="J221" s="16">
        <f>IF($A221="","",ROUND($B221-$C221,2))</f>
        <v/>
      </c>
      <c r="K221" s="16">
        <f>IF($A221="","",ROUND($B221-$C221-$E221-$F221-$H221-$I221,2))</f>
        <v/>
      </c>
      <c r="L221" s="16">
        <f>IF(OR($A221="",$B221=0),0,$K221/$B221)</f>
        <v/>
      </c>
      <c r="M221" s="16">
        <f>IF($A221="","",IF((1-$D221-$G221)&lt;=0,0,ROUND(($C221+$F221+$I221)/(1-$D221-$G221),2)))</f>
        <v/>
      </c>
      <c r="N221" s="16">
        <f>IF($A221="","",IFERROR(SUMIF(tblAnahtarA[Norm],$A221,tblVeriA[HedefNet]),0))</f>
        <v/>
      </c>
      <c r="O221" s="16">
        <f>IF($A221="","",ROUND($K221-$N221,2))</f>
        <v/>
      </c>
      <c r="P221" s="16">
        <f>IF($A221="","",IF($L221&lt;egk_esikKatkiDusuk,"ZAM YAP",IF(AND($R221=1,$L221&lt;egk_esikKatkiHedef),"İNDİRİMİ KES","TUT")))</f>
        <v/>
      </c>
      <c r="Q221" s="16">
        <f>IF($A221="","",IFERROR(SUMIF(tblAnahtarB[NormB],$A221,tblVeriB[Roas]),0))</f>
        <v/>
      </c>
      <c r="R221" s="16">
        <f>IF($A221="","",IF(OR(IFERROR(INDEX(tblVeriA[YorumAB],MATCH($A221,tblAnahtarA[Norm],0)),"")="B",IFERROR(INDEX(tblVeriA[Durum],MATCH($A221,tblAnahtarA[Norm],0)),"")="Kampanya"),1,0))</f>
        <v/>
      </c>
      <c r="S221" s="16">
        <f>IF($A221="","",$J221-$E221)</f>
        <v/>
      </c>
      <c r="T221" s="16">
        <f>IF($A221="","",$K221-$O221)</f>
        <v/>
      </c>
    </row>
    <row r="222">
      <c r="A222" s="16">
        <f>IF('ANAHTAR'!$B222="","",'ANAHTAR'!$B222)</f>
        <v/>
      </c>
      <c r="B222" s="16">
        <f>IF($A222="","",IFERROR(SUMIF(tblAnahtarA[Norm],$A222,tblVeriA[SatisFiyati]),0))</f>
        <v/>
      </c>
      <c r="C222" s="16">
        <f>IF($A222="","",IFERROR(SUMIF(tblAnahtarA[Norm],$A222,tblVeriA[Maliyet]),0))</f>
        <v/>
      </c>
      <c r="D222" s="16">
        <f>IF($A222="","",IFERROR(SUMIF(tblAnahtarB[NormB],$A222,tblVeriB[KomisyonOran]),0))</f>
        <v/>
      </c>
      <c r="E222" s="16">
        <f>IF($A222="","",ROUND($B222*$D222,2))</f>
        <v/>
      </c>
      <c r="F222" s="16">
        <f>IF($A222="","",IFERROR(SUMIF(tblAnahtarB[NormB],$A222,tblVeriB[Kargo]),0))</f>
        <v/>
      </c>
      <c r="G222" s="16">
        <f>IF($A222="","",IFERROR(SUMIF(tblAnahtarB[NormB],$A222,tblVeriB[IadeOran]),0))</f>
        <v/>
      </c>
      <c r="H222" s="16">
        <f>IF($A222="","",ROUND($B222*$G222,2))</f>
        <v/>
      </c>
      <c r="I222" s="16">
        <f>IF($A222="","",IFERROR(SUMIF(tblAnahtarB[NormB],$A222,tblVeriB[ReklamTutar]),0))</f>
        <v/>
      </c>
      <c r="J222" s="16">
        <f>IF($A222="","",ROUND($B222-$C222,2))</f>
        <v/>
      </c>
      <c r="K222" s="16">
        <f>IF($A222="","",ROUND($B222-$C222-$E222-$F222-$H222-$I222,2))</f>
        <v/>
      </c>
      <c r="L222" s="16">
        <f>IF(OR($A222="",$B222=0),0,$K222/$B222)</f>
        <v/>
      </c>
      <c r="M222" s="16">
        <f>IF($A222="","",IF((1-$D222-$G222)&lt;=0,0,ROUND(($C222+$F222+$I222)/(1-$D222-$G222),2)))</f>
        <v/>
      </c>
      <c r="N222" s="16">
        <f>IF($A222="","",IFERROR(SUMIF(tblAnahtarA[Norm],$A222,tblVeriA[HedefNet]),0))</f>
        <v/>
      </c>
      <c r="O222" s="16">
        <f>IF($A222="","",ROUND($K222-$N222,2))</f>
        <v/>
      </c>
      <c r="P222" s="16">
        <f>IF($A222="","",IF($L222&lt;egk_esikKatkiDusuk,"ZAM YAP",IF(AND($R222=1,$L222&lt;egk_esikKatkiHedef),"İNDİRİMİ KES","TUT")))</f>
        <v/>
      </c>
      <c r="Q222" s="16">
        <f>IF($A222="","",IFERROR(SUMIF(tblAnahtarB[NormB],$A222,tblVeriB[Roas]),0))</f>
        <v/>
      </c>
      <c r="R222" s="16">
        <f>IF($A222="","",IF(OR(IFERROR(INDEX(tblVeriA[YorumAB],MATCH($A222,tblAnahtarA[Norm],0)),"")="B",IFERROR(INDEX(tblVeriA[Durum],MATCH($A222,tblAnahtarA[Norm],0)),"")="Kampanya"),1,0))</f>
        <v/>
      </c>
      <c r="S222" s="16">
        <f>IF($A222="","",$J222-$E222)</f>
        <v/>
      </c>
      <c r="T222" s="16">
        <f>IF($A222="","",$K222-$O222)</f>
        <v/>
      </c>
    </row>
    <row r="223">
      <c r="A223" s="16">
        <f>IF('ANAHTAR'!$B223="","",'ANAHTAR'!$B223)</f>
        <v/>
      </c>
      <c r="B223" s="16">
        <f>IF($A223="","",IFERROR(SUMIF(tblAnahtarA[Norm],$A223,tblVeriA[SatisFiyati]),0))</f>
        <v/>
      </c>
      <c r="C223" s="16">
        <f>IF($A223="","",IFERROR(SUMIF(tblAnahtarA[Norm],$A223,tblVeriA[Maliyet]),0))</f>
        <v/>
      </c>
      <c r="D223" s="16">
        <f>IF($A223="","",IFERROR(SUMIF(tblAnahtarB[NormB],$A223,tblVeriB[KomisyonOran]),0))</f>
        <v/>
      </c>
      <c r="E223" s="16">
        <f>IF($A223="","",ROUND($B223*$D223,2))</f>
        <v/>
      </c>
      <c r="F223" s="16">
        <f>IF($A223="","",IFERROR(SUMIF(tblAnahtarB[NormB],$A223,tblVeriB[Kargo]),0))</f>
        <v/>
      </c>
      <c r="G223" s="16">
        <f>IF($A223="","",IFERROR(SUMIF(tblAnahtarB[NormB],$A223,tblVeriB[IadeOran]),0))</f>
        <v/>
      </c>
      <c r="H223" s="16">
        <f>IF($A223="","",ROUND($B223*$G223,2))</f>
        <v/>
      </c>
      <c r="I223" s="16">
        <f>IF($A223="","",IFERROR(SUMIF(tblAnahtarB[NormB],$A223,tblVeriB[ReklamTutar]),0))</f>
        <v/>
      </c>
      <c r="J223" s="16">
        <f>IF($A223="","",ROUND($B223-$C223,2))</f>
        <v/>
      </c>
      <c r="K223" s="16">
        <f>IF($A223="","",ROUND($B223-$C223-$E223-$F223-$H223-$I223,2))</f>
        <v/>
      </c>
      <c r="L223" s="16">
        <f>IF(OR($A223="",$B223=0),0,$K223/$B223)</f>
        <v/>
      </c>
      <c r="M223" s="16">
        <f>IF($A223="","",IF((1-$D223-$G223)&lt;=0,0,ROUND(($C223+$F223+$I223)/(1-$D223-$G223),2)))</f>
        <v/>
      </c>
      <c r="N223" s="16">
        <f>IF($A223="","",IFERROR(SUMIF(tblAnahtarA[Norm],$A223,tblVeriA[HedefNet]),0))</f>
        <v/>
      </c>
      <c r="O223" s="16">
        <f>IF($A223="","",ROUND($K223-$N223,2))</f>
        <v/>
      </c>
      <c r="P223" s="16">
        <f>IF($A223="","",IF($L223&lt;egk_esikKatkiDusuk,"ZAM YAP",IF(AND($R223=1,$L223&lt;egk_esikKatkiHedef),"İNDİRİMİ KES","TUT")))</f>
        <v/>
      </c>
      <c r="Q223" s="16">
        <f>IF($A223="","",IFERROR(SUMIF(tblAnahtarB[NormB],$A223,tblVeriB[Roas]),0))</f>
        <v/>
      </c>
      <c r="R223" s="16">
        <f>IF($A223="","",IF(OR(IFERROR(INDEX(tblVeriA[YorumAB],MATCH($A223,tblAnahtarA[Norm],0)),"")="B",IFERROR(INDEX(tblVeriA[Durum],MATCH($A223,tblAnahtarA[Norm],0)),"")="Kampanya"),1,0))</f>
        <v/>
      </c>
      <c r="S223" s="16">
        <f>IF($A223="","",$J223-$E223)</f>
        <v/>
      </c>
      <c r="T223" s="16">
        <f>IF($A223="","",$K223-$O223)</f>
        <v/>
      </c>
    </row>
    <row r="224">
      <c r="A224" s="16">
        <f>IF('ANAHTAR'!$B224="","",'ANAHTAR'!$B224)</f>
        <v/>
      </c>
      <c r="B224" s="16">
        <f>IF($A224="","",IFERROR(SUMIF(tblAnahtarA[Norm],$A224,tblVeriA[SatisFiyati]),0))</f>
        <v/>
      </c>
      <c r="C224" s="16">
        <f>IF($A224="","",IFERROR(SUMIF(tblAnahtarA[Norm],$A224,tblVeriA[Maliyet]),0))</f>
        <v/>
      </c>
      <c r="D224" s="16">
        <f>IF($A224="","",IFERROR(SUMIF(tblAnahtarB[NormB],$A224,tblVeriB[KomisyonOran]),0))</f>
        <v/>
      </c>
      <c r="E224" s="16">
        <f>IF($A224="","",ROUND($B224*$D224,2))</f>
        <v/>
      </c>
      <c r="F224" s="16">
        <f>IF($A224="","",IFERROR(SUMIF(tblAnahtarB[NormB],$A224,tblVeriB[Kargo]),0))</f>
        <v/>
      </c>
      <c r="G224" s="16">
        <f>IF($A224="","",IFERROR(SUMIF(tblAnahtarB[NormB],$A224,tblVeriB[IadeOran]),0))</f>
        <v/>
      </c>
      <c r="H224" s="16">
        <f>IF($A224="","",ROUND($B224*$G224,2))</f>
        <v/>
      </c>
      <c r="I224" s="16">
        <f>IF($A224="","",IFERROR(SUMIF(tblAnahtarB[NormB],$A224,tblVeriB[ReklamTutar]),0))</f>
        <v/>
      </c>
      <c r="J224" s="16">
        <f>IF($A224="","",ROUND($B224-$C224,2))</f>
        <v/>
      </c>
      <c r="K224" s="16">
        <f>IF($A224="","",ROUND($B224-$C224-$E224-$F224-$H224-$I224,2))</f>
        <v/>
      </c>
      <c r="L224" s="16">
        <f>IF(OR($A224="",$B224=0),0,$K224/$B224)</f>
        <v/>
      </c>
      <c r="M224" s="16">
        <f>IF($A224="","",IF((1-$D224-$G224)&lt;=0,0,ROUND(($C224+$F224+$I224)/(1-$D224-$G224),2)))</f>
        <v/>
      </c>
      <c r="N224" s="16">
        <f>IF($A224="","",IFERROR(SUMIF(tblAnahtarA[Norm],$A224,tblVeriA[HedefNet]),0))</f>
        <v/>
      </c>
      <c r="O224" s="16">
        <f>IF($A224="","",ROUND($K224-$N224,2))</f>
        <v/>
      </c>
      <c r="P224" s="16">
        <f>IF($A224="","",IF($L224&lt;egk_esikKatkiDusuk,"ZAM YAP",IF(AND($R224=1,$L224&lt;egk_esikKatkiHedef),"İNDİRİMİ KES","TUT")))</f>
        <v/>
      </c>
      <c r="Q224" s="16">
        <f>IF($A224="","",IFERROR(SUMIF(tblAnahtarB[NormB],$A224,tblVeriB[Roas]),0))</f>
        <v/>
      </c>
      <c r="R224" s="16">
        <f>IF($A224="","",IF(OR(IFERROR(INDEX(tblVeriA[YorumAB],MATCH($A224,tblAnahtarA[Norm],0)),"")="B",IFERROR(INDEX(tblVeriA[Durum],MATCH($A224,tblAnahtarA[Norm],0)),"")="Kampanya"),1,0))</f>
        <v/>
      </c>
      <c r="S224" s="16">
        <f>IF($A224="","",$J224-$E224)</f>
        <v/>
      </c>
      <c r="T224" s="16">
        <f>IF($A224="","",$K224-$O224)</f>
        <v/>
      </c>
    </row>
    <row r="225">
      <c r="A225" s="16">
        <f>IF('ANAHTAR'!$B225="","",'ANAHTAR'!$B225)</f>
        <v/>
      </c>
      <c r="B225" s="16">
        <f>IF($A225="","",IFERROR(SUMIF(tblAnahtarA[Norm],$A225,tblVeriA[SatisFiyati]),0))</f>
        <v/>
      </c>
      <c r="C225" s="16">
        <f>IF($A225="","",IFERROR(SUMIF(tblAnahtarA[Norm],$A225,tblVeriA[Maliyet]),0))</f>
        <v/>
      </c>
      <c r="D225" s="16">
        <f>IF($A225="","",IFERROR(SUMIF(tblAnahtarB[NormB],$A225,tblVeriB[KomisyonOran]),0))</f>
        <v/>
      </c>
      <c r="E225" s="16">
        <f>IF($A225="","",ROUND($B225*$D225,2))</f>
        <v/>
      </c>
      <c r="F225" s="16">
        <f>IF($A225="","",IFERROR(SUMIF(tblAnahtarB[NormB],$A225,tblVeriB[Kargo]),0))</f>
        <v/>
      </c>
      <c r="G225" s="16">
        <f>IF($A225="","",IFERROR(SUMIF(tblAnahtarB[NormB],$A225,tblVeriB[IadeOran]),0))</f>
        <v/>
      </c>
      <c r="H225" s="16">
        <f>IF($A225="","",ROUND($B225*$G225,2))</f>
        <v/>
      </c>
      <c r="I225" s="16">
        <f>IF($A225="","",IFERROR(SUMIF(tblAnahtarB[NormB],$A225,tblVeriB[ReklamTutar]),0))</f>
        <v/>
      </c>
      <c r="J225" s="16">
        <f>IF($A225="","",ROUND($B225-$C225,2))</f>
        <v/>
      </c>
      <c r="K225" s="16">
        <f>IF($A225="","",ROUND($B225-$C225-$E225-$F225-$H225-$I225,2))</f>
        <v/>
      </c>
      <c r="L225" s="16">
        <f>IF(OR($A225="",$B225=0),0,$K225/$B225)</f>
        <v/>
      </c>
      <c r="M225" s="16">
        <f>IF($A225="","",IF((1-$D225-$G225)&lt;=0,0,ROUND(($C225+$F225+$I225)/(1-$D225-$G225),2)))</f>
        <v/>
      </c>
      <c r="N225" s="16">
        <f>IF($A225="","",IFERROR(SUMIF(tblAnahtarA[Norm],$A225,tblVeriA[HedefNet]),0))</f>
        <v/>
      </c>
      <c r="O225" s="16">
        <f>IF($A225="","",ROUND($K225-$N225,2))</f>
        <v/>
      </c>
      <c r="P225" s="16">
        <f>IF($A225="","",IF($L225&lt;egk_esikKatkiDusuk,"ZAM YAP",IF(AND($R225=1,$L225&lt;egk_esikKatkiHedef),"İNDİRİMİ KES","TUT")))</f>
        <v/>
      </c>
      <c r="Q225" s="16">
        <f>IF($A225="","",IFERROR(SUMIF(tblAnahtarB[NormB],$A225,tblVeriB[Roas]),0))</f>
        <v/>
      </c>
      <c r="R225" s="16">
        <f>IF($A225="","",IF(OR(IFERROR(INDEX(tblVeriA[YorumAB],MATCH($A225,tblAnahtarA[Norm],0)),"")="B",IFERROR(INDEX(tblVeriA[Durum],MATCH($A225,tblAnahtarA[Norm],0)),"")="Kampanya"),1,0))</f>
        <v/>
      </c>
      <c r="S225" s="16">
        <f>IF($A225="","",$J225-$E225)</f>
        <v/>
      </c>
      <c r="T225" s="16">
        <f>IF($A225="","",$K225-$O225)</f>
        <v/>
      </c>
    </row>
    <row r="226">
      <c r="A226" s="16">
        <f>IF('ANAHTAR'!$B226="","",'ANAHTAR'!$B226)</f>
        <v/>
      </c>
      <c r="B226" s="16">
        <f>IF($A226="","",IFERROR(SUMIF(tblAnahtarA[Norm],$A226,tblVeriA[SatisFiyati]),0))</f>
        <v/>
      </c>
      <c r="C226" s="16">
        <f>IF($A226="","",IFERROR(SUMIF(tblAnahtarA[Norm],$A226,tblVeriA[Maliyet]),0))</f>
        <v/>
      </c>
      <c r="D226" s="16">
        <f>IF($A226="","",IFERROR(SUMIF(tblAnahtarB[NormB],$A226,tblVeriB[KomisyonOran]),0))</f>
        <v/>
      </c>
      <c r="E226" s="16">
        <f>IF($A226="","",ROUND($B226*$D226,2))</f>
        <v/>
      </c>
      <c r="F226" s="16">
        <f>IF($A226="","",IFERROR(SUMIF(tblAnahtarB[NormB],$A226,tblVeriB[Kargo]),0))</f>
        <v/>
      </c>
      <c r="G226" s="16">
        <f>IF($A226="","",IFERROR(SUMIF(tblAnahtarB[NormB],$A226,tblVeriB[IadeOran]),0))</f>
        <v/>
      </c>
      <c r="H226" s="16">
        <f>IF($A226="","",ROUND($B226*$G226,2))</f>
        <v/>
      </c>
      <c r="I226" s="16">
        <f>IF($A226="","",IFERROR(SUMIF(tblAnahtarB[NormB],$A226,tblVeriB[ReklamTutar]),0))</f>
        <v/>
      </c>
      <c r="J226" s="16">
        <f>IF($A226="","",ROUND($B226-$C226,2))</f>
        <v/>
      </c>
      <c r="K226" s="16">
        <f>IF($A226="","",ROUND($B226-$C226-$E226-$F226-$H226-$I226,2))</f>
        <v/>
      </c>
      <c r="L226" s="16">
        <f>IF(OR($A226="",$B226=0),0,$K226/$B226)</f>
        <v/>
      </c>
      <c r="M226" s="16">
        <f>IF($A226="","",IF((1-$D226-$G226)&lt;=0,0,ROUND(($C226+$F226+$I226)/(1-$D226-$G226),2)))</f>
        <v/>
      </c>
      <c r="N226" s="16">
        <f>IF($A226="","",IFERROR(SUMIF(tblAnahtarA[Norm],$A226,tblVeriA[HedefNet]),0))</f>
        <v/>
      </c>
      <c r="O226" s="16">
        <f>IF($A226="","",ROUND($K226-$N226,2))</f>
        <v/>
      </c>
      <c r="P226" s="16">
        <f>IF($A226="","",IF($L226&lt;egk_esikKatkiDusuk,"ZAM YAP",IF(AND($R226=1,$L226&lt;egk_esikKatkiHedef),"İNDİRİMİ KES","TUT")))</f>
        <v/>
      </c>
      <c r="Q226" s="16">
        <f>IF($A226="","",IFERROR(SUMIF(tblAnahtarB[NormB],$A226,tblVeriB[Roas]),0))</f>
        <v/>
      </c>
      <c r="R226" s="16">
        <f>IF($A226="","",IF(OR(IFERROR(INDEX(tblVeriA[YorumAB],MATCH($A226,tblAnahtarA[Norm],0)),"")="B",IFERROR(INDEX(tblVeriA[Durum],MATCH($A226,tblAnahtarA[Norm],0)),"")="Kampanya"),1,0))</f>
        <v/>
      </c>
      <c r="S226" s="16">
        <f>IF($A226="","",$J226-$E226)</f>
        <v/>
      </c>
      <c r="T226" s="16">
        <f>IF($A226="","",$K226-$O226)</f>
        <v/>
      </c>
    </row>
    <row r="227">
      <c r="A227" s="16">
        <f>IF('ANAHTAR'!$B227="","",'ANAHTAR'!$B227)</f>
        <v/>
      </c>
      <c r="B227" s="16">
        <f>IF($A227="","",IFERROR(SUMIF(tblAnahtarA[Norm],$A227,tblVeriA[SatisFiyati]),0))</f>
        <v/>
      </c>
      <c r="C227" s="16">
        <f>IF($A227="","",IFERROR(SUMIF(tblAnahtarA[Norm],$A227,tblVeriA[Maliyet]),0))</f>
        <v/>
      </c>
      <c r="D227" s="16">
        <f>IF($A227="","",IFERROR(SUMIF(tblAnahtarB[NormB],$A227,tblVeriB[KomisyonOran]),0))</f>
        <v/>
      </c>
      <c r="E227" s="16">
        <f>IF($A227="","",ROUND($B227*$D227,2))</f>
        <v/>
      </c>
      <c r="F227" s="16">
        <f>IF($A227="","",IFERROR(SUMIF(tblAnahtarB[NormB],$A227,tblVeriB[Kargo]),0))</f>
        <v/>
      </c>
      <c r="G227" s="16">
        <f>IF($A227="","",IFERROR(SUMIF(tblAnahtarB[NormB],$A227,tblVeriB[IadeOran]),0))</f>
        <v/>
      </c>
      <c r="H227" s="16">
        <f>IF($A227="","",ROUND($B227*$G227,2))</f>
        <v/>
      </c>
      <c r="I227" s="16">
        <f>IF($A227="","",IFERROR(SUMIF(tblAnahtarB[NormB],$A227,tblVeriB[ReklamTutar]),0))</f>
        <v/>
      </c>
      <c r="J227" s="16">
        <f>IF($A227="","",ROUND($B227-$C227,2))</f>
        <v/>
      </c>
      <c r="K227" s="16">
        <f>IF($A227="","",ROUND($B227-$C227-$E227-$F227-$H227-$I227,2))</f>
        <v/>
      </c>
      <c r="L227" s="16">
        <f>IF(OR($A227="",$B227=0),0,$K227/$B227)</f>
        <v/>
      </c>
      <c r="M227" s="16">
        <f>IF($A227="","",IF((1-$D227-$G227)&lt;=0,0,ROUND(($C227+$F227+$I227)/(1-$D227-$G227),2)))</f>
        <v/>
      </c>
      <c r="N227" s="16">
        <f>IF($A227="","",IFERROR(SUMIF(tblAnahtarA[Norm],$A227,tblVeriA[HedefNet]),0))</f>
        <v/>
      </c>
      <c r="O227" s="16">
        <f>IF($A227="","",ROUND($K227-$N227,2))</f>
        <v/>
      </c>
      <c r="P227" s="16">
        <f>IF($A227="","",IF($L227&lt;egk_esikKatkiDusuk,"ZAM YAP",IF(AND($R227=1,$L227&lt;egk_esikKatkiHedef),"İNDİRİMİ KES","TUT")))</f>
        <v/>
      </c>
      <c r="Q227" s="16">
        <f>IF($A227="","",IFERROR(SUMIF(tblAnahtarB[NormB],$A227,tblVeriB[Roas]),0))</f>
        <v/>
      </c>
      <c r="R227" s="16">
        <f>IF($A227="","",IF(OR(IFERROR(INDEX(tblVeriA[YorumAB],MATCH($A227,tblAnahtarA[Norm],0)),"")="B",IFERROR(INDEX(tblVeriA[Durum],MATCH($A227,tblAnahtarA[Norm],0)),"")="Kampanya"),1,0))</f>
        <v/>
      </c>
      <c r="S227" s="16">
        <f>IF($A227="","",$J227-$E227)</f>
        <v/>
      </c>
      <c r="T227" s="16">
        <f>IF($A227="","",$K227-$O227)</f>
        <v/>
      </c>
    </row>
    <row r="228">
      <c r="A228" s="16">
        <f>IF('ANAHTAR'!$B228="","",'ANAHTAR'!$B228)</f>
        <v/>
      </c>
      <c r="B228" s="16">
        <f>IF($A228="","",IFERROR(SUMIF(tblAnahtarA[Norm],$A228,tblVeriA[SatisFiyati]),0))</f>
        <v/>
      </c>
      <c r="C228" s="16">
        <f>IF($A228="","",IFERROR(SUMIF(tblAnahtarA[Norm],$A228,tblVeriA[Maliyet]),0))</f>
        <v/>
      </c>
      <c r="D228" s="16">
        <f>IF($A228="","",IFERROR(SUMIF(tblAnahtarB[NormB],$A228,tblVeriB[KomisyonOran]),0))</f>
        <v/>
      </c>
      <c r="E228" s="16">
        <f>IF($A228="","",ROUND($B228*$D228,2))</f>
        <v/>
      </c>
      <c r="F228" s="16">
        <f>IF($A228="","",IFERROR(SUMIF(tblAnahtarB[NormB],$A228,tblVeriB[Kargo]),0))</f>
        <v/>
      </c>
      <c r="G228" s="16">
        <f>IF($A228="","",IFERROR(SUMIF(tblAnahtarB[NormB],$A228,tblVeriB[IadeOran]),0))</f>
        <v/>
      </c>
      <c r="H228" s="16">
        <f>IF($A228="","",ROUND($B228*$G228,2))</f>
        <v/>
      </c>
      <c r="I228" s="16">
        <f>IF($A228="","",IFERROR(SUMIF(tblAnahtarB[NormB],$A228,tblVeriB[ReklamTutar]),0))</f>
        <v/>
      </c>
      <c r="J228" s="16">
        <f>IF($A228="","",ROUND($B228-$C228,2))</f>
        <v/>
      </c>
      <c r="K228" s="16">
        <f>IF($A228="","",ROUND($B228-$C228-$E228-$F228-$H228-$I228,2))</f>
        <v/>
      </c>
      <c r="L228" s="16">
        <f>IF(OR($A228="",$B228=0),0,$K228/$B228)</f>
        <v/>
      </c>
      <c r="M228" s="16">
        <f>IF($A228="","",IF((1-$D228-$G228)&lt;=0,0,ROUND(($C228+$F228+$I228)/(1-$D228-$G228),2)))</f>
        <v/>
      </c>
      <c r="N228" s="16">
        <f>IF($A228="","",IFERROR(SUMIF(tblAnahtarA[Norm],$A228,tblVeriA[HedefNet]),0))</f>
        <v/>
      </c>
      <c r="O228" s="16">
        <f>IF($A228="","",ROUND($K228-$N228,2))</f>
        <v/>
      </c>
      <c r="P228" s="16">
        <f>IF($A228="","",IF($L228&lt;egk_esikKatkiDusuk,"ZAM YAP",IF(AND($R228=1,$L228&lt;egk_esikKatkiHedef),"İNDİRİMİ KES","TUT")))</f>
        <v/>
      </c>
      <c r="Q228" s="16">
        <f>IF($A228="","",IFERROR(SUMIF(tblAnahtarB[NormB],$A228,tblVeriB[Roas]),0))</f>
        <v/>
      </c>
      <c r="R228" s="16">
        <f>IF($A228="","",IF(OR(IFERROR(INDEX(tblVeriA[YorumAB],MATCH($A228,tblAnahtarA[Norm],0)),"")="B",IFERROR(INDEX(tblVeriA[Durum],MATCH($A228,tblAnahtarA[Norm],0)),"")="Kampanya"),1,0))</f>
        <v/>
      </c>
      <c r="S228" s="16">
        <f>IF($A228="","",$J228-$E228)</f>
        <v/>
      </c>
      <c r="T228" s="16">
        <f>IF($A228="","",$K228-$O228)</f>
        <v/>
      </c>
    </row>
    <row r="229">
      <c r="A229" s="16">
        <f>IF('ANAHTAR'!$B229="","",'ANAHTAR'!$B229)</f>
        <v/>
      </c>
      <c r="B229" s="16">
        <f>IF($A229="","",IFERROR(SUMIF(tblAnahtarA[Norm],$A229,tblVeriA[SatisFiyati]),0))</f>
        <v/>
      </c>
      <c r="C229" s="16">
        <f>IF($A229="","",IFERROR(SUMIF(tblAnahtarA[Norm],$A229,tblVeriA[Maliyet]),0))</f>
        <v/>
      </c>
      <c r="D229" s="16">
        <f>IF($A229="","",IFERROR(SUMIF(tblAnahtarB[NormB],$A229,tblVeriB[KomisyonOran]),0))</f>
        <v/>
      </c>
      <c r="E229" s="16">
        <f>IF($A229="","",ROUND($B229*$D229,2))</f>
        <v/>
      </c>
      <c r="F229" s="16">
        <f>IF($A229="","",IFERROR(SUMIF(tblAnahtarB[NormB],$A229,tblVeriB[Kargo]),0))</f>
        <v/>
      </c>
      <c r="G229" s="16">
        <f>IF($A229="","",IFERROR(SUMIF(tblAnahtarB[NormB],$A229,tblVeriB[IadeOran]),0))</f>
        <v/>
      </c>
      <c r="H229" s="16">
        <f>IF($A229="","",ROUND($B229*$G229,2))</f>
        <v/>
      </c>
      <c r="I229" s="16">
        <f>IF($A229="","",IFERROR(SUMIF(tblAnahtarB[NormB],$A229,tblVeriB[ReklamTutar]),0))</f>
        <v/>
      </c>
      <c r="J229" s="16">
        <f>IF($A229="","",ROUND($B229-$C229,2))</f>
        <v/>
      </c>
      <c r="K229" s="16">
        <f>IF($A229="","",ROUND($B229-$C229-$E229-$F229-$H229-$I229,2))</f>
        <v/>
      </c>
      <c r="L229" s="16">
        <f>IF(OR($A229="",$B229=0),0,$K229/$B229)</f>
        <v/>
      </c>
      <c r="M229" s="16">
        <f>IF($A229="","",IF((1-$D229-$G229)&lt;=0,0,ROUND(($C229+$F229+$I229)/(1-$D229-$G229),2)))</f>
        <v/>
      </c>
      <c r="N229" s="16">
        <f>IF($A229="","",IFERROR(SUMIF(tblAnahtarA[Norm],$A229,tblVeriA[HedefNet]),0))</f>
        <v/>
      </c>
      <c r="O229" s="16">
        <f>IF($A229="","",ROUND($K229-$N229,2))</f>
        <v/>
      </c>
      <c r="P229" s="16">
        <f>IF($A229="","",IF($L229&lt;egk_esikKatkiDusuk,"ZAM YAP",IF(AND($R229=1,$L229&lt;egk_esikKatkiHedef),"İNDİRİMİ KES","TUT")))</f>
        <v/>
      </c>
      <c r="Q229" s="16">
        <f>IF($A229="","",IFERROR(SUMIF(tblAnahtarB[NormB],$A229,tblVeriB[Roas]),0))</f>
        <v/>
      </c>
      <c r="R229" s="16">
        <f>IF($A229="","",IF(OR(IFERROR(INDEX(tblVeriA[YorumAB],MATCH($A229,tblAnahtarA[Norm],0)),"")="B",IFERROR(INDEX(tblVeriA[Durum],MATCH($A229,tblAnahtarA[Norm],0)),"")="Kampanya"),1,0))</f>
        <v/>
      </c>
      <c r="S229" s="16">
        <f>IF($A229="","",$J229-$E229)</f>
        <v/>
      </c>
      <c r="T229" s="16">
        <f>IF($A229="","",$K229-$O229)</f>
        <v/>
      </c>
    </row>
    <row r="230">
      <c r="A230" s="16">
        <f>IF('ANAHTAR'!$B230="","",'ANAHTAR'!$B230)</f>
        <v/>
      </c>
      <c r="B230" s="16">
        <f>IF($A230="","",IFERROR(SUMIF(tblAnahtarA[Norm],$A230,tblVeriA[SatisFiyati]),0))</f>
        <v/>
      </c>
      <c r="C230" s="16">
        <f>IF($A230="","",IFERROR(SUMIF(tblAnahtarA[Norm],$A230,tblVeriA[Maliyet]),0))</f>
        <v/>
      </c>
      <c r="D230" s="16">
        <f>IF($A230="","",IFERROR(SUMIF(tblAnahtarB[NormB],$A230,tblVeriB[KomisyonOran]),0))</f>
        <v/>
      </c>
      <c r="E230" s="16">
        <f>IF($A230="","",ROUND($B230*$D230,2))</f>
        <v/>
      </c>
      <c r="F230" s="16">
        <f>IF($A230="","",IFERROR(SUMIF(tblAnahtarB[NormB],$A230,tblVeriB[Kargo]),0))</f>
        <v/>
      </c>
      <c r="G230" s="16">
        <f>IF($A230="","",IFERROR(SUMIF(tblAnahtarB[NormB],$A230,tblVeriB[IadeOran]),0))</f>
        <v/>
      </c>
      <c r="H230" s="16">
        <f>IF($A230="","",ROUND($B230*$G230,2))</f>
        <v/>
      </c>
      <c r="I230" s="16">
        <f>IF($A230="","",IFERROR(SUMIF(tblAnahtarB[NormB],$A230,tblVeriB[ReklamTutar]),0))</f>
        <v/>
      </c>
      <c r="J230" s="16">
        <f>IF($A230="","",ROUND($B230-$C230,2))</f>
        <v/>
      </c>
      <c r="K230" s="16">
        <f>IF($A230="","",ROUND($B230-$C230-$E230-$F230-$H230-$I230,2))</f>
        <v/>
      </c>
      <c r="L230" s="16">
        <f>IF(OR($A230="",$B230=0),0,$K230/$B230)</f>
        <v/>
      </c>
      <c r="M230" s="16">
        <f>IF($A230="","",IF((1-$D230-$G230)&lt;=0,0,ROUND(($C230+$F230+$I230)/(1-$D230-$G230),2)))</f>
        <v/>
      </c>
      <c r="N230" s="16">
        <f>IF($A230="","",IFERROR(SUMIF(tblAnahtarA[Norm],$A230,tblVeriA[HedefNet]),0))</f>
        <v/>
      </c>
      <c r="O230" s="16">
        <f>IF($A230="","",ROUND($K230-$N230,2))</f>
        <v/>
      </c>
      <c r="P230" s="16">
        <f>IF($A230="","",IF($L230&lt;egk_esikKatkiDusuk,"ZAM YAP",IF(AND($R230=1,$L230&lt;egk_esikKatkiHedef),"İNDİRİMİ KES","TUT")))</f>
        <v/>
      </c>
      <c r="Q230" s="16">
        <f>IF($A230="","",IFERROR(SUMIF(tblAnahtarB[NormB],$A230,tblVeriB[Roas]),0))</f>
        <v/>
      </c>
      <c r="R230" s="16">
        <f>IF($A230="","",IF(OR(IFERROR(INDEX(tblVeriA[YorumAB],MATCH($A230,tblAnahtarA[Norm],0)),"")="B",IFERROR(INDEX(tblVeriA[Durum],MATCH($A230,tblAnahtarA[Norm],0)),"")="Kampanya"),1,0))</f>
        <v/>
      </c>
      <c r="S230" s="16">
        <f>IF($A230="","",$J230-$E230)</f>
        <v/>
      </c>
      <c r="T230" s="16">
        <f>IF($A230="","",$K230-$O230)</f>
        <v/>
      </c>
    </row>
    <row r="231">
      <c r="A231" s="16">
        <f>IF('ANAHTAR'!$B231="","",'ANAHTAR'!$B231)</f>
        <v/>
      </c>
      <c r="B231" s="16">
        <f>IF($A231="","",IFERROR(SUMIF(tblAnahtarA[Norm],$A231,tblVeriA[SatisFiyati]),0))</f>
        <v/>
      </c>
      <c r="C231" s="16">
        <f>IF($A231="","",IFERROR(SUMIF(tblAnahtarA[Norm],$A231,tblVeriA[Maliyet]),0))</f>
        <v/>
      </c>
      <c r="D231" s="16">
        <f>IF($A231="","",IFERROR(SUMIF(tblAnahtarB[NormB],$A231,tblVeriB[KomisyonOran]),0))</f>
        <v/>
      </c>
      <c r="E231" s="16">
        <f>IF($A231="","",ROUND($B231*$D231,2))</f>
        <v/>
      </c>
      <c r="F231" s="16">
        <f>IF($A231="","",IFERROR(SUMIF(tblAnahtarB[NormB],$A231,tblVeriB[Kargo]),0))</f>
        <v/>
      </c>
      <c r="G231" s="16">
        <f>IF($A231="","",IFERROR(SUMIF(tblAnahtarB[NormB],$A231,tblVeriB[IadeOran]),0))</f>
        <v/>
      </c>
      <c r="H231" s="16">
        <f>IF($A231="","",ROUND($B231*$G231,2))</f>
        <v/>
      </c>
      <c r="I231" s="16">
        <f>IF($A231="","",IFERROR(SUMIF(tblAnahtarB[NormB],$A231,tblVeriB[ReklamTutar]),0))</f>
        <v/>
      </c>
      <c r="J231" s="16">
        <f>IF($A231="","",ROUND($B231-$C231,2))</f>
        <v/>
      </c>
      <c r="K231" s="16">
        <f>IF($A231="","",ROUND($B231-$C231-$E231-$F231-$H231-$I231,2))</f>
        <v/>
      </c>
      <c r="L231" s="16">
        <f>IF(OR($A231="",$B231=0),0,$K231/$B231)</f>
        <v/>
      </c>
      <c r="M231" s="16">
        <f>IF($A231="","",IF((1-$D231-$G231)&lt;=0,0,ROUND(($C231+$F231+$I231)/(1-$D231-$G231),2)))</f>
        <v/>
      </c>
      <c r="N231" s="16">
        <f>IF($A231="","",IFERROR(SUMIF(tblAnahtarA[Norm],$A231,tblVeriA[HedefNet]),0))</f>
        <v/>
      </c>
      <c r="O231" s="16">
        <f>IF($A231="","",ROUND($K231-$N231,2))</f>
        <v/>
      </c>
      <c r="P231" s="16">
        <f>IF($A231="","",IF($L231&lt;egk_esikKatkiDusuk,"ZAM YAP",IF(AND($R231=1,$L231&lt;egk_esikKatkiHedef),"İNDİRİMİ KES","TUT")))</f>
        <v/>
      </c>
      <c r="Q231" s="16">
        <f>IF($A231="","",IFERROR(SUMIF(tblAnahtarB[NormB],$A231,tblVeriB[Roas]),0))</f>
        <v/>
      </c>
      <c r="R231" s="16">
        <f>IF($A231="","",IF(OR(IFERROR(INDEX(tblVeriA[YorumAB],MATCH($A231,tblAnahtarA[Norm],0)),"")="B",IFERROR(INDEX(tblVeriA[Durum],MATCH($A231,tblAnahtarA[Norm],0)),"")="Kampanya"),1,0))</f>
        <v/>
      </c>
      <c r="S231" s="16">
        <f>IF($A231="","",$J231-$E231)</f>
        <v/>
      </c>
      <c r="T231" s="16">
        <f>IF($A231="","",$K231-$O231)</f>
        <v/>
      </c>
    </row>
    <row r="232">
      <c r="A232" s="16">
        <f>IF('ANAHTAR'!$B232="","",'ANAHTAR'!$B232)</f>
        <v/>
      </c>
      <c r="B232" s="16">
        <f>IF($A232="","",IFERROR(SUMIF(tblAnahtarA[Norm],$A232,tblVeriA[SatisFiyati]),0))</f>
        <v/>
      </c>
      <c r="C232" s="16">
        <f>IF($A232="","",IFERROR(SUMIF(tblAnahtarA[Norm],$A232,tblVeriA[Maliyet]),0))</f>
        <v/>
      </c>
      <c r="D232" s="16">
        <f>IF($A232="","",IFERROR(SUMIF(tblAnahtarB[NormB],$A232,tblVeriB[KomisyonOran]),0))</f>
        <v/>
      </c>
      <c r="E232" s="16">
        <f>IF($A232="","",ROUND($B232*$D232,2))</f>
        <v/>
      </c>
      <c r="F232" s="16">
        <f>IF($A232="","",IFERROR(SUMIF(tblAnahtarB[NormB],$A232,tblVeriB[Kargo]),0))</f>
        <v/>
      </c>
      <c r="G232" s="16">
        <f>IF($A232="","",IFERROR(SUMIF(tblAnahtarB[NormB],$A232,tblVeriB[IadeOran]),0))</f>
        <v/>
      </c>
      <c r="H232" s="16">
        <f>IF($A232="","",ROUND($B232*$G232,2))</f>
        <v/>
      </c>
      <c r="I232" s="16">
        <f>IF($A232="","",IFERROR(SUMIF(tblAnahtarB[NormB],$A232,tblVeriB[ReklamTutar]),0))</f>
        <v/>
      </c>
      <c r="J232" s="16">
        <f>IF($A232="","",ROUND($B232-$C232,2))</f>
        <v/>
      </c>
      <c r="K232" s="16">
        <f>IF($A232="","",ROUND($B232-$C232-$E232-$F232-$H232-$I232,2))</f>
        <v/>
      </c>
      <c r="L232" s="16">
        <f>IF(OR($A232="",$B232=0),0,$K232/$B232)</f>
        <v/>
      </c>
      <c r="M232" s="16">
        <f>IF($A232="","",IF((1-$D232-$G232)&lt;=0,0,ROUND(($C232+$F232+$I232)/(1-$D232-$G232),2)))</f>
        <v/>
      </c>
      <c r="N232" s="16">
        <f>IF($A232="","",IFERROR(SUMIF(tblAnahtarA[Norm],$A232,tblVeriA[HedefNet]),0))</f>
        <v/>
      </c>
      <c r="O232" s="16">
        <f>IF($A232="","",ROUND($K232-$N232,2))</f>
        <v/>
      </c>
      <c r="P232" s="16">
        <f>IF($A232="","",IF($L232&lt;egk_esikKatkiDusuk,"ZAM YAP",IF(AND($R232=1,$L232&lt;egk_esikKatkiHedef),"İNDİRİMİ KES","TUT")))</f>
        <v/>
      </c>
      <c r="Q232" s="16">
        <f>IF($A232="","",IFERROR(SUMIF(tblAnahtarB[NormB],$A232,tblVeriB[Roas]),0))</f>
        <v/>
      </c>
      <c r="R232" s="16">
        <f>IF($A232="","",IF(OR(IFERROR(INDEX(tblVeriA[YorumAB],MATCH($A232,tblAnahtarA[Norm],0)),"")="B",IFERROR(INDEX(tblVeriA[Durum],MATCH($A232,tblAnahtarA[Norm],0)),"")="Kampanya"),1,0))</f>
        <v/>
      </c>
      <c r="S232" s="16">
        <f>IF($A232="","",$J232-$E232)</f>
        <v/>
      </c>
      <c r="T232" s="16">
        <f>IF($A232="","",$K232-$O232)</f>
        <v/>
      </c>
    </row>
    <row r="233">
      <c r="A233" s="16">
        <f>IF('ANAHTAR'!$B233="","",'ANAHTAR'!$B233)</f>
        <v/>
      </c>
      <c r="B233" s="16">
        <f>IF($A233="","",IFERROR(SUMIF(tblAnahtarA[Norm],$A233,tblVeriA[SatisFiyati]),0))</f>
        <v/>
      </c>
      <c r="C233" s="16">
        <f>IF($A233="","",IFERROR(SUMIF(tblAnahtarA[Norm],$A233,tblVeriA[Maliyet]),0))</f>
        <v/>
      </c>
      <c r="D233" s="16">
        <f>IF($A233="","",IFERROR(SUMIF(tblAnahtarB[NormB],$A233,tblVeriB[KomisyonOran]),0))</f>
        <v/>
      </c>
      <c r="E233" s="16">
        <f>IF($A233="","",ROUND($B233*$D233,2))</f>
        <v/>
      </c>
      <c r="F233" s="16">
        <f>IF($A233="","",IFERROR(SUMIF(tblAnahtarB[NormB],$A233,tblVeriB[Kargo]),0))</f>
        <v/>
      </c>
      <c r="G233" s="16">
        <f>IF($A233="","",IFERROR(SUMIF(tblAnahtarB[NormB],$A233,tblVeriB[IadeOran]),0))</f>
        <v/>
      </c>
      <c r="H233" s="16">
        <f>IF($A233="","",ROUND($B233*$G233,2))</f>
        <v/>
      </c>
      <c r="I233" s="16">
        <f>IF($A233="","",IFERROR(SUMIF(tblAnahtarB[NormB],$A233,tblVeriB[ReklamTutar]),0))</f>
        <v/>
      </c>
      <c r="J233" s="16">
        <f>IF($A233="","",ROUND($B233-$C233,2))</f>
        <v/>
      </c>
      <c r="K233" s="16">
        <f>IF($A233="","",ROUND($B233-$C233-$E233-$F233-$H233-$I233,2))</f>
        <v/>
      </c>
      <c r="L233" s="16">
        <f>IF(OR($A233="",$B233=0),0,$K233/$B233)</f>
        <v/>
      </c>
      <c r="M233" s="16">
        <f>IF($A233="","",IF((1-$D233-$G233)&lt;=0,0,ROUND(($C233+$F233+$I233)/(1-$D233-$G233),2)))</f>
        <v/>
      </c>
      <c r="N233" s="16">
        <f>IF($A233="","",IFERROR(SUMIF(tblAnahtarA[Norm],$A233,tblVeriA[HedefNet]),0))</f>
        <v/>
      </c>
      <c r="O233" s="16">
        <f>IF($A233="","",ROUND($K233-$N233,2))</f>
        <v/>
      </c>
      <c r="P233" s="16">
        <f>IF($A233="","",IF($L233&lt;egk_esikKatkiDusuk,"ZAM YAP",IF(AND($R233=1,$L233&lt;egk_esikKatkiHedef),"İNDİRİMİ KES","TUT")))</f>
        <v/>
      </c>
      <c r="Q233" s="16">
        <f>IF($A233="","",IFERROR(SUMIF(tblAnahtarB[NormB],$A233,tblVeriB[Roas]),0))</f>
        <v/>
      </c>
      <c r="R233" s="16">
        <f>IF($A233="","",IF(OR(IFERROR(INDEX(tblVeriA[YorumAB],MATCH($A233,tblAnahtarA[Norm],0)),"")="B",IFERROR(INDEX(tblVeriA[Durum],MATCH($A233,tblAnahtarA[Norm],0)),"")="Kampanya"),1,0))</f>
        <v/>
      </c>
      <c r="S233" s="16">
        <f>IF($A233="","",$J233-$E233)</f>
        <v/>
      </c>
      <c r="T233" s="16">
        <f>IF($A233="","",$K233-$O233)</f>
        <v/>
      </c>
    </row>
    <row r="234">
      <c r="A234" s="16">
        <f>IF('ANAHTAR'!$B234="","",'ANAHTAR'!$B234)</f>
        <v/>
      </c>
      <c r="B234" s="16">
        <f>IF($A234="","",IFERROR(SUMIF(tblAnahtarA[Norm],$A234,tblVeriA[SatisFiyati]),0))</f>
        <v/>
      </c>
      <c r="C234" s="16">
        <f>IF($A234="","",IFERROR(SUMIF(tblAnahtarA[Norm],$A234,tblVeriA[Maliyet]),0))</f>
        <v/>
      </c>
      <c r="D234" s="16">
        <f>IF($A234="","",IFERROR(SUMIF(tblAnahtarB[NormB],$A234,tblVeriB[KomisyonOran]),0))</f>
        <v/>
      </c>
      <c r="E234" s="16">
        <f>IF($A234="","",ROUND($B234*$D234,2))</f>
        <v/>
      </c>
      <c r="F234" s="16">
        <f>IF($A234="","",IFERROR(SUMIF(tblAnahtarB[NormB],$A234,tblVeriB[Kargo]),0))</f>
        <v/>
      </c>
      <c r="G234" s="16">
        <f>IF($A234="","",IFERROR(SUMIF(tblAnahtarB[NormB],$A234,tblVeriB[IadeOran]),0))</f>
        <v/>
      </c>
      <c r="H234" s="16">
        <f>IF($A234="","",ROUND($B234*$G234,2))</f>
        <v/>
      </c>
      <c r="I234" s="16">
        <f>IF($A234="","",IFERROR(SUMIF(tblAnahtarB[NormB],$A234,tblVeriB[ReklamTutar]),0))</f>
        <v/>
      </c>
      <c r="J234" s="16">
        <f>IF($A234="","",ROUND($B234-$C234,2))</f>
        <v/>
      </c>
      <c r="K234" s="16">
        <f>IF($A234="","",ROUND($B234-$C234-$E234-$F234-$H234-$I234,2))</f>
        <v/>
      </c>
      <c r="L234" s="16">
        <f>IF(OR($A234="",$B234=0),0,$K234/$B234)</f>
        <v/>
      </c>
      <c r="M234" s="16">
        <f>IF($A234="","",IF((1-$D234-$G234)&lt;=0,0,ROUND(($C234+$F234+$I234)/(1-$D234-$G234),2)))</f>
        <v/>
      </c>
      <c r="N234" s="16">
        <f>IF($A234="","",IFERROR(SUMIF(tblAnahtarA[Norm],$A234,tblVeriA[HedefNet]),0))</f>
        <v/>
      </c>
      <c r="O234" s="16">
        <f>IF($A234="","",ROUND($K234-$N234,2))</f>
        <v/>
      </c>
      <c r="P234" s="16">
        <f>IF($A234="","",IF($L234&lt;egk_esikKatkiDusuk,"ZAM YAP",IF(AND($R234=1,$L234&lt;egk_esikKatkiHedef),"İNDİRİMİ KES","TUT")))</f>
        <v/>
      </c>
      <c r="Q234" s="16">
        <f>IF($A234="","",IFERROR(SUMIF(tblAnahtarB[NormB],$A234,tblVeriB[Roas]),0))</f>
        <v/>
      </c>
      <c r="R234" s="16">
        <f>IF($A234="","",IF(OR(IFERROR(INDEX(tblVeriA[YorumAB],MATCH($A234,tblAnahtarA[Norm],0)),"")="B",IFERROR(INDEX(tblVeriA[Durum],MATCH($A234,tblAnahtarA[Norm],0)),"")="Kampanya"),1,0))</f>
        <v/>
      </c>
      <c r="S234" s="16">
        <f>IF($A234="","",$J234-$E234)</f>
        <v/>
      </c>
      <c r="T234" s="16">
        <f>IF($A234="","",$K234-$O234)</f>
        <v/>
      </c>
    </row>
    <row r="235">
      <c r="A235" s="16">
        <f>IF('ANAHTAR'!$B235="","",'ANAHTAR'!$B235)</f>
        <v/>
      </c>
      <c r="B235" s="16">
        <f>IF($A235="","",IFERROR(SUMIF(tblAnahtarA[Norm],$A235,tblVeriA[SatisFiyati]),0))</f>
        <v/>
      </c>
      <c r="C235" s="16">
        <f>IF($A235="","",IFERROR(SUMIF(tblAnahtarA[Norm],$A235,tblVeriA[Maliyet]),0))</f>
        <v/>
      </c>
      <c r="D235" s="16">
        <f>IF($A235="","",IFERROR(SUMIF(tblAnahtarB[NormB],$A235,tblVeriB[KomisyonOran]),0))</f>
        <v/>
      </c>
      <c r="E235" s="16">
        <f>IF($A235="","",ROUND($B235*$D235,2))</f>
        <v/>
      </c>
      <c r="F235" s="16">
        <f>IF($A235="","",IFERROR(SUMIF(tblAnahtarB[NormB],$A235,tblVeriB[Kargo]),0))</f>
        <v/>
      </c>
      <c r="G235" s="16">
        <f>IF($A235="","",IFERROR(SUMIF(tblAnahtarB[NormB],$A235,tblVeriB[IadeOran]),0))</f>
        <v/>
      </c>
      <c r="H235" s="16">
        <f>IF($A235="","",ROUND($B235*$G235,2))</f>
        <v/>
      </c>
      <c r="I235" s="16">
        <f>IF($A235="","",IFERROR(SUMIF(tblAnahtarB[NormB],$A235,tblVeriB[ReklamTutar]),0))</f>
        <v/>
      </c>
      <c r="J235" s="16">
        <f>IF($A235="","",ROUND($B235-$C235,2))</f>
        <v/>
      </c>
      <c r="K235" s="16">
        <f>IF($A235="","",ROUND($B235-$C235-$E235-$F235-$H235-$I235,2))</f>
        <v/>
      </c>
      <c r="L235" s="16">
        <f>IF(OR($A235="",$B235=0),0,$K235/$B235)</f>
        <v/>
      </c>
      <c r="M235" s="16">
        <f>IF($A235="","",IF((1-$D235-$G235)&lt;=0,0,ROUND(($C235+$F235+$I235)/(1-$D235-$G235),2)))</f>
        <v/>
      </c>
      <c r="N235" s="16">
        <f>IF($A235="","",IFERROR(SUMIF(tblAnahtarA[Norm],$A235,tblVeriA[HedefNet]),0))</f>
        <v/>
      </c>
      <c r="O235" s="16">
        <f>IF($A235="","",ROUND($K235-$N235,2))</f>
        <v/>
      </c>
      <c r="P235" s="16">
        <f>IF($A235="","",IF($L235&lt;egk_esikKatkiDusuk,"ZAM YAP",IF(AND($R235=1,$L235&lt;egk_esikKatkiHedef),"İNDİRİMİ KES","TUT")))</f>
        <v/>
      </c>
      <c r="Q235" s="16">
        <f>IF($A235="","",IFERROR(SUMIF(tblAnahtarB[NormB],$A235,tblVeriB[Roas]),0))</f>
        <v/>
      </c>
      <c r="R235" s="16">
        <f>IF($A235="","",IF(OR(IFERROR(INDEX(tblVeriA[YorumAB],MATCH($A235,tblAnahtarA[Norm],0)),"")="B",IFERROR(INDEX(tblVeriA[Durum],MATCH($A235,tblAnahtarA[Norm],0)),"")="Kampanya"),1,0))</f>
        <v/>
      </c>
      <c r="S235" s="16">
        <f>IF($A235="","",$J235-$E235)</f>
        <v/>
      </c>
      <c r="T235" s="16">
        <f>IF($A235="","",$K235-$O235)</f>
        <v/>
      </c>
    </row>
    <row r="236">
      <c r="A236" s="16">
        <f>IF('ANAHTAR'!$B236="","",'ANAHTAR'!$B236)</f>
        <v/>
      </c>
      <c r="B236" s="16">
        <f>IF($A236="","",IFERROR(SUMIF(tblAnahtarA[Norm],$A236,tblVeriA[SatisFiyati]),0))</f>
        <v/>
      </c>
      <c r="C236" s="16">
        <f>IF($A236="","",IFERROR(SUMIF(tblAnahtarA[Norm],$A236,tblVeriA[Maliyet]),0))</f>
        <v/>
      </c>
      <c r="D236" s="16">
        <f>IF($A236="","",IFERROR(SUMIF(tblAnahtarB[NormB],$A236,tblVeriB[KomisyonOran]),0))</f>
        <v/>
      </c>
      <c r="E236" s="16">
        <f>IF($A236="","",ROUND($B236*$D236,2))</f>
        <v/>
      </c>
      <c r="F236" s="16">
        <f>IF($A236="","",IFERROR(SUMIF(tblAnahtarB[NormB],$A236,tblVeriB[Kargo]),0))</f>
        <v/>
      </c>
      <c r="G236" s="16">
        <f>IF($A236="","",IFERROR(SUMIF(tblAnahtarB[NormB],$A236,tblVeriB[IadeOran]),0))</f>
        <v/>
      </c>
      <c r="H236" s="16">
        <f>IF($A236="","",ROUND($B236*$G236,2))</f>
        <v/>
      </c>
      <c r="I236" s="16">
        <f>IF($A236="","",IFERROR(SUMIF(tblAnahtarB[NormB],$A236,tblVeriB[ReklamTutar]),0))</f>
        <v/>
      </c>
      <c r="J236" s="16">
        <f>IF($A236="","",ROUND($B236-$C236,2))</f>
        <v/>
      </c>
      <c r="K236" s="16">
        <f>IF($A236="","",ROUND($B236-$C236-$E236-$F236-$H236-$I236,2))</f>
        <v/>
      </c>
      <c r="L236" s="16">
        <f>IF(OR($A236="",$B236=0),0,$K236/$B236)</f>
        <v/>
      </c>
      <c r="M236" s="16">
        <f>IF($A236="","",IF((1-$D236-$G236)&lt;=0,0,ROUND(($C236+$F236+$I236)/(1-$D236-$G236),2)))</f>
        <v/>
      </c>
      <c r="N236" s="16">
        <f>IF($A236="","",IFERROR(SUMIF(tblAnahtarA[Norm],$A236,tblVeriA[HedefNet]),0))</f>
        <v/>
      </c>
      <c r="O236" s="16">
        <f>IF($A236="","",ROUND($K236-$N236,2))</f>
        <v/>
      </c>
      <c r="P236" s="16">
        <f>IF($A236="","",IF($L236&lt;egk_esikKatkiDusuk,"ZAM YAP",IF(AND($R236=1,$L236&lt;egk_esikKatkiHedef),"İNDİRİMİ KES","TUT")))</f>
        <v/>
      </c>
      <c r="Q236" s="16">
        <f>IF($A236="","",IFERROR(SUMIF(tblAnahtarB[NormB],$A236,tblVeriB[Roas]),0))</f>
        <v/>
      </c>
      <c r="R236" s="16">
        <f>IF($A236="","",IF(OR(IFERROR(INDEX(tblVeriA[YorumAB],MATCH($A236,tblAnahtarA[Norm],0)),"")="B",IFERROR(INDEX(tblVeriA[Durum],MATCH($A236,tblAnahtarA[Norm],0)),"")="Kampanya"),1,0))</f>
        <v/>
      </c>
      <c r="S236" s="16">
        <f>IF($A236="","",$J236-$E236)</f>
        <v/>
      </c>
      <c r="T236" s="16">
        <f>IF($A236="","",$K236-$O236)</f>
        <v/>
      </c>
    </row>
    <row r="237">
      <c r="A237" s="16">
        <f>IF('ANAHTAR'!$B237="","",'ANAHTAR'!$B237)</f>
        <v/>
      </c>
      <c r="B237" s="16">
        <f>IF($A237="","",IFERROR(SUMIF(tblAnahtarA[Norm],$A237,tblVeriA[SatisFiyati]),0))</f>
        <v/>
      </c>
      <c r="C237" s="16">
        <f>IF($A237="","",IFERROR(SUMIF(tblAnahtarA[Norm],$A237,tblVeriA[Maliyet]),0))</f>
        <v/>
      </c>
      <c r="D237" s="16">
        <f>IF($A237="","",IFERROR(SUMIF(tblAnahtarB[NormB],$A237,tblVeriB[KomisyonOran]),0))</f>
        <v/>
      </c>
      <c r="E237" s="16">
        <f>IF($A237="","",ROUND($B237*$D237,2))</f>
        <v/>
      </c>
      <c r="F237" s="16">
        <f>IF($A237="","",IFERROR(SUMIF(tblAnahtarB[NormB],$A237,tblVeriB[Kargo]),0))</f>
        <v/>
      </c>
      <c r="G237" s="16">
        <f>IF($A237="","",IFERROR(SUMIF(tblAnahtarB[NormB],$A237,tblVeriB[IadeOran]),0))</f>
        <v/>
      </c>
      <c r="H237" s="16">
        <f>IF($A237="","",ROUND($B237*$G237,2))</f>
        <v/>
      </c>
      <c r="I237" s="16">
        <f>IF($A237="","",IFERROR(SUMIF(tblAnahtarB[NormB],$A237,tblVeriB[ReklamTutar]),0))</f>
        <v/>
      </c>
      <c r="J237" s="16">
        <f>IF($A237="","",ROUND($B237-$C237,2))</f>
        <v/>
      </c>
      <c r="K237" s="16">
        <f>IF($A237="","",ROUND($B237-$C237-$E237-$F237-$H237-$I237,2))</f>
        <v/>
      </c>
      <c r="L237" s="16">
        <f>IF(OR($A237="",$B237=0),0,$K237/$B237)</f>
        <v/>
      </c>
      <c r="M237" s="16">
        <f>IF($A237="","",IF((1-$D237-$G237)&lt;=0,0,ROUND(($C237+$F237+$I237)/(1-$D237-$G237),2)))</f>
        <v/>
      </c>
      <c r="N237" s="16">
        <f>IF($A237="","",IFERROR(SUMIF(tblAnahtarA[Norm],$A237,tblVeriA[HedefNet]),0))</f>
        <v/>
      </c>
      <c r="O237" s="16">
        <f>IF($A237="","",ROUND($K237-$N237,2))</f>
        <v/>
      </c>
      <c r="P237" s="16">
        <f>IF($A237="","",IF($L237&lt;egk_esikKatkiDusuk,"ZAM YAP",IF(AND($R237=1,$L237&lt;egk_esikKatkiHedef),"İNDİRİMİ KES","TUT")))</f>
        <v/>
      </c>
      <c r="Q237" s="16">
        <f>IF($A237="","",IFERROR(SUMIF(tblAnahtarB[NormB],$A237,tblVeriB[Roas]),0))</f>
        <v/>
      </c>
      <c r="R237" s="16">
        <f>IF($A237="","",IF(OR(IFERROR(INDEX(tblVeriA[YorumAB],MATCH($A237,tblAnahtarA[Norm],0)),"")="B",IFERROR(INDEX(tblVeriA[Durum],MATCH($A237,tblAnahtarA[Norm],0)),"")="Kampanya"),1,0))</f>
        <v/>
      </c>
      <c r="S237" s="16">
        <f>IF($A237="","",$J237-$E237)</f>
        <v/>
      </c>
      <c r="T237" s="16">
        <f>IF($A237="","",$K237-$O237)</f>
        <v/>
      </c>
    </row>
    <row r="238">
      <c r="A238" s="16">
        <f>IF('ANAHTAR'!$B238="","",'ANAHTAR'!$B238)</f>
        <v/>
      </c>
      <c r="B238" s="16">
        <f>IF($A238="","",IFERROR(SUMIF(tblAnahtarA[Norm],$A238,tblVeriA[SatisFiyati]),0))</f>
        <v/>
      </c>
      <c r="C238" s="16">
        <f>IF($A238="","",IFERROR(SUMIF(tblAnahtarA[Norm],$A238,tblVeriA[Maliyet]),0))</f>
        <v/>
      </c>
      <c r="D238" s="16">
        <f>IF($A238="","",IFERROR(SUMIF(tblAnahtarB[NormB],$A238,tblVeriB[KomisyonOran]),0))</f>
        <v/>
      </c>
      <c r="E238" s="16">
        <f>IF($A238="","",ROUND($B238*$D238,2))</f>
        <v/>
      </c>
      <c r="F238" s="16">
        <f>IF($A238="","",IFERROR(SUMIF(tblAnahtarB[NormB],$A238,tblVeriB[Kargo]),0))</f>
        <v/>
      </c>
      <c r="G238" s="16">
        <f>IF($A238="","",IFERROR(SUMIF(tblAnahtarB[NormB],$A238,tblVeriB[IadeOran]),0))</f>
        <v/>
      </c>
      <c r="H238" s="16">
        <f>IF($A238="","",ROUND($B238*$G238,2))</f>
        <v/>
      </c>
      <c r="I238" s="16">
        <f>IF($A238="","",IFERROR(SUMIF(tblAnahtarB[NormB],$A238,tblVeriB[ReklamTutar]),0))</f>
        <v/>
      </c>
      <c r="J238" s="16">
        <f>IF($A238="","",ROUND($B238-$C238,2))</f>
        <v/>
      </c>
      <c r="K238" s="16">
        <f>IF($A238="","",ROUND($B238-$C238-$E238-$F238-$H238-$I238,2))</f>
        <v/>
      </c>
      <c r="L238" s="16">
        <f>IF(OR($A238="",$B238=0),0,$K238/$B238)</f>
        <v/>
      </c>
      <c r="M238" s="16">
        <f>IF($A238="","",IF((1-$D238-$G238)&lt;=0,0,ROUND(($C238+$F238+$I238)/(1-$D238-$G238),2)))</f>
        <v/>
      </c>
      <c r="N238" s="16">
        <f>IF($A238="","",IFERROR(SUMIF(tblAnahtarA[Norm],$A238,tblVeriA[HedefNet]),0))</f>
        <v/>
      </c>
      <c r="O238" s="16">
        <f>IF($A238="","",ROUND($K238-$N238,2))</f>
        <v/>
      </c>
      <c r="P238" s="16">
        <f>IF($A238="","",IF($L238&lt;egk_esikKatkiDusuk,"ZAM YAP",IF(AND($R238=1,$L238&lt;egk_esikKatkiHedef),"İNDİRİMİ KES","TUT")))</f>
        <v/>
      </c>
      <c r="Q238" s="16">
        <f>IF($A238="","",IFERROR(SUMIF(tblAnahtarB[NormB],$A238,tblVeriB[Roas]),0))</f>
        <v/>
      </c>
      <c r="R238" s="16">
        <f>IF($A238="","",IF(OR(IFERROR(INDEX(tblVeriA[YorumAB],MATCH($A238,tblAnahtarA[Norm],0)),"")="B",IFERROR(INDEX(tblVeriA[Durum],MATCH($A238,tblAnahtarA[Norm],0)),"")="Kampanya"),1,0))</f>
        <v/>
      </c>
      <c r="S238" s="16">
        <f>IF($A238="","",$J238-$E238)</f>
        <v/>
      </c>
      <c r="T238" s="16">
        <f>IF($A238="","",$K238-$O238)</f>
        <v/>
      </c>
    </row>
    <row r="239">
      <c r="A239" s="16">
        <f>IF('ANAHTAR'!$B239="","",'ANAHTAR'!$B239)</f>
        <v/>
      </c>
      <c r="B239" s="16">
        <f>IF($A239="","",IFERROR(SUMIF(tblAnahtarA[Norm],$A239,tblVeriA[SatisFiyati]),0))</f>
        <v/>
      </c>
      <c r="C239" s="16">
        <f>IF($A239="","",IFERROR(SUMIF(tblAnahtarA[Norm],$A239,tblVeriA[Maliyet]),0))</f>
        <v/>
      </c>
      <c r="D239" s="16">
        <f>IF($A239="","",IFERROR(SUMIF(tblAnahtarB[NormB],$A239,tblVeriB[KomisyonOran]),0))</f>
        <v/>
      </c>
      <c r="E239" s="16">
        <f>IF($A239="","",ROUND($B239*$D239,2))</f>
        <v/>
      </c>
      <c r="F239" s="16">
        <f>IF($A239="","",IFERROR(SUMIF(tblAnahtarB[NormB],$A239,tblVeriB[Kargo]),0))</f>
        <v/>
      </c>
      <c r="G239" s="16">
        <f>IF($A239="","",IFERROR(SUMIF(tblAnahtarB[NormB],$A239,tblVeriB[IadeOran]),0))</f>
        <v/>
      </c>
      <c r="H239" s="16">
        <f>IF($A239="","",ROUND($B239*$G239,2))</f>
        <v/>
      </c>
      <c r="I239" s="16">
        <f>IF($A239="","",IFERROR(SUMIF(tblAnahtarB[NormB],$A239,tblVeriB[ReklamTutar]),0))</f>
        <v/>
      </c>
      <c r="J239" s="16">
        <f>IF($A239="","",ROUND($B239-$C239,2))</f>
        <v/>
      </c>
      <c r="K239" s="16">
        <f>IF($A239="","",ROUND($B239-$C239-$E239-$F239-$H239-$I239,2))</f>
        <v/>
      </c>
      <c r="L239" s="16">
        <f>IF(OR($A239="",$B239=0),0,$K239/$B239)</f>
        <v/>
      </c>
      <c r="M239" s="16">
        <f>IF($A239="","",IF((1-$D239-$G239)&lt;=0,0,ROUND(($C239+$F239+$I239)/(1-$D239-$G239),2)))</f>
        <v/>
      </c>
      <c r="N239" s="16">
        <f>IF($A239="","",IFERROR(SUMIF(tblAnahtarA[Norm],$A239,tblVeriA[HedefNet]),0))</f>
        <v/>
      </c>
      <c r="O239" s="16">
        <f>IF($A239="","",ROUND($K239-$N239,2))</f>
        <v/>
      </c>
      <c r="P239" s="16">
        <f>IF($A239="","",IF($L239&lt;egk_esikKatkiDusuk,"ZAM YAP",IF(AND($R239=1,$L239&lt;egk_esikKatkiHedef),"İNDİRİMİ KES","TUT")))</f>
        <v/>
      </c>
      <c r="Q239" s="16">
        <f>IF($A239="","",IFERROR(SUMIF(tblAnahtarB[NormB],$A239,tblVeriB[Roas]),0))</f>
        <v/>
      </c>
      <c r="R239" s="16">
        <f>IF($A239="","",IF(OR(IFERROR(INDEX(tblVeriA[YorumAB],MATCH($A239,tblAnahtarA[Norm],0)),"")="B",IFERROR(INDEX(tblVeriA[Durum],MATCH($A239,tblAnahtarA[Norm],0)),"")="Kampanya"),1,0))</f>
        <v/>
      </c>
      <c r="S239" s="16">
        <f>IF($A239="","",$J239-$E239)</f>
        <v/>
      </c>
      <c r="T239" s="16">
        <f>IF($A239="","",$K239-$O239)</f>
        <v/>
      </c>
    </row>
    <row r="240">
      <c r="A240" s="16">
        <f>IF('ANAHTAR'!$B240="","",'ANAHTAR'!$B240)</f>
        <v/>
      </c>
      <c r="B240" s="16">
        <f>IF($A240="","",IFERROR(SUMIF(tblAnahtarA[Norm],$A240,tblVeriA[SatisFiyati]),0))</f>
        <v/>
      </c>
      <c r="C240" s="16">
        <f>IF($A240="","",IFERROR(SUMIF(tblAnahtarA[Norm],$A240,tblVeriA[Maliyet]),0))</f>
        <v/>
      </c>
      <c r="D240" s="16">
        <f>IF($A240="","",IFERROR(SUMIF(tblAnahtarB[NormB],$A240,tblVeriB[KomisyonOran]),0))</f>
        <v/>
      </c>
      <c r="E240" s="16">
        <f>IF($A240="","",ROUND($B240*$D240,2))</f>
        <v/>
      </c>
      <c r="F240" s="16">
        <f>IF($A240="","",IFERROR(SUMIF(tblAnahtarB[NormB],$A240,tblVeriB[Kargo]),0))</f>
        <v/>
      </c>
      <c r="G240" s="16">
        <f>IF($A240="","",IFERROR(SUMIF(tblAnahtarB[NormB],$A240,tblVeriB[IadeOran]),0))</f>
        <v/>
      </c>
      <c r="H240" s="16">
        <f>IF($A240="","",ROUND($B240*$G240,2))</f>
        <v/>
      </c>
      <c r="I240" s="16">
        <f>IF($A240="","",IFERROR(SUMIF(tblAnahtarB[NormB],$A240,tblVeriB[ReklamTutar]),0))</f>
        <v/>
      </c>
      <c r="J240" s="16">
        <f>IF($A240="","",ROUND($B240-$C240,2))</f>
        <v/>
      </c>
      <c r="K240" s="16">
        <f>IF($A240="","",ROUND($B240-$C240-$E240-$F240-$H240-$I240,2))</f>
        <v/>
      </c>
      <c r="L240" s="16">
        <f>IF(OR($A240="",$B240=0),0,$K240/$B240)</f>
        <v/>
      </c>
      <c r="M240" s="16">
        <f>IF($A240="","",IF((1-$D240-$G240)&lt;=0,0,ROUND(($C240+$F240+$I240)/(1-$D240-$G240),2)))</f>
        <v/>
      </c>
      <c r="N240" s="16">
        <f>IF($A240="","",IFERROR(SUMIF(tblAnahtarA[Norm],$A240,tblVeriA[HedefNet]),0))</f>
        <v/>
      </c>
      <c r="O240" s="16">
        <f>IF($A240="","",ROUND($K240-$N240,2))</f>
        <v/>
      </c>
      <c r="P240" s="16">
        <f>IF($A240="","",IF($L240&lt;egk_esikKatkiDusuk,"ZAM YAP",IF(AND($R240=1,$L240&lt;egk_esikKatkiHedef),"İNDİRİMİ KES","TUT")))</f>
        <v/>
      </c>
      <c r="Q240" s="16">
        <f>IF($A240="","",IFERROR(SUMIF(tblAnahtarB[NormB],$A240,tblVeriB[Roas]),0))</f>
        <v/>
      </c>
      <c r="R240" s="16">
        <f>IF($A240="","",IF(OR(IFERROR(INDEX(tblVeriA[YorumAB],MATCH($A240,tblAnahtarA[Norm],0)),"")="B",IFERROR(INDEX(tblVeriA[Durum],MATCH($A240,tblAnahtarA[Norm],0)),"")="Kampanya"),1,0))</f>
        <v/>
      </c>
      <c r="S240" s="16">
        <f>IF($A240="","",$J240-$E240)</f>
        <v/>
      </c>
      <c r="T240" s="16">
        <f>IF($A240="","",$K240-$O240)</f>
        <v/>
      </c>
    </row>
    <row r="241">
      <c r="A241" s="16">
        <f>IF('ANAHTAR'!$B241="","",'ANAHTAR'!$B241)</f>
        <v/>
      </c>
      <c r="B241" s="16">
        <f>IF($A241="","",IFERROR(SUMIF(tblAnahtarA[Norm],$A241,tblVeriA[SatisFiyati]),0))</f>
        <v/>
      </c>
      <c r="C241" s="16">
        <f>IF($A241="","",IFERROR(SUMIF(tblAnahtarA[Norm],$A241,tblVeriA[Maliyet]),0))</f>
        <v/>
      </c>
      <c r="D241" s="16">
        <f>IF($A241="","",IFERROR(SUMIF(tblAnahtarB[NormB],$A241,tblVeriB[KomisyonOran]),0))</f>
        <v/>
      </c>
      <c r="E241" s="16">
        <f>IF($A241="","",ROUND($B241*$D241,2))</f>
        <v/>
      </c>
      <c r="F241" s="16">
        <f>IF($A241="","",IFERROR(SUMIF(tblAnahtarB[NormB],$A241,tblVeriB[Kargo]),0))</f>
        <v/>
      </c>
      <c r="G241" s="16">
        <f>IF($A241="","",IFERROR(SUMIF(tblAnahtarB[NormB],$A241,tblVeriB[IadeOran]),0))</f>
        <v/>
      </c>
      <c r="H241" s="16">
        <f>IF($A241="","",ROUND($B241*$G241,2))</f>
        <v/>
      </c>
      <c r="I241" s="16">
        <f>IF($A241="","",IFERROR(SUMIF(tblAnahtarB[NormB],$A241,tblVeriB[ReklamTutar]),0))</f>
        <v/>
      </c>
      <c r="J241" s="16">
        <f>IF($A241="","",ROUND($B241-$C241,2))</f>
        <v/>
      </c>
      <c r="K241" s="16">
        <f>IF($A241="","",ROUND($B241-$C241-$E241-$F241-$H241-$I241,2))</f>
        <v/>
      </c>
      <c r="L241" s="16">
        <f>IF(OR($A241="",$B241=0),0,$K241/$B241)</f>
        <v/>
      </c>
      <c r="M241" s="16">
        <f>IF($A241="","",IF((1-$D241-$G241)&lt;=0,0,ROUND(($C241+$F241+$I241)/(1-$D241-$G241),2)))</f>
        <v/>
      </c>
      <c r="N241" s="16">
        <f>IF($A241="","",IFERROR(SUMIF(tblAnahtarA[Norm],$A241,tblVeriA[HedefNet]),0))</f>
        <v/>
      </c>
      <c r="O241" s="16">
        <f>IF($A241="","",ROUND($K241-$N241,2))</f>
        <v/>
      </c>
      <c r="P241" s="16">
        <f>IF($A241="","",IF($L241&lt;egk_esikKatkiDusuk,"ZAM YAP",IF(AND($R241=1,$L241&lt;egk_esikKatkiHedef),"İNDİRİMİ KES","TUT")))</f>
        <v/>
      </c>
      <c r="Q241" s="16">
        <f>IF($A241="","",IFERROR(SUMIF(tblAnahtarB[NormB],$A241,tblVeriB[Roas]),0))</f>
        <v/>
      </c>
      <c r="R241" s="16">
        <f>IF($A241="","",IF(OR(IFERROR(INDEX(tblVeriA[YorumAB],MATCH($A241,tblAnahtarA[Norm],0)),"")="B",IFERROR(INDEX(tblVeriA[Durum],MATCH($A241,tblAnahtarA[Norm],0)),"")="Kampanya"),1,0))</f>
        <v/>
      </c>
      <c r="S241" s="16">
        <f>IF($A241="","",$J241-$E241)</f>
        <v/>
      </c>
      <c r="T241" s="16">
        <f>IF($A241="","",$K241-$O241)</f>
        <v/>
      </c>
    </row>
    <row r="242">
      <c r="A242" s="16">
        <f>IF('ANAHTAR'!$B242="","",'ANAHTAR'!$B242)</f>
        <v/>
      </c>
      <c r="B242" s="16">
        <f>IF($A242="","",IFERROR(SUMIF(tblAnahtarA[Norm],$A242,tblVeriA[SatisFiyati]),0))</f>
        <v/>
      </c>
      <c r="C242" s="16">
        <f>IF($A242="","",IFERROR(SUMIF(tblAnahtarA[Norm],$A242,tblVeriA[Maliyet]),0))</f>
        <v/>
      </c>
      <c r="D242" s="16">
        <f>IF($A242="","",IFERROR(SUMIF(tblAnahtarB[NormB],$A242,tblVeriB[KomisyonOran]),0))</f>
        <v/>
      </c>
      <c r="E242" s="16">
        <f>IF($A242="","",ROUND($B242*$D242,2))</f>
        <v/>
      </c>
      <c r="F242" s="16">
        <f>IF($A242="","",IFERROR(SUMIF(tblAnahtarB[NormB],$A242,tblVeriB[Kargo]),0))</f>
        <v/>
      </c>
      <c r="G242" s="16">
        <f>IF($A242="","",IFERROR(SUMIF(tblAnahtarB[NormB],$A242,tblVeriB[IadeOran]),0))</f>
        <v/>
      </c>
      <c r="H242" s="16">
        <f>IF($A242="","",ROUND($B242*$G242,2))</f>
        <v/>
      </c>
      <c r="I242" s="16">
        <f>IF($A242="","",IFERROR(SUMIF(tblAnahtarB[NormB],$A242,tblVeriB[ReklamTutar]),0))</f>
        <v/>
      </c>
      <c r="J242" s="16">
        <f>IF($A242="","",ROUND($B242-$C242,2))</f>
        <v/>
      </c>
      <c r="K242" s="16">
        <f>IF($A242="","",ROUND($B242-$C242-$E242-$F242-$H242-$I242,2))</f>
        <v/>
      </c>
      <c r="L242" s="16">
        <f>IF(OR($A242="",$B242=0),0,$K242/$B242)</f>
        <v/>
      </c>
      <c r="M242" s="16">
        <f>IF($A242="","",IF((1-$D242-$G242)&lt;=0,0,ROUND(($C242+$F242+$I242)/(1-$D242-$G242),2)))</f>
        <v/>
      </c>
      <c r="N242" s="16">
        <f>IF($A242="","",IFERROR(SUMIF(tblAnahtarA[Norm],$A242,tblVeriA[HedefNet]),0))</f>
        <v/>
      </c>
      <c r="O242" s="16">
        <f>IF($A242="","",ROUND($K242-$N242,2))</f>
        <v/>
      </c>
      <c r="P242" s="16">
        <f>IF($A242="","",IF($L242&lt;egk_esikKatkiDusuk,"ZAM YAP",IF(AND($R242=1,$L242&lt;egk_esikKatkiHedef),"İNDİRİMİ KES","TUT")))</f>
        <v/>
      </c>
      <c r="Q242" s="16">
        <f>IF($A242="","",IFERROR(SUMIF(tblAnahtarB[NormB],$A242,tblVeriB[Roas]),0))</f>
        <v/>
      </c>
      <c r="R242" s="16">
        <f>IF($A242="","",IF(OR(IFERROR(INDEX(tblVeriA[YorumAB],MATCH($A242,tblAnahtarA[Norm],0)),"")="B",IFERROR(INDEX(tblVeriA[Durum],MATCH($A242,tblAnahtarA[Norm],0)),"")="Kampanya"),1,0))</f>
        <v/>
      </c>
      <c r="S242" s="16">
        <f>IF($A242="","",$J242-$E242)</f>
        <v/>
      </c>
      <c r="T242" s="16">
        <f>IF($A242="","",$K242-$O242)</f>
        <v/>
      </c>
    </row>
    <row r="243">
      <c r="A243" s="16">
        <f>IF('ANAHTAR'!$B243="","",'ANAHTAR'!$B243)</f>
        <v/>
      </c>
      <c r="B243" s="16">
        <f>IF($A243="","",IFERROR(SUMIF(tblAnahtarA[Norm],$A243,tblVeriA[SatisFiyati]),0))</f>
        <v/>
      </c>
      <c r="C243" s="16">
        <f>IF($A243="","",IFERROR(SUMIF(tblAnahtarA[Norm],$A243,tblVeriA[Maliyet]),0))</f>
        <v/>
      </c>
      <c r="D243" s="16">
        <f>IF($A243="","",IFERROR(SUMIF(tblAnahtarB[NormB],$A243,tblVeriB[KomisyonOran]),0))</f>
        <v/>
      </c>
      <c r="E243" s="16">
        <f>IF($A243="","",ROUND($B243*$D243,2))</f>
        <v/>
      </c>
      <c r="F243" s="16">
        <f>IF($A243="","",IFERROR(SUMIF(tblAnahtarB[NormB],$A243,tblVeriB[Kargo]),0))</f>
        <v/>
      </c>
      <c r="G243" s="16">
        <f>IF($A243="","",IFERROR(SUMIF(tblAnahtarB[NormB],$A243,tblVeriB[IadeOran]),0))</f>
        <v/>
      </c>
      <c r="H243" s="16">
        <f>IF($A243="","",ROUND($B243*$G243,2))</f>
        <v/>
      </c>
      <c r="I243" s="16">
        <f>IF($A243="","",IFERROR(SUMIF(tblAnahtarB[NormB],$A243,tblVeriB[ReklamTutar]),0))</f>
        <v/>
      </c>
      <c r="J243" s="16">
        <f>IF($A243="","",ROUND($B243-$C243,2))</f>
        <v/>
      </c>
      <c r="K243" s="16">
        <f>IF($A243="","",ROUND($B243-$C243-$E243-$F243-$H243-$I243,2))</f>
        <v/>
      </c>
      <c r="L243" s="16">
        <f>IF(OR($A243="",$B243=0),0,$K243/$B243)</f>
        <v/>
      </c>
      <c r="M243" s="16">
        <f>IF($A243="","",IF((1-$D243-$G243)&lt;=0,0,ROUND(($C243+$F243+$I243)/(1-$D243-$G243),2)))</f>
        <v/>
      </c>
      <c r="N243" s="16">
        <f>IF($A243="","",IFERROR(SUMIF(tblAnahtarA[Norm],$A243,tblVeriA[HedefNet]),0))</f>
        <v/>
      </c>
      <c r="O243" s="16">
        <f>IF($A243="","",ROUND($K243-$N243,2))</f>
        <v/>
      </c>
      <c r="P243" s="16">
        <f>IF($A243="","",IF($L243&lt;egk_esikKatkiDusuk,"ZAM YAP",IF(AND($R243=1,$L243&lt;egk_esikKatkiHedef),"İNDİRİMİ KES","TUT")))</f>
        <v/>
      </c>
      <c r="Q243" s="16">
        <f>IF($A243="","",IFERROR(SUMIF(tblAnahtarB[NormB],$A243,tblVeriB[Roas]),0))</f>
        <v/>
      </c>
      <c r="R243" s="16">
        <f>IF($A243="","",IF(OR(IFERROR(INDEX(tblVeriA[YorumAB],MATCH($A243,tblAnahtarA[Norm],0)),"")="B",IFERROR(INDEX(tblVeriA[Durum],MATCH($A243,tblAnahtarA[Norm],0)),"")="Kampanya"),1,0))</f>
        <v/>
      </c>
      <c r="S243" s="16">
        <f>IF($A243="","",$J243-$E243)</f>
        <v/>
      </c>
      <c r="T243" s="16">
        <f>IF($A243="","",$K243-$O243)</f>
        <v/>
      </c>
    </row>
    <row r="244">
      <c r="A244" s="16">
        <f>IF('ANAHTAR'!$B244="","",'ANAHTAR'!$B244)</f>
        <v/>
      </c>
      <c r="B244" s="16">
        <f>IF($A244="","",IFERROR(SUMIF(tblAnahtarA[Norm],$A244,tblVeriA[SatisFiyati]),0))</f>
        <v/>
      </c>
      <c r="C244" s="16">
        <f>IF($A244="","",IFERROR(SUMIF(tblAnahtarA[Norm],$A244,tblVeriA[Maliyet]),0))</f>
        <v/>
      </c>
      <c r="D244" s="16">
        <f>IF($A244="","",IFERROR(SUMIF(tblAnahtarB[NormB],$A244,tblVeriB[KomisyonOran]),0))</f>
        <v/>
      </c>
      <c r="E244" s="16">
        <f>IF($A244="","",ROUND($B244*$D244,2))</f>
        <v/>
      </c>
      <c r="F244" s="16">
        <f>IF($A244="","",IFERROR(SUMIF(tblAnahtarB[NormB],$A244,tblVeriB[Kargo]),0))</f>
        <v/>
      </c>
      <c r="G244" s="16">
        <f>IF($A244="","",IFERROR(SUMIF(tblAnahtarB[NormB],$A244,tblVeriB[IadeOran]),0))</f>
        <v/>
      </c>
      <c r="H244" s="16">
        <f>IF($A244="","",ROUND($B244*$G244,2))</f>
        <v/>
      </c>
      <c r="I244" s="16">
        <f>IF($A244="","",IFERROR(SUMIF(tblAnahtarB[NormB],$A244,tblVeriB[ReklamTutar]),0))</f>
        <v/>
      </c>
      <c r="J244" s="16">
        <f>IF($A244="","",ROUND($B244-$C244,2))</f>
        <v/>
      </c>
      <c r="K244" s="16">
        <f>IF($A244="","",ROUND($B244-$C244-$E244-$F244-$H244-$I244,2))</f>
        <v/>
      </c>
      <c r="L244" s="16">
        <f>IF(OR($A244="",$B244=0),0,$K244/$B244)</f>
        <v/>
      </c>
      <c r="M244" s="16">
        <f>IF($A244="","",IF((1-$D244-$G244)&lt;=0,0,ROUND(($C244+$F244+$I244)/(1-$D244-$G244),2)))</f>
        <v/>
      </c>
      <c r="N244" s="16">
        <f>IF($A244="","",IFERROR(SUMIF(tblAnahtarA[Norm],$A244,tblVeriA[HedefNet]),0))</f>
        <v/>
      </c>
      <c r="O244" s="16">
        <f>IF($A244="","",ROUND($K244-$N244,2))</f>
        <v/>
      </c>
      <c r="P244" s="16">
        <f>IF($A244="","",IF($L244&lt;egk_esikKatkiDusuk,"ZAM YAP",IF(AND($R244=1,$L244&lt;egk_esikKatkiHedef),"İNDİRİMİ KES","TUT")))</f>
        <v/>
      </c>
      <c r="Q244" s="16">
        <f>IF($A244="","",IFERROR(SUMIF(tblAnahtarB[NormB],$A244,tblVeriB[Roas]),0))</f>
        <v/>
      </c>
      <c r="R244" s="16">
        <f>IF($A244="","",IF(OR(IFERROR(INDEX(tblVeriA[YorumAB],MATCH($A244,tblAnahtarA[Norm],0)),"")="B",IFERROR(INDEX(tblVeriA[Durum],MATCH($A244,tblAnahtarA[Norm],0)),"")="Kampanya"),1,0))</f>
        <v/>
      </c>
      <c r="S244" s="16">
        <f>IF($A244="","",$J244-$E244)</f>
        <v/>
      </c>
      <c r="T244" s="16">
        <f>IF($A244="","",$K244-$O244)</f>
        <v/>
      </c>
    </row>
    <row r="245">
      <c r="A245" s="16">
        <f>IF('ANAHTAR'!$B245="","",'ANAHTAR'!$B245)</f>
        <v/>
      </c>
      <c r="B245" s="16">
        <f>IF($A245="","",IFERROR(SUMIF(tblAnahtarA[Norm],$A245,tblVeriA[SatisFiyati]),0))</f>
        <v/>
      </c>
      <c r="C245" s="16">
        <f>IF($A245="","",IFERROR(SUMIF(tblAnahtarA[Norm],$A245,tblVeriA[Maliyet]),0))</f>
        <v/>
      </c>
      <c r="D245" s="16">
        <f>IF($A245="","",IFERROR(SUMIF(tblAnahtarB[NormB],$A245,tblVeriB[KomisyonOran]),0))</f>
        <v/>
      </c>
      <c r="E245" s="16">
        <f>IF($A245="","",ROUND($B245*$D245,2))</f>
        <v/>
      </c>
      <c r="F245" s="16">
        <f>IF($A245="","",IFERROR(SUMIF(tblAnahtarB[NormB],$A245,tblVeriB[Kargo]),0))</f>
        <v/>
      </c>
      <c r="G245" s="16">
        <f>IF($A245="","",IFERROR(SUMIF(tblAnahtarB[NormB],$A245,tblVeriB[IadeOran]),0))</f>
        <v/>
      </c>
      <c r="H245" s="16">
        <f>IF($A245="","",ROUND($B245*$G245,2))</f>
        <v/>
      </c>
      <c r="I245" s="16">
        <f>IF($A245="","",IFERROR(SUMIF(tblAnahtarB[NormB],$A245,tblVeriB[ReklamTutar]),0))</f>
        <v/>
      </c>
      <c r="J245" s="16">
        <f>IF($A245="","",ROUND($B245-$C245,2))</f>
        <v/>
      </c>
      <c r="K245" s="16">
        <f>IF($A245="","",ROUND($B245-$C245-$E245-$F245-$H245-$I245,2))</f>
        <v/>
      </c>
      <c r="L245" s="16">
        <f>IF(OR($A245="",$B245=0),0,$K245/$B245)</f>
        <v/>
      </c>
      <c r="M245" s="16">
        <f>IF($A245="","",IF((1-$D245-$G245)&lt;=0,0,ROUND(($C245+$F245+$I245)/(1-$D245-$G245),2)))</f>
        <v/>
      </c>
      <c r="N245" s="16">
        <f>IF($A245="","",IFERROR(SUMIF(tblAnahtarA[Norm],$A245,tblVeriA[HedefNet]),0))</f>
        <v/>
      </c>
      <c r="O245" s="16">
        <f>IF($A245="","",ROUND($K245-$N245,2))</f>
        <v/>
      </c>
      <c r="P245" s="16">
        <f>IF($A245="","",IF($L245&lt;egk_esikKatkiDusuk,"ZAM YAP",IF(AND($R245=1,$L245&lt;egk_esikKatkiHedef),"İNDİRİMİ KES","TUT")))</f>
        <v/>
      </c>
      <c r="Q245" s="16">
        <f>IF($A245="","",IFERROR(SUMIF(tblAnahtarB[NormB],$A245,tblVeriB[Roas]),0))</f>
        <v/>
      </c>
      <c r="R245" s="16">
        <f>IF($A245="","",IF(OR(IFERROR(INDEX(tblVeriA[YorumAB],MATCH($A245,tblAnahtarA[Norm],0)),"")="B",IFERROR(INDEX(tblVeriA[Durum],MATCH($A245,tblAnahtarA[Norm],0)),"")="Kampanya"),1,0))</f>
        <v/>
      </c>
      <c r="S245" s="16">
        <f>IF($A245="","",$J245-$E245)</f>
        <v/>
      </c>
      <c r="T245" s="16">
        <f>IF($A245="","",$K245-$O245)</f>
        <v/>
      </c>
    </row>
    <row r="246">
      <c r="A246" s="16">
        <f>IF('ANAHTAR'!$B246="","",'ANAHTAR'!$B246)</f>
        <v/>
      </c>
      <c r="B246" s="16">
        <f>IF($A246="","",IFERROR(SUMIF(tblAnahtarA[Norm],$A246,tblVeriA[SatisFiyati]),0))</f>
        <v/>
      </c>
      <c r="C246" s="16">
        <f>IF($A246="","",IFERROR(SUMIF(tblAnahtarA[Norm],$A246,tblVeriA[Maliyet]),0))</f>
        <v/>
      </c>
      <c r="D246" s="16">
        <f>IF($A246="","",IFERROR(SUMIF(tblAnahtarB[NormB],$A246,tblVeriB[KomisyonOran]),0))</f>
        <v/>
      </c>
      <c r="E246" s="16">
        <f>IF($A246="","",ROUND($B246*$D246,2))</f>
        <v/>
      </c>
      <c r="F246" s="16">
        <f>IF($A246="","",IFERROR(SUMIF(tblAnahtarB[NormB],$A246,tblVeriB[Kargo]),0))</f>
        <v/>
      </c>
      <c r="G246" s="16">
        <f>IF($A246="","",IFERROR(SUMIF(tblAnahtarB[NormB],$A246,tblVeriB[IadeOran]),0))</f>
        <v/>
      </c>
      <c r="H246" s="16">
        <f>IF($A246="","",ROUND($B246*$G246,2))</f>
        <v/>
      </c>
      <c r="I246" s="16">
        <f>IF($A246="","",IFERROR(SUMIF(tblAnahtarB[NormB],$A246,tblVeriB[ReklamTutar]),0))</f>
        <v/>
      </c>
      <c r="J246" s="16">
        <f>IF($A246="","",ROUND($B246-$C246,2))</f>
        <v/>
      </c>
      <c r="K246" s="16">
        <f>IF($A246="","",ROUND($B246-$C246-$E246-$F246-$H246-$I246,2))</f>
        <v/>
      </c>
      <c r="L246" s="16">
        <f>IF(OR($A246="",$B246=0),0,$K246/$B246)</f>
        <v/>
      </c>
      <c r="M246" s="16">
        <f>IF($A246="","",IF((1-$D246-$G246)&lt;=0,0,ROUND(($C246+$F246+$I246)/(1-$D246-$G246),2)))</f>
        <v/>
      </c>
      <c r="N246" s="16">
        <f>IF($A246="","",IFERROR(SUMIF(tblAnahtarA[Norm],$A246,tblVeriA[HedefNet]),0))</f>
        <v/>
      </c>
      <c r="O246" s="16">
        <f>IF($A246="","",ROUND($K246-$N246,2))</f>
        <v/>
      </c>
      <c r="P246" s="16">
        <f>IF($A246="","",IF($L246&lt;egk_esikKatkiDusuk,"ZAM YAP",IF(AND($R246=1,$L246&lt;egk_esikKatkiHedef),"İNDİRİMİ KES","TUT")))</f>
        <v/>
      </c>
      <c r="Q246" s="16">
        <f>IF($A246="","",IFERROR(SUMIF(tblAnahtarB[NormB],$A246,tblVeriB[Roas]),0))</f>
        <v/>
      </c>
      <c r="R246" s="16">
        <f>IF($A246="","",IF(OR(IFERROR(INDEX(tblVeriA[YorumAB],MATCH($A246,tblAnahtarA[Norm],0)),"")="B",IFERROR(INDEX(tblVeriA[Durum],MATCH($A246,tblAnahtarA[Norm],0)),"")="Kampanya"),1,0))</f>
        <v/>
      </c>
      <c r="S246" s="16">
        <f>IF($A246="","",$J246-$E246)</f>
        <v/>
      </c>
      <c r="T246" s="16">
        <f>IF($A246="","",$K246-$O246)</f>
        <v/>
      </c>
    </row>
    <row r="247">
      <c r="A247" s="16">
        <f>IF('ANAHTAR'!$B247="","",'ANAHTAR'!$B247)</f>
        <v/>
      </c>
      <c r="B247" s="16">
        <f>IF($A247="","",IFERROR(SUMIF(tblAnahtarA[Norm],$A247,tblVeriA[SatisFiyati]),0))</f>
        <v/>
      </c>
      <c r="C247" s="16">
        <f>IF($A247="","",IFERROR(SUMIF(tblAnahtarA[Norm],$A247,tblVeriA[Maliyet]),0))</f>
        <v/>
      </c>
      <c r="D247" s="16">
        <f>IF($A247="","",IFERROR(SUMIF(tblAnahtarB[NormB],$A247,tblVeriB[KomisyonOran]),0))</f>
        <v/>
      </c>
      <c r="E247" s="16">
        <f>IF($A247="","",ROUND($B247*$D247,2))</f>
        <v/>
      </c>
      <c r="F247" s="16">
        <f>IF($A247="","",IFERROR(SUMIF(tblAnahtarB[NormB],$A247,tblVeriB[Kargo]),0))</f>
        <v/>
      </c>
      <c r="G247" s="16">
        <f>IF($A247="","",IFERROR(SUMIF(tblAnahtarB[NormB],$A247,tblVeriB[IadeOran]),0))</f>
        <v/>
      </c>
      <c r="H247" s="16">
        <f>IF($A247="","",ROUND($B247*$G247,2))</f>
        <v/>
      </c>
      <c r="I247" s="16">
        <f>IF($A247="","",IFERROR(SUMIF(tblAnahtarB[NormB],$A247,tblVeriB[ReklamTutar]),0))</f>
        <v/>
      </c>
      <c r="J247" s="16">
        <f>IF($A247="","",ROUND($B247-$C247,2))</f>
        <v/>
      </c>
      <c r="K247" s="16">
        <f>IF($A247="","",ROUND($B247-$C247-$E247-$F247-$H247-$I247,2))</f>
        <v/>
      </c>
      <c r="L247" s="16">
        <f>IF(OR($A247="",$B247=0),0,$K247/$B247)</f>
        <v/>
      </c>
      <c r="M247" s="16">
        <f>IF($A247="","",IF((1-$D247-$G247)&lt;=0,0,ROUND(($C247+$F247+$I247)/(1-$D247-$G247),2)))</f>
        <v/>
      </c>
      <c r="N247" s="16">
        <f>IF($A247="","",IFERROR(SUMIF(tblAnahtarA[Norm],$A247,tblVeriA[HedefNet]),0))</f>
        <v/>
      </c>
      <c r="O247" s="16">
        <f>IF($A247="","",ROUND($K247-$N247,2))</f>
        <v/>
      </c>
      <c r="P247" s="16">
        <f>IF($A247="","",IF($L247&lt;egk_esikKatkiDusuk,"ZAM YAP",IF(AND($R247=1,$L247&lt;egk_esikKatkiHedef),"İNDİRİMİ KES","TUT")))</f>
        <v/>
      </c>
      <c r="Q247" s="16">
        <f>IF($A247="","",IFERROR(SUMIF(tblAnahtarB[NormB],$A247,tblVeriB[Roas]),0))</f>
        <v/>
      </c>
      <c r="R247" s="16">
        <f>IF($A247="","",IF(OR(IFERROR(INDEX(tblVeriA[YorumAB],MATCH($A247,tblAnahtarA[Norm],0)),"")="B",IFERROR(INDEX(tblVeriA[Durum],MATCH($A247,tblAnahtarA[Norm],0)),"")="Kampanya"),1,0))</f>
        <v/>
      </c>
      <c r="S247" s="16">
        <f>IF($A247="","",$J247-$E247)</f>
        <v/>
      </c>
      <c r="T247" s="16">
        <f>IF($A247="","",$K247-$O247)</f>
        <v/>
      </c>
    </row>
    <row r="248">
      <c r="A248" s="16">
        <f>IF('ANAHTAR'!$B248="","",'ANAHTAR'!$B248)</f>
        <v/>
      </c>
      <c r="B248" s="16">
        <f>IF($A248="","",IFERROR(SUMIF(tblAnahtarA[Norm],$A248,tblVeriA[SatisFiyati]),0))</f>
        <v/>
      </c>
      <c r="C248" s="16">
        <f>IF($A248="","",IFERROR(SUMIF(tblAnahtarA[Norm],$A248,tblVeriA[Maliyet]),0))</f>
        <v/>
      </c>
      <c r="D248" s="16">
        <f>IF($A248="","",IFERROR(SUMIF(tblAnahtarB[NormB],$A248,tblVeriB[KomisyonOran]),0))</f>
        <v/>
      </c>
      <c r="E248" s="16">
        <f>IF($A248="","",ROUND($B248*$D248,2))</f>
        <v/>
      </c>
      <c r="F248" s="16">
        <f>IF($A248="","",IFERROR(SUMIF(tblAnahtarB[NormB],$A248,tblVeriB[Kargo]),0))</f>
        <v/>
      </c>
      <c r="G248" s="16">
        <f>IF($A248="","",IFERROR(SUMIF(tblAnahtarB[NormB],$A248,tblVeriB[IadeOran]),0))</f>
        <v/>
      </c>
      <c r="H248" s="16">
        <f>IF($A248="","",ROUND($B248*$G248,2))</f>
        <v/>
      </c>
      <c r="I248" s="16">
        <f>IF($A248="","",IFERROR(SUMIF(tblAnahtarB[NormB],$A248,tblVeriB[ReklamTutar]),0))</f>
        <v/>
      </c>
      <c r="J248" s="16">
        <f>IF($A248="","",ROUND($B248-$C248,2))</f>
        <v/>
      </c>
      <c r="K248" s="16">
        <f>IF($A248="","",ROUND($B248-$C248-$E248-$F248-$H248-$I248,2))</f>
        <v/>
      </c>
      <c r="L248" s="16">
        <f>IF(OR($A248="",$B248=0),0,$K248/$B248)</f>
        <v/>
      </c>
      <c r="M248" s="16">
        <f>IF($A248="","",IF((1-$D248-$G248)&lt;=0,0,ROUND(($C248+$F248+$I248)/(1-$D248-$G248),2)))</f>
        <v/>
      </c>
      <c r="N248" s="16">
        <f>IF($A248="","",IFERROR(SUMIF(tblAnahtarA[Norm],$A248,tblVeriA[HedefNet]),0))</f>
        <v/>
      </c>
      <c r="O248" s="16">
        <f>IF($A248="","",ROUND($K248-$N248,2))</f>
        <v/>
      </c>
      <c r="P248" s="16">
        <f>IF($A248="","",IF($L248&lt;egk_esikKatkiDusuk,"ZAM YAP",IF(AND($R248=1,$L248&lt;egk_esikKatkiHedef),"İNDİRİMİ KES","TUT")))</f>
        <v/>
      </c>
      <c r="Q248" s="16">
        <f>IF($A248="","",IFERROR(SUMIF(tblAnahtarB[NormB],$A248,tblVeriB[Roas]),0))</f>
        <v/>
      </c>
      <c r="R248" s="16">
        <f>IF($A248="","",IF(OR(IFERROR(INDEX(tblVeriA[YorumAB],MATCH($A248,tblAnahtarA[Norm],0)),"")="B",IFERROR(INDEX(tblVeriA[Durum],MATCH($A248,tblAnahtarA[Norm],0)),"")="Kampanya"),1,0))</f>
        <v/>
      </c>
      <c r="S248" s="16">
        <f>IF($A248="","",$J248-$E248)</f>
        <v/>
      </c>
      <c r="T248" s="16">
        <f>IF($A248="","",$K248-$O248)</f>
        <v/>
      </c>
    </row>
    <row r="249">
      <c r="A249" s="16">
        <f>IF('ANAHTAR'!$B249="","",'ANAHTAR'!$B249)</f>
        <v/>
      </c>
      <c r="B249" s="16">
        <f>IF($A249="","",IFERROR(SUMIF(tblAnahtarA[Norm],$A249,tblVeriA[SatisFiyati]),0))</f>
        <v/>
      </c>
      <c r="C249" s="16">
        <f>IF($A249="","",IFERROR(SUMIF(tblAnahtarA[Norm],$A249,tblVeriA[Maliyet]),0))</f>
        <v/>
      </c>
      <c r="D249" s="16">
        <f>IF($A249="","",IFERROR(SUMIF(tblAnahtarB[NormB],$A249,tblVeriB[KomisyonOran]),0))</f>
        <v/>
      </c>
      <c r="E249" s="16">
        <f>IF($A249="","",ROUND($B249*$D249,2))</f>
        <v/>
      </c>
      <c r="F249" s="16">
        <f>IF($A249="","",IFERROR(SUMIF(tblAnahtarB[NormB],$A249,tblVeriB[Kargo]),0))</f>
        <v/>
      </c>
      <c r="G249" s="16">
        <f>IF($A249="","",IFERROR(SUMIF(tblAnahtarB[NormB],$A249,tblVeriB[IadeOran]),0))</f>
        <v/>
      </c>
      <c r="H249" s="16">
        <f>IF($A249="","",ROUND($B249*$G249,2))</f>
        <v/>
      </c>
      <c r="I249" s="16">
        <f>IF($A249="","",IFERROR(SUMIF(tblAnahtarB[NormB],$A249,tblVeriB[ReklamTutar]),0))</f>
        <v/>
      </c>
      <c r="J249" s="16">
        <f>IF($A249="","",ROUND($B249-$C249,2))</f>
        <v/>
      </c>
      <c r="K249" s="16">
        <f>IF($A249="","",ROUND($B249-$C249-$E249-$F249-$H249-$I249,2))</f>
        <v/>
      </c>
      <c r="L249" s="16">
        <f>IF(OR($A249="",$B249=0),0,$K249/$B249)</f>
        <v/>
      </c>
      <c r="M249" s="16">
        <f>IF($A249="","",IF((1-$D249-$G249)&lt;=0,0,ROUND(($C249+$F249+$I249)/(1-$D249-$G249),2)))</f>
        <v/>
      </c>
      <c r="N249" s="16">
        <f>IF($A249="","",IFERROR(SUMIF(tblAnahtarA[Norm],$A249,tblVeriA[HedefNet]),0))</f>
        <v/>
      </c>
      <c r="O249" s="16">
        <f>IF($A249="","",ROUND($K249-$N249,2))</f>
        <v/>
      </c>
      <c r="P249" s="16">
        <f>IF($A249="","",IF($L249&lt;egk_esikKatkiDusuk,"ZAM YAP",IF(AND($R249=1,$L249&lt;egk_esikKatkiHedef),"İNDİRİMİ KES","TUT")))</f>
        <v/>
      </c>
      <c r="Q249" s="16">
        <f>IF($A249="","",IFERROR(SUMIF(tblAnahtarB[NormB],$A249,tblVeriB[Roas]),0))</f>
        <v/>
      </c>
      <c r="R249" s="16">
        <f>IF($A249="","",IF(OR(IFERROR(INDEX(tblVeriA[YorumAB],MATCH($A249,tblAnahtarA[Norm],0)),"")="B",IFERROR(INDEX(tblVeriA[Durum],MATCH($A249,tblAnahtarA[Norm],0)),"")="Kampanya"),1,0))</f>
        <v/>
      </c>
      <c r="S249" s="16">
        <f>IF($A249="","",$J249-$E249)</f>
        <v/>
      </c>
      <c r="T249" s="16">
        <f>IF($A249="","",$K249-$O249)</f>
        <v/>
      </c>
    </row>
    <row r="250">
      <c r="A250" s="16">
        <f>IF('ANAHTAR'!$B250="","",'ANAHTAR'!$B250)</f>
        <v/>
      </c>
      <c r="B250" s="16">
        <f>IF($A250="","",IFERROR(SUMIF(tblAnahtarA[Norm],$A250,tblVeriA[SatisFiyati]),0))</f>
        <v/>
      </c>
      <c r="C250" s="16">
        <f>IF($A250="","",IFERROR(SUMIF(tblAnahtarA[Norm],$A250,tblVeriA[Maliyet]),0))</f>
        <v/>
      </c>
      <c r="D250" s="16">
        <f>IF($A250="","",IFERROR(SUMIF(tblAnahtarB[NormB],$A250,tblVeriB[KomisyonOran]),0))</f>
        <v/>
      </c>
      <c r="E250" s="16">
        <f>IF($A250="","",ROUND($B250*$D250,2))</f>
        <v/>
      </c>
      <c r="F250" s="16">
        <f>IF($A250="","",IFERROR(SUMIF(tblAnahtarB[NormB],$A250,tblVeriB[Kargo]),0))</f>
        <v/>
      </c>
      <c r="G250" s="16">
        <f>IF($A250="","",IFERROR(SUMIF(tblAnahtarB[NormB],$A250,tblVeriB[IadeOran]),0))</f>
        <v/>
      </c>
      <c r="H250" s="16">
        <f>IF($A250="","",ROUND($B250*$G250,2))</f>
        <v/>
      </c>
      <c r="I250" s="16">
        <f>IF($A250="","",IFERROR(SUMIF(tblAnahtarB[NormB],$A250,tblVeriB[ReklamTutar]),0))</f>
        <v/>
      </c>
      <c r="J250" s="16">
        <f>IF($A250="","",ROUND($B250-$C250,2))</f>
        <v/>
      </c>
      <c r="K250" s="16">
        <f>IF($A250="","",ROUND($B250-$C250-$E250-$F250-$H250-$I250,2))</f>
        <v/>
      </c>
      <c r="L250" s="16">
        <f>IF(OR($A250="",$B250=0),0,$K250/$B250)</f>
        <v/>
      </c>
      <c r="M250" s="16">
        <f>IF($A250="","",IF((1-$D250-$G250)&lt;=0,0,ROUND(($C250+$F250+$I250)/(1-$D250-$G250),2)))</f>
        <v/>
      </c>
      <c r="N250" s="16">
        <f>IF($A250="","",IFERROR(SUMIF(tblAnahtarA[Norm],$A250,tblVeriA[HedefNet]),0))</f>
        <v/>
      </c>
      <c r="O250" s="16">
        <f>IF($A250="","",ROUND($K250-$N250,2))</f>
        <v/>
      </c>
      <c r="P250" s="16">
        <f>IF($A250="","",IF($L250&lt;egk_esikKatkiDusuk,"ZAM YAP",IF(AND($R250=1,$L250&lt;egk_esikKatkiHedef),"İNDİRİMİ KES","TUT")))</f>
        <v/>
      </c>
      <c r="Q250" s="16">
        <f>IF($A250="","",IFERROR(SUMIF(tblAnahtarB[NormB],$A250,tblVeriB[Roas]),0))</f>
        <v/>
      </c>
      <c r="R250" s="16">
        <f>IF($A250="","",IF(OR(IFERROR(INDEX(tblVeriA[YorumAB],MATCH($A250,tblAnahtarA[Norm],0)),"")="B",IFERROR(INDEX(tblVeriA[Durum],MATCH($A250,tblAnahtarA[Norm],0)),"")="Kampanya"),1,0))</f>
        <v/>
      </c>
      <c r="S250" s="16">
        <f>IF($A250="","",$J250-$E250)</f>
        <v/>
      </c>
      <c r="T250" s="16">
        <f>IF($A250="","",$K250-$O250)</f>
        <v/>
      </c>
    </row>
    <row r="251">
      <c r="A251" s="16">
        <f>IF('ANAHTAR'!$B251="","",'ANAHTAR'!$B251)</f>
        <v/>
      </c>
      <c r="B251" s="16">
        <f>IF($A251="","",IFERROR(SUMIF(tblAnahtarA[Norm],$A251,tblVeriA[SatisFiyati]),0))</f>
        <v/>
      </c>
      <c r="C251" s="16">
        <f>IF($A251="","",IFERROR(SUMIF(tblAnahtarA[Norm],$A251,tblVeriA[Maliyet]),0))</f>
        <v/>
      </c>
      <c r="D251" s="16">
        <f>IF($A251="","",IFERROR(SUMIF(tblAnahtarB[NormB],$A251,tblVeriB[KomisyonOran]),0))</f>
        <v/>
      </c>
      <c r="E251" s="16">
        <f>IF($A251="","",ROUND($B251*$D251,2))</f>
        <v/>
      </c>
      <c r="F251" s="16">
        <f>IF($A251="","",IFERROR(SUMIF(tblAnahtarB[NormB],$A251,tblVeriB[Kargo]),0))</f>
        <v/>
      </c>
      <c r="G251" s="16">
        <f>IF($A251="","",IFERROR(SUMIF(tblAnahtarB[NormB],$A251,tblVeriB[IadeOran]),0))</f>
        <v/>
      </c>
      <c r="H251" s="16">
        <f>IF($A251="","",ROUND($B251*$G251,2))</f>
        <v/>
      </c>
      <c r="I251" s="16">
        <f>IF($A251="","",IFERROR(SUMIF(tblAnahtarB[NormB],$A251,tblVeriB[ReklamTutar]),0))</f>
        <v/>
      </c>
      <c r="J251" s="16">
        <f>IF($A251="","",ROUND($B251-$C251,2))</f>
        <v/>
      </c>
      <c r="K251" s="16">
        <f>IF($A251="","",ROUND($B251-$C251-$E251-$F251-$H251-$I251,2))</f>
        <v/>
      </c>
      <c r="L251" s="16">
        <f>IF(OR($A251="",$B251=0),0,$K251/$B251)</f>
        <v/>
      </c>
      <c r="M251" s="16">
        <f>IF($A251="","",IF((1-$D251-$G251)&lt;=0,0,ROUND(($C251+$F251+$I251)/(1-$D251-$G251),2)))</f>
        <v/>
      </c>
      <c r="N251" s="16">
        <f>IF($A251="","",IFERROR(SUMIF(tblAnahtarA[Norm],$A251,tblVeriA[HedefNet]),0))</f>
        <v/>
      </c>
      <c r="O251" s="16">
        <f>IF($A251="","",ROUND($K251-$N251,2))</f>
        <v/>
      </c>
      <c r="P251" s="16">
        <f>IF($A251="","",IF($L251&lt;egk_esikKatkiDusuk,"ZAM YAP",IF(AND($R251=1,$L251&lt;egk_esikKatkiHedef),"İNDİRİMİ KES","TUT")))</f>
        <v/>
      </c>
      <c r="Q251" s="16">
        <f>IF($A251="","",IFERROR(SUMIF(tblAnahtarB[NormB],$A251,tblVeriB[Roas]),0))</f>
        <v/>
      </c>
      <c r="R251" s="16">
        <f>IF($A251="","",IF(OR(IFERROR(INDEX(tblVeriA[YorumAB],MATCH($A251,tblAnahtarA[Norm],0)),"")="B",IFERROR(INDEX(tblVeriA[Durum],MATCH($A251,tblAnahtarA[Norm],0)),"")="Kampanya"),1,0))</f>
        <v/>
      </c>
      <c r="S251" s="16">
        <f>IF($A251="","",$J251-$E251)</f>
        <v/>
      </c>
      <c r="T251" s="16">
        <f>IF($A251="","",$K251-$O251)</f>
        <v/>
      </c>
    </row>
    <row r="252">
      <c r="A252" s="16">
        <f>IF('ANAHTAR'!$B252="","",'ANAHTAR'!$B252)</f>
        <v/>
      </c>
      <c r="B252" s="16">
        <f>IF($A252="","",IFERROR(SUMIF(tblAnahtarA[Norm],$A252,tblVeriA[SatisFiyati]),0))</f>
        <v/>
      </c>
      <c r="C252" s="16">
        <f>IF($A252="","",IFERROR(SUMIF(tblAnahtarA[Norm],$A252,tblVeriA[Maliyet]),0))</f>
        <v/>
      </c>
      <c r="D252" s="16">
        <f>IF($A252="","",IFERROR(SUMIF(tblAnahtarB[NormB],$A252,tblVeriB[KomisyonOran]),0))</f>
        <v/>
      </c>
      <c r="E252" s="16">
        <f>IF($A252="","",ROUND($B252*$D252,2))</f>
        <v/>
      </c>
      <c r="F252" s="16">
        <f>IF($A252="","",IFERROR(SUMIF(tblAnahtarB[NormB],$A252,tblVeriB[Kargo]),0))</f>
        <v/>
      </c>
      <c r="G252" s="16">
        <f>IF($A252="","",IFERROR(SUMIF(tblAnahtarB[NormB],$A252,tblVeriB[IadeOran]),0))</f>
        <v/>
      </c>
      <c r="H252" s="16">
        <f>IF($A252="","",ROUND($B252*$G252,2))</f>
        <v/>
      </c>
      <c r="I252" s="16">
        <f>IF($A252="","",IFERROR(SUMIF(tblAnahtarB[NormB],$A252,tblVeriB[ReklamTutar]),0))</f>
        <v/>
      </c>
      <c r="J252" s="16">
        <f>IF($A252="","",ROUND($B252-$C252,2))</f>
        <v/>
      </c>
      <c r="K252" s="16">
        <f>IF($A252="","",ROUND($B252-$C252-$E252-$F252-$H252-$I252,2))</f>
        <v/>
      </c>
      <c r="L252" s="16">
        <f>IF(OR($A252="",$B252=0),0,$K252/$B252)</f>
        <v/>
      </c>
      <c r="M252" s="16">
        <f>IF($A252="","",IF((1-$D252-$G252)&lt;=0,0,ROUND(($C252+$F252+$I252)/(1-$D252-$G252),2)))</f>
        <v/>
      </c>
      <c r="N252" s="16">
        <f>IF($A252="","",IFERROR(SUMIF(tblAnahtarA[Norm],$A252,tblVeriA[HedefNet]),0))</f>
        <v/>
      </c>
      <c r="O252" s="16">
        <f>IF($A252="","",ROUND($K252-$N252,2))</f>
        <v/>
      </c>
      <c r="P252" s="16">
        <f>IF($A252="","",IF($L252&lt;egk_esikKatkiDusuk,"ZAM YAP",IF(AND($R252=1,$L252&lt;egk_esikKatkiHedef),"İNDİRİMİ KES","TUT")))</f>
        <v/>
      </c>
      <c r="Q252" s="16">
        <f>IF($A252="","",IFERROR(SUMIF(tblAnahtarB[NormB],$A252,tblVeriB[Roas]),0))</f>
        <v/>
      </c>
      <c r="R252" s="16">
        <f>IF($A252="","",IF(OR(IFERROR(INDEX(tblVeriA[YorumAB],MATCH($A252,tblAnahtarA[Norm],0)),"")="B",IFERROR(INDEX(tblVeriA[Durum],MATCH($A252,tblAnahtarA[Norm],0)),"")="Kampanya"),1,0))</f>
        <v/>
      </c>
      <c r="S252" s="16">
        <f>IF($A252="","",$J252-$E252)</f>
        <v/>
      </c>
      <c r="T252" s="16">
        <f>IF($A252="","",$K252-$O252)</f>
        <v/>
      </c>
    </row>
    <row r="253">
      <c r="A253" s="16">
        <f>IF('ANAHTAR'!$B253="","",'ANAHTAR'!$B253)</f>
        <v/>
      </c>
      <c r="B253" s="16">
        <f>IF($A253="","",IFERROR(SUMIF(tblAnahtarA[Norm],$A253,tblVeriA[SatisFiyati]),0))</f>
        <v/>
      </c>
      <c r="C253" s="16">
        <f>IF($A253="","",IFERROR(SUMIF(tblAnahtarA[Norm],$A253,tblVeriA[Maliyet]),0))</f>
        <v/>
      </c>
      <c r="D253" s="16">
        <f>IF($A253="","",IFERROR(SUMIF(tblAnahtarB[NormB],$A253,tblVeriB[KomisyonOran]),0))</f>
        <v/>
      </c>
      <c r="E253" s="16">
        <f>IF($A253="","",ROUND($B253*$D253,2))</f>
        <v/>
      </c>
      <c r="F253" s="16">
        <f>IF($A253="","",IFERROR(SUMIF(tblAnahtarB[NormB],$A253,tblVeriB[Kargo]),0))</f>
        <v/>
      </c>
      <c r="G253" s="16">
        <f>IF($A253="","",IFERROR(SUMIF(tblAnahtarB[NormB],$A253,tblVeriB[IadeOran]),0))</f>
        <v/>
      </c>
      <c r="H253" s="16">
        <f>IF($A253="","",ROUND($B253*$G253,2))</f>
        <v/>
      </c>
      <c r="I253" s="16">
        <f>IF($A253="","",IFERROR(SUMIF(tblAnahtarB[NormB],$A253,tblVeriB[ReklamTutar]),0))</f>
        <v/>
      </c>
      <c r="J253" s="16">
        <f>IF($A253="","",ROUND($B253-$C253,2))</f>
        <v/>
      </c>
      <c r="K253" s="16">
        <f>IF($A253="","",ROUND($B253-$C253-$E253-$F253-$H253-$I253,2))</f>
        <v/>
      </c>
      <c r="L253" s="16">
        <f>IF(OR($A253="",$B253=0),0,$K253/$B253)</f>
        <v/>
      </c>
      <c r="M253" s="16">
        <f>IF($A253="","",IF((1-$D253-$G253)&lt;=0,0,ROUND(($C253+$F253+$I253)/(1-$D253-$G253),2)))</f>
        <v/>
      </c>
      <c r="N253" s="16">
        <f>IF($A253="","",IFERROR(SUMIF(tblAnahtarA[Norm],$A253,tblVeriA[HedefNet]),0))</f>
        <v/>
      </c>
      <c r="O253" s="16">
        <f>IF($A253="","",ROUND($K253-$N253,2))</f>
        <v/>
      </c>
      <c r="P253" s="16">
        <f>IF($A253="","",IF($L253&lt;egk_esikKatkiDusuk,"ZAM YAP",IF(AND($R253=1,$L253&lt;egk_esikKatkiHedef),"İNDİRİMİ KES","TUT")))</f>
        <v/>
      </c>
      <c r="Q253" s="16">
        <f>IF($A253="","",IFERROR(SUMIF(tblAnahtarB[NormB],$A253,tblVeriB[Roas]),0))</f>
        <v/>
      </c>
      <c r="R253" s="16">
        <f>IF($A253="","",IF(OR(IFERROR(INDEX(tblVeriA[YorumAB],MATCH($A253,tblAnahtarA[Norm],0)),"")="B",IFERROR(INDEX(tblVeriA[Durum],MATCH($A253,tblAnahtarA[Norm],0)),"")="Kampanya"),1,0))</f>
        <v/>
      </c>
      <c r="S253" s="16">
        <f>IF($A253="","",$J253-$E253)</f>
        <v/>
      </c>
      <c r="T253" s="16">
        <f>IF($A253="","",$K253-$O253)</f>
        <v/>
      </c>
    </row>
    <row r="254">
      <c r="A254" s="16">
        <f>IF('ANAHTAR'!$B254="","",'ANAHTAR'!$B254)</f>
        <v/>
      </c>
      <c r="B254" s="16">
        <f>IF($A254="","",IFERROR(SUMIF(tblAnahtarA[Norm],$A254,tblVeriA[SatisFiyati]),0))</f>
        <v/>
      </c>
      <c r="C254" s="16">
        <f>IF($A254="","",IFERROR(SUMIF(tblAnahtarA[Norm],$A254,tblVeriA[Maliyet]),0))</f>
        <v/>
      </c>
      <c r="D254" s="16">
        <f>IF($A254="","",IFERROR(SUMIF(tblAnahtarB[NormB],$A254,tblVeriB[KomisyonOran]),0))</f>
        <v/>
      </c>
      <c r="E254" s="16">
        <f>IF($A254="","",ROUND($B254*$D254,2))</f>
        <v/>
      </c>
      <c r="F254" s="16">
        <f>IF($A254="","",IFERROR(SUMIF(tblAnahtarB[NormB],$A254,tblVeriB[Kargo]),0))</f>
        <v/>
      </c>
      <c r="G254" s="16">
        <f>IF($A254="","",IFERROR(SUMIF(tblAnahtarB[NormB],$A254,tblVeriB[IadeOran]),0))</f>
        <v/>
      </c>
      <c r="H254" s="16">
        <f>IF($A254="","",ROUND($B254*$G254,2))</f>
        <v/>
      </c>
      <c r="I254" s="16">
        <f>IF($A254="","",IFERROR(SUMIF(tblAnahtarB[NormB],$A254,tblVeriB[ReklamTutar]),0))</f>
        <v/>
      </c>
      <c r="J254" s="16">
        <f>IF($A254="","",ROUND($B254-$C254,2))</f>
        <v/>
      </c>
      <c r="K254" s="16">
        <f>IF($A254="","",ROUND($B254-$C254-$E254-$F254-$H254-$I254,2))</f>
        <v/>
      </c>
      <c r="L254" s="16">
        <f>IF(OR($A254="",$B254=0),0,$K254/$B254)</f>
        <v/>
      </c>
      <c r="M254" s="16">
        <f>IF($A254="","",IF((1-$D254-$G254)&lt;=0,0,ROUND(($C254+$F254+$I254)/(1-$D254-$G254),2)))</f>
        <v/>
      </c>
      <c r="N254" s="16">
        <f>IF($A254="","",IFERROR(SUMIF(tblAnahtarA[Norm],$A254,tblVeriA[HedefNet]),0))</f>
        <v/>
      </c>
      <c r="O254" s="16">
        <f>IF($A254="","",ROUND($K254-$N254,2))</f>
        <v/>
      </c>
      <c r="P254" s="16">
        <f>IF($A254="","",IF($L254&lt;egk_esikKatkiDusuk,"ZAM YAP",IF(AND($R254=1,$L254&lt;egk_esikKatkiHedef),"İNDİRİMİ KES","TUT")))</f>
        <v/>
      </c>
      <c r="Q254" s="16">
        <f>IF($A254="","",IFERROR(SUMIF(tblAnahtarB[NormB],$A254,tblVeriB[Roas]),0))</f>
        <v/>
      </c>
      <c r="R254" s="16">
        <f>IF($A254="","",IF(OR(IFERROR(INDEX(tblVeriA[YorumAB],MATCH($A254,tblAnahtarA[Norm],0)),"")="B",IFERROR(INDEX(tblVeriA[Durum],MATCH($A254,tblAnahtarA[Norm],0)),"")="Kampanya"),1,0))</f>
        <v/>
      </c>
      <c r="S254" s="16">
        <f>IF($A254="","",$J254-$E254)</f>
        <v/>
      </c>
      <c r="T254" s="16">
        <f>IF($A254="","",$K254-$O254)</f>
        <v/>
      </c>
    </row>
    <row r="255">
      <c r="A255" s="16">
        <f>IF('ANAHTAR'!$B255="","",'ANAHTAR'!$B255)</f>
        <v/>
      </c>
      <c r="B255" s="16">
        <f>IF($A255="","",IFERROR(SUMIF(tblAnahtarA[Norm],$A255,tblVeriA[SatisFiyati]),0))</f>
        <v/>
      </c>
      <c r="C255" s="16">
        <f>IF($A255="","",IFERROR(SUMIF(tblAnahtarA[Norm],$A255,tblVeriA[Maliyet]),0))</f>
        <v/>
      </c>
      <c r="D255" s="16">
        <f>IF($A255="","",IFERROR(SUMIF(tblAnahtarB[NormB],$A255,tblVeriB[KomisyonOran]),0))</f>
        <v/>
      </c>
      <c r="E255" s="16">
        <f>IF($A255="","",ROUND($B255*$D255,2))</f>
        <v/>
      </c>
      <c r="F255" s="16">
        <f>IF($A255="","",IFERROR(SUMIF(tblAnahtarB[NormB],$A255,tblVeriB[Kargo]),0))</f>
        <v/>
      </c>
      <c r="G255" s="16">
        <f>IF($A255="","",IFERROR(SUMIF(tblAnahtarB[NormB],$A255,tblVeriB[IadeOran]),0))</f>
        <v/>
      </c>
      <c r="H255" s="16">
        <f>IF($A255="","",ROUND($B255*$G255,2))</f>
        <v/>
      </c>
      <c r="I255" s="16">
        <f>IF($A255="","",IFERROR(SUMIF(tblAnahtarB[NormB],$A255,tblVeriB[ReklamTutar]),0))</f>
        <v/>
      </c>
      <c r="J255" s="16">
        <f>IF($A255="","",ROUND($B255-$C255,2))</f>
        <v/>
      </c>
      <c r="K255" s="16">
        <f>IF($A255="","",ROUND($B255-$C255-$E255-$F255-$H255-$I255,2))</f>
        <v/>
      </c>
      <c r="L255" s="16">
        <f>IF(OR($A255="",$B255=0),0,$K255/$B255)</f>
        <v/>
      </c>
      <c r="M255" s="16">
        <f>IF($A255="","",IF((1-$D255-$G255)&lt;=0,0,ROUND(($C255+$F255+$I255)/(1-$D255-$G255),2)))</f>
        <v/>
      </c>
      <c r="N255" s="16">
        <f>IF($A255="","",IFERROR(SUMIF(tblAnahtarA[Norm],$A255,tblVeriA[HedefNet]),0))</f>
        <v/>
      </c>
      <c r="O255" s="16">
        <f>IF($A255="","",ROUND($K255-$N255,2))</f>
        <v/>
      </c>
      <c r="P255" s="16">
        <f>IF($A255="","",IF($L255&lt;egk_esikKatkiDusuk,"ZAM YAP",IF(AND($R255=1,$L255&lt;egk_esikKatkiHedef),"İNDİRİMİ KES","TUT")))</f>
        <v/>
      </c>
      <c r="Q255" s="16">
        <f>IF($A255="","",IFERROR(SUMIF(tblAnahtarB[NormB],$A255,tblVeriB[Roas]),0))</f>
        <v/>
      </c>
      <c r="R255" s="16">
        <f>IF($A255="","",IF(OR(IFERROR(INDEX(tblVeriA[YorumAB],MATCH($A255,tblAnahtarA[Norm],0)),"")="B",IFERROR(INDEX(tblVeriA[Durum],MATCH($A255,tblAnahtarA[Norm],0)),"")="Kampanya"),1,0))</f>
        <v/>
      </c>
      <c r="S255" s="16">
        <f>IF($A255="","",$J255-$E255)</f>
        <v/>
      </c>
      <c r="T255" s="16">
        <f>IF($A255="","",$K255-$O255)</f>
        <v/>
      </c>
    </row>
    <row r="256">
      <c r="A256" s="16">
        <f>IF('ANAHTAR'!$B256="","",'ANAHTAR'!$B256)</f>
        <v/>
      </c>
      <c r="B256" s="16">
        <f>IF($A256="","",IFERROR(SUMIF(tblAnahtarA[Norm],$A256,tblVeriA[SatisFiyati]),0))</f>
        <v/>
      </c>
      <c r="C256" s="16">
        <f>IF($A256="","",IFERROR(SUMIF(tblAnahtarA[Norm],$A256,tblVeriA[Maliyet]),0))</f>
        <v/>
      </c>
      <c r="D256" s="16">
        <f>IF($A256="","",IFERROR(SUMIF(tblAnahtarB[NormB],$A256,tblVeriB[KomisyonOran]),0))</f>
        <v/>
      </c>
      <c r="E256" s="16">
        <f>IF($A256="","",ROUND($B256*$D256,2))</f>
        <v/>
      </c>
      <c r="F256" s="16">
        <f>IF($A256="","",IFERROR(SUMIF(tblAnahtarB[NormB],$A256,tblVeriB[Kargo]),0))</f>
        <v/>
      </c>
      <c r="G256" s="16">
        <f>IF($A256="","",IFERROR(SUMIF(tblAnahtarB[NormB],$A256,tblVeriB[IadeOran]),0))</f>
        <v/>
      </c>
      <c r="H256" s="16">
        <f>IF($A256="","",ROUND($B256*$G256,2))</f>
        <v/>
      </c>
      <c r="I256" s="16">
        <f>IF($A256="","",IFERROR(SUMIF(tblAnahtarB[NormB],$A256,tblVeriB[ReklamTutar]),0))</f>
        <v/>
      </c>
      <c r="J256" s="16">
        <f>IF($A256="","",ROUND($B256-$C256,2))</f>
        <v/>
      </c>
      <c r="K256" s="16">
        <f>IF($A256="","",ROUND($B256-$C256-$E256-$F256-$H256-$I256,2))</f>
        <v/>
      </c>
      <c r="L256" s="16">
        <f>IF(OR($A256="",$B256=0),0,$K256/$B256)</f>
        <v/>
      </c>
      <c r="M256" s="16">
        <f>IF($A256="","",IF((1-$D256-$G256)&lt;=0,0,ROUND(($C256+$F256+$I256)/(1-$D256-$G256),2)))</f>
        <v/>
      </c>
      <c r="N256" s="16">
        <f>IF($A256="","",IFERROR(SUMIF(tblAnahtarA[Norm],$A256,tblVeriA[HedefNet]),0))</f>
        <v/>
      </c>
      <c r="O256" s="16">
        <f>IF($A256="","",ROUND($K256-$N256,2))</f>
        <v/>
      </c>
      <c r="P256" s="16">
        <f>IF($A256="","",IF($L256&lt;egk_esikKatkiDusuk,"ZAM YAP",IF(AND($R256=1,$L256&lt;egk_esikKatkiHedef),"İNDİRİMİ KES","TUT")))</f>
        <v/>
      </c>
      <c r="Q256" s="16">
        <f>IF($A256="","",IFERROR(SUMIF(tblAnahtarB[NormB],$A256,tblVeriB[Roas]),0))</f>
        <v/>
      </c>
      <c r="R256" s="16">
        <f>IF($A256="","",IF(OR(IFERROR(INDEX(tblVeriA[YorumAB],MATCH($A256,tblAnahtarA[Norm],0)),"")="B",IFERROR(INDEX(tblVeriA[Durum],MATCH($A256,tblAnahtarA[Norm],0)),"")="Kampanya"),1,0))</f>
        <v/>
      </c>
      <c r="S256" s="16">
        <f>IF($A256="","",$J256-$E256)</f>
        <v/>
      </c>
      <c r="T256" s="16">
        <f>IF($A256="","",$K256-$O256)</f>
        <v/>
      </c>
    </row>
    <row r="257">
      <c r="A257" s="16">
        <f>IF('ANAHTAR'!$B257="","",'ANAHTAR'!$B257)</f>
        <v/>
      </c>
      <c r="B257" s="16">
        <f>IF($A257="","",IFERROR(SUMIF(tblAnahtarA[Norm],$A257,tblVeriA[SatisFiyati]),0))</f>
        <v/>
      </c>
      <c r="C257" s="16">
        <f>IF($A257="","",IFERROR(SUMIF(tblAnahtarA[Norm],$A257,tblVeriA[Maliyet]),0))</f>
        <v/>
      </c>
      <c r="D257" s="16">
        <f>IF($A257="","",IFERROR(SUMIF(tblAnahtarB[NormB],$A257,tblVeriB[KomisyonOran]),0))</f>
        <v/>
      </c>
      <c r="E257" s="16">
        <f>IF($A257="","",ROUND($B257*$D257,2))</f>
        <v/>
      </c>
      <c r="F257" s="16">
        <f>IF($A257="","",IFERROR(SUMIF(tblAnahtarB[NormB],$A257,tblVeriB[Kargo]),0))</f>
        <v/>
      </c>
      <c r="G257" s="16">
        <f>IF($A257="","",IFERROR(SUMIF(tblAnahtarB[NormB],$A257,tblVeriB[IadeOran]),0))</f>
        <v/>
      </c>
      <c r="H257" s="16">
        <f>IF($A257="","",ROUND($B257*$G257,2))</f>
        <v/>
      </c>
      <c r="I257" s="16">
        <f>IF($A257="","",IFERROR(SUMIF(tblAnahtarB[NormB],$A257,tblVeriB[ReklamTutar]),0))</f>
        <v/>
      </c>
      <c r="J257" s="16">
        <f>IF($A257="","",ROUND($B257-$C257,2))</f>
        <v/>
      </c>
      <c r="K257" s="16">
        <f>IF($A257="","",ROUND($B257-$C257-$E257-$F257-$H257-$I257,2))</f>
        <v/>
      </c>
      <c r="L257" s="16">
        <f>IF(OR($A257="",$B257=0),0,$K257/$B257)</f>
        <v/>
      </c>
      <c r="M257" s="16">
        <f>IF($A257="","",IF((1-$D257-$G257)&lt;=0,0,ROUND(($C257+$F257+$I257)/(1-$D257-$G257),2)))</f>
        <v/>
      </c>
      <c r="N257" s="16">
        <f>IF($A257="","",IFERROR(SUMIF(tblAnahtarA[Norm],$A257,tblVeriA[HedefNet]),0))</f>
        <v/>
      </c>
      <c r="O257" s="16">
        <f>IF($A257="","",ROUND($K257-$N257,2))</f>
        <v/>
      </c>
      <c r="P257" s="16">
        <f>IF($A257="","",IF($L257&lt;egk_esikKatkiDusuk,"ZAM YAP",IF(AND($R257=1,$L257&lt;egk_esikKatkiHedef),"İNDİRİMİ KES","TUT")))</f>
        <v/>
      </c>
      <c r="Q257" s="16">
        <f>IF($A257="","",IFERROR(SUMIF(tblAnahtarB[NormB],$A257,tblVeriB[Roas]),0))</f>
        <v/>
      </c>
      <c r="R257" s="16">
        <f>IF($A257="","",IF(OR(IFERROR(INDEX(tblVeriA[YorumAB],MATCH($A257,tblAnahtarA[Norm],0)),"")="B",IFERROR(INDEX(tblVeriA[Durum],MATCH($A257,tblAnahtarA[Norm],0)),"")="Kampanya"),1,0))</f>
        <v/>
      </c>
      <c r="S257" s="16">
        <f>IF($A257="","",$J257-$E257)</f>
        <v/>
      </c>
      <c r="T257" s="16">
        <f>IF($A257="","",$K257-$O257)</f>
        <v/>
      </c>
    </row>
    <row r="258">
      <c r="A258" s="16">
        <f>IF('ANAHTAR'!$B258="","",'ANAHTAR'!$B258)</f>
        <v/>
      </c>
      <c r="B258" s="16">
        <f>IF($A258="","",IFERROR(SUMIF(tblAnahtarA[Norm],$A258,tblVeriA[SatisFiyati]),0))</f>
        <v/>
      </c>
      <c r="C258" s="16">
        <f>IF($A258="","",IFERROR(SUMIF(tblAnahtarA[Norm],$A258,tblVeriA[Maliyet]),0))</f>
        <v/>
      </c>
      <c r="D258" s="16">
        <f>IF($A258="","",IFERROR(SUMIF(tblAnahtarB[NormB],$A258,tblVeriB[KomisyonOran]),0))</f>
        <v/>
      </c>
      <c r="E258" s="16">
        <f>IF($A258="","",ROUND($B258*$D258,2))</f>
        <v/>
      </c>
      <c r="F258" s="16">
        <f>IF($A258="","",IFERROR(SUMIF(tblAnahtarB[NormB],$A258,tblVeriB[Kargo]),0))</f>
        <v/>
      </c>
      <c r="G258" s="16">
        <f>IF($A258="","",IFERROR(SUMIF(tblAnahtarB[NormB],$A258,tblVeriB[IadeOran]),0))</f>
        <v/>
      </c>
      <c r="H258" s="16">
        <f>IF($A258="","",ROUND($B258*$G258,2))</f>
        <v/>
      </c>
      <c r="I258" s="16">
        <f>IF($A258="","",IFERROR(SUMIF(tblAnahtarB[NormB],$A258,tblVeriB[ReklamTutar]),0))</f>
        <v/>
      </c>
      <c r="J258" s="16">
        <f>IF($A258="","",ROUND($B258-$C258,2))</f>
        <v/>
      </c>
      <c r="K258" s="16">
        <f>IF($A258="","",ROUND($B258-$C258-$E258-$F258-$H258-$I258,2))</f>
        <v/>
      </c>
      <c r="L258" s="16">
        <f>IF(OR($A258="",$B258=0),0,$K258/$B258)</f>
        <v/>
      </c>
      <c r="M258" s="16">
        <f>IF($A258="","",IF((1-$D258-$G258)&lt;=0,0,ROUND(($C258+$F258+$I258)/(1-$D258-$G258),2)))</f>
        <v/>
      </c>
      <c r="N258" s="16">
        <f>IF($A258="","",IFERROR(SUMIF(tblAnahtarA[Norm],$A258,tblVeriA[HedefNet]),0))</f>
        <v/>
      </c>
      <c r="O258" s="16">
        <f>IF($A258="","",ROUND($K258-$N258,2))</f>
        <v/>
      </c>
      <c r="P258" s="16">
        <f>IF($A258="","",IF($L258&lt;egk_esikKatkiDusuk,"ZAM YAP",IF(AND($R258=1,$L258&lt;egk_esikKatkiHedef),"İNDİRİMİ KES","TUT")))</f>
        <v/>
      </c>
      <c r="Q258" s="16">
        <f>IF($A258="","",IFERROR(SUMIF(tblAnahtarB[NormB],$A258,tblVeriB[Roas]),0))</f>
        <v/>
      </c>
      <c r="R258" s="16">
        <f>IF($A258="","",IF(OR(IFERROR(INDEX(tblVeriA[YorumAB],MATCH($A258,tblAnahtarA[Norm],0)),"")="B",IFERROR(INDEX(tblVeriA[Durum],MATCH($A258,tblAnahtarA[Norm],0)),"")="Kampanya"),1,0))</f>
        <v/>
      </c>
      <c r="S258" s="16">
        <f>IF($A258="","",$J258-$E258)</f>
        <v/>
      </c>
      <c r="T258" s="16">
        <f>IF($A258="","",$K258-$O258)</f>
        <v/>
      </c>
    </row>
    <row r="259">
      <c r="A259" s="16">
        <f>IF('ANAHTAR'!$B259="","",'ANAHTAR'!$B259)</f>
        <v/>
      </c>
      <c r="B259" s="16">
        <f>IF($A259="","",IFERROR(SUMIF(tblAnahtarA[Norm],$A259,tblVeriA[SatisFiyati]),0))</f>
        <v/>
      </c>
      <c r="C259" s="16">
        <f>IF($A259="","",IFERROR(SUMIF(tblAnahtarA[Norm],$A259,tblVeriA[Maliyet]),0))</f>
        <v/>
      </c>
      <c r="D259" s="16">
        <f>IF($A259="","",IFERROR(SUMIF(tblAnahtarB[NormB],$A259,tblVeriB[KomisyonOran]),0))</f>
        <v/>
      </c>
      <c r="E259" s="16">
        <f>IF($A259="","",ROUND($B259*$D259,2))</f>
        <v/>
      </c>
      <c r="F259" s="16">
        <f>IF($A259="","",IFERROR(SUMIF(tblAnahtarB[NormB],$A259,tblVeriB[Kargo]),0))</f>
        <v/>
      </c>
      <c r="G259" s="16">
        <f>IF($A259="","",IFERROR(SUMIF(tblAnahtarB[NormB],$A259,tblVeriB[IadeOran]),0))</f>
        <v/>
      </c>
      <c r="H259" s="16">
        <f>IF($A259="","",ROUND($B259*$G259,2))</f>
        <v/>
      </c>
      <c r="I259" s="16">
        <f>IF($A259="","",IFERROR(SUMIF(tblAnahtarB[NormB],$A259,tblVeriB[ReklamTutar]),0))</f>
        <v/>
      </c>
      <c r="J259" s="16">
        <f>IF($A259="","",ROUND($B259-$C259,2))</f>
        <v/>
      </c>
      <c r="K259" s="16">
        <f>IF($A259="","",ROUND($B259-$C259-$E259-$F259-$H259-$I259,2))</f>
        <v/>
      </c>
      <c r="L259" s="16">
        <f>IF(OR($A259="",$B259=0),0,$K259/$B259)</f>
        <v/>
      </c>
      <c r="M259" s="16">
        <f>IF($A259="","",IF((1-$D259-$G259)&lt;=0,0,ROUND(($C259+$F259+$I259)/(1-$D259-$G259),2)))</f>
        <v/>
      </c>
      <c r="N259" s="16">
        <f>IF($A259="","",IFERROR(SUMIF(tblAnahtarA[Norm],$A259,tblVeriA[HedefNet]),0))</f>
        <v/>
      </c>
      <c r="O259" s="16">
        <f>IF($A259="","",ROUND($K259-$N259,2))</f>
        <v/>
      </c>
      <c r="P259" s="16">
        <f>IF($A259="","",IF($L259&lt;egk_esikKatkiDusuk,"ZAM YAP",IF(AND($R259=1,$L259&lt;egk_esikKatkiHedef),"İNDİRİMİ KES","TUT")))</f>
        <v/>
      </c>
      <c r="Q259" s="16">
        <f>IF($A259="","",IFERROR(SUMIF(tblAnahtarB[NormB],$A259,tblVeriB[Roas]),0))</f>
        <v/>
      </c>
      <c r="R259" s="16">
        <f>IF($A259="","",IF(OR(IFERROR(INDEX(tblVeriA[YorumAB],MATCH($A259,tblAnahtarA[Norm],0)),"")="B",IFERROR(INDEX(tblVeriA[Durum],MATCH($A259,tblAnahtarA[Norm],0)),"")="Kampanya"),1,0))</f>
        <v/>
      </c>
      <c r="S259" s="16">
        <f>IF($A259="","",$J259-$E259)</f>
        <v/>
      </c>
      <c r="T259" s="16">
        <f>IF($A259="","",$K259-$O259)</f>
        <v/>
      </c>
    </row>
    <row r="260">
      <c r="A260" s="16">
        <f>IF('ANAHTAR'!$B260="","",'ANAHTAR'!$B260)</f>
        <v/>
      </c>
      <c r="B260" s="16">
        <f>IF($A260="","",IFERROR(SUMIF(tblAnahtarA[Norm],$A260,tblVeriA[SatisFiyati]),0))</f>
        <v/>
      </c>
      <c r="C260" s="16">
        <f>IF($A260="","",IFERROR(SUMIF(tblAnahtarA[Norm],$A260,tblVeriA[Maliyet]),0))</f>
        <v/>
      </c>
      <c r="D260" s="16">
        <f>IF($A260="","",IFERROR(SUMIF(tblAnahtarB[NormB],$A260,tblVeriB[KomisyonOran]),0))</f>
        <v/>
      </c>
      <c r="E260" s="16">
        <f>IF($A260="","",ROUND($B260*$D260,2))</f>
        <v/>
      </c>
      <c r="F260" s="16">
        <f>IF($A260="","",IFERROR(SUMIF(tblAnahtarB[NormB],$A260,tblVeriB[Kargo]),0))</f>
        <v/>
      </c>
      <c r="G260" s="16">
        <f>IF($A260="","",IFERROR(SUMIF(tblAnahtarB[NormB],$A260,tblVeriB[IadeOran]),0))</f>
        <v/>
      </c>
      <c r="H260" s="16">
        <f>IF($A260="","",ROUND($B260*$G260,2))</f>
        <v/>
      </c>
      <c r="I260" s="16">
        <f>IF($A260="","",IFERROR(SUMIF(tblAnahtarB[NormB],$A260,tblVeriB[ReklamTutar]),0))</f>
        <v/>
      </c>
      <c r="J260" s="16">
        <f>IF($A260="","",ROUND($B260-$C260,2))</f>
        <v/>
      </c>
      <c r="K260" s="16">
        <f>IF($A260="","",ROUND($B260-$C260-$E260-$F260-$H260-$I260,2))</f>
        <v/>
      </c>
      <c r="L260" s="16">
        <f>IF(OR($A260="",$B260=0),0,$K260/$B260)</f>
        <v/>
      </c>
      <c r="M260" s="16">
        <f>IF($A260="","",IF((1-$D260-$G260)&lt;=0,0,ROUND(($C260+$F260+$I260)/(1-$D260-$G260),2)))</f>
        <v/>
      </c>
      <c r="N260" s="16">
        <f>IF($A260="","",IFERROR(SUMIF(tblAnahtarA[Norm],$A260,tblVeriA[HedefNet]),0))</f>
        <v/>
      </c>
      <c r="O260" s="16">
        <f>IF($A260="","",ROUND($K260-$N260,2))</f>
        <v/>
      </c>
      <c r="P260" s="16">
        <f>IF($A260="","",IF($L260&lt;egk_esikKatkiDusuk,"ZAM YAP",IF(AND($R260=1,$L260&lt;egk_esikKatkiHedef),"İNDİRİMİ KES","TUT")))</f>
        <v/>
      </c>
      <c r="Q260" s="16">
        <f>IF($A260="","",IFERROR(SUMIF(tblAnahtarB[NormB],$A260,tblVeriB[Roas]),0))</f>
        <v/>
      </c>
      <c r="R260" s="16">
        <f>IF($A260="","",IF(OR(IFERROR(INDEX(tblVeriA[YorumAB],MATCH($A260,tblAnahtarA[Norm],0)),"")="B",IFERROR(INDEX(tblVeriA[Durum],MATCH($A260,tblAnahtarA[Norm],0)),"")="Kampanya"),1,0))</f>
        <v/>
      </c>
      <c r="S260" s="16">
        <f>IF($A260="","",$J260-$E260)</f>
        <v/>
      </c>
      <c r="T260" s="16">
        <f>IF($A260="","",$K260-$O260)</f>
        <v/>
      </c>
    </row>
    <row r="261">
      <c r="A261" s="16">
        <f>IF('ANAHTAR'!$B261="","",'ANAHTAR'!$B261)</f>
        <v/>
      </c>
      <c r="B261" s="16">
        <f>IF($A261="","",IFERROR(SUMIF(tblAnahtarA[Norm],$A261,tblVeriA[SatisFiyati]),0))</f>
        <v/>
      </c>
      <c r="C261" s="16">
        <f>IF($A261="","",IFERROR(SUMIF(tblAnahtarA[Norm],$A261,tblVeriA[Maliyet]),0))</f>
        <v/>
      </c>
      <c r="D261" s="16">
        <f>IF($A261="","",IFERROR(SUMIF(tblAnahtarB[NormB],$A261,tblVeriB[KomisyonOran]),0))</f>
        <v/>
      </c>
      <c r="E261" s="16">
        <f>IF($A261="","",ROUND($B261*$D261,2))</f>
        <v/>
      </c>
      <c r="F261" s="16">
        <f>IF($A261="","",IFERROR(SUMIF(tblAnahtarB[NormB],$A261,tblVeriB[Kargo]),0))</f>
        <v/>
      </c>
      <c r="G261" s="16">
        <f>IF($A261="","",IFERROR(SUMIF(tblAnahtarB[NormB],$A261,tblVeriB[IadeOran]),0))</f>
        <v/>
      </c>
      <c r="H261" s="16">
        <f>IF($A261="","",ROUND($B261*$G261,2))</f>
        <v/>
      </c>
      <c r="I261" s="16">
        <f>IF($A261="","",IFERROR(SUMIF(tblAnahtarB[NormB],$A261,tblVeriB[ReklamTutar]),0))</f>
        <v/>
      </c>
      <c r="J261" s="16">
        <f>IF($A261="","",ROUND($B261-$C261,2))</f>
        <v/>
      </c>
      <c r="K261" s="16">
        <f>IF($A261="","",ROUND($B261-$C261-$E261-$F261-$H261-$I261,2))</f>
        <v/>
      </c>
      <c r="L261" s="16">
        <f>IF(OR($A261="",$B261=0),0,$K261/$B261)</f>
        <v/>
      </c>
      <c r="M261" s="16">
        <f>IF($A261="","",IF((1-$D261-$G261)&lt;=0,0,ROUND(($C261+$F261+$I261)/(1-$D261-$G261),2)))</f>
        <v/>
      </c>
      <c r="N261" s="16">
        <f>IF($A261="","",IFERROR(SUMIF(tblAnahtarA[Norm],$A261,tblVeriA[HedefNet]),0))</f>
        <v/>
      </c>
      <c r="O261" s="16">
        <f>IF($A261="","",ROUND($K261-$N261,2))</f>
        <v/>
      </c>
      <c r="P261" s="16">
        <f>IF($A261="","",IF($L261&lt;egk_esikKatkiDusuk,"ZAM YAP",IF(AND($R261=1,$L261&lt;egk_esikKatkiHedef),"İNDİRİMİ KES","TUT")))</f>
        <v/>
      </c>
      <c r="Q261" s="16">
        <f>IF($A261="","",IFERROR(SUMIF(tblAnahtarB[NormB],$A261,tblVeriB[Roas]),0))</f>
        <v/>
      </c>
      <c r="R261" s="16">
        <f>IF($A261="","",IF(OR(IFERROR(INDEX(tblVeriA[YorumAB],MATCH($A261,tblAnahtarA[Norm],0)),"")="B",IFERROR(INDEX(tblVeriA[Durum],MATCH($A261,tblAnahtarA[Norm],0)),"")="Kampanya"),1,0))</f>
        <v/>
      </c>
      <c r="S261" s="16">
        <f>IF($A261="","",$J261-$E261)</f>
        <v/>
      </c>
      <c r="T261" s="16">
        <f>IF($A261="","",$K261-$O261)</f>
        <v/>
      </c>
    </row>
    <row r="262">
      <c r="A262" s="16">
        <f>IF('ANAHTAR'!$B262="","",'ANAHTAR'!$B262)</f>
        <v/>
      </c>
      <c r="B262" s="16">
        <f>IF($A262="","",IFERROR(SUMIF(tblAnahtarA[Norm],$A262,tblVeriA[SatisFiyati]),0))</f>
        <v/>
      </c>
      <c r="C262" s="16">
        <f>IF($A262="","",IFERROR(SUMIF(tblAnahtarA[Norm],$A262,tblVeriA[Maliyet]),0))</f>
        <v/>
      </c>
      <c r="D262" s="16">
        <f>IF($A262="","",IFERROR(SUMIF(tblAnahtarB[NormB],$A262,tblVeriB[KomisyonOran]),0))</f>
        <v/>
      </c>
      <c r="E262" s="16">
        <f>IF($A262="","",ROUND($B262*$D262,2))</f>
        <v/>
      </c>
      <c r="F262" s="16">
        <f>IF($A262="","",IFERROR(SUMIF(tblAnahtarB[NormB],$A262,tblVeriB[Kargo]),0))</f>
        <v/>
      </c>
      <c r="G262" s="16">
        <f>IF($A262="","",IFERROR(SUMIF(tblAnahtarB[NormB],$A262,tblVeriB[IadeOran]),0))</f>
        <v/>
      </c>
      <c r="H262" s="16">
        <f>IF($A262="","",ROUND($B262*$G262,2))</f>
        <v/>
      </c>
      <c r="I262" s="16">
        <f>IF($A262="","",IFERROR(SUMIF(tblAnahtarB[NormB],$A262,tblVeriB[ReklamTutar]),0))</f>
        <v/>
      </c>
      <c r="J262" s="16">
        <f>IF($A262="","",ROUND($B262-$C262,2))</f>
        <v/>
      </c>
      <c r="K262" s="16">
        <f>IF($A262="","",ROUND($B262-$C262-$E262-$F262-$H262-$I262,2))</f>
        <v/>
      </c>
      <c r="L262" s="16">
        <f>IF(OR($A262="",$B262=0),0,$K262/$B262)</f>
        <v/>
      </c>
      <c r="M262" s="16">
        <f>IF($A262="","",IF((1-$D262-$G262)&lt;=0,0,ROUND(($C262+$F262+$I262)/(1-$D262-$G262),2)))</f>
        <v/>
      </c>
      <c r="N262" s="16">
        <f>IF($A262="","",IFERROR(SUMIF(tblAnahtarA[Norm],$A262,tblVeriA[HedefNet]),0))</f>
        <v/>
      </c>
      <c r="O262" s="16">
        <f>IF($A262="","",ROUND($K262-$N262,2))</f>
        <v/>
      </c>
      <c r="P262" s="16">
        <f>IF($A262="","",IF($L262&lt;egk_esikKatkiDusuk,"ZAM YAP",IF(AND($R262=1,$L262&lt;egk_esikKatkiHedef),"İNDİRİMİ KES","TUT")))</f>
        <v/>
      </c>
      <c r="Q262" s="16">
        <f>IF($A262="","",IFERROR(SUMIF(tblAnahtarB[NormB],$A262,tblVeriB[Roas]),0))</f>
        <v/>
      </c>
      <c r="R262" s="16">
        <f>IF($A262="","",IF(OR(IFERROR(INDEX(tblVeriA[YorumAB],MATCH($A262,tblAnahtarA[Norm],0)),"")="B",IFERROR(INDEX(tblVeriA[Durum],MATCH($A262,tblAnahtarA[Norm],0)),"")="Kampanya"),1,0))</f>
        <v/>
      </c>
      <c r="S262" s="16">
        <f>IF($A262="","",$J262-$E262)</f>
        <v/>
      </c>
      <c r="T262" s="16">
        <f>IF($A262="","",$K262-$O262)</f>
        <v/>
      </c>
    </row>
    <row r="263">
      <c r="A263" s="16">
        <f>IF('ANAHTAR'!$B263="","",'ANAHTAR'!$B263)</f>
        <v/>
      </c>
      <c r="B263" s="16">
        <f>IF($A263="","",IFERROR(SUMIF(tblAnahtarA[Norm],$A263,tblVeriA[SatisFiyati]),0))</f>
        <v/>
      </c>
      <c r="C263" s="16">
        <f>IF($A263="","",IFERROR(SUMIF(tblAnahtarA[Norm],$A263,tblVeriA[Maliyet]),0))</f>
        <v/>
      </c>
      <c r="D263" s="16">
        <f>IF($A263="","",IFERROR(SUMIF(tblAnahtarB[NormB],$A263,tblVeriB[KomisyonOran]),0))</f>
        <v/>
      </c>
      <c r="E263" s="16">
        <f>IF($A263="","",ROUND($B263*$D263,2))</f>
        <v/>
      </c>
      <c r="F263" s="16">
        <f>IF($A263="","",IFERROR(SUMIF(tblAnahtarB[NormB],$A263,tblVeriB[Kargo]),0))</f>
        <v/>
      </c>
      <c r="G263" s="16">
        <f>IF($A263="","",IFERROR(SUMIF(tblAnahtarB[NormB],$A263,tblVeriB[IadeOran]),0))</f>
        <v/>
      </c>
      <c r="H263" s="16">
        <f>IF($A263="","",ROUND($B263*$G263,2))</f>
        <v/>
      </c>
      <c r="I263" s="16">
        <f>IF($A263="","",IFERROR(SUMIF(tblAnahtarB[NormB],$A263,tblVeriB[ReklamTutar]),0))</f>
        <v/>
      </c>
      <c r="J263" s="16">
        <f>IF($A263="","",ROUND($B263-$C263,2))</f>
        <v/>
      </c>
      <c r="K263" s="16">
        <f>IF($A263="","",ROUND($B263-$C263-$E263-$F263-$H263-$I263,2))</f>
        <v/>
      </c>
      <c r="L263" s="16">
        <f>IF(OR($A263="",$B263=0),0,$K263/$B263)</f>
        <v/>
      </c>
      <c r="M263" s="16">
        <f>IF($A263="","",IF((1-$D263-$G263)&lt;=0,0,ROUND(($C263+$F263+$I263)/(1-$D263-$G263),2)))</f>
        <v/>
      </c>
      <c r="N263" s="16">
        <f>IF($A263="","",IFERROR(SUMIF(tblAnahtarA[Norm],$A263,tblVeriA[HedefNet]),0))</f>
        <v/>
      </c>
      <c r="O263" s="16">
        <f>IF($A263="","",ROUND($K263-$N263,2))</f>
        <v/>
      </c>
      <c r="P263" s="16">
        <f>IF($A263="","",IF($L263&lt;egk_esikKatkiDusuk,"ZAM YAP",IF(AND($R263=1,$L263&lt;egk_esikKatkiHedef),"İNDİRİMİ KES","TUT")))</f>
        <v/>
      </c>
      <c r="Q263" s="16">
        <f>IF($A263="","",IFERROR(SUMIF(tblAnahtarB[NormB],$A263,tblVeriB[Roas]),0))</f>
        <v/>
      </c>
      <c r="R263" s="16">
        <f>IF($A263="","",IF(OR(IFERROR(INDEX(tblVeriA[YorumAB],MATCH($A263,tblAnahtarA[Norm],0)),"")="B",IFERROR(INDEX(tblVeriA[Durum],MATCH($A263,tblAnahtarA[Norm],0)),"")="Kampanya"),1,0))</f>
        <v/>
      </c>
      <c r="S263" s="16">
        <f>IF($A263="","",$J263-$E263)</f>
        <v/>
      </c>
      <c r="T263" s="16">
        <f>IF($A263="","",$K263-$O263)</f>
        <v/>
      </c>
    </row>
    <row r="264">
      <c r="A264" s="16">
        <f>IF('ANAHTAR'!$B264="","",'ANAHTAR'!$B264)</f>
        <v/>
      </c>
      <c r="B264" s="16">
        <f>IF($A264="","",IFERROR(SUMIF(tblAnahtarA[Norm],$A264,tblVeriA[SatisFiyati]),0))</f>
        <v/>
      </c>
      <c r="C264" s="16">
        <f>IF($A264="","",IFERROR(SUMIF(tblAnahtarA[Norm],$A264,tblVeriA[Maliyet]),0))</f>
        <v/>
      </c>
      <c r="D264" s="16">
        <f>IF($A264="","",IFERROR(SUMIF(tblAnahtarB[NormB],$A264,tblVeriB[KomisyonOran]),0))</f>
        <v/>
      </c>
      <c r="E264" s="16">
        <f>IF($A264="","",ROUND($B264*$D264,2))</f>
        <v/>
      </c>
      <c r="F264" s="16">
        <f>IF($A264="","",IFERROR(SUMIF(tblAnahtarB[NormB],$A264,tblVeriB[Kargo]),0))</f>
        <v/>
      </c>
      <c r="G264" s="16">
        <f>IF($A264="","",IFERROR(SUMIF(tblAnahtarB[NormB],$A264,tblVeriB[IadeOran]),0))</f>
        <v/>
      </c>
      <c r="H264" s="16">
        <f>IF($A264="","",ROUND($B264*$G264,2))</f>
        <v/>
      </c>
      <c r="I264" s="16">
        <f>IF($A264="","",IFERROR(SUMIF(tblAnahtarB[NormB],$A264,tblVeriB[ReklamTutar]),0))</f>
        <v/>
      </c>
      <c r="J264" s="16">
        <f>IF($A264="","",ROUND($B264-$C264,2))</f>
        <v/>
      </c>
      <c r="K264" s="16">
        <f>IF($A264="","",ROUND($B264-$C264-$E264-$F264-$H264-$I264,2))</f>
        <v/>
      </c>
      <c r="L264" s="16">
        <f>IF(OR($A264="",$B264=0),0,$K264/$B264)</f>
        <v/>
      </c>
      <c r="M264" s="16">
        <f>IF($A264="","",IF((1-$D264-$G264)&lt;=0,0,ROUND(($C264+$F264+$I264)/(1-$D264-$G264),2)))</f>
        <v/>
      </c>
      <c r="N264" s="16">
        <f>IF($A264="","",IFERROR(SUMIF(tblAnahtarA[Norm],$A264,tblVeriA[HedefNet]),0))</f>
        <v/>
      </c>
      <c r="O264" s="16">
        <f>IF($A264="","",ROUND($K264-$N264,2))</f>
        <v/>
      </c>
      <c r="P264" s="16">
        <f>IF($A264="","",IF($L264&lt;egk_esikKatkiDusuk,"ZAM YAP",IF(AND($R264=1,$L264&lt;egk_esikKatkiHedef),"İNDİRİMİ KES","TUT")))</f>
        <v/>
      </c>
      <c r="Q264" s="16">
        <f>IF($A264="","",IFERROR(SUMIF(tblAnahtarB[NormB],$A264,tblVeriB[Roas]),0))</f>
        <v/>
      </c>
      <c r="R264" s="16">
        <f>IF($A264="","",IF(OR(IFERROR(INDEX(tblVeriA[YorumAB],MATCH($A264,tblAnahtarA[Norm],0)),"")="B",IFERROR(INDEX(tblVeriA[Durum],MATCH($A264,tblAnahtarA[Norm],0)),"")="Kampanya"),1,0))</f>
        <v/>
      </c>
      <c r="S264" s="16">
        <f>IF($A264="","",$J264-$E264)</f>
        <v/>
      </c>
      <c r="T264" s="16">
        <f>IF($A264="","",$K264-$O264)</f>
        <v/>
      </c>
    </row>
    <row r="265">
      <c r="A265" s="16">
        <f>IF('ANAHTAR'!$B265="","",'ANAHTAR'!$B265)</f>
        <v/>
      </c>
      <c r="B265" s="16">
        <f>IF($A265="","",IFERROR(SUMIF(tblAnahtarA[Norm],$A265,tblVeriA[SatisFiyati]),0))</f>
        <v/>
      </c>
      <c r="C265" s="16">
        <f>IF($A265="","",IFERROR(SUMIF(tblAnahtarA[Norm],$A265,tblVeriA[Maliyet]),0))</f>
        <v/>
      </c>
      <c r="D265" s="16">
        <f>IF($A265="","",IFERROR(SUMIF(tblAnahtarB[NormB],$A265,tblVeriB[KomisyonOran]),0))</f>
        <v/>
      </c>
      <c r="E265" s="16">
        <f>IF($A265="","",ROUND($B265*$D265,2))</f>
        <v/>
      </c>
      <c r="F265" s="16">
        <f>IF($A265="","",IFERROR(SUMIF(tblAnahtarB[NormB],$A265,tblVeriB[Kargo]),0))</f>
        <v/>
      </c>
      <c r="G265" s="16">
        <f>IF($A265="","",IFERROR(SUMIF(tblAnahtarB[NormB],$A265,tblVeriB[IadeOran]),0))</f>
        <v/>
      </c>
      <c r="H265" s="16">
        <f>IF($A265="","",ROUND($B265*$G265,2))</f>
        <v/>
      </c>
      <c r="I265" s="16">
        <f>IF($A265="","",IFERROR(SUMIF(tblAnahtarB[NormB],$A265,tblVeriB[ReklamTutar]),0))</f>
        <v/>
      </c>
      <c r="J265" s="16">
        <f>IF($A265="","",ROUND($B265-$C265,2))</f>
        <v/>
      </c>
      <c r="K265" s="16">
        <f>IF($A265="","",ROUND($B265-$C265-$E265-$F265-$H265-$I265,2))</f>
        <v/>
      </c>
      <c r="L265" s="16">
        <f>IF(OR($A265="",$B265=0),0,$K265/$B265)</f>
        <v/>
      </c>
      <c r="M265" s="16">
        <f>IF($A265="","",IF((1-$D265-$G265)&lt;=0,0,ROUND(($C265+$F265+$I265)/(1-$D265-$G265),2)))</f>
        <v/>
      </c>
      <c r="N265" s="16">
        <f>IF($A265="","",IFERROR(SUMIF(tblAnahtarA[Norm],$A265,tblVeriA[HedefNet]),0))</f>
        <v/>
      </c>
      <c r="O265" s="16">
        <f>IF($A265="","",ROUND($K265-$N265,2))</f>
        <v/>
      </c>
      <c r="P265" s="16">
        <f>IF($A265="","",IF($L265&lt;egk_esikKatkiDusuk,"ZAM YAP",IF(AND($R265=1,$L265&lt;egk_esikKatkiHedef),"İNDİRİMİ KES","TUT")))</f>
        <v/>
      </c>
      <c r="Q265" s="16">
        <f>IF($A265="","",IFERROR(SUMIF(tblAnahtarB[NormB],$A265,tblVeriB[Roas]),0))</f>
        <v/>
      </c>
      <c r="R265" s="16">
        <f>IF($A265="","",IF(OR(IFERROR(INDEX(tblVeriA[YorumAB],MATCH($A265,tblAnahtarA[Norm],0)),"")="B",IFERROR(INDEX(tblVeriA[Durum],MATCH($A265,tblAnahtarA[Norm],0)),"")="Kampanya"),1,0))</f>
        <v/>
      </c>
      <c r="S265" s="16">
        <f>IF($A265="","",$J265-$E265)</f>
        <v/>
      </c>
      <c r="T265" s="16">
        <f>IF($A265="","",$K265-$O265)</f>
        <v/>
      </c>
    </row>
    <row r="266">
      <c r="A266" s="16">
        <f>IF('ANAHTAR'!$B266="","",'ANAHTAR'!$B266)</f>
        <v/>
      </c>
      <c r="B266" s="16">
        <f>IF($A266="","",IFERROR(SUMIF(tblAnahtarA[Norm],$A266,tblVeriA[SatisFiyati]),0))</f>
        <v/>
      </c>
      <c r="C266" s="16">
        <f>IF($A266="","",IFERROR(SUMIF(tblAnahtarA[Norm],$A266,tblVeriA[Maliyet]),0))</f>
        <v/>
      </c>
      <c r="D266" s="16">
        <f>IF($A266="","",IFERROR(SUMIF(tblAnahtarB[NormB],$A266,tblVeriB[KomisyonOran]),0))</f>
        <v/>
      </c>
      <c r="E266" s="16">
        <f>IF($A266="","",ROUND($B266*$D266,2))</f>
        <v/>
      </c>
      <c r="F266" s="16">
        <f>IF($A266="","",IFERROR(SUMIF(tblAnahtarB[NormB],$A266,tblVeriB[Kargo]),0))</f>
        <v/>
      </c>
      <c r="G266" s="16">
        <f>IF($A266="","",IFERROR(SUMIF(tblAnahtarB[NormB],$A266,tblVeriB[IadeOran]),0))</f>
        <v/>
      </c>
      <c r="H266" s="16">
        <f>IF($A266="","",ROUND($B266*$G266,2))</f>
        <v/>
      </c>
      <c r="I266" s="16">
        <f>IF($A266="","",IFERROR(SUMIF(tblAnahtarB[NormB],$A266,tblVeriB[ReklamTutar]),0))</f>
        <v/>
      </c>
      <c r="J266" s="16">
        <f>IF($A266="","",ROUND($B266-$C266,2))</f>
        <v/>
      </c>
      <c r="K266" s="16">
        <f>IF($A266="","",ROUND($B266-$C266-$E266-$F266-$H266-$I266,2))</f>
        <v/>
      </c>
      <c r="L266" s="16">
        <f>IF(OR($A266="",$B266=0),0,$K266/$B266)</f>
        <v/>
      </c>
      <c r="M266" s="16">
        <f>IF($A266="","",IF((1-$D266-$G266)&lt;=0,0,ROUND(($C266+$F266+$I266)/(1-$D266-$G266),2)))</f>
        <v/>
      </c>
      <c r="N266" s="16">
        <f>IF($A266="","",IFERROR(SUMIF(tblAnahtarA[Norm],$A266,tblVeriA[HedefNet]),0))</f>
        <v/>
      </c>
      <c r="O266" s="16">
        <f>IF($A266="","",ROUND($K266-$N266,2))</f>
        <v/>
      </c>
      <c r="P266" s="16">
        <f>IF($A266="","",IF($L266&lt;egk_esikKatkiDusuk,"ZAM YAP",IF(AND($R266=1,$L266&lt;egk_esikKatkiHedef),"İNDİRİMİ KES","TUT")))</f>
        <v/>
      </c>
      <c r="Q266" s="16">
        <f>IF($A266="","",IFERROR(SUMIF(tblAnahtarB[NormB],$A266,tblVeriB[Roas]),0))</f>
        <v/>
      </c>
      <c r="R266" s="16">
        <f>IF($A266="","",IF(OR(IFERROR(INDEX(tblVeriA[YorumAB],MATCH($A266,tblAnahtarA[Norm],0)),"")="B",IFERROR(INDEX(tblVeriA[Durum],MATCH($A266,tblAnahtarA[Norm],0)),"")="Kampanya"),1,0))</f>
        <v/>
      </c>
      <c r="S266" s="16">
        <f>IF($A266="","",$J266-$E266)</f>
        <v/>
      </c>
      <c r="T266" s="16">
        <f>IF($A266="","",$K266-$O266)</f>
        <v/>
      </c>
    </row>
    <row r="267">
      <c r="A267" s="16">
        <f>IF('ANAHTAR'!$B267="","",'ANAHTAR'!$B267)</f>
        <v/>
      </c>
      <c r="B267" s="16">
        <f>IF($A267="","",IFERROR(SUMIF(tblAnahtarA[Norm],$A267,tblVeriA[SatisFiyati]),0))</f>
        <v/>
      </c>
      <c r="C267" s="16">
        <f>IF($A267="","",IFERROR(SUMIF(tblAnahtarA[Norm],$A267,tblVeriA[Maliyet]),0))</f>
        <v/>
      </c>
      <c r="D267" s="16">
        <f>IF($A267="","",IFERROR(SUMIF(tblAnahtarB[NormB],$A267,tblVeriB[KomisyonOran]),0))</f>
        <v/>
      </c>
      <c r="E267" s="16">
        <f>IF($A267="","",ROUND($B267*$D267,2))</f>
        <v/>
      </c>
      <c r="F267" s="16">
        <f>IF($A267="","",IFERROR(SUMIF(tblAnahtarB[NormB],$A267,tblVeriB[Kargo]),0))</f>
        <v/>
      </c>
      <c r="G267" s="16">
        <f>IF($A267="","",IFERROR(SUMIF(tblAnahtarB[NormB],$A267,tblVeriB[IadeOran]),0))</f>
        <v/>
      </c>
      <c r="H267" s="16">
        <f>IF($A267="","",ROUND($B267*$G267,2))</f>
        <v/>
      </c>
      <c r="I267" s="16">
        <f>IF($A267="","",IFERROR(SUMIF(tblAnahtarB[NormB],$A267,tblVeriB[ReklamTutar]),0))</f>
        <v/>
      </c>
      <c r="J267" s="16">
        <f>IF($A267="","",ROUND($B267-$C267,2))</f>
        <v/>
      </c>
      <c r="K267" s="16">
        <f>IF($A267="","",ROUND($B267-$C267-$E267-$F267-$H267-$I267,2))</f>
        <v/>
      </c>
      <c r="L267" s="16">
        <f>IF(OR($A267="",$B267=0),0,$K267/$B267)</f>
        <v/>
      </c>
      <c r="M267" s="16">
        <f>IF($A267="","",IF((1-$D267-$G267)&lt;=0,0,ROUND(($C267+$F267+$I267)/(1-$D267-$G267),2)))</f>
        <v/>
      </c>
      <c r="N267" s="16">
        <f>IF($A267="","",IFERROR(SUMIF(tblAnahtarA[Norm],$A267,tblVeriA[HedefNet]),0))</f>
        <v/>
      </c>
      <c r="O267" s="16">
        <f>IF($A267="","",ROUND($K267-$N267,2))</f>
        <v/>
      </c>
      <c r="P267" s="16">
        <f>IF($A267="","",IF($L267&lt;egk_esikKatkiDusuk,"ZAM YAP",IF(AND($R267=1,$L267&lt;egk_esikKatkiHedef),"İNDİRİMİ KES","TUT")))</f>
        <v/>
      </c>
      <c r="Q267" s="16">
        <f>IF($A267="","",IFERROR(SUMIF(tblAnahtarB[NormB],$A267,tblVeriB[Roas]),0))</f>
        <v/>
      </c>
      <c r="R267" s="16">
        <f>IF($A267="","",IF(OR(IFERROR(INDEX(tblVeriA[YorumAB],MATCH($A267,tblAnahtarA[Norm],0)),"")="B",IFERROR(INDEX(tblVeriA[Durum],MATCH($A267,tblAnahtarA[Norm],0)),"")="Kampanya"),1,0))</f>
        <v/>
      </c>
      <c r="S267" s="16">
        <f>IF($A267="","",$J267-$E267)</f>
        <v/>
      </c>
      <c r="T267" s="16">
        <f>IF($A267="","",$K267-$O267)</f>
        <v/>
      </c>
    </row>
    <row r="268">
      <c r="A268" s="16">
        <f>IF('ANAHTAR'!$B268="","",'ANAHTAR'!$B268)</f>
        <v/>
      </c>
      <c r="B268" s="16">
        <f>IF($A268="","",IFERROR(SUMIF(tblAnahtarA[Norm],$A268,tblVeriA[SatisFiyati]),0))</f>
        <v/>
      </c>
      <c r="C268" s="16">
        <f>IF($A268="","",IFERROR(SUMIF(tblAnahtarA[Norm],$A268,tblVeriA[Maliyet]),0))</f>
        <v/>
      </c>
      <c r="D268" s="16">
        <f>IF($A268="","",IFERROR(SUMIF(tblAnahtarB[NormB],$A268,tblVeriB[KomisyonOran]),0))</f>
        <v/>
      </c>
      <c r="E268" s="16">
        <f>IF($A268="","",ROUND($B268*$D268,2))</f>
        <v/>
      </c>
      <c r="F268" s="16">
        <f>IF($A268="","",IFERROR(SUMIF(tblAnahtarB[NormB],$A268,tblVeriB[Kargo]),0))</f>
        <v/>
      </c>
      <c r="G268" s="16">
        <f>IF($A268="","",IFERROR(SUMIF(tblAnahtarB[NormB],$A268,tblVeriB[IadeOran]),0))</f>
        <v/>
      </c>
      <c r="H268" s="16">
        <f>IF($A268="","",ROUND($B268*$G268,2))</f>
        <v/>
      </c>
      <c r="I268" s="16">
        <f>IF($A268="","",IFERROR(SUMIF(tblAnahtarB[NormB],$A268,tblVeriB[ReklamTutar]),0))</f>
        <v/>
      </c>
      <c r="J268" s="16">
        <f>IF($A268="","",ROUND($B268-$C268,2))</f>
        <v/>
      </c>
      <c r="K268" s="16">
        <f>IF($A268="","",ROUND($B268-$C268-$E268-$F268-$H268-$I268,2))</f>
        <v/>
      </c>
      <c r="L268" s="16">
        <f>IF(OR($A268="",$B268=0),0,$K268/$B268)</f>
        <v/>
      </c>
      <c r="M268" s="16">
        <f>IF($A268="","",IF((1-$D268-$G268)&lt;=0,0,ROUND(($C268+$F268+$I268)/(1-$D268-$G268),2)))</f>
        <v/>
      </c>
      <c r="N268" s="16">
        <f>IF($A268="","",IFERROR(SUMIF(tblAnahtarA[Norm],$A268,tblVeriA[HedefNet]),0))</f>
        <v/>
      </c>
      <c r="O268" s="16">
        <f>IF($A268="","",ROUND($K268-$N268,2))</f>
        <v/>
      </c>
      <c r="P268" s="16">
        <f>IF($A268="","",IF($L268&lt;egk_esikKatkiDusuk,"ZAM YAP",IF(AND($R268=1,$L268&lt;egk_esikKatkiHedef),"İNDİRİMİ KES","TUT")))</f>
        <v/>
      </c>
      <c r="Q268" s="16">
        <f>IF($A268="","",IFERROR(SUMIF(tblAnahtarB[NormB],$A268,tblVeriB[Roas]),0))</f>
        <v/>
      </c>
      <c r="R268" s="16">
        <f>IF($A268="","",IF(OR(IFERROR(INDEX(tblVeriA[YorumAB],MATCH($A268,tblAnahtarA[Norm],0)),"")="B",IFERROR(INDEX(tblVeriA[Durum],MATCH($A268,tblAnahtarA[Norm],0)),"")="Kampanya"),1,0))</f>
        <v/>
      </c>
      <c r="S268" s="16">
        <f>IF($A268="","",$J268-$E268)</f>
        <v/>
      </c>
      <c r="T268" s="16">
        <f>IF($A268="","",$K268-$O268)</f>
        <v/>
      </c>
    </row>
    <row r="269">
      <c r="A269" s="16">
        <f>IF('ANAHTAR'!$B269="","",'ANAHTAR'!$B269)</f>
        <v/>
      </c>
      <c r="B269" s="16">
        <f>IF($A269="","",IFERROR(SUMIF(tblAnahtarA[Norm],$A269,tblVeriA[SatisFiyati]),0))</f>
        <v/>
      </c>
      <c r="C269" s="16">
        <f>IF($A269="","",IFERROR(SUMIF(tblAnahtarA[Norm],$A269,tblVeriA[Maliyet]),0))</f>
        <v/>
      </c>
      <c r="D269" s="16">
        <f>IF($A269="","",IFERROR(SUMIF(tblAnahtarB[NormB],$A269,tblVeriB[KomisyonOran]),0))</f>
        <v/>
      </c>
      <c r="E269" s="16">
        <f>IF($A269="","",ROUND($B269*$D269,2))</f>
        <v/>
      </c>
      <c r="F269" s="16">
        <f>IF($A269="","",IFERROR(SUMIF(tblAnahtarB[NormB],$A269,tblVeriB[Kargo]),0))</f>
        <v/>
      </c>
      <c r="G269" s="16">
        <f>IF($A269="","",IFERROR(SUMIF(tblAnahtarB[NormB],$A269,tblVeriB[IadeOran]),0))</f>
        <v/>
      </c>
      <c r="H269" s="16">
        <f>IF($A269="","",ROUND($B269*$G269,2))</f>
        <v/>
      </c>
      <c r="I269" s="16">
        <f>IF($A269="","",IFERROR(SUMIF(tblAnahtarB[NormB],$A269,tblVeriB[ReklamTutar]),0))</f>
        <v/>
      </c>
      <c r="J269" s="16">
        <f>IF($A269="","",ROUND($B269-$C269,2))</f>
        <v/>
      </c>
      <c r="K269" s="16">
        <f>IF($A269="","",ROUND($B269-$C269-$E269-$F269-$H269-$I269,2))</f>
        <v/>
      </c>
      <c r="L269" s="16">
        <f>IF(OR($A269="",$B269=0),0,$K269/$B269)</f>
        <v/>
      </c>
      <c r="M269" s="16">
        <f>IF($A269="","",IF((1-$D269-$G269)&lt;=0,0,ROUND(($C269+$F269+$I269)/(1-$D269-$G269),2)))</f>
        <v/>
      </c>
      <c r="N269" s="16">
        <f>IF($A269="","",IFERROR(SUMIF(tblAnahtarA[Norm],$A269,tblVeriA[HedefNet]),0))</f>
        <v/>
      </c>
      <c r="O269" s="16">
        <f>IF($A269="","",ROUND($K269-$N269,2))</f>
        <v/>
      </c>
      <c r="P269" s="16">
        <f>IF($A269="","",IF($L269&lt;egk_esikKatkiDusuk,"ZAM YAP",IF(AND($R269=1,$L269&lt;egk_esikKatkiHedef),"İNDİRİMİ KES","TUT")))</f>
        <v/>
      </c>
      <c r="Q269" s="16">
        <f>IF($A269="","",IFERROR(SUMIF(tblAnahtarB[NormB],$A269,tblVeriB[Roas]),0))</f>
        <v/>
      </c>
      <c r="R269" s="16">
        <f>IF($A269="","",IF(OR(IFERROR(INDEX(tblVeriA[YorumAB],MATCH($A269,tblAnahtarA[Norm],0)),"")="B",IFERROR(INDEX(tblVeriA[Durum],MATCH($A269,tblAnahtarA[Norm],0)),"")="Kampanya"),1,0))</f>
        <v/>
      </c>
      <c r="S269" s="16">
        <f>IF($A269="","",$J269-$E269)</f>
        <v/>
      </c>
      <c r="T269" s="16">
        <f>IF($A269="","",$K269-$O269)</f>
        <v/>
      </c>
    </row>
    <row r="270">
      <c r="A270" s="16">
        <f>IF('ANAHTAR'!$B270="","",'ANAHTAR'!$B270)</f>
        <v/>
      </c>
      <c r="B270" s="16">
        <f>IF($A270="","",IFERROR(SUMIF(tblAnahtarA[Norm],$A270,tblVeriA[SatisFiyati]),0))</f>
        <v/>
      </c>
      <c r="C270" s="16">
        <f>IF($A270="","",IFERROR(SUMIF(tblAnahtarA[Norm],$A270,tblVeriA[Maliyet]),0))</f>
        <v/>
      </c>
      <c r="D270" s="16">
        <f>IF($A270="","",IFERROR(SUMIF(tblAnahtarB[NormB],$A270,tblVeriB[KomisyonOran]),0))</f>
        <v/>
      </c>
      <c r="E270" s="16">
        <f>IF($A270="","",ROUND($B270*$D270,2))</f>
        <v/>
      </c>
      <c r="F270" s="16">
        <f>IF($A270="","",IFERROR(SUMIF(tblAnahtarB[NormB],$A270,tblVeriB[Kargo]),0))</f>
        <v/>
      </c>
      <c r="G270" s="16">
        <f>IF($A270="","",IFERROR(SUMIF(tblAnahtarB[NormB],$A270,tblVeriB[IadeOran]),0))</f>
        <v/>
      </c>
      <c r="H270" s="16">
        <f>IF($A270="","",ROUND($B270*$G270,2))</f>
        <v/>
      </c>
      <c r="I270" s="16">
        <f>IF($A270="","",IFERROR(SUMIF(tblAnahtarB[NormB],$A270,tblVeriB[ReklamTutar]),0))</f>
        <v/>
      </c>
      <c r="J270" s="16">
        <f>IF($A270="","",ROUND($B270-$C270,2))</f>
        <v/>
      </c>
      <c r="K270" s="16">
        <f>IF($A270="","",ROUND($B270-$C270-$E270-$F270-$H270-$I270,2))</f>
        <v/>
      </c>
      <c r="L270" s="16">
        <f>IF(OR($A270="",$B270=0),0,$K270/$B270)</f>
        <v/>
      </c>
      <c r="M270" s="16">
        <f>IF($A270="","",IF((1-$D270-$G270)&lt;=0,0,ROUND(($C270+$F270+$I270)/(1-$D270-$G270),2)))</f>
        <v/>
      </c>
      <c r="N270" s="16">
        <f>IF($A270="","",IFERROR(SUMIF(tblAnahtarA[Norm],$A270,tblVeriA[HedefNet]),0))</f>
        <v/>
      </c>
      <c r="O270" s="16">
        <f>IF($A270="","",ROUND($K270-$N270,2))</f>
        <v/>
      </c>
      <c r="P270" s="16">
        <f>IF($A270="","",IF($L270&lt;egk_esikKatkiDusuk,"ZAM YAP",IF(AND($R270=1,$L270&lt;egk_esikKatkiHedef),"İNDİRİMİ KES","TUT")))</f>
        <v/>
      </c>
      <c r="Q270" s="16">
        <f>IF($A270="","",IFERROR(SUMIF(tblAnahtarB[NormB],$A270,tblVeriB[Roas]),0))</f>
        <v/>
      </c>
      <c r="R270" s="16">
        <f>IF($A270="","",IF(OR(IFERROR(INDEX(tblVeriA[YorumAB],MATCH($A270,tblAnahtarA[Norm],0)),"")="B",IFERROR(INDEX(tblVeriA[Durum],MATCH($A270,tblAnahtarA[Norm],0)),"")="Kampanya"),1,0))</f>
        <v/>
      </c>
      <c r="S270" s="16">
        <f>IF($A270="","",$J270-$E270)</f>
        <v/>
      </c>
      <c r="T270" s="16">
        <f>IF($A270="","",$K270-$O270)</f>
        <v/>
      </c>
    </row>
    <row r="271">
      <c r="A271" s="16">
        <f>IF('ANAHTAR'!$B271="","",'ANAHTAR'!$B271)</f>
        <v/>
      </c>
      <c r="B271" s="16">
        <f>IF($A271="","",IFERROR(SUMIF(tblAnahtarA[Norm],$A271,tblVeriA[SatisFiyati]),0))</f>
        <v/>
      </c>
      <c r="C271" s="16">
        <f>IF($A271="","",IFERROR(SUMIF(tblAnahtarA[Norm],$A271,tblVeriA[Maliyet]),0))</f>
        <v/>
      </c>
      <c r="D271" s="16">
        <f>IF($A271="","",IFERROR(SUMIF(tblAnahtarB[NormB],$A271,tblVeriB[KomisyonOran]),0))</f>
        <v/>
      </c>
      <c r="E271" s="16">
        <f>IF($A271="","",ROUND($B271*$D271,2))</f>
        <v/>
      </c>
      <c r="F271" s="16">
        <f>IF($A271="","",IFERROR(SUMIF(tblAnahtarB[NormB],$A271,tblVeriB[Kargo]),0))</f>
        <v/>
      </c>
      <c r="G271" s="16">
        <f>IF($A271="","",IFERROR(SUMIF(tblAnahtarB[NormB],$A271,tblVeriB[IadeOran]),0))</f>
        <v/>
      </c>
      <c r="H271" s="16">
        <f>IF($A271="","",ROUND($B271*$G271,2))</f>
        <v/>
      </c>
      <c r="I271" s="16">
        <f>IF($A271="","",IFERROR(SUMIF(tblAnahtarB[NormB],$A271,tblVeriB[ReklamTutar]),0))</f>
        <v/>
      </c>
      <c r="J271" s="16">
        <f>IF($A271="","",ROUND($B271-$C271,2))</f>
        <v/>
      </c>
      <c r="K271" s="16">
        <f>IF($A271="","",ROUND($B271-$C271-$E271-$F271-$H271-$I271,2))</f>
        <v/>
      </c>
      <c r="L271" s="16">
        <f>IF(OR($A271="",$B271=0),0,$K271/$B271)</f>
        <v/>
      </c>
      <c r="M271" s="16">
        <f>IF($A271="","",IF((1-$D271-$G271)&lt;=0,0,ROUND(($C271+$F271+$I271)/(1-$D271-$G271),2)))</f>
        <v/>
      </c>
      <c r="N271" s="16">
        <f>IF($A271="","",IFERROR(SUMIF(tblAnahtarA[Norm],$A271,tblVeriA[HedefNet]),0))</f>
        <v/>
      </c>
      <c r="O271" s="16">
        <f>IF($A271="","",ROUND($K271-$N271,2))</f>
        <v/>
      </c>
      <c r="P271" s="16">
        <f>IF($A271="","",IF($L271&lt;egk_esikKatkiDusuk,"ZAM YAP",IF(AND($R271=1,$L271&lt;egk_esikKatkiHedef),"İNDİRİMİ KES","TUT")))</f>
        <v/>
      </c>
      <c r="Q271" s="16">
        <f>IF($A271="","",IFERROR(SUMIF(tblAnahtarB[NormB],$A271,tblVeriB[Roas]),0))</f>
        <v/>
      </c>
      <c r="R271" s="16">
        <f>IF($A271="","",IF(OR(IFERROR(INDEX(tblVeriA[YorumAB],MATCH($A271,tblAnahtarA[Norm],0)),"")="B",IFERROR(INDEX(tblVeriA[Durum],MATCH($A271,tblAnahtarA[Norm],0)),"")="Kampanya"),1,0))</f>
        <v/>
      </c>
      <c r="S271" s="16">
        <f>IF($A271="","",$J271-$E271)</f>
        <v/>
      </c>
      <c r="T271" s="16">
        <f>IF($A271="","",$K271-$O271)</f>
        <v/>
      </c>
    </row>
    <row r="272">
      <c r="A272" s="16">
        <f>IF('ANAHTAR'!$B272="","",'ANAHTAR'!$B272)</f>
        <v/>
      </c>
      <c r="B272" s="16">
        <f>IF($A272="","",IFERROR(SUMIF(tblAnahtarA[Norm],$A272,tblVeriA[SatisFiyati]),0))</f>
        <v/>
      </c>
      <c r="C272" s="16">
        <f>IF($A272="","",IFERROR(SUMIF(tblAnahtarA[Norm],$A272,tblVeriA[Maliyet]),0))</f>
        <v/>
      </c>
      <c r="D272" s="16">
        <f>IF($A272="","",IFERROR(SUMIF(tblAnahtarB[NormB],$A272,tblVeriB[KomisyonOran]),0))</f>
        <v/>
      </c>
      <c r="E272" s="16">
        <f>IF($A272="","",ROUND($B272*$D272,2))</f>
        <v/>
      </c>
      <c r="F272" s="16">
        <f>IF($A272="","",IFERROR(SUMIF(tblAnahtarB[NormB],$A272,tblVeriB[Kargo]),0))</f>
        <v/>
      </c>
      <c r="G272" s="16">
        <f>IF($A272="","",IFERROR(SUMIF(tblAnahtarB[NormB],$A272,tblVeriB[IadeOran]),0))</f>
        <v/>
      </c>
      <c r="H272" s="16">
        <f>IF($A272="","",ROUND($B272*$G272,2))</f>
        <v/>
      </c>
      <c r="I272" s="16">
        <f>IF($A272="","",IFERROR(SUMIF(tblAnahtarB[NormB],$A272,tblVeriB[ReklamTutar]),0))</f>
        <v/>
      </c>
      <c r="J272" s="16">
        <f>IF($A272="","",ROUND($B272-$C272,2))</f>
        <v/>
      </c>
      <c r="K272" s="16">
        <f>IF($A272="","",ROUND($B272-$C272-$E272-$F272-$H272-$I272,2))</f>
        <v/>
      </c>
      <c r="L272" s="16">
        <f>IF(OR($A272="",$B272=0),0,$K272/$B272)</f>
        <v/>
      </c>
      <c r="M272" s="16">
        <f>IF($A272="","",IF((1-$D272-$G272)&lt;=0,0,ROUND(($C272+$F272+$I272)/(1-$D272-$G272),2)))</f>
        <v/>
      </c>
      <c r="N272" s="16">
        <f>IF($A272="","",IFERROR(SUMIF(tblAnahtarA[Norm],$A272,tblVeriA[HedefNet]),0))</f>
        <v/>
      </c>
      <c r="O272" s="16">
        <f>IF($A272="","",ROUND($K272-$N272,2))</f>
        <v/>
      </c>
      <c r="P272" s="16">
        <f>IF($A272="","",IF($L272&lt;egk_esikKatkiDusuk,"ZAM YAP",IF(AND($R272=1,$L272&lt;egk_esikKatkiHedef),"İNDİRİMİ KES","TUT")))</f>
        <v/>
      </c>
      <c r="Q272" s="16">
        <f>IF($A272="","",IFERROR(SUMIF(tblAnahtarB[NormB],$A272,tblVeriB[Roas]),0))</f>
        <v/>
      </c>
      <c r="R272" s="16">
        <f>IF($A272="","",IF(OR(IFERROR(INDEX(tblVeriA[YorumAB],MATCH($A272,tblAnahtarA[Norm],0)),"")="B",IFERROR(INDEX(tblVeriA[Durum],MATCH($A272,tblAnahtarA[Norm],0)),"")="Kampanya"),1,0))</f>
        <v/>
      </c>
      <c r="S272" s="16">
        <f>IF($A272="","",$J272-$E272)</f>
        <v/>
      </c>
      <c r="T272" s="16">
        <f>IF($A272="","",$K272-$O272)</f>
        <v/>
      </c>
    </row>
    <row r="273">
      <c r="A273" s="16">
        <f>IF('ANAHTAR'!$B273="","",'ANAHTAR'!$B273)</f>
        <v/>
      </c>
      <c r="B273" s="16">
        <f>IF($A273="","",IFERROR(SUMIF(tblAnahtarA[Norm],$A273,tblVeriA[SatisFiyati]),0))</f>
        <v/>
      </c>
      <c r="C273" s="16">
        <f>IF($A273="","",IFERROR(SUMIF(tblAnahtarA[Norm],$A273,tblVeriA[Maliyet]),0))</f>
        <v/>
      </c>
      <c r="D273" s="16">
        <f>IF($A273="","",IFERROR(SUMIF(tblAnahtarB[NormB],$A273,tblVeriB[KomisyonOran]),0))</f>
        <v/>
      </c>
      <c r="E273" s="16">
        <f>IF($A273="","",ROUND($B273*$D273,2))</f>
        <v/>
      </c>
      <c r="F273" s="16">
        <f>IF($A273="","",IFERROR(SUMIF(tblAnahtarB[NormB],$A273,tblVeriB[Kargo]),0))</f>
        <v/>
      </c>
      <c r="G273" s="16">
        <f>IF($A273="","",IFERROR(SUMIF(tblAnahtarB[NormB],$A273,tblVeriB[IadeOran]),0))</f>
        <v/>
      </c>
      <c r="H273" s="16">
        <f>IF($A273="","",ROUND($B273*$G273,2))</f>
        <v/>
      </c>
      <c r="I273" s="16">
        <f>IF($A273="","",IFERROR(SUMIF(tblAnahtarB[NormB],$A273,tblVeriB[ReklamTutar]),0))</f>
        <v/>
      </c>
      <c r="J273" s="16">
        <f>IF($A273="","",ROUND($B273-$C273,2))</f>
        <v/>
      </c>
      <c r="K273" s="16">
        <f>IF($A273="","",ROUND($B273-$C273-$E273-$F273-$H273-$I273,2))</f>
        <v/>
      </c>
      <c r="L273" s="16">
        <f>IF(OR($A273="",$B273=0),0,$K273/$B273)</f>
        <v/>
      </c>
      <c r="M273" s="16">
        <f>IF($A273="","",IF((1-$D273-$G273)&lt;=0,0,ROUND(($C273+$F273+$I273)/(1-$D273-$G273),2)))</f>
        <v/>
      </c>
      <c r="N273" s="16">
        <f>IF($A273="","",IFERROR(SUMIF(tblAnahtarA[Norm],$A273,tblVeriA[HedefNet]),0))</f>
        <v/>
      </c>
      <c r="O273" s="16">
        <f>IF($A273="","",ROUND($K273-$N273,2))</f>
        <v/>
      </c>
      <c r="P273" s="16">
        <f>IF($A273="","",IF($L273&lt;egk_esikKatkiDusuk,"ZAM YAP",IF(AND($R273=1,$L273&lt;egk_esikKatkiHedef),"İNDİRİMİ KES","TUT")))</f>
        <v/>
      </c>
      <c r="Q273" s="16">
        <f>IF($A273="","",IFERROR(SUMIF(tblAnahtarB[NormB],$A273,tblVeriB[Roas]),0))</f>
        <v/>
      </c>
      <c r="R273" s="16">
        <f>IF($A273="","",IF(OR(IFERROR(INDEX(tblVeriA[YorumAB],MATCH($A273,tblAnahtarA[Norm],0)),"")="B",IFERROR(INDEX(tblVeriA[Durum],MATCH($A273,tblAnahtarA[Norm],0)),"")="Kampanya"),1,0))</f>
        <v/>
      </c>
      <c r="S273" s="16">
        <f>IF($A273="","",$J273-$E273)</f>
        <v/>
      </c>
      <c r="T273" s="16">
        <f>IF($A273="","",$K273-$O273)</f>
        <v/>
      </c>
    </row>
    <row r="274">
      <c r="A274" s="16">
        <f>IF('ANAHTAR'!$B274="","",'ANAHTAR'!$B274)</f>
        <v/>
      </c>
      <c r="B274" s="16">
        <f>IF($A274="","",IFERROR(SUMIF(tblAnahtarA[Norm],$A274,tblVeriA[SatisFiyati]),0))</f>
        <v/>
      </c>
      <c r="C274" s="16">
        <f>IF($A274="","",IFERROR(SUMIF(tblAnahtarA[Norm],$A274,tblVeriA[Maliyet]),0))</f>
        <v/>
      </c>
      <c r="D274" s="16">
        <f>IF($A274="","",IFERROR(SUMIF(tblAnahtarB[NormB],$A274,tblVeriB[KomisyonOran]),0))</f>
        <v/>
      </c>
      <c r="E274" s="16">
        <f>IF($A274="","",ROUND($B274*$D274,2))</f>
        <v/>
      </c>
      <c r="F274" s="16">
        <f>IF($A274="","",IFERROR(SUMIF(tblAnahtarB[NormB],$A274,tblVeriB[Kargo]),0))</f>
        <v/>
      </c>
      <c r="G274" s="16">
        <f>IF($A274="","",IFERROR(SUMIF(tblAnahtarB[NormB],$A274,tblVeriB[IadeOran]),0))</f>
        <v/>
      </c>
      <c r="H274" s="16">
        <f>IF($A274="","",ROUND($B274*$G274,2))</f>
        <v/>
      </c>
      <c r="I274" s="16">
        <f>IF($A274="","",IFERROR(SUMIF(tblAnahtarB[NormB],$A274,tblVeriB[ReklamTutar]),0))</f>
        <v/>
      </c>
      <c r="J274" s="16">
        <f>IF($A274="","",ROUND($B274-$C274,2))</f>
        <v/>
      </c>
      <c r="K274" s="16">
        <f>IF($A274="","",ROUND($B274-$C274-$E274-$F274-$H274-$I274,2))</f>
        <v/>
      </c>
      <c r="L274" s="16">
        <f>IF(OR($A274="",$B274=0),0,$K274/$B274)</f>
        <v/>
      </c>
      <c r="M274" s="16">
        <f>IF($A274="","",IF((1-$D274-$G274)&lt;=0,0,ROUND(($C274+$F274+$I274)/(1-$D274-$G274),2)))</f>
        <v/>
      </c>
      <c r="N274" s="16">
        <f>IF($A274="","",IFERROR(SUMIF(tblAnahtarA[Norm],$A274,tblVeriA[HedefNet]),0))</f>
        <v/>
      </c>
      <c r="O274" s="16">
        <f>IF($A274="","",ROUND($K274-$N274,2))</f>
        <v/>
      </c>
      <c r="P274" s="16">
        <f>IF($A274="","",IF($L274&lt;egk_esikKatkiDusuk,"ZAM YAP",IF(AND($R274=1,$L274&lt;egk_esikKatkiHedef),"İNDİRİMİ KES","TUT")))</f>
        <v/>
      </c>
      <c r="Q274" s="16">
        <f>IF($A274="","",IFERROR(SUMIF(tblAnahtarB[NormB],$A274,tblVeriB[Roas]),0))</f>
        <v/>
      </c>
      <c r="R274" s="16">
        <f>IF($A274="","",IF(OR(IFERROR(INDEX(tblVeriA[YorumAB],MATCH($A274,tblAnahtarA[Norm],0)),"")="B",IFERROR(INDEX(tblVeriA[Durum],MATCH($A274,tblAnahtarA[Norm],0)),"")="Kampanya"),1,0))</f>
        <v/>
      </c>
      <c r="S274" s="16">
        <f>IF($A274="","",$J274-$E274)</f>
        <v/>
      </c>
      <c r="T274" s="16">
        <f>IF($A274="","",$K274-$O274)</f>
        <v/>
      </c>
    </row>
    <row r="275">
      <c r="A275" s="16">
        <f>IF('ANAHTAR'!$B275="","",'ANAHTAR'!$B275)</f>
        <v/>
      </c>
      <c r="B275" s="16">
        <f>IF($A275="","",IFERROR(SUMIF(tblAnahtarA[Norm],$A275,tblVeriA[SatisFiyati]),0))</f>
        <v/>
      </c>
      <c r="C275" s="16">
        <f>IF($A275="","",IFERROR(SUMIF(tblAnahtarA[Norm],$A275,tblVeriA[Maliyet]),0))</f>
        <v/>
      </c>
      <c r="D275" s="16">
        <f>IF($A275="","",IFERROR(SUMIF(tblAnahtarB[NormB],$A275,tblVeriB[KomisyonOran]),0))</f>
        <v/>
      </c>
      <c r="E275" s="16">
        <f>IF($A275="","",ROUND($B275*$D275,2))</f>
        <v/>
      </c>
      <c r="F275" s="16">
        <f>IF($A275="","",IFERROR(SUMIF(tblAnahtarB[NormB],$A275,tblVeriB[Kargo]),0))</f>
        <v/>
      </c>
      <c r="G275" s="16">
        <f>IF($A275="","",IFERROR(SUMIF(tblAnahtarB[NormB],$A275,tblVeriB[IadeOran]),0))</f>
        <v/>
      </c>
      <c r="H275" s="16">
        <f>IF($A275="","",ROUND($B275*$G275,2))</f>
        <v/>
      </c>
      <c r="I275" s="16">
        <f>IF($A275="","",IFERROR(SUMIF(tblAnahtarB[NormB],$A275,tblVeriB[ReklamTutar]),0))</f>
        <v/>
      </c>
      <c r="J275" s="16">
        <f>IF($A275="","",ROUND($B275-$C275,2))</f>
        <v/>
      </c>
      <c r="K275" s="16">
        <f>IF($A275="","",ROUND($B275-$C275-$E275-$F275-$H275-$I275,2))</f>
        <v/>
      </c>
      <c r="L275" s="16">
        <f>IF(OR($A275="",$B275=0),0,$K275/$B275)</f>
        <v/>
      </c>
      <c r="M275" s="16">
        <f>IF($A275="","",IF((1-$D275-$G275)&lt;=0,0,ROUND(($C275+$F275+$I275)/(1-$D275-$G275),2)))</f>
        <v/>
      </c>
      <c r="N275" s="16">
        <f>IF($A275="","",IFERROR(SUMIF(tblAnahtarA[Norm],$A275,tblVeriA[HedefNet]),0))</f>
        <v/>
      </c>
      <c r="O275" s="16">
        <f>IF($A275="","",ROUND($K275-$N275,2))</f>
        <v/>
      </c>
      <c r="P275" s="16">
        <f>IF($A275="","",IF($L275&lt;egk_esikKatkiDusuk,"ZAM YAP",IF(AND($R275=1,$L275&lt;egk_esikKatkiHedef),"İNDİRİMİ KES","TUT")))</f>
        <v/>
      </c>
      <c r="Q275" s="16">
        <f>IF($A275="","",IFERROR(SUMIF(tblAnahtarB[NormB],$A275,tblVeriB[Roas]),0))</f>
        <v/>
      </c>
      <c r="R275" s="16">
        <f>IF($A275="","",IF(OR(IFERROR(INDEX(tblVeriA[YorumAB],MATCH($A275,tblAnahtarA[Norm],0)),"")="B",IFERROR(INDEX(tblVeriA[Durum],MATCH($A275,tblAnahtarA[Norm],0)),"")="Kampanya"),1,0))</f>
        <v/>
      </c>
      <c r="S275" s="16">
        <f>IF($A275="","",$J275-$E275)</f>
        <v/>
      </c>
      <c r="T275" s="16">
        <f>IF($A275="","",$K275-$O275)</f>
        <v/>
      </c>
    </row>
    <row r="276">
      <c r="A276" s="16">
        <f>IF('ANAHTAR'!$B276="","",'ANAHTAR'!$B276)</f>
        <v/>
      </c>
      <c r="B276" s="16">
        <f>IF($A276="","",IFERROR(SUMIF(tblAnahtarA[Norm],$A276,tblVeriA[SatisFiyati]),0))</f>
        <v/>
      </c>
      <c r="C276" s="16">
        <f>IF($A276="","",IFERROR(SUMIF(tblAnahtarA[Norm],$A276,tblVeriA[Maliyet]),0))</f>
        <v/>
      </c>
      <c r="D276" s="16">
        <f>IF($A276="","",IFERROR(SUMIF(tblAnahtarB[NormB],$A276,tblVeriB[KomisyonOran]),0))</f>
        <v/>
      </c>
      <c r="E276" s="16">
        <f>IF($A276="","",ROUND($B276*$D276,2))</f>
        <v/>
      </c>
      <c r="F276" s="16">
        <f>IF($A276="","",IFERROR(SUMIF(tblAnahtarB[NormB],$A276,tblVeriB[Kargo]),0))</f>
        <v/>
      </c>
      <c r="G276" s="16">
        <f>IF($A276="","",IFERROR(SUMIF(tblAnahtarB[NormB],$A276,tblVeriB[IadeOran]),0))</f>
        <v/>
      </c>
      <c r="H276" s="16">
        <f>IF($A276="","",ROUND($B276*$G276,2))</f>
        <v/>
      </c>
      <c r="I276" s="16">
        <f>IF($A276="","",IFERROR(SUMIF(tblAnahtarB[NormB],$A276,tblVeriB[ReklamTutar]),0))</f>
        <v/>
      </c>
      <c r="J276" s="16">
        <f>IF($A276="","",ROUND($B276-$C276,2))</f>
        <v/>
      </c>
      <c r="K276" s="16">
        <f>IF($A276="","",ROUND($B276-$C276-$E276-$F276-$H276-$I276,2))</f>
        <v/>
      </c>
      <c r="L276" s="16">
        <f>IF(OR($A276="",$B276=0),0,$K276/$B276)</f>
        <v/>
      </c>
      <c r="M276" s="16">
        <f>IF($A276="","",IF((1-$D276-$G276)&lt;=0,0,ROUND(($C276+$F276+$I276)/(1-$D276-$G276),2)))</f>
        <v/>
      </c>
      <c r="N276" s="16">
        <f>IF($A276="","",IFERROR(SUMIF(tblAnahtarA[Norm],$A276,tblVeriA[HedefNet]),0))</f>
        <v/>
      </c>
      <c r="O276" s="16">
        <f>IF($A276="","",ROUND($K276-$N276,2))</f>
        <v/>
      </c>
      <c r="P276" s="16">
        <f>IF($A276="","",IF($L276&lt;egk_esikKatkiDusuk,"ZAM YAP",IF(AND($R276=1,$L276&lt;egk_esikKatkiHedef),"İNDİRİMİ KES","TUT")))</f>
        <v/>
      </c>
      <c r="Q276" s="16">
        <f>IF($A276="","",IFERROR(SUMIF(tblAnahtarB[NormB],$A276,tblVeriB[Roas]),0))</f>
        <v/>
      </c>
      <c r="R276" s="16">
        <f>IF($A276="","",IF(OR(IFERROR(INDEX(tblVeriA[YorumAB],MATCH($A276,tblAnahtarA[Norm],0)),"")="B",IFERROR(INDEX(tblVeriA[Durum],MATCH($A276,tblAnahtarA[Norm],0)),"")="Kampanya"),1,0))</f>
        <v/>
      </c>
      <c r="S276" s="16">
        <f>IF($A276="","",$J276-$E276)</f>
        <v/>
      </c>
      <c r="T276" s="16">
        <f>IF($A276="","",$K276-$O276)</f>
        <v/>
      </c>
    </row>
    <row r="277">
      <c r="A277" s="16">
        <f>IF('ANAHTAR'!$B277="","",'ANAHTAR'!$B277)</f>
        <v/>
      </c>
      <c r="B277" s="16">
        <f>IF($A277="","",IFERROR(SUMIF(tblAnahtarA[Norm],$A277,tblVeriA[SatisFiyati]),0))</f>
        <v/>
      </c>
      <c r="C277" s="16">
        <f>IF($A277="","",IFERROR(SUMIF(tblAnahtarA[Norm],$A277,tblVeriA[Maliyet]),0))</f>
        <v/>
      </c>
      <c r="D277" s="16">
        <f>IF($A277="","",IFERROR(SUMIF(tblAnahtarB[NormB],$A277,tblVeriB[KomisyonOran]),0))</f>
        <v/>
      </c>
      <c r="E277" s="16">
        <f>IF($A277="","",ROUND($B277*$D277,2))</f>
        <v/>
      </c>
      <c r="F277" s="16">
        <f>IF($A277="","",IFERROR(SUMIF(tblAnahtarB[NormB],$A277,tblVeriB[Kargo]),0))</f>
        <v/>
      </c>
      <c r="G277" s="16">
        <f>IF($A277="","",IFERROR(SUMIF(tblAnahtarB[NormB],$A277,tblVeriB[IadeOran]),0))</f>
        <v/>
      </c>
      <c r="H277" s="16">
        <f>IF($A277="","",ROUND($B277*$G277,2))</f>
        <v/>
      </c>
      <c r="I277" s="16">
        <f>IF($A277="","",IFERROR(SUMIF(tblAnahtarB[NormB],$A277,tblVeriB[ReklamTutar]),0))</f>
        <v/>
      </c>
      <c r="J277" s="16">
        <f>IF($A277="","",ROUND($B277-$C277,2))</f>
        <v/>
      </c>
      <c r="K277" s="16">
        <f>IF($A277="","",ROUND($B277-$C277-$E277-$F277-$H277-$I277,2))</f>
        <v/>
      </c>
      <c r="L277" s="16">
        <f>IF(OR($A277="",$B277=0),0,$K277/$B277)</f>
        <v/>
      </c>
      <c r="M277" s="16">
        <f>IF($A277="","",IF((1-$D277-$G277)&lt;=0,0,ROUND(($C277+$F277+$I277)/(1-$D277-$G277),2)))</f>
        <v/>
      </c>
      <c r="N277" s="16">
        <f>IF($A277="","",IFERROR(SUMIF(tblAnahtarA[Norm],$A277,tblVeriA[HedefNet]),0))</f>
        <v/>
      </c>
      <c r="O277" s="16">
        <f>IF($A277="","",ROUND($K277-$N277,2))</f>
        <v/>
      </c>
      <c r="P277" s="16">
        <f>IF($A277="","",IF($L277&lt;egk_esikKatkiDusuk,"ZAM YAP",IF(AND($R277=1,$L277&lt;egk_esikKatkiHedef),"İNDİRİMİ KES","TUT")))</f>
        <v/>
      </c>
      <c r="Q277" s="16">
        <f>IF($A277="","",IFERROR(SUMIF(tblAnahtarB[NormB],$A277,tblVeriB[Roas]),0))</f>
        <v/>
      </c>
      <c r="R277" s="16">
        <f>IF($A277="","",IF(OR(IFERROR(INDEX(tblVeriA[YorumAB],MATCH($A277,tblAnahtarA[Norm],0)),"")="B",IFERROR(INDEX(tblVeriA[Durum],MATCH($A277,tblAnahtarA[Norm],0)),"")="Kampanya"),1,0))</f>
        <v/>
      </c>
      <c r="S277" s="16">
        <f>IF($A277="","",$J277-$E277)</f>
        <v/>
      </c>
      <c r="T277" s="16">
        <f>IF($A277="","",$K277-$O277)</f>
        <v/>
      </c>
    </row>
    <row r="278">
      <c r="A278" s="16">
        <f>IF('ANAHTAR'!$B278="","",'ANAHTAR'!$B278)</f>
        <v/>
      </c>
      <c r="B278" s="16">
        <f>IF($A278="","",IFERROR(SUMIF(tblAnahtarA[Norm],$A278,tblVeriA[SatisFiyati]),0))</f>
        <v/>
      </c>
      <c r="C278" s="16">
        <f>IF($A278="","",IFERROR(SUMIF(tblAnahtarA[Norm],$A278,tblVeriA[Maliyet]),0))</f>
        <v/>
      </c>
      <c r="D278" s="16">
        <f>IF($A278="","",IFERROR(SUMIF(tblAnahtarB[NormB],$A278,tblVeriB[KomisyonOran]),0))</f>
        <v/>
      </c>
      <c r="E278" s="16">
        <f>IF($A278="","",ROUND($B278*$D278,2))</f>
        <v/>
      </c>
      <c r="F278" s="16">
        <f>IF($A278="","",IFERROR(SUMIF(tblAnahtarB[NormB],$A278,tblVeriB[Kargo]),0))</f>
        <v/>
      </c>
      <c r="G278" s="16">
        <f>IF($A278="","",IFERROR(SUMIF(tblAnahtarB[NormB],$A278,tblVeriB[IadeOran]),0))</f>
        <v/>
      </c>
      <c r="H278" s="16">
        <f>IF($A278="","",ROUND($B278*$G278,2))</f>
        <v/>
      </c>
      <c r="I278" s="16">
        <f>IF($A278="","",IFERROR(SUMIF(tblAnahtarB[NormB],$A278,tblVeriB[ReklamTutar]),0))</f>
        <v/>
      </c>
      <c r="J278" s="16">
        <f>IF($A278="","",ROUND($B278-$C278,2))</f>
        <v/>
      </c>
      <c r="K278" s="16">
        <f>IF($A278="","",ROUND($B278-$C278-$E278-$F278-$H278-$I278,2))</f>
        <v/>
      </c>
      <c r="L278" s="16">
        <f>IF(OR($A278="",$B278=0),0,$K278/$B278)</f>
        <v/>
      </c>
      <c r="M278" s="16">
        <f>IF($A278="","",IF((1-$D278-$G278)&lt;=0,0,ROUND(($C278+$F278+$I278)/(1-$D278-$G278),2)))</f>
        <v/>
      </c>
      <c r="N278" s="16">
        <f>IF($A278="","",IFERROR(SUMIF(tblAnahtarA[Norm],$A278,tblVeriA[HedefNet]),0))</f>
        <v/>
      </c>
      <c r="O278" s="16">
        <f>IF($A278="","",ROUND($K278-$N278,2))</f>
        <v/>
      </c>
      <c r="P278" s="16">
        <f>IF($A278="","",IF($L278&lt;egk_esikKatkiDusuk,"ZAM YAP",IF(AND($R278=1,$L278&lt;egk_esikKatkiHedef),"İNDİRİMİ KES","TUT")))</f>
        <v/>
      </c>
      <c r="Q278" s="16">
        <f>IF($A278="","",IFERROR(SUMIF(tblAnahtarB[NormB],$A278,tblVeriB[Roas]),0))</f>
        <v/>
      </c>
      <c r="R278" s="16">
        <f>IF($A278="","",IF(OR(IFERROR(INDEX(tblVeriA[YorumAB],MATCH($A278,tblAnahtarA[Norm],0)),"")="B",IFERROR(INDEX(tblVeriA[Durum],MATCH($A278,tblAnahtarA[Norm],0)),"")="Kampanya"),1,0))</f>
        <v/>
      </c>
      <c r="S278" s="16">
        <f>IF($A278="","",$J278-$E278)</f>
        <v/>
      </c>
      <c r="T278" s="16">
        <f>IF($A278="","",$K278-$O278)</f>
        <v/>
      </c>
    </row>
    <row r="279">
      <c r="A279" s="16">
        <f>IF('ANAHTAR'!$B279="","",'ANAHTAR'!$B279)</f>
        <v/>
      </c>
      <c r="B279" s="16">
        <f>IF($A279="","",IFERROR(SUMIF(tblAnahtarA[Norm],$A279,tblVeriA[SatisFiyati]),0))</f>
        <v/>
      </c>
      <c r="C279" s="16">
        <f>IF($A279="","",IFERROR(SUMIF(tblAnahtarA[Norm],$A279,tblVeriA[Maliyet]),0))</f>
        <v/>
      </c>
      <c r="D279" s="16">
        <f>IF($A279="","",IFERROR(SUMIF(tblAnahtarB[NormB],$A279,tblVeriB[KomisyonOran]),0))</f>
        <v/>
      </c>
      <c r="E279" s="16">
        <f>IF($A279="","",ROUND($B279*$D279,2))</f>
        <v/>
      </c>
      <c r="F279" s="16">
        <f>IF($A279="","",IFERROR(SUMIF(tblAnahtarB[NormB],$A279,tblVeriB[Kargo]),0))</f>
        <v/>
      </c>
      <c r="G279" s="16">
        <f>IF($A279="","",IFERROR(SUMIF(tblAnahtarB[NormB],$A279,tblVeriB[IadeOran]),0))</f>
        <v/>
      </c>
      <c r="H279" s="16">
        <f>IF($A279="","",ROUND($B279*$G279,2))</f>
        <v/>
      </c>
      <c r="I279" s="16">
        <f>IF($A279="","",IFERROR(SUMIF(tblAnahtarB[NormB],$A279,tblVeriB[ReklamTutar]),0))</f>
        <v/>
      </c>
      <c r="J279" s="16">
        <f>IF($A279="","",ROUND($B279-$C279,2))</f>
        <v/>
      </c>
      <c r="K279" s="16">
        <f>IF($A279="","",ROUND($B279-$C279-$E279-$F279-$H279-$I279,2))</f>
        <v/>
      </c>
      <c r="L279" s="16">
        <f>IF(OR($A279="",$B279=0),0,$K279/$B279)</f>
        <v/>
      </c>
      <c r="M279" s="16">
        <f>IF($A279="","",IF((1-$D279-$G279)&lt;=0,0,ROUND(($C279+$F279+$I279)/(1-$D279-$G279),2)))</f>
        <v/>
      </c>
      <c r="N279" s="16">
        <f>IF($A279="","",IFERROR(SUMIF(tblAnahtarA[Norm],$A279,tblVeriA[HedefNet]),0))</f>
        <v/>
      </c>
      <c r="O279" s="16">
        <f>IF($A279="","",ROUND($K279-$N279,2))</f>
        <v/>
      </c>
      <c r="P279" s="16">
        <f>IF($A279="","",IF($L279&lt;egk_esikKatkiDusuk,"ZAM YAP",IF(AND($R279=1,$L279&lt;egk_esikKatkiHedef),"İNDİRİMİ KES","TUT")))</f>
        <v/>
      </c>
      <c r="Q279" s="16">
        <f>IF($A279="","",IFERROR(SUMIF(tblAnahtarB[NormB],$A279,tblVeriB[Roas]),0))</f>
        <v/>
      </c>
      <c r="R279" s="16">
        <f>IF($A279="","",IF(OR(IFERROR(INDEX(tblVeriA[YorumAB],MATCH($A279,tblAnahtarA[Norm],0)),"")="B",IFERROR(INDEX(tblVeriA[Durum],MATCH($A279,tblAnahtarA[Norm],0)),"")="Kampanya"),1,0))</f>
        <v/>
      </c>
      <c r="S279" s="16">
        <f>IF($A279="","",$J279-$E279)</f>
        <v/>
      </c>
      <c r="T279" s="16">
        <f>IF($A279="","",$K279-$O279)</f>
        <v/>
      </c>
    </row>
    <row r="280">
      <c r="A280" s="16">
        <f>IF('ANAHTAR'!$B280="","",'ANAHTAR'!$B280)</f>
        <v/>
      </c>
      <c r="B280" s="16">
        <f>IF($A280="","",IFERROR(SUMIF(tblAnahtarA[Norm],$A280,tblVeriA[SatisFiyati]),0))</f>
        <v/>
      </c>
      <c r="C280" s="16">
        <f>IF($A280="","",IFERROR(SUMIF(tblAnahtarA[Norm],$A280,tblVeriA[Maliyet]),0))</f>
        <v/>
      </c>
      <c r="D280" s="16">
        <f>IF($A280="","",IFERROR(SUMIF(tblAnahtarB[NormB],$A280,tblVeriB[KomisyonOran]),0))</f>
        <v/>
      </c>
      <c r="E280" s="16">
        <f>IF($A280="","",ROUND($B280*$D280,2))</f>
        <v/>
      </c>
      <c r="F280" s="16">
        <f>IF($A280="","",IFERROR(SUMIF(tblAnahtarB[NormB],$A280,tblVeriB[Kargo]),0))</f>
        <v/>
      </c>
      <c r="G280" s="16">
        <f>IF($A280="","",IFERROR(SUMIF(tblAnahtarB[NormB],$A280,tblVeriB[IadeOran]),0))</f>
        <v/>
      </c>
      <c r="H280" s="16">
        <f>IF($A280="","",ROUND($B280*$G280,2))</f>
        <v/>
      </c>
      <c r="I280" s="16">
        <f>IF($A280="","",IFERROR(SUMIF(tblAnahtarB[NormB],$A280,tblVeriB[ReklamTutar]),0))</f>
        <v/>
      </c>
      <c r="J280" s="16">
        <f>IF($A280="","",ROUND($B280-$C280,2))</f>
        <v/>
      </c>
      <c r="K280" s="16">
        <f>IF($A280="","",ROUND($B280-$C280-$E280-$F280-$H280-$I280,2))</f>
        <v/>
      </c>
      <c r="L280" s="16">
        <f>IF(OR($A280="",$B280=0),0,$K280/$B280)</f>
        <v/>
      </c>
      <c r="M280" s="16">
        <f>IF($A280="","",IF((1-$D280-$G280)&lt;=0,0,ROUND(($C280+$F280+$I280)/(1-$D280-$G280),2)))</f>
        <v/>
      </c>
      <c r="N280" s="16">
        <f>IF($A280="","",IFERROR(SUMIF(tblAnahtarA[Norm],$A280,tblVeriA[HedefNet]),0))</f>
        <v/>
      </c>
      <c r="O280" s="16">
        <f>IF($A280="","",ROUND($K280-$N280,2))</f>
        <v/>
      </c>
      <c r="P280" s="16">
        <f>IF($A280="","",IF($L280&lt;egk_esikKatkiDusuk,"ZAM YAP",IF(AND($R280=1,$L280&lt;egk_esikKatkiHedef),"İNDİRİMİ KES","TUT")))</f>
        <v/>
      </c>
      <c r="Q280" s="16">
        <f>IF($A280="","",IFERROR(SUMIF(tblAnahtarB[NormB],$A280,tblVeriB[Roas]),0))</f>
        <v/>
      </c>
      <c r="R280" s="16">
        <f>IF($A280="","",IF(OR(IFERROR(INDEX(tblVeriA[YorumAB],MATCH($A280,tblAnahtarA[Norm],0)),"")="B",IFERROR(INDEX(tblVeriA[Durum],MATCH($A280,tblAnahtarA[Norm],0)),"")="Kampanya"),1,0))</f>
        <v/>
      </c>
      <c r="S280" s="16">
        <f>IF($A280="","",$J280-$E280)</f>
        <v/>
      </c>
      <c r="T280" s="16">
        <f>IF($A280="","",$K280-$O280)</f>
        <v/>
      </c>
    </row>
    <row r="281">
      <c r="A281" s="16">
        <f>IF('ANAHTAR'!$B281="","",'ANAHTAR'!$B281)</f>
        <v/>
      </c>
      <c r="B281" s="16">
        <f>IF($A281="","",IFERROR(SUMIF(tblAnahtarA[Norm],$A281,tblVeriA[SatisFiyati]),0))</f>
        <v/>
      </c>
      <c r="C281" s="16">
        <f>IF($A281="","",IFERROR(SUMIF(tblAnahtarA[Norm],$A281,tblVeriA[Maliyet]),0))</f>
        <v/>
      </c>
      <c r="D281" s="16">
        <f>IF($A281="","",IFERROR(SUMIF(tblAnahtarB[NormB],$A281,tblVeriB[KomisyonOran]),0))</f>
        <v/>
      </c>
      <c r="E281" s="16">
        <f>IF($A281="","",ROUND($B281*$D281,2))</f>
        <v/>
      </c>
      <c r="F281" s="16">
        <f>IF($A281="","",IFERROR(SUMIF(tblAnahtarB[NormB],$A281,tblVeriB[Kargo]),0))</f>
        <v/>
      </c>
      <c r="G281" s="16">
        <f>IF($A281="","",IFERROR(SUMIF(tblAnahtarB[NormB],$A281,tblVeriB[IadeOran]),0))</f>
        <v/>
      </c>
      <c r="H281" s="16">
        <f>IF($A281="","",ROUND($B281*$G281,2))</f>
        <v/>
      </c>
      <c r="I281" s="16">
        <f>IF($A281="","",IFERROR(SUMIF(tblAnahtarB[NormB],$A281,tblVeriB[ReklamTutar]),0))</f>
        <v/>
      </c>
      <c r="J281" s="16">
        <f>IF($A281="","",ROUND($B281-$C281,2))</f>
        <v/>
      </c>
      <c r="K281" s="16">
        <f>IF($A281="","",ROUND($B281-$C281-$E281-$F281-$H281-$I281,2))</f>
        <v/>
      </c>
      <c r="L281" s="16">
        <f>IF(OR($A281="",$B281=0),0,$K281/$B281)</f>
        <v/>
      </c>
      <c r="M281" s="16">
        <f>IF($A281="","",IF((1-$D281-$G281)&lt;=0,0,ROUND(($C281+$F281+$I281)/(1-$D281-$G281),2)))</f>
        <v/>
      </c>
      <c r="N281" s="16">
        <f>IF($A281="","",IFERROR(SUMIF(tblAnahtarA[Norm],$A281,tblVeriA[HedefNet]),0))</f>
        <v/>
      </c>
      <c r="O281" s="16">
        <f>IF($A281="","",ROUND($K281-$N281,2))</f>
        <v/>
      </c>
      <c r="P281" s="16">
        <f>IF($A281="","",IF($L281&lt;egk_esikKatkiDusuk,"ZAM YAP",IF(AND($R281=1,$L281&lt;egk_esikKatkiHedef),"İNDİRİMİ KES","TUT")))</f>
        <v/>
      </c>
      <c r="Q281" s="16">
        <f>IF($A281="","",IFERROR(SUMIF(tblAnahtarB[NormB],$A281,tblVeriB[Roas]),0))</f>
        <v/>
      </c>
      <c r="R281" s="16">
        <f>IF($A281="","",IF(OR(IFERROR(INDEX(tblVeriA[YorumAB],MATCH($A281,tblAnahtarA[Norm],0)),"")="B",IFERROR(INDEX(tblVeriA[Durum],MATCH($A281,tblAnahtarA[Norm],0)),"")="Kampanya"),1,0))</f>
        <v/>
      </c>
      <c r="S281" s="16">
        <f>IF($A281="","",$J281-$E281)</f>
        <v/>
      </c>
      <c r="T281" s="16">
        <f>IF($A281="","",$K281-$O281)</f>
        <v/>
      </c>
    </row>
    <row r="282">
      <c r="A282" s="16">
        <f>IF('ANAHTAR'!$B282="","",'ANAHTAR'!$B282)</f>
        <v/>
      </c>
      <c r="B282" s="16">
        <f>IF($A282="","",IFERROR(SUMIF(tblAnahtarA[Norm],$A282,tblVeriA[SatisFiyati]),0))</f>
        <v/>
      </c>
      <c r="C282" s="16">
        <f>IF($A282="","",IFERROR(SUMIF(tblAnahtarA[Norm],$A282,tblVeriA[Maliyet]),0))</f>
        <v/>
      </c>
      <c r="D282" s="16">
        <f>IF($A282="","",IFERROR(SUMIF(tblAnahtarB[NormB],$A282,tblVeriB[KomisyonOran]),0))</f>
        <v/>
      </c>
      <c r="E282" s="16">
        <f>IF($A282="","",ROUND($B282*$D282,2))</f>
        <v/>
      </c>
      <c r="F282" s="16">
        <f>IF($A282="","",IFERROR(SUMIF(tblAnahtarB[NormB],$A282,tblVeriB[Kargo]),0))</f>
        <v/>
      </c>
      <c r="G282" s="16">
        <f>IF($A282="","",IFERROR(SUMIF(tblAnahtarB[NormB],$A282,tblVeriB[IadeOran]),0))</f>
        <v/>
      </c>
      <c r="H282" s="16">
        <f>IF($A282="","",ROUND($B282*$G282,2))</f>
        <v/>
      </c>
      <c r="I282" s="16">
        <f>IF($A282="","",IFERROR(SUMIF(tblAnahtarB[NormB],$A282,tblVeriB[ReklamTutar]),0))</f>
        <v/>
      </c>
      <c r="J282" s="16">
        <f>IF($A282="","",ROUND($B282-$C282,2))</f>
        <v/>
      </c>
      <c r="K282" s="16">
        <f>IF($A282="","",ROUND($B282-$C282-$E282-$F282-$H282-$I282,2))</f>
        <v/>
      </c>
      <c r="L282" s="16">
        <f>IF(OR($A282="",$B282=0),0,$K282/$B282)</f>
        <v/>
      </c>
      <c r="M282" s="16">
        <f>IF($A282="","",IF((1-$D282-$G282)&lt;=0,0,ROUND(($C282+$F282+$I282)/(1-$D282-$G282),2)))</f>
        <v/>
      </c>
      <c r="N282" s="16">
        <f>IF($A282="","",IFERROR(SUMIF(tblAnahtarA[Norm],$A282,tblVeriA[HedefNet]),0))</f>
        <v/>
      </c>
      <c r="O282" s="16">
        <f>IF($A282="","",ROUND($K282-$N282,2))</f>
        <v/>
      </c>
      <c r="P282" s="16">
        <f>IF($A282="","",IF($L282&lt;egk_esikKatkiDusuk,"ZAM YAP",IF(AND($R282=1,$L282&lt;egk_esikKatkiHedef),"İNDİRİMİ KES","TUT")))</f>
        <v/>
      </c>
      <c r="Q282" s="16">
        <f>IF($A282="","",IFERROR(SUMIF(tblAnahtarB[NormB],$A282,tblVeriB[Roas]),0))</f>
        <v/>
      </c>
      <c r="R282" s="16">
        <f>IF($A282="","",IF(OR(IFERROR(INDEX(tblVeriA[YorumAB],MATCH($A282,tblAnahtarA[Norm],0)),"")="B",IFERROR(INDEX(tblVeriA[Durum],MATCH($A282,tblAnahtarA[Norm],0)),"")="Kampanya"),1,0))</f>
        <v/>
      </c>
      <c r="S282" s="16">
        <f>IF($A282="","",$J282-$E282)</f>
        <v/>
      </c>
      <c r="T282" s="16">
        <f>IF($A282="","",$K282-$O282)</f>
        <v/>
      </c>
    </row>
    <row r="283">
      <c r="A283" s="16">
        <f>IF('ANAHTAR'!$B283="","",'ANAHTAR'!$B283)</f>
        <v/>
      </c>
      <c r="B283" s="16">
        <f>IF($A283="","",IFERROR(SUMIF(tblAnahtarA[Norm],$A283,tblVeriA[SatisFiyati]),0))</f>
        <v/>
      </c>
      <c r="C283" s="16">
        <f>IF($A283="","",IFERROR(SUMIF(tblAnahtarA[Norm],$A283,tblVeriA[Maliyet]),0))</f>
        <v/>
      </c>
      <c r="D283" s="16">
        <f>IF($A283="","",IFERROR(SUMIF(tblAnahtarB[NormB],$A283,tblVeriB[KomisyonOran]),0))</f>
        <v/>
      </c>
      <c r="E283" s="16">
        <f>IF($A283="","",ROUND($B283*$D283,2))</f>
        <v/>
      </c>
      <c r="F283" s="16">
        <f>IF($A283="","",IFERROR(SUMIF(tblAnahtarB[NormB],$A283,tblVeriB[Kargo]),0))</f>
        <v/>
      </c>
      <c r="G283" s="16">
        <f>IF($A283="","",IFERROR(SUMIF(tblAnahtarB[NormB],$A283,tblVeriB[IadeOran]),0))</f>
        <v/>
      </c>
      <c r="H283" s="16">
        <f>IF($A283="","",ROUND($B283*$G283,2))</f>
        <v/>
      </c>
      <c r="I283" s="16">
        <f>IF($A283="","",IFERROR(SUMIF(tblAnahtarB[NormB],$A283,tblVeriB[ReklamTutar]),0))</f>
        <v/>
      </c>
      <c r="J283" s="16">
        <f>IF($A283="","",ROUND($B283-$C283,2))</f>
        <v/>
      </c>
      <c r="K283" s="16">
        <f>IF($A283="","",ROUND($B283-$C283-$E283-$F283-$H283-$I283,2))</f>
        <v/>
      </c>
      <c r="L283" s="16">
        <f>IF(OR($A283="",$B283=0),0,$K283/$B283)</f>
        <v/>
      </c>
      <c r="M283" s="16">
        <f>IF($A283="","",IF((1-$D283-$G283)&lt;=0,0,ROUND(($C283+$F283+$I283)/(1-$D283-$G283),2)))</f>
        <v/>
      </c>
      <c r="N283" s="16">
        <f>IF($A283="","",IFERROR(SUMIF(tblAnahtarA[Norm],$A283,tblVeriA[HedefNet]),0))</f>
        <v/>
      </c>
      <c r="O283" s="16">
        <f>IF($A283="","",ROUND($K283-$N283,2))</f>
        <v/>
      </c>
      <c r="P283" s="16">
        <f>IF($A283="","",IF($L283&lt;egk_esikKatkiDusuk,"ZAM YAP",IF(AND($R283=1,$L283&lt;egk_esikKatkiHedef),"İNDİRİMİ KES","TUT")))</f>
        <v/>
      </c>
      <c r="Q283" s="16">
        <f>IF($A283="","",IFERROR(SUMIF(tblAnahtarB[NormB],$A283,tblVeriB[Roas]),0))</f>
        <v/>
      </c>
      <c r="R283" s="16">
        <f>IF($A283="","",IF(OR(IFERROR(INDEX(tblVeriA[YorumAB],MATCH($A283,tblAnahtarA[Norm],0)),"")="B",IFERROR(INDEX(tblVeriA[Durum],MATCH($A283,tblAnahtarA[Norm],0)),"")="Kampanya"),1,0))</f>
        <v/>
      </c>
      <c r="S283" s="16">
        <f>IF($A283="","",$J283-$E283)</f>
        <v/>
      </c>
      <c r="T283" s="16">
        <f>IF($A283="","",$K283-$O283)</f>
        <v/>
      </c>
    </row>
    <row r="284">
      <c r="A284" s="16">
        <f>IF('ANAHTAR'!$B284="","",'ANAHTAR'!$B284)</f>
        <v/>
      </c>
      <c r="B284" s="16">
        <f>IF($A284="","",IFERROR(SUMIF(tblAnahtarA[Norm],$A284,tblVeriA[SatisFiyati]),0))</f>
        <v/>
      </c>
      <c r="C284" s="16">
        <f>IF($A284="","",IFERROR(SUMIF(tblAnahtarA[Norm],$A284,tblVeriA[Maliyet]),0))</f>
        <v/>
      </c>
      <c r="D284" s="16">
        <f>IF($A284="","",IFERROR(SUMIF(tblAnahtarB[NormB],$A284,tblVeriB[KomisyonOran]),0))</f>
        <v/>
      </c>
      <c r="E284" s="16">
        <f>IF($A284="","",ROUND($B284*$D284,2))</f>
        <v/>
      </c>
      <c r="F284" s="16">
        <f>IF($A284="","",IFERROR(SUMIF(tblAnahtarB[NormB],$A284,tblVeriB[Kargo]),0))</f>
        <v/>
      </c>
      <c r="G284" s="16">
        <f>IF($A284="","",IFERROR(SUMIF(tblAnahtarB[NormB],$A284,tblVeriB[IadeOran]),0))</f>
        <v/>
      </c>
      <c r="H284" s="16">
        <f>IF($A284="","",ROUND($B284*$G284,2))</f>
        <v/>
      </c>
      <c r="I284" s="16">
        <f>IF($A284="","",IFERROR(SUMIF(tblAnahtarB[NormB],$A284,tblVeriB[ReklamTutar]),0))</f>
        <v/>
      </c>
      <c r="J284" s="16">
        <f>IF($A284="","",ROUND($B284-$C284,2))</f>
        <v/>
      </c>
      <c r="K284" s="16">
        <f>IF($A284="","",ROUND($B284-$C284-$E284-$F284-$H284-$I284,2))</f>
        <v/>
      </c>
      <c r="L284" s="16">
        <f>IF(OR($A284="",$B284=0),0,$K284/$B284)</f>
        <v/>
      </c>
      <c r="M284" s="16">
        <f>IF($A284="","",IF((1-$D284-$G284)&lt;=0,0,ROUND(($C284+$F284+$I284)/(1-$D284-$G284),2)))</f>
        <v/>
      </c>
      <c r="N284" s="16">
        <f>IF($A284="","",IFERROR(SUMIF(tblAnahtarA[Norm],$A284,tblVeriA[HedefNet]),0))</f>
        <v/>
      </c>
      <c r="O284" s="16">
        <f>IF($A284="","",ROUND($K284-$N284,2))</f>
        <v/>
      </c>
      <c r="P284" s="16">
        <f>IF($A284="","",IF($L284&lt;egk_esikKatkiDusuk,"ZAM YAP",IF(AND($R284=1,$L284&lt;egk_esikKatkiHedef),"İNDİRİMİ KES","TUT")))</f>
        <v/>
      </c>
      <c r="Q284" s="16">
        <f>IF($A284="","",IFERROR(SUMIF(tblAnahtarB[NormB],$A284,tblVeriB[Roas]),0))</f>
        <v/>
      </c>
      <c r="R284" s="16">
        <f>IF($A284="","",IF(OR(IFERROR(INDEX(tblVeriA[YorumAB],MATCH($A284,tblAnahtarA[Norm],0)),"")="B",IFERROR(INDEX(tblVeriA[Durum],MATCH($A284,tblAnahtarA[Norm],0)),"")="Kampanya"),1,0))</f>
        <v/>
      </c>
      <c r="S284" s="16">
        <f>IF($A284="","",$J284-$E284)</f>
        <v/>
      </c>
      <c r="T284" s="16">
        <f>IF($A284="","",$K284-$O284)</f>
        <v/>
      </c>
    </row>
    <row r="285">
      <c r="A285" s="16">
        <f>IF('ANAHTAR'!$B285="","",'ANAHTAR'!$B285)</f>
        <v/>
      </c>
      <c r="B285" s="16">
        <f>IF($A285="","",IFERROR(SUMIF(tblAnahtarA[Norm],$A285,tblVeriA[SatisFiyati]),0))</f>
        <v/>
      </c>
      <c r="C285" s="16">
        <f>IF($A285="","",IFERROR(SUMIF(tblAnahtarA[Norm],$A285,tblVeriA[Maliyet]),0))</f>
        <v/>
      </c>
      <c r="D285" s="16">
        <f>IF($A285="","",IFERROR(SUMIF(tblAnahtarB[NormB],$A285,tblVeriB[KomisyonOran]),0))</f>
        <v/>
      </c>
      <c r="E285" s="16">
        <f>IF($A285="","",ROUND($B285*$D285,2))</f>
        <v/>
      </c>
      <c r="F285" s="16">
        <f>IF($A285="","",IFERROR(SUMIF(tblAnahtarB[NormB],$A285,tblVeriB[Kargo]),0))</f>
        <v/>
      </c>
      <c r="G285" s="16">
        <f>IF($A285="","",IFERROR(SUMIF(tblAnahtarB[NormB],$A285,tblVeriB[IadeOran]),0))</f>
        <v/>
      </c>
      <c r="H285" s="16">
        <f>IF($A285="","",ROUND($B285*$G285,2))</f>
        <v/>
      </c>
      <c r="I285" s="16">
        <f>IF($A285="","",IFERROR(SUMIF(tblAnahtarB[NormB],$A285,tblVeriB[ReklamTutar]),0))</f>
        <v/>
      </c>
      <c r="J285" s="16">
        <f>IF($A285="","",ROUND($B285-$C285,2))</f>
        <v/>
      </c>
      <c r="K285" s="16">
        <f>IF($A285="","",ROUND($B285-$C285-$E285-$F285-$H285-$I285,2))</f>
        <v/>
      </c>
      <c r="L285" s="16">
        <f>IF(OR($A285="",$B285=0),0,$K285/$B285)</f>
        <v/>
      </c>
      <c r="M285" s="16">
        <f>IF($A285="","",IF((1-$D285-$G285)&lt;=0,0,ROUND(($C285+$F285+$I285)/(1-$D285-$G285),2)))</f>
        <v/>
      </c>
      <c r="N285" s="16">
        <f>IF($A285="","",IFERROR(SUMIF(tblAnahtarA[Norm],$A285,tblVeriA[HedefNet]),0))</f>
        <v/>
      </c>
      <c r="O285" s="16">
        <f>IF($A285="","",ROUND($K285-$N285,2))</f>
        <v/>
      </c>
      <c r="P285" s="16">
        <f>IF($A285="","",IF($L285&lt;egk_esikKatkiDusuk,"ZAM YAP",IF(AND($R285=1,$L285&lt;egk_esikKatkiHedef),"İNDİRİMİ KES","TUT")))</f>
        <v/>
      </c>
      <c r="Q285" s="16">
        <f>IF($A285="","",IFERROR(SUMIF(tblAnahtarB[NormB],$A285,tblVeriB[Roas]),0))</f>
        <v/>
      </c>
      <c r="R285" s="16">
        <f>IF($A285="","",IF(OR(IFERROR(INDEX(tblVeriA[YorumAB],MATCH($A285,tblAnahtarA[Norm],0)),"")="B",IFERROR(INDEX(tblVeriA[Durum],MATCH($A285,tblAnahtarA[Norm],0)),"")="Kampanya"),1,0))</f>
        <v/>
      </c>
      <c r="S285" s="16">
        <f>IF($A285="","",$J285-$E285)</f>
        <v/>
      </c>
      <c r="T285" s="16">
        <f>IF($A285="","",$K285-$O285)</f>
        <v/>
      </c>
    </row>
    <row r="286">
      <c r="A286" s="16">
        <f>IF('ANAHTAR'!$B286="","",'ANAHTAR'!$B286)</f>
        <v/>
      </c>
      <c r="B286" s="16">
        <f>IF($A286="","",IFERROR(SUMIF(tblAnahtarA[Norm],$A286,tblVeriA[SatisFiyati]),0))</f>
        <v/>
      </c>
      <c r="C286" s="16">
        <f>IF($A286="","",IFERROR(SUMIF(tblAnahtarA[Norm],$A286,tblVeriA[Maliyet]),0))</f>
        <v/>
      </c>
      <c r="D286" s="16">
        <f>IF($A286="","",IFERROR(SUMIF(tblAnahtarB[NormB],$A286,tblVeriB[KomisyonOran]),0))</f>
        <v/>
      </c>
      <c r="E286" s="16">
        <f>IF($A286="","",ROUND($B286*$D286,2))</f>
        <v/>
      </c>
      <c r="F286" s="16">
        <f>IF($A286="","",IFERROR(SUMIF(tblAnahtarB[NormB],$A286,tblVeriB[Kargo]),0))</f>
        <v/>
      </c>
      <c r="G286" s="16">
        <f>IF($A286="","",IFERROR(SUMIF(tblAnahtarB[NormB],$A286,tblVeriB[IadeOran]),0))</f>
        <v/>
      </c>
      <c r="H286" s="16">
        <f>IF($A286="","",ROUND($B286*$G286,2))</f>
        <v/>
      </c>
      <c r="I286" s="16">
        <f>IF($A286="","",IFERROR(SUMIF(tblAnahtarB[NormB],$A286,tblVeriB[ReklamTutar]),0))</f>
        <v/>
      </c>
      <c r="J286" s="16">
        <f>IF($A286="","",ROUND($B286-$C286,2))</f>
        <v/>
      </c>
      <c r="K286" s="16">
        <f>IF($A286="","",ROUND($B286-$C286-$E286-$F286-$H286-$I286,2))</f>
        <v/>
      </c>
      <c r="L286" s="16">
        <f>IF(OR($A286="",$B286=0),0,$K286/$B286)</f>
        <v/>
      </c>
      <c r="M286" s="16">
        <f>IF($A286="","",IF((1-$D286-$G286)&lt;=0,0,ROUND(($C286+$F286+$I286)/(1-$D286-$G286),2)))</f>
        <v/>
      </c>
      <c r="N286" s="16">
        <f>IF($A286="","",IFERROR(SUMIF(tblAnahtarA[Norm],$A286,tblVeriA[HedefNet]),0))</f>
        <v/>
      </c>
      <c r="O286" s="16">
        <f>IF($A286="","",ROUND($K286-$N286,2))</f>
        <v/>
      </c>
      <c r="P286" s="16">
        <f>IF($A286="","",IF($L286&lt;egk_esikKatkiDusuk,"ZAM YAP",IF(AND($R286=1,$L286&lt;egk_esikKatkiHedef),"İNDİRİMİ KES","TUT")))</f>
        <v/>
      </c>
      <c r="Q286" s="16">
        <f>IF($A286="","",IFERROR(SUMIF(tblAnahtarB[NormB],$A286,tblVeriB[Roas]),0))</f>
        <v/>
      </c>
      <c r="R286" s="16">
        <f>IF($A286="","",IF(OR(IFERROR(INDEX(tblVeriA[YorumAB],MATCH($A286,tblAnahtarA[Norm],0)),"")="B",IFERROR(INDEX(tblVeriA[Durum],MATCH($A286,tblAnahtarA[Norm],0)),"")="Kampanya"),1,0))</f>
        <v/>
      </c>
      <c r="S286" s="16">
        <f>IF($A286="","",$J286-$E286)</f>
        <v/>
      </c>
      <c r="T286" s="16">
        <f>IF($A286="","",$K286-$O286)</f>
        <v/>
      </c>
    </row>
    <row r="287">
      <c r="A287" s="16">
        <f>IF('ANAHTAR'!$B287="","",'ANAHTAR'!$B287)</f>
        <v/>
      </c>
      <c r="B287" s="16">
        <f>IF($A287="","",IFERROR(SUMIF(tblAnahtarA[Norm],$A287,tblVeriA[SatisFiyati]),0))</f>
        <v/>
      </c>
      <c r="C287" s="16">
        <f>IF($A287="","",IFERROR(SUMIF(tblAnahtarA[Norm],$A287,tblVeriA[Maliyet]),0))</f>
        <v/>
      </c>
      <c r="D287" s="16">
        <f>IF($A287="","",IFERROR(SUMIF(tblAnahtarB[NormB],$A287,tblVeriB[KomisyonOran]),0))</f>
        <v/>
      </c>
      <c r="E287" s="16">
        <f>IF($A287="","",ROUND($B287*$D287,2))</f>
        <v/>
      </c>
      <c r="F287" s="16">
        <f>IF($A287="","",IFERROR(SUMIF(tblAnahtarB[NormB],$A287,tblVeriB[Kargo]),0))</f>
        <v/>
      </c>
      <c r="G287" s="16">
        <f>IF($A287="","",IFERROR(SUMIF(tblAnahtarB[NormB],$A287,tblVeriB[IadeOran]),0))</f>
        <v/>
      </c>
      <c r="H287" s="16">
        <f>IF($A287="","",ROUND($B287*$G287,2))</f>
        <v/>
      </c>
      <c r="I287" s="16">
        <f>IF($A287="","",IFERROR(SUMIF(tblAnahtarB[NormB],$A287,tblVeriB[ReklamTutar]),0))</f>
        <v/>
      </c>
      <c r="J287" s="16">
        <f>IF($A287="","",ROUND($B287-$C287,2))</f>
        <v/>
      </c>
      <c r="K287" s="16">
        <f>IF($A287="","",ROUND($B287-$C287-$E287-$F287-$H287-$I287,2))</f>
        <v/>
      </c>
      <c r="L287" s="16">
        <f>IF(OR($A287="",$B287=0),0,$K287/$B287)</f>
        <v/>
      </c>
      <c r="M287" s="16">
        <f>IF($A287="","",IF((1-$D287-$G287)&lt;=0,0,ROUND(($C287+$F287+$I287)/(1-$D287-$G287),2)))</f>
        <v/>
      </c>
      <c r="N287" s="16">
        <f>IF($A287="","",IFERROR(SUMIF(tblAnahtarA[Norm],$A287,tblVeriA[HedefNet]),0))</f>
        <v/>
      </c>
      <c r="O287" s="16">
        <f>IF($A287="","",ROUND($K287-$N287,2))</f>
        <v/>
      </c>
      <c r="P287" s="16">
        <f>IF($A287="","",IF($L287&lt;egk_esikKatkiDusuk,"ZAM YAP",IF(AND($R287=1,$L287&lt;egk_esikKatkiHedef),"İNDİRİMİ KES","TUT")))</f>
        <v/>
      </c>
      <c r="Q287" s="16">
        <f>IF($A287="","",IFERROR(SUMIF(tblAnahtarB[NormB],$A287,tblVeriB[Roas]),0))</f>
        <v/>
      </c>
      <c r="R287" s="16">
        <f>IF($A287="","",IF(OR(IFERROR(INDEX(tblVeriA[YorumAB],MATCH($A287,tblAnahtarA[Norm],0)),"")="B",IFERROR(INDEX(tblVeriA[Durum],MATCH($A287,tblAnahtarA[Norm],0)),"")="Kampanya"),1,0))</f>
        <v/>
      </c>
      <c r="S287" s="16">
        <f>IF($A287="","",$J287-$E287)</f>
        <v/>
      </c>
      <c r="T287" s="16">
        <f>IF($A287="","",$K287-$O287)</f>
        <v/>
      </c>
    </row>
    <row r="288">
      <c r="A288" s="16">
        <f>IF('ANAHTAR'!$B288="","",'ANAHTAR'!$B288)</f>
        <v/>
      </c>
      <c r="B288" s="16">
        <f>IF($A288="","",IFERROR(SUMIF(tblAnahtarA[Norm],$A288,tblVeriA[SatisFiyati]),0))</f>
        <v/>
      </c>
      <c r="C288" s="16">
        <f>IF($A288="","",IFERROR(SUMIF(tblAnahtarA[Norm],$A288,tblVeriA[Maliyet]),0))</f>
        <v/>
      </c>
      <c r="D288" s="16">
        <f>IF($A288="","",IFERROR(SUMIF(tblAnahtarB[NormB],$A288,tblVeriB[KomisyonOran]),0))</f>
        <v/>
      </c>
      <c r="E288" s="16">
        <f>IF($A288="","",ROUND($B288*$D288,2))</f>
        <v/>
      </c>
      <c r="F288" s="16">
        <f>IF($A288="","",IFERROR(SUMIF(tblAnahtarB[NormB],$A288,tblVeriB[Kargo]),0))</f>
        <v/>
      </c>
      <c r="G288" s="16">
        <f>IF($A288="","",IFERROR(SUMIF(tblAnahtarB[NormB],$A288,tblVeriB[IadeOran]),0))</f>
        <v/>
      </c>
      <c r="H288" s="16">
        <f>IF($A288="","",ROUND($B288*$G288,2))</f>
        <v/>
      </c>
      <c r="I288" s="16">
        <f>IF($A288="","",IFERROR(SUMIF(tblAnahtarB[NormB],$A288,tblVeriB[ReklamTutar]),0))</f>
        <v/>
      </c>
      <c r="J288" s="16">
        <f>IF($A288="","",ROUND($B288-$C288,2))</f>
        <v/>
      </c>
      <c r="K288" s="16">
        <f>IF($A288="","",ROUND($B288-$C288-$E288-$F288-$H288-$I288,2))</f>
        <v/>
      </c>
      <c r="L288" s="16">
        <f>IF(OR($A288="",$B288=0),0,$K288/$B288)</f>
        <v/>
      </c>
      <c r="M288" s="16">
        <f>IF($A288="","",IF((1-$D288-$G288)&lt;=0,0,ROUND(($C288+$F288+$I288)/(1-$D288-$G288),2)))</f>
        <v/>
      </c>
      <c r="N288" s="16">
        <f>IF($A288="","",IFERROR(SUMIF(tblAnahtarA[Norm],$A288,tblVeriA[HedefNet]),0))</f>
        <v/>
      </c>
      <c r="O288" s="16">
        <f>IF($A288="","",ROUND($K288-$N288,2))</f>
        <v/>
      </c>
      <c r="P288" s="16">
        <f>IF($A288="","",IF($L288&lt;egk_esikKatkiDusuk,"ZAM YAP",IF(AND($R288=1,$L288&lt;egk_esikKatkiHedef),"İNDİRİMİ KES","TUT")))</f>
        <v/>
      </c>
      <c r="Q288" s="16">
        <f>IF($A288="","",IFERROR(SUMIF(tblAnahtarB[NormB],$A288,tblVeriB[Roas]),0))</f>
        <v/>
      </c>
      <c r="R288" s="16">
        <f>IF($A288="","",IF(OR(IFERROR(INDEX(tblVeriA[YorumAB],MATCH($A288,tblAnahtarA[Norm],0)),"")="B",IFERROR(INDEX(tblVeriA[Durum],MATCH($A288,tblAnahtarA[Norm],0)),"")="Kampanya"),1,0))</f>
        <v/>
      </c>
      <c r="S288" s="16">
        <f>IF($A288="","",$J288-$E288)</f>
        <v/>
      </c>
      <c r="T288" s="16">
        <f>IF($A288="","",$K288-$O288)</f>
        <v/>
      </c>
    </row>
    <row r="289">
      <c r="A289" s="16">
        <f>IF('ANAHTAR'!$B289="","",'ANAHTAR'!$B289)</f>
        <v/>
      </c>
      <c r="B289" s="16">
        <f>IF($A289="","",IFERROR(SUMIF(tblAnahtarA[Norm],$A289,tblVeriA[SatisFiyati]),0))</f>
        <v/>
      </c>
      <c r="C289" s="16">
        <f>IF($A289="","",IFERROR(SUMIF(tblAnahtarA[Norm],$A289,tblVeriA[Maliyet]),0))</f>
        <v/>
      </c>
      <c r="D289" s="16">
        <f>IF($A289="","",IFERROR(SUMIF(tblAnahtarB[NormB],$A289,tblVeriB[KomisyonOran]),0))</f>
        <v/>
      </c>
      <c r="E289" s="16">
        <f>IF($A289="","",ROUND($B289*$D289,2))</f>
        <v/>
      </c>
      <c r="F289" s="16">
        <f>IF($A289="","",IFERROR(SUMIF(tblAnahtarB[NormB],$A289,tblVeriB[Kargo]),0))</f>
        <v/>
      </c>
      <c r="G289" s="16">
        <f>IF($A289="","",IFERROR(SUMIF(tblAnahtarB[NormB],$A289,tblVeriB[IadeOran]),0))</f>
        <v/>
      </c>
      <c r="H289" s="16">
        <f>IF($A289="","",ROUND($B289*$G289,2))</f>
        <v/>
      </c>
      <c r="I289" s="16">
        <f>IF($A289="","",IFERROR(SUMIF(tblAnahtarB[NormB],$A289,tblVeriB[ReklamTutar]),0))</f>
        <v/>
      </c>
      <c r="J289" s="16">
        <f>IF($A289="","",ROUND($B289-$C289,2))</f>
        <v/>
      </c>
      <c r="K289" s="16">
        <f>IF($A289="","",ROUND($B289-$C289-$E289-$F289-$H289-$I289,2))</f>
        <v/>
      </c>
      <c r="L289" s="16">
        <f>IF(OR($A289="",$B289=0),0,$K289/$B289)</f>
        <v/>
      </c>
      <c r="M289" s="16">
        <f>IF($A289="","",IF((1-$D289-$G289)&lt;=0,0,ROUND(($C289+$F289+$I289)/(1-$D289-$G289),2)))</f>
        <v/>
      </c>
      <c r="N289" s="16">
        <f>IF($A289="","",IFERROR(SUMIF(tblAnahtarA[Norm],$A289,tblVeriA[HedefNet]),0))</f>
        <v/>
      </c>
      <c r="O289" s="16">
        <f>IF($A289="","",ROUND($K289-$N289,2))</f>
        <v/>
      </c>
      <c r="P289" s="16">
        <f>IF($A289="","",IF($L289&lt;egk_esikKatkiDusuk,"ZAM YAP",IF(AND($R289=1,$L289&lt;egk_esikKatkiHedef),"İNDİRİMİ KES","TUT")))</f>
        <v/>
      </c>
      <c r="Q289" s="16">
        <f>IF($A289="","",IFERROR(SUMIF(tblAnahtarB[NormB],$A289,tblVeriB[Roas]),0))</f>
        <v/>
      </c>
      <c r="R289" s="16">
        <f>IF($A289="","",IF(OR(IFERROR(INDEX(tblVeriA[YorumAB],MATCH($A289,tblAnahtarA[Norm],0)),"")="B",IFERROR(INDEX(tblVeriA[Durum],MATCH($A289,tblAnahtarA[Norm],0)),"")="Kampanya"),1,0))</f>
        <v/>
      </c>
      <c r="S289" s="16">
        <f>IF($A289="","",$J289-$E289)</f>
        <v/>
      </c>
      <c r="T289" s="16">
        <f>IF($A289="","",$K289-$O289)</f>
        <v/>
      </c>
    </row>
    <row r="290">
      <c r="A290" s="16">
        <f>IF('ANAHTAR'!$B290="","",'ANAHTAR'!$B290)</f>
        <v/>
      </c>
      <c r="B290" s="16">
        <f>IF($A290="","",IFERROR(SUMIF(tblAnahtarA[Norm],$A290,tblVeriA[SatisFiyati]),0))</f>
        <v/>
      </c>
      <c r="C290" s="16">
        <f>IF($A290="","",IFERROR(SUMIF(tblAnahtarA[Norm],$A290,tblVeriA[Maliyet]),0))</f>
        <v/>
      </c>
      <c r="D290" s="16">
        <f>IF($A290="","",IFERROR(SUMIF(tblAnahtarB[NormB],$A290,tblVeriB[KomisyonOran]),0))</f>
        <v/>
      </c>
      <c r="E290" s="16">
        <f>IF($A290="","",ROUND($B290*$D290,2))</f>
        <v/>
      </c>
      <c r="F290" s="16">
        <f>IF($A290="","",IFERROR(SUMIF(tblAnahtarB[NormB],$A290,tblVeriB[Kargo]),0))</f>
        <v/>
      </c>
      <c r="G290" s="16">
        <f>IF($A290="","",IFERROR(SUMIF(tblAnahtarB[NormB],$A290,tblVeriB[IadeOran]),0))</f>
        <v/>
      </c>
      <c r="H290" s="16">
        <f>IF($A290="","",ROUND($B290*$G290,2))</f>
        <v/>
      </c>
      <c r="I290" s="16">
        <f>IF($A290="","",IFERROR(SUMIF(tblAnahtarB[NormB],$A290,tblVeriB[ReklamTutar]),0))</f>
        <v/>
      </c>
      <c r="J290" s="16">
        <f>IF($A290="","",ROUND($B290-$C290,2))</f>
        <v/>
      </c>
      <c r="K290" s="16">
        <f>IF($A290="","",ROUND($B290-$C290-$E290-$F290-$H290-$I290,2))</f>
        <v/>
      </c>
      <c r="L290" s="16">
        <f>IF(OR($A290="",$B290=0),0,$K290/$B290)</f>
        <v/>
      </c>
      <c r="M290" s="16">
        <f>IF($A290="","",IF((1-$D290-$G290)&lt;=0,0,ROUND(($C290+$F290+$I290)/(1-$D290-$G290),2)))</f>
        <v/>
      </c>
      <c r="N290" s="16">
        <f>IF($A290="","",IFERROR(SUMIF(tblAnahtarA[Norm],$A290,tblVeriA[HedefNet]),0))</f>
        <v/>
      </c>
      <c r="O290" s="16">
        <f>IF($A290="","",ROUND($K290-$N290,2))</f>
        <v/>
      </c>
      <c r="P290" s="16">
        <f>IF($A290="","",IF($L290&lt;egk_esikKatkiDusuk,"ZAM YAP",IF(AND($R290=1,$L290&lt;egk_esikKatkiHedef),"İNDİRİMİ KES","TUT")))</f>
        <v/>
      </c>
      <c r="Q290" s="16">
        <f>IF($A290="","",IFERROR(SUMIF(tblAnahtarB[NormB],$A290,tblVeriB[Roas]),0))</f>
        <v/>
      </c>
      <c r="R290" s="16">
        <f>IF($A290="","",IF(OR(IFERROR(INDEX(tblVeriA[YorumAB],MATCH($A290,tblAnahtarA[Norm],0)),"")="B",IFERROR(INDEX(tblVeriA[Durum],MATCH($A290,tblAnahtarA[Norm],0)),"")="Kampanya"),1,0))</f>
        <v/>
      </c>
      <c r="S290" s="16">
        <f>IF($A290="","",$J290-$E290)</f>
        <v/>
      </c>
      <c r="T290" s="16">
        <f>IF($A290="","",$K290-$O290)</f>
        <v/>
      </c>
    </row>
    <row r="291">
      <c r="A291" s="16">
        <f>IF('ANAHTAR'!$B291="","",'ANAHTAR'!$B291)</f>
        <v/>
      </c>
      <c r="B291" s="16">
        <f>IF($A291="","",IFERROR(SUMIF(tblAnahtarA[Norm],$A291,tblVeriA[SatisFiyati]),0))</f>
        <v/>
      </c>
      <c r="C291" s="16">
        <f>IF($A291="","",IFERROR(SUMIF(tblAnahtarA[Norm],$A291,tblVeriA[Maliyet]),0))</f>
        <v/>
      </c>
      <c r="D291" s="16">
        <f>IF($A291="","",IFERROR(SUMIF(tblAnahtarB[NormB],$A291,tblVeriB[KomisyonOran]),0))</f>
        <v/>
      </c>
      <c r="E291" s="16">
        <f>IF($A291="","",ROUND($B291*$D291,2))</f>
        <v/>
      </c>
      <c r="F291" s="16">
        <f>IF($A291="","",IFERROR(SUMIF(tblAnahtarB[NormB],$A291,tblVeriB[Kargo]),0))</f>
        <v/>
      </c>
      <c r="G291" s="16">
        <f>IF($A291="","",IFERROR(SUMIF(tblAnahtarB[NormB],$A291,tblVeriB[IadeOran]),0))</f>
        <v/>
      </c>
      <c r="H291" s="16">
        <f>IF($A291="","",ROUND($B291*$G291,2))</f>
        <v/>
      </c>
      <c r="I291" s="16">
        <f>IF($A291="","",IFERROR(SUMIF(tblAnahtarB[NormB],$A291,tblVeriB[ReklamTutar]),0))</f>
        <v/>
      </c>
      <c r="J291" s="16">
        <f>IF($A291="","",ROUND($B291-$C291,2))</f>
        <v/>
      </c>
      <c r="K291" s="16">
        <f>IF($A291="","",ROUND($B291-$C291-$E291-$F291-$H291-$I291,2))</f>
        <v/>
      </c>
      <c r="L291" s="16">
        <f>IF(OR($A291="",$B291=0),0,$K291/$B291)</f>
        <v/>
      </c>
      <c r="M291" s="16">
        <f>IF($A291="","",IF((1-$D291-$G291)&lt;=0,0,ROUND(($C291+$F291+$I291)/(1-$D291-$G291),2)))</f>
        <v/>
      </c>
      <c r="N291" s="16">
        <f>IF($A291="","",IFERROR(SUMIF(tblAnahtarA[Norm],$A291,tblVeriA[HedefNet]),0))</f>
        <v/>
      </c>
      <c r="O291" s="16">
        <f>IF($A291="","",ROUND($K291-$N291,2))</f>
        <v/>
      </c>
      <c r="P291" s="16">
        <f>IF($A291="","",IF($L291&lt;egk_esikKatkiDusuk,"ZAM YAP",IF(AND($R291=1,$L291&lt;egk_esikKatkiHedef),"İNDİRİMİ KES","TUT")))</f>
        <v/>
      </c>
      <c r="Q291" s="16">
        <f>IF($A291="","",IFERROR(SUMIF(tblAnahtarB[NormB],$A291,tblVeriB[Roas]),0))</f>
        <v/>
      </c>
      <c r="R291" s="16">
        <f>IF($A291="","",IF(OR(IFERROR(INDEX(tblVeriA[YorumAB],MATCH($A291,tblAnahtarA[Norm],0)),"")="B",IFERROR(INDEX(tblVeriA[Durum],MATCH($A291,tblAnahtarA[Norm],0)),"")="Kampanya"),1,0))</f>
        <v/>
      </c>
      <c r="S291" s="16">
        <f>IF($A291="","",$J291-$E291)</f>
        <v/>
      </c>
      <c r="T291" s="16">
        <f>IF($A291="","",$K291-$O291)</f>
        <v/>
      </c>
    </row>
    <row r="292">
      <c r="A292" s="16">
        <f>IF('ANAHTAR'!$B292="","",'ANAHTAR'!$B292)</f>
        <v/>
      </c>
      <c r="B292" s="16">
        <f>IF($A292="","",IFERROR(SUMIF(tblAnahtarA[Norm],$A292,tblVeriA[SatisFiyati]),0))</f>
        <v/>
      </c>
      <c r="C292" s="16">
        <f>IF($A292="","",IFERROR(SUMIF(tblAnahtarA[Norm],$A292,tblVeriA[Maliyet]),0))</f>
        <v/>
      </c>
      <c r="D292" s="16">
        <f>IF($A292="","",IFERROR(SUMIF(tblAnahtarB[NormB],$A292,tblVeriB[KomisyonOran]),0))</f>
        <v/>
      </c>
      <c r="E292" s="16">
        <f>IF($A292="","",ROUND($B292*$D292,2))</f>
        <v/>
      </c>
      <c r="F292" s="16">
        <f>IF($A292="","",IFERROR(SUMIF(tblAnahtarB[NormB],$A292,tblVeriB[Kargo]),0))</f>
        <v/>
      </c>
      <c r="G292" s="16">
        <f>IF($A292="","",IFERROR(SUMIF(tblAnahtarB[NormB],$A292,tblVeriB[IadeOran]),0))</f>
        <v/>
      </c>
      <c r="H292" s="16">
        <f>IF($A292="","",ROUND($B292*$G292,2))</f>
        <v/>
      </c>
      <c r="I292" s="16">
        <f>IF($A292="","",IFERROR(SUMIF(tblAnahtarB[NormB],$A292,tblVeriB[ReklamTutar]),0))</f>
        <v/>
      </c>
      <c r="J292" s="16">
        <f>IF($A292="","",ROUND($B292-$C292,2))</f>
        <v/>
      </c>
      <c r="K292" s="16">
        <f>IF($A292="","",ROUND($B292-$C292-$E292-$F292-$H292-$I292,2))</f>
        <v/>
      </c>
      <c r="L292" s="16">
        <f>IF(OR($A292="",$B292=0),0,$K292/$B292)</f>
        <v/>
      </c>
      <c r="M292" s="16">
        <f>IF($A292="","",IF((1-$D292-$G292)&lt;=0,0,ROUND(($C292+$F292+$I292)/(1-$D292-$G292),2)))</f>
        <v/>
      </c>
      <c r="N292" s="16">
        <f>IF($A292="","",IFERROR(SUMIF(tblAnahtarA[Norm],$A292,tblVeriA[HedefNet]),0))</f>
        <v/>
      </c>
      <c r="O292" s="16">
        <f>IF($A292="","",ROUND($K292-$N292,2))</f>
        <v/>
      </c>
      <c r="P292" s="16">
        <f>IF($A292="","",IF($L292&lt;egk_esikKatkiDusuk,"ZAM YAP",IF(AND($R292=1,$L292&lt;egk_esikKatkiHedef),"İNDİRİMİ KES","TUT")))</f>
        <v/>
      </c>
      <c r="Q292" s="16">
        <f>IF($A292="","",IFERROR(SUMIF(tblAnahtarB[NormB],$A292,tblVeriB[Roas]),0))</f>
        <v/>
      </c>
      <c r="R292" s="16">
        <f>IF($A292="","",IF(OR(IFERROR(INDEX(tblVeriA[YorumAB],MATCH($A292,tblAnahtarA[Norm],0)),"")="B",IFERROR(INDEX(tblVeriA[Durum],MATCH($A292,tblAnahtarA[Norm],0)),"")="Kampanya"),1,0))</f>
        <v/>
      </c>
      <c r="S292" s="16">
        <f>IF($A292="","",$J292-$E292)</f>
        <v/>
      </c>
      <c r="T292" s="16">
        <f>IF($A292="","",$K292-$O292)</f>
        <v/>
      </c>
    </row>
    <row r="293">
      <c r="A293" s="16">
        <f>IF('ANAHTAR'!$B293="","",'ANAHTAR'!$B293)</f>
        <v/>
      </c>
      <c r="B293" s="16">
        <f>IF($A293="","",IFERROR(SUMIF(tblAnahtarA[Norm],$A293,tblVeriA[SatisFiyati]),0))</f>
        <v/>
      </c>
      <c r="C293" s="16">
        <f>IF($A293="","",IFERROR(SUMIF(tblAnahtarA[Norm],$A293,tblVeriA[Maliyet]),0))</f>
        <v/>
      </c>
      <c r="D293" s="16">
        <f>IF($A293="","",IFERROR(SUMIF(tblAnahtarB[NormB],$A293,tblVeriB[KomisyonOran]),0))</f>
        <v/>
      </c>
      <c r="E293" s="16">
        <f>IF($A293="","",ROUND($B293*$D293,2))</f>
        <v/>
      </c>
      <c r="F293" s="16">
        <f>IF($A293="","",IFERROR(SUMIF(tblAnahtarB[NormB],$A293,tblVeriB[Kargo]),0))</f>
        <v/>
      </c>
      <c r="G293" s="16">
        <f>IF($A293="","",IFERROR(SUMIF(tblAnahtarB[NormB],$A293,tblVeriB[IadeOran]),0))</f>
        <v/>
      </c>
      <c r="H293" s="16">
        <f>IF($A293="","",ROUND($B293*$G293,2))</f>
        <v/>
      </c>
      <c r="I293" s="16">
        <f>IF($A293="","",IFERROR(SUMIF(tblAnahtarB[NormB],$A293,tblVeriB[ReklamTutar]),0))</f>
        <v/>
      </c>
      <c r="J293" s="16">
        <f>IF($A293="","",ROUND($B293-$C293,2))</f>
        <v/>
      </c>
      <c r="K293" s="16">
        <f>IF($A293="","",ROUND($B293-$C293-$E293-$F293-$H293-$I293,2))</f>
        <v/>
      </c>
      <c r="L293" s="16">
        <f>IF(OR($A293="",$B293=0),0,$K293/$B293)</f>
        <v/>
      </c>
      <c r="M293" s="16">
        <f>IF($A293="","",IF((1-$D293-$G293)&lt;=0,0,ROUND(($C293+$F293+$I293)/(1-$D293-$G293),2)))</f>
        <v/>
      </c>
      <c r="N293" s="16">
        <f>IF($A293="","",IFERROR(SUMIF(tblAnahtarA[Norm],$A293,tblVeriA[HedefNet]),0))</f>
        <v/>
      </c>
      <c r="O293" s="16">
        <f>IF($A293="","",ROUND($K293-$N293,2))</f>
        <v/>
      </c>
      <c r="P293" s="16">
        <f>IF($A293="","",IF($L293&lt;egk_esikKatkiDusuk,"ZAM YAP",IF(AND($R293=1,$L293&lt;egk_esikKatkiHedef),"İNDİRİMİ KES","TUT")))</f>
        <v/>
      </c>
      <c r="Q293" s="16">
        <f>IF($A293="","",IFERROR(SUMIF(tblAnahtarB[NormB],$A293,tblVeriB[Roas]),0))</f>
        <v/>
      </c>
      <c r="R293" s="16">
        <f>IF($A293="","",IF(OR(IFERROR(INDEX(tblVeriA[YorumAB],MATCH($A293,tblAnahtarA[Norm],0)),"")="B",IFERROR(INDEX(tblVeriA[Durum],MATCH($A293,tblAnahtarA[Norm],0)),"")="Kampanya"),1,0))</f>
        <v/>
      </c>
      <c r="S293" s="16">
        <f>IF($A293="","",$J293-$E293)</f>
        <v/>
      </c>
      <c r="T293" s="16">
        <f>IF($A293="","",$K293-$O293)</f>
        <v/>
      </c>
    </row>
    <row r="294">
      <c r="A294" s="16">
        <f>IF('ANAHTAR'!$B294="","",'ANAHTAR'!$B294)</f>
        <v/>
      </c>
      <c r="B294" s="16">
        <f>IF($A294="","",IFERROR(SUMIF(tblAnahtarA[Norm],$A294,tblVeriA[SatisFiyati]),0))</f>
        <v/>
      </c>
      <c r="C294" s="16">
        <f>IF($A294="","",IFERROR(SUMIF(tblAnahtarA[Norm],$A294,tblVeriA[Maliyet]),0))</f>
        <v/>
      </c>
      <c r="D294" s="16">
        <f>IF($A294="","",IFERROR(SUMIF(tblAnahtarB[NormB],$A294,tblVeriB[KomisyonOran]),0))</f>
        <v/>
      </c>
      <c r="E294" s="16">
        <f>IF($A294="","",ROUND($B294*$D294,2))</f>
        <v/>
      </c>
      <c r="F294" s="16">
        <f>IF($A294="","",IFERROR(SUMIF(tblAnahtarB[NormB],$A294,tblVeriB[Kargo]),0))</f>
        <v/>
      </c>
      <c r="G294" s="16">
        <f>IF($A294="","",IFERROR(SUMIF(tblAnahtarB[NormB],$A294,tblVeriB[IadeOran]),0))</f>
        <v/>
      </c>
      <c r="H294" s="16">
        <f>IF($A294="","",ROUND($B294*$G294,2))</f>
        <v/>
      </c>
      <c r="I294" s="16">
        <f>IF($A294="","",IFERROR(SUMIF(tblAnahtarB[NormB],$A294,tblVeriB[ReklamTutar]),0))</f>
        <v/>
      </c>
      <c r="J294" s="16">
        <f>IF($A294="","",ROUND($B294-$C294,2))</f>
        <v/>
      </c>
      <c r="K294" s="16">
        <f>IF($A294="","",ROUND($B294-$C294-$E294-$F294-$H294-$I294,2))</f>
        <v/>
      </c>
      <c r="L294" s="16">
        <f>IF(OR($A294="",$B294=0),0,$K294/$B294)</f>
        <v/>
      </c>
      <c r="M294" s="16">
        <f>IF($A294="","",IF((1-$D294-$G294)&lt;=0,0,ROUND(($C294+$F294+$I294)/(1-$D294-$G294),2)))</f>
        <v/>
      </c>
      <c r="N294" s="16">
        <f>IF($A294="","",IFERROR(SUMIF(tblAnahtarA[Norm],$A294,tblVeriA[HedefNet]),0))</f>
        <v/>
      </c>
      <c r="O294" s="16">
        <f>IF($A294="","",ROUND($K294-$N294,2))</f>
        <v/>
      </c>
      <c r="P294" s="16">
        <f>IF($A294="","",IF($L294&lt;egk_esikKatkiDusuk,"ZAM YAP",IF(AND($R294=1,$L294&lt;egk_esikKatkiHedef),"İNDİRİMİ KES","TUT")))</f>
        <v/>
      </c>
      <c r="Q294" s="16">
        <f>IF($A294="","",IFERROR(SUMIF(tblAnahtarB[NormB],$A294,tblVeriB[Roas]),0))</f>
        <v/>
      </c>
      <c r="R294" s="16">
        <f>IF($A294="","",IF(OR(IFERROR(INDEX(tblVeriA[YorumAB],MATCH($A294,tblAnahtarA[Norm],0)),"")="B",IFERROR(INDEX(tblVeriA[Durum],MATCH($A294,tblAnahtarA[Norm],0)),"")="Kampanya"),1,0))</f>
        <v/>
      </c>
      <c r="S294" s="16">
        <f>IF($A294="","",$J294-$E294)</f>
        <v/>
      </c>
      <c r="T294" s="16">
        <f>IF($A294="","",$K294-$O294)</f>
        <v/>
      </c>
    </row>
    <row r="295">
      <c r="A295" s="16">
        <f>IF('ANAHTAR'!$B295="","",'ANAHTAR'!$B295)</f>
        <v/>
      </c>
      <c r="B295" s="16">
        <f>IF($A295="","",IFERROR(SUMIF(tblAnahtarA[Norm],$A295,tblVeriA[SatisFiyati]),0))</f>
        <v/>
      </c>
      <c r="C295" s="16">
        <f>IF($A295="","",IFERROR(SUMIF(tblAnahtarA[Norm],$A295,tblVeriA[Maliyet]),0))</f>
        <v/>
      </c>
      <c r="D295" s="16">
        <f>IF($A295="","",IFERROR(SUMIF(tblAnahtarB[NormB],$A295,tblVeriB[KomisyonOran]),0))</f>
        <v/>
      </c>
      <c r="E295" s="16">
        <f>IF($A295="","",ROUND($B295*$D295,2))</f>
        <v/>
      </c>
      <c r="F295" s="16">
        <f>IF($A295="","",IFERROR(SUMIF(tblAnahtarB[NormB],$A295,tblVeriB[Kargo]),0))</f>
        <v/>
      </c>
      <c r="G295" s="16">
        <f>IF($A295="","",IFERROR(SUMIF(tblAnahtarB[NormB],$A295,tblVeriB[IadeOran]),0))</f>
        <v/>
      </c>
      <c r="H295" s="16">
        <f>IF($A295="","",ROUND($B295*$G295,2))</f>
        <v/>
      </c>
      <c r="I295" s="16">
        <f>IF($A295="","",IFERROR(SUMIF(tblAnahtarB[NormB],$A295,tblVeriB[ReklamTutar]),0))</f>
        <v/>
      </c>
      <c r="J295" s="16">
        <f>IF($A295="","",ROUND($B295-$C295,2))</f>
        <v/>
      </c>
      <c r="K295" s="16">
        <f>IF($A295="","",ROUND($B295-$C295-$E295-$F295-$H295-$I295,2))</f>
        <v/>
      </c>
      <c r="L295" s="16">
        <f>IF(OR($A295="",$B295=0),0,$K295/$B295)</f>
        <v/>
      </c>
      <c r="M295" s="16">
        <f>IF($A295="","",IF((1-$D295-$G295)&lt;=0,0,ROUND(($C295+$F295+$I295)/(1-$D295-$G295),2)))</f>
        <v/>
      </c>
      <c r="N295" s="16">
        <f>IF($A295="","",IFERROR(SUMIF(tblAnahtarA[Norm],$A295,tblVeriA[HedefNet]),0))</f>
        <v/>
      </c>
      <c r="O295" s="16">
        <f>IF($A295="","",ROUND($K295-$N295,2))</f>
        <v/>
      </c>
      <c r="P295" s="16">
        <f>IF($A295="","",IF($L295&lt;egk_esikKatkiDusuk,"ZAM YAP",IF(AND($R295=1,$L295&lt;egk_esikKatkiHedef),"İNDİRİMİ KES","TUT")))</f>
        <v/>
      </c>
      <c r="Q295" s="16">
        <f>IF($A295="","",IFERROR(SUMIF(tblAnahtarB[NormB],$A295,tblVeriB[Roas]),0))</f>
        <v/>
      </c>
      <c r="R295" s="16">
        <f>IF($A295="","",IF(OR(IFERROR(INDEX(tblVeriA[YorumAB],MATCH($A295,tblAnahtarA[Norm],0)),"")="B",IFERROR(INDEX(tblVeriA[Durum],MATCH($A295,tblAnahtarA[Norm],0)),"")="Kampanya"),1,0))</f>
        <v/>
      </c>
      <c r="S295" s="16">
        <f>IF($A295="","",$J295-$E295)</f>
        <v/>
      </c>
      <c r="T295" s="16">
        <f>IF($A295="","",$K295-$O295)</f>
        <v/>
      </c>
    </row>
    <row r="296">
      <c r="A296" s="16">
        <f>IF('ANAHTAR'!$B296="","",'ANAHTAR'!$B296)</f>
        <v/>
      </c>
      <c r="B296" s="16">
        <f>IF($A296="","",IFERROR(SUMIF(tblAnahtarA[Norm],$A296,tblVeriA[SatisFiyati]),0))</f>
        <v/>
      </c>
      <c r="C296" s="16">
        <f>IF($A296="","",IFERROR(SUMIF(tblAnahtarA[Norm],$A296,tblVeriA[Maliyet]),0))</f>
        <v/>
      </c>
      <c r="D296" s="16">
        <f>IF($A296="","",IFERROR(SUMIF(tblAnahtarB[NormB],$A296,tblVeriB[KomisyonOran]),0))</f>
        <v/>
      </c>
      <c r="E296" s="16">
        <f>IF($A296="","",ROUND($B296*$D296,2))</f>
        <v/>
      </c>
      <c r="F296" s="16">
        <f>IF($A296="","",IFERROR(SUMIF(tblAnahtarB[NormB],$A296,tblVeriB[Kargo]),0))</f>
        <v/>
      </c>
      <c r="G296" s="16">
        <f>IF($A296="","",IFERROR(SUMIF(tblAnahtarB[NormB],$A296,tblVeriB[IadeOran]),0))</f>
        <v/>
      </c>
      <c r="H296" s="16">
        <f>IF($A296="","",ROUND($B296*$G296,2))</f>
        <v/>
      </c>
      <c r="I296" s="16">
        <f>IF($A296="","",IFERROR(SUMIF(tblAnahtarB[NormB],$A296,tblVeriB[ReklamTutar]),0))</f>
        <v/>
      </c>
      <c r="J296" s="16">
        <f>IF($A296="","",ROUND($B296-$C296,2))</f>
        <v/>
      </c>
      <c r="K296" s="16">
        <f>IF($A296="","",ROUND($B296-$C296-$E296-$F296-$H296-$I296,2))</f>
        <v/>
      </c>
      <c r="L296" s="16">
        <f>IF(OR($A296="",$B296=0),0,$K296/$B296)</f>
        <v/>
      </c>
      <c r="M296" s="16">
        <f>IF($A296="","",IF((1-$D296-$G296)&lt;=0,0,ROUND(($C296+$F296+$I296)/(1-$D296-$G296),2)))</f>
        <v/>
      </c>
      <c r="N296" s="16">
        <f>IF($A296="","",IFERROR(SUMIF(tblAnahtarA[Norm],$A296,tblVeriA[HedefNet]),0))</f>
        <v/>
      </c>
      <c r="O296" s="16">
        <f>IF($A296="","",ROUND($K296-$N296,2))</f>
        <v/>
      </c>
      <c r="P296" s="16">
        <f>IF($A296="","",IF($L296&lt;egk_esikKatkiDusuk,"ZAM YAP",IF(AND($R296=1,$L296&lt;egk_esikKatkiHedef),"İNDİRİMİ KES","TUT")))</f>
        <v/>
      </c>
      <c r="Q296" s="16">
        <f>IF($A296="","",IFERROR(SUMIF(tblAnahtarB[NormB],$A296,tblVeriB[Roas]),0))</f>
        <v/>
      </c>
      <c r="R296" s="16">
        <f>IF($A296="","",IF(OR(IFERROR(INDEX(tblVeriA[YorumAB],MATCH($A296,tblAnahtarA[Norm],0)),"")="B",IFERROR(INDEX(tblVeriA[Durum],MATCH($A296,tblAnahtarA[Norm],0)),"")="Kampanya"),1,0))</f>
        <v/>
      </c>
      <c r="S296" s="16">
        <f>IF($A296="","",$J296-$E296)</f>
        <v/>
      </c>
      <c r="T296" s="16">
        <f>IF($A296="","",$K296-$O296)</f>
        <v/>
      </c>
    </row>
    <row r="297">
      <c r="A297" s="16">
        <f>IF('ANAHTAR'!$B297="","",'ANAHTAR'!$B297)</f>
        <v/>
      </c>
      <c r="B297" s="16">
        <f>IF($A297="","",IFERROR(SUMIF(tblAnahtarA[Norm],$A297,tblVeriA[SatisFiyati]),0))</f>
        <v/>
      </c>
      <c r="C297" s="16">
        <f>IF($A297="","",IFERROR(SUMIF(tblAnahtarA[Norm],$A297,tblVeriA[Maliyet]),0))</f>
        <v/>
      </c>
      <c r="D297" s="16">
        <f>IF($A297="","",IFERROR(SUMIF(tblAnahtarB[NormB],$A297,tblVeriB[KomisyonOran]),0))</f>
        <v/>
      </c>
      <c r="E297" s="16">
        <f>IF($A297="","",ROUND($B297*$D297,2))</f>
        <v/>
      </c>
      <c r="F297" s="16">
        <f>IF($A297="","",IFERROR(SUMIF(tblAnahtarB[NormB],$A297,tblVeriB[Kargo]),0))</f>
        <v/>
      </c>
      <c r="G297" s="16">
        <f>IF($A297="","",IFERROR(SUMIF(tblAnahtarB[NormB],$A297,tblVeriB[IadeOran]),0))</f>
        <v/>
      </c>
      <c r="H297" s="16">
        <f>IF($A297="","",ROUND($B297*$G297,2))</f>
        <v/>
      </c>
      <c r="I297" s="16">
        <f>IF($A297="","",IFERROR(SUMIF(tblAnahtarB[NormB],$A297,tblVeriB[ReklamTutar]),0))</f>
        <v/>
      </c>
      <c r="J297" s="16">
        <f>IF($A297="","",ROUND($B297-$C297,2))</f>
        <v/>
      </c>
      <c r="K297" s="16">
        <f>IF($A297="","",ROUND($B297-$C297-$E297-$F297-$H297-$I297,2))</f>
        <v/>
      </c>
      <c r="L297" s="16">
        <f>IF(OR($A297="",$B297=0),0,$K297/$B297)</f>
        <v/>
      </c>
      <c r="M297" s="16">
        <f>IF($A297="","",IF((1-$D297-$G297)&lt;=0,0,ROUND(($C297+$F297+$I297)/(1-$D297-$G297),2)))</f>
        <v/>
      </c>
      <c r="N297" s="16">
        <f>IF($A297="","",IFERROR(SUMIF(tblAnahtarA[Norm],$A297,tblVeriA[HedefNet]),0))</f>
        <v/>
      </c>
      <c r="O297" s="16">
        <f>IF($A297="","",ROUND($K297-$N297,2))</f>
        <v/>
      </c>
      <c r="P297" s="16">
        <f>IF($A297="","",IF($L297&lt;egk_esikKatkiDusuk,"ZAM YAP",IF(AND($R297=1,$L297&lt;egk_esikKatkiHedef),"İNDİRİMİ KES","TUT")))</f>
        <v/>
      </c>
      <c r="Q297" s="16">
        <f>IF($A297="","",IFERROR(SUMIF(tblAnahtarB[NormB],$A297,tblVeriB[Roas]),0))</f>
        <v/>
      </c>
      <c r="R297" s="16">
        <f>IF($A297="","",IF(OR(IFERROR(INDEX(tblVeriA[YorumAB],MATCH($A297,tblAnahtarA[Norm],0)),"")="B",IFERROR(INDEX(tblVeriA[Durum],MATCH($A297,tblAnahtarA[Norm],0)),"")="Kampanya"),1,0))</f>
        <v/>
      </c>
      <c r="S297" s="16">
        <f>IF($A297="","",$J297-$E297)</f>
        <v/>
      </c>
      <c r="T297" s="16">
        <f>IF($A297="","",$K297-$O297)</f>
        <v/>
      </c>
    </row>
    <row r="298">
      <c r="A298" s="16">
        <f>IF('ANAHTAR'!$B298="","",'ANAHTAR'!$B298)</f>
        <v/>
      </c>
      <c r="B298" s="16">
        <f>IF($A298="","",IFERROR(SUMIF(tblAnahtarA[Norm],$A298,tblVeriA[SatisFiyati]),0))</f>
        <v/>
      </c>
      <c r="C298" s="16">
        <f>IF($A298="","",IFERROR(SUMIF(tblAnahtarA[Norm],$A298,tblVeriA[Maliyet]),0))</f>
        <v/>
      </c>
      <c r="D298" s="16">
        <f>IF($A298="","",IFERROR(SUMIF(tblAnahtarB[NormB],$A298,tblVeriB[KomisyonOran]),0))</f>
        <v/>
      </c>
      <c r="E298" s="16">
        <f>IF($A298="","",ROUND($B298*$D298,2))</f>
        <v/>
      </c>
      <c r="F298" s="16">
        <f>IF($A298="","",IFERROR(SUMIF(tblAnahtarB[NormB],$A298,tblVeriB[Kargo]),0))</f>
        <v/>
      </c>
      <c r="G298" s="16">
        <f>IF($A298="","",IFERROR(SUMIF(tblAnahtarB[NormB],$A298,tblVeriB[IadeOran]),0))</f>
        <v/>
      </c>
      <c r="H298" s="16">
        <f>IF($A298="","",ROUND($B298*$G298,2))</f>
        <v/>
      </c>
      <c r="I298" s="16">
        <f>IF($A298="","",IFERROR(SUMIF(tblAnahtarB[NormB],$A298,tblVeriB[ReklamTutar]),0))</f>
        <v/>
      </c>
      <c r="J298" s="16">
        <f>IF($A298="","",ROUND($B298-$C298,2))</f>
        <v/>
      </c>
      <c r="K298" s="16">
        <f>IF($A298="","",ROUND($B298-$C298-$E298-$F298-$H298-$I298,2))</f>
        <v/>
      </c>
      <c r="L298" s="16">
        <f>IF(OR($A298="",$B298=0),0,$K298/$B298)</f>
        <v/>
      </c>
      <c r="M298" s="16">
        <f>IF($A298="","",IF((1-$D298-$G298)&lt;=0,0,ROUND(($C298+$F298+$I298)/(1-$D298-$G298),2)))</f>
        <v/>
      </c>
      <c r="N298" s="16">
        <f>IF($A298="","",IFERROR(SUMIF(tblAnahtarA[Norm],$A298,tblVeriA[HedefNet]),0))</f>
        <v/>
      </c>
      <c r="O298" s="16">
        <f>IF($A298="","",ROUND($K298-$N298,2))</f>
        <v/>
      </c>
      <c r="P298" s="16">
        <f>IF($A298="","",IF($L298&lt;egk_esikKatkiDusuk,"ZAM YAP",IF(AND($R298=1,$L298&lt;egk_esikKatkiHedef),"İNDİRİMİ KES","TUT")))</f>
        <v/>
      </c>
      <c r="Q298" s="16">
        <f>IF($A298="","",IFERROR(SUMIF(tblAnahtarB[NormB],$A298,tblVeriB[Roas]),0))</f>
        <v/>
      </c>
      <c r="R298" s="16">
        <f>IF($A298="","",IF(OR(IFERROR(INDEX(tblVeriA[YorumAB],MATCH($A298,tblAnahtarA[Norm],0)),"")="B",IFERROR(INDEX(tblVeriA[Durum],MATCH($A298,tblAnahtarA[Norm],0)),"")="Kampanya"),1,0))</f>
        <v/>
      </c>
      <c r="S298" s="16">
        <f>IF($A298="","",$J298-$E298)</f>
        <v/>
      </c>
      <c r="T298" s="16">
        <f>IF($A298="","",$K298-$O298)</f>
        <v/>
      </c>
    </row>
    <row r="299">
      <c r="A299" s="16">
        <f>IF('ANAHTAR'!$B299="","",'ANAHTAR'!$B299)</f>
        <v/>
      </c>
      <c r="B299" s="16">
        <f>IF($A299="","",IFERROR(SUMIF(tblAnahtarA[Norm],$A299,tblVeriA[SatisFiyati]),0))</f>
        <v/>
      </c>
      <c r="C299" s="16">
        <f>IF($A299="","",IFERROR(SUMIF(tblAnahtarA[Norm],$A299,tblVeriA[Maliyet]),0))</f>
        <v/>
      </c>
      <c r="D299" s="16">
        <f>IF($A299="","",IFERROR(SUMIF(tblAnahtarB[NormB],$A299,tblVeriB[KomisyonOran]),0))</f>
        <v/>
      </c>
      <c r="E299" s="16">
        <f>IF($A299="","",ROUND($B299*$D299,2))</f>
        <v/>
      </c>
      <c r="F299" s="16">
        <f>IF($A299="","",IFERROR(SUMIF(tblAnahtarB[NormB],$A299,tblVeriB[Kargo]),0))</f>
        <v/>
      </c>
      <c r="G299" s="16">
        <f>IF($A299="","",IFERROR(SUMIF(tblAnahtarB[NormB],$A299,tblVeriB[IadeOran]),0))</f>
        <v/>
      </c>
      <c r="H299" s="16">
        <f>IF($A299="","",ROUND($B299*$G299,2))</f>
        <v/>
      </c>
      <c r="I299" s="16">
        <f>IF($A299="","",IFERROR(SUMIF(tblAnahtarB[NormB],$A299,tblVeriB[ReklamTutar]),0))</f>
        <v/>
      </c>
      <c r="J299" s="16">
        <f>IF($A299="","",ROUND($B299-$C299,2))</f>
        <v/>
      </c>
      <c r="K299" s="16">
        <f>IF($A299="","",ROUND($B299-$C299-$E299-$F299-$H299-$I299,2))</f>
        <v/>
      </c>
      <c r="L299" s="16">
        <f>IF(OR($A299="",$B299=0),0,$K299/$B299)</f>
        <v/>
      </c>
      <c r="M299" s="16">
        <f>IF($A299="","",IF((1-$D299-$G299)&lt;=0,0,ROUND(($C299+$F299+$I299)/(1-$D299-$G299),2)))</f>
        <v/>
      </c>
      <c r="N299" s="16">
        <f>IF($A299="","",IFERROR(SUMIF(tblAnahtarA[Norm],$A299,tblVeriA[HedefNet]),0))</f>
        <v/>
      </c>
      <c r="O299" s="16">
        <f>IF($A299="","",ROUND($K299-$N299,2))</f>
        <v/>
      </c>
      <c r="P299" s="16">
        <f>IF($A299="","",IF($L299&lt;egk_esikKatkiDusuk,"ZAM YAP",IF(AND($R299=1,$L299&lt;egk_esikKatkiHedef),"İNDİRİMİ KES","TUT")))</f>
        <v/>
      </c>
      <c r="Q299" s="16">
        <f>IF($A299="","",IFERROR(SUMIF(tblAnahtarB[NormB],$A299,tblVeriB[Roas]),0))</f>
        <v/>
      </c>
      <c r="R299" s="16">
        <f>IF($A299="","",IF(OR(IFERROR(INDEX(tblVeriA[YorumAB],MATCH($A299,tblAnahtarA[Norm],0)),"")="B",IFERROR(INDEX(tblVeriA[Durum],MATCH($A299,tblAnahtarA[Norm],0)),"")="Kampanya"),1,0))</f>
        <v/>
      </c>
      <c r="S299" s="16">
        <f>IF($A299="","",$J299-$E299)</f>
        <v/>
      </c>
      <c r="T299" s="16">
        <f>IF($A299="","",$K299-$O299)</f>
        <v/>
      </c>
    </row>
    <row r="300">
      <c r="A300" s="16">
        <f>IF('ANAHTAR'!$B300="","",'ANAHTAR'!$B300)</f>
        <v/>
      </c>
      <c r="B300" s="16">
        <f>IF($A300="","",IFERROR(SUMIF(tblAnahtarA[Norm],$A300,tblVeriA[SatisFiyati]),0))</f>
        <v/>
      </c>
      <c r="C300" s="16">
        <f>IF($A300="","",IFERROR(SUMIF(tblAnahtarA[Norm],$A300,tblVeriA[Maliyet]),0))</f>
        <v/>
      </c>
      <c r="D300" s="16">
        <f>IF($A300="","",IFERROR(SUMIF(tblAnahtarB[NormB],$A300,tblVeriB[KomisyonOran]),0))</f>
        <v/>
      </c>
      <c r="E300" s="16">
        <f>IF($A300="","",ROUND($B300*$D300,2))</f>
        <v/>
      </c>
      <c r="F300" s="16">
        <f>IF($A300="","",IFERROR(SUMIF(tblAnahtarB[NormB],$A300,tblVeriB[Kargo]),0))</f>
        <v/>
      </c>
      <c r="G300" s="16">
        <f>IF($A300="","",IFERROR(SUMIF(tblAnahtarB[NormB],$A300,tblVeriB[IadeOran]),0))</f>
        <v/>
      </c>
      <c r="H300" s="16">
        <f>IF($A300="","",ROUND($B300*$G300,2))</f>
        <v/>
      </c>
      <c r="I300" s="16">
        <f>IF($A300="","",IFERROR(SUMIF(tblAnahtarB[NormB],$A300,tblVeriB[ReklamTutar]),0))</f>
        <v/>
      </c>
      <c r="J300" s="16">
        <f>IF($A300="","",ROUND($B300-$C300,2))</f>
        <v/>
      </c>
      <c r="K300" s="16">
        <f>IF($A300="","",ROUND($B300-$C300-$E300-$F300-$H300-$I300,2))</f>
        <v/>
      </c>
      <c r="L300" s="16">
        <f>IF(OR($A300="",$B300=0),0,$K300/$B300)</f>
        <v/>
      </c>
      <c r="M300" s="16">
        <f>IF($A300="","",IF((1-$D300-$G300)&lt;=0,0,ROUND(($C300+$F300+$I300)/(1-$D300-$G300),2)))</f>
        <v/>
      </c>
      <c r="N300" s="16">
        <f>IF($A300="","",IFERROR(SUMIF(tblAnahtarA[Norm],$A300,tblVeriA[HedefNet]),0))</f>
        <v/>
      </c>
      <c r="O300" s="16">
        <f>IF($A300="","",ROUND($K300-$N300,2))</f>
        <v/>
      </c>
      <c r="P300" s="16">
        <f>IF($A300="","",IF($L300&lt;egk_esikKatkiDusuk,"ZAM YAP",IF(AND($R300=1,$L300&lt;egk_esikKatkiHedef),"İNDİRİMİ KES","TUT")))</f>
        <v/>
      </c>
      <c r="Q300" s="16">
        <f>IF($A300="","",IFERROR(SUMIF(tblAnahtarB[NormB],$A300,tblVeriB[Roas]),0))</f>
        <v/>
      </c>
      <c r="R300" s="16">
        <f>IF($A300="","",IF(OR(IFERROR(INDEX(tblVeriA[YorumAB],MATCH($A300,tblAnahtarA[Norm],0)),"")="B",IFERROR(INDEX(tblVeriA[Durum],MATCH($A300,tblAnahtarA[Norm],0)),"")="Kampanya"),1,0))</f>
        <v/>
      </c>
      <c r="S300" s="16">
        <f>IF($A300="","",$J300-$E300)</f>
        <v/>
      </c>
      <c r="T300" s="16">
        <f>IF($A300="","",$K300-$O300)</f>
        <v/>
      </c>
    </row>
    <row r="301">
      <c r="A301" s="16">
        <f>IF('ANAHTAR'!$B301="","",'ANAHTAR'!$B301)</f>
        <v/>
      </c>
      <c r="B301" s="16">
        <f>IF($A301="","",IFERROR(SUMIF(tblAnahtarA[Norm],$A301,tblVeriA[SatisFiyati]),0))</f>
        <v/>
      </c>
      <c r="C301" s="16">
        <f>IF($A301="","",IFERROR(SUMIF(tblAnahtarA[Norm],$A301,tblVeriA[Maliyet]),0))</f>
        <v/>
      </c>
      <c r="D301" s="16">
        <f>IF($A301="","",IFERROR(SUMIF(tblAnahtarB[NormB],$A301,tblVeriB[KomisyonOran]),0))</f>
        <v/>
      </c>
      <c r="E301" s="16">
        <f>IF($A301="","",ROUND($B301*$D301,2))</f>
        <v/>
      </c>
      <c r="F301" s="16">
        <f>IF($A301="","",IFERROR(SUMIF(tblAnahtarB[NormB],$A301,tblVeriB[Kargo]),0))</f>
        <v/>
      </c>
      <c r="G301" s="16">
        <f>IF($A301="","",IFERROR(SUMIF(tblAnahtarB[NormB],$A301,tblVeriB[IadeOran]),0))</f>
        <v/>
      </c>
      <c r="H301" s="16">
        <f>IF($A301="","",ROUND($B301*$G301,2))</f>
        <v/>
      </c>
      <c r="I301" s="16">
        <f>IF($A301="","",IFERROR(SUMIF(tblAnahtarB[NormB],$A301,tblVeriB[ReklamTutar]),0))</f>
        <v/>
      </c>
      <c r="J301" s="16">
        <f>IF($A301="","",ROUND($B301-$C301,2))</f>
        <v/>
      </c>
      <c r="K301" s="16">
        <f>IF($A301="","",ROUND($B301-$C301-$E301-$F301-$H301-$I301,2))</f>
        <v/>
      </c>
      <c r="L301" s="16">
        <f>IF(OR($A301="",$B301=0),0,$K301/$B301)</f>
        <v/>
      </c>
      <c r="M301" s="16">
        <f>IF($A301="","",IF((1-$D301-$G301)&lt;=0,0,ROUND(($C301+$F301+$I301)/(1-$D301-$G301),2)))</f>
        <v/>
      </c>
      <c r="N301" s="16">
        <f>IF($A301="","",IFERROR(SUMIF(tblAnahtarA[Norm],$A301,tblVeriA[HedefNet]),0))</f>
        <v/>
      </c>
      <c r="O301" s="16">
        <f>IF($A301="","",ROUND($K301-$N301,2))</f>
        <v/>
      </c>
      <c r="P301" s="16">
        <f>IF($A301="","",IF($L301&lt;egk_esikKatkiDusuk,"ZAM YAP",IF(AND($R301=1,$L301&lt;egk_esikKatkiHedef),"İNDİRİMİ KES","TUT")))</f>
        <v/>
      </c>
      <c r="Q301" s="16">
        <f>IF($A301="","",IFERROR(SUMIF(tblAnahtarB[NormB],$A301,tblVeriB[Roas]),0))</f>
        <v/>
      </c>
      <c r="R301" s="16">
        <f>IF($A301="","",IF(OR(IFERROR(INDEX(tblVeriA[YorumAB],MATCH($A301,tblAnahtarA[Norm],0)),"")="B",IFERROR(INDEX(tblVeriA[Durum],MATCH($A301,tblAnahtarA[Norm],0)),"")="Kampanya"),1,0))</f>
        <v/>
      </c>
      <c r="S301" s="16">
        <f>IF($A301="","",$J301-$E301)</f>
        <v/>
      </c>
      <c r="T301" s="16">
        <f>IF($A301="","",$K301-$O301)</f>
        <v/>
      </c>
    </row>
    <row r="302">
      <c r="A302" s="16">
        <f>IF('ANAHTAR'!$B302="","",'ANAHTAR'!$B302)</f>
        <v/>
      </c>
      <c r="B302" s="16">
        <f>IF($A302="","",IFERROR(SUMIF(tblAnahtarA[Norm],$A302,tblVeriA[SatisFiyati]),0))</f>
        <v/>
      </c>
      <c r="C302" s="16">
        <f>IF($A302="","",IFERROR(SUMIF(tblAnahtarA[Norm],$A302,tblVeriA[Maliyet]),0))</f>
        <v/>
      </c>
      <c r="D302" s="16">
        <f>IF($A302="","",IFERROR(SUMIF(tblAnahtarB[NormB],$A302,tblVeriB[KomisyonOran]),0))</f>
        <v/>
      </c>
      <c r="E302" s="16">
        <f>IF($A302="","",ROUND($B302*$D302,2))</f>
        <v/>
      </c>
      <c r="F302" s="16">
        <f>IF($A302="","",IFERROR(SUMIF(tblAnahtarB[NormB],$A302,tblVeriB[Kargo]),0))</f>
        <v/>
      </c>
      <c r="G302" s="16">
        <f>IF($A302="","",IFERROR(SUMIF(tblAnahtarB[NormB],$A302,tblVeriB[IadeOran]),0))</f>
        <v/>
      </c>
      <c r="H302" s="16">
        <f>IF($A302="","",ROUND($B302*$G302,2))</f>
        <v/>
      </c>
      <c r="I302" s="16">
        <f>IF($A302="","",IFERROR(SUMIF(tblAnahtarB[NormB],$A302,tblVeriB[ReklamTutar]),0))</f>
        <v/>
      </c>
      <c r="J302" s="16">
        <f>IF($A302="","",ROUND($B302-$C302,2))</f>
        <v/>
      </c>
      <c r="K302" s="16">
        <f>IF($A302="","",ROUND($B302-$C302-$E302-$F302-$H302-$I302,2))</f>
        <v/>
      </c>
      <c r="L302" s="16">
        <f>IF(OR($A302="",$B302=0),0,$K302/$B302)</f>
        <v/>
      </c>
      <c r="M302" s="16">
        <f>IF($A302="","",IF((1-$D302-$G302)&lt;=0,0,ROUND(($C302+$F302+$I302)/(1-$D302-$G302),2)))</f>
        <v/>
      </c>
      <c r="N302" s="16">
        <f>IF($A302="","",IFERROR(SUMIF(tblAnahtarA[Norm],$A302,tblVeriA[HedefNet]),0))</f>
        <v/>
      </c>
      <c r="O302" s="16">
        <f>IF($A302="","",ROUND($K302-$N302,2))</f>
        <v/>
      </c>
      <c r="P302" s="16">
        <f>IF($A302="","",IF($L302&lt;egk_esikKatkiDusuk,"ZAM YAP",IF(AND($R302=1,$L302&lt;egk_esikKatkiHedef),"İNDİRİMİ KES","TUT")))</f>
        <v/>
      </c>
      <c r="Q302" s="16">
        <f>IF($A302="","",IFERROR(SUMIF(tblAnahtarB[NormB],$A302,tblVeriB[Roas]),0))</f>
        <v/>
      </c>
      <c r="R302" s="16">
        <f>IF($A302="","",IF(OR(IFERROR(INDEX(tblVeriA[YorumAB],MATCH($A302,tblAnahtarA[Norm],0)),"")="B",IFERROR(INDEX(tblVeriA[Durum],MATCH($A302,tblAnahtarA[Norm],0)),"")="Kampanya"),1,0))</f>
        <v/>
      </c>
      <c r="S302" s="16">
        <f>IF($A302="","",$J302-$E302)</f>
        <v/>
      </c>
      <c r="T302" s="16">
        <f>IF($A302="","",$K302-$O302)</f>
        <v/>
      </c>
    </row>
    <row r="303">
      <c r="A303" s="16">
        <f>IF('ANAHTAR'!$B303="","",'ANAHTAR'!$B303)</f>
        <v/>
      </c>
      <c r="B303" s="16">
        <f>IF($A303="","",IFERROR(SUMIF(tblAnahtarA[Norm],$A303,tblVeriA[SatisFiyati]),0))</f>
        <v/>
      </c>
      <c r="C303" s="16">
        <f>IF($A303="","",IFERROR(SUMIF(tblAnahtarA[Norm],$A303,tblVeriA[Maliyet]),0))</f>
        <v/>
      </c>
      <c r="D303" s="16">
        <f>IF($A303="","",IFERROR(SUMIF(tblAnahtarB[NormB],$A303,tblVeriB[KomisyonOran]),0))</f>
        <v/>
      </c>
      <c r="E303" s="16">
        <f>IF($A303="","",ROUND($B303*$D303,2))</f>
        <v/>
      </c>
      <c r="F303" s="16">
        <f>IF($A303="","",IFERROR(SUMIF(tblAnahtarB[NormB],$A303,tblVeriB[Kargo]),0))</f>
        <v/>
      </c>
      <c r="G303" s="16">
        <f>IF($A303="","",IFERROR(SUMIF(tblAnahtarB[NormB],$A303,tblVeriB[IadeOran]),0))</f>
        <v/>
      </c>
      <c r="H303" s="16">
        <f>IF($A303="","",ROUND($B303*$G303,2))</f>
        <v/>
      </c>
      <c r="I303" s="16">
        <f>IF($A303="","",IFERROR(SUMIF(tblAnahtarB[NormB],$A303,tblVeriB[ReklamTutar]),0))</f>
        <v/>
      </c>
      <c r="J303" s="16">
        <f>IF($A303="","",ROUND($B303-$C303,2))</f>
        <v/>
      </c>
      <c r="K303" s="16">
        <f>IF($A303="","",ROUND($B303-$C303-$E303-$F303-$H303-$I303,2))</f>
        <v/>
      </c>
      <c r="L303" s="16">
        <f>IF(OR($A303="",$B303=0),0,$K303/$B303)</f>
        <v/>
      </c>
      <c r="M303" s="16">
        <f>IF($A303="","",IF((1-$D303-$G303)&lt;=0,0,ROUND(($C303+$F303+$I303)/(1-$D303-$G303),2)))</f>
        <v/>
      </c>
      <c r="N303" s="16">
        <f>IF($A303="","",IFERROR(SUMIF(tblAnahtarA[Norm],$A303,tblVeriA[HedefNet]),0))</f>
        <v/>
      </c>
      <c r="O303" s="16">
        <f>IF($A303="","",ROUND($K303-$N303,2))</f>
        <v/>
      </c>
      <c r="P303" s="16">
        <f>IF($A303="","",IF($L303&lt;egk_esikKatkiDusuk,"ZAM YAP",IF(AND($R303=1,$L303&lt;egk_esikKatkiHedef),"İNDİRİMİ KES","TUT")))</f>
        <v/>
      </c>
      <c r="Q303" s="16">
        <f>IF($A303="","",IFERROR(SUMIF(tblAnahtarB[NormB],$A303,tblVeriB[Roas]),0))</f>
        <v/>
      </c>
      <c r="R303" s="16">
        <f>IF($A303="","",IF(OR(IFERROR(INDEX(tblVeriA[YorumAB],MATCH($A303,tblAnahtarA[Norm],0)),"")="B",IFERROR(INDEX(tblVeriA[Durum],MATCH($A303,tblAnahtarA[Norm],0)),"")="Kampanya"),1,0))</f>
        <v/>
      </c>
      <c r="S303" s="16">
        <f>IF($A303="","",$J303-$E303)</f>
        <v/>
      </c>
      <c r="T303" s="16">
        <f>IF($A303="","",$K303-$O303)</f>
        <v/>
      </c>
    </row>
    <row r="304">
      <c r="A304" s="16">
        <f>IF('ANAHTAR'!$B304="","",'ANAHTAR'!$B304)</f>
        <v/>
      </c>
      <c r="B304" s="16">
        <f>IF($A304="","",IFERROR(SUMIF(tblAnahtarA[Norm],$A304,tblVeriA[SatisFiyati]),0))</f>
        <v/>
      </c>
      <c r="C304" s="16">
        <f>IF($A304="","",IFERROR(SUMIF(tblAnahtarA[Norm],$A304,tblVeriA[Maliyet]),0))</f>
        <v/>
      </c>
      <c r="D304" s="16">
        <f>IF($A304="","",IFERROR(SUMIF(tblAnahtarB[NormB],$A304,tblVeriB[KomisyonOran]),0))</f>
        <v/>
      </c>
      <c r="E304" s="16">
        <f>IF($A304="","",ROUND($B304*$D304,2))</f>
        <v/>
      </c>
      <c r="F304" s="16">
        <f>IF($A304="","",IFERROR(SUMIF(tblAnahtarB[NormB],$A304,tblVeriB[Kargo]),0))</f>
        <v/>
      </c>
      <c r="G304" s="16">
        <f>IF($A304="","",IFERROR(SUMIF(tblAnahtarB[NormB],$A304,tblVeriB[IadeOran]),0))</f>
        <v/>
      </c>
      <c r="H304" s="16">
        <f>IF($A304="","",ROUND($B304*$G304,2))</f>
        <v/>
      </c>
      <c r="I304" s="16">
        <f>IF($A304="","",IFERROR(SUMIF(tblAnahtarB[NormB],$A304,tblVeriB[ReklamTutar]),0))</f>
        <v/>
      </c>
      <c r="J304" s="16">
        <f>IF($A304="","",ROUND($B304-$C304,2))</f>
        <v/>
      </c>
      <c r="K304" s="16">
        <f>IF($A304="","",ROUND($B304-$C304-$E304-$F304-$H304-$I304,2))</f>
        <v/>
      </c>
      <c r="L304" s="16">
        <f>IF(OR($A304="",$B304=0),0,$K304/$B304)</f>
        <v/>
      </c>
      <c r="M304" s="16">
        <f>IF($A304="","",IF((1-$D304-$G304)&lt;=0,0,ROUND(($C304+$F304+$I304)/(1-$D304-$G304),2)))</f>
        <v/>
      </c>
      <c r="N304" s="16">
        <f>IF($A304="","",IFERROR(SUMIF(tblAnahtarA[Norm],$A304,tblVeriA[HedefNet]),0))</f>
        <v/>
      </c>
      <c r="O304" s="16">
        <f>IF($A304="","",ROUND($K304-$N304,2))</f>
        <v/>
      </c>
      <c r="P304" s="16">
        <f>IF($A304="","",IF($L304&lt;egk_esikKatkiDusuk,"ZAM YAP",IF(AND($R304=1,$L304&lt;egk_esikKatkiHedef),"İNDİRİMİ KES","TUT")))</f>
        <v/>
      </c>
      <c r="Q304" s="16">
        <f>IF($A304="","",IFERROR(SUMIF(tblAnahtarB[NormB],$A304,tblVeriB[Roas]),0))</f>
        <v/>
      </c>
      <c r="R304" s="16">
        <f>IF($A304="","",IF(OR(IFERROR(INDEX(tblVeriA[YorumAB],MATCH($A304,tblAnahtarA[Norm],0)),"")="B",IFERROR(INDEX(tblVeriA[Durum],MATCH($A304,tblAnahtarA[Norm],0)),"")="Kampanya"),1,0))</f>
        <v/>
      </c>
      <c r="S304" s="16">
        <f>IF($A304="","",$J304-$E304)</f>
        <v/>
      </c>
      <c r="T304" s="16">
        <f>IF($A304="","",$K304-$O304)</f>
        <v/>
      </c>
    </row>
    <row r="305">
      <c r="A305" s="16">
        <f>IF('ANAHTAR'!$B305="","",'ANAHTAR'!$B305)</f>
        <v/>
      </c>
      <c r="B305" s="16">
        <f>IF($A305="","",IFERROR(SUMIF(tblAnahtarA[Norm],$A305,tblVeriA[SatisFiyati]),0))</f>
        <v/>
      </c>
      <c r="C305" s="16">
        <f>IF($A305="","",IFERROR(SUMIF(tblAnahtarA[Norm],$A305,tblVeriA[Maliyet]),0))</f>
        <v/>
      </c>
      <c r="D305" s="16">
        <f>IF($A305="","",IFERROR(SUMIF(tblAnahtarB[NormB],$A305,tblVeriB[KomisyonOran]),0))</f>
        <v/>
      </c>
      <c r="E305" s="16">
        <f>IF($A305="","",ROUND($B305*$D305,2))</f>
        <v/>
      </c>
      <c r="F305" s="16">
        <f>IF($A305="","",IFERROR(SUMIF(tblAnahtarB[NormB],$A305,tblVeriB[Kargo]),0))</f>
        <v/>
      </c>
      <c r="G305" s="16">
        <f>IF($A305="","",IFERROR(SUMIF(tblAnahtarB[NormB],$A305,tblVeriB[IadeOran]),0))</f>
        <v/>
      </c>
      <c r="H305" s="16">
        <f>IF($A305="","",ROUND($B305*$G305,2))</f>
        <v/>
      </c>
      <c r="I305" s="16">
        <f>IF($A305="","",IFERROR(SUMIF(tblAnahtarB[NormB],$A305,tblVeriB[ReklamTutar]),0))</f>
        <v/>
      </c>
      <c r="J305" s="16">
        <f>IF($A305="","",ROUND($B305-$C305,2))</f>
        <v/>
      </c>
      <c r="K305" s="16">
        <f>IF($A305="","",ROUND($B305-$C305-$E305-$F305-$H305-$I305,2))</f>
        <v/>
      </c>
      <c r="L305" s="16">
        <f>IF(OR($A305="",$B305=0),0,$K305/$B305)</f>
        <v/>
      </c>
      <c r="M305" s="16">
        <f>IF($A305="","",IF((1-$D305-$G305)&lt;=0,0,ROUND(($C305+$F305+$I305)/(1-$D305-$G305),2)))</f>
        <v/>
      </c>
      <c r="N305" s="16">
        <f>IF($A305="","",IFERROR(SUMIF(tblAnahtarA[Norm],$A305,tblVeriA[HedefNet]),0))</f>
        <v/>
      </c>
      <c r="O305" s="16">
        <f>IF($A305="","",ROUND($K305-$N305,2))</f>
        <v/>
      </c>
      <c r="P305" s="16">
        <f>IF($A305="","",IF($L305&lt;egk_esikKatkiDusuk,"ZAM YAP",IF(AND($R305=1,$L305&lt;egk_esikKatkiHedef),"İNDİRİMİ KES","TUT")))</f>
        <v/>
      </c>
      <c r="Q305" s="16">
        <f>IF($A305="","",IFERROR(SUMIF(tblAnahtarB[NormB],$A305,tblVeriB[Roas]),0))</f>
        <v/>
      </c>
      <c r="R305" s="16">
        <f>IF($A305="","",IF(OR(IFERROR(INDEX(tblVeriA[YorumAB],MATCH($A305,tblAnahtarA[Norm],0)),"")="B",IFERROR(INDEX(tblVeriA[Durum],MATCH($A305,tblAnahtarA[Norm],0)),"")="Kampanya"),1,0))</f>
        <v/>
      </c>
      <c r="S305" s="16">
        <f>IF($A305="","",$J305-$E305)</f>
        <v/>
      </c>
      <c r="T305" s="16">
        <f>IF($A305="","",$K305-$O305)</f>
        <v/>
      </c>
    </row>
    <row r="306">
      <c r="A306" s="16">
        <f>IF('ANAHTAR'!$B306="","",'ANAHTAR'!$B306)</f>
        <v/>
      </c>
      <c r="B306" s="16">
        <f>IF($A306="","",IFERROR(SUMIF(tblAnahtarA[Norm],$A306,tblVeriA[SatisFiyati]),0))</f>
        <v/>
      </c>
      <c r="C306" s="16">
        <f>IF($A306="","",IFERROR(SUMIF(tblAnahtarA[Norm],$A306,tblVeriA[Maliyet]),0))</f>
        <v/>
      </c>
      <c r="D306" s="16">
        <f>IF($A306="","",IFERROR(SUMIF(tblAnahtarB[NormB],$A306,tblVeriB[KomisyonOran]),0))</f>
        <v/>
      </c>
      <c r="E306" s="16">
        <f>IF($A306="","",ROUND($B306*$D306,2))</f>
        <v/>
      </c>
      <c r="F306" s="16">
        <f>IF($A306="","",IFERROR(SUMIF(tblAnahtarB[NormB],$A306,tblVeriB[Kargo]),0))</f>
        <v/>
      </c>
      <c r="G306" s="16">
        <f>IF($A306="","",IFERROR(SUMIF(tblAnahtarB[NormB],$A306,tblVeriB[IadeOran]),0))</f>
        <v/>
      </c>
      <c r="H306" s="16">
        <f>IF($A306="","",ROUND($B306*$G306,2))</f>
        <v/>
      </c>
      <c r="I306" s="16">
        <f>IF($A306="","",IFERROR(SUMIF(tblAnahtarB[NormB],$A306,tblVeriB[ReklamTutar]),0))</f>
        <v/>
      </c>
      <c r="J306" s="16">
        <f>IF($A306="","",ROUND($B306-$C306,2))</f>
        <v/>
      </c>
      <c r="K306" s="16">
        <f>IF($A306="","",ROUND($B306-$C306-$E306-$F306-$H306-$I306,2))</f>
        <v/>
      </c>
      <c r="L306" s="16">
        <f>IF(OR($A306="",$B306=0),0,$K306/$B306)</f>
        <v/>
      </c>
      <c r="M306" s="16">
        <f>IF($A306="","",IF((1-$D306-$G306)&lt;=0,0,ROUND(($C306+$F306+$I306)/(1-$D306-$G306),2)))</f>
        <v/>
      </c>
      <c r="N306" s="16">
        <f>IF($A306="","",IFERROR(SUMIF(tblAnahtarA[Norm],$A306,tblVeriA[HedefNet]),0))</f>
        <v/>
      </c>
      <c r="O306" s="16">
        <f>IF($A306="","",ROUND($K306-$N306,2))</f>
        <v/>
      </c>
      <c r="P306" s="16">
        <f>IF($A306="","",IF($L306&lt;egk_esikKatkiDusuk,"ZAM YAP",IF(AND($R306=1,$L306&lt;egk_esikKatkiHedef),"İNDİRİMİ KES","TUT")))</f>
        <v/>
      </c>
      <c r="Q306" s="16">
        <f>IF($A306="","",IFERROR(SUMIF(tblAnahtarB[NormB],$A306,tblVeriB[Roas]),0))</f>
        <v/>
      </c>
      <c r="R306" s="16">
        <f>IF($A306="","",IF(OR(IFERROR(INDEX(tblVeriA[YorumAB],MATCH($A306,tblAnahtarA[Norm],0)),"")="B",IFERROR(INDEX(tblVeriA[Durum],MATCH($A306,tblAnahtarA[Norm],0)),"")="Kampanya"),1,0))</f>
        <v/>
      </c>
      <c r="S306" s="16">
        <f>IF($A306="","",$J306-$E306)</f>
        <v/>
      </c>
      <c r="T306" s="16">
        <f>IF($A306="","",$K306-$O306)</f>
        <v/>
      </c>
    </row>
    <row r="307">
      <c r="A307" s="16">
        <f>IF('ANAHTAR'!$B307="","",'ANAHTAR'!$B307)</f>
        <v/>
      </c>
      <c r="B307" s="16">
        <f>IF($A307="","",IFERROR(SUMIF(tblAnahtarA[Norm],$A307,tblVeriA[SatisFiyati]),0))</f>
        <v/>
      </c>
      <c r="C307" s="16">
        <f>IF($A307="","",IFERROR(SUMIF(tblAnahtarA[Norm],$A307,tblVeriA[Maliyet]),0))</f>
        <v/>
      </c>
      <c r="D307" s="16">
        <f>IF($A307="","",IFERROR(SUMIF(tblAnahtarB[NormB],$A307,tblVeriB[KomisyonOran]),0))</f>
        <v/>
      </c>
      <c r="E307" s="16">
        <f>IF($A307="","",ROUND($B307*$D307,2))</f>
        <v/>
      </c>
      <c r="F307" s="16">
        <f>IF($A307="","",IFERROR(SUMIF(tblAnahtarB[NormB],$A307,tblVeriB[Kargo]),0))</f>
        <v/>
      </c>
      <c r="G307" s="16">
        <f>IF($A307="","",IFERROR(SUMIF(tblAnahtarB[NormB],$A307,tblVeriB[IadeOran]),0))</f>
        <v/>
      </c>
      <c r="H307" s="16">
        <f>IF($A307="","",ROUND($B307*$G307,2))</f>
        <v/>
      </c>
      <c r="I307" s="16">
        <f>IF($A307="","",IFERROR(SUMIF(tblAnahtarB[NormB],$A307,tblVeriB[ReklamTutar]),0))</f>
        <v/>
      </c>
      <c r="J307" s="16">
        <f>IF($A307="","",ROUND($B307-$C307,2))</f>
        <v/>
      </c>
      <c r="K307" s="16">
        <f>IF($A307="","",ROUND($B307-$C307-$E307-$F307-$H307-$I307,2))</f>
        <v/>
      </c>
      <c r="L307" s="16">
        <f>IF(OR($A307="",$B307=0),0,$K307/$B307)</f>
        <v/>
      </c>
      <c r="M307" s="16">
        <f>IF($A307="","",IF((1-$D307-$G307)&lt;=0,0,ROUND(($C307+$F307+$I307)/(1-$D307-$G307),2)))</f>
        <v/>
      </c>
      <c r="N307" s="16">
        <f>IF($A307="","",IFERROR(SUMIF(tblAnahtarA[Norm],$A307,tblVeriA[HedefNet]),0))</f>
        <v/>
      </c>
      <c r="O307" s="16">
        <f>IF($A307="","",ROUND($K307-$N307,2))</f>
        <v/>
      </c>
      <c r="P307" s="16">
        <f>IF($A307="","",IF($L307&lt;egk_esikKatkiDusuk,"ZAM YAP",IF(AND($R307=1,$L307&lt;egk_esikKatkiHedef),"İNDİRİMİ KES","TUT")))</f>
        <v/>
      </c>
      <c r="Q307" s="16">
        <f>IF($A307="","",IFERROR(SUMIF(tblAnahtarB[NormB],$A307,tblVeriB[Roas]),0))</f>
        <v/>
      </c>
      <c r="R307" s="16">
        <f>IF($A307="","",IF(OR(IFERROR(INDEX(tblVeriA[YorumAB],MATCH($A307,tblAnahtarA[Norm],0)),"")="B",IFERROR(INDEX(tblVeriA[Durum],MATCH($A307,tblAnahtarA[Norm],0)),"")="Kampanya"),1,0))</f>
        <v/>
      </c>
      <c r="S307" s="16">
        <f>IF($A307="","",$J307-$E307)</f>
        <v/>
      </c>
      <c r="T307" s="16">
        <f>IF($A307="","",$K307-$O307)</f>
        <v/>
      </c>
    </row>
    <row r="308">
      <c r="A308" s="16">
        <f>IF('ANAHTAR'!$B308="","",'ANAHTAR'!$B308)</f>
        <v/>
      </c>
      <c r="B308" s="16">
        <f>IF($A308="","",IFERROR(SUMIF(tblAnahtarA[Norm],$A308,tblVeriA[SatisFiyati]),0))</f>
        <v/>
      </c>
      <c r="C308" s="16">
        <f>IF($A308="","",IFERROR(SUMIF(tblAnahtarA[Norm],$A308,tblVeriA[Maliyet]),0))</f>
        <v/>
      </c>
      <c r="D308" s="16">
        <f>IF($A308="","",IFERROR(SUMIF(tblAnahtarB[NormB],$A308,tblVeriB[KomisyonOran]),0))</f>
        <v/>
      </c>
      <c r="E308" s="16">
        <f>IF($A308="","",ROUND($B308*$D308,2))</f>
        <v/>
      </c>
      <c r="F308" s="16">
        <f>IF($A308="","",IFERROR(SUMIF(tblAnahtarB[NormB],$A308,tblVeriB[Kargo]),0))</f>
        <v/>
      </c>
      <c r="G308" s="16">
        <f>IF($A308="","",IFERROR(SUMIF(tblAnahtarB[NormB],$A308,tblVeriB[IadeOran]),0))</f>
        <v/>
      </c>
      <c r="H308" s="16">
        <f>IF($A308="","",ROUND($B308*$G308,2))</f>
        <v/>
      </c>
      <c r="I308" s="16">
        <f>IF($A308="","",IFERROR(SUMIF(tblAnahtarB[NormB],$A308,tblVeriB[ReklamTutar]),0))</f>
        <v/>
      </c>
      <c r="J308" s="16">
        <f>IF($A308="","",ROUND($B308-$C308,2))</f>
        <v/>
      </c>
      <c r="K308" s="16">
        <f>IF($A308="","",ROUND($B308-$C308-$E308-$F308-$H308-$I308,2))</f>
        <v/>
      </c>
      <c r="L308" s="16">
        <f>IF(OR($A308="",$B308=0),0,$K308/$B308)</f>
        <v/>
      </c>
      <c r="M308" s="16">
        <f>IF($A308="","",IF((1-$D308-$G308)&lt;=0,0,ROUND(($C308+$F308+$I308)/(1-$D308-$G308),2)))</f>
        <v/>
      </c>
      <c r="N308" s="16">
        <f>IF($A308="","",IFERROR(SUMIF(tblAnahtarA[Norm],$A308,tblVeriA[HedefNet]),0))</f>
        <v/>
      </c>
      <c r="O308" s="16">
        <f>IF($A308="","",ROUND($K308-$N308,2))</f>
        <v/>
      </c>
      <c r="P308" s="16">
        <f>IF($A308="","",IF($L308&lt;egk_esikKatkiDusuk,"ZAM YAP",IF(AND($R308=1,$L308&lt;egk_esikKatkiHedef),"İNDİRİMİ KES","TUT")))</f>
        <v/>
      </c>
      <c r="Q308" s="16">
        <f>IF($A308="","",IFERROR(SUMIF(tblAnahtarB[NormB],$A308,tblVeriB[Roas]),0))</f>
        <v/>
      </c>
      <c r="R308" s="16">
        <f>IF($A308="","",IF(OR(IFERROR(INDEX(tblVeriA[YorumAB],MATCH($A308,tblAnahtarA[Norm],0)),"")="B",IFERROR(INDEX(tblVeriA[Durum],MATCH($A308,tblAnahtarA[Norm],0)),"")="Kampanya"),1,0))</f>
        <v/>
      </c>
      <c r="S308" s="16">
        <f>IF($A308="","",$J308-$E308)</f>
        <v/>
      </c>
      <c r="T308" s="16">
        <f>IF($A308="","",$K308-$O308)</f>
        <v/>
      </c>
    </row>
    <row r="309">
      <c r="A309" s="16">
        <f>IF('ANAHTAR'!$B309="","",'ANAHTAR'!$B309)</f>
        <v/>
      </c>
      <c r="B309" s="16">
        <f>IF($A309="","",IFERROR(SUMIF(tblAnahtarA[Norm],$A309,tblVeriA[SatisFiyati]),0))</f>
        <v/>
      </c>
      <c r="C309" s="16">
        <f>IF($A309="","",IFERROR(SUMIF(tblAnahtarA[Norm],$A309,tblVeriA[Maliyet]),0))</f>
        <v/>
      </c>
      <c r="D309" s="16">
        <f>IF($A309="","",IFERROR(SUMIF(tblAnahtarB[NormB],$A309,tblVeriB[KomisyonOran]),0))</f>
        <v/>
      </c>
      <c r="E309" s="16">
        <f>IF($A309="","",ROUND($B309*$D309,2))</f>
        <v/>
      </c>
      <c r="F309" s="16">
        <f>IF($A309="","",IFERROR(SUMIF(tblAnahtarB[NormB],$A309,tblVeriB[Kargo]),0))</f>
        <v/>
      </c>
      <c r="G309" s="16">
        <f>IF($A309="","",IFERROR(SUMIF(tblAnahtarB[NormB],$A309,tblVeriB[IadeOran]),0))</f>
        <v/>
      </c>
      <c r="H309" s="16">
        <f>IF($A309="","",ROUND($B309*$G309,2))</f>
        <v/>
      </c>
      <c r="I309" s="16">
        <f>IF($A309="","",IFERROR(SUMIF(tblAnahtarB[NormB],$A309,tblVeriB[ReklamTutar]),0))</f>
        <v/>
      </c>
      <c r="J309" s="16">
        <f>IF($A309="","",ROUND($B309-$C309,2))</f>
        <v/>
      </c>
      <c r="K309" s="16">
        <f>IF($A309="","",ROUND($B309-$C309-$E309-$F309-$H309-$I309,2))</f>
        <v/>
      </c>
      <c r="L309" s="16">
        <f>IF(OR($A309="",$B309=0),0,$K309/$B309)</f>
        <v/>
      </c>
      <c r="M309" s="16">
        <f>IF($A309="","",IF((1-$D309-$G309)&lt;=0,0,ROUND(($C309+$F309+$I309)/(1-$D309-$G309),2)))</f>
        <v/>
      </c>
      <c r="N309" s="16">
        <f>IF($A309="","",IFERROR(SUMIF(tblAnahtarA[Norm],$A309,tblVeriA[HedefNet]),0))</f>
        <v/>
      </c>
      <c r="O309" s="16">
        <f>IF($A309="","",ROUND($K309-$N309,2))</f>
        <v/>
      </c>
      <c r="P309" s="16">
        <f>IF($A309="","",IF($L309&lt;egk_esikKatkiDusuk,"ZAM YAP",IF(AND($R309=1,$L309&lt;egk_esikKatkiHedef),"İNDİRİMİ KES","TUT")))</f>
        <v/>
      </c>
      <c r="Q309" s="16">
        <f>IF($A309="","",IFERROR(SUMIF(tblAnahtarB[NormB],$A309,tblVeriB[Roas]),0))</f>
        <v/>
      </c>
      <c r="R309" s="16">
        <f>IF($A309="","",IF(OR(IFERROR(INDEX(tblVeriA[YorumAB],MATCH($A309,tblAnahtarA[Norm],0)),"")="B",IFERROR(INDEX(tblVeriA[Durum],MATCH($A309,tblAnahtarA[Norm],0)),"")="Kampanya"),1,0))</f>
        <v/>
      </c>
      <c r="S309" s="16">
        <f>IF($A309="","",$J309-$E309)</f>
        <v/>
      </c>
      <c r="T309" s="16">
        <f>IF($A309="","",$K309-$O309)</f>
        <v/>
      </c>
    </row>
    <row r="310">
      <c r="A310" s="16">
        <f>IF('ANAHTAR'!$B310="","",'ANAHTAR'!$B310)</f>
        <v/>
      </c>
      <c r="B310" s="16">
        <f>IF($A310="","",IFERROR(SUMIF(tblAnahtarA[Norm],$A310,tblVeriA[SatisFiyati]),0))</f>
        <v/>
      </c>
      <c r="C310" s="16">
        <f>IF($A310="","",IFERROR(SUMIF(tblAnahtarA[Norm],$A310,tblVeriA[Maliyet]),0))</f>
        <v/>
      </c>
      <c r="D310" s="16">
        <f>IF($A310="","",IFERROR(SUMIF(tblAnahtarB[NormB],$A310,tblVeriB[KomisyonOran]),0))</f>
        <v/>
      </c>
      <c r="E310" s="16">
        <f>IF($A310="","",ROUND($B310*$D310,2))</f>
        <v/>
      </c>
      <c r="F310" s="16">
        <f>IF($A310="","",IFERROR(SUMIF(tblAnahtarB[NormB],$A310,tblVeriB[Kargo]),0))</f>
        <v/>
      </c>
      <c r="G310" s="16">
        <f>IF($A310="","",IFERROR(SUMIF(tblAnahtarB[NormB],$A310,tblVeriB[IadeOran]),0))</f>
        <v/>
      </c>
      <c r="H310" s="16">
        <f>IF($A310="","",ROUND($B310*$G310,2))</f>
        <v/>
      </c>
      <c r="I310" s="16">
        <f>IF($A310="","",IFERROR(SUMIF(tblAnahtarB[NormB],$A310,tblVeriB[ReklamTutar]),0))</f>
        <v/>
      </c>
      <c r="J310" s="16">
        <f>IF($A310="","",ROUND($B310-$C310,2))</f>
        <v/>
      </c>
      <c r="K310" s="16">
        <f>IF($A310="","",ROUND($B310-$C310-$E310-$F310-$H310-$I310,2))</f>
        <v/>
      </c>
      <c r="L310" s="16">
        <f>IF(OR($A310="",$B310=0),0,$K310/$B310)</f>
        <v/>
      </c>
      <c r="M310" s="16">
        <f>IF($A310="","",IF((1-$D310-$G310)&lt;=0,0,ROUND(($C310+$F310+$I310)/(1-$D310-$G310),2)))</f>
        <v/>
      </c>
      <c r="N310" s="16">
        <f>IF($A310="","",IFERROR(SUMIF(tblAnahtarA[Norm],$A310,tblVeriA[HedefNet]),0))</f>
        <v/>
      </c>
      <c r="O310" s="16">
        <f>IF($A310="","",ROUND($K310-$N310,2))</f>
        <v/>
      </c>
      <c r="P310" s="16">
        <f>IF($A310="","",IF($L310&lt;egk_esikKatkiDusuk,"ZAM YAP",IF(AND($R310=1,$L310&lt;egk_esikKatkiHedef),"İNDİRİMİ KES","TUT")))</f>
        <v/>
      </c>
      <c r="Q310" s="16">
        <f>IF($A310="","",IFERROR(SUMIF(tblAnahtarB[NormB],$A310,tblVeriB[Roas]),0))</f>
        <v/>
      </c>
      <c r="R310" s="16">
        <f>IF($A310="","",IF(OR(IFERROR(INDEX(tblVeriA[YorumAB],MATCH($A310,tblAnahtarA[Norm],0)),"")="B",IFERROR(INDEX(tblVeriA[Durum],MATCH($A310,tblAnahtarA[Norm],0)),"")="Kampanya"),1,0))</f>
        <v/>
      </c>
      <c r="S310" s="16">
        <f>IF($A310="","",$J310-$E310)</f>
        <v/>
      </c>
      <c r="T310" s="16">
        <f>IF($A310="","",$K310-$O310)</f>
        <v/>
      </c>
    </row>
    <row r="311">
      <c r="A311" s="16">
        <f>IF('ANAHTAR'!$B311="","",'ANAHTAR'!$B311)</f>
        <v/>
      </c>
      <c r="B311" s="16">
        <f>IF($A311="","",IFERROR(SUMIF(tblAnahtarA[Norm],$A311,tblVeriA[SatisFiyati]),0))</f>
        <v/>
      </c>
      <c r="C311" s="16">
        <f>IF($A311="","",IFERROR(SUMIF(tblAnahtarA[Norm],$A311,tblVeriA[Maliyet]),0))</f>
        <v/>
      </c>
      <c r="D311" s="16">
        <f>IF($A311="","",IFERROR(SUMIF(tblAnahtarB[NormB],$A311,tblVeriB[KomisyonOran]),0))</f>
        <v/>
      </c>
      <c r="E311" s="16">
        <f>IF($A311="","",ROUND($B311*$D311,2))</f>
        <v/>
      </c>
      <c r="F311" s="16">
        <f>IF($A311="","",IFERROR(SUMIF(tblAnahtarB[NormB],$A311,tblVeriB[Kargo]),0))</f>
        <v/>
      </c>
      <c r="G311" s="16">
        <f>IF($A311="","",IFERROR(SUMIF(tblAnahtarB[NormB],$A311,tblVeriB[IadeOran]),0))</f>
        <v/>
      </c>
      <c r="H311" s="16">
        <f>IF($A311="","",ROUND($B311*$G311,2))</f>
        <v/>
      </c>
      <c r="I311" s="16">
        <f>IF($A311="","",IFERROR(SUMIF(tblAnahtarB[NormB],$A311,tblVeriB[ReklamTutar]),0))</f>
        <v/>
      </c>
      <c r="J311" s="16">
        <f>IF($A311="","",ROUND($B311-$C311,2))</f>
        <v/>
      </c>
      <c r="K311" s="16">
        <f>IF($A311="","",ROUND($B311-$C311-$E311-$F311-$H311-$I311,2))</f>
        <v/>
      </c>
      <c r="L311" s="16">
        <f>IF(OR($A311="",$B311=0),0,$K311/$B311)</f>
        <v/>
      </c>
      <c r="M311" s="16">
        <f>IF($A311="","",IF((1-$D311-$G311)&lt;=0,0,ROUND(($C311+$F311+$I311)/(1-$D311-$G311),2)))</f>
        <v/>
      </c>
      <c r="N311" s="16">
        <f>IF($A311="","",IFERROR(SUMIF(tblAnahtarA[Norm],$A311,tblVeriA[HedefNet]),0))</f>
        <v/>
      </c>
      <c r="O311" s="16">
        <f>IF($A311="","",ROUND($K311-$N311,2))</f>
        <v/>
      </c>
      <c r="P311" s="16">
        <f>IF($A311="","",IF($L311&lt;egk_esikKatkiDusuk,"ZAM YAP",IF(AND($R311=1,$L311&lt;egk_esikKatkiHedef),"İNDİRİMİ KES","TUT")))</f>
        <v/>
      </c>
      <c r="Q311" s="16">
        <f>IF($A311="","",IFERROR(SUMIF(tblAnahtarB[NormB],$A311,tblVeriB[Roas]),0))</f>
        <v/>
      </c>
      <c r="R311" s="16">
        <f>IF($A311="","",IF(OR(IFERROR(INDEX(tblVeriA[YorumAB],MATCH($A311,tblAnahtarA[Norm],0)),"")="B",IFERROR(INDEX(tblVeriA[Durum],MATCH($A311,tblAnahtarA[Norm],0)),"")="Kampanya"),1,0))</f>
        <v/>
      </c>
      <c r="S311" s="16">
        <f>IF($A311="","",$J311-$E311)</f>
        <v/>
      </c>
      <c r="T311" s="16">
        <f>IF($A311="","",$K311-$O311)</f>
        <v/>
      </c>
    </row>
    <row r="312">
      <c r="A312" s="16">
        <f>IF('ANAHTAR'!$B312="","",'ANAHTAR'!$B312)</f>
        <v/>
      </c>
      <c r="B312" s="16">
        <f>IF($A312="","",IFERROR(SUMIF(tblAnahtarA[Norm],$A312,tblVeriA[SatisFiyati]),0))</f>
        <v/>
      </c>
      <c r="C312" s="16">
        <f>IF($A312="","",IFERROR(SUMIF(tblAnahtarA[Norm],$A312,tblVeriA[Maliyet]),0))</f>
        <v/>
      </c>
      <c r="D312" s="16">
        <f>IF($A312="","",IFERROR(SUMIF(tblAnahtarB[NormB],$A312,tblVeriB[KomisyonOran]),0))</f>
        <v/>
      </c>
      <c r="E312" s="16">
        <f>IF($A312="","",ROUND($B312*$D312,2))</f>
        <v/>
      </c>
      <c r="F312" s="16">
        <f>IF($A312="","",IFERROR(SUMIF(tblAnahtarB[NormB],$A312,tblVeriB[Kargo]),0))</f>
        <v/>
      </c>
      <c r="G312" s="16">
        <f>IF($A312="","",IFERROR(SUMIF(tblAnahtarB[NormB],$A312,tblVeriB[IadeOran]),0))</f>
        <v/>
      </c>
      <c r="H312" s="16">
        <f>IF($A312="","",ROUND($B312*$G312,2))</f>
        <v/>
      </c>
      <c r="I312" s="16">
        <f>IF($A312="","",IFERROR(SUMIF(tblAnahtarB[NormB],$A312,tblVeriB[ReklamTutar]),0))</f>
        <v/>
      </c>
      <c r="J312" s="16">
        <f>IF($A312="","",ROUND($B312-$C312,2))</f>
        <v/>
      </c>
      <c r="K312" s="16">
        <f>IF($A312="","",ROUND($B312-$C312-$E312-$F312-$H312-$I312,2))</f>
        <v/>
      </c>
      <c r="L312" s="16">
        <f>IF(OR($A312="",$B312=0),0,$K312/$B312)</f>
        <v/>
      </c>
      <c r="M312" s="16">
        <f>IF($A312="","",IF((1-$D312-$G312)&lt;=0,0,ROUND(($C312+$F312+$I312)/(1-$D312-$G312),2)))</f>
        <v/>
      </c>
      <c r="N312" s="16">
        <f>IF($A312="","",IFERROR(SUMIF(tblAnahtarA[Norm],$A312,tblVeriA[HedefNet]),0))</f>
        <v/>
      </c>
      <c r="O312" s="16">
        <f>IF($A312="","",ROUND($K312-$N312,2))</f>
        <v/>
      </c>
      <c r="P312" s="16">
        <f>IF($A312="","",IF($L312&lt;egk_esikKatkiDusuk,"ZAM YAP",IF(AND($R312=1,$L312&lt;egk_esikKatkiHedef),"İNDİRİMİ KES","TUT")))</f>
        <v/>
      </c>
      <c r="Q312" s="16">
        <f>IF($A312="","",IFERROR(SUMIF(tblAnahtarB[NormB],$A312,tblVeriB[Roas]),0))</f>
        <v/>
      </c>
      <c r="R312" s="16">
        <f>IF($A312="","",IF(OR(IFERROR(INDEX(tblVeriA[YorumAB],MATCH($A312,tblAnahtarA[Norm],0)),"")="B",IFERROR(INDEX(tblVeriA[Durum],MATCH($A312,tblAnahtarA[Norm],0)),"")="Kampanya"),1,0))</f>
        <v/>
      </c>
      <c r="S312" s="16">
        <f>IF($A312="","",$J312-$E312)</f>
        <v/>
      </c>
      <c r="T312" s="16">
        <f>IF($A312="","",$K312-$O312)</f>
        <v/>
      </c>
    </row>
    <row r="313">
      <c r="A313" s="16">
        <f>IF('ANAHTAR'!$B313="","",'ANAHTAR'!$B313)</f>
        <v/>
      </c>
      <c r="B313" s="16">
        <f>IF($A313="","",IFERROR(SUMIF(tblAnahtarA[Norm],$A313,tblVeriA[SatisFiyati]),0))</f>
        <v/>
      </c>
      <c r="C313" s="16">
        <f>IF($A313="","",IFERROR(SUMIF(tblAnahtarA[Norm],$A313,tblVeriA[Maliyet]),0))</f>
        <v/>
      </c>
      <c r="D313" s="16">
        <f>IF($A313="","",IFERROR(SUMIF(tblAnahtarB[NormB],$A313,tblVeriB[KomisyonOran]),0))</f>
        <v/>
      </c>
      <c r="E313" s="16">
        <f>IF($A313="","",ROUND($B313*$D313,2))</f>
        <v/>
      </c>
      <c r="F313" s="16">
        <f>IF($A313="","",IFERROR(SUMIF(tblAnahtarB[NormB],$A313,tblVeriB[Kargo]),0))</f>
        <v/>
      </c>
      <c r="G313" s="16">
        <f>IF($A313="","",IFERROR(SUMIF(tblAnahtarB[NormB],$A313,tblVeriB[IadeOran]),0))</f>
        <v/>
      </c>
      <c r="H313" s="16">
        <f>IF($A313="","",ROUND($B313*$G313,2))</f>
        <v/>
      </c>
      <c r="I313" s="16">
        <f>IF($A313="","",IFERROR(SUMIF(tblAnahtarB[NormB],$A313,tblVeriB[ReklamTutar]),0))</f>
        <v/>
      </c>
      <c r="J313" s="16">
        <f>IF($A313="","",ROUND($B313-$C313,2))</f>
        <v/>
      </c>
      <c r="K313" s="16">
        <f>IF($A313="","",ROUND($B313-$C313-$E313-$F313-$H313-$I313,2))</f>
        <v/>
      </c>
      <c r="L313" s="16">
        <f>IF(OR($A313="",$B313=0),0,$K313/$B313)</f>
        <v/>
      </c>
      <c r="M313" s="16">
        <f>IF($A313="","",IF((1-$D313-$G313)&lt;=0,0,ROUND(($C313+$F313+$I313)/(1-$D313-$G313),2)))</f>
        <v/>
      </c>
      <c r="N313" s="16">
        <f>IF($A313="","",IFERROR(SUMIF(tblAnahtarA[Norm],$A313,tblVeriA[HedefNet]),0))</f>
        <v/>
      </c>
      <c r="O313" s="16">
        <f>IF($A313="","",ROUND($K313-$N313,2))</f>
        <v/>
      </c>
      <c r="P313" s="16">
        <f>IF($A313="","",IF($L313&lt;egk_esikKatkiDusuk,"ZAM YAP",IF(AND($R313=1,$L313&lt;egk_esikKatkiHedef),"İNDİRİMİ KES","TUT")))</f>
        <v/>
      </c>
      <c r="Q313" s="16">
        <f>IF($A313="","",IFERROR(SUMIF(tblAnahtarB[NormB],$A313,tblVeriB[Roas]),0))</f>
        <v/>
      </c>
      <c r="R313" s="16">
        <f>IF($A313="","",IF(OR(IFERROR(INDEX(tblVeriA[YorumAB],MATCH($A313,tblAnahtarA[Norm],0)),"")="B",IFERROR(INDEX(tblVeriA[Durum],MATCH($A313,tblAnahtarA[Norm],0)),"")="Kampanya"),1,0))</f>
        <v/>
      </c>
      <c r="S313" s="16">
        <f>IF($A313="","",$J313-$E313)</f>
        <v/>
      </c>
      <c r="T313" s="16">
        <f>IF($A313="","",$K313-$O313)</f>
        <v/>
      </c>
    </row>
    <row r="314">
      <c r="A314" s="16">
        <f>IF('ANAHTAR'!$B314="","",'ANAHTAR'!$B314)</f>
        <v/>
      </c>
      <c r="B314" s="16">
        <f>IF($A314="","",IFERROR(SUMIF(tblAnahtarA[Norm],$A314,tblVeriA[SatisFiyati]),0))</f>
        <v/>
      </c>
      <c r="C314" s="16">
        <f>IF($A314="","",IFERROR(SUMIF(tblAnahtarA[Norm],$A314,tblVeriA[Maliyet]),0))</f>
        <v/>
      </c>
      <c r="D314" s="16">
        <f>IF($A314="","",IFERROR(SUMIF(tblAnahtarB[NormB],$A314,tblVeriB[KomisyonOran]),0))</f>
        <v/>
      </c>
      <c r="E314" s="16">
        <f>IF($A314="","",ROUND($B314*$D314,2))</f>
        <v/>
      </c>
      <c r="F314" s="16">
        <f>IF($A314="","",IFERROR(SUMIF(tblAnahtarB[NormB],$A314,tblVeriB[Kargo]),0))</f>
        <v/>
      </c>
      <c r="G314" s="16">
        <f>IF($A314="","",IFERROR(SUMIF(tblAnahtarB[NormB],$A314,tblVeriB[IadeOran]),0))</f>
        <v/>
      </c>
      <c r="H314" s="16">
        <f>IF($A314="","",ROUND($B314*$G314,2))</f>
        <v/>
      </c>
      <c r="I314" s="16">
        <f>IF($A314="","",IFERROR(SUMIF(tblAnahtarB[NormB],$A314,tblVeriB[ReklamTutar]),0))</f>
        <v/>
      </c>
      <c r="J314" s="16">
        <f>IF($A314="","",ROUND($B314-$C314,2))</f>
        <v/>
      </c>
      <c r="K314" s="16">
        <f>IF($A314="","",ROUND($B314-$C314-$E314-$F314-$H314-$I314,2))</f>
        <v/>
      </c>
      <c r="L314" s="16">
        <f>IF(OR($A314="",$B314=0),0,$K314/$B314)</f>
        <v/>
      </c>
      <c r="M314" s="16">
        <f>IF($A314="","",IF((1-$D314-$G314)&lt;=0,0,ROUND(($C314+$F314+$I314)/(1-$D314-$G314),2)))</f>
        <v/>
      </c>
      <c r="N314" s="16">
        <f>IF($A314="","",IFERROR(SUMIF(tblAnahtarA[Norm],$A314,tblVeriA[HedefNet]),0))</f>
        <v/>
      </c>
      <c r="O314" s="16">
        <f>IF($A314="","",ROUND($K314-$N314,2))</f>
        <v/>
      </c>
      <c r="P314" s="16">
        <f>IF($A314="","",IF($L314&lt;egk_esikKatkiDusuk,"ZAM YAP",IF(AND($R314=1,$L314&lt;egk_esikKatkiHedef),"İNDİRİMİ KES","TUT")))</f>
        <v/>
      </c>
      <c r="Q314" s="16">
        <f>IF($A314="","",IFERROR(SUMIF(tblAnahtarB[NormB],$A314,tblVeriB[Roas]),0))</f>
        <v/>
      </c>
      <c r="R314" s="16">
        <f>IF($A314="","",IF(OR(IFERROR(INDEX(tblVeriA[YorumAB],MATCH($A314,tblAnahtarA[Norm],0)),"")="B",IFERROR(INDEX(tblVeriA[Durum],MATCH($A314,tblAnahtarA[Norm],0)),"")="Kampanya"),1,0))</f>
        <v/>
      </c>
      <c r="S314" s="16">
        <f>IF($A314="","",$J314-$E314)</f>
        <v/>
      </c>
      <c r="T314" s="16">
        <f>IF($A314="","",$K314-$O314)</f>
        <v/>
      </c>
    </row>
    <row r="315">
      <c r="A315" s="16">
        <f>IF('ANAHTAR'!$B315="","",'ANAHTAR'!$B315)</f>
        <v/>
      </c>
      <c r="B315" s="16">
        <f>IF($A315="","",IFERROR(SUMIF(tblAnahtarA[Norm],$A315,tblVeriA[SatisFiyati]),0))</f>
        <v/>
      </c>
      <c r="C315" s="16">
        <f>IF($A315="","",IFERROR(SUMIF(tblAnahtarA[Norm],$A315,tblVeriA[Maliyet]),0))</f>
        <v/>
      </c>
      <c r="D315" s="16">
        <f>IF($A315="","",IFERROR(SUMIF(tblAnahtarB[NormB],$A315,tblVeriB[KomisyonOran]),0))</f>
        <v/>
      </c>
      <c r="E315" s="16">
        <f>IF($A315="","",ROUND($B315*$D315,2))</f>
        <v/>
      </c>
      <c r="F315" s="16">
        <f>IF($A315="","",IFERROR(SUMIF(tblAnahtarB[NormB],$A315,tblVeriB[Kargo]),0))</f>
        <v/>
      </c>
      <c r="G315" s="16">
        <f>IF($A315="","",IFERROR(SUMIF(tblAnahtarB[NormB],$A315,tblVeriB[IadeOran]),0))</f>
        <v/>
      </c>
      <c r="H315" s="16">
        <f>IF($A315="","",ROUND($B315*$G315,2))</f>
        <v/>
      </c>
      <c r="I315" s="16">
        <f>IF($A315="","",IFERROR(SUMIF(tblAnahtarB[NormB],$A315,tblVeriB[ReklamTutar]),0))</f>
        <v/>
      </c>
      <c r="J315" s="16">
        <f>IF($A315="","",ROUND($B315-$C315,2))</f>
        <v/>
      </c>
      <c r="K315" s="16">
        <f>IF($A315="","",ROUND($B315-$C315-$E315-$F315-$H315-$I315,2))</f>
        <v/>
      </c>
      <c r="L315" s="16">
        <f>IF(OR($A315="",$B315=0),0,$K315/$B315)</f>
        <v/>
      </c>
      <c r="M315" s="16">
        <f>IF($A315="","",IF((1-$D315-$G315)&lt;=0,0,ROUND(($C315+$F315+$I315)/(1-$D315-$G315),2)))</f>
        <v/>
      </c>
      <c r="N315" s="16">
        <f>IF($A315="","",IFERROR(SUMIF(tblAnahtarA[Norm],$A315,tblVeriA[HedefNet]),0))</f>
        <v/>
      </c>
      <c r="O315" s="16">
        <f>IF($A315="","",ROUND($K315-$N315,2))</f>
        <v/>
      </c>
      <c r="P315" s="16">
        <f>IF($A315="","",IF($L315&lt;egk_esikKatkiDusuk,"ZAM YAP",IF(AND($R315=1,$L315&lt;egk_esikKatkiHedef),"İNDİRİMİ KES","TUT")))</f>
        <v/>
      </c>
      <c r="Q315" s="16">
        <f>IF($A315="","",IFERROR(SUMIF(tblAnahtarB[NormB],$A315,tblVeriB[Roas]),0))</f>
        <v/>
      </c>
      <c r="R315" s="16">
        <f>IF($A315="","",IF(OR(IFERROR(INDEX(tblVeriA[YorumAB],MATCH($A315,tblAnahtarA[Norm],0)),"")="B",IFERROR(INDEX(tblVeriA[Durum],MATCH($A315,tblAnahtarA[Norm],0)),"")="Kampanya"),1,0))</f>
        <v/>
      </c>
      <c r="S315" s="16">
        <f>IF($A315="","",$J315-$E315)</f>
        <v/>
      </c>
      <c r="T315" s="16">
        <f>IF($A315="","",$K315-$O315)</f>
        <v/>
      </c>
    </row>
    <row r="316">
      <c r="A316" s="16">
        <f>IF('ANAHTAR'!$B316="","",'ANAHTAR'!$B316)</f>
        <v/>
      </c>
      <c r="B316" s="16">
        <f>IF($A316="","",IFERROR(SUMIF(tblAnahtarA[Norm],$A316,tblVeriA[SatisFiyati]),0))</f>
        <v/>
      </c>
      <c r="C316" s="16">
        <f>IF($A316="","",IFERROR(SUMIF(tblAnahtarA[Norm],$A316,tblVeriA[Maliyet]),0))</f>
        <v/>
      </c>
      <c r="D316" s="16">
        <f>IF($A316="","",IFERROR(SUMIF(tblAnahtarB[NormB],$A316,tblVeriB[KomisyonOran]),0))</f>
        <v/>
      </c>
      <c r="E316" s="16">
        <f>IF($A316="","",ROUND($B316*$D316,2))</f>
        <v/>
      </c>
      <c r="F316" s="16">
        <f>IF($A316="","",IFERROR(SUMIF(tblAnahtarB[NormB],$A316,tblVeriB[Kargo]),0))</f>
        <v/>
      </c>
      <c r="G316" s="16">
        <f>IF($A316="","",IFERROR(SUMIF(tblAnahtarB[NormB],$A316,tblVeriB[IadeOran]),0))</f>
        <v/>
      </c>
      <c r="H316" s="16">
        <f>IF($A316="","",ROUND($B316*$G316,2))</f>
        <v/>
      </c>
      <c r="I316" s="16">
        <f>IF($A316="","",IFERROR(SUMIF(tblAnahtarB[NormB],$A316,tblVeriB[ReklamTutar]),0))</f>
        <v/>
      </c>
      <c r="J316" s="16">
        <f>IF($A316="","",ROUND($B316-$C316,2))</f>
        <v/>
      </c>
      <c r="K316" s="16">
        <f>IF($A316="","",ROUND($B316-$C316-$E316-$F316-$H316-$I316,2))</f>
        <v/>
      </c>
      <c r="L316" s="16">
        <f>IF(OR($A316="",$B316=0),0,$K316/$B316)</f>
        <v/>
      </c>
      <c r="M316" s="16">
        <f>IF($A316="","",IF((1-$D316-$G316)&lt;=0,0,ROUND(($C316+$F316+$I316)/(1-$D316-$G316),2)))</f>
        <v/>
      </c>
      <c r="N316" s="16">
        <f>IF($A316="","",IFERROR(SUMIF(tblAnahtarA[Norm],$A316,tblVeriA[HedefNet]),0))</f>
        <v/>
      </c>
      <c r="O316" s="16">
        <f>IF($A316="","",ROUND($K316-$N316,2))</f>
        <v/>
      </c>
      <c r="P316" s="16">
        <f>IF($A316="","",IF($L316&lt;egk_esikKatkiDusuk,"ZAM YAP",IF(AND($R316=1,$L316&lt;egk_esikKatkiHedef),"İNDİRİMİ KES","TUT")))</f>
        <v/>
      </c>
      <c r="Q316" s="16">
        <f>IF($A316="","",IFERROR(SUMIF(tblAnahtarB[NormB],$A316,tblVeriB[Roas]),0))</f>
        <v/>
      </c>
      <c r="R316" s="16">
        <f>IF($A316="","",IF(OR(IFERROR(INDEX(tblVeriA[YorumAB],MATCH($A316,tblAnahtarA[Norm],0)),"")="B",IFERROR(INDEX(tblVeriA[Durum],MATCH($A316,tblAnahtarA[Norm],0)),"")="Kampanya"),1,0))</f>
        <v/>
      </c>
      <c r="S316" s="16">
        <f>IF($A316="","",$J316-$E316)</f>
        <v/>
      </c>
      <c r="T316" s="16">
        <f>IF($A316="","",$K316-$O316)</f>
        <v/>
      </c>
    </row>
    <row r="317">
      <c r="A317" s="16">
        <f>IF('ANAHTAR'!$B317="","",'ANAHTAR'!$B317)</f>
        <v/>
      </c>
      <c r="B317" s="16">
        <f>IF($A317="","",IFERROR(SUMIF(tblAnahtarA[Norm],$A317,tblVeriA[SatisFiyati]),0))</f>
        <v/>
      </c>
      <c r="C317" s="16">
        <f>IF($A317="","",IFERROR(SUMIF(tblAnahtarA[Norm],$A317,tblVeriA[Maliyet]),0))</f>
        <v/>
      </c>
      <c r="D317" s="16">
        <f>IF($A317="","",IFERROR(SUMIF(tblAnahtarB[NormB],$A317,tblVeriB[KomisyonOran]),0))</f>
        <v/>
      </c>
      <c r="E317" s="16">
        <f>IF($A317="","",ROUND($B317*$D317,2))</f>
        <v/>
      </c>
      <c r="F317" s="16">
        <f>IF($A317="","",IFERROR(SUMIF(tblAnahtarB[NormB],$A317,tblVeriB[Kargo]),0))</f>
        <v/>
      </c>
      <c r="G317" s="16">
        <f>IF($A317="","",IFERROR(SUMIF(tblAnahtarB[NormB],$A317,tblVeriB[IadeOran]),0))</f>
        <v/>
      </c>
      <c r="H317" s="16">
        <f>IF($A317="","",ROUND($B317*$G317,2))</f>
        <v/>
      </c>
      <c r="I317" s="16">
        <f>IF($A317="","",IFERROR(SUMIF(tblAnahtarB[NormB],$A317,tblVeriB[ReklamTutar]),0))</f>
        <v/>
      </c>
      <c r="J317" s="16">
        <f>IF($A317="","",ROUND($B317-$C317,2))</f>
        <v/>
      </c>
      <c r="K317" s="16">
        <f>IF($A317="","",ROUND($B317-$C317-$E317-$F317-$H317-$I317,2))</f>
        <v/>
      </c>
      <c r="L317" s="16">
        <f>IF(OR($A317="",$B317=0),0,$K317/$B317)</f>
        <v/>
      </c>
      <c r="M317" s="16">
        <f>IF($A317="","",IF((1-$D317-$G317)&lt;=0,0,ROUND(($C317+$F317+$I317)/(1-$D317-$G317),2)))</f>
        <v/>
      </c>
      <c r="N317" s="16">
        <f>IF($A317="","",IFERROR(SUMIF(tblAnahtarA[Norm],$A317,tblVeriA[HedefNet]),0))</f>
        <v/>
      </c>
      <c r="O317" s="16">
        <f>IF($A317="","",ROUND($K317-$N317,2))</f>
        <v/>
      </c>
      <c r="P317" s="16">
        <f>IF($A317="","",IF($L317&lt;egk_esikKatkiDusuk,"ZAM YAP",IF(AND($R317=1,$L317&lt;egk_esikKatkiHedef),"İNDİRİMİ KES","TUT")))</f>
        <v/>
      </c>
      <c r="Q317" s="16">
        <f>IF($A317="","",IFERROR(SUMIF(tblAnahtarB[NormB],$A317,tblVeriB[Roas]),0))</f>
        <v/>
      </c>
      <c r="R317" s="16">
        <f>IF($A317="","",IF(OR(IFERROR(INDEX(tblVeriA[YorumAB],MATCH($A317,tblAnahtarA[Norm],0)),"")="B",IFERROR(INDEX(tblVeriA[Durum],MATCH($A317,tblAnahtarA[Norm],0)),"")="Kampanya"),1,0))</f>
        <v/>
      </c>
      <c r="S317" s="16">
        <f>IF($A317="","",$J317-$E317)</f>
        <v/>
      </c>
      <c r="T317" s="16">
        <f>IF($A317="","",$K317-$O317)</f>
        <v/>
      </c>
    </row>
    <row r="318">
      <c r="A318" s="16">
        <f>IF('ANAHTAR'!$B318="","",'ANAHTAR'!$B318)</f>
        <v/>
      </c>
      <c r="B318" s="16">
        <f>IF($A318="","",IFERROR(SUMIF(tblAnahtarA[Norm],$A318,tblVeriA[SatisFiyati]),0))</f>
        <v/>
      </c>
      <c r="C318" s="16">
        <f>IF($A318="","",IFERROR(SUMIF(tblAnahtarA[Norm],$A318,tblVeriA[Maliyet]),0))</f>
        <v/>
      </c>
      <c r="D318" s="16">
        <f>IF($A318="","",IFERROR(SUMIF(tblAnahtarB[NormB],$A318,tblVeriB[KomisyonOran]),0))</f>
        <v/>
      </c>
      <c r="E318" s="16">
        <f>IF($A318="","",ROUND($B318*$D318,2))</f>
        <v/>
      </c>
      <c r="F318" s="16">
        <f>IF($A318="","",IFERROR(SUMIF(tblAnahtarB[NormB],$A318,tblVeriB[Kargo]),0))</f>
        <v/>
      </c>
      <c r="G318" s="16">
        <f>IF($A318="","",IFERROR(SUMIF(tblAnahtarB[NormB],$A318,tblVeriB[IadeOran]),0))</f>
        <v/>
      </c>
      <c r="H318" s="16">
        <f>IF($A318="","",ROUND($B318*$G318,2))</f>
        <v/>
      </c>
      <c r="I318" s="16">
        <f>IF($A318="","",IFERROR(SUMIF(tblAnahtarB[NormB],$A318,tblVeriB[ReklamTutar]),0))</f>
        <v/>
      </c>
      <c r="J318" s="16">
        <f>IF($A318="","",ROUND($B318-$C318,2))</f>
        <v/>
      </c>
      <c r="K318" s="16">
        <f>IF($A318="","",ROUND($B318-$C318-$E318-$F318-$H318-$I318,2))</f>
        <v/>
      </c>
      <c r="L318" s="16">
        <f>IF(OR($A318="",$B318=0),0,$K318/$B318)</f>
        <v/>
      </c>
      <c r="M318" s="16">
        <f>IF($A318="","",IF((1-$D318-$G318)&lt;=0,0,ROUND(($C318+$F318+$I318)/(1-$D318-$G318),2)))</f>
        <v/>
      </c>
      <c r="N318" s="16">
        <f>IF($A318="","",IFERROR(SUMIF(tblAnahtarA[Norm],$A318,tblVeriA[HedefNet]),0))</f>
        <v/>
      </c>
      <c r="O318" s="16">
        <f>IF($A318="","",ROUND($K318-$N318,2))</f>
        <v/>
      </c>
      <c r="P318" s="16">
        <f>IF($A318="","",IF($L318&lt;egk_esikKatkiDusuk,"ZAM YAP",IF(AND($R318=1,$L318&lt;egk_esikKatkiHedef),"İNDİRİMİ KES","TUT")))</f>
        <v/>
      </c>
      <c r="Q318" s="16">
        <f>IF($A318="","",IFERROR(SUMIF(tblAnahtarB[NormB],$A318,tblVeriB[Roas]),0))</f>
        <v/>
      </c>
      <c r="R318" s="16">
        <f>IF($A318="","",IF(OR(IFERROR(INDEX(tblVeriA[YorumAB],MATCH($A318,tblAnahtarA[Norm],0)),"")="B",IFERROR(INDEX(tblVeriA[Durum],MATCH($A318,tblAnahtarA[Norm],0)),"")="Kampanya"),1,0))</f>
        <v/>
      </c>
      <c r="S318" s="16">
        <f>IF($A318="","",$J318-$E318)</f>
        <v/>
      </c>
      <c r="T318" s="16">
        <f>IF($A318="","",$K318-$O318)</f>
        <v/>
      </c>
    </row>
    <row r="319">
      <c r="A319" s="16">
        <f>IF('ANAHTAR'!$B319="","",'ANAHTAR'!$B319)</f>
        <v/>
      </c>
      <c r="B319" s="16">
        <f>IF($A319="","",IFERROR(SUMIF(tblAnahtarA[Norm],$A319,tblVeriA[SatisFiyati]),0))</f>
        <v/>
      </c>
      <c r="C319" s="16">
        <f>IF($A319="","",IFERROR(SUMIF(tblAnahtarA[Norm],$A319,tblVeriA[Maliyet]),0))</f>
        <v/>
      </c>
      <c r="D319" s="16">
        <f>IF($A319="","",IFERROR(SUMIF(tblAnahtarB[NormB],$A319,tblVeriB[KomisyonOran]),0))</f>
        <v/>
      </c>
      <c r="E319" s="16">
        <f>IF($A319="","",ROUND($B319*$D319,2))</f>
        <v/>
      </c>
      <c r="F319" s="16">
        <f>IF($A319="","",IFERROR(SUMIF(tblAnahtarB[NormB],$A319,tblVeriB[Kargo]),0))</f>
        <v/>
      </c>
      <c r="G319" s="16">
        <f>IF($A319="","",IFERROR(SUMIF(tblAnahtarB[NormB],$A319,tblVeriB[IadeOran]),0))</f>
        <v/>
      </c>
      <c r="H319" s="16">
        <f>IF($A319="","",ROUND($B319*$G319,2))</f>
        <v/>
      </c>
      <c r="I319" s="16">
        <f>IF($A319="","",IFERROR(SUMIF(tblAnahtarB[NormB],$A319,tblVeriB[ReklamTutar]),0))</f>
        <v/>
      </c>
      <c r="J319" s="16">
        <f>IF($A319="","",ROUND($B319-$C319,2))</f>
        <v/>
      </c>
      <c r="K319" s="16">
        <f>IF($A319="","",ROUND($B319-$C319-$E319-$F319-$H319-$I319,2))</f>
        <v/>
      </c>
      <c r="L319" s="16">
        <f>IF(OR($A319="",$B319=0),0,$K319/$B319)</f>
        <v/>
      </c>
      <c r="M319" s="16">
        <f>IF($A319="","",IF((1-$D319-$G319)&lt;=0,0,ROUND(($C319+$F319+$I319)/(1-$D319-$G319),2)))</f>
        <v/>
      </c>
      <c r="N319" s="16">
        <f>IF($A319="","",IFERROR(SUMIF(tblAnahtarA[Norm],$A319,tblVeriA[HedefNet]),0))</f>
        <v/>
      </c>
      <c r="O319" s="16">
        <f>IF($A319="","",ROUND($K319-$N319,2))</f>
        <v/>
      </c>
      <c r="P319" s="16">
        <f>IF($A319="","",IF($L319&lt;egk_esikKatkiDusuk,"ZAM YAP",IF(AND($R319=1,$L319&lt;egk_esikKatkiHedef),"İNDİRİMİ KES","TUT")))</f>
        <v/>
      </c>
      <c r="Q319" s="16">
        <f>IF($A319="","",IFERROR(SUMIF(tblAnahtarB[NormB],$A319,tblVeriB[Roas]),0))</f>
        <v/>
      </c>
      <c r="R319" s="16">
        <f>IF($A319="","",IF(OR(IFERROR(INDEX(tblVeriA[YorumAB],MATCH($A319,tblAnahtarA[Norm],0)),"")="B",IFERROR(INDEX(tblVeriA[Durum],MATCH($A319,tblAnahtarA[Norm],0)),"")="Kampanya"),1,0))</f>
        <v/>
      </c>
      <c r="S319" s="16">
        <f>IF($A319="","",$J319-$E319)</f>
        <v/>
      </c>
      <c r="T319" s="16">
        <f>IF($A319="","",$K319-$O319)</f>
        <v/>
      </c>
    </row>
    <row r="320">
      <c r="A320" s="16">
        <f>IF('ANAHTAR'!$B320="","",'ANAHTAR'!$B320)</f>
        <v/>
      </c>
      <c r="B320" s="16">
        <f>IF($A320="","",IFERROR(SUMIF(tblAnahtarA[Norm],$A320,tblVeriA[SatisFiyati]),0))</f>
        <v/>
      </c>
      <c r="C320" s="16">
        <f>IF($A320="","",IFERROR(SUMIF(tblAnahtarA[Norm],$A320,tblVeriA[Maliyet]),0))</f>
        <v/>
      </c>
      <c r="D320" s="16">
        <f>IF($A320="","",IFERROR(SUMIF(tblAnahtarB[NormB],$A320,tblVeriB[KomisyonOran]),0))</f>
        <v/>
      </c>
      <c r="E320" s="16">
        <f>IF($A320="","",ROUND($B320*$D320,2))</f>
        <v/>
      </c>
      <c r="F320" s="16">
        <f>IF($A320="","",IFERROR(SUMIF(tblAnahtarB[NormB],$A320,tblVeriB[Kargo]),0))</f>
        <v/>
      </c>
      <c r="G320" s="16">
        <f>IF($A320="","",IFERROR(SUMIF(tblAnahtarB[NormB],$A320,tblVeriB[IadeOran]),0))</f>
        <v/>
      </c>
      <c r="H320" s="16">
        <f>IF($A320="","",ROUND($B320*$G320,2))</f>
        <v/>
      </c>
      <c r="I320" s="16">
        <f>IF($A320="","",IFERROR(SUMIF(tblAnahtarB[NormB],$A320,tblVeriB[ReklamTutar]),0))</f>
        <v/>
      </c>
      <c r="J320" s="16">
        <f>IF($A320="","",ROUND($B320-$C320,2))</f>
        <v/>
      </c>
      <c r="K320" s="16">
        <f>IF($A320="","",ROUND($B320-$C320-$E320-$F320-$H320-$I320,2))</f>
        <v/>
      </c>
      <c r="L320" s="16">
        <f>IF(OR($A320="",$B320=0),0,$K320/$B320)</f>
        <v/>
      </c>
      <c r="M320" s="16">
        <f>IF($A320="","",IF((1-$D320-$G320)&lt;=0,0,ROUND(($C320+$F320+$I320)/(1-$D320-$G320),2)))</f>
        <v/>
      </c>
      <c r="N320" s="16">
        <f>IF($A320="","",IFERROR(SUMIF(tblAnahtarA[Norm],$A320,tblVeriA[HedefNet]),0))</f>
        <v/>
      </c>
      <c r="O320" s="16">
        <f>IF($A320="","",ROUND($K320-$N320,2))</f>
        <v/>
      </c>
      <c r="P320" s="16">
        <f>IF($A320="","",IF($L320&lt;egk_esikKatkiDusuk,"ZAM YAP",IF(AND($R320=1,$L320&lt;egk_esikKatkiHedef),"İNDİRİMİ KES","TUT")))</f>
        <v/>
      </c>
      <c r="Q320" s="16">
        <f>IF($A320="","",IFERROR(SUMIF(tblAnahtarB[NormB],$A320,tblVeriB[Roas]),0))</f>
        <v/>
      </c>
      <c r="R320" s="16">
        <f>IF($A320="","",IF(OR(IFERROR(INDEX(tblVeriA[YorumAB],MATCH($A320,tblAnahtarA[Norm],0)),"")="B",IFERROR(INDEX(tblVeriA[Durum],MATCH($A320,tblAnahtarA[Norm],0)),"")="Kampanya"),1,0))</f>
        <v/>
      </c>
      <c r="S320" s="16">
        <f>IF($A320="","",$J320-$E320)</f>
        <v/>
      </c>
      <c r="T320" s="16">
        <f>IF($A320="","",$K320-$O320)</f>
        <v/>
      </c>
    </row>
    <row r="321">
      <c r="A321" s="16">
        <f>IF('ANAHTAR'!$B321="","",'ANAHTAR'!$B321)</f>
        <v/>
      </c>
      <c r="B321" s="16">
        <f>IF($A321="","",IFERROR(SUMIF(tblAnahtarA[Norm],$A321,tblVeriA[SatisFiyati]),0))</f>
        <v/>
      </c>
      <c r="C321" s="16">
        <f>IF($A321="","",IFERROR(SUMIF(tblAnahtarA[Norm],$A321,tblVeriA[Maliyet]),0))</f>
        <v/>
      </c>
      <c r="D321" s="16">
        <f>IF($A321="","",IFERROR(SUMIF(tblAnahtarB[NormB],$A321,tblVeriB[KomisyonOran]),0))</f>
        <v/>
      </c>
      <c r="E321" s="16">
        <f>IF($A321="","",ROUND($B321*$D321,2))</f>
        <v/>
      </c>
      <c r="F321" s="16">
        <f>IF($A321="","",IFERROR(SUMIF(tblAnahtarB[NormB],$A321,tblVeriB[Kargo]),0))</f>
        <v/>
      </c>
      <c r="G321" s="16">
        <f>IF($A321="","",IFERROR(SUMIF(tblAnahtarB[NormB],$A321,tblVeriB[IadeOran]),0))</f>
        <v/>
      </c>
      <c r="H321" s="16">
        <f>IF($A321="","",ROUND($B321*$G321,2))</f>
        <v/>
      </c>
      <c r="I321" s="16">
        <f>IF($A321="","",IFERROR(SUMIF(tblAnahtarB[NormB],$A321,tblVeriB[ReklamTutar]),0))</f>
        <v/>
      </c>
      <c r="J321" s="16">
        <f>IF($A321="","",ROUND($B321-$C321,2))</f>
        <v/>
      </c>
      <c r="K321" s="16">
        <f>IF($A321="","",ROUND($B321-$C321-$E321-$F321-$H321-$I321,2))</f>
        <v/>
      </c>
      <c r="L321" s="16">
        <f>IF(OR($A321="",$B321=0),0,$K321/$B321)</f>
        <v/>
      </c>
      <c r="M321" s="16">
        <f>IF($A321="","",IF((1-$D321-$G321)&lt;=0,0,ROUND(($C321+$F321+$I321)/(1-$D321-$G321),2)))</f>
        <v/>
      </c>
      <c r="N321" s="16">
        <f>IF($A321="","",IFERROR(SUMIF(tblAnahtarA[Norm],$A321,tblVeriA[HedefNet]),0))</f>
        <v/>
      </c>
      <c r="O321" s="16">
        <f>IF($A321="","",ROUND($K321-$N321,2))</f>
        <v/>
      </c>
      <c r="P321" s="16">
        <f>IF($A321="","",IF($L321&lt;egk_esikKatkiDusuk,"ZAM YAP",IF(AND($R321=1,$L321&lt;egk_esikKatkiHedef),"İNDİRİMİ KES","TUT")))</f>
        <v/>
      </c>
      <c r="Q321" s="16">
        <f>IF($A321="","",IFERROR(SUMIF(tblAnahtarB[NormB],$A321,tblVeriB[Roas]),0))</f>
        <v/>
      </c>
      <c r="R321" s="16">
        <f>IF($A321="","",IF(OR(IFERROR(INDEX(tblVeriA[YorumAB],MATCH($A321,tblAnahtarA[Norm],0)),"")="B",IFERROR(INDEX(tblVeriA[Durum],MATCH($A321,tblAnahtarA[Norm],0)),"")="Kampanya"),1,0))</f>
        <v/>
      </c>
      <c r="S321" s="16">
        <f>IF($A321="","",$J321-$E321)</f>
        <v/>
      </c>
      <c r="T321" s="16">
        <f>IF($A321="","",$K321-$O321)</f>
        <v/>
      </c>
    </row>
    <row r="322">
      <c r="A322" s="16">
        <f>IF('ANAHTAR'!$B322="","",'ANAHTAR'!$B322)</f>
        <v/>
      </c>
      <c r="B322" s="16">
        <f>IF($A322="","",IFERROR(SUMIF(tblAnahtarA[Norm],$A322,tblVeriA[SatisFiyati]),0))</f>
        <v/>
      </c>
      <c r="C322" s="16">
        <f>IF($A322="","",IFERROR(SUMIF(tblAnahtarA[Norm],$A322,tblVeriA[Maliyet]),0))</f>
        <v/>
      </c>
      <c r="D322" s="16">
        <f>IF($A322="","",IFERROR(SUMIF(tblAnahtarB[NormB],$A322,tblVeriB[KomisyonOran]),0))</f>
        <v/>
      </c>
      <c r="E322" s="16">
        <f>IF($A322="","",ROUND($B322*$D322,2))</f>
        <v/>
      </c>
      <c r="F322" s="16">
        <f>IF($A322="","",IFERROR(SUMIF(tblAnahtarB[NormB],$A322,tblVeriB[Kargo]),0))</f>
        <v/>
      </c>
      <c r="G322" s="16">
        <f>IF($A322="","",IFERROR(SUMIF(tblAnahtarB[NormB],$A322,tblVeriB[IadeOran]),0))</f>
        <v/>
      </c>
      <c r="H322" s="16">
        <f>IF($A322="","",ROUND($B322*$G322,2))</f>
        <v/>
      </c>
      <c r="I322" s="16">
        <f>IF($A322="","",IFERROR(SUMIF(tblAnahtarB[NormB],$A322,tblVeriB[ReklamTutar]),0))</f>
        <v/>
      </c>
      <c r="J322" s="16">
        <f>IF($A322="","",ROUND($B322-$C322,2))</f>
        <v/>
      </c>
      <c r="K322" s="16">
        <f>IF($A322="","",ROUND($B322-$C322-$E322-$F322-$H322-$I322,2))</f>
        <v/>
      </c>
      <c r="L322" s="16">
        <f>IF(OR($A322="",$B322=0),0,$K322/$B322)</f>
        <v/>
      </c>
      <c r="M322" s="16">
        <f>IF($A322="","",IF((1-$D322-$G322)&lt;=0,0,ROUND(($C322+$F322+$I322)/(1-$D322-$G322),2)))</f>
        <v/>
      </c>
      <c r="N322" s="16">
        <f>IF($A322="","",IFERROR(SUMIF(tblAnahtarA[Norm],$A322,tblVeriA[HedefNet]),0))</f>
        <v/>
      </c>
      <c r="O322" s="16">
        <f>IF($A322="","",ROUND($K322-$N322,2))</f>
        <v/>
      </c>
      <c r="P322" s="16">
        <f>IF($A322="","",IF($L322&lt;egk_esikKatkiDusuk,"ZAM YAP",IF(AND($R322=1,$L322&lt;egk_esikKatkiHedef),"İNDİRİMİ KES","TUT")))</f>
        <v/>
      </c>
      <c r="Q322" s="16">
        <f>IF($A322="","",IFERROR(SUMIF(tblAnahtarB[NormB],$A322,tblVeriB[Roas]),0))</f>
        <v/>
      </c>
      <c r="R322" s="16">
        <f>IF($A322="","",IF(OR(IFERROR(INDEX(tblVeriA[YorumAB],MATCH($A322,tblAnahtarA[Norm],0)),"")="B",IFERROR(INDEX(tblVeriA[Durum],MATCH($A322,tblAnahtarA[Norm],0)),"")="Kampanya"),1,0))</f>
        <v/>
      </c>
      <c r="S322" s="16">
        <f>IF($A322="","",$J322-$E322)</f>
        <v/>
      </c>
      <c r="T322" s="16">
        <f>IF($A322="","",$K322-$O322)</f>
        <v/>
      </c>
    </row>
    <row r="323">
      <c r="A323" s="16">
        <f>IF('ANAHTAR'!$B323="","",'ANAHTAR'!$B323)</f>
        <v/>
      </c>
      <c r="B323" s="16">
        <f>IF($A323="","",IFERROR(SUMIF(tblAnahtarA[Norm],$A323,tblVeriA[SatisFiyati]),0))</f>
        <v/>
      </c>
      <c r="C323" s="16">
        <f>IF($A323="","",IFERROR(SUMIF(tblAnahtarA[Norm],$A323,tblVeriA[Maliyet]),0))</f>
        <v/>
      </c>
      <c r="D323" s="16">
        <f>IF($A323="","",IFERROR(SUMIF(tblAnahtarB[NormB],$A323,tblVeriB[KomisyonOran]),0))</f>
        <v/>
      </c>
      <c r="E323" s="16">
        <f>IF($A323="","",ROUND($B323*$D323,2))</f>
        <v/>
      </c>
      <c r="F323" s="16">
        <f>IF($A323="","",IFERROR(SUMIF(tblAnahtarB[NormB],$A323,tblVeriB[Kargo]),0))</f>
        <v/>
      </c>
      <c r="G323" s="16">
        <f>IF($A323="","",IFERROR(SUMIF(tblAnahtarB[NormB],$A323,tblVeriB[IadeOran]),0))</f>
        <v/>
      </c>
      <c r="H323" s="16">
        <f>IF($A323="","",ROUND($B323*$G323,2))</f>
        <v/>
      </c>
      <c r="I323" s="16">
        <f>IF($A323="","",IFERROR(SUMIF(tblAnahtarB[NormB],$A323,tblVeriB[ReklamTutar]),0))</f>
        <v/>
      </c>
      <c r="J323" s="16">
        <f>IF($A323="","",ROUND($B323-$C323,2))</f>
        <v/>
      </c>
      <c r="K323" s="16">
        <f>IF($A323="","",ROUND($B323-$C323-$E323-$F323-$H323-$I323,2))</f>
        <v/>
      </c>
      <c r="L323" s="16">
        <f>IF(OR($A323="",$B323=0),0,$K323/$B323)</f>
        <v/>
      </c>
      <c r="M323" s="16">
        <f>IF($A323="","",IF((1-$D323-$G323)&lt;=0,0,ROUND(($C323+$F323+$I323)/(1-$D323-$G323),2)))</f>
        <v/>
      </c>
      <c r="N323" s="16">
        <f>IF($A323="","",IFERROR(SUMIF(tblAnahtarA[Norm],$A323,tblVeriA[HedefNet]),0))</f>
        <v/>
      </c>
      <c r="O323" s="16">
        <f>IF($A323="","",ROUND($K323-$N323,2))</f>
        <v/>
      </c>
      <c r="P323" s="16">
        <f>IF($A323="","",IF($L323&lt;egk_esikKatkiDusuk,"ZAM YAP",IF(AND($R323=1,$L323&lt;egk_esikKatkiHedef),"İNDİRİMİ KES","TUT")))</f>
        <v/>
      </c>
      <c r="Q323" s="16">
        <f>IF($A323="","",IFERROR(SUMIF(tblAnahtarB[NormB],$A323,tblVeriB[Roas]),0))</f>
        <v/>
      </c>
      <c r="R323" s="16">
        <f>IF($A323="","",IF(OR(IFERROR(INDEX(tblVeriA[YorumAB],MATCH($A323,tblAnahtarA[Norm],0)),"")="B",IFERROR(INDEX(tblVeriA[Durum],MATCH($A323,tblAnahtarA[Norm],0)),"")="Kampanya"),1,0))</f>
        <v/>
      </c>
      <c r="S323" s="16">
        <f>IF($A323="","",$J323-$E323)</f>
        <v/>
      </c>
      <c r="T323" s="16">
        <f>IF($A323="","",$K323-$O323)</f>
        <v/>
      </c>
    </row>
    <row r="324">
      <c r="A324" s="16">
        <f>IF('ANAHTAR'!$B324="","",'ANAHTAR'!$B324)</f>
        <v/>
      </c>
      <c r="B324" s="16">
        <f>IF($A324="","",IFERROR(SUMIF(tblAnahtarA[Norm],$A324,tblVeriA[SatisFiyati]),0))</f>
        <v/>
      </c>
      <c r="C324" s="16">
        <f>IF($A324="","",IFERROR(SUMIF(tblAnahtarA[Norm],$A324,tblVeriA[Maliyet]),0))</f>
        <v/>
      </c>
      <c r="D324" s="16">
        <f>IF($A324="","",IFERROR(SUMIF(tblAnahtarB[NormB],$A324,tblVeriB[KomisyonOran]),0))</f>
        <v/>
      </c>
      <c r="E324" s="16">
        <f>IF($A324="","",ROUND($B324*$D324,2))</f>
        <v/>
      </c>
      <c r="F324" s="16">
        <f>IF($A324="","",IFERROR(SUMIF(tblAnahtarB[NormB],$A324,tblVeriB[Kargo]),0))</f>
        <v/>
      </c>
      <c r="G324" s="16">
        <f>IF($A324="","",IFERROR(SUMIF(tblAnahtarB[NormB],$A324,tblVeriB[IadeOran]),0))</f>
        <v/>
      </c>
      <c r="H324" s="16">
        <f>IF($A324="","",ROUND($B324*$G324,2))</f>
        <v/>
      </c>
      <c r="I324" s="16">
        <f>IF($A324="","",IFERROR(SUMIF(tblAnahtarB[NormB],$A324,tblVeriB[ReklamTutar]),0))</f>
        <v/>
      </c>
      <c r="J324" s="16">
        <f>IF($A324="","",ROUND($B324-$C324,2))</f>
        <v/>
      </c>
      <c r="K324" s="16">
        <f>IF($A324="","",ROUND($B324-$C324-$E324-$F324-$H324-$I324,2))</f>
        <v/>
      </c>
      <c r="L324" s="16">
        <f>IF(OR($A324="",$B324=0),0,$K324/$B324)</f>
        <v/>
      </c>
      <c r="M324" s="16">
        <f>IF($A324="","",IF((1-$D324-$G324)&lt;=0,0,ROUND(($C324+$F324+$I324)/(1-$D324-$G324),2)))</f>
        <v/>
      </c>
      <c r="N324" s="16">
        <f>IF($A324="","",IFERROR(SUMIF(tblAnahtarA[Norm],$A324,tblVeriA[HedefNet]),0))</f>
        <v/>
      </c>
      <c r="O324" s="16">
        <f>IF($A324="","",ROUND($K324-$N324,2))</f>
        <v/>
      </c>
      <c r="P324" s="16">
        <f>IF($A324="","",IF($L324&lt;egk_esikKatkiDusuk,"ZAM YAP",IF(AND($R324=1,$L324&lt;egk_esikKatkiHedef),"İNDİRİMİ KES","TUT")))</f>
        <v/>
      </c>
      <c r="Q324" s="16">
        <f>IF($A324="","",IFERROR(SUMIF(tblAnahtarB[NormB],$A324,tblVeriB[Roas]),0))</f>
        <v/>
      </c>
      <c r="R324" s="16">
        <f>IF($A324="","",IF(OR(IFERROR(INDEX(tblVeriA[YorumAB],MATCH($A324,tblAnahtarA[Norm],0)),"")="B",IFERROR(INDEX(tblVeriA[Durum],MATCH($A324,tblAnahtarA[Norm],0)),"")="Kampanya"),1,0))</f>
        <v/>
      </c>
      <c r="S324" s="16">
        <f>IF($A324="","",$J324-$E324)</f>
        <v/>
      </c>
      <c r="T324" s="16">
        <f>IF($A324="","",$K324-$O324)</f>
        <v/>
      </c>
    </row>
    <row r="325">
      <c r="A325" s="16">
        <f>IF('ANAHTAR'!$B325="","",'ANAHTAR'!$B325)</f>
        <v/>
      </c>
      <c r="B325" s="16">
        <f>IF($A325="","",IFERROR(SUMIF(tblAnahtarA[Norm],$A325,tblVeriA[SatisFiyati]),0))</f>
        <v/>
      </c>
      <c r="C325" s="16">
        <f>IF($A325="","",IFERROR(SUMIF(tblAnahtarA[Norm],$A325,tblVeriA[Maliyet]),0))</f>
        <v/>
      </c>
      <c r="D325" s="16">
        <f>IF($A325="","",IFERROR(SUMIF(tblAnahtarB[NormB],$A325,tblVeriB[KomisyonOran]),0))</f>
        <v/>
      </c>
      <c r="E325" s="16">
        <f>IF($A325="","",ROUND($B325*$D325,2))</f>
        <v/>
      </c>
      <c r="F325" s="16">
        <f>IF($A325="","",IFERROR(SUMIF(tblAnahtarB[NormB],$A325,tblVeriB[Kargo]),0))</f>
        <v/>
      </c>
      <c r="G325" s="16">
        <f>IF($A325="","",IFERROR(SUMIF(tblAnahtarB[NormB],$A325,tblVeriB[IadeOran]),0))</f>
        <v/>
      </c>
      <c r="H325" s="16">
        <f>IF($A325="","",ROUND($B325*$G325,2))</f>
        <v/>
      </c>
      <c r="I325" s="16">
        <f>IF($A325="","",IFERROR(SUMIF(tblAnahtarB[NormB],$A325,tblVeriB[ReklamTutar]),0))</f>
        <v/>
      </c>
      <c r="J325" s="16">
        <f>IF($A325="","",ROUND($B325-$C325,2))</f>
        <v/>
      </c>
      <c r="K325" s="16">
        <f>IF($A325="","",ROUND($B325-$C325-$E325-$F325-$H325-$I325,2))</f>
        <v/>
      </c>
      <c r="L325" s="16">
        <f>IF(OR($A325="",$B325=0),0,$K325/$B325)</f>
        <v/>
      </c>
      <c r="M325" s="16">
        <f>IF($A325="","",IF((1-$D325-$G325)&lt;=0,0,ROUND(($C325+$F325+$I325)/(1-$D325-$G325),2)))</f>
        <v/>
      </c>
      <c r="N325" s="16">
        <f>IF($A325="","",IFERROR(SUMIF(tblAnahtarA[Norm],$A325,tblVeriA[HedefNet]),0))</f>
        <v/>
      </c>
      <c r="O325" s="16">
        <f>IF($A325="","",ROUND($K325-$N325,2))</f>
        <v/>
      </c>
      <c r="P325" s="16">
        <f>IF($A325="","",IF($L325&lt;egk_esikKatkiDusuk,"ZAM YAP",IF(AND($R325=1,$L325&lt;egk_esikKatkiHedef),"İNDİRİMİ KES","TUT")))</f>
        <v/>
      </c>
      <c r="Q325" s="16">
        <f>IF($A325="","",IFERROR(SUMIF(tblAnahtarB[NormB],$A325,tblVeriB[Roas]),0))</f>
        <v/>
      </c>
      <c r="R325" s="16">
        <f>IF($A325="","",IF(OR(IFERROR(INDEX(tblVeriA[YorumAB],MATCH($A325,tblAnahtarA[Norm],0)),"")="B",IFERROR(INDEX(tblVeriA[Durum],MATCH($A325,tblAnahtarA[Norm],0)),"")="Kampanya"),1,0))</f>
        <v/>
      </c>
      <c r="S325" s="16">
        <f>IF($A325="","",$J325-$E325)</f>
        <v/>
      </c>
      <c r="T325" s="16">
        <f>IF($A325="","",$K325-$O325)</f>
        <v/>
      </c>
    </row>
    <row r="326">
      <c r="A326" s="16">
        <f>IF('ANAHTAR'!$B326="","",'ANAHTAR'!$B326)</f>
        <v/>
      </c>
      <c r="B326" s="16">
        <f>IF($A326="","",IFERROR(SUMIF(tblAnahtarA[Norm],$A326,tblVeriA[SatisFiyati]),0))</f>
        <v/>
      </c>
      <c r="C326" s="16">
        <f>IF($A326="","",IFERROR(SUMIF(tblAnahtarA[Norm],$A326,tblVeriA[Maliyet]),0))</f>
        <v/>
      </c>
      <c r="D326" s="16">
        <f>IF($A326="","",IFERROR(SUMIF(tblAnahtarB[NormB],$A326,tblVeriB[KomisyonOran]),0))</f>
        <v/>
      </c>
      <c r="E326" s="16">
        <f>IF($A326="","",ROUND($B326*$D326,2))</f>
        <v/>
      </c>
      <c r="F326" s="16">
        <f>IF($A326="","",IFERROR(SUMIF(tblAnahtarB[NormB],$A326,tblVeriB[Kargo]),0))</f>
        <v/>
      </c>
      <c r="G326" s="16">
        <f>IF($A326="","",IFERROR(SUMIF(tblAnahtarB[NormB],$A326,tblVeriB[IadeOran]),0))</f>
        <v/>
      </c>
      <c r="H326" s="16">
        <f>IF($A326="","",ROUND($B326*$G326,2))</f>
        <v/>
      </c>
      <c r="I326" s="16">
        <f>IF($A326="","",IFERROR(SUMIF(tblAnahtarB[NormB],$A326,tblVeriB[ReklamTutar]),0))</f>
        <v/>
      </c>
      <c r="J326" s="16">
        <f>IF($A326="","",ROUND($B326-$C326,2))</f>
        <v/>
      </c>
      <c r="K326" s="16">
        <f>IF($A326="","",ROUND($B326-$C326-$E326-$F326-$H326-$I326,2))</f>
        <v/>
      </c>
      <c r="L326" s="16">
        <f>IF(OR($A326="",$B326=0),0,$K326/$B326)</f>
        <v/>
      </c>
      <c r="M326" s="16">
        <f>IF($A326="","",IF((1-$D326-$G326)&lt;=0,0,ROUND(($C326+$F326+$I326)/(1-$D326-$G326),2)))</f>
        <v/>
      </c>
      <c r="N326" s="16">
        <f>IF($A326="","",IFERROR(SUMIF(tblAnahtarA[Norm],$A326,tblVeriA[HedefNet]),0))</f>
        <v/>
      </c>
      <c r="O326" s="16">
        <f>IF($A326="","",ROUND($K326-$N326,2))</f>
        <v/>
      </c>
      <c r="P326" s="16">
        <f>IF($A326="","",IF($L326&lt;egk_esikKatkiDusuk,"ZAM YAP",IF(AND($R326=1,$L326&lt;egk_esikKatkiHedef),"İNDİRİMİ KES","TUT")))</f>
        <v/>
      </c>
      <c r="Q326" s="16">
        <f>IF($A326="","",IFERROR(SUMIF(tblAnahtarB[NormB],$A326,tblVeriB[Roas]),0))</f>
        <v/>
      </c>
      <c r="R326" s="16">
        <f>IF($A326="","",IF(OR(IFERROR(INDEX(tblVeriA[YorumAB],MATCH($A326,tblAnahtarA[Norm],0)),"")="B",IFERROR(INDEX(tblVeriA[Durum],MATCH($A326,tblAnahtarA[Norm],0)),"")="Kampanya"),1,0))</f>
        <v/>
      </c>
      <c r="S326" s="16">
        <f>IF($A326="","",$J326-$E326)</f>
        <v/>
      </c>
      <c r="T326" s="16">
        <f>IF($A326="","",$K326-$O326)</f>
        <v/>
      </c>
    </row>
    <row r="327">
      <c r="A327" s="16">
        <f>IF('ANAHTAR'!$B327="","",'ANAHTAR'!$B327)</f>
        <v/>
      </c>
      <c r="B327" s="16">
        <f>IF($A327="","",IFERROR(SUMIF(tblAnahtarA[Norm],$A327,tblVeriA[SatisFiyati]),0))</f>
        <v/>
      </c>
      <c r="C327" s="16">
        <f>IF($A327="","",IFERROR(SUMIF(tblAnahtarA[Norm],$A327,tblVeriA[Maliyet]),0))</f>
        <v/>
      </c>
      <c r="D327" s="16">
        <f>IF($A327="","",IFERROR(SUMIF(tblAnahtarB[NormB],$A327,tblVeriB[KomisyonOran]),0))</f>
        <v/>
      </c>
      <c r="E327" s="16">
        <f>IF($A327="","",ROUND($B327*$D327,2))</f>
        <v/>
      </c>
      <c r="F327" s="16">
        <f>IF($A327="","",IFERROR(SUMIF(tblAnahtarB[NormB],$A327,tblVeriB[Kargo]),0))</f>
        <v/>
      </c>
      <c r="G327" s="16">
        <f>IF($A327="","",IFERROR(SUMIF(tblAnahtarB[NormB],$A327,tblVeriB[IadeOran]),0))</f>
        <v/>
      </c>
      <c r="H327" s="16">
        <f>IF($A327="","",ROUND($B327*$G327,2))</f>
        <v/>
      </c>
      <c r="I327" s="16">
        <f>IF($A327="","",IFERROR(SUMIF(tblAnahtarB[NormB],$A327,tblVeriB[ReklamTutar]),0))</f>
        <v/>
      </c>
      <c r="J327" s="16">
        <f>IF($A327="","",ROUND($B327-$C327,2))</f>
        <v/>
      </c>
      <c r="K327" s="16">
        <f>IF($A327="","",ROUND($B327-$C327-$E327-$F327-$H327-$I327,2))</f>
        <v/>
      </c>
      <c r="L327" s="16">
        <f>IF(OR($A327="",$B327=0),0,$K327/$B327)</f>
        <v/>
      </c>
      <c r="M327" s="16">
        <f>IF($A327="","",IF((1-$D327-$G327)&lt;=0,0,ROUND(($C327+$F327+$I327)/(1-$D327-$G327),2)))</f>
        <v/>
      </c>
      <c r="N327" s="16">
        <f>IF($A327="","",IFERROR(SUMIF(tblAnahtarA[Norm],$A327,tblVeriA[HedefNet]),0))</f>
        <v/>
      </c>
      <c r="O327" s="16">
        <f>IF($A327="","",ROUND($K327-$N327,2))</f>
        <v/>
      </c>
      <c r="P327" s="16">
        <f>IF($A327="","",IF($L327&lt;egk_esikKatkiDusuk,"ZAM YAP",IF(AND($R327=1,$L327&lt;egk_esikKatkiHedef),"İNDİRİMİ KES","TUT")))</f>
        <v/>
      </c>
      <c r="Q327" s="16">
        <f>IF($A327="","",IFERROR(SUMIF(tblAnahtarB[NormB],$A327,tblVeriB[Roas]),0))</f>
        <v/>
      </c>
      <c r="R327" s="16">
        <f>IF($A327="","",IF(OR(IFERROR(INDEX(tblVeriA[YorumAB],MATCH($A327,tblAnahtarA[Norm],0)),"")="B",IFERROR(INDEX(tblVeriA[Durum],MATCH($A327,tblAnahtarA[Norm],0)),"")="Kampanya"),1,0))</f>
        <v/>
      </c>
      <c r="S327" s="16">
        <f>IF($A327="","",$J327-$E327)</f>
        <v/>
      </c>
      <c r="T327" s="16">
        <f>IF($A327="","",$K327-$O327)</f>
        <v/>
      </c>
    </row>
    <row r="328">
      <c r="A328" s="16">
        <f>IF('ANAHTAR'!$B328="","",'ANAHTAR'!$B328)</f>
        <v/>
      </c>
      <c r="B328" s="16">
        <f>IF($A328="","",IFERROR(SUMIF(tblAnahtarA[Norm],$A328,tblVeriA[SatisFiyati]),0))</f>
        <v/>
      </c>
      <c r="C328" s="16">
        <f>IF($A328="","",IFERROR(SUMIF(tblAnahtarA[Norm],$A328,tblVeriA[Maliyet]),0))</f>
        <v/>
      </c>
      <c r="D328" s="16">
        <f>IF($A328="","",IFERROR(SUMIF(tblAnahtarB[NormB],$A328,tblVeriB[KomisyonOran]),0))</f>
        <v/>
      </c>
      <c r="E328" s="16">
        <f>IF($A328="","",ROUND($B328*$D328,2))</f>
        <v/>
      </c>
      <c r="F328" s="16">
        <f>IF($A328="","",IFERROR(SUMIF(tblAnahtarB[NormB],$A328,tblVeriB[Kargo]),0))</f>
        <v/>
      </c>
      <c r="G328" s="16">
        <f>IF($A328="","",IFERROR(SUMIF(tblAnahtarB[NormB],$A328,tblVeriB[IadeOran]),0))</f>
        <v/>
      </c>
      <c r="H328" s="16">
        <f>IF($A328="","",ROUND($B328*$G328,2))</f>
        <v/>
      </c>
      <c r="I328" s="16">
        <f>IF($A328="","",IFERROR(SUMIF(tblAnahtarB[NormB],$A328,tblVeriB[ReklamTutar]),0))</f>
        <v/>
      </c>
      <c r="J328" s="16">
        <f>IF($A328="","",ROUND($B328-$C328,2))</f>
        <v/>
      </c>
      <c r="K328" s="16">
        <f>IF($A328="","",ROUND($B328-$C328-$E328-$F328-$H328-$I328,2))</f>
        <v/>
      </c>
      <c r="L328" s="16">
        <f>IF(OR($A328="",$B328=0),0,$K328/$B328)</f>
        <v/>
      </c>
      <c r="M328" s="16">
        <f>IF($A328="","",IF((1-$D328-$G328)&lt;=0,0,ROUND(($C328+$F328+$I328)/(1-$D328-$G328),2)))</f>
        <v/>
      </c>
      <c r="N328" s="16">
        <f>IF($A328="","",IFERROR(SUMIF(tblAnahtarA[Norm],$A328,tblVeriA[HedefNet]),0))</f>
        <v/>
      </c>
      <c r="O328" s="16">
        <f>IF($A328="","",ROUND($K328-$N328,2))</f>
        <v/>
      </c>
      <c r="P328" s="16">
        <f>IF($A328="","",IF($L328&lt;egk_esikKatkiDusuk,"ZAM YAP",IF(AND($R328=1,$L328&lt;egk_esikKatkiHedef),"İNDİRİMİ KES","TUT")))</f>
        <v/>
      </c>
      <c r="Q328" s="16">
        <f>IF($A328="","",IFERROR(SUMIF(tblAnahtarB[NormB],$A328,tblVeriB[Roas]),0))</f>
        <v/>
      </c>
      <c r="R328" s="16">
        <f>IF($A328="","",IF(OR(IFERROR(INDEX(tblVeriA[YorumAB],MATCH($A328,tblAnahtarA[Norm],0)),"")="B",IFERROR(INDEX(tblVeriA[Durum],MATCH($A328,tblAnahtarA[Norm],0)),"")="Kampanya"),1,0))</f>
        <v/>
      </c>
      <c r="S328" s="16">
        <f>IF($A328="","",$J328-$E328)</f>
        <v/>
      </c>
      <c r="T328" s="16">
        <f>IF($A328="","",$K328-$O328)</f>
        <v/>
      </c>
    </row>
    <row r="329">
      <c r="A329" s="16">
        <f>IF('ANAHTAR'!$B329="","",'ANAHTAR'!$B329)</f>
        <v/>
      </c>
      <c r="B329" s="16">
        <f>IF($A329="","",IFERROR(SUMIF(tblAnahtarA[Norm],$A329,tblVeriA[SatisFiyati]),0))</f>
        <v/>
      </c>
      <c r="C329" s="16">
        <f>IF($A329="","",IFERROR(SUMIF(tblAnahtarA[Norm],$A329,tblVeriA[Maliyet]),0))</f>
        <v/>
      </c>
      <c r="D329" s="16">
        <f>IF($A329="","",IFERROR(SUMIF(tblAnahtarB[NormB],$A329,tblVeriB[KomisyonOran]),0))</f>
        <v/>
      </c>
      <c r="E329" s="16">
        <f>IF($A329="","",ROUND($B329*$D329,2))</f>
        <v/>
      </c>
      <c r="F329" s="16">
        <f>IF($A329="","",IFERROR(SUMIF(tblAnahtarB[NormB],$A329,tblVeriB[Kargo]),0))</f>
        <v/>
      </c>
      <c r="G329" s="16">
        <f>IF($A329="","",IFERROR(SUMIF(tblAnahtarB[NormB],$A329,tblVeriB[IadeOran]),0))</f>
        <v/>
      </c>
      <c r="H329" s="16">
        <f>IF($A329="","",ROUND($B329*$G329,2))</f>
        <v/>
      </c>
      <c r="I329" s="16">
        <f>IF($A329="","",IFERROR(SUMIF(tblAnahtarB[NormB],$A329,tblVeriB[ReklamTutar]),0))</f>
        <v/>
      </c>
      <c r="J329" s="16">
        <f>IF($A329="","",ROUND($B329-$C329,2))</f>
        <v/>
      </c>
      <c r="K329" s="16">
        <f>IF($A329="","",ROUND($B329-$C329-$E329-$F329-$H329-$I329,2))</f>
        <v/>
      </c>
      <c r="L329" s="16">
        <f>IF(OR($A329="",$B329=0),0,$K329/$B329)</f>
        <v/>
      </c>
      <c r="M329" s="16">
        <f>IF($A329="","",IF((1-$D329-$G329)&lt;=0,0,ROUND(($C329+$F329+$I329)/(1-$D329-$G329),2)))</f>
        <v/>
      </c>
      <c r="N329" s="16">
        <f>IF($A329="","",IFERROR(SUMIF(tblAnahtarA[Norm],$A329,tblVeriA[HedefNet]),0))</f>
        <v/>
      </c>
      <c r="O329" s="16">
        <f>IF($A329="","",ROUND($K329-$N329,2))</f>
        <v/>
      </c>
      <c r="P329" s="16">
        <f>IF($A329="","",IF($L329&lt;egk_esikKatkiDusuk,"ZAM YAP",IF(AND($R329=1,$L329&lt;egk_esikKatkiHedef),"İNDİRİMİ KES","TUT")))</f>
        <v/>
      </c>
      <c r="Q329" s="16">
        <f>IF($A329="","",IFERROR(SUMIF(tblAnahtarB[NormB],$A329,tblVeriB[Roas]),0))</f>
        <v/>
      </c>
      <c r="R329" s="16">
        <f>IF($A329="","",IF(OR(IFERROR(INDEX(tblVeriA[YorumAB],MATCH($A329,tblAnahtarA[Norm],0)),"")="B",IFERROR(INDEX(tblVeriA[Durum],MATCH($A329,tblAnahtarA[Norm],0)),"")="Kampanya"),1,0))</f>
        <v/>
      </c>
      <c r="S329" s="16">
        <f>IF($A329="","",$J329-$E329)</f>
        <v/>
      </c>
      <c r="T329" s="16">
        <f>IF($A329="","",$K329-$O329)</f>
        <v/>
      </c>
    </row>
    <row r="330">
      <c r="A330" s="16">
        <f>IF('ANAHTAR'!$B330="","",'ANAHTAR'!$B330)</f>
        <v/>
      </c>
      <c r="B330" s="16">
        <f>IF($A330="","",IFERROR(SUMIF(tblAnahtarA[Norm],$A330,tblVeriA[SatisFiyati]),0))</f>
        <v/>
      </c>
      <c r="C330" s="16">
        <f>IF($A330="","",IFERROR(SUMIF(tblAnahtarA[Norm],$A330,tblVeriA[Maliyet]),0))</f>
        <v/>
      </c>
      <c r="D330" s="16">
        <f>IF($A330="","",IFERROR(SUMIF(tblAnahtarB[NormB],$A330,tblVeriB[KomisyonOran]),0))</f>
        <v/>
      </c>
      <c r="E330" s="16">
        <f>IF($A330="","",ROUND($B330*$D330,2))</f>
        <v/>
      </c>
      <c r="F330" s="16">
        <f>IF($A330="","",IFERROR(SUMIF(tblAnahtarB[NormB],$A330,tblVeriB[Kargo]),0))</f>
        <v/>
      </c>
      <c r="G330" s="16">
        <f>IF($A330="","",IFERROR(SUMIF(tblAnahtarB[NormB],$A330,tblVeriB[IadeOran]),0))</f>
        <v/>
      </c>
      <c r="H330" s="16">
        <f>IF($A330="","",ROUND($B330*$G330,2))</f>
        <v/>
      </c>
      <c r="I330" s="16">
        <f>IF($A330="","",IFERROR(SUMIF(tblAnahtarB[NormB],$A330,tblVeriB[ReklamTutar]),0))</f>
        <v/>
      </c>
      <c r="J330" s="16">
        <f>IF($A330="","",ROUND($B330-$C330,2))</f>
        <v/>
      </c>
      <c r="K330" s="16">
        <f>IF($A330="","",ROUND($B330-$C330-$E330-$F330-$H330-$I330,2))</f>
        <v/>
      </c>
      <c r="L330" s="16">
        <f>IF(OR($A330="",$B330=0),0,$K330/$B330)</f>
        <v/>
      </c>
      <c r="M330" s="16">
        <f>IF($A330="","",IF((1-$D330-$G330)&lt;=0,0,ROUND(($C330+$F330+$I330)/(1-$D330-$G330),2)))</f>
        <v/>
      </c>
      <c r="N330" s="16">
        <f>IF($A330="","",IFERROR(SUMIF(tblAnahtarA[Norm],$A330,tblVeriA[HedefNet]),0))</f>
        <v/>
      </c>
      <c r="O330" s="16">
        <f>IF($A330="","",ROUND($K330-$N330,2))</f>
        <v/>
      </c>
      <c r="P330" s="16">
        <f>IF($A330="","",IF($L330&lt;egk_esikKatkiDusuk,"ZAM YAP",IF(AND($R330=1,$L330&lt;egk_esikKatkiHedef),"İNDİRİMİ KES","TUT")))</f>
        <v/>
      </c>
      <c r="Q330" s="16">
        <f>IF($A330="","",IFERROR(SUMIF(tblAnahtarB[NormB],$A330,tblVeriB[Roas]),0))</f>
        <v/>
      </c>
      <c r="R330" s="16">
        <f>IF($A330="","",IF(OR(IFERROR(INDEX(tblVeriA[YorumAB],MATCH($A330,tblAnahtarA[Norm],0)),"")="B",IFERROR(INDEX(tblVeriA[Durum],MATCH($A330,tblAnahtarA[Norm],0)),"")="Kampanya"),1,0))</f>
        <v/>
      </c>
      <c r="S330" s="16">
        <f>IF($A330="","",$J330-$E330)</f>
        <v/>
      </c>
      <c r="T330" s="16">
        <f>IF($A330="","",$K330-$O330)</f>
        <v/>
      </c>
    </row>
    <row r="331">
      <c r="A331" s="16">
        <f>IF('ANAHTAR'!$B331="","",'ANAHTAR'!$B331)</f>
        <v/>
      </c>
      <c r="B331" s="16">
        <f>IF($A331="","",IFERROR(SUMIF(tblAnahtarA[Norm],$A331,tblVeriA[SatisFiyati]),0))</f>
        <v/>
      </c>
      <c r="C331" s="16">
        <f>IF($A331="","",IFERROR(SUMIF(tblAnahtarA[Norm],$A331,tblVeriA[Maliyet]),0))</f>
        <v/>
      </c>
      <c r="D331" s="16">
        <f>IF($A331="","",IFERROR(SUMIF(tblAnahtarB[NormB],$A331,tblVeriB[KomisyonOran]),0))</f>
        <v/>
      </c>
      <c r="E331" s="16">
        <f>IF($A331="","",ROUND($B331*$D331,2))</f>
        <v/>
      </c>
      <c r="F331" s="16">
        <f>IF($A331="","",IFERROR(SUMIF(tblAnahtarB[NormB],$A331,tblVeriB[Kargo]),0))</f>
        <v/>
      </c>
      <c r="G331" s="16">
        <f>IF($A331="","",IFERROR(SUMIF(tblAnahtarB[NormB],$A331,tblVeriB[IadeOran]),0))</f>
        <v/>
      </c>
      <c r="H331" s="16">
        <f>IF($A331="","",ROUND($B331*$G331,2))</f>
        <v/>
      </c>
      <c r="I331" s="16">
        <f>IF($A331="","",IFERROR(SUMIF(tblAnahtarB[NormB],$A331,tblVeriB[ReklamTutar]),0))</f>
        <v/>
      </c>
      <c r="J331" s="16">
        <f>IF($A331="","",ROUND($B331-$C331,2))</f>
        <v/>
      </c>
      <c r="K331" s="16">
        <f>IF($A331="","",ROUND($B331-$C331-$E331-$F331-$H331-$I331,2))</f>
        <v/>
      </c>
      <c r="L331" s="16">
        <f>IF(OR($A331="",$B331=0),0,$K331/$B331)</f>
        <v/>
      </c>
      <c r="M331" s="16">
        <f>IF($A331="","",IF((1-$D331-$G331)&lt;=0,0,ROUND(($C331+$F331+$I331)/(1-$D331-$G331),2)))</f>
        <v/>
      </c>
      <c r="N331" s="16">
        <f>IF($A331="","",IFERROR(SUMIF(tblAnahtarA[Norm],$A331,tblVeriA[HedefNet]),0))</f>
        <v/>
      </c>
      <c r="O331" s="16">
        <f>IF($A331="","",ROUND($K331-$N331,2))</f>
        <v/>
      </c>
      <c r="P331" s="16">
        <f>IF($A331="","",IF($L331&lt;egk_esikKatkiDusuk,"ZAM YAP",IF(AND($R331=1,$L331&lt;egk_esikKatkiHedef),"İNDİRİMİ KES","TUT")))</f>
        <v/>
      </c>
      <c r="Q331" s="16">
        <f>IF($A331="","",IFERROR(SUMIF(tblAnahtarB[NormB],$A331,tblVeriB[Roas]),0))</f>
        <v/>
      </c>
      <c r="R331" s="16">
        <f>IF($A331="","",IF(OR(IFERROR(INDEX(tblVeriA[YorumAB],MATCH($A331,tblAnahtarA[Norm],0)),"")="B",IFERROR(INDEX(tblVeriA[Durum],MATCH($A331,tblAnahtarA[Norm],0)),"")="Kampanya"),1,0))</f>
        <v/>
      </c>
      <c r="S331" s="16">
        <f>IF($A331="","",$J331-$E331)</f>
        <v/>
      </c>
      <c r="T331" s="16">
        <f>IF($A331="","",$K331-$O331)</f>
        <v/>
      </c>
    </row>
    <row r="332">
      <c r="A332" s="16">
        <f>IF('ANAHTAR'!$B332="","",'ANAHTAR'!$B332)</f>
        <v/>
      </c>
      <c r="B332" s="16">
        <f>IF($A332="","",IFERROR(SUMIF(tblAnahtarA[Norm],$A332,tblVeriA[SatisFiyati]),0))</f>
        <v/>
      </c>
      <c r="C332" s="16">
        <f>IF($A332="","",IFERROR(SUMIF(tblAnahtarA[Norm],$A332,tblVeriA[Maliyet]),0))</f>
        <v/>
      </c>
      <c r="D332" s="16">
        <f>IF($A332="","",IFERROR(SUMIF(tblAnahtarB[NormB],$A332,tblVeriB[KomisyonOran]),0))</f>
        <v/>
      </c>
      <c r="E332" s="16">
        <f>IF($A332="","",ROUND($B332*$D332,2))</f>
        <v/>
      </c>
      <c r="F332" s="16">
        <f>IF($A332="","",IFERROR(SUMIF(tblAnahtarB[NormB],$A332,tblVeriB[Kargo]),0))</f>
        <v/>
      </c>
      <c r="G332" s="16">
        <f>IF($A332="","",IFERROR(SUMIF(tblAnahtarB[NormB],$A332,tblVeriB[IadeOran]),0))</f>
        <v/>
      </c>
      <c r="H332" s="16">
        <f>IF($A332="","",ROUND($B332*$G332,2))</f>
        <v/>
      </c>
      <c r="I332" s="16">
        <f>IF($A332="","",IFERROR(SUMIF(tblAnahtarB[NormB],$A332,tblVeriB[ReklamTutar]),0))</f>
        <v/>
      </c>
      <c r="J332" s="16">
        <f>IF($A332="","",ROUND($B332-$C332,2))</f>
        <v/>
      </c>
      <c r="K332" s="16">
        <f>IF($A332="","",ROUND($B332-$C332-$E332-$F332-$H332-$I332,2))</f>
        <v/>
      </c>
      <c r="L332" s="16">
        <f>IF(OR($A332="",$B332=0),0,$K332/$B332)</f>
        <v/>
      </c>
      <c r="M332" s="16">
        <f>IF($A332="","",IF((1-$D332-$G332)&lt;=0,0,ROUND(($C332+$F332+$I332)/(1-$D332-$G332),2)))</f>
        <v/>
      </c>
      <c r="N332" s="16">
        <f>IF($A332="","",IFERROR(SUMIF(tblAnahtarA[Norm],$A332,tblVeriA[HedefNet]),0))</f>
        <v/>
      </c>
      <c r="O332" s="16">
        <f>IF($A332="","",ROUND($K332-$N332,2))</f>
        <v/>
      </c>
      <c r="P332" s="16">
        <f>IF($A332="","",IF($L332&lt;egk_esikKatkiDusuk,"ZAM YAP",IF(AND($R332=1,$L332&lt;egk_esikKatkiHedef),"İNDİRİMİ KES","TUT")))</f>
        <v/>
      </c>
      <c r="Q332" s="16">
        <f>IF($A332="","",IFERROR(SUMIF(tblAnahtarB[NormB],$A332,tblVeriB[Roas]),0))</f>
        <v/>
      </c>
      <c r="R332" s="16">
        <f>IF($A332="","",IF(OR(IFERROR(INDEX(tblVeriA[YorumAB],MATCH($A332,tblAnahtarA[Norm],0)),"")="B",IFERROR(INDEX(tblVeriA[Durum],MATCH($A332,tblAnahtarA[Norm],0)),"")="Kampanya"),1,0))</f>
        <v/>
      </c>
      <c r="S332" s="16">
        <f>IF($A332="","",$J332-$E332)</f>
        <v/>
      </c>
      <c r="T332" s="16">
        <f>IF($A332="","",$K332-$O332)</f>
        <v/>
      </c>
    </row>
    <row r="333">
      <c r="A333" s="16">
        <f>IF('ANAHTAR'!$B333="","",'ANAHTAR'!$B333)</f>
        <v/>
      </c>
      <c r="B333" s="16">
        <f>IF($A333="","",IFERROR(SUMIF(tblAnahtarA[Norm],$A333,tblVeriA[SatisFiyati]),0))</f>
        <v/>
      </c>
      <c r="C333" s="16">
        <f>IF($A333="","",IFERROR(SUMIF(tblAnahtarA[Norm],$A333,tblVeriA[Maliyet]),0))</f>
        <v/>
      </c>
      <c r="D333" s="16">
        <f>IF($A333="","",IFERROR(SUMIF(tblAnahtarB[NormB],$A333,tblVeriB[KomisyonOran]),0))</f>
        <v/>
      </c>
      <c r="E333" s="16">
        <f>IF($A333="","",ROUND($B333*$D333,2))</f>
        <v/>
      </c>
      <c r="F333" s="16">
        <f>IF($A333="","",IFERROR(SUMIF(tblAnahtarB[NormB],$A333,tblVeriB[Kargo]),0))</f>
        <v/>
      </c>
      <c r="G333" s="16">
        <f>IF($A333="","",IFERROR(SUMIF(tblAnahtarB[NormB],$A333,tblVeriB[IadeOran]),0))</f>
        <v/>
      </c>
      <c r="H333" s="16">
        <f>IF($A333="","",ROUND($B333*$G333,2))</f>
        <v/>
      </c>
      <c r="I333" s="16">
        <f>IF($A333="","",IFERROR(SUMIF(tblAnahtarB[NormB],$A333,tblVeriB[ReklamTutar]),0))</f>
        <v/>
      </c>
      <c r="J333" s="16">
        <f>IF($A333="","",ROUND($B333-$C333,2))</f>
        <v/>
      </c>
      <c r="K333" s="16">
        <f>IF($A333="","",ROUND($B333-$C333-$E333-$F333-$H333-$I333,2))</f>
        <v/>
      </c>
      <c r="L333" s="16">
        <f>IF(OR($A333="",$B333=0),0,$K333/$B333)</f>
        <v/>
      </c>
      <c r="M333" s="16">
        <f>IF($A333="","",IF((1-$D333-$G333)&lt;=0,0,ROUND(($C333+$F333+$I333)/(1-$D333-$G333),2)))</f>
        <v/>
      </c>
      <c r="N333" s="16">
        <f>IF($A333="","",IFERROR(SUMIF(tblAnahtarA[Norm],$A333,tblVeriA[HedefNet]),0))</f>
        <v/>
      </c>
      <c r="O333" s="16">
        <f>IF($A333="","",ROUND($K333-$N333,2))</f>
        <v/>
      </c>
      <c r="P333" s="16">
        <f>IF($A333="","",IF($L333&lt;egk_esikKatkiDusuk,"ZAM YAP",IF(AND($R333=1,$L333&lt;egk_esikKatkiHedef),"İNDİRİMİ KES","TUT")))</f>
        <v/>
      </c>
      <c r="Q333" s="16">
        <f>IF($A333="","",IFERROR(SUMIF(tblAnahtarB[NormB],$A333,tblVeriB[Roas]),0))</f>
        <v/>
      </c>
      <c r="R333" s="16">
        <f>IF($A333="","",IF(OR(IFERROR(INDEX(tblVeriA[YorumAB],MATCH($A333,tblAnahtarA[Norm],0)),"")="B",IFERROR(INDEX(tblVeriA[Durum],MATCH($A333,tblAnahtarA[Norm],0)),"")="Kampanya"),1,0))</f>
        <v/>
      </c>
      <c r="S333" s="16">
        <f>IF($A333="","",$J333-$E333)</f>
        <v/>
      </c>
      <c r="T333" s="16">
        <f>IF($A333="","",$K333-$O333)</f>
        <v/>
      </c>
    </row>
    <row r="334">
      <c r="A334" s="16">
        <f>IF('ANAHTAR'!$B334="","",'ANAHTAR'!$B334)</f>
        <v/>
      </c>
      <c r="B334" s="16">
        <f>IF($A334="","",IFERROR(SUMIF(tblAnahtarA[Norm],$A334,tblVeriA[SatisFiyati]),0))</f>
        <v/>
      </c>
      <c r="C334" s="16">
        <f>IF($A334="","",IFERROR(SUMIF(tblAnahtarA[Norm],$A334,tblVeriA[Maliyet]),0))</f>
        <v/>
      </c>
      <c r="D334" s="16">
        <f>IF($A334="","",IFERROR(SUMIF(tblAnahtarB[NormB],$A334,tblVeriB[KomisyonOran]),0))</f>
        <v/>
      </c>
      <c r="E334" s="16">
        <f>IF($A334="","",ROUND($B334*$D334,2))</f>
        <v/>
      </c>
      <c r="F334" s="16">
        <f>IF($A334="","",IFERROR(SUMIF(tblAnahtarB[NormB],$A334,tblVeriB[Kargo]),0))</f>
        <v/>
      </c>
      <c r="G334" s="16">
        <f>IF($A334="","",IFERROR(SUMIF(tblAnahtarB[NormB],$A334,tblVeriB[IadeOran]),0))</f>
        <v/>
      </c>
      <c r="H334" s="16">
        <f>IF($A334="","",ROUND($B334*$G334,2))</f>
        <v/>
      </c>
      <c r="I334" s="16">
        <f>IF($A334="","",IFERROR(SUMIF(tblAnahtarB[NormB],$A334,tblVeriB[ReklamTutar]),0))</f>
        <v/>
      </c>
      <c r="J334" s="16">
        <f>IF($A334="","",ROUND($B334-$C334,2))</f>
        <v/>
      </c>
      <c r="K334" s="16">
        <f>IF($A334="","",ROUND($B334-$C334-$E334-$F334-$H334-$I334,2))</f>
        <v/>
      </c>
      <c r="L334" s="16">
        <f>IF(OR($A334="",$B334=0),0,$K334/$B334)</f>
        <v/>
      </c>
      <c r="M334" s="16">
        <f>IF($A334="","",IF((1-$D334-$G334)&lt;=0,0,ROUND(($C334+$F334+$I334)/(1-$D334-$G334),2)))</f>
        <v/>
      </c>
      <c r="N334" s="16">
        <f>IF($A334="","",IFERROR(SUMIF(tblAnahtarA[Norm],$A334,tblVeriA[HedefNet]),0))</f>
        <v/>
      </c>
      <c r="O334" s="16">
        <f>IF($A334="","",ROUND($K334-$N334,2))</f>
        <v/>
      </c>
      <c r="P334" s="16">
        <f>IF($A334="","",IF($L334&lt;egk_esikKatkiDusuk,"ZAM YAP",IF(AND($R334=1,$L334&lt;egk_esikKatkiHedef),"İNDİRİMİ KES","TUT")))</f>
        <v/>
      </c>
      <c r="Q334" s="16">
        <f>IF($A334="","",IFERROR(SUMIF(tblAnahtarB[NormB],$A334,tblVeriB[Roas]),0))</f>
        <v/>
      </c>
      <c r="R334" s="16">
        <f>IF($A334="","",IF(OR(IFERROR(INDEX(tblVeriA[YorumAB],MATCH($A334,tblAnahtarA[Norm],0)),"")="B",IFERROR(INDEX(tblVeriA[Durum],MATCH($A334,tblAnahtarA[Norm],0)),"")="Kampanya"),1,0))</f>
        <v/>
      </c>
      <c r="S334" s="16">
        <f>IF($A334="","",$J334-$E334)</f>
        <v/>
      </c>
      <c r="T334" s="16">
        <f>IF($A334="","",$K334-$O334)</f>
        <v/>
      </c>
    </row>
    <row r="335">
      <c r="A335" s="16">
        <f>IF('ANAHTAR'!$B335="","",'ANAHTAR'!$B335)</f>
        <v/>
      </c>
      <c r="B335" s="16">
        <f>IF($A335="","",IFERROR(SUMIF(tblAnahtarA[Norm],$A335,tblVeriA[SatisFiyati]),0))</f>
        <v/>
      </c>
      <c r="C335" s="16">
        <f>IF($A335="","",IFERROR(SUMIF(tblAnahtarA[Norm],$A335,tblVeriA[Maliyet]),0))</f>
        <v/>
      </c>
      <c r="D335" s="16">
        <f>IF($A335="","",IFERROR(SUMIF(tblAnahtarB[NormB],$A335,tblVeriB[KomisyonOran]),0))</f>
        <v/>
      </c>
      <c r="E335" s="16">
        <f>IF($A335="","",ROUND($B335*$D335,2))</f>
        <v/>
      </c>
      <c r="F335" s="16">
        <f>IF($A335="","",IFERROR(SUMIF(tblAnahtarB[NormB],$A335,tblVeriB[Kargo]),0))</f>
        <v/>
      </c>
      <c r="G335" s="16">
        <f>IF($A335="","",IFERROR(SUMIF(tblAnahtarB[NormB],$A335,tblVeriB[IadeOran]),0))</f>
        <v/>
      </c>
      <c r="H335" s="16">
        <f>IF($A335="","",ROUND($B335*$G335,2))</f>
        <v/>
      </c>
      <c r="I335" s="16">
        <f>IF($A335="","",IFERROR(SUMIF(tblAnahtarB[NormB],$A335,tblVeriB[ReklamTutar]),0))</f>
        <v/>
      </c>
      <c r="J335" s="16">
        <f>IF($A335="","",ROUND($B335-$C335,2))</f>
        <v/>
      </c>
      <c r="K335" s="16">
        <f>IF($A335="","",ROUND($B335-$C335-$E335-$F335-$H335-$I335,2))</f>
        <v/>
      </c>
      <c r="L335" s="16">
        <f>IF(OR($A335="",$B335=0),0,$K335/$B335)</f>
        <v/>
      </c>
      <c r="M335" s="16">
        <f>IF($A335="","",IF((1-$D335-$G335)&lt;=0,0,ROUND(($C335+$F335+$I335)/(1-$D335-$G335),2)))</f>
        <v/>
      </c>
      <c r="N335" s="16">
        <f>IF($A335="","",IFERROR(SUMIF(tblAnahtarA[Norm],$A335,tblVeriA[HedefNet]),0))</f>
        <v/>
      </c>
      <c r="O335" s="16">
        <f>IF($A335="","",ROUND($K335-$N335,2))</f>
        <v/>
      </c>
      <c r="P335" s="16">
        <f>IF($A335="","",IF($L335&lt;egk_esikKatkiDusuk,"ZAM YAP",IF(AND($R335=1,$L335&lt;egk_esikKatkiHedef),"İNDİRİMİ KES","TUT")))</f>
        <v/>
      </c>
      <c r="Q335" s="16">
        <f>IF($A335="","",IFERROR(SUMIF(tblAnahtarB[NormB],$A335,tblVeriB[Roas]),0))</f>
        <v/>
      </c>
      <c r="R335" s="16">
        <f>IF($A335="","",IF(OR(IFERROR(INDEX(tblVeriA[YorumAB],MATCH($A335,tblAnahtarA[Norm],0)),"")="B",IFERROR(INDEX(tblVeriA[Durum],MATCH($A335,tblAnahtarA[Norm],0)),"")="Kampanya"),1,0))</f>
        <v/>
      </c>
      <c r="S335" s="16">
        <f>IF($A335="","",$J335-$E335)</f>
        <v/>
      </c>
      <c r="T335" s="16">
        <f>IF($A335="","",$K335-$O335)</f>
        <v/>
      </c>
    </row>
    <row r="336">
      <c r="A336" s="16">
        <f>IF('ANAHTAR'!$B336="","",'ANAHTAR'!$B336)</f>
        <v/>
      </c>
      <c r="B336" s="16">
        <f>IF($A336="","",IFERROR(SUMIF(tblAnahtarA[Norm],$A336,tblVeriA[SatisFiyati]),0))</f>
        <v/>
      </c>
      <c r="C336" s="16">
        <f>IF($A336="","",IFERROR(SUMIF(tblAnahtarA[Norm],$A336,tblVeriA[Maliyet]),0))</f>
        <v/>
      </c>
      <c r="D336" s="16">
        <f>IF($A336="","",IFERROR(SUMIF(tblAnahtarB[NormB],$A336,tblVeriB[KomisyonOran]),0))</f>
        <v/>
      </c>
      <c r="E336" s="16">
        <f>IF($A336="","",ROUND($B336*$D336,2))</f>
        <v/>
      </c>
      <c r="F336" s="16">
        <f>IF($A336="","",IFERROR(SUMIF(tblAnahtarB[NormB],$A336,tblVeriB[Kargo]),0))</f>
        <v/>
      </c>
      <c r="G336" s="16">
        <f>IF($A336="","",IFERROR(SUMIF(tblAnahtarB[NormB],$A336,tblVeriB[IadeOran]),0))</f>
        <v/>
      </c>
      <c r="H336" s="16">
        <f>IF($A336="","",ROUND($B336*$G336,2))</f>
        <v/>
      </c>
      <c r="I336" s="16">
        <f>IF($A336="","",IFERROR(SUMIF(tblAnahtarB[NormB],$A336,tblVeriB[ReklamTutar]),0))</f>
        <v/>
      </c>
      <c r="J336" s="16">
        <f>IF($A336="","",ROUND($B336-$C336,2))</f>
        <v/>
      </c>
      <c r="K336" s="16">
        <f>IF($A336="","",ROUND($B336-$C336-$E336-$F336-$H336-$I336,2))</f>
        <v/>
      </c>
      <c r="L336" s="16">
        <f>IF(OR($A336="",$B336=0),0,$K336/$B336)</f>
        <v/>
      </c>
      <c r="M336" s="16">
        <f>IF($A336="","",IF((1-$D336-$G336)&lt;=0,0,ROUND(($C336+$F336+$I336)/(1-$D336-$G336),2)))</f>
        <v/>
      </c>
      <c r="N336" s="16">
        <f>IF($A336="","",IFERROR(SUMIF(tblAnahtarA[Norm],$A336,tblVeriA[HedefNet]),0))</f>
        <v/>
      </c>
      <c r="O336" s="16">
        <f>IF($A336="","",ROUND($K336-$N336,2))</f>
        <v/>
      </c>
      <c r="P336" s="16">
        <f>IF($A336="","",IF($L336&lt;egk_esikKatkiDusuk,"ZAM YAP",IF(AND($R336=1,$L336&lt;egk_esikKatkiHedef),"İNDİRİMİ KES","TUT")))</f>
        <v/>
      </c>
      <c r="Q336" s="16">
        <f>IF($A336="","",IFERROR(SUMIF(tblAnahtarB[NormB],$A336,tblVeriB[Roas]),0))</f>
        <v/>
      </c>
      <c r="R336" s="16">
        <f>IF($A336="","",IF(OR(IFERROR(INDEX(tblVeriA[YorumAB],MATCH($A336,tblAnahtarA[Norm],0)),"")="B",IFERROR(INDEX(tblVeriA[Durum],MATCH($A336,tblAnahtarA[Norm],0)),"")="Kampanya"),1,0))</f>
        <v/>
      </c>
      <c r="S336" s="16">
        <f>IF($A336="","",$J336-$E336)</f>
        <v/>
      </c>
      <c r="T336" s="16">
        <f>IF($A336="","",$K336-$O336)</f>
        <v/>
      </c>
    </row>
    <row r="337">
      <c r="A337" s="16">
        <f>IF('ANAHTAR'!$B337="","",'ANAHTAR'!$B337)</f>
        <v/>
      </c>
      <c r="B337" s="16">
        <f>IF($A337="","",IFERROR(SUMIF(tblAnahtarA[Norm],$A337,tblVeriA[SatisFiyati]),0))</f>
        <v/>
      </c>
      <c r="C337" s="16">
        <f>IF($A337="","",IFERROR(SUMIF(tblAnahtarA[Norm],$A337,tblVeriA[Maliyet]),0))</f>
        <v/>
      </c>
      <c r="D337" s="16">
        <f>IF($A337="","",IFERROR(SUMIF(tblAnahtarB[NormB],$A337,tblVeriB[KomisyonOran]),0))</f>
        <v/>
      </c>
      <c r="E337" s="16">
        <f>IF($A337="","",ROUND($B337*$D337,2))</f>
        <v/>
      </c>
      <c r="F337" s="16">
        <f>IF($A337="","",IFERROR(SUMIF(tblAnahtarB[NormB],$A337,tblVeriB[Kargo]),0))</f>
        <v/>
      </c>
      <c r="G337" s="16">
        <f>IF($A337="","",IFERROR(SUMIF(tblAnahtarB[NormB],$A337,tblVeriB[IadeOran]),0))</f>
        <v/>
      </c>
      <c r="H337" s="16">
        <f>IF($A337="","",ROUND($B337*$G337,2))</f>
        <v/>
      </c>
      <c r="I337" s="16">
        <f>IF($A337="","",IFERROR(SUMIF(tblAnahtarB[NormB],$A337,tblVeriB[ReklamTutar]),0))</f>
        <v/>
      </c>
      <c r="J337" s="16">
        <f>IF($A337="","",ROUND($B337-$C337,2))</f>
        <v/>
      </c>
      <c r="K337" s="16">
        <f>IF($A337="","",ROUND($B337-$C337-$E337-$F337-$H337-$I337,2))</f>
        <v/>
      </c>
      <c r="L337" s="16">
        <f>IF(OR($A337="",$B337=0),0,$K337/$B337)</f>
        <v/>
      </c>
      <c r="M337" s="16">
        <f>IF($A337="","",IF((1-$D337-$G337)&lt;=0,0,ROUND(($C337+$F337+$I337)/(1-$D337-$G337),2)))</f>
        <v/>
      </c>
      <c r="N337" s="16">
        <f>IF($A337="","",IFERROR(SUMIF(tblAnahtarA[Norm],$A337,tblVeriA[HedefNet]),0))</f>
        <v/>
      </c>
      <c r="O337" s="16">
        <f>IF($A337="","",ROUND($K337-$N337,2))</f>
        <v/>
      </c>
      <c r="P337" s="16">
        <f>IF($A337="","",IF($L337&lt;egk_esikKatkiDusuk,"ZAM YAP",IF(AND($R337=1,$L337&lt;egk_esikKatkiHedef),"İNDİRİMİ KES","TUT")))</f>
        <v/>
      </c>
      <c r="Q337" s="16">
        <f>IF($A337="","",IFERROR(SUMIF(tblAnahtarB[NormB],$A337,tblVeriB[Roas]),0))</f>
        <v/>
      </c>
      <c r="R337" s="16">
        <f>IF($A337="","",IF(OR(IFERROR(INDEX(tblVeriA[YorumAB],MATCH($A337,tblAnahtarA[Norm],0)),"")="B",IFERROR(INDEX(tblVeriA[Durum],MATCH($A337,tblAnahtarA[Norm],0)),"")="Kampanya"),1,0))</f>
        <v/>
      </c>
      <c r="S337" s="16">
        <f>IF($A337="","",$J337-$E337)</f>
        <v/>
      </c>
      <c r="T337" s="16">
        <f>IF($A337="","",$K337-$O337)</f>
        <v/>
      </c>
    </row>
    <row r="338">
      <c r="A338" s="16">
        <f>IF('ANAHTAR'!$B338="","",'ANAHTAR'!$B338)</f>
        <v/>
      </c>
      <c r="B338" s="16">
        <f>IF($A338="","",IFERROR(SUMIF(tblAnahtarA[Norm],$A338,tblVeriA[SatisFiyati]),0))</f>
        <v/>
      </c>
      <c r="C338" s="16">
        <f>IF($A338="","",IFERROR(SUMIF(tblAnahtarA[Norm],$A338,tblVeriA[Maliyet]),0))</f>
        <v/>
      </c>
      <c r="D338" s="16">
        <f>IF($A338="","",IFERROR(SUMIF(tblAnahtarB[NormB],$A338,tblVeriB[KomisyonOran]),0))</f>
        <v/>
      </c>
      <c r="E338" s="16">
        <f>IF($A338="","",ROUND($B338*$D338,2))</f>
        <v/>
      </c>
      <c r="F338" s="16">
        <f>IF($A338="","",IFERROR(SUMIF(tblAnahtarB[NormB],$A338,tblVeriB[Kargo]),0))</f>
        <v/>
      </c>
      <c r="G338" s="16">
        <f>IF($A338="","",IFERROR(SUMIF(tblAnahtarB[NormB],$A338,tblVeriB[IadeOran]),0))</f>
        <v/>
      </c>
      <c r="H338" s="16">
        <f>IF($A338="","",ROUND($B338*$G338,2))</f>
        <v/>
      </c>
      <c r="I338" s="16">
        <f>IF($A338="","",IFERROR(SUMIF(tblAnahtarB[NormB],$A338,tblVeriB[ReklamTutar]),0))</f>
        <v/>
      </c>
      <c r="J338" s="16">
        <f>IF($A338="","",ROUND($B338-$C338,2))</f>
        <v/>
      </c>
      <c r="K338" s="16">
        <f>IF($A338="","",ROUND($B338-$C338-$E338-$F338-$H338-$I338,2))</f>
        <v/>
      </c>
      <c r="L338" s="16">
        <f>IF(OR($A338="",$B338=0),0,$K338/$B338)</f>
        <v/>
      </c>
      <c r="M338" s="16">
        <f>IF($A338="","",IF((1-$D338-$G338)&lt;=0,0,ROUND(($C338+$F338+$I338)/(1-$D338-$G338),2)))</f>
        <v/>
      </c>
      <c r="N338" s="16">
        <f>IF($A338="","",IFERROR(SUMIF(tblAnahtarA[Norm],$A338,tblVeriA[HedefNet]),0))</f>
        <v/>
      </c>
      <c r="O338" s="16">
        <f>IF($A338="","",ROUND($K338-$N338,2))</f>
        <v/>
      </c>
      <c r="P338" s="16">
        <f>IF($A338="","",IF($L338&lt;egk_esikKatkiDusuk,"ZAM YAP",IF(AND($R338=1,$L338&lt;egk_esikKatkiHedef),"İNDİRİMİ KES","TUT")))</f>
        <v/>
      </c>
      <c r="Q338" s="16">
        <f>IF($A338="","",IFERROR(SUMIF(tblAnahtarB[NormB],$A338,tblVeriB[Roas]),0))</f>
        <v/>
      </c>
      <c r="R338" s="16">
        <f>IF($A338="","",IF(OR(IFERROR(INDEX(tblVeriA[YorumAB],MATCH($A338,tblAnahtarA[Norm],0)),"")="B",IFERROR(INDEX(tblVeriA[Durum],MATCH($A338,tblAnahtarA[Norm],0)),"")="Kampanya"),1,0))</f>
        <v/>
      </c>
      <c r="S338" s="16">
        <f>IF($A338="","",$J338-$E338)</f>
        <v/>
      </c>
      <c r="T338" s="16">
        <f>IF($A338="","",$K338-$O338)</f>
        <v/>
      </c>
    </row>
    <row r="339">
      <c r="A339" s="16">
        <f>IF('ANAHTAR'!$B339="","",'ANAHTAR'!$B339)</f>
        <v/>
      </c>
      <c r="B339" s="16">
        <f>IF($A339="","",IFERROR(SUMIF(tblAnahtarA[Norm],$A339,tblVeriA[SatisFiyati]),0))</f>
        <v/>
      </c>
      <c r="C339" s="16">
        <f>IF($A339="","",IFERROR(SUMIF(tblAnahtarA[Norm],$A339,tblVeriA[Maliyet]),0))</f>
        <v/>
      </c>
      <c r="D339" s="16">
        <f>IF($A339="","",IFERROR(SUMIF(tblAnahtarB[NormB],$A339,tblVeriB[KomisyonOran]),0))</f>
        <v/>
      </c>
      <c r="E339" s="16">
        <f>IF($A339="","",ROUND($B339*$D339,2))</f>
        <v/>
      </c>
      <c r="F339" s="16">
        <f>IF($A339="","",IFERROR(SUMIF(tblAnahtarB[NormB],$A339,tblVeriB[Kargo]),0))</f>
        <v/>
      </c>
      <c r="G339" s="16">
        <f>IF($A339="","",IFERROR(SUMIF(tblAnahtarB[NormB],$A339,tblVeriB[IadeOran]),0))</f>
        <v/>
      </c>
      <c r="H339" s="16">
        <f>IF($A339="","",ROUND($B339*$G339,2))</f>
        <v/>
      </c>
      <c r="I339" s="16">
        <f>IF($A339="","",IFERROR(SUMIF(tblAnahtarB[NormB],$A339,tblVeriB[ReklamTutar]),0))</f>
        <v/>
      </c>
      <c r="J339" s="16">
        <f>IF($A339="","",ROUND($B339-$C339,2))</f>
        <v/>
      </c>
      <c r="K339" s="16">
        <f>IF($A339="","",ROUND($B339-$C339-$E339-$F339-$H339-$I339,2))</f>
        <v/>
      </c>
      <c r="L339" s="16">
        <f>IF(OR($A339="",$B339=0),0,$K339/$B339)</f>
        <v/>
      </c>
      <c r="M339" s="16">
        <f>IF($A339="","",IF((1-$D339-$G339)&lt;=0,0,ROUND(($C339+$F339+$I339)/(1-$D339-$G339),2)))</f>
        <v/>
      </c>
      <c r="N339" s="16">
        <f>IF($A339="","",IFERROR(SUMIF(tblAnahtarA[Norm],$A339,tblVeriA[HedefNet]),0))</f>
        <v/>
      </c>
      <c r="O339" s="16">
        <f>IF($A339="","",ROUND($K339-$N339,2))</f>
        <v/>
      </c>
      <c r="P339" s="16">
        <f>IF($A339="","",IF($L339&lt;egk_esikKatkiDusuk,"ZAM YAP",IF(AND($R339=1,$L339&lt;egk_esikKatkiHedef),"İNDİRİMİ KES","TUT")))</f>
        <v/>
      </c>
      <c r="Q339" s="16">
        <f>IF($A339="","",IFERROR(SUMIF(tblAnahtarB[NormB],$A339,tblVeriB[Roas]),0))</f>
        <v/>
      </c>
      <c r="R339" s="16">
        <f>IF($A339="","",IF(OR(IFERROR(INDEX(tblVeriA[YorumAB],MATCH($A339,tblAnahtarA[Norm],0)),"")="B",IFERROR(INDEX(tblVeriA[Durum],MATCH($A339,tblAnahtarA[Norm],0)),"")="Kampanya"),1,0))</f>
        <v/>
      </c>
      <c r="S339" s="16">
        <f>IF($A339="","",$J339-$E339)</f>
        <v/>
      </c>
      <c r="T339" s="16">
        <f>IF($A339="","",$K339-$O339)</f>
        <v/>
      </c>
    </row>
    <row r="340">
      <c r="A340" s="16">
        <f>IF('ANAHTAR'!$B340="","",'ANAHTAR'!$B340)</f>
        <v/>
      </c>
      <c r="B340" s="16">
        <f>IF($A340="","",IFERROR(SUMIF(tblAnahtarA[Norm],$A340,tblVeriA[SatisFiyati]),0))</f>
        <v/>
      </c>
      <c r="C340" s="16">
        <f>IF($A340="","",IFERROR(SUMIF(tblAnahtarA[Norm],$A340,tblVeriA[Maliyet]),0))</f>
        <v/>
      </c>
      <c r="D340" s="16">
        <f>IF($A340="","",IFERROR(SUMIF(tblAnahtarB[NormB],$A340,tblVeriB[KomisyonOran]),0))</f>
        <v/>
      </c>
      <c r="E340" s="16">
        <f>IF($A340="","",ROUND($B340*$D340,2))</f>
        <v/>
      </c>
      <c r="F340" s="16">
        <f>IF($A340="","",IFERROR(SUMIF(tblAnahtarB[NormB],$A340,tblVeriB[Kargo]),0))</f>
        <v/>
      </c>
      <c r="G340" s="16">
        <f>IF($A340="","",IFERROR(SUMIF(tblAnahtarB[NormB],$A340,tblVeriB[IadeOran]),0))</f>
        <v/>
      </c>
      <c r="H340" s="16">
        <f>IF($A340="","",ROUND($B340*$G340,2))</f>
        <v/>
      </c>
      <c r="I340" s="16">
        <f>IF($A340="","",IFERROR(SUMIF(tblAnahtarB[NormB],$A340,tblVeriB[ReklamTutar]),0))</f>
        <v/>
      </c>
      <c r="J340" s="16">
        <f>IF($A340="","",ROUND($B340-$C340,2))</f>
        <v/>
      </c>
      <c r="K340" s="16">
        <f>IF($A340="","",ROUND($B340-$C340-$E340-$F340-$H340-$I340,2))</f>
        <v/>
      </c>
      <c r="L340" s="16">
        <f>IF(OR($A340="",$B340=0),0,$K340/$B340)</f>
        <v/>
      </c>
      <c r="M340" s="16">
        <f>IF($A340="","",IF((1-$D340-$G340)&lt;=0,0,ROUND(($C340+$F340+$I340)/(1-$D340-$G340),2)))</f>
        <v/>
      </c>
      <c r="N340" s="16">
        <f>IF($A340="","",IFERROR(SUMIF(tblAnahtarA[Norm],$A340,tblVeriA[HedefNet]),0))</f>
        <v/>
      </c>
      <c r="O340" s="16">
        <f>IF($A340="","",ROUND($K340-$N340,2))</f>
        <v/>
      </c>
      <c r="P340" s="16">
        <f>IF($A340="","",IF($L340&lt;egk_esikKatkiDusuk,"ZAM YAP",IF(AND($R340=1,$L340&lt;egk_esikKatkiHedef),"İNDİRİMİ KES","TUT")))</f>
        <v/>
      </c>
      <c r="Q340" s="16">
        <f>IF($A340="","",IFERROR(SUMIF(tblAnahtarB[NormB],$A340,tblVeriB[Roas]),0))</f>
        <v/>
      </c>
      <c r="R340" s="16">
        <f>IF($A340="","",IF(OR(IFERROR(INDEX(tblVeriA[YorumAB],MATCH($A340,tblAnahtarA[Norm],0)),"")="B",IFERROR(INDEX(tblVeriA[Durum],MATCH($A340,tblAnahtarA[Norm],0)),"")="Kampanya"),1,0))</f>
        <v/>
      </c>
      <c r="S340" s="16">
        <f>IF($A340="","",$J340-$E340)</f>
        <v/>
      </c>
      <c r="T340" s="16">
        <f>IF($A340="","",$K340-$O340)</f>
        <v/>
      </c>
    </row>
    <row r="341">
      <c r="A341" s="16">
        <f>IF('ANAHTAR'!$B341="","",'ANAHTAR'!$B341)</f>
        <v/>
      </c>
      <c r="B341" s="16">
        <f>IF($A341="","",IFERROR(SUMIF(tblAnahtarA[Norm],$A341,tblVeriA[SatisFiyati]),0))</f>
        <v/>
      </c>
      <c r="C341" s="16">
        <f>IF($A341="","",IFERROR(SUMIF(tblAnahtarA[Norm],$A341,tblVeriA[Maliyet]),0))</f>
        <v/>
      </c>
      <c r="D341" s="16">
        <f>IF($A341="","",IFERROR(SUMIF(tblAnahtarB[NormB],$A341,tblVeriB[KomisyonOran]),0))</f>
        <v/>
      </c>
      <c r="E341" s="16">
        <f>IF($A341="","",ROUND($B341*$D341,2))</f>
        <v/>
      </c>
      <c r="F341" s="16">
        <f>IF($A341="","",IFERROR(SUMIF(tblAnahtarB[NormB],$A341,tblVeriB[Kargo]),0))</f>
        <v/>
      </c>
      <c r="G341" s="16">
        <f>IF($A341="","",IFERROR(SUMIF(tblAnahtarB[NormB],$A341,tblVeriB[IadeOran]),0))</f>
        <v/>
      </c>
      <c r="H341" s="16">
        <f>IF($A341="","",ROUND($B341*$G341,2))</f>
        <v/>
      </c>
      <c r="I341" s="16">
        <f>IF($A341="","",IFERROR(SUMIF(tblAnahtarB[NormB],$A341,tblVeriB[ReklamTutar]),0))</f>
        <v/>
      </c>
      <c r="J341" s="16">
        <f>IF($A341="","",ROUND($B341-$C341,2))</f>
        <v/>
      </c>
      <c r="K341" s="16">
        <f>IF($A341="","",ROUND($B341-$C341-$E341-$F341-$H341-$I341,2))</f>
        <v/>
      </c>
      <c r="L341" s="16">
        <f>IF(OR($A341="",$B341=0),0,$K341/$B341)</f>
        <v/>
      </c>
      <c r="M341" s="16">
        <f>IF($A341="","",IF((1-$D341-$G341)&lt;=0,0,ROUND(($C341+$F341+$I341)/(1-$D341-$G341),2)))</f>
        <v/>
      </c>
      <c r="N341" s="16">
        <f>IF($A341="","",IFERROR(SUMIF(tblAnahtarA[Norm],$A341,tblVeriA[HedefNet]),0))</f>
        <v/>
      </c>
      <c r="O341" s="16">
        <f>IF($A341="","",ROUND($K341-$N341,2))</f>
        <v/>
      </c>
      <c r="P341" s="16">
        <f>IF($A341="","",IF($L341&lt;egk_esikKatkiDusuk,"ZAM YAP",IF(AND($R341=1,$L341&lt;egk_esikKatkiHedef),"İNDİRİMİ KES","TUT")))</f>
        <v/>
      </c>
      <c r="Q341" s="16">
        <f>IF($A341="","",IFERROR(SUMIF(tblAnahtarB[NormB],$A341,tblVeriB[Roas]),0))</f>
        <v/>
      </c>
      <c r="R341" s="16">
        <f>IF($A341="","",IF(OR(IFERROR(INDEX(tblVeriA[YorumAB],MATCH($A341,tblAnahtarA[Norm],0)),"")="B",IFERROR(INDEX(tblVeriA[Durum],MATCH($A341,tblAnahtarA[Norm],0)),"")="Kampanya"),1,0))</f>
        <v/>
      </c>
      <c r="S341" s="16">
        <f>IF($A341="","",$J341-$E341)</f>
        <v/>
      </c>
      <c r="T341" s="16">
        <f>IF($A341="","",$K341-$O341)</f>
        <v/>
      </c>
    </row>
    <row r="342">
      <c r="A342" s="16">
        <f>IF('ANAHTAR'!$B342="","",'ANAHTAR'!$B342)</f>
        <v/>
      </c>
      <c r="B342" s="16">
        <f>IF($A342="","",IFERROR(SUMIF(tblAnahtarA[Norm],$A342,tblVeriA[SatisFiyati]),0))</f>
        <v/>
      </c>
      <c r="C342" s="16">
        <f>IF($A342="","",IFERROR(SUMIF(tblAnahtarA[Norm],$A342,tblVeriA[Maliyet]),0))</f>
        <v/>
      </c>
      <c r="D342" s="16">
        <f>IF($A342="","",IFERROR(SUMIF(tblAnahtarB[NormB],$A342,tblVeriB[KomisyonOran]),0))</f>
        <v/>
      </c>
      <c r="E342" s="16">
        <f>IF($A342="","",ROUND($B342*$D342,2))</f>
        <v/>
      </c>
      <c r="F342" s="16">
        <f>IF($A342="","",IFERROR(SUMIF(tblAnahtarB[NormB],$A342,tblVeriB[Kargo]),0))</f>
        <v/>
      </c>
      <c r="G342" s="16">
        <f>IF($A342="","",IFERROR(SUMIF(tblAnahtarB[NormB],$A342,tblVeriB[IadeOran]),0))</f>
        <v/>
      </c>
      <c r="H342" s="16">
        <f>IF($A342="","",ROUND($B342*$G342,2))</f>
        <v/>
      </c>
      <c r="I342" s="16">
        <f>IF($A342="","",IFERROR(SUMIF(tblAnahtarB[NormB],$A342,tblVeriB[ReklamTutar]),0))</f>
        <v/>
      </c>
      <c r="J342" s="16">
        <f>IF($A342="","",ROUND($B342-$C342,2))</f>
        <v/>
      </c>
      <c r="K342" s="16">
        <f>IF($A342="","",ROUND($B342-$C342-$E342-$F342-$H342-$I342,2))</f>
        <v/>
      </c>
      <c r="L342" s="16">
        <f>IF(OR($A342="",$B342=0),0,$K342/$B342)</f>
        <v/>
      </c>
      <c r="M342" s="16">
        <f>IF($A342="","",IF((1-$D342-$G342)&lt;=0,0,ROUND(($C342+$F342+$I342)/(1-$D342-$G342),2)))</f>
        <v/>
      </c>
      <c r="N342" s="16">
        <f>IF($A342="","",IFERROR(SUMIF(tblAnahtarA[Norm],$A342,tblVeriA[HedefNet]),0))</f>
        <v/>
      </c>
      <c r="O342" s="16">
        <f>IF($A342="","",ROUND($K342-$N342,2))</f>
        <v/>
      </c>
      <c r="P342" s="16">
        <f>IF($A342="","",IF($L342&lt;egk_esikKatkiDusuk,"ZAM YAP",IF(AND($R342=1,$L342&lt;egk_esikKatkiHedef),"İNDİRİMİ KES","TUT")))</f>
        <v/>
      </c>
      <c r="Q342" s="16">
        <f>IF($A342="","",IFERROR(SUMIF(tblAnahtarB[NormB],$A342,tblVeriB[Roas]),0))</f>
        <v/>
      </c>
      <c r="R342" s="16">
        <f>IF($A342="","",IF(OR(IFERROR(INDEX(tblVeriA[YorumAB],MATCH($A342,tblAnahtarA[Norm],0)),"")="B",IFERROR(INDEX(tblVeriA[Durum],MATCH($A342,tblAnahtarA[Norm],0)),"")="Kampanya"),1,0))</f>
        <v/>
      </c>
      <c r="S342" s="16">
        <f>IF($A342="","",$J342-$E342)</f>
        <v/>
      </c>
      <c r="T342" s="16">
        <f>IF($A342="","",$K342-$O342)</f>
        <v/>
      </c>
    </row>
    <row r="343">
      <c r="A343" s="16">
        <f>IF('ANAHTAR'!$B343="","",'ANAHTAR'!$B343)</f>
        <v/>
      </c>
      <c r="B343" s="16">
        <f>IF($A343="","",IFERROR(SUMIF(tblAnahtarA[Norm],$A343,tblVeriA[SatisFiyati]),0))</f>
        <v/>
      </c>
      <c r="C343" s="16">
        <f>IF($A343="","",IFERROR(SUMIF(tblAnahtarA[Norm],$A343,tblVeriA[Maliyet]),0))</f>
        <v/>
      </c>
      <c r="D343" s="16">
        <f>IF($A343="","",IFERROR(SUMIF(tblAnahtarB[NormB],$A343,tblVeriB[KomisyonOran]),0))</f>
        <v/>
      </c>
      <c r="E343" s="16">
        <f>IF($A343="","",ROUND($B343*$D343,2))</f>
        <v/>
      </c>
      <c r="F343" s="16">
        <f>IF($A343="","",IFERROR(SUMIF(tblAnahtarB[NormB],$A343,tblVeriB[Kargo]),0))</f>
        <v/>
      </c>
      <c r="G343" s="16">
        <f>IF($A343="","",IFERROR(SUMIF(tblAnahtarB[NormB],$A343,tblVeriB[IadeOran]),0))</f>
        <v/>
      </c>
      <c r="H343" s="16">
        <f>IF($A343="","",ROUND($B343*$G343,2))</f>
        <v/>
      </c>
      <c r="I343" s="16">
        <f>IF($A343="","",IFERROR(SUMIF(tblAnahtarB[NormB],$A343,tblVeriB[ReklamTutar]),0))</f>
        <v/>
      </c>
      <c r="J343" s="16">
        <f>IF($A343="","",ROUND($B343-$C343,2))</f>
        <v/>
      </c>
      <c r="K343" s="16">
        <f>IF($A343="","",ROUND($B343-$C343-$E343-$F343-$H343-$I343,2))</f>
        <v/>
      </c>
      <c r="L343" s="16">
        <f>IF(OR($A343="",$B343=0),0,$K343/$B343)</f>
        <v/>
      </c>
      <c r="M343" s="16">
        <f>IF($A343="","",IF((1-$D343-$G343)&lt;=0,0,ROUND(($C343+$F343+$I343)/(1-$D343-$G343),2)))</f>
        <v/>
      </c>
      <c r="N343" s="16">
        <f>IF($A343="","",IFERROR(SUMIF(tblAnahtarA[Norm],$A343,tblVeriA[HedefNet]),0))</f>
        <v/>
      </c>
      <c r="O343" s="16">
        <f>IF($A343="","",ROUND($K343-$N343,2))</f>
        <v/>
      </c>
      <c r="P343" s="16">
        <f>IF($A343="","",IF($L343&lt;egk_esikKatkiDusuk,"ZAM YAP",IF(AND($R343=1,$L343&lt;egk_esikKatkiHedef),"İNDİRİMİ KES","TUT")))</f>
        <v/>
      </c>
      <c r="Q343" s="16">
        <f>IF($A343="","",IFERROR(SUMIF(tblAnahtarB[NormB],$A343,tblVeriB[Roas]),0))</f>
        <v/>
      </c>
      <c r="R343" s="16">
        <f>IF($A343="","",IF(OR(IFERROR(INDEX(tblVeriA[YorumAB],MATCH($A343,tblAnahtarA[Norm],0)),"")="B",IFERROR(INDEX(tblVeriA[Durum],MATCH($A343,tblAnahtarA[Norm],0)),"")="Kampanya"),1,0))</f>
        <v/>
      </c>
      <c r="S343" s="16">
        <f>IF($A343="","",$J343-$E343)</f>
        <v/>
      </c>
      <c r="T343" s="16">
        <f>IF($A343="","",$K343-$O343)</f>
        <v/>
      </c>
    </row>
    <row r="344">
      <c r="A344" s="16">
        <f>IF('ANAHTAR'!$B344="","",'ANAHTAR'!$B344)</f>
        <v/>
      </c>
      <c r="B344" s="16">
        <f>IF($A344="","",IFERROR(SUMIF(tblAnahtarA[Norm],$A344,tblVeriA[SatisFiyati]),0))</f>
        <v/>
      </c>
      <c r="C344" s="16">
        <f>IF($A344="","",IFERROR(SUMIF(tblAnahtarA[Norm],$A344,tblVeriA[Maliyet]),0))</f>
        <v/>
      </c>
      <c r="D344" s="16">
        <f>IF($A344="","",IFERROR(SUMIF(tblAnahtarB[NormB],$A344,tblVeriB[KomisyonOran]),0))</f>
        <v/>
      </c>
      <c r="E344" s="16">
        <f>IF($A344="","",ROUND($B344*$D344,2))</f>
        <v/>
      </c>
      <c r="F344" s="16">
        <f>IF($A344="","",IFERROR(SUMIF(tblAnahtarB[NormB],$A344,tblVeriB[Kargo]),0))</f>
        <v/>
      </c>
      <c r="G344" s="16">
        <f>IF($A344="","",IFERROR(SUMIF(tblAnahtarB[NormB],$A344,tblVeriB[IadeOran]),0))</f>
        <v/>
      </c>
      <c r="H344" s="16">
        <f>IF($A344="","",ROUND($B344*$G344,2))</f>
        <v/>
      </c>
      <c r="I344" s="16">
        <f>IF($A344="","",IFERROR(SUMIF(tblAnahtarB[NormB],$A344,tblVeriB[ReklamTutar]),0))</f>
        <v/>
      </c>
      <c r="J344" s="16">
        <f>IF($A344="","",ROUND($B344-$C344,2))</f>
        <v/>
      </c>
      <c r="K344" s="16">
        <f>IF($A344="","",ROUND($B344-$C344-$E344-$F344-$H344-$I344,2))</f>
        <v/>
      </c>
      <c r="L344" s="16">
        <f>IF(OR($A344="",$B344=0),0,$K344/$B344)</f>
        <v/>
      </c>
      <c r="M344" s="16">
        <f>IF($A344="","",IF((1-$D344-$G344)&lt;=0,0,ROUND(($C344+$F344+$I344)/(1-$D344-$G344),2)))</f>
        <v/>
      </c>
      <c r="N344" s="16">
        <f>IF($A344="","",IFERROR(SUMIF(tblAnahtarA[Norm],$A344,tblVeriA[HedefNet]),0))</f>
        <v/>
      </c>
      <c r="O344" s="16">
        <f>IF($A344="","",ROUND($K344-$N344,2))</f>
        <v/>
      </c>
      <c r="P344" s="16">
        <f>IF($A344="","",IF($L344&lt;egk_esikKatkiDusuk,"ZAM YAP",IF(AND($R344=1,$L344&lt;egk_esikKatkiHedef),"İNDİRİMİ KES","TUT")))</f>
        <v/>
      </c>
      <c r="Q344" s="16">
        <f>IF($A344="","",IFERROR(SUMIF(tblAnahtarB[NormB],$A344,tblVeriB[Roas]),0))</f>
        <v/>
      </c>
      <c r="R344" s="16">
        <f>IF($A344="","",IF(OR(IFERROR(INDEX(tblVeriA[YorumAB],MATCH($A344,tblAnahtarA[Norm],0)),"")="B",IFERROR(INDEX(tblVeriA[Durum],MATCH($A344,tblAnahtarA[Norm],0)),"")="Kampanya"),1,0))</f>
        <v/>
      </c>
      <c r="S344" s="16">
        <f>IF($A344="","",$J344-$E344)</f>
        <v/>
      </c>
      <c r="T344" s="16">
        <f>IF($A344="","",$K344-$O344)</f>
        <v/>
      </c>
    </row>
    <row r="345">
      <c r="A345" s="16">
        <f>IF('ANAHTAR'!$B345="","",'ANAHTAR'!$B345)</f>
        <v/>
      </c>
      <c r="B345" s="16">
        <f>IF($A345="","",IFERROR(SUMIF(tblAnahtarA[Norm],$A345,tblVeriA[SatisFiyati]),0))</f>
        <v/>
      </c>
      <c r="C345" s="16">
        <f>IF($A345="","",IFERROR(SUMIF(tblAnahtarA[Norm],$A345,tblVeriA[Maliyet]),0))</f>
        <v/>
      </c>
      <c r="D345" s="16">
        <f>IF($A345="","",IFERROR(SUMIF(tblAnahtarB[NormB],$A345,tblVeriB[KomisyonOran]),0))</f>
        <v/>
      </c>
      <c r="E345" s="16">
        <f>IF($A345="","",ROUND($B345*$D345,2))</f>
        <v/>
      </c>
      <c r="F345" s="16">
        <f>IF($A345="","",IFERROR(SUMIF(tblAnahtarB[NormB],$A345,tblVeriB[Kargo]),0))</f>
        <v/>
      </c>
      <c r="G345" s="16">
        <f>IF($A345="","",IFERROR(SUMIF(tblAnahtarB[NormB],$A345,tblVeriB[IadeOran]),0))</f>
        <v/>
      </c>
      <c r="H345" s="16">
        <f>IF($A345="","",ROUND($B345*$G345,2))</f>
        <v/>
      </c>
      <c r="I345" s="16">
        <f>IF($A345="","",IFERROR(SUMIF(tblAnahtarB[NormB],$A345,tblVeriB[ReklamTutar]),0))</f>
        <v/>
      </c>
      <c r="J345" s="16">
        <f>IF($A345="","",ROUND($B345-$C345,2))</f>
        <v/>
      </c>
      <c r="K345" s="16">
        <f>IF($A345="","",ROUND($B345-$C345-$E345-$F345-$H345-$I345,2))</f>
        <v/>
      </c>
      <c r="L345" s="16">
        <f>IF(OR($A345="",$B345=0),0,$K345/$B345)</f>
        <v/>
      </c>
      <c r="M345" s="16">
        <f>IF($A345="","",IF((1-$D345-$G345)&lt;=0,0,ROUND(($C345+$F345+$I345)/(1-$D345-$G345),2)))</f>
        <v/>
      </c>
      <c r="N345" s="16">
        <f>IF($A345="","",IFERROR(SUMIF(tblAnahtarA[Norm],$A345,tblVeriA[HedefNet]),0))</f>
        <v/>
      </c>
      <c r="O345" s="16">
        <f>IF($A345="","",ROUND($K345-$N345,2))</f>
        <v/>
      </c>
      <c r="P345" s="16">
        <f>IF($A345="","",IF($L345&lt;egk_esikKatkiDusuk,"ZAM YAP",IF(AND($R345=1,$L345&lt;egk_esikKatkiHedef),"İNDİRİMİ KES","TUT")))</f>
        <v/>
      </c>
      <c r="Q345" s="16">
        <f>IF($A345="","",IFERROR(SUMIF(tblAnahtarB[NormB],$A345,tblVeriB[Roas]),0))</f>
        <v/>
      </c>
      <c r="R345" s="16">
        <f>IF($A345="","",IF(OR(IFERROR(INDEX(tblVeriA[YorumAB],MATCH($A345,tblAnahtarA[Norm],0)),"")="B",IFERROR(INDEX(tblVeriA[Durum],MATCH($A345,tblAnahtarA[Norm],0)),"")="Kampanya"),1,0))</f>
        <v/>
      </c>
      <c r="S345" s="16">
        <f>IF($A345="","",$J345-$E345)</f>
        <v/>
      </c>
      <c r="T345" s="16">
        <f>IF($A345="","",$K345-$O345)</f>
        <v/>
      </c>
    </row>
    <row r="346">
      <c r="A346" s="16">
        <f>IF('ANAHTAR'!$B346="","",'ANAHTAR'!$B346)</f>
        <v/>
      </c>
      <c r="B346" s="16">
        <f>IF($A346="","",IFERROR(SUMIF(tblAnahtarA[Norm],$A346,tblVeriA[SatisFiyati]),0))</f>
        <v/>
      </c>
      <c r="C346" s="16">
        <f>IF($A346="","",IFERROR(SUMIF(tblAnahtarA[Norm],$A346,tblVeriA[Maliyet]),0))</f>
        <v/>
      </c>
      <c r="D346" s="16">
        <f>IF($A346="","",IFERROR(SUMIF(tblAnahtarB[NormB],$A346,tblVeriB[KomisyonOran]),0))</f>
        <v/>
      </c>
      <c r="E346" s="16">
        <f>IF($A346="","",ROUND($B346*$D346,2))</f>
        <v/>
      </c>
      <c r="F346" s="16">
        <f>IF($A346="","",IFERROR(SUMIF(tblAnahtarB[NormB],$A346,tblVeriB[Kargo]),0))</f>
        <v/>
      </c>
      <c r="G346" s="16">
        <f>IF($A346="","",IFERROR(SUMIF(tblAnahtarB[NormB],$A346,tblVeriB[IadeOran]),0))</f>
        <v/>
      </c>
      <c r="H346" s="16">
        <f>IF($A346="","",ROUND($B346*$G346,2))</f>
        <v/>
      </c>
      <c r="I346" s="16">
        <f>IF($A346="","",IFERROR(SUMIF(tblAnahtarB[NormB],$A346,tblVeriB[ReklamTutar]),0))</f>
        <v/>
      </c>
      <c r="J346" s="16">
        <f>IF($A346="","",ROUND($B346-$C346,2))</f>
        <v/>
      </c>
      <c r="K346" s="16">
        <f>IF($A346="","",ROUND($B346-$C346-$E346-$F346-$H346-$I346,2))</f>
        <v/>
      </c>
      <c r="L346" s="16">
        <f>IF(OR($A346="",$B346=0),0,$K346/$B346)</f>
        <v/>
      </c>
      <c r="M346" s="16">
        <f>IF($A346="","",IF((1-$D346-$G346)&lt;=0,0,ROUND(($C346+$F346+$I346)/(1-$D346-$G346),2)))</f>
        <v/>
      </c>
      <c r="N346" s="16">
        <f>IF($A346="","",IFERROR(SUMIF(tblAnahtarA[Norm],$A346,tblVeriA[HedefNet]),0))</f>
        <v/>
      </c>
      <c r="O346" s="16">
        <f>IF($A346="","",ROUND($K346-$N346,2))</f>
        <v/>
      </c>
      <c r="P346" s="16">
        <f>IF($A346="","",IF($L346&lt;egk_esikKatkiDusuk,"ZAM YAP",IF(AND($R346=1,$L346&lt;egk_esikKatkiHedef),"İNDİRİMİ KES","TUT")))</f>
        <v/>
      </c>
      <c r="Q346" s="16">
        <f>IF($A346="","",IFERROR(SUMIF(tblAnahtarB[NormB],$A346,tblVeriB[Roas]),0))</f>
        <v/>
      </c>
      <c r="R346" s="16">
        <f>IF($A346="","",IF(OR(IFERROR(INDEX(tblVeriA[YorumAB],MATCH($A346,tblAnahtarA[Norm],0)),"")="B",IFERROR(INDEX(tblVeriA[Durum],MATCH($A346,tblAnahtarA[Norm],0)),"")="Kampanya"),1,0))</f>
        <v/>
      </c>
      <c r="S346" s="16">
        <f>IF($A346="","",$J346-$E346)</f>
        <v/>
      </c>
      <c r="T346" s="16">
        <f>IF($A346="","",$K346-$O346)</f>
        <v/>
      </c>
    </row>
    <row r="347">
      <c r="A347" s="16">
        <f>IF('ANAHTAR'!$B347="","",'ANAHTAR'!$B347)</f>
        <v/>
      </c>
      <c r="B347" s="16">
        <f>IF($A347="","",IFERROR(SUMIF(tblAnahtarA[Norm],$A347,tblVeriA[SatisFiyati]),0))</f>
        <v/>
      </c>
      <c r="C347" s="16">
        <f>IF($A347="","",IFERROR(SUMIF(tblAnahtarA[Norm],$A347,tblVeriA[Maliyet]),0))</f>
        <v/>
      </c>
      <c r="D347" s="16">
        <f>IF($A347="","",IFERROR(SUMIF(tblAnahtarB[NormB],$A347,tblVeriB[KomisyonOran]),0))</f>
        <v/>
      </c>
      <c r="E347" s="16">
        <f>IF($A347="","",ROUND($B347*$D347,2))</f>
        <v/>
      </c>
      <c r="F347" s="16">
        <f>IF($A347="","",IFERROR(SUMIF(tblAnahtarB[NormB],$A347,tblVeriB[Kargo]),0))</f>
        <v/>
      </c>
      <c r="G347" s="16">
        <f>IF($A347="","",IFERROR(SUMIF(tblAnahtarB[NormB],$A347,tblVeriB[IadeOran]),0))</f>
        <v/>
      </c>
      <c r="H347" s="16">
        <f>IF($A347="","",ROUND($B347*$G347,2))</f>
        <v/>
      </c>
      <c r="I347" s="16">
        <f>IF($A347="","",IFERROR(SUMIF(tblAnahtarB[NormB],$A347,tblVeriB[ReklamTutar]),0))</f>
        <v/>
      </c>
      <c r="J347" s="16">
        <f>IF($A347="","",ROUND($B347-$C347,2))</f>
        <v/>
      </c>
      <c r="K347" s="16">
        <f>IF($A347="","",ROUND($B347-$C347-$E347-$F347-$H347-$I347,2))</f>
        <v/>
      </c>
      <c r="L347" s="16">
        <f>IF(OR($A347="",$B347=0),0,$K347/$B347)</f>
        <v/>
      </c>
      <c r="M347" s="16">
        <f>IF($A347="","",IF((1-$D347-$G347)&lt;=0,0,ROUND(($C347+$F347+$I347)/(1-$D347-$G347),2)))</f>
        <v/>
      </c>
      <c r="N347" s="16">
        <f>IF($A347="","",IFERROR(SUMIF(tblAnahtarA[Norm],$A347,tblVeriA[HedefNet]),0))</f>
        <v/>
      </c>
      <c r="O347" s="16">
        <f>IF($A347="","",ROUND($K347-$N347,2))</f>
        <v/>
      </c>
      <c r="P347" s="16">
        <f>IF($A347="","",IF($L347&lt;egk_esikKatkiDusuk,"ZAM YAP",IF(AND($R347=1,$L347&lt;egk_esikKatkiHedef),"İNDİRİMİ KES","TUT")))</f>
        <v/>
      </c>
      <c r="Q347" s="16">
        <f>IF($A347="","",IFERROR(SUMIF(tblAnahtarB[NormB],$A347,tblVeriB[Roas]),0))</f>
        <v/>
      </c>
      <c r="R347" s="16">
        <f>IF($A347="","",IF(OR(IFERROR(INDEX(tblVeriA[YorumAB],MATCH($A347,tblAnahtarA[Norm],0)),"")="B",IFERROR(INDEX(tblVeriA[Durum],MATCH($A347,tblAnahtarA[Norm],0)),"")="Kampanya"),1,0))</f>
        <v/>
      </c>
      <c r="S347" s="16">
        <f>IF($A347="","",$J347-$E347)</f>
        <v/>
      </c>
      <c r="T347" s="16">
        <f>IF($A347="","",$K347-$O347)</f>
        <v/>
      </c>
    </row>
    <row r="348">
      <c r="A348" s="16">
        <f>IF('ANAHTAR'!$B348="","",'ANAHTAR'!$B348)</f>
        <v/>
      </c>
      <c r="B348" s="16">
        <f>IF($A348="","",IFERROR(SUMIF(tblAnahtarA[Norm],$A348,tblVeriA[SatisFiyati]),0))</f>
        <v/>
      </c>
      <c r="C348" s="16">
        <f>IF($A348="","",IFERROR(SUMIF(tblAnahtarA[Norm],$A348,tblVeriA[Maliyet]),0))</f>
        <v/>
      </c>
      <c r="D348" s="16">
        <f>IF($A348="","",IFERROR(SUMIF(tblAnahtarB[NormB],$A348,tblVeriB[KomisyonOran]),0))</f>
        <v/>
      </c>
      <c r="E348" s="16">
        <f>IF($A348="","",ROUND($B348*$D348,2))</f>
        <v/>
      </c>
      <c r="F348" s="16">
        <f>IF($A348="","",IFERROR(SUMIF(tblAnahtarB[NormB],$A348,tblVeriB[Kargo]),0))</f>
        <v/>
      </c>
      <c r="G348" s="16">
        <f>IF($A348="","",IFERROR(SUMIF(tblAnahtarB[NormB],$A348,tblVeriB[IadeOran]),0))</f>
        <v/>
      </c>
      <c r="H348" s="16">
        <f>IF($A348="","",ROUND($B348*$G348,2))</f>
        <v/>
      </c>
      <c r="I348" s="16">
        <f>IF($A348="","",IFERROR(SUMIF(tblAnahtarB[NormB],$A348,tblVeriB[ReklamTutar]),0))</f>
        <v/>
      </c>
      <c r="J348" s="16">
        <f>IF($A348="","",ROUND($B348-$C348,2))</f>
        <v/>
      </c>
      <c r="K348" s="16">
        <f>IF($A348="","",ROUND($B348-$C348-$E348-$F348-$H348-$I348,2))</f>
        <v/>
      </c>
      <c r="L348" s="16">
        <f>IF(OR($A348="",$B348=0),0,$K348/$B348)</f>
        <v/>
      </c>
      <c r="M348" s="16">
        <f>IF($A348="","",IF((1-$D348-$G348)&lt;=0,0,ROUND(($C348+$F348+$I348)/(1-$D348-$G348),2)))</f>
        <v/>
      </c>
      <c r="N348" s="16">
        <f>IF($A348="","",IFERROR(SUMIF(tblAnahtarA[Norm],$A348,tblVeriA[HedefNet]),0))</f>
        <v/>
      </c>
      <c r="O348" s="16">
        <f>IF($A348="","",ROUND($K348-$N348,2))</f>
        <v/>
      </c>
      <c r="P348" s="16">
        <f>IF($A348="","",IF($L348&lt;egk_esikKatkiDusuk,"ZAM YAP",IF(AND($R348=1,$L348&lt;egk_esikKatkiHedef),"İNDİRİMİ KES","TUT")))</f>
        <v/>
      </c>
      <c r="Q348" s="16">
        <f>IF($A348="","",IFERROR(SUMIF(tblAnahtarB[NormB],$A348,tblVeriB[Roas]),0))</f>
        <v/>
      </c>
      <c r="R348" s="16">
        <f>IF($A348="","",IF(OR(IFERROR(INDEX(tblVeriA[YorumAB],MATCH($A348,tblAnahtarA[Norm],0)),"")="B",IFERROR(INDEX(tblVeriA[Durum],MATCH($A348,tblAnahtarA[Norm],0)),"")="Kampanya"),1,0))</f>
        <v/>
      </c>
      <c r="S348" s="16">
        <f>IF($A348="","",$J348-$E348)</f>
        <v/>
      </c>
      <c r="T348" s="16">
        <f>IF($A348="","",$K348-$O348)</f>
        <v/>
      </c>
    </row>
    <row r="349">
      <c r="A349" s="16">
        <f>IF('ANAHTAR'!$B349="","",'ANAHTAR'!$B349)</f>
        <v/>
      </c>
      <c r="B349" s="16">
        <f>IF($A349="","",IFERROR(SUMIF(tblAnahtarA[Norm],$A349,tblVeriA[SatisFiyati]),0))</f>
        <v/>
      </c>
      <c r="C349" s="16">
        <f>IF($A349="","",IFERROR(SUMIF(tblAnahtarA[Norm],$A349,tblVeriA[Maliyet]),0))</f>
        <v/>
      </c>
      <c r="D349" s="16">
        <f>IF($A349="","",IFERROR(SUMIF(tblAnahtarB[NormB],$A349,tblVeriB[KomisyonOran]),0))</f>
        <v/>
      </c>
      <c r="E349" s="16">
        <f>IF($A349="","",ROUND($B349*$D349,2))</f>
        <v/>
      </c>
      <c r="F349" s="16">
        <f>IF($A349="","",IFERROR(SUMIF(tblAnahtarB[NormB],$A349,tblVeriB[Kargo]),0))</f>
        <v/>
      </c>
      <c r="G349" s="16">
        <f>IF($A349="","",IFERROR(SUMIF(tblAnahtarB[NormB],$A349,tblVeriB[IadeOran]),0))</f>
        <v/>
      </c>
      <c r="H349" s="16">
        <f>IF($A349="","",ROUND($B349*$G349,2))</f>
        <v/>
      </c>
      <c r="I349" s="16">
        <f>IF($A349="","",IFERROR(SUMIF(tblAnahtarB[NormB],$A349,tblVeriB[ReklamTutar]),0))</f>
        <v/>
      </c>
      <c r="J349" s="16">
        <f>IF($A349="","",ROUND($B349-$C349,2))</f>
        <v/>
      </c>
      <c r="K349" s="16">
        <f>IF($A349="","",ROUND($B349-$C349-$E349-$F349-$H349-$I349,2))</f>
        <v/>
      </c>
      <c r="L349" s="16">
        <f>IF(OR($A349="",$B349=0),0,$K349/$B349)</f>
        <v/>
      </c>
      <c r="M349" s="16">
        <f>IF($A349="","",IF((1-$D349-$G349)&lt;=0,0,ROUND(($C349+$F349+$I349)/(1-$D349-$G349),2)))</f>
        <v/>
      </c>
      <c r="N349" s="16">
        <f>IF($A349="","",IFERROR(SUMIF(tblAnahtarA[Norm],$A349,tblVeriA[HedefNet]),0))</f>
        <v/>
      </c>
      <c r="O349" s="16">
        <f>IF($A349="","",ROUND($K349-$N349,2))</f>
        <v/>
      </c>
      <c r="P349" s="16">
        <f>IF($A349="","",IF($L349&lt;egk_esikKatkiDusuk,"ZAM YAP",IF(AND($R349=1,$L349&lt;egk_esikKatkiHedef),"İNDİRİMİ KES","TUT")))</f>
        <v/>
      </c>
      <c r="Q349" s="16">
        <f>IF($A349="","",IFERROR(SUMIF(tblAnahtarB[NormB],$A349,tblVeriB[Roas]),0))</f>
        <v/>
      </c>
      <c r="R349" s="16">
        <f>IF($A349="","",IF(OR(IFERROR(INDEX(tblVeriA[YorumAB],MATCH($A349,tblAnahtarA[Norm],0)),"")="B",IFERROR(INDEX(tblVeriA[Durum],MATCH($A349,tblAnahtarA[Norm],0)),"")="Kampanya"),1,0))</f>
        <v/>
      </c>
      <c r="S349" s="16">
        <f>IF($A349="","",$J349-$E349)</f>
        <v/>
      </c>
      <c r="T349" s="16">
        <f>IF($A349="","",$K349-$O349)</f>
        <v/>
      </c>
    </row>
    <row r="350">
      <c r="A350" s="16">
        <f>IF('ANAHTAR'!$B350="","",'ANAHTAR'!$B350)</f>
        <v/>
      </c>
      <c r="B350" s="16">
        <f>IF($A350="","",IFERROR(SUMIF(tblAnahtarA[Norm],$A350,tblVeriA[SatisFiyati]),0))</f>
        <v/>
      </c>
      <c r="C350" s="16">
        <f>IF($A350="","",IFERROR(SUMIF(tblAnahtarA[Norm],$A350,tblVeriA[Maliyet]),0))</f>
        <v/>
      </c>
      <c r="D350" s="16">
        <f>IF($A350="","",IFERROR(SUMIF(tblAnahtarB[NormB],$A350,tblVeriB[KomisyonOran]),0))</f>
        <v/>
      </c>
      <c r="E350" s="16">
        <f>IF($A350="","",ROUND($B350*$D350,2))</f>
        <v/>
      </c>
      <c r="F350" s="16">
        <f>IF($A350="","",IFERROR(SUMIF(tblAnahtarB[NormB],$A350,tblVeriB[Kargo]),0))</f>
        <v/>
      </c>
      <c r="G350" s="16">
        <f>IF($A350="","",IFERROR(SUMIF(tblAnahtarB[NormB],$A350,tblVeriB[IadeOran]),0))</f>
        <v/>
      </c>
      <c r="H350" s="16">
        <f>IF($A350="","",ROUND($B350*$G350,2))</f>
        <v/>
      </c>
      <c r="I350" s="16">
        <f>IF($A350="","",IFERROR(SUMIF(tblAnahtarB[NormB],$A350,tblVeriB[ReklamTutar]),0))</f>
        <v/>
      </c>
      <c r="J350" s="16">
        <f>IF($A350="","",ROUND($B350-$C350,2))</f>
        <v/>
      </c>
      <c r="K350" s="16">
        <f>IF($A350="","",ROUND($B350-$C350-$E350-$F350-$H350-$I350,2))</f>
        <v/>
      </c>
      <c r="L350" s="16">
        <f>IF(OR($A350="",$B350=0),0,$K350/$B350)</f>
        <v/>
      </c>
      <c r="M350" s="16">
        <f>IF($A350="","",IF((1-$D350-$G350)&lt;=0,0,ROUND(($C350+$F350+$I350)/(1-$D350-$G350),2)))</f>
        <v/>
      </c>
      <c r="N350" s="16">
        <f>IF($A350="","",IFERROR(SUMIF(tblAnahtarA[Norm],$A350,tblVeriA[HedefNet]),0))</f>
        <v/>
      </c>
      <c r="O350" s="16">
        <f>IF($A350="","",ROUND($K350-$N350,2))</f>
        <v/>
      </c>
      <c r="P350" s="16">
        <f>IF($A350="","",IF($L350&lt;egk_esikKatkiDusuk,"ZAM YAP",IF(AND($R350=1,$L350&lt;egk_esikKatkiHedef),"İNDİRİMİ KES","TUT")))</f>
        <v/>
      </c>
      <c r="Q350" s="16">
        <f>IF($A350="","",IFERROR(SUMIF(tblAnahtarB[NormB],$A350,tblVeriB[Roas]),0))</f>
        <v/>
      </c>
      <c r="R350" s="16">
        <f>IF($A350="","",IF(OR(IFERROR(INDEX(tblVeriA[YorumAB],MATCH($A350,tblAnahtarA[Norm],0)),"")="B",IFERROR(INDEX(tblVeriA[Durum],MATCH($A350,tblAnahtarA[Norm],0)),"")="Kampanya"),1,0))</f>
        <v/>
      </c>
      <c r="S350" s="16">
        <f>IF($A350="","",$J350-$E350)</f>
        <v/>
      </c>
      <c r="T350" s="16">
        <f>IF($A350="","",$K350-$O350)</f>
        <v/>
      </c>
    </row>
    <row r="351">
      <c r="A351" s="16">
        <f>IF('ANAHTAR'!$B351="","",'ANAHTAR'!$B351)</f>
        <v/>
      </c>
      <c r="B351" s="16">
        <f>IF($A351="","",IFERROR(SUMIF(tblAnahtarA[Norm],$A351,tblVeriA[SatisFiyati]),0))</f>
        <v/>
      </c>
      <c r="C351" s="16">
        <f>IF($A351="","",IFERROR(SUMIF(tblAnahtarA[Norm],$A351,tblVeriA[Maliyet]),0))</f>
        <v/>
      </c>
      <c r="D351" s="16">
        <f>IF($A351="","",IFERROR(SUMIF(tblAnahtarB[NormB],$A351,tblVeriB[KomisyonOran]),0))</f>
        <v/>
      </c>
      <c r="E351" s="16">
        <f>IF($A351="","",ROUND($B351*$D351,2))</f>
        <v/>
      </c>
      <c r="F351" s="16">
        <f>IF($A351="","",IFERROR(SUMIF(tblAnahtarB[NormB],$A351,tblVeriB[Kargo]),0))</f>
        <v/>
      </c>
      <c r="G351" s="16">
        <f>IF($A351="","",IFERROR(SUMIF(tblAnahtarB[NormB],$A351,tblVeriB[IadeOran]),0))</f>
        <v/>
      </c>
      <c r="H351" s="16">
        <f>IF($A351="","",ROUND($B351*$G351,2))</f>
        <v/>
      </c>
      <c r="I351" s="16">
        <f>IF($A351="","",IFERROR(SUMIF(tblAnahtarB[NormB],$A351,tblVeriB[ReklamTutar]),0))</f>
        <v/>
      </c>
      <c r="J351" s="16">
        <f>IF($A351="","",ROUND($B351-$C351,2))</f>
        <v/>
      </c>
      <c r="K351" s="16">
        <f>IF($A351="","",ROUND($B351-$C351-$E351-$F351-$H351-$I351,2))</f>
        <v/>
      </c>
      <c r="L351" s="16">
        <f>IF(OR($A351="",$B351=0),0,$K351/$B351)</f>
        <v/>
      </c>
      <c r="M351" s="16">
        <f>IF($A351="","",IF((1-$D351-$G351)&lt;=0,0,ROUND(($C351+$F351+$I351)/(1-$D351-$G351),2)))</f>
        <v/>
      </c>
      <c r="N351" s="16">
        <f>IF($A351="","",IFERROR(SUMIF(tblAnahtarA[Norm],$A351,tblVeriA[HedefNet]),0))</f>
        <v/>
      </c>
      <c r="O351" s="16">
        <f>IF($A351="","",ROUND($K351-$N351,2))</f>
        <v/>
      </c>
      <c r="P351" s="16">
        <f>IF($A351="","",IF($L351&lt;egk_esikKatkiDusuk,"ZAM YAP",IF(AND($R351=1,$L351&lt;egk_esikKatkiHedef),"İNDİRİMİ KES","TUT")))</f>
        <v/>
      </c>
      <c r="Q351" s="16">
        <f>IF($A351="","",IFERROR(SUMIF(tblAnahtarB[NormB],$A351,tblVeriB[Roas]),0))</f>
        <v/>
      </c>
      <c r="R351" s="16">
        <f>IF($A351="","",IF(OR(IFERROR(INDEX(tblVeriA[YorumAB],MATCH($A351,tblAnahtarA[Norm],0)),"")="B",IFERROR(INDEX(tblVeriA[Durum],MATCH($A351,tblAnahtarA[Norm],0)),"")="Kampanya"),1,0))</f>
        <v/>
      </c>
      <c r="S351" s="16">
        <f>IF($A351="","",$J351-$E351)</f>
        <v/>
      </c>
      <c r="T351" s="16">
        <f>IF($A351="","",$K351-$O351)</f>
        <v/>
      </c>
    </row>
    <row r="352">
      <c r="A352" s="16">
        <f>IF('ANAHTAR'!$B352="","",'ANAHTAR'!$B352)</f>
        <v/>
      </c>
      <c r="B352" s="16">
        <f>IF($A352="","",IFERROR(SUMIF(tblAnahtarA[Norm],$A352,tblVeriA[SatisFiyati]),0))</f>
        <v/>
      </c>
      <c r="C352" s="16">
        <f>IF($A352="","",IFERROR(SUMIF(tblAnahtarA[Norm],$A352,tblVeriA[Maliyet]),0))</f>
        <v/>
      </c>
      <c r="D352" s="16">
        <f>IF($A352="","",IFERROR(SUMIF(tblAnahtarB[NormB],$A352,tblVeriB[KomisyonOran]),0))</f>
        <v/>
      </c>
      <c r="E352" s="16">
        <f>IF($A352="","",ROUND($B352*$D352,2))</f>
        <v/>
      </c>
      <c r="F352" s="16">
        <f>IF($A352="","",IFERROR(SUMIF(tblAnahtarB[NormB],$A352,tblVeriB[Kargo]),0))</f>
        <v/>
      </c>
      <c r="G352" s="16">
        <f>IF($A352="","",IFERROR(SUMIF(tblAnahtarB[NormB],$A352,tblVeriB[IadeOran]),0))</f>
        <v/>
      </c>
      <c r="H352" s="16">
        <f>IF($A352="","",ROUND($B352*$G352,2))</f>
        <v/>
      </c>
      <c r="I352" s="16">
        <f>IF($A352="","",IFERROR(SUMIF(tblAnahtarB[NormB],$A352,tblVeriB[ReklamTutar]),0))</f>
        <v/>
      </c>
      <c r="J352" s="16">
        <f>IF($A352="","",ROUND($B352-$C352,2))</f>
        <v/>
      </c>
      <c r="K352" s="16">
        <f>IF($A352="","",ROUND($B352-$C352-$E352-$F352-$H352-$I352,2))</f>
        <v/>
      </c>
      <c r="L352" s="16">
        <f>IF(OR($A352="",$B352=0),0,$K352/$B352)</f>
        <v/>
      </c>
      <c r="M352" s="16">
        <f>IF($A352="","",IF((1-$D352-$G352)&lt;=0,0,ROUND(($C352+$F352+$I352)/(1-$D352-$G352),2)))</f>
        <v/>
      </c>
      <c r="N352" s="16">
        <f>IF($A352="","",IFERROR(SUMIF(tblAnahtarA[Norm],$A352,tblVeriA[HedefNet]),0))</f>
        <v/>
      </c>
      <c r="O352" s="16">
        <f>IF($A352="","",ROUND($K352-$N352,2))</f>
        <v/>
      </c>
      <c r="P352" s="16">
        <f>IF($A352="","",IF($L352&lt;egk_esikKatkiDusuk,"ZAM YAP",IF(AND($R352=1,$L352&lt;egk_esikKatkiHedef),"İNDİRİMİ KES","TUT")))</f>
        <v/>
      </c>
      <c r="Q352" s="16">
        <f>IF($A352="","",IFERROR(SUMIF(tblAnahtarB[NormB],$A352,tblVeriB[Roas]),0))</f>
        <v/>
      </c>
      <c r="R352" s="16">
        <f>IF($A352="","",IF(OR(IFERROR(INDEX(tblVeriA[YorumAB],MATCH($A352,tblAnahtarA[Norm],0)),"")="B",IFERROR(INDEX(tblVeriA[Durum],MATCH($A352,tblAnahtarA[Norm],0)),"")="Kampanya"),1,0))</f>
        <v/>
      </c>
      <c r="S352" s="16">
        <f>IF($A352="","",$J352-$E352)</f>
        <v/>
      </c>
      <c r="T352" s="16">
        <f>IF($A352="","",$K352-$O352)</f>
        <v/>
      </c>
    </row>
    <row r="353">
      <c r="A353" s="16">
        <f>IF('ANAHTAR'!$B353="","",'ANAHTAR'!$B353)</f>
        <v/>
      </c>
      <c r="B353" s="16">
        <f>IF($A353="","",IFERROR(SUMIF(tblAnahtarA[Norm],$A353,tblVeriA[SatisFiyati]),0))</f>
        <v/>
      </c>
      <c r="C353" s="16">
        <f>IF($A353="","",IFERROR(SUMIF(tblAnahtarA[Norm],$A353,tblVeriA[Maliyet]),0))</f>
        <v/>
      </c>
      <c r="D353" s="16">
        <f>IF($A353="","",IFERROR(SUMIF(tblAnahtarB[NormB],$A353,tblVeriB[KomisyonOran]),0))</f>
        <v/>
      </c>
      <c r="E353" s="16">
        <f>IF($A353="","",ROUND($B353*$D353,2))</f>
        <v/>
      </c>
      <c r="F353" s="16">
        <f>IF($A353="","",IFERROR(SUMIF(tblAnahtarB[NormB],$A353,tblVeriB[Kargo]),0))</f>
        <v/>
      </c>
      <c r="G353" s="16">
        <f>IF($A353="","",IFERROR(SUMIF(tblAnahtarB[NormB],$A353,tblVeriB[IadeOran]),0))</f>
        <v/>
      </c>
      <c r="H353" s="16">
        <f>IF($A353="","",ROUND($B353*$G353,2))</f>
        <v/>
      </c>
      <c r="I353" s="16">
        <f>IF($A353="","",IFERROR(SUMIF(tblAnahtarB[NormB],$A353,tblVeriB[ReklamTutar]),0))</f>
        <v/>
      </c>
      <c r="J353" s="16">
        <f>IF($A353="","",ROUND($B353-$C353,2))</f>
        <v/>
      </c>
      <c r="K353" s="16">
        <f>IF($A353="","",ROUND($B353-$C353-$E353-$F353-$H353-$I353,2))</f>
        <v/>
      </c>
      <c r="L353" s="16">
        <f>IF(OR($A353="",$B353=0),0,$K353/$B353)</f>
        <v/>
      </c>
      <c r="M353" s="16">
        <f>IF($A353="","",IF((1-$D353-$G353)&lt;=0,0,ROUND(($C353+$F353+$I353)/(1-$D353-$G353),2)))</f>
        <v/>
      </c>
      <c r="N353" s="16">
        <f>IF($A353="","",IFERROR(SUMIF(tblAnahtarA[Norm],$A353,tblVeriA[HedefNet]),0))</f>
        <v/>
      </c>
      <c r="O353" s="16">
        <f>IF($A353="","",ROUND($K353-$N353,2))</f>
        <v/>
      </c>
      <c r="P353" s="16">
        <f>IF($A353="","",IF($L353&lt;egk_esikKatkiDusuk,"ZAM YAP",IF(AND($R353=1,$L353&lt;egk_esikKatkiHedef),"İNDİRİMİ KES","TUT")))</f>
        <v/>
      </c>
      <c r="Q353" s="16">
        <f>IF($A353="","",IFERROR(SUMIF(tblAnahtarB[NormB],$A353,tblVeriB[Roas]),0))</f>
        <v/>
      </c>
      <c r="R353" s="16">
        <f>IF($A353="","",IF(OR(IFERROR(INDEX(tblVeriA[YorumAB],MATCH($A353,tblAnahtarA[Norm],0)),"")="B",IFERROR(INDEX(tblVeriA[Durum],MATCH($A353,tblAnahtarA[Norm],0)),"")="Kampanya"),1,0))</f>
        <v/>
      </c>
      <c r="S353" s="16">
        <f>IF($A353="","",$J353-$E353)</f>
        <v/>
      </c>
      <c r="T353" s="16">
        <f>IF($A353="","",$K353-$O353)</f>
        <v/>
      </c>
    </row>
    <row r="354">
      <c r="A354" s="16">
        <f>IF('ANAHTAR'!$B354="","",'ANAHTAR'!$B354)</f>
        <v/>
      </c>
      <c r="B354" s="16">
        <f>IF($A354="","",IFERROR(SUMIF(tblAnahtarA[Norm],$A354,tblVeriA[SatisFiyati]),0))</f>
        <v/>
      </c>
      <c r="C354" s="16">
        <f>IF($A354="","",IFERROR(SUMIF(tblAnahtarA[Norm],$A354,tblVeriA[Maliyet]),0))</f>
        <v/>
      </c>
      <c r="D354" s="16">
        <f>IF($A354="","",IFERROR(SUMIF(tblAnahtarB[NormB],$A354,tblVeriB[KomisyonOran]),0))</f>
        <v/>
      </c>
      <c r="E354" s="16">
        <f>IF($A354="","",ROUND($B354*$D354,2))</f>
        <v/>
      </c>
      <c r="F354" s="16">
        <f>IF($A354="","",IFERROR(SUMIF(tblAnahtarB[NormB],$A354,tblVeriB[Kargo]),0))</f>
        <v/>
      </c>
      <c r="G354" s="16">
        <f>IF($A354="","",IFERROR(SUMIF(tblAnahtarB[NormB],$A354,tblVeriB[IadeOran]),0))</f>
        <v/>
      </c>
      <c r="H354" s="16">
        <f>IF($A354="","",ROUND($B354*$G354,2))</f>
        <v/>
      </c>
      <c r="I354" s="16">
        <f>IF($A354="","",IFERROR(SUMIF(tblAnahtarB[NormB],$A354,tblVeriB[ReklamTutar]),0))</f>
        <v/>
      </c>
      <c r="J354" s="16">
        <f>IF($A354="","",ROUND($B354-$C354,2))</f>
        <v/>
      </c>
      <c r="K354" s="16">
        <f>IF($A354="","",ROUND($B354-$C354-$E354-$F354-$H354-$I354,2))</f>
        <v/>
      </c>
      <c r="L354" s="16">
        <f>IF(OR($A354="",$B354=0),0,$K354/$B354)</f>
        <v/>
      </c>
      <c r="M354" s="16">
        <f>IF($A354="","",IF((1-$D354-$G354)&lt;=0,0,ROUND(($C354+$F354+$I354)/(1-$D354-$G354),2)))</f>
        <v/>
      </c>
      <c r="N354" s="16">
        <f>IF($A354="","",IFERROR(SUMIF(tblAnahtarA[Norm],$A354,tblVeriA[HedefNet]),0))</f>
        <v/>
      </c>
      <c r="O354" s="16">
        <f>IF($A354="","",ROUND($K354-$N354,2))</f>
        <v/>
      </c>
      <c r="P354" s="16">
        <f>IF($A354="","",IF($L354&lt;egk_esikKatkiDusuk,"ZAM YAP",IF(AND($R354=1,$L354&lt;egk_esikKatkiHedef),"İNDİRİMİ KES","TUT")))</f>
        <v/>
      </c>
      <c r="Q354" s="16">
        <f>IF($A354="","",IFERROR(SUMIF(tblAnahtarB[NormB],$A354,tblVeriB[Roas]),0))</f>
        <v/>
      </c>
      <c r="R354" s="16">
        <f>IF($A354="","",IF(OR(IFERROR(INDEX(tblVeriA[YorumAB],MATCH($A354,tblAnahtarA[Norm],0)),"")="B",IFERROR(INDEX(tblVeriA[Durum],MATCH($A354,tblAnahtarA[Norm],0)),"")="Kampanya"),1,0))</f>
        <v/>
      </c>
      <c r="S354" s="16">
        <f>IF($A354="","",$J354-$E354)</f>
        <v/>
      </c>
      <c r="T354" s="16">
        <f>IF($A354="","",$K354-$O354)</f>
        <v/>
      </c>
    </row>
    <row r="355">
      <c r="A355" s="16">
        <f>IF('ANAHTAR'!$B355="","",'ANAHTAR'!$B355)</f>
        <v/>
      </c>
      <c r="B355" s="16">
        <f>IF($A355="","",IFERROR(SUMIF(tblAnahtarA[Norm],$A355,tblVeriA[SatisFiyati]),0))</f>
        <v/>
      </c>
      <c r="C355" s="16">
        <f>IF($A355="","",IFERROR(SUMIF(tblAnahtarA[Norm],$A355,tblVeriA[Maliyet]),0))</f>
        <v/>
      </c>
      <c r="D355" s="16">
        <f>IF($A355="","",IFERROR(SUMIF(tblAnahtarB[NormB],$A355,tblVeriB[KomisyonOran]),0))</f>
        <v/>
      </c>
      <c r="E355" s="16">
        <f>IF($A355="","",ROUND($B355*$D355,2))</f>
        <v/>
      </c>
      <c r="F355" s="16">
        <f>IF($A355="","",IFERROR(SUMIF(tblAnahtarB[NormB],$A355,tblVeriB[Kargo]),0))</f>
        <v/>
      </c>
      <c r="G355" s="16">
        <f>IF($A355="","",IFERROR(SUMIF(tblAnahtarB[NormB],$A355,tblVeriB[IadeOran]),0))</f>
        <v/>
      </c>
      <c r="H355" s="16">
        <f>IF($A355="","",ROUND($B355*$G355,2))</f>
        <v/>
      </c>
      <c r="I355" s="16">
        <f>IF($A355="","",IFERROR(SUMIF(tblAnahtarB[NormB],$A355,tblVeriB[ReklamTutar]),0))</f>
        <v/>
      </c>
      <c r="J355" s="16">
        <f>IF($A355="","",ROUND($B355-$C355,2))</f>
        <v/>
      </c>
      <c r="K355" s="16">
        <f>IF($A355="","",ROUND($B355-$C355-$E355-$F355-$H355-$I355,2))</f>
        <v/>
      </c>
      <c r="L355" s="16">
        <f>IF(OR($A355="",$B355=0),0,$K355/$B355)</f>
        <v/>
      </c>
      <c r="M355" s="16">
        <f>IF($A355="","",IF((1-$D355-$G355)&lt;=0,0,ROUND(($C355+$F355+$I355)/(1-$D355-$G355),2)))</f>
        <v/>
      </c>
      <c r="N355" s="16">
        <f>IF($A355="","",IFERROR(SUMIF(tblAnahtarA[Norm],$A355,tblVeriA[HedefNet]),0))</f>
        <v/>
      </c>
      <c r="O355" s="16">
        <f>IF($A355="","",ROUND($K355-$N355,2))</f>
        <v/>
      </c>
      <c r="P355" s="16">
        <f>IF($A355="","",IF($L355&lt;egk_esikKatkiDusuk,"ZAM YAP",IF(AND($R355=1,$L355&lt;egk_esikKatkiHedef),"İNDİRİMİ KES","TUT")))</f>
        <v/>
      </c>
      <c r="Q355" s="16">
        <f>IF($A355="","",IFERROR(SUMIF(tblAnahtarB[NormB],$A355,tblVeriB[Roas]),0))</f>
        <v/>
      </c>
      <c r="R355" s="16">
        <f>IF($A355="","",IF(OR(IFERROR(INDEX(tblVeriA[YorumAB],MATCH($A355,tblAnahtarA[Norm],0)),"")="B",IFERROR(INDEX(tblVeriA[Durum],MATCH($A355,tblAnahtarA[Norm],0)),"")="Kampanya"),1,0))</f>
        <v/>
      </c>
      <c r="S355" s="16">
        <f>IF($A355="","",$J355-$E355)</f>
        <v/>
      </c>
      <c r="T355" s="16">
        <f>IF($A355="","",$K355-$O355)</f>
        <v/>
      </c>
    </row>
    <row r="356">
      <c r="A356" s="16">
        <f>IF('ANAHTAR'!$B356="","",'ANAHTAR'!$B356)</f>
        <v/>
      </c>
      <c r="B356" s="16">
        <f>IF($A356="","",IFERROR(SUMIF(tblAnahtarA[Norm],$A356,tblVeriA[SatisFiyati]),0))</f>
        <v/>
      </c>
      <c r="C356" s="16">
        <f>IF($A356="","",IFERROR(SUMIF(tblAnahtarA[Norm],$A356,tblVeriA[Maliyet]),0))</f>
        <v/>
      </c>
      <c r="D356" s="16">
        <f>IF($A356="","",IFERROR(SUMIF(tblAnahtarB[NormB],$A356,tblVeriB[KomisyonOran]),0))</f>
        <v/>
      </c>
      <c r="E356" s="16">
        <f>IF($A356="","",ROUND($B356*$D356,2))</f>
        <v/>
      </c>
      <c r="F356" s="16">
        <f>IF($A356="","",IFERROR(SUMIF(tblAnahtarB[NormB],$A356,tblVeriB[Kargo]),0))</f>
        <v/>
      </c>
      <c r="G356" s="16">
        <f>IF($A356="","",IFERROR(SUMIF(tblAnahtarB[NormB],$A356,tblVeriB[IadeOran]),0))</f>
        <v/>
      </c>
      <c r="H356" s="16">
        <f>IF($A356="","",ROUND($B356*$G356,2))</f>
        <v/>
      </c>
      <c r="I356" s="16">
        <f>IF($A356="","",IFERROR(SUMIF(tblAnahtarB[NormB],$A356,tblVeriB[ReklamTutar]),0))</f>
        <v/>
      </c>
      <c r="J356" s="16">
        <f>IF($A356="","",ROUND($B356-$C356,2))</f>
        <v/>
      </c>
      <c r="K356" s="16">
        <f>IF($A356="","",ROUND($B356-$C356-$E356-$F356-$H356-$I356,2))</f>
        <v/>
      </c>
      <c r="L356" s="16">
        <f>IF(OR($A356="",$B356=0),0,$K356/$B356)</f>
        <v/>
      </c>
      <c r="M356" s="16">
        <f>IF($A356="","",IF((1-$D356-$G356)&lt;=0,0,ROUND(($C356+$F356+$I356)/(1-$D356-$G356),2)))</f>
        <v/>
      </c>
      <c r="N356" s="16">
        <f>IF($A356="","",IFERROR(SUMIF(tblAnahtarA[Norm],$A356,tblVeriA[HedefNet]),0))</f>
        <v/>
      </c>
      <c r="O356" s="16">
        <f>IF($A356="","",ROUND($K356-$N356,2))</f>
        <v/>
      </c>
      <c r="P356" s="16">
        <f>IF($A356="","",IF($L356&lt;egk_esikKatkiDusuk,"ZAM YAP",IF(AND($R356=1,$L356&lt;egk_esikKatkiHedef),"İNDİRİMİ KES","TUT")))</f>
        <v/>
      </c>
      <c r="Q356" s="16">
        <f>IF($A356="","",IFERROR(SUMIF(tblAnahtarB[NormB],$A356,tblVeriB[Roas]),0))</f>
        <v/>
      </c>
      <c r="R356" s="16">
        <f>IF($A356="","",IF(OR(IFERROR(INDEX(tblVeriA[YorumAB],MATCH($A356,tblAnahtarA[Norm],0)),"")="B",IFERROR(INDEX(tblVeriA[Durum],MATCH($A356,tblAnahtarA[Norm],0)),"")="Kampanya"),1,0))</f>
        <v/>
      </c>
      <c r="S356" s="16">
        <f>IF($A356="","",$J356-$E356)</f>
        <v/>
      </c>
      <c r="T356" s="16">
        <f>IF($A356="","",$K356-$O356)</f>
        <v/>
      </c>
    </row>
    <row r="357">
      <c r="A357" s="16">
        <f>IF('ANAHTAR'!$B357="","",'ANAHTAR'!$B357)</f>
        <v/>
      </c>
      <c r="B357" s="16">
        <f>IF($A357="","",IFERROR(SUMIF(tblAnahtarA[Norm],$A357,tblVeriA[SatisFiyati]),0))</f>
        <v/>
      </c>
      <c r="C357" s="16">
        <f>IF($A357="","",IFERROR(SUMIF(tblAnahtarA[Norm],$A357,tblVeriA[Maliyet]),0))</f>
        <v/>
      </c>
      <c r="D357" s="16">
        <f>IF($A357="","",IFERROR(SUMIF(tblAnahtarB[NormB],$A357,tblVeriB[KomisyonOran]),0))</f>
        <v/>
      </c>
      <c r="E357" s="16">
        <f>IF($A357="","",ROUND($B357*$D357,2))</f>
        <v/>
      </c>
      <c r="F357" s="16">
        <f>IF($A357="","",IFERROR(SUMIF(tblAnahtarB[NormB],$A357,tblVeriB[Kargo]),0))</f>
        <v/>
      </c>
      <c r="G357" s="16">
        <f>IF($A357="","",IFERROR(SUMIF(tblAnahtarB[NormB],$A357,tblVeriB[IadeOran]),0))</f>
        <v/>
      </c>
      <c r="H357" s="16">
        <f>IF($A357="","",ROUND($B357*$G357,2))</f>
        <v/>
      </c>
      <c r="I357" s="16">
        <f>IF($A357="","",IFERROR(SUMIF(tblAnahtarB[NormB],$A357,tblVeriB[ReklamTutar]),0))</f>
        <v/>
      </c>
      <c r="J357" s="16">
        <f>IF($A357="","",ROUND($B357-$C357,2))</f>
        <v/>
      </c>
      <c r="K357" s="16">
        <f>IF($A357="","",ROUND($B357-$C357-$E357-$F357-$H357-$I357,2))</f>
        <v/>
      </c>
      <c r="L357" s="16">
        <f>IF(OR($A357="",$B357=0),0,$K357/$B357)</f>
        <v/>
      </c>
      <c r="M357" s="16">
        <f>IF($A357="","",IF((1-$D357-$G357)&lt;=0,0,ROUND(($C357+$F357+$I357)/(1-$D357-$G357),2)))</f>
        <v/>
      </c>
      <c r="N357" s="16">
        <f>IF($A357="","",IFERROR(SUMIF(tblAnahtarA[Norm],$A357,tblVeriA[HedefNet]),0))</f>
        <v/>
      </c>
      <c r="O357" s="16">
        <f>IF($A357="","",ROUND($K357-$N357,2))</f>
        <v/>
      </c>
      <c r="P357" s="16">
        <f>IF($A357="","",IF($L357&lt;egk_esikKatkiDusuk,"ZAM YAP",IF(AND($R357=1,$L357&lt;egk_esikKatkiHedef),"İNDİRİMİ KES","TUT")))</f>
        <v/>
      </c>
      <c r="Q357" s="16">
        <f>IF($A357="","",IFERROR(SUMIF(tblAnahtarB[NormB],$A357,tblVeriB[Roas]),0))</f>
        <v/>
      </c>
      <c r="R357" s="16">
        <f>IF($A357="","",IF(OR(IFERROR(INDEX(tblVeriA[YorumAB],MATCH($A357,tblAnahtarA[Norm],0)),"")="B",IFERROR(INDEX(tblVeriA[Durum],MATCH($A357,tblAnahtarA[Norm],0)),"")="Kampanya"),1,0))</f>
        <v/>
      </c>
      <c r="S357" s="16">
        <f>IF($A357="","",$J357-$E357)</f>
        <v/>
      </c>
      <c r="T357" s="16">
        <f>IF($A357="","",$K357-$O357)</f>
        <v/>
      </c>
    </row>
    <row r="358">
      <c r="A358" s="16">
        <f>IF('ANAHTAR'!$B358="","",'ANAHTAR'!$B358)</f>
        <v/>
      </c>
      <c r="B358" s="16">
        <f>IF($A358="","",IFERROR(SUMIF(tblAnahtarA[Norm],$A358,tblVeriA[SatisFiyati]),0))</f>
        <v/>
      </c>
      <c r="C358" s="16">
        <f>IF($A358="","",IFERROR(SUMIF(tblAnahtarA[Norm],$A358,tblVeriA[Maliyet]),0))</f>
        <v/>
      </c>
      <c r="D358" s="16">
        <f>IF($A358="","",IFERROR(SUMIF(tblAnahtarB[NormB],$A358,tblVeriB[KomisyonOran]),0))</f>
        <v/>
      </c>
      <c r="E358" s="16">
        <f>IF($A358="","",ROUND($B358*$D358,2))</f>
        <v/>
      </c>
      <c r="F358" s="16">
        <f>IF($A358="","",IFERROR(SUMIF(tblAnahtarB[NormB],$A358,tblVeriB[Kargo]),0))</f>
        <v/>
      </c>
      <c r="G358" s="16">
        <f>IF($A358="","",IFERROR(SUMIF(tblAnahtarB[NormB],$A358,tblVeriB[IadeOran]),0))</f>
        <v/>
      </c>
      <c r="H358" s="16">
        <f>IF($A358="","",ROUND($B358*$G358,2))</f>
        <v/>
      </c>
      <c r="I358" s="16">
        <f>IF($A358="","",IFERROR(SUMIF(tblAnahtarB[NormB],$A358,tblVeriB[ReklamTutar]),0))</f>
        <v/>
      </c>
      <c r="J358" s="16">
        <f>IF($A358="","",ROUND($B358-$C358,2))</f>
        <v/>
      </c>
      <c r="K358" s="16">
        <f>IF($A358="","",ROUND($B358-$C358-$E358-$F358-$H358-$I358,2))</f>
        <v/>
      </c>
      <c r="L358" s="16">
        <f>IF(OR($A358="",$B358=0),0,$K358/$B358)</f>
        <v/>
      </c>
      <c r="M358" s="16">
        <f>IF($A358="","",IF((1-$D358-$G358)&lt;=0,0,ROUND(($C358+$F358+$I358)/(1-$D358-$G358),2)))</f>
        <v/>
      </c>
      <c r="N358" s="16">
        <f>IF($A358="","",IFERROR(SUMIF(tblAnahtarA[Norm],$A358,tblVeriA[HedefNet]),0))</f>
        <v/>
      </c>
      <c r="O358" s="16">
        <f>IF($A358="","",ROUND($K358-$N358,2))</f>
        <v/>
      </c>
      <c r="P358" s="16">
        <f>IF($A358="","",IF($L358&lt;egk_esikKatkiDusuk,"ZAM YAP",IF(AND($R358=1,$L358&lt;egk_esikKatkiHedef),"İNDİRİMİ KES","TUT")))</f>
        <v/>
      </c>
      <c r="Q358" s="16">
        <f>IF($A358="","",IFERROR(SUMIF(tblAnahtarB[NormB],$A358,tblVeriB[Roas]),0))</f>
        <v/>
      </c>
      <c r="R358" s="16">
        <f>IF($A358="","",IF(OR(IFERROR(INDEX(tblVeriA[YorumAB],MATCH($A358,tblAnahtarA[Norm],0)),"")="B",IFERROR(INDEX(tblVeriA[Durum],MATCH($A358,tblAnahtarA[Norm],0)),"")="Kampanya"),1,0))</f>
        <v/>
      </c>
      <c r="S358" s="16">
        <f>IF($A358="","",$J358-$E358)</f>
        <v/>
      </c>
      <c r="T358" s="16">
        <f>IF($A358="","",$K358-$O358)</f>
        <v/>
      </c>
    </row>
    <row r="359">
      <c r="A359" s="16">
        <f>IF('ANAHTAR'!$B359="","",'ANAHTAR'!$B359)</f>
        <v/>
      </c>
      <c r="B359" s="16">
        <f>IF($A359="","",IFERROR(SUMIF(tblAnahtarA[Norm],$A359,tblVeriA[SatisFiyati]),0))</f>
        <v/>
      </c>
      <c r="C359" s="16">
        <f>IF($A359="","",IFERROR(SUMIF(tblAnahtarA[Norm],$A359,tblVeriA[Maliyet]),0))</f>
        <v/>
      </c>
      <c r="D359" s="16">
        <f>IF($A359="","",IFERROR(SUMIF(tblAnahtarB[NormB],$A359,tblVeriB[KomisyonOran]),0))</f>
        <v/>
      </c>
      <c r="E359" s="16">
        <f>IF($A359="","",ROUND($B359*$D359,2))</f>
        <v/>
      </c>
      <c r="F359" s="16">
        <f>IF($A359="","",IFERROR(SUMIF(tblAnahtarB[NormB],$A359,tblVeriB[Kargo]),0))</f>
        <v/>
      </c>
      <c r="G359" s="16">
        <f>IF($A359="","",IFERROR(SUMIF(tblAnahtarB[NormB],$A359,tblVeriB[IadeOran]),0))</f>
        <v/>
      </c>
      <c r="H359" s="16">
        <f>IF($A359="","",ROUND($B359*$G359,2))</f>
        <v/>
      </c>
      <c r="I359" s="16">
        <f>IF($A359="","",IFERROR(SUMIF(tblAnahtarB[NormB],$A359,tblVeriB[ReklamTutar]),0))</f>
        <v/>
      </c>
      <c r="J359" s="16">
        <f>IF($A359="","",ROUND($B359-$C359,2))</f>
        <v/>
      </c>
      <c r="K359" s="16">
        <f>IF($A359="","",ROUND($B359-$C359-$E359-$F359-$H359-$I359,2))</f>
        <v/>
      </c>
      <c r="L359" s="16">
        <f>IF(OR($A359="",$B359=0),0,$K359/$B359)</f>
        <v/>
      </c>
      <c r="M359" s="16">
        <f>IF($A359="","",IF((1-$D359-$G359)&lt;=0,0,ROUND(($C359+$F359+$I359)/(1-$D359-$G359),2)))</f>
        <v/>
      </c>
      <c r="N359" s="16">
        <f>IF($A359="","",IFERROR(SUMIF(tblAnahtarA[Norm],$A359,tblVeriA[HedefNet]),0))</f>
        <v/>
      </c>
      <c r="O359" s="16">
        <f>IF($A359="","",ROUND($K359-$N359,2))</f>
        <v/>
      </c>
      <c r="P359" s="16">
        <f>IF($A359="","",IF($L359&lt;egk_esikKatkiDusuk,"ZAM YAP",IF(AND($R359=1,$L359&lt;egk_esikKatkiHedef),"İNDİRİMİ KES","TUT")))</f>
        <v/>
      </c>
      <c r="Q359" s="16">
        <f>IF($A359="","",IFERROR(SUMIF(tblAnahtarB[NormB],$A359,tblVeriB[Roas]),0))</f>
        <v/>
      </c>
      <c r="R359" s="16">
        <f>IF($A359="","",IF(OR(IFERROR(INDEX(tblVeriA[YorumAB],MATCH($A359,tblAnahtarA[Norm],0)),"")="B",IFERROR(INDEX(tblVeriA[Durum],MATCH($A359,tblAnahtarA[Norm],0)),"")="Kampanya"),1,0))</f>
        <v/>
      </c>
      <c r="S359" s="16">
        <f>IF($A359="","",$J359-$E359)</f>
        <v/>
      </c>
      <c r="T359" s="16">
        <f>IF($A359="","",$K359-$O359)</f>
        <v/>
      </c>
    </row>
    <row r="360">
      <c r="A360" s="16">
        <f>IF('ANAHTAR'!$B360="","",'ANAHTAR'!$B360)</f>
        <v/>
      </c>
      <c r="B360" s="16">
        <f>IF($A360="","",IFERROR(SUMIF(tblAnahtarA[Norm],$A360,tblVeriA[SatisFiyati]),0))</f>
        <v/>
      </c>
      <c r="C360" s="16">
        <f>IF($A360="","",IFERROR(SUMIF(tblAnahtarA[Norm],$A360,tblVeriA[Maliyet]),0))</f>
        <v/>
      </c>
      <c r="D360" s="16">
        <f>IF($A360="","",IFERROR(SUMIF(tblAnahtarB[NormB],$A360,tblVeriB[KomisyonOran]),0))</f>
        <v/>
      </c>
      <c r="E360" s="16">
        <f>IF($A360="","",ROUND($B360*$D360,2))</f>
        <v/>
      </c>
      <c r="F360" s="16">
        <f>IF($A360="","",IFERROR(SUMIF(tblAnahtarB[NormB],$A360,tblVeriB[Kargo]),0))</f>
        <v/>
      </c>
      <c r="G360" s="16">
        <f>IF($A360="","",IFERROR(SUMIF(tblAnahtarB[NormB],$A360,tblVeriB[IadeOran]),0))</f>
        <v/>
      </c>
      <c r="H360" s="16">
        <f>IF($A360="","",ROUND($B360*$G360,2))</f>
        <v/>
      </c>
      <c r="I360" s="16">
        <f>IF($A360="","",IFERROR(SUMIF(tblAnahtarB[NormB],$A360,tblVeriB[ReklamTutar]),0))</f>
        <v/>
      </c>
      <c r="J360" s="16">
        <f>IF($A360="","",ROUND($B360-$C360,2))</f>
        <v/>
      </c>
      <c r="K360" s="16">
        <f>IF($A360="","",ROUND($B360-$C360-$E360-$F360-$H360-$I360,2))</f>
        <v/>
      </c>
      <c r="L360" s="16">
        <f>IF(OR($A360="",$B360=0),0,$K360/$B360)</f>
        <v/>
      </c>
      <c r="M360" s="16">
        <f>IF($A360="","",IF((1-$D360-$G360)&lt;=0,0,ROUND(($C360+$F360+$I360)/(1-$D360-$G360),2)))</f>
        <v/>
      </c>
      <c r="N360" s="16">
        <f>IF($A360="","",IFERROR(SUMIF(tblAnahtarA[Norm],$A360,tblVeriA[HedefNet]),0))</f>
        <v/>
      </c>
      <c r="O360" s="16">
        <f>IF($A360="","",ROUND($K360-$N360,2))</f>
        <v/>
      </c>
      <c r="P360" s="16">
        <f>IF($A360="","",IF($L360&lt;egk_esikKatkiDusuk,"ZAM YAP",IF(AND($R360=1,$L360&lt;egk_esikKatkiHedef),"İNDİRİMİ KES","TUT")))</f>
        <v/>
      </c>
      <c r="Q360" s="16">
        <f>IF($A360="","",IFERROR(SUMIF(tblAnahtarB[NormB],$A360,tblVeriB[Roas]),0))</f>
        <v/>
      </c>
      <c r="R360" s="16">
        <f>IF($A360="","",IF(OR(IFERROR(INDEX(tblVeriA[YorumAB],MATCH($A360,tblAnahtarA[Norm],0)),"")="B",IFERROR(INDEX(tblVeriA[Durum],MATCH($A360,tblAnahtarA[Norm],0)),"")="Kampanya"),1,0))</f>
        <v/>
      </c>
      <c r="S360" s="16">
        <f>IF($A360="","",$J360-$E360)</f>
        <v/>
      </c>
      <c r="T360" s="16">
        <f>IF($A360="","",$K360-$O360)</f>
        <v/>
      </c>
    </row>
    <row r="361">
      <c r="A361" s="16">
        <f>IF('ANAHTAR'!$B361="","",'ANAHTAR'!$B361)</f>
        <v/>
      </c>
      <c r="B361" s="16">
        <f>IF($A361="","",IFERROR(SUMIF(tblAnahtarA[Norm],$A361,tblVeriA[SatisFiyati]),0))</f>
        <v/>
      </c>
      <c r="C361" s="16">
        <f>IF($A361="","",IFERROR(SUMIF(tblAnahtarA[Norm],$A361,tblVeriA[Maliyet]),0))</f>
        <v/>
      </c>
      <c r="D361" s="16">
        <f>IF($A361="","",IFERROR(SUMIF(tblAnahtarB[NormB],$A361,tblVeriB[KomisyonOran]),0))</f>
        <v/>
      </c>
      <c r="E361" s="16">
        <f>IF($A361="","",ROUND($B361*$D361,2))</f>
        <v/>
      </c>
      <c r="F361" s="16">
        <f>IF($A361="","",IFERROR(SUMIF(tblAnahtarB[NormB],$A361,tblVeriB[Kargo]),0))</f>
        <v/>
      </c>
      <c r="G361" s="16">
        <f>IF($A361="","",IFERROR(SUMIF(tblAnahtarB[NormB],$A361,tblVeriB[IadeOran]),0))</f>
        <v/>
      </c>
      <c r="H361" s="16">
        <f>IF($A361="","",ROUND($B361*$G361,2))</f>
        <v/>
      </c>
      <c r="I361" s="16">
        <f>IF($A361="","",IFERROR(SUMIF(tblAnahtarB[NormB],$A361,tblVeriB[ReklamTutar]),0))</f>
        <v/>
      </c>
      <c r="J361" s="16">
        <f>IF($A361="","",ROUND($B361-$C361,2))</f>
        <v/>
      </c>
      <c r="K361" s="16">
        <f>IF($A361="","",ROUND($B361-$C361-$E361-$F361-$H361-$I361,2))</f>
        <v/>
      </c>
      <c r="L361" s="16">
        <f>IF(OR($A361="",$B361=0),0,$K361/$B361)</f>
        <v/>
      </c>
      <c r="M361" s="16">
        <f>IF($A361="","",IF((1-$D361-$G361)&lt;=0,0,ROUND(($C361+$F361+$I361)/(1-$D361-$G361),2)))</f>
        <v/>
      </c>
      <c r="N361" s="16">
        <f>IF($A361="","",IFERROR(SUMIF(tblAnahtarA[Norm],$A361,tblVeriA[HedefNet]),0))</f>
        <v/>
      </c>
      <c r="O361" s="16">
        <f>IF($A361="","",ROUND($K361-$N361,2))</f>
        <v/>
      </c>
      <c r="P361" s="16">
        <f>IF($A361="","",IF($L361&lt;egk_esikKatkiDusuk,"ZAM YAP",IF(AND($R361=1,$L361&lt;egk_esikKatkiHedef),"İNDİRİMİ KES","TUT")))</f>
        <v/>
      </c>
      <c r="Q361" s="16">
        <f>IF($A361="","",IFERROR(SUMIF(tblAnahtarB[NormB],$A361,tblVeriB[Roas]),0))</f>
        <v/>
      </c>
      <c r="R361" s="16">
        <f>IF($A361="","",IF(OR(IFERROR(INDEX(tblVeriA[YorumAB],MATCH($A361,tblAnahtarA[Norm],0)),"")="B",IFERROR(INDEX(tblVeriA[Durum],MATCH($A361,tblAnahtarA[Norm],0)),"")="Kampanya"),1,0))</f>
        <v/>
      </c>
      <c r="S361" s="16">
        <f>IF($A361="","",$J361-$E361)</f>
        <v/>
      </c>
      <c r="T361" s="16">
        <f>IF($A361="","",$K361-$O361)</f>
        <v/>
      </c>
    </row>
    <row r="362">
      <c r="A362" s="16">
        <f>IF('ANAHTAR'!$B362="","",'ANAHTAR'!$B362)</f>
        <v/>
      </c>
      <c r="B362" s="16">
        <f>IF($A362="","",IFERROR(SUMIF(tblAnahtarA[Norm],$A362,tblVeriA[SatisFiyati]),0))</f>
        <v/>
      </c>
      <c r="C362" s="16">
        <f>IF($A362="","",IFERROR(SUMIF(tblAnahtarA[Norm],$A362,tblVeriA[Maliyet]),0))</f>
        <v/>
      </c>
      <c r="D362" s="16">
        <f>IF($A362="","",IFERROR(SUMIF(tblAnahtarB[NormB],$A362,tblVeriB[KomisyonOran]),0))</f>
        <v/>
      </c>
      <c r="E362" s="16">
        <f>IF($A362="","",ROUND($B362*$D362,2))</f>
        <v/>
      </c>
      <c r="F362" s="16">
        <f>IF($A362="","",IFERROR(SUMIF(tblAnahtarB[NormB],$A362,tblVeriB[Kargo]),0))</f>
        <v/>
      </c>
      <c r="G362" s="16">
        <f>IF($A362="","",IFERROR(SUMIF(tblAnahtarB[NormB],$A362,tblVeriB[IadeOran]),0))</f>
        <v/>
      </c>
      <c r="H362" s="16">
        <f>IF($A362="","",ROUND($B362*$G362,2))</f>
        <v/>
      </c>
      <c r="I362" s="16">
        <f>IF($A362="","",IFERROR(SUMIF(tblAnahtarB[NormB],$A362,tblVeriB[ReklamTutar]),0))</f>
        <v/>
      </c>
      <c r="J362" s="16">
        <f>IF($A362="","",ROUND($B362-$C362,2))</f>
        <v/>
      </c>
      <c r="K362" s="16">
        <f>IF($A362="","",ROUND($B362-$C362-$E362-$F362-$H362-$I362,2))</f>
        <v/>
      </c>
      <c r="L362" s="16">
        <f>IF(OR($A362="",$B362=0),0,$K362/$B362)</f>
        <v/>
      </c>
      <c r="M362" s="16">
        <f>IF($A362="","",IF((1-$D362-$G362)&lt;=0,0,ROUND(($C362+$F362+$I362)/(1-$D362-$G362),2)))</f>
        <v/>
      </c>
      <c r="N362" s="16">
        <f>IF($A362="","",IFERROR(SUMIF(tblAnahtarA[Norm],$A362,tblVeriA[HedefNet]),0))</f>
        <v/>
      </c>
      <c r="O362" s="16">
        <f>IF($A362="","",ROUND($K362-$N362,2))</f>
        <v/>
      </c>
      <c r="P362" s="16">
        <f>IF($A362="","",IF($L362&lt;egk_esikKatkiDusuk,"ZAM YAP",IF(AND($R362=1,$L362&lt;egk_esikKatkiHedef),"İNDİRİMİ KES","TUT")))</f>
        <v/>
      </c>
      <c r="Q362" s="16">
        <f>IF($A362="","",IFERROR(SUMIF(tblAnahtarB[NormB],$A362,tblVeriB[Roas]),0))</f>
        <v/>
      </c>
      <c r="R362" s="16">
        <f>IF($A362="","",IF(OR(IFERROR(INDEX(tblVeriA[YorumAB],MATCH($A362,tblAnahtarA[Norm],0)),"")="B",IFERROR(INDEX(tblVeriA[Durum],MATCH($A362,tblAnahtarA[Norm],0)),"")="Kampanya"),1,0))</f>
        <v/>
      </c>
      <c r="S362" s="16">
        <f>IF($A362="","",$J362-$E362)</f>
        <v/>
      </c>
      <c r="T362" s="16">
        <f>IF($A362="","",$K362-$O362)</f>
        <v/>
      </c>
    </row>
    <row r="363">
      <c r="A363" s="16">
        <f>IF('ANAHTAR'!$B363="","",'ANAHTAR'!$B363)</f>
        <v/>
      </c>
      <c r="B363" s="16">
        <f>IF($A363="","",IFERROR(SUMIF(tblAnahtarA[Norm],$A363,tblVeriA[SatisFiyati]),0))</f>
        <v/>
      </c>
      <c r="C363" s="16">
        <f>IF($A363="","",IFERROR(SUMIF(tblAnahtarA[Norm],$A363,tblVeriA[Maliyet]),0))</f>
        <v/>
      </c>
      <c r="D363" s="16">
        <f>IF($A363="","",IFERROR(SUMIF(tblAnahtarB[NormB],$A363,tblVeriB[KomisyonOran]),0))</f>
        <v/>
      </c>
      <c r="E363" s="16">
        <f>IF($A363="","",ROUND($B363*$D363,2))</f>
        <v/>
      </c>
      <c r="F363" s="16">
        <f>IF($A363="","",IFERROR(SUMIF(tblAnahtarB[NormB],$A363,tblVeriB[Kargo]),0))</f>
        <v/>
      </c>
      <c r="G363" s="16">
        <f>IF($A363="","",IFERROR(SUMIF(tblAnahtarB[NormB],$A363,tblVeriB[IadeOran]),0))</f>
        <v/>
      </c>
      <c r="H363" s="16">
        <f>IF($A363="","",ROUND($B363*$G363,2))</f>
        <v/>
      </c>
      <c r="I363" s="16">
        <f>IF($A363="","",IFERROR(SUMIF(tblAnahtarB[NormB],$A363,tblVeriB[ReklamTutar]),0))</f>
        <v/>
      </c>
      <c r="J363" s="16">
        <f>IF($A363="","",ROUND($B363-$C363,2))</f>
        <v/>
      </c>
      <c r="K363" s="16">
        <f>IF($A363="","",ROUND($B363-$C363-$E363-$F363-$H363-$I363,2))</f>
        <v/>
      </c>
      <c r="L363" s="16">
        <f>IF(OR($A363="",$B363=0),0,$K363/$B363)</f>
        <v/>
      </c>
      <c r="M363" s="16">
        <f>IF($A363="","",IF((1-$D363-$G363)&lt;=0,0,ROUND(($C363+$F363+$I363)/(1-$D363-$G363),2)))</f>
        <v/>
      </c>
      <c r="N363" s="16">
        <f>IF($A363="","",IFERROR(SUMIF(tblAnahtarA[Norm],$A363,tblVeriA[HedefNet]),0))</f>
        <v/>
      </c>
      <c r="O363" s="16">
        <f>IF($A363="","",ROUND($K363-$N363,2))</f>
        <v/>
      </c>
      <c r="P363" s="16">
        <f>IF($A363="","",IF($L363&lt;egk_esikKatkiDusuk,"ZAM YAP",IF(AND($R363=1,$L363&lt;egk_esikKatkiHedef),"İNDİRİMİ KES","TUT")))</f>
        <v/>
      </c>
      <c r="Q363" s="16">
        <f>IF($A363="","",IFERROR(SUMIF(tblAnahtarB[NormB],$A363,tblVeriB[Roas]),0))</f>
        <v/>
      </c>
      <c r="R363" s="16">
        <f>IF($A363="","",IF(OR(IFERROR(INDEX(tblVeriA[YorumAB],MATCH($A363,tblAnahtarA[Norm],0)),"")="B",IFERROR(INDEX(tblVeriA[Durum],MATCH($A363,tblAnahtarA[Norm],0)),"")="Kampanya"),1,0))</f>
        <v/>
      </c>
      <c r="S363" s="16">
        <f>IF($A363="","",$J363-$E363)</f>
        <v/>
      </c>
      <c r="T363" s="16">
        <f>IF($A363="","",$K363-$O363)</f>
        <v/>
      </c>
    </row>
    <row r="364">
      <c r="A364" s="16">
        <f>IF('ANAHTAR'!$B364="","",'ANAHTAR'!$B364)</f>
        <v/>
      </c>
      <c r="B364" s="16">
        <f>IF($A364="","",IFERROR(SUMIF(tblAnahtarA[Norm],$A364,tblVeriA[SatisFiyati]),0))</f>
        <v/>
      </c>
      <c r="C364" s="16">
        <f>IF($A364="","",IFERROR(SUMIF(tblAnahtarA[Norm],$A364,tblVeriA[Maliyet]),0))</f>
        <v/>
      </c>
      <c r="D364" s="16">
        <f>IF($A364="","",IFERROR(SUMIF(tblAnahtarB[NormB],$A364,tblVeriB[KomisyonOran]),0))</f>
        <v/>
      </c>
      <c r="E364" s="16">
        <f>IF($A364="","",ROUND($B364*$D364,2))</f>
        <v/>
      </c>
      <c r="F364" s="16">
        <f>IF($A364="","",IFERROR(SUMIF(tblAnahtarB[NormB],$A364,tblVeriB[Kargo]),0))</f>
        <v/>
      </c>
      <c r="G364" s="16">
        <f>IF($A364="","",IFERROR(SUMIF(tblAnahtarB[NormB],$A364,tblVeriB[IadeOran]),0))</f>
        <v/>
      </c>
      <c r="H364" s="16">
        <f>IF($A364="","",ROUND($B364*$G364,2))</f>
        <v/>
      </c>
      <c r="I364" s="16">
        <f>IF($A364="","",IFERROR(SUMIF(tblAnahtarB[NormB],$A364,tblVeriB[ReklamTutar]),0))</f>
        <v/>
      </c>
      <c r="J364" s="16">
        <f>IF($A364="","",ROUND($B364-$C364,2))</f>
        <v/>
      </c>
      <c r="K364" s="16">
        <f>IF($A364="","",ROUND($B364-$C364-$E364-$F364-$H364-$I364,2))</f>
        <v/>
      </c>
      <c r="L364" s="16">
        <f>IF(OR($A364="",$B364=0),0,$K364/$B364)</f>
        <v/>
      </c>
      <c r="M364" s="16">
        <f>IF($A364="","",IF((1-$D364-$G364)&lt;=0,0,ROUND(($C364+$F364+$I364)/(1-$D364-$G364),2)))</f>
        <v/>
      </c>
      <c r="N364" s="16">
        <f>IF($A364="","",IFERROR(SUMIF(tblAnahtarA[Norm],$A364,tblVeriA[HedefNet]),0))</f>
        <v/>
      </c>
      <c r="O364" s="16">
        <f>IF($A364="","",ROUND($K364-$N364,2))</f>
        <v/>
      </c>
      <c r="P364" s="16">
        <f>IF($A364="","",IF($L364&lt;egk_esikKatkiDusuk,"ZAM YAP",IF(AND($R364=1,$L364&lt;egk_esikKatkiHedef),"İNDİRİMİ KES","TUT")))</f>
        <v/>
      </c>
      <c r="Q364" s="16">
        <f>IF($A364="","",IFERROR(SUMIF(tblAnahtarB[NormB],$A364,tblVeriB[Roas]),0))</f>
        <v/>
      </c>
      <c r="R364" s="16">
        <f>IF($A364="","",IF(OR(IFERROR(INDEX(tblVeriA[YorumAB],MATCH($A364,tblAnahtarA[Norm],0)),"")="B",IFERROR(INDEX(tblVeriA[Durum],MATCH($A364,tblAnahtarA[Norm],0)),"")="Kampanya"),1,0))</f>
        <v/>
      </c>
      <c r="S364" s="16">
        <f>IF($A364="","",$J364-$E364)</f>
        <v/>
      </c>
      <c r="T364" s="16">
        <f>IF($A364="","",$K364-$O364)</f>
        <v/>
      </c>
    </row>
    <row r="365">
      <c r="A365" s="16">
        <f>IF('ANAHTAR'!$B365="","",'ANAHTAR'!$B365)</f>
        <v/>
      </c>
      <c r="B365" s="16">
        <f>IF($A365="","",IFERROR(SUMIF(tblAnahtarA[Norm],$A365,tblVeriA[SatisFiyati]),0))</f>
        <v/>
      </c>
      <c r="C365" s="16">
        <f>IF($A365="","",IFERROR(SUMIF(tblAnahtarA[Norm],$A365,tblVeriA[Maliyet]),0))</f>
        <v/>
      </c>
      <c r="D365" s="16">
        <f>IF($A365="","",IFERROR(SUMIF(tblAnahtarB[NormB],$A365,tblVeriB[KomisyonOran]),0))</f>
        <v/>
      </c>
      <c r="E365" s="16">
        <f>IF($A365="","",ROUND($B365*$D365,2))</f>
        <v/>
      </c>
      <c r="F365" s="16">
        <f>IF($A365="","",IFERROR(SUMIF(tblAnahtarB[NormB],$A365,tblVeriB[Kargo]),0))</f>
        <v/>
      </c>
      <c r="G365" s="16">
        <f>IF($A365="","",IFERROR(SUMIF(tblAnahtarB[NormB],$A365,tblVeriB[IadeOran]),0))</f>
        <v/>
      </c>
      <c r="H365" s="16">
        <f>IF($A365="","",ROUND($B365*$G365,2))</f>
        <v/>
      </c>
      <c r="I365" s="16">
        <f>IF($A365="","",IFERROR(SUMIF(tblAnahtarB[NormB],$A365,tblVeriB[ReklamTutar]),0))</f>
        <v/>
      </c>
      <c r="J365" s="16">
        <f>IF($A365="","",ROUND($B365-$C365,2))</f>
        <v/>
      </c>
      <c r="K365" s="16">
        <f>IF($A365="","",ROUND($B365-$C365-$E365-$F365-$H365-$I365,2))</f>
        <v/>
      </c>
      <c r="L365" s="16">
        <f>IF(OR($A365="",$B365=0),0,$K365/$B365)</f>
        <v/>
      </c>
      <c r="M365" s="16">
        <f>IF($A365="","",IF((1-$D365-$G365)&lt;=0,0,ROUND(($C365+$F365+$I365)/(1-$D365-$G365),2)))</f>
        <v/>
      </c>
      <c r="N365" s="16">
        <f>IF($A365="","",IFERROR(SUMIF(tblAnahtarA[Norm],$A365,tblVeriA[HedefNet]),0))</f>
        <v/>
      </c>
      <c r="O365" s="16">
        <f>IF($A365="","",ROUND($K365-$N365,2))</f>
        <v/>
      </c>
      <c r="P365" s="16">
        <f>IF($A365="","",IF($L365&lt;egk_esikKatkiDusuk,"ZAM YAP",IF(AND($R365=1,$L365&lt;egk_esikKatkiHedef),"İNDİRİMİ KES","TUT")))</f>
        <v/>
      </c>
      <c r="Q365" s="16">
        <f>IF($A365="","",IFERROR(SUMIF(tblAnahtarB[NormB],$A365,tblVeriB[Roas]),0))</f>
        <v/>
      </c>
      <c r="R365" s="16">
        <f>IF($A365="","",IF(OR(IFERROR(INDEX(tblVeriA[YorumAB],MATCH($A365,tblAnahtarA[Norm],0)),"")="B",IFERROR(INDEX(tblVeriA[Durum],MATCH($A365,tblAnahtarA[Norm],0)),"")="Kampanya"),1,0))</f>
        <v/>
      </c>
      <c r="S365" s="16">
        <f>IF($A365="","",$J365-$E365)</f>
        <v/>
      </c>
      <c r="T365" s="16">
        <f>IF($A365="","",$K365-$O365)</f>
        <v/>
      </c>
    </row>
    <row r="366">
      <c r="A366" s="16">
        <f>IF('ANAHTAR'!$B366="","",'ANAHTAR'!$B366)</f>
        <v/>
      </c>
      <c r="B366" s="16">
        <f>IF($A366="","",IFERROR(SUMIF(tblAnahtarA[Norm],$A366,tblVeriA[SatisFiyati]),0))</f>
        <v/>
      </c>
      <c r="C366" s="16">
        <f>IF($A366="","",IFERROR(SUMIF(tblAnahtarA[Norm],$A366,tblVeriA[Maliyet]),0))</f>
        <v/>
      </c>
      <c r="D366" s="16">
        <f>IF($A366="","",IFERROR(SUMIF(tblAnahtarB[NormB],$A366,tblVeriB[KomisyonOran]),0))</f>
        <v/>
      </c>
      <c r="E366" s="16">
        <f>IF($A366="","",ROUND($B366*$D366,2))</f>
        <v/>
      </c>
      <c r="F366" s="16">
        <f>IF($A366="","",IFERROR(SUMIF(tblAnahtarB[NormB],$A366,tblVeriB[Kargo]),0))</f>
        <v/>
      </c>
      <c r="G366" s="16">
        <f>IF($A366="","",IFERROR(SUMIF(tblAnahtarB[NormB],$A366,tblVeriB[IadeOran]),0))</f>
        <v/>
      </c>
      <c r="H366" s="16">
        <f>IF($A366="","",ROUND($B366*$G366,2))</f>
        <v/>
      </c>
      <c r="I366" s="16">
        <f>IF($A366="","",IFERROR(SUMIF(tblAnahtarB[NormB],$A366,tblVeriB[ReklamTutar]),0))</f>
        <v/>
      </c>
      <c r="J366" s="16">
        <f>IF($A366="","",ROUND($B366-$C366,2))</f>
        <v/>
      </c>
      <c r="K366" s="16">
        <f>IF($A366="","",ROUND($B366-$C366-$E366-$F366-$H366-$I366,2))</f>
        <v/>
      </c>
      <c r="L366" s="16">
        <f>IF(OR($A366="",$B366=0),0,$K366/$B366)</f>
        <v/>
      </c>
      <c r="M366" s="16">
        <f>IF($A366="","",IF((1-$D366-$G366)&lt;=0,0,ROUND(($C366+$F366+$I366)/(1-$D366-$G366),2)))</f>
        <v/>
      </c>
      <c r="N366" s="16">
        <f>IF($A366="","",IFERROR(SUMIF(tblAnahtarA[Norm],$A366,tblVeriA[HedefNet]),0))</f>
        <v/>
      </c>
      <c r="O366" s="16">
        <f>IF($A366="","",ROUND($K366-$N366,2))</f>
        <v/>
      </c>
      <c r="P366" s="16">
        <f>IF($A366="","",IF($L366&lt;egk_esikKatkiDusuk,"ZAM YAP",IF(AND($R366=1,$L366&lt;egk_esikKatkiHedef),"İNDİRİMİ KES","TUT")))</f>
        <v/>
      </c>
      <c r="Q366" s="16">
        <f>IF($A366="","",IFERROR(SUMIF(tblAnahtarB[NormB],$A366,tblVeriB[Roas]),0))</f>
        <v/>
      </c>
      <c r="R366" s="16">
        <f>IF($A366="","",IF(OR(IFERROR(INDEX(tblVeriA[YorumAB],MATCH($A366,tblAnahtarA[Norm],0)),"")="B",IFERROR(INDEX(tblVeriA[Durum],MATCH($A366,tblAnahtarA[Norm],0)),"")="Kampanya"),1,0))</f>
        <v/>
      </c>
      <c r="S366" s="16">
        <f>IF($A366="","",$J366-$E366)</f>
        <v/>
      </c>
      <c r="T366" s="16">
        <f>IF($A366="","",$K366-$O366)</f>
        <v/>
      </c>
    </row>
    <row r="367">
      <c r="A367" s="16">
        <f>IF('ANAHTAR'!$B367="","",'ANAHTAR'!$B367)</f>
        <v/>
      </c>
      <c r="B367" s="16">
        <f>IF($A367="","",IFERROR(SUMIF(tblAnahtarA[Norm],$A367,tblVeriA[SatisFiyati]),0))</f>
        <v/>
      </c>
      <c r="C367" s="16">
        <f>IF($A367="","",IFERROR(SUMIF(tblAnahtarA[Norm],$A367,tblVeriA[Maliyet]),0))</f>
        <v/>
      </c>
      <c r="D367" s="16">
        <f>IF($A367="","",IFERROR(SUMIF(tblAnahtarB[NormB],$A367,tblVeriB[KomisyonOran]),0))</f>
        <v/>
      </c>
      <c r="E367" s="16">
        <f>IF($A367="","",ROUND($B367*$D367,2))</f>
        <v/>
      </c>
      <c r="F367" s="16">
        <f>IF($A367="","",IFERROR(SUMIF(tblAnahtarB[NormB],$A367,tblVeriB[Kargo]),0))</f>
        <v/>
      </c>
      <c r="G367" s="16">
        <f>IF($A367="","",IFERROR(SUMIF(tblAnahtarB[NormB],$A367,tblVeriB[IadeOran]),0))</f>
        <v/>
      </c>
      <c r="H367" s="16">
        <f>IF($A367="","",ROUND($B367*$G367,2))</f>
        <v/>
      </c>
      <c r="I367" s="16">
        <f>IF($A367="","",IFERROR(SUMIF(tblAnahtarB[NormB],$A367,tblVeriB[ReklamTutar]),0))</f>
        <v/>
      </c>
      <c r="J367" s="16">
        <f>IF($A367="","",ROUND($B367-$C367,2))</f>
        <v/>
      </c>
      <c r="K367" s="16">
        <f>IF($A367="","",ROUND($B367-$C367-$E367-$F367-$H367-$I367,2))</f>
        <v/>
      </c>
      <c r="L367" s="16">
        <f>IF(OR($A367="",$B367=0),0,$K367/$B367)</f>
        <v/>
      </c>
      <c r="M367" s="16">
        <f>IF($A367="","",IF((1-$D367-$G367)&lt;=0,0,ROUND(($C367+$F367+$I367)/(1-$D367-$G367),2)))</f>
        <v/>
      </c>
      <c r="N367" s="16">
        <f>IF($A367="","",IFERROR(SUMIF(tblAnahtarA[Norm],$A367,tblVeriA[HedefNet]),0))</f>
        <v/>
      </c>
      <c r="O367" s="16">
        <f>IF($A367="","",ROUND($K367-$N367,2))</f>
        <v/>
      </c>
      <c r="P367" s="16">
        <f>IF($A367="","",IF($L367&lt;egk_esikKatkiDusuk,"ZAM YAP",IF(AND($R367=1,$L367&lt;egk_esikKatkiHedef),"İNDİRİMİ KES","TUT")))</f>
        <v/>
      </c>
      <c r="Q367" s="16">
        <f>IF($A367="","",IFERROR(SUMIF(tblAnahtarB[NormB],$A367,tblVeriB[Roas]),0))</f>
        <v/>
      </c>
      <c r="R367" s="16">
        <f>IF($A367="","",IF(OR(IFERROR(INDEX(tblVeriA[YorumAB],MATCH($A367,tblAnahtarA[Norm],0)),"")="B",IFERROR(INDEX(tblVeriA[Durum],MATCH($A367,tblAnahtarA[Norm],0)),"")="Kampanya"),1,0))</f>
        <v/>
      </c>
      <c r="S367" s="16">
        <f>IF($A367="","",$J367-$E367)</f>
        <v/>
      </c>
      <c r="T367" s="16">
        <f>IF($A367="","",$K367-$O367)</f>
        <v/>
      </c>
    </row>
    <row r="368">
      <c r="A368" s="16">
        <f>IF('ANAHTAR'!$B368="","",'ANAHTAR'!$B368)</f>
        <v/>
      </c>
      <c r="B368" s="16">
        <f>IF($A368="","",IFERROR(SUMIF(tblAnahtarA[Norm],$A368,tblVeriA[SatisFiyati]),0))</f>
        <v/>
      </c>
      <c r="C368" s="16">
        <f>IF($A368="","",IFERROR(SUMIF(tblAnahtarA[Norm],$A368,tblVeriA[Maliyet]),0))</f>
        <v/>
      </c>
      <c r="D368" s="16">
        <f>IF($A368="","",IFERROR(SUMIF(tblAnahtarB[NormB],$A368,tblVeriB[KomisyonOran]),0))</f>
        <v/>
      </c>
      <c r="E368" s="16">
        <f>IF($A368="","",ROUND($B368*$D368,2))</f>
        <v/>
      </c>
      <c r="F368" s="16">
        <f>IF($A368="","",IFERROR(SUMIF(tblAnahtarB[NormB],$A368,tblVeriB[Kargo]),0))</f>
        <v/>
      </c>
      <c r="G368" s="16">
        <f>IF($A368="","",IFERROR(SUMIF(tblAnahtarB[NormB],$A368,tblVeriB[IadeOran]),0))</f>
        <v/>
      </c>
      <c r="H368" s="16">
        <f>IF($A368="","",ROUND($B368*$G368,2))</f>
        <v/>
      </c>
      <c r="I368" s="16">
        <f>IF($A368="","",IFERROR(SUMIF(tblAnahtarB[NormB],$A368,tblVeriB[ReklamTutar]),0))</f>
        <v/>
      </c>
      <c r="J368" s="16">
        <f>IF($A368="","",ROUND($B368-$C368,2))</f>
        <v/>
      </c>
      <c r="K368" s="16">
        <f>IF($A368="","",ROUND($B368-$C368-$E368-$F368-$H368-$I368,2))</f>
        <v/>
      </c>
      <c r="L368" s="16">
        <f>IF(OR($A368="",$B368=0),0,$K368/$B368)</f>
        <v/>
      </c>
      <c r="M368" s="16">
        <f>IF($A368="","",IF((1-$D368-$G368)&lt;=0,0,ROUND(($C368+$F368+$I368)/(1-$D368-$G368),2)))</f>
        <v/>
      </c>
      <c r="N368" s="16">
        <f>IF($A368="","",IFERROR(SUMIF(tblAnahtarA[Norm],$A368,tblVeriA[HedefNet]),0))</f>
        <v/>
      </c>
      <c r="O368" s="16">
        <f>IF($A368="","",ROUND($K368-$N368,2))</f>
        <v/>
      </c>
      <c r="P368" s="16">
        <f>IF($A368="","",IF($L368&lt;egk_esikKatkiDusuk,"ZAM YAP",IF(AND($R368=1,$L368&lt;egk_esikKatkiHedef),"İNDİRİMİ KES","TUT")))</f>
        <v/>
      </c>
      <c r="Q368" s="16">
        <f>IF($A368="","",IFERROR(SUMIF(tblAnahtarB[NormB],$A368,tblVeriB[Roas]),0))</f>
        <v/>
      </c>
      <c r="R368" s="16">
        <f>IF($A368="","",IF(OR(IFERROR(INDEX(tblVeriA[YorumAB],MATCH($A368,tblAnahtarA[Norm],0)),"")="B",IFERROR(INDEX(tblVeriA[Durum],MATCH($A368,tblAnahtarA[Norm],0)),"")="Kampanya"),1,0))</f>
        <v/>
      </c>
      <c r="S368" s="16">
        <f>IF($A368="","",$J368-$E368)</f>
        <v/>
      </c>
      <c r="T368" s="16">
        <f>IF($A368="","",$K368-$O368)</f>
        <v/>
      </c>
    </row>
    <row r="369">
      <c r="A369" s="16">
        <f>IF('ANAHTAR'!$B369="","",'ANAHTAR'!$B369)</f>
        <v/>
      </c>
      <c r="B369" s="16">
        <f>IF($A369="","",IFERROR(SUMIF(tblAnahtarA[Norm],$A369,tblVeriA[SatisFiyati]),0))</f>
        <v/>
      </c>
      <c r="C369" s="16">
        <f>IF($A369="","",IFERROR(SUMIF(tblAnahtarA[Norm],$A369,tblVeriA[Maliyet]),0))</f>
        <v/>
      </c>
      <c r="D369" s="16">
        <f>IF($A369="","",IFERROR(SUMIF(tblAnahtarB[NormB],$A369,tblVeriB[KomisyonOran]),0))</f>
        <v/>
      </c>
      <c r="E369" s="16">
        <f>IF($A369="","",ROUND($B369*$D369,2))</f>
        <v/>
      </c>
      <c r="F369" s="16">
        <f>IF($A369="","",IFERROR(SUMIF(tblAnahtarB[NormB],$A369,tblVeriB[Kargo]),0))</f>
        <v/>
      </c>
      <c r="G369" s="16">
        <f>IF($A369="","",IFERROR(SUMIF(tblAnahtarB[NormB],$A369,tblVeriB[IadeOran]),0))</f>
        <v/>
      </c>
      <c r="H369" s="16">
        <f>IF($A369="","",ROUND($B369*$G369,2))</f>
        <v/>
      </c>
      <c r="I369" s="16">
        <f>IF($A369="","",IFERROR(SUMIF(tblAnahtarB[NormB],$A369,tblVeriB[ReklamTutar]),0))</f>
        <v/>
      </c>
      <c r="J369" s="16">
        <f>IF($A369="","",ROUND($B369-$C369,2))</f>
        <v/>
      </c>
      <c r="K369" s="16">
        <f>IF($A369="","",ROUND($B369-$C369-$E369-$F369-$H369-$I369,2))</f>
        <v/>
      </c>
      <c r="L369" s="16">
        <f>IF(OR($A369="",$B369=0),0,$K369/$B369)</f>
        <v/>
      </c>
      <c r="M369" s="16">
        <f>IF($A369="","",IF((1-$D369-$G369)&lt;=0,0,ROUND(($C369+$F369+$I369)/(1-$D369-$G369),2)))</f>
        <v/>
      </c>
      <c r="N369" s="16">
        <f>IF($A369="","",IFERROR(SUMIF(tblAnahtarA[Norm],$A369,tblVeriA[HedefNet]),0))</f>
        <v/>
      </c>
      <c r="O369" s="16">
        <f>IF($A369="","",ROUND($K369-$N369,2))</f>
        <v/>
      </c>
      <c r="P369" s="16">
        <f>IF($A369="","",IF($L369&lt;egk_esikKatkiDusuk,"ZAM YAP",IF(AND($R369=1,$L369&lt;egk_esikKatkiHedef),"İNDİRİMİ KES","TUT")))</f>
        <v/>
      </c>
      <c r="Q369" s="16">
        <f>IF($A369="","",IFERROR(SUMIF(tblAnahtarB[NormB],$A369,tblVeriB[Roas]),0))</f>
        <v/>
      </c>
      <c r="R369" s="16">
        <f>IF($A369="","",IF(OR(IFERROR(INDEX(tblVeriA[YorumAB],MATCH($A369,tblAnahtarA[Norm],0)),"")="B",IFERROR(INDEX(tblVeriA[Durum],MATCH($A369,tblAnahtarA[Norm],0)),"")="Kampanya"),1,0))</f>
        <v/>
      </c>
      <c r="S369" s="16">
        <f>IF($A369="","",$J369-$E369)</f>
        <v/>
      </c>
      <c r="T369" s="16">
        <f>IF($A369="","",$K369-$O369)</f>
        <v/>
      </c>
    </row>
    <row r="370">
      <c r="A370" s="16">
        <f>IF('ANAHTAR'!$B370="","",'ANAHTAR'!$B370)</f>
        <v/>
      </c>
      <c r="B370" s="16">
        <f>IF($A370="","",IFERROR(SUMIF(tblAnahtarA[Norm],$A370,tblVeriA[SatisFiyati]),0))</f>
        <v/>
      </c>
      <c r="C370" s="16">
        <f>IF($A370="","",IFERROR(SUMIF(tblAnahtarA[Norm],$A370,tblVeriA[Maliyet]),0))</f>
        <v/>
      </c>
      <c r="D370" s="16">
        <f>IF($A370="","",IFERROR(SUMIF(tblAnahtarB[NormB],$A370,tblVeriB[KomisyonOran]),0))</f>
        <v/>
      </c>
      <c r="E370" s="16">
        <f>IF($A370="","",ROUND($B370*$D370,2))</f>
        <v/>
      </c>
      <c r="F370" s="16">
        <f>IF($A370="","",IFERROR(SUMIF(tblAnahtarB[NormB],$A370,tblVeriB[Kargo]),0))</f>
        <v/>
      </c>
      <c r="G370" s="16">
        <f>IF($A370="","",IFERROR(SUMIF(tblAnahtarB[NormB],$A370,tblVeriB[IadeOran]),0))</f>
        <v/>
      </c>
      <c r="H370" s="16">
        <f>IF($A370="","",ROUND($B370*$G370,2))</f>
        <v/>
      </c>
      <c r="I370" s="16">
        <f>IF($A370="","",IFERROR(SUMIF(tblAnahtarB[NormB],$A370,tblVeriB[ReklamTutar]),0))</f>
        <v/>
      </c>
      <c r="J370" s="16">
        <f>IF($A370="","",ROUND($B370-$C370,2))</f>
        <v/>
      </c>
      <c r="K370" s="16">
        <f>IF($A370="","",ROUND($B370-$C370-$E370-$F370-$H370-$I370,2))</f>
        <v/>
      </c>
      <c r="L370" s="16">
        <f>IF(OR($A370="",$B370=0),0,$K370/$B370)</f>
        <v/>
      </c>
      <c r="M370" s="16">
        <f>IF($A370="","",IF((1-$D370-$G370)&lt;=0,0,ROUND(($C370+$F370+$I370)/(1-$D370-$G370),2)))</f>
        <v/>
      </c>
      <c r="N370" s="16">
        <f>IF($A370="","",IFERROR(SUMIF(tblAnahtarA[Norm],$A370,tblVeriA[HedefNet]),0))</f>
        <v/>
      </c>
      <c r="O370" s="16">
        <f>IF($A370="","",ROUND($K370-$N370,2))</f>
        <v/>
      </c>
      <c r="P370" s="16">
        <f>IF($A370="","",IF($L370&lt;egk_esikKatkiDusuk,"ZAM YAP",IF(AND($R370=1,$L370&lt;egk_esikKatkiHedef),"İNDİRİMİ KES","TUT")))</f>
        <v/>
      </c>
      <c r="Q370" s="16">
        <f>IF($A370="","",IFERROR(SUMIF(tblAnahtarB[NormB],$A370,tblVeriB[Roas]),0))</f>
        <v/>
      </c>
      <c r="R370" s="16">
        <f>IF($A370="","",IF(OR(IFERROR(INDEX(tblVeriA[YorumAB],MATCH($A370,tblAnahtarA[Norm],0)),"")="B",IFERROR(INDEX(tblVeriA[Durum],MATCH($A370,tblAnahtarA[Norm],0)),"")="Kampanya"),1,0))</f>
        <v/>
      </c>
      <c r="S370" s="16">
        <f>IF($A370="","",$J370-$E370)</f>
        <v/>
      </c>
      <c r="T370" s="16">
        <f>IF($A370="","",$K370-$O370)</f>
        <v/>
      </c>
    </row>
    <row r="371">
      <c r="A371" s="16">
        <f>IF('ANAHTAR'!$B371="","",'ANAHTAR'!$B371)</f>
        <v/>
      </c>
      <c r="B371" s="16">
        <f>IF($A371="","",IFERROR(SUMIF(tblAnahtarA[Norm],$A371,tblVeriA[SatisFiyati]),0))</f>
        <v/>
      </c>
      <c r="C371" s="16">
        <f>IF($A371="","",IFERROR(SUMIF(tblAnahtarA[Norm],$A371,tblVeriA[Maliyet]),0))</f>
        <v/>
      </c>
      <c r="D371" s="16">
        <f>IF($A371="","",IFERROR(SUMIF(tblAnahtarB[NormB],$A371,tblVeriB[KomisyonOran]),0))</f>
        <v/>
      </c>
      <c r="E371" s="16">
        <f>IF($A371="","",ROUND($B371*$D371,2))</f>
        <v/>
      </c>
      <c r="F371" s="16">
        <f>IF($A371="","",IFERROR(SUMIF(tblAnahtarB[NormB],$A371,tblVeriB[Kargo]),0))</f>
        <v/>
      </c>
      <c r="G371" s="16">
        <f>IF($A371="","",IFERROR(SUMIF(tblAnahtarB[NormB],$A371,tblVeriB[IadeOran]),0))</f>
        <v/>
      </c>
      <c r="H371" s="16">
        <f>IF($A371="","",ROUND($B371*$G371,2))</f>
        <v/>
      </c>
      <c r="I371" s="16">
        <f>IF($A371="","",IFERROR(SUMIF(tblAnahtarB[NormB],$A371,tblVeriB[ReklamTutar]),0))</f>
        <v/>
      </c>
      <c r="J371" s="16">
        <f>IF($A371="","",ROUND($B371-$C371,2))</f>
        <v/>
      </c>
      <c r="K371" s="16">
        <f>IF($A371="","",ROUND($B371-$C371-$E371-$F371-$H371-$I371,2))</f>
        <v/>
      </c>
      <c r="L371" s="16">
        <f>IF(OR($A371="",$B371=0),0,$K371/$B371)</f>
        <v/>
      </c>
      <c r="M371" s="16">
        <f>IF($A371="","",IF((1-$D371-$G371)&lt;=0,0,ROUND(($C371+$F371+$I371)/(1-$D371-$G371),2)))</f>
        <v/>
      </c>
      <c r="N371" s="16">
        <f>IF($A371="","",IFERROR(SUMIF(tblAnahtarA[Norm],$A371,tblVeriA[HedefNet]),0))</f>
        <v/>
      </c>
      <c r="O371" s="16">
        <f>IF($A371="","",ROUND($K371-$N371,2))</f>
        <v/>
      </c>
      <c r="P371" s="16">
        <f>IF($A371="","",IF($L371&lt;egk_esikKatkiDusuk,"ZAM YAP",IF(AND($R371=1,$L371&lt;egk_esikKatkiHedef),"İNDİRİMİ KES","TUT")))</f>
        <v/>
      </c>
      <c r="Q371" s="16">
        <f>IF($A371="","",IFERROR(SUMIF(tblAnahtarB[NormB],$A371,tblVeriB[Roas]),0))</f>
        <v/>
      </c>
      <c r="R371" s="16">
        <f>IF($A371="","",IF(OR(IFERROR(INDEX(tblVeriA[YorumAB],MATCH($A371,tblAnahtarA[Norm],0)),"")="B",IFERROR(INDEX(tblVeriA[Durum],MATCH($A371,tblAnahtarA[Norm],0)),"")="Kampanya"),1,0))</f>
        <v/>
      </c>
      <c r="S371" s="16">
        <f>IF($A371="","",$J371-$E371)</f>
        <v/>
      </c>
      <c r="T371" s="16">
        <f>IF($A371="","",$K371-$O371)</f>
        <v/>
      </c>
    </row>
    <row r="372">
      <c r="A372" s="16">
        <f>IF('ANAHTAR'!$B372="","",'ANAHTAR'!$B372)</f>
        <v/>
      </c>
      <c r="B372" s="16">
        <f>IF($A372="","",IFERROR(SUMIF(tblAnahtarA[Norm],$A372,tblVeriA[SatisFiyati]),0))</f>
        <v/>
      </c>
      <c r="C372" s="16">
        <f>IF($A372="","",IFERROR(SUMIF(tblAnahtarA[Norm],$A372,tblVeriA[Maliyet]),0))</f>
        <v/>
      </c>
      <c r="D372" s="16">
        <f>IF($A372="","",IFERROR(SUMIF(tblAnahtarB[NormB],$A372,tblVeriB[KomisyonOran]),0))</f>
        <v/>
      </c>
      <c r="E372" s="16">
        <f>IF($A372="","",ROUND($B372*$D372,2))</f>
        <v/>
      </c>
      <c r="F372" s="16">
        <f>IF($A372="","",IFERROR(SUMIF(tblAnahtarB[NormB],$A372,tblVeriB[Kargo]),0))</f>
        <v/>
      </c>
      <c r="G372" s="16">
        <f>IF($A372="","",IFERROR(SUMIF(tblAnahtarB[NormB],$A372,tblVeriB[IadeOran]),0))</f>
        <v/>
      </c>
      <c r="H372" s="16">
        <f>IF($A372="","",ROUND($B372*$G372,2))</f>
        <v/>
      </c>
      <c r="I372" s="16">
        <f>IF($A372="","",IFERROR(SUMIF(tblAnahtarB[NormB],$A372,tblVeriB[ReklamTutar]),0))</f>
        <v/>
      </c>
      <c r="J372" s="16">
        <f>IF($A372="","",ROUND($B372-$C372,2))</f>
        <v/>
      </c>
      <c r="K372" s="16">
        <f>IF($A372="","",ROUND($B372-$C372-$E372-$F372-$H372-$I372,2))</f>
        <v/>
      </c>
      <c r="L372" s="16">
        <f>IF(OR($A372="",$B372=0),0,$K372/$B372)</f>
        <v/>
      </c>
      <c r="M372" s="16">
        <f>IF($A372="","",IF((1-$D372-$G372)&lt;=0,0,ROUND(($C372+$F372+$I372)/(1-$D372-$G372),2)))</f>
        <v/>
      </c>
      <c r="N372" s="16">
        <f>IF($A372="","",IFERROR(SUMIF(tblAnahtarA[Norm],$A372,tblVeriA[HedefNet]),0))</f>
        <v/>
      </c>
      <c r="O372" s="16">
        <f>IF($A372="","",ROUND($K372-$N372,2))</f>
        <v/>
      </c>
      <c r="P372" s="16">
        <f>IF($A372="","",IF($L372&lt;egk_esikKatkiDusuk,"ZAM YAP",IF(AND($R372=1,$L372&lt;egk_esikKatkiHedef),"İNDİRİMİ KES","TUT")))</f>
        <v/>
      </c>
      <c r="Q372" s="16">
        <f>IF($A372="","",IFERROR(SUMIF(tblAnahtarB[NormB],$A372,tblVeriB[Roas]),0))</f>
        <v/>
      </c>
      <c r="R372" s="16">
        <f>IF($A372="","",IF(OR(IFERROR(INDEX(tblVeriA[YorumAB],MATCH($A372,tblAnahtarA[Norm],0)),"")="B",IFERROR(INDEX(tblVeriA[Durum],MATCH($A372,tblAnahtarA[Norm],0)),"")="Kampanya"),1,0))</f>
        <v/>
      </c>
      <c r="S372" s="16">
        <f>IF($A372="","",$J372-$E372)</f>
        <v/>
      </c>
      <c r="T372" s="16">
        <f>IF($A372="","",$K372-$O372)</f>
        <v/>
      </c>
    </row>
    <row r="373">
      <c r="A373" s="16">
        <f>IF('ANAHTAR'!$B373="","",'ANAHTAR'!$B373)</f>
        <v/>
      </c>
      <c r="B373" s="16">
        <f>IF($A373="","",IFERROR(SUMIF(tblAnahtarA[Norm],$A373,tblVeriA[SatisFiyati]),0))</f>
        <v/>
      </c>
      <c r="C373" s="16">
        <f>IF($A373="","",IFERROR(SUMIF(tblAnahtarA[Norm],$A373,tblVeriA[Maliyet]),0))</f>
        <v/>
      </c>
      <c r="D373" s="16">
        <f>IF($A373="","",IFERROR(SUMIF(tblAnahtarB[NormB],$A373,tblVeriB[KomisyonOran]),0))</f>
        <v/>
      </c>
      <c r="E373" s="16">
        <f>IF($A373="","",ROUND($B373*$D373,2))</f>
        <v/>
      </c>
      <c r="F373" s="16">
        <f>IF($A373="","",IFERROR(SUMIF(tblAnahtarB[NormB],$A373,tblVeriB[Kargo]),0))</f>
        <v/>
      </c>
      <c r="G373" s="16">
        <f>IF($A373="","",IFERROR(SUMIF(tblAnahtarB[NormB],$A373,tblVeriB[IadeOran]),0))</f>
        <v/>
      </c>
      <c r="H373" s="16">
        <f>IF($A373="","",ROUND($B373*$G373,2))</f>
        <v/>
      </c>
      <c r="I373" s="16">
        <f>IF($A373="","",IFERROR(SUMIF(tblAnahtarB[NormB],$A373,tblVeriB[ReklamTutar]),0))</f>
        <v/>
      </c>
      <c r="J373" s="16">
        <f>IF($A373="","",ROUND($B373-$C373,2))</f>
        <v/>
      </c>
      <c r="K373" s="16">
        <f>IF($A373="","",ROUND($B373-$C373-$E373-$F373-$H373-$I373,2))</f>
        <v/>
      </c>
      <c r="L373" s="16">
        <f>IF(OR($A373="",$B373=0),0,$K373/$B373)</f>
        <v/>
      </c>
      <c r="M373" s="16">
        <f>IF($A373="","",IF((1-$D373-$G373)&lt;=0,0,ROUND(($C373+$F373+$I373)/(1-$D373-$G373),2)))</f>
        <v/>
      </c>
      <c r="N373" s="16">
        <f>IF($A373="","",IFERROR(SUMIF(tblAnahtarA[Norm],$A373,tblVeriA[HedefNet]),0))</f>
        <v/>
      </c>
      <c r="O373" s="16">
        <f>IF($A373="","",ROUND($K373-$N373,2))</f>
        <v/>
      </c>
      <c r="P373" s="16">
        <f>IF($A373="","",IF($L373&lt;egk_esikKatkiDusuk,"ZAM YAP",IF(AND($R373=1,$L373&lt;egk_esikKatkiHedef),"İNDİRİMİ KES","TUT")))</f>
        <v/>
      </c>
      <c r="Q373" s="16">
        <f>IF($A373="","",IFERROR(SUMIF(tblAnahtarB[NormB],$A373,tblVeriB[Roas]),0))</f>
        <v/>
      </c>
      <c r="R373" s="16">
        <f>IF($A373="","",IF(OR(IFERROR(INDEX(tblVeriA[YorumAB],MATCH($A373,tblAnahtarA[Norm],0)),"")="B",IFERROR(INDEX(tblVeriA[Durum],MATCH($A373,tblAnahtarA[Norm],0)),"")="Kampanya"),1,0))</f>
        <v/>
      </c>
      <c r="S373" s="16">
        <f>IF($A373="","",$J373-$E373)</f>
        <v/>
      </c>
      <c r="T373" s="16">
        <f>IF($A373="","",$K373-$O373)</f>
        <v/>
      </c>
    </row>
    <row r="374">
      <c r="A374" s="16">
        <f>IF('ANAHTAR'!$B374="","",'ANAHTAR'!$B374)</f>
        <v/>
      </c>
      <c r="B374" s="16">
        <f>IF($A374="","",IFERROR(SUMIF(tblAnahtarA[Norm],$A374,tblVeriA[SatisFiyati]),0))</f>
        <v/>
      </c>
      <c r="C374" s="16">
        <f>IF($A374="","",IFERROR(SUMIF(tblAnahtarA[Norm],$A374,tblVeriA[Maliyet]),0))</f>
        <v/>
      </c>
      <c r="D374" s="16">
        <f>IF($A374="","",IFERROR(SUMIF(tblAnahtarB[NormB],$A374,tblVeriB[KomisyonOran]),0))</f>
        <v/>
      </c>
      <c r="E374" s="16">
        <f>IF($A374="","",ROUND($B374*$D374,2))</f>
        <v/>
      </c>
      <c r="F374" s="16">
        <f>IF($A374="","",IFERROR(SUMIF(tblAnahtarB[NormB],$A374,tblVeriB[Kargo]),0))</f>
        <v/>
      </c>
      <c r="G374" s="16">
        <f>IF($A374="","",IFERROR(SUMIF(tblAnahtarB[NormB],$A374,tblVeriB[IadeOran]),0))</f>
        <v/>
      </c>
      <c r="H374" s="16">
        <f>IF($A374="","",ROUND($B374*$G374,2))</f>
        <v/>
      </c>
      <c r="I374" s="16">
        <f>IF($A374="","",IFERROR(SUMIF(tblAnahtarB[NormB],$A374,tblVeriB[ReklamTutar]),0))</f>
        <v/>
      </c>
      <c r="J374" s="16">
        <f>IF($A374="","",ROUND($B374-$C374,2))</f>
        <v/>
      </c>
      <c r="K374" s="16">
        <f>IF($A374="","",ROUND($B374-$C374-$E374-$F374-$H374-$I374,2))</f>
        <v/>
      </c>
      <c r="L374" s="16">
        <f>IF(OR($A374="",$B374=0),0,$K374/$B374)</f>
        <v/>
      </c>
      <c r="M374" s="16">
        <f>IF($A374="","",IF((1-$D374-$G374)&lt;=0,0,ROUND(($C374+$F374+$I374)/(1-$D374-$G374),2)))</f>
        <v/>
      </c>
      <c r="N374" s="16">
        <f>IF($A374="","",IFERROR(SUMIF(tblAnahtarA[Norm],$A374,tblVeriA[HedefNet]),0))</f>
        <v/>
      </c>
      <c r="O374" s="16">
        <f>IF($A374="","",ROUND($K374-$N374,2))</f>
        <v/>
      </c>
      <c r="P374" s="16">
        <f>IF($A374="","",IF($L374&lt;egk_esikKatkiDusuk,"ZAM YAP",IF(AND($R374=1,$L374&lt;egk_esikKatkiHedef),"İNDİRİMİ KES","TUT")))</f>
        <v/>
      </c>
      <c r="Q374" s="16">
        <f>IF($A374="","",IFERROR(SUMIF(tblAnahtarB[NormB],$A374,tblVeriB[Roas]),0))</f>
        <v/>
      </c>
      <c r="R374" s="16">
        <f>IF($A374="","",IF(OR(IFERROR(INDEX(tblVeriA[YorumAB],MATCH($A374,tblAnahtarA[Norm],0)),"")="B",IFERROR(INDEX(tblVeriA[Durum],MATCH($A374,tblAnahtarA[Norm],0)),"")="Kampanya"),1,0))</f>
        <v/>
      </c>
      <c r="S374" s="16">
        <f>IF($A374="","",$J374-$E374)</f>
        <v/>
      </c>
      <c r="T374" s="16">
        <f>IF($A374="","",$K374-$O374)</f>
        <v/>
      </c>
    </row>
    <row r="375">
      <c r="A375" s="16">
        <f>IF('ANAHTAR'!$B375="","",'ANAHTAR'!$B375)</f>
        <v/>
      </c>
      <c r="B375" s="16">
        <f>IF($A375="","",IFERROR(SUMIF(tblAnahtarA[Norm],$A375,tblVeriA[SatisFiyati]),0))</f>
        <v/>
      </c>
      <c r="C375" s="16">
        <f>IF($A375="","",IFERROR(SUMIF(tblAnahtarA[Norm],$A375,tblVeriA[Maliyet]),0))</f>
        <v/>
      </c>
      <c r="D375" s="16">
        <f>IF($A375="","",IFERROR(SUMIF(tblAnahtarB[NormB],$A375,tblVeriB[KomisyonOran]),0))</f>
        <v/>
      </c>
      <c r="E375" s="16">
        <f>IF($A375="","",ROUND($B375*$D375,2))</f>
        <v/>
      </c>
      <c r="F375" s="16">
        <f>IF($A375="","",IFERROR(SUMIF(tblAnahtarB[NormB],$A375,tblVeriB[Kargo]),0))</f>
        <v/>
      </c>
      <c r="G375" s="16">
        <f>IF($A375="","",IFERROR(SUMIF(tblAnahtarB[NormB],$A375,tblVeriB[IadeOran]),0))</f>
        <v/>
      </c>
      <c r="H375" s="16">
        <f>IF($A375="","",ROUND($B375*$G375,2))</f>
        <v/>
      </c>
      <c r="I375" s="16">
        <f>IF($A375="","",IFERROR(SUMIF(tblAnahtarB[NormB],$A375,tblVeriB[ReklamTutar]),0))</f>
        <v/>
      </c>
      <c r="J375" s="16">
        <f>IF($A375="","",ROUND($B375-$C375,2))</f>
        <v/>
      </c>
      <c r="K375" s="16">
        <f>IF($A375="","",ROUND($B375-$C375-$E375-$F375-$H375-$I375,2))</f>
        <v/>
      </c>
      <c r="L375" s="16">
        <f>IF(OR($A375="",$B375=0),0,$K375/$B375)</f>
        <v/>
      </c>
      <c r="M375" s="16">
        <f>IF($A375="","",IF((1-$D375-$G375)&lt;=0,0,ROUND(($C375+$F375+$I375)/(1-$D375-$G375),2)))</f>
        <v/>
      </c>
      <c r="N375" s="16">
        <f>IF($A375="","",IFERROR(SUMIF(tblAnahtarA[Norm],$A375,tblVeriA[HedefNet]),0))</f>
        <v/>
      </c>
      <c r="O375" s="16">
        <f>IF($A375="","",ROUND($K375-$N375,2))</f>
        <v/>
      </c>
      <c r="P375" s="16">
        <f>IF($A375="","",IF($L375&lt;egk_esikKatkiDusuk,"ZAM YAP",IF(AND($R375=1,$L375&lt;egk_esikKatkiHedef),"İNDİRİMİ KES","TUT")))</f>
        <v/>
      </c>
      <c r="Q375" s="16">
        <f>IF($A375="","",IFERROR(SUMIF(tblAnahtarB[NormB],$A375,tblVeriB[Roas]),0))</f>
        <v/>
      </c>
      <c r="R375" s="16">
        <f>IF($A375="","",IF(OR(IFERROR(INDEX(tblVeriA[YorumAB],MATCH($A375,tblAnahtarA[Norm],0)),"")="B",IFERROR(INDEX(tblVeriA[Durum],MATCH($A375,tblAnahtarA[Norm],0)),"")="Kampanya"),1,0))</f>
        <v/>
      </c>
      <c r="S375" s="16">
        <f>IF($A375="","",$J375-$E375)</f>
        <v/>
      </c>
      <c r="T375" s="16">
        <f>IF($A375="","",$K375-$O375)</f>
        <v/>
      </c>
    </row>
    <row r="376">
      <c r="A376" s="16">
        <f>IF('ANAHTAR'!$B376="","",'ANAHTAR'!$B376)</f>
        <v/>
      </c>
      <c r="B376" s="16">
        <f>IF($A376="","",IFERROR(SUMIF(tblAnahtarA[Norm],$A376,tblVeriA[SatisFiyati]),0))</f>
        <v/>
      </c>
      <c r="C376" s="16">
        <f>IF($A376="","",IFERROR(SUMIF(tblAnahtarA[Norm],$A376,tblVeriA[Maliyet]),0))</f>
        <v/>
      </c>
      <c r="D376" s="16">
        <f>IF($A376="","",IFERROR(SUMIF(tblAnahtarB[NormB],$A376,tblVeriB[KomisyonOran]),0))</f>
        <v/>
      </c>
      <c r="E376" s="16">
        <f>IF($A376="","",ROUND($B376*$D376,2))</f>
        <v/>
      </c>
      <c r="F376" s="16">
        <f>IF($A376="","",IFERROR(SUMIF(tblAnahtarB[NormB],$A376,tblVeriB[Kargo]),0))</f>
        <v/>
      </c>
      <c r="G376" s="16">
        <f>IF($A376="","",IFERROR(SUMIF(tblAnahtarB[NormB],$A376,tblVeriB[IadeOran]),0))</f>
        <v/>
      </c>
      <c r="H376" s="16">
        <f>IF($A376="","",ROUND($B376*$G376,2))</f>
        <v/>
      </c>
      <c r="I376" s="16">
        <f>IF($A376="","",IFERROR(SUMIF(tblAnahtarB[NormB],$A376,tblVeriB[ReklamTutar]),0))</f>
        <v/>
      </c>
      <c r="J376" s="16">
        <f>IF($A376="","",ROUND($B376-$C376,2))</f>
        <v/>
      </c>
      <c r="K376" s="16">
        <f>IF($A376="","",ROUND($B376-$C376-$E376-$F376-$H376-$I376,2))</f>
        <v/>
      </c>
      <c r="L376" s="16">
        <f>IF(OR($A376="",$B376=0),0,$K376/$B376)</f>
        <v/>
      </c>
      <c r="M376" s="16">
        <f>IF($A376="","",IF((1-$D376-$G376)&lt;=0,0,ROUND(($C376+$F376+$I376)/(1-$D376-$G376),2)))</f>
        <v/>
      </c>
      <c r="N376" s="16">
        <f>IF($A376="","",IFERROR(SUMIF(tblAnahtarA[Norm],$A376,tblVeriA[HedefNet]),0))</f>
        <v/>
      </c>
      <c r="O376" s="16">
        <f>IF($A376="","",ROUND($K376-$N376,2))</f>
        <v/>
      </c>
      <c r="P376" s="16">
        <f>IF($A376="","",IF($L376&lt;egk_esikKatkiDusuk,"ZAM YAP",IF(AND($R376=1,$L376&lt;egk_esikKatkiHedef),"İNDİRİMİ KES","TUT")))</f>
        <v/>
      </c>
      <c r="Q376" s="16">
        <f>IF($A376="","",IFERROR(SUMIF(tblAnahtarB[NormB],$A376,tblVeriB[Roas]),0))</f>
        <v/>
      </c>
      <c r="R376" s="16">
        <f>IF($A376="","",IF(OR(IFERROR(INDEX(tblVeriA[YorumAB],MATCH($A376,tblAnahtarA[Norm],0)),"")="B",IFERROR(INDEX(tblVeriA[Durum],MATCH($A376,tblAnahtarA[Norm],0)),"")="Kampanya"),1,0))</f>
        <v/>
      </c>
      <c r="S376" s="16">
        <f>IF($A376="","",$J376-$E376)</f>
        <v/>
      </c>
      <c r="T376" s="16">
        <f>IF($A376="","",$K376-$O376)</f>
        <v/>
      </c>
    </row>
    <row r="377">
      <c r="A377" s="16">
        <f>IF('ANAHTAR'!$B377="","",'ANAHTAR'!$B377)</f>
        <v/>
      </c>
      <c r="B377" s="16">
        <f>IF($A377="","",IFERROR(SUMIF(tblAnahtarA[Norm],$A377,tblVeriA[SatisFiyati]),0))</f>
        <v/>
      </c>
      <c r="C377" s="16">
        <f>IF($A377="","",IFERROR(SUMIF(tblAnahtarA[Norm],$A377,tblVeriA[Maliyet]),0))</f>
        <v/>
      </c>
      <c r="D377" s="16">
        <f>IF($A377="","",IFERROR(SUMIF(tblAnahtarB[NormB],$A377,tblVeriB[KomisyonOran]),0))</f>
        <v/>
      </c>
      <c r="E377" s="16">
        <f>IF($A377="","",ROUND($B377*$D377,2))</f>
        <v/>
      </c>
      <c r="F377" s="16">
        <f>IF($A377="","",IFERROR(SUMIF(tblAnahtarB[NormB],$A377,tblVeriB[Kargo]),0))</f>
        <v/>
      </c>
      <c r="G377" s="16">
        <f>IF($A377="","",IFERROR(SUMIF(tblAnahtarB[NormB],$A377,tblVeriB[IadeOran]),0))</f>
        <v/>
      </c>
      <c r="H377" s="16">
        <f>IF($A377="","",ROUND($B377*$G377,2))</f>
        <v/>
      </c>
      <c r="I377" s="16">
        <f>IF($A377="","",IFERROR(SUMIF(tblAnahtarB[NormB],$A377,tblVeriB[ReklamTutar]),0))</f>
        <v/>
      </c>
      <c r="J377" s="16">
        <f>IF($A377="","",ROUND($B377-$C377,2))</f>
        <v/>
      </c>
      <c r="K377" s="16">
        <f>IF($A377="","",ROUND($B377-$C377-$E377-$F377-$H377-$I377,2))</f>
        <v/>
      </c>
      <c r="L377" s="16">
        <f>IF(OR($A377="",$B377=0),0,$K377/$B377)</f>
        <v/>
      </c>
      <c r="M377" s="16">
        <f>IF($A377="","",IF((1-$D377-$G377)&lt;=0,0,ROUND(($C377+$F377+$I377)/(1-$D377-$G377),2)))</f>
        <v/>
      </c>
      <c r="N377" s="16">
        <f>IF($A377="","",IFERROR(SUMIF(tblAnahtarA[Norm],$A377,tblVeriA[HedefNet]),0))</f>
        <v/>
      </c>
      <c r="O377" s="16">
        <f>IF($A377="","",ROUND($K377-$N377,2))</f>
        <v/>
      </c>
      <c r="P377" s="16">
        <f>IF($A377="","",IF($L377&lt;egk_esikKatkiDusuk,"ZAM YAP",IF(AND($R377=1,$L377&lt;egk_esikKatkiHedef),"İNDİRİMİ KES","TUT")))</f>
        <v/>
      </c>
      <c r="Q377" s="16">
        <f>IF($A377="","",IFERROR(SUMIF(tblAnahtarB[NormB],$A377,tblVeriB[Roas]),0))</f>
        <v/>
      </c>
      <c r="R377" s="16">
        <f>IF($A377="","",IF(OR(IFERROR(INDEX(tblVeriA[YorumAB],MATCH($A377,tblAnahtarA[Norm],0)),"")="B",IFERROR(INDEX(tblVeriA[Durum],MATCH($A377,tblAnahtarA[Norm],0)),"")="Kampanya"),1,0))</f>
        <v/>
      </c>
      <c r="S377" s="16">
        <f>IF($A377="","",$J377-$E377)</f>
        <v/>
      </c>
      <c r="T377" s="16">
        <f>IF($A377="","",$K377-$O377)</f>
        <v/>
      </c>
    </row>
    <row r="378">
      <c r="A378" s="16">
        <f>IF('ANAHTAR'!$B378="","",'ANAHTAR'!$B378)</f>
        <v/>
      </c>
      <c r="B378" s="16">
        <f>IF($A378="","",IFERROR(SUMIF(tblAnahtarA[Norm],$A378,tblVeriA[SatisFiyati]),0))</f>
        <v/>
      </c>
      <c r="C378" s="16">
        <f>IF($A378="","",IFERROR(SUMIF(tblAnahtarA[Norm],$A378,tblVeriA[Maliyet]),0))</f>
        <v/>
      </c>
      <c r="D378" s="16">
        <f>IF($A378="","",IFERROR(SUMIF(tblAnahtarB[NormB],$A378,tblVeriB[KomisyonOran]),0))</f>
        <v/>
      </c>
      <c r="E378" s="16">
        <f>IF($A378="","",ROUND($B378*$D378,2))</f>
        <v/>
      </c>
      <c r="F378" s="16">
        <f>IF($A378="","",IFERROR(SUMIF(tblAnahtarB[NormB],$A378,tblVeriB[Kargo]),0))</f>
        <v/>
      </c>
      <c r="G378" s="16">
        <f>IF($A378="","",IFERROR(SUMIF(tblAnahtarB[NormB],$A378,tblVeriB[IadeOran]),0))</f>
        <v/>
      </c>
      <c r="H378" s="16">
        <f>IF($A378="","",ROUND($B378*$G378,2))</f>
        <v/>
      </c>
      <c r="I378" s="16">
        <f>IF($A378="","",IFERROR(SUMIF(tblAnahtarB[NormB],$A378,tblVeriB[ReklamTutar]),0))</f>
        <v/>
      </c>
      <c r="J378" s="16">
        <f>IF($A378="","",ROUND($B378-$C378,2))</f>
        <v/>
      </c>
      <c r="K378" s="16">
        <f>IF($A378="","",ROUND($B378-$C378-$E378-$F378-$H378-$I378,2))</f>
        <v/>
      </c>
      <c r="L378" s="16">
        <f>IF(OR($A378="",$B378=0),0,$K378/$B378)</f>
        <v/>
      </c>
      <c r="M378" s="16">
        <f>IF($A378="","",IF((1-$D378-$G378)&lt;=0,0,ROUND(($C378+$F378+$I378)/(1-$D378-$G378),2)))</f>
        <v/>
      </c>
      <c r="N378" s="16">
        <f>IF($A378="","",IFERROR(SUMIF(tblAnahtarA[Norm],$A378,tblVeriA[HedefNet]),0))</f>
        <v/>
      </c>
      <c r="O378" s="16">
        <f>IF($A378="","",ROUND($K378-$N378,2))</f>
        <v/>
      </c>
      <c r="P378" s="16">
        <f>IF($A378="","",IF($L378&lt;egk_esikKatkiDusuk,"ZAM YAP",IF(AND($R378=1,$L378&lt;egk_esikKatkiHedef),"İNDİRİMİ KES","TUT")))</f>
        <v/>
      </c>
      <c r="Q378" s="16">
        <f>IF($A378="","",IFERROR(SUMIF(tblAnahtarB[NormB],$A378,tblVeriB[Roas]),0))</f>
        <v/>
      </c>
      <c r="R378" s="16">
        <f>IF($A378="","",IF(OR(IFERROR(INDEX(tblVeriA[YorumAB],MATCH($A378,tblAnahtarA[Norm],0)),"")="B",IFERROR(INDEX(tblVeriA[Durum],MATCH($A378,tblAnahtarA[Norm],0)),"")="Kampanya"),1,0))</f>
        <v/>
      </c>
      <c r="S378" s="16">
        <f>IF($A378="","",$J378-$E378)</f>
        <v/>
      </c>
      <c r="T378" s="16">
        <f>IF($A378="","",$K378-$O378)</f>
        <v/>
      </c>
    </row>
    <row r="379">
      <c r="A379" s="16">
        <f>IF('ANAHTAR'!$B379="","",'ANAHTAR'!$B379)</f>
        <v/>
      </c>
      <c r="B379" s="16">
        <f>IF($A379="","",IFERROR(SUMIF(tblAnahtarA[Norm],$A379,tblVeriA[SatisFiyati]),0))</f>
        <v/>
      </c>
      <c r="C379" s="16">
        <f>IF($A379="","",IFERROR(SUMIF(tblAnahtarA[Norm],$A379,tblVeriA[Maliyet]),0))</f>
        <v/>
      </c>
      <c r="D379" s="16">
        <f>IF($A379="","",IFERROR(SUMIF(tblAnahtarB[NormB],$A379,tblVeriB[KomisyonOran]),0))</f>
        <v/>
      </c>
      <c r="E379" s="16">
        <f>IF($A379="","",ROUND($B379*$D379,2))</f>
        <v/>
      </c>
      <c r="F379" s="16">
        <f>IF($A379="","",IFERROR(SUMIF(tblAnahtarB[NormB],$A379,tblVeriB[Kargo]),0))</f>
        <v/>
      </c>
      <c r="G379" s="16">
        <f>IF($A379="","",IFERROR(SUMIF(tblAnahtarB[NormB],$A379,tblVeriB[IadeOran]),0))</f>
        <v/>
      </c>
      <c r="H379" s="16">
        <f>IF($A379="","",ROUND($B379*$G379,2))</f>
        <v/>
      </c>
      <c r="I379" s="16">
        <f>IF($A379="","",IFERROR(SUMIF(tblAnahtarB[NormB],$A379,tblVeriB[ReklamTutar]),0))</f>
        <v/>
      </c>
      <c r="J379" s="16">
        <f>IF($A379="","",ROUND($B379-$C379,2))</f>
        <v/>
      </c>
      <c r="K379" s="16">
        <f>IF($A379="","",ROUND($B379-$C379-$E379-$F379-$H379-$I379,2))</f>
        <v/>
      </c>
      <c r="L379" s="16">
        <f>IF(OR($A379="",$B379=0),0,$K379/$B379)</f>
        <v/>
      </c>
      <c r="M379" s="16">
        <f>IF($A379="","",IF((1-$D379-$G379)&lt;=0,0,ROUND(($C379+$F379+$I379)/(1-$D379-$G379),2)))</f>
        <v/>
      </c>
      <c r="N379" s="16">
        <f>IF($A379="","",IFERROR(SUMIF(tblAnahtarA[Norm],$A379,tblVeriA[HedefNet]),0))</f>
        <v/>
      </c>
      <c r="O379" s="16">
        <f>IF($A379="","",ROUND($K379-$N379,2))</f>
        <v/>
      </c>
      <c r="P379" s="16">
        <f>IF($A379="","",IF($L379&lt;egk_esikKatkiDusuk,"ZAM YAP",IF(AND($R379=1,$L379&lt;egk_esikKatkiHedef),"İNDİRİMİ KES","TUT")))</f>
        <v/>
      </c>
      <c r="Q379" s="16">
        <f>IF($A379="","",IFERROR(SUMIF(tblAnahtarB[NormB],$A379,tblVeriB[Roas]),0))</f>
        <v/>
      </c>
      <c r="R379" s="16">
        <f>IF($A379="","",IF(OR(IFERROR(INDEX(tblVeriA[YorumAB],MATCH($A379,tblAnahtarA[Norm],0)),"")="B",IFERROR(INDEX(tblVeriA[Durum],MATCH($A379,tblAnahtarA[Norm],0)),"")="Kampanya"),1,0))</f>
        <v/>
      </c>
      <c r="S379" s="16">
        <f>IF($A379="","",$J379-$E379)</f>
        <v/>
      </c>
      <c r="T379" s="16">
        <f>IF($A379="","",$K379-$O379)</f>
        <v/>
      </c>
    </row>
    <row r="380">
      <c r="A380" s="16">
        <f>IF('ANAHTAR'!$B380="","",'ANAHTAR'!$B380)</f>
        <v/>
      </c>
      <c r="B380" s="16">
        <f>IF($A380="","",IFERROR(SUMIF(tblAnahtarA[Norm],$A380,tblVeriA[SatisFiyati]),0))</f>
        <v/>
      </c>
      <c r="C380" s="16">
        <f>IF($A380="","",IFERROR(SUMIF(tblAnahtarA[Norm],$A380,tblVeriA[Maliyet]),0))</f>
        <v/>
      </c>
      <c r="D380" s="16">
        <f>IF($A380="","",IFERROR(SUMIF(tblAnahtarB[NormB],$A380,tblVeriB[KomisyonOran]),0))</f>
        <v/>
      </c>
      <c r="E380" s="16">
        <f>IF($A380="","",ROUND($B380*$D380,2))</f>
        <v/>
      </c>
      <c r="F380" s="16">
        <f>IF($A380="","",IFERROR(SUMIF(tblAnahtarB[NormB],$A380,tblVeriB[Kargo]),0))</f>
        <v/>
      </c>
      <c r="G380" s="16">
        <f>IF($A380="","",IFERROR(SUMIF(tblAnahtarB[NormB],$A380,tblVeriB[IadeOran]),0))</f>
        <v/>
      </c>
      <c r="H380" s="16">
        <f>IF($A380="","",ROUND($B380*$G380,2))</f>
        <v/>
      </c>
      <c r="I380" s="16">
        <f>IF($A380="","",IFERROR(SUMIF(tblAnahtarB[NormB],$A380,tblVeriB[ReklamTutar]),0))</f>
        <v/>
      </c>
      <c r="J380" s="16">
        <f>IF($A380="","",ROUND($B380-$C380,2))</f>
        <v/>
      </c>
      <c r="K380" s="16">
        <f>IF($A380="","",ROUND($B380-$C380-$E380-$F380-$H380-$I380,2))</f>
        <v/>
      </c>
      <c r="L380" s="16">
        <f>IF(OR($A380="",$B380=0),0,$K380/$B380)</f>
        <v/>
      </c>
      <c r="M380" s="16">
        <f>IF($A380="","",IF((1-$D380-$G380)&lt;=0,0,ROUND(($C380+$F380+$I380)/(1-$D380-$G380),2)))</f>
        <v/>
      </c>
      <c r="N380" s="16">
        <f>IF($A380="","",IFERROR(SUMIF(tblAnahtarA[Norm],$A380,tblVeriA[HedefNet]),0))</f>
        <v/>
      </c>
      <c r="O380" s="16">
        <f>IF($A380="","",ROUND($K380-$N380,2))</f>
        <v/>
      </c>
      <c r="P380" s="16">
        <f>IF($A380="","",IF($L380&lt;egk_esikKatkiDusuk,"ZAM YAP",IF(AND($R380=1,$L380&lt;egk_esikKatkiHedef),"İNDİRİMİ KES","TUT")))</f>
        <v/>
      </c>
      <c r="Q380" s="16">
        <f>IF($A380="","",IFERROR(SUMIF(tblAnahtarB[NormB],$A380,tblVeriB[Roas]),0))</f>
        <v/>
      </c>
      <c r="R380" s="16">
        <f>IF($A380="","",IF(OR(IFERROR(INDEX(tblVeriA[YorumAB],MATCH($A380,tblAnahtarA[Norm],0)),"")="B",IFERROR(INDEX(tblVeriA[Durum],MATCH($A380,tblAnahtarA[Norm],0)),"")="Kampanya"),1,0))</f>
        <v/>
      </c>
      <c r="S380" s="16">
        <f>IF($A380="","",$J380-$E380)</f>
        <v/>
      </c>
      <c r="T380" s="16">
        <f>IF($A380="","",$K380-$O380)</f>
        <v/>
      </c>
    </row>
    <row r="381">
      <c r="A381" s="16">
        <f>IF('ANAHTAR'!$B381="","",'ANAHTAR'!$B381)</f>
        <v/>
      </c>
      <c r="B381" s="16">
        <f>IF($A381="","",IFERROR(SUMIF(tblAnahtarA[Norm],$A381,tblVeriA[SatisFiyati]),0))</f>
        <v/>
      </c>
      <c r="C381" s="16">
        <f>IF($A381="","",IFERROR(SUMIF(tblAnahtarA[Norm],$A381,tblVeriA[Maliyet]),0))</f>
        <v/>
      </c>
      <c r="D381" s="16">
        <f>IF($A381="","",IFERROR(SUMIF(tblAnahtarB[NormB],$A381,tblVeriB[KomisyonOran]),0))</f>
        <v/>
      </c>
      <c r="E381" s="16">
        <f>IF($A381="","",ROUND($B381*$D381,2))</f>
        <v/>
      </c>
      <c r="F381" s="16">
        <f>IF($A381="","",IFERROR(SUMIF(tblAnahtarB[NormB],$A381,tblVeriB[Kargo]),0))</f>
        <v/>
      </c>
      <c r="G381" s="16">
        <f>IF($A381="","",IFERROR(SUMIF(tblAnahtarB[NormB],$A381,tblVeriB[IadeOran]),0))</f>
        <v/>
      </c>
      <c r="H381" s="16">
        <f>IF($A381="","",ROUND($B381*$G381,2))</f>
        <v/>
      </c>
      <c r="I381" s="16">
        <f>IF($A381="","",IFERROR(SUMIF(tblAnahtarB[NormB],$A381,tblVeriB[ReklamTutar]),0))</f>
        <v/>
      </c>
      <c r="J381" s="16">
        <f>IF($A381="","",ROUND($B381-$C381,2))</f>
        <v/>
      </c>
      <c r="K381" s="16">
        <f>IF($A381="","",ROUND($B381-$C381-$E381-$F381-$H381-$I381,2))</f>
        <v/>
      </c>
      <c r="L381" s="16">
        <f>IF(OR($A381="",$B381=0),0,$K381/$B381)</f>
        <v/>
      </c>
      <c r="M381" s="16">
        <f>IF($A381="","",IF((1-$D381-$G381)&lt;=0,0,ROUND(($C381+$F381+$I381)/(1-$D381-$G381),2)))</f>
        <v/>
      </c>
      <c r="N381" s="16">
        <f>IF($A381="","",IFERROR(SUMIF(tblAnahtarA[Norm],$A381,tblVeriA[HedefNet]),0))</f>
        <v/>
      </c>
      <c r="O381" s="16">
        <f>IF($A381="","",ROUND($K381-$N381,2))</f>
        <v/>
      </c>
      <c r="P381" s="16">
        <f>IF($A381="","",IF($L381&lt;egk_esikKatkiDusuk,"ZAM YAP",IF(AND($R381=1,$L381&lt;egk_esikKatkiHedef),"İNDİRİMİ KES","TUT")))</f>
        <v/>
      </c>
      <c r="Q381" s="16">
        <f>IF($A381="","",IFERROR(SUMIF(tblAnahtarB[NormB],$A381,tblVeriB[Roas]),0))</f>
        <v/>
      </c>
      <c r="R381" s="16">
        <f>IF($A381="","",IF(OR(IFERROR(INDEX(tblVeriA[YorumAB],MATCH($A381,tblAnahtarA[Norm],0)),"")="B",IFERROR(INDEX(tblVeriA[Durum],MATCH($A381,tblAnahtarA[Norm],0)),"")="Kampanya"),1,0))</f>
        <v/>
      </c>
      <c r="S381" s="16">
        <f>IF($A381="","",$J381-$E381)</f>
        <v/>
      </c>
      <c r="T381" s="16">
        <f>IF($A381="","",$K381-$O381)</f>
        <v/>
      </c>
    </row>
    <row r="382">
      <c r="A382" s="16">
        <f>IF('ANAHTAR'!$B382="","",'ANAHTAR'!$B382)</f>
        <v/>
      </c>
      <c r="B382" s="16">
        <f>IF($A382="","",IFERROR(SUMIF(tblAnahtarA[Norm],$A382,tblVeriA[SatisFiyati]),0))</f>
        <v/>
      </c>
      <c r="C382" s="16">
        <f>IF($A382="","",IFERROR(SUMIF(tblAnahtarA[Norm],$A382,tblVeriA[Maliyet]),0))</f>
        <v/>
      </c>
      <c r="D382" s="16">
        <f>IF($A382="","",IFERROR(SUMIF(tblAnahtarB[NormB],$A382,tblVeriB[KomisyonOran]),0))</f>
        <v/>
      </c>
      <c r="E382" s="16">
        <f>IF($A382="","",ROUND($B382*$D382,2))</f>
        <v/>
      </c>
      <c r="F382" s="16">
        <f>IF($A382="","",IFERROR(SUMIF(tblAnahtarB[NormB],$A382,tblVeriB[Kargo]),0))</f>
        <v/>
      </c>
      <c r="G382" s="16">
        <f>IF($A382="","",IFERROR(SUMIF(tblAnahtarB[NormB],$A382,tblVeriB[IadeOran]),0))</f>
        <v/>
      </c>
      <c r="H382" s="16">
        <f>IF($A382="","",ROUND($B382*$G382,2))</f>
        <v/>
      </c>
      <c r="I382" s="16">
        <f>IF($A382="","",IFERROR(SUMIF(tblAnahtarB[NormB],$A382,tblVeriB[ReklamTutar]),0))</f>
        <v/>
      </c>
      <c r="J382" s="16">
        <f>IF($A382="","",ROUND($B382-$C382,2))</f>
        <v/>
      </c>
      <c r="K382" s="16">
        <f>IF($A382="","",ROUND($B382-$C382-$E382-$F382-$H382-$I382,2))</f>
        <v/>
      </c>
      <c r="L382" s="16">
        <f>IF(OR($A382="",$B382=0),0,$K382/$B382)</f>
        <v/>
      </c>
      <c r="M382" s="16">
        <f>IF($A382="","",IF((1-$D382-$G382)&lt;=0,0,ROUND(($C382+$F382+$I382)/(1-$D382-$G382),2)))</f>
        <v/>
      </c>
      <c r="N382" s="16">
        <f>IF($A382="","",IFERROR(SUMIF(tblAnahtarA[Norm],$A382,tblVeriA[HedefNet]),0))</f>
        <v/>
      </c>
      <c r="O382" s="16">
        <f>IF($A382="","",ROUND($K382-$N382,2))</f>
        <v/>
      </c>
      <c r="P382" s="16">
        <f>IF($A382="","",IF($L382&lt;egk_esikKatkiDusuk,"ZAM YAP",IF(AND($R382=1,$L382&lt;egk_esikKatkiHedef),"İNDİRİMİ KES","TUT")))</f>
        <v/>
      </c>
      <c r="Q382" s="16">
        <f>IF($A382="","",IFERROR(SUMIF(tblAnahtarB[NormB],$A382,tblVeriB[Roas]),0))</f>
        <v/>
      </c>
      <c r="R382" s="16">
        <f>IF($A382="","",IF(OR(IFERROR(INDEX(tblVeriA[YorumAB],MATCH($A382,tblAnahtarA[Norm],0)),"")="B",IFERROR(INDEX(tblVeriA[Durum],MATCH($A382,tblAnahtarA[Norm],0)),"")="Kampanya"),1,0))</f>
        <v/>
      </c>
      <c r="S382" s="16">
        <f>IF($A382="","",$J382-$E382)</f>
        <v/>
      </c>
      <c r="T382" s="16">
        <f>IF($A382="","",$K382-$O382)</f>
        <v/>
      </c>
    </row>
    <row r="383">
      <c r="A383" s="16">
        <f>IF('ANAHTAR'!$B383="","",'ANAHTAR'!$B383)</f>
        <v/>
      </c>
      <c r="B383" s="16">
        <f>IF($A383="","",IFERROR(SUMIF(tblAnahtarA[Norm],$A383,tblVeriA[SatisFiyati]),0))</f>
        <v/>
      </c>
      <c r="C383" s="16">
        <f>IF($A383="","",IFERROR(SUMIF(tblAnahtarA[Norm],$A383,tblVeriA[Maliyet]),0))</f>
        <v/>
      </c>
      <c r="D383" s="16">
        <f>IF($A383="","",IFERROR(SUMIF(tblAnahtarB[NormB],$A383,tblVeriB[KomisyonOran]),0))</f>
        <v/>
      </c>
      <c r="E383" s="16">
        <f>IF($A383="","",ROUND($B383*$D383,2))</f>
        <v/>
      </c>
      <c r="F383" s="16">
        <f>IF($A383="","",IFERROR(SUMIF(tblAnahtarB[NormB],$A383,tblVeriB[Kargo]),0))</f>
        <v/>
      </c>
      <c r="G383" s="16">
        <f>IF($A383="","",IFERROR(SUMIF(tblAnahtarB[NormB],$A383,tblVeriB[IadeOran]),0))</f>
        <v/>
      </c>
      <c r="H383" s="16">
        <f>IF($A383="","",ROUND($B383*$G383,2))</f>
        <v/>
      </c>
      <c r="I383" s="16">
        <f>IF($A383="","",IFERROR(SUMIF(tblAnahtarB[NormB],$A383,tblVeriB[ReklamTutar]),0))</f>
        <v/>
      </c>
      <c r="J383" s="16">
        <f>IF($A383="","",ROUND($B383-$C383,2))</f>
        <v/>
      </c>
      <c r="K383" s="16">
        <f>IF($A383="","",ROUND($B383-$C383-$E383-$F383-$H383-$I383,2))</f>
        <v/>
      </c>
      <c r="L383" s="16">
        <f>IF(OR($A383="",$B383=0),0,$K383/$B383)</f>
        <v/>
      </c>
      <c r="M383" s="16">
        <f>IF($A383="","",IF((1-$D383-$G383)&lt;=0,0,ROUND(($C383+$F383+$I383)/(1-$D383-$G383),2)))</f>
        <v/>
      </c>
      <c r="N383" s="16">
        <f>IF($A383="","",IFERROR(SUMIF(tblAnahtarA[Norm],$A383,tblVeriA[HedefNet]),0))</f>
        <v/>
      </c>
      <c r="O383" s="16">
        <f>IF($A383="","",ROUND($K383-$N383,2))</f>
        <v/>
      </c>
      <c r="P383" s="16">
        <f>IF($A383="","",IF($L383&lt;egk_esikKatkiDusuk,"ZAM YAP",IF(AND($R383=1,$L383&lt;egk_esikKatkiHedef),"İNDİRİMİ KES","TUT")))</f>
        <v/>
      </c>
      <c r="Q383" s="16">
        <f>IF($A383="","",IFERROR(SUMIF(tblAnahtarB[NormB],$A383,tblVeriB[Roas]),0))</f>
        <v/>
      </c>
      <c r="R383" s="16">
        <f>IF($A383="","",IF(OR(IFERROR(INDEX(tblVeriA[YorumAB],MATCH($A383,tblAnahtarA[Norm],0)),"")="B",IFERROR(INDEX(tblVeriA[Durum],MATCH($A383,tblAnahtarA[Norm],0)),"")="Kampanya"),1,0))</f>
        <v/>
      </c>
      <c r="S383" s="16">
        <f>IF($A383="","",$J383-$E383)</f>
        <v/>
      </c>
      <c r="T383" s="16">
        <f>IF($A383="","",$K383-$O383)</f>
        <v/>
      </c>
    </row>
    <row r="384">
      <c r="A384" s="16">
        <f>IF('ANAHTAR'!$B384="","",'ANAHTAR'!$B384)</f>
        <v/>
      </c>
      <c r="B384" s="16">
        <f>IF($A384="","",IFERROR(SUMIF(tblAnahtarA[Norm],$A384,tblVeriA[SatisFiyati]),0))</f>
        <v/>
      </c>
      <c r="C384" s="16">
        <f>IF($A384="","",IFERROR(SUMIF(tblAnahtarA[Norm],$A384,tblVeriA[Maliyet]),0))</f>
        <v/>
      </c>
      <c r="D384" s="16">
        <f>IF($A384="","",IFERROR(SUMIF(tblAnahtarB[NormB],$A384,tblVeriB[KomisyonOran]),0))</f>
        <v/>
      </c>
      <c r="E384" s="16">
        <f>IF($A384="","",ROUND($B384*$D384,2))</f>
        <v/>
      </c>
      <c r="F384" s="16">
        <f>IF($A384="","",IFERROR(SUMIF(tblAnahtarB[NormB],$A384,tblVeriB[Kargo]),0))</f>
        <v/>
      </c>
      <c r="G384" s="16">
        <f>IF($A384="","",IFERROR(SUMIF(tblAnahtarB[NormB],$A384,tblVeriB[IadeOran]),0))</f>
        <v/>
      </c>
      <c r="H384" s="16">
        <f>IF($A384="","",ROUND($B384*$G384,2))</f>
        <v/>
      </c>
      <c r="I384" s="16">
        <f>IF($A384="","",IFERROR(SUMIF(tblAnahtarB[NormB],$A384,tblVeriB[ReklamTutar]),0))</f>
        <v/>
      </c>
      <c r="J384" s="16">
        <f>IF($A384="","",ROUND($B384-$C384,2))</f>
        <v/>
      </c>
      <c r="K384" s="16">
        <f>IF($A384="","",ROUND($B384-$C384-$E384-$F384-$H384-$I384,2))</f>
        <v/>
      </c>
      <c r="L384" s="16">
        <f>IF(OR($A384="",$B384=0),0,$K384/$B384)</f>
        <v/>
      </c>
      <c r="M384" s="16">
        <f>IF($A384="","",IF((1-$D384-$G384)&lt;=0,0,ROUND(($C384+$F384+$I384)/(1-$D384-$G384),2)))</f>
        <v/>
      </c>
      <c r="N384" s="16">
        <f>IF($A384="","",IFERROR(SUMIF(tblAnahtarA[Norm],$A384,tblVeriA[HedefNet]),0))</f>
        <v/>
      </c>
      <c r="O384" s="16">
        <f>IF($A384="","",ROUND($K384-$N384,2))</f>
        <v/>
      </c>
      <c r="P384" s="16">
        <f>IF($A384="","",IF($L384&lt;egk_esikKatkiDusuk,"ZAM YAP",IF(AND($R384=1,$L384&lt;egk_esikKatkiHedef),"İNDİRİMİ KES","TUT")))</f>
        <v/>
      </c>
      <c r="Q384" s="16">
        <f>IF($A384="","",IFERROR(SUMIF(tblAnahtarB[NormB],$A384,tblVeriB[Roas]),0))</f>
        <v/>
      </c>
      <c r="R384" s="16">
        <f>IF($A384="","",IF(OR(IFERROR(INDEX(tblVeriA[YorumAB],MATCH($A384,tblAnahtarA[Norm],0)),"")="B",IFERROR(INDEX(tblVeriA[Durum],MATCH($A384,tblAnahtarA[Norm],0)),"")="Kampanya"),1,0))</f>
        <v/>
      </c>
      <c r="S384" s="16">
        <f>IF($A384="","",$J384-$E384)</f>
        <v/>
      </c>
      <c r="T384" s="16">
        <f>IF($A384="","",$K384-$O384)</f>
        <v/>
      </c>
    </row>
    <row r="385">
      <c r="A385" s="16">
        <f>IF('ANAHTAR'!$B385="","",'ANAHTAR'!$B385)</f>
        <v/>
      </c>
      <c r="B385" s="16">
        <f>IF($A385="","",IFERROR(SUMIF(tblAnahtarA[Norm],$A385,tblVeriA[SatisFiyati]),0))</f>
        <v/>
      </c>
      <c r="C385" s="16">
        <f>IF($A385="","",IFERROR(SUMIF(tblAnahtarA[Norm],$A385,tblVeriA[Maliyet]),0))</f>
        <v/>
      </c>
      <c r="D385" s="16">
        <f>IF($A385="","",IFERROR(SUMIF(tblAnahtarB[NormB],$A385,tblVeriB[KomisyonOran]),0))</f>
        <v/>
      </c>
      <c r="E385" s="16">
        <f>IF($A385="","",ROUND($B385*$D385,2))</f>
        <v/>
      </c>
      <c r="F385" s="16">
        <f>IF($A385="","",IFERROR(SUMIF(tblAnahtarB[NormB],$A385,tblVeriB[Kargo]),0))</f>
        <v/>
      </c>
      <c r="G385" s="16">
        <f>IF($A385="","",IFERROR(SUMIF(tblAnahtarB[NormB],$A385,tblVeriB[IadeOran]),0))</f>
        <v/>
      </c>
      <c r="H385" s="16">
        <f>IF($A385="","",ROUND($B385*$G385,2))</f>
        <v/>
      </c>
      <c r="I385" s="16">
        <f>IF($A385="","",IFERROR(SUMIF(tblAnahtarB[NormB],$A385,tblVeriB[ReklamTutar]),0))</f>
        <v/>
      </c>
      <c r="J385" s="16">
        <f>IF($A385="","",ROUND($B385-$C385,2))</f>
        <v/>
      </c>
      <c r="K385" s="16">
        <f>IF($A385="","",ROUND($B385-$C385-$E385-$F385-$H385-$I385,2))</f>
        <v/>
      </c>
      <c r="L385" s="16">
        <f>IF(OR($A385="",$B385=0),0,$K385/$B385)</f>
        <v/>
      </c>
      <c r="M385" s="16">
        <f>IF($A385="","",IF((1-$D385-$G385)&lt;=0,0,ROUND(($C385+$F385+$I385)/(1-$D385-$G385),2)))</f>
        <v/>
      </c>
      <c r="N385" s="16">
        <f>IF($A385="","",IFERROR(SUMIF(tblAnahtarA[Norm],$A385,tblVeriA[HedefNet]),0))</f>
        <v/>
      </c>
      <c r="O385" s="16">
        <f>IF($A385="","",ROUND($K385-$N385,2))</f>
        <v/>
      </c>
      <c r="P385" s="16">
        <f>IF($A385="","",IF($L385&lt;egk_esikKatkiDusuk,"ZAM YAP",IF(AND($R385=1,$L385&lt;egk_esikKatkiHedef),"İNDİRİMİ KES","TUT")))</f>
        <v/>
      </c>
      <c r="Q385" s="16">
        <f>IF($A385="","",IFERROR(SUMIF(tblAnahtarB[NormB],$A385,tblVeriB[Roas]),0))</f>
        <v/>
      </c>
      <c r="R385" s="16">
        <f>IF($A385="","",IF(OR(IFERROR(INDEX(tblVeriA[YorumAB],MATCH($A385,tblAnahtarA[Norm],0)),"")="B",IFERROR(INDEX(tblVeriA[Durum],MATCH($A385,tblAnahtarA[Norm],0)),"")="Kampanya"),1,0))</f>
        <v/>
      </c>
      <c r="S385" s="16">
        <f>IF($A385="","",$J385-$E385)</f>
        <v/>
      </c>
      <c r="T385" s="16">
        <f>IF($A385="","",$K385-$O385)</f>
        <v/>
      </c>
    </row>
    <row r="386">
      <c r="A386" s="16">
        <f>IF('ANAHTAR'!$B386="","",'ANAHTAR'!$B386)</f>
        <v/>
      </c>
      <c r="B386" s="16">
        <f>IF($A386="","",IFERROR(SUMIF(tblAnahtarA[Norm],$A386,tblVeriA[SatisFiyati]),0))</f>
        <v/>
      </c>
      <c r="C386" s="16">
        <f>IF($A386="","",IFERROR(SUMIF(tblAnahtarA[Norm],$A386,tblVeriA[Maliyet]),0))</f>
        <v/>
      </c>
      <c r="D386" s="16">
        <f>IF($A386="","",IFERROR(SUMIF(tblAnahtarB[NormB],$A386,tblVeriB[KomisyonOran]),0))</f>
        <v/>
      </c>
      <c r="E386" s="16">
        <f>IF($A386="","",ROUND($B386*$D386,2))</f>
        <v/>
      </c>
      <c r="F386" s="16">
        <f>IF($A386="","",IFERROR(SUMIF(tblAnahtarB[NormB],$A386,tblVeriB[Kargo]),0))</f>
        <v/>
      </c>
      <c r="G386" s="16">
        <f>IF($A386="","",IFERROR(SUMIF(tblAnahtarB[NormB],$A386,tblVeriB[IadeOran]),0))</f>
        <v/>
      </c>
      <c r="H386" s="16">
        <f>IF($A386="","",ROUND($B386*$G386,2))</f>
        <v/>
      </c>
      <c r="I386" s="16">
        <f>IF($A386="","",IFERROR(SUMIF(tblAnahtarB[NormB],$A386,tblVeriB[ReklamTutar]),0))</f>
        <v/>
      </c>
      <c r="J386" s="16">
        <f>IF($A386="","",ROUND($B386-$C386,2))</f>
        <v/>
      </c>
      <c r="K386" s="16">
        <f>IF($A386="","",ROUND($B386-$C386-$E386-$F386-$H386-$I386,2))</f>
        <v/>
      </c>
      <c r="L386" s="16">
        <f>IF(OR($A386="",$B386=0),0,$K386/$B386)</f>
        <v/>
      </c>
      <c r="M386" s="16">
        <f>IF($A386="","",IF((1-$D386-$G386)&lt;=0,0,ROUND(($C386+$F386+$I386)/(1-$D386-$G386),2)))</f>
        <v/>
      </c>
      <c r="N386" s="16">
        <f>IF($A386="","",IFERROR(SUMIF(tblAnahtarA[Norm],$A386,tblVeriA[HedefNet]),0))</f>
        <v/>
      </c>
      <c r="O386" s="16">
        <f>IF($A386="","",ROUND($K386-$N386,2))</f>
        <v/>
      </c>
      <c r="P386" s="16">
        <f>IF($A386="","",IF($L386&lt;egk_esikKatkiDusuk,"ZAM YAP",IF(AND($R386=1,$L386&lt;egk_esikKatkiHedef),"İNDİRİMİ KES","TUT")))</f>
        <v/>
      </c>
      <c r="Q386" s="16">
        <f>IF($A386="","",IFERROR(SUMIF(tblAnahtarB[NormB],$A386,tblVeriB[Roas]),0))</f>
        <v/>
      </c>
      <c r="R386" s="16">
        <f>IF($A386="","",IF(OR(IFERROR(INDEX(tblVeriA[YorumAB],MATCH($A386,tblAnahtarA[Norm],0)),"")="B",IFERROR(INDEX(tblVeriA[Durum],MATCH($A386,tblAnahtarA[Norm],0)),"")="Kampanya"),1,0))</f>
        <v/>
      </c>
      <c r="S386" s="16">
        <f>IF($A386="","",$J386-$E386)</f>
        <v/>
      </c>
      <c r="T386" s="16">
        <f>IF($A386="","",$K386-$O386)</f>
        <v/>
      </c>
    </row>
    <row r="387">
      <c r="A387" s="16">
        <f>IF('ANAHTAR'!$B387="","",'ANAHTAR'!$B387)</f>
        <v/>
      </c>
      <c r="B387" s="16">
        <f>IF($A387="","",IFERROR(SUMIF(tblAnahtarA[Norm],$A387,tblVeriA[SatisFiyati]),0))</f>
        <v/>
      </c>
      <c r="C387" s="16">
        <f>IF($A387="","",IFERROR(SUMIF(tblAnahtarA[Norm],$A387,tblVeriA[Maliyet]),0))</f>
        <v/>
      </c>
      <c r="D387" s="16">
        <f>IF($A387="","",IFERROR(SUMIF(tblAnahtarB[NormB],$A387,tblVeriB[KomisyonOran]),0))</f>
        <v/>
      </c>
      <c r="E387" s="16">
        <f>IF($A387="","",ROUND($B387*$D387,2))</f>
        <v/>
      </c>
      <c r="F387" s="16">
        <f>IF($A387="","",IFERROR(SUMIF(tblAnahtarB[NormB],$A387,tblVeriB[Kargo]),0))</f>
        <v/>
      </c>
      <c r="G387" s="16">
        <f>IF($A387="","",IFERROR(SUMIF(tblAnahtarB[NormB],$A387,tblVeriB[IadeOran]),0))</f>
        <v/>
      </c>
      <c r="H387" s="16">
        <f>IF($A387="","",ROUND($B387*$G387,2))</f>
        <v/>
      </c>
      <c r="I387" s="16">
        <f>IF($A387="","",IFERROR(SUMIF(tblAnahtarB[NormB],$A387,tblVeriB[ReklamTutar]),0))</f>
        <v/>
      </c>
      <c r="J387" s="16">
        <f>IF($A387="","",ROUND($B387-$C387,2))</f>
        <v/>
      </c>
      <c r="K387" s="16">
        <f>IF($A387="","",ROUND($B387-$C387-$E387-$F387-$H387-$I387,2))</f>
        <v/>
      </c>
      <c r="L387" s="16">
        <f>IF(OR($A387="",$B387=0),0,$K387/$B387)</f>
        <v/>
      </c>
      <c r="M387" s="16">
        <f>IF($A387="","",IF((1-$D387-$G387)&lt;=0,0,ROUND(($C387+$F387+$I387)/(1-$D387-$G387),2)))</f>
        <v/>
      </c>
      <c r="N387" s="16">
        <f>IF($A387="","",IFERROR(SUMIF(tblAnahtarA[Norm],$A387,tblVeriA[HedefNet]),0))</f>
        <v/>
      </c>
      <c r="O387" s="16">
        <f>IF($A387="","",ROUND($K387-$N387,2))</f>
        <v/>
      </c>
      <c r="P387" s="16">
        <f>IF($A387="","",IF($L387&lt;egk_esikKatkiDusuk,"ZAM YAP",IF(AND($R387=1,$L387&lt;egk_esikKatkiHedef),"İNDİRİMİ KES","TUT")))</f>
        <v/>
      </c>
      <c r="Q387" s="16">
        <f>IF($A387="","",IFERROR(SUMIF(tblAnahtarB[NormB],$A387,tblVeriB[Roas]),0))</f>
        <v/>
      </c>
      <c r="R387" s="16">
        <f>IF($A387="","",IF(OR(IFERROR(INDEX(tblVeriA[YorumAB],MATCH($A387,tblAnahtarA[Norm],0)),"")="B",IFERROR(INDEX(tblVeriA[Durum],MATCH($A387,tblAnahtarA[Norm],0)),"")="Kampanya"),1,0))</f>
        <v/>
      </c>
      <c r="S387" s="16">
        <f>IF($A387="","",$J387-$E387)</f>
        <v/>
      </c>
      <c r="T387" s="16">
        <f>IF($A387="","",$K387-$O387)</f>
        <v/>
      </c>
    </row>
    <row r="388">
      <c r="A388" s="16">
        <f>IF('ANAHTAR'!$B388="","",'ANAHTAR'!$B388)</f>
        <v/>
      </c>
      <c r="B388" s="16">
        <f>IF($A388="","",IFERROR(SUMIF(tblAnahtarA[Norm],$A388,tblVeriA[SatisFiyati]),0))</f>
        <v/>
      </c>
      <c r="C388" s="16">
        <f>IF($A388="","",IFERROR(SUMIF(tblAnahtarA[Norm],$A388,tblVeriA[Maliyet]),0))</f>
        <v/>
      </c>
      <c r="D388" s="16">
        <f>IF($A388="","",IFERROR(SUMIF(tblAnahtarB[NormB],$A388,tblVeriB[KomisyonOran]),0))</f>
        <v/>
      </c>
      <c r="E388" s="16">
        <f>IF($A388="","",ROUND($B388*$D388,2))</f>
        <v/>
      </c>
      <c r="F388" s="16">
        <f>IF($A388="","",IFERROR(SUMIF(tblAnahtarB[NormB],$A388,tblVeriB[Kargo]),0))</f>
        <v/>
      </c>
      <c r="G388" s="16">
        <f>IF($A388="","",IFERROR(SUMIF(tblAnahtarB[NormB],$A388,tblVeriB[IadeOran]),0))</f>
        <v/>
      </c>
      <c r="H388" s="16">
        <f>IF($A388="","",ROUND($B388*$G388,2))</f>
        <v/>
      </c>
      <c r="I388" s="16">
        <f>IF($A388="","",IFERROR(SUMIF(tblAnahtarB[NormB],$A388,tblVeriB[ReklamTutar]),0))</f>
        <v/>
      </c>
      <c r="J388" s="16">
        <f>IF($A388="","",ROUND($B388-$C388,2))</f>
        <v/>
      </c>
      <c r="K388" s="16">
        <f>IF($A388="","",ROUND($B388-$C388-$E388-$F388-$H388-$I388,2))</f>
        <v/>
      </c>
      <c r="L388" s="16">
        <f>IF(OR($A388="",$B388=0),0,$K388/$B388)</f>
        <v/>
      </c>
      <c r="M388" s="16">
        <f>IF($A388="","",IF((1-$D388-$G388)&lt;=0,0,ROUND(($C388+$F388+$I388)/(1-$D388-$G388),2)))</f>
        <v/>
      </c>
      <c r="N388" s="16">
        <f>IF($A388="","",IFERROR(SUMIF(tblAnahtarA[Norm],$A388,tblVeriA[HedefNet]),0))</f>
        <v/>
      </c>
      <c r="O388" s="16">
        <f>IF($A388="","",ROUND($K388-$N388,2))</f>
        <v/>
      </c>
      <c r="P388" s="16">
        <f>IF($A388="","",IF($L388&lt;egk_esikKatkiDusuk,"ZAM YAP",IF(AND($R388=1,$L388&lt;egk_esikKatkiHedef),"İNDİRİMİ KES","TUT")))</f>
        <v/>
      </c>
      <c r="Q388" s="16">
        <f>IF($A388="","",IFERROR(SUMIF(tblAnahtarB[NormB],$A388,tblVeriB[Roas]),0))</f>
        <v/>
      </c>
      <c r="R388" s="16">
        <f>IF($A388="","",IF(OR(IFERROR(INDEX(tblVeriA[YorumAB],MATCH($A388,tblAnahtarA[Norm],0)),"")="B",IFERROR(INDEX(tblVeriA[Durum],MATCH($A388,tblAnahtarA[Norm],0)),"")="Kampanya"),1,0))</f>
        <v/>
      </c>
      <c r="S388" s="16">
        <f>IF($A388="","",$J388-$E388)</f>
        <v/>
      </c>
      <c r="T388" s="16">
        <f>IF($A388="","",$K388-$O388)</f>
        <v/>
      </c>
    </row>
    <row r="389">
      <c r="A389" s="16">
        <f>IF('ANAHTAR'!$B389="","",'ANAHTAR'!$B389)</f>
        <v/>
      </c>
      <c r="B389" s="16">
        <f>IF($A389="","",IFERROR(SUMIF(tblAnahtarA[Norm],$A389,tblVeriA[SatisFiyati]),0))</f>
        <v/>
      </c>
      <c r="C389" s="16">
        <f>IF($A389="","",IFERROR(SUMIF(tblAnahtarA[Norm],$A389,tblVeriA[Maliyet]),0))</f>
        <v/>
      </c>
      <c r="D389" s="16">
        <f>IF($A389="","",IFERROR(SUMIF(tblAnahtarB[NormB],$A389,tblVeriB[KomisyonOran]),0))</f>
        <v/>
      </c>
      <c r="E389" s="16">
        <f>IF($A389="","",ROUND($B389*$D389,2))</f>
        <v/>
      </c>
      <c r="F389" s="16">
        <f>IF($A389="","",IFERROR(SUMIF(tblAnahtarB[NormB],$A389,tblVeriB[Kargo]),0))</f>
        <v/>
      </c>
      <c r="G389" s="16">
        <f>IF($A389="","",IFERROR(SUMIF(tblAnahtarB[NormB],$A389,tblVeriB[IadeOran]),0))</f>
        <v/>
      </c>
      <c r="H389" s="16">
        <f>IF($A389="","",ROUND($B389*$G389,2))</f>
        <v/>
      </c>
      <c r="I389" s="16">
        <f>IF($A389="","",IFERROR(SUMIF(tblAnahtarB[NormB],$A389,tblVeriB[ReklamTutar]),0))</f>
        <v/>
      </c>
      <c r="J389" s="16">
        <f>IF($A389="","",ROUND($B389-$C389,2))</f>
        <v/>
      </c>
      <c r="K389" s="16">
        <f>IF($A389="","",ROUND($B389-$C389-$E389-$F389-$H389-$I389,2))</f>
        <v/>
      </c>
      <c r="L389" s="16">
        <f>IF(OR($A389="",$B389=0),0,$K389/$B389)</f>
        <v/>
      </c>
      <c r="M389" s="16">
        <f>IF($A389="","",IF((1-$D389-$G389)&lt;=0,0,ROUND(($C389+$F389+$I389)/(1-$D389-$G389),2)))</f>
        <v/>
      </c>
      <c r="N389" s="16">
        <f>IF($A389="","",IFERROR(SUMIF(tblAnahtarA[Norm],$A389,tblVeriA[HedefNet]),0))</f>
        <v/>
      </c>
      <c r="O389" s="16">
        <f>IF($A389="","",ROUND($K389-$N389,2))</f>
        <v/>
      </c>
      <c r="P389" s="16">
        <f>IF($A389="","",IF($L389&lt;egk_esikKatkiDusuk,"ZAM YAP",IF(AND($R389=1,$L389&lt;egk_esikKatkiHedef),"İNDİRİMİ KES","TUT")))</f>
        <v/>
      </c>
      <c r="Q389" s="16">
        <f>IF($A389="","",IFERROR(SUMIF(tblAnahtarB[NormB],$A389,tblVeriB[Roas]),0))</f>
        <v/>
      </c>
      <c r="R389" s="16">
        <f>IF($A389="","",IF(OR(IFERROR(INDEX(tblVeriA[YorumAB],MATCH($A389,tblAnahtarA[Norm],0)),"")="B",IFERROR(INDEX(tblVeriA[Durum],MATCH($A389,tblAnahtarA[Norm],0)),"")="Kampanya"),1,0))</f>
        <v/>
      </c>
      <c r="S389" s="16">
        <f>IF($A389="","",$J389-$E389)</f>
        <v/>
      </c>
      <c r="T389" s="16">
        <f>IF($A389="","",$K389-$O389)</f>
        <v/>
      </c>
    </row>
    <row r="390">
      <c r="A390" s="16">
        <f>IF('ANAHTAR'!$B390="","",'ANAHTAR'!$B390)</f>
        <v/>
      </c>
      <c r="B390" s="16">
        <f>IF($A390="","",IFERROR(SUMIF(tblAnahtarA[Norm],$A390,tblVeriA[SatisFiyati]),0))</f>
        <v/>
      </c>
      <c r="C390" s="16">
        <f>IF($A390="","",IFERROR(SUMIF(tblAnahtarA[Norm],$A390,tblVeriA[Maliyet]),0))</f>
        <v/>
      </c>
      <c r="D390" s="16">
        <f>IF($A390="","",IFERROR(SUMIF(tblAnahtarB[NormB],$A390,tblVeriB[KomisyonOran]),0))</f>
        <v/>
      </c>
      <c r="E390" s="16">
        <f>IF($A390="","",ROUND($B390*$D390,2))</f>
        <v/>
      </c>
      <c r="F390" s="16">
        <f>IF($A390="","",IFERROR(SUMIF(tblAnahtarB[NormB],$A390,tblVeriB[Kargo]),0))</f>
        <v/>
      </c>
      <c r="G390" s="16">
        <f>IF($A390="","",IFERROR(SUMIF(tblAnahtarB[NormB],$A390,tblVeriB[IadeOran]),0))</f>
        <v/>
      </c>
      <c r="H390" s="16">
        <f>IF($A390="","",ROUND($B390*$G390,2))</f>
        <v/>
      </c>
      <c r="I390" s="16">
        <f>IF($A390="","",IFERROR(SUMIF(tblAnahtarB[NormB],$A390,tblVeriB[ReklamTutar]),0))</f>
        <v/>
      </c>
      <c r="J390" s="16">
        <f>IF($A390="","",ROUND($B390-$C390,2))</f>
        <v/>
      </c>
      <c r="K390" s="16">
        <f>IF($A390="","",ROUND($B390-$C390-$E390-$F390-$H390-$I390,2))</f>
        <v/>
      </c>
      <c r="L390" s="16">
        <f>IF(OR($A390="",$B390=0),0,$K390/$B390)</f>
        <v/>
      </c>
      <c r="M390" s="16">
        <f>IF($A390="","",IF((1-$D390-$G390)&lt;=0,0,ROUND(($C390+$F390+$I390)/(1-$D390-$G390),2)))</f>
        <v/>
      </c>
      <c r="N390" s="16">
        <f>IF($A390="","",IFERROR(SUMIF(tblAnahtarA[Norm],$A390,tblVeriA[HedefNet]),0))</f>
        <v/>
      </c>
      <c r="O390" s="16">
        <f>IF($A390="","",ROUND($K390-$N390,2))</f>
        <v/>
      </c>
      <c r="P390" s="16">
        <f>IF($A390="","",IF($L390&lt;egk_esikKatkiDusuk,"ZAM YAP",IF(AND($R390=1,$L390&lt;egk_esikKatkiHedef),"İNDİRİMİ KES","TUT")))</f>
        <v/>
      </c>
      <c r="Q390" s="16">
        <f>IF($A390="","",IFERROR(SUMIF(tblAnahtarB[NormB],$A390,tblVeriB[Roas]),0))</f>
        <v/>
      </c>
      <c r="R390" s="16">
        <f>IF($A390="","",IF(OR(IFERROR(INDEX(tblVeriA[YorumAB],MATCH($A390,tblAnahtarA[Norm],0)),"")="B",IFERROR(INDEX(tblVeriA[Durum],MATCH($A390,tblAnahtarA[Norm],0)),"")="Kampanya"),1,0))</f>
        <v/>
      </c>
      <c r="S390" s="16">
        <f>IF($A390="","",$J390-$E390)</f>
        <v/>
      </c>
      <c r="T390" s="16">
        <f>IF($A390="","",$K390-$O390)</f>
        <v/>
      </c>
    </row>
    <row r="391">
      <c r="A391" s="16">
        <f>IF('ANAHTAR'!$B391="","",'ANAHTAR'!$B391)</f>
        <v/>
      </c>
      <c r="B391" s="16">
        <f>IF($A391="","",IFERROR(SUMIF(tblAnahtarA[Norm],$A391,tblVeriA[SatisFiyati]),0))</f>
        <v/>
      </c>
      <c r="C391" s="16">
        <f>IF($A391="","",IFERROR(SUMIF(tblAnahtarA[Norm],$A391,tblVeriA[Maliyet]),0))</f>
        <v/>
      </c>
      <c r="D391" s="16">
        <f>IF($A391="","",IFERROR(SUMIF(tblAnahtarB[NormB],$A391,tblVeriB[KomisyonOran]),0))</f>
        <v/>
      </c>
      <c r="E391" s="16">
        <f>IF($A391="","",ROUND($B391*$D391,2))</f>
        <v/>
      </c>
      <c r="F391" s="16">
        <f>IF($A391="","",IFERROR(SUMIF(tblAnahtarB[NormB],$A391,tblVeriB[Kargo]),0))</f>
        <v/>
      </c>
      <c r="G391" s="16">
        <f>IF($A391="","",IFERROR(SUMIF(tblAnahtarB[NormB],$A391,tblVeriB[IadeOran]),0))</f>
        <v/>
      </c>
      <c r="H391" s="16">
        <f>IF($A391="","",ROUND($B391*$G391,2))</f>
        <v/>
      </c>
      <c r="I391" s="16">
        <f>IF($A391="","",IFERROR(SUMIF(tblAnahtarB[NormB],$A391,tblVeriB[ReklamTutar]),0))</f>
        <v/>
      </c>
      <c r="J391" s="16">
        <f>IF($A391="","",ROUND($B391-$C391,2))</f>
        <v/>
      </c>
      <c r="K391" s="16">
        <f>IF($A391="","",ROUND($B391-$C391-$E391-$F391-$H391-$I391,2))</f>
        <v/>
      </c>
      <c r="L391" s="16">
        <f>IF(OR($A391="",$B391=0),0,$K391/$B391)</f>
        <v/>
      </c>
      <c r="M391" s="16">
        <f>IF($A391="","",IF((1-$D391-$G391)&lt;=0,0,ROUND(($C391+$F391+$I391)/(1-$D391-$G391),2)))</f>
        <v/>
      </c>
      <c r="N391" s="16">
        <f>IF($A391="","",IFERROR(SUMIF(tblAnahtarA[Norm],$A391,tblVeriA[HedefNet]),0))</f>
        <v/>
      </c>
      <c r="O391" s="16">
        <f>IF($A391="","",ROUND($K391-$N391,2))</f>
        <v/>
      </c>
      <c r="P391" s="16">
        <f>IF($A391="","",IF($L391&lt;egk_esikKatkiDusuk,"ZAM YAP",IF(AND($R391=1,$L391&lt;egk_esikKatkiHedef),"İNDİRİMİ KES","TUT")))</f>
        <v/>
      </c>
      <c r="Q391" s="16">
        <f>IF($A391="","",IFERROR(SUMIF(tblAnahtarB[NormB],$A391,tblVeriB[Roas]),0))</f>
        <v/>
      </c>
      <c r="R391" s="16">
        <f>IF($A391="","",IF(OR(IFERROR(INDEX(tblVeriA[YorumAB],MATCH($A391,tblAnahtarA[Norm],0)),"")="B",IFERROR(INDEX(tblVeriA[Durum],MATCH($A391,tblAnahtarA[Norm],0)),"")="Kampanya"),1,0))</f>
        <v/>
      </c>
      <c r="S391" s="16">
        <f>IF($A391="","",$J391-$E391)</f>
        <v/>
      </c>
      <c r="T391" s="16">
        <f>IF($A391="","",$K391-$O391)</f>
        <v/>
      </c>
    </row>
    <row r="392">
      <c r="A392" s="16">
        <f>IF('ANAHTAR'!$B392="","",'ANAHTAR'!$B392)</f>
        <v/>
      </c>
      <c r="B392" s="16">
        <f>IF($A392="","",IFERROR(SUMIF(tblAnahtarA[Norm],$A392,tblVeriA[SatisFiyati]),0))</f>
        <v/>
      </c>
      <c r="C392" s="16">
        <f>IF($A392="","",IFERROR(SUMIF(tblAnahtarA[Norm],$A392,tblVeriA[Maliyet]),0))</f>
        <v/>
      </c>
      <c r="D392" s="16">
        <f>IF($A392="","",IFERROR(SUMIF(tblAnahtarB[NormB],$A392,tblVeriB[KomisyonOran]),0))</f>
        <v/>
      </c>
      <c r="E392" s="16">
        <f>IF($A392="","",ROUND($B392*$D392,2))</f>
        <v/>
      </c>
      <c r="F392" s="16">
        <f>IF($A392="","",IFERROR(SUMIF(tblAnahtarB[NormB],$A392,tblVeriB[Kargo]),0))</f>
        <v/>
      </c>
      <c r="G392" s="16">
        <f>IF($A392="","",IFERROR(SUMIF(tblAnahtarB[NormB],$A392,tblVeriB[IadeOran]),0))</f>
        <v/>
      </c>
      <c r="H392" s="16">
        <f>IF($A392="","",ROUND($B392*$G392,2))</f>
        <v/>
      </c>
      <c r="I392" s="16">
        <f>IF($A392="","",IFERROR(SUMIF(tblAnahtarB[NormB],$A392,tblVeriB[ReklamTutar]),0))</f>
        <v/>
      </c>
      <c r="J392" s="16">
        <f>IF($A392="","",ROUND($B392-$C392,2))</f>
        <v/>
      </c>
      <c r="K392" s="16">
        <f>IF($A392="","",ROUND($B392-$C392-$E392-$F392-$H392-$I392,2))</f>
        <v/>
      </c>
      <c r="L392" s="16">
        <f>IF(OR($A392="",$B392=0),0,$K392/$B392)</f>
        <v/>
      </c>
      <c r="M392" s="16">
        <f>IF($A392="","",IF((1-$D392-$G392)&lt;=0,0,ROUND(($C392+$F392+$I392)/(1-$D392-$G392),2)))</f>
        <v/>
      </c>
      <c r="N392" s="16">
        <f>IF($A392="","",IFERROR(SUMIF(tblAnahtarA[Norm],$A392,tblVeriA[HedefNet]),0))</f>
        <v/>
      </c>
      <c r="O392" s="16">
        <f>IF($A392="","",ROUND($K392-$N392,2))</f>
        <v/>
      </c>
      <c r="P392" s="16">
        <f>IF($A392="","",IF($L392&lt;egk_esikKatkiDusuk,"ZAM YAP",IF(AND($R392=1,$L392&lt;egk_esikKatkiHedef),"İNDİRİMİ KES","TUT")))</f>
        <v/>
      </c>
      <c r="Q392" s="16">
        <f>IF($A392="","",IFERROR(SUMIF(tblAnahtarB[NormB],$A392,tblVeriB[Roas]),0))</f>
        <v/>
      </c>
      <c r="R392" s="16">
        <f>IF($A392="","",IF(OR(IFERROR(INDEX(tblVeriA[YorumAB],MATCH($A392,tblAnahtarA[Norm],0)),"")="B",IFERROR(INDEX(tblVeriA[Durum],MATCH($A392,tblAnahtarA[Norm],0)),"")="Kampanya"),1,0))</f>
        <v/>
      </c>
      <c r="S392" s="16">
        <f>IF($A392="","",$J392-$E392)</f>
        <v/>
      </c>
      <c r="T392" s="16">
        <f>IF($A392="","",$K392-$O392)</f>
        <v/>
      </c>
    </row>
    <row r="393">
      <c r="A393" s="16">
        <f>IF('ANAHTAR'!$B393="","",'ANAHTAR'!$B393)</f>
        <v/>
      </c>
      <c r="B393" s="16">
        <f>IF($A393="","",IFERROR(SUMIF(tblAnahtarA[Norm],$A393,tblVeriA[SatisFiyati]),0))</f>
        <v/>
      </c>
      <c r="C393" s="16">
        <f>IF($A393="","",IFERROR(SUMIF(tblAnahtarA[Norm],$A393,tblVeriA[Maliyet]),0))</f>
        <v/>
      </c>
      <c r="D393" s="16">
        <f>IF($A393="","",IFERROR(SUMIF(tblAnahtarB[NormB],$A393,tblVeriB[KomisyonOran]),0))</f>
        <v/>
      </c>
      <c r="E393" s="16">
        <f>IF($A393="","",ROUND($B393*$D393,2))</f>
        <v/>
      </c>
      <c r="F393" s="16">
        <f>IF($A393="","",IFERROR(SUMIF(tblAnahtarB[NormB],$A393,tblVeriB[Kargo]),0))</f>
        <v/>
      </c>
      <c r="G393" s="16">
        <f>IF($A393="","",IFERROR(SUMIF(tblAnahtarB[NormB],$A393,tblVeriB[IadeOran]),0))</f>
        <v/>
      </c>
      <c r="H393" s="16">
        <f>IF($A393="","",ROUND($B393*$G393,2))</f>
        <v/>
      </c>
      <c r="I393" s="16">
        <f>IF($A393="","",IFERROR(SUMIF(tblAnahtarB[NormB],$A393,tblVeriB[ReklamTutar]),0))</f>
        <v/>
      </c>
      <c r="J393" s="16">
        <f>IF($A393="","",ROUND($B393-$C393,2))</f>
        <v/>
      </c>
      <c r="K393" s="16">
        <f>IF($A393="","",ROUND($B393-$C393-$E393-$F393-$H393-$I393,2))</f>
        <v/>
      </c>
      <c r="L393" s="16">
        <f>IF(OR($A393="",$B393=0),0,$K393/$B393)</f>
        <v/>
      </c>
      <c r="M393" s="16">
        <f>IF($A393="","",IF((1-$D393-$G393)&lt;=0,0,ROUND(($C393+$F393+$I393)/(1-$D393-$G393),2)))</f>
        <v/>
      </c>
      <c r="N393" s="16">
        <f>IF($A393="","",IFERROR(SUMIF(tblAnahtarA[Norm],$A393,tblVeriA[HedefNet]),0))</f>
        <v/>
      </c>
      <c r="O393" s="16">
        <f>IF($A393="","",ROUND($K393-$N393,2))</f>
        <v/>
      </c>
      <c r="P393" s="16">
        <f>IF($A393="","",IF($L393&lt;egk_esikKatkiDusuk,"ZAM YAP",IF(AND($R393=1,$L393&lt;egk_esikKatkiHedef),"İNDİRİMİ KES","TUT")))</f>
        <v/>
      </c>
      <c r="Q393" s="16">
        <f>IF($A393="","",IFERROR(SUMIF(tblAnahtarB[NormB],$A393,tblVeriB[Roas]),0))</f>
        <v/>
      </c>
      <c r="R393" s="16">
        <f>IF($A393="","",IF(OR(IFERROR(INDEX(tblVeriA[YorumAB],MATCH($A393,tblAnahtarA[Norm],0)),"")="B",IFERROR(INDEX(tblVeriA[Durum],MATCH($A393,tblAnahtarA[Norm],0)),"")="Kampanya"),1,0))</f>
        <v/>
      </c>
      <c r="S393" s="16">
        <f>IF($A393="","",$J393-$E393)</f>
        <v/>
      </c>
      <c r="T393" s="16">
        <f>IF($A393="","",$K393-$O393)</f>
        <v/>
      </c>
    </row>
    <row r="394">
      <c r="A394" s="16">
        <f>IF('ANAHTAR'!$B394="","",'ANAHTAR'!$B394)</f>
        <v/>
      </c>
      <c r="B394" s="16">
        <f>IF($A394="","",IFERROR(SUMIF(tblAnahtarA[Norm],$A394,tblVeriA[SatisFiyati]),0))</f>
        <v/>
      </c>
      <c r="C394" s="16">
        <f>IF($A394="","",IFERROR(SUMIF(tblAnahtarA[Norm],$A394,tblVeriA[Maliyet]),0))</f>
        <v/>
      </c>
      <c r="D394" s="16">
        <f>IF($A394="","",IFERROR(SUMIF(tblAnahtarB[NormB],$A394,tblVeriB[KomisyonOran]),0))</f>
        <v/>
      </c>
      <c r="E394" s="16">
        <f>IF($A394="","",ROUND($B394*$D394,2))</f>
        <v/>
      </c>
      <c r="F394" s="16">
        <f>IF($A394="","",IFERROR(SUMIF(tblAnahtarB[NormB],$A394,tblVeriB[Kargo]),0))</f>
        <v/>
      </c>
      <c r="G394" s="16">
        <f>IF($A394="","",IFERROR(SUMIF(tblAnahtarB[NormB],$A394,tblVeriB[IadeOran]),0))</f>
        <v/>
      </c>
      <c r="H394" s="16">
        <f>IF($A394="","",ROUND($B394*$G394,2))</f>
        <v/>
      </c>
      <c r="I394" s="16">
        <f>IF($A394="","",IFERROR(SUMIF(tblAnahtarB[NormB],$A394,tblVeriB[ReklamTutar]),0))</f>
        <v/>
      </c>
      <c r="J394" s="16">
        <f>IF($A394="","",ROUND($B394-$C394,2))</f>
        <v/>
      </c>
      <c r="K394" s="16">
        <f>IF($A394="","",ROUND($B394-$C394-$E394-$F394-$H394-$I394,2))</f>
        <v/>
      </c>
      <c r="L394" s="16">
        <f>IF(OR($A394="",$B394=0),0,$K394/$B394)</f>
        <v/>
      </c>
      <c r="M394" s="16">
        <f>IF($A394="","",IF((1-$D394-$G394)&lt;=0,0,ROUND(($C394+$F394+$I394)/(1-$D394-$G394),2)))</f>
        <v/>
      </c>
      <c r="N394" s="16">
        <f>IF($A394="","",IFERROR(SUMIF(tblAnahtarA[Norm],$A394,tblVeriA[HedefNet]),0))</f>
        <v/>
      </c>
      <c r="O394" s="16">
        <f>IF($A394="","",ROUND($K394-$N394,2))</f>
        <v/>
      </c>
      <c r="P394" s="16">
        <f>IF($A394="","",IF($L394&lt;egk_esikKatkiDusuk,"ZAM YAP",IF(AND($R394=1,$L394&lt;egk_esikKatkiHedef),"İNDİRİMİ KES","TUT")))</f>
        <v/>
      </c>
      <c r="Q394" s="16">
        <f>IF($A394="","",IFERROR(SUMIF(tblAnahtarB[NormB],$A394,tblVeriB[Roas]),0))</f>
        <v/>
      </c>
      <c r="R394" s="16">
        <f>IF($A394="","",IF(OR(IFERROR(INDEX(tblVeriA[YorumAB],MATCH($A394,tblAnahtarA[Norm],0)),"")="B",IFERROR(INDEX(tblVeriA[Durum],MATCH($A394,tblAnahtarA[Norm],0)),"")="Kampanya"),1,0))</f>
        <v/>
      </c>
      <c r="S394" s="16">
        <f>IF($A394="","",$J394-$E394)</f>
        <v/>
      </c>
      <c r="T394" s="16">
        <f>IF($A394="","",$K394-$O394)</f>
        <v/>
      </c>
    </row>
    <row r="395">
      <c r="A395" s="16">
        <f>IF('ANAHTAR'!$B395="","",'ANAHTAR'!$B395)</f>
        <v/>
      </c>
      <c r="B395" s="16">
        <f>IF($A395="","",IFERROR(SUMIF(tblAnahtarA[Norm],$A395,tblVeriA[SatisFiyati]),0))</f>
        <v/>
      </c>
      <c r="C395" s="16">
        <f>IF($A395="","",IFERROR(SUMIF(tblAnahtarA[Norm],$A395,tblVeriA[Maliyet]),0))</f>
        <v/>
      </c>
      <c r="D395" s="16">
        <f>IF($A395="","",IFERROR(SUMIF(tblAnahtarB[NormB],$A395,tblVeriB[KomisyonOran]),0))</f>
        <v/>
      </c>
      <c r="E395" s="16">
        <f>IF($A395="","",ROUND($B395*$D395,2))</f>
        <v/>
      </c>
      <c r="F395" s="16">
        <f>IF($A395="","",IFERROR(SUMIF(tblAnahtarB[NormB],$A395,tblVeriB[Kargo]),0))</f>
        <v/>
      </c>
      <c r="G395" s="16">
        <f>IF($A395="","",IFERROR(SUMIF(tblAnahtarB[NormB],$A395,tblVeriB[IadeOran]),0))</f>
        <v/>
      </c>
      <c r="H395" s="16">
        <f>IF($A395="","",ROUND($B395*$G395,2))</f>
        <v/>
      </c>
      <c r="I395" s="16">
        <f>IF($A395="","",IFERROR(SUMIF(tblAnahtarB[NormB],$A395,tblVeriB[ReklamTutar]),0))</f>
        <v/>
      </c>
      <c r="J395" s="16">
        <f>IF($A395="","",ROUND($B395-$C395,2))</f>
        <v/>
      </c>
      <c r="K395" s="16">
        <f>IF($A395="","",ROUND($B395-$C395-$E395-$F395-$H395-$I395,2))</f>
        <v/>
      </c>
      <c r="L395" s="16">
        <f>IF(OR($A395="",$B395=0),0,$K395/$B395)</f>
        <v/>
      </c>
      <c r="M395" s="16">
        <f>IF($A395="","",IF((1-$D395-$G395)&lt;=0,0,ROUND(($C395+$F395+$I395)/(1-$D395-$G395),2)))</f>
        <v/>
      </c>
      <c r="N395" s="16">
        <f>IF($A395="","",IFERROR(SUMIF(tblAnahtarA[Norm],$A395,tblVeriA[HedefNet]),0))</f>
        <v/>
      </c>
      <c r="O395" s="16">
        <f>IF($A395="","",ROUND($K395-$N395,2))</f>
        <v/>
      </c>
      <c r="P395" s="16">
        <f>IF($A395="","",IF($L395&lt;egk_esikKatkiDusuk,"ZAM YAP",IF(AND($R395=1,$L395&lt;egk_esikKatkiHedef),"İNDİRİMİ KES","TUT")))</f>
        <v/>
      </c>
      <c r="Q395" s="16">
        <f>IF($A395="","",IFERROR(SUMIF(tblAnahtarB[NormB],$A395,tblVeriB[Roas]),0))</f>
        <v/>
      </c>
      <c r="R395" s="16">
        <f>IF($A395="","",IF(OR(IFERROR(INDEX(tblVeriA[YorumAB],MATCH($A395,tblAnahtarA[Norm],0)),"")="B",IFERROR(INDEX(tblVeriA[Durum],MATCH($A395,tblAnahtarA[Norm],0)),"")="Kampanya"),1,0))</f>
        <v/>
      </c>
      <c r="S395" s="16">
        <f>IF($A395="","",$J395-$E395)</f>
        <v/>
      </c>
      <c r="T395" s="16">
        <f>IF($A395="","",$K395-$O395)</f>
        <v/>
      </c>
    </row>
    <row r="396">
      <c r="A396" s="16">
        <f>IF('ANAHTAR'!$B396="","",'ANAHTAR'!$B396)</f>
        <v/>
      </c>
      <c r="B396" s="16">
        <f>IF($A396="","",IFERROR(SUMIF(tblAnahtarA[Norm],$A396,tblVeriA[SatisFiyati]),0))</f>
        <v/>
      </c>
      <c r="C396" s="16">
        <f>IF($A396="","",IFERROR(SUMIF(tblAnahtarA[Norm],$A396,tblVeriA[Maliyet]),0))</f>
        <v/>
      </c>
      <c r="D396" s="16">
        <f>IF($A396="","",IFERROR(SUMIF(tblAnahtarB[NormB],$A396,tblVeriB[KomisyonOran]),0))</f>
        <v/>
      </c>
      <c r="E396" s="16">
        <f>IF($A396="","",ROUND($B396*$D396,2))</f>
        <v/>
      </c>
      <c r="F396" s="16">
        <f>IF($A396="","",IFERROR(SUMIF(tblAnahtarB[NormB],$A396,tblVeriB[Kargo]),0))</f>
        <v/>
      </c>
      <c r="G396" s="16">
        <f>IF($A396="","",IFERROR(SUMIF(tblAnahtarB[NormB],$A396,tblVeriB[IadeOran]),0))</f>
        <v/>
      </c>
      <c r="H396" s="16">
        <f>IF($A396="","",ROUND($B396*$G396,2))</f>
        <v/>
      </c>
      <c r="I396" s="16">
        <f>IF($A396="","",IFERROR(SUMIF(tblAnahtarB[NormB],$A396,tblVeriB[ReklamTutar]),0))</f>
        <v/>
      </c>
      <c r="J396" s="16">
        <f>IF($A396="","",ROUND($B396-$C396,2))</f>
        <v/>
      </c>
      <c r="K396" s="16">
        <f>IF($A396="","",ROUND($B396-$C396-$E396-$F396-$H396-$I396,2))</f>
        <v/>
      </c>
      <c r="L396" s="16">
        <f>IF(OR($A396="",$B396=0),0,$K396/$B396)</f>
        <v/>
      </c>
      <c r="M396" s="16">
        <f>IF($A396="","",IF((1-$D396-$G396)&lt;=0,0,ROUND(($C396+$F396+$I396)/(1-$D396-$G396),2)))</f>
        <v/>
      </c>
      <c r="N396" s="16">
        <f>IF($A396="","",IFERROR(SUMIF(tblAnahtarA[Norm],$A396,tblVeriA[HedefNet]),0))</f>
        <v/>
      </c>
      <c r="O396" s="16">
        <f>IF($A396="","",ROUND($K396-$N396,2))</f>
        <v/>
      </c>
      <c r="P396" s="16">
        <f>IF($A396="","",IF($L396&lt;egk_esikKatkiDusuk,"ZAM YAP",IF(AND($R396=1,$L396&lt;egk_esikKatkiHedef),"İNDİRİMİ KES","TUT")))</f>
        <v/>
      </c>
      <c r="Q396" s="16">
        <f>IF($A396="","",IFERROR(SUMIF(tblAnahtarB[NormB],$A396,tblVeriB[Roas]),0))</f>
        <v/>
      </c>
      <c r="R396" s="16">
        <f>IF($A396="","",IF(OR(IFERROR(INDEX(tblVeriA[YorumAB],MATCH($A396,tblAnahtarA[Norm],0)),"")="B",IFERROR(INDEX(tblVeriA[Durum],MATCH($A396,tblAnahtarA[Norm],0)),"")="Kampanya"),1,0))</f>
        <v/>
      </c>
      <c r="S396" s="16">
        <f>IF($A396="","",$J396-$E396)</f>
        <v/>
      </c>
      <c r="T396" s="16">
        <f>IF($A396="","",$K396-$O396)</f>
        <v/>
      </c>
    </row>
    <row r="397">
      <c r="A397" s="16">
        <f>IF('ANAHTAR'!$B397="","",'ANAHTAR'!$B397)</f>
        <v/>
      </c>
      <c r="B397" s="16">
        <f>IF($A397="","",IFERROR(SUMIF(tblAnahtarA[Norm],$A397,tblVeriA[SatisFiyati]),0))</f>
        <v/>
      </c>
      <c r="C397" s="16">
        <f>IF($A397="","",IFERROR(SUMIF(tblAnahtarA[Norm],$A397,tblVeriA[Maliyet]),0))</f>
        <v/>
      </c>
      <c r="D397" s="16">
        <f>IF($A397="","",IFERROR(SUMIF(tblAnahtarB[NormB],$A397,tblVeriB[KomisyonOran]),0))</f>
        <v/>
      </c>
      <c r="E397" s="16">
        <f>IF($A397="","",ROUND($B397*$D397,2))</f>
        <v/>
      </c>
      <c r="F397" s="16">
        <f>IF($A397="","",IFERROR(SUMIF(tblAnahtarB[NormB],$A397,tblVeriB[Kargo]),0))</f>
        <v/>
      </c>
      <c r="G397" s="16">
        <f>IF($A397="","",IFERROR(SUMIF(tblAnahtarB[NormB],$A397,tblVeriB[IadeOran]),0))</f>
        <v/>
      </c>
      <c r="H397" s="16">
        <f>IF($A397="","",ROUND($B397*$G397,2))</f>
        <v/>
      </c>
      <c r="I397" s="16">
        <f>IF($A397="","",IFERROR(SUMIF(tblAnahtarB[NormB],$A397,tblVeriB[ReklamTutar]),0))</f>
        <v/>
      </c>
      <c r="J397" s="16">
        <f>IF($A397="","",ROUND($B397-$C397,2))</f>
        <v/>
      </c>
      <c r="K397" s="16">
        <f>IF($A397="","",ROUND($B397-$C397-$E397-$F397-$H397-$I397,2))</f>
        <v/>
      </c>
      <c r="L397" s="16">
        <f>IF(OR($A397="",$B397=0),0,$K397/$B397)</f>
        <v/>
      </c>
      <c r="M397" s="16">
        <f>IF($A397="","",IF((1-$D397-$G397)&lt;=0,0,ROUND(($C397+$F397+$I397)/(1-$D397-$G397),2)))</f>
        <v/>
      </c>
      <c r="N397" s="16">
        <f>IF($A397="","",IFERROR(SUMIF(tblAnahtarA[Norm],$A397,tblVeriA[HedefNet]),0))</f>
        <v/>
      </c>
      <c r="O397" s="16">
        <f>IF($A397="","",ROUND($K397-$N397,2))</f>
        <v/>
      </c>
      <c r="P397" s="16">
        <f>IF($A397="","",IF($L397&lt;egk_esikKatkiDusuk,"ZAM YAP",IF(AND($R397=1,$L397&lt;egk_esikKatkiHedef),"İNDİRİMİ KES","TUT")))</f>
        <v/>
      </c>
      <c r="Q397" s="16">
        <f>IF($A397="","",IFERROR(SUMIF(tblAnahtarB[NormB],$A397,tblVeriB[Roas]),0))</f>
        <v/>
      </c>
      <c r="R397" s="16">
        <f>IF($A397="","",IF(OR(IFERROR(INDEX(tblVeriA[YorumAB],MATCH($A397,tblAnahtarA[Norm],0)),"")="B",IFERROR(INDEX(tblVeriA[Durum],MATCH($A397,tblAnahtarA[Norm],0)),"")="Kampanya"),1,0))</f>
        <v/>
      </c>
      <c r="S397" s="16">
        <f>IF($A397="","",$J397-$E397)</f>
        <v/>
      </c>
      <c r="T397" s="16">
        <f>IF($A397="","",$K397-$O397)</f>
        <v/>
      </c>
    </row>
    <row r="398">
      <c r="A398" s="16">
        <f>IF('ANAHTAR'!$B398="","",'ANAHTAR'!$B398)</f>
        <v/>
      </c>
      <c r="B398" s="16">
        <f>IF($A398="","",IFERROR(SUMIF(tblAnahtarA[Norm],$A398,tblVeriA[SatisFiyati]),0))</f>
        <v/>
      </c>
      <c r="C398" s="16">
        <f>IF($A398="","",IFERROR(SUMIF(tblAnahtarA[Norm],$A398,tblVeriA[Maliyet]),0))</f>
        <v/>
      </c>
      <c r="D398" s="16">
        <f>IF($A398="","",IFERROR(SUMIF(tblAnahtarB[NormB],$A398,tblVeriB[KomisyonOran]),0))</f>
        <v/>
      </c>
      <c r="E398" s="16">
        <f>IF($A398="","",ROUND($B398*$D398,2))</f>
        <v/>
      </c>
      <c r="F398" s="16">
        <f>IF($A398="","",IFERROR(SUMIF(tblAnahtarB[NormB],$A398,tblVeriB[Kargo]),0))</f>
        <v/>
      </c>
      <c r="G398" s="16">
        <f>IF($A398="","",IFERROR(SUMIF(tblAnahtarB[NormB],$A398,tblVeriB[IadeOran]),0))</f>
        <v/>
      </c>
      <c r="H398" s="16">
        <f>IF($A398="","",ROUND($B398*$G398,2))</f>
        <v/>
      </c>
      <c r="I398" s="16">
        <f>IF($A398="","",IFERROR(SUMIF(tblAnahtarB[NormB],$A398,tblVeriB[ReklamTutar]),0))</f>
        <v/>
      </c>
      <c r="J398" s="16">
        <f>IF($A398="","",ROUND($B398-$C398,2))</f>
        <v/>
      </c>
      <c r="K398" s="16">
        <f>IF($A398="","",ROUND($B398-$C398-$E398-$F398-$H398-$I398,2))</f>
        <v/>
      </c>
      <c r="L398" s="16">
        <f>IF(OR($A398="",$B398=0),0,$K398/$B398)</f>
        <v/>
      </c>
      <c r="M398" s="16">
        <f>IF($A398="","",IF((1-$D398-$G398)&lt;=0,0,ROUND(($C398+$F398+$I398)/(1-$D398-$G398),2)))</f>
        <v/>
      </c>
      <c r="N398" s="16">
        <f>IF($A398="","",IFERROR(SUMIF(tblAnahtarA[Norm],$A398,tblVeriA[HedefNet]),0))</f>
        <v/>
      </c>
      <c r="O398" s="16">
        <f>IF($A398="","",ROUND($K398-$N398,2))</f>
        <v/>
      </c>
      <c r="P398" s="16">
        <f>IF($A398="","",IF($L398&lt;egk_esikKatkiDusuk,"ZAM YAP",IF(AND($R398=1,$L398&lt;egk_esikKatkiHedef),"İNDİRİMİ KES","TUT")))</f>
        <v/>
      </c>
      <c r="Q398" s="16">
        <f>IF($A398="","",IFERROR(SUMIF(tblAnahtarB[NormB],$A398,tblVeriB[Roas]),0))</f>
        <v/>
      </c>
      <c r="R398" s="16">
        <f>IF($A398="","",IF(OR(IFERROR(INDEX(tblVeriA[YorumAB],MATCH($A398,tblAnahtarA[Norm],0)),"")="B",IFERROR(INDEX(tblVeriA[Durum],MATCH($A398,tblAnahtarA[Norm],0)),"")="Kampanya"),1,0))</f>
        <v/>
      </c>
      <c r="S398" s="16">
        <f>IF($A398="","",$J398-$E398)</f>
        <v/>
      </c>
      <c r="T398" s="16">
        <f>IF($A398="","",$K398-$O398)</f>
        <v/>
      </c>
    </row>
    <row r="399">
      <c r="A399" s="16">
        <f>IF('ANAHTAR'!$B399="","",'ANAHTAR'!$B399)</f>
        <v/>
      </c>
      <c r="B399" s="16">
        <f>IF($A399="","",IFERROR(SUMIF(tblAnahtarA[Norm],$A399,tblVeriA[SatisFiyati]),0))</f>
        <v/>
      </c>
      <c r="C399" s="16">
        <f>IF($A399="","",IFERROR(SUMIF(tblAnahtarA[Norm],$A399,tblVeriA[Maliyet]),0))</f>
        <v/>
      </c>
      <c r="D399" s="16">
        <f>IF($A399="","",IFERROR(SUMIF(tblAnahtarB[NormB],$A399,tblVeriB[KomisyonOran]),0))</f>
        <v/>
      </c>
      <c r="E399" s="16">
        <f>IF($A399="","",ROUND($B399*$D399,2))</f>
        <v/>
      </c>
      <c r="F399" s="16">
        <f>IF($A399="","",IFERROR(SUMIF(tblAnahtarB[NormB],$A399,tblVeriB[Kargo]),0))</f>
        <v/>
      </c>
      <c r="G399" s="16">
        <f>IF($A399="","",IFERROR(SUMIF(tblAnahtarB[NormB],$A399,tblVeriB[IadeOran]),0))</f>
        <v/>
      </c>
      <c r="H399" s="16">
        <f>IF($A399="","",ROUND($B399*$G399,2))</f>
        <v/>
      </c>
      <c r="I399" s="16">
        <f>IF($A399="","",IFERROR(SUMIF(tblAnahtarB[NormB],$A399,tblVeriB[ReklamTutar]),0))</f>
        <v/>
      </c>
      <c r="J399" s="16">
        <f>IF($A399="","",ROUND($B399-$C399,2))</f>
        <v/>
      </c>
      <c r="K399" s="16">
        <f>IF($A399="","",ROUND($B399-$C399-$E399-$F399-$H399-$I399,2))</f>
        <v/>
      </c>
      <c r="L399" s="16">
        <f>IF(OR($A399="",$B399=0),0,$K399/$B399)</f>
        <v/>
      </c>
      <c r="M399" s="16">
        <f>IF($A399="","",IF((1-$D399-$G399)&lt;=0,0,ROUND(($C399+$F399+$I399)/(1-$D399-$G399),2)))</f>
        <v/>
      </c>
      <c r="N399" s="16">
        <f>IF($A399="","",IFERROR(SUMIF(tblAnahtarA[Norm],$A399,tblVeriA[HedefNet]),0))</f>
        <v/>
      </c>
      <c r="O399" s="16">
        <f>IF($A399="","",ROUND($K399-$N399,2))</f>
        <v/>
      </c>
      <c r="P399" s="16">
        <f>IF($A399="","",IF($L399&lt;egk_esikKatkiDusuk,"ZAM YAP",IF(AND($R399=1,$L399&lt;egk_esikKatkiHedef),"İNDİRİMİ KES","TUT")))</f>
        <v/>
      </c>
      <c r="Q399" s="16">
        <f>IF($A399="","",IFERROR(SUMIF(tblAnahtarB[NormB],$A399,tblVeriB[Roas]),0))</f>
        <v/>
      </c>
      <c r="R399" s="16">
        <f>IF($A399="","",IF(OR(IFERROR(INDEX(tblVeriA[YorumAB],MATCH($A399,tblAnahtarA[Norm],0)),"")="B",IFERROR(INDEX(tblVeriA[Durum],MATCH($A399,tblAnahtarA[Norm],0)),"")="Kampanya"),1,0))</f>
        <v/>
      </c>
      <c r="S399" s="16">
        <f>IF($A399="","",$J399-$E399)</f>
        <v/>
      </c>
      <c r="T399" s="16">
        <f>IF($A399="","",$K399-$O399)</f>
        <v/>
      </c>
    </row>
    <row r="400">
      <c r="A400" s="16">
        <f>IF('ANAHTAR'!$B400="","",'ANAHTAR'!$B400)</f>
        <v/>
      </c>
      <c r="B400" s="16">
        <f>IF($A400="","",IFERROR(SUMIF(tblAnahtarA[Norm],$A400,tblVeriA[SatisFiyati]),0))</f>
        <v/>
      </c>
      <c r="C400" s="16">
        <f>IF($A400="","",IFERROR(SUMIF(tblAnahtarA[Norm],$A400,tblVeriA[Maliyet]),0))</f>
        <v/>
      </c>
      <c r="D400" s="16">
        <f>IF($A400="","",IFERROR(SUMIF(tblAnahtarB[NormB],$A400,tblVeriB[KomisyonOran]),0))</f>
        <v/>
      </c>
      <c r="E400" s="16">
        <f>IF($A400="","",ROUND($B400*$D400,2))</f>
        <v/>
      </c>
      <c r="F400" s="16">
        <f>IF($A400="","",IFERROR(SUMIF(tblAnahtarB[NormB],$A400,tblVeriB[Kargo]),0))</f>
        <v/>
      </c>
      <c r="G400" s="16">
        <f>IF($A400="","",IFERROR(SUMIF(tblAnahtarB[NormB],$A400,tblVeriB[IadeOran]),0))</f>
        <v/>
      </c>
      <c r="H400" s="16">
        <f>IF($A400="","",ROUND($B400*$G400,2))</f>
        <v/>
      </c>
      <c r="I400" s="16">
        <f>IF($A400="","",IFERROR(SUMIF(tblAnahtarB[NormB],$A400,tblVeriB[ReklamTutar]),0))</f>
        <v/>
      </c>
      <c r="J400" s="16">
        <f>IF($A400="","",ROUND($B400-$C400,2))</f>
        <v/>
      </c>
      <c r="K400" s="16">
        <f>IF($A400="","",ROUND($B400-$C400-$E400-$F400-$H400-$I400,2))</f>
        <v/>
      </c>
      <c r="L400" s="16">
        <f>IF(OR($A400="",$B400=0),0,$K400/$B400)</f>
        <v/>
      </c>
      <c r="M400" s="16">
        <f>IF($A400="","",IF((1-$D400-$G400)&lt;=0,0,ROUND(($C400+$F400+$I400)/(1-$D400-$G400),2)))</f>
        <v/>
      </c>
      <c r="N400" s="16">
        <f>IF($A400="","",IFERROR(SUMIF(tblAnahtarA[Norm],$A400,tblVeriA[HedefNet]),0))</f>
        <v/>
      </c>
      <c r="O400" s="16">
        <f>IF($A400="","",ROUND($K400-$N400,2))</f>
        <v/>
      </c>
      <c r="P400" s="16">
        <f>IF($A400="","",IF($L400&lt;egk_esikKatkiDusuk,"ZAM YAP",IF(AND($R400=1,$L400&lt;egk_esikKatkiHedef),"İNDİRİMİ KES","TUT")))</f>
        <v/>
      </c>
      <c r="Q400" s="16">
        <f>IF($A400="","",IFERROR(SUMIF(tblAnahtarB[NormB],$A400,tblVeriB[Roas]),0))</f>
        <v/>
      </c>
      <c r="R400" s="16">
        <f>IF($A400="","",IF(OR(IFERROR(INDEX(tblVeriA[YorumAB],MATCH($A400,tblAnahtarA[Norm],0)),"")="B",IFERROR(INDEX(tblVeriA[Durum],MATCH($A400,tblAnahtarA[Norm],0)),"")="Kampanya"),1,0))</f>
        <v/>
      </c>
      <c r="S400" s="16">
        <f>IF($A400="","",$J400-$E400)</f>
        <v/>
      </c>
      <c r="T400" s="16">
        <f>IF($A400="","",$K400-$O400)</f>
        <v/>
      </c>
    </row>
    <row r="401">
      <c r="A401" s="16">
        <f>IF('ANAHTAR'!$B401="","",'ANAHTAR'!$B401)</f>
        <v/>
      </c>
      <c r="B401" s="16">
        <f>IF($A401="","",IFERROR(SUMIF(tblAnahtarA[Norm],$A401,tblVeriA[SatisFiyati]),0))</f>
        <v/>
      </c>
      <c r="C401" s="16">
        <f>IF($A401="","",IFERROR(SUMIF(tblAnahtarA[Norm],$A401,tblVeriA[Maliyet]),0))</f>
        <v/>
      </c>
      <c r="D401" s="16">
        <f>IF($A401="","",IFERROR(SUMIF(tblAnahtarB[NormB],$A401,tblVeriB[KomisyonOran]),0))</f>
        <v/>
      </c>
      <c r="E401" s="16">
        <f>IF($A401="","",ROUND($B401*$D401,2))</f>
        <v/>
      </c>
      <c r="F401" s="16">
        <f>IF($A401="","",IFERROR(SUMIF(tblAnahtarB[NormB],$A401,tblVeriB[Kargo]),0))</f>
        <v/>
      </c>
      <c r="G401" s="16">
        <f>IF($A401="","",IFERROR(SUMIF(tblAnahtarB[NormB],$A401,tblVeriB[IadeOran]),0))</f>
        <v/>
      </c>
      <c r="H401" s="16">
        <f>IF($A401="","",ROUND($B401*$G401,2))</f>
        <v/>
      </c>
      <c r="I401" s="16">
        <f>IF($A401="","",IFERROR(SUMIF(tblAnahtarB[NormB],$A401,tblVeriB[ReklamTutar]),0))</f>
        <v/>
      </c>
      <c r="J401" s="16">
        <f>IF($A401="","",ROUND($B401-$C401,2))</f>
        <v/>
      </c>
      <c r="K401" s="16">
        <f>IF($A401="","",ROUND($B401-$C401-$E401-$F401-$H401-$I401,2))</f>
        <v/>
      </c>
      <c r="L401" s="16">
        <f>IF(OR($A401="",$B401=0),0,$K401/$B401)</f>
        <v/>
      </c>
      <c r="M401" s="16">
        <f>IF($A401="","",IF((1-$D401-$G401)&lt;=0,0,ROUND(($C401+$F401+$I401)/(1-$D401-$G401),2)))</f>
        <v/>
      </c>
      <c r="N401" s="16">
        <f>IF($A401="","",IFERROR(SUMIF(tblAnahtarA[Norm],$A401,tblVeriA[HedefNet]),0))</f>
        <v/>
      </c>
      <c r="O401" s="16">
        <f>IF($A401="","",ROUND($K401-$N401,2))</f>
        <v/>
      </c>
      <c r="P401" s="16">
        <f>IF($A401="","",IF($L401&lt;egk_esikKatkiDusuk,"ZAM YAP",IF(AND($R401=1,$L401&lt;egk_esikKatkiHedef),"İNDİRİMİ KES","TUT")))</f>
        <v/>
      </c>
      <c r="Q401" s="16">
        <f>IF($A401="","",IFERROR(SUMIF(tblAnahtarB[NormB],$A401,tblVeriB[Roas]),0))</f>
        <v/>
      </c>
      <c r="R401" s="16">
        <f>IF($A401="","",IF(OR(IFERROR(INDEX(tblVeriA[YorumAB],MATCH($A401,tblAnahtarA[Norm],0)),"")="B",IFERROR(INDEX(tblVeriA[Durum],MATCH($A401,tblAnahtarA[Norm],0)),"")="Kampanya"),1,0))</f>
        <v/>
      </c>
      <c r="S401" s="16">
        <f>IF($A401="","",$J401-$E401)</f>
        <v/>
      </c>
      <c r="T401" s="16">
        <f>IF($A401="","",$K401-$O401)</f>
        <v/>
      </c>
    </row>
    <row r="402">
      <c r="A402" s="16">
        <f>IF('ANAHTAR'!$B402="","",'ANAHTAR'!$B402)</f>
        <v/>
      </c>
      <c r="B402" s="16">
        <f>IF($A402="","",IFERROR(SUMIF(tblAnahtarA[Norm],$A402,tblVeriA[SatisFiyati]),0))</f>
        <v/>
      </c>
      <c r="C402" s="16">
        <f>IF($A402="","",IFERROR(SUMIF(tblAnahtarA[Norm],$A402,tblVeriA[Maliyet]),0))</f>
        <v/>
      </c>
      <c r="D402" s="16">
        <f>IF($A402="","",IFERROR(SUMIF(tblAnahtarB[NormB],$A402,tblVeriB[KomisyonOran]),0))</f>
        <v/>
      </c>
      <c r="E402" s="16">
        <f>IF($A402="","",ROUND($B402*$D402,2))</f>
        <v/>
      </c>
      <c r="F402" s="16">
        <f>IF($A402="","",IFERROR(SUMIF(tblAnahtarB[NormB],$A402,tblVeriB[Kargo]),0))</f>
        <v/>
      </c>
      <c r="G402" s="16">
        <f>IF($A402="","",IFERROR(SUMIF(tblAnahtarB[NormB],$A402,tblVeriB[IadeOran]),0))</f>
        <v/>
      </c>
      <c r="H402" s="16">
        <f>IF($A402="","",ROUND($B402*$G402,2))</f>
        <v/>
      </c>
      <c r="I402" s="16">
        <f>IF($A402="","",IFERROR(SUMIF(tblAnahtarB[NormB],$A402,tblVeriB[ReklamTutar]),0))</f>
        <v/>
      </c>
      <c r="J402" s="16">
        <f>IF($A402="","",ROUND($B402-$C402,2))</f>
        <v/>
      </c>
      <c r="K402" s="16">
        <f>IF($A402="","",ROUND($B402-$C402-$E402-$F402-$H402-$I402,2))</f>
        <v/>
      </c>
      <c r="L402" s="16">
        <f>IF(OR($A402="",$B402=0),0,$K402/$B402)</f>
        <v/>
      </c>
      <c r="M402" s="16">
        <f>IF($A402="","",IF((1-$D402-$G402)&lt;=0,0,ROUND(($C402+$F402+$I402)/(1-$D402-$G402),2)))</f>
        <v/>
      </c>
      <c r="N402" s="16">
        <f>IF($A402="","",IFERROR(SUMIF(tblAnahtarA[Norm],$A402,tblVeriA[HedefNet]),0))</f>
        <v/>
      </c>
      <c r="O402" s="16">
        <f>IF($A402="","",ROUND($K402-$N402,2))</f>
        <v/>
      </c>
      <c r="P402" s="16">
        <f>IF($A402="","",IF($L402&lt;egk_esikKatkiDusuk,"ZAM YAP",IF(AND($R402=1,$L402&lt;egk_esikKatkiHedef),"İNDİRİMİ KES","TUT")))</f>
        <v/>
      </c>
      <c r="Q402" s="16">
        <f>IF($A402="","",IFERROR(SUMIF(tblAnahtarB[NormB],$A402,tblVeriB[Roas]),0))</f>
        <v/>
      </c>
      <c r="R402" s="16">
        <f>IF($A402="","",IF(OR(IFERROR(INDEX(tblVeriA[YorumAB],MATCH($A402,tblAnahtarA[Norm],0)),"")="B",IFERROR(INDEX(tblVeriA[Durum],MATCH($A402,tblAnahtarA[Norm],0)),"")="Kampanya"),1,0))</f>
        <v/>
      </c>
      <c r="S402" s="16">
        <f>IF($A402="","",$J402-$E402)</f>
        <v/>
      </c>
      <c r="T402" s="16">
        <f>IF($A402="","",$K402-$O402)</f>
        <v/>
      </c>
    </row>
    <row r="403">
      <c r="A403" s="16">
        <f>IF('ANAHTAR'!$B403="","",'ANAHTAR'!$B403)</f>
        <v/>
      </c>
      <c r="B403" s="16">
        <f>IF($A403="","",IFERROR(SUMIF(tblAnahtarA[Norm],$A403,tblVeriA[SatisFiyati]),0))</f>
        <v/>
      </c>
      <c r="C403" s="16">
        <f>IF($A403="","",IFERROR(SUMIF(tblAnahtarA[Norm],$A403,tblVeriA[Maliyet]),0))</f>
        <v/>
      </c>
      <c r="D403" s="16">
        <f>IF($A403="","",IFERROR(SUMIF(tblAnahtarB[NormB],$A403,tblVeriB[KomisyonOran]),0))</f>
        <v/>
      </c>
      <c r="E403" s="16">
        <f>IF($A403="","",ROUND($B403*$D403,2))</f>
        <v/>
      </c>
      <c r="F403" s="16">
        <f>IF($A403="","",IFERROR(SUMIF(tblAnahtarB[NormB],$A403,tblVeriB[Kargo]),0))</f>
        <v/>
      </c>
      <c r="G403" s="16">
        <f>IF($A403="","",IFERROR(SUMIF(tblAnahtarB[NormB],$A403,tblVeriB[IadeOran]),0))</f>
        <v/>
      </c>
      <c r="H403" s="16">
        <f>IF($A403="","",ROUND($B403*$G403,2))</f>
        <v/>
      </c>
      <c r="I403" s="16">
        <f>IF($A403="","",IFERROR(SUMIF(tblAnahtarB[NormB],$A403,tblVeriB[ReklamTutar]),0))</f>
        <v/>
      </c>
      <c r="J403" s="16">
        <f>IF($A403="","",ROUND($B403-$C403,2))</f>
        <v/>
      </c>
      <c r="K403" s="16">
        <f>IF($A403="","",ROUND($B403-$C403-$E403-$F403-$H403-$I403,2))</f>
        <v/>
      </c>
      <c r="L403" s="16">
        <f>IF(OR($A403="",$B403=0),0,$K403/$B403)</f>
        <v/>
      </c>
      <c r="M403" s="16">
        <f>IF($A403="","",IF((1-$D403-$G403)&lt;=0,0,ROUND(($C403+$F403+$I403)/(1-$D403-$G403),2)))</f>
        <v/>
      </c>
      <c r="N403" s="16">
        <f>IF($A403="","",IFERROR(SUMIF(tblAnahtarA[Norm],$A403,tblVeriA[HedefNet]),0))</f>
        <v/>
      </c>
      <c r="O403" s="16">
        <f>IF($A403="","",ROUND($K403-$N403,2))</f>
        <v/>
      </c>
      <c r="P403" s="16">
        <f>IF($A403="","",IF($L403&lt;egk_esikKatkiDusuk,"ZAM YAP",IF(AND($R403=1,$L403&lt;egk_esikKatkiHedef),"İNDİRİMİ KES","TUT")))</f>
        <v/>
      </c>
      <c r="Q403" s="16">
        <f>IF($A403="","",IFERROR(SUMIF(tblAnahtarB[NormB],$A403,tblVeriB[Roas]),0))</f>
        <v/>
      </c>
      <c r="R403" s="16">
        <f>IF($A403="","",IF(OR(IFERROR(INDEX(tblVeriA[YorumAB],MATCH($A403,tblAnahtarA[Norm],0)),"")="B",IFERROR(INDEX(tblVeriA[Durum],MATCH($A403,tblAnahtarA[Norm],0)),"")="Kampanya"),1,0))</f>
        <v/>
      </c>
      <c r="S403" s="16">
        <f>IF($A403="","",$J403-$E403)</f>
        <v/>
      </c>
      <c r="T403" s="16">
        <f>IF($A403="","",$K403-$O403)</f>
        <v/>
      </c>
    </row>
    <row r="404">
      <c r="A404" s="16">
        <f>IF('ANAHTAR'!$B404="","",'ANAHTAR'!$B404)</f>
        <v/>
      </c>
      <c r="B404" s="16">
        <f>IF($A404="","",IFERROR(SUMIF(tblAnahtarA[Norm],$A404,tblVeriA[SatisFiyati]),0))</f>
        <v/>
      </c>
      <c r="C404" s="16">
        <f>IF($A404="","",IFERROR(SUMIF(tblAnahtarA[Norm],$A404,tblVeriA[Maliyet]),0))</f>
        <v/>
      </c>
      <c r="D404" s="16">
        <f>IF($A404="","",IFERROR(SUMIF(tblAnahtarB[NormB],$A404,tblVeriB[KomisyonOran]),0))</f>
        <v/>
      </c>
      <c r="E404" s="16">
        <f>IF($A404="","",ROUND($B404*$D404,2))</f>
        <v/>
      </c>
      <c r="F404" s="16">
        <f>IF($A404="","",IFERROR(SUMIF(tblAnahtarB[NormB],$A404,tblVeriB[Kargo]),0))</f>
        <v/>
      </c>
      <c r="G404" s="16">
        <f>IF($A404="","",IFERROR(SUMIF(tblAnahtarB[NormB],$A404,tblVeriB[IadeOran]),0))</f>
        <v/>
      </c>
      <c r="H404" s="16">
        <f>IF($A404="","",ROUND($B404*$G404,2))</f>
        <v/>
      </c>
      <c r="I404" s="16">
        <f>IF($A404="","",IFERROR(SUMIF(tblAnahtarB[NormB],$A404,tblVeriB[ReklamTutar]),0))</f>
        <v/>
      </c>
      <c r="J404" s="16">
        <f>IF($A404="","",ROUND($B404-$C404,2))</f>
        <v/>
      </c>
      <c r="K404" s="16">
        <f>IF($A404="","",ROUND($B404-$C404-$E404-$F404-$H404-$I404,2))</f>
        <v/>
      </c>
      <c r="L404" s="16">
        <f>IF(OR($A404="",$B404=0),0,$K404/$B404)</f>
        <v/>
      </c>
      <c r="M404" s="16">
        <f>IF($A404="","",IF((1-$D404-$G404)&lt;=0,0,ROUND(($C404+$F404+$I404)/(1-$D404-$G404),2)))</f>
        <v/>
      </c>
      <c r="N404" s="16">
        <f>IF($A404="","",IFERROR(SUMIF(tblAnahtarA[Norm],$A404,tblVeriA[HedefNet]),0))</f>
        <v/>
      </c>
      <c r="O404" s="16">
        <f>IF($A404="","",ROUND($K404-$N404,2))</f>
        <v/>
      </c>
      <c r="P404" s="16">
        <f>IF($A404="","",IF($L404&lt;egk_esikKatkiDusuk,"ZAM YAP",IF(AND($R404=1,$L404&lt;egk_esikKatkiHedef),"İNDİRİMİ KES","TUT")))</f>
        <v/>
      </c>
      <c r="Q404" s="16">
        <f>IF($A404="","",IFERROR(SUMIF(tblAnahtarB[NormB],$A404,tblVeriB[Roas]),0))</f>
        <v/>
      </c>
      <c r="R404" s="16">
        <f>IF($A404="","",IF(OR(IFERROR(INDEX(tblVeriA[YorumAB],MATCH($A404,tblAnahtarA[Norm],0)),"")="B",IFERROR(INDEX(tblVeriA[Durum],MATCH($A404,tblAnahtarA[Norm],0)),"")="Kampanya"),1,0))</f>
        <v/>
      </c>
      <c r="S404" s="16">
        <f>IF($A404="","",$J404-$E404)</f>
        <v/>
      </c>
      <c r="T404" s="16">
        <f>IF($A404="","",$K404-$O404)</f>
        <v/>
      </c>
    </row>
    <row r="405">
      <c r="A405" s="16">
        <f>IF('ANAHTAR'!$B405="","",'ANAHTAR'!$B405)</f>
        <v/>
      </c>
      <c r="B405" s="16">
        <f>IF($A405="","",IFERROR(SUMIF(tblAnahtarA[Norm],$A405,tblVeriA[SatisFiyati]),0))</f>
        <v/>
      </c>
      <c r="C405" s="16">
        <f>IF($A405="","",IFERROR(SUMIF(tblAnahtarA[Norm],$A405,tblVeriA[Maliyet]),0))</f>
        <v/>
      </c>
      <c r="D405" s="16">
        <f>IF($A405="","",IFERROR(SUMIF(tblAnahtarB[NormB],$A405,tblVeriB[KomisyonOran]),0))</f>
        <v/>
      </c>
      <c r="E405" s="16">
        <f>IF($A405="","",ROUND($B405*$D405,2))</f>
        <v/>
      </c>
      <c r="F405" s="16">
        <f>IF($A405="","",IFERROR(SUMIF(tblAnahtarB[NormB],$A405,tblVeriB[Kargo]),0))</f>
        <v/>
      </c>
      <c r="G405" s="16">
        <f>IF($A405="","",IFERROR(SUMIF(tblAnahtarB[NormB],$A405,tblVeriB[IadeOran]),0))</f>
        <v/>
      </c>
      <c r="H405" s="16">
        <f>IF($A405="","",ROUND($B405*$G405,2))</f>
        <v/>
      </c>
      <c r="I405" s="16">
        <f>IF($A405="","",IFERROR(SUMIF(tblAnahtarB[NormB],$A405,tblVeriB[ReklamTutar]),0))</f>
        <v/>
      </c>
      <c r="J405" s="16">
        <f>IF($A405="","",ROUND($B405-$C405,2))</f>
        <v/>
      </c>
      <c r="K405" s="16">
        <f>IF($A405="","",ROUND($B405-$C405-$E405-$F405-$H405-$I405,2))</f>
        <v/>
      </c>
      <c r="L405" s="16">
        <f>IF(OR($A405="",$B405=0),0,$K405/$B405)</f>
        <v/>
      </c>
      <c r="M405" s="16">
        <f>IF($A405="","",IF((1-$D405-$G405)&lt;=0,0,ROUND(($C405+$F405+$I405)/(1-$D405-$G405),2)))</f>
        <v/>
      </c>
      <c r="N405" s="16">
        <f>IF($A405="","",IFERROR(SUMIF(tblAnahtarA[Norm],$A405,tblVeriA[HedefNet]),0))</f>
        <v/>
      </c>
      <c r="O405" s="16">
        <f>IF($A405="","",ROUND($K405-$N405,2))</f>
        <v/>
      </c>
      <c r="P405" s="16">
        <f>IF($A405="","",IF($L405&lt;egk_esikKatkiDusuk,"ZAM YAP",IF(AND($R405=1,$L405&lt;egk_esikKatkiHedef),"İNDİRİMİ KES","TUT")))</f>
        <v/>
      </c>
      <c r="Q405" s="16">
        <f>IF($A405="","",IFERROR(SUMIF(tblAnahtarB[NormB],$A405,tblVeriB[Roas]),0))</f>
        <v/>
      </c>
      <c r="R405" s="16">
        <f>IF($A405="","",IF(OR(IFERROR(INDEX(tblVeriA[YorumAB],MATCH($A405,tblAnahtarA[Norm],0)),"")="B",IFERROR(INDEX(tblVeriA[Durum],MATCH($A405,tblAnahtarA[Norm],0)),"")="Kampanya"),1,0))</f>
        <v/>
      </c>
      <c r="S405" s="16">
        <f>IF($A405="","",$J405-$E405)</f>
        <v/>
      </c>
      <c r="T405" s="16">
        <f>IF($A405="","",$K405-$O405)</f>
        <v/>
      </c>
    </row>
    <row r="406">
      <c r="A406" s="16">
        <f>IF('ANAHTAR'!$B406="","",'ANAHTAR'!$B406)</f>
        <v/>
      </c>
      <c r="B406" s="16">
        <f>IF($A406="","",IFERROR(SUMIF(tblAnahtarA[Norm],$A406,tblVeriA[SatisFiyati]),0))</f>
        <v/>
      </c>
      <c r="C406" s="16">
        <f>IF($A406="","",IFERROR(SUMIF(tblAnahtarA[Norm],$A406,tblVeriA[Maliyet]),0))</f>
        <v/>
      </c>
      <c r="D406" s="16">
        <f>IF($A406="","",IFERROR(SUMIF(tblAnahtarB[NormB],$A406,tblVeriB[KomisyonOran]),0))</f>
        <v/>
      </c>
      <c r="E406" s="16">
        <f>IF($A406="","",ROUND($B406*$D406,2))</f>
        <v/>
      </c>
      <c r="F406" s="16">
        <f>IF($A406="","",IFERROR(SUMIF(tblAnahtarB[NormB],$A406,tblVeriB[Kargo]),0))</f>
        <v/>
      </c>
      <c r="G406" s="16">
        <f>IF($A406="","",IFERROR(SUMIF(tblAnahtarB[NormB],$A406,tblVeriB[IadeOran]),0))</f>
        <v/>
      </c>
      <c r="H406" s="16">
        <f>IF($A406="","",ROUND($B406*$G406,2))</f>
        <v/>
      </c>
      <c r="I406" s="16">
        <f>IF($A406="","",IFERROR(SUMIF(tblAnahtarB[NormB],$A406,tblVeriB[ReklamTutar]),0))</f>
        <v/>
      </c>
      <c r="J406" s="16">
        <f>IF($A406="","",ROUND($B406-$C406,2))</f>
        <v/>
      </c>
      <c r="K406" s="16">
        <f>IF($A406="","",ROUND($B406-$C406-$E406-$F406-$H406-$I406,2))</f>
        <v/>
      </c>
      <c r="L406" s="16">
        <f>IF(OR($A406="",$B406=0),0,$K406/$B406)</f>
        <v/>
      </c>
      <c r="M406" s="16">
        <f>IF($A406="","",IF((1-$D406-$G406)&lt;=0,0,ROUND(($C406+$F406+$I406)/(1-$D406-$G406),2)))</f>
        <v/>
      </c>
      <c r="N406" s="16">
        <f>IF($A406="","",IFERROR(SUMIF(tblAnahtarA[Norm],$A406,tblVeriA[HedefNet]),0))</f>
        <v/>
      </c>
      <c r="O406" s="16">
        <f>IF($A406="","",ROUND($K406-$N406,2))</f>
        <v/>
      </c>
      <c r="P406" s="16">
        <f>IF($A406="","",IF($L406&lt;egk_esikKatkiDusuk,"ZAM YAP",IF(AND($R406=1,$L406&lt;egk_esikKatkiHedef),"İNDİRİMİ KES","TUT")))</f>
        <v/>
      </c>
      <c r="Q406" s="16">
        <f>IF($A406="","",IFERROR(SUMIF(tblAnahtarB[NormB],$A406,tblVeriB[Roas]),0))</f>
        <v/>
      </c>
      <c r="R406" s="16">
        <f>IF($A406="","",IF(OR(IFERROR(INDEX(tblVeriA[YorumAB],MATCH($A406,tblAnahtarA[Norm],0)),"")="B",IFERROR(INDEX(tblVeriA[Durum],MATCH($A406,tblAnahtarA[Norm],0)),"")="Kampanya"),1,0))</f>
        <v/>
      </c>
      <c r="S406" s="16">
        <f>IF($A406="","",$J406-$E406)</f>
        <v/>
      </c>
      <c r="T406" s="16">
        <f>IF($A406="","",$K406-$O406)</f>
        <v/>
      </c>
    </row>
    <row r="407">
      <c r="A407" s="16">
        <f>IF('ANAHTAR'!$B407="","",'ANAHTAR'!$B407)</f>
        <v/>
      </c>
      <c r="B407" s="16">
        <f>IF($A407="","",IFERROR(SUMIF(tblAnahtarA[Norm],$A407,tblVeriA[SatisFiyati]),0))</f>
        <v/>
      </c>
      <c r="C407" s="16">
        <f>IF($A407="","",IFERROR(SUMIF(tblAnahtarA[Norm],$A407,tblVeriA[Maliyet]),0))</f>
        <v/>
      </c>
      <c r="D407" s="16">
        <f>IF($A407="","",IFERROR(SUMIF(tblAnahtarB[NormB],$A407,tblVeriB[KomisyonOran]),0))</f>
        <v/>
      </c>
      <c r="E407" s="16">
        <f>IF($A407="","",ROUND($B407*$D407,2))</f>
        <v/>
      </c>
      <c r="F407" s="16">
        <f>IF($A407="","",IFERROR(SUMIF(tblAnahtarB[NormB],$A407,tblVeriB[Kargo]),0))</f>
        <v/>
      </c>
      <c r="G407" s="16">
        <f>IF($A407="","",IFERROR(SUMIF(tblAnahtarB[NormB],$A407,tblVeriB[IadeOran]),0))</f>
        <v/>
      </c>
      <c r="H407" s="16">
        <f>IF($A407="","",ROUND($B407*$G407,2))</f>
        <v/>
      </c>
      <c r="I407" s="16">
        <f>IF($A407="","",IFERROR(SUMIF(tblAnahtarB[NormB],$A407,tblVeriB[ReklamTutar]),0))</f>
        <v/>
      </c>
      <c r="J407" s="16">
        <f>IF($A407="","",ROUND($B407-$C407,2))</f>
        <v/>
      </c>
      <c r="K407" s="16">
        <f>IF($A407="","",ROUND($B407-$C407-$E407-$F407-$H407-$I407,2))</f>
        <v/>
      </c>
      <c r="L407" s="16">
        <f>IF(OR($A407="",$B407=0),0,$K407/$B407)</f>
        <v/>
      </c>
      <c r="M407" s="16">
        <f>IF($A407="","",IF((1-$D407-$G407)&lt;=0,0,ROUND(($C407+$F407+$I407)/(1-$D407-$G407),2)))</f>
        <v/>
      </c>
      <c r="N407" s="16">
        <f>IF($A407="","",IFERROR(SUMIF(tblAnahtarA[Norm],$A407,tblVeriA[HedefNet]),0))</f>
        <v/>
      </c>
      <c r="O407" s="16">
        <f>IF($A407="","",ROUND($K407-$N407,2))</f>
        <v/>
      </c>
      <c r="P407" s="16">
        <f>IF($A407="","",IF($L407&lt;egk_esikKatkiDusuk,"ZAM YAP",IF(AND($R407=1,$L407&lt;egk_esikKatkiHedef),"İNDİRİMİ KES","TUT")))</f>
        <v/>
      </c>
      <c r="Q407" s="16">
        <f>IF($A407="","",IFERROR(SUMIF(tblAnahtarB[NormB],$A407,tblVeriB[Roas]),0))</f>
        <v/>
      </c>
      <c r="R407" s="16">
        <f>IF($A407="","",IF(OR(IFERROR(INDEX(tblVeriA[YorumAB],MATCH($A407,tblAnahtarA[Norm],0)),"")="B",IFERROR(INDEX(tblVeriA[Durum],MATCH($A407,tblAnahtarA[Norm],0)),"")="Kampanya"),1,0))</f>
        <v/>
      </c>
      <c r="S407" s="16">
        <f>IF($A407="","",$J407-$E407)</f>
        <v/>
      </c>
      <c r="T407" s="16">
        <f>IF($A407="","",$K407-$O407)</f>
        <v/>
      </c>
    </row>
    <row r="408">
      <c r="A408" s="16">
        <f>IF('ANAHTAR'!$B408="","",'ANAHTAR'!$B408)</f>
        <v/>
      </c>
      <c r="B408" s="16">
        <f>IF($A408="","",IFERROR(SUMIF(tblAnahtarA[Norm],$A408,tblVeriA[SatisFiyati]),0))</f>
        <v/>
      </c>
      <c r="C408" s="16">
        <f>IF($A408="","",IFERROR(SUMIF(tblAnahtarA[Norm],$A408,tblVeriA[Maliyet]),0))</f>
        <v/>
      </c>
      <c r="D408" s="16">
        <f>IF($A408="","",IFERROR(SUMIF(tblAnahtarB[NormB],$A408,tblVeriB[KomisyonOran]),0))</f>
        <v/>
      </c>
      <c r="E408" s="16">
        <f>IF($A408="","",ROUND($B408*$D408,2))</f>
        <v/>
      </c>
      <c r="F408" s="16">
        <f>IF($A408="","",IFERROR(SUMIF(tblAnahtarB[NormB],$A408,tblVeriB[Kargo]),0))</f>
        <v/>
      </c>
      <c r="G408" s="16">
        <f>IF($A408="","",IFERROR(SUMIF(tblAnahtarB[NormB],$A408,tblVeriB[IadeOran]),0))</f>
        <v/>
      </c>
      <c r="H408" s="16">
        <f>IF($A408="","",ROUND($B408*$G408,2))</f>
        <v/>
      </c>
      <c r="I408" s="16">
        <f>IF($A408="","",IFERROR(SUMIF(tblAnahtarB[NormB],$A408,tblVeriB[ReklamTutar]),0))</f>
        <v/>
      </c>
      <c r="J408" s="16">
        <f>IF($A408="","",ROUND($B408-$C408,2))</f>
        <v/>
      </c>
      <c r="K408" s="16">
        <f>IF($A408="","",ROUND($B408-$C408-$E408-$F408-$H408-$I408,2))</f>
        <v/>
      </c>
      <c r="L408" s="16">
        <f>IF(OR($A408="",$B408=0),0,$K408/$B408)</f>
        <v/>
      </c>
      <c r="M408" s="16">
        <f>IF($A408="","",IF((1-$D408-$G408)&lt;=0,0,ROUND(($C408+$F408+$I408)/(1-$D408-$G408),2)))</f>
        <v/>
      </c>
      <c r="N408" s="16">
        <f>IF($A408="","",IFERROR(SUMIF(tblAnahtarA[Norm],$A408,tblVeriA[HedefNet]),0))</f>
        <v/>
      </c>
      <c r="O408" s="16">
        <f>IF($A408="","",ROUND($K408-$N408,2))</f>
        <v/>
      </c>
      <c r="P408" s="16">
        <f>IF($A408="","",IF($L408&lt;egk_esikKatkiDusuk,"ZAM YAP",IF(AND($R408=1,$L408&lt;egk_esikKatkiHedef),"İNDİRİMİ KES","TUT")))</f>
        <v/>
      </c>
      <c r="Q408" s="16">
        <f>IF($A408="","",IFERROR(SUMIF(tblAnahtarB[NormB],$A408,tblVeriB[Roas]),0))</f>
        <v/>
      </c>
      <c r="R408" s="16">
        <f>IF($A408="","",IF(OR(IFERROR(INDEX(tblVeriA[YorumAB],MATCH($A408,tblAnahtarA[Norm],0)),"")="B",IFERROR(INDEX(tblVeriA[Durum],MATCH($A408,tblAnahtarA[Norm],0)),"")="Kampanya"),1,0))</f>
        <v/>
      </c>
      <c r="S408" s="16">
        <f>IF($A408="","",$J408-$E408)</f>
        <v/>
      </c>
      <c r="T408" s="16">
        <f>IF($A408="","",$K408-$O408)</f>
        <v/>
      </c>
    </row>
    <row r="409">
      <c r="A409" s="16">
        <f>IF('ANAHTAR'!$B409="","",'ANAHTAR'!$B409)</f>
        <v/>
      </c>
      <c r="B409" s="16">
        <f>IF($A409="","",IFERROR(SUMIF(tblAnahtarA[Norm],$A409,tblVeriA[SatisFiyati]),0))</f>
        <v/>
      </c>
      <c r="C409" s="16">
        <f>IF($A409="","",IFERROR(SUMIF(tblAnahtarA[Norm],$A409,tblVeriA[Maliyet]),0))</f>
        <v/>
      </c>
      <c r="D409" s="16">
        <f>IF($A409="","",IFERROR(SUMIF(tblAnahtarB[NormB],$A409,tblVeriB[KomisyonOran]),0))</f>
        <v/>
      </c>
      <c r="E409" s="16">
        <f>IF($A409="","",ROUND($B409*$D409,2))</f>
        <v/>
      </c>
      <c r="F409" s="16">
        <f>IF($A409="","",IFERROR(SUMIF(tblAnahtarB[NormB],$A409,tblVeriB[Kargo]),0))</f>
        <v/>
      </c>
      <c r="G409" s="16">
        <f>IF($A409="","",IFERROR(SUMIF(tblAnahtarB[NormB],$A409,tblVeriB[IadeOran]),0))</f>
        <v/>
      </c>
      <c r="H409" s="16">
        <f>IF($A409="","",ROUND($B409*$G409,2))</f>
        <v/>
      </c>
      <c r="I409" s="16">
        <f>IF($A409="","",IFERROR(SUMIF(tblAnahtarB[NormB],$A409,tblVeriB[ReklamTutar]),0))</f>
        <v/>
      </c>
      <c r="J409" s="16">
        <f>IF($A409="","",ROUND($B409-$C409,2))</f>
        <v/>
      </c>
      <c r="K409" s="16">
        <f>IF($A409="","",ROUND($B409-$C409-$E409-$F409-$H409-$I409,2))</f>
        <v/>
      </c>
      <c r="L409" s="16">
        <f>IF(OR($A409="",$B409=0),0,$K409/$B409)</f>
        <v/>
      </c>
      <c r="M409" s="16">
        <f>IF($A409="","",IF((1-$D409-$G409)&lt;=0,0,ROUND(($C409+$F409+$I409)/(1-$D409-$G409),2)))</f>
        <v/>
      </c>
      <c r="N409" s="16">
        <f>IF($A409="","",IFERROR(SUMIF(tblAnahtarA[Norm],$A409,tblVeriA[HedefNet]),0))</f>
        <v/>
      </c>
      <c r="O409" s="16">
        <f>IF($A409="","",ROUND($K409-$N409,2))</f>
        <v/>
      </c>
      <c r="P409" s="16">
        <f>IF($A409="","",IF($L409&lt;egk_esikKatkiDusuk,"ZAM YAP",IF(AND($R409=1,$L409&lt;egk_esikKatkiHedef),"İNDİRİMİ KES","TUT")))</f>
        <v/>
      </c>
      <c r="Q409" s="16">
        <f>IF($A409="","",IFERROR(SUMIF(tblAnahtarB[NormB],$A409,tblVeriB[Roas]),0))</f>
        <v/>
      </c>
      <c r="R409" s="16">
        <f>IF($A409="","",IF(OR(IFERROR(INDEX(tblVeriA[YorumAB],MATCH($A409,tblAnahtarA[Norm],0)),"")="B",IFERROR(INDEX(tblVeriA[Durum],MATCH($A409,tblAnahtarA[Norm],0)),"")="Kampanya"),1,0))</f>
        <v/>
      </c>
      <c r="S409" s="16">
        <f>IF($A409="","",$J409-$E409)</f>
        <v/>
      </c>
      <c r="T409" s="16">
        <f>IF($A409="","",$K409-$O409)</f>
        <v/>
      </c>
    </row>
    <row r="410">
      <c r="A410" s="16">
        <f>IF('ANAHTAR'!$B410="","",'ANAHTAR'!$B410)</f>
        <v/>
      </c>
      <c r="B410" s="16">
        <f>IF($A410="","",IFERROR(SUMIF(tblAnahtarA[Norm],$A410,tblVeriA[SatisFiyati]),0))</f>
        <v/>
      </c>
      <c r="C410" s="16">
        <f>IF($A410="","",IFERROR(SUMIF(tblAnahtarA[Norm],$A410,tblVeriA[Maliyet]),0))</f>
        <v/>
      </c>
      <c r="D410" s="16">
        <f>IF($A410="","",IFERROR(SUMIF(tblAnahtarB[NormB],$A410,tblVeriB[KomisyonOran]),0))</f>
        <v/>
      </c>
      <c r="E410" s="16">
        <f>IF($A410="","",ROUND($B410*$D410,2))</f>
        <v/>
      </c>
      <c r="F410" s="16">
        <f>IF($A410="","",IFERROR(SUMIF(tblAnahtarB[NormB],$A410,tblVeriB[Kargo]),0))</f>
        <v/>
      </c>
      <c r="G410" s="16">
        <f>IF($A410="","",IFERROR(SUMIF(tblAnahtarB[NormB],$A410,tblVeriB[IadeOran]),0))</f>
        <v/>
      </c>
      <c r="H410" s="16">
        <f>IF($A410="","",ROUND($B410*$G410,2))</f>
        <v/>
      </c>
      <c r="I410" s="16">
        <f>IF($A410="","",IFERROR(SUMIF(tblAnahtarB[NormB],$A410,tblVeriB[ReklamTutar]),0))</f>
        <v/>
      </c>
      <c r="J410" s="16">
        <f>IF($A410="","",ROUND($B410-$C410,2))</f>
        <v/>
      </c>
      <c r="K410" s="16">
        <f>IF($A410="","",ROUND($B410-$C410-$E410-$F410-$H410-$I410,2))</f>
        <v/>
      </c>
      <c r="L410" s="16">
        <f>IF(OR($A410="",$B410=0),0,$K410/$B410)</f>
        <v/>
      </c>
      <c r="M410" s="16">
        <f>IF($A410="","",IF((1-$D410-$G410)&lt;=0,0,ROUND(($C410+$F410+$I410)/(1-$D410-$G410),2)))</f>
        <v/>
      </c>
      <c r="N410" s="16">
        <f>IF($A410="","",IFERROR(SUMIF(tblAnahtarA[Norm],$A410,tblVeriA[HedefNet]),0))</f>
        <v/>
      </c>
      <c r="O410" s="16">
        <f>IF($A410="","",ROUND($K410-$N410,2))</f>
        <v/>
      </c>
      <c r="P410" s="16">
        <f>IF($A410="","",IF($L410&lt;egk_esikKatkiDusuk,"ZAM YAP",IF(AND($R410=1,$L410&lt;egk_esikKatkiHedef),"İNDİRİMİ KES","TUT")))</f>
        <v/>
      </c>
      <c r="Q410" s="16">
        <f>IF($A410="","",IFERROR(SUMIF(tblAnahtarB[NormB],$A410,tblVeriB[Roas]),0))</f>
        <v/>
      </c>
      <c r="R410" s="16">
        <f>IF($A410="","",IF(OR(IFERROR(INDEX(tblVeriA[YorumAB],MATCH($A410,tblAnahtarA[Norm],0)),"")="B",IFERROR(INDEX(tblVeriA[Durum],MATCH($A410,tblAnahtarA[Norm],0)),"")="Kampanya"),1,0))</f>
        <v/>
      </c>
      <c r="S410" s="16">
        <f>IF($A410="","",$J410-$E410)</f>
        <v/>
      </c>
      <c r="T410" s="16">
        <f>IF($A410="","",$K410-$O410)</f>
        <v/>
      </c>
    </row>
    <row r="411">
      <c r="A411" s="16">
        <f>IF('ANAHTAR'!$B411="","",'ANAHTAR'!$B411)</f>
        <v/>
      </c>
      <c r="B411" s="16">
        <f>IF($A411="","",IFERROR(SUMIF(tblAnahtarA[Norm],$A411,tblVeriA[SatisFiyati]),0))</f>
        <v/>
      </c>
      <c r="C411" s="16">
        <f>IF($A411="","",IFERROR(SUMIF(tblAnahtarA[Norm],$A411,tblVeriA[Maliyet]),0))</f>
        <v/>
      </c>
      <c r="D411" s="16">
        <f>IF($A411="","",IFERROR(SUMIF(tblAnahtarB[NormB],$A411,tblVeriB[KomisyonOran]),0))</f>
        <v/>
      </c>
      <c r="E411" s="16">
        <f>IF($A411="","",ROUND($B411*$D411,2))</f>
        <v/>
      </c>
      <c r="F411" s="16">
        <f>IF($A411="","",IFERROR(SUMIF(tblAnahtarB[NormB],$A411,tblVeriB[Kargo]),0))</f>
        <v/>
      </c>
      <c r="G411" s="16">
        <f>IF($A411="","",IFERROR(SUMIF(tblAnahtarB[NormB],$A411,tblVeriB[IadeOran]),0))</f>
        <v/>
      </c>
      <c r="H411" s="16">
        <f>IF($A411="","",ROUND($B411*$G411,2))</f>
        <v/>
      </c>
      <c r="I411" s="16">
        <f>IF($A411="","",IFERROR(SUMIF(tblAnahtarB[NormB],$A411,tblVeriB[ReklamTutar]),0))</f>
        <v/>
      </c>
      <c r="J411" s="16">
        <f>IF($A411="","",ROUND($B411-$C411,2))</f>
        <v/>
      </c>
      <c r="K411" s="16">
        <f>IF($A411="","",ROUND($B411-$C411-$E411-$F411-$H411-$I411,2))</f>
        <v/>
      </c>
      <c r="L411" s="16">
        <f>IF(OR($A411="",$B411=0),0,$K411/$B411)</f>
        <v/>
      </c>
      <c r="M411" s="16">
        <f>IF($A411="","",IF((1-$D411-$G411)&lt;=0,0,ROUND(($C411+$F411+$I411)/(1-$D411-$G411),2)))</f>
        <v/>
      </c>
      <c r="N411" s="16">
        <f>IF($A411="","",IFERROR(SUMIF(tblAnahtarA[Norm],$A411,tblVeriA[HedefNet]),0))</f>
        <v/>
      </c>
      <c r="O411" s="16">
        <f>IF($A411="","",ROUND($K411-$N411,2))</f>
        <v/>
      </c>
      <c r="P411" s="16">
        <f>IF($A411="","",IF($L411&lt;egk_esikKatkiDusuk,"ZAM YAP",IF(AND($R411=1,$L411&lt;egk_esikKatkiHedef),"İNDİRİMİ KES","TUT")))</f>
        <v/>
      </c>
      <c r="Q411" s="16">
        <f>IF($A411="","",IFERROR(SUMIF(tblAnahtarB[NormB],$A411,tblVeriB[Roas]),0))</f>
        <v/>
      </c>
      <c r="R411" s="16">
        <f>IF($A411="","",IF(OR(IFERROR(INDEX(tblVeriA[YorumAB],MATCH($A411,tblAnahtarA[Norm],0)),"")="B",IFERROR(INDEX(tblVeriA[Durum],MATCH($A411,tblAnahtarA[Norm],0)),"")="Kampanya"),1,0))</f>
        <v/>
      </c>
      <c r="S411" s="16">
        <f>IF($A411="","",$J411-$E411)</f>
        <v/>
      </c>
      <c r="T411" s="16">
        <f>IF($A411="","",$K411-$O411)</f>
        <v/>
      </c>
    </row>
    <row r="412">
      <c r="A412" s="16">
        <f>IF('ANAHTAR'!$B412="","",'ANAHTAR'!$B412)</f>
        <v/>
      </c>
      <c r="B412" s="16">
        <f>IF($A412="","",IFERROR(SUMIF(tblAnahtarA[Norm],$A412,tblVeriA[SatisFiyati]),0))</f>
        <v/>
      </c>
      <c r="C412" s="16">
        <f>IF($A412="","",IFERROR(SUMIF(tblAnahtarA[Norm],$A412,tblVeriA[Maliyet]),0))</f>
        <v/>
      </c>
      <c r="D412" s="16">
        <f>IF($A412="","",IFERROR(SUMIF(tblAnahtarB[NormB],$A412,tblVeriB[KomisyonOran]),0))</f>
        <v/>
      </c>
      <c r="E412" s="16">
        <f>IF($A412="","",ROUND($B412*$D412,2))</f>
        <v/>
      </c>
      <c r="F412" s="16">
        <f>IF($A412="","",IFERROR(SUMIF(tblAnahtarB[NormB],$A412,tblVeriB[Kargo]),0))</f>
        <v/>
      </c>
      <c r="G412" s="16">
        <f>IF($A412="","",IFERROR(SUMIF(tblAnahtarB[NormB],$A412,tblVeriB[IadeOran]),0))</f>
        <v/>
      </c>
      <c r="H412" s="16">
        <f>IF($A412="","",ROUND($B412*$G412,2))</f>
        <v/>
      </c>
      <c r="I412" s="16">
        <f>IF($A412="","",IFERROR(SUMIF(tblAnahtarB[NormB],$A412,tblVeriB[ReklamTutar]),0))</f>
        <v/>
      </c>
      <c r="J412" s="16">
        <f>IF($A412="","",ROUND($B412-$C412,2))</f>
        <v/>
      </c>
      <c r="K412" s="16">
        <f>IF($A412="","",ROUND($B412-$C412-$E412-$F412-$H412-$I412,2))</f>
        <v/>
      </c>
      <c r="L412" s="16">
        <f>IF(OR($A412="",$B412=0),0,$K412/$B412)</f>
        <v/>
      </c>
      <c r="M412" s="16">
        <f>IF($A412="","",IF((1-$D412-$G412)&lt;=0,0,ROUND(($C412+$F412+$I412)/(1-$D412-$G412),2)))</f>
        <v/>
      </c>
      <c r="N412" s="16">
        <f>IF($A412="","",IFERROR(SUMIF(tblAnahtarA[Norm],$A412,tblVeriA[HedefNet]),0))</f>
        <v/>
      </c>
      <c r="O412" s="16">
        <f>IF($A412="","",ROUND($K412-$N412,2))</f>
        <v/>
      </c>
      <c r="P412" s="16">
        <f>IF($A412="","",IF($L412&lt;egk_esikKatkiDusuk,"ZAM YAP",IF(AND($R412=1,$L412&lt;egk_esikKatkiHedef),"İNDİRİMİ KES","TUT")))</f>
        <v/>
      </c>
      <c r="Q412" s="16">
        <f>IF($A412="","",IFERROR(SUMIF(tblAnahtarB[NormB],$A412,tblVeriB[Roas]),0))</f>
        <v/>
      </c>
      <c r="R412" s="16">
        <f>IF($A412="","",IF(OR(IFERROR(INDEX(tblVeriA[YorumAB],MATCH($A412,tblAnahtarA[Norm],0)),"")="B",IFERROR(INDEX(tblVeriA[Durum],MATCH($A412,tblAnahtarA[Norm],0)),"")="Kampanya"),1,0))</f>
        <v/>
      </c>
      <c r="S412" s="16">
        <f>IF($A412="","",$J412-$E412)</f>
        <v/>
      </c>
      <c r="T412" s="16">
        <f>IF($A412="","",$K412-$O412)</f>
        <v/>
      </c>
    </row>
    <row r="413">
      <c r="A413" s="16">
        <f>IF('ANAHTAR'!$B413="","",'ANAHTAR'!$B413)</f>
        <v/>
      </c>
      <c r="B413" s="16">
        <f>IF($A413="","",IFERROR(SUMIF(tblAnahtarA[Norm],$A413,tblVeriA[SatisFiyati]),0))</f>
        <v/>
      </c>
      <c r="C413" s="16">
        <f>IF($A413="","",IFERROR(SUMIF(tblAnahtarA[Norm],$A413,tblVeriA[Maliyet]),0))</f>
        <v/>
      </c>
      <c r="D413" s="16">
        <f>IF($A413="","",IFERROR(SUMIF(tblAnahtarB[NormB],$A413,tblVeriB[KomisyonOran]),0))</f>
        <v/>
      </c>
      <c r="E413" s="16">
        <f>IF($A413="","",ROUND($B413*$D413,2))</f>
        <v/>
      </c>
      <c r="F413" s="16">
        <f>IF($A413="","",IFERROR(SUMIF(tblAnahtarB[NormB],$A413,tblVeriB[Kargo]),0))</f>
        <v/>
      </c>
      <c r="G413" s="16">
        <f>IF($A413="","",IFERROR(SUMIF(tblAnahtarB[NormB],$A413,tblVeriB[IadeOran]),0))</f>
        <v/>
      </c>
      <c r="H413" s="16">
        <f>IF($A413="","",ROUND($B413*$G413,2))</f>
        <v/>
      </c>
      <c r="I413" s="16">
        <f>IF($A413="","",IFERROR(SUMIF(tblAnahtarB[NormB],$A413,tblVeriB[ReklamTutar]),0))</f>
        <v/>
      </c>
      <c r="J413" s="16">
        <f>IF($A413="","",ROUND($B413-$C413,2))</f>
        <v/>
      </c>
      <c r="K413" s="16">
        <f>IF($A413="","",ROUND($B413-$C413-$E413-$F413-$H413-$I413,2))</f>
        <v/>
      </c>
      <c r="L413" s="16">
        <f>IF(OR($A413="",$B413=0),0,$K413/$B413)</f>
        <v/>
      </c>
      <c r="M413" s="16">
        <f>IF($A413="","",IF((1-$D413-$G413)&lt;=0,0,ROUND(($C413+$F413+$I413)/(1-$D413-$G413),2)))</f>
        <v/>
      </c>
      <c r="N413" s="16">
        <f>IF($A413="","",IFERROR(SUMIF(tblAnahtarA[Norm],$A413,tblVeriA[HedefNet]),0))</f>
        <v/>
      </c>
      <c r="O413" s="16">
        <f>IF($A413="","",ROUND($K413-$N413,2))</f>
        <v/>
      </c>
      <c r="P413" s="16">
        <f>IF($A413="","",IF($L413&lt;egk_esikKatkiDusuk,"ZAM YAP",IF(AND($R413=1,$L413&lt;egk_esikKatkiHedef),"İNDİRİMİ KES","TUT")))</f>
        <v/>
      </c>
      <c r="Q413" s="16">
        <f>IF($A413="","",IFERROR(SUMIF(tblAnahtarB[NormB],$A413,tblVeriB[Roas]),0))</f>
        <v/>
      </c>
      <c r="R413" s="16">
        <f>IF($A413="","",IF(OR(IFERROR(INDEX(tblVeriA[YorumAB],MATCH($A413,tblAnahtarA[Norm],0)),"")="B",IFERROR(INDEX(tblVeriA[Durum],MATCH($A413,tblAnahtarA[Norm],0)),"")="Kampanya"),1,0))</f>
        <v/>
      </c>
      <c r="S413" s="16">
        <f>IF($A413="","",$J413-$E413)</f>
        <v/>
      </c>
      <c r="T413" s="16">
        <f>IF($A413="","",$K413-$O413)</f>
        <v/>
      </c>
    </row>
    <row r="414">
      <c r="A414" s="16">
        <f>IF('ANAHTAR'!$B414="","",'ANAHTAR'!$B414)</f>
        <v/>
      </c>
      <c r="B414" s="16">
        <f>IF($A414="","",IFERROR(SUMIF(tblAnahtarA[Norm],$A414,tblVeriA[SatisFiyati]),0))</f>
        <v/>
      </c>
      <c r="C414" s="16">
        <f>IF($A414="","",IFERROR(SUMIF(tblAnahtarA[Norm],$A414,tblVeriA[Maliyet]),0))</f>
        <v/>
      </c>
      <c r="D414" s="16">
        <f>IF($A414="","",IFERROR(SUMIF(tblAnahtarB[NormB],$A414,tblVeriB[KomisyonOran]),0))</f>
        <v/>
      </c>
      <c r="E414" s="16">
        <f>IF($A414="","",ROUND($B414*$D414,2))</f>
        <v/>
      </c>
      <c r="F414" s="16">
        <f>IF($A414="","",IFERROR(SUMIF(tblAnahtarB[NormB],$A414,tblVeriB[Kargo]),0))</f>
        <v/>
      </c>
      <c r="G414" s="16">
        <f>IF($A414="","",IFERROR(SUMIF(tblAnahtarB[NormB],$A414,tblVeriB[IadeOran]),0))</f>
        <v/>
      </c>
      <c r="H414" s="16">
        <f>IF($A414="","",ROUND($B414*$G414,2))</f>
        <v/>
      </c>
      <c r="I414" s="16">
        <f>IF($A414="","",IFERROR(SUMIF(tblAnahtarB[NormB],$A414,tblVeriB[ReklamTutar]),0))</f>
        <v/>
      </c>
      <c r="J414" s="16">
        <f>IF($A414="","",ROUND($B414-$C414,2))</f>
        <v/>
      </c>
      <c r="K414" s="16">
        <f>IF($A414="","",ROUND($B414-$C414-$E414-$F414-$H414-$I414,2))</f>
        <v/>
      </c>
      <c r="L414" s="16">
        <f>IF(OR($A414="",$B414=0),0,$K414/$B414)</f>
        <v/>
      </c>
      <c r="M414" s="16">
        <f>IF($A414="","",IF((1-$D414-$G414)&lt;=0,0,ROUND(($C414+$F414+$I414)/(1-$D414-$G414),2)))</f>
        <v/>
      </c>
      <c r="N414" s="16">
        <f>IF($A414="","",IFERROR(SUMIF(tblAnahtarA[Norm],$A414,tblVeriA[HedefNet]),0))</f>
        <v/>
      </c>
      <c r="O414" s="16">
        <f>IF($A414="","",ROUND($K414-$N414,2))</f>
        <v/>
      </c>
      <c r="P414" s="16">
        <f>IF($A414="","",IF($L414&lt;egk_esikKatkiDusuk,"ZAM YAP",IF(AND($R414=1,$L414&lt;egk_esikKatkiHedef),"İNDİRİMİ KES","TUT")))</f>
        <v/>
      </c>
      <c r="Q414" s="16">
        <f>IF($A414="","",IFERROR(SUMIF(tblAnahtarB[NormB],$A414,tblVeriB[Roas]),0))</f>
        <v/>
      </c>
      <c r="R414" s="16">
        <f>IF($A414="","",IF(OR(IFERROR(INDEX(tblVeriA[YorumAB],MATCH($A414,tblAnahtarA[Norm],0)),"")="B",IFERROR(INDEX(tblVeriA[Durum],MATCH($A414,tblAnahtarA[Norm],0)),"")="Kampanya"),1,0))</f>
        <v/>
      </c>
      <c r="S414" s="16">
        <f>IF($A414="","",$J414-$E414)</f>
        <v/>
      </c>
      <c r="T414" s="16">
        <f>IF($A414="","",$K414-$O414)</f>
        <v/>
      </c>
    </row>
    <row r="415">
      <c r="A415" s="16">
        <f>IF('ANAHTAR'!$B415="","",'ANAHTAR'!$B415)</f>
        <v/>
      </c>
      <c r="B415" s="16">
        <f>IF($A415="","",IFERROR(SUMIF(tblAnahtarA[Norm],$A415,tblVeriA[SatisFiyati]),0))</f>
        <v/>
      </c>
      <c r="C415" s="16">
        <f>IF($A415="","",IFERROR(SUMIF(tblAnahtarA[Norm],$A415,tblVeriA[Maliyet]),0))</f>
        <v/>
      </c>
      <c r="D415" s="16">
        <f>IF($A415="","",IFERROR(SUMIF(tblAnahtarB[NormB],$A415,tblVeriB[KomisyonOran]),0))</f>
        <v/>
      </c>
      <c r="E415" s="16">
        <f>IF($A415="","",ROUND($B415*$D415,2))</f>
        <v/>
      </c>
      <c r="F415" s="16">
        <f>IF($A415="","",IFERROR(SUMIF(tblAnahtarB[NormB],$A415,tblVeriB[Kargo]),0))</f>
        <v/>
      </c>
      <c r="G415" s="16">
        <f>IF($A415="","",IFERROR(SUMIF(tblAnahtarB[NormB],$A415,tblVeriB[IadeOran]),0))</f>
        <v/>
      </c>
      <c r="H415" s="16">
        <f>IF($A415="","",ROUND($B415*$G415,2))</f>
        <v/>
      </c>
      <c r="I415" s="16">
        <f>IF($A415="","",IFERROR(SUMIF(tblAnahtarB[NormB],$A415,tblVeriB[ReklamTutar]),0))</f>
        <v/>
      </c>
      <c r="J415" s="16">
        <f>IF($A415="","",ROUND($B415-$C415,2))</f>
        <v/>
      </c>
      <c r="K415" s="16">
        <f>IF($A415="","",ROUND($B415-$C415-$E415-$F415-$H415-$I415,2))</f>
        <v/>
      </c>
      <c r="L415" s="16">
        <f>IF(OR($A415="",$B415=0),0,$K415/$B415)</f>
        <v/>
      </c>
      <c r="M415" s="16">
        <f>IF($A415="","",IF((1-$D415-$G415)&lt;=0,0,ROUND(($C415+$F415+$I415)/(1-$D415-$G415),2)))</f>
        <v/>
      </c>
      <c r="N415" s="16">
        <f>IF($A415="","",IFERROR(SUMIF(tblAnahtarA[Norm],$A415,tblVeriA[HedefNet]),0))</f>
        <v/>
      </c>
      <c r="O415" s="16">
        <f>IF($A415="","",ROUND($K415-$N415,2))</f>
        <v/>
      </c>
      <c r="P415" s="16">
        <f>IF($A415="","",IF($L415&lt;egk_esikKatkiDusuk,"ZAM YAP",IF(AND($R415=1,$L415&lt;egk_esikKatkiHedef),"İNDİRİMİ KES","TUT")))</f>
        <v/>
      </c>
      <c r="Q415" s="16">
        <f>IF($A415="","",IFERROR(SUMIF(tblAnahtarB[NormB],$A415,tblVeriB[Roas]),0))</f>
        <v/>
      </c>
      <c r="R415" s="16">
        <f>IF($A415="","",IF(OR(IFERROR(INDEX(tblVeriA[YorumAB],MATCH($A415,tblAnahtarA[Norm],0)),"")="B",IFERROR(INDEX(tblVeriA[Durum],MATCH($A415,tblAnahtarA[Norm],0)),"")="Kampanya"),1,0))</f>
        <v/>
      </c>
      <c r="S415" s="16">
        <f>IF($A415="","",$J415-$E415)</f>
        <v/>
      </c>
      <c r="T415" s="16">
        <f>IF($A415="","",$K415-$O415)</f>
        <v/>
      </c>
    </row>
    <row r="416">
      <c r="A416" s="16">
        <f>IF('ANAHTAR'!$B416="","",'ANAHTAR'!$B416)</f>
        <v/>
      </c>
      <c r="B416" s="16">
        <f>IF($A416="","",IFERROR(SUMIF(tblAnahtarA[Norm],$A416,tblVeriA[SatisFiyati]),0))</f>
        <v/>
      </c>
      <c r="C416" s="16">
        <f>IF($A416="","",IFERROR(SUMIF(tblAnahtarA[Norm],$A416,tblVeriA[Maliyet]),0))</f>
        <v/>
      </c>
      <c r="D416" s="16">
        <f>IF($A416="","",IFERROR(SUMIF(tblAnahtarB[NormB],$A416,tblVeriB[KomisyonOran]),0))</f>
        <v/>
      </c>
      <c r="E416" s="16">
        <f>IF($A416="","",ROUND($B416*$D416,2))</f>
        <v/>
      </c>
      <c r="F416" s="16">
        <f>IF($A416="","",IFERROR(SUMIF(tblAnahtarB[NormB],$A416,tblVeriB[Kargo]),0))</f>
        <v/>
      </c>
      <c r="G416" s="16">
        <f>IF($A416="","",IFERROR(SUMIF(tblAnahtarB[NormB],$A416,tblVeriB[IadeOran]),0))</f>
        <v/>
      </c>
      <c r="H416" s="16">
        <f>IF($A416="","",ROUND($B416*$G416,2))</f>
        <v/>
      </c>
      <c r="I416" s="16">
        <f>IF($A416="","",IFERROR(SUMIF(tblAnahtarB[NormB],$A416,tblVeriB[ReklamTutar]),0))</f>
        <v/>
      </c>
      <c r="J416" s="16">
        <f>IF($A416="","",ROUND($B416-$C416,2))</f>
        <v/>
      </c>
      <c r="K416" s="16">
        <f>IF($A416="","",ROUND($B416-$C416-$E416-$F416-$H416-$I416,2))</f>
        <v/>
      </c>
      <c r="L416" s="16">
        <f>IF(OR($A416="",$B416=0),0,$K416/$B416)</f>
        <v/>
      </c>
      <c r="M416" s="16">
        <f>IF($A416="","",IF((1-$D416-$G416)&lt;=0,0,ROUND(($C416+$F416+$I416)/(1-$D416-$G416),2)))</f>
        <v/>
      </c>
      <c r="N416" s="16">
        <f>IF($A416="","",IFERROR(SUMIF(tblAnahtarA[Norm],$A416,tblVeriA[HedefNet]),0))</f>
        <v/>
      </c>
      <c r="O416" s="16">
        <f>IF($A416="","",ROUND($K416-$N416,2))</f>
        <v/>
      </c>
      <c r="P416" s="16">
        <f>IF($A416="","",IF($L416&lt;egk_esikKatkiDusuk,"ZAM YAP",IF(AND($R416=1,$L416&lt;egk_esikKatkiHedef),"İNDİRİMİ KES","TUT")))</f>
        <v/>
      </c>
      <c r="Q416" s="16">
        <f>IF($A416="","",IFERROR(SUMIF(tblAnahtarB[NormB],$A416,tblVeriB[Roas]),0))</f>
        <v/>
      </c>
      <c r="R416" s="16">
        <f>IF($A416="","",IF(OR(IFERROR(INDEX(tblVeriA[YorumAB],MATCH($A416,tblAnahtarA[Norm],0)),"")="B",IFERROR(INDEX(tblVeriA[Durum],MATCH($A416,tblAnahtarA[Norm],0)),"")="Kampanya"),1,0))</f>
        <v/>
      </c>
      <c r="S416" s="16">
        <f>IF($A416="","",$J416-$E416)</f>
        <v/>
      </c>
      <c r="T416" s="16">
        <f>IF($A416="","",$K416-$O416)</f>
        <v/>
      </c>
    </row>
    <row r="417">
      <c r="A417" s="16">
        <f>IF('ANAHTAR'!$B417="","",'ANAHTAR'!$B417)</f>
        <v/>
      </c>
      <c r="B417" s="16">
        <f>IF($A417="","",IFERROR(SUMIF(tblAnahtarA[Norm],$A417,tblVeriA[SatisFiyati]),0))</f>
        <v/>
      </c>
      <c r="C417" s="16">
        <f>IF($A417="","",IFERROR(SUMIF(tblAnahtarA[Norm],$A417,tblVeriA[Maliyet]),0))</f>
        <v/>
      </c>
      <c r="D417" s="16">
        <f>IF($A417="","",IFERROR(SUMIF(tblAnahtarB[NormB],$A417,tblVeriB[KomisyonOran]),0))</f>
        <v/>
      </c>
      <c r="E417" s="16">
        <f>IF($A417="","",ROUND($B417*$D417,2))</f>
        <v/>
      </c>
      <c r="F417" s="16">
        <f>IF($A417="","",IFERROR(SUMIF(tblAnahtarB[NormB],$A417,tblVeriB[Kargo]),0))</f>
        <v/>
      </c>
      <c r="G417" s="16">
        <f>IF($A417="","",IFERROR(SUMIF(tblAnahtarB[NormB],$A417,tblVeriB[IadeOran]),0))</f>
        <v/>
      </c>
      <c r="H417" s="16">
        <f>IF($A417="","",ROUND($B417*$G417,2))</f>
        <v/>
      </c>
      <c r="I417" s="16">
        <f>IF($A417="","",IFERROR(SUMIF(tblAnahtarB[NormB],$A417,tblVeriB[ReklamTutar]),0))</f>
        <v/>
      </c>
      <c r="J417" s="16">
        <f>IF($A417="","",ROUND($B417-$C417,2))</f>
        <v/>
      </c>
      <c r="K417" s="16">
        <f>IF($A417="","",ROUND($B417-$C417-$E417-$F417-$H417-$I417,2))</f>
        <v/>
      </c>
      <c r="L417" s="16">
        <f>IF(OR($A417="",$B417=0),0,$K417/$B417)</f>
        <v/>
      </c>
      <c r="M417" s="16">
        <f>IF($A417="","",IF((1-$D417-$G417)&lt;=0,0,ROUND(($C417+$F417+$I417)/(1-$D417-$G417),2)))</f>
        <v/>
      </c>
      <c r="N417" s="16">
        <f>IF($A417="","",IFERROR(SUMIF(tblAnahtarA[Norm],$A417,tblVeriA[HedefNet]),0))</f>
        <v/>
      </c>
      <c r="O417" s="16">
        <f>IF($A417="","",ROUND($K417-$N417,2))</f>
        <v/>
      </c>
      <c r="P417" s="16">
        <f>IF($A417="","",IF($L417&lt;egk_esikKatkiDusuk,"ZAM YAP",IF(AND($R417=1,$L417&lt;egk_esikKatkiHedef),"İNDİRİMİ KES","TUT")))</f>
        <v/>
      </c>
      <c r="Q417" s="16">
        <f>IF($A417="","",IFERROR(SUMIF(tblAnahtarB[NormB],$A417,tblVeriB[Roas]),0))</f>
        <v/>
      </c>
      <c r="R417" s="16">
        <f>IF($A417="","",IF(OR(IFERROR(INDEX(tblVeriA[YorumAB],MATCH($A417,tblAnahtarA[Norm],0)),"")="B",IFERROR(INDEX(tblVeriA[Durum],MATCH($A417,tblAnahtarA[Norm],0)),"")="Kampanya"),1,0))</f>
        <v/>
      </c>
      <c r="S417" s="16">
        <f>IF($A417="","",$J417-$E417)</f>
        <v/>
      </c>
      <c r="T417" s="16">
        <f>IF($A417="","",$K417-$O417)</f>
        <v/>
      </c>
    </row>
    <row r="418">
      <c r="A418" s="16">
        <f>IF('ANAHTAR'!$B418="","",'ANAHTAR'!$B418)</f>
        <v/>
      </c>
      <c r="B418" s="16">
        <f>IF($A418="","",IFERROR(SUMIF(tblAnahtarA[Norm],$A418,tblVeriA[SatisFiyati]),0))</f>
        <v/>
      </c>
      <c r="C418" s="16">
        <f>IF($A418="","",IFERROR(SUMIF(tblAnahtarA[Norm],$A418,tblVeriA[Maliyet]),0))</f>
        <v/>
      </c>
      <c r="D418" s="16">
        <f>IF($A418="","",IFERROR(SUMIF(tblAnahtarB[NormB],$A418,tblVeriB[KomisyonOran]),0))</f>
        <v/>
      </c>
      <c r="E418" s="16">
        <f>IF($A418="","",ROUND($B418*$D418,2))</f>
        <v/>
      </c>
      <c r="F418" s="16">
        <f>IF($A418="","",IFERROR(SUMIF(tblAnahtarB[NormB],$A418,tblVeriB[Kargo]),0))</f>
        <v/>
      </c>
      <c r="G418" s="16">
        <f>IF($A418="","",IFERROR(SUMIF(tblAnahtarB[NormB],$A418,tblVeriB[IadeOran]),0))</f>
        <v/>
      </c>
      <c r="H418" s="16">
        <f>IF($A418="","",ROUND($B418*$G418,2))</f>
        <v/>
      </c>
      <c r="I418" s="16">
        <f>IF($A418="","",IFERROR(SUMIF(tblAnahtarB[NormB],$A418,tblVeriB[ReklamTutar]),0))</f>
        <v/>
      </c>
      <c r="J418" s="16">
        <f>IF($A418="","",ROUND($B418-$C418,2))</f>
        <v/>
      </c>
      <c r="K418" s="16">
        <f>IF($A418="","",ROUND($B418-$C418-$E418-$F418-$H418-$I418,2))</f>
        <v/>
      </c>
      <c r="L418" s="16">
        <f>IF(OR($A418="",$B418=0),0,$K418/$B418)</f>
        <v/>
      </c>
      <c r="M418" s="16">
        <f>IF($A418="","",IF((1-$D418-$G418)&lt;=0,0,ROUND(($C418+$F418+$I418)/(1-$D418-$G418),2)))</f>
        <v/>
      </c>
      <c r="N418" s="16">
        <f>IF($A418="","",IFERROR(SUMIF(tblAnahtarA[Norm],$A418,tblVeriA[HedefNet]),0))</f>
        <v/>
      </c>
      <c r="O418" s="16">
        <f>IF($A418="","",ROUND($K418-$N418,2))</f>
        <v/>
      </c>
      <c r="P418" s="16">
        <f>IF($A418="","",IF($L418&lt;egk_esikKatkiDusuk,"ZAM YAP",IF(AND($R418=1,$L418&lt;egk_esikKatkiHedef),"İNDİRİMİ KES","TUT")))</f>
        <v/>
      </c>
      <c r="Q418" s="16">
        <f>IF($A418="","",IFERROR(SUMIF(tblAnahtarB[NormB],$A418,tblVeriB[Roas]),0))</f>
        <v/>
      </c>
      <c r="R418" s="16">
        <f>IF($A418="","",IF(OR(IFERROR(INDEX(tblVeriA[YorumAB],MATCH($A418,tblAnahtarA[Norm],0)),"")="B",IFERROR(INDEX(tblVeriA[Durum],MATCH($A418,tblAnahtarA[Norm],0)),"")="Kampanya"),1,0))</f>
        <v/>
      </c>
      <c r="S418" s="16">
        <f>IF($A418="","",$J418-$E418)</f>
        <v/>
      </c>
      <c r="T418" s="16">
        <f>IF($A418="","",$K418-$O418)</f>
        <v/>
      </c>
    </row>
    <row r="419">
      <c r="A419" s="16">
        <f>IF('ANAHTAR'!$B419="","",'ANAHTAR'!$B419)</f>
        <v/>
      </c>
      <c r="B419" s="16">
        <f>IF($A419="","",IFERROR(SUMIF(tblAnahtarA[Norm],$A419,tblVeriA[SatisFiyati]),0))</f>
        <v/>
      </c>
      <c r="C419" s="16">
        <f>IF($A419="","",IFERROR(SUMIF(tblAnahtarA[Norm],$A419,tblVeriA[Maliyet]),0))</f>
        <v/>
      </c>
      <c r="D419" s="16">
        <f>IF($A419="","",IFERROR(SUMIF(tblAnahtarB[NormB],$A419,tblVeriB[KomisyonOran]),0))</f>
        <v/>
      </c>
      <c r="E419" s="16">
        <f>IF($A419="","",ROUND($B419*$D419,2))</f>
        <v/>
      </c>
      <c r="F419" s="16">
        <f>IF($A419="","",IFERROR(SUMIF(tblAnahtarB[NormB],$A419,tblVeriB[Kargo]),0))</f>
        <v/>
      </c>
      <c r="G419" s="16">
        <f>IF($A419="","",IFERROR(SUMIF(tblAnahtarB[NormB],$A419,tblVeriB[IadeOran]),0))</f>
        <v/>
      </c>
      <c r="H419" s="16">
        <f>IF($A419="","",ROUND($B419*$G419,2))</f>
        <v/>
      </c>
      <c r="I419" s="16">
        <f>IF($A419="","",IFERROR(SUMIF(tblAnahtarB[NormB],$A419,tblVeriB[ReklamTutar]),0))</f>
        <v/>
      </c>
      <c r="J419" s="16">
        <f>IF($A419="","",ROUND($B419-$C419,2))</f>
        <v/>
      </c>
      <c r="K419" s="16">
        <f>IF($A419="","",ROUND($B419-$C419-$E419-$F419-$H419-$I419,2))</f>
        <v/>
      </c>
      <c r="L419" s="16">
        <f>IF(OR($A419="",$B419=0),0,$K419/$B419)</f>
        <v/>
      </c>
      <c r="M419" s="16">
        <f>IF($A419="","",IF((1-$D419-$G419)&lt;=0,0,ROUND(($C419+$F419+$I419)/(1-$D419-$G419),2)))</f>
        <v/>
      </c>
      <c r="N419" s="16">
        <f>IF($A419="","",IFERROR(SUMIF(tblAnahtarA[Norm],$A419,tblVeriA[HedefNet]),0))</f>
        <v/>
      </c>
      <c r="O419" s="16">
        <f>IF($A419="","",ROUND($K419-$N419,2))</f>
        <v/>
      </c>
      <c r="P419" s="16">
        <f>IF($A419="","",IF($L419&lt;egk_esikKatkiDusuk,"ZAM YAP",IF(AND($R419=1,$L419&lt;egk_esikKatkiHedef),"İNDİRİMİ KES","TUT")))</f>
        <v/>
      </c>
      <c r="Q419" s="16">
        <f>IF($A419="","",IFERROR(SUMIF(tblAnahtarB[NormB],$A419,tblVeriB[Roas]),0))</f>
        <v/>
      </c>
      <c r="R419" s="16">
        <f>IF($A419="","",IF(OR(IFERROR(INDEX(tblVeriA[YorumAB],MATCH($A419,tblAnahtarA[Norm],0)),"")="B",IFERROR(INDEX(tblVeriA[Durum],MATCH($A419,tblAnahtarA[Norm],0)),"")="Kampanya"),1,0))</f>
        <v/>
      </c>
      <c r="S419" s="16">
        <f>IF($A419="","",$J419-$E419)</f>
        <v/>
      </c>
      <c r="T419" s="16">
        <f>IF($A419="","",$K419-$O419)</f>
        <v/>
      </c>
    </row>
    <row r="420">
      <c r="A420" s="16">
        <f>IF('ANAHTAR'!$B420="","",'ANAHTAR'!$B420)</f>
        <v/>
      </c>
      <c r="B420" s="16">
        <f>IF($A420="","",IFERROR(SUMIF(tblAnahtarA[Norm],$A420,tblVeriA[SatisFiyati]),0))</f>
        <v/>
      </c>
      <c r="C420" s="16">
        <f>IF($A420="","",IFERROR(SUMIF(tblAnahtarA[Norm],$A420,tblVeriA[Maliyet]),0))</f>
        <v/>
      </c>
      <c r="D420" s="16">
        <f>IF($A420="","",IFERROR(SUMIF(tblAnahtarB[NormB],$A420,tblVeriB[KomisyonOran]),0))</f>
        <v/>
      </c>
      <c r="E420" s="16">
        <f>IF($A420="","",ROUND($B420*$D420,2))</f>
        <v/>
      </c>
      <c r="F420" s="16">
        <f>IF($A420="","",IFERROR(SUMIF(tblAnahtarB[NormB],$A420,tblVeriB[Kargo]),0))</f>
        <v/>
      </c>
      <c r="G420" s="16">
        <f>IF($A420="","",IFERROR(SUMIF(tblAnahtarB[NormB],$A420,tblVeriB[IadeOran]),0))</f>
        <v/>
      </c>
      <c r="H420" s="16">
        <f>IF($A420="","",ROUND($B420*$G420,2))</f>
        <v/>
      </c>
      <c r="I420" s="16">
        <f>IF($A420="","",IFERROR(SUMIF(tblAnahtarB[NormB],$A420,tblVeriB[ReklamTutar]),0))</f>
        <v/>
      </c>
      <c r="J420" s="16">
        <f>IF($A420="","",ROUND($B420-$C420,2))</f>
        <v/>
      </c>
      <c r="K420" s="16">
        <f>IF($A420="","",ROUND($B420-$C420-$E420-$F420-$H420-$I420,2))</f>
        <v/>
      </c>
      <c r="L420" s="16">
        <f>IF(OR($A420="",$B420=0),0,$K420/$B420)</f>
        <v/>
      </c>
      <c r="M420" s="16">
        <f>IF($A420="","",IF((1-$D420-$G420)&lt;=0,0,ROUND(($C420+$F420+$I420)/(1-$D420-$G420),2)))</f>
        <v/>
      </c>
      <c r="N420" s="16">
        <f>IF($A420="","",IFERROR(SUMIF(tblAnahtarA[Norm],$A420,tblVeriA[HedefNet]),0))</f>
        <v/>
      </c>
      <c r="O420" s="16">
        <f>IF($A420="","",ROUND($K420-$N420,2))</f>
        <v/>
      </c>
      <c r="P420" s="16">
        <f>IF($A420="","",IF($L420&lt;egk_esikKatkiDusuk,"ZAM YAP",IF(AND($R420=1,$L420&lt;egk_esikKatkiHedef),"İNDİRİMİ KES","TUT")))</f>
        <v/>
      </c>
      <c r="Q420" s="16">
        <f>IF($A420="","",IFERROR(SUMIF(tblAnahtarB[NormB],$A420,tblVeriB[Roas]),0))</f>
        <v/>
      </c>
      <c r="R420" s="16">
        <f>IF($A420="","",IF(OR(IFERROR(INDEX(tblVeriA[YorumAB],MATCH($A420,tblAnahtarA[Norm],0)),"")="B",IFERROR(INDEX(tblVeriA[Durum],MATCH($A420,tblAnahtarA[Norm],0)),"")="Kampanya"),1,0))</f>
        <v/>
      </c>
      <c r="S420" s="16">
        <f>IF($A420="","",$J420-$E420)</f>
        <v/>
      </c>
      <c r="T420" s="16">
        <f>IF($A420="","",$K420-$O420)</f>
        <v/>
      </c>
    </row>
    <row r="421">
      <c r="A421" s="16">
        <f>IF('ANAHTAR'!$B421="","",'ANAHTAR'!$B421)</f>
        <v/>
      </c>
      <c r="B421" s="16">
        <f>IF($A421="","",IFERROR(SUMIF(tblAnahtarA[Norm],$A421,tblVeriA[SatisFiyati]),0))</f>
        <v/>
      </c>
      <c r="C421" s="16">
        <f>IF($A421="","",IFERROR(SUMIF(tblAnahtarA[Norm],$A421,tblVeriA[Maliyet]),0))</f>
        <v/>
      </c>
      <c r="D421" s="16">
        <f>IF($A421="","",IFERROR(SUMIF(tblAnahtarB[NormB],$A421,tblVeriB[KomisyonOran]),0))</f>
        <v/>
      </c>
      <c r="E421" s="16">
        <f>IF($A421="","",ROUND($B421*$D421,2))</f>
        <v/>
      </c>
      <c r="F421" s="16">
        <f>IF($A421="","",IFERROR(SUMIF(tblAnahtarB[NormB],$A421,tblVeriB[Kargo]),0))</f>
        <v/>
      </c>
      <c r="G421" s="16">
        <f>IF($A421="","",IFERROR(SUMIF(tblAnahtarB[NormB],$A421,tblVeriB[IadeOran]),0))</f>
        <v/>
      </c>
      <c r="H421" s="16">
        <f>IF($A421="","",ROUND($B421*$G421,2))</f>
        <v/>
      </c>
      <c r="I421" s="16">
        <f>IF($A421="","",IFERROR(SUMIF(tblAnahtarB[NormB],$A421,tblVeriB[ReklamTutar]),0))</f>
        <v/>
      </c>
      <c r="J421" s="16">
        <f>IF($A421="","",ROUND($B421-$C421,2))</f>
        <v/>
      </c>
      <c r="K421" s="16">
        <f>IF($A421="","",ROUND($B421-$C421-$E421-$F421-$H421-$I421,2))</f>
        <v/>
      </c>
      <c r="L421" s="16">
        <f>IF(OR($A421="",$B421=0),0,$K421/$B421)</f>
        <v/>
      </c>
      <c r="M421" s="16">
        <f>IF($A421="","",IF((1-$D421-$G421)&lt;=0,0,ROUND(($C421+$F421+$I421)/(1-$D421-$G421),2)))</f>
        <v/>
      </c>
      <c r="N421" s="16">
        <f>IF($A421="","",IFERROR(SUMIF(tblAnahtarA[Norm],$A421,tblVeriA[HedefNet]),0))</f>
        <v/>
      </c>
      <c r="O421" s="16">
        <f>IF($A421="","",ROUND($K421-$N421,2))</f>
        <v/>
      </c>
      <c r="P421" s="16">
        <f>IF($A421="","",IF($L421&lt;egk_esikKatkiDusuk,"ZAM YAP",IF(AND($R421=1,$L421&lt;egk_esikKatkiHedef),"İNDİRİMİ KES","TUT")))</f>
        <v/>
      </c>
      <c r="Q421" s="16">
        <f>IF($A421="","",IFERROR(SUMIF(tblAnahtarB[NormB],$A421,tblVeriB[Roas]),0))</f>
        <v/>
      </c>
      <c r="R421" s="16">
        <f>IF($A421="","",IF(OR(IFERROR(INDEX(tblVeriA[YorumAB],MATCH($A421,tblAnahtarA[Norm],0)),"")="B",IFERROR(INDEX(tblVeriA[Durum],MATCH($A421,tblAnahtarA[Norm],0)),"")="Kampanya"),1,0))</f>
        <v/>
      </c>
      <c r="S421" s="16">
        <f>IF($A421="","",$J421-$E421)</f>
        <v/>
      </c>
      <c r="T421" s="16">
        <f>IF($A421="","",$K421-$O421)</f>
        <v/>
      </c>
    </row>
    <row r="422">
      <c r="A422" s="16">
        <f>IF('ANAHTAR'!$B422="","",'ANAHTAR'!$B422)</f>
        <v/>
      </c>
      <c r="B422" s="16">
        <f>IF($A422="","",IFERROR(SUMIF(tblAnahtarA[Norm],$A422,tblVeriA[SatisFiyati]),0))</f>
        <v/>
      </c>
      <c r="C422" s="16">
        <f>IF($A422="","",IFERROR(SUMIF(tblAnahtarA[Norm],$A422,tblVeriA[Maliyet]),0))</f>
        <v/>
      </c>
      <c r="D422" s="16">
        <f>IF($A422="","",IFERROR(SUMIF(tblAnahtarB[NormB],$A422,tblVeriB[KomisyonOran]),0))</f>
        <v/>
      </c>
      <c r="E422" s="16">
        <f>IF($A422="","",ROUND($B422*$D422,2))</f>
        <v/>
      </c>
      <c r="F422" s="16">
        <f>IF($A422="","",IFERROR(SUMIF(tblAnahtarB[NormB],$A422,tblVeriB[Kargo]),0))</f>
        <v/>
      </c>
      <c r="G422" s="16">
        <f>IF($A422="","",IFERROR(SUMIF(tblAnahtarB[NormB],$A422,tblVeriB[IadeOran]),0))</f>
        <v/>
      </c>
      <c r="H422" s="16">
        <f>IF($A422="","",ROUND($B422*$G422,2))</f>
        <v/>
      </c>
      <c r="I422" s="16">
        <f>IF($A422="","",IFERROR(SUMIF(tblAnahtarB[NormB],$A422,tblVeriB[ReklamTutar]),0))</f>
        <v/>
      </c>
      <c r="J422" s="16">
        <f>IF($A422="","",ROUND($B422-$C422,2))</f>
        <v/>
      </c>
      <c r="K422" s="16">
        <f>IF($A422="","",ROUND($B422-$C422-$E422-$F422-$H422-$I422,2))</f>
        <v/>
      </c>
      <c r="L422" s="16">
        <f>IF(OR($A422="",$B422=0),0,$K422/$B422)</f>
        <v/>
      </c>
      <c r="M422" s="16">
        <f>IF($A422="","",IF((1-$D422-$G422)&lt;=0,0,ROUND(($C422+$F422+$I422)/(1-$D422-$G422),2)))</f>
        <v/>
      </c>
      <c r="N422" s="16">
        <f>IF($A422="","",IFERROR(SUMIF(tblAnahtarA[Norm],$A422,tblVeriA[HedefNet]),0))</f>
        <v/>
      </c>
      <c r="O422" s="16">
        <f>IF($A422="","",ROUND($K422-$N422,2))</f>
        <v/>
      </c>
      <c r="P422" s="16">
        <f>IF($A422="","",IF($L422&lt;egk_esikKatkiDusuk,"ZAM YAP",IF(AND($R422=1,$L422&lt;egk_esikKatkiHedef),"İNDİRİMİ KES","TUT")))</f>
        <v/>
      </c>
      <c r="Q422" s="16">
        <f>IF($A422="","",IFERROR(SUMIF(tblAnahtarB[NormB],$A422,tblVeriB[Roas]),0))</f>
        <v/>
      </c>
      <c r="R422" s="16">
        <f>IF($A422="","",IF(OR(IFERROR(INDEX(tblVeriA[YorumAB],MATCH($A422,tblAnahtarA[Norm],0)),"")="B",IFERROR(INDEX(tblVeriA[Durum],MATCH($A422,tblAnahtarA[Norm],0)),"")="Kampanya"),1,0))</f>
        <v/>
      </c>
      <c r="S422" s="16">
        <f>IF($A422="","",$J422-$E422)</f>
        <v/>
      </c>
      <c r="T422" s="16">
        <f>IF($A422="","",$K422-$O422)</f>
        <v/>
      </c>
    </row>
    <row r="423">
      <c r="A423" s="16">
        <f>IF('ANAHTAR'!$B423="","",'ANAHTAR'!$B423)</f>
        <v/>
      </c>
      <c r="B423" s="16">
        <f>IF($A423="","",IFERROR(SUMIF(tblAnahtarA[Norm],$A423,tblVeriA[SatisFiyati]),0))</f>
        <v/>
      </c>
      <c r="C423" s="16">
        <f>IF($A423="","",IFERROR(SUMIF(tblAnahtarA[Norm],$A423,tblVeriA[Maliyet]),0))</f>
        <v/>
      </c>
      <c r="D423" s="16">
        <f>IF($A423="","",IFERROR(SUMIF(tblAnahtarB[NormB],$A423,tblVeriB[KomisyonOran]),0))</f>
        <v/>
      </c>
      <c r="E423" s="16">
        <f>IF($A423="","",ROUND($B423*$D423,2))</f>
        <v/>
      </c>
      <c r="F423" s="16">
        <f>IF($A423="","",IFERROR(SUMIF(tblAnahtarB[NormB],$A423,tblVeriB[Kargo]),0))</f>
        <v/>
      </c>
      <c r="G423" s="16">
        <f>IF($A423="","",IFERROR(SUMIF(tblAnahtarB[NormB],$A423,tblVeriB[IadeOran]),0))</f>
        <v/>
      </c>
      <c r="H423" s="16">
        <f>IF($A423="","",ROUND($B423*$G423,2))</f>
        <v/>
      </c>
      <c r="I423" s="16">
        <f>IF($A423="","",IFERROR(SUMIF(tblAnahtarB[NormB],$A423,tblVeriB[ReklamTutar]),0))</f>
        <v/>
      </c>
      <c r="J423" s="16">
        <f>IF($A423="","",ROUND($B423-$C423,2))</f>
        <v/>
      </c>
      <c r="K423" s="16">
        <f>IF($A423="","",ROUND($B423-$C423-$E423-$F423-$H423-$I423,2))</f>
        <v/>
      </c>
      <c r="L423" s="16">
        <f>IF(OR($A423="",$B423=0),0,$K423/$B423)</f>
        <v/>
      </c>
      <c r="M423" s="16">
        <f>IF($A423="","",IF((1-$D423-$G423)&lt;=0,0,ROUND(($C423+$F423+$I423)/(1-$D423-$G423),2)))</f>
        <v/>
      </c>
      <c r="N423" s="16">
        <f>IF($A423="","",IFERROR(SUMIF(tblAnahtarA[Norm],$A423,tblVeriA[HedefNet]),0))</f>
        <v/>
      </c>
      <c r="O423" s="16">
        <f>IF($A423="","",ROUND($K423-$N423,2))</f>
        <v/>
      </c>
      <c r="P423" s="16">
        <f>IF($A423="","",IF($L423&lt;egk_esikKatkiDusuk,"ZAM YAP",IF(AND($R423=1,$L423&lt;egk_esikKatkiHedef),"İNDİRİMİ KES","TUT")))</f>
        <v/>
      </c>
      <c r="Q423" s="16">
        <f>IF($A423="","",IFERROR(SUMIF(tblAnahtarB[NormB],$A423,tblVeriB[Roas]),0))</f>
        <v/>
      </c>
      <c r="R423" s="16">
        <f>IF($A423="","",IF(OR(IFERROR(INDEX(tblVeriA[YorumAB],MATCH($A423,tblAnahtarA[Norm],0)),"")="B",IFERROR(INDEX(tblVeriA[Durum],MATCH($A423,tblAnahtarA[Norm],0)),"")="Kampanya"),1,0))</f>
        <v/>
      </c>
      <c r="S423" s="16">
        <f>IF($A423="","",$J423-$E423)</f>
        <v/>
      </c>
      <c r="T423" s="16">
        <f>IF($A423="","",$K423-$O423)</f>
        <v/>
      </c>
    </row>
    <row r="424">
      <c r="A424" s="16">
        <f>IF('ANAHTAR'!$B424="","",'ANAHTAR'!$B424)</f>
        <v/>
      </c>
      <c r="B424" s="16">
        <f>IF($A424="","",IFERROR(SUMIF(tblAnahtarA[Norm],$A424,tblVeriA[SatisFiyati]),0))</f>
        <v/>
      </c>
      <c r="C424" s="16">
        <f>IF($A424="","",IFERROR(SUMIF(tblAnahtarA[Norm],$A424,tblVeriA[Maliyet]),0))</f>
        <v/>
      </c>
      <c r="D424" s="16">
        <f>IF($A424="","",IFERROR(SUMIF(tblAnahtarB[NormB],$A424,tblVeriB[KomisyonOran]),0))</f>
        <v/>
      </c>
      <c r="E424" s="16">
        <f>IF($A424="","",ROUND($B424*$D424,2))</f>
        <v/>
      </c>
      <c r="F424" s="16">
        <f>IF($A424="","",IFERROR(SUMIF(tblAnahtarB[NormB],$A424,tblVeriB[Kargo]),0))</f>
        <v/>
      </c>
      <c r="G424" s="16">
        <f>IF($A424="","",IFERROR(SUMIF(tblAnahtarB[NormB],$A424,tblVeriB[IadeOran]),0))</f>
        <v/>
      </c>
      <c r="H424" s="16">
        <f>IF($A424="","",ROUND($B424*$G424,2))</f>
        <v/>
      </c>
      <c r="I424" s="16">
        <f>IF($A424="","",IFERROR(SUMIF(tblAnahtarB[NormB],$A424,tblVeriB[ReklamTutar]),0))</f>
        <v/>
      </c>
      <c r="J424" s="16">
        <f>IF($A424="","",ROUND($B424-$C424,2))</f>
        <v/>
      </c>
      <c r="K424" s="16">
        <f>IF($A424="","",ROUND($B424-$C424-$E424-$F424-$H424-$I424,2))</f>
        <v/>
      </c>
      <c r="L424" s="16">
        <f>IF(OR($A424="",$B424=0),0,$K424/$B424)</f>
        <v/>
      </c>
      <c r="M424" s="16">
        <f>IF($A424="","",IF((1-$D424-$G424)&lt;=0,0,ROUND(($C424+$F424+$I424)/(1-$D424-$G424),2)))</f>
        <v/>
      </c>
      <c r="N424" s="16">
        <f>IF($A424="","",IFERROR(SUMIF(tblAnahtarA[Norm],$A424,tblVeriA[HedefNet]),0))</f>
        <v/>
      </c>
      <c r="O424" s="16">
        <f>IF($A424="","",ROUND($K424-$N424,2))</f>
        <v/>
      </c>
      <c r="P424" s="16">
        <f>IF($A424="","",IF($L424&lt;egk_esikKatkiDusuk,"ZAM YAP",IF(AND($R424=1,$L424&lt;egk_esikKatkiHedef),"İNDİRİMİ KES","TUT")))</f>
        <v/>
      </c>
      <c r="Q424" s="16">
        <f>IF($A424="","",IFERROR(SUMIF(tblAnahtarB[NormB],$A424,tblVeriB[Roas]),0))</f>
        <v/>
      </c>
      <c r="R424" s="16">
        <f>IF($A424="","",IF(OR(IFERROR(INDEX(tblVeriA[YorumAB],MATCH($A424,tblAnahtarA[Norm],0)),"")="B",IFERROR(INDEX(tblVeriA[Durum],MATCH($A424,tblAnahtarA[Norm],0)),"")="Kampanya"),1,0))</f>
        <v/>
      </c>
      <c r="S424" s="16">
        <f>IF($A424="","",$J424-$E424)</f>
        <v/>
      </c>
      <c r="T424" s="16">
        <f>IF($A424="","",$K424-$O424)</f>
        <v/>
      </c>
    </row>
    <row r="425">
      <c r="A425" s="16">
        <f>IF('ANAHTAR'!$B425="","",'ANAHTAR'!$B425)</f>
        <v/>
      </c>
      <c r="B425" s="16">
        <f>IF($A425="","",IFERROR(SUMIF(tblAnahtarA[Norm],$A425,tblVeriA[SatisFiyati]),0))</f>
        <v/>
      </c>
      <c r="C425" s="16">
        <f>IF($A425="","",IFERROR(SUMIF(tblAnahtarA[Norm],$A425,tblVeriA[Maliyet]),0))</f>
        <v/>
      </c>
      <c r="D425" s="16">
        <f>IF($A425="","",IFERROR(SUMIF(tblAnahtarB[NormB],$A425,tblVeriB[KomisyonOran]),0))</f>
        <v/>
      </c>
      <c r="E425" s="16">
        <f>IF($A425="","",ROUND($B425*$D425,2))</f>
        <v/>
      </c>
      <c r="F425" s="16">
        <f>IF($A425="","",IFERROR(SUMIF(tblAnahtarB[NormB],$A425,tblVeriB[Kargo]),0))</f>
        <v/>
      </c>
      <c r="G425" s="16">
        <f>IF($A425="","",IFERROR(SUMIF(tblAnahtarB[NormB],$A425,tblVeriB[IadeOran]),0))</f>
        <v/>
      </c>
      <c r="H425" s="16">
        <f>IF($A425="","",ROUND($B425*$G425,2))</f>
        <v/>
      </c>
      <c r="I425" s="16">
        <f>IF($A425="","",IFERROR(SUMIF(tblAnahtarB[NormB],$A425,tblVeriB[ReklamTutar]),0))</f>
        <v/>
      </c>
      <c r="J425" s="16">
        <f>IF($A425="","",ROUND($B425-$C425,2))</f>
        <v/>
      </c>
      <c r="K425" s="16">
        <f>IF($A425="","",ROUND($B425-$C425-$E425-$F425-$H425-$I425,2))</f>
        <v/>
      </c>
      <c r="L425" s="16">
        <f>IF(OR($A425="",$B425=0),0,$K425/$B425)</f>
        <v/>
      </c>
      <c r="M425" s="16">
        <f>IF($A425="","",IF((1-$D425-$G425)&lt;=0,0,ROUND(($C425+$F425+$I425)/(1-$D425-$G425),2)))</f>
        <v/>
      </c>
      <c r="N425" s="16">
        <f>IF($A425="","",IFERROR(SUMIF(tblAnahtarA[Norm],$A425,tblVeriA[HedefNet]),0))</f>
        <v/>
      </c>
      <c r="O425" s="16">
        <f>IF($A425="","",ROUND($K425-$N425,2))</f>
        <v/>
      </c>
      <c r="P425" s="16">
        <f>IF($A425="","",IF($L425&lt;egk_esikKatkiDusuk,"ZAM YAP",IF(AND($R425=1,$L425&lt;egk_esikKatkiHedef),"İNDİRİMİ KES","TUT")))</f>
        <v/>
      </c>
      <c r="Q425" s="16">
        <f>IF($A425="","",IFERROR(SUMIF(tblAnahtarB[NormB],$A425,tblVeriB[Roas]),0))</f>
        <v/>
      </c>
      <c r="R425" s="16">
        <f>IF($A425="","",IF(OR(IFERROR(INDEX(tblVeriA[YorumAB],MATCH($A425,tblAnahtarA[Norm],0)),"")="B",IFERROR(INDEX(tblVeriA[Durum],MATCH($A425,tblAnahtarA[Norm],0)),"")="Kampanya"),1,0))</f>
        <v/>
      </c>
      <c r="S425" s="16">
        <f>IF($A425="","",$J425-$E425)</f>
        <v/>
      </c>
      <c r="T425" s="16">
        <f>IF($A425="","",$K425-$O425)</f>
        <v/>
      </c>
    </row>
    <row r="426">
      <c r="A426" s="16">
        <f>IF('ANAHTAR'!$B426="","",'ANAHTAR'!$B426)</f>
        <v/>
      </c>
      <c r="B426" s="16">
        <f>IF($A426="","",IFERROR(SUMIF(tblAnahtarA[Norm],$A426,tblVeriA[SatisFiyati]),0))</f>
        <v/>
      </c>
      <c r="C426" s="16">
        <f>IF($A426="","",IFERROR(SUMIF(tblAnahtarA[Norm],$A426,tblVeriA[Maliyet]),0))</f>
        <v/>
      </c>
      <c r="D426" s="16">
        <f>IF($A426="","",IFERROR(SUMIF(tblAnahtarB[NormB],$A426,tblVeriB[KomisyonOran]),0))</f>
        <v/>
      </c>
      <c r="E426" s="16">
        <f>IF($A426="","",ROUND($B426*$D426,2))</f>
        <v/>
      </c>
      <c r="F426" s="16">
        <f>IF($A426="","",IFERROR(SUMIF(tblAnahtarB[NormB],$A426,tblVeriB[Kargo]),0))</f>
        <v/>
      </c>
      <c r="G426" s="16">
        <f>IF($A426="","",IFERROR(SUMIF(tblAnahtarB[NormB],$A426,tblVeriB[IadeOran]),0))</f>
        <v/>
      </c>
      <c r="H426" s="16">
        <f>IF($A426="","",ROUND($B426*$G426,2))</f>
        <v/>
      </c>
      <c r="I426" s="16">
        <f>IF($A426="","",IFERROR(SUMIF(tblAnahtarB[NormB],$A426,tblVeriB[ReklamTutar]),0))</f>
        <v/>
      </c>
      <c r="J426" s="16">
        <f>IF($A426="","",ROUND($B426-$C426,2))</f>
        <v/>
      </c>
      <c r="K426" s="16">
        <f>IF($A426="","",ROUND($B426-$C426-$E426-$F426-$H426-$I426,2))</f>
        <v/>
      </c>
      <c r="L426" s="16">
        <f>IF(OR($A426="",$B426=0),0,$K426/$B426)</f>
        <v/>
      </c>
      <c r="M426" s="16">
        <f>IF($A426="","",IF((1-$D426-$G426)&lt;=0,0,ROUND(($C426+$F426+$I426)/(1-$D426-$G426),2)))</f>
        <v/>
      </c>
      <c r="N426" s="16">
        <f>IF($A426="","",IFERROR(SUMIF(tblAnahtarA[Norm],$A426,tblVeriA[HedefNet]),0))</f>
        <v/>
      </c>
      <c r="O426" s="16">
        <f>IF($A426="","",ROUND($K426-$N426,2))</f>
        <v/>
      </c>
      <c r="P426" s="16">
        <f>IF($A426="","",IF($L426&lt;egk_esikKatkiDusuk,"ZAM YAP",IF(AND($R426=1,$L426&lt;egk_esikKatkiHedef),"İNDİRİMİ KES","TUT")))</f>
        <v/>
      </c>
      <c r="Q426" s="16">
        <f>IF($A426="","",IFERROR(SUMIF(tblAnahtarB[NormB],$A426,tblVeriB[Roas]),0))</f>
        <v/>
      </c>
      <c r="R426" s="16">
        <f>IF($A426="","",IF(OR(IFERROR(INDEX(tblVeriA[YorumAB],MATCH($A426,tblAnahtarA[Norm],0)),"")="B",IFERROR(INDEX(tblVeriA[Durum],MATCH($A426,tblAnahtarA[Norm],0)),"")="Kampanya"),1,0))</f>
        <v/>
      </c>
      <c r="S426" s="16">
        <f>IF($A426="","",$J426-$E426)</f>
        <v/>
      </c>
      <c r="T426" s="16">
        <f>IF($A426="","",$K426-$O426)</f>
        <v/>
      </c>
    </row>
    <row r="427">
      <c r="A427" s="16">
        <f>IF('ANAHTAR'!$B427="","",'ANAHTAR'!$B427)</f>
        <v/>
      </c>
      <c r="B427" s="16">
        <f>IF($A427="","",IFERROR(SUMIF(tblAnahtarA[Norm],$A427,tblVeriA[SatisFiyati]),0))</f>
        <v/>
      </c>
      <c r="C427" s="16">
        <f>IF($A427="","",IFERROR(SUMIF(tblAnahtarA[Norm],$A427,tblVeriA[Maliyet]),0))</f>
        <v/>
      </c>
      <c r="D427" s="16">
        <f>IF($A427="","",IFERROR(SUMIF(tblAnahtarB[NormB],$A427,tblVeriB[KomisyonOran]),0))</f>
        <v/>
      </c>
      <c r="E427" s="16">
        <f>IF($A427="","",ROUND($B427*$D427,2))</f>
        <v/>
      </c>
      <c r="F427" s="16">
        <f>IF($A427="","",IFERROR(SUMIF(tblAnahtarB[NormB],$A427,tblVeriB[Kargo]),0))</f>
        <v/>
      </c>
      <c r="G427" s="16">
        <f>IF($A427="","",IFERROR(SUMIF(tblAnahtarB[NormB],$A427,tblVeriB[IadeOran]),0))</f>
        <v/>
      </c>
      <c r="H427" s="16">
        <f>IF($A427="","",ROUND($B427*$G427,2))</f>
        <v/>
      </c>
      <c r="I427" s="16">
        <f>IF($A427="","",IFERROR(SUMIF(tblAnahtarB[NormB],$A427,tblVeriB[ReklamTutar]),0))</f>
        <v/>
      </c>
      <c r="J427" s="16">
        <f>IF($A427="","",ROUND($B427-$C427,2))</f>
        <v/>
      </c>
      <c r="K427" s="16">
        <f>IF($A427="","",ROUND($B427-$C427-$E427-$F427-$H427-$I427,2))</f>
        <v/>
      </c>
      <c r="L427" s="16">
        <f>IF(OR($A427="",$B427=0),0,$K427/$B427)</f>
        <v/>
      </c>
      <c r="M427" s="16">
        <f>IF($A427="","",IF((1-$D427-$G427)&lt;=0,0,ROUND(($C427+$F427+$I427)/(1-$D427-$G427),2)))</f>
        <v/>
      </c>
      <c r="N427" s="16">
        <f>IF($A427="","",IFERROR(SUMIF(tblAnahtarA[Norm],$A427,tblVeriA[HedefNet]),0))</f>
        <v/>
      </c>
      <c r="O427" s="16">
        <f>IF($A427="","",ROUND($K427-$N427,2))</f>
        <v/>
      </c>
      <c r="P427" s="16">
        <f>IF($A427="","",IF($L427&lt;egk_esikKatkiDusuk,"ZAM YAP",IF(AND($R427=1,$L427&lt;egk_esikKatkiHedef),"İNDİRİMİ KES","TUT")))</f>
        <v/>
      </c>
      <c r="Q427" s="16">
        <f>IF($A427="","",IFERROR(SUMIF(tblAnahtarB[NormB],$A427,tblVeriB[Roas]),0))</f>
        <v/>
      </c>
      <c r="R427" s="16">
        <f>IF($A427="","",IF(OR(IFERROR(INDEX(tblVeriA[YorumAB],MATCH($A427,tblAnahtarA[Norm],0)),"")="B",IFERROR(INDEX(tblVeriA[Durum],MATCH($A427,tblAnahtarA[Norm],0)),"")="Kampanya"),1,0))</f>
        <v/>
      </c>
      <c r="S427" s="16">
        <f>IF($A427="","",$J427-$E427)</f>
        <v/>
      </c>
      <c r="T427" s="16">
        <f>IF($A427="","",$K427-$O427)</f>
        <v/>
      </c>
    </row>
    <row r="428">
      <c r="A428" s="16">
        <f>IF('ANAHTAR'!$B428="","",'ANAHTAR'!$B428)</f>
        <v/>
      </c>
      <c r="B428" s="16">
        <f>IF($A428="","",IFERROR(SUMIF(tblAnahtarA[Norm],$A428,tblVeriA[SatisFiyati]),0))</f>
        <v/>
      </c>
      <c r="C428" s="16">
        <f>IF($A428="","",IFERROR(SUMIF(tblAnahtarA[Norm],$A428,tblVeriA[Maliyet]),0))</f>
        <v/>
      </c>
      <c r="D428" s="16">
        <f>IF($A428="","",IFERROR(SUMIF(tblAnahtarB[NormB],$A428,tblVeriB[KomisyonOran]),0))</f>
        <v/>
      </c>
      <c r="E428" s="16">
        <f>IF($A428="","",ROUND($B428*$D428,2))</f>
        <v/>
      </c>
      <c r="F428" s="16">
        <f>IF($A428="","",IFERROR(SUMIF(tblAnahtarB[NormB],$A428,tblVeriB[Kargo]),0))</f>
        <v/>
      </c>
      <c r="G428" s="16">
        <f>IF($A428="","",IFERROR(SUMIF(tblAnahtarB[NormB],$A428,tblVeriB[IadeOran]),0))</f>
        <v/>
      </c>
      <c r="H428" s="16">
        <f>IF($A428="","",ROUND($B428*$G428,2))</f>
        <v/>
      </c>
      <c r="I428" s="16">
        <f>IF($A428="","",IFERROR(SUMIF(tblAnahtarB[NormB],$A428,tblVeriB[ReklamTutar]),0))</f>
        <v/>
      </c>
      <c r="J428" s="16">
        <f>IF($A428="","",ROUND($B428-$C428,2))</f>
        <v/>
      </c>
      <c r="K428" s="16">
        <f>IF($A428="","",ROUND($B428-$C428-$E428-$F428-$H428-$I428,2))</f>
        <v/>
      </c>
      <c r="L428" s="16">
        <f>IF(OR($A428="",$B428=0),0,$K428/$B428)</f>
        <v/>
      </c>
      <c r="M428" s="16">
        <f>IF($A428="","",IF((1-$D428-$G428)&lt;=0,0,ROUND(($C428+$F428+$I428)/(1-$D428-$G428),2)))</f>
        <v/>
      </c>
      <c r="N428" s="16">
        <f>IF($A428="","",IFERROR(SUMIF(tblAnahtarA[Norm],$A428,tblVeriA[HedefNet]),0))</f>
        <v/>
      </c>
      <c r="O428" s="16">
        <f>IF($A428="","",ROUND($K428-$N428,2))</f>
        <v/>
      </c>
      <c r="P428" s="16">
        <f>IF($A428="","",IF($L428&lt;egk_esikKatkiDusuk,"ZAM YAP",IF(AND($R428=1,$L428&lt;egk_esikKatkiHedef),"İNDİRİMİ KES","TUT")))</f>
        <v/>
      </c>
      <c r="Q428" s="16">
        <f>IF($A428="","",IFERROR(SUMIF(tblAnahtarB[NormB],$A428,tblVeriB[Roas]),0))</f>
        <v/>
      </c>
      <c r="R428" s="16">
        <f>IF($A428="","",IF(OR(IFERROR(INDEX(tblVeriA[YorumAB],MATCH($A428,tblAnahtarA[Norm],0)),"")="B",IFERROR(INDEX(tblVeriA[Durum],MATCH($A428,tblAnahtarA[Norm],0)),"")="Kampanya"),1,0))</f>
        <v/>
      </c>
      <c r="S428" s="16">
        <f>IF($A428="","",$J428-$E428)</f>
        <v/>
      </c>
      <c r="T428" s="16">
        <f>IF($A428="","",$K428-$O428)</f>
        <v/>
      </c>
    </row>
    <row r="429">
      <c r="A429" s="16">
        <f>IF('ANAHTAR'!$B429="","",'ANAHTAR'!$B429)</f>
        <v/>
      </c>
      <c r="B429" s="16">
        <f>IF($A429="","",IFERROR(SUMIF(tblAnahtarA[Norm],$A429,tblVeriA[SatisFiyati]),0))</f>
        <v/>
      </c>
      <c r="C429" s="16">
        <f>IF($A429="","",IFERROR(SUMIF(tblAnahtarA[Norm],$A429,tblVeriA[Maliyet]),0))</f>
        <v/>
      </c>
      <c r="D429" s="16">
        <f>IF($A429="","",IFERROR(SUMIF(tblAnahtarB[NormB],$A429,tblVeriB[KomisyonOran]),0))</f>
        <v/>
      </c>
      <c r="E429" s="16">
        <f>IF($A429="","",ROUND($B429*$D429,2))</f>
        <v/>
      </c>
      <c r="F429" s="16">
        <f>IF($A429="","",IFERROR(SUMIF(tblAnahtarB[NormB],$A429,tblVeriB[Kargo]),0))</f>
        <v/>
      </c>
      <c r="G429" s="16">
        <f>IF($A429="","",IFERROR(SUMIF(tblAnahtarB[NormB],$A429,tblVeriB[IadeOran]),0))</f>
        <v/>
      </c>
      <c r="H429" s="16">
        <f>IF($A429="","",ROUND($B429*$G429,2))</f>
        <v/>
      </c>
      <c r="I429" s="16">
        <f>IF($A429="","",IFERROR(SUMIF(tblAnahtarB[NormB],$A429,tblVeriB[ReklamTutar]),0))</f>
        <v/>
      </c>
      <c r="J429" s="16">
        <f>IF($A429="","",ROUND($B429-$C429,2))</f>
        <v/>
      </c>
      <c r="K429" s="16">
        <f>IF($A429="","",ROUND($B429-$C429-$E429-$F429-$H429-$I429,2))</f>
        <v/>
      </c>
      <c r="L429" s="16">
        <f>IF(OR($A429="",$B429=0),0,$K429/$B429)</f>
        <v/>
      </c>
      <c r="M429" s="16">
        <f>IF($A429="","",IF((1-$D429-$G429)&lt;=0,0,ROUND(($C429+$F429+$I429)/(1-$D429-$G429),2)))</f>
        <v/>
      </c>
      <c r="N429" s="16">
        <f>IF($A429="","",IFERROR(SUMIF(tblAnahtarA[Norm],$A429,tblVeriA[HedefNet]),0))</f>
        <v/>
      </c>
      <c r="O429" s="16">
        <f>IF($A429="","",ROUND($K429-$N429,2))</f>
        <v/>
      </c>
      <c r="P429" s="16">
        <f>IF($A429="","",IF($L429&lt;egk_esikKatkiDusuk,"ZAM YAP",IF(AND($R429=1,$L429&lt;egk_esikKatkiHedef),"İNDİRİMİ KES","TUT")))</f>
        <v/>
      </c>
      <c r="Q429" s="16">
        <f>IF($A429="","",IFERROR(SUMIF(tblAnahtarB[NormB],$A429,tblVeriB[Roas]),0))</f>
        <v/>
      </c>
      <c r="R429" s="16">
        <f>IF($A429="","",IF(OR(IFERROR(INDEX(tblVeriA[YorumAB],MATCH($A429,tblAnahtarA[Norm],0)),"")="B",IFERROR(INDEX(tblVeriA[Durum],MATCH($A429,tblAnahtarA[Norm],0)),"")="Kampanya"),1,0))</f>
        <v/>
      </c>
      <c r="S429" s="16">
        <f>IF($A429="","",$J429-$E429)</f>
        <v/>
      </c>
      <c r="T429" s="16">
        <f>IF($A429="","",$K429-$O429)</f>
        <v/>
      </c>
    </row>
    <row r="430">
      <c r="A430" s="16">
        <f>IF('ANAHTAR'!$B430="","",'ANAHTAR'!$B430)</f>
        <v/>
      </c>
      <c r="B430" s="16">
        <f>IF($A430="","",IFERROR(SUMIF(tblAnahtarA[Norm],$A430,tblVeriA[SatisFiyati]),0))</f>
        <v/>
      </c>
      <c r="C430" s="16">
        <f>IF($A430="","",IFERROR(SUMIF(tblAnahtarA[Norm],$A430,tblVeriA[Maliyet]),0))</f>
        <v/>
      </c>
      <c r="D430" s="16">
        <f>IF($A430="","",IFERROR(SUMIF(tblAnahtarB[NormB],$A430,tblVeriB[KomisyonOran]),0))</f>
        <v/>
      </c>
      <c r="E430" s="16">
        <f>IF($A430="","",ROUND($B430*$D430,2))</f>
        <v/>
      </c>
      <c r="F430" s="16">
        <f>IF($A430="","",IFERROR(SUMIF(tblAnahtarB[NormB],$A430,tblVeriB[Kargo]),0))</f>
        <v/>
      </c>
      <c r="G430" s="16">
        <f>IF($A430="","",IFERROR(SUMIF(tblAnahtarB[NormB],$A430,tblVeriB[IadeOran]),0))</f>
        <v/>
      </c>
      <c r="H430" s="16">
        <f>IF($A430="","",ROUND($B430*$G430,2))</f>
        <v/>
      </c>
      <c r="I430" s="16">
        <f>IF($A430="","",IFERROR(SUMIF(tblAnahtarB[NormB],$A430,tblVeriB[ReklamTutar]),0))</f>
        <v/>
      </c>
      <c r="J430" s="16">
        <f>IF($A430="","",ROUND($B430-$C430,2))</f>
        <v/>
      </c>
      <c r="K430" s="16">
        <f>IF($A430="","",ROUND($B430-$C430-$E430-$F430-$H430-$I430,2))</f>
        <v/>
      </c>
      <c r="L430" s="16">
        <f>IF(OR($A430="",$B430=0),0,$K430/$B430)</f>
        <v/>
      </c>
      <c r="M430" s="16">
        <f>IF($A430="","",IF((1-$D430-$G430)&lt;=0,0,ROUND(($C430+$F430+$I430)/(1-$D430-$G430),2)))</f>
        <v/>
      </c>
      <c r="N430" s="16">
        <f>IF($A430="","",IFERROR(SUMIF(tblAnahtarA[Norm],$A430,tblVeriA[HedefNet]),0))</f>
        <v/>
      </c>
      <c r="O430" s="16">
        <f>IF($A430="","",ROUND($K430-$N430,2))</f>
        <v/>
      </c>
      <c r="P430" s="16">
        <f>IF($A430="","",IF($L430&lt;egk_esikKatkiDusuk,"ZAM YAP",IF(AND($R430=1,$L430&lt;egk_esikKatkiHedef),"İNDİRİMİ KES","TUT")))</f>
        <v/>
      </c>
      <c r="Q430" s="16">
        <f>IF($A430="","",IFERROR(SUMIF(tblAnahtarB[NormB],$A430,tblVeriB[Roas]),0))</f>
        <v/>
      </c>
      <c r="R430" s="16">
        <f>IF($A430="","",IF(OR(IFERROR(INDEX(tblVeriA[YorumAB],MATCH($A430,tblAnahtarA[Norm],0)),"")="B",IFERROR(INDEX(tblVeriA[Durum],MATCH($A430,tblAnahtarA[Norm],0)),"")="Kampanya"),1,0))</f>
        <v/>
      </c>
      <c r="S430" s="16">
        <f>IF($A430="","",$J430-$E430)</f>
        <v/>
      </c>
      <c r="T430" s="16">
        <f>IF($A430="","",$K430-$O430)</f>
        <v/>
      </c>
    </row>
    <row r="431">
      <c r="A431" s="16">
        <f>IF('ANAHTAR'!$B431="","",'ANAHTAR'!$B431)</f>
        <v/>
      </c>
      <c r="B431" s="16">
        <f>IF($A431="","",IFERROR(SUMIF(tblAnahtarA[Norm],$A431,tblVeriA[SatisFiyati]),0))</f>
        <v/>
      </c>
      <c r="C431" s="16">
        <f>IF($A431="","",IFERROR(SUMIF(tblAnahtarA[Norm],$A431,tblVeriA[Maliyet]),0))</f>
        <v/>
      </c>
      <c r="D431" s="16">
        <f>IF($A431="","",IFERROR(SUMIF(tblAnahtarB[NormB],$A431,tblVeriB[KomisyonOran]),0))</f>
        <v/>
      </c>
      <c r="E431" s="16">
        <f>IF($A431="","",ROUND($B431*$D431,2))</f>
        <v/>
      </c>
      <c r="F431" s="16">
        <f>IF($A431="","",IFERROR(SUMIF(tblAnahtarB[NormB],$A431,tblVeriB[Kargo]),0))</f>
        <v/>
      </c>
      <c r="G431" s="16">
        <f>IF($A431="","",IFERROR(SUMIF(tblAnahtarB[NormB],$A431,tblVeriB[IadeOran]),0))</f>
        <v/>
      </c>
      <c r="H431" s="16">
        <f>IF($A431="","",ROUND($B431*$G431,2))</f>
        <v/>
      </c>
      <c r="I431" s="16">
        <f>IF($A431="","",IFERROR(SUMIF(tblAnahtarB[NormB],$A431,tblVeriB[ReklamTutar]),0))</f>
        <v/>
      </c>
      <c r="J431" s="16">
        <f>IF($A431="","",ROUND($B431-$C431,2))</f>
        <v/>
      </c>
      <c r="K431" s="16">
        <f>IF($A431="","",ROUND($B431-$C431-$E431-$F431-$H431-$I431,2))</f>
        <v/>
      </c>
      <c r="L431" s="16">
        <f>IF(OR($A431="",$B431=0),0,$K431/$B431)</f>
        <v/>
      </c>
      <c r="M431" s="16">
        <f>IF($A431="","",IF((1-$D431-$G431)&lt;=0,0,ROUND(($C431+$F431+$I431)/(1-$D431-$G431),2)))</f>
        <v/>
      </c>
      <c r="N431" s="16">
        <f>IF($A431="","",IFERROR(SUMIF(tblAnahtarA[Norm],$A431,tblVeriA[HedefNet]),0))</f>
        <v/>
      </c>
      <c r="O431" s="16">
        <f>IF($A431="","",ROUND($K431-$N431,2))</f>
        <v/>
      </c>
      <c r="P431" s="16">
        <f>IF($A431="","",IF($L431&lt;egk_esikKatkiDusuk,"ZAM YAP",IF(AND($R431=1,$L431&lt;egk_esikKatkiHedef),"İNDİRİMİ KES","TUT")))</f>
        <v/>
      </c>
      <c r="Q431" s="16">
        <f>IF($A431="","",IFERROR(SUMIF(tblAnahtarB[NormB],$A431,tblVeriB[Roas]),0))</f>
        <v/>
      </c>
      <c r="R431" s="16">
        <f>IF($A431="","",IF(OR(IFERROR(INDEX(tblVeriA[YorumAB],MATCH($A431,tblAnahtarA[Norm],0)),"")="B",IFERROR(INDEX(tblVeriA[Durum],MATCH($A431,tblAnahtarA[Norm],0)),"")="Kampanya"),1,0))</f>
        <v/>
      </c>
      <c r="S431" s="16">
        <f>IF($A431="","",$J431-$E431)</f>
        <v/>
      </c>
      <c r="T431" s="16">
        <f>IF($A431="","",$K431-$O431)</f>
        <v/>
      </c>
    </row>
    <row r="432">
      <c r="A432" s="16">
        <f>IF('ANAHTAR'!$B432="","",'ANAHTAR'!$B432)</f>
        <v/>
      </c>
      <c r="B432" s="16">
        <f>IF($A432="","",IFERROR(SUMIF(tblAnahtarA[Norm],$A432,tblVeriA[SatisFiyati]),0))</f>
        <v/>
      </c>
      <c r="C432" s="16">
        <f>IF($A432="","",IFERROR(SUMIF(tblAnahtarA[Norm],$A432,tblVeriA[Maliyet]),0))</f>
        <v/>
      </c>
      <c r="D432" s="16">
        <f>IF($A432="","",IFERROR(SUMIF(tblAnahtarB[NormB],$A432,tblVeriB[KomisyonOran]),0))</f>
        <v/>
      </c>
      <c r="E432" s="16">
        <f>IF($A432="","",ROUND($B432*$D432,2))</f>
        <v/>
      </c>
      <c r="F432" s="16">
        <f>IF($A432="","",IFERROR(SUMIF(tblAnahtarB[NormB],$A432,tblVeriB[Kargo]),0))</f>
        <v/>
      </c>
      <c r="G432" s="16">
        <f>IF($A432="","",IFERROR(SUMIF(tblAnahtarB[NormB],$A432,tblVeriB[IadeOran]),0))</f>
        <v/>
      </c>
      <c r="H432" s="16">
        <f>IF($A432="","",ROUND($B432*$G432,2))</f>
        <v/>
      </c>
      <c r="I432" s="16">
        <f>IF($A432="","",IFERROR(SUMIF(tblAnahtarB[NormB],$A432,tblVeriB[ReklamTutar]),0))</f>
        <v/>
      </c>
      <c r="J432" s="16">
        <f>IF($A432="","",ROUND($B432-$C432,2))</f>
        <v/>
      </c>
      <c r="K432" s="16">
        <f>IF($A432="","",ROUND($B432-$C432-$E432-$F432-$H432-$I432,2))</f>
        <v/>
      </c>
      <c r="L432" s="16">
        <f>IF(OR($A432="",$B432=0),0,$K432/$B432)</f>
        <v/>
      </c>
      <c r="M432" s="16">
        <f>IF($A432="","",IF((1-$D432-$G432)&lt;=0,0,ROUND(($C432+$F432+$I432)/(1-$D432-$G432),2)))</f>
        <v/>
      </c>
      <c r="N432" s="16">
        <f>IF($A432="","",IFERROR(SUMIF(tblAnahtarA[Norm],$A432,tblVeriA[HedefNet]),0))</f>
        <v/>
      </c>
      <c r="O432" s="16">
        <f>IF($A432="","",ROUND($K432-$N432,2))</f>
        <v/>
      </c>
      <c r="P432" s="16">
        <f>IF($A432="","",IF($L432&lt;egk_esikKatkiDusuk,"ZAM YAP",IF(AND($R432=1,$L432&lt;egk_esikKatkiHedef),"İNDİRİMİ KES","TUT")))</f>
        <v/>
      </c>
      <c r="Q432" s="16">
        <f>IF($A432="","",IFERROR(SUMIF(tblAnahtarB[NormB],$A432,tblVeriB[Roas]),0))</f>
        <v/>
      </c>
      <c r="R432" s="16">
        <f>IF($A432="","",IF(OR(IFERROR(INDEX(tblVeriA[YorumAB],MATCH($A432,tblAnahtarA[Norm],0)),"")="B",IFERROR(INDEX(tblVeriA[Durum],MATCH($A432,tblAnahtarA[Norm],0)),"")="Kampanya"),1,0))</f>
        <v/>
      </c>
      <c r="S432" s="16">
        <f>IF($A432="","",$J432-$E432)</f>
        <v/>
      </c>
      <c r="T432" s="16">
        <f>IF($A432="","",$K432-$O432)</f>
        <v/>
      </c>
    </row>
    <row r="433">
      <c r="A433" s="16">
        <f>IF('ANAHTAR'!$B433="","",'ANAHTAR'!$B433)</f>
        <v/>
      </c>
      <c r="B433" s="16">
        <f>IF($A433="","",IFERROR(SUMIF(tblAnahtarA[Norm],$A433,tblVeriA[SatisFiyati]),0))</f>
        <v/>
      </c>
      <c r="C433" s="16">
        <f>IF($A433="","",IFERROR(SUMIF(tblAnahtarA[Norm],$A433,tblVeriA[Maliyet]),0))</f>
        <v/>
      </c>
      <c r="D433" s="16">
        <f>IF($A433="","",IFERROR(SUMIF(tblAnahtarB[NormB],$A433,tblVeriB[KomisyonOran]),0))</f>
        <v/>
      </c>
      <c r="E433" s="16">
        <f>IF($A433="","",ROUND($B433*$D433,2))</f>
        <v/>
      </c>
      <c r="F433" s="16">
        <f>IF($A433="","",IFERROR(SUMIF(tblAnahtarB[NormB],$A433,tblVeriB[Kargo]),0))</f>
        <v/>
      </c>
      <c r="G433" s="16">
        <f>IF($A433="","",IFERROR(SUMIF(tblAnahtarB[NormB],$A433,tblVeriB[IadeOran]),0))</f>
        <v/>
      </c>
      <c r="H433" s="16">
        <f>IF($A433="","",ROUND($B433*$G433,2))</f>
        <v/>
      </c>
      <c r="I433" s="16">
        <f>IF($A433="","",IFERROR(SUMIF(tblAnahtarB[NormB],$A433,tblVeriB[ReklamTutar]),0))</f>
        <v/>
      </c>
      <c r="J433" s="16">
        <f>IF($A433="","",ROUND($B433-$C433,2))</f>
        <v/>
      </c>
      <c r="K433" s="16">
        <f>IF($A433="","",ROUND($B433-$C433-$E433-$F433-$H433-$I433,2))</f>
        <v/>
      </c>
      <c r="L433" s="16">
        <f>IF(OR($A433="",$B433=0),0,$K433/$B433)</f>
        <v/>
      </c>
      <c r="M433" s="16">
        <f>IF($A433="","",IF((1-$D433-$G433)&lt;=0,0,ROUND(($C433+$F433+$I433)/(1-$D433-$G433),2)))</f>
        <v/>
      </c>
      <c r="N433" s="16">
        <f>IF($A433="","",IFERROR(SUMIF(tblAnahtarA[Norm],$A433,tblVeriA[HedefNet]),0))</f>
        <v/>
      </c>
      <c r="O433" s="16">
        <f>IF($A433="","",ROUND($K433-$N433,2))</f>
        <v/>
      </c>
      <c r="P433" s="16">
        <f>IF($A433="","",IF($L433&lt;egk_esikKatkiDusuk,"ZAM YAP",IF(AND($R433=1,$L433&lt;egk_esikKatkiHedef),"İNDİRİMİ KES","TUT")))</f>
        <v/>
      </c>
      <c r="Q433" s="16">
        <f>IF($A433="","",IFERROR(SUMIF(tblAnahtarB[NormB],$A433,tblVeriB[Roas]),0))</f>
        <v/>
      </c>
      <c r="R433" s="16">
        <f>IF($A433="","",IF(OR(IFERROR(INDEX(tblVeriA[YorumAB],MATCH($A433,tblAnahtarA[Norm],0)),"")="B",IFERROR(INDEX(tblVeriA[Durum],MATCH($A433,tblAnahtarA[Norm],0)),"")="Kampanya"),1,0))</f>
        <v/>
      </c>
      <c r="S433" s="16">
        <f>IF($A433="","",$J433-$E433)</f>
        <v/>
      </c>
      <c r="T433" s="16">
        <f>IF($A433="","",$K433-$O433)</f>
        <v/>
      </c>
    </row>
    <row r="434">
      <c r="A434" s="16">
        <f>IF('ANAHTAR'!$B434="","",'ANAHTAR'!$B434)</f>
        <v/>
      </c>
      <c r="B434" s="16">
        <f>IF($A434="","",IFERROR(SUMIF(tblAnahtarA[Norm],$A434,tblVeriA[SatisFiyati]),0))</f>
        <v/>
      </c>
      <c r="C434" s="16">
        <f>IF($A434="","",IFERROR(SUMIF(tblAnahtarA[Norm],$A434,tblVeriA[Maliyet]),0))</f>
        <v/>
      </c>
      <c r="D434" s="16">
        <f>IF($A434="","",IFERROR(SUMIF(tblAnahtarB[NormB],$A434,tblVeriB[KomisyonOran]),0))</f>
        <v/>
      </c>
      <c r="E434" s="16">
        <f>IF($A434="","",ROUND($B434*$D434,2))</f>
        <v/>
      </c>
      <c r="F434" s="16">
        <f>IF($A434="","",IFERROR(SUMIF(tblAnahtarB[NormB],$A434,tblVeriB[Kargo]),0))</f>
        <v/>
      </c>
      <c r="G434" s="16">
        <f>IF($A434="","",IFERROR(SUMIF(tblAnahtarB[NormB],$A434,tblVeriB[IadeOran]),0))</f>
        <v/>
      </c>
      <c r="H434" s="16">
        <f>IF($A434="","",ROUND($B434*$G434,2))</f>
        <v/>
      </c>
      <c r="I434" s="16">
        <f>IF($A434="","",IFERROR(SUMIF(tblAnahtarB[NormB],$A434,tblVeriB[ReklamTutar]),0))</f>
        <v/>
      </c>
      <c r="J434" s="16">
        <f>IF($A434="","",ROUND($B434-$C434,2))</f>
        <v/>
      </c>
      <c r="K434" s="16">
        <f>IF($A434="","",ROUND($B434-$C434-$E434-$F434-$H434-$I434,2))</f>
        <v/>
      </c>
      <c r="L434" s="16">
        <f>IF(OR($A434="",$B434=0),0,$K434/$B434)</f>
        <v/>
      </c>
      <c r="M434" s="16">
        <f>IF($A434="","",IF((1-$D434-$G434)&lt;=0,0,ROUND(($C434+$F434+$I434)/(1-$D434-$G434),2)))</f>
        <v/>
      </c>
      <c r="N434" s="16">
        <f>IF($A434="","",IFERROR(SUMIF(tblAnahtarA[Norm],$A434,tblVeriA[HedefNet]),0))</f>
        <v/>
      </c>
      <c r="O434" s="16">
        <f>IF($A434="","",ROUND($K434-$N434,2))</f>
        <v/>
      </c>
      <c r="P434" s="16">
        <f>IF($A434="","",IF($L434&lt;egk_esikKatkiDusuk,"ZAM YAP",IF(AND($R434=1,$L434&lt;egk_esikKatkiHedef),"İNDİRİMİ KES","TUT")))</f>
        <v/>
      </c>
      <c r="Q434" s="16">
        <f>IF($A434="","",IFERROR(SUMIF(tblAnahtarB[NormB],$A434,tblVeriB[Roas]),0))</f>
        <v/>
      </c>
      <c r="R434" s="16">
        <f>IF($A434="","",IF(OR(IFERROR(INDEX(tblVeriA[YorumAB],MATCH($A434,tblAnahtarA[Norm],0)),"")="B",IFERROR(INDEX(tblVeriA[Durum],MATCH($A434,tblAnahtarA[Norm],0)),"")="Kampanya"),1,0))</f>
        <v/>
      </c>
      <c r="S434" s="16">
        <f>IF($A434="","",$J434-$E434)</f>
        <v/>
      </c>
      <c r="T434" s="16">
        <f>IF($A434="","",$K434-$O434)</f>
        <v/>
      </c>
    </row>
    <row r="435">
      <c r="A435" s="16">
        <f>IF('ANAHTAR'!$B435="","",'ANAHTAR'!$B435)</f>
        <v/>
      </c>
      <c r="B435" s="16">
        <f>IF($A435="","",IFERROR(SUMIF(tblAnahtarA[Norm],$A435,tblVeriA[SatisFiyati]),0))</f>
        <v/>
      </c>
      <c r="C435" s="16">
        <f>IF($A435="","",IFERROR(SUMIF(tblAnahtarA[Norm],$A435,tblVeriA[Maliyet]),0))</f>
        <v/>
      </c>
      <c r="D435" s="16">
        <f>IF($A435="","",IFERROR(SUMIF(tblAnahtarB[NormB],$A435,tblVeriB[KomisyonOran]),0))</f>
        <v/>
      </c>
      <c r="E435" s="16">
        <f>IF($A435="","",ROUND($B435*$D435,2))</f>
        <v/>
      </c>
      <c r="F435" s="16">
        <f>IF($A435="","",IFERROR(SUMIF(tblAnahtarB[NormB],$A435,tblVeriB[Kargo]),0))</f>
        <v/>
      </c>
      <c r="G435" s="16">
        <f>IF($A435="","",IFERROR(SUMIF(tblAnahtarB[NormB],$A435,tblVeriB[IadeOran]),0))</f>
        <v/>
      </c>
      <c r="H435" s="16">
        <f>IF($A435="","",ROUND($B435*$G435,2))</f>
        <v/>
      </c>
      <c r="I435" s="16">
        <f>IF($A435="","",IFERROR(SUMIF(tblAnahtarB[NormB],$A435,tblVeriB[ReklamTutar]),0))</f>
        <v/>
      </c>
      <c r="J435" s="16">
        <f>IF($A435="","",ROUND($B435-$C435,2))</f>
        <v/>
      </c>
      <c r="K435" s="16">
        <f>IF($A435="","",ROUND($B435-$C435-$E435-$F435-$H435-$I435,2))</f>
        <v/>
      </c>
      <c r="L435" s="16">
        <f>IF(OR($A435="",$B435=0),0,$K435/$B435)</f>
        <v/>
      </c>
      <c r="M435" s="16">
        <f>IF($A435="","",IF((1-$D435-$G435)&lt;=0,0,ROUND(($C435+$F435+$I435)/(1-$D435-$G435),2)))</f>
        <v/>
      </c>
      <c r="N435" s="16">
        <f>IF($A435="","",IFERROR(SUMIF(tblAnahtarA[Norm],$A435,tblVeriA[HedefNet]),0))</f>
        <v/>
      </c>
      <c r="O435" s="16">
        <f>IF($A435="","",ROUND($K435-$N435,2))</f>
        <v/>
      </c>
      <c r="P435" s="16">
        <f>IF($A435="","",IF($L435&lt;egk_esikKatkiDusuk,"ZAM YAP",IF(AND($R435=1,$L435&lt;egk_esikKatkiHedef),"İNDİRİMİ KES","TUT")))</f>
        <v/>
      </c>
      <c r="Q435" s="16">
        <f>IF($A435="","",IFERROR(SUMIF(tblAnahtarB[NormB],$A435,tblVeriB[Roas]),0))</f>
        <v/>
      </c>
      <c r="R435" s="16">
        <f>IF($A435="","",IF(OR(IFERROR(INDEX(tblVeriA[YorumAB],MATCH($A435,tblAnahtarA[Norm],0)),"")="B",IFERROR(INDEX(tblVeriA[Durum],MATCH($A435,tblAnahtarA[Norm],0)),"")="Kampanya"),1,0))</f>
        <v/>
      </c>
      <c r="S435" s="16">
        <f>IF($A435="","",$J435-$E435)</f>
        <v/>
      </c>
      <c r="T435" s="16">
        <f>IF($A435="","",$K435-$O435)</f>
        <v/>
      </c>
    </row>
    <row r="436">
      <c r="A436" s="16">
        <f>IF('ANAHTAR'!$B436="","",'ANAHTAR'!$B436)</f>
        <v/>
      </c>
      <c r="B436" s="16">
        <f>IF($A436="","",IFERROR(SUMIF(tblAnahtarA[Norm],$A436,tblVeriA[SatisFiyati]),0))</f>
        <v/>
      </c>
      <c r="C436" s="16">
        <f>IF($A436="","",IFERROR(SUMIF(tblAnahtarA[Norm],$A436,tblVeriA[Maliyet]),0))</f>
        <v/>
      </c>
      <c r="D436" s="16">
        <f>IF($A436="","",IFERROR(SUMIF(tblAnahtarB[NormB],$A436,tblVeriB[KomisyonOran]),0))</f>
        <v/>
      </c>
      <c r="E436" s="16">
        <f>IF($A436="","",ROUND($B436*$D436,2))</f>
        <v/>
      </c>
      <c r="F436" s="16">
        <f>IF($A436="","",IFERROR(SUMIF(tblAnahtarB[NormB],$A436,tblVeriB[Kargo]),0))</f>
        <v/>
      </c>
      <c r="G436" s="16">
        <f>IF($A436="","",IFERROR(SUMIF(tblAnahtarB[NormB],$A436,tblVeriB[IadeOran]),0))</f>
        <v/>
      </c>
      <c r="H436" s="16">
        <f>IF($A436="","",ROUND($B436*$G436,2))</f>
        <v/>
      </c>
      <c r="I436" s="16">
        <f>IF($A436="","",IFERROR(SUMIF(tblAnahtarB[NormB],$A436,tblVeriB[ReklamTutar]),0))</f>
        <v/>
      </c>
      <c r="J436" s="16">
        <f>IF($A436="","",ROUND($B436-$C436,2))</f>
        <v/>
      </c>
      <c r="K436" s="16">
        <f>IF($A436="","",ROUND($B436-$C436-$E436-$F436-$H436-$I436,2))</f>
        <v/>
      </c>
      <c r="L436" s="16">
        <f>IF(OR($A436="",$B436=0),0,$K436/$B436)</f>
        <v/>
      </c>
      <c r="M436" s="16">
        <f>IF($A436="","",IF((1-$D436-$G436)&lt;=0,0,ROUND(($C436+$F436+$I436)/(1-$D436-$G436),2)))</f>
        <v/>
      </c>
      <c r="N436" s="16">
        <f>IF($A436="","",IFERROR(SUMIF(tblAnahtarA[Norm],$A436,tblVeriA[HedefNet]),0))</f>
        <v/>
      </c>
      <c r="O436" s="16">
        <f>IF($A436="","",ROUND($K436-$N436,2))</f>
        <v/>
      </c>
      <c r="P436" s="16">
        <f>IF($A436="","",IF($L436&lt;egk_esikKatkiDusuk,"ZAM YAP",IF(AND($R436=1,$L436&lt;egk_esikKatkiHedef),"İNDİRİMİ KES","TUT")))</f>
        <v/>
      </c>
      <c r="Q436" s="16">
        <f>IF($A436="","",IFERROR(SUMIF(tblAnahtarB[NormB],$A436,tblVeriB[Roas]),0))</f>
        <v/>
      </c>
      <c r="R436" s="16">
        <f>IF($A436="","",IF(OR(IFERROR(INDEX(tblVeriA[YorumAB],MATCH($A436,tblAnahtarA[Norm],0)),"")="B",IFERROR(INDEX(tblVeriA[Durum],MATCH($A436,tblAnahtarA[Norm],0)),"")="Kampanya"),1,0))</f>
        <v/>
      </c>
      <c r="S436" s="16">
        <f>IF($A436="","",$J436-$E436)</f>
        <v/>
      </c>
      <c r="T436" s="16">
        <f>IF($A436="","",$K436-$O436)</f>
        <v/>
      </c>
    </row>
    <row r="437">
      <c r="A437" s="16">
        <f>IF('ANAHTAR'!$B437="","",'ANAHTAR'!$B437)</f>
        <v/>
      </c>
      <c r="B437" s="16">
        <f>IF($A437="","",IFERROR(SUMIF(tblAnahtarA[Norm],$A437,tblVeriA[SatisFiyati]),0))</f>
        <v/>
      </c>
      <c r="C437" s="16">
        <f>IF($A437="","",IFERROR(SUMIF(tblAnahtarA[Norm],$A437,tblVeriA[Maliyet]),0))</f>
        <v/>
      </c>
      <c r="D437" s="16">
        <f>IF($A437="","",IFERROR(SUMIF(tblAnahtarB[NormB],$A437,tblVeriB[KomisyonOran]),0))</f>
        <v/>
      </c>
      <c r="E437" s="16">
        <f>IF($A437="","",ROUND($B437*$D437,2))</f>
        <v/>
      </c>
      <c r="F437" s="16">
        <f>IF($A437="","",IFERROR(SUMIF(tblAnahtarB[NormB],$A437,tblVeriB[Kargo]),0))</f>
        <v/>
      </c>
      <c r="G437" s="16">
        <f>IF($A437="","",IFERROR(SUMIF(tblAnahtarB[NormB],$A437,tblVeriB[IadeOran]),0))</f>
        <v/>
      </c>
      <c r="H437" s="16">
        <f>IF($A437="","",ROUND($B437*$G437,2))</f>
        <v/>
      </c>
      <c r="I437" s="16">
        <f>IF($A437="","",IFERROR(SUMIF(tblAnahtarB[NormB],$A437,tblVeriB[ReklamTutar]),0))</f>
        <v/>
      </c>
      <c r="J437" s="16">
        <f>IF($A437="","",ROUND($B437-$C437,2))</f>
        <v/>
      </c>
      <c r="K437" s="16">
        <f>IF($A437="","",ROUND($B437-$C437-$E437-$F437-$H437-$I437,2))</f>
        <v/>
      </c>
      <c r="L437" s="16">
        <f>IF(OR($A437="",$B437=0),0,$K437/$B437)</f>
        <v/>
      </c>
      <c r="M437" s="16">
        <f>IF($A437="","",IF((1-$D437-$G437)&lt;=0,0,ROUND(($C437+$F437+$I437)/(1-$D437-$G437),2)))</f>
        <v/>
      </c>
      <c r="N437" s="16">
        <f>IF($A437="","",IFERROR(SUMIF(tblAnahtarA[Norm],$A437,tblVeriA[HedefNet]),0))</f>
        <v/>
      </c>
      <c r="O437" s="16">
        <f>IF($A437="","",ROUND($K437-$N437,2))</f>
        <v/>
      </c>
      <c r="P437" s="16">
        <f>IF($A437="","",IF($L437&lt;egk_esikKatkiDusuk,"ZAM YAP",IF(AND($R437=1,$L437&lt;egk_esikKatkiHedef),"İNDİRİMİ KES","TUT")))</f>
        <v/>
      </c>
      <c r="Q437" s="16">
        <f>IF($A437="","",IFERROR(SUMIF(tblAnahtarB[NormB],$A437,tblVeriB[Roas]),0))</f>
        <v/>
      </c>
      <c r="R437" s="16">
        <f>IF($A437="","",IF(OR(IFERROR(INDEX(tblVeriA[YorumAB],MATCH($A437,tblAnahtarA[Norm],0)),"")="B",IFERROR(INDEX(tblVeriA[Durum],MATCH($A437,tblAnahtarA[Norm],0)),"")="Kampanya"),1,0))</f>
        <v/>
      </c>
      <c r="S437" s="16">
        <f>IF($A437="","",$J437-$E437)</f>
        <v/>
      </c>
      <c r="T437" s="16">
        <f>IF($A437="","",$K437-$O437)</f>
        <v/>
      </c>
    </row>
    <row r="438">
      <c r="A438" s="16">
        <f>IF('ANAHTAR'!$B438="","",'ANAHTAR'!$B438)</f>
        <v/>
      </c>
      <c r="B438" s="16">
        <f>IF($A438="","",IFERROR(SUMIF(tblAnahtarA[Norm],$A438,tblVeriA[SatisFiyati]),0))</f>
        <v/>
      </c>
      <c r="C438" s="16">
        <f>IF($A438="","",IFERROR(SUMIF(tblAnahtarA[Norm],$A438,tblVeriA[Maliyet]),0))</f>
        <v/>
      </c>
      <c r="D438" s="16">
        <f>IF($A438="","",IFERROR(SUMIF(tblAnahtarB[NormB],$A438,tblVeriB[KomisyonOran]),0))</f>
        <v/>
      </c>
      <c r="E438" s="16">
        <f>IF($A438="","",ROUND($B438*$D438,2))</f>
        <v/>
      </c>
      <c r="F438" s="16">
        <f>IF($A438="","",IFERROR(SUMIF(tblAnahtarB[NormB],$A438,tblVeriB[Kargo]),0))</f>
        <v/>
      </c>
      <c r="G438" s="16">
        <f>IF($A438="","",IFERROR(SUMIF(tblAnahtarB[NormB],$A438,tblVeriB[IadeOran]),0))</f>
        <v/>
      </c>
      <c r="H438" s="16">
        <f>IF($A438="","",ROUND($B438*$G438,2))</f>
        <v/>
      </c>
      <c r="I438" s="16">
        <f>IF($A438="","",IFERROR(SUMIF(tblAnahtarB[NormB],$A438,tblVeriB[ReklamTutar]),0))</f>
        <v/>
      </c>
      <c r="J438" s="16">
        <f>IF($A438="","",ROUND($B438-$C438,2))</f>
        <v/>
      </c>
      <c r="K438" s="16">
        <f>IF($A438="","",ROUND($B438-$C438-$E438-$F438-$H438-$I438,2))</f>
        <v/>
      </c>
      <c r="L438" s="16">
        <f>IF(OR($A438="",$B438=0),0,$K438/$B438)</f>
        <v/>
      </c>
      <c r="M438" s="16">
        <f>IF($A438="","",IF((1-$D438-$G438)&lt;=0,0,ROUND(($C438+$F438+$I438)/(1-$D438-$G438),2)))</f>
        <v/>
      </c>
      <c r="N438" s="16">
        <f>IF($A438="","",IFERROR(SUMIF(tblAnahtarA[Norm],$A438,tblVeriA[HedefNet]),0))</f>
        <v/>
      </c>
      <c r="O438" s="16">
        <f>IF($A438="","",ROUND($K438-$N438,2))</f>
        <v/>
      </c>
      <c r="P438" s="16">
        <f>IF($A438="","",IF($L438&lt;egk_esikKatkiDusuk,"ZAM YAP",IF(AND($R438=1,$L438&lt;egk_esikKatkiHedef),"İNDİRİMİ KES","TUT")))</f>
        <v/>
      </c>
      <c r="Q438" s="16">
        <f>IF($A438="","",IFERROR(SUMIF(tblAnahtarB[NormB],$A438,tblVeriB[Roas]),0))</f>
        <v/>
      </c>
      <c r="R438" s="16">
        <f>IF($A438="","",IF(OR(IFERROR(INDEX(tblVeriA[YorumAB],MATCH($A438,tblAnahtarA[Norm],0)),"")="B",IFERROR(INDEX(tblVeriA[Durum],MATCH($A438,tblAnahtarA[Norm],0)),"")="Kampanya"),1,0))</f>
        <v/>
      </c>
      <c r="S438" s="16">
        <f>IF($A438="","",$J438-$E438)</f>
        <v/>
      </c>
      <c r="T438" s="16">
        <f>IF($A438="","",$K438-$O438)</f>
        <v/>
      </c>
    </row>
    <row r="439">
      <c r="A439" s="16">
        <f>IF('ANAHTAR'!$B439="","",'ANAHTAR'!$B439)</f>
        <v/>
      </c>
      <c r="B439" s="16">
        <f>IF($A439="","",IFERROR(SUMIF(tblAnahtarA[Norm],$A439,tblVeriA[SatisFiyati]),0))</f>
        <v/>
      </c>
      <c r="C439" s="16">
        <f>IF($A439="","",IFERROR(SUMIF(tblAnahtarA[Norm],$A439,tblVeriA[Maliyet]),0))</f>
        <v/>
      </c>
      <c r="D439" s="16">
        <f>IF($A439="","",IFERROR(SUMIF(tblAnahtarB[NormB],$A439,tblVeriB[KomisyonOran]),0))</f>
        <v/>
      </c>
      <c r="E439" s="16">
        <f>IF($A439="","",ROUND($B439*$D439,2))</f>
        <v/>
      </c>
      <c r="F439" s="16">
        <f>IF($A439="","",IFERROR(SUMIF(tblAnahtarB[NormB],$A439,tblVeriB[Kargo]),0))</f>
        <v/>
      </c>
      <c r="G439" s="16">
        <f>IF($A439="","",IFERROR(SUMIF(tblAnahtarB[NormB],$A439,tblVeriB[IadeOran]),0))</f>
        <v/>
      </c>
      <c r="H439" s="16">
        <f>IF($A439="","",ROUND($B439*$G439,2))</f>
        <v/>
      </c>
      <c r="I439" s="16">
        <f>IF($A439="","",IFERROR(SUMIF(tblAnahtarB[NormB],$A439,tblVeriB[ReklamTutar]),0))</f>
        <v/>
      </c>
      <c r="J439" s="16">
        <f>IF($A439="","",ROUND($B439-$C439,2))</f>
        <v/>
      </c>
      <c r="K439" s="16">
        <f>IF($A439="","",ROUND($B439-$C439-$E439-$F439-$H439-$I439,2))</f>
        <v/>
      </c>
      <c r="L439" s="16">
        <f>IF(OR($A439="",$B439=0),0,$K439/$B439)</f>
        <v/>
      </c>
      <c r="M439" s="16">
        <f>IF($A439="","",IF((1-$D439-$G439)&lt;=0,0,ROUND(($C439+$F439+$I439)/(1-$D439-$G439),2)))</f>
        <v/>
      </c>
      <c r="N439" s="16">
        <f>IF($A439="","",IFERROR(SUMIF(tblAnahtarA[Norm],$A439,tblVeriA[HedefNet]),0))</f>
        <v/>
      </c>
      <c r="O439" s="16">
        <f>IF($A439="","",ROUND($K439-$N439,2))</f>
        <v/>
      </c>
      <c r="P439" s="16">
        <f>IF($A439="","",IF($L439&lt;egk_esikKatkiDusuk,"ZAM YAP",IF(AND($R439=1,$L439&lt;egk_esikKatkiHedef),"İNDİRİMİ KES","TUT")))</f>
        <v/>
      </c>
      <c r="Q439" s="16">
        <f>IF($A439="","",IFERROR(SUMIF(tblAnahtarB[NormB],$A439,tblVeriB[Roas]),0))</f>
        <v/>
      </c>
      <c r="R439" s="16">
        <f>IF($A439="","",IF(OR(IFERROR(INDEX(tblVeriA[YorumAB],MATCH($A439,tblAnahtarA[Norm],0)),"")="B",IFERROR(INDEX(tblVeriA[Durum],MATCH($A439,tblAnahtarA[Norm],0)),"")="Kampanya"),1,0))</f>
        <v/>
      </c>
      <c r="S439" s="16">
        <f>IF($A439="","",$J439-$E439)</f>
        <v/>
      </c>
      <c r="T439" s="16">
        <f>IF($A439="","",$K439-$O439)</f>
        <v/>
      </c>
    </row>
    <row r="440">
      <c r="A440" s="16">
        <f>IF('ANAHTAR'!$B440="","",'ANAHTAR'!$B440)</f>
        <v/>
      </c>
      <c r="B440" s="16">
        <f>IF($A440="","",IFERROR(SUMIF(tblAnahtarA[Norm],$A440,tblVeriA[SatisFiyati]),0))</f>
        <v/>
      </c>
      <c r="C440" s="16">
        <f>IF($A440="","",IFERROR(SUMIF(tblAnahtarA[Norm],$A440,tblVeriA[Maliyet]),0))</f>
        <v/>
      </c>
      <c r="D440" s="16">
        <f>IF($A440="","",IFERROR(SUMIF(tblAnahtarB[NormB],$A440,tblVeriB[KomisyonOran]),0))</f>
        <v/>
      </c>
      <c r="E440" s="16">
        <f>IF($A440="","",ROUND($B440*$D440,2))</f>
        <v/>
      </c>
      <c r="F440" s="16">
        <f>IF($A440="","",IFERROR(SUMIF(tblAnahtarB[NormB],$A440,tblVeriB[Kargo]),0))</f>
        <v/>
      </c>
      <c r="G440" s="16">
        <f>IF($A440="","",IFERROR(SUMIF(tblAnahtarB[NormB],$A440,tblVeriB[IadeOran]),0))</f>
        <v/>
      </c>
      <c r="H440" s="16">
        <f>IF($A440="","",ROUND($B440*$G440,2))</f>
        <v/>
      </c>
      <c r="I440" s="16">
        <f>IF($A440="","",IFERROR(SUMIF(tblAnahtarB[NormB],$A440,tblVeriB[ReklamTutar]),0))</f>
        <v/>
      </c>
      <c r="J440" s="16">
        <f>IF($A440="","",ROUND($B440-$C440,2))</f>
        <v/>
      </c>
      <c r="K440" s="16">
        <f>IF($A440="","",ROUND($B440-$C440-$E440-$F440-$H440-$I440,2))</f>
        <v/>
      </c>
      <c r="L440" s="16">
        <f>IF(OR($A440="",$B440=0),0,$K440/$B440)</f>
        <v/>
      </c>
      <c r="M440" s="16">
        <f>IF($A440="","",IF((1-$D440-$G440)&lt;=0,0,ROUND(($C440+$F440+$I440)/(1-$D440-$G440),2)))</f>
        <v/>
      </c>
      <c r="N440" s="16">
        <f>IF($A440="","",IFERROR(SUMIF(tblAnahtarA[Norm],$A440,tblVeriA[HedefNet]),0))</f>
        <v/>
      </c>
      <c r="O440" s="16">
        <f>IF($A440="","",ROUND($K440-$N440,2))</f>
        <v/>
      </c>
      <c r="P440" s="16">
        <f>IF($A440="","",IF($L440&lt;egk_esikKatkiDusuk,"ZAM YAP",IF(AND($R440=1,$L440&lt;egk_esikKatkiHedef),"İNDİRİMİ KES","TUT")))</f>
        <v/>
      </c>
      <c r="Q440" s="16">
        <f>IF($A440="","",IFERROR(SUMIF(tblAnahtarB[NormB],$A440,tblVeriB[Roas]),0))</f>
        <v/>
      </c>
      <c r="R440" s="16">
        <f>IF($A440="","",IF(OR(IFERROR(INDEX(tblVeriA[YorumAB],MATCH($A440,tblAnahtarA[Norm],0)),"")="B",IFERROR(INDEX(tblVeriA[Durum],MATCH($A440,tblAnahtarA[Norm],0)),"")="Kampanya"),1,0))</f>
        <v/>
      </c>
      <c r="S440" s="16">
        <f>IF($A440="","",$J440-$E440)</f>
        <v/>
      </c>
      <c r="T440" s="16">
        <f>IF($A440="","",$K440-$O440)</f>
        <v/>
      </c>
    </row>
    <row r="441">
      <c r="A441" s="16">
        <f>IF('ANAHTAR'!$B441="","",'ANAHTAR'!$B441)</f>
        <v/>
      </c>
      <c r="B441" s="16">
        <f>IF($A441="","",IFERROR(SUMIF(tblAnahtarA[Norm],$A441,tblVeriA[SatisFiyati]),0))</f>
        <v/>
      </c>
      <c r="C441" s="16">
        <f>IF($A441="","",IFERROR(SUMIF(tblAnahtarA[Norm],$A441,tblVeriA[Maliyet]),0))</f>
        <v/>
      </c>
      <c r="D441" s="16">
        <f>IF($A441="","",IFERROR(SUMIF(tblAnahtarB[NormB],$A441,tblVeriB[KomisyonOran]),0))</f>
        <v/>
      </c>
      <c r="E441" s="16">
        <f>IF($A441="","",ROUND($B441*$D441,2))</f>
        <v/>
      </c>
      <c r="F441" s="16">
        <f>IF($A441="","",IFERROR(SUMIF(tblAnahtarB[NormB],$A441,tblVeriB[Kargo]),0))</f>
        <v/>
      </c>
      <c r="G441" s="16">
        <f>IF($A441="","",IFERROR(SUMIF(tblAnahtarB[NormB],$A441,tblVeriB[IadeOran]),0))</f>
        <v/>
      </c>
      <c r="H441" s="16">
        <f>IF($A441="","",ROUND($B441*$G441,2))</f>
        <v/>
      </c>
      <c r="I441" s="16">
        <f>IF($A441="","",IFERROR(SUMIF(tblAnahtarB[NormB],$A441,tblVeriB[ReklamTutar]),0))</f>
        <v/>
      </c>
      <c r="J441" s="16">
        <f>IF($A441="","",ROUND($B441-$C441,2))</f>
        <v/>
      </c>
      <c r="K441" s="16">
        <f>IF($A441="","",ROUND($B441-$C441-$E441-$F441-$H441-$I441,2))</f>
        <v/>
      </c>
      <c r="L441" s="16">
        <f>IF(OR($A441="",$B441=0),0,$K441/$B441)</f>
        <v/>
      </c>
      <c r="M441" s="16">
        <f>IF($A441="","",IF((1-$D441-$G441)&lt;=0,0,ROUND(($C441+$F441+$I441)/(1-$D441-$G441),2)))</f>
        <v/>
      </c>
      <c r="N441" s="16">
        <f>IF($A441="","",IFERROR(SUMIF(tblAnahtarA[Norm],$A441,tblVeriA[HedefNet]),0))</f>
        <v/>
      </c>
      <c r="O441" s="16">
        <f>IF($A441="","",ROUND($K441-$N441,2))</f>
        <v/>
      </c>
      <c r="P441" s="16">
        <f>IF($A441="","",IF($L441&lt;egk_esikKatkiDusuk,"ZAM YAP",IF(AND($R441=1,$L441&lt;egk_esikKatkiHedef),"İNDİRİMİ KES","TUT")))</f>
        <v/>
      </c>
      <c r="Q441" s="16">
        <f>IF($A441="","",IFERROR(SUMIF(tblAnahtarB[NormB],$A441,tblVeriB[Roas]),0))</f>
        <v/>
      </c>
      <c r="R441" s="16">
        <f>IF($A441="","",IF(OR(IFERROR(INDEX(tblVeriA[YorumAB],MATCH($A441,tblAnahtarA[Norm],0)),"")="B",IFERROR(INDEX(tblVeriA[Durum],MATCH($A441,tblAnahtarA[Norm],0)),"")="Kampanya"),1,0))</f>
        <v/>
      </c>
      <c r="S441" s="16">
        <f>IF($A441="","",$J441-$E441)</f>
        <v/>
      </c>
      <c r="T441" s="16">
        <f>IF($A441="","",$K441-$O441)</f>
        <v/>
      </c>
    </row>
    <row r="442">
      <c r="A442" s="16">
        <f>IF('ANAHTAR'!$B442="","",'ANAHTAR'!$B442)</f>
        <v/>
      </c>
      <c r="B442" s="16">
        <f>IF($A442="","",IFERROR(SUMIF(tblAnahtarA[Norm],$A442,tblVeriA[SatisFiyati]),0))</f>
        <v/>
      </c>
      <c r="C442" s="16">
        <f>IF($A442="","",IFERROR(SUMIF(tblAnahtarA[Norm],$A442,tblVeriA[Maliyet]),0))</f>
        <v/>
      </c>
      <c r="D442" s="16">
        <f>IF($A442="","",IFERROR(SUMIF(tblAnahtarB[NormB],$A442,tblVeriB[KomisyonOran]),0))</f>
        <v/>
      </c>
      <c r="E442" s="16">
        <f>IF($A442="","",ROUND($B442*$D442,2))</f>
        <v/>
      </c>
      <c r="F442" s="16">
        <f>IF($A442="","",IFERROR(SUMIF(tblAnahtarB[NormB],$A442,tblVeriB[Kargo]),0))</f>
        <v/>
      </c>
      <c r="G442" s="16">
        <f>IF($A442="","",IFERROR(SUMIF(tblAnahtarB[NormB],$A442,tblVeriB[IadeOran]),0))</f>
        <v/>
      </c>
      <c r="H442" s="16">
        <f>IF($A442="","",ROUND($B442*$G442,2))</f>
        <v/>
      </c>
      <c r="I442" s="16">
        <f>IF($A442="","",IFERROR(SUMIF(tblAnahtarB[NormB],$A442,tblVeriB[ReklamTutar]),0))</f>
        <v/>
      </c>
      <c r="J442" s="16">
        <f>IF($A442="","",ROUND($B442-$C442,2))</f>
        <v/>
      </c>
      <c r="K442" s="16">
        <f>IF($A442="","",ROUND($B442-$C442-$E442-$F442-$H442-$I442,2))</f>
        <v/>
      </c>
      <c r="L442" s="16">
        <f>IF(OR($A442="",$B442=0),0,$K442/$B442)</f>
        <v/>
      </c>
      <c r="M442" s="16">
        <f>IF($A442="","",IF((1-$D442-$G442)&lt;=0,0,ROUND(($C442+$F442+$I442)/(1-$D442-$G442),2)))</f>
        <v/>
      </c>
      <c r="N442" s="16">
        <f>IF($A442="","",IFERROR(SUMIF(tblAnahtarA[Norm],$A442,tblVeriA[HedefNet]),0))</f>
        <v/>
      </c>
      <c r="O442" s="16">
        <f>IF($A442="","",ROUND($K442-$N442,2))</f>
        <v/>
      </c>
      <c r="P442" s="16">
        <f>IF($A442="","",IF($L442&lt;egk_esikKatkiDusuk,"ZAM YAP",IF(AND($R442=1,$L442&lt;egk_esikKatkiHedef),"İNDİRİMİ KES","TUT")))</f>
        <v/>
      </c>
      <c r="Q442" s="16">
        <f>IF($A442="","",IFERROR(SUMIF(tblAnahtarB[NormB],$A442,tblVeriB[Roas]),0))</f>
        <v/>
      </c>
      <c r="R442" s="16">
        <f>IF($A442="","",IF(OR(IFERROR(INDEX(tblVeriA[YorumAB],MATCH($A442,tblAnahtarA[Norm],0)),"")="B",IFERROR(INDEX(tblVeriA[Durum],MATCH($A442,tblAnahtarA[Norm],0)),"")="Kampanya"),1,0))</f>
        <v/>
      </c>
      <c r="S442" s="16">
        <f>IF($A442="","",$J442-$E442)</f>
        <v/>
      </c>
      <c r="T442" s="16">
        <f>IF($A442="","",$K442-$O442)</f>
        <v/>
      </c>
    </row>
    <row r="443">
      <c r="A443" s="16">
        <f>IF('ANAHTAR'!$B443="","",'ANAHTAR'!$B443)</f>
        <v/>
      </c>
      <c r="B443" s="16">
        <f>IF($A443="","",IFERROR(SUMIF(tblAnahtarA[Norm],$A443,tblVeriA[SatisFiyati]),0))</f>
        <v/>
      </c>
      <c r="C443" s="16">
        <f>IF($A443="","",IFERROR(SUMIF(tblAnahtarA[Norm],$A443,tblVeriA[Maliyet]),0))</f>
        <v/>
      </c>
      <c r="D443" s="16">
        <f>IF($A443="","",IFERROR(SUMIF(tblAnahtarB[NormB],$A443,tblVeriB[KomisyonOran]),0))</f>
        <v/>
      </c>
      <c r="E443" s="16">
        <f>IF($A443="","",ROUND($B443*$D443,2))</f>
        <v/>
      </c>
      <c r="F443" s="16">
        <f>IF($A443="","",IFERROR(SUMIF(tblAnahtarB[NormB],$A443,tblVeriB[Kargo]),0))</f>
        <v/>
      </c>
      <c r="G443" s="16">
        <f>IF($A443="","",IFERROR(SUMIF(tblAnahtarB[NormB],$A443,tblVeriB[IadeOran]),0))</f>
        <v/>
      </c>
      <c r="H443" s="16">
        <f>IF($A443="","",ROUND($B443*$G443,2))</f>
        <v/>
      </c>
      <c r="I443" s="16">
        <f>IF($A443="","",IFERROR(SUMIF(tblAnahtarB[NormB],$A443,tblVeriB[ReklamTutar]),0))</f>
        <v/>
      </c>
      <c r="J443" s="16">
        <f>IF($A443="","",ROUND($B443-$C443,2))</f>
        <v/>
      </c>
      <c r="K443" s="16">
        <f>IF($A443="","",ROUND($B443-$C443-$E443-$F443-$H443-$I443,2))</f>
        <v/>
      </c>
      <c r="L443" s="16">
        <f>IF(OR($A443="",$B443=0),0,$K443/$B443)</f>
        <v/>
      </c>
      <c r="M443" s="16">
        <f>IF($A443="","",IF((1-$D443-$G443)&lt;=0,0,ROUND(($C443+$F443+$I443)/(1-$D443-$G443),2)))</f>
        <v/>
      </c>
      <c r="N443" s="16">
        <f>IF($A443="","",IFERROR(SUMIF(tblAnahtarA[Norm],$A443,tblVeriA[HedefNet]),0))</f>
        <v/>
      </c>
      <c r="O443" s="16">
        <f>IF($A443="","",ROUND($K443-$N443,2))</f>
        <v/>
      </c>
      <c r="P443" s="16">
        <f>IF($A443="","",IF($L443&lt;egk_esikKatkiDusuk,"ZAM YAP",IF(AND($R443=1,$L443&lt;egk_esikKatkiHedef),"İNDİRİMİ KES","TUT")))</f>
        <v/>
      </c>
      <c r="Q443" s="16">
        <f>IF($A443="","",IFERROR(SUMIF(tblAnahtarB[NormB],$A443,tblVeriB[Roas]),0))</f>
        <v/>
      </c>
      <c r="R443" s="16">
        <f>IF($A443="","",IF(OR(IFERROR(INDEX(tblVeriA[YorumAB],MATCH($A443,tblAnahtarA[Norm],0)),"")="B",IFERROR(INDEX(tblVeriA[Durum],MATCH($A443,tblAnahtarA[Norm],0)),"")="Kampanya"),1,0))</f>
        <v/>
      </c>
      <c r="S443" s="16">
        <f>IF($A443="","",$J443-$E443)</f>
        <v/>
      </c>
      <c r="T443" s="16">
        <f>IF($A443="","",$K443-$O443)</f>
        <v/>
      </c>
    </row>
    <row r="444">
      <c r="A444" s="16">
        <f>IF('ANAHTAR'!$B444="","",'ANAHTAR'!$B444)</f>
        <v/>
      </c>
      <c r="B444" s="16">
        <f>IF($A444="","",IFERROR(SUMIF(tblAnahtarA[Norm],$A444,tblVeriA[SatisFiyati]),0))</f>
        <v/>
      </c>
      <c r="C444" s="16">
        <f>IF($A444="","",IFERROR(SUMIF(tblAnahtarA[Norm],$A444,tblVeriA[Maliyet]),0))</f>
        <v/>
      </c>
      <c r="D444" s="16">
        <f>IF($A444="","",IFERROR(SUMIF(tblAnahtarB[NormB],$A444,tblVeriB[KomisyonOran]),0))</f>
        <v/>
      </c>
      <c r="E444" s="16">
        <f>IF($A444="","",ROUND($B444*$D444,2))</f>
        <v/>
      </c>
      <c r="F444" s="16">
        <f>IF($A444="","",IFERROR(SUMIF(tblAnahtarB[NormB],$A444,tblVeriB[Kargo]),0))</f>
        <v/>
      </c>
      <c r="G444" s="16">
        <f>IF($A444="","",IFERROR(SUMIF(tblAnahtarB[NormB],$A444,tblVeriB[IadeOran]),0))</f>
        <v/>
      </c>
      <c r="H444" s="16">
        <f>IF($A444="","",ROUND($B444*$G444,2))</f>
        <v/>
      </c>
      <c r="I444" s="16">
        <f>IF($A444="","",IFERROR(SUMIF(tblAnahtarB[NormB],$A444,tblVeriB[ReklamTutar]),0))</f>
        <v/>
      </c>
      <c r="J444" s="16">
        <f>IF($A444="","",ROUND($B444-$C444,2))</f>
        <v/>
      </c>
      <c r="K444" s="16">
        <f>IF($A444="","",ROUND($B444-$C444-$E444-$F444-$H444-$I444,2))</f>
        <v/>
      </c>
      <c r="L444" s="16">
        <f>IF(OR($A444="",$B444=0),0,$K444/$B444)</f>
        <v/>
      </c>
      <c r="M444" s="16">
        <f>IF($A444="","",IF((1-$D444-$G444)&lt;=0,0,ROUND(($C444+$F444+$I444)/(1-$D444-$G444),2)))</f>
        <v/>
      </c>
      <c r="N444" s="16">
        <f>IF($A444="","",IFERROR(SUMIF(tblAnahtarA[Norm],$A444,tblVeriA[HedefNet]),0))</f>
        <v/>
      </c>
      <c r="O444" s="16">
        <f>IF($A444="","",ROUND($K444-$N444,2))</f>
        <v/>
      </c>
      <c r="P444" s="16">
        <f>IF($A444="","",IF($L444&lt;egk_esikKatkiDusuk,"ZAM YAP",IF(AND($R444=1,$L444&lt;egk_esikKatkiHedef),"İNDİRİMİ KES","TUT")))</f>
        <v/>
      </c>
      <c r="Q444" s="16">
        <f>IF($A444="","",IFERROR(SUMIF(tblAnahtarB[NormB],$A444,tblVeriB[Roas]),0))</f>
        <v/>
      </c>
      <c r="R444" s="16">
        <f>IF($A444="","",IF(OR(IFERROR(INDEX(tblVeriA[YorumAB],MATCH($A444,tblAnahtarA[Norm],0)),"")="B",IFERROR(INDEX(tblVeriA[Durum],MATCH($A444,tblAnahtarA[Norm],0)),"")="Kampanya"),1,0))</f>
        <v/>
      </c>
      <c r="S444" s="16">
        <f>IF($A444="","",$J444-$E444)</f>
        <v/>
      </c>
      <c r="T444" s="16">
        <f>IF($A444="","",$K444-$O444)</f>
        <v/>
      </c>
    </row>
    <row r="445">
      <c r="A445" s="16">
        <f>IF('ANAHTAR'!$B445="","",'ANAHTAR'!$B445)</f>
        <v/>
      </c>
      <c r="B445" s="16">
        <f>IF($A445="","",IFERROR(SUMIF(tblAnahtarA[Norm],$A445,tblVeriA[SatisFiyati]),0))</f>
        <v/>
      </c>
      <c r="C445" s="16">
        <f>IF($A445="","",IFERROR(SUMIF(tblAnahtarA[Norm],$A445,tblVeriA[Maliyet]),0))</f>
        <v/>
      </c>
      <c r="D445" s="16">
        <f>IF($A445="","",IFERROR(SUMIF(tblAnahtarB[NormB],$A445,tblVeriB[KomisyonOran]),0))</f>
        <v/>
      </c>
      <c r="E445" s="16">
        <f>IF($A445="","",ROUND($B445*$D445,2))</f>
        <v/>
      </c>
      <c r="F445" s="16">
        <f>IF($A445="","",IFERROR(SUMIF(tblAnahtarB[NormB],$A445,tblVeriB[Kargo]),0))</f>
        <v/>
      </c>
      <c r="G445" s="16">
        <f>IF($A445="","",IFERROR(SUMIF(tblAnahtarB[NormB],$A445,tblVeriB[IadeOran]),0))</f>
        <v/>
      </c>
      <c r="H445" s="16">
        <f>IF($A445="","",ROUND($B445*$G445,2))</f>
        <v/>
      </c>
      <c r="I445" s="16">
        <f>IF($A445="","",IFERROR(SUMIF(tblAnahtarB[NormB],$A445,tblVeriB[ReklamTutar]),0))</f>
        <v/>
      </c>
      <c r="J445" s="16">
        <f>IF($A445="","",ROUND($B445-$C445,2))</f>
        <v/>
      </c>
      <c r="K445" s="16">
        <f>IF($A445="","",ROUND($B445-$C445-$E445-$F445-$H445-$I445,2))</f>
        <v/>
      </c>
      <c r="L445" s="16">
        <f>IF(OR($A445="",$B445=0),0,$K445/$B445)</f>
        <v/>
      </c>
      <c r="M445" s="16">
        <f>IF($A445="","",IF((1-$D445-$G445)&lt;=0,0,ROUND(($C445+$F445+$I445)/(1-$D445-$G445),2)))</f>
        <v/>
      </c>
      <c r="N445" s="16">
        <f>IF($A445="","",IFERROR(SUMIF(tblAnahtarA[Norm],$A445,tblVeriA[HedefNet]),0))</f>
        <v/>
      </c>
      <c r="O445" s="16">
        <f>IF($A445="","",ROUND($K445-$N445,2))</f>
        <v/>
      </c>
      <c r="P445" s="16">
        <f>IF($A445="","",IF($L445&lt;egk_esikKatkiDusuk,"ZAM YAP",IF(AND($R445=1,$L445&lt;egk_esikKatkiHedef),"İNDİRİMİ KES","TUT")))</f>
        <v/>
      </c>
      <c r="Q445" s="16">
        <f>IF($A445="","",IFERROR(SUMIF(tblAnahtarB[NormB],$A445,tblVeriB[Roas]),0))</f>
        <v/>
      </c>
      <c r="R445" s="16">
        <f>IF($A445="","",IF(OR(IFERROR(INDEX(tblVeriA[YorumAB],MATCH($A445,tblAnahtarA[Norm],0)),"")="B",IFERROR(INDEX(tblVeriA[Durum],MATCH($A445,tblAnahtarA[Norm],0)),"")="Kampanya"),1,0))</f>
        <v/>
      </c>
      <c r="S445" s="16">
        <f>IF($A445="","",$J445-$E445)</f>
        <v/>
      </c>
      <c r="T445" s="16">
        <f>IF($A445="","",$K445-$O445)</f>
        <v/>
      </c>
    </row>
    <row r="446">
      <c r="A446" s="16">
        <f>IF('ANAHTAR'!$B446="","",'ANAHTAR'!$B446)</f>
        <v/>
      </c>
      <c r="B446" s="16">
        <f>IF($A446="","",IFERROR(SUMIF(tblAnahtarA[Norm],$A446,tblVeriA[SatisFiyati]),0))</f>
        <v/>
      </c>
      <c r="C446" s="16">
        <f>IF($A446="","",IFERROR(SUMIF(tblAnahtarA[Norm],$A446,tblVeriA[Maliyet]),0))</f>
        <v/>
      </c>
      <c r="D446" s="16">
        <f>IF($A446="","",IFERROR(SUMIF(tblAnahtarB[NormB],$A446,tblVeriB[KomisyonOran]),0))</f>
        <v/>
      </c>
      <c r="E446" s="16">
        <f>IF($A446="","",ROUND($B446*$D446,2))</f>
        <v/>
      </c>
      <c r="F446" s="16">
        <f>IF($A446="","",IFERROR(SUMIF(tblAnahtarB[NormB],$A446,tblVeriB[Kargo]),0))</f>
        <v/>
      </c>
      <c r="G446" s="16">
        <f>IF($A446="","",IFERROR(SUMIF(tblAnahtarB[NormB],$A446,tblVeriB[IadeOran]),0))</f>
        <v/>
      </c>
      <c r="H446" s="16">
        <f>IF($A446="","",ROUND($B446*$G446,2))</f>
        <v/>
      </c>
      <c r="I446" s="16">
        <f>IF($A446="","",IFERROR(SUMIF(tblAnahtarB[NormB],$A446,tblVeriB[ReklamTutar]),0))</f>
        <v/>
      </c>
      <c r="J446" s="16">
        <f>IF($A446="","",ROUND($B446-$C446,2))</f>
        <v/>
      </c>
      <c r="K446" s="16">
        <f>IF($A446="","",ROUND($B446-$C446-$E446-$F446-$H446-$I446,2))</f>
        <v/>
      </c>
      <c r="L446" s="16">
        <f>IF(OR($A446="",$B446=0),0,$K446/$B446)</f>
        <v/>
      </c>
      <c r="M446" s="16">
        <f>IF($A446="","",IF((1-$D446-$G446)&lt;=0,0,ROUND(($C446+$F446+$I446)/(1-$D446-$G446),2)))</f>
        <v/>
      </c>
      <c r="N446" s="16">
        <f>IF($A446="","",IFERROR(SUMIF(tblAnahtarA[Norm],$A446,tblVeriA[HedefNet]),0))</f>
        <v/>
      </c>
      <c r="O446" s="16">
        <f>IF($A446="","",ROUND($K446-$N446,2))</f>
        <v/>
      </c>
      <c r="P446" s="16">
        <f>IF($A446="","",IF($L446&lt;egk_esikKatkiDusuk,"ZAM YAP",IF(AND($R446=1,$L446&lt;egk_esikKatkiHedef),"İNDİRİMİ KES","TUT")))</f>
        <v/>
      </c>
      <c r="Q446" s="16">
        <f>IF($A446="","",IFERROR(SUMIF(tblAnahtarB[NormB],$A446,tblVeriB[Roas]),0))</f>
        <v/>
      </c>
      <c r="R446" s="16">
        <f>IF($A446="","",IF(OR(IFERROR(INDEX(tblVeriA[YorumAB],MATCH($A446,tblAnahtarA[Norm],0)),"")="B",IFERROR(INDEX(tblVeriA[Durum],MATCH($A446,tblAnahtarA[Norm],0)),"")="Kampanya"),1,0))</f>
        <v/>
      </c>
      <c r="S446" s="16">
        <f>IF($A446="","",$J446-$E446)</f>
        <v/>
      </c>
      <c r="T446" s="16">
        <f>IF($A446="","",$K446-$O446)</f>
        <v/>
      </c>
    </row>
    <row r="447">
      <c r="A447" s="16">
        <f>IF('ANAHTAR'!$B447="","",'ANAHTAR'!$B447)</f>
        <v/>
      </c>
      <c r="B447" s="16">
        <f>IF($A447="","",IFERROR(SUMIF(tblAnahtarA[Norm],$A447,tblVeriA[SatisFiyati]),0))</f>
        <v/>
      </c>
      <c r="C447" s="16">
        <f>IF($A447="","",IFERROR(SUMIF(tblAnahtarA[Norm],$A447,tblVeriA[Maliyet]),0))</f>
        <v/>
      </c>
      <c r="D447" s="16">
        <f>IF($A447="","",IFERROR(SUMIF(tblAnahtarB[NormB],$A447,tblVeriB[KomisyonOran]),0))</f>
        <v/>
      </c>
      <c r="E447" s="16">
        <f>IF($A447="","",ROUND($B447*$D447,2))</f>
        <v/>
      </c>
      <c r="F447" s="16">
        <f>IF($A447="","",IFERROR(SUMIF(tblAnahtarB[NormB],$A447,tblVeriB[Kargo]),0))</f>
        <v/>
      </c>
      <c r="G447" s="16">
        <f>IF($A447="","",IFERROR(SUMIF(tblAnahtarB[NormB],$A447,tblVeriB[IadeOran]),0))</f>
        <v/>
      </c>
      <c r="H447" s="16">
        <f>IF($A447="","",ROUND($B447*$G447,2))</f>
        <v/>
      </c>
      <c r="I447" s="16">
        <f>IF($A447="","",IFERROR(SUMIF(tblAnahtarB[NormB],$A447,tblVeriB[ReklamTutar]),0))</f>
        <v/>
      </c>
      <c r="J447" s="16">
        <f>IF($A447="","",ROUND($B447-$C447,2))</f>
        <v/>
      </c>
      <c r="K447" s="16">
        <f>IF($A447="","",ROUND($B447-$C447-$E447-$F447-$H447-$I447,2))</f>
        <v/>
      </c>
      <c r="L447" s="16">
        <f>IF(OR($A447="",$B447=0),0,$K447/$B447)</f>
        <v/>
      </c>
      <c r="M447" s="16">
        <f>IF($A447="","",IF((1-$D447-$G447)&lt;=0,0,ROUND(($C447+$F447+$I447)/(1-$D447-$G447),2)))</f>
        <v/>
      </c>
      <c r="N447" s="16">
        <f>IF($A447="","",IFERROR(SUMIF(tblAnahtarA[Norm],$A447,tblVeriA[HedefNet]),0))</f>
        <v/>
      </c>
      <c r="O447" s="16">
        <f>IF($A447="","",ROUND($K447-$N447,2))</f>
        <v/>
      </c>
      <c r="P447" s="16">
        <f>IF($A447="","",IF($L447&lt;egk_esikKatkiDusuk,"ZAM YAP",IF(AND($R447=1,$L447&lt;egk_esikKatkiHedef),"İNDİRİMİ KES","TUT")))</f>
        <v/>
      </c>
      <c r="Q447" s="16">
        <f>IF($A447="","",IFERROR(SUMIF(tblAnahtarB[NormB],$A447,tblVeriB[Roas]),0))</f>
        <v/>
      </c>
      <c r="R447" s="16">
        <f>IF($A447="","",IF(OR(IFERROR(INDEX(tblVeriA[YorumAB],MATCH($A447,tblAnahtarA[Norm],0)),"")="B",IFERROR(INDEX(tblVeriA[Durum],MATCH($A447,tblAnahtarA[Norm],0)),"")="Kampanya"),1,0))</f>
        <v/>
      </c>
      <c r="S447" s="16">
        <f>IF($A447="","",$J447-$E447)</f>
        <v/>
      </c>
      <c r="T447" s="16">
        <f>IF($A447="","",$K447-$O447)</f>
        <v/>
      </c>
    </row>
    <row r="448">
      <c r="A448" s="16">
        <f>IF('ANAHTAR'!$B448="","",'ANAHTAR'!$B448)</f>
        <v/>
      </c>
      <c r="B448" s="16">
        <f>IF($A448="","",IFERROR(SUMIF(tblAnahtarA[Norm],$A448,tblVeriA[SatisFiyati]),0))</f>
        <v/>
      </c>
      <c r="C448" s="16">
        <f>IF($A448="","",IFERROR(SUMIF(tblAnahtarA[Norm],$A448,tblVeriA[Maliyet]),0))</f>
        <v/>
      </c>
      <c r="D448" s="16">
        <f>IF($A448="","",IFERROR(SUMIF(tblAnahtarB[NormB],$A448,tblVeriB[KomisyonOran]),0))</f>
        <v/>
      </c>
      <c r="E448" s="16">
        <f>IF($A448="","",ROUND($B448*$D448,2))</f>
        <v/>
      </c>
      <c r="F448" s="16">
        <f>IF($A448="","",IFERROR(SUMIF(tblAnahtarB[NormB],$A448,tblVeriB[Kargo]),0))</f>
        <v/>
      </c>
      <c r="G448" s="16">
        <f>IF($A448="","",IFERROR(SUMIF(tblAnahtarB[NormB],$A448,tblVeriB[IadeOran]),0))</f>
        <v/>
      </c>
      <c r="H448" s="16">
        <f>IF($A448="","",ROUND($B448*$G448,2))</f>
        <v/>
      </c>
      <c r="I448" s="16">
        <f>IF($A448="","",IFERROR(SUMIF(tblAnahtarB[NormB],$A448,tblVeriB[ReklamTutar]),0))</f>
        <v/>
      </c>
      <c r="J448" s="16">
        <f>IF($A448="","",ROUND($B448-$C448,2))</f>
        <v/>
      </c>
      <c r="K448" s="16">
        <f>IF($A448="","",ROUND($B448-$C448-$E448-$F448-$H448-$I448,2))</f>
        <v/>
      </c>
      <c r="L448" s="16">
        <f>IF(OR($A448="",$B448=0),0,$K448/$B448)</f>
        <v/>
      </c>
      <c r="M448" s="16">
        <f>IF($A448="","",IF((1-$D448-$G448)&lt;=0,0,ROUND(($C448+$F448+$I448)/(1-$D448-$G448),2)))</f>
        <v/>
      </c>
      <c r="N448" s="16">
        <f>IF($A448="","",IFERROR(SUMIF(tblAnahtarA[Norm],$A448,tblVeriA[HedefNet]),0))</f>
        <v/>
      </c>
      <c r="O448" s="16">
        <f>IF($A448="","",ROUND($K448-$N448,2))</f>
        <v/>
      </c>
      <c r="P448" s="16">
        <f>IF($A448="","",IF($L448&lt;egk_esikKatkiDusuk,"ZAM YAP",IF(AND($R448=1,$L448&lt;egk_esikKatkiHedef),"İNDİRİMİ KES","TUT")))</f>
        <v/>
      </c>
      <c r="Q448" s="16">
        <f>IF($A448="","",IFERROR(SUMIF(tblAnahtarB[NormB],$A448,tblVeriB[Roas]),0))</f>
        <v/>
      </c>
      <c r="R448" s="16">
        <f>IF($A448="","",IF(OR(IFERROR(INDEX(tblVeriA[YorumAB],MATCH($A448,tblAnahtarA[Norm],0)),"")="B",IFERROR(INDEX(tblVeriA[Durum],MATCH($A448,tblAnahtarA[Norm],0)),"")="Kampanya"),1,0))</f>
        <v/>
      </c>
      <c r="S448" s="16">
        <f>IF($A448="","",$J448-$E448)</f>
        <v/>
      </c>
      <c r="T448" s="16">
        <f>IF($A448="","",$K448-$O448)</f>
        <v/>
      </c>
    </row>
    <row r="449">
      <c r="A449" s="16">
        <f>IF('ANAHTAR'!$B449="","",'ANAHTAR'!$B449)</f>
        <v/>
      </c>
      <c r="B449" s="16">
        <f>IF($A449="","",IFERROR(SUMIF(tblAnahtarA[Norm],$A449,tblVeriA[SatisFiyati]),0))</f>
        <v/>
      </c>
      <c r="C449" s="16">
        <f>IF($A449="","",IFERROR(SUMIF(tblAnahtarA[Norm],$A449,tblVeriA[Maliyet]),0))</f>
        <v/>
      </c>
      <c r="D449" s="16">
        <f>IF($A449="","",IFERROR(SUMIF(tblAnahtarB[NormB],$A449,tblVeriB[KomisyonOran]),0))</f>
        <v/>
      </c>
      <c r="E449" s="16">
        <f>IF($A449="","",ROUND($B449*$D449,2))</f>
        <v/>
      </c>
      <c r="F449" s="16">
        <f>IF($A449="","",IFERROR(SUMIF(tblAnahtarB[NormB],$A449,tblVeriB[Kargo]),0))</f>
        <v/>
      </c>
      <c r="G449" s="16">
        <f>IF($A449="","",IFERROR(SUMIF(tblAnahtarB[NormB],$A449,tblVeriB[IadeOran]),0))</f>
        <v/>
      </c>
      <c r="H449" s="16">
        <f>IF($A449="","",ROUND($B449*$G449,2))</f>
        <v/>
      </c>
      <c r="I449" s="16">
        <f>IF($A449="","",IFERROR(SUMIF(tblAnahtarB[NormB],$A449,tblVeriB[ReklamTutar]),0))</f>
        <v/>
      </c>
      <c r="J449" s="16">
        <f>IF($A449="","",ROUND($B449-$C449,2))</f>
        <v/>
      </c>
      <c r="K449" s="16">
        <f>IF($A449="","",ROUND($B449-$C449-$E449-$F449-$H449-$I449,2))</f>
        <v/>
      </c>
      <c r="L449" s="16">
        <f>IF(OR($A449="",$B449=0),0,$K449/$B449)</f>
        <v/>
      </c>
      <c r="M449" s="16">
        <f>IF($A449="","",IF((1-$D449-$G449)&lt;=0,0,ROUND(($C449+$F449+$I449)/(1-$D449-$G449),2)))</f>
        <v/>
      </c>
      <c r="N449" s="16">
        <f>IF($A449="","",IFERROR(SUMIF(tblAnahtarA[Norm],$A449,tblVeriA[HedefNet]),0))</f>
        <v/>
      </c>
      <c r="O449" s="16">
        <f>IF($A449="","",ROUND($K449-$N449,2))</f>
        <v/>
      </c>
      <c r="P449" s="16">
        <f>IF($A449="","",IF($L449&lt;egk_esikKatkiDusuk,"ZAM YAP",IF(AND($R449=1,$L449&lt;egk_esikKatkiHedef),"İNDİRİMİ KES","TUT")))</f>
        <v/>
      </c>
      <c r="Q449" s="16">
        <f>IF($A449="","",IFERROR(SUMIF(tblAnahtarB[NormB],$A449,tblVeriB[Roas]),0))</f>
        <v/>
      </c>
      <c r="R449" s="16">
        <f>IF($A449="","",IF(OR(IFERROR(INDEX(tblVeriA[YorumAB],MATCH($A449,tblAnahtarA[Norm],0)),"")="B",IFERROR(INDEX(tblVeriA[Durum],MATCH($A449,tblAnahtarA[Norm],0)),"")="Kampanya"),1,0))</f>
        <v/>
      </c>
      <c r="S449" s="16">
        <f>IF($A449="","",$J449-$E449)</f>
        <v/>
      </c>
      <c r="T449" s="16">
        <f>IF($A449="","",$K449-$O449)</f>
        <v/>
      </c>
    </row>
    <row r="450">
      <c r="A450" s="16">
        <f>IF('ANAHTAR'!$B450="","",'ANAHTAR'!$B450)</f>
        <v/>
      </c>
      <c r="B450" s="16">
        <f>IF($A450="","",IFERROR(SUMIF(tblAnahtarA[Norm],$A450,tblVeriA[SatisFiyati]),0))</f>
        <v/>
      </c>
      <c r="C450" s="16">
        <f>IF($A450="","",IFERROR(SUMIF(tblAnahtarA[Norm],$A450,tblVeriA[Maliyet]),0))</f>
        <v/>
      </c>
      <c r="D450" s="16">
        <f>IF($A450="","",IFERROR(SUMIF(tblAnahtarB[NormB],$A450,tblVeriB[KomisyonOran]),0))</f>
        <v/>
      </c>
      <c r="E450" s="16">
        <f>IF($A450="","",ROUND($B450*$D450,2))</f>
        <v/>
      </c>
      <c r="F450" s="16">
        <f>IF($A450="","",IFERROR(SUMIF(tblAnahtarB[NormB],$A450,tblVeriB[Kargo]),0))</f>
        <v/>
      </c>
      <c r="G450" s="16">
        <f>IF($A450="","",IFERROR(SUMIF(tblAnahtarB[NormB],$A450,tblVeriB[IadeOran]),0))</f>
        <v/>
      </c>
      <c r="H450" s="16">
        <f>IF($A450="","",ROUND($B450*$G450,2))</f>
        <v/>
      </c>
      <c r="I450" s="16">
        <f>IF($A450="","",IFERROR(SUMIF(tblAnahtarB[NormB],$A450,tblVeriB[ReklamTutar]),0))</f>
        <v/>
      </c>
      <c r="J450" s="16">
        <f>IF($A450="","",ROUND($B450-$C450,2))</f>
        <v/>
      </c>
      <c r="K450" s="16">
        <f>IF($A450="","",ROUND($B450-$C450-$E450-$F450-$H450-$I450,2))</f>
        <v/>
      </c>
      <c r="L450" s="16">
        <f>IF(OR($A450="",$B450=0),0,$K450/$B450)</f>
        <v/>
      </c>
      <c r="M450" s="16">
        <f>IF($A450="","",IF((1-$D450-$G450)&lt;=0,0,ROUND(($C450+$F450+$I450)/(1-$D450-$G450),2)))</f>
        <v/>
      </c>
      <c r="N450" s="16">
        <f>IF($A450="","",IFERROR(SUMIF(tblAnahtarA[Norm],$A450,tblVeriA[HedefNet]),0))</f>
        <v/>
      </c>
      <c r="O450" s="16">
        <f>IF($A450="","",ROUND($K450-$N450,2))</f>
        <v/>
      </c>
      <c r="P450" s="16">
        <f>IF($A450="","",IF($L450&lt;egk_esikKatkiDusuk,"ZAM YAP",IF(AND($R450=1,$L450&lt;egk_esikKatkiHedef),"İNDİRİMİ KES","TUT")))</f>
        <v/>
      </c>
      <c r="Q450" s="16">
        <f>IF($A450="","",IFERROR(SUMIF(tblAnahtarB[NormB],$A450,tblVeriB[Roas]),0))</f>
        <v/>
      </c>
      <c r="R450" s="16">
        <f>IF($A450="","",IF(OR(IFERROR(INDEX(tblVeriA[YorumAB],MATCH($A450,tblAnahtarA[Norm],0)),"")="B",IFERROR(INDEX(tblVeriA[Durum],MATCH($A450,tblAnahtarA[Norm],0)),"")="Kampanya"),1,0))</f>
        <v/>
      </c>
      <c r="S450" s="16">
        <f>IF($A450="","",$J450-$E450)</f>
        <v/>
      </c>
      <c r="T450" s="16">
        <f>IF($A450="","",$K450-$O450)</f>
        <v/>
      </c>
    </row>
    <row r="451">
      <c r="A451" s="16">
        <f>IF('ANAHTAR'!$B451="","",'ANAHTAR'!$B451)</f>
        <v/>
      </c>
      <c r="B451" s="16">
        <f>IF($A451="","",IFERROR(SUMIF(tblAnahtarA[Norm],$A451,tblVeriA[SatisFiyati]),0))</f>
        <v/>
      </c>
      <c r="C451" s="16">
        <f>IF($A451="","",IFERROR(SUMIF(tblAnahtarA[Norm],$A451,tblVeriA[Maliyet]),0))</f>
        <v/>
      </c>
      <c r="D451" s="16">
        <f>IF($A451="","",IFERROR(SUMIF(tblAnahtarB[NormB],$A451,tblVeriB[KomisyonOran]),0))</f>
        <v/>
      </c>
      <c r="E451" s="16">
        <f>IF($A451="","",ROUND($B451*$D451,2))</f>
        <v/>
      </c>
      <c r="F451" s="16">
        <f>IF($A451="","",IFERROR(SUMIF(tblAnahtarB[NormB],$A451,tblVeriB[Kargo]),0))</f>
        <v/>
      </c>
      <c r="G451" s="16">
        <f>IF($A451="","",IFERROR(SUMIF(tblAnahtarB[NormB],$A451,tblVeriB[IadeOran]),0))</f>
        <v/>
      </c>
      <c r="H451" s="16">
        <f>IF($A451="","",ROUND($B451*$G451,2))</f>
        <v/>
      </c>
      <c r="I451" s="16">
        <f>IF($A451="","",IFERROR(SUMIF(tblAnahtarB[NormB],$A451,tblVeriB[ReklamTutar]),0))</f>
        <v/>
      </c>
      <c r="J451" s="16">
        <f>IF($A451="","",ROUND($B451-$C451,2))</f>
        <v/>
      </c>
      <c r="K451" s="16">
        <f>IF($A451="","",ROUND($B451-$C451-$E451-$F451-$H451-$I451,2))</f>
        <v/>
      </c>
      <c r="L451" s="16">
        <f>IF(OR($A451="",$B451=0),0,$K451/$B451)</f>
        <v/>
      </c>
      <c r="M451" s="16">
        <f>IF($A451="","",IF((1-$D451-$G451)&lt;=0,0,ROUND(($C451+$F451+$I451)/(1-$D451-$G451),2)))</f>
        <v/>
      </c>
      <c r="N451" s="16">
        <f>IF($A451="","",IFERROR(SUMIF(tblAnahtarA[Norm],$A451,tblVeriA[HedefNet]),0))</f>
        <v/>
      </c>
      <c r="O451" s="16">
        <f>IF($A451="","",ROUND($K451-$N451,2))</f>
        <v/>
      </c>
      <c r="P451" s="16">
        <f>IF($A451="","",IF($L451&lt;egk_esikKatkiDusuk,"ZAM YAP",IF(AND($R451=1,$L451&lt;egk_esikKatkiHedef),"İNDİRİMİ KES","TUT")))</f>
        <v/>
      </c>
      <c r="Q451" s="16">
        <f>IF($A451="","",IFERROR(SUMIF(tblAnahtarB[NormB],$A451,tblVeriB[Roas]),0))</f>
        <v/>
      </c>
      <c r="R451" s="16">
        <f>IF($A451="","",IF(OR(IFERROR(INDEX(tblVeriA[YorumAB],MATCH($A451,tblAnahtarA[Norm],0)),"")="B",IFERROR(INDEX(tblVeriA[Durum],MATCH($A451,tblAnahtarA[Norm],0)),"")="Kampanya"),1,0))</f>
        <v/>
      </c>
      <c r="S451" s="16">
        <f>IF($A451="","",$J451-$E451)</f>
        <v/>
      </c>
      <c r="T451" s="16">
        <f>IF($A451="","",$K451-$O451)</f>
        <v/>
      </c>
    </row>
    <row r="452">
      <c r="A452" s="16">
        <f>IF('ANAHTAR'!$B452="","",'ANAHTAR'!$B452)</f>
        <v/>
      </c>
      <c r="B452" s="16">
        <f>IF($A452="","",IFERROR(SUMIF(tblAnahtarA[Norm],$A452,tblVeriA[SatisFiyati]),0))</f>
        <v/>
      </c>
      <c r="C452" s="16">
        <f>IF($A452="","",IFERROR(SUMIF(tblAnahtarA[Norm],$A452,tblVeriA[Maliyet]),0))</f>
        <v/>
      </c>
      <c r="D452" s="16">
        <f>IF($A452="","",IFERROR(SUMIF(tblAnahtarB[NormB],$A452,tblVeriB[KomisyonOran]),0))</f>
        <v/>
      </c>
      <c r="E452" s="16">
        <f>IF($A452="","",ROUND($B452*$D452,2))</f>
        <v/>
      </c>
      <c r="F452" s="16">
        <f>IF($A452="","",IFERROR(SUMIF(tblAnahtarB[NormB],$A452,tblVeriB[Kargo]),0))</f>
        <v/>
      </c>
      <c r="G452" s="16">
        <f>IF($A452="","",IFERROR(SUMIF(tblAnahtarB[NormB],$A452,tblVeriB[IadeOran]),0))</f>
        <v/>
      </c>
      <c r="H452" s="16">
        <f>IF($A452="","",ROUND($B452*$G452,2))</f>
        <v/>
      </c>
      <c r="I452" s="16">
        <f>IF($A452="","",IFERROR(SUMIF(tblAnahtarB[NormB],$A452,tblVeriB[ReklamTutar]),0))</f>
        <v/>
      </c>
      <c r="J452" s="16">
        <f>IF($A452="","",ROUND($B452-$C452,2))</f>
        <v/>
      </c>
      <c r="K452" s="16">
        <f>IF($A452="","",ROUND($B452-$C452-$E452-$F452-$H452-$I452,2))</f>
        <v/>
      </c>
      <c r="L452" s="16">
        <f>IF(OR($A452="",$B452=0),0,$K452/$B452)</f>
        <v/>
      </c>
      <c r="M452" s="16">
        <f>IF($A452="","",IF((1-$D452-$G452)&lt;=0,0,ROUND(($C452+$F452+$I452)/(1-$D452-$G452),2)))</f>
        <v/>
      </c>
      <c r="N452" s="16">
        <f>IF($A452="","",IFERROR(SUMIF(tblAnahtarA[Norm],$A452,tblVeriA[HedefNet]),0))</f>
        <v/>
      </c>
      <c r="O452" s="16">
        <f>IF($A452="","",ROUND($K452-$N452,2))</f>
        <v/>
      </c>
      <c r="P452" s="16">
        <f>IF($A452="","",IF($L452&lt;egk_esikKatkiDusuk,"ZAM YAP",IF(AND($R452=1,$L452&lt;egk_esikKatkiHedef),"İNDİRİMİ KES","TUT")))</f>
        <v/>
      </c>
      <c r="Q452" s="16">
        <f>IF($A452="","",IFERROR(SUMIF(tblAnahtarB[NormB],$A452,tblVeriB[Roas]),0))</f>
        <v/>
      </c>
      <c r="R452" s="16">
        <f>IF($A452="","",IF(OR(IFERROR(INDEX(tblVeriA[YorumAB],MATCH($A452,tblAnahtarA[Norm],0)),"")="B",IFERROR(INDEX(tblVeriA[Durum],MATCH($A452,tblAnahtarA[Norm],0)),"")="Kampanya"),1,0))</f>
        <v/>
      </c>
      <c r="S452" s="16">
        <f>IF($A452="","",$J452-$E452)</f>
        <v/>
      </c>
      <c r="T452" s="16">
        <f>IF($A452="","",$K452-$O452)</f>
        <v/>
      </c>
    </row>
    <row r="453">
      <c r="A453" s="16">
        <f>IF('ANAHTAR'!$B453="","",'ANAHTAR'!$B453)</f>
        <v/>
      </c>
      <c r="B453" s="16">
        <f>IF($A453="","",IFERROR(SUMIF(tblAnahtarA[Norm],$A453,tblVeriA[SatisFiyati]),0))</f>
        <v/>
      </c>
      <c r="C453" s="16">
        <f>IF($A453="","",IFERROR(SUMIF(tblAnahtarA[Norm],$A453,tblVeriA[Maliyet]),0))</f>
        <v/>
      </c>
      <c r="D453" s="16">
        <f>IF($A453="","",IFERROR(SUMIF(tblAnahtarB[NormB],$A453,tblVeriB[KomisyonOran]),0))</f>
        <v/>
      </c>
      <c r="E453" s="16">
        <f>IF($A453="","",ROUND($B453*$D453,2))</f>
        <v/>
      </c>
      <c r="F453" s="16">
        <f>IF($A453="","",IFERROR(SUMIF(tblAnahtarB[NormB],$A453,tblVeriB[Kargo]),0))</f>
        <v/>
      </c>
      <c r="G453" s="16">
        <f>IF($A453="","",IFERROR(SUMIF(tblAnahtarB[NormB],$A453,tblVeriB[IadeOran]),0))</f>
        <v/>
      </c>
      <c r="H453" s="16">
        <f>IF($A453="","",ROUND($B453*$G453,2))</f>
        <v/>
      </c>
      <c r="I453" s="16">
        <f>IF($A453="","",IFERROR(SUMIF(tblAnahtarB[NormB],$A453,tblVeriB[ReklamTutar]),0))</f>
        <v/>
      </c>
      <c r="J453" s="16">
        <f>IF($A453="","",ROUND($B453-$C453,2))</f>
        <v/>
      </c>
      <c r="K453" s="16">
        <f>IF($A453="","",ROUND($B453-$C453-$E453-$F453-$H453-$I453,2))</f>
        <v/>
      </c>
      <c r="L453" s="16">
        <f>IF(OR($A453="",$B453=0),0,$K453/$B453)</f>
        <v/>
      </c>
      <c r="M453" s="16">
        <f>IF($A453="","",IF((1-$D453-$G453)&lt;=0,0,ROUND(($C453+$F453+$I453)/(1-$D453-$G453),2)))</f>
        <v/>
      </c>
      <c r="N453" s="16">
        <f>IF($A453="","",IFERROR(SUMIF(tblAnahtarA[Norm],$A453,tblVeriA[HedefNet]),0))</f>
        <v/>
      </c>
      <c r="O453" s="16">
        <f>IF($A453="","",ROUND($K453-$N453,2))</f>
        <v/>
      </c>
      <c r="P453" s="16">
        <f>IF($A453="","",IF($L453&lt;egk_esikKatkiDusuk,"ZAM YAP",IF(AND($R453=1,$L453&lt;egk_esikKatkiHedef),"İNDİRİMİ KES","TUT")))</f>
        <v/>
      </c>
      <c r="Q453" s="16">
        <f>IF($A453="","",IFERROR(SUMIF(tblAnahtarB[NormB],$A453,tblVeriB[Roas]),0))</f>
        <v/>
      </c>
      <c r="R453" s="16">
        <f>IF($A453="","",IF(OR(IFERROR(INDEX(tblVeriA[YorumAB],MATCH($A453,tblAnahtarA[Norm],0)),"")="B",IFERROR(INDEX(tblVeriA[Durum],MATCH($A453,tblAnahtarA[Norm],0)),"")="Kampanya"),1,0))</f>
        <v/>
      </c>
      <c r="S453" s="16">
        <f>IF($A453="","",$J453-$E453)</f>
        <v/>
      </c>
      <c r="T453" s="16">
        <f>IF($A453="","",$K453-$O453)</f>
        <v/>
      </c>
    </row>
    <row r="454">
      <c r="A454" s="16">
        <f>IF('ANAHTAR'!$B454="","",'ANAHTAR'!$B454)</f>
        <v/>
      </c>
      <c r="B454" s="16">
        <f>IF($A454="","",IFERROR(SUMIF(tblAnahtarA[Norm],$A454,tblVeriA[SatisFiyati]),0))</f>
        <v/>
      </c>
      <c r="C454" s="16">
        <f>IF($A454="","",IFERROR(SUMIF(tblAnahtarA[Norm],$A454,tblVeriA[Maliyet]),0))</f>
        <v/>
      </c>
      <c r="D454" s="16">
        <f>IF($A454="","",IFERROR(SUMIF(tblAnahtarB[NormB],$A454,tblVeriB[KomisyonOran]),0))</f>
        <v/>
      </c>
      <c r="E454" s="16">
        <f>IF($A454="","",ROUND($B454*$D454,2))</f>
        <v/>
      </c>
      <c r="F454" s="16">
        <f>IF($A454="","",IFERROR(SUMIF(tblAnahtarB[NormB],$A454,tblVeriB[Kargo]),0))</f>
        <v/>
      </c>
      <c r="G454" s="16">
        <f>IF($A454="","",IFERROR(SUMIF(tblAnahtarB[NormB],$A454,tblVeriB[IadeOran]),0))</f>
        <v/>
      </c>
      <c r="H454" s="16">
        <f>IF($A454="","",ROUND($B454*$G454,2))</f>
        <v/>
      </c>
      <c r="I454" s="16">
        <f>IF($A454="","",IFERROR(SUMIF(tblAnahtarB[NormB],$A454,tblVeriB[ReklamTutar]),0))</f>
        <v/>
      </c>
      <c r="J454" s="16">
        <f>IF($A454="","",ROUND($B454-$C454,2))</f>
        <v/>
      </c>
      <c r="K454" s="16">
        <f>IF($A454="","",ROUND($B454-$C454-$E454-$F454-$H454-$I454,2))</f>
        <v/>
      </c>
      <c r="L454" s="16">
        <f>IF(OR($A454="",$B454=0),0,$K454/$B454)</f>
        <v/>
      </c>
      <c r="M454" s="16">
        <f>IF($A454="","",IF((1-$D454-$G454)&lt;=0,0,ROUND(($C454+$F454+$I454)/(1-$D454-$G454),2)))</f>
        <v/>
      </c>
      <c r="N454" s="16">
        <f>IF($A454="","",IFERROR(SUMIF(tblAnahtarA[Norm],$A454,tblVeriA[HedefNet]),0))</f>
        <v/>
      </c>
      <c r="O454" s="16">
        <f>IF($A454="","",ROUND($K454-$N454,2))</f>
        <v/>
      </c>
      <c r="P454" s="16">
        <f>IF($A454="","",IF($L454&lt;egk_esikKatkiDusuk,"ZAM YAP",IF(AND($R454=1,$L454&lt;egk_esikKatkiHedef),"İNDİRİMİ KES","TUT")))</f>
        <v/>
      </c>
      <c r="Q454" s="16">
        <f>IF($A454="","",IFERROR(SUMIF(tblAnahtarB[NormB],$A454,tblVeriB[Roas]),0))</f>
        <v/>
      </c>
      <c r="R454" s="16">
        <f>IF($A454="","",IF(OR(IFERROR(INDEX(tblVeriA[YorumAB],MATCH($A454,tblAnahtarA[Norm],0)),"")="B",IFERROR(INDEX(tblVeriA[Durum],MATCH($A454,tblAnahtarA[Norm],0)),"")="Kampanya"),1,0))</f>
        <v/>
      </c>
      <c r="S454" s="16">
        <f>IF($A454="","",$J454-$E454)</f>
        <v/>
      </c>
      <c r="T454" s="16">
        <f>IF($A454="","",$K454-$O454)</f>
        <v/>
      </c>
    </row>
    <row r="455">
      <c r="A455" s="16">
        <f>IF('ANAHTAR'!$B455="","",'ANAHTAR'!$B455)</f>
        <v/>
      </c>
      <c r="B455" s="16">
        <f>IF($A455="","",IFERROR(SUMIF(tblAnahtarA[Norm],$A455,tblVeriA[SatisFiyati]),0))</f>
        <v/>
      </c>
      <c r="C455" s="16">
        <f>IF($A455="","",IFERROR(SUMIF(tblAnahtarA[Norm],$A455,tblVeriA[Maliyet]),0))</f>
        <v/>
      </c>
      <c r="D455" s="16">
        <f>IF($A455="","",IFERROR(SUMIF(tblAnahtarB[NormB],$A455,tblVeriB[KomisyonOran]),0))</f>
        <v/>
      </c>
      <c r="E455" s="16">
        <f>IF($A455="","",ROUND($B455*$D455,2))</f>
        <v/>
      </c>
      <c r="F455" s="16">
        <f>IF($A455="","",IFERROR(SUMIF(tblAnahtarB[NormB],$A455,tblVeriB[Kargo]),0))</f>
        <v/>
      </c>
      <c r="G455" s="16">
        <f>IF($A455="","",IFERROR(SUMIF(tblAnahtarB[NormB],$A455,tblVeriB[IadeOran]),0))</f>
        <v/>
      </c>
      <c r="H455" s="16">
        <f>IF($A455="","",ROUND($B455*$G455,2))</f>
        <v/>
      </c>
      <c r="I455" s="16">
        <f>IF($A455="","",IFERROR(SUMIF(tblAnahtarB[NormB],$A455,tblVeriB[ReklamTutar]),0))</f>
        <v/>
      </c>
      <c r="J455" s="16">
        <f>IF($A455="","",ROUND($B455-$C455,2))</f>
        <v/>
      </c>
      <c r="K455" s="16">
        <f>IF($A455="","",ROUND($B455-$C455-$E455-$F455-$H455-$I455,2))</f>
        <v/>
      </c>
      <c r="L455" s="16">
        <f>IF(OR($A455="",$B455=0),0,$K455/$B455)</f>
        <v/>
      </c>
      <c r="M455" s="16">
        <f>IF($A455="","",IF((1-$D455-$G455)&lt;=0,0,ROUND(($C455+$F455+$I455)/(1-$D455-$G455),2)))</f>
        <v/>
      </c>
      <c r="N455" s="16">
        <f>IF($A455="","",IFERROR(SUMIF(tblAnahtarA[Norm],$A455,tblVeriA[HedefNet]),0))</f>
        <v/>
      </c>
      <c r="O455" s="16">
        <f>IF($A455="","",ROUND($K455-$N455,2))</f>
        <v/>
      </c>
      <c r="P455" s="16">
        <f>IF($A455="","",IF($L455&lt;egk_esikKatkiDusuk,"ZAM YAP",IF(AND($R455=1,$L455&lt;egk_esikKatkiHedef),"İNDİRİMİ KES","TUT")))</f>
        <v/>
      </c>
      <c r="Q455" s="16">
        <f>IF($A455="","",IFERROR(SUMIF(tblAnahtarB[NormB],$A455,tblVeriB[Roas]),0))</f>
        <v/>
      </c>
      <c r="R455" s="16">
        <f>IF($A455="","",IF(OR(IFERROR(INDEX(tblVeriA[YorumAB],MATCH($A455,tblAnahtarA[Norm],0)),"")="B",IFERROR(INDEX(tblVeriA[Durum],MATCH($A455,tblAnahtarA[Norm],0)),"")="Kampanya"),1,0))</f>
        <v/>
      </c>
      <c r="S455" s="16">
        <f>IF($A455="","",$J455-$E455)</f>
        <v/>
      </c>
      <c r="T455" s="16">
        <f>IF($A455="","",$K455-$O455)</f>
        <v/>
      </c>
    </row>
    <row r="456">
      <c r="A456" s="16">
        <f>IF('ANAHTAR'!$B456="","",'ANAHTAR'!$B456)</f>
        <v/>
      </c>
      <c r="B456" s="16">
        <f>IF($A456="","",IFERROR(SUMIF(tblAnahtarA[Norm],$A456,tblVeriA[SatisFiyati]),0))</f>
        <v/>
      </c>
      <c r="C456" s="16">
        <f>IF($A456="","",IFERROR(SUMIF(tblAnahtarA[Norm],$A456,tblVeriA[Maliyet]),0))</f>
        <v/>
      </c>
      <c r="D456" s="16">
        <f>IF($A456="","",IFERROR(SUMIF(tblAnahtarB[NormB],$A456,tblVeriB[KomisyonOran]),0))</f>
        <v/>
      </c>
      <c r="E456" s="16">
        <f>IF($A456="","",ROUND($B456*$D456,2))</f>
        <v/>
      </c>
      <c r="F456" s="16">
        <f>IF($A456="","",IFERROR(SUMIF(tblAnahtarB[NormB],$A456,tblVeriB[Kargo]),0))</f>
        <v/>
      </c>
      <c r="G456" s="16">
        <f>IF($A456="","",IFERROR(SUMIF(tblAnahtarB[NormB],$A456,tblVeriB[IadeOran]),0))</f>
        <v/>
      </c>
      <c r="H456" s="16">
        <f>IF($A456="","",ROUND($B456*$G456,2))</f>
        <v/>
      </c>
      <c r="I456" s="16">
        <f>IF($A456="","",IFERROR(SUMIF(tblAnahtarB[NormB],$A456,tblVeriB[ReklamTutar]),0))</f>
        <v/>
      </c>
      <c r="J456" s="16">
        <f>IF($A456="","",ROUND($B456-$C456,2))</f>
        <v/>
      </c>
      <c r="K456" s="16">
        <f>IF($A456="","",ROUND($B456-$C456-$E456-$F456-$H456-$I456,2))</f>
        <v/>
      </c>
      <c r="L456" s="16">
        <f>IF(OR($A456="",$B456=0),0,$K456/$B456)</f>
        <v/>
      </c>
      <c r="M456" s="16">
        <f>IF($A456="","",IF((1-$D456-$G456)&lt;=0,0,ROUND(($C456+$F456+$I456)/(1-$D456-$G456),2)))</f>
        <v/>
      </c>
      <c r="N456" s="16">
        <f>IF($A456="","",IFERROR(SUMIF(tblAnahtarA[Norm],$A456,tblVeriA[HedefNet]),0))</f>
        <v/>
      </c>
      <c r="O456" s="16">
        <f>IF($A456="","",ROUND($K456-$N456,2))</f>
        <v/>
      </c>
      <c r="P456" s="16">
        <f>IF($A456="","",IF($L456&lt;egk_esikKatkiDusuk,"ZAM YAP",IF(AND($R456=1,$L456&lt;egk_esikKatkiHedef),"İNDİRİMİ KES","TUT")))</f>
        <v/>
      </c>
      <c r="Q456" s="16">
        <f>IF($A456="","",IFERROR(SUMIF(tblAnahtarB[NormB],$A456,tblVeriB[Roas]),0))</f>
        <v/>
      </c>
      <c r="R456" s="16">
        <f>IF($A456="","",IF(OR(IFERROR(INDEX(tblVeriA[YorumAB],MATCH($A456,tblAnahtarA[Norm],0)),"")="B",IFERROR(INDEX(tblVeriA[Durum],MATCH($A456,tblAnahtarA[Norm],0)),"")="Kampanya"),1,0))</f>
        <v/>
      </c>
      <c r="S456" s="16">
        <f>IF($A456="","",$J456-$E456)</f>
        <v/>
      </c>
      <c r="T456" s="16">
        <f>IF($A456="","",$K456-$O456)</f>
        <v/>
      </c>
    </row>
    <row r="457">
      <c r="A457" s="16">
        <f>IF('ANAHTAR'!$B457="","",'ANAHTAR'!$B457)</f>
        <v/>
      </c>
      <c r="B457" s="16">
        <f>IF($A457="","",IFERROR(SUMIF(tblAnahtarA[Norm],$A457,tblVeriA[SatisFiyati]),0))</f>
        <v/>
      </c>
      <c r="C457" s="16">
        <f>IF($A457="","",IFERROR(SUMIF(tblAnahtarA[Norm],$A457,tblVeriA[Maliyet]),0))</f>
        <v/>
      </c>
      <c r="D457" s="16">
        <f>IF($A457="","",IFERROR(SUMIF(tblAnahtarB[NormB],$A457,tblVeriB[KomisyonOran]),0))</f>
        <v/>
      </c>
      <c r="E457" s="16">
        <f>IF($A457="","",ROUND($B457*$D457,2))</f>
        <v/>
      </c>
      <c r="F457" s="16">
        <f>IF($A457="","",IFERROR(SUMIF(tblAnahtarB[NormB],$A457,tblVeriB[Kargo]),0))</f>
        <v/>
      </c>
      <c r="G457" s="16">
        <f>IF($A457="","",IFERROR(SUMIF(tblAnahtarB[NormB],$A457,tblVeriB[IadeOran]),0))</f>
        <v/>
      </c>
      <c r="H457" s="16">
        <f>IF($A457="","",ROUND($B457*$G457,2))</f>
        <v/>
      </c>
      <c r="I457" s="16">
        <f>IF($A457="","",IFERROR(SUMIF(tblAnahtarB[NormB],$A457,tblVeriB[ReklamTutar]),0))</f>
        <v/>
      </c>
      <c r="J457" s="16">
        <f>IF($A457="","",ROUND($B457-$C457,2))</f>
        <v/>
      </c>
      <c r="K457" s="16">
        <f>IF($A457="","",ROUND($B457-$C457-$E457-$F457-$H457-$I457,2))</f>
        <v/>
      </c>
      <c r="L457" s="16">
        <f>IF(OR($A457="",$B457=0),0,$K457/$B457)</f>
        <v/>
      </c>
      <c r="M457" s="16">
        <f>IF($A457="","",IF((1-$D457-$G457)&lt;=0,0,ROUND(($C457+$F457+$I457)/(1-$D457-$G457),2)))</f>
        <v/>
      </c>
      <c r="N457" s="16">
        <f>IF($A457="","",IFERROR(SUMIF(tblAnahtarA[Norm],$A457,tblVeriA[HedefNet]),0))</f>
        <v/>
      </c>
      <c r="O457" s="16">
        <f>IF($A457="","",ROUND($K457-$N457,2))</f>
        <v/>
      </c>
      <c r="P457" s="16">
        <f>IF($A457="","",IF($L457&lt;egk_esikKatkiDusuk,"ZAM YAP",IF(AND($R457=1,$L457&lt;egk_esikKatkiHedef),"İNDİRİMİ KES","TUT")))</f>
        <v/>
      </c>
      <c r="Q457" s="16">
        <f>IF($A457="","",IFERROR(SUMIF(tblAnahtarB[NormB],$A457,tblVeriB[Roas]),0))</f>
        <v/>
      </c>
      <c r="R457" s="16">
        <f>IF($A457="","",IF(OR(IFERROR(INDEX(tblVeriA[YorumAB],MATCH($A457,tblAnahtarA[Norm],0)),"")="B",IFERROR(INDEX(tblVeriA[Durum],MATCH($A457,tblAnahtarA[Norm],0)),"")="Kampanya"),1,0))</f>
        <v/>
      </c>
      <c r="S457" s="16">
        <f>IF($A457="","",$J457-$E457)</f>
        <v/>
      </c>
      <c r="T457" s="16">
        <f>IF($A457="","",$K457-$O457)</f>
        <v/>
      </c>
    </row>
    <row r="458">
      <c r="A458" s="16">
        <f>IF('ANAHTAR'!$B458="","",'ANAHTAR'!$B458)</f>
        <v/>
      </c>
      <c r="B458" s="16">
        <f>IF($A458="","",IFERROR(SUMIF(tblAnahtarA[Norm],$A458,tblVeriA[SatisFiyati]),0))</f>
        <v/>
      </c>
      <c r="C458" s="16">
        <f>IF($A458="","",IFERROR(SUMIF(tblAnahtarA[Norm],$A458,tblVeriA[Maliyet]),0))</f>
        <v/>
      </c>
      <c r="D458" s="16">
        <f>IF($A458="","",IFERROR(SUMIF(tblAnahtarB[NormB],$A458,tblVeriB[KomisyonOran]),0))</f>
        <v/>
      </c>
      <c r="E458" s="16">
        <f>IF($A458="","",ROUND($B458*$D458,2))</f>
        <v/>
      </c>
      <c r="F458" s="16">
        <f>IF($A458="","",IFERROR(SUMIF(tblAnahtarB[NormB],$A458,tblVeriB[Kargo]),0))</f>
        <v/>
      </c>
      <c r="G458" s="16">
        <f>IF($A458="","",IFERROR(SUMIF(tblAnahtarB[NormB],$A458,tblVeriB[IadeOran]),0))</f>
        <v/>
      </c>
      <c r="H458" s="16">
        <f>IF($A458="","",ROUND($B458*$G458,2))</f>
        <v/>
      </c>
      <c r="I458" s="16">
        <f>IF($A458="","",IFERROR(SUMIF(tblAnahtarB[NormB],$A458,tblVeriB[ReklamTutar]),0))</f>
        <v/>
      </c>
      <c r="J458" s="16">
        <f>IF($A458="","",ROUND($B458-$C458,2))</f>
        <v/>
      </c>
      <c r="K458" s="16">
        <f>IF($A458="","",ROUND($B458-$C458-$E458-$F458-$H458-$I458,2))</f>
        <v/>
      </c>
      <c r="L458" s="16">
        <f>IF(OR($A458="",$B458=0),0,$K458/$B458)</f>
        <v/>
      </c>
      <c r="M458" s="16">
        <f>IF($A458="","",IF((1-$D458-$G458)&lt;=0,0,ROUND(($C458+$F458+$I458)/(1-$D458-$G458),2)))</f>
        <v/>
      </c>
      <c r="N458" s="16">
        <f>IF($A458="","",IFERROR(SUMIF(tblAnahtarA[Norm],$A458,tblVeriA[HedefNet]),0))</f>
        <v/>
      </c>
      <c r="O458" s="16">
        <f>IF($A458="","",ROUND($K458-$N458,2))</f>
        <v/>
      </c>
      <c r="P458" s="16">
        <f>IF($A458="","",IF($L458&lt;egk_esikKatkiDusuk,"ZAM YAP",IF(AND($R458=1,$L458&lt;egk_esikKatkiHedef),"İNDİRİMİ KES","TUT")))</f>
        <v/>
      </c>
      <c r="Q458" s="16">
        <f>IF($A458="","",IFERROR(SUMIF(tblAnahtarB[NormB],$A458,tblVeriB[Roas]),0))</f>
        <v/>
      </c>
      <c r="R458" s="16">
        <f>IF($A458="","",IF(OR(IFERROR(INDEX(tblVeriA[YorumAB],MATCH($A458,tblAnahtarA[Norm],0)),"")="B",IFERROR(INDEX(tblVeriA[Durum],MATCH($A458,tblAnahtarA[Norm],0)),"")="Kampanya"),1,0))</f>
        <v/>
      </c>
      <c r="S458" s="16">
        <f>IF($A458="","",$J458-$E458)</f>
        <v/>
      </c>
      <c r="T458" s="16">
        <f>IF($A458="","",$K458-$O458)</f>
        <v/>
      </c>
    </row>
    <row r="459">
      <c r="A459" s="16">
        <f>IF('ANAHTAR'!$B459="","",'ANAHTAR'!$B459)</f>
        <v/>
      </c>
      <c r="B459" s="16">
        <f>IF($A459="","",IFERROR(SUMIF(tblAnahtarA[Norm],$A459,tblVeriA[SatisFiyati]),0))</f>
        <v/>
      </c>
      <c r="C459" s="16">
        <f>IF($A459="","",IFERROR(SUMIF(tblAnahtarA[Norm],$A459,tblVeriA[Maliyet]),0))</f>
        <v/>
      </c>
      <c r="D459" s="16">
        <f>IF($A459="","",IFERROR(SUMIF(tblAnahtarB[NormB],$A459,tblVeriB[KomisyonOran]),0))</f>
        <v/>
      </c>
      <c r="E459" s="16">
        <f>IF($A459="","",ROUND($B459*$D459,2))</f>
        <v/>
      </c>
      <c r="F459" s="16">
        <f>IF($A459="","",IFERROR(SUMIF(tblAnahtarB[NormB],$A459,tblVeriB[Kargo]),0))</f>
        <v/>
      </c>
      <c r="G459" s="16">
        <f>IF($A459="","",IFERROR(SUMIF(tblAnahtarB[NormB],$A459,tblVeriB[IadeOran]),0))</f>
        <v/>
      </c>
      <c r="H459" s="16">
        <f>IF($A459="","",ROUND($B459*$G459,2))</f>
        <v/>
      </c>
      <c r="I459" s="16">
        <f>IF($A459="","",IFERROR(SUMIF(tblAnahtarB[NormB],$A459,tblVeriB[ReklamTutar]),0))</f>
        <v/>
      </c>
      <c r="J459" s="16">
        <f>IF($A459="","",ROUND($B459-$C459,2))</f>
        <v/>
      </c>
      <c r="K459" s="16">
        <f>IF($A459="","",ROUND($B459-$C459-$E459-$F459-$H459-$I459,2))</f>
        <v/>
      </c>
      <c r="L459" s="16">
        <f>IF(OR($A459="",$B459=0),0,$K459/$B459)</f>
        <v/>
      </c>
      <c r="M459" s="16">
        <f>IF($A459="","",IF((1-$D459-$G459)&lt;=0,0,ROUND(($C459+$F459+$I459)/(1-$D459-$G459),2)))</f>
        <v/>
      </c>
      <c r="N459" s="16">
        <f>IF($A459="","",IFERROR(SUMIF(tblAnahtarA[Norm],$A459,tblVeriA[HedefNet]),0))</f>
        <v/>
      </c>
      <c r="O459" s="16">
        <f>IF($A459="","",ROUND($K459-$N459,2))</f>
        <v/>
      </c>
      <c r="P459" s="16">
        <f>IF($A459="","",IF($L459&lt;egk_esikKatkiDusuk,"ZAM YAP",IF(AND($R459=1,$L459&lt;egk_esikKatkiHedef),"İNDİRİMİ KES","TUT")))</f>
        <v/>
      </c>
      <c r="Q459" s="16">
        <f>IF($A459="","",IFERROR(SUMIF(tblAnahtarB[NormB],$A459,tblVeriB[Roas]),0))</f>
        <v/>
      </c>
      <c r="R459" s="16">
        <f>IF($A459="","",IF(OR(IFERROR(INDEX(tblVeriA[YorumAB],MATCH($A459,tblAnahtarA[Norm],0)),"")="B",IFERROR(INDEX(tblVeriA[Durum],MATCH($A459,tblAnahtarA[Norm],0)),"")="Kampanya"),1,0))</f>
        <v/>
      </c>
      <c r="S459" s="16">
        <f>IF($A459="","",$J459-$E459)</f>
        <v/>
      </c>
      <c r="T459" s="16">
        <f>IF($A459="","",$K459-$O459)</f>
        <v/>
      </c>
    </row>
    <row r="460">
      <c r="A460" s="16">
        <f>IF('ANAHTAR'!$B460="","",'ANAHTAR'!$B460)</f>
        <v/>
      </c>
      <c r="B460" s="16">
        <f>IF($A460="","",IFERROR(SUMIF(tblAnahtarA[Norm],$A460,tblVeriA[SatisFiyati]),0))</f>
        <v/>
      </c>
      <c r="C460" s="16">
        <f>IF($A460="","",IFERROR(SUMIF(tblAnahtarA[Norm],$A460,tblVeriA[Maliyet]),0))</f>
        <v/>
      </c>
      <c r="D460" s="16">
        <f>IF($A460="","",IFERROR(SUMIF(tblAnahtarB[NormB],$A460,tblVeriB[KomisyonOran]),0))</f>
        <v/>
      </c>
      <c r="E460" s="16">
        <f>IF($A460="","",ROUND($B460*$D460,2))</f>
        <v/>
      </c>
      <c r="F460" s="16">
        <f>IF($A460="","",IFERROR(SUMIF(tblAnahtarB[NormB],$A460,tblVeriB[Kargo]),0))</f>
        <v/>
      </c>
      <c r="G460" s="16">
        <f>IF($A460="","",IFERROR(SUMIF(tblAnahtarB[NormB],$A460,tblVeriB[IadeOran]),0))</f>
        <v/>
      </c>
      <c r="H460" s="16">
        <f>IF($A460="","",ROUND($B460*$G460,2))</f>
        <v/>
      </c>
      <c r="I460" s="16">
        <f>IF($A460="","",IFERROR(SUMIF(tblAnahtarB[NormB],$A460,tblVeriB[ReklamTutar]),0))</f>
        <v/>
      </c>
      <c r="J460" s="16">
        <f>IF($A460="","",ROUND($B460-$C460,2))</f>
        <v/>
      </c>
      <c r="K460" s="16">
        <f>IF($A460="","",ROUND($B460-$C460-$E460-$F460-$H460-$I460,2))</f>
        <v/>
      </c>
      <c r="L460" s="16">
        <f>IF(OR($A460="",$B460=0),0,$K460/$B460)</f>
        <v/>
      </c>
      <c r="M460" s="16">
        <f>IF($A460="","",IF((1-$D460-$G460)&lt;=0,0,ROUND(($C460+$F460+$I460)/(1-$D460-$G460),2)))</f>
        <v/>
      </c>
      <c r="N460" s="16">
        <f>IF($A460="","",IFERROR(SUMIF(tblAnahtarA[Norm],$A460,tblVeriA[HedefNet]),0))</f>
        <v/>
      </c>
      <c r="O460" s="16">
        <f>IF($A460="","",ROUND($K460-$N460,2))</f>
        <v/>
      </c>
      <c r="P460" s="16">
        <f>IF($A460="","",IF($L460&lt;egk_esikKatkiDusuk,"ZAM YAP",IF(AND($R460=1,$L460&lt;egk_esikKatkiHedef),"İNDİRİMİ KES","TUT")))</f>
        <v/>
      </c>
      <c r="Q460" s="16">
        <f>IF($A460="","",IFERROR(SUMIF(tblAnahtarB[NormB],$A460,tblVeriB[Roas]),0))</f>
        <v/>
      </c>
      <c r="R460" s="16">
        <f>IF($A460="","",IF(OR(IFERROR(INDEX(tblVeriA[YorumAB],MATCH($A460,tblAnahtarA[Norm],0)),"")="B",IFERROR(INDEX(tblVeriA[Durum],MATCH($A460,tblAnahtarA[Norm],0)),"")="Kampanya"),1,0))</f>
        <v/>
      </c>
      <c r="S460" s="16">
        <f>IF($A460="","",$J460-$E460)</f>
        <v/>
      </c>
      <c r="T460" s="16">
        <f>IF($A460="","",$K460-$O460)</f>
        <v/>
      </c>
    </row>
    <row r="461">
      <c r="A461" s="16">
        <f>IF('ANAHTAR'!$B461="","",'ANAHTAR'!$B461)</f>
        <v/>
      </c>
      <c r="B461" s="16">
        <f>IF($A461="","",IFERROR(SUMIF(tblAnahtarA[Norm],$A461,tblVeriA[SatisFiyati]),0))</f>
        <v/>
      </c>
      <c r="C461" s="16">
        <f>IF($A461="","",IFERROR(SUMIF(tblAnahtarA[Norm],$A461,tblVeriA[Maliyet]),0))</f>
        <v/>
      </c>
      <c r="D461" s="16">
        <f>IF($A461="","",IFERROR(SUMIF(tblAnahtarB[NormB],$A461,tblVeriB[KomisyonOran]),0))</f>
        <v/>
      </c>
      <c r="E461" s="16">
        <f>IF($A461="","",ROUND($B461*$D461,2))</f>
        <v/>
      </c>
      <c r="F461" s="16">
        <f>IF($A461="","",IFERROR(SUMIF(tblAnahtarB[NormB],$A461,tblVeriB[Kargo]),0))</f>
        <v/>
      </c>
      <c r="G461" s="16">
        <f>IF($A461="","",IFERROR(SUMIF(tblAnahtarB[NormB],$A461,tblVeriB[IadeOran]),0))</f>
        <v/>
      </c>
      <c r="H461" s="16">
        <f>IF($A461="","",ROUND($B461*$G461,2))</f>
        <v/>
      </c>
      <c r="I461" s="16">
        <f>IF($A461="","",IFERROR(SUMIF(tblAnahtarB[NormB],$A461,tblVeriB[ReklamTutar]),0))</f>
        <v/>
      </c>
      <c r="J461" s="16">
        <f>IF($A461="","",ROUND($B461-$C461,2))</f>
        <v/>
      </c>
      <c r="K461" s="16">
        <f>IF($A461="","",ROUND($B461-$C461-$E461-$F461-$H461-$I461,2))</f>
        <v/>
      </c>
      <c r="L461" s="16">
        <f>IF(OR($A461="",$B461=0),0,$K461/$B461)</f>
        <v/>
      </c>
      <c r="M461" s="16">
        <f>IF($A461="","",IF((1-$D461-$G461)&lt;=0,0,ROUND(($C461+$F461+$I461)/(1-$D461-$G461),2)))</f>
        <v/>
      </c>
      <c r="N461" s="16">
        <f>IF($A461="","",IFERROR(SUMIF(tblAnahtarA[Norm],$A461,tblVeriA[HedefNet]),0))</f>
        <v/>
      </c>
      <c r="O461" s="16">
        <f>IF($A461="","",ROUND($K461-$N461,2))</f>
        <v/>
      </c>
      <c r="P461" s="16">
        <f>IF($A461="","",IF($L461&lt;egk_esikKatkiDusuk,"ZAM YAP",IF(AND($R461=1,$L461&lt;egk_esikKatkiHedef),"İNDİRİMİ KES","TUT")))</f>
        <v/>
      </c>
      <c r="Q461" s="16">
        <f>IF($A461="","",IFERROR(SUMIF(tblAnahtarB[NormB],$A461,tblVeriB[Roas]),0))</f>
        <v/>
      </c>
      <c r="R461" s="16">
        <f>IF($A461="","",IF(OR(IFERROR(INDEX(tblVeriA[YorumAB],MATCH($A461,tblAnahtarA[Norm],0)),"")="B",IFERROR(INDEX(tblVeriA[Durum],MATCH($A461,tblAnahtarA[Norm],0)),"")="Kampanya"),1,0))</f>
        <v/>
      </c>
      <c r="S461" s="16">
        <f>IF($A461="","",$J461-$E461)</f>
        <v/>
      </c>
      <c r="T461" s="16">
        <f>IF($A461="","",$K461-$O461)</f>
        <v/>
      </c>
    </row>
    <row r="462">
      <c r="A462" s="16">
        <f>IF('ANAHTAR'!$B462="","",'ANAHTAR'!$B462)</f>
        <v/>
      </c>
      <c r="B462" s="16">
        <f>IF($A462="","",IFERROR(SUMIF(tblAnahtarA[Norm],$A462,tblVeriA[SatisFiyati]),0))</f>
        <v/>
      </c>
      <c r="C462" s="16">
        <f>IF($A462="","",IFERROR(SUMIF(tblAnahtarA[Norm],$A462,tblVeriA[Maliyet]),0))</f>
        <v/>
      </c>
      <c r="D462" s="16">
        <f>IF($A462="","",IFERROR(SUMIF(tblAnahtarB[NormB],$A462,tblVeriB[KomisyonOran]),0))</f>
        <v/>
      </c>
      <c r="E462" s="16">
        <f>IF($A462="","",ROUND($B462*$D462,2))</f>
        <v/>
      </c>
      <c r="F462" s="16">
        <f>IF($A462="","",IFERROR(SUMIF(tblAnahtarB[NormB],$A462,tblVeriB[Kargo]),0))</f>
        <v/>
      </c>
      <c r="G462" s="16">
        <f>IF($A462="","",IFERROR(SUMIF(tblAnahtarB[NormB],$A462,tblVeriB[IadeOran]),0))</f>
        <v/>
      </c>
      <c r="H462" s="16">
        <f>IF($A462="","",ROUND($B462*$G462,2))</f>
        <v/>
      </c>
      <c r="I462" s="16">
        <f>IF($A462="","",IFERROR(SUMIF(tblAnahtarB[NormB],$A462,tblVeriB[ReklamTutar]),0))</f>
        <v/>
      </c>
      <c r="J462" s="16">
        <f>IF($A462="","",ROUND($B462-$C462,2))</f>
        <v/>
      </c>
      <c r="K462" s="16">
        <f>IF($A462="","",ROUND($B462-$C462-$E462-$F462-$H462-$I462,2))</f>
        <v/>
      </c>
      <c r="L462" s="16">
        <f>IF(OR($A462="",$B462=0),0,$K462/$B462)</f>
        <v/>
      </c>
      <c r="M462" s="16">
        <f>IF($A462="","",IF((1-$D462-$G462)&lt;=0,0,ROUND(($C462+$F462+$I462)/(1-$D462-$G462),2)))</f>
        <v/>
      </c>
      <c r="N462" s="16">
        <f>IF($A462="","",IFERROR(SUMIF(tblAnahtarA[Norm],$A462,tblVeriA[HedefNet]),0))</f>
        <v/>
      </c>
      <c r="O462" s="16">
        <f>IF($A462="","",ROUND($K462-$N462,2))</f>
        <v/>
      </c>
      <c r="P462" s="16">
        <f>IF($A462="","",IF($L462&lt;egk_esikKatkiDusuk,"ZAM YAP",IF(AND($R462=1,$L462&lt;egk_esikKatkiHedef),"İNDİRİMİ KES","TUT")))</f>
        <v/>
      </c>
      <c r="Q462" s="16">
        <f>IF($A462="","",IFERROR(SUMIF(tblAnahtarB[NormB],$A462,tblVeriB[Roas]),0))</f>
        <v/>
      </c>
      <c r="R462" s="16">
        <f>IF($A462="","",IF(OR(IFERROR(INDEX(tblVeriA[YorumAB],MATCH($A462,tblAnahtarA[Norm],0)),"")="B",IFERROR(INDEX(tblVeriA[Durum],MATCH($A462,tblAnahtarA[Norm],0)),"")="Kampanya"),1,0))</f>
        <v/>
      </c>
      <c r="S462" s="16">
        <f>IF($A462="","",$J462-$E462)</f>
        <v/>
      </c>
      <c r="T462" s="16">
        <f>IF($A462="","",$K462-$O462)</f>
        <v/>
      </c>
    </row>
    <row r="463">
      <c r="A463" s="16">
        <f>IF('ANAHTAR'!$B463="","",'ANAHTAR'!$B463)</f>
        <v/>
      </c>
      <c r="B463" s="16">
        <f>IF($A463="","",IFERROR(SUMIF(tblAnahtarA[Norm],$A463,tblVeriA[SatisFiyati]),0))</f>
        <v/>
      </c>
      <c r="C463" s="16">
        <f>IF($A463="","",IFERROR(SUMIF(tblAnahtarA[Norm],$A463,tblVeriA[Maliyet]),0))</f>
        <v/>
      </c>
      <c r="D463" s="16">
        <f>IF($A463="","",IFERROR(SUMIF(tblAnahtarB[NormB],$A463,tblVeriB[KomisyonOran]),0))</f>
        <v/>
      </c>
      <c r="E463" s="16">
        <f>IF($A463="","",ROUND($B463*$D463,2))</f>
        <v/>
      </c>
      <c r="F463" s="16">
        <f>IF($A463="","",IFERROR(SUMIF(tblAnahtarB[NormB],$A463,tblVeriB[Kargo]),0))</f>
        <v/>
      </c>
      <c r="G463" s="16">
        <f>IF($A463="","",IFERROR(SUMIF(tblAnahtarB[NormB],$A463,tblVeriB[IadeOran]),0))</f>
        <v/>
      </c>
      <c r="H463" s="16">
        <f>IF($A463="","",ROUND($B463*$G463,2))</f>
        <v/>
      </c>
      <c r="I463" s="16">
        <f>IF($A463="","",IFERROR(SUMIF(tblAnahtarB[NormB],$A463,tblVeriB[ReklamTutar]),0))</f>
        <v/>
      </c>
      <c r="J463" s="16">
        <f>IF($A463="","",ROUND($B463-$C463,2))</f>
        <v/>
      </c>
      <c r="K463" s="16">
        <f>IF($A463="","",ROUND($B463-$C463-$E463-$F463-$H463-$I463,2))</f>
        <v/>
      </c>
      <c r="L463" s="16">
        <f>IF(OR($A463="",$B463=0),0,$K463/$B463)</f>
        <v/>
      </c>
      <c r="M463" s="16">
        <f>IF($A463="","",IF((1-$D463-$G463)&lt;=0,0,ROUND(($C463+$F463+$I463)/(1-$D463-$G463),2)))</f>
        <v/>
      </c>
      <c r="N463" s="16">
        <f>IF($A463="","",IFERROR(SUMIF(tblAnahtarA[Norm],$A463,tblVeriA[HedefNet]),0))</f>
        <v/>
      </c>
      <c r="O463" s="16">
        <f>IF($A463="","",ROUND($K463-$N463,2))</f>
        <v/>
      </c>
      <c r="P463" s="16">
        <f>IF($A463="","",IF($L463&lt;egk_esikKatkiDusuk,"ZAM YAP",IF(AND($R463=1,$L463&lt;egk_esikKatkiHedef),"İNDİRİMİ KES","TUT")))</f>
        <v/>
      </c>
      <c r="Q463" s="16">
        <f>IF($A463="","",IFERROR(SUMIF(tblAnahtarB[NormB],$A463,tblVeriB[Roas]),0))</f>
        <v/>
      </c>
      <c r="R463" s="16">
        <f>IF($A463="","",IF(OR(IFERROR(INDEX(tblVeriA[YorumAB],MATCH($A463,tblAnahtarA[Norm],0)),"")="B",IFERROR(INDEX(tblVeriA[Durum],MATCH($A463,tblAnahtarA[Norm],0)),"")="Kampanya"),1,0))</f>
        <v/>
      </c>
      <c r="S463" s="16">
        <f>IF($A463="","",$J463-$E463)</f>
        <v/>
      </c>
      <c r="T463" s="16">
        <f>IF($A463="","",$K463-$O463)</f>
        <v/>
      </c>
    </row>
    <row r="464">
      <c r="A464" s="16">
        <f>IF('ANAHTAR'!$B464="","",'ANAHTAR'!$B464)</f>
        <v/>
      </c>
      <c r="B464" s="16">
        <f>IF($A464="","",IFERROR(SUMIF(tblAnahtarA[Norm],$A464,tblVeriA[SatisFiyati]),0))</f>
        <v/>
      </c>
      <c r="C464" s="16">
        <f>IF($A464="","",IFERROR(SUMIF(tblAnahtarA[Norm],$A464,tblVeriA[Maliyet]),0))</f>
        <v/>
      </c>
      <c r="D464" s="16">
        <f>IF($A464="","",IFERROR(SUMIF(tblAnahtarB[NormB],$A464,tblVeriB[KomisyonOran]),0))</f>
        <v/>
      </c>
      <c r="E464" s="16">
        <f>IF($A464="","",ROUND($B464*$D464,2))</f>
        <v/>
      </c>
      <c r="F464" s="16">
        <f>IF($A464="","",IFERROR(SUMIF(tblAnahtarB[NormB],$A464,tblVeriB[Kargo]),0))</f>
        <v/>
      </c>
      <c r="G464" s="16">
        <f>IF($A464="","",IFERROR(SUMIF(tblAnahtarB[NormB],$A464,tblVeriB[IadeOran]),0))</f>
        <v/>
      </c>
      <c r="H464" s="16">
        <f>IF($A464="","",ROUND($B464*$G464,2))</f>
        <v/>
      </c>
      <c r="I464" s="16">
        <f>IF($A464="","",IFERROR(SUMIF(tblAnahtarB[NormB],$A464,tblVeriB[ReklamTutar]),0))</f>
        <v/>
      </c>
      <c r="J464" s="16">
        <f>IF($A464="","",ROUND($B464-$C464,2))</f>
        <v/>
      </c>
      <c r="K464" s="16">
        <f>IF($A464="","",ROUND($B464-$C464-$E464-$F464-$H464-$I464,2))</f>
        <v/>
      </c>
      <c r="L464" s="16">
        <f>IF(OR($A464="",$B464=0),0,$K464/$B464)</f>
        <v/>
      </c>
      <c r="M464" s="16">
        <f>IF($A464="","",IF((1-$D464-$G464)&lt;=0,0,ROUND(($C464+$F464+$I464)/(1-$D464-$G464),2)))</f>
        <v/>
      </c>
      <c r="N464" s="16">
        <f>IF($A464="","",IFERROR(SUMIF(tblAnahtarA[Norm],$A464,tblVeriA[HedefNet]),0))</f>
        <v/>
      </c>
      <c r="O464" s="16">
        <f>IF($A464="","",ROUND($K464-$N464,2))</f>
        <v/>
      </c>
      <c r="P464" s="16">
        <f>IF($A464="","",IF($L464&lt;egk_esikKatkiDusuk,"ZAM YAP",IF(AND($R464=1,$L464&lt;egk_esikKatkiHedef),"İNDİRİMİ KES","TUT")))</f>
        <v/>
      </c>
      <c r="Q464" s="16">
        <f>IF($A464="","",IFERROR(SUMIF(tblAnahtarB[NormB],$A464,tblVeriB[Roas]),0))</f>
        <v/>
      </c>
      <c r="R464" s="16">
        <f>IF($A464="","",IF(OR(IFERROR(INDEX(tblVeriA[YorumAB],MATCH($A464,tblAnahtarA[Norm],0)),"")="B",IFERROR(INDEX(tblVeriA[Durum],MATCH($A464,tblAnahtarA[Norm],0)),"")="Kampanya"),1,0))</f>
        <v/>
      </c>
      <c r="S464" s="16">
        <f>IF($A464="","",$J464-$E464)</f>
        <v/>
      </c>
      <c r="T464" s="16">
        <f>IF($A464="","",$K464-$O464)</f>
        <v/>
      </c>
    </row>
    <row r="465">
      <c r="A465" s="16">
        <f>IF('ANAHTAR'!$B465="","",'ANAHTAR'!$B465)</f>
        <v/>
      </c>
      <c r="B465" s="16">
        <f>IF($A465="","",IFERROR(SUMIF(tblAnahtarA[Norm],$A465,tblVeriA[SatisFiyati]),0))</f>
        <v/>
      </c>
      <c r="C465" s="16">
        <f>IF($A465="","",IFERROR(SUMIF(tblAnahtarA[Norm],$A465,tblVeriA[Maliyet]),0))</f>
        <v/>
      </c>
      <c r="D465" s="16">
        <f>IF($A465="","",IFERROR(SUMIF(tblAnahtarB[NormB],$A465,tblVeriB[KomisyonOran]),0))</f>
        <v/>
      </c>
      <c r="E465" s="16">
        <f>IF($A465="","",ROUND($B465*$D465,2))</f>
        <v/>
      </c>
      <c r="F465" s="16">
        <f>IF($A465="","",IFERROR(SUMIF(tblAnahtarB[NormB],$A465,tblVeriB[Kargo]),0))</f>
        <v/>
      </c>
      <c r="G465" s="16">
        <f>IF($A465="","",IFERROR(SUMIF(tblAnahtarB[NormB],$A465,tblVeriB[IadeOran]),0))</f>
        <v/>
      </c>
      <c r="H465" s="16">
        <f>IF($A465="","",ROUND($B465*$G465,2))</f>
        <v/>
      </c>
      <c r="I465" s="16">
        <f>IF($A465="","",IFERROR(SUMIF(tblAnahtarB[NormB],$A465,tblVeriB[ReklamTutar]),0))</f>
        <v/>
      </c>
      <c r="J465" s="16">
        <f>IF($A465="","",ROUND($B465-$C465,2))</f>
        <v/>
      </c>
      <c r="K465" s="16">
        <f>IF($A465="","",ROUND($B465-$C465-$E465-$F465-$H465-$I465,2))</f>
        <v/>
      </c>
      <c r="L465" s="16">
        <f>IF(OR($A465="",$B465=0),0,$K465/$B465)</f>
        <v/>
      </c>
      <c r="M465" s="16">
        <f>IF($A465="","",IF((1-$D465-$G465)&lt;=0,0,ROUND(($C465+$F465+$I465)/(1-$D465-$G465),2)))</f>
        <v/>
      </c>
      <c r="N465" s="16">
        <f>IF($A465="","",IFERROR(SUMIF(tblAnahtarA[Norm],$A465,tblVeriA[HedefNet]),0))</f>
        <v/>
      </c>
      <c r="O465" s="16">
        <f>IF($A465="","",ROUND($K465-$N465,2))</f>
        <v/>
      </c>
      <c r="P465" s="16">
        <f>IF($A465="","",IF($L465&lt;egk_esikKatkiDusuk,"ZAM YAP",IF(AND($R465=1,$L465&lt;egk_esikKatkiHedef),"İNDİRİMİ KES","TUT")))</f>
        <v/>
      </c>
      <c r="Q465" s="16">
        <f>IF($A465="","",IFERROR(SUMIF(tblAnahtarB[NormB],$A465,tblVeriB[Roas]),0))</f>
        <v/>
      </c>
      <c r="R465" s="16">
        <f>IF($A465="","",IF(OR(IFERROR(INDEX(tblVeriA[YorumAB],MATCH($A465,tblAnahtarA[Norm],0)),"")="B",IFERROR(INDEX(tblVeriA[Durum],MATCH($A465,tblAnahtarA[Norm],0)),"")="Kampanya"),1,0))</f>
        <v/>
      </c>
      <c r="S465" s="16">
        <f>IF($A465="","",$J465-$E465)</f>
        <v/>
      </c>
      <c r="T465" s="16">
        <f>IF($A465="","",$K465-$O465)</f>
        <v/>
      </c>
    </row>
    <row r="466">
      <c r="A466" s="16">
        <f>IF('ANAHTAR'!$B466="","",'ANAHTAR'!$B466)</f>
        <v/>
      </c>
      <c r="B466" s="16">
        <f>IF($A466="","",IFERROR(SUMIF(tblAnahtarA[Norm],$A466,tblVeriA[SatisFiyati]),0))</f>
        <v/>
      </c>
      <c r="C466" s="16">
        <f>IF($A466="","",IFERROR(SUMIF(tblAnahtarA[Norm],$A466,tblVeriA[Maliyet]),0))</f>
        <v/>
      </c>
      <c r="D466" s="16">
        <f>IF($A466="","",IFERROR(SUMIF(tblAnahtarB[NormB],$A466,tblVeriB[KomisyonOran]),0))</f>
        <v/>
      </c>
      <c r="E466" s="16">
        <f>IF($A466="","",ROUND($B466*$D466,2))</f>
        <v/>
      </c>
      <c r="F466" s="16">
        <f>IF($A466="","",IFERROR(SUMIF(tblAnahtarB[NormB],$A466,tblVeriB[Kargo]),0))</f>
        <v/>
      </c>
      <c r="G466" s="16">
        <f>IF($A466="","",IFERROR(SUMIF(tblAnahtarB[NormB],$A466,tblVeriB[IadeOran]),0))</f>
        <v/>
      </c>
      <c r="H466" s="16">
        <f>IF($A466="","",ROUND($B466*$G466,2))</f>
        <v/>
      </c>
      <c r="I466" s="16">
        <f>IF($A466="","",IFERROR(SUMIF(tblAnahtarB[NormB],$A466,tblVeriB[ReklamTutar]),0))</f>
        <v/>
      </c>
      <c r="J466" s="16">
        <f>IF($A466="","",ROUND($B466-$C466,2))</f>
        <v/>
      </c>
      <c r="K466" s="16">
        <f>IF($A466="","",ROUND($B466-$C466-$E466-$F466-$H466-$I466,2))</f>
        <v/>
      </c>
      <c r="L466" s="16">
        <f>IF(OR($A466="",$B466=0),0,$K466/$B466)</f>
        <v/>
      </c>
      <c r="M466" s="16">
        <f>IF($A466="","",IF((1-$D466-$G466)&lt;=0,0,ROUND(($C466+$F466+$I466)/(1-$D466-$G466),2)))</f>
        <v/>
      </c>
      <c r="N466" s="16">
        <f>IF($A466="","",IFERROR(SUMIF(tblAnahtarA[Norm],$A466,tblVeriA[HedefNet]),0))</f>
        <v/>
      </c>
      <c r="O466" s="16">
        <f>IF($A466="","",ROUND($K466-$N466,2))</f>
        <v/>
      </c>
      <c r="P466" s="16">
        <f>IF($A466="","",IF($L466&lt;egk_esikKatkiDusuk,"ZAM YAP",IF(AND($R466=1,$L466&lt;egk_esikKatkiHedef),"İNDİRİMİ KES","TUT")))</f>
        <v/>
      </c>
      <c r="Q466" s="16">
        <f>IF($A466="","",IFERROR(SUMIF(tblAnahtarB[NormB],$A466,tblVeriB[Roas]),0))</f>
        <v/>
      </c>
      <c r="R466" s="16">
        <f>IF($A466="","",IF(OR(IFERROR(INDEX(tblVeriA[YorumAB],MATCH($A466,tblAnahtarA[Norm],0)),"")="B",IFERROR(INDEX(tblVeriA[Durum],MATCH($A466,tblAnahtarA[Norm],0)),"")="Kampanya"),1,0))</f>
        <v/>
      </c>
      <c r="S466" s="16">
        <f>IF($A466="","",$J466-$E466)</f>
        <v/>
      </c>
      <c r="T466" s="16">
        <f>IF($A466="","",$K466-$O466)</f>
        <v/>
      </c>
    </row>
    <row r="467">
      <c r="A467" s="16">
        <f>IF('ANAHTAR'!$B467="","",'ANAHTAR'!$B467)</f>
        <v/>
      </c>
      <c r="B467" s="16">
        <f>IF($A467="","",IFERROR(SUMIF(tblAnahtarA[Norm],$A467,tblVeriA[SatisFiyati]),0))</f>
        <v/>
      </c>
      <c r="C467" s="16">
        <f>IF($A467="","",IFERROR(SUMIF(tblAnahtarA[Norm],$A467,tblVeriA[Maliyet]),0))</f>
        <v/>
      </c>
      <c r="D467" s="16">
        <f>IF($A467="","",IFERROR(SUMIF(tblAnahtarB[NormB],$A467,tblVeriB[KomisyonOran]),0))</f>
        <v/>
      </c>
      <c r="E467" s="16">
        <f>IF($A467="","",ROUND($B467*$D467,2))</f>
        <v/>
      </c>
      <c r="F467" s="16">
        <f>IF($A467="","",IFERROR(SUMIF(tblAnahtarB[NormB],$A467,tblVeriB[Kargo]),0))</f>
        <v/>
      </c>
      <c r="G467" s="16">
        <f>IF($A467="","",IFERROR(SUMIF(tblAnahtarB[NormB],$A467,tblVeriB[IadeOran]),0))</f>
        <v/>
      </c>
      <c r="H467" s="16">
        <f>IF($A467="","",ROUND($B467*$G467,2))</f>
        <v/>
      </c>
      <c r="I467" s="16">
        <f>IF($A467="","",IFERROR(SUMIF(tblAnahtarB[NormB],$A467,tblVeriB[ReklamTutar]),0))</f>
        <v/>
      </c>
      <c r="J467" s="16">
        <f>IF($A467="","",ROUND($B467-$C467,2))</f>
        <v/>
      </c>
      <c r="K467" s="16">
        <f>IF($A467="","",ROUND($B467-$C467-$E467-$F467-$H467-$I467,2))</f>
        <v/>
      </c>
      <c r="L467" s="16">
        <f>IF(OR($A467="",$B467=0),0,$K467/$B467)</f>
        <v/>
      </c>
      <c r="M467" s="16">
        <f>IF($A467="","",IF((1-$D467-$G467)&lt;=0,0,ROUND(($C467+$F467+$I467)/(1-$D467-$G467),2)))</f>
        <v/>
      </c>
      <c r="N467" s="16">
        <f>IF($A467="","",IFERROR(SUMIF(tblAnahtarA[Norm],$A467,tblVeriA[HedefNet]),0))</f>
        <v/>
      </c>
      <c r="O467" s="16">
        <f>IF($A467="","",ROUND($K467-$N467,2))</f>
        <v/>
      </c>
      <c r="P467" s="16">
        <f>IF($A467="","",IF($L467&lt;egk_esikKatkiDusuk,"ZAM YAP",IF(AND($R467=1,$L467&lt;egk_esikKatkiHedef),"İNDİRİMİ KES","TUT")))</f>
        <v/>
      </c>
      <c r="Q467" s="16">
        <f>IF($A467="","",IFERROR(SUMIF(tblAnahtarB[NormB],$A467,tblVeriB[Roas]),0))</f>
        <v/>
      </c>
      <c r="R467" s="16">
        <f>IF($A467="","",IF(OR(IFERROR(INDEX(tblVeriA[YorumAB],MATCH($A467,tblAnahtarA[Norm],0)),"")="B",IFERROR(INDEX(tblVeriA[Durum],MATCH($A467,tblAnahtarA[Norm],0)),"")="Kampanya"),1,0))</f>
        <v/>
      </c>
      <c r="S467" s="16">
        <f>IF($A467="","",$J467-$E467)</f>
        <v/>
      </c>
      <c r="T467" s="16">
        <f>IF($A467="","",$K467-$O467)</f>
        <v/>
      </c>
    </row>
    <row r="468">
      <c r="A468" s="16">
        <f>IF('ANAHTAR'!$B468="","",'ANAHTAR'!$B468)</f>
        <v/>
      </c>
      <c r="B468" s="16">
        <f>IF($A468="","",IFERROR(SUMIF(tblAnahtarA[Norm],$A468,tblVeriA[SatisFiyati]),0))</f>
        <v/>
      </c>
      <c r="C468" s="16">
        <f>IF($A468="","",IFERROR(SUMIF(tblAnahtarA[Norm],$A468,tblVeriA[Maliyet]),0))</f>
        <v/>
      </c>
      <c r="D468" s="16">
        <f>IF($A468="","",IFERROR(SUMIF(tblAnahtarB[NormB],$A468,tblVeriB[KomisyonOran]),0))</f>
        <v/>
      </c>
      <c r="E468" s="16">
        <f>IF($A468="","",ROUND($B468*$D468,2))</f>
        <v/>
      </c>
      <c r="F468" s="16">
        <f>IF($A468="","",IFERROR(SUMIF(tblAnahtarB[NormB],$A468,tblVeriB[Kargo]),0))</f>
        <v/>
      </c>
      <c r="G468" s="16">
        <f>IF($A468="","",IFERROR(SUMIF(tblAnahtarB[NormB],$A468,tblVeriB[IadeOran]),0))</f>
        <v/>
      </c>
      <c r="H468" s="16">
        <f>IF($A468="","",ROUND($B468*$G468,2))</f>
        <v/>
      </c>
      <c r="I468" s="16">
        <f>IF($A468="","",IFERROR(SUMIF(tblAnahtarB[NormB],$A468,tblVeriB[ReklamTutar]),0))</f>
        <v/>
      </c>
      <c r="J468" s="16">
        <f>IF($A468="","",ROUND($B468-$C468,2))</f>
        <v/>
      </c>
      <c r="K468" s="16">
        <f>IF($A468="","",ROUND($B468-$C468-$E468-$F468-$H468-$I468,2))</f>
        <v/>
      </c>
      <c r="L468" s="16">
        <f>IF(OR($A468="",$B468=0),0,$K468/$B468)</f>
        <v/>
      </c>
      <c r="M468" s="16">
        <f>IF($A468="","",IF((1-$D468-$G468)&lt;=0,0,ROUND(($C468+$F468+$I468)/(1-$D468-$G468),2)))</f>
        <v/>
      </c>
      <c r="N468" s="16">
        <f>IF($A468="","",IFERROR(SUMIF(tblAnahtarA[Norm],$A468,tblVeriA[HedefNet]),0))</f>
        <v/>
      </c>
      <c r="O468" s="16">
        <f>IF($A468="","",ROUND($K468-$N468,2))</f>
        <v/>
      </c>
      <c r="P468" s="16">
        <f>IF($A468="","",IF($L468&lt;egk_esikKatkiDusuk,"ZAM YAP",IF(AND($R468=1,$L468&lt;egk_esikKatkiHedef),"İNDİRİMİ KES","TUT")))</f>
        <v/>
      </c>
      <c r="Q468" s="16">
        <f>IF($A468="","",IFERROR(SUMIF(tblAnahtarB[NormB],$A468,tblVeriB[Roas]),0))</f>
        <v/>
      </c>
      <c r="R468" s="16">
        <f>IF($A468="","",IF(OR(IFERROR(INDEX(tblVeriA[YorumAB],MATCH($A468,tblAnahtarA[Norm],0)),"")="B",IFERROR(INDEX(tblVeriA[Durum],MATCH($A468,tblAnahtarA[Norm],0)),"")="Kampanya"),1,0))</f>
        <v/>
      </c>
      <c r="S468" s="16">
        <f>IF($A468="","",$J468-$E468)</f>
        <v/>
      </c>
      <c r="T468" s="16">
        <f>IF($A468="","",$K468-$O468)</f>
        <v/>
      </c>
    </row>
    <row r="469">
      <c r="A469" s="16">
        <f>IF('ANAHTAR'!$B469="","",'ANAHTAR'!$B469)</f>
        <v/>
      </c>
      <c r="B469" s="16">
        <f>IF($A469="","",IFERROR(SUMIF(tblAnahtarA[Norm],$A469,tblVeriA[SatisFiyati]),0))</f>
        <v/>
      </c>
      <c r="C469" s="16">
        <f>IF($A469="","",IFERROR(SUMIF(tblAnahtarA[Norm],$A469,tblVeriA[Maliyet]),0))</f>
        <v/>
      </c>
      <c r="D469" s="16">
        <f>IF($A469="","",IFERROR(SUMIF(tblAnahtarB[NormB],$A469,tblVeriB[KomisyonOran]),0))</f>
        <v/>
      </c>
      <c r="E469" s="16">
        <f>IF($A469="","",ROUND($B469*$D469,2))</f>
        <v/>
      </c>
      <c r="F469" s="16">
        <f>IF($A469="","",IFERROR(SUMIF(tblAnahtarB[NormB],$A469,tblVeriB[Kargo]),0))</f>
        <v/>
      </c>
      <c r="G469" s="16">
        <f>IF($A469="","",IFERROR(SUMIF(tblAnahtarB[NormB],$A469,tblVeriB[IadeOran]),0))</f>
        <v/>
      </c>
      <c r="H469" s="16">
        <f>IF($A469="","",ROUND($B469*$G469,2))</f>
        <v/>
      </c>
      <c r="I469" s="16">
        <f>IF($A469="","",IFERROR(SUMIF(tblAnahtarB[NormB],$A469,tblVeriB[ReklamTutar]),0))</f>
        <v/>
      </c>
      <c r="J469" s="16">
        <f>IF($A469="","",ROUND($B469-$C469,2))</f>
        <v/>
      </c>
      <c r="K469" s="16">
        <f>IF($A469="","",ROUND($B469-$C469-$E469-$F469-$H469-$I469,2))</f>
        <v/>
      </c>
      <c r="L469" s="16">
        <f>IF(OR($A469="",$B469=0),0,$K469/$B469)</f>
        <v/>
      </c>
      <c r="M469" s="16">
        <f>IF($A469="","",IF((1-$D469-$G469)&lt;=0,0,ROUND(($C469+$F469+$I469)/(1-$D469-$G469),2)))</f>
        <v/>
      </c>
      <c r="N469" s="16">
        <f>IF($A469="","",IFERROR(SUMIF(tblAnahtarA[Norm],$A469,tblVeriA[HedefNet]),0))</f>
        <v/>
      </c>
      <c r="O469" s="16">
        <f>IF($A469="","",ROUND($K469-$N469,2))</f>
        <v/>
      </c>
      <c r="P469" s="16">
        <f>IF($A469="","",IF($L469&lt;egk_esikKatkiDusuk,"ZAM YAP",IF(AND($R469=1,$L469&lt;egk_esikKatkiHedef),"İNDİRİMİ KES","TUT")))</f>
        <v/>
      </c>
      <c r="Q469" s="16">
        <f>IF($A469="","",IFERROR(SUMIF(tblAnahtarB[NormB],$A469,tblVeriB[Roas]),0))</f>
        <v/>
      </c>
      <c r="R469" s="16">
        <f>IF($A469="","",IF(OR(IFERROR(INDEX(tblVeriA[YorumAB],MATCH($A469,tblAnahtarA[Norm],0)),"")="B",IFERROR(INDEX(tblVeriA[Durum],MATCH($A469,tblAnahtarA[Norm],0)),"")="Kampanya"),1,0))</f>
        <v/>
      </c>
      <c r="S469" s="16">
        <f>IF($A469="","",$J469-$E469)</f>
        <v/>
      </c>
      <c r="T469" s="16">
        <f>IF($A469="","",$K469-$O469)</f>
        <v/>
      </c>
    </row>
    <row r="470">
      <c r="A470" s="16">
        <f>IF('ANAHTAR'!$B470="","",'ANAHTAR'!$B470)</f>
        <v/>
      </c>
      <c r="B470" s="16">
        <f>IF($A470="","",IFERROR(SUMIF(tblAnahtarA[Norm],$A470,tblVeriA[SatisFiyati]),0))</f>
        <v/>
      </c>
      <c r="C470" s="16">
        <f>IF($A470="","",IFERROR(SUMIF(tblAnahtarA[Norm],$A470,tblVeriA[Maliyet]),0))</f>
        <v/>
      </c>
      <c r="D470" s="16">
        <f>IF($A470="","",IFERROR(SUMIF(tblAnahtarB[NormB],$A470,tblVeriB[KomisyonOran]),0))</f>
        <v/>
      </c>
      <c r="E470" s="16">
        <f>IF($A470="","",ROUND($B470*$D470,2))</f>
        <v/>
      </c>
      <c r="F470" s="16">
        <f>IF($A470="","",IFERROR(SUMIF(tblAnahtarB[NormB],$A470,tblVeriB[Kargo]),0))</f>
        <v/>
      </c>
      <c r="G470" s="16">
        <f>IF($A470="","",IFERROR(SUMIF(tblAnahtarB[NormB],$A470,tblVeriB[IadeOran]),0))</f>
        <v/>
      </c>
      <c r="H470" s="16">
        <f>IF($A470="","",ROUND($B470*$G470,2))</f>
        <v/>
      </c>
      <c r="I470" s="16">
        <f>IF($A470="","",IFERROR(SUMIF(tblAnahtarB[NormB],$A470,tblVeriB[ReklamTutar]),0))</f>
        <v/>
      </c>
      <c r="J470" s="16">
        <f>IF($A470="","",ROUND($B470-$C470,2))</f>
        <v/>
      </c>
      <c r="K470" s="16">
        <f>IF($A470="","",ROUND($B470-$C470-$E470-$F470-$H470-$I470,2))</f>
        <v/>
      </c>
      <c r="L470" s="16">
        <f>IF(OR($A470="",$B470=0),0,$K470/$B470)</f>
        <v/>
      </c>
      <c r="M470" s="16">
        <f>IF($A470="","",IF((1-$D470-$G470)&lt;=0,0,ROUND(($C470+$F470+$I470)/(1-$D470-$G470),2)))</f>
        <v/>
      </c>
      <c r="N470" s="16">
        <f>IF($A470="","",IFERROR(SUMIF(tblAnahtarA[Norm],$A470,tblVeriA[HedefNet]),0))</f>
        <v/>
      </c>
      <c r="O470" s="16">
        <f>IF($A470="","",ROUND($K470-$N470,2))</f>
        <v/>
      </c>
      <c r="P470" s="16">
        <f>IF($A470="","",IF($L470&lt;egk_esikKatkiDusuk,"ZAM YAP",IF(AND($R470=1,$L470&lt;egk_esikKatkiHedef),"İNDİRİMİ KES","TUT")))</f>
        <v/>
      </c>
      <c r="Q470" s="16">
        <f>IF($A470="","",IFERROR(SUMIF(tblAnahtarB[NormB],$A470,tblVeriB[Roas]),0))</f>
        <v/>
      </c>
      <c r="R470" s="16">
        <f>IF($A470="","",IF(OR(IFERROR(INDEX(tblVeriA[YorumAB],MATCH($A470,tblAnahtarA[Norm],0)),"")="B",IFERROR(INDEX(tblVeriA[Durum],MATCH($A470,tblAnahtarA[Norm],0)),"")="Kampanya"),1,0))</f>
        <v/>
      </c>
      <c r="S470" s="16">
        <f>IF($A470="","",$J470-$E470)</f>
        <v/>
      </c>
      <c r="T470" s="16">
        <f>IF($A470="","",$K470-$O470)</f>
        <v/>
      </c>
    </row>
    <row r="471">
      <c r="A471" s="16">
        <f>IF('ANAHTAR'!$B471="","",'ANAHTAR'!$B471)</f>
        <v/>
      </c>
      <c r="B471" s="16">
        <f>IF($A471="","",IFERROR(SUMIF(tblAnahtarA[Norm],$A471,tblVeriA[SatisFiyati]),0))</f>
        <v/>
      </c>
      <c r="C471" s="16">
        <f>IF($A471="","",IFERROR(SUMIF(tblAnahtarA[Norm],$A471,tblVeriA[Maliyet]),0))</f>
        <v/>
      </c>
      <c r="D471" s="16">
        <f>IF($A471="","",IFERROR(SUMIF(tblAnahtarB[NormB],$A471,tblVeriB[KomisyonOran]),0))</f>
        <v/>
      </c>
      <c r="E471" s="16">
        <f>IF($A471="","",ROUND($B471*$D471,2))</f>
        <v/>
      </c>
      <c r="F471" s="16">
        <f>IF($A471="","",IFERROR(SUMIF(tblAnahtarB[NormB],$A471,tblVeriB[Kargo]),0))</f>
        <v/>
      </c>
      <c r="G471" s="16">
        <f>IF($A471="","",IFERROR(SUMIF(tblAnahtarB[NormB],$A471,tblVeriB[IadeOran]),0))</f>
        <v/>
      </c>
      <c r="H471" s="16">
        <f>IF($A471="","",ROUND($B471*$G471,2))</f>
        <v/>
      </c>
      <c r="I471" s="16">
        <f>IF($A471="","",IFERROR(SUMIF(tblAnahtarB[NormB],$A471,tblVeriB[ReklamTutar]),0))</f>
        <v/>
      </c>
      <c r="J471" s="16">
        <f>IF($A471="","",ROUND($B471-$C471,2))</f>
        <v/>
      </c>
      <c r="K471" s="16">
        <f>IF($A471="","",ROUND($B471-$C471-$E471-$F471-$H471-$I471,2))</f>
        <v/>
      </c>
      <c r="L471" s="16">
        <f>IF(OR($A471="",$B471=0),0,$K471/$B471)</f>
        <v/>
      </c>
      <c r="M471" s="16">
        <f>IF($A471="","",IF((1-$D471-$G471)&lt;=0,0,ROUND(($C471+$F471+$I471)/(1-$D471-$G471),2)))</f>
        <v/>
      </c>
      <c r="N471" s="16">
        <f>IF($A471="","",IFERROR(SUMIF(tblAnahtarA[Norm],$A471,tblVeriA[HedefNet]),0))</f>
        <v/>
      </c>
      <c r="O471" s="16">
        <f>IF($A471="","",ROUND($K471-$N471,2))</f>
        <v/>
      </c>
      <c r="P471" s="16">
        <f>IF($A471="","",IF($L471&lt;egk_esikKatkiDusuk,"ZAM YAP",IF(AND($R471=1,$L471&lt;egk_esikKatkiHedef),"İNDİRİMİ KES","TUT")))</f>
        <v/>
      </c>
      <c r="Q471" s="16">
        <f>IF($A471="","",IFERROR(SUMIF(tblAnahtarB[NormB],$A471,tblVeriB[Roas]),0))</f>
        <v/>
      </c>
      <c r="R471" s="16">
        <f>IF($A471="","",IF(OR(IFERROR(INDEX(tblVeriA[YorumAB],MATCH($A471,tblAnahtarA[Norm],0)),"")="B",IFERROR(INDEX(tblVeriA[Durum],MATCH($A471,tblAnahtarA[Norm],0)),"")="Kampanya"),1,0))</f>
        <v/>
      </c>
      <c r="S471" s="16">
        <f>IF($A471="","",$J471-$E471)</f>
        <v/>
      </c>
      <c r="T471" s="16">
        <f>IF($A471="","",$K471-$O471)</f>
        <v/>
      </c>
    </row>
    <row r="472">
      <c r="A472" s="16">
        <f>IF('ANAHTAR'!$B472="","",'ANAHTAR'!$B472)</f>
        <v/>
      </c>
      <c r="B472" s="16">
        <f>IF($A472="","",IFERROR(SUMIF(tblAnahtarA[Norm],$A472,tblVeriA[SatisFiyati]),0))</f>
        <v/>
      </c>
      <c r="C472" s="16">
        <f>IF($A472="","",IFERROR(SUMIF(tblAnahtarA[Norm],$A472,tblVeriA[Maliyet]),0))</f>
        <v/>
      </c>
      <c r="D472" s="16">
        <f>IF($A472="","",IFERROR(SUMIF(tblAnahtarB[NormB],$A472,tblVeriB[KomisyonOran]),0))</f>
        <v/>
      </c>
      <c r="E472" s="16">
        <f>IF($A472="","",ROUND($B472*$D472,2))</f>
        <v/>
      </c>
      <c r="F472" s="16">
        <f>IF($A472="","",IFERROR(SUMIF(tblAnahtarB[NormB],$A472,tblVeriB[Kargo]),0))</f>
        <v/>
      </c>
      <c r="G472" s="16">
        <f>IF($A472="","",IFERROR(SUMIF(tblAnahtarB[NormB],$A472,tblVeriB[IadeOran]),0))</f>
        <v/>
      </c>
      <c r="H472" s="16">
        <f>IF($A472="","",ROUND($B472*$G472,2))</f>
        <v/>
      </c>
      <c r="I472" s="16">
        <f>IF($A472="","",IFERROR(SUMIF(tblAnahtarB[NormB],$A472,tblVeriB[ReklamTutar]),0))</f>
        <v/>
      </c>
      <c r="J472" s="16">
        <f>IF($A472="","",ROUND($B472-$C472,2))</f>
        <v/>
      </c>
      <c r="K472" s="16">
        <f>IF($A472="","",ROUND($B472-$C472-$E472-$F472-$H472-$I472,2))</f>
        <v/>
      </c>
      <c r="L472" s="16">
        <f>IF(OR($A472="",$B472=0),0,$K472/$B472)</f>
        <v/>
      </c>
      <c r="M472" s="16">
        <f>IF($A472="","",IF((1-$D472-$G472)&lt;=0,0,ROUND(($C472+$F472+$I472)/(1-$D472-$G472),2)))</f>
        <v/>
      </c>
      <c r="N472" s="16">
        <f>IF($A472="","",IFERROR(SUMIF(tblAnahtarA[Norm],$A472,tblVeriA[HedefNet]),0))</f>
        <v/>
      </c>
      <c r="O472" s="16">
        <f>IF($A472="","",ROUND($K472-$N472,2))</f>
        <v/>
      </c>
      <c r="P472" s="16">
        <f>IF($A472="","",IF($L472&lt;egk_esikKatkiDusuk,"ZAM YAP",IF(AND($R472=1,$L472&lt;egk_esikKatkiHedef),"İNDİRİMİ KES","TUT")))</f>
        <v/>
      </c>
      <c r="Q472" s="16">
        <f>IF($A472="","",IFERROR(SUMIF(tblAnahtarB[NormB],$A472,tblVeriB[Roas]),0))</f>
        <v/>
      </c>
      <c r="R472" s="16">
        <f>IF($A472="","",IF(OR(IFERROR(INDEX(tblVeriA[YorumAB],MATCH($A472,tblAnahtarA[Norm],0)),"")="B",IFERROR(INDEX(tblVeriA[Durum],MATCH($A472,tblAnahtarA[Norm],0)),"")="Kampanya"),1,0))</f>
        <v/>
      </c>
      <c r="S472" s="16">
        <f>IF($A472="","",$J472-$E472)</f>
        <v/>
      </c>
      <c r="T472" s="16">
        <f>IF($A472="","",$K472-$O472)</f>
        <v/>
      </c>
    </row>
    <row r="473">
      <c r="A473" s="16">
        <f>IF('ANAHTAR'!$B473="","",'ANAHTAR'!$B473)</f>
        <v/>
      </c>
      <c r="B473" s="16">
        <f>IF($A473="","",IFERROR(SUMIF(tblAnahtarA[Norm],$A473,tblVeriA[SatisFiyati]),0))</f>
        <v/>
      </c>
      <c r="C473" s="16">
        <f>IF($A473="","",IFERROR(SUMIF(tblAnahtarA[Norm],$A473,tblVeriA[Maliyet]),0))</f>
        <v/>
      </c>
      <c r="D473" s="16">
        <f>IF($A473="","",IFERROR(SUMIF(tblAnahtarB[NormB],$A473,tblVeriB[KomisyonOran]),0))</f>
        <v/>
      </c>
      <c r="E473" s="16">
        <f>IF($A473="","",ROUND($B473*$D473,2))</f>
        <v/>
      </c>
      <c r="F473" s="16">
        <f>IF($A473="","",IFERROR(SUMIF(tblAnahtarB[NormB],$A473,tblVeriB[Kargo]),0))</f>
        <v/>
      </c>
      <c r="G473" s="16">
        <f>IF($A473="","",IFERROR(SUMIF(tblAnahtarB[NormB],$A473,tblVeriB[IadeOran]),0))</f>
        <v/>
      </c>
      <c r="H473" s="16">
        <f>IF($A473="","",ROUND($B473*$G473,2))</f>
        <v/>
      </c>
      <c r="I473" s="16">
        <f>IF($A473="","",IFERROR(SUMIF(tblAnahtarB[NormB],$A473,tblVeriB[ReklamTutar]),0))</f>
        <v/>
      </c>
      <c r="J473" s="16">
        <f>IF($A473="","",ROUND($B473-$C473,2))</f>
        <v/>
      </c>
      <c r="K473" s="16">
        <f>IF($A473="","",ROUND($B473-$C473-$E473-$F473-$H473-$I473,2))</f>
        <v/>
      </c>
      <c r="L473" s="16">
        <f>IF(OR($A473="",$B473=0),0,$K473/$B473)</f>
        <v/>
      </c>
      <c r="M473" s="16">
        <f>IF($A473="","",IF((1-$D473-$G473)&lt;=0,0,ROUND(($C473+$F473+$I473)/(1-$D473-$G473),2)))</f>
        <v/>
      </c>
      <c r="N473" s="16">
        <f>IF($A473="","",IFERROR(SUMIF(tblAnahtarA[Norm],$A473,tblVeriA[HedefNet]),0))</f>
        <v/>
      </c>
      <c r="O473" s="16">
        <f>IF($A473="","",ROUND($K473-$N473,2))</f>
        <v/>
      </c>
      <c r="P473" s="16">
        <f>IF($A473="","",IF($L473&lt;egk_esikKatkiDusuk,"ZAM YAP",IF(AND($R473=1,$L473&lt;egk_esikKatkiHedef),"İNDİRİMİ KES","TUT")))</f>
        <v/>
      </c>
      <c r="Q473" s="16">
        <f>IF($A473="","",IFERROR(SUMIF(tblAnahtarB[NormB],$A473,tblVeriB[Roas]),0))</f>
        <v/>
      </c>
      <c r="R473" s="16">
        <f>IF($A473="","",IF(OR(IFERROR(INDEX(tblVeriA[YorumAB],MATCH($A473,tblAnahtarA[Norm],0)),"")="B",IFERROR(INDEX(tblVeriA[Durum],MATCH($A473,tblAnahtarA[Norm],0)),"")="Kampanya"),1,0))</f>
        <v/>
      </c>
      <c r="S473" s="16">
        <f>IF($A473="","",$J473-$E473)</f>
        <v/>
      </c>
      <c r="T473" s="16">
        <f>IF($A473="","",$K473-$O473)</f>
        <v/>
      </c>
    </row>
    <row r="474">
      <c r="A474" s="16">
        <f>IF('ANAHTAR'!$B474="","",'ANAHTAR'!$B474)</f>
        <v/>
      </c>
      <c r="B474" s="16">
        <f>IF($A474="","",IFERROR(SUMIF(tblAnahtarA[Norm],$A474,tblVeriA[SatisFiyati]),0))</f>
        <v/>
      </c>
      <c r="C474" s="16">
        <f>IF($A474="","",IFERROR(SUMIF(tblAnahtarA[Norm],$A474,tblVeriA[Maliyet]),0))</f>
        <v/>
      </c>
      <c r="D474" s="16">
        <f>IF($A474="","",IFERROR(SUMIF(tblAnahtarB[NormB],$A474,tblVeriB[KomisyonOran]),0))</f>
        <v/>
      </c>
      <c r="E474" s="16">
        <f>IF($A474="","",ROUND($B474*$D474,2))</f>
        <v/>
      </c>
      <c r="F474" s="16">
        <f>IF($A474="","",IFERROR(SUMIF(tblAnahtarB[NormB],$A474,tblVeriB[Kargo]),0))</f>
        <v/>
      </c>
      <c r="G474" s="16">
        <f>IF($A474="","",IFERROR(SUMIF(tblAnahtarB[NormB],$A474,tblVeriB[IadeOran]),0))</f>
        <v/>
      </c>
      <c r="H474" s="16">
        <f>IF($A474="","",ROUND($B474*$G474,2))</f>
        <v/>
      </c>
      <c r="I474" s="16">
        <f>IF($A474="","",IFERROR(SUMIF(tblAnahtarB[NormB],$A474,tblVeriB[ReklamTutar]),0))</f>
        <v/>
      </c>
      <c r="J474" s="16">
        <f>IF($A474="","",ROUND($B474-$C474,2))</f>
        <v/>
      </c>
      <c r="K474" s="16">
        <f>IF($A474="","",ROUND($B474-$C474-$E474-$F474-$H474-$I474,2))</f>
        <v/>
      </c>
      <c r="L474" s="16">
        <f>IF(OR($A474="",$B474=0),0,$K474/$B474)</f>
        <v/>
      </c>
      <c r="M474" s="16">
        <f>IF($A474="","",IF((1-$D474-$G474)&lt;=0,0,ROUND(($C474+$F474+$I474)/(1-$D474-$G474),2)))</f>
        <v/>
      </c>
      <c r="N474" s="16">
        <f>IF($A474="","",IFERROR(SUMIF(tblAnahtarA[Norm],$A474,tblVeriA[HedefNet]),0))</f>
        <v/>
      </c>
      <c r="O474" s="16">
        <f>IF($A474="","",ROUND($K474-$N474,2))</f>
        <v/>
      </c>
      <c r="P474" s="16">
        <f>IF($A474="","",IF($L474&lt;egk_esikKatkiDusuk,"ZAM YAP",IF(AND($R474=1,$L474&lt;egk_esikKatkiHedef),"İNDİRİMİ KES","TUT")))</f>
        <v/>
      </c>
      <c r="Q474" s="16">
        <f>IF($A474="","",IFERROR(SUMIF(tblAnahtarB[NormB],$A474,tblVeriB[Roas]),0))</f>
        <v/>
      </c>
      <c r="R474" s="16">
        <f>IF($A474="","",IF(OR(IFERROR(INDEX(tblVeriA[YorumAB],MATCH($A474,tblAnahtarA[Norm],0)),"")="B",IFERROR(INDEX(tblVeriA[Durum],MATCH($A474,tblAnahtarA[Norm],0)),"")="Kampanya"),1,0))</f>
        <v/>
      </c>
      <c r="S474" s="16">
        <f>IF($A474="","",$J474-$E474)</f>
        <v/>
      </c>
      <c r="T474" s="16">
        <f>IF($A474="","",$K474-$O474)</f>
        <v/>
      </c>
    </row>
    <row r="475">
      <c r="A475" s="16">
        <f>IF('ANAHTAR'!$B475="","",'ANAHTAR'!$B475)</f>
        <v/>
      </c>
      <c r="B475" s="16">
        <f>IF($A475="","",IFERROR(SUMIF(tblAnahtarA[Norm],$A475,tblVeriA[SatisFiyati]),0))</f>
        <v/>
      </c>
      <c r="C475" s="16">
        <f>IF($A475="","",IFERROR(SUMIF(tblAnahtarA[Norm],$A475,tblVeriA[Maliyet]),0))</f>
        <v/>
      </c>
      <c r="D475" s="16">
        <f>IF($A475="","",IFERROR(SUMIF(tblAnahtarB[NormB],$A475,tblVeriB[KomisyonOran]),0))</f>
        <v/>
      </c>
      <c r="E475" s="16">
        <f>IF($A475="","",ROUND($B475*$D475,2))</f>
        <v/>
      </c>
      <c r="F475" s="16">
        <f>IF($A475="","",IFERROR(SUMIF(tblAnahtarB[NormB],$A475,tblVeriB[Kargo]),0))</f>
        <v/>
      </c>
      <c r="G475" s="16">
        <f>IF($A475="","",IFERROR(SUMIF(tblAnahtarB[NormB],$A475,tblVeriB[IadeOran]),0))</f>
        <v/>
      </c>
      <c r="H475" s="16">
        <f>IF($A475="","",ROUND($B475*$G475,2))</f>
        <v/>
      </c>
      <c r="I475" s="16">
        <f>IF($A475="","",IFERROR(SUMIF(tblAnahtarB[NormB],$A475,tblVeriB[ReklamTutar]),0))</f>
        <v/>
      </c>
      <c r="J475" s="16">
        <f>IF($A475="","",ROUND($B475-$C475,2))</f>
        <v/>
      </c>
      <c r="K475" s="16">
        <f>IF($A475="","",ROUND($B475-$C475-$E475-$F475-$H475-$I475,2))</f>
        <v/>
      </c>
      <c r="L475" s="16">
        <f>IF(OR($A475="",$B475=0),0,$K475/$B475)</f>
        <v/>
      </c>
      <c r="M475" s="16">
        <f>IF($A475="","",IF((1-$D475-$G475)&lt;=0,0,ROUND(($C475+$F475+$I475)/(1-$D475-$G475),2)))</f>
        <v/>
      </c>
      <c r="N475" s="16">
        <f>IF($A475="","",IFERROR(SUMIF(tblAnahtarA[Norm],$A475,tblVeriA[HedefNet]),0))</f>
        <v/>
      </c>
      <c r="O475" s="16">
        <f>IF($A475="","",ROUND($K475-$N475,2))</f>
        <v/>
      </c>
      <c r="P475" s="16">
        <f>IF($A475="","",IF($L475&lt;egk_esikKatkiDusuk,"ZAM YAP",IF(AND($R475=1,$L475&lt;egk_esikKatkiHedef),"İNDİRİMİ KES","TUT")))</f>
        <v/>
      </c>
      <c r="Q475" s="16">
        <f>IF($A475="","",IFERROR(SUMIF(tblAnahtarB[NormB],$A475,tblVeriB[Roas]),0))</f>
        <v/>
      </c>
      <c r="R475" s="16">
        <f>IF($A475="","",IF(OR(IFERROR(INDEX(tblVeriA[YorumAB],MATCH($A475,tblAnahtarA[Norm],0)),"")="B",IFERROR(INDEX(tblVeriA[Durum],MATCH($A475,tblAnahtarA[Norm],0)),"")="Kampanya"),1,0))</f>
        <v/>
      </c>
      <c r="S475" s="16">
        <f>IF($A475="","",$J475-$E475)</f>
        <v/>
      </c>
      <c r="T475" s="16">
        <f>IF($A475="","",$K475-$O475)</f>
        <v/>
      </c>
    </row>
    <row r="476">
      <c r="A476" s="16">
        <f>IF('ANAHTAR'!$B476="","",'ANAHTAR'!$B476)</f>
        <v/>
      </c>
      <c r="B476" s="16">
        <f>IF($A476="","",IFERROR(SUMIF(tblAnahtarA[Norm],$A476,tblVeriA[SatisFiyati]),0))</f>
        <v/>
      </c>
      <c r="C476" s="16">
        <f>IF($A476="","",IFERROR(SUMIF(tblAnahtarA[Norm],$A476,tblVeriA[Maliyet]),0))</f>
        <v/>
      </c>
      <c r="D476" s="16">
        <f>IF($A476="","",IFERROR(SUMIF(tblAnahtarB[NormB],$A476,tblVeriB[KomisyonOran]),0))</f>
        <v/>
      </c>
      <c r="E476" s="16">
        <f>IF($A476="","",ROUND($B476*$D476,2))</f>
        <v/>
      </c>
      <c r="F476" s="16">
        <f>IF($A476="","",IFERROR(SUMIF(tblAnahtarB[NormB],$A476,tblVeriB[Kargo]),0))</f>
        <v/>
      </c>
      <c r="G476" s="16">
        <f>IF($A476="","",IFERROR(SUMIF(tblAnahtarB[NormB],$A476,tblVeriB[IadeOran]),0))</f>
        <v/>
      </c>
      <c r="H476" s="16">
        <f>IF($A476="","",ROUND($B476*$G476,2))</f>
        <v/>
      </c>
      <c r="I476" s="16">
        <f>IF($A476="","",IFERROR(SUMIF(tblAnahtarB[NormB],$A476,tblVeriB[ReklamTutar]),0))</f>
        <v/>
      </c>
      <c r="J476" s="16">
        <f>IF($A476="","",ROUND($B476-$C476,2))</f>
        <v/>
      </c>
      <c r="K476" s="16">
        <f>IF($A476="","",ROUND($B476-$C476-$E476-$F476-$H476-$I476,2))</f>
        <v/>
      </c>
      <c r="L476" s="16">
        <f>IF(OR($A476="",$B476=0),0,$K476/$B476)</f>
        <v/>
      </c>
      <c r="M476" s="16">
        <f>IF($A476="","",IF((1-$D476-$G476)&lt;=0,0,ROUND(($C476+$F476+$I476)/(1-$D476-$G476),2)))</f>
        <v/>
      </c>
      <c r="N476" s="16">
        <f>IF($A476="","",IFERROR(SUMIF(tblAnahtarA[Norm],$A476,tblVeriA[HedefNet]),0))</f>
        <v/>
      </c>
      <c r="O476" s="16">
        <f>IF($A476="","",ROUND($K476-$N476,2))</f>
        <v/>
      </c>
      <c r="P476" s="16">
        <f>IF($A476="","",IF($L476&lt;egk_esikKatkiDusuk,"ZAM YAP",IF(AND($R476=1,$L476&lt;egk_esikKatkiHedef),"İNDİRİMİ KES","TUT")))</f>
        <v/>
      </c>
      <c r="Q476" s="16">
        <f>IF($A476="","",IFERROR(SUMIF(tblAnahtarB[NormB],$A476,tblVeriB[Roas]),0))</f>
        <v/>
      </c>
      <c r="R476" s="16">
        <f>IF($A476="","",IF(OR(IFERROR(INDEX(tblVeriA[YorumAB],MATCH($A476,tblAnahtarA[Norm],0)),"")="B",IFERROR(INDEX(tblVeriA[Durum],MATCH($A476,tblAnahtarA[Norm],0)),"")="Kampanya"),1,0))</f>
        <v/>
      </c>
      <c r="S476" s="16">
        <f>IF($A476="","",$J476-$E476)</f>
        <v/>
      </c>
      <c r="T476" s="16">
        <f>IF($A476="","",$K476-$O476)</f>
        <v/>
      </c>
    </row>
    <row r="477">
      <c r="A477" s="16">
        <f>IF('ANAHTAR'!$B477="","",'ANAHTAR'!$B477)</f>
        <v/>
      </c>
      <c r="B477" s="16">
        <f>IF($A477="","",IFERROR(SUMIF(tblAnahtarA[Norm],$A477,tblVeriA[SatisFiyati]),0))</f>
        <v/>
      </c>
      <c r="C477" s="16">
        <f>IF($A477="","",IFERROR(SUMIF(tblAnahtarA[Norm],$A477,tblVeriA[Maliyet]),0))</f>
        <v/>
      </c>
      <c r="D477" s="16">
        <f>IF($A477="","",IFERROR(SUMIF(tblAnahtarB[NormB],$A477,tblVeriB[KomisyonOran]),0))</f>
        <v/>
      </c>
      <c r="E477" s="16">
        <f>IF($A477="","",ROUND($B477*$D477,2))</f>
        <v/>
      </c>
      <c r="F477" s="16">
        <f>IF($A477="","",IFERROR(SUMIF(tblAnahtarB[NormB],$A477,tblVeriB[Kargo]),0))</f>
        <v/>
      </c>
      <c r="G477" s="16">
        <f>IF($A477="","",IFERROR(SUMIF(tblAnahtarB[NormB],$A477,tblVeriB[IadeOran]),0))</f>
        <v/>
      </c>
      <c r="H477" s="16">
        <f>IF($A477="","",ROUND($B477*$G477,2))</f>
        <v/>
      </c>
      <c r="I477" s="16">
        <f>IF($A477="","",IFERROR(SUMIF(tblAnahtarB[NormB],$A477,tblVeriB[ReklamTutar]),0))</f>
        <v/>
      </c>
      <c r="J477" s="16">
        <f>IF($A477="","",ROUND($B477-$C477,2))</f>
        <v/>
      </c>
      <c r="K477" s="16">
        <f>IF($A477="","",ROUND($B477-$C477-$E477-$F477-$H477-$I477,2))</f>
        <v/>
      </c>
      <c r="L477" s="16">
        <f>IF(OR($A477="",$B477=0),0,$K477/$B477)</f>
        <v/>
      </c>
      <c r="M477" s="16">
        <f>IF($A477="","",IF((1-$D477-$G477)&lt;=0,0,ROUND(($C477+$F477+$I477)/(1-$D477-$G477),2)))</f>
        <v/>
      </c>
      <c r="N477" s="16">
        <f>IF($A477="","",IFERROR(SUMIF(tblAnahtarA[Norm],$A477,tblVeriA[HedefNet]),0))</f>
        <v/>
      </c>
      <c r="O477" s="16">
        <f>IF($A477="","",ROUND($K477-$N477,2))</f>
        <v/>
      </c>
      <c r="P477" s="16">
        <f>IF($A477="","",IF($L477&lt;egk_esikKatkiDusuk,"ZAM YAP",IF(AND($R477=1,$L477&lt;egk_esikKatkiHedef),"İNDİRİMİ KES","TUT")))</f>
        <v/>
      </c>
      <c r="Q477" s="16">
        <f>IF($A477="","",IFERROR(SUMIF(tblAnahtarB[NormB],$A477,tblVeriB[Roas]),0))</f>
        <v/>
      </c>
      <c r="R477" s="16">
        <f>IF($A477="","",IF(OR(IFERROR(INDEX(tblVeriA[YorumAB],MATCH($A477,tblAnahtarA[Norm],0)),"")="B",IFERROR(INDEX(tblVeriA[Durum],MATCH($A477,tblAnahtarA[Norm],0)),"")="Kampanya"),1,0))</f>
        <v/>
      </c>
      <c r="S477" s="16">
        <f>IF($A477="","",$J477-$E477)</f>
        <v/>
      </c>
      <c r="T477" s="16">
        <f>IF($A477="","",$K477-$O477)</f>
        <v/>
      </c>
    </row>
    <row r="478">
      <c r="A478" s="16">
        <f>IF('ANAHTAR'!$B478="","",'ANAHTAR'!$B478)</f>
        <v/>
      </c>
      <c r="B478" s="16">
        <f>IF($A478="","",IFERROR(SUMIF(tblAnahtarA[Norm],$A478,tblVeriA[SatisFiyati]),0))</f>
        <v/>
      </c>
      <c r="C478" s="16">
        <f>IF($A478="","",IFERROR(SUMIF(tblAnahtarA[Norm],$A478,tblVeriA[Maliyet]),0))</f>
        <v/>
      </c>
      <c r="D478" s="16">
        <f>IF($A478="","",IFERROR(SUMIF(tblAnahtarB[NormB],$A478,tblVeriB[KomisyonOran]),0))</f>
        <v/>
      </c>
      <c r="E478" s="16">
        <f>IF($A478="","",ROUND($B478*$D478,2))</f>
        <v/>
      </c>
      <c r="F478" s="16">
        <f>IF($A478="","",IFERROR(SUMIF(tblAnahtarB[NormB],$A478,tblVeriB[Kargo]),0))</f>
        <v/>
      </c>
      <c r="G478" s="16">
        <f>IF($A478="","",IFERROR(SUMIF(tblAnahtarB[NormB],$A478,tblVeriB[IadeOran]),0))</f>
        <v/>
      </c>
      <c r="H478" s="16">
        <f>IF($A478="","",ROUND($B478*$G478,2))</f>
        <v/>
      </c>
      <c r="I478" s="16">
        <f>IF($A478="","",IFERROR(SUMIF(tblAnahtarB[NormB],$A478,tblVeriB[ReklamTutar]),0))</f>
        <v/>
      </c>
      <c r="J478" s="16">
        <f>IF($A478="","",ROUND($B478-$C478,2))</f>
        <v/>
      </c>
      <c r="K478" s="16">
        <f>IF($A478="","",ROUND($B478-$C478-$E478-$F478-$H478-$I478,2))</f>
        <v/>
      </c>
      <c r="L478" s="16">
        <f>IF(OR($A478="",$B478=0),0,$K478/$B478)</f>
        <v/>
      </c>
      <c r="M478" s="16">
        <f>IF($A478="","",IF((1-$D478-$G478)&lt;=0,0,ROUND(($C478+$F478+$I478)/(1-$D478-$G478),2)))</f>
        <v/>
      </c>
      <c r="N478" s="16">
        <f>IF($A478="","",IFERROR(SUMIF(tblAnahtarA[Norm],$A478,tblVeriA[HedefNet]),0))</f>
        <v/>
      </c>
      <c r="O478" s="16">
        <f>IF($A478="","",ROUND($K478-$N478,2))</f>
        <v/>
      </c>
      <c r="P478" s="16">
        <f>IF($A478="","",IF($L478&lt;egk_esikKatkiDusuk,"ZAM YAP",IF(AND($R478=1,$L478&lt;egk_esikKatkiHedef),"İNDİRİMİ KES","TUT")))</f>
        <v/>
      </c>
      <c r="Q478" s="16">
        <f>IF($A478="","",IFERROR(SUMIF(tblAnahtarB[NormB],$A478,tblVeriB[Roas]),0))</f>
        <v/>
      </c>
      <c r="R478" s="16">
        <f>IF($A478="","",IF(OR(IFERROR(INDEX(tblVeriA[YorumAB],MATCH($A478,tblAnahtarA[Norm],0)),"")="B",IFERROR(INDEX(tblVeriA[Durum],MATCH($A478,tblAnahtarA[Norm],0)),"")="Kampanya"),1,0))</f>
        <v/>
      </c>
      <c r="S478" s="16">
        <f>IF($A478="","",$J478-$E478)</f>
        <v/>
      </c>
      <c r="T478" s="16">
        <f>IF($A478="","",$K478-$O478)</f>
        <v/>
      </c>
    </row>
    <row r="479">
      <c r="A479" s="16">
        <f>IF('ANAHTAR'!$B479="","",'ANAHTAR'!$B479)</f>
        <v/>
      </c>
      <c r="B479" s="16">
        <f>IF($A479="","",IFERROR(SUMIF(tblAnahtarA[Norm],$A479,tblVeriA[SatisFiyati]),0))</f>
        <v/>
      </c>
      <c r="C479" s="16">
        <f>IF($A479="","",IFERROR(SUMIF(tblAnahtarA[Norm],$A479,tblVeriA[Maliyet]),0))</f>
        <v/>
      </c>
      <c r="D479" s="16">
        <f>IF($A479="","",IFERROR(SUMIF(tblAnahtarB[NormB],$A479,tblVeriB[KomisyonOran]),0))</f>
        <v/>
      </c>
      <c r="E479" s="16">
        <f>IF($A479="","",ROUND($B479*$D479,2))</f>
        <v/>
      </c>
      <c r="F479" s="16">
        <f>IF($A479="","",IFERROR(SUMIF(tblAnahtarB[NormB],$A479,tblVeriB[Kargo]),0))</f>
        <v/>
      </c>
      <c r="G479" s="16">
        <f>IF($A479="","",IFERROR(SUMIF(tblAnahtarB[NormB],$A479,tblVeriB[IadeOran]),0))</f>
        <v/>
      </c>
      <c r="H479" s="16">
        <f>IF($A479="","",ROUND($B479*$G479,2))</f>
        <v/>
      </c>
      <c r="I479" s="16">
        <f>IF($A479="","",IFERROR(SUMIF(tblAnahtarB[NormB],$A479,tblVeriB[ReklamTutar]),0))</f>
        <v/>
      </c>
      <c r="J479" s="16">
        <f>IF($A479="","",ROUND($B479-$C479,2))</f>
        <v/>
      </c>
      <c r="K479" s="16">
        <f>IF($A479="","",ROUND($B479-$C479-$E479-$F479-$H479-$I479,2))</f>
        <v/>
      </c>
      <c r="L479" s="16">
        <f>IF(OR($A479="",$B479=0),0,$K479/$B479)</f>
        <v/>
      </c>
      <c r="M479" s="16">
        <f>IF($A479="","",IF((1-$D479-$G479)&lt;=0,0,ROUND(($C479+$F479+$I479)/(1-$D479-$G479),2)))</f>
        <v/>
      </c>
      <c r="N479" s="16">
        <f>IF($A479="","",IFERROR(SUMIF(tblAnahtarA[Norm],$A479,tblVeriA[HedefNet]),0))</f>
        <v/>
      </c>
      <c r="O479" s="16">
        <f>IF($A479="","",ROUND($K479-$N479,2))</f>
        <v/>
      </c>
      <c r="P479" s="16">
        <f>IF($A479="","",IF($L479&lt;egk_esikKatkiDusuk,"ZAM YAP",IF(AND($R479=1,$L479&lt;egk_esikKatkiHedef),"İNDİRİMİ KES","TUT")))</f>
        <v/>
      </c>
      <c r="Q479" s="16">
        <f>IF($A479="","",IFERROR(SUMIF(tblAnahtarB[NormB],$A479,tblVeriB[Roas]),0))</f>
        <v/>
      </c>
      <c r="R479" s="16">
        <f>IF($A479="","",IF(OR(IFERROR(INDEX(tblVeriA[YorumAB],MATCH($A479,tblAnahtarA[Norm],0)),"")="B",IFERROR(INDEX(tblVeriA[Durum],MATCH($A479,tblAnahtarA[Norm],0)),"")="Kampanya"),1,0))</f>
        <v/>
      </c>
      <c r="S479" s="16">
        <f>IF($A479="","",$J479-$E479)</f>
        <v/>
      </c>
      <c r="T479" s="16">
        <f>IF($A479="","",$K479-$O479)</f>
        <v/>
      </c>
    </row>
    <row r="480">
      <c r="A480" s="16">
        <f>IF('ANAHTAR'!$B480="","",'ANAHTAR'!$B480)</f>
        <v/>
      </c>
      <c r="B480" s="16">
        <f>IF($A480="","",IFERROR(SUMIF(tblAnahtarA[Norm],$A480,tblVeriA[SatisFiyati]),0))</f>
        <v/>
      </c>
      <c r="C480" s="16">
        <f>IF($A480="","",IFERROR(SUMIF(tblAnahtarA[Norm],$A480,tblVeriA[Maliyet]),0))</f>
        <v/>
      </c>
      <c r="D480" s="16">
        <f>IF($A480="","",IFERROR(SUMIF(tblAnahtarB[NormB],$A480,tblVeriB[KomisyonOran]),0))</f>
        <v/>
      </c>
      <c r="E480" s="16">
        <f>IF($A480="","",ROUND($B480*$D480,2))</f>
        <v/>
      </c>
      <c r="F480" s="16">
        <f>IF($A480="","",IFERROR(SUMIF(tblAnahtarB[NormB],$A480,tblVeriB[Kargo]),0))</f>
        <v/>
      </c>
      <c r="G480" s="16">
        <f>IF($A480="","",IFERROR(SUMIF(tblAnahtarB[NormB],$A480,tblVeriB[IadeOran]),0))</f>
        <v/>
      </c>
      <c r="H480" s="16">
        <f>IF($A480="","",ROUND($B480*$G480,2))</f>
        <v/>
      </c>
      <c r="I480" s="16">
        <f>IF($A480="","",IFERROR(SUMIF(tblAnahtarB[NormB],$A480,tblVeriB[ReklamTutar]),0))</f>
        <v/>
      </c>
      <c r="J480" s="16">
        <f>IF($A480="","",ROUND($B480-$C480,2))</f>
        <v/>
      </c>
      <c r="K480" s="16">
        <f>IF($A480="","",ROUND($B480-$C480-$E480-$F480-$H480-$I480,2))</f>
        <v/>
      </c>
      <c r="L480" s="16">
        <f>IF(OR($A480="",$B480=0),0,$K480/$B480)</f>
        <v/>
      </c>
      <c r="M480" s="16">
        <f>IF($A480="","",IF((1-$D480-$G480)&lt;=0,0,ROUND(($C480+$F480+$I480)/(1-$D480-$G480),2)))</f>
        <v/>
      </c>
      <c r="N480" s="16">
        <f>IF($A480="","",IFERROR(SUMIF(tblAnahtarA[Norm],$A480,tblVeriA[HedefNet]),0))</f>
        <v/>
      </c>
      <c r="O480" s="16">
        <f>IF($A480="","",ROUND($K480-$N480,2))</f>
        <v/>
      </c>
      <c r="P480" s="16">
        <f>IF($A480="","",IF($L480&lt;egk_esikKatkiDusuk,"ZAM YAP",IF(AND($R480=1,$L480&lt;egk_esikKatkiHedef),"İNDİRİMİ KES","TUT")))</f>
        <v/>
      </c>
      <c r="Q480" s="16">
        <f>IF($A480="","",IFERROR(SUMIF(tblAnahtarB[NormB],$A480,tblVeriB[Roas]),0))</f>
        <v/>
      </c>
      <c r="R480" s="16">
        <f>IF($A480="","",IF(OR(IFERROR(INDEX(tblVeriA[YorumAB],MATCH($A480,tblAnahtarA[Norm],0)),"")="B",IFERROR(INDEX(tblVeriA[Durum],MATCH($A480,tblAnahtarA[Norm],0)),"")="Kampanya"),1,0))</f>
        <v/>
      </c>
      <c r="S480" s="16">
        <f>IF($A480="","",$J480-$E480)</f>
        <v/>
      </c>
      <c r="T480" s="16">
        <f>IF($A480="","",$K480-$O480)</f>
        <v/>
      </c>
    </row>
    <row r="481">
      <c r="A481" s="16">
        <f>IF('ANAHTAR'!$B481="","",'ANAHTAR'!$B481)</f>
        <v/>
      </c>
      <c r="B481" s="16">
        <f>IF($A481="","",IFERROR(SUMIF(tblAnahtarA[Norm],$A481,tblVeriA[SatisFiyati]),0))</f>
        <v/>
      </c>
      <c r="C481" s="16">
        <f>IF($A481="","",IFERROR(SUMIF(tblAnahtarA[Norm],$A481,tblVeriA[Maliyet]),0))</f>
        <v/>
      </c>
      <c r="D481" s="16">
        <f>IF($A481="","",IFERROR(SUMIF(tblAnahtarB[NormB],$A481,tblVeriB[KomisyonOran]),0))</f>
        <v/>
      </c>
      <c r="E481" s="16">
        <f>IF($A481="","",ROUND($B481*$D481,2))</f>
        <v/>
      </c>
      <c r="F481" s="16">
        <f>IF($A481="","",IFERROR(SUMIF(tblAnahtarB[NormB],$A481,tblVeriB[Kargo]),0))</f>
        <v/>
      </c>
      <c r="G481" s="16">
        <f>IF($A481="","",IFERROR(SUMIF(tblAnahtarB[NormB],$A481,tblVeriB[IadeOran]),0))</f>
        <v/>
      </c>
      <c r="H481" s="16">
        <f>IF($A481="","",ROUND($B481*$G481,2))</f>
        <v/>
      </c>
      <c r="I481" s="16">
        <f>IF($A481="","",IFERROR(SUMIF(tblAnahtarB[NormB],$A481,tblVeriB[ReklamTutar]),0))</f>
        <v/>
      </c>
      <c r="J481" s="16">
        <f>IF($A481="","",ROUND($B481-$C481,2))</f>
        <v/>
      </c>
      <c r="K481" s="16">
        <f>IF($A481="","",ROUND($B481-$C481-$E481-$F481-$H481-$I481,2))</f>
        <v/>
      </c>
      <c r="L481" s="16">
        <f>IF(OR($A481="",$B481=0),0,$K481/$B481)</f>
        <v/>
      </c>
      <c r="M481" s="16">
        <f>IF($A481="","",IF((1-$D481-$G481)&lt;=0,0,ROUND(($C481+$F481+$I481)/(1-$D481-$G481),2)))</f>
        <v/>
      </c>
      <c r="N481" s="16">
        <f>IF($A481="","",IFERROR(SUMIF(tblAnahtarA[Norm],$A481,tblVeriA[HedefNet]),0))</f>
        <v/>
      </c>
      <c r="O481" s="16">
        <f>IF($A481="","",ROUND($K481-$N481,2))</f>
        <v/>
      </c>
      <c r="P481" s="16">
        <f>IF($A481="","",IF($L481&lt;egk_esikKatkiDusuk,"ZAM YAP",IF(AND($R481=1,$L481&lt;egk_esikKatkiHedef),"İNDİRİMİ KES","TUT")))</f>
        <v/>
      </c>
      <c r="Q481" s="16">
        <f>IF($A481="","",IFERROR(SUMIF(tblAnahtarB[NormB],$A481,tblVeriB[Roas]),0))</f>
        <v/>
      </c>
      <c r="R481" s="16">
        <f>IF($A481="","",IF(OR(IFERROR(INDEX(tblVeriA[YorumAB],MATCH($A481,tblAnahtarA[Norm],0)),"")="B",IFERROR(INDEX(tblVeriA[Durum],MATCH($A481,tblAnahtarA[Norm],0)),"")="Kampanya"),1,0))</f>
        <v/>
      </c>
      <c r="S481" s="16">
        <f>IF($A481="","",$J481-$E481)</f>
        <v/>
      </c>
      <c r="T481" s="16">
        <f>IF($A481="","",$K481-$O481)</f>
        <v/>
      </c>
    </row>
    <row r="482">
      <c r="A482" s="16">
        <f>IF('ANAHTAR'!$B482="","",'ANAHTAR'!$B482)</f>
        <v/>
      </c>
      <c r="B482" s="16">
        <f>IF($A482="","",IFERROR(SUMIF(tblAnahtarA[Norm],$A482,tblVeriA[SatisFiyati]),0))</f>
        <v/>
      </c>
      <c r="C482" s="16">
        <f>IF($A482="","",IFERROR(SUMIF(tblAnahtarA[Norm],$A482,tblVeriA[Maliyet]),0))</f>
        <v/>
      </c>
      <c r="D482" s="16">
        <f>IF($A482="","",IFERROR(SUMIF(tblAnahtarB[NormB],$A482,tblVeriB[KomisyonOran]),0))</f>
        <v/>
      </c>
      <c r="E482" s="16">
        <f>IF($A482="","",ROUND($B482*$D482,2))</f>
        <v/>
      </c>
      <c r="F482" s="16">
        <f>IF($A482="","",IFERROR(SUMIF(tblAnahtarB[NormB],$A482,tblVeriB[Kargo]),0))</f>
        <v/>
      </c>
      <c r="G482" s="16">
        <f>IF($A482="","",IFERROR(SUMIF(tblAnahtarB[NormB],$A482,tblVeriB[IadeOran]),0))</f>
        <v/>
      </c>
      <c r="H482" s="16">
        <f>IF($A482="","",ROUND($B482*$G482,2))</f>
        <v/>
      </c>
      <c r="I482" s="16">
        <f>IF($A482="","",IFERROR(SUMIF(tblAnahtarB[NormB],$A482,tblVeriB[ReklamTutar]),0))</f>
        <v/>
      </c>
      <c r="J482" s="16">
        <f>IF($A482="","",ROUND($B482-$C482,2))</f>
        <v/>
      </c>
      <c r="K482" s="16">
        <f>IF($A482="","",ROUND($B482-$C482-$E482-$F482-$H482-$I482,2))</f>
        <v/>
      </c>
      <c r="L482" s="16">
        <f>IF(OR($A482="",$B482=0),0,$K482/$B482)</f>
        <v/>
      </c>
      <c r="M482" s="16">
        <f>IF($A482="","",IF((1-$D482-$G482)&lt;=0,0,ROUND(($C482+$F482+$I482)/(1-$D482-$G482),2)))</f>
        <v/>
      </c>
      <c r="N482" s="16">
        <f>IF($A482="","",IFERROR(SUMIF(tblAnahtarA[Norm],$A482,tblVeriA[HedefNet]),0))</f>
        <v/>
      </c>
      <c r="O482" s="16">
        <f>IF($A482="","",ROUND($K482-$N482,2))</f>
        <v/>
      </c>
      <c r="P482" s="16">
        <f>IF($A482="","",IF($L482&lt;egk_esikKatkiDusuk,"ZAM YAP",IF(AND($R482=1,$L482&lt;egk_esikKatkiHedef),"İNDİRİMİ KES","TUT")))</f>
        <v/>
      </c>
      <c r="Q482" s="16">
        <f>IF($A482="","",IFERROR(SUMIF(tblAnahtarB[NormB],$A482,tblVeriB[Roas]),0))</f>
        <v/>
      </c>
      <c r="R482" s="16">
        <f>IF($A482="","",IF(OR(IFERROR(INDEX(tblVeriA[YorumAB],MATCH($A482,tblAnahtarA[Norm],0)),"")="B",IFERROR(INDEX(tblVeriA[Durum],MATCH($A482,tblAnahtarA[Norm],0)),"")="Kampanya"),1,0))</f>
        <v/>
      </c>
      <c r="S482" s="16">
        <f>IF($A482="","",$J482-$E482)</f>
        <v/>
      </c>
      <c r="T482" s="16">
        <f>IF($A482="","",$K482-$O482)</f>
        <v/>
      </c>
    </row>
    <row r="483">
      <c r="A483" s="16">
        <f>IF('ANAHTAR'!$B483="","",'ANAHTAR'!$B483)</f>
        <v/>
      </c>
      <c r="B483" s="16">
        <f>IF($A483="","",IFERROR(SUMIF(tblAnahtarA[Norm],$A483,tblVeriA[SatisFiyati]),0))</f>
        <v/>
      </c>
      <c r="C483" s="16">
        <f>IF($A483="","",IFERROR(SUMIF(tblAnahtarA[Norm],$A483,tblVeriA[Maliyet]),0))</f>
        <v/>
      </c>
      <c r="D483" s="16">
        <f>IF($A483="","",IFERROR(SUMIF(tblAnahtarB[NormB],$A483,tblVeriB[KomisyonOran]),0))</f>
        <v/>
      </c>
      <c r="E483" s="16">
        <f>IF($A483="","",ROUND($B483*$D483,2))</f>
        <v/>
      </c>
      <c r="F483" s="16">
        <f>IF($A483="","",IFERROR(SUMIF(tblAnahtarB[NormB],$A483,tblVeriB[Kargo]),0))</f>
        <v/>
      </c>
      <c r="G483" s="16">
        <f>IF($A483="","",IFERROR(SUMIF(tblAnahtarB[NormB],$A483,tblVeriB[IadeOran]),0))</f>
        <v/>
      </c>
      <c r="H483" s="16">
        <f>IF($A483="","",ROUND($B483*$G483,2))</f>
        <v/>
      </c>
      <c r="I483" s="16">
        <f>IF($A483="","",IFERROR(SUMIF(tblAnahtarB[NormB],$A483,tblVeriB[ReklamTutar]),0))</f>
        <v/>
      </c>
      <c r="J483" s="16">
        <f>IF($A483="","",ROUND($B483-$C483,2))</f>
        <v/>
      </c>
      <c r="K483" s="16">
        <f>IF($A483="","",ROUND($B483-$C483-$E483-$F483-$H483-$I483,2))</f>
        <v/>
      </c>
      <c r="L483" s="16">
        <f>IF(OR($A483="",$B483=0),0,$K483/$B483)</f>
        <v/>
      </c>
      <c r="M483" s="16">
        <f>IF($A483="","",IF((1-$D483-$G483)&lt;=0,0,ROUND(($C483+$F483+$I483)/(1-$D483-$G483),2)))</f>
        <v/>
      </c>
      <c r="N483" s="16">
        <f>IF($A483="","",IFERROR(SUMIF(tblAnahtarA[Norm],$A483,tblVeriA[HedefNet]),0))</f>
        <v/>
      </c>
      <c r="O483" s="16">
        <f>IF($A483="","",ROUND($K483-$N483,2))</f>
        <v/>
      </c>
      <c r="P483" s="16">
        <f>IF($A483="","",IF($L483&lt;egk_esikKatkiDusuk,"ZAM YAP",IF(AND($R483=1,$L483&lt;egk_esikKatkiHedef),"İNDİRİMİ KES","TUT")))</f>
        <v/>
      </c>
      <c r="Q483" s="16">
        <f>IF($A483="","",IFERROR(SUMIF(tblAnahtarB[NormB],$A483,tblVeriB[Roas]),0))</f>
        <v/>
      </c>
      <c r="R483" s="16">
        <f>IF($A483="","",IF(OR(IFERROR(INDEX(tblVeriA[YorumAB],MATCH($A483,tblAnahtarA[Norm],0)),"")="B",IFERROR(INDEX(tblVeriA[Durum],MATCH($A483,tblAnahtarA[Norm],0)),"")="Kampanya"),1,0))</f>
        <v/>
      </c>
      <c r="S483" s="16">
        <f>IF($A483="","",$J483-$E483)</f>
        <v/>
      </c>
      <c r="T483" s="16">
        <f>IF($A483="","",$K483-$O483)</f>
        <v/>
      </c>
    </row>
    <row r="484">
      <c r="A484" s="16">
        <f>IF('ANAHTAR'!$B484="","",'ANAHTAR'!$B484)</f>
        <v/>
      </c>
      <c r="B484" s="16">
        <f>IF($A484="","",IFERROR(SUMIF(tblAnahtarA[Norm],$A484,tblVeriA[SatisFiyati]),0))</f>
        <v/>
      </c>
      <c r="C484" s="16">
        <f>IF($A484="","",IFERROR(SUMIF(tblAnahtarA[Norm],$A484,tblVeriA[Maliyet]),0))</f>
        <v/>
      </c>
      <c r="D484" s="16">
        <f>IF($A484="","",IFERROR(SUMIF(tblAnahtarB[NormB],$A484,tblVeriB[KomisyonOran]),0))</f>
        <v/>
      </c>
      <c r="E484" s="16">
        <f>IF($A484="","",ROUND($B484*$D484,2))</f>
        <v/>
      </c>
      <c r="F484" s="16">
        <f>IF($A484="","",IFERROR(SUMIF(tblAnahtarB[NormB],$A484,tblVeriB[Kargo]),0))</f>
        <v/>
      </c>
      <c r="G484" s="16">
        <f>IF($A484="","",IFERROR(SUMIF(tblAnahtarB[NormB],$A484,tblVeriB[IadeOran]),0))</f>
        <v/>
      </c>
      <c r="H484" s="16">
        <f>IF($A484="","",ROUND($B484*$G484,2))</f>
        <v/>
      </c>
      <c r="I484" s="16">
        <f>IF($A484="","",IFERROR(SUMIF(tblAnahtarB[NormB],$A484,tblVeriB[ReklamTutar]),0))</f>
        <v/>
      </c>
      <c r="J484" s="16">
        <f>IF($A484="","",ROUND($B484-$C484,2))</f>
        <v/>
      </c>
      <c r="K484" s="16">
        <f>IF($A484="","",ROUND($B484-$C484-$E484-$F484-$H484-$I484,2))</f>
        <v/>
      </c>
      <c r="L484" s="16">
        <f>IF(OR($A484="",$B484=0),0,$K484/$B484)</f>
        <v/>
      </c>
      <c r="M484" s="16">
        <f>IF($A484="","",IF((1-$D484-$G484)&lt;=0,0,ROUND(($C484+$F484+$I484)/(1-$D484-$G484),2)))</f>
        <v/>
      </c>
      <c r="N484" s="16">
        <f>IF($A484="","",IFERROR(SUMIF(tblAnahtarA[Norm],$A484,tblVeriA[HedefNet]),0))</f>
        <v/>
      </c>
      <c r="O484" s="16">
        <f>IF($A484="","",ROUND($K484-$N484,2))</f>
        <v/>
      </c>
      <c r="P484" s="16">
        <f>IF($A484="","",IF($L484&lt;egk_esikKatkiDusuk,"ZAM YAP",IF(AND($R484=1,$L484&lt;egk_esikKatkiHedef),"İNDİRİMİ KES","TUT")))</f>
        <v/>
      </c>
      <c r="Q484" s="16">
        <f>IF($A484="","",IFERROR(SUMIF(tblAnahtarB[NormB],$A484,tblVeriB[Roas]),0))</f>
        <v/>
      </c>
      <c r="R484" s="16">
        <f>IF($A484="","",IF(OR(IFERROR(INDEX(tblVeriA[YorumAB],MATCH($A484,tblAnahtarA[Norm],0)),"")="B",IFERROR(INDEX(tblVeriA[Durum],MATCH($A484,tblAnahtarA[Norm],0)),"")="Kampanya"),1,0))</f>
        <v/>
      </c>
      <c r="S484" s="16">
        <f>IF($A484="","",$J484-$E484)</f>
        <v/>
      </c>
      <c r="T484" s="16">
        <f>IF($A484="","",$K484-$O484)</f>
        <v/>
      </c>
    </row>
    <row r="485">
      <c r="A485" s="16">
        <f>IF('ANAHTAR'!$B485="","",'ANAHTAR'!$B485)</f>
        <v/>
      </c>
      <c r="B485" s="16">
        <f>IF($A485="","",IFERROR(SUMIF(tblAnahtarA[Norm],$A485,tblVeriA[SatisFiyati]),0))</f>
        <v/>
      </c>
      <c r="C485" s="16">
        <f>IF($A485="","",IFERROR(SUMIF(tblAnahtarA[Norm],$A485,tblVeriA[Maliyet]),0))</f>
        <v/>
      </c>
      <c r="D485" s="16">
        <f>IF($A485="","",IFERROR(SUMIF(tblAnahtarB[NormB],$A485,tblVeriB[KomisyonOran]),0))</f>
        <v/>
      </c>
      <c r="E485" s="16">
        <f>IF($A485="","",ROUND($B485*$D485,2))</f>
        <v/>
      </c>
      <c r="F485" s="16">
        <f>IF($A485="","",IFERROR(SUMIF(tblAnahtarB[NormB],$A485,tblVeriB[Kargo]),0))</f>
        <v/>
      </c>
      <c r="G485" s="16">
        <f>IF($A485="","",IFERROR(SUMIF(tblAnahtarB[NormB],$A485,tblVeriB[IadeOran]),0))</f>
        <v/>
      </c>
      <c r="H485" s="16">
        <f>IF($A485="","",ROUND($B485*$G485,2))</f>
        <v/>
      </c>
      <c r="I485" s="16">
        <f>IF($A485="","",IFERROR(SUMIF(tblAnahtarB[NormB],$A485,tblVeriB[ReklamTutar]),0))</f>
        <v/>
      </c>
      <c r="J485" s="16">
        <f>IF($A485="","",ROUND($B485-$C485,2))</f>
        <v/>
      </c>
      <c r="K485" s="16">
        <f>IF($A485="","",ROUND($B485-$C485-$E485-$F485-$H485-$I485,2))</f>
        <v/>
      </c>
      <c r="L485" s="16">
        <f>IF(OR($A485="",$B485=0),0,$K485/$B485)</f>
        <v/>
      </c>
      <c r="M485" s="16">
        <f>IF($A485="","",IF((1-$D485-$G485)&lt;=0,0,ROUND(($C485+$F485+$I485)/(1-$D485-$G485),2)))</f>
        <v/>
      </c>
      <c r="N485" s="16">
        <f>IF($A485="","",IFERROR(SUMIF(tblAnahtarA[Norm],$A485,tblVeriA[HedefNet]),0))</f>
        <v/>
      </c>
      <c r="O485" s="16">
        <f>IF($A485="","",ROUND($K485-$N485,2))</f>
        <v/>
      </c>
      <c r="P485" s="16">
        <f>IF($A485="","",IF($L485&lt;egk_esikKatkiDusuk,"ZAM YAP",IF(AND($R485=1,$L485&lt;egk_esikKatkiHedef),"İNDİRİMİ KES","TUT")))</f>
        <v/>
      </c>
      <c r="Q485" s="16">
        <f>IF($A485="","",IFERROR(SUMIF(tblAnahtarB[NormB],$A485,tblVeriB[Roas]),0))</f>
        <v/>
      </c>
      <c r="R485" s="16">
        <f>IF($A485="","",IF(OR(IFERROR(INDEX(tblVeriA[YorumAB],MATCH($A485,tblAnahtarA[Norm],0)),"")="B",IFERROR(INDEX(tblVeriA[Durum],MATCH($A485,tblAnahtarA[Norm],0)),"")="Kampanya"),1,0))</f>
        <v/>
      </c>
      <c r="S485" s="16">
        <f>IF($A485="","",$J485-$E485)</f>
        <v/>
      </c>
      <c r="T485" s="16">
        <f>IF($A485="","",$K485-$O485)</f>
        <v/>
      </c>
    </row>
    <row r="486">
      <c r="A486" s="16">
        <f>IF('ANAHTAR'!$B486="","",'ANAHTAR'!$B486)</f>
        <v/>
      </c>
      <c r="B486" s="16">
        <f>IF($A486="","",IFERROR(SUMIF(tblAnahtarA[Norm],$A486,tblVeriA[SatisFiyati]),0))</f>
        <v/>
      </c>
      <c r="C486" s="16">
        <f>IF($A486="","",IFERROR(SUMIF(tblAnahtarA[Norm],$A486,tblVeriA[Maliyet]),0))</f>
        <v/>
      </c>
      <c r="D486" s="16">
        <f>IF($A486="","",IFERROR(SUMIF(tblAnahtarB[NormB],$A486,tblVeriB[KomisyonOran]),0))</f>
        <v/>
      </c>
      <c r="E486" s="16">
        <f>IF($A486="","",ROUND($B486*$D486,2))</f>
        <v/>
      </c>
      <c r="F486" s="16">
        <f>IF($A486="","",IFERROR(SUMIF(tblAnahtarB[NormB],$A486,tblVeriB[Kargo]),0))</f>
        <v/>
      </c>
      <c r="G486" s="16">
        <f>IF($A486="","",IFERROR(SUMIF(tblAnahtarB[NormB],$A486,tblVeriB[IadeOran]),0))</f>
        <v/>
      </c>
      <c r="H486" s="16">
        <f>IF($A486="","",ROUND($B486*$G486,2))</f>
        <v/>
      </c>
      <c r="I486" s="16">
        <f>IF($A486="","",IFERROR(SUMIF(tblAnahtarB[NormB],$A486,tblVeriB[ReklamTutar]),0))</f>
        <v/>
      </c>
      <c r="J486" s="16">
        <f>IF($A486="","",ROUND($B486-$C486,2))</f>
        <v/>
      </c>
      <c r="K486" s="16">
        <f>IF($A486="","",ROUND($B486-$C486-$E486-$F486-$H486-$I486,2))</f>
        <v/>
      </c>
      <c r="L486" s="16">
        <f>IF(OR($A486="",$B486=0),0,$K486/$B486)</f>
        <v/>
      </c>
      <c r="M486" s="16">
        <f>IF($A486="","",IF((1-$D486-$G486)&lt;=0,0,ROUND(($C486+$F486+$I486)/(1-$D486-$G486),2)))</f>
        <v/>
      </c>
      <c r="N486" s="16">
        <f>IF($A486="","",IFERROR(SUMIF(tblAnahtarA[Norm],$A486,tblVeriA[HedefNet]),0))</f>
        <v/>
      </c>
      <c r="O486" s="16">
        <f>IF($A486="","",ROUND($K486-$N486,2))</f>
        <v/>
      </c>
      <c r="P486" s="16">
        <f>IF($A486="","",IF($L486&lt;egk_esikKatkiDusuk,"ZAM YAP",IF(AND($R486=1,$L486&lt;egk_esikKatkiHedef),"İNDİRİMİ KES","TUT")))</f>
        <v/>
      </c>
      <c r="Q486" s="16">
        <f>IF($A486="","",IFERROR(SUMIF(tblAnahtarB[NormB],$A486,tblVeriB[Roas]),0))</f>
        <v/>
      </c>
      <c r="R486" s="16">
        <f>IF($A486="","",IF(OR(IFERROR(INDEX(tblVeriA[YorumAB],MATCH($A486,tblAnahtarA[Norm],0)),"")="B",IFERROR(INDEX(tblVeriA[Durum],MATCH($A486,tblAnahtarA[Norm],0)),"")="Kampanya"),1,0))</f>
        <v/>
      </c>
      <c r="S486" s="16">
        <f>IF($A486="","",$J486-$E486)</f>
        <v/>
      </c>
      <c r="T486" s="16">
        <f>IF($A486="","",$K486-$O486)</f>
        <v/>
      </c>
    </row>
    <row r="487">
      <c r="A487" s="16">
        <f>IF('ANAHTAR'!$B487="","",'ANAHTAR'!$B487)</f>
        <v/>
      </c>
      <c r="B487" s="16">
        <f>IF($A487="","",IFERROR(SUMIF(tblAnahtarA[Norm],$A487,tblVeriA[SatisFiyati]),0))</f>
        <v/>
      </c>
      <c r="C487" s="16">
        <f>IF($A487="","",IFERROR(SUMIF(tblAnahtarA[Norm],$A487,tblVeriA[Maliyet]),0))</f>
        <v/>
      </c>
      <c r="D487" s="16">
        <f>IF($A487="","",IFERROR(SUMIF(tblAnahtarB[NormB],$A487,tblVeriB[KomisyonOran]),0))</f>
        <v/>
      </c>
      <c r="E487" s="16">
        <f>IF($A487="","",ROUND($B487*$D487,2))</f>
        <v/>
      </c>
      <c r="F487" s="16">
        <f>IF($A487="","",IFERROR(SUMIF(tblAnahtarB[NormB],$A487,tblVeriB[Kargo]),0))</f>
        <v/>
      </c>
      <c r="G487" s="16">
        <f>IF($A487="","",IFERROR(SUMIF(tblAnahtarB[NormB],$A487,tblVeriB[IadeOran]),0))</f>
        <v/>
      </c>
      <c r="H487" s="16">
        <f>IF($A487="","",ROUND($B487*$G487,2))</f>
        <v/>
      </c>
      <c r="I487" s="16">
        <f>IF($A487="","",IFERROR(SUMIF(tblAnahtarB[NormB],$A487,tblVeriB[ReklamTutar]),0))</f>
        <v/>
      </c>
      <c r="J487" s="16">
        <f>IF($A487="","",ROUND($B487-$C487,2))</f>
        <v/>
      </c>
      <c r="K487" s="16">
        <f>IF($A487="","",ROUND($B487-$C487-$E487-$F487-$H487-$I487,2))</f>
        <v/>
      </c>
      <c r="L487" s="16">
        <f>IF(OR($A487="",$B487=0),0,$K487/$B487)</f>
        <v/>
      </c>
      <c r="M487" s="16">
        <f>IF($A487="","",IF((1-$D487-$G487)&lt;=0,0,ROUND(($C487+$F487+$I487)/(1-$D487-$G487),2)))</f>
        <v/>
      </c>
      <c r="N487" s="16">
        <f>IF($A487="","",IFERROR(SUMIF(tblAnahtarA[Norm],$A487,tblVeriA[HedefNet]),0))</f>
        <v/>
      </c>
      <c r="O487" s="16">
        <f>IF($A487="","",ROUND($K487-$N487,2))</f>
        <v/>
      </c>
      <c r="P487" s="16">
        <f>IF($A487="","",IF($L487&lt;egk_esikKatkiDusuk,"ZAM YAP",IF(AND($R487=1,$L487&lt;egk_esikKatkiHedef),"İNDİRİMİ KES","TUT")))</f>
        <v/>
      </c>
      <c r="Q487" s="16">
        <f>IF($A487="","",IFERROR(SUMIF(tblAnahtarB[NormB],$A487,tblVeriB[Roas]),0))</f>
        <v/>
      </c>
      <c r="R487" s="16">
        <f>IF($A487="","",IF(OR(IFERROR(INDEX(tblVeriA[YorumAB],MATCH($A487,tblAnahtarA[Norm],0)),"")="B",IFERROR(INDEX(tblVeriA[Durum],MATCH($A487,tblAnahtarA[Norm],0)),"")="Kampanya"),1,0))</f>
        <v/>
      </c>
      <c r="S487" s="16">
        <f>IF($A487="","",$J487-$E487)</f>
        <v/>
      </c>
      <c r="T487" s="16">
        <f>IF($A487="","",$K487-$O487)</f>
        <v/>
      </c>
    </row>
    <row r="488">
      <c r="A488" s="16">
        <f>IF('ANAHTAR'!$B488="","",'ANAHTAR'!$B488)</f>
        <v/>
      </c>
      <c r="B488" s="16">
        <f>IF($A488="","",IFERROR(SUMIF(tblAnahtarA[Norm],$A488,tblVeriA[SatisFiyati]),0))</f>
        <v/>
      </c>
      <c r="C488" s="16">
        <f>IF($A488="","",IFERROR(SUMIF(tblAnahtarA[Norm],$A488,tblVeriA[Maliyet]),0))</f>
        <v/>
      </c>
      <c r="D488" s="16">
        <f>IF($A488="","",IFERROR(SUMIF(tblAnahtarB[NormB],$A488,tblVeriB[KomisyonOran]),0))</f>
        <v/>
      </c>
      <c r="E488" s="16">
        <f>IF($A488="","",ROUND($B488*$D488,2))</f>
        <v/>
      </c>
      <c r="F488" s="16">
        <f>IF($A488="","",IFERROR(SUMIF(tblAnahtarB[NormB],$A488,tblVeriB[Kargo]),0))</f>
        <v/>
      </c>
      <c r="G488" s="16">
        <f>IF($A488="","",IFERROR(SUMIF(tblAnahtarB[NormB],$A488,tblVeriB[IadeOran]),0))</f>
        <v/>
      </c>
      <c r="H488" s="16">
        <f>IF($A488="","",ROUND($B488*$G488,2))</f>
        <v/>
      </c>
      <c r="I488" s="16">
        <f>IF($A488="","",IFERROR(SUMIF(tblAnahtarB[NormB],$A488,tblVeriB[ReklamTutar]),0))</f>
        <v/>
      </c>
      <c r="J488" s="16">
        <f>IF($A488="","",ROUND($B488-$C488,2))</f>
        <v/>
      </c>
      <c r="K488" s="16">
        <f>IF($A488="","",ROUND($B488-$C488-$E488-$F488-$H488-$I488,2))</f>
        <v/>
      </c>
      <c r="L488" s="16">
        <f>IF(OR($A488="",$B488=0),0,$K488/$B488)</f>
        <v/>
      </c>
      <c r="M488" s="16">
        <f>IF($A488="","",IF((1-$D488-$G488)&lt;=0,0,ROUND(($C488+$F488+$I488)/(1-$D488-$G488),2)))</f>
        <v/>
      </c>
      <c r="N488" s="16">
        <f>IF($A488="","",IFERROR(SUMIF(tblAnahtarA[Norm],$A488,tblVeriA[HedefNet]),0))</f>
        <v/>
      </c>
      <c r="O488" s="16">
        <f>IF($A488="","",ROUND($K488-$N488,2))</f>
        <v/>
      </c>
      <c r="P488" s="16">
        <f>IF($A488="","",IF($L488&lt;egk_esikKatkiDusuk,"ZAM YAP",IF(AND($R488=1,$L488&lt;egk_esikKatkiHedef),"İNDİRİMİ KES","TUT")))</f>
        <v/>
      </c>
      <c r="Q488" s="16">
        <f>IF($A488="","",IFERROR(SUMIF(tblAnahtarB[NormB],$A488,tblVeriB[Roas]),0))</f>
        <v/>
      </c>
      <c r="R488" s="16">
        <f>IF($A488="","",IF(OR(IFERROR(INDEX(tblVeriA[YorumAB],MATCH($A488,tblAnahtarA[Norm],0)),"")="B",IFERROR(INDEX(tblVeriA[Durum],MATCH($A488,tblAnahtarA[Norm],0)),"")="Kampanya"),1,0))</f>
        <v/>
      </c>
      <c r="S488" s="16">
        <f>IF($A488="","",$J488-$E488)</f>
        <v/>
      </c>
      <c r="T488" s="16">
        <f>IF($A488="","",$K488-$O488)</f>
        <v/>
      </c>
    </row>
    <row r="489">
      <c r="A489" s="16">
        <f>IF('ANAHTAR'!$B489="","",'ANAHTAR'!$B489)</f>
        <v/>
      </c>
      <c r="B489" s="16">
        <f>IF($A489="","",IFERROR(SUMIF(tblAnahtarA[Norm],$A489,tblVeriA[SatisFiyati]),0))</f>
        <v/>
      </c>
      <c r="C489" s="16">
        <f>IF($A489="","",IFERROR(SUMIF(tblAnahtarA[Norm],$A489,tblVeriA[Maliyet]),0))</f>
        <v/>
      </c>
      <c r="D489" s="16">
        <f>IF($A489="","",IFERROR(SUMIF(tblAnahtarB[NormB],$A489,tblVeriB[KomisyonOran]),0))</f>
        <v/>
      </c>
      <c r="E489" s="16">
        <f>IF($A489="","",ROUND($B489*$D489,2))</f>
        <v/>
      </c>
      <c r="F489" s="16">
        <f>IF($A489="","",IFERROR(SUMIF(tblAnahtarB[NormB],$A489,tblVeriB[Kargo]),0))</f>
        <v/>
      </c>
      <c r="G489" s="16">
        <f>IF($A489="","",IFERROR(SUMIF(tblAnahtarB[NormB],$A489,tblVeriB[IadeOran]),0))</f>
        <v/>
      </c>
      <c r="H489" s="16">
        <f>IF($A489="","",ROUND($B489*$G489,2))</f>
        <v/>
      </c>
      <c r="I489" s="16">
        <f>IF($A489="","",IFERROR(SUMIF(tblAnahtarB[NormB],$A489,tblVeriB[ReklamTutar]),0))</f>
        <v/>
      </c>
      <c r="J489" s="16">
        <f>IF($A489="","",ROUND($B489-$C489,2))</f>
        <v/>
      </c>
      <c r="K489" s="16">
        <f>IF($A489="","",ROUND($B489-$C489-$E489-$F489-$H489-$I489,2))</f>
        <v/>
      </c>
      <c r="L489" s="16">
        <f>IF(OR($A489="",$B489=0),0,$K489/$B489)</f>
        <v/>
      </c>
      <c r="M489" s="16">
        <f>IF($A489="","",IF((1-$D489-$G489)&lt;=0,0,ROUND(($C489+$F489+$I489)/(1-$D489-$G489),2)))</f>
        <v/>
      </c>
      <c r="N489" s="16">
        <f>IF($A489="","",IFERROR(SUMIF(tblAnahtarA[Norm],$A489,tblVeriA[HedefNet]),0))</f>
        <v/>
      </c>
      <c r="O489" s="16">
        <f>IF($A489="","",ROUND($K489-$N489,2))</f>
        <v/>
      </c>
      <c r="P489" s="16">
        <f>IF($A489="","",IF($L489&lt;egk_esikKatkiDusuk,"ZAM YAP",IF(AND($R489=1,$L489&lt;egk_esikKatkiHedef),"İNDİRİMİ KES","TUT")))</f>
        <v/>
      </c>
      <c r="Q489" s="16">
        <f>IF($A489="","",IFERROR(SUMIF(tblAnahtarB[NormB],$A489,tblVeriB[Roas]),0))</f>
        <v/>
      </c>
      <c r="R489" s="16">
        <f>IF($A489="","",IF(OR(IFERROR(INDEX(tblVeriA[YorumAB],MATCH($A489,tblAnahtarA[Norm],0)),"")="B",IFERROR(INDEX(tblVeriA[Durum],MATCH($A489,tblAnahtarA[Norm],0)),"")="Kampanya"),1,0))</f>
        <v/>
      </c>
      <c r="S489" s="16">
        <f>IF($A489="","",$J489-$E489)</f>
        <v/>
      </c>
      <c r="T489" s="16">
        <f>IF($A489="","",$K489-$O489)</f>
        <v/>
      </c>
    </row>
    <row r="490">
      <c r="A490" s="16">
        <f>IF('ANAHTAR'!$B490="","",'ANAHTAR'!$B490)</f>
        <v/>
      </c>
      <c r="B490" s="16">
        <f>IF($A490="","",IFERROR(SUMIF(tblAnahtarA[Norm],$A490,tblVeriA[SatisFiyati]),0))</f>
        <v/>
      </c>
      <c r="C490" s="16">
        <f>IF($A490="","",IFERROR(SUMIF(tblAnahtarA[Norm],$A490,tblVeriA[Maliyet]),0))</f>
        <v/>
      </c>
      <c r="D490" s="16">
        <f>IF($A490="","",IFERROR(SUMIF(tblAnahtarB[NormB],$A490,tblVeriB[KomisyonOran]),0))</f>
        <v/>
      </c>
      <c r="E490" s="16">
        <f>IF($A490="","",ROUND($B490*$D490,2))</f>
        <v/>
      </c>
      <c r="F490" s="16">
        <f>IF($A490="","",IFERROR(SUMIF(tblAnahtarB[NormB],$A490,tblVeriB[Kargo]),0))</f>
        <v/>
      </c>
      <c r="G490" s="16">
        <f>IF($A490="","",IFERROR(SUMIF(tblAnahtarB[NormB],$A490,tblVeriB[IadeOran]),0))</f>
        <v/>
      </c>
      <c r="H490" s="16">
        <f>IF($A490="","",ROUND($B490*$G490,2))</f>
        <v/>
      </c>
      <c r="I490" s="16">
        <f>IF($A490="","",IFERROR(SUMIF(tblAnahtarB[NormB],$A490,tblVeriB[ReklamTutar]),0))</f>
        <v/>
      </c>
      <c r="J490" s="16">
        <f>IF($A490="","",ROUND($B490-$C490,2))</f>
        <v/>
      </c>
      <c r="K490" s="16">
        <f>IF($A490="","",ROUND($B490-$C490-$E490-$F490-$H490-$I490,2))</f>
        <v/>
      </c>
      <c r="L490" s="16">
        <f>IF(OR($A490="",$B490=0),0,$K490/$B490)</f>
        <v/>
      </c>
      <c r="M490" s="16">
        <f>IF($A490="","",IF((1-$D490-$G490)&lt;=0,0,ROUND(($C490+$F490+$I490)/(1-$D490-$G490),2)))</f>
        <v/>
      </c>
      <c r="N490" s="16">
        <f>IF($A490="","",IFERROR(SUMIF(tblAnahtarA[Norm],$A490,tblVeriA[HedefNet]),0))</f>
        <v/>
      </c>
      <c r="O490" s="16">
        <f>IF($A490="","",ROUND($K490-$N490,2))</f>
        <v/>
      </c>
      <c r="P490" s="16">
        <f>IF($A490="","",IF($L490&lt;egk_esikKatkiDusuk,"ZAM YAP",IF(AND($R490=1,$L490&lt;egk_esikKatkiHedef),"İNDİRİMİ KES","TUT")))</f>
        <v/>
      </c>
      <c r="Q490" s="16">
        <f>IF($A490="","",IFERROR(SUMIF(tblAnahtarB[NormB],$A490,tblVeriB[Roas]),0))</f>
        <v/>
      </c>
      <c r="R490" s="16">
        <f>IF($A490="","",IF(OR(IFERROR(INDEX(tblVeriA[YorumAB],MATCH($A490,tblAnahtarA[Norm],0)),"")="B",IFERROR(INDEX(tblVeriA[Durum],MATCH($A490,tblAnahtarA[Norm],0)),"")="Kampanya"),1,0))</f>
        <v/>
      </c>
      <c r="S490" s="16">
        <f>IF($A490="","",$J490-$E490)</f>
        <v/>
      </c>
      <c r="T490" s="16">
        <f>IF($A490="","",$K490-$O490)</f>
        <v/>
      </c>
    </row>
    <row r="491">
      <c r="A491" s="16">
        <f>IF('ANAHTAR'!$B491="","",'ANAHTAR'!$B491)</f>
        <v/>
      </c>
      <c r="B491" s="16">
        <f>IF($A491="","",IFERROR(SUMIF(tblAnahtarA[Norm],$A491,tblVeriA[SatisFiyati]),0))</f>
        <v/>
      </c>
      <c r="C491" s="16">
        <f>IF($A491="","",IFERROR(SUMIF(tblAnahtarA[Norm],$A491,tblVeriA[Maliyet]),0))</f>
        <v/>
      </c>
      <c r="D491" s="16">
        <f>IF($A491="","",IFERROR(SUMIF(tblAnahtarB[NormB],$A491,tblVeriB[KomisyonOran]),0))</f>
        <v/>
      </c>
      <c r="E491" s="16">
        <f>IF($A491="","",ROUND($B491*$D491,2))</f>
        <v/>
      </c>
      <c r="F491" s="16">
        <f>IF($A491="","",IFERROR(SUMIF(tblAnahtarB[NormB],$A491,tblVeriB[Kargo]),0))</f>
        <v/>
      </c>
      <c r="G491" s="16">
        <f>IF($A491="","",IFERROR(SUMIF(tblAnahtarB[NormB],$A491,tblVeriB[IadeOran]),0))</f>
        <v/>
      </c>
      <c r="H491" s="16">
        <f>IF($A491="","",ROUND($B491*$G491,2))</f>
        <v/>
      </c>
      <c r="I491" s="16">
        <f>IF($A491="","",IFERROR(SUMIF(tblAnahtarB[NormB],$A491,tblVeriB[ReklamTutar]),0))</f>
        <v/>
      </c>
      <c r="J491" s="16">
        <f>IF($A491="","",ROUND($B491-$C491,2))</f>
        <v/>
      </c>
      <c r="K491" s="16">
        <f>IF($A491="","",ROUND($B491-$C491-$E491-$F491-$H491-$I491,2))</f>
        <v/>
      </c>
      <c r="L491" s="16">
        <f>IF(OR($A491="",$B491=0),0,$K491/$B491)</f>
        <v/>
      </c>
      <c r="M491" s="16">
        <f>IF($A491="","",IF((1-$D491-$G491)&lt;=0,0,ROUND(($C491+$F491+$I491)/(1-$D491-$G491),2)))</f>
        <v/>
      </c>
      <c r="N491" s="16">
        <f>IF($A491="","",IFERROR(SUMIF(tblAnahtarA[Norm],$A491,tblVeriA[HedefNet]),0))</f>
        <v/>
      </c>
      <c r="O491" s="16">
        <f>IF($A491="","",ROUND($K491-$N491,2))</f>
        <v/>
      </c>
      <c r="P491" s="16">
        <f>IF($A491="","",IF($L491&lt;egk_esikKatkiDusuk,"ZAM YAP",IF(AND($R491=1,$L491&lt;egk_esikKatkiHedef),"İNDİRİMİ KES","TUT")))</f>
        <v/>
      </c>
      <c r="Q491" s="16">
        <f>IF($A491="","",IFERROR(SUMIF(tblAnahtarB[NormB],$A491,tblVeriB[Roas]),0))</f>
        <v/>
      </c>
      <c r="R491" s="16">
        <f>IF($A491="","",IF(OR(IFERROR(INDEX(tblVeriA[YorumAB],MATCH($A491,tblAnahtarA[Norm],0)),"")="B",IFERROR(INDEX(tblVeriA[Durum],MATCH($A491,tblAnahtarA[Norm],0)),"")="Kampanya"),1,0))</f>
        <v/>
      </c>
      <c r="S491" s="16">
        <f>IF($A491="","",$J491-$E491)</f>
        <v/>
      </c>
      <c r="T491" s="16">
        <f>IF($A491="","",$K491-$O491)</f>
        <v/>
      </c>
    </row>
    <row r="492">
      <c r="A492" s="16">
        <f>IF('ANAHTAR'!$B492="","",'ANAHTAR'!$B492)</f>
        <v/>
      </c>
      <c r="B492" s="16">
        <f>IF($A492="","",IFERROR(SUMIF(tblAnahtarA[Norm],$A492,tblVeriA[SatisFiyati]),0))</f>
        <v/>
      </c>
      <c r="C492" s="16">
        <f>IF($A492="","",IFERROR(SUMIF(tblAnahtarA[Norm],$A492,tblVeriA[Maliyet]),0))</f>
        <v/>
      </c>
      <c r="D492" s="16">
        <f>IF($A492="","",IFERROR(SUMIF(tblAnahtarB[NormB],$A492,tblVeriB[KomisyonOran]),0))</f>
        <v/>
      </c>
      <c r="E492" s="16">
        <f>IF($A492="","",ROUND($B492*$D492,2))</f>
        <v/>
      </c>
      <c r="F492" s="16">
        <f>IF($A492="","",IFERROR(SUMIF(tblAnahtarB[NormB],$A492,tblVeriB[Kargo]),0))</f>
        <v/>
      </c>
      <c r="G492" s="16">
        <f>IF($A492="","",IFERROR(SUMIF(tblAnahtarB[NormB],$A492,tblVeriB[IadeOran]),0))</f>
        <v/>
      </c>
      <c r="H492" s="16">
        <f>IF($A492="","",ROUND($B492*$G492,2))</f>
        <v/>
      </c>
      <c r="I492" s="16">
        <f>IF($A492="","",IFERROR(SUMIF(tblAnahtarB[NormB],$A492,tblVeriB[ReklamTutar]),0))</f>
        <v/>
      </c>
      <c r="J492" s="16">
        <f>IF($A492="","",ROUND($B492-$C492,2))</f>
        <v/>
      </c>
      <c r="K492" s="16">
        <f>IF($A492="","",ROUND($B492-$C492-$E492-$F492-$H492-$I492,2))</f>
        <v/>
      </c>
      <c r="L492" s="16">
        <f>IF(OR($A492="",$B492=0),0,$K492/$B492)</f>
        <v/>
      </c>
      <c r="M492" s="16">
        <f>IF($A492="","",IF((1-$D492-$G492)&lt;=0,0,ROUND(($C492+$F492+$I492)/(1-$D492-$G492),2)))</f>
        <v/>
      </c>
      <c r="N492" s="16">
        <f>IF($A492="","",IFERROR(SUMIF(tblAnahtarA[Norm],$A492,tblVeriA[HedefNet]),0))</f>
        <v/>
      </c>
      <c r="O492" s="16">
        <f>IF($A492="","",ROUND($K492-$N492,2))</f>
        <v/>
      </c>
      <c r="P492" s="16">
        <f>IF($A492="","",IF($L492&lt;egk_esikKatkiDusuk,"ZAM YAP",IF(AND($R492=1,$L492&lt;egk_esikKatkiHedef),"İNDİRİMİ KES","TUT")))</f>
        <v/>
      </c>
      <c r="Q492" s="16">
        <f>IF($A492="","",IFERROR(SUMIF(tblAnahtarB[NormB],$A492,tblVeriB[Roas]),0))</f>
        <v/>
      </c>
      <c r="R492" s="16">
        <f>IF($A492="","",IF(OR(IFERROR(INDEX(tblVeriA[YorumAB],MATCH($A492,tblAnahtarA[Norm],0)),"")="B",IFERROR(INDEX(tblVeriA[Durum],MATCH($A492,tblAnahtarA[Norm],0)),"")="Kampanya"),1,0))</f>
        <v/>
      </c>
      <c r="S492" s="16">
        <f>IF($A492="","",$J492-$E492)</f>
        <v/>
      </c>
      <c r="T492" s="16">
        <f>IF($A492="","",$K492-$O492)</f>
        <v/>
      </c>
    </row>
    <row r="493">
      <c r="A493" s="16">
        <f>IF('ANAHTAR'!$B493="","",'ANAHTAR'!$B493)</f>
        <v/>
      </c>
      <c r="B493" s="16">
        <f>IF($A493="","",IFERROR(SUMIF(tblAnahtarA[Norm],$A493,tblVeriA[SatisFiyati]),0))</f>
        <v/>
      </c>
      <c r="C493" s="16">
        <f>IF($A493="","",IFERROR(SUMIF(tblAnahtarA[Norm],$A493,tblVeriA[Maliyet]),0))</f>
        <v/>
      </c>
      <c r="D493" s="16">
        <f>IF($A493="","",IFERROR(SUMIF(tblAnahtarB[NormB],$A493,tblVeriB[KomisyonOran]),0))</f>
        <v/>
      </c>
      <c r="E493" s="16">
        <f>IF($A493="","",ROUND($B493*$D493,2))</f>
        <v/>
      </c>
      <c r="F493" s="16">
        <f>IF($A493="","",IFERROR(SUMIF(tblAnahtarB[NormB],$A493,tblVeriB[Kargo]),0))</f>
        <v/>
      </c>
      <c r="G493" s="16">
        <f>IF($A493="","",IFERROR(SUMIF(tblAnahtarB[NormB],$A493,tblVeriB[IadeOran]),0))</f>
        <v/>
      </c>
      <c r="H493" s="16">
        <f>IF($A493="","",ROUND($B493*$G493,2))</f>
        <v/>
      </c>
      <c r="I493" s="16">
        <f>IF($A493="","",IFERROR(SUMIF(tblAnahtarB[NormB],$A493,tblVeriB[ReklamTutar]),0))</f>
        <v/>
      </c>
      <c r="J493" s="16">
        <f>IF($A493="","",ROUND($B493-$C493,2))</f>
        <v/>
      </c>
      <c r="K493" s="16">
        <f>IF($A493="","",ROUND($B493-$C493-$E493-$F493-$H493-$I493,2))</f>
        <v/>
      </c>
      <c r="L493" s="16">
        <f>IF(OR($A493="",$B493=0),0,$K493/$B493)</f>
        <v/>
      </c>
      <c r="M493" s="16">
        <f>IF($A493="","",IF((1-$D493-$G493)&lt;=0,0,ROUND(($C493+$F493+$I493)/(1-$D493-$G493),2)))</f>
        <v/>
      </c>
      <c r="N493" s="16">
        <f>IF($A493="","",IFERROR(SUMIF(tblAnahtarA[Norm],$A493,tblVeriA[HedefNet]),0))</f>
        <v/>
      </c>
      <c r="O493" s="16">
        <f>IF($A493="","",ROUND($K493-$N493,2))</f>
        <v/>
      </c>
      <c r="P493" s="16">
        <f>IF($A493="","",IF($L493&lt;egk_esikKatkiDusuk,"ZAM YAP",IF(AND($R493=1,$L493&lt;egk_esikKatkiHedef),"İNDİRİMİ KES","TUT")))</f>
        <v/>
      </c>
      <c r="Q493" s="16">
        <f>IF($A493="","",IFERROR(SUMIF(tblAnahtarB[NormB],$A493,tblVeriB[Roas]),0))</f>
        <v/>
      </c>
      <c r="R493" s="16">
        <f>IF($A493="","",IF(OR(IFERROR(INDEX(tblVeriA[YorumAB],MATCH($A493,tblAnahtarA[Norm],0)),"")="B",IFERROR(INDEX(tblVeriA[Durum],MATCH($A493,tblAnahtarA[Norm],0)),"")="Kampanya"),1,0))</f>
        <v/>
      </c>
      <c r="S493" s="16">
        <f>IF($A493="","",$J493-$E493)</f>
        <v/>
      </c>
      <c r="T493" s="16">
        <f>IF($A493="","",$K493-$O493)</f>
        <v/>
      </c>
    </row>
    <row r="494">
      <c r="A494" s="16">
        <f>IF('ANAHTAR'!$B494="","",'ANAHTAR'!$B494)</f>
        <v/>
      </c>
      <c r="B494" s="16">
        <f>IF($A494="","",IFERROR(SUMIF(tblAnahtarA[Norm],$A494,tblVeriA[SatisFiyati]),0))</f>
        <v/>
      </c>
      <c r="C494" s="16">
        <f>IF($A494="","",IFERROR(SUMIF(tblAnahtarA[Norm],$A494,tblVeriA[Maliyet]),0))</f>
        <v/>
      </c>
      <c r="D494" s="16">
        <f>IF($A494="","",IFERROR(SUMIF(tblAnahtarB[NormB],$A494,tblVeriB[KomisyonOran]),0))</f>
        <v/>
      </c>
      <c r="E494" s="16">
        <f>IF($A494="","",ROUND($B494*$D494,2))</f>
        <v/>
      </c>
      <c r="F494" s="16">
        <f>IF($A494="","",IFERROR(SUMIF(tblAnahtarB[NormB],$A494,tblVeriB[Kargo]),0))</f>
        <v/>
      </c>
      <c r="G494" s="16">
        <f>IF($A494="","",IFERROR(SUMIF(tblAnahtarB[NormB],$A494,tblVeriB[IadeOran]),0))</f>
        <v/>
      </c>
      <c r="H494" s="16">
        <f>IF($A494="","",ROUND($B494*$G494,2))</f>
        <v/>
      </c>
      <c r="I494" s="16">
        <f>IF($A494="","",IFERROR(SUMIF(tblAnahtarB[NormB],$A494,tblVeriB[ReklamTutar]),0))</f>
        <v/>
      </c>
      <c r="J494" s="16">
        <f>IF($A494="","",ROUND($B494-$C494,2))</f>
        <v/>
      </c>
      <c r="K494" s="16">
        <f>IF($A494="","",ROUND($B494-$C494-$E494-$F494-$H494-$I494,2))</f>
        <v/>
      </c>
      <c r="L494" s="16">
        <f>IF(OR($A494="",$B494=0),0,$K494/$B494)</f>
        <v/>
      </c>
      <c r="M494" s="16">
        <f>IF($A494="","",IF((1-$D494-$G494)&lt;=0,0,ROUND(($C494+$F494+$I494)/(1-$D494-$G494),2)))</f>
        <v/>
      </c>
      <c r="N494" s="16">
        <f>IF($A494="","",IFERROR(SUMIF(tblAnahtarA[Norm],$A494,tblVeriA[HedefNet]),0))</f>
        <v/>
      </c>
      <c r="O494" s="16">
        <f>IF($A494="","",ROUND($K494-$N494,2))</f>
        <v/>
      </c>
      <c r="P494" s="16">
        <f>IF($A494="","",IF($L494&lt;egk_esikKatkiDusuk,"ZAM YAP",IF(AND($R494=1,$L494&lt;egk_esikKatkiHedef),"İNDİRİMİ KES","TUT")))</f>
        <v/>
      </c>
      <c r="Q494" s="16">
        <f>IF($A494="","",IFERROR(SUMIF(tblAnahtarB[NormB],$A494,tblVeriB[Roas]),0))</f>
        <v/>
      </c>
      <c r="R494" s="16">
        <f>IF($A494="","",IF(OR(IFERROR(INDEX(tblVeriA[YorumAB],MATCH($A494,tblAnahtarA[Norm],0)),"")="B",IFERROR(INDEX(tblVeriA[Durum],MATCH($A494,tblAnahtarA[Norm],0)),"")="Kampanya"),1,0))</f>
        <v/>
      </c>
      <c r="S494" s="16">
        <f>IF($A494="","",$J494-$E494)</f>
        <v/>
      </c>
      <c r="T494" s="16">
        <f>IF($A494="","",$K494-$O494)</f>
        <v/>
      </c>
    </row>
    <row r="495">
      <c r="A495" s="16">
        <f>IF('ANAHTAR'!$B495="","",'ANAHTAR'!$B495)</f>
        <v/>
      </c>
      <c r="B495" s="16">
        <f>IF($A495="","",IFERROR(SUMIF(tblAnahtarA[Norm],$A495,tblVeriA[SatisFiyati]),0))</f>
        <v/>
      </c>
      <c r="C495" s="16">
        <f>IF($A495="","",IFERROR(SUMIF(tblAnahtarA[Norm],$A495,tblVeriA[Maliyet]),0))</f>
        <v/>
      </c>
      <c r="D495" s="16">
        <f>IF($A495="","",IFERROR(SUMIF(tblAnahtarB[NormB],$A495,tblVeriB[KomisyonOran]),0))</f>
        <v/>
      </c>
      <c r="E495" s="16">
        <f>IF($A495="","",ROUND($B495*$D495,2))</f>
        <v/>
      </c>
      <c r="F495" s="16">
        <f>IF($A495="","",IFERROR(SUMIF(tblAnahtarB[NormB],$A495,tblVeriB[Kargo]),0))</f>
        <v/>
      </c>
      <c r="G495" s="16">
        <f>IF($A495="","",IFERROR(SUMIF(tblAnahtarB[NormB],$A495,tblVeriB[IadeOran]),0))</f>
        <v/>
      </c>
      <c r="H495" s="16">
        <f>IF($A495="","",ROUND($B495*$G495,2))</f>
        <v/>
      </c>
      <c r="I495" s="16">
        <f>IF($A495="","",IFERROR(SUMIF(tblAnahtarB[NormB],$A495,tblVeriB[ReklamTutar]),0))</f>
        <v/>
      </c>
      <c r="J495" s="16">
        <f>IF($A495="","",ROUND($B495-$C495,2))</f>
        <v/>
      </c>
      <c r="K495" s="16">
        <f>IF($A495="","",ROUND($B495-$C495-$E495-$F495-$H495-$I495,2))</f>
        <v/>
      </c>
      <c r="L495" s="16">
        <f>IF(OR($A495="",$B495=0),0,$K495/$B495)</f>
        <v/>
      </c>
      <c r="M495" s="16">
        <f>IF($A495="","",IF((1-$D495-$G495)&lt;=0,0,ROUND(($C495+$F495+$I495)/(1-$D495-$G495),2)))</f>
        <v/>
      </c>
      <c r="N495" s="16">
        <f>IF($A495="","",IFERROR(SUMIF(tblAnahtarA[Norm],$A495,tblVeriA[HedefNet]),0))</f>
        <v/>
      </c>
      <c r="O495" s="16">
        <f>IF($A495="","",ROUND($K495-$N495,2))</f>
        <v/>
      </c>
      <c r="P495" s="16">
        <f>IF($A495="","",IF($L495&lt;egk_esikKatkiDusuk,"ZAM YAP",IF(AND($R495=1,$L495&lt;egk_esikKatkiHedef),"İNDİRİMİ KES","TUT")))</f>
        <v/>
      </c>
      <c r="Q495" s="16">
        <f>IF($A495="","",IFERROR(SUMIF(tblAnahtarB[NormB],$A495,tblVeriB[Roas]),0))</f>
        <v/>
      </c>
      <c r="R495" s="16">
        <f>IF($A495="","",IF(OR(IFERROR(INDEX(tblVeriA[YorumAB],MATCH($A495,tblAnahtarA[Norm],0)),"")="B",IFERROR(INDEX(tblVeriA[Durum],MATCH($A495,tblAnahtarA[Norm],0)),"")="Kampanya"),1,0))</f>
        <v/>
      </c>
      <c r="S495" s="16">
        <f>IF($A495="","",$J495-$E495)</f>
        <v/>
      </c>
      <c r="T495" s="16">
        <f>IF($A495="","",$K495-$O495)</f>
        <v/>
      </c>
    </row>
    <row r="496">
      <c r="A496" s="16">
        <f>IF('ANAHTAR'!$B496="","",'ANAHTAR'!$B496)</f>
        <v/>
      </c>
      <c r="B496" s="16">
        <f>IF($A496="","",IFERROR(SUMIF(tblAnahtarA[Norm],$A496,tblVeriA[SatisFiyati]),0))</f>
        <v/>
      </c>
      <c r="C496" s="16">
        <f>IF($A496="","",IFERROR(SUMIF(tblAnahtarA[Norm],$A496,tblVeriA[Maliyet]),0))</f>
        <v/>
      </c>
      <c r="D496" s="16">
        <f>IF($A496="","",IFERROR(SUMIF(tblAnahtarB[NormB],$A496,tblVeriB[KomisyonOran]),0))</f>
        <v/>
      </c>
      <c r="E496" s="16">
        <f>IF($A496="","",ROUND($B496*$D496,2))</f>
        <v/>
      </c>
      <c r="F496" s="16">
        <f>IF($A496="","",IFERROR(SUMIF(tblAnahtarB[NormB],$A496,tblVeriB[Kargo]),0))</f>
        <v/>
      </c>
      <c r="G496" s="16">
        <f>IF($A496="","",IFERROR(SUMIF(tblAnahtarB[NormB],$A496,tblVeriB[IadeOran]),0))</f>
        <v/>
      </c>
      <c r="H496" s="16">
        <f>IF($A496="","",ROUND($B496*$G496,2))</f>
        <v/>
      </c>
      <c r="I496" s="16">
        <f>IF($A496="","",IFERROR(SUMIF(tblAnahtarB[NormB],$A496,tblVeriB[ReklamTutar]),0))</f>
        <v/>
      </c>
      <c r="J496" s="16">
        <f>IF($A496="","",ROUND($B496-$C496,2))</f>
        <v/>
      </c>
      <c r="K496" s="16">
        <f>IF($A496="","",ROUND($B496-$C496-$E496-$F496-$H496-$I496,2))</f>
        <v/>
      </c>
      <c r="L496" s="16">
        <f>IF(OR($A496="",$B496=0),0,$K496/$B496)</f>
        <v/>
      </c>
      <c r="M496" s="16">
        <f>IF($A496="","",IF((1-$D496-$G496)&lt;=0,0,ROUND(($C496+$F496+$I496)/(1-$D496-$G496),2)))</f>
        <v/>
      </c>
      <c r="N496" s="16">
        <f>IF($A496="","",IFERROR(SUMIF(tblAnahtarA[Norm],$A496,tblVeriA[HedefNet]),0))</f>
        <v/>
      </c>
      <c r="O496" s="16">
        <f>IF($A496="","",ROUND($K496-$N496,2))</f>
        <v/>
      </c>
      <c r="P496" s="16">
        <f>IF($A496="","",IF($L496&lt;egk_esikKatkiDusuk,"ZAM YAP",IF(AND($R496=1,$L496&lt;egk_esikKatkiHedef),"İNDİRİMİ KES","TUT")))</f>
        <v/>
      </c>
      <c r="Q496" s="16">
        <f>IF($A496="","",IFERROR(SUMIF(tblAnahtarB[NormB],$A496,tblVeriB[Roas]),0))</f>
        <v/>
      </c>
      <c r="R496" s="16">
        <f>IF($A496="","",IF(OR(IFERROR(INDEX(tblVeriA[YorumAB],MATCH($A496,tblAnahtarA[Norm],0)),"")="B",IFERROR(INDEX(tblVeriA[Durum],MATCH($A496,tblAnahtarA[Norm],0)),"")="Kampanya"),1,0))</f>
        <v/>
      </c>
      <c r="S496" s="16">
        <f>IF($A496="","",$J496-$E496)</f>
        <v/>
      </c>
      <c r="T496" s="16">
        <f>IF($A496="","",$K496-$O496)</f>
        <v/>
      </c>
    </row>
    <row r="497">
      <c r="A497" s="16">
        <f>IF('ANAHTAR'!$B497="","",'ANAHTAR'!$B497)</f>
        <v/>
      </c>
      <c r="B497" s="16">
        <f>IF($A497="","",IFERROR(SUMIF(tblAnahtarA[Norm],$A497,tblVeriA[SatisFiyati]),0))</f>
        <v/>
      </c>
      <c r="C497" s="16">
        <f>IF($A497="","",IFERROR(SUMIF(tblAnahtarA[Norm],$A497,tblVeriA[Maliyet]),0))</f>
        <v/>
      </c>
      <c r="D497" s="16">
        <f>IF($A497="","",IFERROR(SUMIF(tblAnahtarB[NormB],$A497,tblVeriB[KomisyonOran]),0))</f>
        <v/>
      </c>
      <c r="E497" s="16">
        <f>IF($A497="","",ROUND($B497*$D497,2))</f>
        <v/>
      </c>
      <c r="F497" s="16">
        <f>IF($A497="","",IFERROR(SUMIF(tblAnahtarB[NormB],$A497,tblVeriB[Kargo]),0))</f>
        <v/>
      </c>
      <c r="G497" s="16">
        <f>IF($A497="","",IFERROR(SUMIF(tblAnahtarB[NormB],$A497,tblVeriB[IadeOran]),0))</f>
        <v/>
      </c>
      <c r="H497" s="16">
        <f>IF($A497="","",ROUND($B497*$G497,2))</f>
        <v/>
      </c>
      <c r="I497" s="16">
        <f>IF($A497="","",IFERROR(SUMIF(tblAnahtarB[NormB],$A497,tblVeriB[ReklamTutar]),0))</f>
        <v/>
      </c>
      <c r="J497" s="16">
        <f>IF($A497="","",ROUND($B497-$C497,2))</f>
        <v/>
      </c>
      <c r="K497" s="16">
        <f>IF($A497="","",ROUND($B497-$C497-$E497-$F497-$H497-$I497,2))</f>
        <v/>
      </c>
      <c r="L497" s="16">
        <f>IF(OR($A497="",$B497=0),0,$K497/$B497)</f>
        <v/>
      </c>
      <c r="M497" s="16">
        <f>IF($A497="","",IF((1-$D497-$G497)&lt;=0,0,ROUND(($C497+$F497+$I497)/(1-$D497-$G497),2)))</f>
        <v/>
      </c>
      <c r="N497" s="16">
        <f>IF($A497="","",IFERROR(SUMIF(tblAnahtarA[Norm],$A497,tblVeriA[HedefNet]),0))</f>
        <v/>
      </c>
      <c r="O497" s="16">
        <f>IF($A497="","",ROUND($K497-$N497,2))</f>
        <v/>
      </c>
      <c r="P497" s="16">
        <f>IF($A497="","",IF($L497&lt;egk_esikKatkiDusuk,"ZAM YAP",IF(AND($R497=1,$L497&lt;egk_esikKatkiHedef),"İNDİRİMİ KES","TUT")))</f>
        <v/>
      </c>
      <c r="Q497" s="16">
        <f>IF($A497="","",IFERROR(SUMIF(tblAnahtarB[NormB],$A497,tblVeriB[Roas]),0))</f>
        <v/>
      </c>
      <c r="R497" s="16">
        <f>IF($A497="","",IF(OR(IFERROR(INDEX(tblVeriA[YorumAB],MATCH($A497,tblAnahtarA[Norm],0)),"")="B",IFERROR(INDEX(tblVeriA[Durum],MATCH($A497,tblAnahtarA[Norm],0)),"")="Kampanya"),1,0))</f>
        <v/>
      </c>
      <c r="S497" s="16">
        <f>IF($A497="","",$J497-$E497)</f>
        <v/>
      </c>
      <c r="T497" s="16">
        <f>IF($A497="","",$K497-$O497)</f>
        <v/>
      </c>
    </row>
    <row r="498">
      <c r="A498" s="16">
        <f>IF('ANAHTAR'!$B498="","",'ANAHTAR'!$B498)</f>
        <v/>
      </c>
      <c r="B498" s="16">
        <f>IF($A498="","",IFERROR(SUMIF(tblAnahtarA[Norm],$A498,tblVeriA[SatisFiyati]),0))</f>
        <v/>
      </c>
      <c r="C498" s="16">
        <f>IF($A498="","",IFERROR(SUMIF(tblAnahtarA[Norm],$A498,tblVeriA[Maliyet]),0))</f>
        <v/>
      </c>
      <c r="D498" s="16">
        <f>IF($A498="","",IFERROR(SUMIF(tblAnahtarB[NormB],$A498,tblVeriB[KomisyonOran]),0))</f>
        <v/>
      </c>
      <c r="E498" s="16">
        <f>IF($A498="","",ROUND($B498*$D498,2))</f>
        <v/>
      </c>
      <c r="F498" s="16">
        <f>IF($A498="","",IFERROR(SUMIF(tblAnahtarB[NormB],$A498,tblVeriB[Kargo]),0))</f>
        <v/>
      </c>
      <c r="G498" s="16">
        <f>IF($A498="","",IFERROR(SUMIF(tblAnahtarB[NormB],$A498,tblVeriB[IadeOran]),0))</f>
        <v/>
      </c>
      <c r="H498" s="16">
        <f>IF($A498="","",ROUND($B498*$G498,2))</f>
        <v/>
      </c>
      <c r="I498" s="16">
        <f>IF($A498="","",IFERROR(SUMIF(tblAnahtarB[NormB],$A498,tblVeriB[ReklamTutar]),0))</f>
        <v/>
      </c>
      <c r="J498" s="16">
        <f>IF($A498="","",ROUND($B498-$C498,2))</f>
        <v/>
      </c>
      <c r="K498" s="16">
        <f>IF($A498="","",ROUND($B498-$C498-$E498-$F498-$H498-$I498,2))</f>
        <v/>
      </c>
      <c r="L498" s="16">
        <f>IF(OR($A498="",$B498=0),0,$K498/$B498)</f>
        <v/>
      </c>
      <c r="M498" s="16">
        <f>IF($A498="","",IF((1-$D498-$G498)&lt;=0,0,ROUND(($C498+$F498+$I498)/(1-$D498-$G498),2)))</f>
        <v/>
      </c>
      <c r="N498" s="16">
        <f>IF($A498="","",IFERROR(SUMIF(tblAnahtarA[Norm],$A498,tblVeriA[HedefNet]),0))</f>
        <v/>
      </c>
      <c r="O498" s="16">
        <f>IF($A498="","",ROUND($K498-$N498,2))</f>
        <v/>
      </c>
      <c r="P498" s="16">
        <f>IF($A498="","",IF($L498&lt;egk_esikKatkiDusuk,"ZAM YAP",IF(AND($R498=1,$L498&lt;egk_esikKatkiHedef),"İNDİRİMİ KES","TUT")))</f>
        <v/>
      </c>
      <c r="Q498" s="16">
        <f>IF($A498="","",IFERROR(SUMIF(tblAnahtarB[NormB],$A498,tblVeriB[Roas]),0))</f>
        <v/>
      </c>
      <c r="R498" s="16">
        <f>IF($A498="","",IF(OR(IFERROR(INDEX(tblVeriA[YorumAB],MATCH($A498,tblAnahtarA[Norm],0)),"")="B",IFERROR(INDEX(tblVeriA[Durum],MATCH($A498,tblAnahtarA[Norm],0)),"")="Kampanya"),1,0))</f>
        <v/>
      </c>
      <c r="S498" s="16">
        <f>IF($A498="","",$J498-$E498)</f>
        <v/>
      </c>
      <c r="T498" s="16">
        <f>IF($A498="","",$K498-$O498)</f>
        <v/>
      </c>
    </row>
    <row r="499">
      <c r="A499" s="16">
        <f>IF('ANAHTAR'!$B499="","",'ANAHTAR'!$B499)</f>
        <v/>
      </c>
      <c r="B499" s="16">
        <f>IF($A499="","",IFERROR(SUMIF(tblAnahtarA[Norm],$A499,tblVeriA[SatisFiyati]),0))</f>
        <v/>
      </c>
      <c r="C499" s="16">
        <f>IF($A499="","",IFERROR(SUMIF(tblAnahtarA[Norm],$A499,tblVeriA[Maliyet]),0))</f>
        <v/>
      </c>
      <c r="D499" s="16">
        <f>IF($A499="","",IFERROR(SUMIF(tblAnahtarB[NormB],$A499,tblVeriB[KomisyonOran]),0))</f>
        <v/>
      </c>
      <c r="E499" s="16">
        <f>IF($A499="","",ROUND($B499*$D499,2))</f>
        <v/>
      </c>
      <c r="F499" s="16">
        <f>IF($A499="","",IFERROR(SUMIF(tblAnahtarB[NormB],$A499,tblVeriB[Kargo]),0))</f>
        <v/>
      </c>
      <c r="G499" s="16">
        <f>IF($A499="","",IFERROR(SUMIF(tblAnahtarB[NormB],$A499,tblVeriB[IadeOran]),0))</f>
        <v/>
      </c>
      <c r="H499" s="16">
        <f>IF($A499="","",ROUND($B499*$G499,2))</f>
        <v/>
      </c>
      <c r="I499" s="16">
        <f>IF($A499="","",IFERROR(SUMIF(tblAnahtarB[NormB],$A499,tblVeriB[ReklamTutar]),0))</f>
        <v/>
      </c>
      <c r="J499" s="16">
        <f>IF($A499="","",ROUND($B499-$C499,2))</f>
        <v/>
      </c>
      <c r="K499" s="16">
        <f>IF($A499="","",ROUND($B499-$C499-$E499-$F499-$H499-$I499,2))</f>
        <v/>
      </c>
      <c r="L499" s="16">
        <f>IF(OR($A499="",$B499=0),0,$K499/$B499)</f>
        <v/>
      </c>
      <c r="M499" s="16">
        <f>IF($A499="","",IF((1-$D499-$G499)&lt;=0,0,ROUND(($C499+$F499+$I499)/(1-$D499-$G499),2)))</f>
        <v/>
      </c>
      <c r="N499" s="16">
        <f>IF($A499="","",IFERROR(SUMIF(tblAnahtarA[Norm],$A499,tblVeriA[HedefNet]),0))</f>
        <v/>
      </c>
      <c r="O499" s="16">
        <f>IF($A499="","",ROUND($K499-$N499,2))</f>
        <v/>
      </c>
      <c r="P499" s="16">
        <f>IF($A499="","",IF($L499&lt;egk_esikKatkiDusuk,"ZAM YAP",IF(AND($R499=1,$L499&lt;egk_esikKatkiHedef),"İNDİRİMİ KES","TUT")))</f>
        <v/>
      </c>
      <c r="Q499" s="16">
        <f>IF($A499="","",IFERROR(SUMIF(tblAnahtarB[NormB],$A499,tblVeriB[Roas]),0))</f>
        <v/>
      </c>
      <c r="R499" s="16">
        <f>IF($A499="","",IF(OR(IFERROR(INDEX(tblVeriA[YorumAB],MATCH($A499,tblAnahtarA[Norm],0)),"")="B",IFERROR(INDEX(tblVeriA[Durum],MATCH($A499,tblAnahtarA[Norm],0)),"")="Kampanya"),1,0))</f>
        <v/>
      </c>
      <c r="S499" s="16">
        <f>IF($A499="","",$J499-$E499)</f>
        <v/>
      </c>
      <c r="T499" s="16">
        <f>IF($A499="","",$K499-$O499)</f>
        <v/>
      </c>
    </row>
    <row r="500">
      <c r="A500" s="16">
        <f>IF('ANAHTAR'!$B500="","",'ANAHTAR'!$B500)</f>
        <v/>
      </c>
      <c r="B500" s="16">
        <f>IF($A500="","",IFERROR(SUMIF(tblAnahtarA[Norm],$A500,tblVeriA[SatisFiyati]),0))</f>
        <v/>
      </c>
      <c r="C500" s="16">
        <f>IF($A500="","",IFERROR(SUMIF(tblAnahtarA[Norm],$A500,tblVeriA[Maliyet]),0))</f>
        <v/>
      </c>
      <c r="D500" s="16">
        <f>IF($A500="","",IFERROR(SUMIF(tblAnahtarB[NormB],$A500,tblVeriB[KomisyonOran]),0))</f>
        <v/>
      </c>
      <c r="E500" s="16">
        <f>IF($A500="","",ROUND($B500*$D500,2))</f>
        <v/>
      </c>
      <c r="F500" s="16">
        <f>IF($A500="","",IFERROR(SUMIF(tblAnahtarB[NormB],$A500,tblVeriB[Kargo]),0))</f>
        <v/>
      </c>
      <c r="G500" s="16">
        <f>IF($A500="","",IFERROR(SUMIF(tblAnahtarB[NormB],$A500,tblVeriB[IadeOran]),0))</f>
        <v/>
      </c>
      <c r="H500" s="16">
        <f>IF($A500="","",ROUND($B500*$G500,2))</f>
        <v/>
      </c>
      <c r="I500" s="16">
        <f>IF($A500="","",IFERROR(SUMIF(tblAnahtarB[NormB],$A500,tblVeriB[ReklamTutar]),0))</f>
        <v/>
      </c>
      <c r="J500" s="16">
        <f>IF($A500="","",ROUND($B500-$C500,2))</f>
        <v/>
      </c>
      <c r="K500" s="16">
        <f>IF($A500="","",ROUND($B500-$C500-$E500-$F500-$H500-$I500,2))</f>
        <v/>
      </c>
      <c r="L500" s="16">
        <f>IF(OR($A500="",$B500=0),0,$K500/$B500)</f>
        <v/>
      </c>
      <c r="M500" s="16">
        <f>IF($A500="","",IF((1-$D500-$G500)&lt;=0,0,ROUND(($C500+$F500+$I500)/(1-$D500-$G500),2)))</f>
        <v/>
      </c>
      <c r="N500" s="16">
        <f>IF($A500="","",IFERROR(SUMIF(tblAnahtarA[Norm],$A500,tblVeriA[HedefNet]),0))</f>
        <v/>
      </c>
      <c r="O500" s="16">
        <f>IF($A500="","",ROUND($K500-$N500,2))</f>
        <v/>
      </c>
      <c r="P500" s="16">
        <f>IF($A500="","",IF($L500&lt;egk_esikKatkiDusuk,"ZAM YAP",IF(AND($R500=1,$L500&lt;egk_esikKatkiHedef),"İNDİRİMİ KES","TUT")))</f>
        <v/>
      </c>
      <c r="Q500" s="16">
        <f>IF($A500="","",IFERROR(SUMIF(tblAnahtarB[NormB],$A500,tblVeriB[Roas]),0))</f>
        <v/>
      </c>
      <c r="R500" s="16">
        <f>IF($A500="","",IF(OR(IFERROR(INDEX(tblVeriA[YorumAB],MATCH($A500,tblAnahtarA[Norm],0)),"")="B",IFERROR(INDEX(tblVeriA[Durum],MATCH($A500,tblAnahtarA[Norm],0)),"")="Kampanya"),1,0))</f>
        <v/>
      </c>
      <c r="S500" s="16">
        <f>IF($A500="","",$J500-$E500)</f>
        <v/>
      </c>
      <c r="T500" s="16">
        <f>IF($A500="","",$K500-$O500)</f>
        <v/>
      </c>
    </row>
    <row r="501">
      <c r="A501" s="16">
        <f>IF('ANAHTAR'!$B501="","",'ANAHTAR'!$B501)</f>
        <v/>
      </c>
      <c r="B501" s="16">
        <f>IF($A501="","",IFERROR(SUMIF(tblAnahtarA[Norm],$A501,tblVeriA[SatisFiyati]),0))</f>
        <v/>
      </c>
      <c r="C501" s="16">
        <f>IF($A501="","",IFERROR(SUMIF(tblAnahtarA[Norm],$A501,tblVeriA[Maliyet]),0))</f>
        <v/>
      </c>
      <c r="D501" s="16">
        <f>IF($A501="","",IFERROR(SUMIF(tblAnahtarB[NormB],$A501,tblVeriB[KomisyonOran]),0))</f>
        <v/>
      </c>
      <c r="E501" s="16">
        <f>IF($A501="","",ROUND($B501*$D501,2))</f>
        <v/>
      </c>
      <c r="F501" s="16">
        <f>IF($A501="","",IFERROR(SUMIF(tblAnahtarB[NormB],$A501,tblVeriB[Kargo]),0))</f>
        <v/>
      </c>
      <c r="G501" s="16">
        <f>IF($A501="","",IFERROR(SUMIF(tblAnahtarB[NormB],$A501,tblVeriB[IadeOran]),0))</f>
        <v/>
      </c>
      <c r="H501" s="16">
        <f>IF($A501="","",ROUND($B501*$G501,2))</f>
        <v/>
      </c>
      <c r="I501" s="16">
        <f>IF($A501="","",IFERROR(SUMIF(tblAnahtarB[NormB],$A501,tblVeriB[ReklamTutar]),0))</f>
        <v/>
      </c>
      <c r="J501" s="16">
        <f>IF($A501="","",ROUND($B501-$C501,2))</f>
        <v/>
      </c>
      <c r="K501" s="16">
        <f>IF($A501="","",ROUND($B501-$C501-$E501-$F501-$H501-$I501,2))</f>
        <v/>
      </c>
      <c r="L501" s="16">
        <f>IF(OR($A501="",$B501=0),0,$K501/$B501)</f>
        <v/>
      </c>
      <c r="M501" s="16">
        <f>IF($A501="","",IF((1-$D501-$G501)&lt;=0,0,ROUND(($C501+$F501+$I501)/(1-$D501-$G501),2)))</f>
        <v/>
      </c>
      <c r="N501" s="16">
        <f>IF($A501="","",IFERROR(SUMIF(tblAnahtarA[Norm],$A501,tblVeriA[HedefNet]),0))</f>
        <v/>
      </c>
      <c r="O501" s="16">
        <f>IF($A501="","",ROUND($K501-$N501,2))</f>
        <v/>
      </c>
      <c r="P501" s="16">
        <f>IF($A501="","",IF($L501&lt;egk_esikKatkiDusuk,"ZAM YAP",IF(AND($R501=1,$L501&lt;egk_esikKatkiHedef),"İNDİRİMİ KES","TUT")))</f>
        <v/>
      </c>
      <c r="Q501" s="16">
        <f>IF($A501="","",IFERROR(SUMIF(tblAnahtarB[NormB],$A501,tblVeriB[Roas]),0))</f>
        <v/>
      </c>
      <c r="R501" s="16">
        <f>IF($A501="","",IF(OR(IFERROR(INDEX(tblVeriA[YorumAB],MATCH($A501,tblAnahtarA[Norm],0)),"")="B",IFERROR(INDEX(tblVeriA[Durum],MATCH($A501,tblAnahtarA[Norm],0)),"")="Kampanya"),1,0))</f>
        <v/>
      </c>
      <c r="S501" s="16">
        <f>IF($A501="","",$J501-$E501)</f>
        <v/>
      </c>
      <c r="T501" s="16">
        <f>IF($A501="","",$K501-$O501)</f>
        <v/>
      </c>
    </row>
    <row r="502">
      <c r="A502" s="16">
        <f>IF('ANAHTAR'!$B502="","",'ANAHTAR'!$B502)</f>
        <v/>
      </c>
      <c r="B502" s="16">
        <f>IF($A502="","",IFERROR(SUMIF(tblAnahtarA[Norm],$A502,tblVeriA[SatisFiyati]),0))</f>
        <v/>
      </c>
      <c r="C502" s="16">
        <f>IF($A502="","",IFERROR(SUMIF(tblAnahtarA[Norm],$A502,tblVeriA[Maliyet]),0))</f>
        <v/>
      </c>
      <c r="D502" s="16">
        <f>IF($A502="","",IFERROR(SUMIF(tblAnahtarB[NormB],$A502,tblVeriB[KomisyonOran]),0))</f>
        <v/>
      </c>
      <c r="E502" s="16">
        <f>IF($A502="","",ROUND($B502*$D502,2))</f>
        <v/>
      </c>
      <c r="F502" s="16">
        <f>IF($A502="","",IFERROR(SUMIF(tblAnahtarB[NormB],$A502,tblVeriB[Kargo]),0))</f>
        <v/>
      </c>
      <c r="G502" s="16">
        <f>IF($A502="","",IFERROR(SUMIF(tblAnahtarB[NormB],$A502,tblVeriB[IadeOran]),0))</f>
        <v/>
      </c>
      <c r="H502" s="16">
        <f>IF($A502="","",ROUND($B502*$G502,2))</f>
        <v/>
      </c>
      <c r="I502" s="16">
        <f>IF($A502="","",IFERROR(SUMIF(tblAnahtarB[NormB],$A502,tblVeriB[ReklamTutar]),0))</f>
        <v/>
      </c>
      <c r="J502" s="16">
        <f>IF($A502="","",ROUND($B502-$C502,2))</f>
        <v/>
      </c>
      <c r="K502" s="16">
        <f>IF($A502="","",ROUND($B502-$C502-$E502-$F502-$H502-$I502,2))</f>
        <v/>
      </c>
      <c r="L502" s="16">
        <f>IF(OR($A502="",$B502=0),0,$K502/$B502)</f>
        <v/>
      </c>
      <c r="M502" s="16">
        <f>IF($A502="","",IF((1-$D502-$G502)&lt;=0,0,ROUND(($C502+$F502+$I502)/(1-$D502-$G502),2)))</f>
        <v/>
      </c>
      <c r="N502" s="16">
        <f>IF($A502="","",IFERROR(SUMIF(tblAnahtarA[Norm],$A502,tblVeriA[HedefNet]),0))</f>
        <v/>
      </c>
      <c r="O502" s="16">
        <f>IF($A502="","",ROUND($K502-$N502,2))</f>
        <v/>
      </c>
      <c r="P502" s="16">
        <f>IF($A502="","",IF($L502&lt;egk_esikKatkiDusuk,"ZAM YAP",IF(AND($R502=1,$L502&lt;egk_esikKatkiHedef),"İNDİRİMİ KES","TUT")))</f>
        <v/>
      </c>
      <c r="Q502" s="16">
        <f>IF($A502="","",IFERROR(SUMIF(tblAnahtarB[NormB],$A502,tblVeriB[Roas]),0))</f>
        <v/>
      </c>
      <c r="R502" s="16">
        <f>IF($A502="","",IF(OR(IFERROR(INDEX(tblVeriA[YorumAB],MATCH($A502,tblAnahtarA[Norm],0)),"")="B",IFERROR(INDEX(tblVeriA[Durum],MATCH($A502,tblAnahtarA[Norm],0)),"")="Kampanya"),1,0))</f>
        <v/>
      </c>
      <c r="S502" s="16">
        <f>IF($A502="","",$J502-$E502)</f>
        <v/>
      </c>
      <c r="T502" s="16">
        <f>IF($A502="","",$K502-$O502)</f>
        <v/>
      </c>
    </row>
    <row r="503">
      <c r="A503" s="16">
        <f>IF('ANAHTAR'!$B503="","",'ANAHTAR'!$B503)</f>
        <v/>
      </c>
      <c r="B503" s="16">
        <f>IF($A503="","",IFERROR(SUMIF(tblAnahtarA[Norm],$A503,tblVeriA[SatisFiyati]),0))</f>
        <v/>
      </c>
      <c r="C503" s="16">
        <f>IF($A503="","",IFERROR(SUMIF(tblAnahtarA[Norm],$A503,tblVeriA[Maliyet]),0))</f>
        <v/>
      </c>
      <c r="D503" s="16">
        <f>IF($A503="","",IFERROR(SUMIF(tblAnahtarB[NormB],$A503,tblVeriB[KomisyonOran]),0))</f>
        <v/>
      </c>
      <c r="E503" s="16">
        <f>IF($A503="","",ROUND($B503*$D503,2))</f>
        <v/>
      </c>
      <c r="F503" s="16">
        <f>IF($A503="","",IFERROR(SUMIF(tblAnahtarB[NormB],$A503,tblVeriB[Kargo]),0))</f>
        <v/>
      </c>
      <c r="G503" s="16">
        <f>IF($A503="","",IFERROR(SUMIF(tblAnahtarB[NormB],$A503,tblVeriB[IadeOran]),0))</f>
        <v/>
      </c>
      <c r="H503" s="16">
        <f>IF($A503="","",ROUND($B503*$G503,2))</f>
        <v/>
      </c>
      <c r="I503" s="16">
        <f>IF($A503="","",IFERROR(SUMIF(tblAnahtarB[NormB],$A503,tblVeriB[ReklamTutar]),0))</f>
        <v/>
      </c>
      <c r="J503" s="16">
        <f>IF($A503="","",ROUND($B503-$C503,2))</f>
        <v/>
      </c>
      <c r="K503" s="16">
        <f>IF($A503="","",ROUND($B503-$C503-$E503-$F503-$H503-$I503,2))</f>
        <v/>
      </c>
      <c r="L503" s="16">
        <f>IF(OR($A503="",$B503=0),0,$K503/$B503)</f>
        <v/>
      </c>
      <c r="M503" s="16">
        <f>IF($A503="","",IF((1-$D503-$G503)&lt;=0,0,ROUND(($C503+$F503+$I503)/(1-$D503-$G503),2)))</f>
        <v/>
      </c>
      <c r="N503" s="16">
        <f>IF($A503="","",IFERROR(SUMIF(tblAnahtarA[Norm],$A503,tblVeriA[HedefNet]),0))</f>
        <v/>
      </c>
      <c r="O503" s="16">
        <f>IF($A503="","",ROUND($K503-$N503,2))</f>
        <v/>
      </c>
      <c r="P503" s="16">
        <f>IF($A503="","",IF($L503&lt;egk_esikKatkiDusuk,"ZAM YAP",IF(AND($R503=1,$L503&lt;egk_esikKatkiHedef),"İNDİRİMİ KES","TUT")))</f>
        <v/>
      </c>
      <c r="Q503" s="16">
        <f>IF($A503="","",IFERROR(SUMIF(tblAnahtarB[NormB],$A503,tblVeriB[Roas]),0))</f>
        <v/>
      </c>
      <c r="R503" s="16">
        <f>IF($A503="","",IF(OR(IFERROR(INDEX(tblVeriA[YorumAB],MATCH($A503,tblAnahtarA[Norm],0)),"")="B",IFERROR(INDEX(tblVeriA[Durum],MATCH($A503,tblAnahtarA[Norm],0)),"")="Kampanya"),1,0))</f>
        <v/>
      </c>
      <c r="S503" s="16">
        <f>IF($A503="","",$J503-$E503)</f>
        <v/>
      </c>
      <c r="T503" s="16">
        <f>IF($A503="","",$K503-$O503)</f>
        <v/>
      </c>
    </row>
    <row r="504">
      <c r="A504" s="16">
        <f>IF('ANAHTAR'!$B504="","",'ANAHTAR'!$B504)</f>
        <v/>
      </c>
      <c r="B504" s="16">
        <f>IF($A504="","",IFERROR(SUMIF(tblAnahtarA[Norm],$A504,tblVeriA[SatisFiyati]),0))</f>
        <v/>
      </c>
      <c r="C504" s="16">
        <f>IF($A504="","",IFERROR(SUMIF(tblAnahtarA[Norm],$A504,tblVeriA[Maliyet]),0))</f>
        <v/>
      </c>
      <c r="D504" s="16">
        <f>IF($A504="","",IFERROR(SUMIF(tblAnahtarB[NormB],$A504,tblVeriB[KomisyonOran]),0))</f>
        <v/>
      </c>
      <c r="E504" s="16">
        <f>IF($A504="","",ROUND($B504*$D504,2))</f>
        <v/>
      </c>
      <c r="F504" s="16">
        <f>IF($A504="","",IFERROR(SUMIF(tblAnahtarB[NormB],$A504,tblVeriB[Kargo]),0))</f>
        <v/>
      </c>
      <c r="G504" s="16">
        <f>IF($A504="","",IFERROR(SUMIF(tblAnahtarB[NormB],$A504,tblVeriB[IadeOran]),0))</f>
        <v/>
      </c>
      <c r="H504" s="16">
        <f>IF($A504="","",ROUND($B504*$G504,2))</f>
        <v/>
      </c>
      <c r="I504" s="16">
        <f>IF($A504="","",IFERROR(SUMIF(tblAnahtarB[NormB],$A504,tblVeriB[ReklamTutar]),0))</f>
        <v/>
      </c>
      <c r="J504" s="16">
        <f>IF($A504="","",ROUND($B504-$C504,2))</f>
        <v/>
      </c>
      <c r="K504" s="16">
        <f>IF($A504="","",ROUND($B504-$C504-$E504-$F504-$H504-$I504,2))</f>
        <v/>
      </c>
      <c r="L504" s="16">
        <f>IF(OR($A504="",$B504=0),0,$K504/$B504)</f>
        <v/>
      </c>
      <c r="M504" s="16">
        <f>IF($A504="","",IF((1-$D504-$G504)&lt;=0,0,ROUND(($C504+$F504+$I504)/(1-$D504-$G504),2)))</f>
        <v/>
      </c>
      <c r="N504" s="16">
        <f>IF($A504="","",IFERROR(SUMIF(tblAnahtarA[Norm],$A504,tblVeriA[HedefNet]),0))</f>
        <v/>
      </c>
      <c r="O504" s="16">
        <f>IF($A504="","",ROUND($K504-$N504,2))</f>
        <v/>
      </c>
      <c r="P504" s="16">
        <f>IF($A504="","",IF($L504&lt;egk_esikKatkiDusuk,"ZAM YAP",IF(AND($R504=1,$L504&lt;egk_esikKatkiHedef),"İNDİRİMİ KES","TUT")))</f>
        <v/>
      </c>
      <c r="Q504" s="16">
        <f>IF($A504="","",IFERROR(SUMIF(tblAnahtarB[NormB],$A504,tblVeriB[Roas]),0))</f>
        <v/>
      </c>
      <c r="R504" s="16">
        <f>IF($A504="","",IF(OR(IFERROR(INDEX(tblVeriA[YorumAB],MATCH($A504,tblAnahtarA[Norm],0)),"")="B",IFERROR(INDEX(tblVeriA[Durum],MATCH($A504,tblAnahtarA[Norm],0)),"")="Kampanya"),1,0))</f>
        <v/>
      </c>
      <c r="S504" s="16">
        <f>IF($A504="","",$J504-$E504)</f>
        <v/>
      </c>
      <c r="T504" s="16">
        <f>IF($A504="","",$K504-$O504)</f>
        <v/>
      </c>
    </row>
    <row r="505">
      <c r="A505" s="16">
        <f>IF('ANAHTAR'!$B505="","",'ANAHTAR'!$B505)</f>
        <v/>
      </c>
      <c r="B505" s="16">
        <f>IF($A505="","",IFERROR(SUMIF(tblAnahtarA[Norm],$A505,tblVeriA[SatisFiyati]),0))</f>
        <v/>
      </c>
      <c r="C505" s="16">
        <f>IF($A505="","",IFERROR(SUMIF(tblAnahtarA[Norm],$A505,tblVeriA[Maliyet]),0))</f>
        <v/>
      </c>
      <c r="D505" s="16">
        <f>IF($A505="","",IFERROR(SUMIF(tblAnahtarB[NormB],$A505,tblVeriB[KomisyonOran]),0))</f>
        <v/>
      </c>
      <c r="E505" s="16">
        <f>IF($A505="","",ROUND($B505*$D505,2))</f>
        <v/>
      </c>
      <c r="F505" s="16">
        <f>IF($A505="","",IFERROR(SUMIF(tblAnahtarB[NormB],$A505,tblVeriB[Kargo]),0))</f>
        <v/>
      </c>
      <c r="G505" s="16">
        <f>IF($A505="","",IFERROR(SUMIF(tblAnahtarB[NormB],$A505,tblVeriB[IadeOran]),0))</f>
        <v/>
      </c>
      <c r="H505" s="16">
        <f>IF($A505="","",ROUND($B505*$G505,2))</f>
        <v/>
      </c>
      <c r="I505" s="16">
        <f>IF($A505="","",IFERROR(SUMIF(tblAnahtarB[NormB],$A505,tblVeriB[ReklamTutar]),0))</f>
        <v/>
      </c>
      <c r="J505" s="16">
        <f>IF($A505="","",ROUND($B505-$C505,2))</f>
        <v/>
      </c>
      <c r="K505" s="16">
        <f>IF($A505="","",ROUND($B505-$C505-$E505-$F505-$H505-$I505,2))</f>
        <v/>
      </c>
      <c r="L505" s="16">
        <f>IF(OR($A505="",$B505=0),0,$K505/$B505)</f>
        <v/>
      </c>
      <c r="M505" s="16">
        <f>IF($A505="","",IF((1-$D505-$G505)&lt;=0,0,ROUND(($C505+$F505+$I505)/(1-$D505-$G505),2)))</f>
        <v/>
      </c>
      <c r="N505" s="16">
        <f>IF($A505="","",IFERROR(SUMIF(tblAnahtarA[Norm],$A505,tblVeriA[HedefNet]),0))</f>
        <v/>
      </c>
      <c r="O505" s="16">
        <f>IF($A505="","",ROUND($K505-$N505,2))</f>
        <v/>
      </c>
      <c r="P505" s="16">
        <f>IF($A505="","",IF($L505&lt;egk_esikKatkiDusuk,"ZAM YAP",IF(AND($R505=1,$L505&lt;egk_esikKatkiHedef),"İNDİRİMİ KES","TUT")))</f>
        <v/>
      </c>
      <c r="Q505" s="16">
        <f>IF($A505="","",IFERROR(SUMIF(tblAnahtarB[NormB],$A505,tblVeriB[Roas]),0))</f>
        <v/>
      </c>
      <c r="R505" s="16">
        <f>IF($A505="","",IF(OR(IFERROR(INDEX(tblVeriA[YorumAB],MATCH($A505,tblAnahtarA[Norm],0)),"")="B",IFERROR(INDEX(tblVeriA[Durum],MATCH($A505,tblAnahtarA[Norm],0)),"")="Kampanya"),1,0))</f>
        <v/>
      </c>
      <c r="S505" s="16">
        <f>IF($A505="","",$J505-$E505)</f>
        <v/>
      </c>
      <c r="T505" s="16">
        <f>IF($A505="","",$K505-$O505)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"ZAM YAP"</formula>
    </cfRule>
    <cfRule type="cellIs" priority="2" operator="equal" dxfId="1">
      <formula>"İNDİRİMİ KES"</formula>
    </cfRule>
    <cfRule type="cellIs" priority="3" operator="equal" dxfId="2">
      <formula>"TUT"</formula>
    </cfRule>
  </conditionalFormatting>
  <conditionalFormatting sqref="K6:K505">
    <cfRule type="cellIs" priority="4" operator="less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E-Ticaret Gerçek Kârlılık &amp; Fiyatlama</t>
        </is>
      </c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net ↔ gerçek net dört kova — her A kaydı tek kovaya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IF($A6="","",IFERROR(SUMIF(tblMotor[A_Norm],$A6,tblMotor[NetKar]),0))</f>
        <v/>
      </c>
      <c r="D6" s="16">
        <f>IF($A6="","",IFERROR(SUMIF(tblAnahtarA[Norm],$A6,tblVeriA[HedefNet]),0))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IF($A6="","",IF($F6&gt;egk_esikFark,1,0))</f>
        <v/>
      </c>
      <c r="O6" s="16">
        <f>IF($A6="","",IFERROR(SUMIF(tblMotor[A_Norm],$A6,tblMotor[NetKar]),0))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IF($A7="","",IFERROR(SUMIF(tblMotor[A_Norm],$A7,tblMotor[NetKar]),0))</f>
        <v/>
      </c>
      <c r="D7" s="16">
        <f>IF($A7="","",IFERROR(SUMIF(tblAnahtarA[Norm],$A7,tblVeriA[HedefNet]),0))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IF($A7="","",IF($F7&gt;egk_esikFark,1,0))</f>
        <v/>
      </c>
      <c r="O7" s="16">
        <f>IF($A7="","",IFERROR(SUMIF(tblMotor[A_Norm],$A7,tblMotor[NetKar]),0))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IF($A8="","",IFERROR(SUMIF(tblMotor[A_Norm],$A8,tblMotor[NetKar]),0))</f>
        <v/>
      </c>
      <c r="D8" s="16">
        <f>IF($A8="","",IFERROR(SUMIF(tblAnahtarA[Norm],$A8,tblVeriA[HedefNet]),0))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IF($A8="","",IF($F8&gt;egk_esikFark,1,0))</f>
        <v/>
      </c>
      <c r="O8" s="16">
        <f>IF($A8="","",IFERROR(SUMIF(tblMotor[A_Norm],$A8,tblMotor[NetKar]),0))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IF($A9="","",IFERROR(SUMIF(tblMotor[A_Norm],$A9,tblMotor[NetKar]),0))</f>
        <v/>
      </c>
      <c r="D9" s="16">
        <f>IF($A9="","",IFERROR(SUMIF(tblAnahtarA[Norm],$A9,tblVeriA[HedefNet]),0))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IF($A9="","",IF($F9&gt;egk_esikFark,1,0))</f>
        <v/>
      </c>
      <c r="O9" s="16">
        <f>IF($A9="","",IFERROR(SUMIF(tblMotor[A_Norm],$A9,tblMotor[NetKar]),0))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IF($A10="","",IFERROR(SUMIF(tblMotor[A_Norm],$A10,tblMotor[NetKar]),0))</f>
        <v/>
      </c>
      <c r="D10" s="16">
        <f>IF($A10="","",IFERROR(SUMIF(tblAnahtarA[Norm],$A10,tblVeriA[HedefNet]),0))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IF($A10="","",IF($F10&gt;egk_esikFark,1,0))</f>
        <v/>
      </c>
      <c r="O10" s="16">
        <f>IF($A10="","",IFERROR(SUMIF(tblMotor[A_Norm],$A10,tblMotor[NetKar]),0))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IF($A11="","",IFERROR(SUMIF(tblMotor[A_Norm],$A11,tblMotor[NetKar]),0))</f>
        <v/>
      </c>
      <c r="D11" s="16">
        <f>IF($A11="","",IFERROR(SUMIF(tblAnahtarA[Norm],$A11,tblVeriA[HedefNet]),0))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IF($A11="","",IF($F11&gt;egk_esikFark,1,0))</f>
        <v/>
      </c>
      <c r="O11" s="16">
        <f>IF($A11="","",IFERROR(SUMIF(tblMotor[A_Norm],$A11,tblMotor[NetKar]),0))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IF($A12="","",IFERROR(SUMIF(tblMotor[A_Norm],$A12,tblMotor[NetKar]),0))</f>
        <v/>
      </c>
      <c r="D12" s="16">
        <f>IF($A12="","",IFERROR(SUMIF(tblAnahtarA[Norm],$A12,tblVeriA[HedefNet]),0))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IF($A12="","",IF($F12&gt;egk_esikFark,1,0))</f>
        <v/>
      </c>
      <c r="O12" s="16">
        <f>IF($A12="","",IFERROR(SUMIF(tblMotor[A_Norm],$A12,tblMotor[NetKar]),0))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IF($A13="","",IFERROR(SUMIF(tblMotor[A_Norm],$A13,tblMotor[NetKar]),0))</f>
        <v/>
      </c>
      <c r="D13" s="16">
        <f>IF($A13="","",IFERROR(SUMIF(tblAnahtarA[Norm],$A13,tblVeriA[HedefNet]),0))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IF($A13="","",IF($F13&gt;egk_esikFark,1,0))</f>
        <v/>
      </c>
      <c r="O13" s="16">
        <f>IF($A13="","",IFERROR(SUMIF(tblMotor[A_Norm],$A13,tblMotor[NetKar]),0))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IF($A14="","",IFERROR(SUMIF(tblMotor[A_Norm],$A14,tblMotor[NetKar]),0))</f>
        <v/>
      </c>
      <c r="D14" s="16">
        <f>IF($A14="","",IFERROR(SUMIF(tblAnahtarA[Norm],$A14,tblVeriA[HedefNet]),0))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IF($A14="","",IF($F14&gt;egk_esikFark,1,0))</f>
        <v/>
      </c>
      <c r="O14" s="16">
        <f>IF($A14="","",IFERROR(SUMIF(tblMotor[A_Norm],$A14,tblMotor[NetKar]),0))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IF($A15="","",IFERROR(SUMIF(tblMotor[A_Norm],$A15,tblMotor[NetKar]),0))</f>
        <v/>
      </c>
      <c r="D15" s="16">
        <f>IF($A15="","",IFERROR(SUMIF(tblAnahtarA[Norm],$A15,tblVeriA[HedefNet]),0))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IF($A15="","",IF($F15&gt;egk_esikFark,1,0))</f>
        <v/>
      </c>
      <c r="O15" s="16">
        <f>IF($A15="","",IFERROR(SUMIF(tblMotor[A_Norm],$A15,tblMotor[NetKar]),0))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IF($A16="","",IFERROR(SUMIF(tblMotor[A_Norm],$A16,tblMotor[NetKar]),0))</f>
        <v/>
      </c>
      <c r="D16" s="16">
        <f>IF($A16="","",IFERROR(SUMIF(tblAnahtarA[Norm],$A16,tblVeriA[HedefNet]),0))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IF($A16="","",IF($F16&gt;egk_esikFark,1,0))</f>
        <v/>
      </c>
      <c r="O16" s="16">
        <f>IF($A16="","",IFERROR(SUMIF(tblMotor[A_Norm],$A16,tblMotor[NetKar]),0))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IF($A17="","",IFERROR(SUMIF(tblMotor[A_Norm],$A17,tblMotor[NetKar]),0))</f>
        <v/>
      </c>
      <c r="D17" s="16">
        <f>IF($A17="","",IFERROR(SUMIF(tblAnahtarA[Norm],$A17,tblVeriA[HedefNet]),0))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IF($A17="","",IF($F17&gt;egk_esikFark,1,0))</f>
        <v/>
      </c>
      <c r="O17" s="16">
        <f>IF($A17="","",IFERROR(SUMIF(tblMotor[A_Norm],$A17,tblMotor[NetKar]),0))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IF($A18="","",IFERROR(SUMIF(tblMotor[A_Norm],$A18,tblMotor[NetKar]),0))</f>
        <v/>
      </c>
      <c r="D18" s="16">
        <f>IF($A18="","",IFERROR(SUMIF(tblAnahtarA[Norm],$A18,tblVeriA[HedefNet]),0))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IF($A18="","",IF($F18&gt;egk_esikFark,1,0))</f>
        <v/>
      </c>
      <c r="O18" s="16">
        <f>IF($A18="","",IFERROR(SUMIF(tblMotor[A_Norm],$A18,tblMotor[NetKar]),0))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IF($A19="","",IFERROR(SUMIF(tblMotor[A_Norm],$A19,tblMotor[NetKar]),0))</f>
        <v/>
      </c>
      <c r="D19" s="16">
        <f>IF($A19="","",IFERROR(SUMIF(tblAnahtarA[Norm],$A19,tblVeriA[HedefNet]),0))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IF($A19="","",IF($F19&gt;egk_esikFark,1,0))</f>
        <v/>
      </c>
      <c r="O19" s="16">
        <f>IF($A19="","",IFERROR(SUMIF(tblMotor[A_Norm],$A19,tblMotor[NetKar]),0))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IF($A20="","",IFERROR(SUMIF(tblMotor[A_Norm],$A20,tblMotor[NetKar]),0))</f>
        <v/>
      </c>
      <c r="D20" s="16">
        <f>IF($A20="","",IFERROR(SUMIF(tblAnahtarA[Norm],$A20,tblVeriA[HedefNet]),0))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IF($A20="","",IF($F20&gt;egk_esikFark,1,0))</f>
        <v/>
      </c>
      <c r="O20" s="16">
        <f>IF($A20="","",IFERROR(SUMIF(tblMotor[A_Norm],$A20,tblMotor[NetKar]),0))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IF($A21="","",IFERROR(SUMIF(tblMotor[A_Norm],$A21,tblMotor[NetKar]),0))</f>
        <v/>
      </c>
      <c r="D21" s="16">
        <f>IF($A21="","",IFERROR(SUMIF(tblAnahtarA[Norm],$A21,tblVeriA[HedefNet]),0))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IF($A21="","",IF($F21&gt;egk_esikFark,1,0))</f>
        <v/>
      </c>
      <c r="O21" s="16">
        <f>IF($A21="","",IFERROR(SUMIF(tblMotor[A_Norm],$A21,tblMotor[NetKar]),0))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IF($A22="","",IFERROR(SUMIF(tblMotor[A_Norm],$A22,tblMotor[NetKar]),0))</f>
        <v/>
      </c>
      <c r="D22" s="16">
        <f>IF($A22="","",IFERROR(SUMIF(tblAnahtarA[Norm],$A22,tblVeriA[HedefNet]),0))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IF($A22="","",IF($F22&gt;egk_esikFark,1,0))</f>
        <v/>
      </c>
      <c r="O22" s="16">
        <f>IF($A22="","",IFERROR(SUMIF(tblMotor[A_Norm],$A22,tblMotor[NetKar]),0))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IF($A23="","",IFERROR(SUMIF(tblMotor[A_Norm],$A23,tblMotor[NetKar]),0))</f>
        <v/>
      </c>
      <c r="D23" s="16">
        <f>IF($A23="","",IFERROR(SUMIF(tblAnahtarA[Norm],$A23,tblVeriA[HedefNet]),0))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IF($A23="","",IF($F23&gt;egk_esikFark,1,0))</f>
        <v/>
      </c>
      <c r="O23" s="16">
        <f>IF($A23="","",IFERROR(SUMIF(tblMotor[A_Norm],$A23,tblMotor[NetKar]),0))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IF($A24="","",IFERROR(SUMIF(tblMotor[A_Norm],$A24,tblMotor[NetKar]),0))</f>
        <v/>
      </c>
      <c r="D24" s="16">
        <f>IF($A24="","",IFERROR(SUMIF(tblAnahtarA[Norm],$A24,tblVeriA[HedefNet]),0))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IF($A24="","",IF($F24&gt;egk_esikFark,1,0))</f>
        <v/>
      </c>
      <c r="O24" s="16">
        <f>IF($A24="","",IFERROR(SUMIF(tblMotor[A_Norm],$A24,tblMotor[NetKar]),0))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IF($A25="","",IFERROR(SUMIF(tblMotor[A_Norm],$A25,tblMotor[NetKar]),0))</f>
        <v/>
      </c>
      <c r="D25" s="16">
        <f>IF($A25="","",IFERROR(SUMIF(tblAnahtarA[Norm],$A25,tblVeriA[HedefNet]),0))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IF($A25="","",IF($F25&gt;egk_esikFark,1,0))</f>
        <v/>
      </c>
      <c r="O25" s="16">
        <f>IF($A25="","",IFERROR(SUMIF(tblMotor[A_Norm],$A25,tblMotor[NetKar]),0))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IF($A26="","",IFERROR(SUMIF(tblMotor[A_Norm],$A26,tblMotor[NetKar]),0))</f>
        <v/>
      </c>
      <c r="D26" s="16">
        <f>IF($A26="","",IFERROR(SUMIF(tblAnahtarA[Norm],$A26,tblVeriA[HedefNet]),0))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IF($A26="","",IF($F26&gt;egk_esikFark,1,0))</f>
        <v/>
      </c>
      <c r="O26" s="16">
        <f>IF($A26="","",IFERROR(SUMIF(tblMotor[A_Norm],$A26,tblMotor[NetKar]),0))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IF($A27="","",IFERROR(SUMIF(tblMotor[A_Norm],$A27,tblMotor[NetKar]),0))</f>
        <v/>
      </c>
      <c r="D27" s="16">
        <f>IF($A27="","",IFERROR(SUMIF(tblAnahtarA[Norm],$A27,tblVeriA[HedefNet]),0))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IF($A27="","",IF($F27&gt;egk_esikFark,1,0))</f>
        <v/>
      </c>
      <c r="O27" s="16">
        <f>IF($A27="","",IFERROR(SUMIF(tblMotor[A_Norm],$A27,tblMotor[NetKar]),0))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IF($A28="","",IFERROR(SUMIF(tblMotor[A_Norm],$A28,tblMotor[NetKar]),0))</f>
        <v/>
      </c>
      <c r="D28" s="16">
        <f>IF($A28="","",IFERROR(SUMIF(tblAnahtarA[Norm],$A28,tblVeriA[HedefNet]),0))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IF($A28="","",IF($F28&gt;egk_esikFark,1,0))</f>
        <v/>
      </c>
      <c r="O28" s="16">
        <f>IF($A28="","",IFERROR(SUMIF(tblMotor[A_Norm],$A28,tblMotor[NetKar]),0))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IF($A29="","",IFERROR(SUMIF(tblMotor[A_Norm],$A29,tblMotor[NetKar]),0))</f>
        <v/>
      </c>
      <c r="D29" s="16">
        <f>IF($A29="","",IFERROR(SUMIF(tblAnahtarA[Norm],$A29,tblVeriA[HedefNet]),0))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IF($A29="","",IF($F29&gt;egk_esikFark,1,0))</f>
        <v/>
      </c>
      <c r="O29" s="16">
        <f>IF($A29="","",IFERROR(SUMIF(tblMotor[A_Norm],$A29,tblMotor[NetKar]),0))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IF($A30="","",IFERROR(SUMIF(tblMotor[A_Norm],$A30,tblMotor[NetKar]),0))</f>
        <v/>
      </c>
      <c r="D30" s="16">
        <f>IF($A30="","",IFERROR(SUMIF(tblAnahtarA[Norm],$A30,tblVeriA[HedefNet]),0))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IF($A30="","",IF($F30&gt;egk_esikFark,1,0))</f>
        <v/>
      </c>
      <c r="O30" s="16">
        <f>IF($A30="","",IFERROR(SUMIF(tblMotor[A_Norm],$A30,tblMotor[NetKar]),0))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IF($A31="","",IFERROR(SUMIF(tblMotor[A_Norm],$A31,tblMotor[NetKar]),0))</f>
        <v/>
      </c>
      <c r="D31" s="16">
        <f>IF($A31="","",IFERROR(SUMIF(tblAnahtarA[Norm],$A31,tblVeriA[HedefNet]),0))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IF($A31="","",IF($F31&gt;egk_esikFark,1,0))</f>
        <v/>
      </c>
      <c r="O31" s="16">
        <f>IF($A31="","",IFERROR(SUMIF(tblMotor[A_Norm],$A31,tblMotor[NetKar]),0))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IF($A32="","",IFERROR(SUMIF(tblMotor[A_Norm],$A32,tblMotor[NetKar]),0))</f>
        <v/>
      </c>
      <c r="D32" s="16">
        <f>IF($A32="","",IFERROR(SUMIF(tblAnahtarA[Norm],$A32,tblVeriA[HedefNet]),0))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IF($A32="","",IF($F32&gt;egk_esikFark,1,0))</f>
        <v/>
      </c>
      <c r="O32" s="16">
        <f>IF($A32="","",IFERROR(SUMIF(tblMotor[A_Norm],$A32,tblMotor[NetKar]),0))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IF($A33="","",IFERROR(SUMIF(tblMotor[A_Norm],$A33,tblMotor[NetKar]),0))</f>
        <v/>
      </c>
      <c r="D33" s="16">
        <f>IF($A33="","",IFERROR(SUMIF(tblAnahtarA[Norm],$A33,tblVeriA[HedefNet]),0))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IF($A33="","",IF($F33&gt;egk_esikFark,1,0))</f>
        <v/>
      </c>
      <c r="O33" s="16">
        <f>IF($A33="","",IFERROR(SUMIF(tblMotor[A_Norm],$A33,tblMotor[NetKar]),0))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IF($A34="","",IFERROR(SUMIF(tblMotor[A_Norm],$A34,tblMotor[NetKar]),0))</f>
        <v/>
      </c>
      <c r="D34" s="16">
        <f>IF($A34="","",IFERROR(SUMIF(tblAnahtarA[Norm],$A34,tblVeriA[HedefNet]),0))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IF($A34="","",IF($F34&gt;egk_esikFark,1,0))</f>
        <v/>
      </c>
      <c r="O34" s="16">
        <f>IF($A34="","",IFERROR(SUMIF(tblMotor[A_Norm],$A34,tblMotor[NetKar]),0))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IF($A35="","",IFERROR(SUMIF(tblMotor[A_Norm],$A35,tblMotor[NetKar]),0))</f>
        <v/>
      </c>
      <c r="D35" s="16">
        <f>IF($A35="","",IFERROR(SUMIF(tblAnahtarA[Norm],$A35,tblVeriA[HedefNet]),0))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IF($A35="","",IF($F35&gt;egk_esikFark,1,0))</f>
        <v/>
      </c>
      <c r="O35" s="16">
        <f>IF($A35="","",IFERROR(SUMIF(tblMotor[A_Norm],$A35,tblMotor[NetKar]),0))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IF($A36="","",IFERROR(SUMIF(tblMotor[A_Norm],$A36,tblMotor[NetKar]),0))</f>
        <v/>
      </c>
      <c r="D36" s="16">
        <f>IF($A36="","",IFERROR(SUMIF(tblAnahtarA[Norm],$A36,tblVeriA[HedefNet]),0))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IF($A36="","",IF($F36&gt;egk_esikFark,1,0))</f>
        <v/>
      </c>
      <c r="O36" s="16">
        <f>IF($A36="","",IFERROR(SUMIF(tblMotor[A_Norm],$A36,tblMotor[NetKar]),0))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IF($A37="","",IFERROR(SUMIF(tblMotor[A_Norm],$A37,tblMotor[NetKar]),0))</f>
        <v/>
      </c>
      <c r="D37" s="16">
        <f>IF($A37="","",IFERROR(SUMIF(tblAnahtarA[Norm],$A37,tblVeriA[HedefNet]),0))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IF($A37="","",IF($F37&gt;egk_esikFark,1,0))</f>
        <v/>
      </c>
      <c r="O37" s="16">
        <f>IF($A37="","",IFERROR(SUMIF(tblMotor[A_Norm],$A37,tblMotor[NetKar]),0))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IF($A38="","",IFERROR(SUMIF(tblMotor[A_Norm],$A38,tblMotor[NetKar]),0))</f>
        <v/>
      </c>
      <c r="D38" s="16">
        <f>IF($A38="","",IFERROR(SUMIF(tblAnahtarA[Norm],$A38,tblVeriA[HedefNet]),0))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IF($A38="","",IF($F38&gt;egk_esikFark,1,0))</f>
        <v/>
      </c>
      <c r="O38" s="16">
        <f>IF($A38="","",IFERROR(SUMIF(tblMotor[A_Norm],$A38,tblMotor[NetKar]),0))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IF($A39="","",IFERROR(SUMIF(tblMotor[A_Norm],$A39,tblMotor[NetKar]),0))</f>
        <v/>
      </c>
      <c r="D39" s="16">
        <f>IF($A39="","",IFERROR(SUMIF(tblAnahtarA[Norm],$A39,tblVeriA[HedefNet]),0))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IF($A39="","",IF($F39&gt;egk_esikFark,1,0))</f>
        <v/>
      </c>
      <c r="O39" s="16">
        <f>IF($A39="","",IFERROR(SUMIF(tblMotor[A_Norm],$A39,tblMotor[NetKar]),0))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IF($A40="","",IFERROR(SUMIF(tblMotor[A_Norm],$A40,tblMotor[NetKar]),0))</f>
        <v/>
      </c>
      <c r="D40" s="16">
        <f>IF($A40="","",IFERROR(SUMIF(tblAnahtarA[Norm],$A40,tblVeriA[HedefNet]),0))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IF($A40="","",IF($F40&gt;egk_esikFark,1,0))</f>
        <v/>
      </c>
      <c r="O40" s="16">
        <f>IF($A40="","",IFERROR(SUMIF(tblMotor[A_Norm],$A40,tblMotor[NetKar]),0))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IF($A41="","",IFERROR(SUMIF(tblMotor[A_Norm],$A41,tblMotor[NetKar]),0))</f>
        <v/>
      </c>
      <c r="D41" s="16">
        <f>IF($A41="","",IFERROR(SUMIF(tblAnahtarA[Norm],$A41,tblVeriA[HedefNet]),0))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IF($A41="","",IF($F41&gt;egk_esikFark,1,0))</f>
        <v/>
      </c>
      <c r="O41" s="16">
        <f>IF($A41="","",IFERROR(SUMIF(tblMotor[A_Norm],$A41,tblMotor[NetKar]),0))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IF($A42="","",IFERROR(SUMIF(tblMotor[A_Norm],$A42,tblMotor[NetKar]),0))</f>
        <v/>
      </c>
      <c r="D42" s="16">
        <f>IF($A42="","",IFERROR(SUMIF(tblAnahtarA[Norm],$A42,tblVeriA[HedefNet]),0))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IF($A42="","",IF($F42&gt;egk_esikFark,1,0))</f>
        <v/>
      </c>
      <c r="O42" s="16">
        <f>IF($A42="","",IFERROR(SUMIF(tblMotor[A_Norm],$A42,tblMotor[NetKar]),0))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IF($A43="","",IFERROR(SUMIF(tblMotor[A_Norm],$A43,tblMotor[NetKar]),0))</f>
        <v/>
      </c>
      <c r="D43" s="16">
        <f>IF($A43="","",IFERROR(SUMIF(tblAnahtarA[Norm],$A43,tblVeriA[HedefNet]),0))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IF($A43="","",IF($F43&gt;egk_esikFark,1,0))</f>
        <v/>
      </c>
      <c r="O43" s="16">
        <f>IF($A43="","",IFERROR(SUMIF(tblMotor[A_Norm],$A43,tblMotor[NetKar]),0))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IF($A44="","",IFERROR(SUMIF(tblMotor[A_Norm],$A44,tblMotor[NetKar]),0))</f>
        <v/>
      </c>
      <c r="D44" s="16">
        <f>IF($A44="","",IFERROR(SUMIF(tblAnahtarA[Norm],$A44,tblVeriA[HedefNet]),0))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IF($A44="","",IF($F44&gt;egk_esikFark,1,0))</f>
        <v/>
      </c>
      <c r="O44" s="16">
        <f>IF($A44="","",IFERROR(SUMIF(tblMotor[A_Norm],$A44,tblMotor[NetKar]),0))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IF($A45="","",IFERROR(SUMIF(tblMotor[A_Norm],$A45,tblMotor[NetKar]),0))</f>
        <v/>
      </c>
      <c r="D45" s="16">
        <f>IF($A45="","",IFERROR(SUMIF(tblAnahtarA[Norm],$A45,tblVeriA[HedefNet]),0))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IF($A45="","",IF($F45&gt;egk_esikFark,1,0))</f>
        <v/>
      </c>
      <c r="O45" s="16">
        <f>IF($A45="","",IFERROR(SUMIF(tblMotor[A_Norm],$A45,tblMotor[NetKar]),0))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IF($A46="","",IFERROR(SUMIF(tblMotor[A_Norm],$A46,tblMotor[NetKar]),0))</f>
        <v/>
      </c>
      <c r="D46" s="16">
        <f>IF($A46="","",IFERROR(SUMIF(tblAnahtarA[Norm],$A46,tblVeriA[HedefNet]),0))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IF($A46="","",IF($F46&gt;egk_esikFark,1,0))</f>
        <v/>
      </c>
      <c r="O46" s="16">
        <f>IF($A46="","",IFERROR(SUMIF(tblMotor[A_Norm],$A46,tblMotor[NetKar]),0))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IF($A47="","",IFERROR(SUMIF(tblMotor[A_Norm],$A47,tblMotor[NetKar]),0))</f>
        <v/>
      </c>
      <c r="D47" s="16">
        <f>IF($A47="","",IFERROR(SUMIF(tblAnahtarA[Norm],$A47,tblVeriA[HedefNet]),0))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IF($A47="","",IF($F47&gt;egk_esikFark,1,0))</f>
        <v/>
      </c>
      <c r="O47" s="16">
        <f>IF($A47="","",IFERROR(SUMIF(tblMotor[A_Norm],$A47,tblMotor[NetKar]),0))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IF($A48="","",IFERROR(SUMIF(tblMotor[A_Norm],$A48,tblMotor[NetKar]),0))</f>
        <v/>
      </c>
      <c r="D48" s="16">
        <f>IF($A48="","",IFERROR(SUMIF(tblAnahtarA[Norm],$A48,tblVeriA[HedefNet]),0))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IF($A48="","",IF($F48&gt;egk_esikFark,1,0))</f>
        <v/>
      </c>
      <c r="O48" s="16">
        <f>IF($A48="","",IFERROR(SUMIF(tblMotor[A_Norm],$A48,tblMotor[NetKar]),0))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IF($A49="","",IFERROR(SUMIF(tblMotor[A_Norm],$A49,tblMotor[NetKar]),0))</f>
        <v/>
      </c>
      <c r="D49" s="16">
        <f>IF($A49="","",IFERROR(SUMIF(tblAnahtarA[Norm],$A49,tblVeriA[HedefNet]),0))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IF($A49="","",IF($F49&gt;egk_esikFark,1,0))</f>
        <v/>
      </c>
      <c r="O49" s="16">
        <f>IF($A49="","",IFERROR(SUMIF(tblMotor[A_Norm],$A49,tblMotor[NetKar]),0))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IF($A50="","",IFERROR(SUMIF(tblMotor[A_Norm],$A50,tblMotor[NetKar]),0))</f>
        <v/>
      </c>
      <c r="D50" s="16">
        <f>IF($A50="","",IFERROR(SUMIF(tblAnahtarA[Norm],$A50,tblVeriA[HedefNet]),0))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IF($A50="","",IF($F50&gt;egk_esikFark,1,0))</f>
        <v/>
      </c>
      <c r="O50" s="16">
        <f>IF($A50="","",IFERROR(SUMIF(tblMotor[A_Norm],$A50,tblMotor[NetKar]),0))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IF($A51="","",IFERROR(SUMIF(tblMotor[A_Norm],$A51,tblMotor[NetKar]),0))</f>
        <v/>
      </c>
      <c r="D51" s="16">
        <f>IF($A51="","",IFERROR(SUMIF(tblAnahtarA[Norm],$A51,tblVeriA[HedefNet]),0))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IF($A51="","",IF($F51&gt;egk_esikFark,1,0))</f>
        <v/>
      </c>
      <c r="O51" s="16">
        <f>IF($A51="","",IFERROR(SUMIF(tblMotor[A_Norm],$A51,tblMotor[NetKar]),0))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IF($A52="","",IFERROR(SUMIF(tblMotor[A_Norm],$A52,tblMotor[NetKar]),0))</f>
        <v/>
      </c>
      <c r="D52" s="16">
        <f>IF($A52="","",IFERROR(SUMIF(tblAnahtarA[Norm],$A52,tblVeriA[HedefNet]),0))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IF($A52="","",IF($F52&gt;egk_esikFark,1,0))</f>
        <v/>
      </c>
      <c r="O52" s="16">
        <f>IF($A52="","",IFERROR(SUMIF(tblMotor[A_Norm],$A52,tblMotor[NetKar]),0))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IF($A53="","",IFERROR(SUMIF(tblMotor[A_Norm],$A53,tblMotor[NetKar]),0))</f>
        <v/>
      </c>
      <c r="D53" s="16">
        <f>IF($A53="","",IFERROR(SUMIF(tblAnahtarA[Norm],$A53,tblVeriA[HedefNet]),0))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IF($A53="","",IF($F53&gt;egk_esikFark,1,0))</f>
        <v/>
      </c>
      <c r="O53" s="16">
        <f>IF($A53="","",IFERROR(SUMIF(tblMotor[A_Norm],$A53,tblMotor[NetKar]),0))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IF($A54="","",IFERROR(SUMIF(tblMotor[A_Norm],$A54,tblMotor[NetKar]),0))</f>
        <v/>
      </c>
      <c r="D54" s="16">
        <f>IF($A54="","",IFERROR(SUMIF(tblAnahtarA[Norm],$A54,tblVeriA[HedefNet]),0))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IF($A54="","",IF($F54&gt;egk_esikFark,1,0))</f>
        <v/>
      </c>
      <c r="O54" s="16">
        <f>IF($A54="","",IFERROR(SUMIF(tblMotor[A_Norm],$A54,tblMotor[NetKar]),0))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IF($A55="","",IFERROR(SUMIF(tblMotor[A_Norm],$A55,tblMotor[NetKar]),0))</f>
        <v/>
      </c>
      <c r="D55" s="16">
        <f>IF($A55="","",IFERROR(SUMIF(tblAnahtarA[Norm],$A55,tblVeriA[HedefNet]),0))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IF($A55="","",IF($F55&gt;egk_esikFark,1,0))</f>
        <v/>
      </c>
      <c r="O55" s="16">
        <f>IF($A55="","",IFERROR(SUMIF(tblMotor[A_Norm],$A55,tblMotor[NetKar]),0))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IF($A56="","",IFERROR(SUMIF(tblMotor[A_Norm],$A56,tblMotor[NetKar]),0))</f>
        <v/>
      </c>
      <c r="D56" s="16">
        <f>IF($A56="","",IFERROR(SUMIF(tblAnahtarA[Norm],$A56,tblVeriA[HedefNet]),0))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IF($A56="","",IF($F56&gt;egk_esikFark,1,0))</f>
        <v/>
      </c>
      <c r="O56" s="16">
        <f>IF($A56="","",IFERROR(SUMIF(tblMotor[A_Norm],$A56,tblMotor[NetKar]),0))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IF($A57="","",IFERROR(SUMIF(tblMotor[A_Norm],$A57,tblMotor[NetKar]),0))</f>
        <v/>
      </c>
      <c r="D57" s="16">
        <f>IF($A57="","",IFERROR(SUMIF(tblAnahtarA[Norm],$A57,tblVeriA[HedefNet]),0))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IF($A57="","",IF($F57&gt;egk_esikFark,1,0))</f>
        <v/>
      </c>
      <c r="O57" s="16">
        <f>IF($A57="","",IFERROR(SUMIF(tblMotor[A_Norm],$A57,tblMotor[NetKar]),0))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IF($A58="","",IFERROR(SUMIF(tblMotor[A_Norm],$A58,tblMotor[NetKar]),0))</f>
        <v/>
      </c>
      <c r="D58" s="16">
        <f>IF($A58="","",IFERROR(SUMIF(tblAnahtarA[Norm],$A58,tblVeriA[HedefNet]),0))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IF($A58="","",IF($F58&gt;egk_esikFark,1,0))</f>
        <v/>
      </c>
      <c r="O58" s="16">
        <f>IF($A58="","",IFERROR(SUMIF(tblMotor[A_Norm],$A58,tblMotor[NetKar]),0))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IF($A59="","",IFERROR(SUMIF(tblMotor[A_Norm],$A59,tblMotor[NetKar]),0))</f>
        <v/>
      </c>
      <c r="D59" s="16">
        <f>IF($A59="","",IFERROR(SUMIF(tblAnahtarA[Norm],$A59,tblVeriA[HedefNet]),0))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IF($A59="","",IF($F59&gt;egk_esikFark,1,0))</f>
        <v/>
      </c>
      <c r="O59" s="16">
        <f>IF($A59="","",IFERROR(SUMIF(tblMotor[A_Norm],$A59,tblMotor[NetKar]),0))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IF($A60="","",IFERROR(SUMIF(tblMotor[A_Norm],$A60,tblMotor[NetKar]),0))</f>
        <v/>
      </c>
      <c r="D60" s="16">
        <f>IF($A60="","",IFERROR(SUMIF(tblAnahtarA[Norm],$A60,tblVeriA[HedefNet]),0))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IF($A60="","",IF($F60&gt;egk_esikFark,1,0))</f>
        <v/>
      </c>
      <c r="O60" s="16">
        <f>IF($A60="","",IFERROR(SUMIF(tblMotor[A_Norm],$A60,tblMotor[NetKar]),0))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IF($A61="","",IFERROR(SUMIF(tblMotor[A_Norm],$A61,tblMotor[NetKar]),0))</f>
        <v/>
      </c>
      <c r="D61" s="16">
        <f>IF($A61="","",IFERROR(SUMIF(tblAnahtarA[Norm],$A61,tblVeriA[HedefNet]),0))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IF($A61="","",IF($F61&gt;egk_esikFark,1,0))</f>
        <v/>
      </c>
      <c r="O61" s="16">
        <f>IF($A61="","",IFERROR(SUMIF(tblMotor[A_Norm],$A61,tblMotor[NetKar]),0))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IF($A62="","",IFERROR(SUMIF(tblMotor[A_Norm],$A62,tblMotor[NetKar]),0))</f>
        <v/>
      </c>
      <c r="D62" s="16">
        <f>IF($A62="","",IFERROR(SUMIF(tblAnahtarA[Norm],$A62,tblVeriA[HedefNet]),0))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IF($A62="","",IF($F62&gt;egk_esikFark,1,0))</f>
        <v/>
      </c>
      <c r="O62" s="16">
        <f>IF($A62="","",IFERROR(SUMIF(tblMotor[A_Norm],$A62,tblMotor[NetKar]),0))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IF($A63="","",IFERROR(SUMIF(tblMotor[A_Norm],$A63,tblMotor[NetKar]),0))</f>
        <v/>
      </c>
      <c r="D63" s="16">
        <f>IF($A63="","",IFERROR(SUMIF(tblAnahtarA[Norm],$A63,tblVeriA[HedefNet]),0))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IF($A63="","",IF($F63&gt;egk_esikFark,1,0))</f>
        <v/>
      </c>
      <c r="O63" s="16">
        <f>IF($A63="","",IFERROR(SUMIF(tblMotor[A_Norm],$A63,tblMotor[NetKar]),0))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IF($A64="","",IFERROR(SUMIF(tblMotor[A_Norm],$A64,tblMotor[NetKar]),0))</f>
        <v/>
      </c>
      <c r="D64" s="16">
        <f>IF($A64="","",IFERROR(SUMIF(tblAnahtarA[Norm],$A64,tblVeriA[HedefNet]),0))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IF($A64="","",IF($F64&gt;egk_esikFark,1,0))</f>
        <v/>
      </c>
      <c r="O64" s="16">
        <f>IF($A64="","",IFERROR(SUMIF(tblMotor[A_Norm],$A64,tblMotor[NetKar]),0))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IF($A65="","",IFERROR(SUMIF(tblMotor[A_Norm],$A65,tblMotor[NetKar]),0))</f>
        <v/>
      </c>
      <c r="D65" s="16">
        <f>IF($A65="","",IFERROR(SUMIF(tblAnahtarA[Norm],$A65,tblVeriA[HedefNet]),0))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IF($A65="","",IF($F65&gt;egk_esikFark,1,0))</f>
        <v/>
      </c>
      <c r="O65" s="16">
        <f>IF($A65="","",IFERROR(SUMIF(tblMotor[A_Norm],$A65,tblMotor[NetKar]),0))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IF($A66="","",IFERROR(SUMIF(tblMotor[A_Norm],$A66,tblMotor[NetKar]),0))</f>
        <v/>
      </c>
      <c r="D66" s="16">
        <f>IF($A66="","",IFERROR(SUMIF(tblAnahtarA[Norm],$A66,tblVeriA[HedefNet]),0))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IF($A66="","",IF($F66&gt;egk_esikFark,1,0))</f>
        <v/>
      </c>
      <c r="O66" s="16">
        <f>IF($A66="","",IFERROR(SUMIF(tblMotor[A_Norm],$A66,tblMotor[NetKar]),0))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IF($A67="","",IFERROR(SUMIF(tblMotor[A_Norm],$A67,tblMotor[NetKar]),0))</f>
        <v/>
      </c>
      <c r="D67" s="16">
        <f>IF($A67="","",IFERROR(SUMIF(tblAnahtarA[Norm],$A67,tblVeriA[HedefNet]),0))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IF($A67="","",IF($F67&gt;egk_esikFark,1,0))</f>
        <v/>
      </c>
      <c r="O67" s="16">
        <f>IF($A67="","",IFERROR(SUMIF(tblMotor[A_Norm],$A67,tblMotor[NetKar]),0))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IF($A68="","",IFERROR(SUMIF(tblMotor[A_Norm],$A68,tblMotor[NetKar]),0))</f>
        <v/>
      </c>
      <c r="D68" s="16">
        <f>IF($A68="","",IFERROR(SUMIF(tblAnahtarA[Norm],$A68,tblVeriA[HedefNet]),0))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IF($A68="","",IF($F68&gt;egk_esikFark,1,0))</f>
        <v/>
      </c>
      <c r="O68" s="16">
        <f>IF($A68="","",IFERROR(SUMIF(tblMotor[A_Norm],$A68,tblMotor[NetKar]),0))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IF($A69="","",IFERROR(SUMIF(tblMotor[A_Norm],$A69,tblMotor[NetKar]),0))</f>
        <v/>
      </c>
      <c r="D69" s="16">
        <f>IF($A69="","",IFERROR(SUMIF(tblAnahtarA[Norm],$A69,tblVeriA[HedefNet]),0))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IF($A69="","",IF($F69&gt;egk_esikFark,1,0))</f>
        <v/>
      </c>
      <c r="O69" s="16">
        <f>IF($A69="","",IFERROR(SUMIF(tblMotor[A_Norm],$A69,tblMotor[NetKar]),0))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IF($A70="","",IFERROR(SUMIF(tblMotor[A_Norm],$A70,tblMotor[NetKar]),0))</f>
        <v/>
      </c>
      <c r="D70" s="16">
        <f>IF($A70="","",IFERROR(SUMIF(tblAnahtarA[Norm],$A70,tblVeriA[HedefNet]),0))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IF($A70="","",IF($F70&gt;egk_esikFark,1,0))</f>
        <v/>
      </c>
      <c r="O70" s="16">
        <f>IF($A70="","",IFERROR(SUMIF(tblMotor[A_Norm],$A70,tblMotor[NetKar]),0))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IF($A71="","",IFERROR(SUMIF(tblMotor[A_Norm],$A71,tblMotor[NetKar]),0))</f>
        <v/>
      </c>
      <c r="D71" s="16">
        <f>IF($A71="","",IFERROR(SUMIF(tblAnahtarA[Norm],$A71,tblVeriA[HedefNet]),0))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IF($A71="","",IF($F71&gt;egk_esikFark,1,0))</f>
        <v/>
      </c>
      <c r="O71" s="16">
        <f>IF($A71="","",IFERROR(SUMIF(tblMotor[A_Norm],$A71,tblMotor[NetKar]),0))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IF($A72="","",IFERROR(SUMIF(tblMotor[A_Norm],$A72,tblMotor[NetKar]),0))</f>
        <v/>
      </c>
      <c r="D72" s="16">
        <f>IF($A72="","",IFERROR(SUMIF(tblAnahtarA[Norm],$A72,tblVeriA[HedefNet]),0))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IF($A72="","",IF($F72&gt;egk_esikFark,1,0))</f>
        <v/>
      </c>
      <c r="O72" s="16">
        <f>IF($A72="","",IFERROR(SUMIF(tblMotor[A_Norm],$A72,tblMotor[NetKar]),0))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IF($A73="","",IFERROR(SUMIF(tblMotor[A_Norm],$A73,tblMotor[NetKar]),0))</f>
        <v/>
      </c>
      <c r="D73" s="16">
        <f>IF($A73="","",IFERROR(SUMIF(tblAnahtarA[Norm],$A73,tblVeriA[HedefNet]),0))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IF($A73="","",IF($F73&gt;egk_esikFark,1,0))</f>
        <v/>
      </c>
      <c r="O73" s="16">
        <f>IF($A73="","",IFERROR(SUMIF(tblMotor[A_Norm],$A73,tblMotor[NetKar]),0))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IF($A74="","",IFERROR(SUMIF(tblMotor[A_Norm],$A74,tblMotor[NetKar]),0))</f>
        <v/>
      </c>
      <c r="D74" s="16">
        <f>IF($A74="","",IFERROR(SUMIF(tblAnahtarA[Norm],$A74,tblVeriA[HedefNet]),0))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IF($A74="","",IF($F74&gt;egk_esikFark,1,0))</f>
        <v/>
      </c>
      <c r="O74" s="16">
        <f>IF($A74="","",IFERROR(SUMIF(tblMotor[A_Norm],$A74,tblMotor[NetKar]),0))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IF($A75="","",IFERROR(SUMIF(tblMotor[A_Norm],$A75,tblMotor[NetKar]),0))</f>
        <v/>
      </c>
      <c r="D75" s="16">
        <f>IF($A75="","",IFERROR(SUMIF(tblAnahtarA[Norm],$A75,tblVeriA[HedefNet]),0))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IF($A75="","",IF($F75&gt;egk_esikFark,1,0))</f>
        <v/>
      </c>
      <c r="O75" s="16">
        <f>IF($A75="","",IFERROR(SUMIF(tblMotor[A_Norm],$A75,tblMotor[NetKar]),0))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IF($A76="","",IFERROR(SUMIF(tblMotor[A_Norm],$A76,tblMotor[NetKar]),0))</f>
        <v/>
      </c>
      <c r="D76" s="16">
        <f>IF($A76="","",IFERROR(SUMIF(tblAnahtarA[Norm],$A76,tblVeriA[HedefNet]),0))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IF($A76="","",IF($F76&gt;egk_esikFark,1,0))</f>
        <v/>
      </c>
      <c r="O76" s="16">
        <f>IF($A76="","",IFERROR(SUMIF(tblMotor[A_Norm],$A76,tblMotor[NetKar]),0))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IF($A77="","",IFERROR(SUMIF(tblMotor[A_Norm],$A77,tblMotor[NetKar]),0))</f>
        <v/>
      </c>
      <c r="D77" s="16">
        <f>IF($A77="","",IFERROR(SUMIF(tblAnahtarA[Norm],$A77,tblVeriA[HedefNet]),0))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IF($A77="","",IF($F77&gt;egk_esikFark,1,0))</f>
        <v/>
      </c>
      <c r="O77" s="16">
        <f>IF($A77="","",IFERROR(SUMIF(tblMotor[A_Norm],$A77,tblMotor[NetKar]),0))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IF($A78="","",IFERROR(SUMIF(tblMotor[A_Norm],$A78,tblMotor[NetKar]),0))</f>
        <v/>
      </c>
      <c r="D78" s="16">
        <f>IF($A78="","",IFERROR(SUMIF(tblAnahtarA[Norm],$A78,tblVeriA[HedefNet]),0))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IF($A78="","",IF($F78&gt;egk_esikFark,1,0))</f>
        <v/>
      </c>
      <c r="O78" s="16">
        <f>IF($A78="","",IFERROR(SUMIF(tblMotor[A_Norm],$A78,tblMotor[NetKar]),0))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IF($A79="","",IFERROR(SUMIF(tblMotor[A_Norm],$A79,tblMotor[NetKar]),0))</f>
        <v/>
      </c>
      <c r="D79" s="16">
        <f>IF($A79="","",IFERROR(SUMIF(tblAnahtarA[Norm],$A79,tblVeriA[HedefNet]),0))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IF($A79="","",IF($F79&gt;egk_esikFark,1,0))</f>
        <v/>
      </c>
      <c r="O79" s="16">
        <f>IF($A79="","",IFERROR(SUMIF(tblMotor[A_Norm],$A79,tblMotor[NetKar]),0))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IF($A80="","",IFERROR(SUMIF(tblMotor[A_Norm],$A80,tblMotor[NetKar]),0))</f>
        <v/>
      </c>
      <c r="D80" s="16">
        <f>IF($A80="","",IFERROR(SUMIF(tblAnahtarA[Norm],$A80,tblVeriA[HedefNet]),0))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IF($A80="","",IF($F80&gt;egk_esikFark,1,0))</f>
        <v/>
      </c>
      <c r="O80" s="16">
        <f>IF($A80="","",IFERROR(SUMIF(tblMotor[A_Norm],$A80,tblMotor[NetKar]),0))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IF($A81="","",IFERROR(SUMIF(tblMotor[A_Norm],$A81,tblMotor[NetKar]),0))</f>
        <v/>
      </c>
      <c r="D81" s="16">
        <f>IF($A81="","",IFERROR(SUMIF(tblAnahtarA[Norm],$A81,tblVeriA[HedefNet]),0))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IF($A81="","",IF($F81&gt;egk_esikFark,1,0))</f>
        <v/>
      </c>
      <c r="O81" s="16">
        <f>IF($A81="","",IFERROR(SUMIF(tblMotor[A_Norm],$A81,tblMotor[NetKar]),0))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IF($A82="","",IFERROR(SUMIF(tblMotor[A_Norm],$A82,tblMotor[NetKar]),0))</f>
        <v/>
      </c>
      <c r="D82" s="16">
        <f>IF($A82="","",IFERROR(SUMIF(tblAnahtarA[Norm],$A82,tblVeriA[HedefNet]),0))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IF($A82="","",IF($F82&gt;egk_esikFark,1,0))</f>
        <v/>
      </c>
      <c r="O82" s="16">
        <f>IF($A82="","",IFERROR(SUMIF(tblMotor[A_Norm],$A82,tblMotor[NetKar]),0))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IF($A83="","",IFERROR(SUMIF(tblMotor[A_Norm],$A83,tblMotor[NetKar]),0))</f>
        <v/>
      </c>
      <c r="D83" s="16">
        <f>IF($A83="","",IFERROR(SUMIF(tblAnahtarA[Norm],$A83,tblVeriA[HedefNet]),0))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IF($A83="","",IF($F83&gt;egk_esikFark,1,0))</f>
        <v/>
      </c>
      <c r="O83" s="16">
        <f>IF($A83="","",IFERROR(SUMIF(tblMotor[A_Norm],$A83,tblMotor[NetKar]),0))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IF($A84="","",IFERROR(SUMIF(tblMotor[A_Norm],$A84,tblMotor[NetKar]),0))</f>
        <v/>
      </c>
      <c r="D84" s="16">
        <f>IF($A84="","",IFERROR(SUMIF(tblAnahtarA[Norm],$A84,tblVeriA[HedefNet]),0))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IF($A84="","",IF($F84&gt;egk_esikFark,1,0))</f>
        <v/>
      </c>
      <c r="O84" s="16">
        <f>IF($A84="","",IFERROR(SUMIF(tblMotor[A_Norm],$A84,tblMotor[NetKar]),0))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IF($A85="","",IFERROR(SUMIF(tblMotor[A_Norm],$A85,tblMotor[NetKar]),0))</f>
        <v/>
      </c>
      <c r="D85" s="16">
        <f>IF($A85="","",IFERROR(SUMIF(tblAnahtarA[Norm],$A85,tblVeriA[HedefNet]),0))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IF($A85="","",IF($F85&gt;egk_esikFark,1,0))</f>
        <v/>
      </c>
      <c r="O85" s="16">
        <f>IF($A85="","",IFERROR(SUMIF(tblMotor[A_Norm],$A85,tblMotor[NetKar]),0))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IF($A86="","",IFERROR(SUMIF(tblMotor[A_Norm],$A86,tblMotor[NetKar]),0))</f>
        <v/>
      </c>
      <c r="D86" s="16">
        <f>IF($A86="","",IFERROR(SUMIF(tblAnahtarA[Norm],$A86,tblVeriA[HedefNet]),0))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IF($A86="","",IF($F86&gt;egk_esikFark,1,0))</f>
        <v/>
      </c>
      <c r="O86" s="16">
        <f>IF($A86="","",IFERROR(SUMIF(tblMotor[A_Norm],$A86,tblMotor[NetKar]),0))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IF($A87="","",IFERROR(SUMIF(tblMotor[A_Norm],$A87,tblMotor[NetKar]),0))</f>
        <v/>
      </c>
      <c r="D87" s="16">
        <f>IF($A87="","",IFERROR(SUMIF(tblAnahtarA[Norm],$A87,tblVeriA[HedefNet]),0))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IF($A87="","",IF($F87&gt;egk_esikFark,1,0))</f>
        <v/>
      </c>
      <c r="O87" s="16">
        <f>IF($A87="","",IFERROR(SUMIF(tblMotor[A_Norm],$A87,tblMotor[NetKar]),0))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IF($A88="","",IFERROR(SUMIF(tblMotor[A_Norm],$A88,tblMotor[NetKar]),0))</f>
        <v/>
      </c>
      <c r="D88" s="16">
        <f>IF($A88="","",IFERROR(SUMIF(tblAnahtarA[Norm],$A88,tblVeriA[HedefNet]),0))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IF($A88="","",IF($F88&gt;egk_esikFark,1,0))</f>
        <v/>
      </c>
      <c r="O88" s="16">
        <f>IF($A88="","",IFERROR(SUMIF(tblMotor[A_Norm],$A88,tblMotor[NetKar]),0))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IF($A89="","",IFERROR(SUMIF(tblMotor[A_Norm],$A89,tblMotor[NetKar]),0))</f>
        <v/>
      </c>
      <c r="D89" s="16">
        <f>IF($A89="","",IFERROR(SUMIF(tblAnahtarA[Norm],$A89,tblVeriA[HedefNet]),0))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IF($A89="","",IF($F89&gt;egk_esikFark,1,0))</f>
        <v/>
      </c>
      <c r="O89" s="16">
        <f>IF($A89="","",IFERROR(SUMIF(tblMotor[A_Norm],$A89,tblMotor[NetKar]),0))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IF($A90="","",IFERROR(SUMIF(tblMotor[A_Norm],$A90,tblMotor[NetKar]),0))</f>
        <v/>
      </c>
      <c r="D90" s="16">
        <f>IF($A90="","",IFERROR(SUMIF(tblAnahtarA[Norm],$A90,tblVeriA[HedefNet]),0))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IF($A90="","",IF($F90&gt;egk_esikFark,1,0))</f>
        <v/>
      </c>
      <c r="O90" s="16">
        <f>IF($A90="","",IFERROR(SUMIF(tblMotor[A_Norm],$A90,tblMotor[NetKar]),0))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IF($A91="","",IFERROR(SUMIF(tblMotor[A_Norm],$A91,tblMotor[NetKar]),0))</f>
        <v/>
      </c>
      <c r="D91" s="16">
        <f>IF($A91="","",IFERROR(SUMIF(tblAnahtarA[Norm],$A91,tblVeriA[HedefNet]),0))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IF($A91="","",IF($F91&gt;egk_esikFark,1,0))</f>
        <v/>
      </c>
      <c r="O91" s="16">
        <f>IF($A91="","",IFERROR(SUMIF(tblMotor[A_Norm],$A91,tblMotor[NetKar]),0))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IF($A92="","",IFERROR(SUMIF(tblMotor[A_Norm],$A92,tblMotor[NetKar]),0))</f>
        <v/>
      </c>
      <c r="D92" s="16">
        <f>IF($A92="","",IFERROR(SUMIF(tblAnahtarA[Norm],$A92,tblVeriA[HedefNet]),0))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IF($A92="","",IF($F92&gt;egk_esikFark,1,0))</f>
        <v/>
      </c>
      <c r="O92" s="16">
        <f>IF($A92="","",IFERROR(SUMIF(tblMotor[A_Norm],$A92,tblMotor[NetKar]),0))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IF($A93="","",IFERROR(SUMIF(tblMotor[A_Norm],$A93,tblMotor[NetKar]),0))</f>
        <v/>
      </c>
      <c r="D93" s="16">
        <f>IF($A93="","",IFERROR(SUMIF(tblAnahtarA[Norm],$A93,tblVeriA[HedefNet]),0))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IF($A93="","",IF($F93&gt;egk_esikFark,1,0))</f>
        <v/>
      </c>
      <c r="O93" s="16">
        <f>IF($A93="","",IFERROR(SUMIF(tblMotor[A_Norm],$A93,tblMotor[NetKar]),0))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IF($A94="","",IFERROR(SUMIF(tblMotor[A_Norm],$A94,tblMotor[NetKar]),0))</f>
        <v/>
      </c>
      <c r="D94" s="16">
        <f>IF($A94="","",IFERROR(SUMIF(tblAnahtarA[Norm],$A94,tblVeriA[HedefNet]),0))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IF($A94="","",IF($F94&gt;egk_esikFark,1,0))</f>
        <v/>
      </c>
      <c r="O94" s="16">
        <f>IF($A94="","",IFERROR(SUMIF(tblMotor[A_Norm],$A94,tblMotor[NetKar]),0))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IF($A95="","",IFERROR(SUMIF(tblMotor[A_Norm],$A95,tblMotor[NetKar]),0))</f>
        <v/>
      </c>
      <c r="D95" s="16">
        <f>IF($A95="","",IFERROR(SUMIF(tblAnahtarA[Norm],$A95,tblVeriA[HedefNet]),0))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IF($A95="","",IF($F95&gt;egk_esikFark,1,0))</f>
        <v/>
      </c>
      <c r="O95" s="16">
        <f>IF($A95="","",IFERROR(SUMIF(tblMotor[A_Norm],$A95,tblMotor[NetKar]),0))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IF($A96="","",IFERROR(SUMIF(tblMotor[A_Norm],$A96,tblMotor[NetKar]),0))</f>
        <v/>
      </c>
      <c r="D96" s="16">
        <f>IF($A96="","",IFERROR(SUMIF(tblAnahtarA[Norm],$A96,tblVeriA[HedefNet]),0))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IF($A96="","",IF($F96&gt;egk_esikFark,1,0))</f>
        <v/>
      </c>
      <c r="O96" s="16">
        <f>IF($A96="","",IFERROR(SUMIF(tblMotor[A_Norm],$A96,tblMotor[NetKar]),0))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IF($A97="","",IFERROR(SUMIF(tblMotor[A_Norm],$A97,tblMotor[NetKar]),0))</f>
        <v/>
      </c>
      <c r="D97" s="16">
        <f>IF($A97="","",IFERROR(SUMIF(tblAnahtarA[Norm],$A97,tblVeriA[HedefNet]),0))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IF($A97="","",IF($F97&gt;egk_esikFark,1,0))</f>
        <v/>
      </c>
      <c r="O97" s="16">
        <f>IF($A97="","",IFERROR(SUMIF(tblMotor[A_Norm],$A97,tblMotor[NetKar]),0))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IF($A98="","",IFERROR(SUMIF(tblMotor[A_Norm],$A98,tblMotor[NetKar]),0))</f>
        <v/>
      </c>
      <c r="D98" s="16">
        <f>IF($A98="","",IFERROR(SUMIF(tblAnahtarA[Norm],$A98,tblVeriA[HedefNet]),0))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IF($A98="","",IF($F98&gt;egk_esikFark,1,0))</f>
        <v/>
      </c>
      <c r="O98" s="16">
        <f>IF($A98="","",IFERROR(SUMIF(tblMotor[A_Norm],$A98,tblMotor[NetKar]),0))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IF($A99="","",IFERROR(SUMIF(tblMotor[A_Norm],$A99,tblMotor[NetKar]),0))</f>
        <v/>
      </c>
      <c r="D99" s="16">
        <f>IF($A99="","",IFERROR(SUMIF(tblAnahtarA[Norm],$A99,tblVeriA[HedefNet]),0))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IF($A99="","",IF($F99&gt;egk_esikFark,1,0))</f>
        <v/>
      </c>
      <c r="O99" s="16">
        <f>IF($A99="","",IFERROR(SUMIF(tblMotor[A_Norm],$A99,tblMotor[NetKar]),0))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IF($A100="","",IFERROR(SUMIF(tblMotor[A_Norm],$A100,tblMotor[NetKar]),0))</f>
        <v/>
      </c>
      <c r="D100" s="16">
        <f>IF($A100="","",IFERROR(SUMIF(tblAnahtarA[Norm],$A100,tblVeriA[HedefNet]),0))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IF($A100="","",IF($F100&gt;egk_esikFark,1,0))</f>
        <v/>
      </c>
      <c r="O100" s="16">
        <f>IF($A100="","",IFERROR(SUMIF(tblMotor[A_Norm],$A100,tblMotor[NetKar]),0))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IF($A101="","",IFERROR(SUMIF(tblMotor[A_Norm],$A101,tblMotor[NetKar]),0))</f>
        <v/>
      </c>
      <c r="D101" s="16">
        <f>IF($A101="","",IFERROR(SUMIF(tblAnahtarA[Norm],$A101,tblVeriA[HedefNet]),0))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IF($A101="","",IF($F101&gt;egk_esikFark,1,0))</f>
        <v/>
      </c>
      <c r="O101" s="16">
        <f>IF($A101="","",IFERROR(SUMIF(tblMotor[A_Norm],$A101,tblMotor[NetKar]),0))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IF($A102="","",IFERROR(SUMIF(tblMotor[A_Norm],$A102,tblMotor[NetKar]),0))</f>
        <v/>
      </c>
      <c r="D102" s="16">
        <f>IF($A102="","",IFERROR(SUMIF(tblAnahtarA[Norm],$A102,tblVeriA[HedefNet]),0))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IF($A102="","",IF($F102&gt;egk_esikFark,1,0))</f>
        <v/>
      </c>
      <c r="O102" s="16">
        <f>IF($A102="","",IFERROR(SUMIF(tblMotor[A_Norm],$A102,tblMotor[NetKar]),0))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IF($A103="","",IFERROR(SUMIF(tblMotor[A_Norm],$A103,tblMotor[NetKar]),0))</f>
        <v/>
      </c>
      <c r="D103" s="16">
        <f>IF($A103="","",IFERROR(SUMIF(tblAnahtarA[Norm],$A103,tblVeriA[HedefNet]),0))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IF($A103="","",IF($F103&gt;egk_esikFark,1,0))</f>
        <v/>
      </c>
      <c r="O103" s="16">
        <f>IF($A103="","",IFERROR(SUMIF(tblMotor[A_Norm],$A103,tblMotor[NetKar]),0))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IF($A104="","",IFERROR(SUMIF(tblMotor[A_Norm],$A104,tblMotor[NetKar]),0))</f>
        <v/>
      </c>
      <c r="D104" s="16">
        <f>IF($A104="","",IFERROR(SUMIF(tblAnahtarA[Norm],$A104,tblVeriA[HedefNet]),0))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IF($A104="","",IF($F104&gt;egk_esikFark,1,0))</f>
        <v/>
      </c>
      <c r="O104" s="16">
        <f>IF($A104="","",IFERROR(SUMIF(tblMotor[A_Norm],$A104,tblMotor[NetKar]),0))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IF($A105="","",IFERROR(SUMIF(tblMotor[A_Norm],$A105,tblMotor[NetKar]),0))</f>
        <v/>
      </c>
      <c r="D105" s="16">
        <f>IF($A105="","",IFERROR(SUMIF(tblAnahtarA[Norm],$A105,tblVeriA[HedefNet]),0))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IF($A105="","",IF($F105&gt;egk_esikFark,1,0))</f>
        <v/>
      </c>
      <c r="O105" s="16">
        <f>IF($A105="","",IFERROR(SUMIF(tblMotor[A_Norm],$A105,tblMotor[NetKar]),0))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IF($A106="","",IFERROR(SUMIF(tblMotor[A_Norm],$A106,tblMotor[NetKar]),0))</f>
        <v/>
      </c>
      <c r="D106" s="16">
        <f>IF($A106="","",IFERROR(SUMIF(tblAnahtarA[Norm],$A106,tblVeriA[HedefNet]),0))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IF($A106="","",IF($F106&gt;egk_esikFark,1,0))</f>
        <v/>
      </c>
      <c r="O106" s="16">
        <f>IF($A106="","",IFERROR(SUMIF(tblMotor[A_Norm],$A106,tblMotor[NetKar]),0))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IF($A107="","",IFERROR(SUMIF(tblMotor[A_Norm],$A107,tblMotor[NetKar]),0))</f>
        <v/>
      </c>
      <c r="D107" s="16">
        <f>IF($A107="","",IFERROR(SUMIF(tblAnahtarA[Norm],$A107,tblVeriA[HedefNet]),0))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IF($A107="","",IF($F107&gt;egk_esikFark,1,0))</f>
        <v/>
      </c>
      <c r="O107" s="16">
        <f>IF($A107="","",IFERROR(SUMIF(tblMotor[A_Norm],$A107,tblMotor[NetKar]),0))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IF($A108="","",IFERROR(SUMIF(tblMotor[A_Norm],$A108,tblMotor[NetKar]),0))</f>
        <v/>
      </c>
      <c r="D108" s="16">
        <f>IF($A108="","",IFERROR(SUMIF(tblAnahtarA[Norm],$A108,tblVeriA[HedefNet]),0))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IF($A108="","",IF($F108&gt;egk_esikFark,1,0))</f>
        <v/>
      </c>
      <c r="O108" s="16">
        <f>IF($A108="","",IFERROR(SUMIF(tblMotor[A_Norm],$A108,tblMotor[NetKar]),0))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IF($A109="","",IFERROR(SUMIF(tblMotor[A_Norm],$A109,tblMotor[NetKar]),0))</f>
        <v/>
      </c>
      <c r="D109" s="16">
        <f>IF($A109="","",IFERROR(SUMIF(tblAnahtarA[Norm],$A109,tblVeriA[HedefNet]),0))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IF($A109="","",IF($F109&gt;egk_esikFark,1,0))</f>
        <v/>
      </c>
      <c r="O109" s="16">
        <f>IF($A109="","",IFERROR(SUMIF(tblMotor[A_Norm],$A109,tblMotor[NetKar]),0))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IF($A110="","",IFERROR(SUMIF(tblMotor[A_Norm],$A110,tblMotor[NetKar]),0))</f>
        <v/>
      </c>
      <c r="D110" s="16">
        <f>IF($A110="","",IFERROR(SUMIF(tblAnahtarA[Norm],$A110,tblVeriA[HedefNet]),0))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IF($A110="","",IF($F110&gt;egk_esikFark,1,0))</f>
        <v/>
      </c>
      <c r="O110" s="16">
        <f>IF($A110="","",IFERROR(SUMIF(tblMotor[A_Norm],$A110,tblMotor[NetKar]),0))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IF($A111="","",IFERROR(SUMIF(tblMotor[A_Norm],$A111,tblMotor[NetKar]),0))</f>
        <v/>
      </c>
      <c r="D111" s="16">
        <f>IF($A111="","",IFERROR(SUMIF(tblAnahtarA[Norm],$A111,tblVeriA[HedefNet]),0))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IF($A111="","",IF($F111&gt;egk_esikFark,1,0))</f>
        <v/>
      </c>
      <c r="O111" s="16">
        <f>IF($A111="","",IFERROR(SUMIF(tblMotor[A_Norm],$A111,tblMotor[NetKar]),0))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IF($A112="","",IFERROR(SUMIF(tblMotor[A_Norm],$A112,tblMotor[NetKar]),0))</f>
        <v/>
      </c>
      <c r="D112" s="16">
        <f>IF($A112="","",IFERROR(SUMIF(tblAnahtarA[Norm],$A112,tblVeriA[HedefNet]),0))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IF($A112="","",IF($F112&gt;egk_esikFark,1,0))</f>
        <v/>
      </c>
      <c r="O112" s="16">
        <f>IF($A112="","",IFERROR(SUMIF(tblMotor[A_Norm],$A112,tblMotor[NetKar]),0))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IF($A113="","",IFERROR(SUMIF(tblMotor[A_Norm],$A113,tblMotor[NetKar]),0))</f>
        <v/>
      </c>
      <c r="D113" s="16">
        <f>IF($A113="","",IFERROR(SUMIF(tblAnahtarA[Norm],$A113,tblVeriA[HedefNet]),0))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IF($A113="","",IF($F113&gt;egk_esikFark,1,0))</f>
        <v/>
      </c>
      <c r="O113" s="16">
        <f>IF($A113="","",IFERROR(SUMIF(tblMotor[A_Norm],$A113,tblMotor[NetKar]),0))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IF($A114="","",IFERROR(SUMIF(tblMotor[A_Norm],$A114,tblMotor[NetKar]),0))</f>
        <v/>
      </c>
      <c r="D114" s="16">
        <f>IF($A114="","",IFERROR(SUMIF(tblAnahtarA[Norm],$A114,tblVeriA[HedefNet]),0))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IF($A114="","",IF($F114&gt;egk_esikFark,1,0))</f>
        <v/>
      </c>
      <c r="O114" s="16">
        <f>IF($A114="","",IFERROR(SUMIF(tblMotor[A_Norm],$A114,tblMotor[NetKar]),0))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IF($A115="","",IFERROR(SUMIF(tblMotor[A_Norm],$A115,tblMotor[NetKar]),0))</f>
        <v/>
      </c>
      <c r="D115" s="16">
        <f>IF($A115="","",IFERROR(SUMIF(tblAnahtarA[Norm],$A115,tblVeriA[HedefNet]),0))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IF($A115="","",IF($F115&gt;egk_esikFark,1,0))</f>
        <v/>
      </c>
      <c r="O115" s="16">
        <f>IF($A115="","",IFERROR(SUMIF(tblMotor[A_Norm],$A115,tblMotor[NetKar]),0))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IF($A116="","",IFERROR(SUMIF(tblMotor[A_Norm],$A116,tblMotor[NetKar]),0))</f>
        <v/>
      </c>
      <c r="D116" s="16">
        <f>IF($A116="","",IFERROR(SUMIF(tblAnahtarA[Norm],$A116,tblVeriA[HedefNet]),0))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IF($A116="","",IF($F116&gt;egk_esikFark,1,0))</f>
        <v/>
      </c>
      <c r="O116" s="16">
        <f>IF($A116="","",IFERROR(SUMIF(tblMotor[A_Norm],$A116,tblMotor[NetKar]),0))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IF($A117="","",IFERROR(SUMIF(tblMotor[A_Norm],$A117,tblMotor[NetKar]),0))</f>
        <v/>
      </c>
      <c r="D117" s="16">
        <f>IF($A117="","",IFERROR(SUMIF(tblAnahtarA[Norm],$A117,tblVeriA[HedefNet]),0))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IF($A117="","",IF($F117&gt;egk_esikFark,1,0))</f>
        <v/>
      </c>
      <c r="O117" s="16">
        <f>IF($A117="","",IFERROR(SUMIF(tblMotor[A_Norm],$A117,tblMotor[NetKar]),0))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IF($A118="","",IFERROR(SUMIF(tblMotor[A_Norm],$A118,tblMotor[NetKar]),0))</f>
        <v/>
      </c>
      <c r="D118" s="16">
        <f>IF($A118="","",IFERROR(SUMIF(tblAnahtarA[Norm],$A118,tblVeriA[HedefNet]),0))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IF($A118="","",IF($F118&gt;egk_esikFark,1,0))</f>
        <v/>
      </c>
      <c r="O118" s="16">
        <f>IF($A118="","",IFERROR(SUMIF(tblMotor[A_Norm],$A118,tblMotor[NetKar]),0))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IF($A119="","",IFERROR(SUMIF(tblMotor[A_Norm],$A119,tblMotor[NetKar]),0))</f>
        <v/>
      </c>
      <c r="D119" s="16">
        <f>IF($A119="","",IFERROR(SUMIF(tblAnahtarA[Norm],$A119,tblVeriA[HedefNet]),0))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IF($A119="","",IF($F119&gt;egk_esikFark,1,0))</f>
        <v/>
      </c>
      <c r="O119" s="16">
        <f>IF($A119="","",IFERROR(SUMIF(tblMotor[A_Norm],$A119,tblMotor[NetKar]),0))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IF($A120="","",IFERROR(SUMIF(tblMotor[A_Norm],$A120,tblMotor[NetKar]),0))</f>
        <v/>
      </c>
      <c r="D120" s="16">
        <f>IF($A120="","",IFERROR(SUMIF(tblAnahtarA[Norm],$A120,tblVeriA[HedefNet]),0))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IF($A120="","",IF($F120&gt;egk_esikFark,1,0))</f>
        <v/>
      </c>
      <c r="O120" s="16">
        <f>IF($A120="","",IFERROR(SUMIF(tblMotor[A_Norm],$A120,tblMotor[NetKar]),0))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IF($A121="","",IFERROR(SUMIF(tblMotor[A_Norm],$A121,tblMotor[NetKar]),0))</f>
        <v/>
      </c>
      <c r="D121" s="16">
        <f>IF($A121="","",IFERROR(SUMIF(tblAnahtarA[Norm],$A121,tblVeriA[HedefNet]),0))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IF($A121="","",IF($F121&gt;egk_esikFark,1,0))</f>
        <v/>
      </c>
      <c r="O121" s="16">
        <f>IF($A121="","",IFERROR(SUMIF(tblMotor[A_Norm],$A121,tblMotor[NetKar]),0))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IF($A122="","",IFERROR(SUMIF(tblMotor[A_Norm],$A122,tblMotor[NetKar]),0))</f>
        <v/>
      </c>
      <c r="D122" s="16">
        <f>IF($A122="","",IFERROR(SUMIF(tblAnahtarA[Norm],$A122,tblVeriA[HedefNet]),0))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IF($A122="","",IF($F122&gt;egk_esikFark,1,0))</f>
        <v/>
      </c>
      <c r="O122" s="16">
        <f>IF($A122="","",IFERROR(SUMIF(tblMotor[A_Norm],$A122,tblMotor[NetKar]),0))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IF($A123="","",IFERROR(SUMIF(tblMotor[A_Norm],$A123,tblMotor[NetKar]),0))</f>
        <v/>
      </c>
      <c r="D123" s="16">
        <f>IF($A123="","",IFERROR(SUMIF(tblAnahtarA[Norm],$A123,tblVeriA[HedefNet]),0))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IF($A123="","",IF($F123&gt;egk_esikFark,1,0))</f>
        <v/>
      </c>
      <c r="O123" s="16">
        <f>IF($A123="","",IFERROR(SUMIF(tblMotor[A_Norm],$A123,tblMotor[NetKar]),0))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IF($A124="","",IFERROR(SUMIF(tblMotor[A_Norm],$A124,tblMotor[NetKar]),0))</f>
        <v/>
      </c>
      <c r="D124" s="16">
        <f>IF($A124="","",IFERROR(SUMIF(tblAnahtarA[Norm],$A124,tblVeriA[HedefNet]),0))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IF($A124="","",IF($F124&gt;egk_esikFark,1,0))</f>
        <v/>
      </c>
      <c r="O124" s="16">
        <f>IF($A124="","",IFERROR(SUMIF(tblMotor[A_Norm],$A124,tblMotor[NetKar]),0))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IF($A125="","",IFERROR(SUMIF(tblMotor[A_Norm],$A125,tblMotor[NetKar]),0))</f>
        <v/>
      </c>
      <c r="D125" s="16">
        <f>IF($A125="","",IFERROR(SUMIF(tblAnahtarA[Norm],$A125,tblVeriA[HedefNet]),0))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IF($A125="","",IF($F125&gt;egk_esikFark,1,0))</f>
        <v/>
      </c>
      <c r="O125" s="16">
        <f>IF($A125="","",IFERROR(SUMIF(tblMotor[A_Norm],$A125,tblMotor[NetKar]),0))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IF($A126="","",IFERROR(SUMIF(tblMotor[A_Norm],$A126,tblMotor[NetKar]),0))</f>
        <v/>
      </c>
      <c r="D126" s="16">
        <f>IF($A126="","",IFERROR(SUMIF(tblAnahtarA[Norm],$A126,tblVeriA[HedefNet]),0))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IF($A126="","",IF($F126&gt;egk_esikFark,1,0))</f>
        <v/>
      </c>
      <c r="O126" s="16">
        <f>IF($A126="","",IFERROR(SUMIF(tblMotor[A_Norm],$A126,tblMotor[NetKar]),0))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IF($A127="","",IFERROR(SUMIF(tblMotor[A_Norm],$A127,tblMotor[NetKar]),0))</f>
        <v/>
      </c>
      <c r="D127" s="16">
        <f>IF($A127="","",IFERROR(SUMIF(tblAnahtarA[Norm],$A127,tblVeriA[HedefNet]),0))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IF($A127="","",IF($F127&gt;egk_esikFark,1,0))</f>
        <v/>
      </c>
      <c r="O127" s="16">
        <f>IF($A127="","",IFERROR(SUMIF(tblMotor[A_Norm],$A127,tblMotor[NetKar]),0))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IF($A128="","",IFERROR(SUMIF(tblMotor[A_Norm],$A128,tblMotor[NetKar]),0))</f>
        <v/>
      </c>
      <c r="D128" s="16">
        <f>IF($A128="","",IFERROR(SUMIF(tblAnahtarA[Norm],$A128,tblVeriA[HedefNet]),0))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IF($A128="","",IF($F128&gt;egk_esikFark,1,0))</f>
        <v/>
      </c>
      <c r="O128" s="16">
        <f>IF($A128="","",IFERROR(SUMIF(tblMotor[A_Norm],$A128,tblMotor[NetKar]),0))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IF($A129="","",IFERROR(SUMIF(tblMotor[A_Norm],$A129,tblMotor[NetKar]),0))</f>
        <v/>
      </c>
      <c r="D129" s="16">
        <f>IF($A129="","",IFERROR(SUMIF(tblAnahtarA[Norm],$A129,tblVeriA[HedefNet]),0))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IF($A129="","",IF($F129&gt;egk_esikFark,1,0))</f>
        <v/>
      </c>
      <c r="O129" s="16">
        <f>IF($A129="","",IFERROR(SUMIF(tblMotor[A_Norm],$A129,tblMotor[NetKar]),0))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IF($A130="","",IFERROR(SUMIF(tblMotor[A_Norm],$A130,tblMotor[NetKar]),0))</f>
        <v/>
      </c>
      <c r="D130" s="16">
        <f>IF($A130="","",IFERROR(SUMIF(tblAnahtarA[Norm],$A130,tblVeriA[HedefNet]),0))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IF($A130="","",IF($F130&gt;egk_esikFark,1,0))</f>
        <v/>
      </c>
      <c r="O130" s="16">
        <f>IF($A130="","",IFERROR(SUMIF(tblMotor[A_Norm],$A130,tblMotor[NetKar]),0))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IF($A131="","",IFERROR(SUMIF(tblMotor[A_Norm],$A131,tblMotor[NetKar]),0))</f>
        <v/>
      </c>
      <c r="D131" s="16">
        <f>IF($A131="","",IFERROR(SUMIF(tblAnahtarA[Norm],$A131,tblVeriA[HedefNet]),0))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IF($A131="","",IF($F131&gt;egk_esikFark,1,0))</f>
        <v/>
      </c>
      <c r="O131" s="16">
        <f>IF($A131="","",IFERROR(SUMIF(tblMotor[A_Norm],$A131,tblMotor[NetKar]),0))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IF($A132="","",IFERROR(SUMIF(tblMotor[A_Norm],$A132,tblMotor[NetKar]),0))</f>
        <v/>
      </c>
      <c r="D132" s="16">
        <f>IF($A132="","",IFERROR(SUMIF(tblAnahtarA[Norm],$A132,tblVeriA[HedefNet]),0))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IF($A132="","",IF($F132&gt;egk_esikFark,1,0))</f>
        <v/>
      </c>
      <c r="O132" s="16">
        <f>IF($A132="","",IFERROR(SUMIF(tblMotor[A_Norm],$A132,tblMotor[NetKar]),0))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IF($A133="","",IFERROR(SUMIF(tblMotor[A_Norm],$A133,tblMotor[NetKar]),0))</f>
        <v/>
      </c>
      <c r="D133" s="16">
        <f>IF($A133="","",IFERROR(SUMIF(tblAnahtarA[Norm],$A133,tblVeriA[HedefNet]),0))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IF($A133="","",IF($F133&gt;egk_esikFark,1,0))</f>
        <v/>
      </c>
      <c r="O133" s="16">
        <f>IF($A133="","",IFERROR(SUMIF(tblMotor[A_Norm],$A133,tblMotor[NetKar]),0))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IF($A134="","",IFERROR(SUMIF(tblMotor[A_Norm],$A134,tblMotor[NetKar]),0))</f>
        <v/>
      </c>
      <c r="D134" s="16">
        <f>IF($A134="","",IFERROR(SUMIF(tblAnahtarA[Norm],$A134,tblVeriA[HedefNet]),0))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IF($A134="","",IF($F134&gt;egk_esikFark,1,0))</f>
        <v/>
      </c>
      <c r="O134" s="16">
        <f>IF($A134="","",IFERROR(SUMIF(tblMotor[A_Norm],$A134,tblMotor[NetKar]),0))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IF($A135="","",IFERROR(SUMIF(tblMotor[A_Norm],$A135,tblMotor[NetKar]),0))</f>
        <v/>
      </c>
      <c r="D135" s="16">
        <f>IF($A135="","",IFERROR(SUMIF(tblAnahtarA[Norm],$A135,tblVeriA[HedefNet]),0))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IF($A135="","",IF($F135&gt;egk_esikFark,1,0))</f>
        <v/>
      </c>
      <c r="O135" s="16">
        <f>IF($A135="","",IFERROR(SUMIF(tblMotor[A_Norm],$A135,tblMotor[NetKar]),0))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IF($A136="","",IFERROR(SUMIF(tblMotor[A_Norm],$A136,tblMotor[NetKar]),0))</f>
        <v/>
      </c>
      <c r="D136" s="16">
        <f>IF($A136="","",IFERROR(SUMIF(tblAnahtarA[Norm],$A136,tblVeriA[HedefNet]),0))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IF($A136="","",IF($F136&gt;egk_esikFark,1,0))</f>
        <v/>
      </c>
      <c r="O136" s="16">
        <f>IF($A136="","",IFERROR(SUMIF(tblMotor[A_Norm],$A136,tblMotor[NetKar]),0))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IF($A137="","",IFERROR(SUMIF(tblMotor[A_Norm],$A137,tblMotor[NetKar]),0))</f>
        <v/>
      </c>
      <c r="D137" s="16">
        <f>IF($A137="","",IFERROR(SUMIF(tblAnahtarA[Norm],$A137,tblVeriA[HedefNet]),0))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IF($A137="","",IF($F137&gt;egk_esikFark,1,0))</f>
        <v/>
      </c>
      <c r="O137" s="16">
        <f>IF($A137="","",IFERROR(SUMIF(tblMotor[A_Norm],$A137,tblMotor[NetKar]),0))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IF($A138="","",IFERROR(SUMIF(tblMotor[A_Norm],$A138,tblMotor[NetKar]),0))</f>
        <v/>
      </c>
      <c r="D138" s="16">
        <f>IF($A138="","",IFERROR(SUMIF(tblAnahtarA[Norm],$A138,tblVeriA[HedefNet]),0))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IF($A138="","",IF($F138&gt;egk_esikFark,1,0))</f>
        <v/>
      </c>
      <c r="O138" s="16">
        <f>IF($A138="","",IFERROR(SUMIF(tblMotor[A_Norm],$A138,tblMotor[NetKar]),0))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IF($A139="","",IFERROR(SUMIF(tblMotor[A_Norm],$A139,tblMotor[NetKar]),0))</f>
        <v/>
      </c>
      <c r="D139" s="16">
        <f>IF($A139="","",IFERROR(SUMIF(tblAnahtarA[Norm],$A139,tblVeriA[HedefNet]),0))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IF($A139="","",IF($F139&gt;egk_esikFark,1,0))</f>
        <v/>
      </c>
      <c r="O139" s="16">
        <f>IF($A139="","",IFERROR(SUMIF(tblMotor[A_Norm],$A139,tblMotor[NetKar]),0))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IF($A140="","",IFERROR(SUMIF(tblMotor[A_Norm],$A140,tblMotor[NetKar]),0))</f>
        <v/>
      </c>
      <c r="D140" s="16">
        <f>IF($A140="","",IFERROR(SUMIF(tblAnahtarA[Norm],$A140,tblVeriA[HedefNet]),0))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IF($A140="","",IF($F140&gt;egk_esikFark,1,0))</f>
        <v/>
      </c>
      <c r="O140" s="16">
        <f>IF($A140="","",IFERROR(SUMIF(tblMotor[A_Norm],$A140,tblMotor[NetKar]),0))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IF($A141="","",IFERROR(SUMIF(tblMotor[A_Norm],$A141,tblMotor[NetKar]),0))</f>
        <v/>
      </c>
      <c r="D141" s="16">
        <f>IF($A141="","",IFERROR(SUMIF(tblAnahtarA[Norm],$A141,tblVeriA[HedefNet]),0))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IF($A141="","",IF($F141&gt;egk_esikFark,1,0))</f>
        <v/>
      </c>
      <c r="O141" s="16">
        <f>IF($A141="","",IFERROR(SUMIF(tblMotor[A_Norm],$A141,tblMotor[NetKar]),0))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IF($A142="","",IFERROR(SUMIF(tblMotor[A_Norm],$A142,tblMotor[NetKar]),0))</f>
        <v/>
      </c>
      <c r="D142" s="16">
        <f>IF($A142="","",IFERROR(SUMIF(tblAnahtarA[Norm],$A142,tblVeriA[HedefNet]),0))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IF($A142="","",IF($F142&gt;egk_esikFark,1,0))</f>
        <v/>
      </c>
      <c r="O142" s="16">
        <f>IF($A142="","",IFERROR(SUMIF(tblMotor[A_Norm],$A142,tblMotor[NetKar]),0))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IF($A143="","",IFERROR(SUMIF(tblMotor[A_Norm],$A143,tblMotor[NetKar]),0))</f>
        <v/>
      </c>
      <c r="D143" s="16">
        <f>IF($A143="","",IFERROR(SUMIF(tblAnahtarA[Norm],$A143,tblVeriA[HedefNet]),0))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IF($A143="","",IF($F143&gt;egk_esikFark,1,0))</f>
        <v/>
      </c>
      <c r="O143" s="16">
        <f>IF($A143="","",IFERROR(SUMIF(tblMotor[A_Norm],$A143,tblMotor[NetKar]),0))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IF($A144="","",IFERROR(SUMIF(tblMotor[A_Norm],$A144,tblMotor[NetKar]),0))</f>
        <v/>
      </c>
      <c r="D144" s="16">
        <f>IF($A144="","",IFERROR(SUMIF(tblAnahtarA[Norm],$A144,tblVeriA[HedefNet]),0))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IF($A144="","",IF($F144&gt;egk_esikFark,1,0))</f>
        <v/>
      </c>
      <c r="O144" s="16">
        <f>IF($A144="","",IFERROR(SUMIF(tblMotor[A_Norm],$A144,tblMotor[NetKar]),0))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IF($A145="","",IFERROR(SUMIF(tblMotor[A_Norm],$A145,tblMotor[NetKar]),0))</f>
        <v/>
      </c>
      <c r="D145" s="16">
        <f>IF($A145="","",IFERROR(SUMIF(tblAnahtarA[Norm],$A145,tblVeriA[HedefNet]),0))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IF($A145="","",IF($F145&gt;egk_esikFark,1,0))</f>
        <v/>
      </c>
      <c r="O145" s="16">
        <f>IF($A145="","",IFERROR(SUMIF(tblMotor[A_Norm],$A145,tblMotor[NetKar]),0))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IF($A146="","",IFERROR(SUMIF(tblMotor[A_Norm],$A146,tblMotor[NetKar]),0))</f>
        <v/>
      </c>
      <c r="D146" s="16">
        <f>IF($A146="","",IFERROR(SUMIF(tblAnahtarA[Norm],$A146,tblVeriA[HedefNet]),0))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IF($A146="","",IF($F146&gt;egk_esikFark,1,0))</f>
        <v/>
      </c>
      <c r="O146" s="16">
        <f>IF($A146="","",IFERROR(SUMIF(tblMotor[A_Norm],$A146,tblMotor[NetKar]),0))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IF($A147="","",IFERROR(SUMIF(tblMotor[A_Norm],$A147,tblMotor[NetKar]),0))</f>
        <v/>
      </c>
      <c r="D147" s="16">
        <f>IF($A147="","",IFERROR(SUMIF(tblAnahtarA[Norm],$A147,tblVeriA[HedefNet]),0))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IF($A147="","",IF($F147&gt;egk_esikFark,1,0))</f>
        <v/>
      </c>
      <c r="O147" s="16">
        <f>IF($A147="","",IFERROR(SUMIF(tblMotor[A_Norm],$A147,tblMotor[NetKar]),0))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IF($A148="","",IFERROR(SUMIF(tblMotor[A_Norm],$A148,tblMotor[NetKar]),0))</f>
        <v/>
      </c>
      <c r="D148" s="16">
        <f>IF($A148="","",IFERROR(SUMIF(tblAnahtarA[Norm],$A148,tblVeriA[HedefNet]),0))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IF($A148="","",IF($F148&gt;egk_esikFark,1,0))</f>
        <v/>
      </c>
      <c r="O148" s="16">
        <f>IF($A148="","",IFERROR(SUMIF(tblMotor[A_Norm],$A148,tblMotor[NetKar]),0))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IF($A149="","",IFERROR(SUMIF(tblMotor[A_Norm],$A149,tblMotor[NetKar]),0))</f>
        <v/>
      </c>
      <c r="D149" s="16">
        <f>IF($A149="","",IFERROR(SUMIF(tblAnahtarA[Norm],$A149,tblVeriA[HedefNet]),0))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IF($A149="","",IF($F149&gt;egk_esikFark,1,0))</f>
        <v/>
      </c>
      <c r="O149" s="16">
        <f>IF($A149="","",IFERROR(SUMIF(tblMotor[A_Norm],$A149,tblMotor[NetKar]),0))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IF($A150="","",IFERROR(SUMIF(tblMotor[A_Norm],$A150,tblMotor[NetKar]),0))</f>
        <v/>
      </c>
      <c r="D150" s="16">
        <f>IF($A150="","",IFERROR(SUMIF(tblAnahtarA[Norm],$A150,tblVeriA[HedefNet]),0))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IF($A150="","",IF($F150&gt;egk_esikFark,1,0))</f>
        <v/>
      </c>
      <c r="O150" s="16">
        <f>IF($A150="","",IFERROR(SUMIF(tblMotor[A_Norm],$A150,tblMotor[NetKar]),0))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IF($A151="","",IFERROR(SUMIF(tblMotor[A_Norm],$A151,tblMotor[NetKar]),0))</f>
        <v/>
      </c>
      <c r="D151" s="16">
        <f>IF($A151="","",IFERROR(SUMIF(tblAnahtarA[Norm],$A151,tblVeriA[HedefNet]),0))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IF($A151="","",IF($F151&gt;egk_esikFark,1,0))</f>
        <v/>
      </c>
      <c r="O151" s="16">
        <f>IF($A151="","",IFERROR(SUMIF(tblMotor[A_Norm],$A151,tblMotor[NetKar]),0))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IF($A152="","",IFERROR(SUMIF(tblMotor[A_Norm],$A152,tblMotor[NetKar]),0))</f>
        <v/>
      </c>
      <c r="D152" s="16">
        <f>IF($A152="","",IFERROR(SUMIF(tblAnahtarA[Norm],$A152,tblVeriA[HedefNet]),0))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IF($A152="","",IF($F152&gt;egk_esikFark,1,0))</f>
        <v/>
      </c>
      <c r="O152" s="16">
        <f>IF($A152="","",IFERROR(SUMIF(tblMotor[A_Norm],$A152,tblMotor[NetKar]),0))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IF($A153="","",IFERROR(SUMIF(tblMotor[A_Norm],$A153,tblMotor[NetKar]),0))</f>
        <v/>
      </c>
      <c r="D153" s="16">
        <f>IF($A153="","",IFERROR(SUMIF(tblAnahtarA[Norm],$A153,tblVeriA[HedefNet]),0))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IF($A153="","",IF($F153&gt;egk_esikFark,1,0))</f>
        <v/>
      </c>
      <c r="O153" s="16">
        <f>IF($A153="","",IFERROR(SUMIF(tblMotor[A_Norm],$A153,tblMotor[NetKar]),0))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IF($A154="","",IFERROR(SUMIF(tblMotor[A_Norm],$A154,tblMotor[NetKar]),0))</f>
        <v/>
      </c>
      <c r="D154" s="16">
        <f>IF($A154="","",IFERROR(SUMIF(tblAnahtarA[Norm],$A154,tblVeriA[HedefNet]),0))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IF($A154="","",IF($F154&gt;egk_esikFark,1,0))</f>
        <v/>
      </c>
      <c r="O154" s="16">
        <f>IF($A154="","",IFERROR(SUMIF(tblMotor[A_Norm],$A154,tblMotor[NetKar]),0))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IF($A155="","",IFERROR(SUMIF(tblMotor[A_Norm],$A155,tblMotor[NetKar]),0))</f>
        <v/>
      </c>
      <c r="D155" s="16">
        <f>IF($A155="","",IFERROR(SUMIF(tblAnahtarA[Norm],$A155,tblVeriA[HedefNet]),0))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IF($A155="","",IF($F155&gt;egk_esikFark,1,0))</f>
        <v/>
      </c>
      <c r="O155" s="16">
        <f>IF($A155="","",IFERROR(SUMIF(tblMotor[A_Norm],$A155,tblMotor[NetKar]),0))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IF($A156="","",IFERROR(SUMIF(tblMotor[A_Norm],$A156,tblMotor[NetKar]),0))</f>
        <v/>
      </c>
      <c r="D156" s="16">
        <f>IF($A156="","",IFERROR(SUMIF(tblAnahtarA[Norm],$A156,tblVeriA[HedefNet]),0))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IF($A156="","",IF($F156&gt;egk_esikFark,1,0))</f>
        <v/>
      </c>
      <c r="O156" s="16">
        <f>IF($A156="","",IFERROR(SUMIF(tblMotor[A_Norm],$A156,tblMotor[NetKar]),0))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IF($A157="","",IFERROR(SUMIF(tblMotor[A_Norm],$A157,tblMotor[NetKar]),0))</f>
        <v/>
      </c>
      <c r="D157" s="16">
        <f>IF($A157="","",IFERROR(SUMIF(tblAnahtarA[Norm],$A157,tblVeriA[HedefNet]),0))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IF($A157="","",IF($F157&gt;egk_esikFark,1,0))</f>
        <v/>
      </c>
      <c r="O157" s="16">
        <f>IF($A157="","",IFERROR(SUMIF(tblMotor[A_Norm],$A157,tblMotor[NetKar]),0))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IF($A158="","",IFERROR(SUMIF(tblMotor[A_Norm],$A158,tblMotor[NetKar]),0))</f>
        <v/>
      </c>
      <c r="D158" s="16">
        <f>IF($A158="","",IFERROR(SUMIF(tblAnahtarA[Norm],$A158,tblVeriA[HedefNet]),0))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IF($A158="","",IF($F158&gt;egk_esikFark,1,0))</f>
        <v/>
      </c>
      <c r="O158" s="16">
        <f>IF($A158="","",IFERROR(SUMIF(tblMotor[A_Norm],$A158,tblMotor[NetKar]),0))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IF($A159="","",IFERROR(SUMIF(tblMotor[A_Norm],$A159,tblMotor[NetKar]),0))</f>
        <v/>
      </c>
      <c r="D159" s="16">
        <f>IF($A159="","",IFERROR(SUMIF(tblAnahtarA[Norm],$A159,tblVeriA[HedefNet]),0))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IF($A159="","",IF($F159&gt;egk_esikFark,1,0))</f>
        <v/>
      </c>
      <c r="O159" s="16">
        <f>IF($A159="","",IFERROR(SUMIF(tblMotor[A_Norm],$A159,tblMotor[NetKar]),0))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IF($A160="","",IFERROR(SUMIF(tblMotor[A_Norm],$A160,tblMotor[NetKar]),0))</f>
        <v/>
      </c>
      <c r="D160" s="16">
        <f>IF($A160="","",IFERROR(SUMIF(tblAnahtarA[Norm],$A160,tblVeriA[HedefNet]),0))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IF($A160="","",IF($F160&gt;egk_esikFark,1,0))</f>
        <v/>
      </c>
      <c r="O160" s="16">
        <f>IF($A160="","",IFERROR(SUMIF(tblMotor[A_Norm],$A160,tblMotor[NetKar]),0))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IF($A161="","",IFERROR(SUMIF(tblMotor[A_Norm],$A161,tblMotor[NetKar]),0))</f>
        <v/>
      </c>
      <c r="D161" s="16">
        <f>IF($A161="","",IFERROR(SUMIF(tblAnahtarA[Norm],$A161,tblVeriA[HedefNet]),0))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IF($A161="","",IF($F161&gt;egk_esikFark,1,0))</f>
        <v/>
      </c>
      <c r="O161" s="16">
        <f>IF($A161="","",IFERROR(SUMIF(tblMotor[A_Norm],$A161,tblMotor[NetKar]),0))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IF($A162="","",IFERROR(SUMIF(tblMotor[A_Norm],$A162,tblMotor[NetKar]),0))</f>
        <v/>
      </c>
      <c r="D162" s="16">
        <f>IF($A162="","",IFERROR(SUMIF(tblAnahtarA[Norm],$A162,tblVeriA[HedefNet]),0))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IF($A162="","",IF($F162&gt;egk_esikFark,1,0))</f>
        <v/>
      </c>
      <c r="O162" s="16">
        <f>IF($A162="","",IFERROR(SUMIF(tblMotor[A_Norm],$A162,tblMotor[NetKar]),0))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IF($A163="","",IFERROR(SUMIF(tblMotor[A_Norm],$A163,tblMotor[NetKar]),0))</f>
        <v/>
      </c>
      <c r="D163" s="16">
        <f>IF($A163="","",IFERROR(SUMIF(tblAnahtarA[Norm],$A163,tblVeriA[HedefNet]),0))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IF($A163="","",IF($F163&gt;egk_esikFark,1,0))</f>
        <v/>
      </c>
      <c r="O163" s="16">
        <f>IF($A163="","",IFERROR(SUMIF(tblMotor[A_Norm],$A163,tblMotor[NetKar]),0))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IF($A164="","",IFERROR(SUMIF(tblMotor[A_Norm],$A164,tblMotor[NetKar]),0))</f>
        <v/>
      </c>
      <c r="D164" s="16">
        <f>IF($A164="","",IFERROR(SUMIF(tblAnahtarA[Norm],$A164,tblVeriA[HedefNet]),0))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IF($A164="","",IF($F164&gt;egk_esikFark,1,0))</f>
        <v/>
      </c>
      <c r="O164" s="16">
        <f>IF($A164="","",IFERROR(SUMIF(tblMotor[A_Norm],$A164,tblMotor[NetKar]),0))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IF($A165="","",IFERROR(SUMIF(tblMotor[A_Norm],$A165,tblMotor[NetKar]),0))</f>
        <v/>
      </c>
      <c r="D165" s="16">
        <f>IF($A165="","",IFERROR(SUMIF(tblAnahtarA[Norm],$A165,tblVeriA[HedefNet]),0))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IF($A165="","",IF($F165&gt;egk_esikFark,1,0))</f>
        <v/>
      </c>
      <c r="O165" s="16">
        <f>IF($A165="","",IFERROR(SUMIF(tblMotor[A_Norm],$A165,tblMotor[NetKar]),0))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IF($A166="","",IFERROR(SUMIF(tblMotor[A_Norm],$A166,tblMotor[NetKar]),0))</f>
        <v/>
      </c>
      <c r="D166" s="16">
        <f>IF($A166="","",IFERROR(SUMIF(tblAnahtarA[Norm],$A166,tblVeriA[HedefNet]),0))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IF($A166="","",IF($F166&gt;egk_esikFark,1,0))</f>
        <v/>
      </c>
      <c r="O166" s="16">
        <f>IF($A166="","",IFERROR(SUMIF(tblMotor[A_Norm],$A166,tblMotor[NetKar]),0))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IF($A167="","",IFERROR(SUMIF(tblMotor[A_Norm],$A167,tblMotor[NetKar]),0))</f>
        <v/>
      </c>
      <c r="D167" s="16">
        <f>IF($A167="","",IFERROR(SUMIF(tblAnahtarA[Norm],$A167,tblVeriA[HedefNet]),0))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IF($A167="","",IF($F167&gt;egk_esikFark,1,0))</f>
        <v/>
      </c>
      <c r="O167" s="16">
        <f>IF($A167="","",IFERROR(SUMIF(tblMotor[A_Norm],$A167,tblMotor[NetKar]),0))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IF($A168="","",IFERROR(SUMIF(tblMotor[A_Norm],$A168,tblMotor[NetKar]),0))</f>
        <v/>
      </c>
      <c r="D168" s="16">
        <f>IF($A168="","",IFERROR(SUMIF(tblAnahtarA[Norm],$A168,tblVeriA[HedefNet]),0))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IF($A168="","",IF($F168&gt;egk_esikFark,1,0))</f>
        <v/>
      </c>
      <c r="O168" s="16">
        <f>IF($A168="","",IFERROR(SUMIF(tblMotor[A_Norm],$A168,tblMotor[NetKar]),0))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IF($A169="","",IFERROR(SUMIF(tblMotor[A_Norm],$A169,tblMotor[NetKar]),0))</f>
        <v/>
      </c>
      <c r="D169" s="16">
        <f>IF($A169="","",IFERROR(SUMIF(tblAnahtarA[Norm],$A169,tblVeriA[HedefNet]),0))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IF($A169="","",IF($F169&gt;egk_esikFark,1,0))</f>
        <v/>
      </c>
      <c r="O169" s="16">
        <f>IF($A169="","",IFERROR(SUMIF(tblMotor[A_Norm],$A169,tblMotor[NetKar]),0))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IF($A170="","",IFERROR(SUMIF(tblMotor[A_Norm],$A170,tblMotor[NetKar]),0))</f>
        <v/>
      </c>
      <c r="D170" s="16">
        <f>IF($A170="","",IFERROR(SUMIF(tblAnahtarA[Norm],$A170,tblVeriA[HedefNet]),0))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IF($A170="","",IF($F170&gt;egk_esikFark,1,0))</f>
        <v/>
      </c>
      <c r="O170" s="16">
        <f>IF($A170="","",IFERROR(SUMIF(tblMotor[A_Norm],$A170,tblMotor[NetKar]),0))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IF($A171="","",IFERROR(SUMIF(tblMotor[A_Norm],$A171,tblMotor[NetKar]),0))</f>
        <v/>
      </c>
      <c r="D171" s="16">
        <f>IF($A171="","",IFERROR(SUMIF(tblAnahtarA[Norm],$A171,tblVeriA[HedefNet]),0))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IF($A171="","",IF($F171&gt;egk_esikFark,1,0))</f>
        <v/>
      </c>
      <c r="O171" s="16">
        <f>IF($A171="","",IFERROR(SUMIF(tblMotor[A_Norm],$A171,tblMotor[NetKar]),0))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IF($A172="","",IFERROR(SUMIF(tblMotor[A_Norm],$A172,tblMotor[NetKar]),0))</f>
        <v/>
      </c>
      <c r="D172" s="16">
        <f>IF($A172="","",IFERROR(SUMIF(tblAnahtarA[Norm],$A172,tblVeriA[HedefNet]),0))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IF($A172="","",IF($F172&gt;egk_esikFark,1,0))</f>
        <v/>
      </c>
      <c r="O172" s="16">
        <f>IF($A172="","",IFERROR(SUMIF(tblMotor[A_Norm],$A172,tblMotor[NetKar]),0))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IF($A173="","",IFERROR(SUMIF(tblMotor[A_Norm],$A173,tblMotor[NetKar]),0))</f>
        <v/>
      </c>
      <c r="D173" s="16">
        <f>IF($A173="","",IFERROR(SUMIF(tblAnahtarA[Norm],$A173,tblVeriA[HedefNet]),0))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IF($A173="","",IF($F173&gt;egk_esikFark,1,0))</f>
        <v/>
      </c>
      <c r="O173" s="16">
        <f>IF($A173="","",IFERROR(SUMIF(tblMotor[A_Norm],$A173,tblMotor[NetKar]),0))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IF($A174="","",IFERROR(SUMIF(tblMotor[A_Norm],$A174,tblMotor[NetKar]),0))</f>
        <v/>
      </c>
      <c r="D174" s="16">
        <f>IF($A174="","",IFERROR(SUMIF(tblAnahtarA[Norm],$A174,tblVeriA[HedefNet]),0))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IF($A174="","",IF($F174&gt;egk_esikFark,1,0))</f>
        <v/>
      </c>
      <c r="O174" s="16">
        <f>IF($A174="","",IFERROR(SUMIF(tblMotor[A_Norm],$A174,tblMotor[NetKar]),0))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IF($A175="","",IFERROR(SUMIF(tblMotor[A_Norm],$A175,tblMotor[NetKar]),0))</f>
        <v/>
      </c>
      <c r="D175" s="16">
        <f>IF($A175="","",IFERROR(SUMIF(tblAnahtarA[Norm],$A175,tblVeriA[HedefNet]),0))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IF($A175="","",IF($F175&gt;egk_esikFark,1,0))</f>
        <v/>
      </c>
      <c r="O175" s="16">
        <f>IF($A175="","",IFERROR(SUMIF(tblMotor[A_Norm],$A175,tblMotor[NetKar]),0))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IF($A176="","",IFERROR(SUMIF(tblMotor[A_Norm],$A176,tblMotor[NetKar]),0))</f>
        <v/>
      </c>
      <c r="D176" s="16">
        <f>IF($A176="","",IFERROR(SUMIF(tblAnahtarA[Norm],$A176,tblVeriA[HedefNet]),0))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IF($A176="","",IF($F176&gt;egk_esikFark,1,0))</f>
        <v/>
      </c>
      <c r="O176" s="16">
        <f>IF($A176="","",IFERROR(SUMIF(tblMotor[A_Norm],$A176,tblMotor[NetKar]),0))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IF($A177="","",IFERROR(SUMIF(tblMotor[A_Norm],$A177,tblMotor[NetKar]),0))</f>
        <v/>
      </c>
      <c r="D177" s="16">
        <f>IF($A177="","",IFERROR(SUMIF(tblAnahtarA[Norm],$A177,tblVeriA[HedefNet]),0))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IF($A177="","",IF($F177&gt;egk_esikFark,1,0))</f>
        <v/>
      </c>
      <c r="O177" s="16">
        <f>IF($A177="","",IFERROR(SUMIF(tblMotor[A_Norm],$A177,tblMotor[NetKar]),0))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IF($A178="","",IFERROR(SUMIF(tblMotor[A_Norm],$A178,tblMotor[NetKar]),0))</f>
        <v/>
      </c>
      <c r="D178" s="16">
        <f>IF($A178="","",IFERROR(SUMIF(tblAnahtarA[Norm],$A178,tblVeriA[HedefNet]),0))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IF($A178="","",IF($F178&gt;egk_esikFark,1,0))</f>
        <v/>
      </c>
      <c r="O178" s="16">
        <f>IF($A178="","",IFERROR(SUMIF(tblMotor[A_Norm],$A178,tblMotor[NetKar]),0))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IF($A179="","",IFERROR(SUMIF(tblMotor[A_Norm],$A179,tblMotor[NetKar]),0))</f>
        <v/>
      </c>
      <c r="D179" s="16">
        <f>IF($A179="","",IFERROR(SUMIF(tblAnahtarA[Norm],$A179,tblVeriA[HedefNet]),0))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IF($A179="","",IF($F179&gt;egk_esikFark,1,0))</f>
        <v/>
      </c>
      <c r="O179" s="16">
        <f>IF($A179="","",IFERROR(SUMIF(tblMotor[A_Norm],$A179,tblMotor[NetKar]),0))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IF($A180="","",IFERROR(SUMIF(tblMotor[A_Norm],$A180,tblMotor[NetKar]),0))</f>
        <v/>
      </c>
      <c r="D180" s="16">
        <f>IF($A180="","",IFERROR(SUMIF(tblAnahtarA[Norm],$A180,tblVeriA[HedefNet]),0))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IF($A180="","",IF($F180&gt;egk_esikFark,1,0))</f>
        <v/>
      </c>
      <c r="O180" s="16">
        <f>IF($A180="","",IFERROR(SUMIF(tblMotor[A_Norm],$A180,tblMotor[NetKar]),0))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IF($A181="","",IFERROR(SUMIF(tblMotor[A_Norm],$A181,tblMotor[NetKar]),0))</f>
        <v/>
      </c>
      <c r="D181" s="16">
        <f>IF($A181="","",IFERROR(SUMIF(tblAnahtarA[Norm],$A181,tblVeriA[HedefNet]),0))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IF($A181="","",IF($F181&gt;egk_esikFark,1,0))</f>
        <v/>
      </c>
      <c r="O181" s="16">
        <f>IF($A181="","",IFERROR(SUMIF(tblMotor[A_Norm],$A181,tblMotor[NetKar]),0))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IF($A182="","",IFERROR(SUMIF(tblMotor[A_Norm],$A182,tblMotor[NetKar]),0))</f>
        <v/>
      </c>
      <c r="D182" s="16">
        <f>IF($A182="","",IFERROR(SUMIF(tblAnahtarA[Norm],$A182,tblVeriA[HedefNet]),0))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IF($A182="","",IF($F182&gt;egk_esikFark,1,0))</f>
        <v/>
      </c>
      <c r="O182" s="16">
        <f>IF($A182="","",IFERROR(SUMIF(tblMotor[A_Norm],$A182,tblMotor[NetKar]),0))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IF($A183="","",IFERROR(SUMIF(tblMotor[A_Norm],$A183,tblMotor[NetKar]),0))</f>
        <v/>
      </c>
      <c r="D183" s="16">
        <f>IF($A183="","",IFERROR(SUMIF(tblAnahtarA[Norm],$A183,tblVeriA[HedefNet]),0))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IF($A183="","",IF($F183&gt;egk_esikFark,1,0))</f>
        <v/>
      </c>
      <c r="O183" s="16">
        <f>IF($A183="","",IFERROR(SUMIF(tblMotor[A_Norm],$A183,tblMotor[NetKar]),0))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IF($A184="","",IFERROR(SUMIF(tblMotor[A_Norm],$A184,tblMotor[NetKar]),0))</f>
        <v/>
      </c>
      <c r="D184" s="16">
        <f>IF($A184="","",IFERROR(SUMIF(tblAnahtarA[Norm],$A184,tblVeriA[HedefNet]),0))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IF($A184="","",IF($F184&gt;egk_esikFark,1,0))</f>
        <v/>
      </c>
      <c r="O184" s="16">
        <f>IF($A184="","",IFERROR(SUMIF(tblMotor[A_Norm],$A184,tblMotor[NetKar]),0))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IF($A185="","",IFERROR(SUMIF(tblMotor[A_Norm],$A185,tblMotor[NetKar]),0))</f>
        <v/>
      </c>
      <c r="D185" s="16">
        <f>IF($A185="","",IFERROR(SUMIF(tblAnahtarA[Norm],$A185,tblVeriA[HedefNet]),0))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IF($A185="","",IF($F185&gt;egk_esikFark,1,0))</f>
        <v/>
      </c>
      <c r="O185" s="16">
        <f>IF($A185="","",IFERROR(SUMIF(tblMotor[A_Norm],$A185,tblMotor[NetKar]),0))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IF($A186="","",IFERROR(SUMIF(tblMotor[A_Norm],$A186,tblMotor[NetKar]),0))</f>
        <v/>
      </c>
      <c r="D186" s="16">
        <f>IF($A186="","",IFERROR(SUMIF(tblAnahtarA[Norm],$A186,tblVeriA[HedefNet]),0))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IF($A186="","",IF($F186&gt;egk_esikFark,1,0))</f>
        <v/>
      </c>
      <c r="O186" s="16">
        <f>IF($A186="","",IFERROR(SUMIF(tblMotor[A_Norm],$A186,tblMotor[NetKar]),0))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IF($A187="","",IFERROR(SUMIF(tblMotor[A_Norm],$A187,tblMotor[NetKar]),0))</f>
        <v/>
      </c>
      <c r="D187" s="16">
        <f>IF($A187="","",IFERROR(SUMIF(tblAnahtarA[Norm],$A187,tblVeriA[HedefNet]),0))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IF($A187="","",IF($F187&gt;egk_esikFark,1,0))</f>
        <v/>
      </c>
      <c r="O187" s="16">
        <f>IF($A187="","",IFERROR(SUMIF(tblMotor[A_Norm],$A187,tblMotor[NetKar]),0))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IF($A188="","",IFERROR(SUMIF(tblMotor[A_Norm],$A188,tblMotor[NetKar]),0))</f>
        <v/>
      </c>
      <c r="D188" s="16">
        <f>IF($A188="","",IFERROR(SUMIF(tblAnahtarA[Norm],$A188,tblVeriA[HedefNet]),0))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IF($A188="","",IF($F188&gt;egk_esikFark,1,0))</f>
        <v/>
      </c>
      <c r="O188" s="16">
        <f>IF($A188="","",IFERROR(SUMIF(tblMotor[A_Norm],$A188,tblMotor[NetKar]),0))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IF($A189="","",IFERROR(SUMIF(tblMotor[A_Norm],$A189,tblMotor[NetKar]),0))</f>
        <v/>
      </c>
      <c r="D189" s="16">
        <f>IF($A189="","",IFERROR(SUMIF(tblAnahtarA[Norm],$A189,tblVeriA[HedefNet]),0))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IF($A189="","",IF($F189&gt;egk_esikFark,1,0))</f>
        <v/>
      </c>
      <c r="O189" s="16">
        <f>IF($A189="","",IFERROR(SUMIF(tblMotor[A_Norm],$A189,tblMotor[NetKar]),0))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IF($A190="","",IFERROR(SUMIF(tblMotor[A_Norm],$A190,tblMotor[NetKar]),0))</f>
        <v/>
      </c>
      <c r="D190" s="16">
        <f>IF($A190="","",IFERROR(SUMIF(tblAnahtarA[Norm],$A190,tblVeriA[HedefNet]),0))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IF($A190="","",IF($F190&gt;egk_esikFark,1,0))</f>
        <v/>
      </c>
      <c r="O190" s="16">
        <f>IF($A190="","",IFERROR(SUMIF(tblMotor[A_Norm],$A190,tblMotor[NetKar]),0))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IF($A191="","",IFERROR(SUMIF(tblMotor[A_Norm],$A191,tblMotor[NetKar]),0))</f>
        <v/>
      </c>
      <c r="D191" s="16">
        <f>IF($A191="","",IFERROR(SUMIF(tblAnahtarA[Norm],$A191,tblVeriA[HedefNet]),0))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IF($A191="","",IF($F191&gt;egk_esikFark,1,0))</f>
        <v/>
      </c>
      <c r="O191" s="16">
        <f>IF($A191="","",IFERROR(SUMIF(tblMotor[A_Norm],$A191,tblMotor[NetKar]),0))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IF($A192="","",IFERROR(SUMIF(tblMotor[A_Norm],$A192,tblMotor[NetKar]),0))</f>
        <v/>
      </c>
      <c r="D192" s="16">
        <f>IF($A192="","",IFERROR(SUMIF(tblAnahtarA[Norm],$A192,tblVeriA[HedefNet]),0))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IF($A192="","",IF($F192&gt;egk_esikFark,1,0))</f>
        <v/>
      </c>
      <c r="O192" s="16">
        <f>IF($A192="","",IFERROR(SUMIF(tblMotor[A_Norm],$A192,tblMotor[NetKar]),0))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IF($A193="","",IFERROR(SUMIF(tblMotor[A_Norm],$A193,tblMotor[NetKar]),0))</f>
        <v/>
      </c>
      <c r="D193" s="16">
        <f>IF($A193="","",IFERROR(SUMIF(tblAnahtarA[Norm],$A193,tblVeriA[HedefNet]),0))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IF($A193="","",IF($F193&gt;egk_esikFark,1,0))</f>
        <v/>
      </c>
      <c r="O193" s="16">
        <f>IF($A193="","",IFERROR(SUMIF(tblMotor[A_Norm],$A193,tblMotor[NetKar]),0))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IF($A194="","",IFERROR(SUMIF(tblMotor[A_Norm],$A194,tblMotor[NetKar]),0))</f>
        <v/>
      </c>
      <c r="D194" s="16">
        <f>IF($A194="","",IFERROR(SUMIF(tblAnahtarA[Norm],$A194,tblVeriA[HedefNet]),0))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IF($A194="","",IF($F194&gt;egk_esikFark,1,0))</f>
        <v/>
      </c>
      <c r="O194" s="16">
        <f>IF($A194="","",IFERROR(SUMIF(tblMotor[A_Norm],$A194,tblMotor[NetKar]),0))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IF($A195="","",IFERROR(SUMIF(tblMotor[A_Norm],$A195,tblMotor[NetKar]),0))</f>
        <v/>
      </c>
      <c r="D195" s="16">
        <f>IF($A195="","",IFERROR(SUMIF(tblAnahtarA[Norm],$A195,tblVeriA[HedefNet]),0))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IF($A195="","",IF($F195&gt;egk_esikFark,1,0))</f>
        <v/>
      </c>
      <c r="O195" s="16">
        <f>IF($A195="","",IFERROR(SUMIF(tblMotor[A_Norm],$A195,tblMotor[NetKar]),0))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IF($A196="","",IFERROR(SUMIF(tblMotor[A_Norm],$A196,tblMotor[NetKar]),0))</f>
        <v/>
      </c>
      <c r="D196" s="16">
        <f>IF($A196="","",IFERROR(SUMIF(tblAnahtarA[Norm],$A196,tblVeriA[HedefNet]),0))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IF($A196="","",IF($F196&gt;egk_esikFark,1,0))</f>
        <v/>
      </c>
      <c r="O196" s="16">
        <f>IF($A196="","",IFERROR(SUMIF(tblMotor[A_Norm],$A196,tblMotor[NetKar]),0))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IF($A197="","",IFERROR(SUMIF(tblMotor[A_Norm],$A197,tblMotor[NetKar]),0))</f>
        <v/>
      </c>
      <c r="D197" s="16">
        <f>IF($A197="","",IFERROR(SUMIF(tblAnahtarA[Norm],$A197,tblVeriA[HedefNet]),0))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IF($A197="","",IF($F197&gt;egk_esikFark,1,0))</f>
        <v/>
      </c>
      <c r="O197" s="16">
        <f>IF($A197="","",IFERROR(SUMIF(tblMotor[A_Norm],$A197,tblMotor[NetKar]),0))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IF($A198="","",IFERROR(SUMIF(tblMotor[A_Norm],$A198,tblMotor[NetKar]),0))</f>
        <v/>
      </c>
      <c r="D198" s="16">
        <f>IF($A198="","",IFERROR(SUMIF(tblAnahtarA[Norm],$A198,tblVeriA[HedefNet]),0))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IF($A198="","",IF($F198&gt;egk_esikFark,1,0))</f>
        <v/>
      </c>
      <c r="O198" s="16">
        <f>IF($A198="","",IFERROR(SUMIF(tblMotor[A_Norm],$A198,tblMotor[NetKar]),0))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IF($A199="","",IFERROR(SUMIF(tblMotor[A_Norm],$A199,tblMotor[NetKar]),0))</f>
        <v/>
      </c>
      <c r="D199" s="16">
        <f>IF($A199="","",IFERROR(SUMIF(tblAnahtarA[Norm],$A199,tblVeriA[HedefNet]),0))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IF($A199="","",IF($F199&gt;egk_esikFark,1,0))</f>
        <v/>
      </c>
      <c r="O199" s="16">
        <f>IF($A199="","",IFERROR(SUMIF(tblMotor[A_Norm],$A199,tblMotor[NetKar]),0))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IF($A200="","",IFERROR(SUMIF(tblMotor[A_Norm],$A200,tblMotor[NetKar]),0))</f>
        <v/>
      </c>
      <c r="D200" s="16">
        <f>IF($A200="","",IFERROR(SUMIF(tblAnahtarA[Norm],$A200,tblVeriA[HedefNet]),0))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IF($A200="","",IF($F200&gt;egk_esikFark,1,0))</f>
        <v/>
      </c>
      <c r="O200" s="16">
        <f>IF($A200="","",IFERROR(SUMIF(tblMotor[A_Norm],$A200,tblMotor[NetKar]),0))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IF($A201="","",IFERROR(SUMIF(tblMotor[A_Norm],$A201,tblMotor[NetKar]),0))</f>
        <v/>
      </c>
      <c r="D201" s="16">
        <f>IF($A201="","",IFERROR(SUMIF(tblAnahtarA[Norm],$A201,tblVeriA[HedefNet]),0))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IF($A201="","",IF($F201&gt;egk_esikFark,1,0))</f>
        <v/>
      </c>
      <c r="O201" s="16">
        <f>IF($A201="","",IFERROR(SUMIF(tblMotor[A_Norm],$A201,tblMotor[NetKar]),0))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IF($A202="","",IFERROR(SUMIF(tblMotor[A_Norm],$A202,tblMotor[NetKar]),0))</f>
        <v/>
      </c>
      <c r="D202" s="16">
        <f>IF($A202="","",IFERROR(SUMIF(tblAnahtarA[Norm],$A202,tblVeriA[HedefNet]),0))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IF($A202="","",IF($F202&gt;egk_esikFark,1,0))</f>
        <v/>
      </c>
      <c r="O202" s="16">
        <f>IF($A202="","",IFERROR(SUMIF(tblMotor[A_Norm],$A202,tblMotor[NetKar]),0))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IF($A203="","",IFERROR(SUMIF(tblMotor[A_Norm],$A203,tblMotor[NetKar]),0))</f>
        <v/>
      </c>
      <c r="D203" s="16">
        <f>IF($A203="","",IFERROR(SUMIF(tblAnahtarA[Norm],$A203,tblVeriA[HedefNet]),0))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IF($A203="","",IF($F203&gt;egk_esikFark,1,0))</f>
        <v/>
      </c>
      <c r="O203" s="16">
        <f>IF($A203="","",IFERROR(SUMIF(tblMotor[A_Norm],$A203,tblMotor[NetKar]),0))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IF($A204="","",IFERROR(SUMIF(tblMotor[A_Norm],$A204,tblMotor[NetKar]),0))</f>
        <v/>
      </c>
      <c r="D204" s="16">
        <f>IF($A204="","",IFERROR(SUMIF(tblAnahtarA[Norm],$A204,tblVeriA[HedefNet]),0))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IF($A204="","",IF($F204&gt;egk_esikFark,1,0))</f>
        <v/>
      </c>
      <c r="O204" s="16">
        <f>IF($A204="","",IFERROR(SUMIF(tblMotor[A_Norm],$A204,tblMotor[NetKar]),0))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IF($A205="","",IFERROR(SUMIF(tblMotor[A_Norm],$A205,tblMotor[NetKar]),0))</f>
        <v/>
      </c>
      <c r="D205" s="16">
        <f>IF($A205="","",IFERROR(SUMIF(tblAnahtarA[Norm],$A205,tblVeriA[HedefNet]),0))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IF($A205="","",IF($F205&gt;egk_esikFark,1,0))</f>
        <v/>
      </c>
      <c r="O205" s="16">
        <f>IF($A205="","",IFERROR(SUMIF(tblMotor[A_Norm],$A205,tblMotor[NetKar]),0))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IF($A206="","",IFERROR(SUMIF(tblMotor[A_Norm],$A206,tblMotor[NetKar]),0))</f>
        <v/>
      </c>
      <c r="D206" s="16">
        <f>IF($A206="","",IFERROR(SUMIF(tblAnahtarA[Norm],$A206,tblVeriA[HedefNet]),0))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IF($A206="","",IF($F206&gt;egk_esikFark,1,0))</f>
        <v/>
      </c>
      <c r="O206" s="16">
        <f>IF($A206="","",IFERROR(SUMIF(tblMotor[A_Norm],$A206,tblMotor[NetKar]),0))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IF($A207="","",IFERROR(SUMIF(tblMotor[A_Norm],$A207,tblMotor[NetKar]),0))</f>
        <v/>
      </c>
      <c r="D207" s="16">
        <f>IF($A207="","",IFERROR(SUMIF(tblAnahtarA[Norm],$A207,tblVeriA[HedefNet]),0))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IF($A207="","",IF($F207&gt;egk_esikFark,1,0))</f>
        <v/>
      </c>
      <c r="O207" s="16">
        <f>IF($A207="","",IFERROR(SUMIF(tblMotor[A_Norm],$A207,tblMotor[NetKar]),0))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IF($A208="","",IFERROR(SUMIF(tblMotor[A_Norm],$A208,tblMotor[NetKar]),0))</f>
        <v/>
      </c>
      <c r="D208" s="16">
        <f>IF($A208="","",IFERROR(SUMIF(tblAnahtarA[Norm],$A208,tblVeriA[HedefNet]),0))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IF($A208="","",IF($F208&gt;egk_esikFark,1,0))</f>
        <v/>
      </c>
      <c r="O208" s="16">
        <f>IF($A208="","",IFERROR(SUMIF(tblMotor[A_Norm],$A208,tblMotor[NetKar]),0))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IF($A209="","",IFERROR(SUMIF(tblMotor[A_Norm],$A209,tblMotor[NetKar]),0))</f>
        <v/>
      </c>
      <c r="D209" s="16">
        <f>IF($A209="","",IFERROR(SUMIF(tblAnahtarA[Norm],$A209,tblVeriA[HedefNet]),0))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IF($A209="","",IF($F209&gt;egk_esikFark,1,0))</f>
        <v/>
      </c>
      <c r="O209" s="16">
        <f>IF($A209="","",IFERROR(SUMIF(tblMotor[A_Norm],$A209,tblMotor[NetKar]),0))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IF($A210="","",IFERROR(SUMIF(tblMotor[A_Norm],$A210,tblMotor[NetKar]),0))</f>
        <v/>
      </c>
      <c r="D210" s="16">
        <f>IF($A210="","",IFERROR(SUMIF(tblAnahtarA[Norm],$A210,tblVeriA[HedefNet]),0))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IF($A210="","",IF($F210&gt;egk_esikFark,1,0))</f>
        <v/>
      </c>
      <c r="O210" s="16">
        <f>IF($A210="","",IFERROR(SUMIF(tblMotor[A_Norm],$A210,tblMotor[NetKar]),0))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IF($A211="","",IFERROR(SUMIF(tblMotor[A_Norm],$A211,tblMotor[NetKar]),0))</f>
        <v/>
      </c>
      <c r="D211" s="16">
        <f>IF($A211="","",IFERROR(SUMIF(tblAnahtarA[Norm],$A211,tblVeriA[HedefNet]),0))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IF($A211="","",IF($F211&gt;egk_esikFark,1,0))</f>
        <v/>
      </c>
      <c r="O211" s="16">
        <f>IF($A211="","",IFERROR(SUMIF(tblMotor[A_Norm],$A211,tblMotor[NetKar]),0))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IF($A212="","",IFERROR(SUMIF(tblMotor[A_Norm],$A212,tblMotor[NetKar]),0))</f>
        <v/>
      </c>
      <c r="D212" s="16">
        <f>IF($A212="","",IFERROR(SUMIF(tblAnahtarA[Norm],$A212,tblVeriA[HedefNet]),0))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IF($A212="","",IF($F212&gt;egk_esikFark,1,0))</f>
        <v/>
      </c>
      <c r="O212" s="16">
        <f>IF($A212="","",IFERROR(SUMIF(tblMotor[A_Norm],$A212,tblMotor[NetKar]),0))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IF($A213="","",IFERROR(SUMIF(tblMotor[A_Norm],$A213,tblMotor[NetKar]),0))</f>
        <v/>
      </c>
      <c r="D213" s="16">
        <f>IF($A213="","",IFERROR(SUMIF(tblAnahtarA[Norm],$A213,tblVeriA[HedefNet]),0))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IF($A213="","",IF($F213&gt;egk_esikFark,1,0))</f>
        <v/>
      </c>
      <c r="O213" s="16">
        <f>IF($A213="","",IFERROR(SUMIF(tblMotor[A_Norm],$A213,tblMotor[NetKar]),0))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IF($A214="","",IFERROR(SUMIF(tblMotor[A_Norm],$A214,tblMotor[NetKar]),0))</f>
        <v/>
      </c>
      <c r="D214" s="16">
        <f>IF($A214="","",IFERROR(SUMIF(tblAnahtarA[Norm],$A214,tblVeriA[HedefNet]),0))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IF($A214="","",IF($F214&gt;egk_esikFark,1,0))</f>
        <v/>
      </c>
      <c r="O214" s="16">
        <f>IF($A214="","",IFERROR(SUMIF(tblMotor[A_Norm],$A214,tblMotor[NetKar]),0))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IF($A215="","",IFERROR(SUMIF(tblMotor[A_Norm],$A215,tblMotor[NetKar]),0))</f>
        <v/>
      </c>
      <c r="D215" s="16">
        <f>IF($A215="","",IFERROR(SUMIF(tblAnahtarA[Norm],$A215,tblVeriA[HedefNet]),0))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IF($A215="","",IF($F215&gt;egk_esikFark,1,0))</f>
        <v/>
      </c>
      <c r="O215" s="16">
        <f>IF($A215="","",IFERROR(SUMIF(tblMotor[A_Norm],$A215,tblMotor[NetKar]),0))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IF($A216="","",IFERROR(SUMIF(tblMotor[A_Norm],$A216,tblMotor[NetKar]),0))</f>
        <v/>
      </c>
      <c r="D216" s="16">
        <f>IF($A216="","",IFERROR(SUMIF(tblAnahtarA[Norm],$A216,tblVeriA[HedefNet]),0))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IF($A216="","",IF($F216&gt;egk_esikFark,1,0))</f>
        <v/>
      </c>
      <c r="O216" s="16">
        <f>IF($A216="","",IFERROR(SUMIF(tblMotor[A_Norm],$A216,tblMotor[NetKar]),0))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IF($A217="","",IFERROR(SUMIF(tblMotor[A_Norm],$A217,tblMotor[NetKar]),0))</f>
        <v/>
      </c>
      <c r="D217" s="16">
        <f>IF($A217="","",IFERROR(SUMIF(tblAnahtarA[Norm],$A217,tblVeriA[HedefNet]),0))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IF($A217="","",IF($F217&gt;egk_esikFark,1,0))</f>
        <v/>
      </c>
      <c r="O217" s="16">
        <f>IF($A217="","",IFERROR(SUMIF(tblMotor[A_Norm],$A217,tblMotor[NetKar]),0))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IF($A218="","",IFERROR(SUMIF(tblMotor[A_Norm],$A218,tblMotor[NetKar]),0))</f>
        <v/>
      </c>
      <c r="D218" s="16">
        <f>IF($A218="","",IFERROR(SUMIF(tblAnahtarA[Norm],$A218,tblVeriA[HedefNet]),0))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IF($A218="","",IF($F218&gt;egk_esikFark,1,0))</f>
        <v/>
      </c>
      <c r="O218" s="16">
        <f>IF($A218="","",IFERROR(SUMIF(tblMotor[A_Norm],$A218,tblMotor[NetKar]),0))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IF($A219="","",IFERROR(SUMIF(tblMotor[A_Norm],$A219,tblMotor[NetKar]),0))</f>
        <v/>
      </c>
      <c r="D219" s="16">
        <f>IF($A219="","",IFERROR(SUMIF(tblAnahtarA[Norm],$A219,tblVeriA[HedefNet]),0))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IF($A219="","",IF($F219&gt;egk_esikFark,1,0))</f>
        <v/>
      </c>
      <c r="O219" s="16">
        <f>IF($A219="","",IFERROR(SUMIF(tblMotor[A_Norm],$A219,tblMotor[NetKar]),0))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IF($A220="","",IFERROR(SUMIF(tblMotor[A_Norm],$A220,tblMotor[NetKar]),0))</f>
        <v/>
      </c>
      <c r="D220" s="16">
        <f>IF($A220="","",IFERROR(SUMIF(tblAnahtarA[Norm],$A220,tblVeriA[HedefNet]),0))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IF($A220="","",IF($F220&gt;egk_esikFark,1,0))</f>
        <v/>
      </c>
      <c r="O220" s="16">
        <f>IF($A220="","",IFERROR(SUMIF(tblMotor[A_Norm],$A220,tblMotor[NetKar]),0))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IF($A221="","",IFERROR(SUMIF(tblMotor[A_Norm],$A221,tblMotor[NetKar]),0))</f>
        <v/>
      </c>
      <c r="D221" s="16">
        <f>IF($A221="","",IFERROR(SUMIF(tblAnahtarA[Norm],$A221,tblVeriA[HedefNet]),0))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IF($A221="","",IF($F221&gt;egk_esikFark,1,0))</f>
        <v/>
      </c>
      <c r="O221" s="16">
        <f>IF($A221="","",IFERROR(SUMIF(tblMotor[A_Norm],$A221,tblMotor[NetKar]),0))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IF($A222="","",IFERROR(SUMIF(tblMotor[A_Norm],$A222,tblMotor[NetKar]),0))</f>
        <v/>
      </c>
      <c r="D222" s="16">
        <f>IF($A222="","",IFERROR(SUMIF(tblAnahtarA[Norm],$A222,tblVeriA[HedefNet]),0))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IF($A222="","",IF($F222&gt;egk_esikFark,1,0))</f>
        <v/>
      </c>
      <c r="O222" s="16">
        <f>IF($A222="","",IFERROR(SUMIF(tblMotor[A_Norm],$A222,tblMotor[NetKar]),0))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IF($A223="","",IFERROR(SUMIF(tblMotor[A_Norm],$A223,tblMotor[NetKar]),0))</f>
        <v/>
      </c>
      <c r="D223" s="16">
        <f>IF($A223="","",IFERROR(SUMIF(tblAnahtarA[Norm],$A223,tblVeriA[HedefNet]),0))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IF($A223="","",IF($F223&gt;egk_esikFark,1,0))</f>
        <v/>
      </c>
      <c r="O223" s="16">
        <f>IF($A223="","",IFERROR(SUMIF(tblMotor[A_Norm],$A223,tblMotor[NetKar]),0))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IF($A224="","",IFERROR(SUMIF(tblMotor[A_Norm],$A224,tblMotor[NetKar]),0))</f>
        <v/>
      </c>
      <c r="D224" s="16">
        <f>IF($A224="","",IFERROR(SUMIF(tblAnahtarA[Norm],$A224,tblVeriA[HedefNet]),0))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IF($A224="","",IF($F224&gt;egk_esikFark,1,0))</f>
        <v/>
      </c>
      <c r="O224" s="16">
        <f>IF($A224="","",IFERROR(SUMIF(tblMotor[A_Norm],$A224,tblMotor[NetKar]),0))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IF($A225="","",IFERROR(SUMIF(tblMotor[A_Norm],$A225,tblMotor[NetKar]),0))</f>
        <v/>
      </c>
      <c r="D225" s="16">
        <f>IF($A225="","",IFERROR(SUMIF(tblAnahtarA[Norm],$A225,tblVeriA[HedefNet]),0))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IF($A225="","",IF($F225&gt;egk_esikFark,1,0))</f>
        <v/>
      </c>
      <c r="O225" s="16">
        <f>IF($A225="","",IFERROR(SUMIF(tblMotor[A_Norm],$A225,tblMotor[NetKar]),0))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IF($A226="","",IFERROR(SUMIF(tblMotor[A_Norm],$A226,tblMotor[NetKar]),0))</f>
        <v/>
      </c>
      <c r="D226" s="16">
        <f>IF($A226="","",IFERROR(SUMIF(tblAnahtarA[Norm],$A226,tblVeriA[HedefNet]),0))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IF($A226="","",IF($F226&gt;egk_esikFark,1,0))</f>
        <v/>
      </c>
      <c r="O226" s="16">
        <f>IF($A226="","",IFERROR(SUMIF(tblMotor[A_Norm],$A226,tblMotor[NetKar]),0))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IF($A227="","",IFERROR(SUMIF(tblMotor[A_Norm],$A227,tblMotor[NetKar]),0))</f>
        <v/>
      </c>
      <c r="D227" s="16">
        <f>IF($A227="","",IFERROR(SUMIF(tblAnahtarA[Norm],$A227,tblVeriA[HedefNet]),0))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IF($A227="","",IF($F227&gt;egk_esikFark,1,0))</f>
        <v/>
      </c>
      <c r="O227" s="16">
        <f>IF($A227="","",IFERROR(SUMIF(tblMotor[A_Norm],$A227,tblMotor[NetKar]),0))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IF($A228="","",IFERROR(SUMIF(tblMotor[A_Norm],$A228,tblMotor[NetKar]),0))</f>
        <v/>
      </c>
      <c r="D228" s="16">
        <f>IF($A228="","",IFERROR(SUMIF(tblAnahtarA[Norm],$A228,tblVeriA[HedefNet]),0))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IF($A228="","",IF($F228&gt;egk_esikFark,1,0))</f>
        <v/>
      </c>
      <c r="O228" s="16">
        <f>IF($A228="","",IFERROR(SUMIF(tblMotor[A_Norm],$A228,tblMotor[NetKar]),0))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IF($A229="","",IFERROR(SUMIF(tblMotor[A_Norm],$A229,tblMotor[NetKar]),0))</f>
        <v/>
      </c>
      <c r="D229" s="16">
        <f>IF($A229="","",IFERROR(SUMIF(tblAnahtarA[Norm],$A229,tblVeriA[HedefNet]),0))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IF($A229="","",IF($F229&gt;egk_esikFark,1,0))</f>
        <v/>
      </c>
      <c r="O229" s="16">
        <f>IF($A229="","",IFERROR(SUMIF(tblMotor[A_Norm],$A229,tblMotor[NetKar]),0))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IF($A230="","",IFERROR(SUMIF(tblMotor[A_Norm],$A230,tblMotor[NetKar]),0))</f>
        <v/>
      </c>
      <c r="D230" s="16">
        <f>IF($A230="","",IFERROR(SUMIF(tblAnahtarA[Norm],$A230,tblVeriA[HedefNet]),0))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IF($A230="","",IF($F230&gt;egk_esikFark,1,0))</f>
        <v/>
      </c>
      <c r="O230" s="16">
        <f>IF($A230="","",IFERROR(SUMIF(tblMotor[A_Norm],$A230,tblMotor[NetKar]),0))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IF($A231="","",IFERROR(SUMIF(tblMotor[A_Norm],$A231,tblMotor[NetKar]),0))</f>
        <v/>
      </c>
      <c r="D231" s="16">
        <f>IF($A231="","",IFERROR(SUMIF(tblAnahtarA[Norm],$A231,tblVeriA[HedefNet]),0))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IF($A231="","",IF($F231&gt;egk_esikFark,1,0))</f>
        <v/>
      </c>
      <c r="O231" s="16">
        <f>IF($A231="","",IFERROR(SUMIF(tblMotor[A_Norm],$A231,tblMotor[NetKar]),0))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IF($A232="","",IFERROR(SUMIF(tblMotor[A_Norm],$A232,tblMotor[NetKar]),0))</f>
        <v/>
      </c>
      <c r="D232" s="16">
        <f>IF($A232="","",IFERROR(SUMIF(tblAnahtarA[Norm],$A232,tblVeriA[HedefNet]),0))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IF($A232="","",IF($F232&gt;egk_esikFark,1,0))</f>
        <v/>
      </c>
      <c r="O232" s="16">
        <f>IF($A232="","",IFERROR(SUMIF(tblMotor[A_Norm],$A232,tblMotor[NetKar]),0))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IF($A233="","",IFERROR(SUMIF(tblMotor[A_Norm],$A233,tblMotor[NetKar]),0))</f>
        <v/>
      </c>
      <c r="D233" s="16">
        <f>IF($A233="","",IFERROR(SUMIF(tblAnahtarA[Norm],$A233,tblVeriA[HedefNet]),0))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IF($A233="","",IF($F233&gt;egk_esikFark,1,0))</f>
        <v/>
      </c>
      <c r="O233" s="16">
        <f>IF($A233="","",IFERROR(SUMIF(tblMotor[A_Norm],$A233,tblMotor[NetKar]),0))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IF($A234="","",IFERROR(SUMIF(tblMotor[A_Norm],$A234,tblMotor[NetKar]),0))</f>
        <v/>
      </c>
      <c r="D234" s="16">
        <f>IF($A234="","",IFERROR(SUMIF(tblAnahtarA[Norm],$A234,tblVeriA[HedefNet]),0))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IF($A234="","",IF($F234&gt;egk_esikFark,1,0))</f>
        <v/>
      </c>
      <c r="O234" s="16">
        <f>IF($A234="","",IFERROR(SUMIF(tblMotor[A_Norm],$A234,tblMotor[NetKar]),0))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IF($A235="","",IFERROR(SUMIF(tblMotor[A_Norm],$A235,tblMotor[NetKar]),0))</f>
        <v/>
      </c>
      <c r="D235" s="16">
        <f>IF($A235="","",IFERROR(SUMIF(tblAnahtarA[Norm],$A235,tblVeriA[HedefNet]),0))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IF($A235="","",IF($F235&gt;egk_esikFark,1,0))</f>
        <v/>
      </c>
      <c r="O235" s="16">
        <f>IF($A235="","",IFERROR(SUMIF(tblMotor[A_Norm],$A235,tblMotor[NetKar]),0))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IF($A236="","",IFERROR(SUMIF(tblMotor[A_Norm],$A236,tblMotor[NetKar]),0))</f>
        <v/>
      </c>
      <c r="D236" s="16">
        <f>IF($A236="","",IFERROR(SUMIF(tblAnahtarA[Norm],$A236,tblVeriA[HedefNet]),0))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IF($A236="","",IF($F236&gt;egk_esikFark,1,0))</f>
        <v/>
      </c>
      <c r="O236" s="16">
        <f>IF($A236="","",IFERROR(SUMIF(tblMotor[A_Norm],$A236,tblMotor[NetKar]),0))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IF($A237="","",IFERROR(SUMIF(tblMotor[A_Norm],$A237,tblMotor[NetKar]),0))</f>
        <v/>
      </c>
      <c r="D237" s="16">
        <f>IF($A237="","",IFERROR(SUMIF(tblAnahtarA[Norm],$A237,tblVeriA[HedefNet]),0))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IF($A237="","",IF($F237&gt;egk_esikFark,1,0))</f>
        <v/>
      </c>
      <c r="O237" s="16">
        <f>IF($A237="","",IFERROR(SUMIF(tblMotor[A_Norm],$A237,tblMotor[NetKar]),0))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IF($A238="","",IFERROR(SUMIF(tblMotor[A_Norm],$A238,tblMotor[NetKar]),0))</f>
        <v/>
      </c>
      <c r="D238" s="16">
        <f>IF($A238="","",IFERROR(SUMIF(tblAnahtarA[Norm],$A238,tblVeriA[HedefNet]),0))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IF($A238="","",IF($F238&gt;egk_esikFark,1,0))</f>
        <v/>
      </c>
      <c r="O238" s="16">
        <f>IF($A238="","",IFERROR(SUMIF(tblMotor[A_Norm],$A238,tblMotor[NetKar]),0))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IF($A239="","",IFERROR(SUMIF(tblMotor[A_Norm],$A239,tblMotor[NetKar]),0))</f>
        <v/>
      </c>
      <c r="D239" s="16">
        <f>IF($A239="","",IFERROR(SUMIF(tblAnahtarA[Norm],$A239,tblVeriA[HedefNet]),0))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IF($A239="","",IF($F239&gt;egk_esikFark,1,0))</f>
        <v/>
      </c>
      <c r="O239" s="16">
        <f>IF($A239="","",IFERROR(SUMIF(tblMotor[A_Norm],$A239,tblMotor[NetKar]),0))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IF($A240="","",IFERROR(SUMIF(tblMotor[A_Norm],$A240,tblMotor[NetKar]),0))</f>
        <v/>
      </c>
      <c r="D240" s="16">
        <f>IF($A240="","",IFERROR(SUMIF(tblAnahtarA[Norm],$A240,tblVeriA[HedefNet]),0))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IF($A240="","",IF($F240&gt;egk_esikFark,1,0))</f>
        <v/>
      </c>
      <c r="O240" s="16">
        <f>IF($A240="","",IFERROR(SUMIF(tblMotor[A_Norm],$A240,tblMotor[NetKar]),0))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IF($A241="","",IFERROR(SUMIF(tblMotor[A_Norm],$A241,tblMotor[NetKar]),0))</f>
        <v/>
      </c>
      <c r="D241" s="16">
        <f>IF($A241="","",IFERROR(SUMIF(tblAnahtarA[Norm],$A241,tblVeriA[HedefNet]),0))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IF($A241="","",IF($F241&gt;egk_esikFark,1,0))</f>
        <v/>
      </c>
      <c r="O241" s="16">
        <f>IF($A241="","",IFERROR(SUMIF(tblMotor[A_Norm],$A241,tblMotor[NetKar]),0))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IF($A242="","",IFERROR(SUMIF(tblMotor[A_Norm],$A242,tblMotor[NetKar]),0))</f>
        <v/>
      </c>
      <c r="D242" s="16">
        <f>IF($A242="","",IFERROR(SUMIF(tblAnahtarA[Norm],$A242,tblVeriA[HedefNet]),0))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IF($A242="","",IF($F242&gt;egk_esikFark,1,0))</f>
        <v/>
      </c>
      <c r="O242" s="16">
        <f>IF($A242="","",IFERROR(SUMIF(tblMotor[A_Norm],$A242,tblMotor[NetKar]),0))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IF($A243="","",IFERROR(SUMIF(tblMotor[A_Norm],$A243,tblMotor[NetKar]),0))</f>
        <v/>
      </c>
      <c r="D243" s="16">
        <f>IF($A243="","",IFERROR(SUMIF(tblAnahtarA[Norm],$A243,tblVeriA[HedefNet]),0))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IF($A243="","",IF($F243&gt;egk_esikFark,1,0))</f>
        <v/>
      </c>
      <c r="O243" s="16">
        <f>IF($A243="","",IFERROR(SUMIF(tblMotor[A_Norm],$A243,tblMotor[NetKar]),0))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IF($A244="","",IFERROR(SUMIF(tblMotor[A_Norm],$A244,tblMotor[NetKar]),0))</f>
        <v/>
      </c>
      <c r="D244" s="16">
        <f>IF($A244="","",IFERROR(SUMIF(tblAnahtarA[Norm],$A244,tblVeriA[HedefNet]),0))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IF($A244="","",IF($F244&gt;egk_esikFark,1,0))</f>
        <v/>
      </c>
      <c r="O244" s="16">
        <f>IF($A244="","",IFERROR(SUMIF(tblMotor[A_Norm],$A244,tblMotor[NetKar]),0))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IF($A245="","",IFERROR(SUMIF(tblMotor[A_Norm],$A245,tblMotor[NetKar]),0))</f>
        <v/>
      </c>
      <c r="D245" s="16">
        <f>IF($A245="","",IFERROR(SUMIF(tblAnahtarA[Norm],$A245,tblVeriA[HedefNet]),0))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IF($A245="","",IF($F245&gt;egk_esikFark,1,0))</f>
        <v/>
      </c>
      <c r="O245" s="16">
        <f>IF($A245="","",IFERROR(SUMIF(tblMotor[A_Norm],$A245,tblMotor[NetKar]),0))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IF($A246="","",IFERROR(SUMIF(tblMotor[A_Norm],$A246,tblMotor[NetKar]),0))</f>
        <v/>
      </c>
      <c r="D246" s="16">
        <f>IF($A246="","",IFERROR(SUMIF(tblAnahtarA[Norm],$A246,tblVeriA[HedefNet]),0))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IF($A246="","",IF($F246&gt;egk_esikFark,1,0))</f>
        <v/>
      </c>
      <c r="O246" s="16">
        <f>IF($A246="","",IFERROR(SUMIF(tblMotor[A_Norm],$A246,tblMotor[NetKar]),0))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IF($A247="","",IFERROR(SUMIF(tblMotor[A_Norm],$A247,tblMotor[NetKar]),0))</f>
        <v/>
      </c>
      <c r="D247" s="16">
        <f>IF($A247="","",IFERROR(SUMIF(tblAnahtarA[Norm],$A247,tblVeriA[HedefNet]),0))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IF($A247="","",IF($F247&gt;egk_esikFark,1,0))</f>
        <v/>
      </c>
      <c r="O247" s="16">
        <f>IF($A247="","",IFERROR(SUMIF(tblMotor[A_Norm],$A247,tblMotor[NetKar]),0))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IF($A248="","",IFERROR(SUMIF(tblMotor[A_Norm],$A248,tblMotor[NetKar]),0))</f>
        <v/>
      </c>
      <c r="D248" s="16">
        <f>IF($A248="","",IFERROR(SUMIF(tblAnahtarA[Norm],$A248,tblVeriA[HedefNet]),0))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IF($A248="","",IF($F248&gt;egk_esikFark,1,0))</f>
        <v/>
      </c>
      <c r="O248" s="16">
        <f>IF($A248="","",IFERROR(SUMIF(tblMotor[A_Norm],$A248,tblMotor[NetKar]),0))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IF($A249="","",IFERROR(SUMIF(tblMotor[A_Norm],$A249,tblMotor[NetKar]),0))</f>
        <v/>
      </c>
      <c r="D249" s="16">
        <f>IF($A249="","",IFERROR(SUMIF(tblAnahtarA[Norm],$A249,tblVeriA[HedefNet]),0))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IF($A249="","",IF($F249&gt;egk_esikFark,1,0))</f>
        <v/>
      </c>
      <c r="O249" s="16">
        <f>IF($A249="","",IFERROR(SUMIF(tblMotor[A_Norm],$A249,tblMotor[NetKar]),0))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IF($A250="","",IFERROR(SUMIF(tblMotor[A_Norm],$A250,tblMotor[NetKar]),0))</f>
        <v/>
      </c>
      <c r="D250" s="16">
        <f>IF($A250="","",IFERROR(SUMIF(tblAnahtarA[Norm],$A250,tblVeriA[HedefNet]),0))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IF($A250="","",IF($F250&gt;egk_esikFark,1,0))</f>
        <v/>
      </c>
      <c r="O250" s="16">
        <f>IF($A250="","",IFERROR(SUMIF(tblMotor[A_Norm],$A250,tblMotor[NetKar]),0))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IF($A251="","",IFERROR(SUMIF(tblMotor[A_Norm],$A251,tblMotor[NetKar]),0))</f>
        <v/>
      </c>
      <c r="D251" s="16">
        <f>IF($A251="","",IFERROR(SUMIF(tblAnahtarA[Norm],$A251,tblVeriA[HedefNet]),0))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IF($A251="","",IF($F251&gt;egk_esikFark,1,0))</f>
        <v/>
      </c>
      <c r="O251" s="16">
        <f>IF($A251="","",IFERROR(SUMIF(tblMotor[A_Norm],$A251,tblMotor[NetKar]),0))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IF($A252="","",IFERROR(SUMIF(tblMotor[A_Norm],$A252,tblMotor[NetKar]),0))</f>
        <v/>
      </c>
      <c r="D252" s="16">
        <f>IF($A252="","",IFERROR(SUMIF(tblAnahtarA[Norm],$A252,tblVeriA[HedefNet]),0))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IF($A252="","",IF($F252&gt;egk_esikFark,1,0))</f>
        <v/>
      </c>
      <c r="O252" s="16">
        <f>IF($A252="","",IFERROR(SUMIF(tblMotor[A_Norm],$A252,tblMotor[NetKar]),0))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IF($A253="","",IFERROR(SUMIF(tblMotor[A_Norm],$A253,tblMotor[NetKar]),0))</f>
        <v/>
      </c>
      <c r="D253" s="16">
        <f>IF($A253="","",IFERROR(SUMIF(tblAnahtarA[Norm],$A253,tblVeriA[HedefNet]),0))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IF($A253="","",IF($F253&gt;egk_esikFark,1,0))</f>
        <v/>
      </c>
      <c r="O253" s="16">
        <f>IF($A253="","",IFERROR(SUMIF(tblMotor[A_Norm],$A253,tblMotor[NetKar]),0))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IF($A254="","",IFERROR(SUMIF(tblMotor[A_Norm],$A254,tblMotor[NetKar]),0))</f>
        <v/>
      </c>
      <c r="D254" s="16">
        <f>IF($A254="","",IFERROR(SUMIF(tblAnahtarA[Norm],$A254,tblVeriA[HedefNet]),0))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IF($A254="","",IF($F254&gt;egk_esikFark,1,0))</f>
        <v/>
      </c>
      <c r="O254" s="16">
        <f>IF($A254="","",IFERROR(SUMIF(tblMotor[A_Norm],$A254,tblMotor[NetKar]),0))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IF($A255="","",IFERROR(SUMIF(tblMotor[A_Norm],$A255,tblMotor[NetKar]),0))</f>
        <v/>
      </c>
      <c r="D255" s="16">
        <f>IF($A255="","",IFERROR(SUMIF(tblAnahtarA[Norm],$A255,tblVeriA[HedefNet]),0))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IF($A255="","",IF($F255&gt;egk_esikFark,1,0))</f>
        <v/>
      </c>
      <c r="O255" s="16">
        <f>IF($A255="","",IFERROR(SUMIF(tblMotor[A_Norm],$A255,tblMotor[NetKar]),0))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IF($A256="","",IFERROR(SUMIF(tblMotor[A_Norm],$A256,tblMotor[NetKar]),0))</f>
        <v/>
      </c>
      <c r="D256" s="16">
        <f>IF($A256="","",IFERROR(SUMIF(tblAnahtarA[Norm],$A256,tblVeriA[HedefNet]),0))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IF($A256="","",IF($F256&gt;egk_esikFark,1,0))</f>
        <v/>
      </c>
      <c r="O256" s="16">
        <f>IF($A256="","",IFERROR(SUMIF(tblMotor[A_Norm],$A256,tblMotor[NetKar]),0))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IF($A257="","",IFERROR(SUMIF(tblMotor[A_Norm],$A257,tblMotor[NetKar]),0))</f>
        <v/>
      </c>
      <c r="D257" s="16">
        <f>IF($A257="","",IFERROR(SUMIF(tblAnahtarA[Norm],$A257,tblVeriA[HedefNet]),0))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IF($A257="","",IF($F257&gt;egk_esikFark,1,0))</f>
        <v/>
      </c>
      <c r="O257" s="16">
        <f>IF($A257="","",IFERROR(SUMIF(tblMotor[A_Norm],$A257,tblMotor[NetKar]),0))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IF($A258="","",IFERROR(SUMIF(tblMotor[A_Norm],$A258,tblMotor[NetKar]),0))</f>
        <v/>
      </c>
      <c r="D258" s="16">
        <f>IF($A258="","",IFERROR(SUMIF(tblAnahtarA[Norm],$A258,tblVeriA[HedefNet]),0))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IF($A258="","",IF($F258&gt;egk_esikFark,1,0))</f>
        <v/>
      </c>
      <c r="O258" s="16">
        <f>IF($A258="","",IFERROR(SUMIF(tblMotor[A_Norm],$A258,tblMotor[NetKar]),0))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IF($A259="","",IFERROR(SUMIF(tblMotor[A_Norm],$A259,tblMotor[NetKar]),0))</f>
        <v/>
      </c>
      <c r="D259" s="16">
        <f>IF($A259="","",IFERROR(SUMIF(tblAnahtarA[Norm],$A259,tblVeriA[HedefNet]),0))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IF($A259="","",IF($F259&gt;egk_esikFark,1,0))</f>
        <v/>
      </c>
      <c r="O259" s="16">
        <f>IF($A259="","",IFERROR(SUMIF(tblMotor[A_Norm],$A259,tblMotor[NetKar]),0))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IF($A260="","",IFERROR(SUMIF(tblMotor[A_Norm],$A260,tblMotor[NetKar]),0))</f>
        <v/>
      </c>
      <c r="D260" s="16">
        <f>IF($A260="","",IFERROR(SUMIF(tblAnahtarA[Norm],$A260,tblVeriA[HedefNet]),0))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IF($A260="","",IF($F260&gt;egk_esikFark,1,0))</f>
        <v/>
      </c>
      <c r="O260" s="16">
        <f>IF($A260="","",IFERROR(SUMIF(tblMotor[A_Norm],$A260,tblMotor[NetKar]),0))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IF($A261="","",IFERROR(SUMIF(tblMotor[A_Norm],$A261,tblMotor[NetKar]),0))</f>
        <v/>
      </c>
      <c r="D261" s="16">
        <f>IF($A261="","",IFERROR(SUMIF(tblAnahtarA[Norm],$A261,tblVeriA[HedefNet]),0))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IF($A261="","",IF($F261&gt;egk_esikFark,1,0))</f>
        <v/>
      </c>
      <c r="O261" s="16">
        <f>IF($A261="","",IFERROR(SUMIF(tblMotor[A_Norm],$A261,tblMotor[NetKar]),0))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IF($A262="","",IFERROR(SUMIF(tblMotor[A_Norm],$A262,tblMotor[NetKar]),0))</f>
        <v/>
      </c>
      <c r="D262" s="16">
        <f>IF($A262="","",IFERROR(SUMIF(tblAnahtarA[Norm],$A262,tblVeriA[HedefNet]),0))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IF($A262="","",IF($F262&gt;egk_esikFark,1,0))</f>
        <v/>
      </c>
      <c r="O262" s="16">
        <f>IF($A262="","",IFERROR(SUMIF(tblMotor[A_Norm],$A262,tblMotor[NetKar]),0))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IF($A263="","",IFERROR(SUMIF(tblMotor[A_Norm],$A263,tblMotor[NetKar]),0))</f>
        <v/>
      </c>
      <c r="D263" s="16">
        <f>IF($A263="","",IFERROR(SUMIF(tblAnahtarA[Norm],$A263,tblVeriA[HedefNet]),0))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IF($A263="","",IF($F263&gt;egk_esikFark,1,0))</f>
        <v/>
      </c>
      <c r="O263" s="16">
        <f>IF($A263="","",IFERROR(SUMIF(tblMotor[A_Norm],$A263,tblMotor[NetKar]),0))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IF($A264="","",IFERROR(SUMIF(tblMotor[A_Norm],$A264,tblMotor[NetKar]),0))</f>
        <v/>
      </c>
      <c r="D264" s="16">
        <f>IF($A264="","",IFERROR(SUMIF(tblAnahtarA[Norm],$A264,tblVeriA[HedefNet]),0))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IF($A264="","",IF($F264&gt;egk_esikFark,1,0))</f>
        <v/>
      </c>
      <c r="O264" s="16">
        <f>IF($A264="","",IFERROR(SUMIF(tblMotor[A_Norm],$A264,tblMotor[NetKar]),0))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IF($A265="","",IFERROR(SUMIF(tblMotor[A_Norm],$A265,tblMotor[NetKar]),0))</f>
        <v/>
      </c>
      <c r="D265" s="16">
        <f>IF($A265="","",IFERROR(SUMIF(tblAnahtarA[Norm],$A265,tblVeriA[HedefNet]),0))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IF($A265="","",IF($F265&gt;egk_esikFark,1,0))</f>
        <v/>
      </c>
      <c r="O265" s="16">
        <f>IF($A265="","",IFERROR(SUMIF(tblMotor[A_Norm],$A265,tblMotor[NetKar]),0))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IF($A266="","",IFERROR(SUMIF(tblMotor[A_Norm],$A266,tblMotor[NetKar]),0))</f>
        <v/>
      </c>
      <c r="D266" s="16">
        <f>IF($A266="","",IFERROR(SUMIF(tblAnahtarA[Norm],$A266,tblVeriA[HedefNet]),0))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IF($A266="","",IF($F266&gt;egk_esikFark,1,0))</f>
        <v/>
      </c>
      <c r="O266" s="16">
        <f>IF($A266="","",IFERROR(SUMIF(tblMotor[A_Norm],$A266,tblMotor[NetKar]),0))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IF($A267="","",IFERROR(SUMIF(tblMotor[A_Norm],$A267,tblMotor[NetKar]),0))</f>
        <v/>
      </c>
      <c r="D267" s="16">
        <f>IF($A267="","",IFERROR(SUMIF(tblAnahtarA[Norm],$A267,tblVeriA[HedefNet]),0))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IF($A267="","",IF($F267&gt;egk_esikFark,1,0))</f>
        <v/>
      </c>
      <c r="O267" s="16">
        <f>IF($A267="","",IFERROR(SUMIF(tblMotor[A_Norm],$A267,tblMotor[NetKar]),0))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IF($A268="","",IFERROR(SUMIF(tblMotor[A_Norm],$A268,tblMotor[NetKar]),0))</f>
        <v/>
      </c>
      <c r="D268" s="16">
        <f>IF($A268="","",IFERROR(SUMIF(tblAnahtarA[Norm],$A268,tblVeriA[HedefNet]),0))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IF($A268="","",IF($F268&gt;egk_esikFark,1,0))</f>
        <v/>
      </c>
      <c r="O268" s="16">
        <f>IF($A268="","",IFERROR(SUMIF(tblMotor[A_Norm],$A268,tblMotor[NetKar]),0))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IF($A269="","",IFERROR(SUMIF(tblMotor[A_Norm],$A269,tblMotor[NetKar]),0))</f>
        <v/>
      </c>
      <c r="D269" s="16">
        <f>IF($A269="","",IFERROR(SUMIF(tblAnahtarA[Norm],$A269,tblVeriA[HedefNet]),0))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IF($A269="","",IF($F269&gt;egk_esikFark,1,0))</f>
        <v/>
      </c>
      <c r="O269" s="16">
        <f>IF($A269="","",IFERROR(SUMIF(tblMotor[A_Norm],$A269,tblMotor[NetKar]),0))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IF($A270="","",IFERROR(SUMIF(tblMotor[A_Norm],$A270,tblMotor[NetKar]),0))</f>
        <v/>
      </c>
      <c r="D270" s="16">
        <f>IF($A270="","",IFERROR(SUMIF(tblAnahtarA[Norm],$A270,tblVeriA[HedefNet]),0))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IF($A270="","",IF($F270&gt;egk_esikFark,1,0))</f>
        <v/>
      </c>
      <c r="O270" s="16">
        <f>IF($A270="","",IFERROR(SUMIF(tblMotor[A_Norm],$A270,tblMotor[NetKar]),0))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IF($A271="","",IFERROR(SUMIF(tblMotor[A_Norm],$A271,tblMotor[NetKar]),0))</f>
        <v/>
      </c>
      <c r="D271" s="16">
        <f>IF($A271="","",IFERROR(SUMIF(tblAnahtarA[Norm],$A271,tblVeriA[HedefNet]),0))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IF($A271="","",IF($F271&gt;egk_esikFark,1,0))</f>
        <v/>
      </c>
      <c r="O271" s="16">
        <f>IF($A271="","",IFERROR(SUMIF(tblMotor[A_Norm],$A271,tblMotor[NetKar]),0))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IF($A272="","",IFERROR(SUMIF(tblMotor[A_Norm],$A272,tblMotor[NetKar]),0))</f>
        <v/>
      </c>
      <c r="D272" s="16">
        <f>IF($A272="","",IFERROR(SUMIF(tblAnahtarA[Norm],$A272,tblVeriA[HedefNet]),0))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IF($A272="","",IF($F272&gt;egk_esikFark,1,0))</f>
        <v/>
      </c>
      <c r="O272" s="16">
        <f>IF($A272="","",IFERROR(SUMIF(tblMotor[A_Norm],$A272,tblMotor[NetKar]),0))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IF($A273="","",IFERROR(SUMIF(tblMotor[A_Norm],$A273,tblMotor[NetKar]),0))</f>
        <v/>
      </c>
      <c r="D273" s="16">
        <f>IF($A273="","",IFERROR(SUMIF(tblAnahtarA[Norm],$A273,tblVeriA[HedefNet]),0))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IF($A273="","",IF($F273&gt;egk_esikFark,1,0))</f>
        <v/>
      </c>
      <c r="O273" s="16">
        <f>IF($A273="","",IFERROR(SUMIF(tblMotor[A_Norm],$A273,tblMotor[NetKar]),0))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IF($A274="","",IFERROR(SUMIF(tblMotor[A_Norm],$A274,tblMotor[NetKar]),0))</f>
        <v/>
      </c>
      <c r="D274" s="16">
        <f>IF($A274="","",IFERROR(SUMIF(tblAnahtarA[Norm],$A274,tblVeriA[HedefNet]),0))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IF($A274="","",IF($F274&gt;egk_esikFark,1,0))</f>
        <v/>
      </c>
      <c r="O274" s="16">
        <f>IF($A274="","",IFERROR(SUMIF(tblMotor[A_Norm],$A274,tblMotor[NetKar]),0))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IF($A275="","",IFERROR(SUMIF(tblMotor[A_Norm],$A275,tblMotor[NetKar]),0))</f>
        <v/>
      </c>
      <c r="D275" s="16">
        <f>IF($A275="","",IFERROR(SUMIF(tblAnahtarA[Norm],$A275,tblVeriA[HedefNet]),0))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IF($A275="","",IF($F275&gt;egk_esikFark,1,0))</f>
        <v/>
      </c>
      <c r="O275" s="16">
        <f>IF($A275="","",IFERROR(SUMIF(tblMotor[A_Norm],$A275,tblMotor[NetKar]),0))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IF($A276="","",IFERROR(SUMIF(tblMotor[A_Norm],$A276,tblMotor[NetKar]),0))</f>
        <v/>
      </c>
      <c r="D276" s="16">
        <f>IF($A276="","",IFERROR(SUMIF(tblAnahtarA[Norm],$A276,tblVeriA[HedefNet]),0))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IF($A276="","",IF($F276&gt;egk_esikFark,1,0))</f>
        <v/>
      </c>
      <c r="O276" s="16">
        <f>IF($A276="","",IFERROR(SUMIF(tblMotor[A_Norm],$A276,tblMotor[NetKar]),0))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IF($A277="","",IFERROR(SUMIF(tblMotor[A_Norm],$A277,tblMotor[NetKar]),0))</f>
        <v/>
      </c>
      <c r="D277" s="16">
        <f>IF($A277="","",IFERROR(SUMIF(tblAnahtarA[Norm],$A277,tblVeriA[HedefNet]),0))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IF($A277="","",IF($F277&gt;egk_esikFark,1,0))</f>
        <v/>
      </c>
      <c r="O277" s="16">
        <f>IF($A277="","",IFERROR(SUMIF(tblMotor[A_Norm],$A277,tblMotor[NetKar]),0))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IF($A278="","",IFERROR(SUMIF(tblMotor[A_Norm],$A278,tblMotor[NetKar]),0))</f>
        <v/>
      </c>
      <c r="D278" s="16">
        <f>IF($A278="","",IFERROR(SUMIF(tblAnahtarA[Norm],$A278,tblVeriA[HedefNet]),0))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IF($A278="","",IF($F278&gt;egk_esikFark,1,0))</f>
        <v/>
      </c>
      <c r="O278" s="16">
        <f>IF($A278="","",IFERROR(SUMIF(tblMotor[A_Norm],$A278,tblMotor[NetKar]),0))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IF($A279="","",IFERROR(SUMIF(tblMotor[A_Norm],$A279,tblMotor[NetKar]),0))</f>
        <v/>
      </c>
      <c r="D279" s="16">
        <f>IF($A279="","",IFERROR(SUMIF(tblAnahtarA[Norm],$A279,tblVeriA[HedefNet]),0))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IF($A279="","",IF($F279&gt;egk_esikFark,1,0))</f>
        <v/>
      </c>
      <c r="O279" s="16">
        <f>IF($A279="","",IFERROR(SUMIF(tblMotor[A_Norm],$A279,tblMotor[NetKar]),0))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IF($A280="","",IFERROR(SUMIF(tblMotor[A_Norm],$A280,tblMotor[NetKar]),0))</f>
        <v/>
      </c>
      <c r="D280" s="16">
        <f>IF($A280="","",IFERROR(SUMIF(tblAnahtarA[Norm],$A280,tblVeriA[HedefNet]),0))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IF($A280="","",IF($F280&gt;egk_esikFark,1,0))</f>
        <v/>
      </c>
      <c r="O280" s="16">
        <f>IF($A280="","",IFERROR(SUMIF(tblMotor[A_Norm],$A280,tblMotor[NetKar]),0))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IF($A281="","",IFERROR(SUMIF(tblMotor[A_Norm],$A281,tblMotor[NetKar]),0))</f>
        <v/>
      </c>
      <c r="D281" s="16">
        <f>IF($A281="","",IFERROR(SUMIF(tblAnahtarA[Norm],$A281,tblVeriA[HedefNet]),0))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IF($A281="","",IF($F281&gt;egk_esikFark,1,0))</f>
        <v/>
      </c>
      <c r="O281" s="16">
        <f>IF($A281="","",IFERROR(SUMIF(tblMotor[A_Norm],$A281,tblMotor[NetKar]),0))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IF($A282="","",IFERROR(SUMIF(tblMotor[A_Norm],$A282,tblMotor[NetKar]),0))</f>
        <v/>
      </c>
      <c r="D282" s="16">
        <f>IF($A282="","",IFERROR(SUMIF(tblAnahtarA[Norm],$A282,tblVeriA[HedefNet]),0))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IF($A282="","",IF($F282&gt;egk_esikFark,1,0))</f>
        <v/>
      </c>
      <c r="O282" s="16">
        <f>IF($A282="","",IFERROR(SUMIF(tblMotor[A_Norm],$A282,tblMotor[NetKar]),0))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IF($A283="","",IFERROR(SUMIF(tblMotor[A_Norm],$A283,tblMotor[NetKar]),0))</f>
        <v/>
      </c>
      <c r="D283" s="16">
        <f>IF($A283="","",IFERROR(SUMIF(tblAnahtarA[Norm],$A283,tblVeriA[HedefNet]),0))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IF($A283="","",IF($F283&gt;egk_esikFark,1,0))</f>
        <v/>
      </c>
      <c r="O283" s="16">
        <f>IF($A283="","",IFERROR(SUMIF(tblMotor[A_Norm],$A283,tblMotor[NetKar]),0))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IF($A284="","",IFERROR(SUMIF(tblMotor[A_Norm],$A284,tblMotor[NetKar]),0))</f>
        <v/>
      </c>
      <c r="D284" s="16">
        <f>IF($A284="","",IFERROR(SUMIF(tblAnahtarA[Norm],$A284,tblVeriA[HedefNet]),0))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IF($A284="","",IF($F284&gt;egk_esikFark,1,0))</f>
        <v/>
      </c>
      <c r="O284" s="16">
        <f>IF($A284="","",IFERROR(SUMIF(tblMotor[A_Norm],$A284,tblMotor[NetKar]),0))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IF($A285="","",IFERROR(SUMIF(tblMotor[A_Norm],$A285,tblMotor[NetKar]),0))</f>
        <v/>
      </c>
      <c r="D285" s="16">
        <f>IF($A285="","",IFERROR(SUMIF(tblAnahtarA[Norm],$A285,tblVeriA[HedefNet]),0))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IF($A285="","",IF($F285&gt;egk_esikFark,1,0))</f>
        <v/>
      </c>
      <c r="O285" s="16">
        <f>IF($A285="","",IFERROR(SUMIF(tblMotor[A_Norm],$A285,tblMotor[NetKar]),0))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IF($A286="","",IFERROR(SUMIF(tblMotor[A_Norm],$A286,tblMotor[NetKar]),0))</f>
        <v/>
      </c>
      <c r="D286" s="16">
        <f>IF($A286="","",IFERROR(SUMIF(tblAnahtarA[Norm],$A286,tblVeriA[HedefNet]),0))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IF($A286="","",IF($F286&gt;egk_esikFark,1,0))</f>
        <v/>
      </c>
      <c r="O286" s="16">
        <f>IF($A286="","",IFERROR(SUMIF(tblMotor[A_Norm],$A286,tblMotor[NetKar]),0))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IF($A287="","",IFERROR(SUMIF(tblMotor[A_Norm],$A287,tblMotor[NetKar]),0))</f>
        <v/>
      </c>
      <c r="D287" s="16">
        <f>IF($A287="","",IFERROR(SUMIF(tblAnahtarA[Norm],$A287,tblVeriA[HedefNet]),0))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IF($A287="","",IF($F287&gt;egk_esikFark,1,0))</f>
        <v/>
      </c>
      <c r="O287" s="16">
        <f>IF($A287="","",IFERROR(SUMIF(tblMotor[A_Norm],$A287,tblMotor[NetKar]),0))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IF($A288="","",IFERROR(SUMIF(tblMotor[A_Norm],$A288,tblMotor[NetKar]),0))</f>
        <v/>
      </c>
      <c r="D288" s="16">
        <f>IF($A288="","",IFERROR(SUMIF(tblAnahtarA[Norm],$A288,tblVeriA[HedefNet]),0))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IF($A288="","",IF($F288&gt;egk_esikFark,1,0))</f>
        <v/>
      </c>
      <c r="O288" s="16">
        <f>IF($A288="","",IFERROR(SUMIF(tblMotor[A_Norm],$A288,tblMotor[NetKar]),0))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IF($A289="","",IFERROR(SUMIF(tblMotor[A_Norm],$A289,tblMotor[NetKar]),0))</f>
        <v/>
      </c>
      <c r="D289" s="16">
        <f>IF($A289="","",IFERROR(SUMIF(tblAnahtarA[Norm],$A289,tblVeriA[HedefNet]),0))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IF($A289="","",IF($F289&gt;egk_esikFark,1,0))</f>
        <v/>
      </c>
      <c r="O289" s="16">
        <f>IF($A289="","",IFERROR(SUMIF(tblMotor[A_Norm],$A289,tblMotor[NetKar]),0))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IF($A290="","",IFERROR(SUMIF(tblMotor[A_Norm],$A290,tblMotor[NetKar]),0))</f>
        <v/>
      </c>
      <c r="D290" s="16">
        <f>IF($A290="","",IFERROR(SUMIF(tblAnahtarA[Norm],$A290,tblVeriA[HedefNet]),0))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IF($A290="","",IF($F290&gt;egk_esikFark,1,0))</f>
        <v/>
      </c>
      <c r="O290" s="16">
        <f>IF($A290="","",IFERROR(SUMIF(tblMotor[A_Norm],$A290,tblMotor[NetKar]),0))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IF($A291="","",IFERROR(SUMIF(tblMotor[A_Norm],$A291,tblMotor[NetKar]),0))</f>
        <v/>
      </c>
      <c r="D291" s="16">
        <f>IF($A291="","",IFERROR(SUMIF(tblAnahtarA[Norm],$A291,tblVeriA[HedefNet]),0))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IF($A291="","",IF($F291&gt;egk_esikFark,1,0))</f>
        <v/>
      </c>
      <c r="O291" s="16">
        <f>IF($A291="","",IFERROR(SUMIF(tblMotor[A_Norm],$A291,tblMotor[NetKar]),0))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IF($A292="","",IFERROR(SUMIF(tblMotor[A_Norm],$A292,tblMotor[NetKar]),0))</f>
        <v/>
      </c>
      <c r="D292" s="16">
        <f>IF($A292="","",IFERROR(SUMIF(tblAnahtarA[Norm],$A292,tblVeriA[HedefNet]),0))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IF($A292="","",IF($F292&gt;egk_esikFark,1,0))</f>
        <v/>
      </c>
      <c r="O292" s="16">
        <f>IF($A292="","",IFERROR(SUMIF(tblMotor[A_Norm],$A292,tblMotor[NetKar]),0))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IF($A293="","",IFERROR(SUMIF(tblMotor[A_Norm],$A293,tblMotor[NetKar]),0))</f>
        <v/>
      </c>
      <c r="D293" s="16">
        <f>IF($A293="","",IFERROR(SUMIF(tblAnahtarA[Norm],$A293,tblVeriA[HedefNet]),0))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IF($A293="","",IF($F293&gt;egk_esikFark,1,0))</f>
        <v/>
      </c>
      <c r="O293" s="16">
        <f>IF($A293="","",IFERROR(SUMIF(tblMotor[A_Norm],$A293,tblMotor[NetKar]),0))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IF($A294="","",IFERROR(SUMIF(tblMotor[A_Norm],$A294,tblMotor[NetKar]),0))</f>
        <v/>
      </c>
      <c r="D294" s="16">
        <f>IF($A294="","",IFERROR(SUMIF(tblAnahtarA[Norm],$A294,tblVeriA[HedefNet]),0))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IF($A294="","",IF($F294&gt;egk_esikFark,1,0))</f>
        <v/>
      </c>
      <c r="O294" s="16">
        <f>IF($A294="","",IFERROR(SUMIF(tblMotor[A_Norm],$A294,tblMotor[NetKar]),0))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IF($A295="","",IFERROR(SUMIF(tblMotor[A_Norm],$A295,tblMotor[NetKar]),0))</f>
        <v/>
      </c>
      <c r="D295" s="16">
        <f>IF($A295="","",IFERROR(SUMIF(tblAnahtarA[Norm],$A295,tblVeriA[HedefNet]),0))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IF($A295="","",IF($F295&gt;egk_esikFark,1,0))</f>
        <v/>
      </c>
      <c r="O295" s="16">
        <f>IF($A295="","",IFERROR(SUMIF(tblMotor[A_Norm],$A295,tblMotor[NetKar]),0))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IF($A296="","",IFERROR(SUMIF(tblMotor[A_Norm],$A296,tblMotor[NetKar]),0))</f>
        <v/>
      </c>
      <c r="D296" s="16">
        <f>IF($A296="","",IFERROR(SUMIF(tblAnahtarA[Norm],$A296,tblVeriA[HedefNet]),0))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IF($A296="","",IF($F296&gt;egk_esikFark,1,0))</f>
        <v/>
      </c>
      <c r="O296" s="16">
        <f>IF($A296="","",IFERROR(SUMIF(tblMotor[A_Norm],$A296,tblMotor[NetKar]),0))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IF($A297="","",IFERROR(SUMIF(tblMotor[A_Norm],$A297,tblMotor[NetKar]),0))</f>
        <v/>
      </c>
      <c r="D297" s="16">
        <f>IF($A297="","",IFERROR(SUMIF(tblAnahtarA[Norm],$A297,tblVeriA[HedefNet]),0))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IF($A297="","",IF($F297&gt;egk_esikFark,1,0))</f>
        <v/>
      </c>
      <c r="O297" s="16">
        <f>IF($A297="","",IFERROR(SUMIF(tblMotor[A_Norm],$A297,tblMotor[NetKar]),0))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IF($A298="","",IFERROR(SUMIF(tblMotor[A_Norm],$A298,tblMotor[NetKar]),0))</f>
        <v/>
      </c>
      <c r="D298" s="16">
        <f>IF($A298="","",IFERROR(SUMIF(tblAnahtarA[Norm],$A298,tblVeriA[HedefNet]),0))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IF($A298="","",IF($F298&gt;egk_esikFark,1,0))</f>
        <v/>
      </c>
      <c r="O298" s="16">
        <f>IF($A298="","",IFERROR(SUMIF(tblMotor[A_Norm],$A298,tblMotor[NetKar]),0))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IF($A299="","",IFERROR(SUMIF(tblMotor[A_Norm],$A299,tblMotor[NetKar]),0))</f>
        <v/>
      </c>
      <c r="D299" s="16">
        <f>IF($A299="","",IFERROR(SUMIF(tblAnahtarA[Norm],$A299,tblVeriA[HedefNet]),0))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IF($A299="","",IF($F299&gt;egk_esikFark,1,0))</f>
        <v/>
      </c>
      <c r="O299" s="16">
        <f>IF($A299="","",IFERROR(SUMIF(tblMotor[A_Norm],$A299,tblMotor[NetKar]),0))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IF($A300="","",IFERROR(SUMIF(tblMotor[A_Norm],$A300,tblMotor[NetKar]),0))</f>
        <v/>
      </c>
      <c r="D300" s="16">
        <f>IF($A300="","",IFERROR(SUMIF(tblAnahtarA[Norm],$A300,tblVeriA[HedefNet]),0))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IF($A300="","",IF($F300&gt;egk_esikFark,1,0))</f>
        <v/>
      </c>
      <c r="O300" s="16">
        <f>IF($A300="","",IFERROR(SUMIF(tblMotor[A_Norm],$A300,tblMotor[NetKar]),0))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IF($A301="","",IFERROR(SUMIF(tblMotor[A_Norm],$A301,tblMotor[NetKar]),0))</f>
        <v/>
      </c>
      <c r="D301" s="16">
        <f>IF($A301="","",IFERROR(SUMIF(tblAnahtarA[Norm],$A301,tblVeriA[HedefNet]),0))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IF($A301="","",IF($F301&gt;egk_esikFark,1,0))</f>
        <v/>
      </c>
      <c r="O301" s="16">
        <f>IF($A301="","",IFERROR(SUMIF(tblMotor[A_Norm],$A301,tblMotor[NetKar]),0))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IF($A302="","",IFERROR(SUMIF(tblMotor[A_Norm],$A302,tblMotor[NetKar]),0))</f>
        <v/>
      </c>
      <c r="D302" s="16">
        <f>IF($A302="","",IFERROR(SUMIF(tblAnahtarA[Norm],$A302,tblVeriA[HedefNet]),0))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IF($A302="","",IF($F302&gt;egk_esikFark,1,0))</f>
        <v/>
      </c>
      <c r="O302" s="16">
        <f>IF($A302="","",IFERROR(SUMIF(tblMotor[A_Norm],$A302,tblMotor[NetKar]),0))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IF($A303="","",IFERROR(SUMIF(tblMotor[A_Norm],$A303,tblMotor[NetKar]),0))</f>
        <v/>
      </c>
      <c r="D303" s="16">
        <f>IF($A303="","",IFERROR(SUMIF(tblAnahtarA[Norm],$A303,tblVeriA[HedefNet]),0))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IF($A303="","",IF($F303&gt;egk_esikFark,1,0))</f>
        <v/>
      </c>
      <c r="O303" s="16">
        <f>IF($A303="","",IFERROR(SUMIF(tblMotor[A_Norm],$A303,tblMotor[NetKar]),0))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IF($A304="","",IFERROR(SUMIF(tblMotor[A_Norm],$A304,tblMotor[NetKar]),0))</f>
        <v/>
      </c>
      <c r="D304" s="16">
        <f>IF($A304="","",IFERROR(SUMIF(tblAnahtarA[Norm],$A304,tblVeriA[HedefNet]),0))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IF($A304="","",IF($F304&gt;egk_esikFark,1,0))</f>
        <v/>
      </c>
      <c r="O304" s="16">
        <f>IF($A304="","",IFERROR(SUMIF(tblMotor[A_Norm],$A304,tblMotor[NetKar]),0))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IF($A305="","",IFERROR(SUMIF(tblMotor[A_Norm],$A305,tblMotor[NetKar]),0))</f>
        <v/>
      </c>
      <c r="D305" s="16">
        <f>IF($A305="","",IFERROR(SUMIF(tblAnahtarA[Norm],$A305,tblVeriA[HedefNet]),0))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IF($A305="","",IF($F305&gt;egk_esikFark,1,0))</f>
        <v/>
      </c>
      <c r="O305" s="16">
        <f>IF($A305="","",IFERROR(SUMIF(tblMotor[A_Norm],$A305,tblMotor[NetKar]),0))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IF($A306="","",IFERROR(SUMIF(tblMotor[A_Norm],$A306,tblMotor[NetKar]),0))</f>
        <v/>
      </c>
      <c r="D306" s="16">
        <f>IF($A306="","",IFERROR(SUMIF(tblAnahtarA[Norm],$A306,tblVeriA[HedefNet]),0))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IF($A306="","",IF($F306&gt;egk_esikFark,1,0))</f>
        <v/>
      </c>
      <c r="O306" s="16">
        <f>IF($A306="","",IFERROR(SUMIF(tblMotor[A_Norm],$A306,tblMotor[NetKar]),0))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IF($A307="","",IFERROR(SUMIF(tblMotor[A_Norm],$A307,tblMotor[NetKar]),0))</f>
        <v/>
      </c>
      <c r="D307" s="16">
        <f>IF($A307="","",IFERROR(SUMIF(tblAnahtarA[Norm],$A307,tblVeriA[HedefNet]),0))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IF($A307="","",IF($F307&gt;egk_esikFark,1,0))</f>
        <v/>
      </c>
      <c r="O307" s="16">
        <f>IF($A307="","",IFERROR(SUMIF(tblMotor[A_Norm],$A307,tblMotor[NetKar]),0))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IF($A308="","",IFERROR(SUMIF(tblMotor[A_Norm],$A308,tblMotor[NetKar]),0))</f>
        <v/>
      </c>
      <c r="D308" s="16">
        <f>IF($A308="","",IFERROR(SUMIF(tblAnahtarA[Norm],$A308,tblVeriA[HedefNet]),0))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IF($A308="","",IF($F308&gt;egk_esikFark,1,0))</f>
        <v/>
      </c>
      <c r="O308" s="16">
        <f>IF($A308="","",IFERROR(SUMIF(tblMotor[A_Norm],$A308,tblMotor[NetKar]),0))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IF($A309="","",IFERROR(SUMIF(tblMotor[A_Norm],$A309,tblMotor[NetKar]),0))</f>
        <v/>
      </c>
      <c r="D309" s="16">
        <f>IF($A309="","",IFERROR(SUMIF(tblAnahtarA[Norm],$A309,tblVeriA[HedefNet]),0))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IF($A309="","",IF($F309&gt;egk_esikFark,1,0))</f>
        <v/>
      </c>
      <c r="O309" s="16">
        <f>IF($A309="","",IFERROR(SUMIF(tblMotor[A_Norm],$A309,tblMotor[NetKar]),0))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IF($A310="","",IFERROR(SUMIF(tblMotor[A_Norm],$A310,tblMotor[NetKar]),0))</f>
        <v/>
      </c>
      <c r="D310" s="16">
        <f>IF($A310="","",IFERROR(SUMIF(tblAnahtarA[Norm],$A310,tblVeriA[HedefNet]),0))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IF($A310="","",IF($F310&gt;egk_esikFark,1,0))</f>
        <v/>
      </c>
      <c r="O310" s="16">
        <f>IF($A310="","",IFERROR(SUMIF(tblMotor[A_Norm],$A310,tblMotor[NetKar]),0))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IF($A311="","",IFERROR(SUMIF(tblMotor[A_Norm],$A311,tblMotor[NetKar]),0))</f>
        <v/>
      </c>
      <c r="D311" s="16">
        <f>IF($A311="","",IFERROR(SUMIF(tblAnahtarA[Norm],$A311,tblVeriA[HedefNet]),0))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IF($A311="","",IF($F311&gt;egk_esikFark,1,0))</f>
        <v/>
      </c>
      <c r="O311" s="16">
        <f>IF($A311="","",IFERROR(SUMIF(tblMotor[A_Norm],$A311,tblMotor[NetKar]),0))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IF($A312="","",IFERROR(SUMIF(tblMotor[A_Norm],$A312,tblMotor[NetKar]),0))</f>
        <v/>
      </c>
      <c r="D312" s="16">
        <f>IF($A312="","",IFERROR(SUMIF(tblAnahtarA[Norm],$A312,tblVeriA[HedefNet]),0))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IF($A312="","",IF($F312&gt;egk_esikFark,1,0))</f>
        <v/>
      </c>
      <c r="O312" s="16">
        <f>IF($A312="","",IFERROR(SUMIF(tblMotor[A_Norm],$A312,tblMotor[NetKar]),0))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IF($A313="","",IFERROR(SUMIF(tblMotor[A_Norm],$A313,tblMotor[NetKar]),0))</f>
        <v/>
      </c>
      <c r="D313" s="16">
        <f>IF($A313="","",IFERROR(SUMIF(tblAnahtarA[Norm],$A313,tblVeriA[HedefNet]),0))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IF($A313="","",IF($F313&gt;egk_esikFark,1,0))</f>
        <v/>
      </c>
      <c r="O313" s="16">
        <f>IF($A313="","",IFERROR(SUMIF(tblMotor[A_Norm],$A313,tblMotor[NetKar]),0))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IF($A314="","",IFERROR(SUMIF(tblMotor[A_Norm],$A314,tblMotor[NetKar]),0))</f>
        <v/>
      </c>
      <c r="D314" s="16">
        <f>IF($A314="","",IFERROR(SUMIF(tblAnahtarA[Norm],$A314,tblVeriA[HedefNet]),0))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IF($A314="","",IF($F314&gt;egk_esikFark,1,0))</f>
        <v/>
      </c>
      <c r="O314" s="16">
        <f>IF($A314="","",IFERROR(SUMIF(tblMotor[A_Norm],$A314,tblMotor[NetKar]),0))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IF($A315="","",IFERROR(SUMIF(tblMotor[A_Norm],$A315,tblMotor[NetKar]),0))</f>
        <v/>
      </c>
      <c r="D315" s="16">
        <f>IF($A315="","",IFERROR(SUMIF(tblAnahtarA[Norm],$A315,tblVeriA[HedefNet]),0))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IF($A315="","",IF($F315&gt;egk_esikFark,1,0))</f>
        <v/>
      </c>
      <c r="O315" s="16">
        <f>IF($A315="","",IFERROR(SUMIF(tblMotor[A_Norm],$A315,tblMotor[NetKar]),0))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IF($A316="","",IFERROR(SUMIF(tblMotor[A_Norm],$A316,tblMotor[NetKar]),0))</f>
        <v/>
      </c>
      <c r="D316" s="16">
        <f>IF($A316="","",IFERROR(SUMIF(tblAnahtarA[Norm],$A316,tblVeriA[HedefNet]),0))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IF($A316="","",IF($F316&gt;egk_esikFark,1,0))</f>
        <v/>
      </c>
      <c r="O316" s="16">
        <f>IF($A316="","",IFERROR(SUMIF(tblMotor[A_Norm],$A316,tblMotor[NetKar]),0))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IF($A317="","",IFERROR(SUMIF(tblMotor[A_Norm],$A317,tblMotor[NetKar]),0))</f>
        <v/>
      </c>
      <c r="D317" s="16">
        <f>IF($A317="","",IFERROR(SUMIF(tblAnahtarA[Norm],$A317,tblVeriA[HedefNet]),0))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IF($A317="","",IF($F317&gt;egk_esikFark,1,0))</f>
        <v/>
      </c>
      <c r="O317" s="16">
        <f>IF($A317="","",IFERROR(SUMIF(tblMotor[A_Norm],$A317,tblMotor[NetKar]),0))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IF($A318="","",IFERROR(SUMIF(tblMotor[A_Norm],$A318,tblMotor[NetKar]),0))</f>
        <v/>
      </c>
      <c r="D318" s="16">
        <f>IF($A318="","",IFERROR(SUMIF(tblAnahtarA[Norm],$A318,tblVeriA[HedefNet]),0))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IF($A318="","",IF($F318&gt;egk_esikFark,1,0))</f>
        <v/>
      </c>
      <c r="O318" s="16">
        <f>IF($A318="","",IFERROR(SUMIF(tblMotor[A_Norm],$A318,tblMotor[NetKar]),0))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IF($A319="","",IFERROR(SUMIF(tblMotor[A_Norm],$A319,tblMotor[NetKar]),0))</f>
        <v/>
      </c>
      <c r="D319" s="16">
        <f>IF($A319="","",IFERROR(SUMIF(tblAnahtarA[Norm],$A319,tblVeriA[HedefNet]),0))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IF($A319="","",IF($F319&gt;egk_esikFark,1,0))</f>
        <v/>
      </c>
      <c r="O319" s="16">
        <f>IF($A319="","",IFERROR(SUMIF(tblMotor[A_Norm],$A319,tblMotor[NetKar]),0))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IF($A320="","",IFERROR(SUMIF(tblMotor[A_Norm],$A320,tblMotor[NetKar]),0))</f>
        <v/>
      </c>
      <c r="D320" s="16">
        <f>IF($A320="","",IFERROR(SUMIF(tblAnahtarA[Norm],$A320,tblVeriA[HedefNet]),0))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IF($A320="","",IF($F320&gt;egk_esikFark,1,0))</f>
        <v/>
      </c>
      <c r="O320" s="16">
        <f>IF($A320="","",IFERROR(SUMIF(tblMotor[A_Norm],$A320,tblMotor[NetKar]),0))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IF($A321="","",IFERROR(SUMIF(tblMotor[A_Norm],$A321,tblMotor[NetKar]),0))</f>
        <v/>
      </c>
      <c r="D321" s="16">
        <f>IF($A321="","",IFERROR(SUMIF(tblAnahtarA[Norm],$A321,tblVeriA[HedefNet]),0))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IF($A321="","",IF($F321&gt;egk_esikFark,1,0))</f>
        <v/>
      </c>
      <c r="O321" s="16">
        <f>IF($A321="","",IFERROR(SUMIF(tblMotor[A_Norm],$A321,tblMotor[NetKar]),0))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IF($A322="","",IFERROR(SUMIF(tblMotor[A_Norm],$A322,tblMotor[NetKar]),0))</f>
        <v/>
      </c>
      <c r="D322" s="16">
        <f>IF($A322="","",IFERROR(SUMIF(tblAnahtarA[Norm],$A322,tblVeriA[HedefNet]),0))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IF($A322="","",IF($F322&gt;egk_esikFark,1,0))</f>
        <v/>
      </c>
      <c r="O322" s="16">
        <f>IF($A322="","",IFERROR(SUMIF(tblMotor[A_Norm],$A322,tblMotor[NetKar]),0))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IF($A323="","",IFERROR(SUMIF(tblMotor[A_Norm],$A323,tblMotor[NetKar]),0))</f>
        <v/>
      </c>
      <c r="D323" s="16">
        <f>IF($A323="","",IFERROR(SUMIF(tblAnahtarA[Norm],$A323,tblVeriA[HedefNet]),0))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IF($A323="","",IF($F323&gt;egk_esikFark,1,0))</f>
        <v/>
      </c>
      <c r="O323" s="16">
        <f>IF($A323="","",IFERROR(SUMIF(tblMotor[A_Norm],$A323,tblMotor[NetKar]),0))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IF($A324="","",IFERROR(SUMIF(tblMotor[A_Norm],$A324,tblMotor[NetKar]),0))</f>
        <v/>
      </c>
      <c r="D324" s="16">
        <f>IF($A324="","",IFERROR(SUMIF(tblAnahtarA[Norm],$A324,tblVeriA[HedefNet]),0))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IF($A324="","",IF($F324&gt;egk_esikFark,1,0))</f>
        <v/>
      </c>
      <c r="O324" s="16">
        <f>IF($A324="","",IFERROR(SUMIF(tblMotor[A_Norm],$A324,tblMotor[NetKar]),0))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IF($A325="","",IFERROR(SUMIF(tblMotor[A_Norm],$A325,tblMotor[NetKar]),0))</f>
        <v/>
      </c>
      <c r="D325" s="16">
        <f>IF($A325="","",IFERROR(SUMIF(tblAnahtarA[Norm],$A325,tblVeriA[HedefNet]),0))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IF($A325="","",IF($F325&gt;egk_esikFark,1,0))</f>
        <v/>
      </c>
      <c r="O325" s="16">
        <f>IF($A325="","",IFERROR(SUMIF(tblMotor[A_Norm],$A325,tblMotor[NetKar]),0))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IF($A326="","",IFERROR(SUMIF(tblMotor[A_Norm],$A326,tblMotor[NetKar]),0))</f>
        <v/>
      </c>
      <c r="D326" s="16">
        <f>IF($A326="","",IFERROR(SUMIF(tblAnahtarA[Norm],$A326,tblVeriA[HedefNet]),0))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IF($A326="","",IF($F326&gt;egk_esikFark,1,0))</f>
        <v/>
      </c>
      <c r="O326" s="16">
        <f>IF($A326="","",IFERROR(SUMIF(tblMotor[A_Norm],$A326,tblMotor[NetKar]),0))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IF($A327="","",IFERROR(SUMIF(tblMotor[A_Norm],$A327,tblMotor[NetKar]),0))</f>
        <v/>
      </c>
      <c r="D327" s="16">
        <f>IF($A327="","",IFERROR(SUMIF(tblAnahtarA[Norm],$A327,tblVeriA[HedefNet]),0))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IF($A327="","",IF($F327&gt;egk_esikFark,1,0))</f>
        <v/>
      </c>
      <c r="O327" s="16">
        <f>IF($A327="","",IFERROR(SUMIF(tblMotor[A_Norm],$A327,tblMotor[NetKar]),0))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IF($A328="","",IFERROR(SUMIF(tblMotor[A_Norm],$A328,tblMotor[NetKar]),0))</f>
        <v/>
      </c>
      <c r="D328" s="16">
        <f>IF($A328="","",IFERROR(SUMIF(tblAnahtarA[Norm],$A328,tblVeriA[HedefNet]),0))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IF($A328="","",IF($F328&gt;egk_esikFark,1,0))</f>
        <v/>
      </c>
      <c r="O328" s="16">
        <f>IF($A328="","",IFERROR(SUMIF(tblMotor[A_Norm],$A328,tblMotor[NetKar]),0))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IF($A329="","",IFERROR(SUMIF(tblMotor[A_Norm],$A329,tblMotor[NetKar]),0))</f>
        <v/>
      </c>
      <c r="D329" s="16">
        <f>IF($A329="","",IFERROR(SUMIF(tblAnahtarA[Norm],$A329,tblVeriA[HedefNet]),0))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IF($A329="","",IF($F329&gt;egk_esikFark,1,0))</f>
        <v/>
      </c>
      <c r="O329" s="16">
        <f>IF($A329="","",IFERROR(SUMIF(tblMotor[A_Norm],$A329,tblMotor[NetKar]),0))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IF($A330="","",IFERROR(SUMIF(tblMotor[A_Norm],$A330,tblMotor[NetKar]),0))</f>
        <v/>
      </c>
      <c r="D330" s="16">
        <f>IF($A330="","",IFERROR(SUMIF(tblAnahtarA[Norm],$A330,tblVeriA[HedefNet]),0))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IF($A330="","",IF($F330&gt;egk_esikFark,1,0))</f>
        <v/>
      </c>
      <c r="O330" s="16">
        <f>IF($A330="","",IFERROR(SUMIF(tblMotor[A_Norm],$A330,tblMotor[NetKar]),0))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IF($A331="","",IFERROR(SUMIF(tblMotor[A_Norm],$A331,tblMotor[NetKar]),0))</f>
        <v/>
      </c>
      <c r="D331" s="16">
        <f>IF($A331="","",IFERROR(SUMIF(tblAnahtarA[Norm],$A331,tblVeriA[HedefNet]),0))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IF($A331="","",IF($F331&gt;egk_esikFark,1,0))</f>
        <v/>
      </c>
      <c r="O331" s="16">
        <f>IF($A331="","",IFERROR(SUMIF(tblMotor[A_Norm],$A331,tblMotor[NetKar]),0))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IF($A332="","",IFERROR(SUMIF(tblMotor[A_Norm],$A332,tblMotor[NetKar]),0))</f>
        <v/>
      </c>
      <c r="D332" s="16">
        <f>IF($A332="","",IFERROR(SUMIF(tblAnahtarA[Norm],$A332,tblVeriA[HedefNet]),0))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IF($A332="","",IF($F332&gt;egk_esikFark,1,0))</f>
        <v/>
      </c>
      <c r="O332" s="16">
        <f>IF($A332="","",IFERROR(SUMIF(tblMotor[A_Norm],$A332,tblMotor[NetKar]),0))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IF($A333="","",IFERROR(SUMIF(tblMotor[A_Norm],$A333,tblMotor[NetKar]),0))</f>
        <v/>
      </c>
      <c r="D333" s="16">
        <f>IF($A333="","",IFERROR(SUMIF(tblAnahtarA[Norm],$A333,tblVeriA[HedefNet]),0))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IF($A333="","",IF($F333&gt;egk_esikFark,1,0))</f>
        <v/>
      </c>
      <c r="O333" s="16">
        <f>IF($A333="","",IFERROR(SUMIF(tblMotor[A_Norm],$A333,tblMotor[NetKar]),0))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IF($A334="","",IFERROR(SUMIF(tblMotor[A_Norm],$A334,tblMotor[NetKar]),0))</f>
        <v/>
      </c>
      <c r="D334" s="16">
        <f>IF($A334="","",IFERROR(SUMIF(tblAnahtarA[Norm],$A334,tblVeriA[HedefNet]),0))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IF($A334="","",IF($F334&gt;egk_esikFark,1,0))</f>
        <v/>
      </c>
      <c r="O334" s="16">
        <f>IF($A334="","",IFERROR(SUMIF(tblMotor[A_Norm],$A334,tblMotor[NetKar]),0))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IF($A335="","",IFERROR(SUMIF(tblMotor[A_Norm],$A335,tblMotor[NetKar]),0))</f>
        <v/>
      </c>
      <c r="D335" s="16">
        <f>IF($A335="","",IFERROR(SUMIF(tblAnahtarA[Norm],$A335,tblVeriA[HedefNet]),0))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IF($A335="","",IF($F335&gt;egk_esikFark,1,0))</f>
        <v/>
      </c>
      <c r="O335" s="16">
        <f>IF($A335="","",IFERROR(SUMIF(tblMotor[A_Norm],$A335,tblMotor[NetKar]),0))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IF($A336="","",IFERROR(SUMIF(tblMotor[A_Norm],$A336,tblMotor[NetKar]),0))</f>
        <v/>
      </c>
      <c r="D336" s="16">
        <f>IF($A336="","",IFERROR(SUMIF(tblAnahtarA[Norm],$A336,tblVeriA[HedefNet]),0))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IF($A336="","",IF($F336&gt;egk_esikFark,1,0))</f>
        <v/>
      </c>
      <c r="O336" s="16">
        <f>IF($A336="","",IFERROR(SUMIF(tblMotor[A_Norm],$A336,tblMotor[NetKar]),0))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IF($A337="","",IFERROR(SUMIF(tblMotor[A_Norm],$A337,tblMotor[NetKar]),0))</f>
        <v/>
      </c>
      <c r="D337" s="16">
        <f>IF($A337="","",IFERROR(SUMIF(tblAnahtarA[Norm],$A337,tblVeriA[HedefNet]),0))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IF($A337="","",IF($F337&gt;egk_esikFark,1,0))</f>
        <v/>
      </c>
      <c r="O337" s="16">
        <f>IF($A337="","",IFERROR(SUMIF(tblMotor[A_Norm],$A337,tblMotor[NetKar]),0))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IF($A338="","",IFERROR(SUMIF(tblMotor[A_Norm],$A338,tblMotor[NetKar]),0))</f>
        <v/>
      </c>
      <c r="D338" s="16">
        <f>IF($A338="","",IFERROR(SUMIF(tblAnahtarA[Norm],$A338,tblVeriA[HedefNet]),0))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IF($A338="","",IF($F338&gt;egk_esikFark,1,0))</f>
        <v/>
      </c>
      <c r="O338" s="16">
        <f>IF($A338="","",IFERROR(SUMIF(tblMotor[A_Norm],$A338,tblMotor[NetKar]),0))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IF($A339="","",IFERROR(SUMIF(tblMotor[A_Norm],$A339,tblMotor[NetKar]),0))</f>
        <v/>
      </c>
      <c r="D339" s="16">
        <f>IF($A339="","",IFERROR(SUMIF(tblAnahtarA[Norm],$A339,tblVeriA[HedefNet]),0))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IF($A339="","",IF($F339&gt;egk_esikFark,1,0))</f>
        <v/>
      </c>
      <c r="O339" s="16">
        <f>IF($A339="","",IFERROR(SUMIF(tblMotor[A_Norm],$A339,tblMotor[NetKar]),0))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IF($A340="","",IFERROR(SUMIF(tblMotor[A_Norm],$A340,tblMotor[NetKar]),0))</f>
        <v/>
      </c>
      <c r="D340" s="16">
        <f>IF($A340="","",IFERROR(SUMIF(tblAnahtarA[Norm],$A340,tblVeriA[HedefNet]),0))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IF($A340="","",IF($F340&gt;egk_esikFark,1,0))</f>
        <v/>
      </c>
      <c r="O340" s="16">
        <f>IF($A340="","",IFERROR(SUMIF(tblMotor[A_Norm],$A340,tblMotor[NetKar]),0))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IF($A341="","",IFERROR(SUMIF(tblMotor[A_Norm],$A341,tblMotor[NetKar]),0))</f>
        <v/>
      </c>
      <c r="D341" s="16">
        <f>IF($A341="","",IFERROR(SUMIF(tblAnahtarA[Norm],$A341,tblVeriA[HedefNet]),0))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IF($A341="","",IF($F341&gt;egk_esikFark,1,0))</f>
        <v/>
      </c>
      <c r="O341" s="16">
        <f>IF($A341="","",IFERROR(SUMIF(tblMotor[A_Norm],$A341,tblMotor[NetKar]),0))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IF($A342="","",IFERROR(SUMIF(tblMotor[A_Norm],$A342,tblMotor[NetKar]),0))</f>
        <v/>
      </c>
      <c r="D342" s="16">
        <f>IF($A342="","",IFERROR(SUMIF(tblAnahtarA[Norm],$A342,tblVeriA[HedefNet]),0))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IF($A342="","",IF($F342&gt;egk_esikFark,1,0))</f>
        <v/>
      </c>
      <c r="O342" s="16">
        <f>IF($A342="","",IFERROR(SUMIF(tblMotor[A_Norm],$A342,tblMotor[NetKar]),0))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IF($A343="","",IFERROR(SUMIF(tblMotor[A_Norm],$A343,tblMotor[NetKar]),0))</f>
        <v/>
      </c>
      <c r="D343" s="16">
        <f>IF($A343="","",IFERROR(SUMIF(tblAnahtarA[Norm],$A343,tblVeriA[HedefNet]),0))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IF($A343="","",IF($F343&gt;egk_esikFark,1,0))</f>
        <v/>
      </c>
      <c r="O343" s="16">
        <f>IF($A343="","",IFERROR(SUMIF(tblMotor[A_Norm],$A343,tblMotor[NetKar]),0))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IF($A344="","",IFERROR(SUMIF(tblMotor[A_Norm],$A344,tblMotor[NetKar]),0))</f>
        <v/>
      </c>
      <c r="D344" s="16">
        <f>IF($A344="","",IFERROR(SUMIF(tblAnahtarA[Norm],$A344,tblVeriA[HedefNet]),0))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IF($A344="","",IF($F344&gt;egk_esikFark,1,0))</f>
        <v/>
      </c>
      <c r="O344" s="16">
        <f>IF($A344="","",IFERROR(SUMIF(tblMotor[A_Norm],$A344,tblMotor[NetKar]),0))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IF($A345="","",IFERROR(SUMIF(tblMotor[A_Norm],$A345,tblMotor[NetKar]),0))</f>
        <v/>
      </c>
      <c r="D345" s="16">
        <f>IF($A345="","",IFERROR(SUMIF(tblAnahtarA[Norm],$A345,tblVeriA[HedefNet]),0))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IF($A345="","",IF($F345&gt;egk_esikFark,1,0))</f>
        <v/>
      </c>
      <c r="O345" s="16">
        <f>IF($A345="","",IFERROR(SUMIF(tblMotor[A_Norm],$A345,tblMotor[NetKar]),0))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IF($A346="","",IFERROR(SUMIF(tblMotor[A_Norm],$A346,tblMotor[NetKar]),0))</f>
        <v/>
      </c>
      <c r="D346" s="16">
        <f>IF($A346="","",IFERROR(SUMIF(tblAnahtarA[Norm],$A346,tblVeriA[HedefNet]),0))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IF($A346="","",IF($F346&gt;egk_esikFark,1,0))</f>
        <v/>
      </c>
      <c r="O346" s="16">
        <f>IF($A346="","",IFERROR(SUMIF(tblMotor[A_Norm],$A346,tblMotor[NetKar]),0))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IF($A347="","",IFERROR(SUMIF(tblMotor[A_Norm],$A347,tblMotor[NetKar]),0))</f>
        <v/>
      </c>
      <c r="D347" s="16">
        <f>IF($A347="","",IFERROR(SUMIF(tblAnahtarA[Norm],$A347,tblVeriA[HedefNet]),0))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IF($A347="","",IF($F347&gt;egk_esikFark,1,0))</f>
        <v/>
      </c>
      <c r="O347" s="16">
        <f>IF($A347="","",IFERROR(SUMIF(tblMotor[A_Norm],$A347,tblMotor[NetKar]),0))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IF($A348="","",IFERROR(SUMIF(tblMotor[A_Norm],$A348,tblMotor[NetKar]),0))</f>
        <v/>
      </c>
      <c r="D348" s="16">
        <f>IF($A348="","",IFERROR(SUMIF(tblAnahtarA[Norm],$A348,tblVeriA[HedefNet]),0))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IF($A348="","",IF($F348&gt;egk_esikFark,1,0))</f>
        <v/>
      </c>
      <c r="O348" s="16">
        <f>IF($A348="","",IFERROR(SUMIF(tblMotor[A_Norm],$A348,tblMotor[NetKar]),0))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IF($A349="","",IFERROR(SUMIF(tblMotor[A_Norm],$A349,tblMotor[NetKar]),0))</f>
        <v/>
      </c>
      <c r="D349" s="16">
        <f>IF($A349="","",IFERROR(SUMIF(tblAnahtarA[Norm],$A349,tblVeriA[HedefNet]),0))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IF($A349="","",IF($F349&gt;egk_esikFark,1,0))</f>
        <v/>
      </c>
      <c r="O349" s="16">
        <f>IF($A349="","",IFERROR(SUMIF(tblMotor[A_Norm],$A349,tblMotor[NetKar]),0))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IF($A350="","",IFERROR(SUMIF(tblMotor[A_Norm],$A350,tblMotor[NetKar]),0))</f>
        <v/>
      </c>
      <c r="D350" s="16">
        <f>IF($A350="","",IFERROR(SUMIF(tblAnahtarA[Norm],$A350,tblVeriA[HedefNet]),0))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IF($A350="","",IF($F350&gt;egk_esikFark,1,0))</f>
        <v/>
      </c>
      <c r="O350" s="16">
        <f>IF($A350="","",IFERROR(SUMIF(tblMotor[A_Norm],$A350,tblMotor[NetKar]),0))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IF($A351="","",IFERROR(SUMIF(tblMotor[A_Norm],$A351,tblMotor[NetKar]),0))</f>
        <v/>
      </c>
      <c r="D351" s="16">
        <f>IF($A351="","",IFERROR(SUMIF(tblAnahtarA[Norm],$A351,tblVeriA[HedefNet]),0))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IF($A351="","",IF($F351&gt;egk_esikFark,1,0))</f>
        <v/>
      </c>
      <c r="O351" s="16">
        <f>IF($A351="","",IFERROR(SUMIF(tblMotor[A_Norm],$A351,tblMotor[NetKar]),0))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IF($A352="","",IFERROR(SUMIF(tblMotor[A_Norm],$A352,tblMotor[NetKar]),0))</f>
        <v/>
      </c>
      <c r="D352" s="16">
        <f>IF($A352="","",IFERROR(SUMIF(tblAnahtarA[Norm],$A352,tblVeriA[HedefNet]),0))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IF($A352="","",IF($F352&gt;egk_esikFark,1,0))</f>
        <v/>
      </c>
      <c r="O352" s="16">
        <f>IF($A352="","",IFERROR(SUMIF(tblMotor[A_Norm],$A352,tblMotor[NetKar]),0))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IF($A353="","",IFERROR(SUMIF(tblMotor[A_Norm],$A353,tblMotor[NetKar]),0))</f>
        <v/>
      </c>
      <c r="D353" s="16">
        <f>IF($A353="","",IFERROR(SUMIF(tblAnahtarA[Norm],$A353,tblVeriA[HedefNet]),0))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IF($A353="","",IF($F353&gt;egk_esikFark,1,0))</f>
        <v/>
      </c>
      <c r="O353" s="16">
        <f>IF($A353="","",IFERROR(SUMIF(tblMotor[A_Norm],$A353,tblMotor[NetKar]),0))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IF($A354="","",IFERROR(SUMIF(tblMotor[A_Norm],$A354,tblMotor[NetKar]),0))</f>
        <v/>
      </c>
      <c r="D354" s="16">
        <f>IF($A354="","",IFERROR(SUMIF(tblAnahtarA[Norm],$A354,tblVeriA[HedefNet]),0))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IF($A354="","",IF($F354&gt;egk_esikFark,1,0))</f>
        <v/>
      </c>
      <c r="O354" s="16">
        <f>IF($A354="","",IFERROR(SUMIF(tblMotor[A_Norm],$A354,tblMotor[NetKar]),0))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IF($A355="","",IFERROR(SUMIF(tblMotor[A_Norm],$A355,tblMotor[NetKar]),0))</f>
        <v/>
      </c>
      <c r="D355" s="16">
        <f>IF($A355="","",IFERROR(SUMIF(tblAnahtarA[Norm],$A355,tblVeriA[HedefNet]),0))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IF($A355="","",IF($F355&gt;egk_esikFark,1,0))</f>
        <v/>
      </c>
      <c r="O355" s="16">
        <f>IF($A355="","",IFERROR(SUMIF(tblMotor[A_Norm],$A355,tblMotor[NetKar]),0))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IF($A356="","",IFERROR(SUMIF(tblMotor[A_Norm],$A356,tblMotor[NetKar]),0))</f>
        <v/>
      </c>
      <c r="D356" s="16">
        <f>IF($A356="","",IFERROR(SUMIF(tblAnahtarA[Norm],$A356,tblVeriA[HedefNet]),0))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IF($A356="","",IF($F356&gt;egk_esikFark,1,0))</f>
        <v/>
      </c>
      <c r="O356" s="16">
        <f>IF($A356="","",IFERROR(SUMIF(tblMotor[A_Norm],$A356,tblMotor[NetKar]),0))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IF($A357="","",IFERROR(SUMIF(tblMotor[A_Norm],$A357,tblMotor[NetKar]),0))</f>
        <v/>
      </c>
      <c r="D357" s="16">
        <f>IF($A357="","",IFERROR(SUMIF(tblAnahtarA[Norm],$A357,tblVeriA[HedefNet]),0))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IF($A357="","",IF($F357&gt;egk_esikFark,1,0))</f>
        <v/>
      </c>
      <c r="O357" s="16">
        <f>IF($A357="","",IFERROR(SUMIF(tblMotor[A_Norm],$A357,tblMotor[NetKar]),0))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IF($A358="","",IFERROR(SUMIF(tblMotor[A_Norm],$A358,tblMotor[NetKar]),0))</f>
        <v/>
      </c>
      <c r="D358" s="16">
        <f>IF($A358="","",IFERROR(SUMIF(tblAnahtarA[Norm],$A358,tblVeriA[HedefNet]),0))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IF($A358="","",IF($F358&gt;egk_esikFark,1,0))</f>
        <v/>
      </c>
      <c r="O358" s="16">
        <f>IF($A358="","",IFERROR(SUMIF(tblMotor[A_Norm],$A358,tblMotor[NetKar]),0))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IF($A359="","",IFERROR(SUMIF(tblMotor[A_Norm],$A359,tblMotor[NetKar]),0))</f>
        <v/>
      </c>
      <c r="D359" s="16">
        <f>IF($A359="","",IFERROR(SUMIF(tblAnahtarA[Norm],$A359,tblVeriA[HedefNet]),0))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IF($A359="","",IF($F359&gt;egk_esikFark,1,0))</f>
        <v/>
      </c>
      <c r="O359" s="16">
        <f>IF($A359="","",IFERROR(SUMIF(tblMotor[A_Norm],$A359,tblMotor[NetKar]),0))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IF($A360="","",IFERROR(SUMIF(tblMotor[A_Norm],$A360,tblMotor[NetKar]),0))</f>
        <v/>
      </c>
      <c r="D360" s="16">
        <f>IF($A360="","",IFERROR(SUMIF(tblAnahtarA[Norm],$A360,tblVeriA[HedefNet]),0))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IF($A360="","",IF($F360&gt;egk_esikFark,1,0))</f>
        <v/>
      </c>
      <c r="O360" s="16">
        <f>IF($A360="","",IFERROR(SUMIF(tblMotor[A_Norm],$A360,tblMotor[NetKar]),0))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IF($A361="","",IFERROR(SUMIF(tblMotor[A_Norm],$A361,tblMotor[NetKar]),0))</f>
        <v/>
      </c>
      <c r="D361" s="16">
        <f>IF($A361="","",IFERROR(SUMIF(tblAnahtarA[Norm],$A361,tblVeriA[HedefNet]),0))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IF($A361="","",IF($F361&gt;egk_esikFark,1,0))</f>
        <v/>
      </c>
      <c r="O361" s="16">
        <f>IF($A361="","",IFERROR(SUMIF(tblMotor[A_Norm],$A361,tblMotor[NetKar]),0))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IF($A362="","",IFERROR(SUMIF(tblMotor[A_Norm],$A362,tblMotor[NetKar]),0))</f>
        <v/>
      </c>
      <c r="D362" s="16">
        <f>IF($A362="","",IFERROR(SUMIF(tblAnahtarA[Norm],$A362,tblVeriA[HedefNet]),0))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IF($A362="","",IF($F362&gt;egk_esikFark,1,0))</f>
        <v/>
      </c>
      <c r="O362" s="16">
        <f>IF($A362="","",IFERROR(SUMIF(tblMotor[A_Norm],$A362,tblMotor[NetKar]),0))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IF($A363="","",IFERROR(SUMIF(tblMotor[A_Norm],$A363,tblMotor[NetKar]),0))</f>
        <v/>
      </c>
      <c r="D363" s="16">
        <f>IF($A363="","",IFERROR(SUMIF(tblAnahtarA[Norm],$A363,tblVeriA[HedefNet]),0))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IF($A363="","",IF($F363&gt;egk_esikFark,1,0))</f>
        <v/>
      </c>
      <c r="O363" s="16">
        <f>IF($A363="","",IFERROR(SUMIF(tblMotor[A_Norm],$A363,tblMotor[NetKar]),0))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IF($A364="","",IFERROR(SUMIF(tblMotor[A_Norm],$A364,tblMotor[NetKar]),0))</f>
        <v/>
      </c>
      <c r="D364" s="16">
        <f>IF($A364="","",IFERROR(SUMIF(tblAnahtarA[Norm],$A364,tblVeriA[HedefNet]),0))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IF($A364="","",IF($F364&gt;egk_esikFark,1,0))</f>
        <v/>
      </c>
      <c r="O364" s="16">
        <f>IF($A364="","",IFERROR(SUMIF(tblMotor[A_Norm],$A364,tblMotor[NetKar]),0))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IF($A365="","",IFERROR(SUMIF(tblMotor[A_Norm],$A365,tblMotor[NetKar]),0))</f>
        <v/>
      </c>
      <c r="D365" s="16">
        <f>IF($A365="","",IFERROR(SUMIF(tblAnahtarA[Norm],$A365,tblVeriA[HedefNet]),0))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IF($A365="","",IF($F365&gt;egk_esikFark,1,0))</f>
        <v/>
      </c>
      <c r="O365" s="16">
        <f>IF($A365="","",IFERROR(SUMIF(tblMotor[A_Norm],$A365,tblMotor[NetKar]),0))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IF($A366="","",IFERROR(SUMIF(tblMotor[A_Norm],$A366,tblMotor[NetKar]),0))</f>
        <v/>
      </c>
      <c r="D366" s="16">
        <f>IF($A366="","",IFERROR(SUMIF(tblAnahtarA[Norm],$A366,tblVeriA[HedefNet]),0))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IF($A366="","",IF($F366&gt;egk_esikFark,1,0))</f>
        <v/>
      </c>
      <c r="O366" s="16">
        <f>IF($A366="","",IFERROR(SUMIF(tblMotor[A_Norm],$A366,tblMotor[NetKar]),0))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IF($A367="","",IFERROR(SUMIF(tblMotor[A_Norm],$A367,tblMotor[NetKar]),0))</f>
        <v/>
      </c>
      <c r="D367" s="16">
        <f>IF($A367="","",IFERROR(SUMIF(tblAnahtarA[Norm],$A367,tblVeriA[HedefNet]),0))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IF($A367="","",IF($F367&gt;egk_esikFark,1,0))</f>
        <v/>
      </c>
      <c r="O367" s="16">
        <f>IF($A367="","",IFERROR(SUMIF(tblMotor[A_Norm],$A367,tblMotor[NetKar]),0))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IF($A368="","",IFERROR(SUMIF(tblMotor[A_Norm],$A368,tblMotor[NetKar]),0))</f>
        <v/>
      </c>
      <c r="D368" s="16">
        <f>IF($A368="","",IFERROR(SUMIF(tblAnahtarA[Norm],$A368,tblVeriA[HedefNet]),0))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IF($A368="","",IF($F368&gt;egk_esikFark,1,0))</f>
        <v/>
      </c>
      <c r="O368" s="16">
        <f>IF($A368="","",IFERROR(SUMIF(tblMotor[A_Norm],$A368,tblMotor[NetKar]),0))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IF($A369="","",IFERROR(SUMIF(tblMotor[A_Norm],$A369,tblMotor[NetKar]),0))</f>
        <v/>
      </c>
      <c r="D369" s="16">
        <f>IF($A369="","",IFERROR(SUMIF(tblAnahtarA[Norm],$A369,tblVeriA[HedefNet]),0))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IF($A369="","",IF($F369&gt;egk_esikFark,1,0))</f>
        <v/>
      </c>
      <c r="O369" s="16">
        <f>IF($A369="","",IFERROR(SUMIF(tblMotor[A_Norm],$A369,tblMotor[NetKar]),0))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IF($A370="","",IFERROR(SUMIF(tblMotor[A_Norm],$A370,tblMotor[NetKar]),0))</f>
        <v/>
      </c>
      <c r="D370" s="16">
        <f>IF($A370="","",IFERROR(SUMIF(tblAnahtarA[Norm],$A370,tblVeriA[HedefNet]),0))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IF($A370="","",IF($F370&gt;egk_esikFark,1,0))</f>
        <v/>
      </c>
      <c r="O370" s="16">
        <f>IF($A370="","",IFERROR(SUMIF(tblMotor[A_Norm],$A370,tblMotor[NetKar]),0))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IF($A371="","",IFERROR(SUMIF(tblMotor[A_Norm],$A371,tblMotor[NetKar]),0))</f>
        <v/>
      </c>
      <c r="D371" s="16">
        <f>IF($A371="","",IFERROR(SUMIF(tblAnahtarA[Norm],$A371,tblVeriA[HedefNet]),0))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IF($A371="","",IF($F371&gt;egk_esikFark,1,0))</f>
        <v/>
      </c>
      <c r="O371" s="16">
        <f>IF($A371="","",IFERROR(SUMIF(tblMotor[A_Norm],$A371,tblMotor[NetKar]),0))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IF($A372="","",IFERROR(SUMIF(tblMotor[A_Norm],$A372,tblMotor[NetKar]),0))</f>
        <v/>
      </c>
      <c r="D372" s="16">
        <f>IF($A372="","",IFERROR(SUMIF(tblAnahtarA[Norm],$A372,tblVeriA[HedefNet]),0))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IF($A372="","",IF($F372&gt;egk_esikFark,1,0))</f>
        <v/>
      </c>
      <c r="O372" s="16">
        <f>IF($A372="","",IFERROR(SUMIF(tblMotor[A_Norm],$A372,tblMotor[NetKar]),0))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IF($A373="","",IFERROR(SUMIF(tblMotor[A_Norm],$A373,tblMotor[NetKar]),0))</f>
        <v/>
      </c>
      <c r="D373" s="16">
        <f>IF($A373="","",IFERROR(SUMIF(tblAnahtarA[Norm],$A373,tblVeriA[HedefNet]),0))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IF($A373="","",IF($F373&gt;egk_esikFark,1,0))</f>
        <v/>
      </c>
      <c r="O373" s="16">
        <f>IF($A373="","",IFERROR(SUMIF(tblMotor[A_Norm],$A373,tblMotor[NetKar]),0))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IF($A374="","",IFERROR(SUMIF(tblMotor[A_Norm],$A374,tblMotor[NetKar]),0))</f>
        <v/>
      </c>
      <c r="D374" s="16">
        <f>IF($A374="","",IFERROR(SUMIF(tblAnahtarA[Norm],$A374,tblVeriA[HedefNet]),0))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IF($A374="","",IF($F374&gt;egk_esikFark,1,0))</f>
        <v/>
      </c>
      <c r="O374" s="16">
        <f>IF($A374="","",IFERROR(SUMIF(tblMotor[A_Norm],$A374,tblMotor[NetKar]),0))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IF($A375="","",IFERROR(SUMIF(tblMotor[A_Norm],$A375,tblMotor[NetKar]),0))</f>
        <v/>
      </c>
      <c r="D375" s="16">
        <f>IF($A375="","",IFERROR(SUMIF(tblAnahtarA[Norm],$A375,tblVeriA[HedefNet]),0))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IF($A375="","",IF($F375&gt;egk_esikFark,1,0))</f>
        <v/>
      </c>
      <c r="O375" s="16">
        <f>IF($A375="","",IFERROR(SUMIF(tblMotor[A_Norm],$A375,tblMotor[NetKar]),0))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IF($A376="","",IFERROR(SUMIF(tblMotor[A_Norm],$A376,tblMotor[NetKar]),0))</f>
        <v/>
      </c>
      <c r="D376" s="16">
        <f>IF($A376="","",IFERROR(SUMIF(tblAnahtarA[Norm],$A376,tblVeriA[HedefNet]),0))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IF($A376="","",IF($F376&gt;egk_esikFark,1,0))</f>
        <v/>
      </c>
      <c r="O376" s="16">
        <f>IF($A376="","",IFERROR(SUMIF(tblMotor[A_Norm],$A376,tblMotor[NetKar]),0))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IF($A377="","",IFERROR(SUMIF(tblMotor[A_Norm],$A377,tblMotor[NetKar]),0))</f>
        <v/>
      </c>
      <c r="D377" s="16">
        <f>IF($A377="","",IFERROR(SUMIF(tblAnahtarA[Norm],$A377,tblVeriA[HedefNet]),0))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IF($A377="","",IF($F377&gt;egk_esikFark,1,0))</f>
        <v/>
      </c>
      <c r="O377" s="16">
        <f>IF($A377="","",IFERROR(SUMIF(tblMotor[A_Norm],$A377,tblMotor[NetKar]),0))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IF($A378="","",IFERROR(SUMIF(tblMotor[A_Norm],$A378,tblMotor[NetKar]),0))</f>
        <v/>
      </c>
      <c r="D378" s="16">
        <f>IF($A378="","",IFERROR(SUMIF(tblAnahtarA[Norm],$A378,tblVeriA[HedefNet]),0))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IF($A378="","",IF($F378&gt;egk_esikFark,1,0))</f>
        <v/>
      </c>
      <c r="O378" s="16">
        <f>IF($A378="","",IFERROR(SUMIF(tblMotor[A_Norm],$A378,tblMotor[NetKar]),0))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IF($A379="","",IFERROR(SUMIF(tblMotor[A_Norm],$A379,tblMotor[NetKar]),0))</f>
        <v/>
      </c>
      <c r="D379" s="16">
        <f>IF($A379="","",IFERROR(SUMIF(tblAnahtarA[Norm],$A379,tblVeriA[HedefNet]),0))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IF($A379="","",IF($F379&gt;egk_esikFark,1,0))</f>
        <v/>
      </c>
      <c r="O379" s="16">
        <f>IF($A379="","",IFERROR(SUMIF(tblMotor[A_Norm],$A379,tblMotor[NetKar]),0))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IF($A380="","",IFERROR(SUMIF(tblMotor[A_Norm],$A380,tblMotor[NetKar]),0))</f>
        <v/>
      </c>
      <c r="D380" s="16">
        <f>IF($A380="","",IFERROR(SUMIF(tblAnahtarA[Norm],$A380,tblVeriA[HedefNet]),0))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IF($A380="","",IF($F380&gt;egk_esikFark,1,0))</f>
        <v/>
      </c>
      <c r="O380" s="16">
        <f>IF($A380="","",IFERROR(SUMIF(tblMotor[A_Norm],$A380,tblMotor[NetKar]),0))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IF($A381="","",IFERROR(SUMIF(tblMotor[A_Norm],$A381,tblMotor[NetKar]),0))</f>
        <v/>
      </c>
      <c r="D381" s="16">
        <f>IF($A381="","",IFERROR(SUMIF(tblAnahtarA[Norm],$A381,tblVeriA[HedefNet]),0))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IF($A381="","",IF($F381&gt;egk_esikFark,1,0))</f>
        <v/>
      </c>
      <c r="O381" s="16">
        <f>IF($A381="","",IFERROR(SUMIF(tblMotor[A_Norm],$A381,tblMotor[NetKar]),0))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IF($A382="","",IFERROR(SUMIF(tblMotor[A_Norm],$A382,tblMotor[NetKar]),0))</f>
        <v/>
      </c>
      <c r="D382" s="16">
        <f>IF($A382="","",IFERROR(SUMIF(tblAnahtarA[Norm],$A382,tblVeriA[HedefNet]),0))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IF($A382="","",IF($F382&gt;egk_esikFark,1,0))</f>
        <v/>
      </c>
      <c r="O382" s="16">
        <f>IF($A382="","",IFERROR(SUMIF(tblMotor[A_Norm],$A382,tblMotor[NetKar]),0))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IF($A383="","",IFERROR(SUMIF(tblMotor[A_Norm],$A383,tblMotor[NetKar]),0))</f>
        <v/>
      </c>
      <c r="D383" s="16">
        <f>IF($A383="","",IFERROR(SUMIF(tblAnahtarA[Norm],$A383,tblVeriA[HedefNet]),0))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IF($A383="","",IF($F383&gt;egk_esikFark,1,0))</f>
        <v/>
      </c>
      <c r="O383" s="16">
        <f>IF($A383="","",IFERROR(SUMIF(tblMotor[A_Norm],$A383,tblMotor[NetKar]),0))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IF($A384="","",IFERROR(SUMIF(tblMotor[A_Norm],$A384,tblMotor[NetKar]),0))</f>
        <v/>
      </c>
      <c r="D384" s="16">
        <f>IF($A384="","",IFERROR(SUMIF(tblAnahtarA[Norm],$A384,tblVeriA[HedefNet]),0))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IF($A384="","",IF($F384&gt;egk_esikFark,1,0))</f>
        <v/>
      </c>
      <c r="O384" s="16">
        <f>IF($A384="","",IFERROR(SUMIF(tblMotor[A_Norm],$A384,tblMotor[NetKar]),0))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IF($A385="","",IFERROR(SUMIF(tblMotor[A_Norm],$A385,tblMotor[NetKar]),0))</f>
        <v/>
      </c>
      <c r="D385" s="16">
        <f>IF($A385="","",IFERROR(SUMIF(tblAnahtarA[Norm],$A385,tblVeriA[HedefNet]),0))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IF($A385="","",IF($F385&gt;egk_esikFark,1,0))</f>
        <v/>
      </c>
      <c r="O385" s="16">
        <f>IF($A385="","",IFERROR(SUMIF(tblMotor[A_Norm],$A385,tblMotor[NetKar]),0))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IF($A386="","",IFERROR(SUMIF(tblMotor[A_Norm],$A386,tblMotor[NetKar]),0))</f>
        <v/>
      </c>
      <c r="D386" s="16">
        <f>IF($A386="","",IFERROR(SUMIF(tblAnahtarA[Norm],$A386,tblVeriA[HedefNet]),0))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IF($A386="","",IF($F386&gt;egk_esikFark,1,0))</f>
        <v/>
      </c>
      <c r="O386" s="16">
        <f>IF($A386="","",IFERROR(SUMIF(tblMotor[A_Norm],$A386,tblMotor[NetKar]),0))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IF($A387="","",IFERROR(SUMIF(tblMotor[A_Norm],$A387,tblMotor[NetKar]),0))</f>
        <v/>
      </c>
      <c r="D387" s="16">
        <f>IF($A387="","",IFERROR(SUMIF(tblAnahtarA[Norm],$A387,tblVeriA[HedefNet]),0))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IF($A387="","",IF($F387&gt;egk_esikFark,1,0))</f>
        <v/>
      </c>
      <c r="O387" s="16">
        <f>IF($A387="","",IFERROR(SUMIF(tblMotor[A_Norm],$A387,tblMotor[NetKar]),0))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IF($A388="","",IFERROR(SUMIF(tblMotor[A_Norm],$A388,tblMotor[NetKar]),0))</f>
        <v/>
      </c>
      <c r="D388" s="16">
        <f>IF($A388="","",IFERROR(SUMIF(tblAnahtarA[Norm],$A388,tblVeriA[HedefNet]),0))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IF($A388="","",IF($F388&gt;egk_esikFark,1,0))</f>
        <v/>
      </c>
      <c r="O388" s="16">
        <f>IF($A388="","",IFERROR(SUMIF(tblMotor[A_Norm],$A388,tblMotor[NetKar]),0))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IF($A389="","",IFERROR(SUMIF(tblMotor[A_Norm],$A389,tblMotor[NetKar]),0))</f>
        <v/>
      </c>
      <c r="D389" s="16">
        <f>IF($A389="","",IFERROR(SUMIF(tblAnahtarA[Norm],$A389,tblVeriA[HedefNet]),0))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IF($A389="","",IF($F389&gt;egk_esikFark,1,0))</f>
        <v/>
      </c>
      <c r="O389" s="16">
        <f>IF($A389="","",IFERROR(SUMIF(tblMotor[A_Norm],$A389,tblMotor[NetKar]),0))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IF($A390="","",IFERROR(SUMIF(tblMotor[A_Norm],$A390,tblMotor[NetKar]),0))</f>
        <v/>
      </c>
      <c r="D390" s="16">
        <f>IF($A390="","",IFERROR(SUMIF(tblAnahtarA[Norm],$A390,tblVeriA[HedefNet]),0))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IF($A390="","",IF($F390&gt;egk_esikFark,1,0))</f>
        <v/>
      </c>
      <c r="O390" s="16">
        <f>IF($A390="","",IFERROR(SUMIF(tblMotor[A_Norm],$A390,tblMotor[NetKar]),0))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IF($A391="","",IFERROR(SUMIF(tblMotor[A_Norm],$A391,tblMotor[NetKar]),0))</f>
        <v/>
      </c>
      <c r="D391" s="16">
        <f>IF($A391="","",IFERROR(SUMIF(tblAnahtarA[Norm],$A391,tblVeriA[HedefNet]),0))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IF($A391="","",IF($F391&gt;egk_esikFark,1,0))</f>
        <v/>
      </c>
      <c r="O391" s="16">
        <f>IF($A391="","",IFERROR(SUMIF(tblMotor[A_Norm],$A391,tblMotor[NetKar]),0))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IF($A392="","",IFERROR(SUMIF(tblMotor[A_Norm],$A392,tblMotor[NetKar]),0))</f>
        <v/>
      </c>
      <c r="D392" s="16">
        <f>IF($A392="","",IFERROR(SUMIF(tblAnahtarA[Norm],$A392,tblVeriA[HedefNet]),0))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IF($A392="","",IF($F392&gt;egk_esikFark,1,0))</f>
        <v/>
      </c>
      <c r="O392" s="16">
        <f>IF($A392="","",IFERROR(SUMIF(tblMotor[A_Norm],$A392,tblMotor[NetKar]),0))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IF($A393="","",IFERROR(SUMIF(tblMotor[A_Norm],$A393,tblMotor[NetKar]),0))</f>
        <v/>
      </c>
      <c r="D393" s="16">
        <f>IF($A393="","",IFERROR(SUMIF(tblAnahtarA[Norm],$A393,tblVeriA[HedefNet]),0))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IF($A393="","",IF($F393&gt;egk_esikFark,1,0))</f>
        <v/>
      </c>
      <c r="O393" s="16">
        <f>IF($A393="","",IFERROR(SUMIF(tblMotor[A_Norm],$A393,tblMotor[NetKar]),0))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IF($A394="","",IFERROR(SUMIF(tblMotor[A_Norm],$A394,tblMotor[NetKar]),0))</f>
        <v/>
      </c>
      <c r="D394" s="16">
        <f>IF($A394="","",IFERROR(SUMIF(tblAnahtarA[Norm],$A394,tblVeriA[HedefNet]),0))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IF($A394="","",IF($F394&gt;egk_esikFark,1,0))</f>
        <v/>
      </c>
      <c r="O394" s="16">
        <f>IF($A394="","",IFERROR(SUMIF(tblMotor[A_Norm],$A394,tblMotor[NetKar]),0))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IF($A395="","",IFERROR(SUMIF(tblMotor[A_Norm],$A395,tblMotor[NetKar]),0))</f>
        <v/>
      </c>
      <c r="D395" s="16">
        <f>IF($A395="","",IFERROR(SUMIF(tblAnahtarA[Norm],$A395,tblVeriA[HedefNet]),0))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IF($A395="","",IF($F395&gt;egk_esikFark,1,0))</f>
        <v/>
      </c>
      <c r="O395" s="16">
        <f>IF($A395="","",IFERROR(SUMIF(tblMotor[A_Norm],$A395,tblMotor[NetKar]),0))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IF($A396="","",IFERROR(SUMIF(tblMotor[A_Norm],$A396,tblMotor[NetKar]),0))</f>
        <v/>
      </c>
      <c r="D396" s="16">
        <f>IF($A396="","",IFERROR(SUMIF(tblAnahtarA[Norm],$A396,tblVeriA[HedefNet]),0))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IF($A396="","",IF($F396&gt;egk_esikFark,1,0))</f>
        <v/>
      </c>
      <c r="O396" s="16">
        <f>IF($A396="","",IFERROR(SUMIF(tblMotor[A_Norm],$A396,tblMotor[NetKar]),0))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IF($A397="","",IFERROR(SUMIF(tblMotor[A_Norm],$A397,tblMotor[NetKar]),0))</f>
        <v/>
      </c>
      <c r="D397" s="16">
        <f>IF($A397="","",IFERROR(SUMIF(tblAnahtarA[Norm],$A397,tblVeriA[HedefNet]),0))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IF($A397="","",IF($F397&gt;egk_esikFark,1,0))</f>
        <v/>
      </c>
      <c r="O397" s="16">
        <f>IF($A397="","",IFERROR(SUMIF(tblMotor[A_Norm],$A397,tblMotor[NetKar]),0))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IF($A398="","",IFERROR(SUMIF(tblMotor[A_Norm],$A398,tblMotor[NetKar]),0))</f>
        <v/>
      </c>
      <c r="D398" s="16">
        <f>IF($A398="","",IFERROR(SUMIF(tblAnahtarA[Norm],$A398,tblVeriA[HedefNet]),0))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IF($A398="","",IF($F398&gt;egk_esikFark,1,0))</f>
        <v/>
      </c>
      <c r="O398" s="16">
        <f>IF($A398="","",IFERROR(SUMIF(tblMotor[A_Norm],$A398,tblMotor[NetKar]),0))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IF($A399="","",IFERROR(SUMIF(tblMotor[A_Norm],$A399,tblMotor[NetKar]),0))</f>
        <v/>
      </c>
      <c r="D399" s="16">
        <f>IF($A399="","",IFERROR(SUMIF(tblAnahtarA[Norm],$A399,tblVeriA[HedefNet]),0))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IF($A399="","",IF($F399&gt;egk_esikFark,1,0))</f>
        <v/>
      </c>
      <c r="O399" s="16">
        <f>IF($A399="","",IFERROR(SUMIF(tblMotor[A_Norm],$A399,tblMotor[NetKar]),0))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IF($A400="","",IFERROR(SUMIF(tblMotor[A_Norm],$A400,tblMotor[NetKar]),0))</f>
        <v/>
      </c>
      <c r="D400" s="16">
        <f>IF($A400="","",IFERROR(SUMIF(tblAnahtarA[Norm],$A400,tblVeriA[HedefNet]),0))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IF($A400="","",IF($F400&gt;egk_esikFark,1,0))</f>
        <v/>
      </c>
      <c r="O400" s="16">
        <f>IF($A400="","",IFERROR(SUMIF(tblMotor[A_Norm],$A400,tblMotor[NetKar]),0))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IF($A401="","",IFERROR(SUMIF(tblMotor[A_Norm],$A401,tblMotor[NetKar]),0))</f>
        <v/>
      </c>
      <c r="D401" s="16">
        <f>IF($A401="","",IFERROR(SUMIF(tblAnahtarA[Norm],$A401,tblVeriA[HedefNet]),0))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IF($A401="","",IF($F401&gt;egk_esikFark,1,0))</f>
        <v/>
      </c>
      <c r="O401" s="16">
        <f>IF($A401="","",IFERROR(SUMIF(tblMotor[A_Norm],$A401,tblMotor[NetKar]),0))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IF($A402="","",IFERROR(SUMIF(tblMotor[A_Norm],$A402,tblMotor[NetKar]),0))</f>
        <v/>
      </c>
      <c r="D402" s="16">
        <f>IF($A402="","",IFERROR(SUMIF(tblAnahtarA[Norm],$A402,tblVeriA[HedefNet]),0))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IF($A402="","",IF($F402&gt;egk_esikFark,1,0))</f>
        <v/>
      </c>
      <c r="O402" s="16">
        <f>IF($A402="","",IFERROR(SUMIF(tblMotor[A_Norm],$A402,tblMotor[NetKar]),0))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IF($A403="","",IFERROR(SUMIF(tblMotor[A_Norm],$A403,tblMotor[NetKar]),0))</f>
        <v/>
      </c>
      <c r="D403" s="16">
        <f>IF($A403="","",IFERROR(SUMIF(tblAnahtarA[Norm],$A403,tblVeriA[HedefNet]),0))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IF($A403="","",IF($F403&gt;egk_esikFark,1,0))</f>
        <v/>
      </c>
      <c r="O403" s="16">
        <f>IF($A403="","",IFERROR(SUMIF(tblMotor[A_Norm],$A403,tblMotor[NetKar]),0))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IF($A404="","",IFERROR(SUMIF(tblMotor[A_Norm],$A404,tblMotor[NetKar]),0))</f>
        <v/>
      </c>
      <c r="D404" s="16">
        <f>IF($A404="","",IFERROR(SUMIF(tblAnahtarA[Norm],$A404,tblVeriA[HedefNet]),0))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IF($A404="","",IF($F404&gt;egk_esikFark,1,0))</f>
        <v/>
      </c>
      <c r="O404" s="16">
        <f>IF($A404="","",IFERROR(SUMIF(tblMotor[A_Norm],$A404,tblMotor[NetKar]),0))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IF($A405="","",IFERROR(SUMIF(tblMotor[A_Norm],$A405,tblMotor[NetKar]),0))</f>
        <v/>
      </c>
      <c r="D405" s="16">
        <f>IF($A405="","",IFERROR(SUMIF(tblAnahtarA[Norm],$A405,tblVeriA[HedefNet]),0))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IF($A405="","",IF($F405&gt;egk_esikFark,1,0))</f>
        <v/>
      </c>
      <c r="O405" s="16">
        <f>IF($A405="","",IFERROR(SUMIF(tblMotor[A_Norm],$A405,tblMotor[NetKar]),0))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IF($A406="","",IFERROR(SUMIF(tblMotor[A_Norm],$A406,tblMotor[NetKar]),0))</f>
        <v/>
      </c>
      <c r="D406" s="16">
        <f>IF($A406="","",IFERROR(SUMIF(tblAnahtarA[Norm],$A406,tblVeriA[HedefNet]),0))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IF($A406="","",IF($F406&gt;egk_esikFark,1,0))</f>
        <v/>
      </c>
      <c r="O406" s="16">
        <f>IF($A406="","",IFERROR(SUMIF(tblMotor[A_Norm],$A406,tblMotor[NetKar]),0))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IF($A407="","",IFERROR(SUMIF(tblMotor[A_Norm],$A407,tblMotor[NetKar]),0))</f>
        <v/>
      </c>
      <c r="D407" s="16">
        <f>IF($A407="","",IFERROR(SUMIF(tblAnahtarA[Norm],$A407,tblVeriA[HedefNet]),0))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IF($A407="","",IF($F407&gt;egk_esikFark,1,0))</f>
        <v/>
      </c>
      <c r="O407" s="16">
        <f>IF($A407="","",IFERROR(SUMIF(tblMotor[A_Norm],$A407,tblMotor[NetKar]),0))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IF($A408="","",IFERROR(SUMIF(tblMotor[A_Norm],$A408,tblMotor[NetKar]),0))</f>
        <v/>
      </c>
      <c r="D408" s="16">
        <f>IF($A408="","",IFERROR(SUMIF(tblAnahtarA[Norm],$A408,tblVeriA[HedefNet]),0))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IF($A408="","",IF($F408&gt;egk_esikFark,1,0))</f>
        <v/>
      </c>
      <c r="O408" s="16">
        <f>IF($A408="","",IFERROR(SUMIF(tblMotor[A_Norm],$A408,tblMotor[NetKar]),0))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IF($A409="","",IFERROR(SUMIF(tblMotor[A_Norm],$A409,tblMotor[NetKar]),0))</f>
        <v/>
      </c>
      <c r="D409" s="16">
        <f>IF($A409="","",IFERROR(SUMIF(tblAnahtarA[Norm],$A409,tblVeriA[HedefNet]),0))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IF($A409="","",IF($F409&gt;egk_esikFark,1,0))</f>
        <v/>
      </c>
      <c r="O409" s="16">
        <f>IF($A409="","",IFERROR(SUMIF(tblMotor[A_Norm],$A409,tblMotor[NetKar]),0))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IF($A410="","",IFERROR(SUMIF(tblMotor[A_Norm],$A410,tblMotor[NetKar]),0))</f>
        <v/>
      </c>
      <c r="D410" s="16">
        <f>IF($A410="","",IFERROR(SUMIF(tblAnahtarA[Norm],$A410,tblVeriA[HedefNet]),0))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IF($A410="","",IF($F410&gt;egk_esikFark,1,0))</f>
        <v/>
      </c>
      <c r="O410" s="16">
        <f>IF($A410="","",IFERROR(SUMIF(tblMotor[A_Norm],$A410,tblMotor[NetKar]),0))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IF($A411="","",IFERROR(SUMIF(tblMotor[A_Norm],$A411,tblMotor[NetKar]),0))</f>
        <v/>
      </c>
      <c r="D411" s="16">
        <f>IF($A411="","",IFERROR(SUMIF(tblAnahtarA[Norm],$A411,tblVeriA[HedefNet]),0))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IF($A411="","",IF($F411&gt;egk_esikFark,1,0))</f>
        <v/>
      </c>
      <c r="O411" s="16">
        <f>IF($A411="","",IFERROR(SUMIF(tblMotor[A_Norm],$A411,tblMotor[NetKar]),0))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IF($A412="","",IFERROR(SUMIF(tblMotor[A_Norm],$A412,tblMotor[NetKar]),0))</f>
        <v/>
      </c>
      <c r="D412" s="16">
        <f>IF($A412="","",IFERROR(SUMIF(tblAnahtarA[Norm],$A412,tblVeriA[HedefNet]),0))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IF($A412="","",IF($F412&gt;egk_esikFark,1,0))</f>
        <v/>
      </c>
      <c r="O412" s="16">
        <f>IF($A412="","",IFERROR(SUMIF(tblMotor[A_Norm],$A412,tblMotor[NetKar]),0))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IF($A413="","",IFERROR(SUMIF(tblMotor[A_Norm],$A413,tblMotor[NetKar]),0))</f>
        <v/>
      </c>
      <c r="D413" s="16">
        <f>IF($A413="","",IFERROR(SUMIF(tblAnahtarA[Norm],$A413,tblVeriA[HedefNet]),0))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IF($A413="","",IF($F413&gt;egk_esikFark,1,0))</f>
        <v/>
      </c>
      <c r="O413" s="16">
        <f>IF($A413="","",IFERROR(SUMIF(tblMotor[A_Norm],$A413,tblMotor[NetKar]),0))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IF($A414="","",IFERROR(SUMIF(tblMotor[A_Norm],$A414,tblMotor[NetKar]),0))</f>
        <v/>
      </c>
      <c r="D414" s="16">
        <f>IF($A414="","",IFERROR(SUMIF(tblAnahtarA[Norm],$A414,tblVeriA[HedefNet]),0))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IF($A414="","",IF($F414&gt;egk_esikFark,1,0))</f>
        <v/>
      </c>
      <c r="O414" s="16">
        <f>IF($A414="","",IFERROR(SUMIF(tblMotor[A_Norm],$A414,tblMotor[NetKar]),0))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IF($A415="","",IFERROR(SUMIF(tblMotor[A_Norm],$A415,tblMotor[NetKar]),0))</f>
        <v/>
      </c>
      <c r="D415" s="16">
        <f>IF($A415="","",IFERROR(SUMIF(tblAnahtarA[Norm],$A415,tblVeriA[HedefNet]),0))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IF($A415="","",IF($F415&gt;egk_esikFark,1,0))</f>
        <v/>
      </c>
      <c r="O415" s="16">
        <f>IF($A415="","",IFERROR(SUMIF(tblMotor[A_Norm],$A415,tblMotor[NetKar]),0))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IF($A416="","",IFERROR(SUMIF(tblMotor[A_Norm],$A416,tblMotor[NetKar]),0))</f>
        <v/>
      </c>
      <c r="D416" s="16">
        <f>IF($A416="","",IFERROR(SUMIF(tblAnahtarA[Norm],$A416,tblVeriA[HedefNet]),0))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IF($A416="","",IF($F416&gt;egk_esikFark,1,0))</f>
        <v/>
      </c>
      <c r="O416" s="16">
        <f>IF($A416="","",IFERROR(SUMIF(tblMotor[A_Norm],$A416,tblMotor[NetKar]),0))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IF($A417="","",IFERROR(SUMIF(tblMotor[A_Norm],$A417,tblMotor[NetKar]),0))</f>
        <v/>
      </c>
      <c r="D417" s="16">
        <f>IF($A417="","",IFERROR(SUMIF(tblAnahtarA[Norm],$A417,tblVeriA[HedefNet]),0))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IF($A417="","",IF($F417&gt;egk_esikFark,1,0))</f>
        <v/>
      </c>
      <c r="O417" s="16">
        <f>IF($A417="","",IFERROR(SUMIF(tblMotor[A_Norm],$A417,tblMotor[NetKar]),0))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IF($A418="","",IFERROR(SUMIF(tblMotor[A_Norm],$A418,tblMotor[NetKar]),0))</f>
        <v/>
      </c>
      <c r="D418" s="16">
        <f>IF($A418="","",IFERROR(SUMIF(tblAnahtarA[Norm],$A418,tblVeriA[HedefNet]),0))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IF($A418="","",IF($F418&gt;egk_esikFark,1,0))</f>
        <v/>
      </c>
      <c r="O418" s="16">
        <f>IF($A418="","",IFERROR(SUMIF(tblMotor[A_Norm],$A418,tblMotor[NetKar]),0))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IF($A419="","",IFERROR(SUMIF(tblMotor[A_Norm],$A419,tblMotor[NetKar]),0))</f>
        <v/>
      </c>
      <c r="D419" s="16">
        <f>IF($A419="","",IFERROR(SUMIF(tblAnahtarA[Norm],$A419,tblVeriA[HedefNet]),0))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IF($A419="","",IF($F419&gt;egk_esikFark,1,0))</f>
        <v/>
      </c>
      <c r="O419" s="16">
        <f>IF($A419="","",IFERROR(SUMIF(tblMotor[A_Norm],$A419,tblMotor[NetKar]),0))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IF($A420="","",IFERROR(SUMIF(tblMotor[A_Norm],$A420,tblMotor[NetKar]),0))</f>
        <v/>
      </c>
      <c r="D420" s="16">
        <f>IF($A420="","",IFERROR(SUMIF(tblAnahtarA[Norm],$A420,tblVeriA[HedefNet]),0))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IF($A420="","",IF($F420&gt;egk_esikFark,1,0))</f>
        <v/>
      </c>
      <c r="O420" s="16">
        <f>IF($A420="","",IFERROR(SUMIF(tblMotor[A_Norm],$A420,tblMotor[NetKar]),0))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IF($A421="","",IFERROR(SUMIF(tblMotor[A_Norm],$A421,tblMotor[NetKar]),0))</f>
        <v/>
      </c>
      <c r="D421" s="16">
        <f>IF($A421="","",IFERROR(SUMIF(tblAnahtarA[Norm],$A421,tblVeriA[HedefNet]),0))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IF($A421="","",IF($F421&gt;egk_esikFark,1,0))</f>
        <v/>
      </c>
      <c r="O421" s="16">
        <f>IF($A421="","",IFERROR(SUMIF(tblMotor[A_Norm],$A421,tblMotor[NetKar]),0))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IF($A422="","",IFERROR(SUMIF(tblMotor[A_Norm],$A422,tblMotor[NetKar]),0))</f>
        <v/>
      </c>
      <c r="D422" s="16">
        <f>IF($A422="","",IFERROR(SUMIF(tblAnahtarA[Norm],$A422,tblVeriA[HedefNet]),0))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IF($A422="","",IF($F422&gt;egk_esikFark,1,0))</f>
        <v/>
      </c>
      <c r="O422" s="16">
        <f>IF($A422="","",IFERROR(SUMIF(tblMotor[A_Norm],$A422,tblMotor[NetKar]),0))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IF($A423="","",IFERROR(SUMIF(tblMotor[A_Norm],$A423,tblMotor[NetKar]),0))</f>
        <v/>
      </c>
      <c r="D423" s="16">
        <f>IF($A423="","",IFERROR(SUMIF(tblAnahtarA[Norm],$A423,tblVeriA[HedefNet]),0))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IF($A423="","",IF($F423&gt;egk_esikFark,1,0))</f>
        <v/>
      </c>
      <c r="O423" s="16">
        <f>IF($A423="","",IFERROR(SUMIF(tblMotor[A_Norm],$A423,tblMotor[NetKar]),0))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IF($A424="","",IFERROR(SUMIF(tblMotor[A_Norm],$A424,tblMotor[NetKar]),0))</f>
        <v/>
      </c>
      <c r="D424" s="16">
        <f>IF($A424="","",IFERROR(SUMIF(tblAnahtarA[Norm],$A424,tblVeriA[HedefNet]),0))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IF($A424="","",IF($F424&gt;egk_esikFark,1,0))</f>
        <v/>
      </c>
      <c r="O424" s="16">
        <f>IF($A424="","",IFERROR(SUMIF(tblMotor[A_Norm],$A424,tblMotor[NetKar]),0))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IF($A425="","",IFERROR(SUMIF(tblMotor[A_Norm],$A425,tblMotor[NetKar]),0))</f>
        <v/>
      </c>
      <c r="D425" s="16">
        <f>IF($A425="","",IFERROR(SUMIF(tblAnahtarA[Norm],$A425,tblVeriA[HedefNet]),0))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IF($A425="","",IF($F425&gt;egk_esikFark,1,0))</f>
        <v/>
      </c>
      <c r="O425" s="16">
        <f>IF($A425="","",IFERROR(SUMIF(tblMotor[A_Norm],$A425,tblMotor[NetKar]),0))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IF($A426="","",IFERROR(SUMIF(tblMotor[A_Norm],$A426,tblMotor[NetKar]),0))</f>
        <v/>
      </c>
      <c r="D426" s="16">
        <f>IF($A426="","",IFERROR(SUMIF(tblAnahtarA[Norm],$A426,tblVeriA[HedefNet]),0))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IF($A426="","",IF($F426&gt;egk_esikFark,1,0))</f>
        <v/>
      </c>
      <c r="O426" s="16">
        <f>IF($A426="","",IFERROR(SUMIF(tblMotor[A_Norm],$A426,tblMotor[NetKar]),0))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IF($A427="","",IFERROR(SUMIF(tblMotor[A_Norm],$A427,tblMotor[NetKar]),0))</f>
        <v/>
      </c>
      <c r="D427" s="16">
        <f>IF($A427="","",IFERROR(SUMIF(tblAnahtarA[Norm],$A427,tblVeriA[HedefNet]),0))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IF($A427="","",IF($F427&gt;egk_esikFark,1,0))</f>
        <v/>
      </c>
      <c r="O427" s="16">
        <f>IF($A427="","",IFERROR(SUMIF(tblMotor[A_Norm],$A427,tblMotor[NetKar]),0))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IF($A428="","",IFERROR(SUMIF(tblMotor[A_Norm],$A428,tblMotor[NetKar]),0))</f>
        <v/>
      </c>
      <c r="D428" s="16">
        <f>IF($A428="","",IFERROR(SUMIF(tblAnahtarA[Norm],$A428,tblVeriA[HedefNet]),0))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IF($A428="","",IF($F428&gt;egk_esikFark,1,0))</f>
        <v/>
      </c>
      <c r="O428" s="16">
        <f>IF($A428="","",IFERROR(SUMIF(tblMotor[A_Norm],$A428,tblMotor[NetKar]),0))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IF($A429="","",IFERROR(SUMIF(tblMotor[A_Norm],$A429,tblMotor[NetKar]),0))</f>
        <v/>
      </c>
      <c r="D429" s="16">
        <f>IF($A429="","",IFERROR(SUMIF(tblAnahtarA[Norm],$A429,tblVeriA[HedefNet]),0))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IF($A429="","",IF($F429&gt;egk_esikFark,1,0))</f>
        <v/>
      </c>
      <c r="O429" s="16">
        <f>IF($A429="","",IFERROR(SUMIF(tblMotor[A_Norm],$A429,tblMotor[NetKar]),0))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IF($A430="","",IFERROR(SUMIF(tblMotor[A_Norm],$A430,tblMotor[NetKar]),0))</f>
        <v/>
      </c>
      <c r="D430" s="16">
        <f>IF($A430="","",IFERROR(SUMIF(tblAnahtarA[Norm],$A430,tblVeriA[HedefNet]),0))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IF($A430="","",IF($F430&gt;egk_esikFark,1,0))</f>
        <v/>
      </c>
      <c r="O430" s="16">
        <f>IF($A430="","",IFERROR(SUMIF(tblMotor[A_Norm],$A430,tblMotor[NetKar]),0))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IF($A431="","",IFERROR(SUMIF(tblMotor[A_Norm],$A431,tblMotor[NetKar]),0))</f>
        <v/>
      </c>
      <c r="D431" s="16">
        <f>IF($A431="","",IFERROR(SUMIF(tblAnahtarA[Norm],$A431,tblVeriA[HedefNet]),0))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IF($A431="","",IF($F431&gt;egk_esikFark,1,0))</f>
        <v/>
      </c>
      <c r="O431" s="16">
        <f>IF($A431="","",IFERROR(SUMIF(tblMotor[A_Norm],$A431,tblMotor[NetKar]),0))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IF($A432="","",IFERROR(SUMIF(tblMotor[A_Norm],$A432,tblMotor[NetKar]),0))</f>
        <v/>
      </c>
      <c r="D432" s="16">
        <f>IF($A432="","",IFERROR(SUMIF(tblAnahtarA[Norm],$A432,tblVeriA[HedefNet]),0))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IF($A432="","",IF($F432&gt;egk_esikFark,1,0))</f>
        <v/>
      </c>
      <c r="O432" s="16">
        <f>IF($A432="","",IFERROR(SUMIF(tblMotor[A_Norm],$A432,tblMotor[NetKar]),0))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IF($A433="","",IFERROR(SUMIF(tblMotor[A_Norm],$A433,tblMotor[NetKar]),0))</f>
        <v/>
      </c>
      <c r="D433" s="16">
        <f>IF($A433="","",IFERROR(SUMIF(tblAnahtarA[Norm],$A433,tblVeriA[HedefNet]),0))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IF($A433="","",IF($F433&gt;egk_esikFark,1,0))</f>
        <v/>
      </c>
      <c r="O433" s="16">
        <f>IF($A433="","",IFERROR(SUMIF(tblMotor[A_Norm],$A433,tblMotor[NetKar]),0))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IF($A434="","",IFERROR(SUMIF(tblMotor[A_Norm],$A434,tblMotor[NetKar]),0))</f>
        <v/>
      </c>
      <c r="D434" s="16">
        <f>IF($A434="","",IFERROR(SUMIF(tblAnahtarA[Norm],$A434,tblVeriA[HedefNet]),0))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IF($A434="","",IF($F434&gt;egk_esikFark,1,0))</f>
        <v/>
      </c>
      <c r="O434" s="16">
        <f>IF($A434="","",IFERROR(SUMIF(tblMotor[A_Norm],$A434,tblMotor[NetKar]),0))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IF($A435="","",IFERROR(SUMIF(tblMotor[A_Norm],$A435,tblMotor[NetKar]),0))</f>
        <v/>
      </c>
      <c r="D435" s="16">
        <f>IF($A435="","",IFERROR(SUMIF(tblAnahtarA[Norm],$A435,tblVeriA[HedefNet]),0))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IF($A435="","",IF($F435&gt;egk_esikFark,1,0))</f>
        <v/>
      </c>
      <c r="O435" s="16">
        <f>IF($A435="","",IFERROR(SUMIF(tblMotor[A_Norm],$A435,tblMotor[NetKar]),0))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IF($A436="","",IFERROR(SUMIF(tblMotor[A_Norm],$A436,tblMotor[NetKar]),0))</f>
        <v/>
      </c>
      <c r="D436" s="16">
        <f>IF($A436="","",IFERROR(SUMIF(tblAnahtarA[Norm],$A436,tblVeriA[HedefNet]),0))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IF($A436="","",IF($F436&gt;egk_esikFark,1,0))</f>
        <v/>
      </c>
      <c r="O436" s="16">
        <f>IF($A436="","",IFERROR(SUMIF(tblMotor[A_Norm],$A436,tblMotor[NetKar]),0))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IF($A437="","",IFERROR(SUMIF(tblMotor[A_Norm],$A437,tblMotor[NetKar]),0))</f>
        <v/>
      </c>
      <c r="D437" s="16">
        <f>IF($A437="","",IFERROR(SUMIF(tblAnahtarA[Norm],$A437,tblVeriA[HedefNet]),0))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IF($A437="","",IF($F437&gt;egk_esikFark,1,0))</f>
        <v/>
      </c>
      <c r="O437" s="16">
        <f>IF($A437="","",IFERROR(SUMIF(tblMotor[A_Norm],$A437,tblMotor[NetKar]),0))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IF($A438="","",IFERROR(SUMIF(tblMotor[A_Norm],$A438,tblMotor[NetKar]),0))</f>
        <v/>
      </c>
      <c r="D438" s="16">
        <f>IF($A438="","",IFERROR(SUMIF(tblAnahtarA[Norm],$A438,tblVeriA[HedefNet]),0))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IF($A438="","",IF($F438&gt;egk_esikFark,1,0))</f>
        <v/>
      </c>
      <c r="O438" s="16">
        <f>IF($A438="","",IFERROR(SUMIF(tblMotor[A_Norm],$A438,tblMotor[NetKar]),0))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IF($A439="","",IFERROR(SUMIF(tblMotor[A_Norm],$A439,tblMotor[NetKar]),0))</f>
        <v/>
      </c>
      <c r="D439" s="16">
        <f>IF($A439="","",IFERROR(SUMIF(tblAnahtarA[Norm],$A439,tblVeriA[HedefNet]),0))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IF($A439="","",IF($F439&gt;egk_esikFark,1,0))</f>
        <v/>
      </c>
      <c r="O439" s="16">
        <f>IF($A439="","",IFERROR(SUMIF(tblMotor[A_Norm],$A439,tblMotor[NetKar]),0))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IF($A440="","",IFERROR(SUMIF(tblMotor[A_Norm],$A440,tblMotor[NetKar]),0))</f>
        <v/>
      </c>
      <c r="D440" s="16">
        <f>IF($A440="","",IFERROR(SUMIF(tblAnahtarA[Norm],$A440,tblVeriA[HedefNet]),0))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IF($A440="","",IF($F440&gt;egk_esikFark,1,0))</f>
        <v/>
      </c>
      <c r="O440" s="16">
        <f>IF($A440="","",IFERROR(SUMIF(tblMotor[A_Norm],$A440,tblMotor[NetKar]),0))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IF($A441="","",IFERROR(SUMIF(tblMotor[A_Norm],$A441,tblMotor[NetKar]),0))</f>
        <v/>
      </c>
      <c r="D441" s="16">
        <f>IF($A441="","",IFERROR(SUMIF(tblAnahtarA[Norm],$A441,tblVeriA[HedefNet]),0))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IF($A441="","",IF($F441&gt;egk_esikFark,1,0))</f>
        <v/>
      </c>
      <c r="O441" s="16">
        <f>IF($A441="","",IFERROR(SUMIF(tblMotor[A_Norm],$A441,tblMotor[NetKar]),0))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IF($A442="","",IFERROR(SUMIF(tblMotor[A_Norm],$A442,tblMotor[NetKar]),0))</f>
        <v/>
      </c>
      <c r="D442" s="16">
        <f>IF($A442="","",IFERROR(SUMIF(tblAnahtarA[Norm],$A442,tblVeriA[HedefNet]),0))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IF($A442="","",IF($F442&gt;egk_esikFark,1,0))</f>
        <v/>
      </c>
      <c r="O442" s="16">
        <f>IF($A442="","",IFERROR(SUMIF(tblMotor[A_Norm],$A442,tblMotor[NetKar]),0))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IF($A443="","",IFERROR(SUMIF(tblMotor[A_Norm],$A443,tblMotor[NetKar]),0))</f>
        <v/>
      </c>
      <c r="D443" s="16">
        <f>IF($A443="","",IFERROR(SUMIF(tblAnahtarA[Norm],$A443,tblVeriA[HedefNet]),0))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IF($A443="","",IF($F443&gt;egk_esikFark,1,0))</f>
        <v/>
      </c>
      <c r="O443" s="16">
        <f>IF($A443="","",IFERROR(SUMIF(tblMotor[A_Norm],$A443,tblMotor[NetKar]),0))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IF($A444="","",IFERROR(SUMIF(tblMotor[A_Norm],$A444,tblMotor[NetKar]),0))</f>
        <v/>
      </c>
      <c r="D444" s="16">
        <f>IF($A444="","",IFERROR(SUMIF(tblAnahtarA[Norm],$A444,tblVeriA[HedefNet]),0))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IF($A444="","",IF($F444&gt;egk_esikFark,1,0))</f>
        <v/>
      </c>
      <c r="O444" s="16">
        <f>IF($A444="","",IFERROR(SUMIF(tblMotor[A_Norm],$A444,tblMotor[NetKar]),0))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IF($A445="","",IFERROR(SUMIF(tblMotor[A_Norm],$A445,tblMotor[NetKar]),0))</f>
        <v/>
      </c>
      <c r="D445" s="16">
        <f>IF($A445="","",IFERROR(SUMIF(tblAnahtarA[Norm],$A445,tblVeriA[HedefNet]),0))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IF($A445="","",IF($F445&gt;egk_esikFark,1,0))</f>
        <v/>
      </c>
      <c r="O445" s="16">
        <f>IF($A445="","",IFERROR(SUMIF(tblMotor[A_Norm],$A445,tblMotor[NetKar]),0))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IF($A446="","",IFERROR(SUMIF(tblMotor[A_Norm],$A446,tblMotor[NetKar]),0))</f>
        <v/>
      </c>
      <c r="D446" s="16">
        <f>IF($A446="","",IFERROR(SUMIF(tblAnahtarA[Norm],$A446,tblVeriA[HedefNet]),0))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IF($A446="","",IF($F446&gt;egk_esikFark,1,0))</f>
        <v/>
      </c>
      <c r="O446" s="16">
        <f>IF($A446="","",IFERROR(SUMIF(tblMotor[A_Norm],$A446,tblMotor[NetKar]),0))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IF($A447="","",IFERROR(SUMIF(tblMotor[A_Norm],$A447,tblMotor[NetKar]),0))</f>
        <v/>
      </c>
      <c r="D447" s="16">
        <f>IF($A447="","",IFERROR(SUMIF(tblAnahtarA[Norm],$A447,tblVeriA[HedefNet]),0))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IF($A447="","",IF($F447&gt;egk_esikFark,1,0))</f>
        <v/>
      </c>
      <c r="O447" s="16">
        <f>IF($A447="","",IFERROR(SUMIF(tblMotor[A_Norm],$A447,tblMotor[NetKar]),0))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IF($A448="","",IFERROR(SUMIF(tblMotor[A_Norm],$A448,tblMotor[NetKar]),0))</f>
        <v/>
      </c>
      <c r="D448" s="16">
        <f>IF($A448="","",IFERROR(SUMIF(tblAnahtarA[Norm],$A448,tblVeriA[HedefNet]),0))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IF($A448="","",IF($F448&gt;egk_esikFark,1,0))</f>
        <v/>
      </c>
      <c r="O448" s="16">
        <f>IF($A448="","",IFERROR(SUMIF(tblMotor[A_Norm],$A448,tblMotor[NetKar]),0))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IF($A449="","",IFERROR(SUMIF(tblMotor[A_Norm],$A449,tblMotor[NetKar]),0))</f>
        <v/>
      </c>
      <c r="D449" s="16">
        <f>IF($A449="","",IFERROR(SUMIF(tblAnahtarA[Norm],$A449,tblVeriA[HedefNet]),0))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IF($A449="","",IF($F449&gt;egk_esikFark,1,0))</f>
        <v/>
      </c>
      <c r="O449" s="16">
        <f>IF($A449="","",IFERROR(SUMIF(tblMotor[A_Norm],$A449,tblMotor[NetKar]),0))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IF($A450="","",IFERROR(SUMIF(tblMotor[A_Norm],$A450,tblMotor[NetKar]),0))</f>
        <v/>
      </c>
      <c r="D450" s="16">
        <f>IF($A450="","",IFERROR(SUMIF(tblAnahtarA[Norm],$A450,tblVeriA[HedefNet]),0))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IF($A450="","",IF($F450&gt;egk_esikFark,1,0))</f>
        <v/>
      </c>
      <c r="O450" s="16">
        <f>IF($A450="","",IFERROR(SUMIF(tblMotor[A_Norm],$A450,tblMotor[NetKar]),0))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IF($A451="","",IFERROR(SUMIF(tblMotor[A_Norm],$A451,tblMotor[NetKar]),0))</f>
        <v/>
      </c>
      <c r="D451" s="16">
        <f>IF($A451="","",IFERROR(SUMIF(tblAnahtarA[Norm],$A451,tblVeriA[HedefNet]),0))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IF($A451="","",IF($F451&gt;egk_esikFark,1,0))</f>
        <v/>
      </c>
      <c r="O451" s="16">
        <f>IF($A451="","",IFERROR(SUMIF(tblMotor[A_Norm],$A451,tblMotor[NetKar]),0))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IF($A452="","",IFERROR(SUMIF(tblMotor[A_Norm],$A452,tblMotor[NetKar]),0))</f>
        <v/>
      </c>
      <c r="D452" s="16">
        <f>IF($A452="","",IFERROR(SUMIF(tblAnahtarA[Norm],$A452,tblVeriA[HedefNet]),0))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IF($A452="","",IF($F452&gt;egk_esikFark,1,0))</f>
        <v/>
      </c>
      <c r="O452" s="16">
        <f>IF($A452="","",IFERROR(SUMIF(tblMotor[A_Norm],$A452,tblMotor[NetKar]),0))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IF($A453="","",IFERROR(SUMIF(tblMotor[A_Norm],$A453,tblMotor[NetKar]),0))</f>
        <v/>
      </c>
      <c r="D453" s="16">
        <f>IF($A453="","",IFERROR(SUMIF(tblAnahtarA[Norm],$A453,tblVeriA[HedefNet]),0))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IF($A453="","",IF($F453&gt;egk_esikFark,1,0))</f>
        <v/>
      </c>
      <c r="O453" s="16">
        <f>IF($A453="","",IFERROR(SUMIF(tblMotor[A_Norm],$A453,tblMotor[NetKar]),0))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IF($A454="","",IFERROR(SUMIF(tblMotor[A_Norm],$A454,tblMotor[NetKar]),0))</f>
        <v/>
      </c>
      <c r="D454" s="16">
        <f>IF($A454="","",IFERROR(SUMIF(tblAnahtarA[Norm],$A454,tblVeriA[HedefNet]),0))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IF($A454="","",IF($F454&gt;egk_esikFark,1,0))</f>
        <v/>
      </c>
      <c r="O454" s="16">
        <f>IF($A454="","",IFERROR(SUMIF(tblMotor[A_Norm],$A454,tblMotor[NetKar]),0))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IF($A455="","",IFERROR(SUMIF(tblMotor[A_Norm],$A455,tblMotor[NetKar]),0))</f>
        <v/>
      </c>
      <c r="D455" s="16">
        <f>IF($A455="","",IFERROR(SUMIF(tblAnahtarA[Norm],$A455,tblVeriA[HedefNet]),0))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IF($A455="","",IF($F455&gt;egk_esikFark,1,0))</f>
        <v/>
      </c>
      <c r="O455" s="16">
        <f>IF($A455="","",IFERROR(SUMIF(tblMotor[A_Norm],$A455,tblMotor[NetKar]),0))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IF($A456="","",IFERROR(SUMIF(tblMotor[A_Norm],$A456,tblMotor[NetKar]),0))</f>
        <v/>
      </c>
      <c r="D456" s="16">
        <f>IF($A456="","",IFERROR(SUMIF(tblAnahtarA[Norm],$A456,tblVeriA[HedefNet]),0))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IF($A456="","",IF($F456&gt;egk_esikFark,1,0))</f>
        <v/>
      </c>
      <c r="O456" s="16">
        <f>IF($A456="","",IFERROR(SUMIF(tblMotor[A_Norm],$A456,tblMotor[NetKar]),0))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IF($A457="","",IFERROR(SUMIF(tblMotor[A_Norm],$A457,tblMotor[NetKar]),0))</f>
        <v/>
      </c>
      <c r="D457" s="16">
        <f>IF($A457="","",IFERROR(SUMIF(tblAnahtarA[Norm],$A457,tblVeriA[HedefNet]),0))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IF($A457="","",IF($F457&gt;egk_esikFark,1,0))</f>
        <v/>
      </c>
      <c r="O457" s="16">
        <f>IF($A457="","",IFERROR(SUMIF(tblMotor[A_Norm],$A457,tblMotor[NetKar]),0))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IF($A458="","",IFERROR(SUMIF(tblMotor[A_Norm],$A458,tblMotor[NetKar]),0))</f>
        <v/>
      </c>
      <c r="D458" s="16">
        <f>IF($A458="","",IFERROR(SUMIF(tblAnahtarA[Norm],$A458,tblVeriA[HedefNet]),0))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IF($A458="","",IF($F458&gt;egk_esikFark,1,0))</f>
        <v/>
      </c>
      <c r="O458" s="16">
        <f>IF($A458="","",IFERROR(SUMIF(tblMotor[A_Norm],$A458,tblMotor[NetKar]),0))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IF($A459="","",IFERROR(SUMIF(tblMotor[A_Norm],$A459,tblMotor[NetKar]),0))</f>
        <v/>
      </c>
      <c r="D459" s="16">
        <f>IF($A459="","",IFERROR(SUMIF(tblAnahtarA[Norm],$A459,tblVeriA[HedefNet]),0))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IF($A459="","",IF($F459&gt;egk_esikFark,1,0))</f>
        <v/>
      </c>
      <c r="O459" s="16">
        <f>IF($A459="","",IFERROR(SUMIF(tblMotor[A_Norm],$A459,tblMotor[NetKar]),0))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IF($A460="","",IFERROR(SUMIF(tblMotor[A_Norm],$A460,tblMotor[NetKar]),0))</f>
        <v/>
      </c>
      <c r="D460" s="16">
        <f>IF($A460="","",IFERROR(SUMIF(tblAnahtarA[Norm],$A460,tblVeriA[HedefNet]),0))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IF($A460="","",IF($F460&gt;egk_esikFark,1,0))</f>
        <v/>
      </c>
      <c r="O460" s="16">
        <f>IF($A460="","",IFERROR(SUMIF(tblMotor[A_Norm],$A460,tblMotor[NetKar]),0))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IF($A461="","",IFERROR(SUMIF(tblMotor[A_Norm],$A461,tblMotor[NetKar]),0))</f>
        <v/>
      </c>
      <c r="D461" s="16">
        <f>IF($A461="","",IFERROR(SUMIF(tblAnahtarA[Norm],$A461,tblVeriA[HedefNet]),0))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IF($A461="","",IF($F461&gt;egk_esikFark,1,0))</f>
        <v/>
      </c>
      <c r="O461" s="16">
        <f>IF($A461="","",IFERROR(SUMIF(tblMotor[A_Norm],$A461,tblMotor[NetKar]),0))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IF($A462="","",IFERROR(SUMIF(tblMotor[A_Norm],$A462,tblMotor[NetKar]),0))</f>
        <v/>
      </c>
      <c r="D462" s="16">
        <f>IF($A462="","",IFERROR(SUMIF(tblAnahtarA[Norm],$A462,tblVeriA[HedefNet]),0))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IF($A462="","",IF($F462&gt;egk_esikFark,1,0))</f>
        <v/>
      </c>
      <c r="O462" s="16">
        <f>IF($A462="","",IFERROR(SUMIF(tblMotor[A_Norm],$A462,tblMotor[NetKar]),0))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IF($A463="","",IFERROR(SUMIF(tblMotor[A_Norm],$A463,tblMotor[NetKar]),0))</f>
        <v/>
      </c>
      <c r="D463" s="16">
        <f>IF($A463="","",IFERROR(SUMIF(tblAnahtarA[Norm],$A463,tblVeriA[HedefNet]),0))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IF($A463="","",IF($F463&gt;egk_esikFark,1,0))</f>
        <v/>
      </c>
      <c r="O463" s="16">
        <f>IF($A463="","",IFERROR(SUMIF(tblMotor[A_Norm],$A463,tblMotor[NetKar]),0))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IF($A464="","",IFERROR(SUMIF(tblMotor[A_Norm],$A464,tblMotor[NetKar]),0))</f>
        <v/>
      </c>
      <c r="D464" s="16">
        <f>IF($A464="","",IFERROR(SUMIF(tblAnahtarA[Norm],$A464,tblVeriA[HedefNet]),0))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IF($A464="","",IF($F464&gt;egk_esikFark,1,0))</f>
        <v/>
      </c>
      <c r="O464" s="16">
        <f>IF($A464="","",IFERROR(SUMIF(tblMotor[A_Norm],$A464,tblMotor[NetKar]),0))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IF($A465="","",IFERROR(SUMIF(tblMotor[A_Norm],$A465,tblMotor[NetKar]),0))</f>
        <v/>
      </c>
      <c r="D465" s="16">
        <f>IF($A465="","",IFERROR(SUMIF(tblAnahtarA[Norm],$A465,tblVeriA[HedefNet]),0))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IF($A465="","",IF($F465&gt;egk_esikFark,1,0))</f>
        <v/>
      </c>
      <c r="O465" s="16">
        <f>IF($A465="","",IFERROR(SUMIF(tblMotor[A_Norm],$A465,tblMotor[NetKar]),0))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IF($A466="","",IFERROR(SUMIF(tblMotor[A_Norm],$A466,tblMotor[NetKar]),0))</f>
        <v/>
      </c>
      <c r="D466" s="16">
        <f>IF($A466="","",IFERROR(SUMIF(tblAnahtarA[Norm],$A466,tblVeriA[HedefNet]),0))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IF($A466="","",IF($F466&gt;egk_esikFark,1,0))</f>
        <v/>
      </c>
      <c r="O466" s="16">
        <f>IF($A466="","",IFERROR(SUMIF(tblMotor[A_Norm],$A466,tblMotor[NetKar]),0))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IF($A467="","",IFERROR(SUMIF(tblMotor[A_Norm],$A467,tblMotor[NetKar]),0))</f>
        <v/>
      </c>
      <c r="D467" s="16">
        <f>IF($A467="","",IFERROR(SUMIF(tblAnahtarA[Norm],$A467,tblVeriA[HedefNet]),0))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IF($A467="","",IF($F467&gt;egk_esikFark,1,0))</f>
        <v/>
      </c>
      <c r="O467" s="16">
        <f>IF($A467="","",IFERROR(SUMIF(tblMotor[A_Norm],$A467,tblMotor[NetKar]),0))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IF($A468="","",IFERROR(SUMIF(tblMotor[A_Norm],$A468,tblMotor[NetKar]),0))</f>
        <v/>
      </c>
      <c r="D468" s="16">
        <f>IF($A468="","",IFERROR(SUMIF(tblAnahtarA[Norm],$A468,tblVeriA[HedefNet]),0))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IF($A468="","",IF($F468&gt;egk_esikFark,1,0))</f>
        <v/>
      </c>
      <c r="O468" s="16">
        <f>IF($A468="","",IFERROR(SUMIF(tblMotor[A_Norm],$A468,tblMotor[NetKar]),0))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IF($A469="","",IFERROR(SUMIF(tblMotor[A_Norm],$A469,tblMotor[NetKar]),0))</f>
        <v/>
      </c>
      <c r="D469" s="16">
        <f>IF($A469="","",IFERROR(SUMIF(tblAnahtarA[Norm],$A469,tblVeriA[HedefNet]),0))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IF($A469="","",IF($F469&gt;egk_esikFark,1,0))</f>
        <v/>
      </c>
      <c r="O469" s="16">
        <f>IF($A469="","",IFERROR(SUMIF(tblMotor[A_Norm],$A469,tblMotor[NetKar]),0))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IF($A470="","",IFERROR(SUMIF(tblMotor[A_Norm],$A470,tblMotor[NetKar]),0))</f>
        <v/>
      </c>
      <c r="D470" s="16">
        <f>IF($A470="","",IFERROR(SUMIF(tblAnahtarA[Norm],$A470,tblVeriA[HedefNet]),0))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IF($A470="","",IF($F470&gt;egk_esikFark,1,0))</f>
        <v/>
      </c>
      <c r="O470" s="16">
        <f>IF($A470="","",IFERROR(SUMIF(tblMotor[A_Norm],$A470,tblMotor[NetKar]),0))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IF($A471="","",IFERROR(SUMIF(tblMotor[A_Norm],$A471,tblMotor[NetKar]),0))</f>
        <v/>
      </c>
      <c r="D471" s="16">
        <f>IF($A471="","",IFERROR(SUMIF(tblAnahtarA[Norm],$A471,tblVeriA[HedefNet]),0))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IF($A471="","",IF($F471&gt;egk_esikFark,1,0))</f>
        <v/>
      </c>
      <c r="O471" s="16">
        <f>IF($A471="","",IFERROR(SUMIF(tblMotor[A_Norm],$A471,tblMotor[NetKar]),0))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IF($A472="","",IFERROR(SUMIF(tblMotor[A_Norm],$A472,tblMotor[NetKar]),0))</f>
        <v/>
      </c>
      <c r="D472" s="16">
        <f>IF($A472="","",IFERROR(SUMIF(tblAnahtarA[Norm],$A472,tblVeriA[HedefNet]),0))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IF($A472="","",IF($F472&gt;egk_esikFark,1,0))</f>
        <v/>
      </c>
      <c r="O472" s="16">
        <f>IF($A472="","",IFERROR(SUMIF(tblMotor[A_Norm],$A472,tblMotor[NetKar]),0))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IF($A473="","",IFERROR(SUMIF(tblMotor[A_Norm],$A473,tblMotor[NetKar]),0))</f>
        <v/>
      </c>
      <c r="D473" s="16">
        <f>IF($A473="","",IFERROR(SUMIF(tblAnahtarA[Norm],$A473,tblVeriA[HedefNet]),0))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IF($A473="","",IF($F473&gt;egk_esikFark,1,0))</f>
        <v/>
      </c>
      <c r="O473" s="16">
        <f>IF($A473="","",IFERROR(SUMIF(tblMotor[A_Norm],$A473,tblMotor[NetKar]),0))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IF($A474="","",IFERROR(SUMIF(tblMotor[A_Norm],$A474,tblMotor[NetKar]),0))</f>
        <v/>
      </c>
      <c r="D474" s="16">
        <f>IF($A474="","",IFERROR(SUMIF(tblAnahtarA[Norm],$A474,tblVeriA[HedefNet]),0))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IF($A474="","",IF($F474&gt;egk_esikFark,1,0))</f>
        <v/>
      </c>
      <c r="O474" s="16">
        <f>IF($A474="","",IFERROR(SUMIF(tblMotor[A_Norm],$A474,tblMotor[NetKar]),0))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IF($A475="","",IFERROR(SUMIF(tblMotor[A_Norm],$A475,tblMotor[NetKar]),0))</f>
        <v/>
      </c>
      <c r="D475" s="16">
        <f>IF($A475="","",IFERROR(SUMIF(tblAnahtarA[Norm],$A475,tblVeriA[HedefNet]),0))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IF($A475="","",IF($F475&gt;egk_esikFark,1,0))</f>
        <v/>
      </c>
      <c r="O475" s="16">
        <f>IF($A475="","",IFERROR(SUMIF(tblMotor[A_Norm],$A475,tblMotor[NetKar]),0))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IF($A476="","",IFERROR(SUMIF(tblMotor[A_Norm],$A476,tblMotor[NetKar]),0))</f>
        <v/>
      </c>
      <c r="D476" s="16">
        <f>IF($A476="","",IFERROR(SUMIF(tblAnahtarA[Norm],$A476,tblVeriA[HedefNet]),0))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IF($A476="","",IF($F476&gt;egk_esikFark,1,0))</f>
        <v/>
      </c>
      <c r="O476" s="16">
        <f>IF($A476="","",IFERROR(SUMIF(tblMotor[A_Norm],$A476,tblMotor[NetKar]),0))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IF($A477="","",IFERROR(SUMIF(tblMotor[A_Norm],$A477,tblMotor[NetKar]),0))</f>
        <v/>
      </c>
      <c r="D477" s="16">
        <f>IF($A477="","",IFERROR(SUMIF(tblAnahtarA[Norm],$A477,tblVeriA[HedefNet]),0))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IF($A477="","",IF($F477&gt;egk_esikFark,1,0))</f>
        <v/>
      </c>
      <c r="O477" s="16">
        <f>IF($A477="","",IFERROR(SUMIF(tblMotor[A_Norm],$A477,tblMotor[NetKar]),0))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IF($A478="","",IFERROR(SUMIF(tblMotor[A_Norm],$A478,tblMotor[NetKar]),0))</f>
        <v/>
      </c>
      <c r="D478" s="16">
        <f>IF($A478="","",IFERROR(SUMIF(tblAnahtarA[Norm],$A478,tblVeriA[HedefNet]),0))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IF($A478="","",IF($F478&gt;egk_esikFark,1,0))</f>
        <v/>
      </c>
      <c r="O478" s="16">
        <f>IF($A478="","",IFERROR(SUMIF(tblMotor[A_Norm],$A478,tblMotor[NetKar]),0))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IF($A479="","",IFERROR(SUMIF(tblMotor[A_Norm],$A479,tblMotor[NetKar]),0))</f>
        <v/>
      </c>
      <c r="D479" s="16">
        <f>IF($A479="","",IFERROR(SUMIF(tblAnahtarA[Norm],$A479,tblVeriA[HedefNet]),0))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IF($A479="","",IF($F479&gt;egk_esikFark,1,0))</f>
        <v/>
      </c>
      <c r="O479" s="16">
        <f>IF($A479="","",IFERROR(SUMIF(tblMotor[A_Norm],$A479,tblMotor[NetKar]),0))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IF($A480="","",IFERROR(SUMIF(tblMotor[A_Norm],$A480,tblMotor[NetKar]),0))</f>
        <v/>
      </c>
      <c r="D480" s="16">
        <f>IF($A480="","",IFERROR(SUMIF(tblAnahtarA[Norm],$A480,tblVeriA[HedefNet]),0))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IF($A480="","",IF($F480&gt;egk_esikFark,1,0))</f>
        <v/>
      </c>
      <c r="O480" s="16">
        <f>IF($A480="","",IFERROR(SUMIF(tblMotor[A_Norm],$A480,tblMotor[NetKar]),0))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IF($A481="","",IFERROR(SUMIF(tblMotor[A_Norm],$A481,tblMotor[NetKar]),0))</f>
        <v/>
      </c>
      <c r="D481" s="16">
        <f>IF($A481="","",IFERROR(SUMIF(tblAnahtarA[Norm],$A481,tblVeriA[HedefNet]),0))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IF($A481="","",IF($F481&gt;egk_esikFark,1,0))</f>
        <v/>
      </c>
      <c r="O481" s="16">
        <f>IF($A481="","",IFERROR(SUMIF(tblMotor[A_Norm],$A481,tblMotor[NetKar]),0))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IF($A482="","",IFERROR(SUMIF(tblMotor[A_Norm],$A482,tblMotor[NetKar]),0))</f>
        <v/>
      </c>
      <c r="D482" s="16">
        <f>IF($A482="","",IFERROR(SUMIF(tblAnahtarA[Norm],$A482,tblVeriA[HedefNet]),0))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IF($A482="","",IF($F482&gt;egk_esikFark,1,0))</f>
        <v/>
      </c>
      <c r="O482" s="16">
        <f>IF($A482="","",IFERROR(SUMIF(tblMotor[A_Norm],$A482,tblMotor[NetKar]),0))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IF($A483="","",IFERROR(SUMIF(tblMotor[A_Norm],$A483,tblMotor[NetKar]),0))</f>
        <v/>
      </c>
      <c r="D483" s="16">
        <f>IF($A483="","",IFERROR(SUMIF(tblAnahtarA[Norm],$A483,tblVeriA[HedefNet]),0))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IF($A483="","",IF($F483&gt;egk_esikFark,1,0))</f>
        <v/>
      </c>
      <c r="O483" s="16">
        <f>IF($A483="","",IFERROR(SUMIF(tblMotor[A_Norm],$A483,tblMotor[NetKar]),0))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IF($A484="","",IFERROR(SUMIF(tblMotor[A_Norm],$A484,tblMotor[NetKar]),0))</f>
        <v/>
      </c>
      <c r="D484" s="16">
        <f>IF($A484="","",IFERROR(SUMIF(tblAnahtarA[Norm],$A484,tblVeriA[HedefNet]),0))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IF($A484="","",IF($F484&gt;egk_esikFark,1,0))</f>
        <v/>
      </c>
      <c r="O484" s="16">
        <f>IF($A484="","",IFERROR(SUMIF(tblMotor[A_Norm],$A484,tblMotor[NetKar]),0))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IF($A485="","",IFERROR(SUMIF(tblMotor[A_Norm],$A485,tblMotor[NetKar]),0))</f>
        <v/>
      </c>
      <c r="D485" s="16">
        <f>IF($A485="","",IFERROR(SUMIF(tblAnahtarA[Norm],$A485,tblVeriA[HedefNet]),0))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IF($A485="","",IF($F485&gt;egk_esikFark,1,0))</f>
        <v/>
      </c>
      <c r="O485" s="16">
        <f>IF($A485="","",IFERROR(SUMIF(tblMotor[A_Norm],$A485,tblMotor[NetKar]),0))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IF($A486="","",IFERROR(SUMIF(tblMotor[A_Norm],$A486,tblMotor[NetKar]),0))</f>
        <v/>
      </c>
      <c r="D486" s="16">
        <f>IF($A486="","",IFERROR(SUMIF(tblAnahtarA[Norm],$A486,tblVeriA[HedefNet]),0))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IF($A486="","",IF($F486&gt;egk_esikFark,1,0))</f>
        <v/>
      </c>
      <c r="O486" s="16">
        <f>IF($A486="","",IFERROR(SUMIF(tblMotor[A_Norm],$A486,tblMotor[NetKar]),0))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IF($A487="","",IFERROR(SUMIF(tblMotor[A_Norm],$A487,tblMotor[NetKar]),0))</f>
        <v/>
      </c>
      <c r="D487" s="16">
        <f>IF($A487="","",IFERROR(SUMIF(tblAnahtarA[Norm],$A487,tblVeriA[HedefNet]),0))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IF($A487="","",IF($F487&gt;egk_esikFark,1,0))</f>
        <v/>
      </c>
      <c r="O487" s="16">
        <f>IF($A487="","",IFERROR(SUMIF(tblMotor[A_Norm],$A487,tblMotor[NetKar]),0))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IF($A488="","",IFERROR(SUMIF(tblMotor[A_Norm],$A488,tblMotor[NetKar]),0))</f>
        <v/>
      </c>
      <c r="D488" s="16">
        <f>IF($A488="","",IFERROR(SUMIF(tblAnahtarA[Norm],$A488,tblVeriA[HedefNet]),0))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IF($A488="","",IF($F488&gt;egk_esikFark,1,0))</f>
        <v/>
      </c>
      <c r="O488" s="16">
        <f>IF($A488="","",IFERROR(SUMIF(tblMotor[A_Norm],$A488,tblMotor[NetKar]),0))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IF($A489="","",IFERROR(SUMIF(tblMotor[A_Norm],$A489,tblMotor[NetKar]),0))</f>
        <v/>
      </c>
      <c r="D489" s="16">
        <f>IF($A489="","",IFERROR(SUMIF(tblAnahtarA[Norm],$A489,tblVeriA[HedefNet]),0))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IF($A489="","",IF($F489&gt;egk_esikFark,1,0))</f>
        <v/>
      </c>
      <c r="O489" s="16">
        <f>IF($A489="","",IFERROR(SUMIF(tblMotor[A_Norm],$A489,tblMotor[NetKar]),0))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IF($A490="","",IFERROR(SUMIF(tblMotor[A_Norm],$A490,tblMotor[NetKar]),0))</f>
        <v/>
      </c>
      <c r="D490" s="16">
        <f>IF($A490="","",IFERROR(SUMIF(tblAnahtarA[Norm],$A490,tblVeriA[HedefNet]),0))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IF($A490="","",IF($F490&gt;egk_esikFark,1,0))</f>
        <v/>
      </c>
      <c r="O490" s="16">
        <f>IF($A490="","",IFERROR(SUMIF(tblMotor[A_Norm],$A490,tblMotor[NetKar]),0))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IF($A491="","",IFERROR(SUMIF(tblMotor[A_Norm],$A491,tblMotor[NetKar]),0))</f>
        <v/>
      </c>
      <c r="D491" s="16">
        <f>IF($A491="","",IFERROR(SUMIF(tblAnahtarA[Norm],$A491,tblVeriA[HedefNet]),0))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IF($A491="","",IF($F491&gt;egk_esikFark,1,0))</f>
        <v/>
      </c>
      <c r="O491" s="16">
        <f>IF($A491="","",IFERROR(SUMIF(tblMotor[A_Norm],$A491,tblMotor[NetKar]),0))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IF($A492="","",IFERROR(SUMIF(tblMotor[A_Norm],$A492,tblMotor[NetKar]),0))</f>
        <v/>
      </c>
      <c r="D492" s="16">
        <f>IF($A492="","",IFERROR(SUMIF(tblAnahtarA[Norm],$A492,tblVeriA[HedefNet]),0))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IF($A492="","",IF($F492&gt;egk_esikFark,1,0))</f>
        <v/>
      </c>
      <c r="O492" s="16">
        <f>IF($A492="","",IFERROR(SUMIF(tblMotor[A_Norm],$A492,tblMotor[NetKar]),0))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IF($A493="","",IFERROR(SUMIF(tblMotor[A_Norm],$A493,tblMotor[NetKar]),0))</f>
        <v/>
      </c>
      <c r="D493" s="16">
        <f>IF($A493="","",IFERROR(SUMIF(tblAnahtarA[Norm],$A493,tblVeriA[HedefNet]),0))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IF($A493="","",IF($F493&gt;egk_esikFark,1,0))</f>
        <v/>
      </c>
      <c r="O493" s="16">
        <f>IF($A493="","",IFERROR(SUMIF(tblMotor[A_Norm],$A493,tblMotor[NetKar]),0))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IF($A494="","",IFERROR(SUMIF(tblMotor[A_Norm],$A494,tblMotor[NetKar]),0))</f>
        <v/>
      </c>
      <c r="D494" s="16">
        <f>IF($A494="","",IFERROR(SUMIF(tblAnahtarA[Norm],$A494,tblVeriA[HedefNet]),0))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IF($A494="","",IF($F494&gt;egk_esikFark,1,0))</f>
        <v/>
      </c>
      <c r="O494" s="16">
        <f>IF($A494="","",IFERROR(SUMIF(tblMotor[A_Norm],$A494,tblMotor[NetKar]),0))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IF($A495="","",IFERROR(SUMIF(tblMotor[A_Norm],$A495,tblMotor[NetKar]),0))</f>
        <v/>
      </c>
      <c r="D495" s="16">
        <f>IF($A495="","",IFERROR(SUMIF(tblAnahtarA[Norm],$A495,tblVeriA[HedefNet]),0))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IF($A495="","",IF($F495&gt;egk_esikFark,1,0))</f>
        <v/>
      </c>
      <c r="O495" s="16">
        <f>IF($A495="","",IFERROR(SUMIF(tblMotor[A_Norm],$A495,tblMotor[NetKar]),0))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IF($A496="","",IFERROR(SUMIF(tblMotor[A_Norm],$A496,tblMotor[NetKar]),0))</f>
        <v/>
      </c>
      <c r="D496" s="16">
        <f>IF($A496="","",IFERROR(SUMIF(tblAnahtarA[Norm],$A496,tblVeriA[HedefNet]),0))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IF($A496="","",IF($F496&gt;egk_esikFark,1,0))</f>
        <v/>
      </c>
      <c r="O496" s="16">
        <f>IF($A496="","",IFERROR(SUMIF(tblMotor[A_Norm],$A496,tblMotor[NetKar]),0))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IF($A497="","",IFERROR(SUMIF(tblMotor[A_Norm],$A497,tblMotor[NetKar]),0))</f>
        <v/>
      </c>
      <c r="D497" s="16">
        <f>IF($A497="","",IFERROR(SUMIF(tblAnahtarA[Norm],$A497,tblVeriA[HedefNet]),0))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IF($A497="","",IF($F497&gt;egk_esikFark,1,0))</f>
        <v/>
      </c>
      <c r="O497" s="16">
        <f>IF($A497="","",IFERROR(SUMIF(tblMotor[A_Norm],$A497,tblMotor[NetKar]),0))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IF($A498="","",IFERROR(SUMIF(tblMotor[A_Norm],$A498,tblMotor[NetKar]),0))</f>
        <v/>
      </c>
      <c r="D498" s="16">
        <f>IF($A498="","",IFERROR(SUMIF(tblAnahtarA[Norm],$A498,tblVeriA[HedefNet]),0))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IF($A498="","",IF($F498&gt;egk_esikFark,1,0))</f>
        <v/>
      </c>
      <c r="O498" s="16">
        <f>IF($A498="","",IFERROR(SUMIF(tblMotor[A_Norm],$A498,tblMotor[NetKar]),0))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IF($A499="","",IFERROR(SUMIF(tblMotor[A_Norm],$A499,tblMotor[NetKar]),0))</f>
        <v/>
      </c>
      <c r="D499" s="16">
        <f>IF($A499="","",IFERROR(SUMIF(tblAnahtarA[Norm],$A499,tblVeriA[HedefNet]),0))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IF($A499="","",IF($F499&gt;egk_esikFark,1,0))</f>
        <v/>
      </c>
      <c r="O499" s="16">
        <f>IF($A499="","",IFERROR(SUMIF(tblMotor[A_Norm],$A499,tblMotor[NetKar]),0))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IF($A500="","",IFERROR(SUMIF(tblMotor[A_Norm],$A500,tblMotor[NetKar]),0))</f>
        <v/>
      </c>
      <c r="D500" s="16">
        <f>IF($A500="","",IFERROR(SUMIF(tblAnahtarA[Norm],$A500,tblVeriA[HedefNet]),0))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IF($A500="","",IF($F500&gt;egk_esikFark,1,0))</f>
        <v/>
      </c>
      <c r="O500" s="16">
        <f>IF($A500="","",IFERROR(SUMIF(tblMotor[A_Norm],$A500,tblMotor[NetKar]),0))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IF($A501="","",IFERROR(SUMIF(tblMotor[A_Norm],$A501,tblMotor[NetKar]),0))</f>
        <v/>
      </c>
      <c r="D501" s="16">
        <f>IF($A501="","",IFERROR(SUMIF(tblAnahtarA[Norm],$A501,tblVeriA[HedefNet]),0))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IF($A501="","",IF($F501&gt;egk_esikFark,1,0))</f>
        <v/>
      </c>
      <c r="O501" s="16">
        <f>IF($A501="","",IFERROR(SUMIF(tblMotor[A_Norm],$A501,tblMotor[NetKar]),0))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IF($A502="","",IFERROR(SUMIF(tblMotor[A_Norm],$A502,tblMotor[NetKar]),0))</f>
        <v/>
      </c>
      <c r="D502" s="16">
        <f>IF($A502="","",IFERROR(SUMIF(tblAnahtarA[Norm],$A502,tblVeriA[HedefNet]),0))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IF($A502="","",IF($F502&gt;egk_esikFark,1,0))</f>
        <v/>
      </c>
      <c r="O502" s="16">
        <f>IF($A502="","",IFERROR(SUMIF(tblMotor[A_Norm],$A502,tblMotor[NetKar]),0))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IF($A503="","",IFERROR(SUMIF(tblMotor[A_Norm],$A503,tblMotor[NetKar]),0))</f>
        <v/>
      </c>
      <c r="D503" s="16">
        <f>IF($A503="","",IFERROR(SUMIF(tblAnahtarA[Norm],$A503,tblVeriA[HedefNet]),0))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IF($A503="","",IF($F503&gt;egk_esikFark,1,0))</f>
        <v/>
      </c>
      <c r="O503" s="16">
        <f>IF($A503="","",IFERROR(SUMIF(tblMotor[A_Norm],$A503,tblMotor[NetKar]),0))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IF($A504="","",IFERROR(SUMIF(tblMotor[A_Norm],$A504,tblMotor[NetKar]),0))</f>
        <v/>
      </c>
      <c r="D504" s="16">
        <f>IF($A504="","",IFERROR(SUMIF(tblAnahtarA[Norm],$A504,tblVeriA[HedefNet]),0))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IF($A504="","",IF($F504&gt;egk_esikFark,1,0))</f>
        <v/>
      </c>
      <c r="O504" s="16">
        <f>IF($A504="","",IFERROR(SUMIF(tblMotor[A_Norm],$A504,tblMotor[NetKar]),0))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IF($A505="","",IFERROR(SUMIF(tblMotor[A_Norm],$A505,tblMotor[NetKar]),0))</f>
        <v/>
      </c>
      <c r="D505" s="16">
        <f>IF($A505="","",IFERROR(SUMIF(tblAnahtarA[Norm],$A505,tblVeriA[HedefNet]),0))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IF($A505="","",IF($F505&gt;egk_esikFark,1,0))</f>
        <v/>
      </c>
      <c r="O505" s="16">
        <f>IF($A505="","",IFERROR(SUMIF(tblMotor[A_Norm],$A505,tblMotor[NetKar]),0))</f>
        <v/>
      </c>
      <c r="P505" s="16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E-Ticaret Gerçek Kârlılık &amp; Fiyatlama</t>
        </is>
      </c>
    </row>
    <row r="3" ht="20" customHeight="1">
      <c r="A3" s="10" t="inlineStr">
        <is>
          <t>EGK-001..005 kök neden — eşleşmeyen fark TANIMSIZ (E04)</t>
        </is>
      </c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EGK-001</t>
        </is>
      </c>
      <c r="C6" s="8" t="inlineStr">
        <is>
          <t>ABS(fark-komisyon)&lt;=toleransKurus</t>
        </is>
      </c>
      <c r="D6" s="8" t="inlineStr">
        <is>
          <t>Yüksek komisyon baskısı</t>
        </is>
      </c>
    </row>
    <row r="7">
      <c r="A7" s="19" t="n">
        <v>2</v>
      </c>
      <c r="B7" s="18" t="inlineStr">
        <is>
          <t>EGK-002</t>
        </is>
      </c>
      <c r="C7" s="8" t="inlineStr">
        <is>
          <t>ABS(fark-iade)&lt;=toleransKurus</t>
        </is>
      </c>
      <c r="D7" s="8" t="inlineStr">
        <is>
          <t>Yüksek iade oranı</t>
        </is>
      </c>
    </row>
    <row r="8">
      <c r="A8" s="19" t="n">
        <v>3</v>
      </c>
      <c r="B8" s="18" t="inlineStr">
        <is>
          <t>EGK-003</t>
        </is>
      </c>
      <c r="C8" s="8" t="inlineStr">
        <is>
          <t>ABS(fark-reklam)&lt;=toleransKurus</t>
        </is>
      </c>
      <c r="D8" s="8" t="inlineStr">
        <is>
          <t>Zayıf ROAS / yüksek reklam</t>
        </is>
      </c>
    </row>
    <row r="9">
      <c r="A9" s="19" t="n">
        <v>4</v>
      </c>
      <c r="B9" s="18" t="inlineStr">
        <is>
          <t>EGK-004</t>
        </is>
      </c>
      <c r="C9" s="8" t="inlineStr">
        <is>
          <t>ABS(fark-kargo)&lt;=toleransKurus</t>
        </is>
      </c>
      <c r="D9" s="8" t="inlineStr">
        <is>
          <t>Yüksek kargo maliyeti</t>
        </is>
      </c>
    </row>
    <row r="10">
      <c r="A10" s="19" t="n">
        <v>5</v>
      </c>
      <c r="B10" s="18" t="inlineStr">
        <is>
          <t>EGK-005</t>
        </is>
      </c>
      <c r="C10" s="8" t="inlineStr">
        <is>
          <t>maliyet/satis&gt;esik</t>
        </is>
      </c>
      <c r="D10" s="8" t="inlineStr">
        <is>
          <t>Maliyet baskısı / düşük brüt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Komisyon</t>
        </is>
      </c>
      <c r="E15" s="12" t="inlineStr">
        <is>
          <t>Kargo</t>
        </is>
      </c>
      <c r="F15" s="12" t="inlineStr">
        <is>
          <t>Iade</t>
        </is>
      </c>
      <c r="G15" s="12" t="inlineStr">
        <is>
          <t>Reklam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IF($A16="","",IFERROR(SUMIF(tblMotor[A_Norm],$A16,tblMotor[KomisyonTutar]),0))</f>
        <v/>
      </c>
      <c r="E16" s="16">
        <f>IF($A16="","",IFERROR(SUMIF(tblMotor[A_Norm],$A16,tblMotor[Kargo]),0))</f>
        <v/>
      </c>
      <c r="F16" s="16">
        <f>IF($A16="","",IFERROR(SUMIF(tblMotor[A_Norm],$A16,tblMotor[IadeMaliyet]),0))</f>
        <v/>
      </c>
      <c r="G16" s="16">
        <f>IF($A16="","",IFERROR(SUMIF(tblMotor[A_Norm],$A16,tblMotor[ReklamHarcama]),0))</f>
        <v/>
      </c>
      <c r="H16" s="16">
        <f>IF(OR($A16="",$B16&lt;&gt;"tutar_farki"),"",IF(ABS($C16-$D16)&lt;=toleransKurus,"EGK-001",IF(ABS($C16-$F16)&lt;=toleransKurus,"EGK-002",IF(ABS($C16-$G16)&lt;=toleransKurus,"EGK-003",IF(ABS($C16-$E16)&lt;=toleransKurus,"EGK-004",IF($C16&gt;egk_esikFark,"EGK-005","TANIMSIZ"))))))</f>
        <v/>
      </c>
    </row>
    <row r="17">
      <c r="A17" s="22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IF($A17="","",IFERROR(SUMIF(tblMotor[A_Norm],$A17,tblMotor[KomisyonTutar]),0))</f>
        <v/>
      </c>
      <c r="E17" s="16">
        <f>IF($A17="","",IFERROR(SUMIF(tblMotor[A_Norm],$A17,tblMotor[Kargo]),0))</f>
        <v/>
      </c>
      <c r="F17" s="16">
        <f>IF($A17="","",IFERROR(SUMIF(tblMotor[A_Norm],$A17,tblMotor[IadeMaliyet]),0))</f>
        <v/>
      </c>
      <c r="G17" s="16">
        <f>IF($A17="","",IFERROR(SUMIF(tblMotor[A_Norm],$A17,tblMotor[ReklamHarcama]),0))</f>
        <v/>
      </c>
      <c r="H17" s="16">
        <f>IF(OR($A17="",$B17&lt;&gt;"tutar_farki"),"",IF(ABS($C17-$D17)&lt;=toleransKurus,"EGK-001",IF(ABS($C17-$F17)&lt;=toleransKurus,"EGK-002",IF(ABS($C17-$G17)&lt;=toleransKurus,"EGK-003",IF(ABS($C17-$E17)&lt;=toleransKurus,"EGK-004",IF($C17&gt;egk_esikFark,"EGK-005","TANIMSIZ"))))))</f>
        <v/>
      </c>
    </row>
    <row r="18">
      <c r="A18" s="22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IF($A18="","",IFERROR(SUMIF(tblMotor[A_Norm],$A18,tblMotor[KomisyonTutar]),0))</f>
        <v/>
      </c>
      <c r="E18" s="16">
        <f>IF($A18="","",IFERROR(SUMIF(tblMotor[A_Norm],$A18,tblMotor[Kargo]),0))</f>
        <v/>
      </c>
      <c r="F18" s="16">
        <f>IF($A18="","",IFERROR(SUMIF(tblMotor[A_Norm],$A18,tblMotor[IadeMaliyet]),0))</f>
        <v/>
      </c>
      <c r="G18" s="16">
        <f>IF($A18="","",IFERROR(SUMIF(tblMotor[A_Norm],$A18,tblMotor[ReklamHarcama]),0))</f>
        <v/>
      </c>
      <c r="H18" s="16">
        <f>IF(OR($A18="",$B18&lt;&gt;"tutar_farki"),"",IF(ABS($C18-$D18)&lt;=toleransKurus,"EGK-001",IF(ABS($C18-$F18)&lt;=toleransKurus,"EGK-002",IF(ABS($C18-$G18)&lt;=toleransKurus,"EGK-003",IF(ABS($C18-$E18)&lt;=toleransKurus,"EGK-004",IF($C18&gt;egk_esikFark,"EGK-005","TANIMSIZ"))))))</f>
        <v/>
      </c>
    </row>
    <row r="19">
      <c r="A19" s="22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IF($A19="","",IFERROR(SUMIF(tblMotor[A_Norm],$A19,tblMotor[KomisyonTutar]),0))</f>
        <v/>
      </c>
      <c r="E19" s="16">
        <f>IF($A19="","",IFERROR(SUMIF(tblMotor[A_Norm],$A19,tblMotor[Kargo]),0))</f>
        <v/>
      </c>
      <c r="F19" s="16">
        <f>IF($A19="","",IFERROR(SUMIF(tblMotor[A_Norm],$A19,tblMotor[IadeMaliyet]),0))</f>
        <v/>
      </c>
      <c r="G19" s="16">
        <f>IF($A19="","",IFERROR(SUMIF(tblMotor[A_Norm],$A19,tblMotor[ReklamHarcama]),0))</f>
        <v/>
      </c>
      <c r="H19" s="16">
        <f>IF(OR($A19="",$B19&lt;&gt;"tutar_farki"),"",IF(ABS($C19-$D19)&lt;=toleransKurus,"EGK-001",IF(ABS($C19-$F19)&lt;=toleransKurus,"EGK-002",IF(ABS($C19-$G19)&lt;=toleransKurus,"EGK-003",IF(ABS($C19-$E19)&lt;=toleransKurus,"EGK-004",IF($C19&gt;egk_esikFark,"EGK-005","TANIMSIZ"))))))</f>
        <v/>
      </c>
    </row>
    <row r="20">
      <c r="A20" s="22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IF($A20="","",IFERROR(SUMIF(tblMotor[A_Norm],$A20,tblMotor[KomisyonTutar]),0))</f>
        <v/>
      </c>
      <c r="E20" s="16">
        <f>IF($A20="","",IFERROR(SUMIF(tblMotor[A_Norm],$A20,tblMotor[Kargo]),0))</f>
        <v/>
      </c>
      <c r="F20" s="16">
        <f>IF($A20="","",IFERROR(SUMIF(tblMotor[A_Norm],$A20,tblMotor[IadeMaliyet]),0))</f>
        <v/>
      </c>
      <c r="G20" s="16">
        <f>IF($A20="","",IFERROR(SUMIF(tblMotor[A_Norm],$A20,tblMotor[ReklamHarcama]),0))</f>
        <v/>
      </c>
      <c r="H20" s="16">
        <f>IF(OR($A20="",$B20&lt;&gt;"tutar_farki"),"",IF(ABS($C20-$D20)&lt;=toleransKurus,"EGK-001",IF(ABS($C20-$F20)&lt;=toleransKurus,"EGK-002",IF(ABS($C20-$G20)&lt;=toleransKurus,"EGK-003",IF(ABS($C20-$E20)&lt;=toleransKurus,"EGK-004",IF($C20&gt;egk_esikFark,"EGK-005","TANIMSIZ"))))))</f>
        <v/>
      </c>
    </row>
    <row r="21">
      <c r="A21" s="22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IF($A21="","",IFERROR(SUMIF(tblMotor[A_Norm],$A21,tblMotor[KomisyonTutar]),0))</f>
        <v/>
      </c>
      <c r="E21" s="16">
        <f>IF($A21="","",IFERROR(SUMIF(tblMotor[A_Norm],$A21,tblMotor[Kargo]),0))</f>
        <v/>
      </c>
      <c r="F21" s="16">
        <f>IF($A21="","",IFERROR(SUMIF(tblMotor[A_Norm],$A21,tblMotor[IadeMaliyet]),0))</f>
        <v/>
      </c>
      <c r="G21" s="16">
        <f>IF($A21="","",IFERROR(SUMIF(tblMotor[A_Norm],$A21,tblMotor[ReklamHarcama]),0))</f>
        <v/>
      </c>
      <c r="H21" s="16">
        <f>IF(OR($A21="",$B21&lt;&gt;"tutar_farki"),"",IF(ABS($C21-$D21)&lt;=toleransKurus,"EGK-001",IF(ABS($C21-$F21)&lt;=toleransKurus,"EGK-002",IF(ABS($C21-$G21)&lt;=toleransKurus,"EGK-003",IF(ABS($C21-$E21)&lt;=toleransKurus,"EGK-004",IF($C21&gt;egk_esikFark,"EGK-005","TANIMSIZ"))))))</f>
        <v/>
      </c>
    </row>
    <row r="22">
      <c r="A22" s="22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IF($A22="","",IFERROR(SUMIF(tblMotor[A_Norm],$A22,tblMotor[KomisyonTutar]),0))</f>
        <v/>
      </c>
      <c r="E22" s="16">
        <f>IF($A22="","",IFERROR(SUMIF(tblMotor[A_Norm],$A22,tblMotor[Kargo]),0))</f>
        <v/>
      </c>
      <c r="F22" s="16">
        <f>IF($A22="","",IFERROR(SUMIF(tblMotor[A_Norm],$A22,tblMotor[IadeMaliyet]),0))</f>
        <v/>
      </c>
      <c r="G22" s="16">
        <f>IF($A22="","",IFERROR(SUMIF(tblMotor[A_Norm],$A22,tblMotor[ReklamHarcama]),0))</f>
        <v/>
      </c>
      <c r="H22" s="16">
        <f>IF(OR($A22="",$B22&lt;&gt;"tutar_farki"),"",IF(ABS($C22-$D22)&lt;=toleransKurus,"EGK-001",IF(ABS($C22-$F22)&lt;=toleransKurus,"EGK-002",IF(ABS($C22-$G22)&lt;=toleransKurus,"EGK-003",IF(ABS($C22-$E22)&lt;=toleransKurus,"EGK-004",IF($C22&gt;egk_esikFark,"EGK-005","TANIMSIZ"))))))</f>
        <v/>
      </c>
    </row>
    <row r="23">
      <c r="A23" s="22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IF($A23="","",IFERROR(SUMIF(tblMotor[A_Norm],$A23,tblMotor[KomisyonTutar]),0))</f>
        <v/>
      </c>
      <c r="E23" s="16">
        <f>IF($A23="","",IFERROR(SUMIF(tblMotor[A_Norm],$A23,tblMotor[Kargo]),0))</f>
        <v/>
      </c>
      <c r="F23" s="16">
        <f>IF($A23="","",IFERROR(SUMIF(tblMotor[A_Norm],$A23,tblMotor[IadeMaliyet]),0))</f>
        <v/>
      </c>
      <c r="G23" s="16">
        <f>IF($A23="","",IFERROR(SUMIF(tblMotor[A_Norm],$A23,tblMotor[ReklamHarcama]),0))</f>
        <v/>
      </c>
      <c r="H23" s="16">
        <f>IF(OR($A23="",$B23&lt;&gt;"tutar_farki"),"",IF(ABS($C23-$D23)&lt;=toleransKurus,"EGK-001",IF(ABS($C23-$F23)&lt;=toleransKurus,"EGK-002",IF(ABS($C23-$G23)&lt;=toleransKurus,"EGK-003",IF(ABS($C23-$E23)&lt;=toleransKurus,"EGK-004",IF($C23&gt;egk_esikFark,"EGK-005","TANIMSIZ"))))))</f>
        <v/>
      </c>
    </row>
    <row r="24">
      <c r="A24" s="22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IF($A24="","",IFERROR(SUMIF(tblMotor[A_Norm],$A24,tblMotor[KomisyonTutar]),0))</f>
        <v/>
      </c>
      <c r="E24" s="16">
        <f>IF($A24="","",IFERROR(SUMIF(tblMotor[A_Norm],$A24,tblMotor[Kargo]),0))</f>
        <v/>
      </c>
      <c r="F24" s="16">
        <f>IF($A24="","",IFERROR(SUMIF(tblMotor[A_Norm],$A24,tblMotor[IadeMaliyet]),0))</f>
        <v/>
      </c>
      <c r="G24" s="16">
        <f>IF($A24="","",IFERROR(SUMIF(tblMotor[A_Norm],$A24,tblMotor[ReklamHarcama]),0))</f>
        <v/>
      </c>
      <c r="H24" s="16">
        <f>IF(OR($A24="",$B24&lt;&gt;"tutar_farki"),"",IF(ABS($C24-$D24)&lt;=toleransKurus,"EGK-001",IF(ABS($C24-$F24)&lt;=toleransKurus,"EGK-002",IF(ABS($C24-$G24)&lt;=toleransKurus,"EGK-003",IF(ABS($C24-$E24)&lt;=toleransKurus,"EGK-004",IF($C24&gt;egk_esikFark,"EGK-005","TANIMSIZ"))))))</f>
        <v/>
      </c>
    </row>
    <row r="25">
      <c r="A25" s="22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IF($A25="","",IFERROR(SUMIF(tblMotor[A_Norm],$A25,tblMotor[KomisyonTutar]),0))</f>
        <v/>
      </c>
      <c r="E25" s="16">
        <f>IF($A25="","",IFERROR(SUMIF(tblMotor[A_Norm],$A25,tblMotor[Kargo]),0))</f>
        <v/>
      </c>
      <c r="F25" s="16">
        <f>IF($A25="","",IFERROR(SUMIF(tblMotor[A_Norm],$A25,tblMotor[IadeMaliyet]),0))</f>
        <v/>
      </c>
      <c r="G25" s="16">
        <f>IF($A25="","",IFERROR(SUMIF(tblMotor[A_Norm],$A25,tblMotor[ReklamHarcama]),0))</f>
        <v/>
      </c>
      <c r="H25" s="16">
        <f>IF(OR($A25="",$B25&lt;&gt;"tutar_farki"),"",IF(ABS($C25-$D25)&lt;=toleransKurus,"EGK-001",IF(ABS($C25-$F25)&lt;=toleransKurus,"EGK-002",IF(ABS($C25-$G25)&lt;=toleransKurus,"EGK-003",IF(ABS($C25-$E25)&lt;=toleransKurus,"EGK-004",IF($C25&gt;egk_esikFark,"EGK-005","TANIMSIZ"))))))</f>
        <v/>
      </c>
    </row>
    <row r="26">
      <c r="A26" s="22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IF($A26="","",IFERROR(SUMIF(tblMotor[A_Norm],$A26,tblMotor[KomisyonTutar]),0))</f>
        <v/>
      </c>
      <c r="E26" s="16">
        <f>IF($A26="","",IFERROR(SUMIF(tblMotor[A_Norm],$A26,tblMotor[Kargo]),0))</f>
        <v/>
      </c>
      <c r="F26" s="16">
        <f>IF($A26="","",IFERROR(SUMIF(tblMotor[A_Norm],$A26,tblMotor[IadeMaliyet]),0))</f>
        <v/>
      </c>
      <c r="G26" s="16">
        <f>IF($A26="","",IFERROR(SUMIF(tblMotor[A_Norm],$A26,tblMotor[ReklamHarcama]),0))</f>
        <v/>
      </c>
      <c r="H26" s="16">
        <f>IF(OR($A26="",$B26&lt;&gt;"tutar_farki"),"",IF(ABS($C26-$D26)&lt;=toleransKurus,"EGK-001",IF(ABS($C26-$F26)&lt;=toleransKurus,"EGK-002",IF(ABS($C26-$G26)&lt;=toleransKurus,"EGK-003",IF(ABS($C26-$E26)&lt;=toleransKurus,"EGK-004",IF($C26&gt;egk_esikFark,"EGK-005","TANIMSIZ"))))))</f>
        <v/>
      </c>
    </row>
    <row r="27">
      <c r="A27" s="22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IF($A27="","",IFERROR(SUMIF(tblMotor[A_Norm],$A27,tblMotor[KomisyonTutar]),0))</f>
        <v/>
      </c>
      <c r="E27" s="16">
        <f>IF($A27="","",IFERROR(SUMIF(tblMotor[A_Norm],$A27,tblMotor[Kargo]),0))</f>
        <v/>
      </c>
      <c r="F27" s="16">
        <f>IF($A27="","",IFERROR(SUMIF(tblMotor[A_Norm],$A27,tblMotor[IadeMaliyet]),0))</f>
        <v/>
      </c>
      <c r="G27" s="16">
        <f>IF($A27="","",IFERROR(SUMIF(tblMotor[A_Norm],$A27,tblMotor[ReklamHarcama]),0))</f>
        <v/>
      </c>
      <c r="H27" s="16">
        <f>IF(OR($A27="",$B27&lt;&gt;"tutar_farki"),"",IF(ABS($C27-$D27)&lt;=toleransKurus,"EGK-001",IF(ABS($C27-$F27)&lt;=toleransKurus,"EGK-002",IF(ABS($C27-$G27)&lt;=toleransKurus,"EGK-003",IF(ABS($C27-$E27)&lt;=toleransKurus,"EGK-004",IF($C27&gt;egk_esikFark,"EGK-005","TANIMSIZ"))))))</f>
        <v/>
      </c>
    </row>
    <row r="28">
      <c r="A28" s="22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IF($A28="","",IFERROR(SUMIF(tblMotor[A_Norm],$A28,tblMotor[KomisyonTutar]),0))</f>
        <v/>
      </c>
      <c r="E28" s="16">
        <f>IF($A28="","",IFERROR(SUMIF(tblMotor[A_Norm],$A28,tblMotor[Kargo]),0))</f>
        <v/>
      </c>
      <c r="F28" s="16">
        <f>IF($A28="","",IFERROR(SUMIF(tblMotor[A_Norm],$A28,tblMotor[IadeMaliyet]),0))</f>
        <v/>
      </c>
      <c r="G28" s="16">
        <f>IF($A28="","",IFERROR(SUMIF(tblMotor[A_Norm],$A28,tblMotor[ReklamHarcama]),0))</f>
        <v/>
      </c>
      <c r="H28" s="16">
        <f>IF(OR($A28="",$B28&lt;&gt;"tutar_farki"),"",IF(ABS($C28-$D28)&lt;=toleransKurus,"EGK-001",IF(ABS($C28-$F28)&lt;=toleransKurus,"EGK-002",IF(ABS($C28-$G28)&lt;=toleransKurus,"EGK-003",IF(ABS($C28-$E28)&lt;=toleransKurus,"EGK-004",IF($C28&gt;egk_esikFark,"EGK-005","TANIMSIZ"))))))</f>
        <v/>
      </c>
    </row>
    <row r="29">
      <c r="A29" s="22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IF($A29="","",IFERROR(SUMIF(tblMotor[A_Norm],$A29,tblMotor[KomisyonTutar]),0))</f>
        <v/>
      </c>
      <c r="E29" s="16">
        <f>IF($A29="","",IFERROR(SUMIF(tblMotor[A_Norm],$A29,tblMotor[Kargo]),0))</f>
        <v/>
      </c>
      <c r="F29" s="16">
        <f>IF($A29="","",IFERROR(SUMIF(tblMotor[A_Norm],$A29,tblMotor[IadeMaliyet]),0))</f>
        <v/>
      </c>
      <c r="G29" s="16">
        <f>IF($A29="","",IFERROR(SUMIF(tblMotor[A_Norm],$A29,tblMotor[ReklamHarcama]),0))</f>
        <v/>
      </c>
      <c r="H29" s="16">
        <f>IF(OR($A29="",$B29&lt;&gt;"tutar_farki"),"",IF(ABS($C29-$D29)&lt;=toleransKurus,"EGK-001",IF(ABS($C29-$F29)&lt;=toleransKurus,"EGK-002",IF(ABS($C29-$G29)&lt;=toleransKurus,"EGK-003",IF(ABS($C29-$E29)&lt;=toleransKurus,"EGK-004",IF($C29&gt;egk_esikFark,"EGK-005","TANIMSIZ"))))))</f>
        <v/>
      </c>
    </row>
    <row r="30">
      <c r="A30" s="22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IF($A30="","",IFERROR(SUMIF(tblMotor[A_Norm],$A30,tblMotor[KomisyonTutar]),0))</f>
        <v/>
      </c>
      <c r="E30" s="16">
        <f>IF($A30="","",IFERROR(SUMIF(tblMotor[A_Norm],$A30,tblMotor[Kargo]),0))</f>
        <v/>
      </c>
      <c r="F30" s="16">
        <f>IF($A30="","",IFERROR(SUMIF(tblMotor[A_Norm],$A30,tblMotor[IadeMaliyet]),0))</f>
        <v/>
      </c>
      <c r="G30" s="16">
        <f>IF($A30="","",IFERROR(SUMIF(tblMotor[A_Norm],$A30,tblMotor[ReklamHarcama]),0))</f>
        <v/>
      </c>
      <c r="H30" s="16">
        <f>IF(OR($A30="",$B30&lt;&gt;"tutar_farki"),"",IF(ABS($C30-$D30)&lt;=toleransKurus,"EGK-001",IF(ABS($C30-$F30)&lt;=toleransKurus,"EGK-002",IF(ABS($C30-$G30)&lt;=toleransKurus,"EGK-003",IF(ABS($C30-$E30)&lt;=toleransKurus,"EGK-004",IF($C30&gt;egk_esikFark,"EGK-005","TANIMSIZ"))))))</f>
        <v/>
      </c>
    </row>
    <row r="31">
      <c r="A31" s="22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IF($A31="","",IFERROR(SUMIF(tblMotor[A_Norm],$A31,tblMotor[KomisyonTutar]),0))</f>
        <v/>
      </c>
      <c r="E31" s="16">
        <f>IF($A31="","",IFERROR(SUMIF(tblMotor[A_Norm],$A31,tblMotor[Kargo]),0))</f>
        <v/>
      </c>
      <c r="F31" s="16">
        <f>IF($A31="","",IFERROR(SUMIF(tblMotor[A_Norm],$A31,tblMotor[IadeMaliyet]),0))</f>
        <v/>
      </c>
      <c r="G31" s="16">
        <f>IF($A31="","",IFERROR(SUMIF(tblMotor[A_Norm],$A31,tblMotor[ReklamHarcama]),0))</f>
        <v/>
      </c>
      <c r="H31" s="16">
        <f>IF(OR($A31="",$B31&lt;&gt;"tutar_farki"),"",IF(ABS($C31-$D31)&lt;=toleransKurus,"EGK-001",IF(ABS($C31-$F31)&lt;=toleransKurus,"EGK-002",IF(ABS($C31-$G31)&lt;=toleransKurus,"EGK-003",IF(ABS($C31-$E31)&lt;=toleransKurus,"EGK-004",IF($C31&gt;egk_esikFark,"EGK-005","TANIMSIZ"))))))</f>
        <v/>
      </c>
    </row>
    <row r="32">
      <c r="A32" s="22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IF($A32="","",IFERROR(SUMIF(tblMotor[A_Norm],$A32,tblMotor[KomisyonTutar]),0))</f>
        <v/>
      </c>
      <c r="E32" s="16">
        <f>IF($A32="","",IFERROR(SUMIF(tblMotor[A_Norm],$A32,tblMotor[Kargo]),0))</f>
        <v/>
      </c>
      <c r="F32" s="16">
        <f>IF($A32="","",IFERROR(SUMIF(tblMotor[A_Norm],$A32,tblMotor[IadeMaliyet]),0))</f>
        <v/>
      </c>
      <c r="G32" s="16">
        <f>IF($A32="","",IFERROR(SUMIF(tblMotor[A_Norm],$A32,tblMotor[ReklamHarcama]),0))</f>
        <v/>
      </c>
      <c r="H32" s="16">
        <f>IF(OR($A32="",$B32&lt;&gt;"tutar_farki"),"",IF(ABS($C32-$D32)&lt;=toleransKurus,"EGK-001",IF(ABS($C32-$F32)&lt;=toleransKurus,"EGK-002",IF(ABS($C32-$G32)&lt;=toleransKurus,"EGK-003",IF(ABS($C32-$E32)&lt;=toleransKurus,"EGK-004",IF($C32&gt;egk_esikFark,"EGK-005","TANIMSIZ"))))))</f>
        <v/>
      </c>
    </row>
    <row r="33">
      <c r="A33" s="22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IF($A33="","",IFERROR(SUMIF(tblMotor[A_Norm],$A33,tblMotor[KomisyonTutar]),0))</f>
        <v/>
      </c>
      <c r="E33" s="16">
        <f>IF($A33="","",IFERROR(SUMIF(tblMotor[A_Norm],$A33,tblMotor[Kargo]),0))</f>
        <v/>
      </c>
      <c r="F33" s="16">
        <f>IF($A33="","",IFERROR(SUMIF(tblMotor[A_Norm],$A33,tblMotor[IadeMaliyet]),0))</f>
        <v/>
      </c>
      <c r="G33" s="16">
        <f>IF($A33="","",IFERROR(SUMIF(tblMotor[A_Norm],$A33,tblMotor[ReklamHarcama]),0))</f>
        <v/>
      </c>
      <c r="H33" s="16">
        <f>IF(OR($A33="",$B33&lt;&gt;"tutar_farki"),"",IF(ABS($C33-$D33)&lt;=toleransKurus,"EGK-001",IF(ABS($C33-$F33)&lt;=toleransKurus,"EGK-002",IF(ABS($C33-$G33)&lt;=toleransKurus,"EGK-003",IF(ABS($C33-$E33)&lt;=toleransKurus,"EGK-004",IF($C33&gt;egk_esikFark,"EGK-005","TANIMSIZ"))))))</f>
        <v/>
      </c>
    </row>
    <row r="34">
      <c r="A34" s="22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IF($A34="","",IFERROR(SUMIF(tblMotor[A_Norm],$A34,tblMotor[KomisyonTutar]),0))</f>
        <v/>
      </c>
      <c r="E34" s="16">
        <f>IF($A34="","",IFERROR(SUMIF(tblMotor[A_Norm],$A34,tblMotor[Kargo]),0))</f>
        <v/>
      </c>
      <c r="F34" s="16">
        <f>IF($A34="","",IFERROR(SUMIF(tblMotor[A_Norm],$A34,tblMotor[IadeMaliyet]),0))</f>
        <v/>
      </c>
      <c r="G34" s="16">
        <f>IF($A34="","",IFERROR(SUMIF(tblMotor[A_Norm],$A34,tblMotor[ReklamHarcama]),0))</f>
        <v/>
      </c>
      <c r="H34" s="16">
        <f>IF(OR($A34="",$B34&lt;&gt;"tutar_farki"),"",IF(ABS($C34-$D34)&lt;=toleransKurus,"EGK-001",IF(ABS($C34-$F34)&lt;=toleransKurus,"EGK-002",IF(ABS($C34-$G34)&lt;=toleransKurus,"EGK-003",IF(ABS($C34-$E34)&lt;=toleransKurus,"EGK-004",IF($C34&gt;egk_esikFark,"EGK-005","TANIMSIZ"))))))</f>
        <v/>
      </c>
    </row>
    <row r="35">
      <c r="A35" s="22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IF($A35="","",IFERROR(SUMIF(tblMotor[A_Norm],$A35,tblMotor[KomisyonTutar]),0))</f>
        <v/>
      </c>
      <c r="E35" s="16">
        <f>IF($A35="","",IFERROR(SUMIF(tblMotor[A_Norm],$A35,tblMotor[Kargo]),0))</f>
        <v/>
      </c>
      <c r="F35" s="16">
        <f>IF($A35="","",IFERROR(SUMIF(tblMotor[A_Norm],$A35,tblMotor[IadeMaliyet]),0))</f>
        <v/>
      </c>
      <c r="G35" s="16">
        <f>IF($A35="","",IFERROR(SUMIF(tblMotor[A_Norm],$A35,tblMotor[ReklamHarcama]),0))</f>
        <v/>
      </c>
      <c r="H35" s="16">
        <f>IF(OR($A35="",$B35&lt;&gt;"tutar_farki"),"",IF(ABS($C35-$D35)&lt;=toleransKurus,"EGK-001",IF(ABS($C35-$F35)&lt;=toleransKurus,"EGK-002",IF(ABS($C35-$G35)&lt;=toleransKurus,"EGK-003",IF(ABS($C35-$E35)&lt;=toleransKurus,"EGK-004",IF($C35&gt;egk_esikFark,"EGK-005","TANIMSIZ"))))))</f>
        <v/>
      </c>
    </row>
    <row r="36">
      <c r="A36" s="22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IF($A36="","",IFERROR(SUMIF(tblMotor[A_Norm],$A36,tblMotor[KomisyonTutar]),0))</f>
        <v/>
      </c>
      <c r="E36" s="16">
        <f>IF($A36="","",IFERROR(SUMIF(tblMotor[A_Norm],$A36,tblMotor[Kargo]),0))</f>
        <v/>
      </c>
      <c r="F36" s="16">
        <f>IF($A36="","",IFERROR(SUMIF(tblMotor[A_Norm],$A36,tblMotor[IadeMaliyet]),0))</f>
        <v/>
      </c>
      <c r="G36" s="16">
        <f>IF($A36="","",IFERROR(SUMIF(tblMotor[A_Norm],$A36,tblMotor[ReklamHarcama]),0))</f>
        <v/>
      </c>
      <c r="H36" s="16">
        <f>IF(OR($A36="",$B36&lt;&gt;"tutar_farki"),"",IF(ABS($C36-$D36)&lt;=toleransKurus,"EGK-001",IF(ABS($C36-$F36)&lt;=toleransKurus,"EGK-002",IF(ABS($C36-$G36)&lt;=toleransKurus,"EGK-003",IF(ABS($C36-$E36)&lt;=toleransKurus,"EGK-004",IF($C36&gt;egk_esikFark,"EGK-005","TANIMSIZ"))))))</f>
        <v/>
      </c>
    </row>
    <row r="37">
      <c r="A37" s="22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IF($A37="","",IFERROR(SUMIF(tblMotor[A_Norm],$A37,tblMotor[KomisyonTutar]),0))</f>
        <v/>
      </c>
      <c r="E37" s="16">
        <f>IF($A37="","",IFERROR(SUMIF(tblMotor[A_Norm],$A37,tblMotor[Kargo]),0))</f>
        <v/>
      </c>
      <c r="F37" s="16">
        <f>IF($A37="","",IFERROR(SUMIF(tblMotor[A_Norm],$A37,tblMotor[IadeMaliyet]),0))</f>
        <v/>
      </c>
      <c r="G37" s="16">
        <f>IF($A37="","",IFERROR(SUMIF(tblMotor[A_Norm],$A37,tblMotor[ReklamHarcama]),0))</f>
        <v/>
      </c>
      <c r="H37" s="16">
        <f>IF(OR($A37="",$B37&lt;&gt;"tutar_farki"),"",IF(ABS($C37-$D37)&lt;=toleransKurus,"EGK-001",IF(ABS($C37-$F37)&lt;=toleransKurus,"EGK-002",IF(ABS($C37-$G37)&lt;=toleransKurus,"EGK-003",IF(ABS($C37-$E37)&lt;=toleransKurus,"EGK-004",IF($C37&gt;egk_esikFark,"EGK-005","TANIMSIZ"))))))</f>
        <v/>
      </c>
    </row>
    <row r="38">
      <c r="A38" s="22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IF($A38="","",IFERROR(SUMIF(tblMotor[A_Norm],$A38,tblMotor[KomisyonTutar]),0))</f>
        <v/>
      </c>
      <c r="E38" s="16">
        <f>IF($A38="","",IFERROR(SUMIF(tblMotor[A_Norm],$A38,tblMotor[Kargo]),0))</f>
        <v/>
      </c>
      <c r="F38" s="16">
        <f>IF($A38="","",IFERROR(SUMIF(tblMotor[A_Norm],$A38,tblMotor[IadeMaliyet]),0))</f>
        <v/>
      </c>
      <c r="G38" s="16">
        <f>IF($A38="","",IFERROR(SUMIF(tblMotor[A_Norm],$A38,tblMotor[ReklamHarcama]),0))</f>
        <v/>
      </c>
      <c r="H38" s="16">
        <f>IF(OR($A38="",$B38&lt;&gt;"tutar_farki"),"",IF(ABS($C38-$D38)&lt;=toleransKurus,"EGK-001",IF(ABS($C38-$F38)&lt;=toleransKurus,"EGK-002",IF(ABS($C38-$G38)&lt;=toleransKurus,"EGK-003",IF(ABS($C38-$E38)&lt;=toleransKurus,"EGK-004",IF($C38&gt;egk_esikFark,"EGK-005","TANIMSIZ"))))))</f>
        <v/>
      </c>
    </row>
    <row r="39">
      <c r="A39" s="22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IF($A39="","",IFERROR(SUMIF(tblMotor[A_Norm],$A39,tblMotor[KomisyonTutar]),0))</f>
        <v/>
      </c>
      <c r="E39" s="16">
        <f>IF($A39="","",IFERROR(SUMIF(tblMotor[A_Norm],$A39,tblMotor[Kargo]),0))</f>
        <v/>
      </c>
      <c r="F39" s="16">
        <f>IF($A39="","",IFERROR(SUMIF(tblMotor[A_Norm],$A39,tblMotor[IadeMaliyet]),0))</f>
        <v/>
      </c>
      <c r="G39" s="16">
        <f>IF($A39="","",IFERROR(SUMIF(tblMotor[A_Norm],$A39,tblMotor[ReklamHarcama]),0))</f>
        <v/>
      </c>
      <c r="H39" s="16">
        <f>IF(OR($A39="",$B39&lt;&gt;"tutar_farki"),"",IF(ABS($C39-$D39)&lt;=toleransKurus,"EGK-001",IF(ABS($C39-$F39)&lt;=toleransKurus,"EGK-002",IF(ABS($C39-$G39)&lt;=toleransKurus,"EGK-003",IF(ABS($C39-$E39)&lt;=toleransKurus,"EGK-004",IF($C39&gt;egk_esikFark,"EGK-005","TANIMSIZ"))))))</f>
        <v/>
      </c>
    </row>
    <row r="40">
      <c r="A40" s="22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IF($A40="","",IFERROR(SUMIF(tblMotor[A_Norm],$A40,tblMotor[KomisyonTutar]),0))</f>
        <v/>
      </c>
      <c r="E40" s="16">
        <f>IF($A40="","",IFERROR(SUMIF(tblMotor[A_Norm],$A40,tblMotor[Kargo]),0))</f>
        <v/>
      </c>
      <c r="F40" s="16">
        <f>IF($A40="","",IFERROR(SUMIF(tblMotor[A_Norm],$A40,tblMotor[IadeMaliyet]),0))</f>
        <v/>
      </c>
      <c r="G40" s="16">
        <f>IF($A40="","",IFERROR(SUMIF(tblMotor[A_Norm],$A40,tblMotor[ReklamHarcama]),0))</f>
        <v/>
      </c>
      <c r="H40" s="16">
        <f>IF(OR($A40="",$B40&lt;&gt;"tutar_farki"),"",IF(ABS($C40-$D40)&lt;=toleransKurus,"EGK-001",IF(ABS($C40-$F40)&lt;=toleransKurus,"EGK-002",IF(ABS($C40-$G40)&lt;=toleransKurus,"EGK-003",IF(ABS($C40-$E40)&lt;=toleransKurus,"EGK-004",IF($C40&gt;egk_esikFark,"EGK-005","TANIMSIZ"))))))</f>
        <v/>
      </c>
    </row>
    <row r="41">
      <c r="A41" s="22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IF($A41="","",IFERROR(SUMIF(tblMotor[A_Norm],$A41,tblMotor[KomisyonTutar]),0))</f>
        <v/>
      </c>
      <c r="E41" s="16">
        <f>IF($A41="","",IFERROR(SUMIF(tblMotor[A_Norm],$A41,tblMotor[Kargo]),0))</f>
        <v/>
      </c>
      <c r="F41" s="16">
        <f>IF($A41="","",IFERROR(SUMIF(tblMotor[A_Norm],$A41,tblMotor[IadeMaliyet]),0))</f>
        <v/>
      </c>
      <c r="G41" s="16">
        <f>IF($A41="","",IFERROR(SUMIF(tblMotor[A_Norm],$A41,tblMotor[ReklamHarcama]),0))</f>
        <v/>
      </c>
      <c r="H41" s="16">
        <f>IF(OR($A41="",$B41&lt;&gt;"tutar_farki"),"",IF(ABS($C41-$D41)&lt;=toleransKurus,"EGK-001",IF(ABS($C41-$F41)&lt;=toleransKurus,"EGK-002",IF(ABS($C41-$G41)&lt;=toleransKurus,"EGK-003",IF(ABS($C41-$E41)&lt;=toleransKurus,"EGK-004",IF($C41&gt;egk_esikFark,"EGK-005","TANIMSIZ"))))))</f>
        <v/>
      </c>
    </row>
    <row r="42">
      <c r="A42" s="22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IF($A42="","",IFERROR(SUMIF(tblMotor[A_Norm],$A42,tblMotor[KomisyonTutar]),0))</f>
        <v/>
      </c>
      <c r="E42" s="16">
        <f>IF($A42="","",IFERROR(SUMIF(tblMotor[A_Norm],$A42,tblMotor[Kargo]),0))</f>
        <v/>
      </c>
      <c r="F42" s="16">
        <f>IF($A42="","",IFERROR(SUMIF(tblMotor[A_Norm],$A42,tblMotor[IadeMaliyet]),0))</f>
        <v/>
      </c>
      <c r="G42" s="16">
        <f>IF($A42="","",IFERROR(SUMIF(tblMotor[A_Norm],$A42,tblMotor[ReklamHarcama]),0))</f>
        <v/>
      </c>
      <c r="H42" s="16">
        <f>IF(OR($A42="",$B42&lt;&gt;"tutar_farki"),"",IF(ABS($C42-$D42)&lt;=toleransKurus,"EGK-001",IF(ABS($C42-$F42)&lt;=toleransKurus,"EGK-002",IF(ABS($C42-$G42)&lt;=toleransKurus,"EGK-003",IF(ABS($C42-$E42)&lt;=toleransKurus,"EGK-004",IF($C42&gt;egk_esikFark,"EGK-005","TANIMSIZ"))))))</f>
        <v/>
      </c>
    </row>
    <row r="43">
      <c r="A43" s="22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IF($A43="","",IFERROR(SUMIF(tblMotor[A_Norm],$A43,tblMotor[KomisyonTutar]),0))</f>
        <v/>
      </c>
      <c r="E43" s="16">
        <f>IF($A43="","",IFERROR(SUMIF(tblMotor[A_Norm],$A43,tblMotor[Kargo]),0))</f>
        <v/>
      </c>
      <c r="F43" s="16">
        <f>IF($A43="","",IFERROR(SUMIF(tblMotor[A_Norm],$A43,tblMotor[IadeMaliyet]),0))</f>
        <v/>
      </c>
      <c r="G43" s="16">
        <f>IF($A43="","",IFERROR(SUMIF(tblMotor[A_Norm],$A43,tblMotor[ReklamHarcama]),0))</f>
        <v/>
      </c>
      <c r="H43" s="16">
        <f>IF(OR($A43="",$B43&lt;&gt;"tutar_farki"),"",IF(ABS($C43-$D43)&lt;=toleransKurus,"EGK-001",IF(ABS($C43-$F43)&lt;=toleransKurus,"EGK-002",IF(ABS($C43-$G43)&lt;=toleransKurus,"EGK-003",IF(ABS($C43-$E43)&lt;=toleransKurus,"EGK-004",IF($C43&gt;egk_esikFark,"EGK-005","TANIMSIZ"))))))</f>
        <v/>
      </c>
    </row>
    <row r="44">
      <c r="A44" s="22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IF($A44="","",IFERROR(SUMIF(tblMotor[A_Norm],$A44,tblMotor[KomisyonTutar]),0))</f>
        <v/>
      </c>
      <c r="E44" s="16">
        <f>IF($A44="","",IFERROR(SUMIF(tblMotor[A_Norm],$A44,tblMotor[Kargo]),0))</f>
        <v/>
      </c>
      <c r="F44" s="16">
        <f>IF($A44="","",IFERROR(SUMIF(tblMotor[A_Norm],$A44,tblMotor[IadeMaliyet]),0))</f>
        <v/>
      </c>
      <c r="G44" s="16">
        <f>IF($A44="","",IFERROR(SUMIF(tblMotor[A_Norm],$A44,tblMotor[ReklamHarcama]),0))</f>
        <v/>
      </c>
      <c r="H44" s="16">
        <f>IF(OR($A44="",$B44&lt;&gt;"tutar_farki"),"",IF(ABS($C44-$D44)&lt;=toleransKurus,"EGK-001",IF(ABS($C44-$F44)&lt;=toleransKurus,"EGK-002",IF(ABS($C44-$G44)&lt;=toleransKurus,"EGK-003",IF(ABS($C44-$E44)&lt;=toleransKurus,"EGK-004",IF($C44&gt;egk_esikFark,"EGK-005","TANIMSIZ"))))))</f>
        <v/>
      </c>
    </row>
    <row r="45">
      <c r="A45" s="22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IF($A45="","",IFERROR(SUMIF(tblMotor[A_Norm],$A45,tblMotor[KomisyonTutar]),0))</f>
        <v/>
      </c>
      <c r="E45" s="16">
        <f>IF($A45="","",IFERROR(SUMIF(tblMotor[A_Norm],$A45,tblMotor[Kargo]),0))</f>
        <v/>
      </c>
      <c r="F45" s="16">
        <f>IF($A45="","",IFERROR(SUMIF(tblMotor[A_Norm],$A45,tblMotor[IadeMaliyet]),0))</f>
        <v/>
      </c>
      <c r="G45" s="16">
        <f>IF($A45="","",IFERROR(SUMIF(tblMotor[A_Norm],$A45,tblMotor[ReklamHarcama]),0))</f>
        <v/>
      </c>
      <c r="H45" s="16">
        <f>IF(OR($A45="",$B45&lt;&gt;"tutar_farki"),"",IF(ABS($C45-$D45)&lt;=toleransKurus,"EGK-001",IF(ABS($C45-$F45)&lt;=toleransKurus,"EGK-002",IF(ABS($C45-$G45)&lt;=toleransKurus,"EGK-003",IF(ABS($C45-$E45)&lt;=toleransKurus,"EGK-004",IF($C45&gt;egk_esikFark,"EGK-005","TANIMSIZ"))))))</f>
        <v/>
      </c>
    </row>
    <row r="46">
      <c r="A46" s="22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IF($A46="","",IFERROR(SUMIF(tblMotor[A_Norm],$A46,tblMotor[KomisyonTutar]),0))</f>
        <v/>
      </c>
      <c r="E46" s="16">
        <f>IF($A46="","",IFERROR(SUMIF(tblMotor[A_Norm],$A46,tblMotor[Kargo]),0))</f>
        <v/>
      </c>
      <c r="F46" s="16">
        <f>IF($A46="","",IFERROR(SUMIF(tblMotor[A_Norm],$A46,tblMotor[IadeMaliyet]),0))</f>
        <v/>
      </c>
      <c r="G46" s="16">
        <f>IF($A46="","",IFERROR(SUMIF(tblMotor[A_Norm],$A46,tblMotor[ReklamHarcama]),0))</f>
        <v/>
      </c>
      <c r="H46" s="16">
        <f>IF(OR($A46="",$B46&lt;&gt;"tutar_farki"),"",IF(ABS($C46-$D46)&lt;=toleransKurus,"EGK-001",IF(ABS($C46-$F46)&lt;=toleransKurus,"EGK-002",IF(ABS($C46-$G46)&lt;=toleransKurus,"EGK-003",IF(ABS($C46-$E46)&lt;=toleransKurus,"EGK-004",IF($C46&gt;egk_esikFark,"EGK-005","TANIMSIZ"))))))</f>
        <v/>
      </c>
    </row>
    <row r="47">
      <c r="A47" s="22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IF($A47="","",IFERROR(SUMIF(tblMotor[A_Norm],$A47,tblMotor[KomisyonTutar]),0))</f>
        <v/>
      </c>
      <c r="E47" s="16">
        <f>IF($A47="","",IFERROR(SUMIF(tblMotor[A_Norm],$A47,tblMotor[Kargo]),0))</f>
        <v/>
      </c>
      <c r="F47" s="16">
        <f>IF($A47="","",IFERROR(SUMIF(tblMotor[A_Norm],$A47,tblMotor[IadeMaliyet]),0))</f>
        <v/>
      </c>
      <c r="G47" s="16">
        <f>IF($A47="","",IFERROR(SUMIF(tblMotor[A_Norm],$A47,tblMotor[ReklamHarcama]),0))</f>
        <v/>
      </c>
      <c r="H47" s="16">
        <f>IF(OR($A47="",$B47&lt;&gt;"tutar_farki"),"",IF(ABS($C47-$D47)&lt;=toleransKurus,"EGK-001",IF(ABS($C47-$F47)&lt;=toleransKurus,"EGK-002",IF(ABS($C47-$G47)&lt;=toleransKurus,"EGK-003",IF(ABS($C47-$E47)&lt;=toleransKurus,"EGK-004",IF($C47&gt;egk_esikFark,"EGK-005","TANIMSIZ"))))))</f>
        <v/>
      </c>
    </row>
    <row r="48">
      <c r="A48" s="22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IF($A48="","",IFERROR(SUMIF(tblMotor[A_Norm],$A48,tblMotor[KomisyonTutar]),0))</f>
        <v/>
      </c>
      <c r="E48" s="16">
        <f>IF($A48="","",IFERROR(SUMIF(tblMotor[A_Norm],$A48,tblMotor[Kargo]),0))</f>
        <v/>
      </c>
      <c r="F48" s="16">
        <f>IF($A48="","",IFERROR(SUMIF(tblMotor[A_Norm],$A48,tblMotor[IadeMaliyet]),0))</f>
        <v/>
      </c>
      <c r="G48" s="16">
        <f>IF($A48="","",IFERROR(SUMIF(tblMotor[A_Norm],$A48,tblMotor[ReklamHarcama]),0))</f>
        <v/>
      </c>
      <c r="H48" s="16">
        <f>IF(OR($A48="",$B48&lt;&gt;"tutar_farki"),"",IF(ABS($C48-$D48)&lt;=toleransKurus,"EGK-001",IF(ABS($C48-$F48)&lt;=toleransKurus,"EGK-002",IF(ABS($C48-$G48)&lt;=toleransKurus,"EGK-003",IF(ABS($C48-$E48)&lt;=toleransKurus,"EGK-004",IF($C48&gt;egk_esikFark,"EGK-005","TANIMSIZ"))))))</f>
        <v/>
      </c>
    </row>
    <row r="49">
      <c r="A49" s="22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IF($A49="","",IFERROR(SUMIF(tblMotor[A_Norm],$A49,tblMotor[KomisyonTutar]),0))</f>
        <v/>
      </c>
      <c r="E49" s="16">
        <f>IF($A49="","",IFERROR(SUMIF(tblMotor[A_Norm],$A49,tblMotor[Kargo]),0))</f>
        <v/>
      </c>
      <c r="F49" s="16">
        <f>IF($A49="","",IFERROR(SUMIF(tblMotor[A_Norm],$A49,tblMotor[IadeMaliyet]),0))</f>
        <v/>
      </c>
      <c r="G49" s="16">
        <f>IF($A49="","",IFERROR(SUMIF(tblMotor[A_Norm],$A49,tblMotor[ReklamHarcama]),0))</f>
        <v/>
      </c>
      <c r="H49" s="16">
        <f>IF(OR($A49="",$B49&lt;&gt;"tutar_farki"),"",IF(ABS($C49-$D49)&lt;=toleransKurus,"EGK-001",IF(ABS($C49-$F49)&lt;=toleransKurus,"EGK-002",IF(ABS($C49-$G49)&lt;=toleransKurus,"EGK-003",IF(ABS($C49-$E49)&lt;=toleransKurus,"EGK-004",IF($C49&gt;egk_esikFark,"EGK-005","TANIMSIZ"))))))</f>
        <v/>
      </c>
    </row>
    <row r="50">
      <c r="A50" s="22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IF($A50="","",IFERROR(SUMIF(tblMotor[A_Norm],$A50,tblMotor[KomisyonTutar]),0))</f>
        <v/>
      </c>
      <c r="E50" s="16">
        <f>IF($A50="","",IFERROR(SUMIF(tblMotor[A_Norm],$A50,tblMotor[Kargo]),0))</f>
        <v/>
      </c>
      <c r="F50" s="16">
        <f>IF($A50="","",IFERROR(SUMIF(tblMotor[A_Norm],$A50,tblMotor[IadeMaliyet]),0))</f>
        <v/>
      </c>
      <c r="G50" s="16">
        <f>IF($A50="","",IFERROR(SUMIF(tblMotor[A_Norm],$A50,tblMotor[ReklamHarcama]),0))</f>
        <v/>
      </c>
      <c r="H50" s="16">
        <f>IF(OR($A50="",$B50&lt;&gt;"tutar_farki"),"",IF(ABS($C50-$D50)&lt;=toleransKurus,"EGK-001",IF(ABS($C50-$F50)&lt;=toleransKurus,"EGK-002",IF(ABS($C50-$G50)&lt;=toleransKurus,"EGK-003",IF(ABS($C50-$E50)&lt;=toleransKurus,"EGK-004",IF($C50&gt;egk_esikFark,"EGK-005","TANIMSIZ"))))))</f>
        <v/>
      </c>
    </row>
    <row r="51">
      <c r="A51" s="22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IF($A51="","",IFERROR(SUMIF(tblMotor[A_Norm],$A51,tblMotor[KomisyonTutar]),0))</f>
        <v/>
      </c>
      <c r="E51" s="16">
        <f>IF($A51="","",IFERROR(SUMIF(tblMotor[A_Norm],$A51,tblMotor[Kargo]),0))</f>
        <v/>
      </c>
      <c r="F51" s="16">
        <f>IF($A51="","",IFERROR(SUMIF(tblMotor[A_Norm],$A51,tblMotor[IadeMaliyet]),0))</f>
        <v/>
      </c>
      <c r="G51" s="16">
        <f>IF($A51="","",IFERROR(SUMIF(tblMotor[A_Norm],$A51,tblMotor[ReklamHarcama]),0))</f>
        <v/>
      </c>
      <c r="H51" s="16">
        <f>IF(OR($A51="",$B51&lt;&gt;"tutar_farki"),"",IF(ABS($C51-$D51)&lt;=toleransKurus,"EGK-001",IF(ABS($C51-$F51)&lt;=toleransKurus,"EGK-002",IF(ABS($C51-$G51)&lt;=toleransKurus,"EGK-003",IF(ABS($C51-$E51)&lt;=toleransKurus,"EGK-004",IF($C51&gt;egk_esikFark,"EGK-005","TANIMSIZ"))))))</f>
        <v/>
      </c>
    </row>
    <row r="52">
      <c r="A52" s="22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IF($A52="","",IFERROR(SUMIF(tblMotor[A_Norm],$A52,tblMotor[KomisyonTutar]),0))</f>
        <v/>
      </c>
      <c r="E52" s="16">
        <f>IF($A52="","",IFERROR(SUMIF(tblMotor[A_Norm],$A52,tblMotor[Kargo]),0))</f>
        <v/>
      </c>
      <c r="F52" s="16">
        <f>IF($A52="","",IFERROR(SUMIF(tblMotor[A_Norm],$A52,tblMotor[IadeMaliyet]),0))</f>
        <v/>
      </c>
      <c r="G52" s="16">
        <f>IF($A52="","",IFERROR(SUMIF(tblMotor[A_Norm],$A52,tblMotor[ReklamHarcama]),0))</f>
        <v/>
      </c>
      <c r="H52" s="16">
        <f>IF(OR($A52="",$B52&lt;&gt;"tutar_farki"),"",IF(ABS($C52-$D52)&lt;=toleransKurus,"EGK-001",IF(ABS($C52-$F52)&lt;=toleransKurus,"EGK-002",IF(ABS($C52-$G52)&lt;=toleransKurus,"EGK-003",IF(ABS($C52-$E52)&lt;=toleransKurus,"EGK-004",IF($C52&gt;egk_esikFark,"EGK-005","TANIMSIZ"))))))</f>
        <v/>
      </c>
    </row>
    <row r="53">
      <c r="A53" s="22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IF($A53="","",IFERROR(SUMIF(tblMotor[A_Norm],$A53,tblMotor[KomisyonTutar]),0))</f>
        <v/>
      </c>
      <c r="E53" s="16">
        <f>IF($A53="","",IFERROR(SUMIF(tblMotor[A_Norm],$A53,tblMotor[Kargo]),0))</f>
        <v/>
      </c>
      <c r="F53" s="16">
        <f>IF($A53="","",IFERROR(SUMIF(tblMotor[A_Norm],$A53,tblMotor[IadeMaliyet]),0))</f>
        <v/>
      </c>
      <c r="G53" s="16">
        <f>IF($A53="","",IFERROR(SUMIF(tblMotor[A_Norm],$A53,tblMotor[ReklamHarcama]),0))</f>
        <v/>
      </c>
      <c r="H53" s="16">
        <f>IF(OR($A53="",$B53&lt;&gt;"tutar_farki"),"",IF(ABS($C53-$D53)&lt;=toleransKurus,"EGK-001",IF(ABS($C53-$F53)&lt;=toleransKurus,"EGK-002",IF(ABS($C53-$G53)&lt;=toleransKurus,"EGK-003",IF(ABS($C53-$E53)&lt;=toleransKurus,"EGK-004",IF($C53&gt;egk_esikFark,"EGK-005","TANIMSIZ"))))))</f>
        <v/>
      </c>
    </row>
    <row r="54">
      <c r="A54" s="22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IF($A54="","",IFERROR(SUMIF(tblMotor[A_Norm],$A54,tblMotor[KomisyonTutar]),0))</f>
        <v/>
      </c>
      <c r="E54" s="16">
        <f>IF($A54="","",IFERROR(SUMIF(tblMotor[A_Norm],$A54,tblMotor[Kargo]),0))</f>
        <v/>
      </c>
      <c r="F54" s="16">
        <f>IF($A54="","",IFERROR(SUMIF(tblMotor[A_Norm],$A54,tblMotor[IadeMaliyet]),0))</f>
        <v/>
      </c>
      <c r="G54" s="16">
        <f>IF($A54="","",IFERROR(SUMIF(tblMotor[A_Norm],$A54,tblMotor[ReklamHarcama]),0))</f>
        <v/>
      </c>
      <c r="H54" s="16">
        <f>IF(OR($A54="",$B54&lt;&gt;"tutar_farki"),"",IF(ABS($C54-$D54)&lt;=toleransKurus,"EGK-001",IF(ABS($C54-$F54)&lt;=toleransKurus,"EGK-002",IF(ABS($C54-$G54)&lt;=toleransKurus,"EGK-003",IF(ABS($C54-$E54)&lt;=toleransKurus,"EGK-004",IF($C54&gt;egk_esikFark,"EGK-005","TANIMSIZ"))))))</f>
        <v/>
      </c>
    </row>
    <row r="55">
      <c r="A55" s="22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IF($A55="","",IFERROR(SUMIF(tblMotor[A_Norm],$A55,tblMotor[KomisyonTutar]),0))</f>
        <v/>
      </c>
      <c r="E55" s="16">
        <f>IF($A55="","",IFERROR(SUMIF(tblMotor[A_Norm],$A55,tblMotor[Kargo]),0))</f>
        <v/>
      </c>
      <c r="F55" s="16">
        <f>IF($A55="","",IFERROR(SUMIF(tblMotor[A_Norm],$A55,tblMotor[IadeMaliyet]),0))</f>
        <v/>
      </c>
      <c r="G55" s="16">
        <f>IF($A55="","",IFERROR(SUMIF(tblMotor[A_Norm],$A55,tblMotor[ReklamHarcama]),0))</f>
        <v/>
      </c>
      <c r="H55" s="16">
        <f>IF(OR($A55="",$B55&lt;&gt;"tutar_farki"),"",IF(ABS($C55-$D55)&lt;=toleransKurus,"EGK-001",IF(ABS($C55-$F55)&lt;=toleransKurus,"EGK-002",IF(ABS($C55-$G55)&lt;=toleransKurus,"EGK-003",IF(ABS($C55-$E55)&lt;=toleransKurus,"EGK-004",IF($C55&gt;egk_esikFark,"EGK-005","TANIMSIZ"))))))</f>
        <v/>
      </c>
    </row>
    <row r="56">
      <c r="A56" s="22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IF($A56="","",IFERROR(SUMIF(tblMotor[A_Norm],$A56,tblMotor[KomisyonTutar]),0))</f>
        <v/>
      </c>
      <c r="E56" s="16">
        <f>IF($A56="","",IFERROR(SUMIF(tblMotor[A_Norm],$A56,tblMotor[Kargo]),0))</f>
        <v/>
      </c>
      <c r="F56" s="16">
        <f>IF($A56="","",IFERROR(SUMIF(tblMotor[A_Norm],$A56,tblMotor[IadeMaliyet]),0))</f>
        <v/>
      </c>
      <c r="G56" s="16">
        <f>IF($A56="","",IFERROR(SUMIF(tblMotor[A_Norm],$A56,tblMotor[ReklamHarcama]),0))</f>
        <v/>
      </c>
      <c r="H56" s="16">
        <f>IF(OR($A56="",$B56&lt;&gt;"tutar_farki"),"",IF(ABS($C56-$D56)&lt;=toleransKurus,"EGK-001",IF(ABS($C56-$F56)&lt;=toleransKurus,"EGK-002",IF(ABS($C56-$G56)&lt;=toleransKurus,"EGK-003",IF(ABS($C56-$E56)&lt;=toleransKurus,"EGK-004",IF($C56&gt;egk_esikFark,"EGK-005","TANIMSIZ"))))))</f>
        <v/>
      </c>
    </row>
    <row r="57">
      <c r="A57" s="22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IF($A57="","",IFERROR(SUMIF(tblMotor[A_Norm],$A57,tblMotor[KomisyonTutar]),0))</f>
        <v/>
      </c>
      <c r="E57" s="16">
        <f>IF($A57="","",IFERROR(SUMIF(tblMotor[A_Norm],$A57,tblMotor[Kargo]),0))</f>
        <v/>
      </c>
      <c r="F57" s="16">
        <f>IF($A57="","",IFERROR(SUMIF(tblMotor[A_Norm],$A57,tblMotor[IadeMaliyet]),0))</f>
        <v/>
      </c>
      <c r="G57" s="16">
        <f>IF($A57="","",IFERROR(SUMIF(tblMotor[A_Norm],$A57,tblMotor[ReklamHarcama]),0))</f>
        <v/>
      </c>
      <c r="H57" s="16">
        <f>IF(OR($A57="",$B57&lt;&gt;"tutar_farki"),"",IF(ABS($C57-$D57)&lt;=toleransKurus,"EGK-001",IF(ABS($C57-$F57)&lt;=toleransKurus,"EGK-002",IF(ABS($C57-$G57)&lt;=toleransKurus,"EGK-003",IF(ABS($C57-$E57)&lt;=toleransKurus,"EGK-004",IF($C57&gt;egk_esikFark,"EGK-005","TANIMSIZ"))))))</f>
        <v/>
      </c>
    </row>
    <row r="58">
      <c r="A58" s="22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IF($A58="","",IFERROR(SUMIF(tblMotor[A_Norm],$A58,tblMotor[KomisyonTutar]),0))</f>
        <v/>
      </c>
      <c r="E58" s="16">
        <f>IF($A58="","",IFERROR(SUMIF(tblMotor[A_Norm],$A58,tblMotor[Kargo]),0))</f>
        <v/>
      </c>
      <c r="F58" s="16">
        <f>IF($A58="","",IFERROR(SUMIF(tblMotor[A_Norm],$A58,tblMotor[IadeMaliyet]),0))</f>
        <v/>
      </c>
      <c r="G58" s="16">
        <f>IF($A58="","",IFERROR(SUMIF(tblMotor[A_Norm],$A58,tblMotor[ReklamHarcama]),0))</f>
        <v/>
      </c>
      <c r="H58" s="16">
        <f>IF(OR($A58="",$B58&lt;&gt;"tutar_farki"),"",IF(ABS($C58-$D58)&lt;=toleransKurus,"EGK-001",IF(ABS($C58-$F58)&lt;=toleransKurus,"EGK-002",IF(ABS($C58-$G58)&lt;=toleransKurus,"EGK-003",IF(ABS($C58-$E58)&lt;=toleransKurus,"EGK-004",IF($C58&gt;egk_esikFark,"EGK-005","TANIMSIZ"))))))</f>
        <v/>
      </c>
    </row>
    <row r="59">
      <c r="A59" s="22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IF($A59="","",IFERROR(SUMIF(tblMotor[A_Norm],$A59,tblMotor[KomisyonTutar]),0))</f>
        <v/>
      </c>
      <c r="E59" s="16">
        <f>IF($A59="","",IFERROR(SUMIF(tblMotor[A_Norm],$A59,tblMotor[Kargo]),0))</f>
        <v/>
      </c>
      <c r="F59" s="16">
        <f>IF($A59="","",IFERROR(SUMIF(tblMotor[A_Norm],$A59,tblMotor[IadeMaliyet]),0))</f>
        <v/>
      </c>
      <c r="G59" s="16">
        <f>IF($A59="","",IFERROR(SUMIF(tblMotor[A_Norm],$A59,tblMotor[ReklamHarcama]),0))</f>
        <v/>
      </c>
      <c r="H59" s="16">
        <f>IF(OR($A59="",$B59&lt;&gt;"tutar_farki"),"",IF(ABS($C59-$D59)&lt;=toleransKurus,"EGK-001",IF(ABS($C59-$F59)&lt;=toleransKurus,"EGK-002",IF(ABS($C59-$G59)&lt;=toleransKurus,"EGK-003",IF(ABS($C59-$E59)&lt;=toleransKurus,"EGK-004",IF($C59&gt;egk_esikFark,"EGK-005","TANIMSIZ"))))))</f>
        <v/>
      </c>
    </row>
    <row r="60">
      <c r="A60" s="22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IF($A60="","",IFERROR(SUMIF(tblMotor[A_Norm],$A60,tblMotor[KomisyonTutar]),0))</f>
        <v/>
      </c>
      <c r="E60" s="16">
        <f>IF($A60="","",IFERROR(SUMIF(tblMotor[A_Norm],$A60,tblMotor[Kargo]),0))</f>
        <v/>
      </c>
      <c r="F60" s="16">
        <f>IF($A60="","",IFERROR(SUMIF(tblMotor[A_Norm],$A60,tblMotor[IadeMaliyet]),0))</f>
        <v/>
      </c>
      <c r="G60" s="16">
        <f>IF($A60="","",IFERROR(SUMIF(tblMotor[A_Norm],$A60,tblMotor[ReklamHarcama]),0))</f>
        <v/>
      </c>
      <c r="H60" s="16">
        <f>IF(OR($A60="",$B60&lt;&gt;"tutar_farki"),"",IF(ABS($C60-$D60)&lt;=toleransKurus,"EGK-001",IF(ABS($C60-$F60)&lt;=toleransKurus,"EGK-002",IF(ABS($C60-$G60)&lt;=toleransKurus,"EGK-003",IF(ABS($C60-$E60)&lt;=toleransKurus,"EGK-004",IF($C60&gt;egk_esikFark,"EGK-005","TANIMSIZ"))))))</f>
        <v/>
      </c>
    </row>
    <row r="61">
      <c r="A61" s="22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IF($A61="","",IFERROR(SUMIF(tblMotor[A_Norm],$A61,tblMotor[KomisyonTutar]),0))</f>
        <v/>
      </c>
      <c r="E61" s="16">
        <f>IF($A61="","",IFERROR(SUMIF(tblMotor[A_Norm],$A61,tblMotor[Kargo]),0))</f>
        <v/>
      </c>
      <c r="F61" s="16">
        <f>IF($A61="","",IFERROR(SUMIF(tblMotor[A_Norm],$A61,tblMotor[IadeMaliyet]),0))</f>
        <v/>
      </c>
      <c r="G61" s="16">
        <f>IF($A61="","",IFERROR(SUMIF(tblMotor[A_Norm],$A61,tblMotor[ReklamHarcama]),0))</f>
        <v/>
      </c>
      <c r="H61" s="16">
        <f>IF(OR($A61="",$B61&lt;&gt;"tutar_farki"),"",IF(ABS($C61-$D61)&lt;=toleransKurus,"EGK-001",IF(ABS($C61-$F61)&lt;=toleransKurus,"EGK-002",IF(ABS($C61-$G61)&lt;=toleransKurus,"EGK-003",IF(ABS($C61-$E61)&lt;=toleransKurus,"EGK-004",IF($C61&gt;egk_esikFark,"EGK-005","TANIMSIZ"))))))</f>
        <v/>
      </c>
    </row>
    <row r="62">
      <c r="A62" s="22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IF($A62="","",IFERROR(SUMIF(tblMotor[A_Norm],$A62,tblMotor[KomisyonTutar]),0))</f>
        <v/>
      </c>
      <c r="E62" s="16">
        <f>IF($A62="","",IFERROR(SUMIF(tblMotor[A_Norm],$A62,tblMotor[Kargo]),0))</f>
        <v/>
      </c>
      <c r="F62" s="16">
        <f>IF($A62="","",IFERROR(SUMIF(tblMotor[A_Norm],$A62,tblMotor[IadeMaliyet]),0))</f>
        <v/>
      </c>
      <c r="G62" s="16">
        <f>IF($A62="","",IFERROR(SUMIF(tblMotor[A_Norm],$A62,tblMotor[ReklamHarcama]),0))</f>
        <v/>
      </c>
      <c r="H62" s="16">
        <f>IF(OR($A62="",$B62&lt;&gt;"tutar_farki"),"",IF(ABS($C62-$D62)&lt;=toleransKurus,"EGK-001",IF(ABS($C62-$F62)&lt;=toleransKurus,"EGK-002",IF(ABS($C62-$G62)&lt;=toleransKurus,"EGK-003",IF(ABS($C62-$E62)&lt;=toleransKurus,"EGK-004",IF($C62&gt;egk_esikFark,"EGK-005","TANIMSIZ"))))))</f>
        <v/>
      </c>
    </row>
    <row r="63">
      <c r="A63" s="22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IF($A63="","",IFERROR(SUMIF(tblMotor[A_Norm],$A63,tblMotor[KomisyonTutar]),0))</f>
        <v/>
      </c>
      <c r="E63" s="16">
        <f>IF($A63="","",IFERROR(SUMIF(tblMotor[A_Norm],$A63,tblMotor[Kargo]),0))</f>
        <v/>
      </c>
      <c r="F63" s="16">
        <f>IF($A63="","",IFERROR(SUMIF(tblMotor[A_Norm],$A63,tblMotor[IadeMaliyet]),0))</f>
        <v/>
      </c>
      <c r="G63" s="16">
        <f>IF($A63="","",IFERROR(SUMIF(tblMotor[A_Norm],$A63,tblMotor[ReklamHarcama]),0))</f>
        <v/>
      </c>
      <c r="H63" s="16">
        <f>IF(OR($A63="",$B63&lt;&gt;"tutar_farki"),"",IF(ABS($C63-$D63)&lt;=toleransKurus,"EGK-001",IF(ABS($C63-$F63)&lt;=toleransKurus,"EGK-002",IF(ABS($C63-$G63)&lt;=toleransKurus,"EGK-003",IF(ABS($C63-$E63)&lt;=toleransKurus,"EGK-004",IF($C63&gt;egk_esikFark,"EGK-005","TANIMSIZ"))))))</f>
        <v/>
      </c>
    </row>
    <row r="64">
      <c r="A64" s="22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IF($A64="","",IFERROR(SUMIF(tblMotor[A_Norm],$A64,tblMotor[KomisyonTutar]),0))</f>
        <v/>
      </c>
      <c r="E64" s="16">
        <f>IF($A64="","",IFERROR(SUMIF(tblMotor[A_Norm],$A64,tblMotor[Kargo]),0))</f>
        <v/>
      </c>
      <c r="F64" s="16">
        <f>IF($A64="","",IFERROR(SUMIF(tblMotor[A_Norm],$A64,tblMotor[IadeMaliyet]),0))</f>
        <v/>
      </c>
      <c r="G64" s="16">
        <f>IF($A64="","",IFERROR(SUMIF(tblMotor[A_Norm],$A64,tblMotor[ReklamHarcama]),0))</f>
        <v/>
      </c>
      <c r="H64" s="16">
        <f>IF(OR($A64="",$B64&lt;&gt;"tutar_farki"),"",IF(ABS($C64-$D64)&lt;=toleransKurus,"EGK-001",IF(ABS($C64-$F64)&lt;=toleransKurus,"EGK-002",IF(ABS($C64-$G64)&lt;=toleransKurus,"EGK-003",IF(ABS($C64-$E64)&lt;=toleransKurus,"EGK-004",IF($C64&gt;egk_esikFark,"EGK-005","TANIMSIZ"))))))</f>
        <v/>
      </c>
    </row>
    <row r="65">
      <c r="A65" s="22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IF($A65="","",IFERROR(SUMIF(tblMotor[A_Norm],$A65,tblMotor[KomisyonTutar]),0))</f>
        <v/>
      </c>
      <c r="E65" s="16">
        <f>IF($A65="","",IFERROR(SUMIF(tblMotor[A_Norm],$A65,tblMotor[Kargo]),0))</f>
        <v/>
      </c>
      <c r="F65" s="16">
        <f>IF($A65="","",IFERROR(SUMIF(tblMotor[A_Norm],$A65,tblMotor[IadeMaliyet]),0))</f>
        <v/>
      </c>
      <c r="G65" s="16">
        <f>IF($A65="","",IFERROR(SUMIF(tblMotor[A_Norm],$A65,tblMotor[ReklamHarcama]),0))</f>
        <v/>
      </c>
      <c r="H65" s="16">
        <f>IF(OR($A65="",$B65&lt;&gt;"tutar_farki"),"",IF(ABS($C65-$D65)&lt;=toleransKurus,"EGK-001",IF(ABS($C65-$F65)&lt;=toleransKurus,"EGK-002",IF(ABS($C65-$G65)&lt;=toleransKurus,"EGK-003",IF(ABS($C65-$E65)&lt;=toleransKurus,"EGK-004",IF($C65&gt;egk_esikFark,"EGK-005","TANIMSIZ"))))))</f>
        <v/>
      </c>
    </row>
    <row r="66">
      <c r="A66" s="22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IF($A66="","",IFERROR(SUMIF(tblMotor[A_Norm],$A66,tblMotor[KomisyonTutar]),0))</f>
        <v/>
      </c>
      <c r="E66" s="16">
        <f>IF($A66="","",IFERROR(SUMIF(tblMotor[A_Norm],$A66,tblMotor[Kargo]),0))</f>
        <v/>
      </c>
      <c r="F66" s="16">
        <f>IF($A66="","",IFERROR(SUMIF(tblMotor[A_Norm],$A66,tblMotor[IadeMaliyet]),0))</f>
        <v/>
      </c>
      <c r="G66" s="16">
        <f>IF($A66="","",IFERROR(SUMIF(tblMotor[A_Norm],$A66,tblMotor[ReklamHarcama]),0))</f>
        <v/>
      </c>
      <c r="H66" s="16">
        <f>IF(OR($A66="",$B66&lt;&gt;"tutar_farki"),"",IF(ABS($C66-$D66)&lt;=toleransKurus,"EGK-001",IF(ABS($C66-$F66)&lt;=toleransKurus,"EGK-002",IF(ABS($C66-$G66)&lt;=toleransKurus,"EGK-003",IF(ABS($C66-$E66)&lt;=toleransKurus,"EGK-004",IF($C66&gt;egk_esikFark,"EGK-005","TANIMSIZ"))))))</f>
        <v/>
      </c>
    </row>
    <row r="67">
      <c r="A67" s="22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IF($A67="","",IFERROR(SUMIF(tblMotor[A_Norm],$A67,tblMotor[KomisyonTutar]),0))</f>
        <v/>
      </c>
      <c r="E67" s="16">
        <f>IF($A67="","",IFERROR(SUMIF(tblMotor[A_Norm],$A67,tblMotor[Kargo]),0))</f>
        <v/>
      </c>
      <c r="F67" s="16">
        <f>IF($A67="","",IFERROR(SUMIF(tblMotor[A_Norm],$A67,tblMotor[IadeMaliyet]),0))</f>
        <v/>
      </c>
      <c r="G67" s="16">
        <f>IF($A67="","",IFERROR(SUMIF(tblMotor[A_Norm],$A67,tblMotor[ReklamHarcama]),0))</f>
        <v/>
      </c>
      <c r="H67" s="16">
        <f>IF(OR($A67="",$B67&lt;&gt;"tutar_farki"),"",IF(ABS($C67-$D67)&lt;=toleransKurus,"EGK-001",IF(ABS($C67-$F67)&lt;=toleransKurus,"EGK-002",IF(ABS($C67-$G67)&lt;=toleransKurus,"EGK-003",IF(ABS($C67-$E67)&lt;=toleransKurus,"EGK-004",IF($C67&gt;egk_esikFark,"EGK-005","TANIMSIZ"))))))</f>
        <v/>
      </c>
    </row>
    <row r="68">
      <c r="A68" s="22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IF($A68="","",IFERROR(SUMIF(tblMotor[A_Norm],$A68,tblMotor[KomisyonTutar]),0))</f>
        <v/>
      </c>
      <c r="E68" s="16">
        <f>IF($A68="","",IFERROR(SUMIF(tblMotor[A_Norm],$A68,tblMotor[Kargo]),0))</f>
        <v/>
      </c>
      <c r="F68" s="16">
        <f>IF($A68="","",IFERROR(SUMIF(tblMotor[A_Norm],$A68,tblMotor[IadeMaliyet]),0))</f>
        <v/>
      </c>
      <c r="G68" s="16">
        <f>IF($A68="","",IFERROR(SUMIF(tblMotor[A_Norm],$A68,tblMotor[ReklamHarcama]),0))</f>
        <v/>
      </c>
      <c r="H68" s="16">
        <f>IF(OR($A68="",$B68&lt;&gt;"tutar_farki"),"",IF(ABS($C68-$D68)&lt;=toleransKurus,"EGK-001",IF(ABS($C68-$F68)&lt;=toleransKurus,"EGK-002",IF(ABS($C68-$G68)&lt;=toleransKurus,"EGK-003",IF(ABS($C68-$E68)&lt;=toleransKurus,"EGK-004",IF($C68&gt;egk_esikFark,"EGK-005","TANIMSIZ"))))))</f>
        <v/>
      </c>
    </row>
    <row r="69">
      <c r="A69" s="22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IF($A69="","",IFERROR(SUMIF(tblMotor[A_Norm],$A69,tblMotor[KomisyonTutar]),0))</f>
        <v/>
      </c>
      <c r="E69" s="16">
        <f>IF($A69="","",IFERROR(SUMIF(tblMotor[A_Norm],$A69,tblMotor[Kargo]),0))</f>
        <v/>
      </c>
      <c r="F69" s="16">
        <f>IF($A69="","",IFERROR(SUMIF(tblMotor[A_Norm],$A69,tblMotor[IadeMaliyet]),0))</f>
        <v/>
      </c>
      <c r="G69" s="16">
        <f>IF($A69="","",IFERROR(SUMIF(tblMotor[A_Norm],$A69,tblMotor[ReklamHarcama]),0))</f>
        <v/>
      </c>
      <c r="H69" s="16">
        <f>IF(OR($A69="",$B69&lt;&gt;"tutar_farki"),"",IF(ABS($C69-$D69)&lt;=toleransKurus,"EGK-001",IF(ABS($C69-$F69)&lt;=toleransKurus,"EGK-002",IF(ABS($C69-$G69)&lt;=toleransKurus,"EGK-003",IF(ABS($C69-$E69)&lt;=toleransKurus,"EGK-004",IF($C69&gt;egk_esikFark,"EGK-005","TANIMSIZ"))))))</f>
        <v/>
      </c>
    </row>
    <row r="70">
      <c r="A70" s="22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IF($A70="","",IFERROR(SUMIF(tblMotor[A_Norm],$A70,tblMotor[KomisyonTutar]),0))</f>
        <v/>
      </c>
      <c r="E70" s="16">
        <f>IF($A70="","",IFERROR(SUMIF(tblMotor[A_Norm],$A70,tblMotor[Kargo]),0))</f>
        <v/>
      </c>
      <c r="F70" s="16">
        <f>IF($A70="","",IFERROR(SUMIF(tblMotor[A_Norm],$A70,tblMotor[IadeMaliyet]),0))</f>
        <v/>
      </c>
      <c r="G70" s="16">
        <f>IF($A70="","",IFERROR(SUMIF(tblMotor[A_Norm],$A70,tblMotor[ReklamHarcama]),0))</f>
        <v/>
      </c>
      <c r="H70" s="16">
        <f>IF(OR($A70="",$B70&lt;&gt;"tutar_farki"),"",IF(ABS($C70-$D70)&lt;=toleransKurus,"EGK-001",IF(ABS($C70-$F70)&lt;=toleransKurus,"EGK-002",IF(ABS($C70-$G70)&lt;=toleransKurus,"EGK-003",IF(ABS($C70-$E70)&lt;=toleransKurus,"EGK-004",IF($C70&gt;egk_esikFark,"EGK-005","TANIMSIZ"))))))</f>
        <v/>
      </c>
    </row>
    <row r="71">
      <c r="A71" s="22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IF($A71="","",IFERROR(SUMIF(tblMotor[A_Norm],$A71,tblMotor[KomisyonTutar]),0))</f>
        <v/>
      </c>
      <c r="E71" s="16">
        <f>IF($A71="","",IFERROR(SUMIF(tblMotor[A_Norm],$A71,tblMotor[Kargo]),0))</f>
        <v/>
      </c>
      <c r="F71" s="16">
        <f>IF($A71="","",IFERROR(SUMIF(tblMotor[A_Norm],$A71,tblMotor[IadeMaliyet]),0))</f>
        <v/>
      </c>
      <c r="G71" s="16">
        <f>IF($A71="","",IFERROR(SUMIF(tblMotor[A_Norm],$A71,tblMotor[ReklamHarcama]),0))</f>
        <v/>
      </c>
      <c r="H71" s="16">
        <f>IF(OR($A71="",$B71&lt;&gt;"tutar_farki"),"",IF(ABS($C71-$D71)&lt;=toleransKurus,"EGK-001",IF(ABS($C71-$F71)&lt;=toleransKurus,"EGK-002",IF(ABS($C71-$G71)&lt;=toleransKurus,"EGK-003",IF(ABS($C71-$E71)&lt;=toleransKurus,"EGK-004",IF($C71&gt;egk_esikFark,"EGK-005","TANIMSIZ"))))))</f>
        <v/>
      </c>
    </row>
    <row r="72">
      <c r="A72" s="22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IF($A72="","",IFERROR(SUMIF(tblMotor[A_Norm],$A72,tblMotor[KomisyonTutar]),0))</f>
        <v/>
      </c>
      <c r="E72" s="16">
        <f>IF($A72="","",IFERROR(SUMIF(tblMotor[A_Norm],$A72,tblMotor[Kargo]),0))</f>
        <v/>
      </c>
      <c r="F72" s="16">
        <f>IF($A72="","",IFERROR(SUMIF(tblMotor[A_Norm],$A72,tblMotor[IadeMaliyet]),0))</f>
        <v/>
      </c>
      <c r="G72" s="16">
        <f>IF($A72="","",IFERROR(SUMIF(tblMotor[A_Norm],$A72,tblMotor[ReklamHarcama]),0))</f>
        <v/>
      </c>
      <c r="H72" s="16">
        <f>IF(OR($A72="",$B72&lt;&gt;"tutar_farki"),"",IF(ABS($C72-$D72)&lt;=toleransKurus,"EGK-001",IF(ABS($C72-$F72)&lt;=toleransKurus,"EGK-002",IF(ABS($C72-$G72)&lt;=toleransKurus,"EGK-003",IF(ABS($C72-$E72)&lt;=toleransKurus,"EGK-004",IF($C72&gt;egk_esikFark,"EGK-005","TANIMSIZ"))))))</f>
        <v/>
      </c>
    </row>
    <row r="73">
      <c r="A73" s="22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IF($A73="","",IFERROR(SUMIF(tblMotor[A_Norm],$A73,tblMotor[KomisyonTutar]),0))</f>
        <v/>
      </c>
      <c r="E73" s="16">
        <f>IF($A73="","",IFERROR(SUMIF(tblMotor[A_Norm],$A73,tblMotor[Kargo]),0))</f>
        <v/>
      </c>
      <c r="F73" s="16">
        <f>IF($A73="","",IFERROR(SUMIF(tblMotor[A_Norm],$A73,tblMotor[IadeMaliyet]),0))</f>
        <v/>
      </c>
      <c r="G73" s="16">
        <f>IF($A73="","",IFERROR(SUMIF(tblMotor[A_Norm],$A73,tblMotor[ReklamHarcama]),0))</f>
        <v/>
      </c>
      <c r="H73" s="16">
        <f>IF(OR($A73="",$B73&lt;&gt;"tutar_farki"),"",IF(ABS($C73-$D73)&lt;=toleransKurus,"EGK-001",IF(ABS($C73-$F73)&lt;=toleransKurus,"EGK-002",IF(ABS($C73-$G73)&lt;=toleransKurus,"EGK-003",IF(ABS($C73-$E73)&lt;=toleransKurus,"EGK-004",IF($C73&gt;egk_esikFark,"EGK-005","TANIMSIZ"))))))</f>
        <v/>
      </c>
    </row>
    <row r="74">
      <c r="A74" s="22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IF($A74="","",IFERROR(SUMIF(tblMotor[A_Norm],$A74,tblMotor[KomisyonTutar]),0))</f>
        <v/>
      </c>
      <c r="E74" s="16">
        <f>IF($A74="","",IFERROR(SUMIF(tblMotor[A_Norm],$A74,tblMotor[Kargo]),0))</f>
        <v/>
      </c>
      <c r="F74" s="16">
        <f>IF($A74="","",IFERROR(SUMIF(tblMotor[A_Norm],$A74,tblMotor[IadeMaliyet]),0))</f>
        <v/>
      </c>
      <c r="G74" s="16">
        <f>IF($A74="","",IFERROR(SUMIF(tblMotor[A_Norm],$A74,tblMotor[ReklamHarcama]),0))</f>
        <v/>
      </c>
      <c r="H74" s="16">
        <f>IF(OR($A74="",$B74&lt;&gt;"tutar_farki"),"",IF(ABS($C74-$D74)&lt;=toleransKurus,"EGK-001",IF(ABS($C74-$F74)&lt;=toleransKurus,"EGK-002",IF(ABS($C74-$G74)&lt;=toleransKurus,"EGK-003",IF(ABS($C74-$E74)&lt;=toleransKurus,"EGK-004",IF($C74&gt;egk_esikFark,"EGK-005","TANIMSIZ"))))))</f>
        <v/>
      </c>
    </row>
    <row r="75">
      <c r="A75" s="22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IF($A75="","",IFERROR(SUMIF(tblMotor[A_Norm],$A75,tblMotor[KomisyonTutar]),0))</f>
        <v/>
      </c>
      <c r="E75" s="16">
        <f>IF($A75="","",IFERROR(SUMIF(tblMotor[A_Norm],$A75,tblMotor[Kargo]),0))</f>
        <v/>
      </c>
      <c r="F75" s="16">
        <f>IF($A75="","",IFERROR(SUMIF(tblMotor[A_Norm],$A75,tblMotor[IadeMaliyet]),0))</f>
        <v/>
      </c>
      <c r="G75" s="16">
        <f>IF($A75="","",IFERROR(SUMIF(tblMotor[A_Norm],$A75,tblMotor[ReklamHarcama]),0))</f>
        <v/>
      </c>
      <c r="H75" s="16">
        <f>IF(OR($A75="",$B75&lt;&gt;"tutar_farki"),"",IF(ABS($C75-$D75)&lt;=toleransKurus,"EGK-001",IF(ABS($C75-$F75)&lt;=toleransKurus,"EGK-002",IF(ABS($C75-$G75)&lt;=toleransKurus,"EGK-003",IF(ABS($C75-$E75)&lt;=toleransKurus,"EGK-004",IF($C75&gt;egk_esikFark,"EGK-005","TANIMSIZ"))))))</f>
        <v/>
      </c>
    </row>
    <row r="76">
      <c r="A76" s="22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IF($A76="","",IFERROR(SUMIF(tblMotor[A_Norm],$A76,tblMotor[KomisyonTutar]),0))</f>
        <v/>
      </c>
      <c r="E76" s="16">
        <f>IF($A76="","",IFERROR(SUMIF(tblMotor[A_Norm],$A76,tblMotor[Kargo]),0))</f>
        <v/>
      </c>
      <c r="F76" s="16">
        <f>IF($A76="","",IFERROR(SUMIF(tblMotor[A_Norm],$A76,tblMotor[IadeMaliyet]),0))</f>
        <v/>
      </c>
      <c r="G76" s="16">
        <f>IF($A76="","",IFERROR(SUMIF(tblMotor[A_Norm],$A76,tblMotor[ReklamHarcama]),0))</f>
        <v/>
      </c>
      <c r="H76" s="16">
        <f>IF(OR($A76="",$B76&lt;&gt;"tutar_farki"),"",IF(ABS($C76-$D76)&lt;=toleransKurus,"EGK-001",IF(ABS($C76-$F76)&lt;=toleransKurus,"EGK-002",IF(ABS($C76-$G76)&lt;=toleransKurus,"EGK-003",IF(ABS($C76-$E76)&lt;=toleransKurus,"EGK-004",IF($C76&gt;egk_esikFark,"EGK-005","TANIMSIZ"))))))</f>
        <v/>
      </c>
    </row>
    <row r="77">
      <c r="A77" s="22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IF($A77="","",IFERROR(SUMIF(tblMotor[A_Norm],$A77,tblMotor[KomisyonTutar]),0))</f>
        <v/>
      </c>
      <c r="E77" s="16">
        <f>IF($A77="","",IFERROR(SUMIF(tblMotor[A_Norm],$A77,tblMotor[Kargo]),0))</f>
        <v/>
      </c>
      <c r="F77" s="16">
        <f>IF($A77="","",IFERROR(SUMIF(tblMotor[A_Norm],$A77,tblMotor[IadeMaliyet]),0))</f>
        <v/>
      </c>
      <c r="G77" s="16">
        <f>IF($A77="","",IFERROR(SUMIF(tblMotor[A_Norm],$A77,tblMotor[ReklamHarcama]),0))</f>
        <v/>
      </c>
      <c r="H77" s="16">
        <f>IF(OR($A77="",$B77&lt;&gt;"tutar_farki"),"",IF(ABS($C77-$D77)&lt;=toleransKurus,"EGK-001",IF(ABS($C77-$F77)&lt;=toleransKurus,"EGK-002",IF(ABS($C77-$G77)&lt;=toleransKurus,"EGK-003",IF(ABS($C77-$E77)&lt;=toleransKurus,"EGK-004",IF($C77&gt;egk_esikFark,"EGK-005","TANIMSIZ"))))))</f>
        <v/>
      </c>
    </row>
    <row r="78">
      <c r="A78" s="22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IF($A78="","",IFERROR(SUMIF(tblMotor[A_Norm],$A78,tblMotor[KomisyonTutar]),0))</f>
        <v/>
      </c>
      <c r="E78" s="16">
        <f>IF($A78="","",IFERROR(SUMIF(tblMotor[A_Norm],$A78,tblMotor[Kargo]),0))</f>
        <v/>
      </c>
      <c r="F78" s="16">
        <f>IF($A78="","",IFERROR(SUMIF(tblMotor[A_Norm],$A78,tblMotor[IadeMaliyet]),0))</f>
        <v/>
      </c>
      <c r="G78" s="16">
        <f>IF($A78="","",IFERROR(SUMIF(tblMotor[A_Norm],$A78,tblMotor[ReklamHarcama]),0))</f>
        <v/>
      </c>
      <c r="H78" s="16">
        <f>IF(OR($A78="",$B78&lt;&gt;"tutar_farki"),"",IF(ABS($C78-$D78)&lt;=toleransKurus,"EGK-001",IF(ABS($C78-$F78)&lt;=toleransKurus,"EGK-002",IF(ABS($C78-$G78)&lt;=toleransKurus,"EGK-003",IF(ABS($C78-$E78)&lt;=toleransKurus,"EGK-004",IF($C78&gt;egk_esikFark,"EGK-005","TANIMSIZ"))))))</f>
        <v/>
      </c>
    </row>
    <row r="79">
      <c r="A79" s="22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IF($A79="","",IFERROR(SUMIF(tblMotor[A_Norm],$A79,tblMotor[KomisyonTutar]),0))</f>
        <v/>
      </c>
      <c r="E79" s="16">
        <f>IF($A79="","",IFERROR(SUMIF(tblMotor[A_Norm],$A79,tblMotor[Kargo]),0))</f>
        <v/>
      </c>
      <c r="F79" s="16">
        <f>IF($A79="","",IFERROR(SUMIF(tblMotor[A_Norm],$A79,tblMotor[IadeMaliyet]),0))</f>
        <v/>
      </c>
      <c r="G79" s="16">
        <f>IF($A79="","",IFERROR(SUMIF(tblMotor[A_Norm],$A79,tblMotor[ReklamHarcama]),0))</f>
        <v/>
      </c>
      <c r="H79" s="16">
        <f>IF(OR($A79="",$B79&lt;&gt;"tutar_farki"),"",IF(ABS($C79-$D79)&lt;=toleransKurus,"EGK-001",IF(ABS($C79-$F79)&lt;=toleransKurus,"EGK-002",IF(ABS($C79-$G79)&lt;=toleransKurus,"EGK-003",IF(ABS($C79-$E79)&lt;=toleransKurus,"EGK-004",IF($C79&gt;egk_esikFark,"EGK-005","TANIMSIZ"))))))</f>
        <v/>
      </c>
    </row>
    <row r="80">
      <c r="A80" s="22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IF($A80="","",IFERROR(SUMIF(tblMotor[A_Norm],$A80,tblMotor[KomisyonTutar]),0))</f>
        <v/>
      </c>
      <c r="E80" s="16">
        <f>IF($A80="","",IFERROR(SUMIF(tblMotor[A_Norm],$A80,tblMotor[Kargo]),0))</f>
        <v/>
      </c>
      <c r="F80" s="16">
        <f>IF($A80="","",IFERROR(SUMIF(tblMotor[A_Norm],$A80,tblMotor[IadeMaliyet]),0))</f>
        <v/>
      </c>
      <c r="G80" s="16">
        <f>IF($A80="","",IFERROR(SUMIF(tblMotor[A_Norm],$A80,tblMotor[ReklamHarcama]),0))</f>
        <v/>
      </c>
      <c r="H80" s="16">
        <f>IF(OR($A80="",$B80&lt;&gt;"tutar_farki"),"",IF(ABS($C80-$D80)&lt;=toleransKurus,"EGK-001",IF(ABS($C80-$F80)&lt;=toleransKurus,"EGK-002",IF(ABS($C80-$G80)&lt;=toleransKurus,"EGK-003",IF(ABS($C80-$E80)&lt;=toleransKurus,"EGK-004",IF($C80&gt;egk_esikFark,"EGK-005","TANIMSIZ"))))))</f>
        <v/>
      </c>
    </row>
    <row r="81">
      <c r="A81" s="22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IF($A81="","",IFERROR(SUMIF(tblMotor[A_Norm],$A81,tblMotor[KomisyonTutar]),0))</f>
        <v/>
      </c>
      <c r="E81" s="16">
        <f>IF($A81="","",IFERROR(SUMIF(tblMotor[A_Norm],$A81,tblMotor[Kargo]),0))</f>
        <v/>
      </c>
      <c r="F81" s="16">
        <f>IF($A81="","",IFERROR(SUMIF(tblMotor[A_Norm],$A81,tblMotor[IadeMaliyet]),0))</f>
        <v/>
      </c>
      <c r="G81" s="16">
        <f>IF($A81="","",IFERROR(SUMIF(tblMotor[A_Norm],$A81,tblMotor[ReklamHarcama]),0))</f>
        <v/>
      </c>
      <c r="H81" s="16">
        <f>IF(OR($A81="",$B81&lt;&gt;"tutar_farki"),"",IF(ABS($C81-$D81)&lt;=toleransKurus,"EGK-001",IF(ABS($C81-$F81)&lt;=toleransKurus,"EGK-002",IF(ABS($C81-$G81)&lt;=toleransKurus,"EGK-003",IF(ABS($C81-$E81)&lt;=toleransKurus,"EGK-004",IF($C81&gt;egk_esikFark,"EGK-005","TANIMSIZ"))))))</f>
        <v/>
      </c>
    </row>
    <row r="82">
      <c r="A82" s="22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IF($A82="","",IFERROR(SUMIF(tblMotor[A_Norm],$A82,tblMotor[KomisyonTutar]),0))</f>
        <v/>
      </c>
      <c r="E82" s="16">
        <f>IF($A82="","",IFERROR(SUMIF(tblMotor[A_Norm],$A82,tblMotor[Kargo]),0))</f>
        <v/>
      </c>
      <c r="F82" s="16">
        <f>IF($A82="","",IFERROR(SUMIF(tblMotor[A_Norm],$A82,tblMotor[IadeMaliyet]),0))</f>
        <v/>
      </c>
      <c r="G82" s="16">
        <f>IF($A82="","",IFERROR(SUMIF(tblMotor[A_Norm],$A82,tblMotor[ReklamHarcama]),0))</f>
        <v/>
      </c>
      <c r="H82" s="16">
        <f>IF(OR($A82="",$B82&lt;&gt;"tutar_farki"),"",IF(ABS($C82-$D82)&lt;=toleransKurus,"EGK-001",IF(ABS($C82-$F82)&lt;=toleransKurus,"EGK-002",IF(ABS($C82-$G82)&lt;=toleransKurus,"EGK-003",IF(ABS($C82-$E82)&lt;=toleransKurus,"EGK-004",IF($C82&gt;egk_esikFark,"EGK-005","TANIMSIZ"))))))</f>
        <v/>
      </c>
    </row>
    <row r="83">
      <c r="A83" s="22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IF($A83="","",IFERROR(SUMIF(tblMotor[A_Norm],$A83,tblMotor[KomisyonTutar]),0))</f>
        <v/>
      </c>
      <c r="E83" s="16">
        <f>IF($A83="","",IFERROR(SUMIF(tblMotor[A_Norm],$A83,tblMotor[Kargo]),0))</f>
        <v/>
      </c>
      <c r="F83" s="16">
        <f>IF($A83="","",IFERROR(SUMIF(tblMotor[A_Norm],$A83,tblMotor[IadeMaliyet]),0))</f>
        <v/>
      </c>
      <c r="G83" s="16">
        <f>IF($A83="","",IFERROR(SUMIF(tblMotor[A_Norm],$A83,tblMotor[ReklamHarcama]),0))</f>
        <v/>
      </c>
      <c r="H83" s="16">
        <f>IF(OR($A83="",$B83&lt;&gt;"tutar_farki"),"",IF(ABS($C83-$D83)&lt;=toleransKurus,"EGK-001",IF(ABS($C83-$F83)&lt;=toleransKurus,"EGK-002",IF(ABS($C83-$G83)&lt;=toleransKurus,"EGK-003",IF(ABS($C83-$E83)&lt;=toleransKurus,"EGK-004",IF($C83&gt;egk_esikFark,"EGK-005","TANIMSIZ"))))))</f>
        <v/>
      </c>
    </row>
    <row r="84">
      <c r="A84" s="22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IF($A84="","",IFERROR(SUMIF(tblMotor[A_Norm],$A84,tblMotor[KomisyonTutar]),0))</f>
        <v/>
      </c>
      <c r="E84" s="16">
        <f>IF($A84="","",IFERROR(SUMIF(tblMotor[A_Norm],$A84,tblMotor[Kargo]),0))</f>
        <v/>
      </c>
      <c r="F84" s="16">
        <f>IF($A84="","",IFERROR(SUMIF(tblMotor[A_Norm],$A84,tblMotor[IadeMaliyet]),0))</f>
        <v/>
      </c>
      <c r="G84" s="16">
        <f>IF($A84="","",IFERROR(SUMIF(tblMotor[A_Norm],$A84,tblMotor[ReklamHarcama]),0))</f>
        <v/>
      </c>
      <c r="H84" s="16">
        <f>IF(OR($A84="",$B84&lt;&gt;"tutar_farki"),"",IF(ABS($C84-$D84)&lt;=toleransKurus,"EGK-001",IF(ABS($C84-$F84)&lt;=toleransKurus,"EGK-002",IF(ABS($C84-$G84)&lt;=toleransKurus,"EGK-003",IF(ABS($C84-$E84)&lt;=toleransKurus,"EGK-004",IF($C84&gt;egk_esikFark,"EGK-005","TANIMSIZ"))))))</f>
        <v/>
      </c>
    </row>
    <row r="85">
      <c r="A85" s="22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IF($A85="","",IFERROR(SUMIF(tblMotor[A_Norm],$A85,tblMotor[KomisyonTutar]),0))</f>
        <v/>
      </c>
      <c r="E85" s="16">
        <f>IF($A85="","",IFERROR(SUMIF(tblMotor[A_Norm],$A85,tblMotor[Kargo]),0))</f>
        <v/>
      </c>
      <c r="F85" s="16">
        <f>IF($A85="","",IFERROR(SUMIF(tblMotor[A_Norm],$A85,tblMotor[IadeMaliyet]),0))</f>
        <v/>
      </c>
      <c r="G85" s="16">
        <f>IF($A85="","",IFERROR(SUMIF(tblMotor[A_Norm],$A85,tblMotor[ReklamHarcama]),0))</f>
        <v/>
      </c>
      <c r="H85" s="16">
        <f>IF(OR($A85="",$B85&lt;&gt;"tutar_farki"),"",IF(ABS($C85-$D85)&lt;=toleransKurus,"EGK-001",IF(ABS($C85-$F85)&lt;=toleransKurus,"EGK-002",IF(ABS($C85-$G85)&lt;=toleransKurus,"EGK-003",IF(ABS($C85-$E85)&lt;=toleransKurus,"EGK-004",IF($C85&gt;egk_esikFark,"EGK-005","TANIMSIZ"))))))</f>
        <v/>
      </c>
    </row>
    <row r="86">
      <c r="A86" s="22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IF($A86="","",IFERROR(SUMIF(tblMotor[A_Norm],$A86,tblMotor[KomisyonTutar]),0))</f>
        <v/>
      </c>
      <c r="E86" s="16">
        <f>IF($A86="","",IFERROR(SUMIF(tblMotor[A_Norm],$A86,tblMotor[Kargo]),0))</f>
        <v/>
      </c>
      <c r="F86" s="16">
        <f>IF($A86="","",IFERROR(SUMIF(tblMotor[A_Norm],$A86,tblMotor[IadeMaliyet]),0))</f>
        <v/>
      </c>
      <c r="G86" s="16">
        <f>IF($A86="","",IFERROR(SUMIF(tblMotor[A_Norm],$A86,tblMotor[ReklamHarcama]),0))</f>
        <v/>
      </c>
      <c r="H86" s="16">
        <f>IF(OR($A86="",$B86&lt;&gt;"tutar_farki"),"",IF(ABS($C86-$D86)&lt;=toleransKurus,"EGK-001",IF(ABS($C86-$F86)&lt;=toleransKurus,"EGK-002",IF(ABS($C86-$G86)&lt;=toleransKurus,"EGK-003",IF(ABS($C86-$E86)&lt;=toleransKurus,"EGK-004",IF($C86&gt;egk_esikFark,"EGK-005","TANIMSIZ"))))))</f>
        <v/>
      </c>
    </row>
    <row r="87">
      <c r="A87" s="22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IF($A87="","",IFERROR(SUMIF(tblMotor[A_Norm],$A87,tblMotor[KomisyonTutar]),0))</f>
        <v/>
      </c>
      <c r="E87" s="16">
        <f>IF($A87="","",IFERROR(SUMIF(tblMotor[A_Norm],$A87,tblMotor[Kargo]),0))</f>
        <v/>
      </c>
      <c r="F87" s="16">
        <f>IF($A87="","",IFERROR(SUMIF(tblMotor[A_Norm],$A87,tblMotor[IadeMaliyet]),0))</f>
        <v/>
      </c>
      <c r="G87" s="16">
        <f>IF($A87="","",IFERROR(SUMIF(tblMotor[A_Norm],$A87,tblMotor[ReklamHarcama]),0))</f>
        <v/>
      </c>
      <c r="H87" s="16">
        <f>IF(OR($A87="",$B87&lt;&gt;"tutar_farki"),"",IF(ABS($C87-$D87)&lt;=toleransKurus,"EGK-001",IF(ABS($C87-$F87)&lt;=toleransKurus,"EGK-002",IF(ABS($C87-$G87)&lt;=toleransKurus,"EGK-003",IF(ABS($C87-$E87)&lt;=toleransKurus,"EGK-004",IF($C87&gt;egk_esikFark,"EGK-005","TANIMSIZ"))))))</f>
        <v/>
      </c>
    </row>
    <row r="88">
      <c r="A88" s="22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IF($A88="","",IFERROR(SUMIF(tblMotor[A_Norm],$A88,tblMotor[KomisyonTutar]),0))</f>
        <v/>
      </c>
      <c r="E88" s="16">
        <f>IF($A88="","",IFERROR(SUMIF(tblMotor[A_Norm],$A88,tblMotor[Kargo]),0))</f>
        <v/>
      </c>
      <c r="F88" s="16">
        <f>IF($A88="","",IFERROR(SUMIF(tblMotor[A_Norm],$A88,tblMotor[IadeMaliyet]),0))</f>
        <v/>
      </c>
      <c r="G88" s="16">
        <f>IF($A88="","",IFERROR(SUMIF(tblMotor[A_Norm],$A88,tblMotor[ReklamHarcama]),0))</f>
        <v/>
      </c>
      <c r="H88" s="16">
        <f>IF(OR($A88="",$B88&lt;&gt;"tutar_farki"),"",IF(ABS($C88-$D88)&lt;=toleransKurus,"EGK-001",IF(ABS($C88-$F88)&lt;=toleransKurus,"EGK-002",IF(ABS($C88-$G88)&lt;=toleransKurus,"EGK-003",IF(ABS($C88-$E88)&lt;=toleransKurus,"EGK-004",IF($C88&gt;egk_esikFark,"EGK-005","TANIMSIZ"))))))</f>
        <v/>
      </c>
    </row>
    <row r="89">
      <c r="A89" s="22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IF($A89="","",IFERROR(SUMIF(tblMotor[A_Norm],$A89,tblMotor[KomisyonTutar]),0))</f>
        <v/>
      </c>
      <c r="E89" s="16">
        <f>IF($A89="","",IFERROR(SUMIF(tblMotor[A_Norm],$A89,tblMotor[Kargo]),0))</f>
        <v/>
      </c>
      <c r="F89" s="16">
        <f>IF($A89="","",IFERROR(SUMIF(tblMotor[A_Norm],$A89,tblMotor[IadeMaliyet]),0))</f>
        <v/>
      </c>
      <c r="G89" s="16">
        <f>IF($A89="","",IFERROR(SUMIF(tblMotor[A_Norm],$A89,tblMotor[ReklamHarcama]),0))</f>
        <v/>
      </c>
      <c r="H89" s="16">
        <f>IF(OR($A89="",$B89&lt;&gt;"tutar_farki"),"",IF(ABS($C89-$D89)&lt;=toleransKurus,"EGK-001",IF(ABS($C89-$F89)&lt;=toleransKurus,"EGK-002",IF(ABS($C89-$G89)&lt;=toleransKurus,"EGK-003",IF(ABS($C89-$E89)&lt;=toleransKurus,"EGK-004",IF($C89&gt;egk_esikFark,"EGK-005","TANIMSIZ"))))))</f>
        <v/>
      </c>
    </row>
    <row r="90">
      <c r="A90" s="22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IF($A90="","",IFERROR(SUMIF(tblMotor[A_Norm],$A90,tblMotor[KomisyonTutar]),0))</f>
        <v/>
      </c>
      <c r="E90" s="16">
        <f>IF($A90="","",IFERROR(SUMIF(tblMotor[A_Norm],$A90,tblMotor[Kargo]),0))</f>
        <v/>
      </c>
      <c r="F90" s="16">
        <f>IF($A90="","",IFERROR(SUMIF(tblMotor[A_Norm],$A90,tblMotor[IadeMaliyet]),0))</f>
        <v/>
      </c>
      <c r="G90" s="16">
        <f>IF($A90="","",IFERROR(SUMIF(tblMotor[A_Norm],$A90,tblMotor[ReklamHarcama]),0))</f>
        <v/>
      </c>
      <c r="H90" s="16">
        <f>IF(OR($A90="",$B90&lt;&gt;"tutar_farki"),"",IF(ABS($C90-$D90)&lt;=toleransKurus,"EGK-001",IF(ABS($C90-$F90)&lt;=toleransKurus,"EGK-002",IF(ABS($C90-$G90)&lt;=toleransKurus,"EGK-003",IF(ABS($C90-$E90)&lt;=toleransKurus,"EGK-004",IF($C90&gt;egk_esikFark,"EGK-005","TANIMSIZ"))))))</f>
        <v/>
      </c>
    </row>
    <row r="91">
      <c r="A91" s="22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IF($A91="","",IFERROR(SUMIF(tblMotor[A_Norm],$A91,tblMotor[KomisyonTutar]),0))</f>
        <v/>
      </c>
      <c r="E91" s="16">
        <f>IF($A91="","",IFERROR(SUMIF(tblMotor[A_Norm],$A91,tblMotor[Kargo]),0))</f>
        <v/>
      </c>
      <c r="F91" s="16">
        <f>IF($A91="","",IFERROR(SUMIF(tblMotor[A_Norm],$A91,tblMotor[IadeMaliyet]),0))</f>
        <v/>
      </c>
      <c r="G91" s="16">
        <f>IF($A91="","",IFERROR(SUMIF(tblMotor[A_Norm],$A91,tblMotor[ReklamHarcama]),0))</f>
        <v/>
      </c>
      <c r="H91" s="16">
        <f>IF(OR($A91="",$B91&lt;&gt;"tutar_farki"),"",IF(ABS($C91-$D91)&lt;=toleransKurus,"EGK-001",IF(ABS($C91-$F91)&lt;=toleransKurus,"EGK-002",IF(ABS($C91-$G91)&lt;=toleransKurus,"EGK-003",IF(ABS($C91-$E91)&lt;=toleransKurus,"EGK-004",IF($C91&gt;egk_esikFark,"EGK-005","TANIMSIZ"))))))</f>
        <v/>
      </c>
    </row>
    <row r="92">
      <c r="A92" s="22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IF($A92="","",IFERROR(SUMIF(tblMotor[A_Norm],$A92,tblMotor[KomisyonTutar]),0))</f>
        <v/>
      </c>
      <c r="E92" s="16">
        <f>IF($A92="","",IFERROR(SUMIF(tblMotor[A_Norm],$A92,tblMotor[Kargo]),0))</f>
        <v/>
      </c>
      <c r="F92" s="16">
        <f>IF($A92="","",IFERROR(SUMIF(tblMotor[A_Norm],$A92,tblMotor[IadeMaliyet]),0))</f>
        <v/>
      </c>
      <c r="G92" s="16">
        <f>IF($A92="","",IFERROR(SUMIF(tblMotor[A_Norm],$A92,tblMotor[ReklamHarcama]),0))</f>
        <v/>
      </c>
      <c r="H92" s="16">
        <f>IF(OR($A92="",$B92&lt;&gt;"tutar_farki"),"",IF(ABS($C92-$D92)&lt;=toleransKurus,"EGK-001",IF(ABS($C92-$F92)&lt;=toleransKurus,"EGK-002",IF(ABS($C92-$G92)&lt;=toleransKurus,"EGK-003",IF(ABS($C92-$E92)&lt;=toleransKurus,"EGK-004",IF($C92&gt;egk_esikFark,"EGK-005","TANIMSIZ"))))))</f>
        <v/>
      </c>
    </row>
    <row r="93">
      <c r="A93" s="22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IF($A93="","",IFERROR(SUMIF(tblMotor[A_Norm],$A93,tblMotor[KomisyonTutar]),0))</f>
        <v/>
      </c>
      <c r="E93" s="16">
        <f>IF($A93="","",IFERROR(SUMIF(tblMotor[A_Norm],$A93,tblMotor[Kargo]),0))</f>
        <v/>
      </c>
      <c r="F93" s="16">
        <f>IF($A93="","",IFERROR(SUMIF(tblMotor[A_Norm],$A93,tblMotor[IadeMaliyet]),0))</f>
        <v/>
      </c>
      <c r="G93" s="16">
        <f>IF($A93="","",IFERROR(SUMIF(tblMotor[A_Norm],$A93,tblMotor[ReklamHarcama]),0))</f>
        <v/>
      </c>
      <c r="H93" s="16">
        <f>IF(OR($A93="",$B93&lt;&gt;"tutar_farki"),"",IF(ABS($C93-$D93)&lt;=toleransKurus,"EGK-001",IF(ABS($C93-$F93)&lt;=toleransKurus,"EGK-002",IF(ABS($C93-$G93)&lt;=toleransKurus,"EGK-003",IF(ABS($C93-$E93)&lt;=toleransKurus,"EGK-004",IF($C93&gt;egk_esikFark,"EGK-005","TANIMSIZ"))))))</f>
        <v/>
      </c>
    </row>
    <row r="94">
      <c r="A94" s="22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IF($A94="","",IFERROR(SUMIF(tblMotor[A_Norm],$A94,tblMotor[KomisyonTutar]),0))</f>
        <v/>
      </c>
      <c r="E94" s="16">
        <f>IF($A94="","",IFERROR(SUMIF(tblMotor[A_Norm],$A94,tblMotor[Kargo]),0))</f>
        <v/>
      </c>
      <c r="F94" s="16">
        <f>IF($A94="","",IFERROR(SUMIF(tblMotor[A_Norm],$A94,tblMotor[IadeMaliyet]),0))</f>
        <v/>
      </c>
      <c r="G94" s="16">
        <f>IF($A94="","",IFERROR(SUMIF(tblMotor[A_Norm],$A94,tblMotor[ReklamHarcama]),0))</f>
        <v/>
      </c>
      <c r="H94" s="16">
        <f>IF(OR($A94="",$B94&lt;&gt;"tutar_farki"),"",IF(ABS($C94-$D94)&lt;=toleransKurus,"EGK-001",IF(ABS($C94-$F94)&lt;=toleransKurus,"EGK-002",IF(ABS($C94-$G94)&lt;=toleransKurus,"EGK-003",IF(ABS($C94-$E94)&lt;=toleransKurus,"EGK-004",IF($C94&gt;egk_esikFark,"EGK-005","TANIMSIZ"))))))</f>
        <v/>
      </c>
    </row>
    <row r="95">
      <c r="A95" s="22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IF($A95="","",IFERROR(SUMIF(tblMotor[A_Norm],$A95,tblMotor[KomisyonTutar]),0))</f>
        <v/>
      </c>
      <c r="E95" s="16">
        <f>IF($A95="","",IFERROR(SUMIF(tblMotor[A_Norm],$A95,tblMotor[Kargo]),0))</f>
        <v/>
      </c>
      <c r="F95" s="16">
        <f>IF($A95="","",IFERROR(SUMIF(tblMotor[A_Norm],$A95,tblMotor[IadeMaliyet]),0))</f>
        <v/>
      </c>
      <c r="G95" s="16">
        <f>IF($A95="","",IFERROR(SUMIF(tblMotor[A_Norm],$A95,tblMotor[ReklamHarcama]),0))</f>
        <v/>
      </c>
      <c r="H95" s="16">
        <f>IF(OR($A95="",$B95&lt;&gt;"tutar_farki"),"",IF(ABS($C95-$D95)&lt;=toleransKurus,"EGK-001",IF(ABS($C95-$F95)&lt;=toleransKurus,"EGK-002",IF(ABS($C95-$G95)&lt;=toleransKurus,"EGK-003",IF(ABS($C95-$E95)&lt;=toleransKurus,"EGK-004",IF($C95&gt;egk_esikFark,"EGK-005","TANIMSIZ"))))))</f>
        <v/>
      </c>
    </row>
    <row r="96">
      <c r="A96" s="22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IF($A96="","",IFERROR(SUMIF(tblMotor[A_Norm],$A96,tblMotor[KomisyonTutar]),0))</f>
        <v/>
      </c>
      <c r="E96" s="16">
        <f>IF($A96="","",IFERROR(SUMIF(tblMotor[A_Norm],$A96,tblMotor[Kargo]),0))</f>
        <v/>
      </c>
      <c r="F96" s="16">
        <f>IF($A96="","",IFERROR(SUMIF(tblMotor[A_Norm],$A96,tblMotor[IadeMaliyet]),0))</f>
        <v/>
      </c>
      <c r="G96" s="16">
        <f>IF($A96="","",IFERROR(SUMIF(tblMotor[A_Norm],$A96,tblMotor[ReklamHarcama]),0))</f>
        <v/>
      </c>
      <c r="H96" s="16">
        <f>IF(OR($A96="",$B96&lt;&gt;"tutar_farki"),"",IF(ABS($C96-$D96)&lt;=toleransKurus,"EGK-001",IF(ABS($C96-$F96)&lt;=toleransKurus,"EGK-002",IF(ABS($C96-$G96)&lt;=toleransKurus,"EGK-003",IF(ABS($C96-$E96)&lt;=toleransKurus,"EGK-004",IF($C96&gt;egk_esikFark,"EGK-005","TANIMSIZ"))))))</f>
        <v/>
      </c>
    </row>
    <row r="97">
      <c r="A97" s="22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IF($A97="","",IFERROR(SUMIF(tblMotor[A_Norm],$A97,tblMotor[KomisyonTutar]),0))</f>
        <v/>
      </c>
      <c r="E97" s="16">
        <f>IF($A97="","",IFERROR(SUMIF(tblMotor[A_Norm],$A97,tblMotor[Kargo]),0))</f>
        <v/>
      </c>
      <c r="F97" s="16">
        <f>IF($A97="","",IFERROR(SUMIF(tblMotor[A_Norm],$A97,tblMotor[IadeMaliyet]),0))</f>
        <v/>
      </c>
      <c r="G97" s="16">
        <f>IF($A97="","",IFERROR(SUMIF(tblMotor[A_Norm],$A97,tblMotor[ReklamHarcama]),0))</f>
        <v/>
      </c>
      <c r="H97" s="16">
        <f>IF(OR($A97="",$B97&lt;&gt;"tutar_farki"),"",IF(ABS($C97-$D97)&lt;=toleransKurus,"EGK-001",IF(ABS($C97-$F97)&lt;=toleransKurus,"EGK-002",IF(ABS($C97-$G97)&lt;=toleransKurus,"EGK-003",IF(ABS($C97-$E97)&lt;=toleransKurus,"EGK-004",IF($C97&gt;egk_esikFark,"EGK-005","TANIMSIZ"))))))</f>
        <v/>
      </c>
    </row>
    <row r="98">
      <c r="A98" s="22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IF($A98="","",IFERROR(SUMIF(tblMotor[A_Norm],$A98,tblMotor[KomisyonTutar]),0))</f>
        <v/>
      </c>
      <c r="E98" s="16">
        <f>IF($A98="","",IFERROR(SUMIF(tblMotor[A_Norm],$A98,tblMotor[Kargo]),0))</f>
        <v/>
      </c>
      <c r="F98" s="16">
        <f>IF($A98="","",IFERROR(SUMIF(tblMotor[A_Norm],$A98,tblMotor[IadeMaliyet]),0))</f>
        <v/>
      </c>
      <c r="G98" s="16">
        <f>IF($A98="","",IFERROR(SUMIF(tblMotor[A_Norm],$A98,tblMotor[ReklamHarcama]),0))</f>
        <v/>
      </c>
      <c r="H98" s="16">
        <f>IF(OR($A98="",$B98&lt;&gt;"tutar_farki"),"",IF(ABS($C98-$D98)&lt;=toleransKurus,"EGK-001",IF(ABS($C98-$F98)&lt;=toleransKurus,"EGK-002",IF(ABS($C98-$G98)&lt;=toleransKurus,"EGK-003",IF(ABS($C98-$E98)&lt;=toleransKurus,"EGK-004",IF($C98&gt;egk_esikFark,"EGK-005","TANIMSIZ"))))))</f>
        <v/>
      </c>
    </row>
    <row r="99">
      <c r="A99" s="22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IF($A99="","",IFERROR(SUMIF(tblMotor[A_Norm],$A99,tblMotor[KomisyonTutar]),0))</f>
        <v/>
      </c>
      <c r="E99" s="16">
        <f>IF($A99="","",IFERROR(SUMIF(tblMotor[A_Norm],$A99,tblMotor[Kargo]),0))</f>
        <v/>
      </c>
      <c r="F99" s="16">
        <f>IF($A99="","",IFERROR(SUMIF(tblMotor[A_Norm],$A99,tblMotor[IadeMaliyet]),0))</f>
        <v/>
      </c>
      <c r="G99" s="16">
        <f>IF($A99="","",IFERROR(SUMIF(tblMotor[A_Norm],$A99,tblMotor[ReklamHarcama]),0))</f>
        <v/>
      </c>
      <c r="H99" s="16">
        <f>IF(OR($A99="",$B99&lt;&gt;"tutar_farki"),"",IF(ABS($C99-$D99)&lt;=toleransKurus,"EGK-001",IF(ABS($C99-$F99)&lt;=toleransKurus,"EGK-002",IF(ABS($C99-$G99)&lt;=toleransKurus,"EGK-003",IF(ABS($C99-$E99)&lt;=toleransKurus,"EGK-004",IF($C99&gt;egk_esikFark,"EGK-005","TANIMSIZ"))))))</f>
        <v/>
      </c>
    </row>
    <row r="100">
      <c r="A100" s="22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IF($A100="","",IFERROR(SUMIF(tblMotor[A_Norm],$A100,tblMotor[KomisyonTutar]),0))</f>
        <v/>
      </c>
      <c r="E100" s="16">
        <f>IF($A100="","",IFERROR(SUMIF(tblMotor[A_Norm],$A100,tblMotor[Kargo]),0))</f>
        <v/>
      </c>
      <c r="F100" s="16">
        <f>IF($A100="","",IFERROR(SUMIF(tblMotor[A_Norm],$A100,tblMotor[IadeMaliyet]),0))</f>
        <v/>
      </c>
      <c r="G100" s="16">
        <f>IF($A100="","",IFERROR(SUMIF(tblMotor[A_Norm],$A100,tblMotor[ReklamHarcama]),0))</f>
        <v/>
      </c>
      <c r="H100" s="16">
        <f>IF(OR($A100="",$B100&lt;&gt;"tutar_farki"),"",IF(ABS($C100-$D100)&lt;=toleransKurus,"EGK-001",IF(ABS($C100-$F100)&lt;=toleransKurus,"EGK-002",IF(ABS($C100-$G100)&lt;=toleransKurus,"EGK-003",IF(ABS($C100-$E100)&lt;=toleransKurus,"EGK-004",IF($C100&gt;egk_esikFark,"EGK-005","TANIMSIZ"))))))</f>
        <v/>
      </c>
    </row>
    <row r="101">
      <c r="A101" s="22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IF($A101="","",IFERROR(SUMIF(tblMotor[A_Norm],$A101,tblMotor[KomisyonTutar]),0))</f>
        <v/>
      </c>
      <c r="E101" s="16">
        <f>IF($A101="","",IFERROR(SUMIF(tblMotor[A_Norm],$A101,tblMotor[Kargo]),0))</f>
        <v/>
      </c>
      <c r="F101" s="16">
        <f>IF($A101="","",IFERROR(SUMIF(tblMotor[A_Norm],$A101,tblMotor[IadeMaliyet]),0))</f>
        <v/>
      </c>
      <c r="G101" s="16">
        <f>IF($A101="","",IFERROR(SUMIF(tblMotor[A_Norm],$A101,tblMotor[ReklamHarcama]),0))</f>
        <v/>
      </c>
      <c r="H101" s="16">
        <f>IF(OR($A101="",$B101&lt;&gt;"tutar_farki"),"",IF(ABS($C101-$D101)&lt;=toleransKurus,"EGK-001",IF(ABS($C101-$F101)&lt;=toleransKurus,"EGK-002",IF(ABS($C101-$G101)&lt;=toleransKurus,"EGK-003",IF(ABS($C101-$E101)&lt;=toleransKurus,"EGK-004",IF($C101&gt;egk_esikFark,"EGK-005","TANIMSIZ"))))))</f>
        <v/>
      </c>
    </row>
    <row r="102">
      <c r="A102" s="22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IF($A102="","",IFERROR(SUMIF(tblMotor[A_Norm],$A102,tblMotor[KomisyonTutar]),0))</f>
        <v/>
      </c>
      <c r="E102" s="16">
        <f>IF($A102="","",IFERROR(SUMIF(tblMotor[A_Norm],$A102,tblMotor[Kargo]),0))</f>
        <v/>
      </c>
      <c r="F102" s="16">
        <f>IF($A102="","",IFERROR(SUMIF(tblMotor[A_Norm],$A102,tblMotor[IadeMaliyet]),0))</f>
        <v/>
      </c>
      <c r="G102" s="16">
        <f>IF($A102="","",IFERROR(SUMIF(tblMotor[A_Norm],$A102,tblMotor[ReklamHarcama]),0))</f>
        <v/>
      </c>
      <c r="H102" s="16">
        <f>IF(OR($A102="",$B102&lt;&gt;"tutar_farki"),"",IF(ABS($C102-$D102)&lt;=toleransKurus,"EGK-001",IF(ABS($C102-$F102)&lt;=toleransKurus,"EGK-002",IF(ABS($C102-$G102)&lt;=toleransKurus,"EGK-003",IF(ABS($C102-$E102)&lt;=toleransKurus,"EGK-004",IF($C102&gt;egk_esikFark,"EGK-005","TANIMSIZ"))))))</f>
        <v/>
      </c>
    </row>
    <row r="103">
      <c r="A103" s="22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IF($A103="","",IFERROR(SUMIF(tblMotor[A_Norm],$A103,tblMotor[KomisyonTutar]),0))</f>
        <v/>
      </c>
      <c r="E103" s="16">
        <f>IF($A103="","",IFERROR(SUMIF(tblMotor[A_Norm],$A103,tblMotor[Kargo]),0))</f>
        <v/>
      </c>
      <c r="F103" s="16">
        <f>IF($A103="","",IFERROR(SUMIF(tblMotor[A_Norm],$A103,tblMotor[IadeMaliyet]),0))</f>
        <v/>
      </c>
      <c r="G103" s="16">
        <f>IF($A103="","",IFERROR(SUMIF(tblMotor[A_Norm],$A103,tblMotor[ReklamHarcama]),0))</f>
        <v/>
      </c>
      <c r="H103" s="16">
        <f>IF(OR($A103="",$B103&lt;&gt;"tutar_farki"),"",IF(ABS($C103-$D103)&lt;=toleransKurus,"EGK-001",IF(ABS($C103-$F103)&lt;=toleransKurus,"EGK-002",IF(ABS($C103-$G103)&lt;=toleransKurus,"EGK-003",IF(ABS($C103-$E103)&lt;=toleransKurus,"EGK-004",IF($C103&gt;egk_esikFark,"EGK-005","TANIMSIZ"))))))</f>
        <v/>
      </c>
    </row>
    <row r="104">
      <c r="A104" s="22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IF($A104="","",IFERROR(SUMIF(tblMotor[A_Norm],$A104,tblMotor[KomisyonTutar]),0))</f>
        <v/>
      </c>
      <c r="E104" s="16">
        <f>IF($A104="","",IFERROR(SUMIF(tblMotor[A_Norm],$A104,tblMotor[Kargo]),0))</f>
        <v/>
      </c>
      <c r="F104" s="16">
        <f>IF($A104="","",IFERROR(SUMIF(tblMotor[A_Norm],$A104,tblMotor[IadeMaliyet]),0))</f>
        <v/>
      </c>
      <c r="G104" s="16">
        <f>IF($A104="","",IFERROR(SUMIF(tblMotor[A_Norm],$A104,tblMotor[ReklamHarcama]),0))</f>
        <v/>
      </c>
      <c r="H104" s="16">
        <f>IF(OR($A104="",$B104&lt;&gt;"tutar_farki"),"",IF(ABS($C104-$D104)&lt;=toleransKurus,"EGK-001",IF(ABS($C104-$F104)&lt;=toleransKurus,"EGK-002",IF(ABS($C104-$G104)&lt;=toleransKurus,"EGK-003",IF(ABS($C104-$E104)&lt;=toleransKurus,"EGK-004",IF($C104&gt;egk_esikFark,"EGK-005","TANIMSIZ"))))))</f>
        <v/>
      </c>
    </row>
    <row r="105">
      <c r="A105" s="22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IF($A105="","",IFERROR(SUMIF(tblMotor[A_Norm],$A105,tblMotor[KomisyonTutar]),0))</f>
        <v/>
      </c>
      <c r="E105" s="16">
        <f>IF($A105="","",IFERROR(SUMIF(tblMotor[A_Norm],$A105,tblMotor[Kargo]),0))</f>
        <v/>
      </c>
      <c r="F105" s="16">
        <f>IF($A105="","",IFERROR(SUMIF(tblMotor[A_Norm],$A105,tblMotor[IadeMaliyet]),0))</f>
        <v/>
      </c>
      <c r="G105" s="16">
        <f>IF($A105="","",IFERROR(SUMIF(tblMotor[A_Norm],$A105,tblMotor[ReklamHarcama]),0))</f>
        <v/>
      </c>
      <c r="H105" s="16">
        <f>IF(OR($A105="",$B105&lt;&gt;"tutar_farki"),"",IF(ABS($C105-$D105)&lt;=toleransKurus,"EGK-001",IF(ABS($C105-$F105)&lt;=toleransKurus,"EGK-002",IF(ABS($C105-$G105)&lt;=toleransKurus,"EGK-003",IF(ABS($C105-$E105)&lt;=toleransKurus,"EGK-004",IF($C105&gt;egk_esikFark,"EGK-005","TANIMSIZ"))))))</f>
        <v/>
      </c>
    </row>
    <row r="106">
      <c r="A106" s="22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IF($A106="","",IFERROR(SUMIF(tblMotor[A_Norm],$A106,tblMotor[KomisyonTutar]),0))</f>
        <v/>
      </c>
      <c r="E106" s="16">
        <f>IF($A106="","",IFERROR(SUMIF(tblMotor[A_Norm],$A106,tblMotor[Kargo]),0))</f>
        <v/>
      </c>
      <c r="F106" s="16">
        <f>IF($A106="","",IFERROR(SUMIF(tblMotor[A_Norm],$A106,tblMotor[IadeMaliyet]),0))</f>
        <v/>
      </c>
      <c r="G106" s="16">
        <f>IF($A106="","",IFERROR(SUMIF(tblMotor[A_Norm],$A106,tblMotor[ReklamHarcama]),0))</f>
        <v/>
      </c>
      <c r="H106" s="16">
        <f>IF(OR($A106="",$B106&lt;&gt;"tutar_farki"),"",IF(ABS($C106-$D106)&lt;=toleransKurus,"EGK-001",IF(ABS($C106-$F106)&lt;=toleransKurus,"EGK-002",IF(ABS($C106-$G106)&lt;=toleransKurus,"EGK-003",IF(ABS($C106-$E106)&lt;=toleransKurus,"EGK-004",IF($C106&gt;egk_esikFark,"EGK-005","TANIMSIZ"))))))</f>
        <v/>
      </c>
    </row>
    <row r="107">
      <c r="A107" s="22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IF($A107="","",IFERROR(SUMIF(tblMotor[A_Norm],$A107,tblMotor[KomisyonTutar]),0))</f>
        <v/>
      </c>
      <c r="E107" s="16">
        <f>IF($A107="","",IFERROR(SUMIF(tblMotor[A_Norm],$A107,tblMotor[Kargo]),0))</f>
        <v/>
      </c>
      <c r="F107" s="16">
        <f>IF($A107="","",IFERROR(SUMIF(tblMotor[A_Norm],$A107,tblMotor[IadeMaliyet]),0))</f>
        <v/>
      </c>
      <c r="G107" s="16">
        <f>IF($A107="","",IFERROR(SUMIF(tblMotor[A_Norm],$A107,tblMotor[ReklamHarcama]),0))</f>
        <v/>
      </c>
      <c r="H107" s="16">
        <f>IF(OR($A107="",$B107&lt;&gt;"tutar_farki"),"",IF(ABS($C107-$D107)&lt;=toleransKurus,"EGK-001",IF(ABS($C107-$F107)&lt;=toleransKurus,"EGK-002",IF(ABS($C107-$G107)&lt;=toleransKurus,"EGK-003",IF(ABS($C107-$E107)&lt;=toleransKurus,"EGK-004",IF($C107&gt;egk_esikFark,"EGK-005","TANIMSIZ"))))))</f>
        <v/>
      </c>
    </row>
    <row r="108">
      <c r="A108" s="22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IF($A108="","",IFERROR(SUMIF(tblMotor[A_Norm],$A108,tblMotor[KomisyonTutar]),0))</f>
        <v/>
      </c>
      <c r="E108" s="16">
        <f>IF($A108="","",IFERROR(SUMIF(tblMotor[A_Norm],$A108,tblMotor[Kargo]),0))</f>
        <v/>
      </c>
      <c r="F108" s="16">
        <f>IF($A108="","",IFERROR(SUMIF(tblMotor[A_Norm],$A108,tblMotor[IadeMaliyet]),0))</f>
        <v/>
      </c>
      <c r="G108" s="16">
        <f>IF($A108="","",IFERROR(SUMIF(tblMotor[A_Norm],$A108,tblMotor[ReklamHarcama]),0))</f>
        <v/>
      </c>
      <c r="H108" s="16">
        <f>IF(OR($A108="",$B108&lt;&gt;"tutar_farki"),"",IF(ABS($C108-$D108)&lt;=toleransKurus,"EGK-001",IF(ABS($C108-$F108)&lt;=toleransKurus,"EGK-002",IF(ABS($C108-$G108)&lt;=toleransKurus,"EGK-003",IF(ABS($C108-$E108)&lt;=toleransKurus,"EGK-004",IF($C108&gt;egk_esikFark,"EGK-005","TANIMSIZ"))))))</f>
        <v/>
      </c>
    </row>
    <row r="109">
      <c r="A109" s="22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IF($A109="","",IFERROR(SUMIF(tblMotor[A_Norm],$A109,tblMotor[KomisyonTutar]),0))</f>
        <v/>
      </c>
      <c r="E109" s="16">
        <f>IF($A109="","",IFERROR(SUMIF(tblMotor[A_Norm],$A109,tblMotor[Kargo]),0))</f>
        <v/>
      </c>
      <c r="F109" s="16">
        <f>IF($A109="","",IFERROR(SUMIF(tblMotor[A_Norm],$A109,tblMotor[IadeMaliyet]),0))</f>
        <v/>
      </c>
      <c r="G109" s="16">
        <f>IF($A109="","",IFERROR(SUMIF(tblMotor[A_Norm],$A109,tblMotor[ReklamHarcama]),0))</f>
        <v/>
      </c>
      <c r="H109" s="16">
        <f>IF(OR($A109="",$B109&lt;&gt;"tutar_farki"),"",IF(ABS($C109-$D109)&lt;=toleransKurus,"EGK-001",IF(ABS($C109-$F109)&lt;=toleransKurus,"EGK-002",IF(ABS($C109-$G109)&lt;=toleransKurus,"EGK-003",IF(ABS($C109-$E109)&lt;=toleransKurus,"EGK-004",IF($C109&gt;egk_esikFark,"EGK-005","TANIMSIZ"))))))</f>
        <v/>
      </c>
    </row>
    <row r="110">
      <c r="A110" s="22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IF($A110="","",IFERROR(SUMIF(tblMotor[A_Norm],$A110,tblMotor[KomisyonTutar]),0))</f>
        <v/>
      </c>
      <c r="E110" s="16">
        <f>IF($A110="","",IFERROR(SUMIF(tblMotor[A_Norm],$A110,tblMotor[Kargo]),0))</f>
        <v/>
      </c>
      <c r="F110" s="16">
        <f>IF($A110="","",IFERROR(SUMIF(tblMotor[A_Norm],$A110,tblMotor[IadeMaliyet]),0))</f>
        <v/>
      </c>
      <c r="G110" s="16">
        <f>IF($A110="","",IFERROR(SUMIF(tblMotor[A_Norm],$A110,tblMotor[ReklamHarcama]),0))</f>
        <v/>
      </c>
      <c r="H110" s="16">
        <f>IF(OR($A110="",$B110&lt;&gt;"tutar_farki"),"",IF(ABS($C110-$D110)&lt;=toleransKurus,"EGK-001",IF(ABS($C110-$F110)&lt;=toleransKurus,"EGK-002",IF(ABS($C110-$G110)&lt;=toleransKurus,"EGK-003",IF(ABS($C110-$E110)&lt;=toleransKurus,"EGK-004",IF($C110&gt;egk_esikFark,"EGK-005","TANIMSIZ"))))))</f>
        <v/>
      </c>
    </row>
    <row r="111">
      <c r="A111" s="22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IF($A111="","",IFERROR(SUMIF(tblMotor[A_Norm],$A111,tblMotor[KomisyonTutar]),0))</f>
        <v/>
      </c>
      <c r="E111" s="16">
        <f>IF($A111="","",IFERROR(SUMIF(tblMotor[A_Norm],$A111,tblMotor[Kargo]),0))</f>
        <v/>
      </c>
      <c r="F111" s="16">
        <f>IF($A111="","",IFERROR(SUMIF(tblMotor[A_Norm],$A111,tblMotor[IadeMaliyet]),0))</f>
        <v/>
      </c>
      <c r="G111" s="16">
        <f>IF($A111="","",IFERROR(SUMIF(tblMotor[A_Norm],$A111,tblMotor[ReklamHarcama]),0))</f>
        <v/>
      </c>
      <c r="H111" s="16">
        <f>IF(OR($A111="",$B111&lt;&gt;"tutar_farki"),"",IF(ABS($C111-$D111)&lt;=toleransKurus,"EGK-001",IF(ABS($C111-$F111)&lt;=toleransKurus,"EGK-002",IF(ABS($C111-$G111)&lt;=toleransKurus,"EGK-003",IF(ABS($C111-$E111)&lt;=toleransKurus,"EGK-004",IF($C111&gt;egk_esikFark,"EGK-005","TANIMSIZ"))))))</f>
        <v/>
      </c>
    </row>
    <row r="112">
      <c r="A112" s="22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IF($A112="","",IFERROR(SUMIF(tblMotor[A_Norm],$A112,tblMotor[KomisyonTutar]),0))</f>
        <v/>
      </c>
      <c r="E112" s="16">
        <f>IF($A112="","",IFERROR(SUMIF(tblMotor[A_Norm],$A112,tblMotor[Kargo]),0))</f>
        <v/>
      </c>
      <c r="F112" s="16">
        <f>IF($A112="","",IFERROR(SUMIF(tblMotor[A_Norm],$A112,tblMotor[IadeMaliyet]),0))</f>
        <v/>
      </c>
      <c r="G112" s="16">
        <f>IF($A112="","",IFERROR(SUMIF(tblMotor[A_Norm],$A112,tblMotor[ReklamHarcama]),0))</f>
        <v/>
      </c>
      <c r="H112" s="16">
        <f>IF(OR($A112="",$B112&lt;&gt;"tutar_farki"),"",IF(ABS($C112-$D112)&lt;=toleransKurus,"EGK-001",IF(ABS($C112-$F112)&lt;=toleransKurus,"EGK-002",IF(ABS($C112-$G112)&lt;=toleransKurus,"EGK-003",IF(ABS($C112-$E112)&lt;=toleransKurus,"EGK-004",IF($C112&gt;egk_esikFark,"EGK-005","TANIMSIZ"))))))</f>
        <v/>
      </c>
    </row>
    <row r="113">
      <c r="A113" s="22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IF($A113="","",IFERROR(SUMIF(tblMotor[A_Norm],$A113,tblMotor[KomisyonTutar]),0))</f>
        <v/>
      </c>
      <c r="E113" s="16">
        <f>IF($A113="","",IFERROR(SUMIF(tblMotor[A_Norm],$A113,tblMotor[Kargo]),0))</f>
        <v/>
      </c>
      <c r="F113" s="16">
        <f>IF($A113="","",IFERROR(SUMIF(tblMotor[A_Norm],$A113,tblMotor[IadeMaliyet]),0))</f>
        <v/>
      </c>
      <c r="G113" s="16">
        <f>IF($A113="","",IFERROR(SUMIF(tblMotor[A_Norm],$A113,tblMotor[ReklamHarcama]),0))</f>
        <v/>
      </c>
      <c r="H113" s="16">
        <f>IF(OR($A113="",$B113&lt;&gt;"tutar_farki"),"",IF(ABS($C113-$D113)&lt;=toleransKurus,"EGK-001",IF(ABS($C113-$F113)&lt;=toleransKurus,"EGK-002",IF(ABS($C113-$G113)&lt;=toleransKurus,"EGK-003",IF(ABS($C113-$E113)&lt;=toleransKurus,"EGK-004",IF($C113&gt;egk_esikFark,"EGK-005","TANIMSIZ"))))))</f>
        <v/>
      </c>
    </row>
    <row r="114">
      <c r="A114" s="22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IF($A114="","",IFERROR(SUMIF(tblMotor[A_Norm],$A114,tblMotor[KomisyonTutar]),0))</f>
        <v/>
      </c>
      <c r="E114" s="16">
        <f>IF($A114="","",IFERROR(SUMIF(tblMotor[A_Norm],$A114,tblMotor[Kargo]),0))</f>
        <v/>
      </c>
      <c r="F114" s="16">
        <f>IF($A114="","",IFERROR(SUMIF(tblMotor[A_Norm],$A114,tblMotor[IadeMaliyet]),0))</f>
        <v/>
      </c>
      <c r="G114" s="16">
        <f>IF($A114="","",IFERROR(SUMIF(tblMotor[A_Norm],$A114,tblMotor[ReklamHarcama]),0))</f>
        <v/>
      </c>
      <c r="H114" s="16">
        <f>IF(OR($A114="",$B114&lt;&gt;"tutar_farki"),"",IF(ABS($C114-$D114)&lt;=toleransKurus,"EGK-001",IF(ABS($C114-$F114)&lt;=toleransKurus,"EGK-002",IF(ABS($C114-$G114)&lt;=toleransKurus,"EGK-003",IF(ABS($C114-$E114)&lt;=toleransKurus,"EGK-004",IF($C114&gt;egk_esikFark,"EGK-005","TANIMSIZ"))))))</f>
        <v/>
      </c>
    </row>
    <row r="115">
      <c r="A115" s="22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IF($A115="","",IFERROR(SUMIF(tblMotor[A_Norm],$A115,tblMotor[KomisyonTutar]),0))</f>
        <v/>
      </c>
      <c r="E115" s="16">
        <f>IF($A115="","",IFERROR(SUMIF(tblMotor[A_Norm],$A115,tblMotor[Kargo]),0))</f>
        <v/>
      </c>
      <c r="F115" s="16">
        <f>IF($A115="","",IFERROR(SUMIF(tblMotor[A_Norm],$A115,tblMotor[IadeMaliyet]),0))</f>
        <v/>
      </c>
      <c r="G115" s="16">
        <f>IF($A115="","",IFERROR(SUMIF(tblMotor[A_Norm],$A115,tblMotor[ReklamHarcama]),0))</f>
        <v/>
      </c>
      <c r="H115" s="16">
        <f>IF(OR($A115="",$B115&lt;&gt;"tutar_farki"),"",IF(ABS($C115-$D115)&lt;=toleransKurus,"EGK-001",IF(ABS($C115-$F115)&lt;=toleransKurus,"EGK-002",IF(ABS($C115-$G115)&lt;=toleransKurus,"EGK-003",IF(ABS($C115-$E115)&lt;=toleransKurus,"EGK-004",IF($C115&gt;egk_esikFark,"EGK-005","TANIMSIZ"))))))</f>
        <v/>
      </c>
    </row>
    <row r="116">
      <c r="A116" s="22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IF($A116="","",IFERROR(SUMIF(tblMotor[A_Norm],$A116,tblMotor[KomisyonTutar]),0))</f>
        <v/>
      </c>
      <c r="E116" s="16">
        <f>IF($A116="","",IFERROR(SUMIF(tblMotor[A_Norm],$A116,tblMotor[Kargo]),0))</f>
        <v/>
      </c>
      <c r="F116" s="16">
        <f>IF($A116="","",IFERROR(SUMIF(tblMotor[A_Norm],$A116,tblMotor[IadeMaliyet]),0))</f>
        <v/>
      </c>
      <c r="G116" s="16">
        <f>IF($A116="","",IFERROR(SUMIF(tblMotor[A_Norm],$A116,tblMotor[ReklamHarcama]),0))</f>
        <v/>
      </c>
      <c r="H116" s="16">
        <f>IF(OR($A116="",$B116&lt;&gt;"tutar_farki"),"",IF(ABS($C116-$D116)&lt;=toleransKurus,"EGK-001",IF(ABS($C116-$F116)&lt;=toleransKurus,"EGK-002",IF(ABS($C116-$G116)&lt;=toleransKurus,"EGK-003",IF(ABS($C116-$E116)&lt;=toleransKurus,"EGK-004",IF($C116&gt;egk_esikFark,"EGK-005","TANIMSIZ"))))))</f>
        <v/>
      </c>
    </row>
    <row r="117">
      <c r="A117" s="22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IF($A117="","",IFERROR(SUMIF(tblMotor[A_Norm],$A117,tblMotor[KomisyonTutar]),0))</f>
        <v/>
      </c>
      <c r="E117" s="16">
        <f>IF($A117="","",IFERROR(SUMIF(tblMotor[A_Norm],$A117,tblMotor[Kargo]),0))</f>
        <v/>
      </c>
      <c r="F117" s="16">
        <f>IF($A117="","",IFERROR(SUMIF(tblMotor[A_Norm],$A117,tblMotor[IadeMaliyet]),0))</f>
        <v/>
      </c>
      <c r="G117" s="16">
        <f>IF($A117="","",IFERROR(SUMIF(tblMotor[A_Norm],$A117,tblMotor[ReklamHarcama]),0))</f>
        <v/>
      </c>
      <c r="H117" s="16">
        <f>IF(OR($A117="",$B117&lt;&gt;"tutar_farki"),"",IF(ABS($C117-$D117)&lt;=toleransKurus,"EGK-001",IF(ABS($C117-$F117)&lt;=toleransKurus,"EGK-002",IF(ABS($C117-$G117)&lt;=toleransKurus,"EGK-003",IF(ABS($C117-$E117)&lt;=toleransKurus,"EGK-004",IF($C117&gt;egk_esikFark,"EGK-005","TANIMSIZ"))))))</f>
        <v/>
      </c>
    </row>
    <row r="118">
      <c r="A118" s="22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IF($A118="","",IFERROR(SUMIF(tblMotor[A_Norm],$A118,tblMotor[KomisyonTutar]),0))</f>
        <v/>
      </c>
      <c r="E118" s="16">
        <f>IF($A118="","",IFERROR(SUMIF(tblMotor[A_Norm],$A118,tblMotor[Kargo]),0))</f>
        <v/>
      </c>
      <c r="F118" s="16">
        <f>IF($A118="","",IFERROR(SUMIF(tblMotor[A_Norm],$A118,tblMotor[IadeMaliyet]),0))</f>
        <v/>
      </c>
      <c r="G118" s="16">
        <f>IF($A118="","",IFERROR(SUMIF(tblMotor[A_Norm],$A118,tblMotor[ReklamHarcama]),0))</f>
        <v/>
      </c>
      <c r="H118" s="16">
        <f>IF(OR($A118="",$B118&lt;&gt;"tutar_farki"),"",IF(ABS($C118-$D118)&lt;=toleransKurus,"EGK-001",IF(ABS($C118-$F118)&lt;=toleransKurus,"EGK-002",IF(ABS($C118-$G118)&lt;=toleransKurus,"EGK-003",IF(ABS($C118-$E118)&lt;=toleransKurus,"EGK-004",IF($C118&gt;egk_esikFark,"EGK-005","TANIMSIZ"))))))</f>
        <v/>
      </c>
    </row>
    <row r="119">
      <c r="A119" s="22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IF($A119="","",IFERROR(SUMIF(tblMotor[A_Norm],$A119,tblMotor[KomisyonTutar]),0))</f>
        <v/>
      </c>
      <c r="E119" s="16">
        <f>IF($A119="","",IFERROR(SUMIF(tblMotor[A_Norm],$A119,tblMotor[Kargo]),0))</f>
        <v/>
      </c>
      <c r="F119" s="16">
        <f>IF($A119="","",IFERROR(SUMIF(tblMotor[A_Norm],$A119,tblMotor[IadeMaliyet]),0))</f>
        <v/>
      </c>
      <c r="G119" s="16">
        <f>IF($A119="","",IFERROR(SUMIF(tblMotor[A_Norm],$A119,tblMotor[ReklamHarcama]),0))</f>
        <v/>
      </c>
      <c r="H119" s="16">
        <f>IF(OR($A119="",$B119&lt;&gt;"tutar_farki"),"",IF(ABS($C119-$D119)&lt;=toleransKurus,"EGK-001",IF(ABS($C119-$F119)&lt;=toleransKurus,"EGK-002",IF(ABS($C119-$G119)&lt;=toleransKurus,"EGK-003",IF(ABS($C119-$E119)&lt;=toleransKurus,"EGK-004",IF($C119&gt;egk_esikFark,"EGK-005","TANIMSIZ"))))))</f>
        <v/>
      </c>
    </row>
    <row r="120">
      <c r="A120" s="22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IF($A120="","",IFERROR(SUMIF(tblMotor[A_Norm],$A120,tblMotor[KomisyonTutar]),0))</f>
        <v/>
      </c>
      <c r="E120" s="16">
        <f>IF($A120="","",IFERROR(SUMIF(tblMotor[A_Norm],$A120,tblMotor[Kargo]),0))</f>
        <v/>
      </c>
      <c r="F120" s="16">
        <f>IF($A120="","",IFERROR(SUMIF(tblMotor[A_Norm],$A120,tblMotor[IadeMaliyet]),0))</f>
        <v/>
      </c>
      <c r="G120" s="16">
        <f>IF($A120="","",IFERROR(SUMIF(tblMotor[A_Norm],$A120,tblMotor[ReklamHarcama]),0))</f>
        <v/>
      </c>
      <c r="H120" s="16">
        <f>IF(OR($A120="",$B120&lt;&gt;"tutar_farki"),"",IF(ABS($C120-$D120)&lt;=toleransKurus,"EGK-001",IF(ABS($C120-$F120)&lt;=toleransKurus,"EGK-002",IF(ABS($C120-$G120)&lt;=toleransKurus,"EGK-003",IF(ABS($C120-$E120)&lt;=toleransKurus,"EGK-004",IF($C120&gt;egk_esikFark,"EGK-005","TANIMSIZ"))))))</f>
        <v/>
      </c>
    </row>
    <row r="121">
      <c r="A121" s="22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IF($A121="","",IFERROR(SUMIF(tblMotor[A_Norm],$A121,tblMotor[KomisyonTutar]),0))</f>
        <v/>
      </c>
      <c r="E121" s="16">
        <f>IF($A121="","",IFERROR(SUMIF(tblMotor[A_Norm],$A121,tblMotor[Kargo]),0))</f>
        <v/>
      </c>
      <c r="F121" s="16">
        <f>IF($A121="","",IFERROR(SUMIF(tblMotor[A_Norm],$A121,tblMotor[IadeMaliyet]),0))</f>
        <v/>
      </c>
      <c r="G121" s="16">
        <f>IF($A121="","",IFERROR(SUMIF(tblMotor[A_Norm],$A121,tblMotor[ReklamHarcama]),0))</f>
        <v/>
      </c>
      <c r="H121" s="16">
        <f>IF(OR($A121="",$B121&lt;&gt;"tutar_farki"),"",IF(ABS($C121-$D121)&lt;=toleransKurus,"EGK-001",IF(ABS($C121-$F121)&lt;=toleransKurus,"EGK-002",IF(ABS($C121-$G121)&lt;=toleransKurus,"EGK-003",IF(ABS($C121-$E121)&lt;=toleransKurus,"EGK-004",IF($C121&gt;egk_esikFark,"EGK-005","TANIMSIZ"))))))</f>
        <v/>
      </c>
    </row>
    <row r="122">
      <c r="A122" s="22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IF($A122="","",IFERROR(SUMIF(tblMotor[A_Norm],$A122,tblMotor[KomisyonTutar]),0))</f>
        <v/>
      </c>
      <c r="E122" s="16">
        <f>IF($A122="","",IFERROR(SUMIF(tblMotor[A_Norm],$A122,tblMotor[Kargo]),0))</f>
        <v/>
      </c>
      <c r="F122" s="16">
        <f>IF($A122="","",IFERROR(SUMIF(tblMotor[A_Norm],$A122,tblMotor[IadeMaliyet]),0))</f>
        <v/>
      </c>
      <c r="G122" s="16">
        <f>IF($A122="","",IFERROR(SUMIF(tblMotor[A_Norm],$A122,tblMotor[ReklamHarcama]),0))</f>
        <v/>
      </c>
      <c r="H122" s="16">
        <f>IF(OR($A122="",$B122&lt;&gt;"tutar_farki"),"",IF(ABS($C122-$D122)&lt;=toleransKurus,"EGK-001",IF(ABS($C122-$F122)&lt;=toleransKurus,"EGK-002",IF(ABS($C122-$G122)&lt;=toleransKurus,"EGK-003",IF(ABS($C122-$E122)&lt;=toleransKurus,"EGK-004",IF($C122&gt;egk_esikFark,"EGK-005","TANIMSIZ"))))))</f>
        <v/>
      </c>
    </row>
    <row r="123">
      <c r="A123" s="22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IF($A123="","",IFERROR(SUMIF(tblMotor[A_Norm],$A123,tblMotor[KomisyonTutar]),0))</f>
        <v/>
      </c>
      <c r="E123" s="16">
        <f>IF($A123="","",IFERROR(SUMIF(tblMotor[A_Norm],$A123,tblMotor[Kargo]),0))</f>
        <v/>
      </c>
      <c r="F123" s="16">
        <f>IF($A123="","",IFERROR(SUMIF(tblMotor[A_Norm],$A123,tblMotor[IadeMaliyet]),0))</f>
        <v/>
      </c>
      <c r="G123" s="16">
        <f>IF($A123="","",IFERROR(SUMIF(tblMotor[A_Norm],$A123,tblMotor[ReklamHarcama]),0))</f>
        <v/>
      </c>
      <c r="H123" s="16">
        <f>IF(OR($A123="",$B123&lt;&gt;"tutar_farki"),"",IF(ABS($C123-$D123)&lt;=toleransKurus,"EGK-001",IF(ABS($C123-$F123)&lt;=toleransKurus,"EGK-002",IF(ABS($C123-$G123)&lt;=toleransKurus,"EGK-003",IF(ABS($C123-$E123)&lt;=toleransKurus,"EGK-004",IF($C123&gt;egk_esikFark,"EGK-005","TANIMSIZ"))))))</f>
        <v/>
      </c>
    </row>
    <row r="124">
      <c r="A124" s="22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IF($A124="","",IFERROR(SUMIF(tblMotor[A_Norm],$A124,tblMotor[KomisyonTutar]),0))</f>
        <v/>
      </c>
      <c r="E124" s="16">
        <f>IF($A124="","",IFERROR(SUMIF(tblMotor[A_Norm],$A124,tblMotor[Kargo]),0))</f>
        <v/>
      </c>
      <c r="F124" s="16">
        <f>IF($A124="","",IFERROR(SUMIF(tblMotor[A_Norm],$A124,tblMotor[IadeMaliyet]),0))</f>
        <v/>
      </c>
      <c r="G124" s="16">
        <f>IF($A124="","",IFERROR(SUMIF(tblMotor[A_Norm],$A124,tblMotor[ReklamHarcama]),0))</f>
        <v/>
      </c>
      <c r="H124" s="16">
        <f>IF(OR($A124="",$B124&lt;&gt;"tutar_farki"),"",IF(ABS($C124-$D124)&lt;=toleransKurus,"EGK-001",IF(ABS($C124-$F124)&lt;=toleransKurus,"EGK-002",IF(ABS($C124-$G124)&lt;=toleransKurus,"EGK-003",IF(ABS($C124-$E124)&lt;=toleransKurus,"EGK-004",IF($C124&gt;egk_esikFark,"EGK-005","TANIMSIZ"))))))</f>
        <v/>
      </c>
    </row>
    <row r="125">
      <c r="A125" s="22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IF($A125="","",IFERROR(SUMIF(tblMotor[A_Norm],$A125,tblMotor[KomisyonTutar]),0))</f>
        <v/>
      </c>
      <c r="E125" s="16">
        <f>IF($A125="","",IFERROR(SUMIF(tblMotor[A_Norm],$A125,tblMotor[Kargo]),0))</f>
        <v/>
      </c>
      <c r="F125" s="16">
        <f>IF($A125="","",IFERROR(SUMIF(tblMotor[A_Norm],$A125,tblMotor[IadeMaliyet]),0))</f>
        <v/>
      </c>
      <c r="G125" s="16">
        <f>IF($A125="","",IFERROR(SUMIF(tblMotor[A_Norm],$A125,tblMotor[ReklamHarcama]),0))</f>
        <v/>
      </c>
      <c r="H125" s="16">
        <f>IF(OR($A125="",$B125&lt;&gt;"tutar_farki"),"",IF(ABS($C125-$D125)&lt;=toleransKurus,"EGK-001",IF(ABS($C125-$F125)&lt;=toleransKurus,"EGK-002",IF(ABS($C125-$G125)&lt;=toleransKurus,"EGK-003",IF(ABS($C125-$E125)&lt;=toleransKurus,"EGK-004",IF($C125&gt;egk_esikFark,"EGK-005","TANIMSIZ"))))))</f>
        <v/>
      </c>
    </row>
    <row r="126">
      <c r="A126" s="22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IF($A126="","",IFERROR(SUMIF(tblMotor[A_Norm],$A126,tblMotor[KomisyonTutar]),0))</f>
        <v/>
      </c>
      <c r="E126" s="16">
        <f>IF($A126="","",IFERROR(SUMIF(tblMotor[A_Norm],$A126,tblMotor[Kargo]),0))</f>
        <v/>
      </c>
      <c r="F126" s="16">
        <f>IF($A126="","",IFERROR(SUMIF(tblMotor[A_Norm],$A126,tblMotor[IadeMaliyet]),0))</f>
        <v/>
      </c>
      <c r="G126" s="16">
        <f>IF($A126="","",IFERROR(SUMIF(tblMotor[A_Norm],$A126,tblMotor[ReklamHarcama]),0))</f>
        <v/>
      </c>
      <c r="H126" s="16">
        <f>IF(OR($A126="",$B126&lt;&gt;"tutar_farki"),"",IF(ABS($C126-$D126)&lt;=toleransKurus,"EGK-001",IF(ABS($C126-$F126)&lt;=toleransKurus,"EGK-002",IF(ABS($C126-$G126)&lt;=toleransKurus,"EGK-003",IF(ABS($C126-$E126)&lt;=toleransKurus,"EGK-004",IF($C126&gt;egk_esikFark,"EGK-005","TANIMSIZ"))))))</f>
        <v/>
      </c>
    </row>
    <row r="127">
      <c r="A127" s="22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IF($A127="","",IFERROR(SUMIF(tblMotor[A_Norm],$A127,tblMotor[KomisyonTutar]),0))</f>
        <v/>
      </c>
      <c r="E127" s="16">
        <f>IF($A127="","",IFERROR(SUMIF(tblMotor[A_Norm],$A127,tblMotor[Kargo]),0))</f>
        <v/>
      </c>
      <c r="F127" s="16">
        <f>IF($A127="","",IFERROR(SUMIF(tblMotor[A_Norm],$A127,tblMotor[IadeMaliyet]),0))</f>
        <v/>
      </c>
      <c r="G127" s="16">
        <f>IF($A127="","",IFERROR(SUMIF(tblMotor[A_Norm],$A127,tblMotor[ReklamHarcama]),0))</f>
        <v/>
      </c>
      <c r="H127" s="16">
        <f>IF(OR($A127="",$B127&lt;&gt;"tutar_farki"),"",IF(ABS($C127-$D127)&lt;=toleransKurus,"EGK-001",IF(ABS($C127-$F127)&lt;=toleransKurus,"EGK-002",IF(ABS($C127-$G127)&lt;=toleransKurus,"EGK-003",IF(ABS($C127-$E127)&lt;=toleransKurus,"EGK-004",IF($C127&gt;egk_esikFark,"EGK-005","TANIMSIZ"))))))</f>
        <v/>
      </c>
    </row>
    <row r="128">
      <c r="A128" s="22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IF($A128="","",IFERROR(SUMIF(tblMotor[A_Norm],$A128,tblMotor[KomisyonTutar]),0))</f>
        <v/>
      </c>
      <c r="E128" s="16">
        <f>IF($A128="","",IFERROR(SUMIF(tblMotor[A_Norm],$A128,tblMotor[Kargo]),0))</f>
        <v/>
      </c>
      <c r="F128" s="16">
        <f>IF($A128="","",IFERROR(SUMIF(tblMotor[A_Norm],$A128,tblMotor[IadeMaliyet]),0))</f>
        <v/>
      </c>
      <c r="G128" s="16">
        <f>IF($A128="","",IFERROR(SUMIF(tblMotor[A_Norm],$A128,tblMotor[ReklamHarcama]),0))</f>
        <v/>
      </c>
      <c r="H128" s="16">
        <f>IF(OR($A128="",$B128&lt;&gt;"tutar_farki"),"",IF(ABS($C128-$D128)&lt;=toleransKurus,"EGK-001",IF(ABS($C128-$F128)&lt;=toleransKurus,"EGK-002",IF(ABS($C128-$G128)&lt;=toleransKurus,"EGK-003",IF(ABS($C128-$E128)&lt;=toleransKurus,"EGK-004",IF($C128&gt;egk_esikFark,"EGK-005","TANIMSIZ"))))))</f>
        <v/>
      </c>
    </row>
    <row r="129">
      <c r="A129" s="22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IF($A129="","",IFERROR(SUMIF(tblMotor[A_Norm],$A129,tblMotor[KomisyonTutar]),0))</f>
        <v/>
      </c>
      <c r="E129" s="16">
        <f>IF($A129="","",IFERROR(SUMIF(tblMotor[A_Norm],$A129,tblMotor[Kargo]),0))</f>
        <v/>
      </c>
      <c r="F129" s="16">
        <f>IF($A129="","",IFERROR(SUMIF(tblMotor[A_Norm],$A129,tblMotor[IadeMaliyet]),0))</f>
        <v/>
      </c>
      <c r="G129" s="16">
        <f>IF($A129="","",IFERROR(SUMIF(tblMotor[A_Norm],$A129,tblMotor[ReklamHarcama]),0))</f>
        <v/>
      </c>
      <c r="H129" s="16">
        <f>IF(OR($A129="",$B129&lt;&gt;"tutar_farki"),"",IF(ABS($C129-$D129)&lt;=toleransKurus,"EGK-001",IF(ABS($C129-$F129)&lt;=toleransKurus,"EGK-002",IF(ABS($C129-$G129)&lt;=toleransKurus,"EGK-003",IF(ABS($C129-$E129)&lt;=toleransKurus,"EGK-004",IF($C129&gt;egk_esikFark,"EGK-005","TANIMSIZ"))))))</f>
        <v/>
      </c>
    </row>
    <row r="130">
      <c r="A130" s="22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IF($A130="","",IFERROR(SUMIF(tblMotor[A_Norm],$A130,tblMotor[KomisyonTutar]),0))</f>
        <v/>
      </c>
      <c r="E130" s="16">
        <f>IF($A130="","",IFERROR(SUMIF(tblMotor[A_Norm],$A130,tblMotor[Kargo]),0))</f>
        <v/>
      </c>
      <c r="F130" s="16">
        <f>IF($A130="","",IFERROR(SUMIF(tblMotor[A_Norm],$A130,tblMotor[IadeMaliyet]),0))</f>
        <v/>
      </c>
      <c r="G130" s="16">
        <f>IF($A130="","",IFERROR(SUMIF(tblMotor[A_Norm],$A130,tblMotor[ReklamHarcama]),0))</f>
        <v/>
      </c>
      <c r="H130" s="16">
        <f>IF(OR($A130="",$B130&lt;&gt;"tutar_farki"),"",IF(ABS($C130-$D130)&lt;=toleransKurus,"EGK-001",IF(ABS($C130-$F130)&lt;=toleransKurus,"EGK-002",IF(ABS($C130-$G130)&lt;=toleransKurus,"EGK-003",IF(ABS($C130-$E130)&lt;=toleransKurus,"EGK-004",IF($C130&gt;egk_esikFark,"EGK-005","TANIMSIZ"))))))</f>
        <v/>
      </c>
    </row>
    <row r="131">
      <c r="A131" s="22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IF($A131="","",IFERROR(SUMIF(tblMotor[A_Norm],$A131,tblMotor[KomisyonTutar]),0))</f>
        <v/>
      </c>
      <c r="E131" s="16">
        <f>IF($A131="","",IFERROR(SUMIF(tblMotor[A_Norm],$A131,tblMotor[Kargo]),0))</f>
        <v/>
      </c>
      <c r="F131" s="16">
        <f>IF($A131="","",IFERROR(SUMIF(tblMotor[A_Norm],$A131,tblMotor[IadeMaliyet]),0))</f>
        <v/>
      </c>
      <c r="G131" s="16">
        <f>IF($A131="","",IFERROR(SUMIF(tblMotor[A_Norm],$A131,tblMotor[ReklamHarcama]),0))</f>
        <v/>
      </c>
      <c r="H131" s="16">
        <f>IF(OR($A131="",$B131&lt;&gt;"tutar_farki"),"",IF(ABS($C131-$D131)&lt;=toleransKurus,"EGK-001",IF(ABS($C131-$F131)&lt;=toleransKurus,"EGK-002",IF(ABS($C131-$G131)&lt;=toleransKurus,"EGK-003",IF(ABS($C131-$E131)&lt;=toleransKurus,"EGK-004",IF($C131&gt;egk_esikFark,"EGK-005","TANIMSIZ"))))))</f>
        <v/>
      </c>
    </row>
    <row r="132">
      <c r="A132" s="22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IF($A132="","",IFERROR(SUMIF(tblMotor[A_Norm],$A132,tblMotor[KomisyonTutar]),0))</f>
        <v/>
      </c>
      <c r="E132" s="16">
        <f>IF($A132="","",IFERROR(SUMIF(tblMotor[A_Norm],$A132,tblMotor[Kargo]),0))</f>
        <v/>
      </c>
      <c r="F132" s="16">
        <f>IF($A132="","",IFERROR(SUMIF(tblMotor[A_Norm],$A132,tblMotor[IadeMaliyet]),0))</f>
        <v/>
      </c>
      <c r="G132" s="16">
        <f>IF($A132="","",IFERROR(SUMIF(tblMotor[A_Norm],$A132,tblMotor[ReklamHarcama]),0))</f>
        <v/>
      </c>
      <c r="H132" s="16">
        <f>IF(OR($A132="",$B132&lt;&gt;"tutar_farki"),"",IF(ABS($C132-$D132)&lt;=toleransKurus,"EGK-001",IF(ABS($C132-$F132)&lt;=toleransKurus,"EGK-002",IF(ABS($C132-$G132)&lt;=toleransKurus,"EGK-003",IF(ABS($C132-$E132)&lt;=toleransKurus,"EGK-004",IF($C132&gt;egk_esikFark,"EGK-005","TANIMSIZ"))))))</f>
        <v/>
      </c>
    </row>
    <row r="133">
      <c r="A133" s="22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IF($A133="","",IFERROR(SUMIF(tblMotor[A_Norm],$A133,tblMotor[KomisyonTutar]),0))</f>
        <v/>
      </c>
      <c r="E133" s="16">
        <f>IF($A133="","",IFERROR(SUMIF(tblMotor[A_Norm],$A133,tblMotor[Kargo]),0))</f>
        <v/>
      </c>
      <c r="F133" s="16">
        <f>IF($A133="","",IFERROR(SUMIF(tblMotor[A_Norm],$A133,tblMotor[IadeMaliyet]),0))</f>
        <v/>
      </c>
      <c r="G133" s="16">
        <f>IF($A133="","",IFERROR(SUMIF(tblMotor[A_Norm],$A133,tblMotor[ReklamHarcama]),0))</f>
        <v/>
      </c>
      <c r="H133" s="16">
        <f>IF(OR($A133="",$B133&lt;&gt;"tutar_farki"),"",IF(ABS($C133-$D133)&lt;=toleransKurus,"EGK-001",IF(ABS($C133-$F133)&lt;=toleransKurus,"EGK-002",IF(ABS($C133-$G133)&lt;=toleransKurus,"EGK-003",IF(ABS($C133-$E133)&lt;=toleransKurus,"EGK-004",IF($C133&gt;egk_esikFark,"EGK-005","TANIMSIZ"))))))</f>
        <v/>
      </c>
    </row>
    <row r="134">
      <c r="A134" s="22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IF($A134="","",IFERROR(SUMIF(tblMotor[A_Norm],$A134,tblMotor[KomisyonTutar]),0))</f>
        <v/>
      </c>
      <c r="E134" s="16">
        <f>IF($A134="","",IFERROR(SUMIF(tblMotor[A_Norm],$A134,tblMotor[Kargo]),0))</f>
        <v/>
      </c>
      <c r="F134" s="16">
        <f>IF($A134="","",IFERROR(SUMIF(tblMotor[A_Norm],$A134,tblMotor[IadeMaliyet]),0))</f>
        <v/>
      </c>
      <c r="G134" s="16">
        <f>IF($A134="","",IFERROR(SUMIF(tblMotor[A_Norm],$A134,tblMotor[ReklamHarcama]),0))</f>
        <v/>
      </c>
      <c r="H134" s="16">
        <f>IF(OR($A134="",$B134&lt;&gt;"tutar_farki"),"",IF(ABS($C134-$D134)&lt;=toleransKurus,"EGK-001",IF(ABS($C134-$F134)&lt;=toleransKurus,"EGK-002",IF(ABS($C134-$G134)&lt;=toleransKurus,"EGK-003",IF(ABS($C134-$E134)&lt;=toleransKurus,"EGK-004",IF($C134&gt;egk_esikFark,"EGK-005","TANIMSIZ"))))))</f>
        <v/>
      </c>
    </row>
    <row r="135">
      <c r="A135" s="22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IF($A135="","",IFERROR(SUMIF(tblMotor[A_Norm],$A135,tblMotor[KomisyonTutar]),0))</f>
        <v/>
      </c>
      <c r="E135" s="16">
        <f>IF($A135="","",IFERROR(SUMIF(tblMotor[A_Norm],$A135,tblMotor[Kargo]),0))</f>
        <v/>
      </c>
      <c r="F135" s="16">
        <f>IF($A135="","",IFERROR(SUMIF(tblMotor[A_Norm],$A135,tblMotor[IadeMaliyet]),0))</f>
        <v/>
      </c>
      <c r="G135" s="16">
        <f>IF($A135="","",IFERROR(SUMIF(tblMotor[A_Norm],$A135,tblMotor[ReklamHarcama]),0))</f>
        <v/>
      </c>
      <c r="H135" s="16">
        <f>IF(OR($A135="",$B135&lt;&gt;"tutar_farki"),"",IF(ABS($C135-$D135)&lt;=toleransKurus,"EGK-001",IF(ABS($C135-$F135)&lt;=toleransKurus,"EGK-002",IF(ABS($C135-$G135)&lt;=toleransKurus,"EGK-003",IF(ABS($C135-$E135)&lt;=toleransKurus,"EGK-004",IF($C135&gt;egk_esikFark,"EGK-005","TANIMSIZ"))))))</f>
        <v/>
      </c>
    </row>
    <row r="136">
      <c r="A136" s="22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IF($A136="","",IFERROR(SUMIF(tblMotor[A_Norm],$A136,tblMotor[KomisyonTutar]),0))</f>
        <v/>
      </c>
      <c r="E136" s="16">
        <f>IF($A136="","",IFERROR(SUMIF(tblMotor[A_Norm],$A136,tblMotor[Kargo]),0))</f>
        <v/>
      </c>
      <c r="F136" s="16">
        <f>IF($A136="","",IFERROR(SUMIF(tblMotor[A_Norm],$A136,tblMotor[IadeMaliyet]),0))</f>
        <v/>
      </c>
      <c r="G136" s="16">
        <f>IF($A136="","",IFERROR(SUMIF(tblMotor[A_Norm],$A136,tblMotor[ReklamHarcama]),0))</f>
        <v/>
      </c>
      <c r="H136" s="16">
        <f>IF(OR($A136="",$B136&lt;&gt;"tutar_farki"),"",IF(ABS($C136-$D136)&lt;=toleransKurus,"EGK-001",IF(ABS($C136-$F136)&lt;=toleransKurus,"EGK-002",IF(ABS($C136-$G136)&lt;=toleransKurus,"EGK-003",IF(ABS($C136-$E136)&lt;=toleransKurus,"EGK-004",IF($C136&gt;egk_esikFark,"EGK-005","TANIMSIZ"))))))</f>
        <v/>
      </c>
    </row>
    <row r="137">
      <c r="A137" s="22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IF($A137="","",IFERROR(SUMIF(tblMotor[A_Norm],$A137,tblMotor[KomisyonTutar]),0))</f>
        <v/>
      </c>
      <c r="E137" s="16">
        <f>IF($A137="","",IFERROR(SUMIF(tblMotor[A_Norm],$A137,tblMotor[Kargo]),0))</f>
        <v/>
      </c>
      <c r="F137" s="16">
        <f>IF($A137="","",IFERROR(SUMIF(tblMotor[A_Norm],$A137,tblMotor[IadeMaliyet]),0))</f>
        <v/>
      </c>
      <c r="G137" s="16">
        <f>IF($A137="","",IFERROR(SUMIF(tblMotor[A_Norm],$A137,tblMotor[ReklamHarcama]),0))</f>
        <v/>
      </c>
      <c r="H137" s="16">
        <f>IF(OR($A137="",$B137&lt;&gt;"tutar_farki"),"",IF(ABS($C137-$D137)&lt;=toleransKurus,"EGK-001",IF(ABS($C137-$F137)&lt;=toleransKurus,"EGK-002",IF(ABS($C137-$G137)&lt;=toleransKurus,"EGK-003",IF(ABS($C137-$E137)&lt;=toleransKurus,"EGK-004",IF($C137&gt;egk_esikFark,"EGK-005","TANIMSIZ"))))))</f>
        <v/>
      </c>
    </row>
    <row r="138">
      <c r="A138" s="22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IF($A138="","",IFERROR(SUMIF(tblMotor[A_Norm],$A138,tblMotor[KomisyonTutar]),0))</f>
        <v/>
      </c>
      <c r="E138" s="16">
        <f>IF($A138="","",IFERROR(SUMIF(tblMotor[A_Norm],$A138,tblMotor[Kargo]),0))</f>
        <v/>
      </c>
      <c r="F138" s="16">
        <f>IF($A138="","",IFERROR(SUMIF(tblMotor[A_Norm],$A138,tblMotor[IadeMaliyet]),0))</f>
        <v/>
      </c>
      <c r="G138" s="16">
        <f>IF($A138="","",IFERROR(SUMIF(tblMotor[A_Norm],$A138,tblMotor[ReklamHarcama]),0))</f>
        <v/>
      </c>
      <c r="H138" s="16">
        <f>IF(OR($A138="",$B138&lt;&gt;"tutar_farki"),"",IF(ABS($C138-$D138)&lt;=toleransKurus,"EGK-001",IF(ABS($C138-$F138)&lt;=toleransKurus,"EGK-002",IF(ABS($C138-$G138)&lt;=toleransKurus,"EGK-003",IF(ABS($C138-$E138)&lt;=toleransKurus,"EGK-004",IF($C138&gt;egk_esikFark,"EGK-005","TANIMSIZ"))))))</f>
        <v/>
      </c>
    </row>
    <row r="139">
      <c r="A139" s="22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IF($A139="","",IFERROR(SUMIF(tblMotor[A_Norm],$A139,tblMotor[KomisyonTutar]),0))</f>
        <v/>
      </c>
      <c r="E139" s="16">
        <f>IF($A139="","",IFERROR(SUMIF(tblMotor[A_Norm],$A139,tblMotor[Kargo]),0))</f>
        <v/>
      </c>
      <c r="F139" s="16">
        <f>IF($A139="","",IFERROR(SUMIF(tblMotor[A_Norm],$A139,tblMotor[IadeMaliyet]),0))</f>
        <v/>
      </c>
      <c r="G139" s="16">
        <f>IF($A139="","",IFERROR(SUMIF(tblMotor[A_Norm],$A139,tblMotor[ReklamHarcama]),0))</f>
        <v/>
      </c>
      <c r="H139" s="16">
        <f>IF(OR($A139="",$B139&lt;&gt;"tutar_farki"),"",IF(ABS($C139-$D139)&lt;=toleransKurus,"EGK-001",IF(ABS($C139-$F139)&lt;=toleransKurus,"EGK-002",IF(ABS($C139-$G139)&lt;=toleransKurus,"EGK-003",IF(ABS($C139-$E139)&lt;=toleransKurus,"EGK-004",IF($C139&gt;egk_esikFark,"EGK-005","TANIMSIZ"))))))</f>
        <v/>
      </c>
    </row>
    <row r="140">
      <c r="A140" s="22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IF($A140="","",IFERROR(SUMIF(tblMotor[A_Norm],$A140,tblMotor[KomisyonTutar]),0))</f>
        <v/>
      </c>
      <c r="E140" s="16">
        <f>IF($A140="","",IFERROR(SUMIF(tblMotor[A_Norm],$A140,tblMotor[Kargo]),0))</f>
        <v/>
      </c>
      <c r="F140" s="16">
        <f>IF($A140="","",IFERROR(SUMIF(tblMotor[A_Norm],$A140,tblMotor[IadeMaliyet]),0))</f>
        <v/>
      </c>
      <c r="G140" s="16">
        <f>IF($A140="","",IFERROR(SUMIF(tblMotor[A_Norm],$A140,tblMotor[ReklamHarcama]),0))</f>
        <v/>
      </c>
      <c r="H140" s="16">
        <f>IF(OR($A140="",$B140&lt;&gt;"tutar_farki"),"",IF(ABS($C140-$D140)&lt;=toleransKurus,"EGK-001",IF(ABS($C140-$F140)&lt;=toleransKurus,"EGK-002",IF(ABS($C140-$G140)&lt;=toleransKurus,"EGK-003",IF(ABS($C140-$E140)&lt;=toleransKurus,"EGK-004",IF($C140&gt;egk_esikFark,"EGK-005","TANIMSIZ"))))))</f>
        <v/>
      </c>
    </row>
    <row r="141">
      <c r="A141" s="22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IF($A141="","",IFERROR(SUMIF(tblMotor[A_Norm],$A141,tblMotor[KomisyonTutar]),0))</f>
        <v/>
      </c>
      <c r="E141" s="16">
        <f>IF($A141="","",IFERROR(SUMIF(tblMotor[A_Norm],$A141,tblMotor[Kargo]),0))</f>
        <v/>
      </c>
      <c r="F141" s="16">
        <f>IF($A141="","",IFERROR(SUMIF(tblMotor[A_Norm],$A141,tblMotor[IadeMaliyet]),0))</f>
        <v/>
      </c>
      <c r="G141" s="16">
        <f>IF($A141="","",IFERROR(SUMIF(tblMotor[A_Norm],$A141,tblMotor[ReklamHarcama]),0))</f>
        <v/>
      </c>
      <c r="H141" s="16">
        <f>IF(OR($A141="",$B141&lt;&gt;"tutar_farki"),"",IF(ABS($C141-$D141)&lt;=toleransKurus,"EGK-001",IF(ABS($C141-$F141)&lt;=toleransKurus,"EGK-002",IF(ABS($C141-$G141)&lt;=toleransKurus,"EGK-003",IF(ABS($C141-$E141)&lt;=toleransKurus,"EGK-004",IF($C141&gt;egk_esikFark,"EGK-005","TANIMSIZ"))))))</f>
        <v/>
      </c>
    </row>
    <row r="142">
      <c r="A142" s="22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IF($A142="","",IFERROR(SUMIF(tblMotor[A_Norm],$A142,tblMotor[KomisyonTutar]),0))</f>
        <v/>
      </c>
      <c r="E142" s="16">
        <f>IF($A142="","",IFERROR(SUMIF(tblMotor[A_Norm],$A142,tblMotor[Kargo]),0))</f>
        <v/>
      </c>
      <c r="F142" s="16">
        <f>IF($A142="","",IFERROR(SUMIF(tblMotor[A_Norm],$A142,tblMotor[IadeMaliyet]),0))</f>
        <v/>
      </c>
      <c r="G142" s="16">
        <f>IF($A142="","",IFERROR(SUMIF(tblMotor[A_Norm],$A142,tblMotor[ReklamHarcama]),0))</f>
        <v/>
      </c>
      <c r="H142" s="16">
        <f>IF(OR($A142="",$B142&lt;&gt;"tutar_farki"),"",IF(ABS($C142-$D142)&lt;=toleransKurus,"EGK-001",IF(ABS($C142-$F142)&lt;=toleransKurus,"EGK-002",IF(ABS($C142-$G142)&lt;=toleransKurus,"EGK-003",IF(ABS($C142-$E142)&lt;=toleransKurus,"EGK-004",IF($C142&gt;egk_esikFark,"EGK-005","TANIMSIZ"))))))</f>
        <v/>
      </c>
    </row>
    <row r="143">
      <c r="A143" s="22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IF($A143="","",IFERROR(SUMIF(tblMotor[A_Norm],$A143,tblMotor[KomisyonTutar]),0))</f>
        <v/>
      </c>
      <c r="E143" s="16">
        <f>IF($A143="","",IFERROR(SUMIF(tblMotor[A_Norm],$A143,tblMotor[Kargo]),0))</f>
        <v/>
      </c>
      <c r="F143" s="16">
        <f>IF($A143="","",IFERROR(SUMIF(tblMotor[A_Norm],$A143,tblMotor[IadeMaliyet]),0))</f>
        <v/>
      </c>
      <c r="G143" s="16">
        <f>IF($A143="","",IFERROR(SUMIF(tblMotor[A_Norm],$A143,tblMotor[ReklamHarcama]),0))</f>
        <v/>
      </c>
      <c r="H143" s="16">
        <f>IF(OR($A143="",$B143&lt;&gt;"tutar_farki"),"",IF(ABS($C143-$D143)&lt;=toleransKurus,"EGK-001",IF(ABS($C143-$F143)&lt;=toleransKurus,"EGK-002",IF(ABS($C143-$G143)&lt;=toleransKurus,"EGK-003",IF(ABS($C143-$E143)&lt;=toleransKurus,"EGK-004",IF($C143&gt;egk_esikFark,"EGK-005","TANIMSIZ"))))))</f>
        <v/>
      </c>
    </row>
    <row r="144">
      <c r="A144" s="22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IF($A144="","",IFERROR(SUMIF(tblMotor[A_Norm],$A144,tblMotor[KomisyonTutar]),0))</f>
        <v/>
      </c>
      <c r="E144" s="16">
        <f>IF($A144="","",IFERROR(SUMIF(tblMotor[A_Norm],$A144,tblMotor[Kargo]),0))</f>
        <v/>
      </c>
      <c r="F144" s="16">
        <f>IF($A144="","",IFERROR(SUMIF(tblMotor[A_Norm],$A144,tblMotor[IadeMaliyet]),0))</f>
        <v/>
      </c>
      <c r="G144" s="16">
        <f>IF($A144="","",IFERROR(SUMIF(tblMotor[A_Norm],$A144,tblMotor[ReklamHarcama]),0))</f>
        <v/>
      </c>
      <c r="H144" s="16">
        <f>IF(OR($A144="",$B144&lt;&gt;"tutar_farki"),"",IF(ABS($C144-$D144)&lt;=toleransKurus,"EGK-001",IF(ABS($C144-$F144)&lt;=toleransKurus,"EGK-002",IF(ABS($C144-$G144)&lt;=toleransKurus,"EGK-003",IF(ABS($C144-$E144)&lt;=toleransKurus,"EGK-004",IF($C144&gt;egk_esikFark,"EGK-005","TANIMSIZ"))))))</f>
        <v/>
      </c>
    </row>
    <row r="145">
      <c r="A145" s="22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IF($A145="","",IFERROR(SUMIF(tblMotor[A_Norm],$A145,tblMotor[KomisyonTutar]),0))</f>
        <v/>
      </c>
      <c r="E145" s="16">
        <f>IF($A145="","",IFERROR(SUMIF(tblMotor[A_Norm],$A145,tblMotor[Kargo]),0))</f>
        <v/>
      </c>
      <c r="F145" s="16">
        <f>IF($A145="","",IFERROR(SUMIF(tblMotor[A_Norm],$A145,tblMotor[IadeMaliyet]),0))</f>
        <v/>
      </c>
      <c r="G145" s="16">
        <f>IF($A145="","",IFERROR(SUMIF(tblMotor[A_Norm],$A145,tblMotor[ReklamHarcama]),0))</f>
        <v/>
      </c>
      <c r="H145" s="16">
        <f>IF(OR($A145="",$B145&lt;&gt;"tutar_farki"),"",IF(ABS($C145-$D145)&lt;=toleransKurus,"EGK-001",IF(ABS($C145-$F145)&lt;=toleransKurus,"EGK-002",IF(ABS($C145-$G145)&lt;=toleransKurus,"EGK-003",IF(ABS($C145-$E145)&lt;=toleransKurus,"EGK-004",IF($C145&gt;egk_esikFark,"EGK-005","TANIMSIZ"))))))</f>
        <v/>
      </c>
    </row>
    <row r="146">
      <c r="A146" s="22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IF($A146="","",IFERROR(SUMIF(tblMotor[A_Norm],$A146,tblMotor[KomisyonTutar]),0))</f>
        <v/>
      </c>
      <c r="E146" s="16">
        <f>IF($A146="","",IFERROR(SUMIF(tblMotor[A_Norm],$A146,tblMotor[Kargo]),0))</f>
        <v/>
      </c>
      <c r="F146" s="16">
        <f>IF($A146="","",IFERROR(SUMIF(tblMotor[A_Norm],$A146,tblMotor[IadeMaliyet]),0))</f>
        <v/>
      </c>
      <c r="G146" s="16">
        <f>IF($A146="","",IFERROR(SUMIF(tblMotor[A_Norm],$A146,tblMotor[ReklamHarcama]),0))</f>
        <v/>
      </c>
      <c r="H146" s="16">
        <f>IF(OR($A146="",$B146&lt;&gt;"tutar_farki"),"",IF(ABS($C146-$D146)&lt;=toleransKurus,"EGK-001",IF(ABS($C146-$F146)&lt;=toleransKurus,"EGK-002",IF(ABS($C146-$G146)&lt;=toleransKurus,"EGK-003",IF(ABS($C146-$E146)&lt;=toleransKurus,"EGK-004",IF($C146&gt;egk_esikFark,"EGK-005","TANIMSIZ"))))))</f>
        <v/>
      </c>
    </row>
    <row r="147">
      <c r="A147" s="22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IF($A147="","",IFERROR(SUMIF(tblMotor[A_Norm],$A147,tblMotor[KomisyonTutar]),0))</f>
        <v/>
      </c>
      <c r="E147" s="16">
        <f>IF($A147="","",IFERROR(SUMIF(tblMotor[A_Norm],$A147,tblMotor[Kargo]),0))</f>
        <v/>
      </c>
      <c r="F147" s="16">
        <f>IF($A147="","",IFERROR(SUMIF(tblMotor[A_Norm],$A147,tblMotor[IadeMaliyet]),0))</f>
        <v/>
      </c>
      <c r="G147" s="16">
        <f>IF($A147="","",IFERROR(SUMIF(tblMotor[A_Norm],$A147,tblMotor[ReklamHarcama]),0))</f>
        <v/>
      </c>
      <c r="H147" s="16">
        <f>IF(OR($A147="",$B147&lt;&gt;"tutar_farki"),"",IF(ABS($C147-$D147)&lt;=toleransKurus,"EGK-001",IF(ABS($C147-$F147)&lt;=toleransKurus,"EGK-002",IF(ABS($C147-$G147)&lt;=toleransKurus,"EGK-003",IF(ABS($C147-$E147)&lt;=toleransKurus,"EGK-004",IF($C147&gt;egk_esikFark,"EGK-005","TANIMSIZ"))))))</f>
        <v/>
      </c>
    </row>
    <row r="148">
      <c r="A148" s="22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IF($A148="","",IFERROR(SUMIF(tblMotor[A_Norm],$A148,tblMotor[KomisyonTutar]),0))</f>
        <v/>
      </c>
      <c r="E148" s="16">
        <f>IF($A148="","",IFERROR(SUMIF(tblMotor[A_Norm],$A148,tblMotor[Kargo]),0))</f>
        <v/>
      </c>
      <c r="F148" s="16">
        <f>IF($A148="","",IFERROR(SUMIF(tblMotor[A_Norm],$A148,tblMotor[IadeMaliyet]),0))</f>
        <v/>
      </c>
      <c r="G148" s="16">
        <f>IF($A148="","",IFERROR(SUMIF(tblMotor[A_Norm],$A148,tblMotor[ReklamHarcama]),0))</f>
        <v/>
      </c>
      <c r="H148" s="16">
        <f>IF(OR($A148="",$B148&lt;&gt;"tutar_farki"),"",IF(ABS($C148-$D148)&lt;=toleransKurus,"EGK-001",IF(ABS($C148-$F148)&lt;=toleransKurus,"EGK-002",IF(ABS($C148-$G148)&lt;=toleransKurus,"EGK-003",IF(ABS($C148-$E148)&lt;=toleransKurus,"EGK-004",IF($C148&gt;egk_esikFark,"EGK-005","TANIMSIZ"))))))</f>
        <v/>
      </c>
    </row>
    <row r="149">
      <c r="A149" s="22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IF($A149="","",IFERROR(SUMIF(tblMotor[A_Norm],$A149,tblMotor[KomisyonTutar]),0))</f>
        <v/>
      </c>
      <c r="E149" s="16">
        <f>IF($A149="","",IFERROR(SUMIF(tblMotor[A_Norm],$A149,tblMotor[Kargo]),0))</f>
        <v/>
      </c>
      <c r="F149" s="16">
        <f>IF($A149="","",IFERROR(SUMIF(tblMotor[A_Norm],$A149,tblMotor[IadeMaliyet]),0))</f>
        <v/>
      </c>
      <c r="G149" s="16">
        <f>IF($A149="","",IFERROR(SUMIF(tblMotor[A_Norm],$A149,tblMotor[ReklamHarcama]),0))</f>
        <v/>
      </c>
      <c r="H149" s="16">
        <f>IF(OR($A149="",$B149&lt;&gt;"tutar_farki"),"",IF(ABS($C149-$D149)&lt;=toleransKurus,"EGK-001",IF(ABS($C149-$F149)&lt;=toleransKurus,"EGK-002",IF(ABS($C149-$G149)&lt;=toleransKurus,"EGK-003",IF(ABS($C149-$E149)&lt;=toleransKurus,"EGK-004",IF($C149&gt;egk_esikFark,"EGK-005","TANIMSIZ"))))))</f>
        <v/>
      </c>
    </row>
    <row r="150">
      <c r="A150" s="22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IF($A150="","",IFERROR(SUMIF(tblMotor[A_Norm],$A150,tblMotor[KomisyonTutar]),0))</f>
        <v/>
      </c>
      <c r="E150" s="16">
        <f>IF($A150="","",IFERROR(SUMIF(tblMotor[A_Norm],$A150,tblMotor[Kargo]),0))</f>
        <v/>
      </c>
      <c r="F150" s="16">
        <f>IF($A150="","",IFERROR(SUMIF(tblMotor[A_Norm],$A150,tblMotor[IadeMaliyet]),0))</f>
        <v/>
      </c>
      <c r="G150" s="16">
        <f>IF($A150="","",IFERROR(SUMIF(tblMotor[A_Norm],$A150,tblMotor[ReklamHarcama]),0))</f>
        <v/>
      </c>
      <c r="H150" s="16">
        <f>IF(OR($A150="",$B150&lt;&gt;"tutar_farki"),"",IF(ABS($C150-$D150)&lt;=toleransKurus,"EGK-001",IF(ABS($C150-$F150)&lt;=toleransKurus,"EGK-002",IF(ABS($C150-$G150)&lt;=toleransKurus,"EGK-003",IF(ABS($C150-$E150)&lt;=toleransKurus,"EGK-004",IF($C150&gt;egk_esikFark,"EGK-005","TANIMSIZ"))))))</f>
        <v/>
      </c>
    </row>
    <row r="151">
      <c r="A151" s="22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IF($A151="","",IFERROR(SUMIF(tblMotor[A_Norm],$A151,tblMotor[KomisyonTutar]),0))</f>
        <v/>
      </c>
      <c r="E151" s="16">
        <f>IF($A151="","",IFERROR(SUMIF(tblMotor[A_Norm],$A151,tblMotor[Kargo]),0))</f>
        <v/>
      </c>
      <c r="F151" s="16">
        <f>IF($A151="","",IFERROR(SUMIF(tblMotor[A_Norm],$A151,tblMotor[IadeMaliyet]),0))</f>
        <v/>
      </c>
      <c r="G151" s="16">
        <f>IF($A151="","",IFERROR(SUMIF(tblMotor[A_Norm],$A151,tblMotor[ReklamHarcama]),0))</f>
        <v/>
      </c>
      <c r="H151" s="16">
        <f>IF(OR($A151="",$B151&lt;&gt;"tutar_farki"),"",IF(ABS($C151-$D151)&lt;=toleransKurus,"EGK-001",IF(ABS($C151-$F151)&lt;=toleransKurus,"EGK-002",IF(ABS($C151-$G151)&lt;=toleransKurus,"EGK-003",IF(ABS($C151-$E151)&lt;=toleransKurus,"EGK-004",IF($C151&gt;egk_esikFark,"EGK-005","TANIMSIZ"))))))</f>
        <v/>
      </c>
    </row>
    <row r="152">
      <c r="A152" s="22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IF($A152="","",IFERROR(SUMIF(tblMotor[A_Norm],$A152,tblMotor[KomisyonTutar]),0))</f>
        <v/>
      </c>
      <c r="E152" s="16">
        <f>IF($A152="","",IFERROR(SUMIF(tblMotor[A_Norm],$A152,tblMotor[Kargo]),0))</f>
        <v/>
      </c>
      <c r="F152" s="16">
        <f>IF($A152="","",IFERROR(SUMIF(tblMotor[A_Norm],$A152,tblMotor[IadeMaliyet]),0))</f>
        <v/>
      </c>
      <c r="G152" s="16">
        <f>IF($A152="","",IFERROR(SUMIF(tblMotor[A_Norm],$A152,tblMotor[ReklamHarcama]),0))</f>
        <v/>
      </c>
      <c r="H152" s="16">
        <f>IF(OR($A152="",$B152&lt;&gt;"tutar_farki"),"",IF(ABS($C152-$D152)&lt;=toleransKurus,"EGK-001",IF(ABS($C152-$F152)&lt;=toleransKurus,"EGK-002",IF(ABS($C152-$G152)&lt;=toleransKurus,"EGK-003",IF(ABS($C152-$E152)&lt;=toleransKurus,"EGK-004",IF($C152&gt;egk_esikFark,"EGK-005","TANIMSIZ"))))))</f>
        <v/>
      </c>
    </row>
    <row r="153">
      <c r="A153" s="22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IF($A153="","",IFERROR(SUMIF(tblMotor[A_Norm],$A153,tblMotor[KomisyonTutar]),0))</f>
        <v/>
      </c>
      <c r="E153" s="16">
        <f>IF($A153="","",IFERROR(SUMIF(tblMotor[A_Norm],$A153,tblMotor[Kargo]),0))</f>
        <v/>
      </c>
      <c r="F153" s="16">
        <f>IF($A153="","",IFERROR(SUMIF(tblMotor[A_Norm],$A153,tblMotor[IadeMaliyet]),0))</f>
        <v/>
      </c>
      <c r="G153" s="16">
        <f>IF($A153="","",IFERROR(SUMIF(tblMotor[A_Norm],$A153,tblMotor[ReklamHarcama]),0))</f>
        <v/>
      </c>
      <c r="H153" s="16">
        <f>IF(OR($A153="",$B153&lt;&gt;"tutar_farki"),"",IF(ABS($C153-$D153)&lt;=toleransKurus,"EGK-001",IF(ABS($C153-$F153)&lt;=toleransKurus,"EGK-002",IF(ABS($C153-$G153)&lt;=toleransKurus,"EGK-003",IF(ABS($C153-$E153)&lt;=toleransKurus,"EGK-004",IF($C153&gt;egk_esikFark,"EGK-005","TANIMSIZ"))))))</f>
        <v/>
      </c>
    </row>
    <row r="154">
      <c r="A154" s="22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IF($A154="","",IFERROR(SUMIF(tblMotor[A_Norm],$A154,tblMotor[KomisyonTutar]),0))</f>
        <v/>
      </c>
      <c r="E154" s="16">
        <f>IF($A154="","",IFERROR(SUMIF(tblMotor[A_Norm],$A154,tblMotor[Kargo]),0))</f>
        <v/>
      </c>
      <c r="F154" s="16">
        <f>IF($A154="","",IFERROR(SUMIF(tblMotor[A_Norm],$A154,tblMotor[IadeMaliyet]),0))</f>
        <v/>
      </c>
      <c r="G154" s="16">
        <f>IF($A154="","",IFERROR(SUMIF(tblMotor[A_Norm],$A154,tblMotor[ReklamHarcama]),0))</f>
        <v/>
      </c>
      <c r="H154" s="16">
        <f>IF(OR($A154="",$B154&lt;&gt;"tutar_farki"),"",IF(ABS($C154-$D154)&lt;=toleransKurus,"EGK-001",IF(ABS($C154-$F154)&lt;=toleransKurus,"EGK-002",IF(ABS($C154-$G154)&lt;=toleransKurus,"EGK-003",IF(ABS($C154-$E154)&lt;=toleransKurus,"EGK-004",IF($C154&gt;egk_esikFark,"EGK-005","TANIMSIZ"))))))</f>
        <v/>
      </c>
    </row>
    <row r="155">
      <c r="A155" s="22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IF($A155="","",IFERROR(SUMIF(tblMotor[A_Norm],$A155,tblMotor[KomisyonTutar]),0))</f>
        <v/>
      </c>
      <c r="E155" s="16">
        <f>IF($A155="","",IFERROR(SUMIF(tblMotor[A_Norm],$A155,tblMotor[Kargo]),0))</f>
        <v/>
      </c>
      <c r="F155" s="16">
        <f>IF($A155="","",IFERROR(SUMIF(tblMotor[A_Norm],$A155,tblMotor[IadeMaliyet]),0))</f>
        <v/>
      </c>
      <c r="G155" s="16">
        <f>IF($A155="","",IFERROR(SUMIF(tblMotor[A_Norm],$A155,tblMotor[ReklamHarcama]),0))</f>
        <v/>
      </c>
      <c r="H155" s="16">
        <f>IF(OR($A155="",$B155&lt;&gt;"tutar_farki"),"",IF(ABS($C155-$D155)&lt;=toleransKurus,"EGK-001",IF(ABS($C155-$F155)&lt;=toleransKurus,"EGK-002",IF(ABS($C155-$G155)&lt;=toleransKurus,"EGK-003",IF(ABS($C155-$E155)&lt;=toleransKurus,"EGK-004",IF($C155&gt;egk_esikFark,"EGK-005","TANIMSIZ"))))))</f>
        <v/>
      </c>
    </row>
    <row r="156">
      <c r="A156" s="22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IF($A156="","",IFERROR(SUMIF(tblMotor[A_Norm],$A156,tblMotor[KomisyonTutar]),0))</f>
        <v/>
      </c>
      <c r="E156" s="16">
        <f>IF($A156="","",IFERROR(SUMIF(tblMotor[A_Norm],$A156,tblMotor[Kargo]),0))</f>
        <v/>
      </c>
      <c r="F156" s="16">
        <f>IF($A156="","",IFERROR(SUMIF(tblMotor[A_Norm],$A156,tblMotor[IadeMaliyet]),0))</f>
        <v/>
      </c>
      <c r="G156" s="16">
        <f>IF($A156="","",IFERROR(SUMIF(tblMotor[A_Norm],$A156,tblMotor[ReklamHarcama]),0))</f>
        <v/>
      </c>
      <c r="H156" s="16">
        <f>IF(OR($A156="",$B156&lt;&gt;"tutar_farki"),"",IF(ABS($C156-$D156)&lt;=toleransKurus,"EGK-001",IF(ABS($C156-$F156)&lt;=toleransKurus,"EGK-002",IF(ABS($C156-$G156)&lt;=toleransKurus,"EGK-003",IF(ABS($C156-$E156)&lt;=toleransKurus,"EGK-004",IF($C156&gt;egk_esikFark,"EGK-005","TANIMSIZ"))))))</f>
        <v/>
      </c>
    </row>
    <row r="157">
      <c r="A157" s="22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IF($A157="","",IFERROR(SUMIF(tblMotor[A_Norm],$A157,tblMotor[KomisyonTutar]),0))</f>
        <v/>
      </c>
      <c r="E157" s="16">
        <f>IF($A157="","",IFERROR(SUMIF(tblMotor[A_Norm],$A157,tblMotor[Kargo]),0))</f>
        <v/>
      </c>
      <c r="F157" s="16">
        <f>IF($A157="","",IFERROR(SUMIF(tblMotor[A_Norm],$A157,tblMotor[IadeMaliyet]),0))</f>
        <v/>
      </c>
      <c r="G157" s="16">
        <f>IF($A157="","",IFERROR(SUMIF(tblMotor[A_Norm],$A157,tblMotor[ReklamHarcama]),0))</f>
        <v/>
      </c>
      <c r="H157" s="16">
        <f>IF(OR($A157="",$B157&lt;&gt;"tutar_farki"),"",IF(ABS($C157-$D157)&lt;=toleransKurus,"EGK-001",IF(ABS($C157-$F157)&lt;=toleransKurus,"EGK-002",IF(ABS($C157-$G157)&lt;=toleransKurus,"EGK-003",IF(ABS($C157-$E157)&lt;=toleransKurus,"EGK-004",IF($C157&gt;egk_esikFark,"EGK-005","TANIMSIZ"))))))</f>
        <v/>
      </c>
    </row>
    <row r="158">
      <c r="A158" s="22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IF($A158="","",IFERROR(SUMIF(tblMotor[A_Norm],$A158,tblMotor[KomisyonTutar]),0))</f>
        <v/>
      </c>
      <c r="E158" s="16">
        <f>IF($A158="","",IFERROR(SUMIF(tblMotor[A_Norm],$A158,tblMotor[Kargo]),0))</f>
        <v/>
      </c>
      <c r="F158" s="16">
        <f>IF($A158="","",IFERROR(SUMIF(tblMotor[A_Norm],$A158,tblMotor[IadeMaliyet]),0))</f>
        <v/>
      </c>
      <c r="G158" s="16">
        <f>IF($A158="","",IFERROR(SUMIF(tblMotor[A_Norm],$A158,tblMotor[ReklamHarcama]),0))</f>
        <v/>
      </c>
      <c r="H158" s="16">
        <f>IF(OR($A158="",$B158&lt;&gt;"tutar_farki"),"",IF(ABS($C158-$D158)&lt;=toleransKurus,"EGK-001",IF(ABS($C158-$F158)&lt;=toleransKurus,"EGK-002",IF(ABS($C158-$G158)&lt;=toleransKurus,"EGK-003",IF(ABS($C158-$E158)&lt;=toleransKurus,"EGK-004",IF($C158&gt;egk_esikFark,"EGK-005","TANIMSIZ"))))))</f>
        <v/>
      </c>
    </row>
    <row r="159">
      <c r="A159" s="22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IF($A159="","",IFERROR(SUMIF(tblMotor[A_Norm],$A159,tblMotor[KomisyonTutar]),0))</f>
        <v/>
      </c>
      <c r="E159" s="16">
        <f>IF($A159="","",IFERROR(SUMIF(tblMotor[A_Norm],$A159,tblMotor[Kargo]),0))</f>
        <v/>
      </c>
      <c r="F159" s="16">
        <f>IF($A159="","",IFERROR(SUMIF(tblMotor[A_Norm],$A159,tblMotor[IadeMaliyet]),0))</f>
        <v/>
      </c>
      <c r="G159" s="16">
        <f>IF($A159="","",IFERROR(SUMIF(tblMotor[A_Norm],$A159,tblMotor[ReklamHarcama]),0))</f>
        <v/>
      </c>
      <c r="H159" s="16">
        <f>IF(OR($A159="",$B159&lt;&gt;"tutar_farki"),"",IF(ABS($C159-$D159)&lt;=toleransKurus,"EGK-001",IF(ABS($C159-$F159)&lt;=toleransKurus,"EGK-002",IF(ABS($C159-$G159)&lt;=toleransKurus,"EGK-003",IF(ABS($C159-$E159)&lt;=toleransKurus,"EGK-004",IF($C159&gt;egk_esikFark,"EGK-005","TANIMSIZ"))))))</f>
        <v/>
      </c>
    </row>
    <row r="160">
      <c r="A160" s="22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IF($A160="","",IFERROR(SUMIF(tblMotor[A_Norm],$A160,tblMotor[KomisyonTutar]),0))</f>
        <v/>
      </c>
      <c r="E160" s="16">
        <f>IF($A160="","",IFERROR(SUMIF(tblMotor[A_Norm],$A160,tblMotor[Kargo]),0))</f>
        <v/>
      </c>
      <c r="F160" s="16">
        <f>IF($A160="","",IFERROR(SUMIF(tblMotor[A_Norm],$A160,tblMotor[IadeMaliyet]),0))</f>
        <v/>
      </c>
      <c r="G160" s="16">
        <f>IF($A160="","",IFERROR(SUMIF(tblMotor[A_Norm],$A160,tblMotor[ReklamHarcama]),0))</f>
        <v/>
      </c>
      <c r="H160" s="16">
        <f>IF(OR($A160="",$B160&lt;&gt;"tutar_farki"),"",IF(ABS($C160-$D160)&lt;=toleransKurus,"EGK-001",IF(ABS($C160-$F160)&lt;=toleransKurus,"EGK-002",IF(ABS($C160-$G160)&lt;=toleransKurus,"EGK-003",IF(ABS($C160-$E160)&lt;=toleransKurus,"EGK-004",IF($C160&gt;egk_esikFark,"EGK-005","TANIMSIZ"))))))</f>
        <v/>
      </c>
    </row>
    <row r="161">
      <c r="A161" s="22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IF($A161="","",IFERROR(SUMIF(tblMotor[A_Norm],$A161,tblMotor[KomisyonTutar]),0))</f>
        <v/>
      </c>
      <c r="E161" s="16">
        <f>IF($A161="","",IFERROR(SUMIF(tblMotor[A_Norm],$A161,tblMotor[Kargo]),0))</f>
        <v/>
      </c>
      <c r="F161" s="16">
        <f>IF($A161="","",IFERROR(SUMIF(tblMotor[A_Norm],$A161,tblMotor[IadeMaliyet]),0))</f>
        <v/>
      </c>
      <c r="G161" s="16">
        <f>IF($A161="","",IFERROR(SUMIF(tblMotor[A_Norm],$A161,tblMotor[ReklamHarcama]),0))</f>
        <v/>
      </c>
      <c r="H161" s="16">
        <f>IF(OR($A161="",$B161&lt;&gt;"tutar_farki"),"",IF(ABS($C161-$D161)&lt;=toleransKurus,"EGK-001",IF(ABS($C161-$F161)&lt;=toleransKurus,"EGK-002",IF(ABS($C161-$G161)&lt;=toleransKurus,"EGK-003",IF(ABS($C161-$E161)&lt;=toleransKurus,"EGK-004",IF($C161&gt;egk_esikFark,"EGK-005","TANIMSIZ"))))))</f>
        <v/>
      </c>
    </row>
    <row r="162">
      <c r="A162" s="22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IF($A162="","",IFERROR(SUMIF(tblMotor[A_Norm],$A162,tblMotor[KomisyonTutar]),0))</f>
        <v/>
      </c>
      <c r="E162" s="16">
        <f>IF($A162="","",IFERROR(SUMIF(tblMotor[A_Norm],$A162,tblMotor[Kargo]),0))</f>
        <v/>
      </c>
      <c r="F162" s="16">
        <f>IF($A162="","",IFERROR(SUMIF(tblMotor[A_Norm],$A162,tblMotor[IadeMaliyet]),0))</f>
        <v/>
      </c>
      <c r="G162" s="16">
        <f>IF($A162="","",IFERROR(SUMIF(tblMotor[A_Norm],$A162,tblMotor[ReklamHarcama]),0))</f>
        <v/>
      </c>
      <c r="H162" s="16">
        <f>IF(OR($A162="",$B162&lt;&gt;"tutar_farki"),"",IF(ABS($C162-$D162)&lt;=toleransKurus,"EGK-001",IF(ABS($C162-$F162)&lt;=toleransKurus,"EGK-002",IF(ABS($C162-$G162)&lt;=toleransKurus,"EGK-003",IF(ABS($C162-$E162)&lt;=toleransKurus,"EGK-004",IF($C162&gt;egk_esikFark,"EGK-005","TANIMSIZ"))))))</f>
        <v/>
      </c>
    </row>
    <row r="163">
      <c r="A163" s="22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IF($A163="","",IFERROR(SUMIF(tblMotor[A_Norm],$A163,tblMotor[KomisyonTutar]),0))</f>
        <v/>
      </c>
      <c r="E163" s="16">
        <f>IF($A163="","",IFERROR(SUMIF(tblMotor[A_Norm],$A163,tblMotor[Kargo]),0))</f>
        <v/>
      </c>
      <c r="F163" s="16">
        <f>IF($A163="","",IFERROR(SUMIF(tblMotor[A_Norm],$A163,tblMotor[IadeMaliyet]),0))</f>
        <v/>
      </c>
      <c r="G163" s="16">
        <f>IF($A163="","",IFERROR(SUMIF(tblMotor[A_Norm],$A163,tblMotor[ReklamHarcama]),0))</f>
        <v/>
      </c>
      <c r="H163" s="16">
        <f>IF(OR($A163="",$B163&lt;&gt;"tutar_farki"),"",IF(ABS($C163-$D163)&lt;=toleransKurus,"EGK-001",IF(ABS($C163-$F163)&lt;=toleransKurus,"EGK-002",IF(ABS($C163-$G163)&lt;=toleransKurus,"EGK-003",IF(ABS($C163-$E163)&lt;=toleransKurus,"EGK-004",IF($C163&gt;egk_esikFark,"EGK-005","TANIMSIZ"))))))</f>
        <v/>
      </c>
    </row>
    <row r="164">
      <c r="A164" s="22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IF($A164="","",IFERROR(SUMIF(tblMotor[A_Norm],$A164,tblMotor[KomisyonTutar]),0))</f>
        <v/>
      </c>
      <c r="E164" s="16">
        <f>IF($A164="","",IFERROR(SUMIF(tblMotor[A_Norm],$A164,tblMotor[Kargo]),0))</f>
        <v/>
      </c>
      <c r="F164" s="16">
        <f>IF($A164="","",IFERROR(SUMIF(tblMotor[A_Norm],$A164,tblMotor[IadeMaliyet]),0))</f>
        <v/>
      </c>
      <c r="G164" s="16">
        <f>IF($A164="","",IFERROR(SUMIF(tblMotor[A_Norm],$A164,tblMotor[ReklamHarcama]),0))</f>
        <v/>
      </c>
      <c r="H164" s="16">
        <f>IF(OR($A164="",$B164&lt;&gt;"tutar_farki"),"",IF(ABS($C164-$D164)&lt;=toleransKurus,"EGK-001",IF(ABS($C164-$F164)&lt;=toleransKurus,"EGK-002",IF(ABS($C164-$G164)&lt;=toleransKurus,"EGK-003",IF(ABS($C164-$E164)&lt;=toleransKurus,"EGK-004",IF($C164&gt;egk_esikFark,"EGK-005","TANIMSIZ"))))))</f>
        <v/>
      </c>
    </row>
    <row r="165">
      <c r="A165" s="22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IF($A165="","",IFERROR(SUMIF(tblMotor[A_Norm],$A165,tblMotor[KomisyonTutar]),0))</f>
        <v/>
      </c>
      <c r="E165" s="16">
        <f>IF($A165="","",IFERROR(SUMIF(tblMotor[A_Norm],$A165,tblMotor[Kargo]),0))</f>
        <v/>
      </c>
      <c r="F165" s="16">
        <f>IF($A165="","",IFERROR(SUMIF(tblMotor[A_Norm],$A165,tblMotor[IadeMaliyet]),0))</f>
        <v/>
      </c>
      <c r="G165" s="16">
        <f>IF($A165="","",IFERROR(SUMIF(tblMotor[A_Norm],$A165,tblMotor[ReklamHarcama]),0))</f>
        <v/>
      </c>
      <c r="H165" s="16">
        <f>IF(OR($A165="",$B165&lt;&gt;"tutar_farki"),"",IF(ABS($C165-$D165)&lt;=toleransKurus,"EGK-001",IF(ABS($C165-$F165)&lt;=toleransKurus,"EGK-002",IF(ABS($C165-$G165)&lt;=toleransKurus,"EGK-003",IF(ABS($C165-$E165)&lt;=toleransKurus,"EGK-004",IF($C165&gt;egk_esikFark,"EGK-005","TANIMSIZ"))))))</f>
        <v/>
      </c>
    </row>
    <row r="166">
      <c r="A166" s="22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IF($A166="","",IFERROR(SUMIF(tblMotor[A_Norm],$A166,tblMotor[KomisyonTutar]),0))</f>
        <v/>
      </c>
      <c r="E166" s="16">
        <f>IF($A166="","",IFERROR(SUMIF(tblMotor[A_Norm],$A166,tblMotor[Kargo]),0))</f>
        <v/>
      </c>
      <c r="F166" s="16">
        <f>IF($A166="","",IFERROR(SUMIF(tblMotor[A_Norm],$A166,tblMotor[IadeMaliyet]),0))</f>
        <v/>
      </c>
      <c r="G166" s="16">
        <f>IF($A166="","",IFERROR(SUMIF(tblMotor[A_Norm],$A166,tblMotor[ReklamHarcama]),0))</f>
        <v/>
      </c>
      <c r="H166" s="16">
        <f>IF(OR($A166="",$B166&lt;&gt;"tutar_farki"),"",IF(ABS($C166-$D166)&lt;=toleransKurus,"EGK-001",IF(ABS($C166-$F166)&lt;=toleransKurus,"EGK-002",IF(ABS($C166-$G166)&lt;=toleransKurus,"EGK-003",IF(ABS($C166-$E166)&lt;=toleransKurus,"EGK-004",IF($C166&gt;egk_esikFark,"EGK-005","TANIMSIZ"))))))</f>
        <v/>
      </c>
    </row>
    <row r="167">
      <c r="A167" s="22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IF($A167="","",IFERROR(SUMIF(tblMotor[A_Norm],$A167,tblMotor[KomisyonTutar]),0))</f>
        <v/>
      </c>
      <c r="E167" s="16">
        <f>IF($A167="","",IFERROR(SUMIF(tblMotor[A_Norm],$A167,tblMotor[Kargo]),0))</f>
        <v/>
      </c>
      <c r="F167" s="16">
        <f>IF($A167="","",IFERROR(SUMIF(tblMotor[A_Norm],$A167,tblMotor[IadeMaliyet]),0))</f>
        <v/>
      </c>
      <c r="G167" s="16">
        <f>IF($A167="","",IFERROR(SUMIF(tblMotor[A_Norm],$A167,tblMotor[ReklamHarcama]),0))</f>
        <v/>
      </c>
      <c r="H167" s="16">
        <f>IF(OR($A167="",$B167&lt;&gt;"tutar_farki"),"",IF(ABS($C167-$D167)&lt;=toleransKurus,"EGK-001",IF(ABS($C167-$F167)&lt;=toleransKurus,"EGK-002",IF(ABS($C167-$G167)&lt;=toleransKurus,"EGK-003",IF(ABS($C167-$E167)&lt;=toleransKurus,"EGK-004",IF($C167&gt;egk_esikFark,"EGK-005","TANIMSIZ"))))))</f>
        <v/>
      </c>
    </row>
    <row r="168">
      <c r="A168" s="22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IF($A168="","",IFERROR(SUMIF(tblMotor[A_Norm],$A168,tblMotor[KomisyonTutar]),0))</f>
        <v/>
      </c>
      <c r="E168" s="16">
        <f>IF($A168="","",IFERROR(SUMIF(tblMotor[A_Norm],$A168,tblMotor[Kargo]),0))</f>
        <v/>
      </c>
      <c r="F168" s="16">
        <f>IF($A168="","",IFERROR(SUMIF(tblMotor[A_Norm],$A168,tblMotor[IadeMaliyet]),0))</f>
        <v/>
      </c>
      <c r="G168" s="16">
        <f>IF($A168="","",IFERROR(SUMIF(tblMotor[A_Norm],$A168,tblMotor[ReklamHarcama]),0))</f>
        <v/>
      </c>
      <c r="H168" s="16">
        <f>IF(OR($A168="",$B168&lt;&gt;"tutar_farki"),"",IF(ABS($C168-$D168)&lt;=toleransKurus,"EGK-001",IF(ABS($C168-$F168)&lt;=toleransKurus,"EGK-002",IF(ABS($C168-$G168)&lt;=toleransKurus,"EGK-003",IF(ABS($C168-$E168)&lt;=toleransKurus,"EGK-004",IF($C168&gt;egk_esikFark,"EGK-005","TANIMSIZ"))))))</f>
        <v/>
      </c>
    </row>
    <row r="169">
      <c r="A169" s="22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IF($A169="","",IFERROR(SUMIF(tblMotor[A_Norm],$A169,tblMotor[KomisyonTutar]),0))</f>
        <v/>
      </c>
      <c r="E169" s="16">
        <f>IF($A169="","",IFERROR(SUMIF(tblMotor[A_Norm],$A169,tblMotor[Kargo]),0))</f>
        <v/>
      </c>
      <c r="F169" s="16">
        <f>IF($A169="","",IFERROR(SUMIF(tblMotor[A_Norm],$A169,tblMotor[IadeMaliyet]),0))</f>
        <v/>
      </c>
      <c r="G169" s="16">
        <f>IF($A169="","",IFERROR(SUMIF(tblMotor[A_Norm],$A169,tblMotor[ReklamHarcama]),0))</f>
        <v/>
      </c>
      <c r="H169" s="16">
        <f>IF(OR($A169="",$B169&lt;&gt;"tutar_farki"),"",IF(ABS($C169-$D169)&lt;=toleransKurus,"EGK-001",IF(ABS($C169-$F169)&lt;=toleransKurus,"EGK-002",IF(ABS($C169-$G169)&lt;=toleransKurus,"EGK-003",IF(ABS($C169-$E169)&lt;=toleransKurus,"EGK-004",IF($C169&gt;egk_esikFark,"EGK-005","TANIMSIZ"))))))</f>
        <v/>
      </c>
    </row>
    <row r="170">
      <c r="A170" s="22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IF($A170="","",IFERROR(SUMIF(tblMotor[A_Norm],$A170,tblMotor[KomisyonTutar]),0))</f>
        <v/>
      </c>
      <c r="E170" s="16">
        <f>IF($A170="","",IFERROR(SUMIF(tblMotor[A_Norm],$A170,tblMotor[Kargo]),0))</f>
        <v/>
      </c>
      <c r="F170" s="16">
        <f>IF($A170="","",IFERROR(SUMIF(tblMotor[A_Norm],$A170,tblMotor[IadeMaliyet]),0))</f>
        <v/>
      </c>
      <c r="G170" s="16">
        <f>IF($A170="","",IFERROR(SUMIF(tblMotor[A_Norm],$A170,tblMotor[ReklamHarcama]),0))</f>
        <v/>
      </c>
      <c r="H170" s="16">
        <f>IF(OR($A170="",$B170&lt;&gt;"tutar_farki"),"",IF(ABS($C170-$D170)&lt;=toleransKurus,"EGK-001",IF(ABS($C170-$F170)&lt;=toleransKurus,"EGK-002",IF(ABS($C170-$G170)&lt;=toleransKurus,"EGK-003",IF(ABS($C170-$E170)&lt;=toleransKurus,"EGK-004",IF($C170&gt;egk_esikFark,"EGK-005","TANIMSIZ"))))))</f>
        <v/>
      </c>
    </row>
    <row r="171">
      <c r="A171" s="22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IF($A171="","",IFERROR(SUMIF(tblMotor[A_Norm],$A171,tblMotor[KomisyonTutar]),0))</f>
        <v/>
      </c>
      <c r="E171" s="16">
        <f>IF($A171="","",IFERROR(SUMIF(tblMotor[A_Norm],$A171,tblMotor[Kargo]),0))</f>
        <v/>
      </c>
      <c r="F171" s="16">
        <f>IF($A171="","",IFERROR(SUMIF(tblMotor[A_Norm],$A171,tblMotor[IadeMaliyet]),0))</f>
        <v/>
      </c>
      <c r="G171" s="16">
        <f>IF($A171="","",IFERROR(SUMIF(tblMotor[A_Norm],$A171,tblMotor[ReklamHarcama]),0))</f>
        <v/>
      </c>
      <c r="H171" s="16">
        <f>IF(OR($A171="",$B171&lt;&gt;"tutar_farki"),"",IF(ABS($C171-$D171)&lt;=toleransKurus,"EGK-001",IF(ABS($C171-$F171)&lt;=toleransKurus,"EGK-002",IF(ABS($C171-$G171)&lt;=toleransKurus,"EGK-003",IF(ABS($C171-$E171)&lt;=toleransKurus,"EGK-004",IF($C171&gt;egk_esikFark,"EGK-005","TANIMSIZ"))))))</f>
        <v/>
      </c>
    </row>
    <row r="172">
      <c r="A172" s="22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IF($A172="","",IFERROR(SUMIF(tblMotor[A_Norm],$A172,tblMotor[KomisyonTutar]),0))</f>
        <v/>
      </c>
      <c r="E172" s="16">
        <f>IF($A172="","",IFERROR(SUMIF(tblMotor[A_Norm],$A172,tblMotor[Kargo]),0))</f>
        <v/>
      </c>
      <c r="F172" s="16">
        <f>IF($A172="","",IFERROR(SUMIF(tblMotor[A_Norm],$A172,tblMotor[IadeMaliyet]),0))</f>
        <v/>
      </c>
      <c r="G172" s="16">
        <f>IF($A172="","",IFERROR(SUMIF(tblMotor[A_Norm],$A172,tblMotor[ReklamHarcama]),0))</f>
        <v/>
      </c>
      <c r="H172" s="16">
        <f>IF(OR($A172="",$B172&lt;&gt;"tutar_farki"),"",IF(ABS($C172-$D172)&lt;=toleransKurus,"EGK-001",IF(ABS($C172-$F172)&lt;=toleransKurus,"EGK-002",IF(ABS($C172-$G172)&lt;=toleransKurus,"EGK-003",IF(ABS($C172-$E172)&lt;=toleransKurus,"EGK-004",IF($C172&gt;egk_esikFark,"EGK-005","TANIMSIZ"))))))</f>
        <v/>
      </c>
    </row>
    <row r="173">
      <c r="A173" s="22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IF($A173="","",IFERROR(SUMIF(tblMotor[A_Norm],$A173,tblMotor[KomisyonTutar]),0))</f>
        <v/>
      </c>
      <c r="E173" s="16">
        <f>IF($A173="","",IFERROR(SUMIF(tblMotor[A_Norm],$A173,tblMotor[Kargo]),0))</f>
        <v/>
      </c>
      <c r="F173" s="16">
        <f>IF($A173="","",IFERROR(SUMIF(tblMotor[A_Norm],$A173,tblMotor[IadeMaliyet]),0))</f>
        <v/>
      </c>
      <c r="G173" s="16">
        <f>IF($A173="","",IFERROR(SUMIF(tblMotor[A_Norm],$A173,tblMotor[ReklamHarcama]),0))</f>
        <v/>
      </c>
      <c r="H173" s="16">
        <f>IF(OR($A173="",$B173&lt;&gt;"tutar_farki"),"",IF(ABS($C173-$D173)&lt;=toleransKurus,"EGK-001",IF(ABS($C173-$F173)&lt;=toleransKurus,"EGK-002",IF(ABS($C173-$G173)&lt;=toleransKurus,"EGK-003",IF(ABS($C173-$E173)&lt;=toleransKurus,"EGK-004",IF($C173&gt;egk_esikFark,"EGK-005","TANIMSIZ"))))))</f>
        <v/>
      </c>
    </row>
    <row r="174">
      <c r="A174" s="22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IF($A174="","",IFERROR(SUMIF(tblMotor[A_Norm],$A174,tblMotor[KomisyonTutar]),0))</f>
        <v/>
      </c>
      <c r="E174" s="16">
        <f>IF($A174="","",IFERROR(SUMIF(tblMotor[A_Norm],$A174,tblMotor[Kargo]),0))</f>
        <v/>
      </c>
      <c r="F174" s="16">
        <f>IF($A174="","",IFERROR(SUMIF(tblMotor[A_Norm],$A174,tblMotor[IadeMaliyet]),0))</f>
        <v/>
      </c>
      <c r="G174" s="16">
        <f>IF($A174="","",IFERROR(SUMIF(tblMotor[A_Norm],$A174,tblMotor[ReklamHarcama]),0))</f>
        <v/>
      </c>
      <c r="H174" s="16">
        <f>IF(OR($A174="",$B174&lt;&gt;"tutar_farki"),"",IF(ABS($C174-$D174)&lt;=toleransKurus,"EGK-001",IF(ABS($C174-$F174)&lt;=toleransKurus,"EGK-002",IF(ABS($C174-$G174)&lt;=toleransKurus,"EGK-003",IF(ABS($C174-$E174)&lt;=toleransKurus,"EGK-004",IF($C174&gt;egk_esikFark,"EGK-005","TANIMSIZ"))))))</f>
        <v/>
      </c>
    </row>
    <row r="175">
      <c r="A175" s="22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IF($A175="","",IFERROR(SUMIF(tblMotor[A_Norm],$A175,tblMotor[KomisyonTutar]),0))</f>
        <v/>
      </c>
      <c r="E175" s="16">
        <f>IF($A175="","",IFERROR(SUMIF(tblMotor[A_Norm],$A175,tblMotor[Kargo]),0))</f>
        <v/>
      </c>
      <c r="F175" s="16">
        <f>IF($A175="","",IFERROR(SUMIF(tblMotor[A_Norm],$A175,tblMotor[IadeMaliyet]),0))</f>
        <v/>
      </c>
      <c r="G175" s="16">
        <f>IF($A175="","",IFERROR(SUMIF(tblMotor[A_Norm],$A175,tblMotor[ReklamHarcama]),0))</f>
        <v/>
      </c>
      <c r="H175" s="16">
        <f>IF(OR($A175="",$B175&lt;&gt;"tutar_farki"),"",IF(ABS($C175-$D175)&lt;=toleransKurus,"EGK-001",IF(ABS($C175-$F175)&lt;=toleransKurus,"EGK-002",IF(ABS($C175-$G175)&lt;=toleransKurus,"EGK-003",IF(ABS($C175-$E175)&lt;=toleransKurus,"EGK-004",IF($C175&gt;egk_esikFark,"EGK-005","TANIMSIZ"))))))</f>
        <v/>
      </c>
    </row>
    <row r="176">
      <c r="A176" s="22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IF($A176="","",IFERROR(SUMIF(tblMotor[A_Norm],$A176,tblMotor[KomisyonTutar]),0))</f>
        <v/>
      </c>
      <c r="E176" s="16">
        <f>IF($A176="","",IFERROR(SUMIF(tblMotor[A_Norm],$A176,tblMotor[Kargo]),0))</f>
        <v/>
      </c>
      <c r="F176" s="16">
        <f>IF($A176="","",IFERROR(SUMIF(tblMotor[A_Norm],$A176,tblMotor[IadeMaliyet]),0))</f>
        <v/>
      </c>
      <c r="G176" s="16">
        <f>IF($A176="","",IFERROR(SUMIF(tblMotor[A_Norm],$A176,tblMotor[ReklamHarcama]),0))</f>
        <v/>
      </c>
      <c r="H176" s="16">
        <f>IF(OR($A176="",$B176&lt;&gt;"tutar_farki"),"",IF(ABS($C176-$D176)&lt;=toleransKurus,"EGK-001",IF(ABS($C176-$F176)&lt;=toleransKurus,"EGK-002",IF(ABS($C176-$G176)&lt;=toleransKurus,"EGK-003",IF(ABS($C176-$E176)&lt;=toleransKurus,"EGK-004",IF($C176&gt;egk_esikFark,"EGK-005","TANIMSIZ"))))))</f>
        <v/>
      </c>
    </row>
    <row r="177">
      <c r="A177" s="22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IF($A177="","",IFERROR(SUMIF(tblMotor[A_Norm],$A177,tblMotor[KomisyonTutar]),0))</f>
        <v/>
      </c>
      <c r="E177" s="16">
        <f>IF($A177="","",IFERROR(SUMIF(tblMotor[A_Norm],$A177,tblMotor[Kargo]),0))</f>
        <v/>
      </c>
      <c r="F177" s="16">
        <f>IF($A177="","",IFERROR(SUMIF(tblMotor[A_Norm],$A177,tblMotor[IadeMaliyet]),0))</f>
        <v/>
      </c>
      <c r="G177" s="16">
        <f>IF($A177="","",IFERROR(SUMIF(tblMotor[A_Norm],$A177,tblMotor[ReklamHarcama]),0))</f>
        <v/>
      </c>
      <c r="H177" s="16">
        <f>IF(OR($A177="",$B177&lt;&gt;"tutar_farki"),"",IF(ABS($C177-$D177)&lt;=toleransKurus,"EGK-001",IF(ABS($C177-$F177)&lt;=toleransKurus,"EGK-002",IF(ABS($C177-$G177)&lt;=toleransKurus,"EGK-003",IF(ABS($C177-$E177)&lt;=toleransKurus,"EGK-004",IF($C177&gt;egk_esikFark,"EGK-005","TANIMSIZ"))))))</f>
        <v/>
      </c>
    </row>
    <row r="178">
      <c r="A178" s="22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IF($A178="","",IFERROR(SUMIF(tblMotor[A_Norm],$A178,tblMotor[KomisyonTutar]),0))</f>
        <v/>
      </c>
      <c r="E178" s="16">
        <f>IF($A178="","",IFERROR(SUMIF(tblMotor[A_Norm],$A178,tblMotor[Kargo]),0))</f>
        <v/>
      </c>
      <c r="F178" s="16">
        <f>IF($A178="","",IFERROR(SUMIF(tblMotor[A_Norm],$A178,tblMotor[IadeMaliyet]),0))</f>
        <v/>
      </c>
      <c r="G178" s="16">
        <f>IF($A178="","",IFERROR(SUMIF(tblMotor[A_Norm],$A178,tblMotor[ReklamHarcama]),0))</f>
        <v/>
      </c>
      <c r="H178" s="16">
        <f>IF(OR($A178="",$B178&lt;&gt;"tutar_farki"),"",IF(ABS($C178-$D178)&lt;=toleransKurus,"EGK-001",IF(ABS($C178-$F178)&lt;=toleransKurus,"EGK-002",IF(ABS($C178-$G178)&lt;=toleransKurus,"EGK-003",IF(ABS($C178-$E178)&lt;=toleransKurus,"EGK-004",IF($C178&gt;egk_esikFark,"EGK-005","TANIMSIZ"))))))</f>
        <v/>
      </c>
    </row>
    <row r="179">
      <c r="A179" s="22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IF($A179="","",IFERROR(SUMIF(tblMotor[A_Norm],$A179,tblMotor[KomisyonTutar]),0))</f>
        <v/>
      </c>
      <c r="E179" s="16">
        <f>IF($A179="","",IFERROR(SUMIF(tblMotor[A_Norm],$A179,tblMotor[Kargo]),0))</f>
        <v/>
      </c>
      <c r="F179" s="16">
        <f>IF($A179="","",IFERROR(SUMIF(tblMotor[A_Norm],$A179,tblMotor[IadeMaliyet]),0))</f>
        <v/>
      </c>
      <c r="G179" s="16">
        <f>IF($A179="","",IFERROR(SUMIF(tblMotor[A_Norm],$A179,tblMotor[ReklamHarcama]),0))</f>
        <v/>
      </c>
      <c r="H179" s="16">
        <f>IF(OR($A179="",$B179&lt;&gt;"tutar_farki"),"",IF(ABS($C179-$D179)&lt;=toleransKurus,"EGK-001",IF(ABS($C179-$F179)&lt;=toleransKurus,"EGK-002",IF(ABS($C179-$G179)&lt;=toleransKurus,"EGK-003",IF(ABS($C179-$E179)&lt;=toleransKurus,"EGK-004",IF($C179&gt;egk_esikFark,"EGK-005","TANIMSIZ"))))))</f>
        <v/>
      </c>
    </row>
    <row r="180">
      <c r="A180" s="22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IF($A180="","",IFERROR(SUMIF(tblMotor[A_Norm],$A180,tblMotor[KomisyonTutar]),0))</f>
        <v/>
      </c>
      <c r="E180" s="16">
        <f>IF($A180="","",IFERROR(SUMIF(tblMotor[A_Norm],$A180,tblMotor[Kargo]),0))</f>
        <v/>
      </c>
      <c r="F180" s="16">
        <f>IF($A180="","",IFERROR(SUMIF(tblMotor[A_Norm],$A180,tblMotor[IadeMaliyet]),0))</f>
        <v/>
      </c>
      <c r="G180" s="16">
        <f>IF($A180="","",IFERROR(SUMIF(tblMotor[A_Norm],$A180,tblMotor[ReklamHarcama]),0))</f>
        <v/>
      </c>
      <c r="H180" s="16">
        <f>IF(OR($A180="",$B180&lt;&gt;"tutar_farki"),"",IF(ABS($C180-$D180)&lt;=toleransKurus,"EGK-001",IF(ABS($C180-$F180)&lt;=toleransKurus,"EGK-002",IF(ABS($C180-$G180)&lt;=toleransKurus,"EGK-003",IF(ABS($C180-$E180)&lt;=toleransKurus,"EGK-004",IF($C180&gt;egk_esikFark,"EGK-005","TANIMSIZ"))))))</f>
        <v/>
      </c>
    </row>
    <row r="181">
      <c r="A181" s="22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IF($A181="","",IFERROR(SUMIF(tblMotor[A_Norm],$A181,tblMotor[KomisyonTutar]),0))</f>
        <v/>
      </c>
      <c r="E181" s="16">
        <f>IF($A181="","",IFERROR(SUMIF(tblMotor[A_Norm],$A181,tblMotor[Kargo]),0))</f>
        <v/>
      </c>
      <c r="F181" s="16">
        <f>IF($A181="","",IFERROR(SUMIF(tblMotor[A_Norm],$A181,tblMotor[IadeMaliyet]),0))</f>
        <v/>
      </c>
      <c r="G181" s="16">
        <f>IF($A181="","",IFERROR(SUMIF(tblMotor[A_Norm],$A181,tblMotor[ReklamHarcama]),0))</f>
        <v/>
      </c>
      <c r="H181" s="16">
        <f>IF(OR($A181="",$B181&lt;&gt;"tutar_farki"),"",IF(ABS($C181-$D181)&lt;=toleransKurus,"EGK-001",IF(ABS($C181-$F181)&lt;=toleransKurus,"EGK-002",IF(ABS($C181-$G181)&lt;=toleransKurus,"EGK-003",IF(ABS($C181-$E181)&lt;=toleransKurus,"EGK-004",IF($C181&gt;egk_esikFark,"EGK-005","TANIMSIZ"))))))</f>
        <v/>
      </c>
    </row>
    <row r="182">
      <c r="A182" s="22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IF($A182="","",IFERROR(SUMIF(tblMotor[A_Norm],$A182,tblMotor[KomisyonTutar]),0))</f>
        <v/>
      </c>
      <c r="E182" s="16">
        <f>IF($A182="","",IFERROR(SUMIF(tblMotor[A_Norm],$A182,tblMotor[Kargo]),0))</f>
        <v/>
      </c>
      <c r="F182" s="16">
        <f>IF($A182="","",IFERROR(SUMIF(tblMotor[A_Norm],$A182,tblMotor[IadeMaliyet]),0))</f>
        <v/>
      </c>
      <c r="G182" s="16">
        <f>IF($A182="","",IFERROR(SUMIF(tblMotor[A_Norm],$A182,tblMotor[ReklamHarcama]),0))</f>
        <v/>
      </c>
      <c r="H182" s="16">
        <f>IF(OR($A182="",$B182&lt;&gt;"tutar_farki"),"",IF(ABS($C182-$D182)&lt;=toleransKurus,"EGK-001",IF(ABS($C182-$F182)&lt;=toleransKurus,"EGK-002",IF(ABS($C182-$G182)&lt;=toleransKurus,"EGK-003",IF(ABS($C182-$E182)&lt;=toleransKurus,"EGK-004",IF($C182&gt;egk_esikFark,"EGK-005","TANIMSIZ"))))))</f>
        <v/>
      </c>
    </row>
    <row r="183">
      <c r="A183" s="22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IF($A183="","",IFERROR(SUMIF(tblMotor[A_Norm],$A183,tblMotor[KomisyonTutar]),0))</f>
        <v/>
      </c>
      <c r="E183" s="16">
        <f>IF($A183="","",IFERROR(SUMIF(tblMotor[A_Norm],$A183,tblMotor[Kargo]),0))</f>
        <v/>
      </c>
      <c r="F183" s="16">
        <f>IF($A183="","",IFERROR(SUMIF(tblMotor[A_Norm],$A183,tblMotor[IadeMaliyet]),0))</f>
        <v/>
      </c>
      <c r="G183" s="16">
        <f>IF($A183="","",IFERROR(SUMIF(tblMotor[A_Norm],$A183,tblMotor[ReklamHarcama]),0))</f>
        <v/>
      </c>
      <c r="H183" s="16">
        <f>IF(OR($A183="",$B183&lt;&gt;"tutar_farki"),"",IF(ABS($C183-$D183)&lt;=toleransKurus,"EGK-001",IF(ABS($C183-$F183)&lt;=toleransKurus,"EGK-002",IF(ABS($C183-$G183)&lt;=toleransKurus,"EGK-003",IF(ABS($C183-$E183)&lt;=toleransKurus,"EGK-004",IF($C183&gt;egk_esikFark,"EGK-005","TANIMSIZ"))))))</f>
        <v/>
      </c>
    </row>
    <row r="184">
      <c r="A184" s="22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IF($A184="","",IFERROR(SUMIF(tblMotor[A_Norm],$A184,tblMotor[KomisyonTutar]),0))</f>
        <v/>
      </c>
      <c r="E184" s="16">
        <f>IF($A184="","",IFERROR(SUMIF(tblMotor[A_Norm],$A184,tblMotor[Kargo]),0))</f>
        <v/>
      </c>
      <c r="F184" s="16">
        <f>IF($A184="","",IFERROR(SUMIF(tblMotor[A_Norm],$A184,tblMotor[IadeMaliyet]),0))</f>
        <v/>
      </c>
      <c r="G184" s="16">
        <f>IF($A184="","",IFERROR(SUMIF(tblMotor[A_Norm],$A184,tblMotor[ReklamHarcama]),0))</f>
        <v/>
      </c>
      <c r="H184" s="16">
        <f>IF(OR($A184="",$B184&lt;&gt;"tutar_farki"),"",IF(ABS($C184-$D184)&lt;=toleransKurus,"EGK-001",IF(ABS($C184-$F184)&lt;=toleransKurus,"EGK-002",IF(ABS($C184-$G184)&lt;=toleransKurus,"EGK-003",IF(ABS($C184-$E184)&lt;=toleransKurus,"EGK-004",IF($C184&gt;egk_esikFark,"EGK-005","TANIMSIZ"))))))</f>
        <v/>
      </c>
    </row>
    <row r="185">
      <c r="A185" s="22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IF($A185="","",IFERROR(SUMIF(tblMotor[A_Norm],$A185,tblMotor[KomisyonTutar]),0))</f>
        <v/>
      </c>
      <c r="E185" s="16">
        <f>IF($A185="","",IFERROR(SUMIF(tblMotor[A_Norm],$A185,tblMotor[Kargo]),0))</f>
        <v/>
      </c>
      <c r="F185" s="16">
        <f>IF($A185="","",IFERROR(SUMIF(tblMotor[A_Norm],$A185,tblMotor[IadeMaliyet]),0))</f>
        <v/>
      </c>
      <c r="G185" s="16">
        <f>IF($A185="","",IFERROR(SUMIF(tblMotor[A_Norm],$A185,tblMotor[ReklamHarcama]),0))</f>
        <v/>
      </c>
      <c r="H185" s="16">
        <f>IF(OR($A185="",$B185&lt;&gt;"tutar_farki"),"",IF(ABS($C185-$D185)&lt;=toleransKurus,"EGK-001",IF(ABS($C185-$F185)&lt;=toleransKurus,"EGK-002",IF(ABS($C185-$G185)&lt;=toleransKurus,"EGK-003",IF(ABS($C185-$E185)&lt;=toleransKurus,"EGK-004",IF($C185&gt;egk_esikFark,"EGK-005","TANIMSIZ"))))))</f>
        <v/>
      </c>
    </row>
    <row r="186">
      <c r="A186" s="22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IF($A186="","",IFERROR(SUMIF(tblMotor[A_Norm],$A186,tblMotor[KomisyonTutar]),0))</f>
        <v/>
      </c>
      <c r="E186" s="16">
        <f>IF($A186="","",IFERROR(SUMIF(tblMotor[A_Norm],$A186,tblMotor[Kargo]),0))</f>
        <v/>
      </c>
      <c r="F186" s="16">
        <f>IF($A186="","",IFERROR(SUMIF(tblMotor[A_Norm],$A186,tblMotor[IadeMaliyet]),0))</f>
        <v/>
      </c>
      <c r="G186" s="16">
        <f>IF($A186="","",IFERROR(SUMIF(tblMotor[A_Norm],$A186,tblMotor[ReklamHarcama]),0))</f>
        <v/>
      </c>
      <c r="H186" s="16">
        <f>IF(OR($A186="",$B186&lt;&gt;"tutar_farki"),"",IF(ABS($C186-$D186)&lt;=toleransKurus,"EGK-001",IF(ABS($C186-$F186)&lt;=toleransKurus,"EGK-002",IF(ABS($C186-$G186)&lt;=toleransKurus,"EGK-003",IF(ABS($C186-$E186)&lt;=toleransKurus,"EGK-004",IF($C186&gt;egk_esikFark,"EGK-005","TANIMSIZ"))))))</f>
        <v/>
      </c>
    </row>
    <row r="187">
      <c r="A187" s="22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IF($A187="","",IFERROR(SUMIF(tblMotor[A_Norm],$A187,tblMotor[KomisyonTutar]),0))</f>
        <v/>
      </c>
      <c r="E187" s="16">
        <f>IF($A187="","",IFERROR(SUMIF(tblMotor[A_Norm],$A187,tblMotor[Kargo]),0))</f>
        <v/>
      </c>
      <c r="F187" s="16">
        <f>IF($A187="","",IFERROR(SUMIF(tblMotor[A_Norm],$A187,tblMotor[IadeMaliyet]),0))</f>
        <v/>
      </c>
      <c r="G187" s="16">
        <f>IF($A187="","",IFERROR(SUMIF(tblMotor[A_Norm],$A187,tblMotor[ReklamHarcama]),0))</f>
        <v/>
      </c>
      <c r="H187" s="16">
        <f>IF(OR($A187="",$B187&lt;&gt;"tutar_farki"),"",IF(ABS($C187-$D187)&lt;=toleransKurus,"EGK-001",IF(ABS($C187-$F187)&lt;=toleransKurus,"EGK-002",IF(ABS($C187-$G187)&lt;=toleransKurus,"EGK-003",IF(ABS($C187-$E187)&lt;=toleransKurus,"EGK-004",IF($C187&gt;egk_esikFark,"EGK-005","TANIMSIZ"))))))</f>
        <v/>
      </c>
    </row>
    <row r="188">
      <c r="A188" s="22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IF($A188="","",IFERROR(SUMIF(tblMotor[A_Norm],$A188,tblMotor[KomisyonTutar]),0))</f>
        <v/>
      </c>
      <c r="E188" s="16">
        <f>IF($A188="","",IFERROR(SUMIF(tblMotor[A_Norm],$A188,tblMotor[Kargo]),0))</f>
        <v/>
      </c>
      <c r="F188" s="16">
        <f>IF($A188="","",IFERROR(SUMIF(tblMotor[A_Norm],$A188,tblMotor[IadeMaliyet]),0))</f>
        <v/>
      </c>
      <c r="G188" s="16">
        <f>IF($A188="","",IFERROR(SUMIF(tblMotor[A_Norm],$A188,tblMotor[ReklamHarcama]),0))</f>
        <v/>
      </c>
      <c r="H188" s="16">
        <f>IF(OR($A188="",$B188&lt;&gt;"tutar_farki"),"",IF(ABS($C188-$D188)&lt;=toleransKurus,"EGK-001",IF(ABS($C188-$F188)&lt;=toleransKurus,"EGK-002",IF(ABS($C188-$G188)&lt;=toleransKurus,"EGK-003",IF(ABS($C188-$E188)&lt;=toleransKurus,"EGK-004",IF($C188&gt;egk_esikFark,"EGK-005","TANIMSIZ"))))))</f>
        <v/>
      </c>
    </row>
    <row r="189">
      <c r="A189" s="22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IF($A189="","",IFERROR(SUMIF(tblMotor[A_Norm],$A189,tblMotor[KomisyonTutar]),0))</f>
        <v/>
      </c>
      <c r="E189" s="16">
        <f>IF($A189="","",IFERROR(SUMIF(tblMotor[A_Norm],$A189,tblMotor[Kargo]),0))</f>
        <v/>
      </c>
      <c r="F189" s="16">
        <f>IF($A189="","",IFERROR(SUMIF(tblMotor[A_Norm],$A189,tblMotor[IadeMaliyet]),0))</f>
        <v/>
      </c>
      <c r="G189" s="16">
        <f>IF($A189="","",IFERROR(SUMIF(tblMotor[A_Norm],$A189,tblMotor[ReklamHarcama]),0))</f>
        <v/>
      </c>
      <c r="H189" s="16">
        <f>IF(OR($A189="",$B189&lt;&gt;"tutar_farki"),"",IF(ABS($C189-$D189)&lt;=toleransKurus,"EGK-001",IF(ABS($C189-$F189)&lt;=toleransKurus,"EGK-002",IF(ABS($C189-$G189)&lt;=toleransKurus,"EGK-003",IF(ABS($C189-$E189)&lt;=toleransKurus,"EGK-004",IF($C189&gt;egk_esikFark,"EGK-005","TANIMSIZ"))))))</f>
        <v/>
      </c>
    </row>
    <row r="190">
      <c r="A190" s="22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IF($A190="","",IFERROR(SUMIF(tblMotor[A_Norm],$A190,tblMotor[KomisyonTutar]),0))</f>
        <v/>
      </c>
      <c r="E190" s="16">
        <f>IF($A190="","",IFERROR(SUMIF(tblMotor[A_Norm],$A190,tblMotor[Kargo]),0))</f>
        <v/>
      </c>
      <c r="F190" s="16">
        <f>IF($A190="","",IFERROR(SUMIF(tblMotor[A_Norm],$A190,tblMotor[IadeMaliyet]),0))</f>
        <v/>
      </c>
      <c r="G190" s="16">
        <f>IF($A190="","",IFERROR(SUMIF(tblMotor[A_Norm],$A190,tblMotor[ReklamHarcama]),0))</f>
        <v/>
      </c>
      <c r="H190" s="16">
        <f>IF(OR($A190="",$B190&lt;&gt;"tutar_farki"),"",IF(ABS($C190-$D190)&lt;=toleransKurus,"EGK-001",IF(ABS($C190-$F190)&lt;=toleransKurus,"EGK-002",IF(ABS($C190-$G190)&lt;=toleransKurus,"EGK-003",IF(ABS($C190-$E190)&lt;=toleransKurus,"EGK-004",IF($C190&gt;egk_esikFark,"EGK-005","TANIMSIZ"))))))</f>
        <v/>
      </c>
    </row>
    <row r="191">
      <c r="A191" s="22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IF($A191="","",IFERROR(SUMIF(tblMotor[A_Norm],$A191,tblMotor[KomisyonTutar]),0))</f>
        <v/>
      </c>
      <c r="E191" s="16">
        <f>IF($A191="","",IFERROR(SUMIF(tblMotor[A_Norm],$A191,tblMotor[Kargo]),0))</f>
        <v/>
      </c>
      <c r="F191" s="16">
        <f>IF($A191="","",IFERROR(SUMIF(tblMotor[A_Norm],$A191,tblMotor[IadeMaliyet]),0))</f>
        <v/>
      </c>
      <c r="G191" s="16">
        <f>IF($A191="","",IFERROR(SUMIF(tblMotor[A_Norm],$A191,tblMotor[ReklamHarcama]),0))</f>
        <v/>
      </c>
      <c r="H191" s="16">
        <f>IF(OR($A191="",$B191&lt;&gt;"tutar_farki"),"",IF(ABS($C191-$D191)&lt;=toleransKurus,"EGK-001",IF(ABS($C191-$F191)&lt;=toleransKurus,"EGK-002",IF(ABS($C191-$G191)&lt;=toleransKurus,"EGK-003",IF(ABS($C191-$E191)&lt;=toleransKurus,"EGK-004",IF($C191&gt;egk_esikFark,"EGK-005","TANIMSIZ"))))))</f>
        <v/>
      </c>
    </row>
    <row r="192">
      <c r="A192" s="22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IF($A192="","",IFERROR(SUMIF(tblMotor[A_Norm],$A192,tblMotor[KomisyonTutar]),0))</f>
        <v/>
      </c>
      <c r="E192" s="16">
        <f>IF($A192="","",IFERROR(SUMIF(tblMotor[A_Norm],$A192,tblMotor[Kargo]),0))</f>
        <v/>
      </c>
      <c r="F192" s="16">
        <f>IF($A192="","",IFERROR(SUMIF(tblMotor[A_Norm],$A192,tblMotor[IadeMaliyet]),0))</f>
        <v/>
      </c>
      <c r="G192" s="16">
        <f>IF($A192="","",IFERROR(SUMIF(tblMotor[A_Norm],$A192,tblMotor[ReklamHarcama]),0))</f>
        <v/>
      </c>
      <c r="H192" s="16">
        <f>IF(OR($A192="",$B192&lt;&gt;"tutar_farki"),"",IF(ABS($C192-$D192)&lt;=toleransKurus,"EGK-001",IF(ABS($C192-$F192)&lt;=toleransKurus,"EGK-002",IF(ABS($C192-$G192)&lt;=toleransKurus,"EGK-003",IF(ABS($C192-$E192)&lt;=toleransKurus,"EGK-004",IF($C192&gt;egk_esikFark,"EGK-005","TANIMSIZ"))))))</f>
        <v/>
      </c>
    </row>
    <row r="193">
      <c r="A193" s="22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IF($A193="","",IFERROR(SUMIF(tblMotor[A_Norm],$A193,tblMotor[KomisyonTutar]),0))</f>
        <v/>
      </c>
      <c r="E193" s="16">
        <f>IF($A193="","",IFERROR(SUMIF(tblMotor[A_Norm],$A193,tblMotor[Kargo]),0))</f>
        <v/>
      </c>
      <c r="F193" s="16">
        <f>IF($A193="","",IFERROR(SUMIF(tblMotor[A_Norm],$A193,tblMotor[IadeMaliyet]),0))</f>
        <v/>
      </c>
      <c r="G193" s="16">
        <f>IF($A193="","",IFERROR(SUMIF(tblMotor[A_Norm],$A193,tblMotor[ReklamHarcama]),0))</f>
        <v/>
      </c>
      <c r="H193" s="16">
        <f>IF(OR($A193="",$B193&lt;&gt;"tutar_farki"),"",IF(ABS($C193-$D193)&lt;=toleransKurus,"EGK-001",IF(ABS($C193-$F193)&lt;=toleransKurus,"EGK-002",IF(ABS($C193-$G193)&lt;=toleransKurus,"EGK-003",IF(ABS($C193-$E193)&lt;=toleransKurus,"EGK-004",IF($C193&gt;egk_esikFark,"EGK-005","TANIMSIZ"))))))</f>
        <v/>
      </c>
    </row>
    <row r="194">
      <c r="A194" s="22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IF($A194="","",IFERROR(SUMIF(tblMotor[A_Norm],$A194,tblMotor[KomisyonTutar]),0))</f>
        <v/>
      </c>
      <c r="E194" s="16">
        <f>IF($A194="","",IFERROR(SUMIF(tblMotor[A_Norm],$A194,tblMotor[Kargo]),0))</f>
        <v/>
      </c>
      <c r="F194" s="16">
        <f>IF($A194="","",IFERROR(SUMIF(tblMotor[A_Norm],$A194,tblMotor[IadeMaliyet]),0))</f>
        <v/>
      </c>
      <c r="G194" s="16">
        <f>IF($A194="","",IFERROR(SUMIF(tblMotor[A_Norm],$A194,tblMotor[ReklamHarcama]),0))</f>
        <v/>
      </c>
      <c r="H194" s="16">
        <f>IF(OR($A194="",$B194&lt;&gt;"tutar_farki"),"",IF(ABS($C194-$D194)&lt;=toleransKurus,"EGK-001",IF(ABS($C194-$F194)&lt;=toleransKurus,"EGK-002",IF(ABS($C194-$G194)&lt;=toleransKurus,"EGK-003",IF(ABS($C194-$E194)&lt;=toleransKurus,"EGK-004",IF($C194&gt;egk_esikFark,"EGK-005","TANIMSIZ"))))))</f>
        <v/>
      </c>
    </row>
    <row r="195">
      <c r="A195" s="22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IF($A195="","",IFERROR(SUMIF(tblMotor[A_Norm],$A195,tblMotor[KomisyonTutar]),0))</f>
        <v/>
      </c>
      <c r="E195" s="16">
        <f>IF($A195="","",IFERROR(SUMIF(tblMotor[A_Norm],$A195,tblMotor[Kargo]),0))</f>
        <v/>
      </c>
      <c r="F195" s="16">
        <f>IF($A195="","",IFERROR(SUMIF(tblMotor[A_Norm],$A195,tblMotor[IadeMaliyet]),0))</f>
        <v/>
      </c>
      <c r="G195" s="16">
        <f>IF($A195="","",IFERROR(SUMIF(tblMotor[A_Norm],$A195,tblMotor[ReklamHarcama]),0))</f>
        <v/>
      </c>
      <c r="H195" s="16">
        <f>IF(OR($A195="",$B195&lt;&gt;"tutar_farki"),"",IF(ABS($C195-$D195)&lt;=toleransKurus,"EGK-001",IF(ABS($C195-$F195)&lt;=toleransKurus,"EGK-002",IF(ABS($C195-$G195)&lt;=toleransKurus,"EGK-003",IF(ABS($C195-$E195)&lt;=toleransKurus,"EGK-004",IF($C195&gt;egk_esikFark,"EGK-005","TANIMSIZ"))))))</f>
        <v/>
      </c>
    </row>
    <row r="196">
      <c r="A196" s="22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IF($A196="","",IFERROR(SUMIF(tblMotor[A_Norm],$A196,tblMotor[KomisyonTutar]),0))</f>
        <v/>
      </c>
      <c r="E196" s="16">
        <f>IF($A196="","",IFERROR(SUMIF(tblMotor[A_Norm],$A196,tblMotor[Kargo]),0))</f>
        <v/>
      </c>
      <c r="F196" s="16">
        <f>IF($A196="","",IFERROR(SUMIF(tblMotor[A_Norm],$A196,tblMotor[IadeMaliyet]),0))</f>
        <v/>
      </c>
      <c r="G196" s="16">
        <f>IF($A196="","",IFERROR(SUMIF(tblMotor[A_Norm],$A196,tblMotor[ReklamHarcama]),0))</f>
        <v/>
      </c>
      <c r="H196" s="16">
        <f>IF(OR($A196="",$B196&lt;&gt;"tutar_farki"),"",IF(ABS($C196-$D196)&lt;=toleransKurus,"EGK-001",IF(ABS($C196-$F196)&lt;=toleransKurus,"EGK-002",IF(ABS($C196-$G196)&lt;=toleransKurus,"EGK-003",IF(ABS($C196-$E196)&lt;=toleransKurus,"EGK-004",IF($C196&gt;egk_esikFark,"EGK-005","TANIMSIZ"))))))</f>
        <v/>
      </c>
    </row>
    <row r="197">
      <c r="A197" s="22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IF($A197="","",IFERROR(SUMIF(tblMotor[A_Norm],$A197,tblMotor[KomisyonTutar]),0))</f>
        <v/>
      </c>
      <c r="E197" s="16">
        <f>IF($A197="","",IFERROR(SUMIF(tblMotor[A_Norm],$A197,tblMotor[Kargo]),0))</f>
        <v/>
      </c>
      <c r="F197" s="16">
        <f>IF($A197="","",IFERROR(SUMIF(tblMotor[A_Norm],$A197,tblMotor[IadeMaliyet]),0))</f>
        <v/>
      </c>
      <c r="G197" s="16">
        <f>IF($A197="","",IFERROR(SUMIF(tblMotor[A_Norm],$A197,tblMotor[ReklamHarcama]),0))</f>
        <v/>
      </c>
      <c r="H197" s="16">
        <f>IF(OR($A197="",$B197&lt;&gt;"tutar_farki"),"",IF(ABS($C197-$D197)&lt;=toleransKurus,"EGK-001",IF(ABS($C197-$F197)&lt;=toleransKurus,"EGK-002",IF(ABS($C197-$G197)&lt;=toleransKurus,"EGK-003",IF(ABS($C197-$E197)&lt;=toleransKurus,"EGK-004",IF($C197&gt;egk_esikFark,"EGK-005","TANIMSIZ"))))))</f>
        <v/>
      </c>
    </row>
    <row r="198">
      <c r="A198" s="22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IF($A198="","",IFERROR(SUMIF(tblMotor[A_Norm],$A198,tblMotor[KomisyonTutar]),0))</f>
        <v/>
      </c>
      <c r="E198" s="16">
        <f>IF($A198="","",IFERROR(SUMIF(tblMotor[A_Norm],$A198,tblMotor[Kargo]),0))</f>
        <v/>
      </c>
      <c r="F198" s="16">
        <f>IF($A198="","",IFERROR(SUMIF(tblMotor[A_Norm],$A198,tblMotor[IadeMaliyet]),0))</f>
        <v/>
      </c>
      <c r="G198" s="16">
        <f>IF($A198="","",IFERROR(SUMIF(tblMotor[A_Norm],$A198,tblMotor[ReklamHarcama]),0))</f>
        <v/>
      </c>
      <c r="H198" s="16">
        <f>IF(OR($A198="",$B198&lt;&gt;"tutar_farki"),"",IF(ABS($C198-$D198)&lt;=toleransKurus,"EGK-001",IF(ABS($C198-$F198)&lt;=toleransKurus,"EGK-002",IF(ABS($C198-$G198)&lt;=toleransKurus,"EGK-003",IF(ABS($C198-$E198)&lt;=toleransKurus,"EGK-004",IF($C198&gt;egk_esikFark,"EGK-005","TANIMSIZ"))))))</f>
        <v/>
      </c>
    </row>
    <row r="199">
      <c r="A199" s="22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IF($A199="","",IFERROR(SUMIF(tblMotor[A_Norm],$A199,tblMotor[KomisyonTutar]),0))</f>
        <v/>
      </c>
      <c r="E199" s="16">
        <f>IF($A199="","",IFERROR(SUMIF(tblMotor[A_Norm],$A199,tblMotor[Kargo]),0))</f>
        <v/>
      </c>
      <c r="F199" s="16">
        <f>IF($A199="","",IFERROR(SUMIF(tblMotor[A_Norm],$A199,tblMotor[IadeMaliyet]),0))</f>
        <v/>
      </c>
      <c r="G199" s="16">
        <f>IF($A199="","",IFERROR(SUMIF(tblMotor[A_Norm],$A199,tblMotor[ReklamHarcama]),0))</f>
        <v/>
      </c>
      <c r="H199" s="16">
        <f>IF(OR($A199="",$B199&lt;&gt;"tutar_farki"),"",IF(ABS($C199-$D199)&lt;=toleransKurus,"EGK-001",IF(ABS($C199-$F199)&lt;=toleransKurus,"EGK-002",IF(ABS($C199-$G199)&lt;=toleransKurus,"EGK-003",IF(ABS($C199-$E199)&lt;=toleransKurus,"EGK-004",IF($C199&gt;egk_esikFark,"EGK-005","TANIMSIZ"))))))</f>
        <v/>
      </c>
    </row>
    <row r="200">
      <c r="A200" s="22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IF($A200="","",IFERROR(SUMIF(tblMotor[A_Norm],$A200,tblMotor[KomisyonTutar]),0))</f>
        <v/>
      </c>
      <c r="E200" s="16">
        <f>IF($A200="","",IFERROR(SUMIF(tblMotor[A_Norm],$A200,tblMotor[Kargo]),0))</f>
        <v/>
      </c>
      <c r="F200" s="16">
        <f>IF($A200="","",IFERROR(SUMIF(tblMotor[A_Norm],$A200,tblMotor[IadeMaliyet]),0))</f>
        <v/>
      </c>
      <c r="G200" s="16">
        <f>IF($A200="","",IFERROR(SUMIF(tblMotor[A_Norm],$A200,tblMotor[ReklamHarcama]),0))</f>
        <v/>
      </c>
      <c r="H200" s="16">
        <f>IF(OR($A200="",$B200&lt;&gt;"tutar_farki"),"",IF(ABS($C200-$D200)&lt;=toleransKurus,"EGK-001",IF(ABS($C200-$F200)&lt;=toleransKurus,"EGK-002",IF(ABS($C200-$G200)&lt;=toleransKurus,"EGK-003",IF(ABS($C200-$E200)&lt;=toleransKurus,"EGK-004",IF($C200&gt;egk_esikFark,"EGK-005","TANIMSIZ"))))))</f>
        <v/>
      </c>
    </row>
    <row r="201">
      <c r="A201" s="22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IF($A201="","",IFERROR(SUMIF(tblMotor[A_Norm],$A201,tblMotor[KomisyonTutar]),0))</f>
        <v/>
      </c>
      <c r="E201" s="16">
        <f>IF($A201="","",IFERROR(SUMIF(tblMotor[A_Norm],$A201,tblMotor[Kargo]),0))</f>
        <v/>
      </c>
      <c r="F201" s="16">
        <f>IF($A201="","",IFERROR(SUMIF(tblMotor[A_Norm],$A201,tblMotor[IadeMaliyet]),0))</f>
        <v/>
      </c>
      <c r="G201" s="16">
        <f>IF($A201="","",IFERROR(SUMIF(tblMotor[A_Norm],$A201,tblMotor[ReklamHarcama]),0))</f>
        <v/>
      </c>
      <c r="H201" s="16">
        <f>IF(OR($A201="",$B201&lt;&gt;"tutar_farki"),"",IF(ABS($C201-$D201)&lt;=toleransKurus,"EGK-001",IF(ABS($C201-$F201)&lt;=toleransKurus,"EGK-002",IF(ABS($C201-$G201)&lt;=toleransKurus,"EGK-003",IF(ABS($C201-$E201)&lt;=toleransKurus,"EGK-004",IF($C201&gt;egk_esikFark,"EGK-005","TANIMSIZ"))))))</f>
        <v/>
      </c>
    </row>
    <row r="202">
      <c r="A202" s="22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IF($A202="","",IFERROR(SUMIF(tblMotor[A_Norm],$A202,tblMotor[KomisyonTutar]),0))</f>
        <v/>
      </c>
      <c r="E202" s="16">
        <f>IF($A202="","",IFERROR(SUMIF(tblMotor[A_Norm],$A202,tblMotor[Kargo]),0))</f>
        <v/>
      </c>
      <c r="F202" s="16">
        <f>IF($A202="","",IFERROR(SUMIF(tblMotor[A_Norm],$A202,tblMotor[IadeMaliyet]),0))</f>
        <v/>
      </c>
      <c r="G202" s="16">
        <f>IF($A202="","",IFERROR(SUMIF(tblMotor[A_Norm],$A202,tblMotor[ReklamHarcama]),0))</f>
        <v/>
      </c>
      <c r="H202" s="16">
        <f>IF(OR($A202="",$B202&lt;&gt;"tutar_farki"),"",IF(ABS($C202-$D202)&lt;=toleransKurus,"EGK-001",IF(ABS($C202-$F202)&lt;=toleransKurus,"EGK-002",IF(ABS($C202-$G202)&lt;=toleransKurus,"EGK-003",IF(ABS($C202-$E202)&lt;=toleransKurus,"EGK-004",IF($C202&gt;egk_esikFark,"EGK-005","TANIMSIZ"))))))</f>
        <v/>
      </c>
    </row>
    <row r="203">
      <c r="A203" s="22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IF($A203="","",IFERROR(SUMIF(tblMotor[A_Norm],$A203,tblMotor[KomisyonTutar]),0))</f>
        <v/>
      </c>
      <c r="E203" s="16">
        <f>IF($A203="","",IFERROR(SUMIF(tblMotor[A_Norm],$A203,tblMotor[Kargo]),0))</f>
        <v/>
      </c>
      <c r="F203" s="16">
        <f>IF($A203="","",IFERROR(SUMIF(tblMotor[A_Norm],$A203,tblMotor[IadeMaliyet]),0))</f>
        <v/>
      </c>
      <c r="G203" s="16">
        <f>IF($A203="","",IFERROR(SUMIF(tblMotor[A_Norm],$A203,tblMotor[ReklamHarcama]),0))</f>
        <v/>
      </c>
      <c r="H203" s="16">
        <f>IF(OR($A203="",$B203&lt;&gt;"tutar_farki"),"",IF(ABS($C203-$D203)&lt;=toleransKurus,"EGK-001",IF(ABS($C203-$F203)&lt;=toleransKurus,"EGK-002",IF(ABS($C203-$G203)&lt;=toleransKurus,"EGK-003",IF(ABS($C203-$E203)&lt;=toleransKurus,"EGK-004",IF($C203&gt;egk_esikFark,"EGK-005","TANIMSIZ"))))))</f>
        <v/>
      </c>
    </row>
    <row r="204">
      <c r="A204" s="22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IF($A204="","",IFERROR(SUMIF(tblMotor[A_Norm],$A204,tblMotor[KomisyonTutar]),0))</f>
        <v/>
      </c>
      <c r="E204" s="16">
        <f>IF($A204="","",IFERROR(SUMIF(tblMotor[A_Norm],$A204,tblMotor[Kargo]),0))</f>
        <v/>
      </c>
      <c r="F204" s="16">
        <f>IF($A204="","",IFERROR(SUMIF(tblMotor[A_Norm],$A204,tblMotor[IadeMaliyet]),0))</f>
        <v/>
      </c>
      <c r="G204" s="16">
        <f>IF($A204="","",IFERROR(SUMIF(tblMotor[A_Norm],$A204,tblMotor[ReklamHarcama]),0))</f>
        <v/>
      </c>
      <c r="H204" s="16">
        <f>IF(OR($A204="",$B204&lt;&gt;"tutar_farki"),"",IF(ABS($C204-$D204)&lt;=toleransKurus,"EGK-001",IF(ABS($C204-$F204)&lt;=toleransKurus,"EGK-002",IF(ABS($C204-$G204)&lt;=toleransKurus,"EGK-003",IF(ABS($C204-$E204)&lt;=toleransKurus,"EGK-004",IF($C204&gt;egk_esikFark,"EGK-005","TANIMSIZ"))))))</f>
        <v/>
      </c>
    </row>
    <row r="205">
      <c r="A205" s="22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IF($A205="","",IFERROR(SUMIF(tblMotor[A_Norm],$A205,tblMotor[KomisyonTutar]),0))</f>
        <v/>
      </c>
      <c r="E205" s="16">
        <f>IF($A205="","",IFERROR(SUMIF(tblMotor[A_Norm],$A205,tblMotor[Kargo]),0))</f>
        <v/>
      </c>
      <c r="F205" s="16">
        <f>IF($A205="","",IFERROR(SUMIF(tblMotor[A_Norm],$A205,tblMotor[IadeMaliyet]),0))</f>
        <v/>
      </c>
      <c r="G205" s="16">
        <f>IF($A205="","",IFERROR(SUMIF(tblMotor[A_Norm],$A205,tblMotor[ReklamHarcama]),0))</f>
        <v/>
      </c>
      <c r="H205" s="16">
        <f>IF(OR($A205="",$B205&lt;&gt;"tutar_farki"),"",IF(ABS($C205-$D205)&lt;=toleransKurus,"EGK-001",IF(ABS($C205-$F205)&lt;=toleransKurus,"EGK-002",IF(ABS($C205-$G205)&lt;=toleransKurus,"EGK-003",IF(ABS($C205-$E205)&lt;=toleransKurus,"EGK-004",IF($C205&gt;egk_esikFark,"EGK-005","TANIMSIZ"))))))</f>
        <v/>
      </c>
    </row>
    <row r="206">
      <c r="A206" s="22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IF($A206="","",IFERROR(SUMIF(tblMotor[A_Norm],$A206,tblMotor[KomisyonTutar]),0))</f>
        <v/>
      </c>
      <c r="E206" s="16">
        <f>IF($A206="","",IFERROR(SUMIF(tblMotor[A_Norm],$A206,tblMotor[Kargo]),0))</f>
        <v/>
      </c>
      <c r="F206" s="16">
        <f>IF($A206="","",IFERROR(SUMIF(tblMotor[A_Norm],$A206,tblMotor[IadeMaliyet]),0))</f>
        <v/>
      </c>
      <c r="G206" s="16">
        <f>IF($A206="","",IFERROR(SUMIF(tblMotor[A_Norm],$A206,tblMotor[ReklamHarcama]),0))</f>
        <v/>
      </c>
      <c r="H206" s="16">
        <f>IF(OR($A206="",$B206&lt;&gt;"tutar_farki"),"",IF(ABS($C206-$D206)&lt;=toleransKurus,"EGK-001",IF(ABS($C206-$F206)&lt;=toleransKurus,"EGK-002",IF(ABS($C206-$G206)&lt;=toleransKurus,"EGK-003",IF(ABS($C206-$E206)&lt;=toleransKurus,"EGK-004",IF($C206&gt;egk_esikFark,"EGK-005","TANIMSIZ"))))))</f>
        <v/>
      </c>
    </row>
    <row r="207">
      <c r="A207" s="22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IF($A207="","",IFERROR(SUMIF(tblMotor[A_Norm],$A207,tblMotor[KomisyonTutar]),0))</f>
        <v/>
      </c>
      <c r="E207" s="16">
        <f>IF($A207="","",IFERROR(SUMIF(tblMotor[A_Norm],$A207,tblMotor[Kargo]),0))</f>
        <v/>
      </c>
      <c r="F207" s="16">
        <f>IF($A207="","",IFERROR(SUMIF(tblMotor[A_Norm],$A207,tblMotor[IadeMaliyet]),0))</f>
        <v/>
      </c>
      <c r="G207" s="16">
        <f>IF($A207="","",IFERROR(SUMIF(tblMotor[A_Norm],$A207,tblMotor[ReklamHarcama]),0))</f>
        <v/>
      </c>
      <c r="H207" s="16">
        <f>IF(OR($A207="",$B207&lt;&gt;"tutar_farki"),"",IF(ABS($C207-$D207)&lt;=toleransKurus,"EGK-001",IF(ABS($C207-$F207)&lt;=toleransKurus,"EGK-002",IF(ABS($C207-$G207)&lt;=toleransKurus,"EGK-003",IF(ABS($C207-$E207)&lt;=toleransKurus,"EGK-004",IF($C207&gt;egk_esikFark,"EGK-005","TANIMSIZ"))))))</f>
        <v/>
      </c>
    </row>
    <row r="208">
      <c r="A208" s="22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IF($A208="","",IFERROR(SUMIF(tblMotor[A_Norm],$A208,tblMotor[KomisyonTutar]),0))</f>
        <v/>
      </c>
      <c r="E208" s="16">
        <f>IF($A208="","",IFERROR(SUMIF(tblMotor[A_Norm],$A208,tblMotor[Kargo]),0))</f>
        <v/>
      </c>
      <c r="F208" s="16">
        <f>IF($A208="","",IFERROR(SUMIF(tblMotor[A_Norm],$A208,tblMotor[IadeMaliyet]),0))</f>
        <v/>
      </c>
      <c r="G208" s="16">
        <f>IF($A208="","",IFERROR(SUMIF(tblMotor[A_Norm],$A208,tblMotor[ReklamHarcama]),0))</f>
        <v/>
      </c>
      <c r="H208" s="16">
        <f>IF(OR($A208="",$B208&lt;&gt;"tutar_farki"),"",IF(ABS($C208-$D208)&lt;=toleransKurus,"EGK-001",IF(ABS($C208-$F208)&lt;=toleransKurus,"EGK-002",IF(ABS($C208-$G208)&lt;=toleransKurus,"EGK-003",IF(ABS($C208-$E208)&lt;=toleransKurus,"EGK-004",IF($C208&gt;egk_esikFark,"EGK-005","TANIMSIZ"))))))</f>
        <v/>
      </c>
    </row>
    <row r="209">
      <c r="A209" s="22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IF($A209="","",IFERROR(SUMIF(tblMotor[A_Norm],$A209,tblMotor[KomisyonTutar]),0))</f>
        <v/>
      </c>
      <c r="E209" s="16">
        <f>IF($A209="","",IFERROR(SUMIF(tblMotor[A_Norm],$A209,tblMotor[Kargo]),0))</f>
        <v/>
      </c>
      <c r="F209" s="16">
        <f>IF($A209="","",IFERROR(SUMIF(tblMotor[A_Norm],$A209,tblMotor[IadeMaliyet]),0))</f>
        <v/>
      </c>
      <c r="G209" s="16">
        <f>IF($A209="","",IFERROR(SUMIF(tblMotor[A_Norm],$A209,tblMotor[ReklamHarcama]),0))</f>
        <v/>
      </c>
      <c r="H209" s="16">
        <f>IF(OR($A209="",$B209&lt;&gt;"tutar_farki"),"",IF(ABS($C209-$D209)&lt;=toleransKurus,"EGK-001",IF(ABS($C209-$F209)&lt;=toleransKurus,"EGK-002",IF(ABS($C209-$G209)&lt;=toleransKurus,"EGK-003",IF(ABS($C209-$E209)&lt;=toleransKurus,"EGK-004",IF($C209&gt;egk_esikFark,"EGK-005","TANIMSIZ"))))))</f>
        <v/>
      </c>
    </row>
    <row r="210">
      <c r="A210" s="22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IF($A210="","",IFERROR(SUMIF(tblMotor[A_Norm],$A210,tblMotor[KomisyonTutar]),0))</f>
        <v/>
      </c>
      <c r="E210" s="16">
        <f>IF($A210="","",IFERROR(SUMIF(tblMotor[A_Norm],$A210,tblMotor[Kargo]),0))</f>
        <v/>
      </c>
      <c r="F210" s="16">
        <f>IF($A210="","",IFERROR(SUMIF(tblMotor[A_Norm],$A210,tblMotor[IadeMaliyet]),0))</f>
        <v/>
      </c>
      <c r="G210" s="16">
        <f>IF($A210="","",IFERROR(SUMIF(tblMotor[A_Norm],$A210,tblMotor[ReklamHarcama]),0))</f>
        <v/>
      </c>
      <c r="H210" s="16">
        <f>IF(OR($A210="",$B210&lt;&gt;"tutar_farki"),"",IF(ABS($C210-$D210)&lt;=toleransKurus,"EGK-001",IF(ABS($C210-$F210)&lt;=toleransKurus,"EGK-002",IF(ABS($C210-$G210)&lt;=toleransKurus,"EGK-003",IF(ABS($C210-$E210)&lt;=toleransKurus,"EGK-004",IF($C210&gt;egk_esikFark,"EGK-005","TANIMSIZ"))))))</f>
        <v/>
      </c>
    </row>
    <row r="211">
      <c r="A211" s="22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IF($A211="","",IFERROR(SUMIF(tblMotor[A_Norm],$A211,tblMotor[KomisyonTutar]),0))</f>
        <v/>
      </c>
      <c r="E211" s="16">
        <f>IF($A211="","",IFERROR(SUMIF(tblMotor[A_Norm],$A211,tblMotor[Kargo]),0))</f>
        <v/>
      </c>
      <c r="F211" s="16">
        <f>IF($A211="","",IFERROR(SUMIF(tblMotor[A_Norm],$A211,tblMotor[IadeMaliyet]),0))</f>
        <v/>
      </c>
      <c r="G211" s="16">
        <f>IF($A211="","",IFERROR(SUMIF(tblMotor[A_Norm],$A211,tblMotor[ReklamHarcama]),0))</f>
        <v/>
      </c>
      <c r="H211" s="16">
        <f>IF(OR($A211="",$B211&lt;&gt;"tutar_farki"),"",IF(ABS($C211-$D211)&lt;=toleransKurus,"EGK-001",IF(ABS($C211-$F211)&lt;=toleransKurus,"EGK-002",IF(ABS($C211-$G211)&lt;=toleransKurus,"EGK-003",IF(ABS($C211-$E211)&lt;=toleransKurus,"EGK-004",IF($C211&gt;egk_esikFark,"EGK-005","TANIMSIZ"))))))</f>
        <v/>
      </c>
    </row>
    <row r="212">
      <c r="A212" s="22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IF($A212="","",IFERROR(SUMIF(tblMotor[A_Norm],$A212,tblMotor[KomisyonTutar]),0))</f>
        <v/>
      </c>
      <c r="E212" s="16">
        <f>IF($A212="","",IFERROR(SUMIF(tblMotor[A_Norm],$A212,tblMotor[Kargo]),0))</f>
        <v/>
      </c>
      <c r="F212" s="16">
        <f>IF($A212="","",IFERROR(SUMIF(tblMotor[A_Norm],$A212,tblMotor[IadeMaliyet]),0))</f>
        <v/>
      </c>
      <c r="G212" s="16">
        <f>IF($A212="","",IFERROR(SUMIF(tblMotor[A_Norm],$A212,tblMotor[ReklamHarcama]),0))</f>
        <v/>
      </c>
      <c r="H212" s="16">
        <f>IF(OR($A212="",$B212&lt;&gt;"tutar_farki"),"",IF(ABS($C212-$D212)&lt;=toleransKurus,"EGK-001",IF(ABS($C212-$F212)&lt;=toleransKurus,"EGK-002",IF(ABS($C212-$G212)&lt;=toleransKurus,"EGK-003",IF(ABS($C212-$E212)&lt;=toleransKurus,"EGK-004",IF($C212&gt;egk_esikFark,"EGK-005","TANIMSIZ"))))))</f>
        <v/>
      </c>
    </row>
    <row r="213">
      <c r="A213" s="22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IF($A213="","",IFERROR(SUMIF(tblMotor[A_Norm],$A213,tblMotor[KomisyonTutar]),0))</f>
        <v/>
      </c>
      <c r="E213" s="16">
        <f>IF($A213="","",IFERROR(SUMIF(tblMotor[A_Norm],$A213,tblMotor[Kargo]),0))</f>
        <v/>
      </c>
      <c r="F213" s="16">
        <f>IF($A213="","",IFERROR(SUMIF(tblMotor[A_Norm],$A213,tblMotor[IadeMaliyet]),0))</f>
        <v/>
      </c>
      <c r="G213" s="16">
        <f>IF($A213="","",IFERROR(SUMIF(tblMotor[A_Norm],$A213,tblMotor[ReklamHarcama]),0))</f>
        <v/>
      </c>
      <c r="H213" s="16">
        <f>IF(OR($A213="",$B213&lt;&gt;"tutar_farki"),"",IF(ABS($C213-$D213)&lt;=toleransKurus,"EGK-001",IF(ABS($C213-$F213)&lt;=toleransKurus,"EGK-002",IF(ABS($C213-$G213)&lt;=toleransKurus,"EGK-003",IF(ABS($C213-$E213)&lt;=toleransKurus,"EGK-004",IF($C213&gt;egk_esikFark,"EGK-005","TANIMSIZ"))))))</f>
        <v/>
      </c>
    </row>
    <row r="214">
      <c r="A214" s="22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IF($A214="","",IFERROR(SUMIF(tblMotor[A_Norm],$A214,tblMotor[KomisyonTutar]),0))</f>
        <v/>
      </c>
      <c r="E214" s="16">
        <f>IF($A214="","",IFERROR(SUMIF(tblMotor[A_Norm],$A214,tblMotor[Kargo]),0))</f>
        <v/>
      </c>
      <c r="F214" s="16">
        <f>IF($A214="","",IFERROR(SUMIF(tblMotor[A_Norm],$A214,tblMotor[IadeMaliyet]),0))</f>
        <v/>
      </c>
      <c r="G214" s="16">
        <f>IF($A214="","",IFERROR(SUMIF(tblMotor[A_Norm],$A214,tblMotor[ReklamHarcama]),0))</f>
        <v/>
      </c>
      <c r="H214" s="16">
        <f>IF(OR($A214="",$B214&lt;&gt;"tutar_farki"),"",IF(ABS($C214-$D214)&lt;=toleransKurus,"EGK-001",IF(ABS($C214-$F214)&lt;=toleransKurus,"EGK-002",IF(ABS($C214-$G214)&lt;=toleransKurus,"EGK-003",IF(ABS($C214-$E214)&lt;=toleransKurus,"EGK-004",IF($C214&gt;egk_esikFark,"EGK-005","TANIMSIZ"))))))</f>
        <v/>
      </c>
    </row>
    <row r="215">
      <c r="A215" s="22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IF($A215="","",IFERROR(SUMIF(tblMotor[A_Norm],$A215,tblMotor[KomisyonTutar]),0))</f>
        <v/>
      </c>
      <c r="E215" s="16">
        <f>IF($A215="","",IFERROR(SUMIF(tblMotor[A_Norm],$A215,tblMotor[Kargo]),0))</f>
        <v/>
      </c>
      <c r="F215" s="16">
        <f>IF($A215="","",IFERROR(SUMIF(tblMotor[A_Norm],$A215,tblMotor[IadeMaliyet]),0))</f>
        <v/>
      </c>
      <c r="G215" s="16">
        <f>IF($A215="","",IFERROR(SUMIF(tblMotor[A_Norm],$A215,tblMotor[ReklamHarcama]),0))</f>
        <v/>
      </c>
      <c r="H215" s="16">
        <f>IF(OR($A215="",$B215&lt;&gt;"tutar_farki"),"",IF(ABS($C215-$D215)&lt;=toleransKurus,"EGK-001",IF(ABS($C215-$F215)&lt;=toleransKurus,"EGK-002",IF(ABS($C215-$G215)&lt;=toleransKurus,"EGK-003",IF(ABS($C215-$E215)&lt;=toleransKurus,"EGK-004",IF($C215&gt;egk_esikFark,"EGK-005","TANIMSIZ"))))))</f>
        <v/>
      </c>
    </row>
    <row r="216">
      <c r="A216" s="22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IF($A216="","",IFERROR(SUMIF(tblMotor[A_Norm],$A216,tblMotor[KomisyonTutar]),0))</f>
        <v/>
      </c>
      <c r="E216" s="16">
        <f>IF($A216="","",IFERROR(SUMIF(tblMotor[A_Norm],$A216,tblMotor[Kargo]),0))</f>
        <v/>
      </c>
      <c r="F216" s="16">
        <f>IF($A216="","",IFERROR(SUMIF(tblMotor[A_Norm],$A216,tblMotor[IadeMaliyet]),0))</f>
        <v/>
      </c>
      <c r="G216" s="16">
        <f>IF($A216="","",IFERROR(SUMIF(tblMotor[A_Norm],$A216,tblMotor[ReklamHarcama]),0))</f>
        <v/>
      </c>
      <c r="H216" s="16">
        <f>IF(OR($A216="",$B216&lt;&gt;"tutar_farki"),"",IF(ABS($C216-$D216)&lt;=toleransKurus,"EGK-001",IF(ABS($C216-$F216)&lt;=toleransKurus,"EGK-002",IF(ABS($C216-$G216)&lt;=toleransKurus,"EGK-003",IF(ABS($C216-$E216)&lt;=toleransKurus,"EGK-004",IF($C216&gt;egk_esikFark,"EGK-005","TANIMSIZ"))))))</f>
        <v/>
      </c>
    </row>
    <row r="217">
      <c r="A217" s="22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IF($A217="","",IFERROR(SUMIF(tblMotor[A_Norm],$A217,tblMotor[KomisyonTutar]),0))</f>
        <v/>
      </c>
      <c r="E217" s="16">
        <f>IF($A217="","",IFERROR(SUMIF(tblMotor[A_Norm],$A217,tblMotor[Kargo]),0))</f>
        <v/>
      </c>
      <c r="F217" s="16">
        <f>IF($A217="","",IFERROR(SUMIF(tblMotor[A_Norm],$A217,tblMotor[IadeMaliyet]),0))</f>
        <v/>
      </c>
      <c r="G217" s="16">
        <f>IF($A217="","",IFERROR(SUMIF(tblMotor[A_Norm],$A217,tblMotor[ReklamHarcama]),0))</f>
        <v/>
      </c>
      <c r="H217" s="16">
        <f>IF(OR($A217="",$B217&lt;&gt;"tutar_farki"),"",IF(ABS($C217-$D217)&lt;=toleransKurus,"EGK-001",IF(ABS($C217-$F217)&lt;=toleransKurus,"EGK-002",IF(ABS($C217-$G217)&lt;=toleransKurus,"EGK-003",IF(ABS($C217-$E217)&lt;=toleransKurus,"EGK-004",IF($C217&gt;egk_esikFark,"EGK-005","TANIMSIZ"))))))</f>
        <v/>
      </c>
    </row>
    <row r="218">
      <c r="A218" s="22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IF($A218="","",IFERROR(SUMIF(tblMotor[A_Norm],$A218,tblMotor[KomisyonTutar]),0))</f>
        <v/>
      </c>
      <c r="E218" s="16">
        <f>IF($A218="","",IFERROR(SUMIF(tblMotor[A_Norm],$A218,tblMotor[Kargo]),0))</f>
        <v/>
      </c>
      <c r="F218" s="16">
        <f>IF($A218="","",IFERROR(SUMIF(tblMotor[A_Norm],$A218,tblMotor[IadeMaliyet]),0))</f>
        <v/>
      </c>
      <c r="G218" s="16">
        <f>IF($A218="","",IFERROR(SUMIF(tblMotor[A_Norm],$A218,tblMotor[ReklamHarcama]),0))</f>
        <v/>
      </c>
      <c r="H218" s="16">
        <f>IF(OR($A218="",$B218&lt;&gt;"tutar_farki"),"",IF(ABS($C218-$D218)&lt;=toleransKurus,"EGK-001",IF(ABS($C218-$F218)&lt;=toleransKurus,"EGK-002",IF(ABS($C218-$G218)&lt;=toleransKurus,"EGK-003",IF(ABS($C218-$E218)&lt;=toleransKurus,"EGK-004",IF($C218&gt;egk_esikFark,"EGK-005","TANIMSIZ"))))))</f>
        <v/>
      </c>
    </row>
    <row r="219">
      <c r="A219" s="22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IF($A219="","",IFERROR(SUMIF(tblMotor[A_Norm],$A219,tblMotor[KomisyonTutar]),0))</f>
        <v/>
      </c>
      <c r="E219" s="16">
        <f>IF($A219="","",IFERROR(SUMIF(tblMotor[A_Norm],$A219,tblMotor[Kargo]),0))</f>
        <v/>
      </c>
      <c r="F219" s="16">
        <f>IF($A219="","",IFERROR(SUMIF(tblMotor[A_Norm],$A219,tblMotor[IadeMaliyet]),0))</f>
        <v/>
      </c>
      <c r="G219" s="16">
        <f>IF($A219="","",IFERROR(SUMIF(tblMotor[A_Norm],$A219,tblMotor[ReklamHarcama]),0))</f>
        <v/>
      </c>
      <c r="H219" s="16">
        <f>IF(OR($A219="",$B219&lt;&gt;"tutar_farki"),"",IF(ABS($C219-$D219)&lt;=toleransKurus,"EGK-001",IF(ABS($C219-$F219)&lt;=toleransKurus,"EGK-002",IF(ABS($C219-$G219)&lt;=toleransKurus,"EGK-003",IF(ABS($C219-$E219)&lt;=toleransKurus,"EGK-004",IF($C219&gt;egk_esikFark,"EGK-005","TANIMSIZ"))))))</f>
        <v/>
      </c>
    </row>
    <row r="220">
      <c r="A220" s="22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IF($A220="","",IFERROR(SUMIF(tblMotor[A_Norm],$A220,tblMotor[KomisyonTutar]),0))</f>
        <v/>
      </c>
      <c r="E220" s="16">
        <f>IF($A220="","",IFERROR(SUMIF(tblMotor[A_Norm],$A220,tblMotor[Kargo]),0))</f>
        <v/>
      </c>
      <c r="F220" s="16">
        <f>IF($A220="","",IFERROR(SUMIF(tblMotor[A_Norm],$A220,tblMotor[IadeMaliyet]),0))</f>
        <v/>
      </c>
      <c r="G220" s="16">
        <f>IF($A220="","",IFERROR(SUMIF(tblMotor[A_Norm],$A220,tblMotor[ReklamHarcama]),0))</f>
        <v/>
      </c>
      <c r="H220" s="16">
        <f>IF(OR($A220="",$B220&lt;&gt;"tutar_farki"),"",IF(ABS($C220-$D220)&lt;=toleransKurus,"EGK-001",IF(ABS($C220-$F220)&lt;=toleransKurus,"EGK-002",IF(ABS($C220-$G220)&lt;=toleransKurus,"EGK-003",IF(ABS($C220-$E220)&lt;=toleransKurus,"EGK-004",IF($C220&gt;egk_esikFark,"EGK-005","TANIMSIZ"))))))</f>
        <v/>
      </c>
    </row>
    <row r="221">
      <c r="A221" s="22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IF($A221="","",IFERROR(SUMIF(tblMotor[A_Norm],$A221,tblMotor[KomisyonTutar]),0))</f>
        <v/>
      </c>
      <c r="E221" s="16">
        <f>IF($A221="","",IFERROR(SUMIF(tblMotor[A_Norm],$A221,tblMotor[Kargo]),0))</f>
        <v/>
      </c>
      <c r="F221" s="16">
        <f>IF($A221="","",IFERROR(SUMIF(tblMotor[A_Norm],$A221,tblMotor[IadeMaliyet]),0))</f>
        <v/>
      </c>
      <c r="G221" s="16">
        <f>IF($A221="","",IFERROR(SUMIF(tblMotor[A_Norm],$A221,tblMotor[ReklamHarcama]),0))</f>
        <v/>
      </c>
      <c r="H221" s="16">
        <f>IF(OR($A221="",$B221&lt;&gt;"tutar_farki"),"",IF(ABS($C221-$D221)&lt;=toleransKurus,"EGK-001",IF(ABS($C221-$F221)&lt;=toleransKurus,"EGK-002",IF(ABS($C221-$G221)&lt;=toleransKurus,"EGK-003",IF(ABS($C221-$E221)&lt;=toleransKurus,"EGK-004",IF($C221&gt;egk_esikFark,"EGK-005","TANIMSIZ"))))))</f>
        <v/>
      </c>
    </row>
    <row r="222">
      <c r="A222" s="22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IF($A222="","",IFERROR(SUMIF(tblMotor[A_Norm],$A222,tblMotor[KomisyonTutar]),0))</f>
        <v/>
      </c>
      <c r="E222" s="16">
        <f>IF($A222="","",IFERROR(SUMIF(tblMotor[A_Norm],$A222,tblMotor[Kargo]),0))</f>
        <v/>
      </c>
      <c r="F222" s="16">
        <f>IF($A222="","",IFERROR(SUMIF(tblMotor[A_Norm],$A222,tblMotor[IadeMaliyet]),0))</f>
        <v/>
      </c>
      <c r="G222" s="16">
        <f>IF($A222="","",IFERROR(SUMIF(tblMotor[A_Norm],$A222,tblMotor[ReklamHarcama]),0))</f>
        <v/>
      </c>
      <c r="H222" s="16">
        <f>IF(OR($A222="",$B222&lt;&gt;"tutar_farki"),"",IF(ABS($C222-$D222)&lt;=toleransKurus,"EGK-001",IF(ABS($C222-$F222)&lt;=toleransKurus,"EGK-002",IF(ABS($C222-$G222)&lt;=toleransKurus,"EGK-003",IF(ABS($C222-$E222)&lt;=toleransKurus,"EGK-004",IF($C222&gt;egk_esikFark,"EGK-005","TANIMSIZ"))))))</f>
        <v/>
      </c>
    </row>
    <row r="223">
      <c r="A223" s="22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IF($A223="","",IFERROR(SUMIF(tblMotor[A_Norm],$A223,tblMotor[KomisyonTutar]),0))</f>
        <v/>
      </c>
      <c r="E223" s="16">
        <f>IF($A223="","",IFERROR(SUMIF(tblMotor[A_Norm],$A223,tblMotor[Kargo]),0))</f>
        <v/>
      </c>
      <c r="F223" s="16">
        <f>IF($A223="","",IFERROR(SUMIF(tblMotor[A_Norm],$A223,tblMotor[IadeMaliyet]),0))</f>
        <v/>
      </c>
      <c r="G223" s="16">
        <f>IF($A223="","",IFERROR(SUMIF(tblMotor[A_Norm],$A223,tblMotor[ReklamHarcama]),0))</f>
        <v/>
      </c>
      <c r="H223" s="16">
        <f>IF(OR($A223="",$B223&lt;&gt;"tutar_farki"),"",IF(ABS($C223-$D223)&lt;=toleransKurus,"EGK-001",IF(ABS($C223-$F223)&lt;=toleransKurus,"EGK-002",IF(ABS($C223-$G223)&lt;=toleransKurus,"EGK-003",IF(ABS($C223-$E223)&lt;=toleransKurus,"EGK-004",IF($C223&gt;egk_esikFark,"EGK-005","TANIMSIZ"))))))</f>
        <v/>
      </c>
    </row>
    <row r="224">
      <c r="A224" s="22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IF($A224="","",IFERROR(SUMIF(tblMotor[A_Norm],$A224,tblMotor[KomisyonTutar]),0))</f>
        <v/>
      </c>
      <c r="E224" s="16">
        <f>IF($A224="","",IFERROR(SUMIF(tblMotor[A_Norm],$A224,tblMotor[Kargo]),0))</f>
        <v/>
      </c>
      <c r="F224" s="16">
        <f>IF($A224="","",IFERROR(SUMIF(tblMotor[A_Norm],$A224,tblMotor[IadeMaliyet]),0))</f>
        <v/>
      </c>
      <c r="G224" s="16">
        <f>IF($A224="","",IFERROR(SUMIF(tblMotor[A_Norm],$A224,tblMotor[ReklamHarcama]),0))</f>
        <v/>
      </c>
      <c r="H224" s="16">
        <f>IF(OR($A224="",$B224&lt;&gt;"tutar_farki"),"",IF(ABS($C224-$D224)&lt;=toleransKurus,"EGK-001",IF(ABS($C224-$F224)&lt;=toleransKurus,"EGK-002",IF(ABS($C224-$G224)&lt;=toleransKurus,"EGK-003",IF(ABS($C224-$E224)&lt;=toleransKurus,"EGK-004",IF($C224&gt;egk_esikFark,"EGK-005","TANIMSIZ"))))))</f>
        <v/>
      </c>
    </row>
    <row r="225">
      <c r="A225" s="22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IF($A225="","",IFERROR(SUMIF(tblMotor[A_Norm],$A225,tblMotor[KomisyonTutar]),0))</f>
        <v/>
      </c>
      <c r="E225" s="16">
        <f>IF($A225="","",IFERROR(SUMIF(tblMotor[A_Norm],$A225,tblMotor[Kargo]),0))</f>
        <v/>
      </c>
      <c r="F225" s="16">
        <f>IF($A225="","",IFERROR(SUMIF(tblMotor[A_Norm],$A225,tblMotor[IadeMaliyet]),0))</f>
        <v/>
      </c>
      <c r="G225" s="16">
        <f>IF($A225="","",IFERROR(SUMIF(tblMotor[A_Norm],$A225,tblMotor[ReklamHarcama]),0))</f>
        <v/>
      </c>
      <c r="H225" s="16">
        <f>IF(OR($A225="",$B225&lt;&gt;"tutar_farki"),"",IF(ABS($C225-$D225)&lt;=toleransKurus,"EGK-001",IF(ABS($C225-$F225)&lt;=toleransKurus,"EGK-002",IF(ABS($C225-$G225)&lt;=toleransKurus,"EGK-003",IF(ABS($C225-$E225)&lt;=toleransKurus,"EGK-004",IF($C225&gt;egk_esikFark,"EGK-005","TANIMSIZ"))))))</f>
        <v/>
      </c>
    </row>
    <row r="226">
      <c r="A226" s="22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IF($A226="","",IFERROR(SUMIF(tblMotor[A_Norm],$A226,tblMotor[KomisyonTutar]),0))</f>
        <v/>
      </c>
      <c r="E226" s="16">
        <f>IF($A226="","",IFERROR(SUMIF(tblMotor[A_Norm],$A226,tblMotor[Kargo]),0))</f>
        <v/>
      </c>
      <c r="F226" s="16">
        <f>IF($A226="","",IFERROR(SUMIF(tblMotor[A_Norm],$A226,tblMotor[IadeMaliyet]),0))</f>
        <v/>
      </c>
      <c r="G226" s="16">
        <f>IF($A226="","",IFERROR(SUMIF(tblMotor[A_Norm],$A226,tblMotor[ReklamHarcama]),0))</f>
        <v/>
      </c>
      <c r="H226" s="16">
        <f>IF(OR($A226="",$B226&lt;&gt;"tutar_farki"),"",IF(ABS($C226-$D226)&lt;=toleransKurus,"EGK-001",IF(ABS($C226-$F226)&lt;=toleransKurus,"EGK-002",IF(ABS($C226-$G226)&lt;=toleransKurus,"EGK-003",IF(ABS($C226-$E226)&lt;=toleransKurus,"EGK-004",IF($C226&gt;egk_esikFark,"EGK-005","TANIMSIZ"))))))</f>
        <v/>
      </c>
    </row>
    <row r="227">
      <c r="A227" s="22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IF($A227="","",IFERROR(SUMIF(tblMotor[A_Norm],$A227,tblMotor[KomisyonTutar]),0))</f>
        <v/>
      </c>
      <c r="E227" s="16">
        <f>IF($A227="","",IFERROR(SUMIF(tblMotor[A_Norm],$A227,tblMotor[Kargo]),0))</f>
        <v/>
      </c>
      <c r="F227" s="16">
        <f>IF($A227="","",IFERROR(SUMIF(tblMotor[A_Norm],$A227,tblMotor[IadeMaliyet]),0))</f>
        <v/>
      </c>
      <c r="G227" s="16">
        <f>IF($A227="","",IFERROR(SUMIF(tblMotor[A_Norm],$A227,tblMotor[ReklamHarcama]),0))</f>
        <v/>
      </c>
      <c r="H227" s="16">
        <f>IF(OR($A227="",$B227&lt;&gt;"tutar_farki"),"",IF(ABS($C227-$D227)&lt;=toleransKurus,"EGK-001",IF(ABS($C227-$F227)&lt;=toleransKurus,"EGK-002",IF(ABS($C227-$G227)&lt;=toleransKurus,"EGK-003",IF(ABS($C227-$E227)&lt;=toleransKurus,"EGK-004",IF($C227&gt;egk_esikFark,"EGK-005","TANIMSIZ"))))))</f>
        <v/>
      </c>
    </row>
    <row r="228">
      <c r="A228" s="22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IF($A228="","",IFERROR(SUMIF(tblMotor[A_Norm],$A228,tblMotor[KomisyonTutar]),0))</f>
        <v/>
      </c>
      <c r="E228" s="16">
        <f>IF($A228="","",IFERROR(SUMIF(tblMotor[A_Norm],$A228,tblMotor[Kargo]),0))</f>
        <v/>
      </c>
      <c r="F228" s="16">
        <f>IF($A228="","",IFERROR(SUMIF(tblMotor[A_Norm],$A228,tblMotor[IadeMaliyet]),0))</f>
        <v/>
      </c>
      <c r="G228" s="16">
        <f>IF($A228="","",IFERROR(SUMIF(tblMotor[A_Norm],$A228,tblMotor[ReklamHarcama]),0))</f>
        <v/>
      </c>
      <c r="H228" s="16">
        <f>IF(OR($A228="",$B228&lt;&gt;"tutar_farki"),"",IF(ABS($C228-$D228)&lt;=toleransKurus,"EGK-001",IF(ABS($C228-$F228)&lt;=toleransKurus,"EGK-002",IF(ABS($C228-$G228)&lt;=toleransKurus,"EGK-003",IF(ABS($C228-$E228)&lt;=toleransKurus,"EGK-004",IF($C228&gt;egk_esikFark,"EGK-005","TANIMSIZ"))))))</f>
        <v/>
      </c>
    </row>
    <row r="229">
      <c r="A229" s="22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IF($A229="","",IFERROR(SUMIF(tblMotor[A_Norm],$A229,tblMotor[KomisyonTutar]),0))</f>
        <v/>
      </c>
      <c r="E229" s="16">
        <f>IF($A229="","",IFERROR(SUMIF(tblMotor[A_Norm],$A229,tblMotor[Kargo]),0))</f>
        <v/>
      </c>
      <c r="F229" s="16">
        <f>IF($A229="","",IFERROR(SUMIF(tblMotor[A_Norm],$A229,tblMotor[IadeMaliyet]),0))</f>
        <v/>
      </c>
      <c r="G229" s="16">
        <f>IF($A229="","",IFERROR(SUMIF(tblMotor[A_Norm],$A229,tblMotor[ReklamHarcama]),0))</f>
        <v/>
      </c>
      <c r="H229" s="16">
        <f>IF(OR($A229="",$B229&lt;&gt;"tutar_farki"),"",IF(ABS($C229-$D229)&lt;=toleransKurus,"EGK-001",IF(ABS($C229-$F229)&lt;=toleransKurus,"EGK-002",IF(ABS($C229-$G229)&lt;=toleransKurus,"EGK-003",IF(ABS($C229-$E229)&lt;=toleransKurus,"EGK-004",IF($C229&gt;egk_esikFark,"EGK-005","TANIMSIZ"))))))</f>
        <v/>
      </c>
    </row>
    <row r="230">
      <c r="A230" s="22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IF($A230="","",IFERROR(SUMIF(tblMotor[A_Norm],$A230,tblMotor[KomisyonTutar]),0))</f>
        <v/>
      </c>
      <c r="E230" s="16">
        <f>IF($A230="","",IFERROR(SUMIF(tblMotor[A_Norm],$A230,tblMotor[Kargo]),0))</f>
        <v/>
      </c>
      <c r="F230" s="16">
        <f>IF($A230="","",IFERROR(SUMIF(tblMotor[A_Norm],$A230,tblMotor[IadeMaliyet]),0))</f>
        <v/>
      </c>
      <c r="G230" s="16">
        <f>IF($A230="","",IFERROR(SUMIF(tblMotor[A_Norm],$A230,tblMotor[ReklamHarcama]),0))</f>
        <v/>
      </c>
      <c r="H230" s="16">
        <f>IF(OR($A230="",$B230&lt;&gt;"tutar_farki"),"",IF(ABS($C230-$D230)&lt;=toleransKurus,"EGK-001",IF(ABS($C230-$F230)&lt;=toleransKurus,"EGK-002",IF(ABS($C230-$G230)&lt;=toleransKurus,"EGK-003",IF(ABS($C230-$E230)&lt;=toleransKurus,"EGK-004",IF($C230&gt;egk_esikFark,"EGK-005","TANIMSIZ"))))))</f>
        <v/>
      </c>
    </row>
    <row r="231">
      <c r="A231" s="22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IF($A231="","",IFERROR(SUMIF(tblMotor[A_Norm],$A231,tblMotor[KomisyonTutar]),0))</f>
        <v/>
      </c>
      <c r="E231" s="16">
        <f>IF($A231="","",IFERROR(SUMIF(tblMotor[A_Norm],$A231,tblMotor[Kargo]),0))</f>
        <v/>
      </c>
      <c r="F231" s="16">
        <f>IF($A231="","",IFERROR(SUMIF(tblMotor[A_Norm],$A231,tblMotor[IadeMaliyet]),0))</f>
        <v/>
      </c>
      <c r="G231" s="16">
        <f>IF($A231="","",IFERROR(SUMIF(tblMotor[A_Norm],$A231,tblMotor[ReklamHarcama]),0))</f>
        <v/>
      </c>
      <c r="H231" s="16">
        <f>IF(OR($A231="",$B231&lt;&gt;"tutar_farki"),"",IF(ABS($C231-$D231)&lt;=toleransKurus,"EGK-001",IF(ABS($C231-$F231)&lt;=toleransKurus,"EGK-002",IF(ABS($C231-$G231)&lt;=toleransKurus,"EGK-003",IF(ABS($C231-$E231)&lt;=toleransKurus,"EGK-004",IF($C231&gt;egk_esikFark,"EGK-005","TANIMSIZ"))))))</f>
        <v/>
      </c>
    </row>
    <row r="232">
      <c r="A232" s="22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IF($A232="","",IFERROR(SUMIF(tblMotor[A_Norm],$A232,tblMotor[KomisyonTutar]),0))</f>
        <v/>
      </c>
      <c r="E232" s="16">
        <f>IF($A232="","",IFERROR(SUMIF(tblMotor[A_Norm],$A232,tblMotor[Kargo]),0))</f>
        <v/>
      </c>
      <c r="F232" s="16">
        <f>IF($A232="","",IFERROR(SUMIF(tblMotor[A_Norm],$A232,tblMotor[IadeMaliyet]),0))</f>
        <v/>
      </c>
      <c r="G232" s="16">
        <f>IF($A232="","",IFERROR(SUMIF(tblMotor[A_Norm],$A232,tblMotor[ReklamHarcama]),0))</f>
        <v/>
      </c>
      <c r="H232" s="16">
        <f>IF(OR($A232="",$B232&lt;&gt;"tutar_farki"),"",IF(ABS($C232-$D232)&lt;=toleransKurus,"EGK-001",IF(ABS($C232-$F232)&lt;=toleransKurus,"EGK-002",IF(ABS($C232-$G232)&lt;=toleransKurus,"EGK-003",IF(ABS($C232-$E232)&lt;=toleransKurus,"EGK-004",IF($C232&gt;egk_esikFark,"EGK-005","TANIMSIZ"))))))</f>
        <v/>
      </c>
    </row>
    <row r="233">
      <c r="A233" s="22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IF($A233="","",IFERROR(SUMIF(tblMotor[A_Norm],$A233,tblMotor[KomisyonTutar]),0))</f>
        <v/>
      </c>
      <c r="E233" s="16">
        <f>IF($A233="","",IFERROR(SUMIF(tblMotor[A_Norm],$A233,tblMotor[Kargo]),0))</f>
        <v/>
      </c>
      <c r="F233" s="16">
        <f>IF($A233="","",IFERROR(SUMIF(tblMotor[A_Norm],$A233,tblMotor[IadeMaliyet]),0))</f>
        <v/>
      </c>
      <c r="G233" s="16">
        <f>IF($A233="","",IFERROR(SUMIF(tblMotor[A_Norm],$A233,tblMotor[ReklamHarcama]),0))</f>
        <v/>
      </c>
      <c r="H233" s="16">
        <f>IF(OR($A233="",$B233&lt;&gt;"tutar_farki"),"",IF(ABS($C233-$D233)&lt;=toleransKurus,"EGK-001",IF(ABS($C233-$F233)&lt;=toleransKurus,"EGK-002",IF(ABS($C233-$G233)&lt;=toleransKurus,"EGK-003",IF(ABS($C233-$E233)&lt;=toleransKurus,"EGK-004",IF($C233&gt;egk_esikFark,"EGK-005","TANIMSIZ"))))))</f>
        <v/>
      </c>
    </row>
    <row r="234">
      <c r="A234" s="22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IF($A234="","",IFERROR(SUMIF(tblMotor[A_Norm],$A234,tblMotor[KomisyonTutar]),0))</f>
        <v/>
      </c>
      <c r="E234" s="16">
        <f>IF($A234="","",IFERROR(SUMIF(tblMotor[A_Norm],$A234,tblMotor[Kargo]),0))</f>
        <v/>
      </c>
      <c r="F234" s="16">
        <f>IF($A234="","",IFERROR(SUMIF(tblMotor[A_Norm],$A234,tblMotor[IadeMaliyet]),0))</f>
        <v/>
      </c>
      <c r="G234" s="16">
        <f>IF($A234="","",IFERROR(SUMIF(tblMotor[A_Norm],$A234,tblMotor[ReklamHarcama]),0))</f>
        <v/>
      </c>
      <c r="H234" s="16">
        <f>IF(OR($A234="",$B234&lt;&gt;"tutar_farki"),"",IF(ABS($C234-$D234)&lt;=toleransKurus,"EGK-001",IF(ABS($C234-$F234)&lt;=toleransKurus,"EGK-002",IF(ABS($C234-$G234)&lt;=toleransKurus,"EGK-003",IF(ABS($C234-$E234)&lt;=toleransKurus,"EGK-004",IF($C234&gt;egk_esikFark,"EGK-005","TANIMSIZ"))))))</f>
        <v/>
      </c>
    </row>
    <row r="235">
      <c r="A235" s="22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IF($A235="","",IFERROR(SUMIF(tblMotor[A_Norm],$A235,tblMotor[KomisyonTutar]),0))</f>
        <v/>
      </c>
      <c r="E235" s="16">
        <f>IF($A235="","",IFERROR(SUMIF(tblMotor[A_Norm],$A235,tblMotor[Kargo]),0))</f>
        <v/>
      </c>
      <c r="F235" s="16">
        <f>IF($A235="","",IFERROR(SUMIF(tblMotor[A_Norm],$A235,tblMotor[IadeMaliyet]),0))</f>
        <v/>
      </c>
      <c r="G235" s="16">
        <f>IF($A235="","",IFERROR(SUMIF(tblMotor[A_Norm],$A235,tblMotor[ReklamHarcama]),0))</f>
        <v/>
      </c>
      <c r="H235" s="16">
        <f>IF(OR($A235="",$B235&lt;&gt;"tutar_farki"),"",IF(ABS($C235-$D235)&lt;=toleransKurus,"EGK-001",IF(ABS($C235-$F235)&lt;=toleransKurus,"EGK-002",IF(ABS($C235-$G235)&lt;=toleransKurus,"EGK-003",IF(ABS($C235-$E235)&lt;=toleransKurus,"EGK-004",IF($C235&gt;egk_esikFark,"EGK-005","TANIMSIZ"))))))</f>
        <v/>
      </c>
    </row>
    <row r="236">
      <c r="A236" s="22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IF($A236="","",IFERROR(SUMIF(tblMotor[A_Norm],$A236,tblMotor[KomisyonTutar]),0))</f>
        <v/>
      </c>
      <c r="E236" s="16">
        <f>IF($A236="","",IFERROR(SUMIF(tblMotor[A_Norm],$A236,tblMotor[Kargo]),0))</f>
        <v/>
      </c>
      <c r="F236" s="16">
        <f>IF($A236="","",IFERROR(SUMIF(tblMotor[A_Norm],$A236,tblMotor[IadeMaliyet]),0))</f>
        <v/>
      </c>
      <c r="G236" s="16">
        <f>IF($A236="","",IFERROR(SUMIF(tblMotor[A_Norm],$A236,tblMotor[ReklamHarcama]),0))</f>
        <v/>
      </c>
      <c r="H236" s="16">
        <f>IF(OR($A236="",$B236&lt;&gt;"tutar_farki"),"",IF(ABS($C236-$D236)&lt;=toleransKurus,"EGK-001",IF(ABS($C236-$F236)&lt;=toleransKurus,"EGK-002",IF(ABS($C236-$G236)&lt;=toleransKurus,"EGK-003",IF(ABS($C236-$E236)&lt;=toleransKurus,"EGK-004",IF($C236&gt;egk_esikFark,"EGK-005","TANIMSIZ"))))))</f>
        <v/>
      </c>
    </row>
    <row r="237">
      <c r="A237" s="22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IF($A237="","",IFERROR(SUMIF(tblMotor[A_Norm],$A237,tblMotor[KomisyonTutar]),0))</f>
        <v/>
      </c>
      <c r="E237" s="16">
        <f>IF($A237="","",IFERROR(SUMIF(tblMotor[A_Norm],$A237,tblMotor[Kargo]),0))</f>
        <v/>
      </c>
      <c r="F237" s="16">
        <f>IF($A237="","",IFERROR(SUMIF(tblMotor[A_Norm],$A237,tblMotor[IadeMaliyet]),0))</f>
        <v/>
      </c>
      <c r="G237" s="16">
        <f>IF($A237="","",IFERROR(SUMIF(tblMotor[A_Norm],$A237,tblMotor[ReklamHarcama]),0))</f>
        <v/>
      </c>
      <c r="H237" s="16">
        <f>IF(OR($A237="",$B237&lt;&gt;"tutar_farki"),"",IF(ABS($C237-$D237)&lt;=toleransKurus,"EGK-001",IF(ABS($C237-$F237)&lt;=toleransKurus,"EGK-002",IF(ABS($C237-$G237)&lt;=toleransKurus,"EGK-003",IF(ABS($C237-$E237)&lt;=toleransKurus,"EGK-004",IF($C237&gt;egk_esikFark,"EGK-005","TANIMSIZ"))))))</f>
        <v/>
      </c>
    </row>
    <row r="238">
      <c r="A238" s="22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IF($A238="","",IFERROR(SUMIF(tblMotor[A_Norm],$A238,tblMotor[KomisyonTutar]),0))</f>
        <v/>
      </c>
      <c r="E238" s="16">
        <f>IF($A238="","",IFERROR(SUMIF(tblMotor[A_Norm],$A238,tblMotor[Kargo]),0))</f>
        <v/>
      </c>
      <c r="F238" s="16">
        <f>IF($A238="","",IFERROR(SUMIF(tblMotor[A_Norm],$A238,tblMotor[IadeMaliyet]),0))</f>
        <v/>
      </c>
      <c r="G238" s="16">
        <f>IF($A238="","",IFERROR(SUMIF(tblMotor[A_Norm],$A238,tblMotor[ReklamHarcama]),0))</f>
        <v/>
      </c>
      <c r="H238" s="16">
        <f>IF(OR($A238="",$B238&lt;&gt;"tutar_farki"),"",IF(ABS($C238-$D238)&lt;=toleransKurus,"EGK-001",IF(ABS($C238-$F238)&lt;=toleransKurus,"EGK-002",IF(ABS($C238-$G238)&lt;=toleransKurus,"EGK-003",IF(ABS($C238-$E238)&lt;=toleransKurus,"EGK-004",IF($C238&gt;egk_esikFark,"EGK-005","TANIMSIZ"))))))</f>
        <v/>
      </c>
    </row>
    <row r="239">
      <c r="A239" s="22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IF($A239="","",IFERROR(SUMIF(tblMotor[A_Norm],$A239,tblMotor[KomisyonTutar]),0))</f>
        <v/>
      </c>
      <c r="E239" s="16">
        <f>IF($A239="","",IFERROR(SUMIF(tblMotor[A_Norm],$A239,tblMotor[Kargo]),0))</f>
        <v/>
      </c>
      <c r="F239" s="16">
        <f>IF($A239="","",IFERROR(SUMIF(tblMotor[A_Norm],$A239,tblMotor[IadeMaliyet]),0))</f>
        <v/>
      </c>
      <c r="G239" s="16">
        <f>IF($A239="","",IFERROR(SUMIF(tblMotor[A_Norm],$A239,tblMotor[ReklamHarcama]),0))</f>
        <v/>
      </c>
      <c r="H239" s="16">
        <f>IF(OR($A239="",$B239&lt;&gt;"tutar_farki"),"",IF(ABS($C239-$D239)&lt;=toleransKurus,"EGK-001",IF(ABS($C239-$F239)&lt;=toleransKurus,"EGK-002",IF(ABS($C239-$G239)&lt;=toleransKurus,"EGK-003",IF(ABS($C239-$E239)&lt;=toleransKurus,"EGK-004",IF($C239&gt;egk_esikFark,"EGK-005","TANIMSIZ"))))))</f>
        <v/>
      </c>
    </row>
    <row r="240">
      <c r="A240" s="22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IF($A240="","",IFERROR(SUMIF(tblMotor[A_Norm],$A240,tblMotor[KomisyonTutar]),0))</f>
        <v/>
      </c>
      <c r="E240" s="16">
        <f>IF($A240="","",IFERROR(SUMIF(tblMotor[A_Norm],$A240,tblMotor[Kargo]),0))</f>
        <v/>
      </c>
      <c r="F240" s="16">
        <f>IF($A240="","",IFERROR(SUMIF(tblMotor[A_Norm],$A240,tblMotor[IadeMaliyet]),0))</f>
        <v/>
      </c>
      <c r="G240" s="16">
        <f>IF($A240="","",IFERROR(SUMIF(tblMotor[A_Norm],$A240,tblMotor[ReklamHarcama]),0))</f>
        <v/>
      </c>
      <c r="H240" s="16">
        <f>IF(OR($A240="",$B240&lt;&gt;"tutar_farki"),"",IF(ABS($C240-$D240)&lt;=toleransKurus,"EGK-001",IF(ABS($C240-$F240)&lt;=toleransKurus,"EGK-002",IF(ABS($C240-$G240)&lt;=toleransKurus,"EGK-003",IF(ABS($C240-$E240)&lt;=toleransKurus,"EGK-004",IF($C240&gt;egk_esikFark,"EGK-005","TANIMSIZ"))))))</f>
        <v/>
      </c>
    </row>
    <row r="241">
      <c r="A241" s="22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IF($A241="","",IFERROR(SUMIF(tblMotor[A_Norm],$A241,tblMotor[KomisyonTutar]),0))</f>
        <v/>
      </c>
      <c r="E241" s="16">
        <f>IF($A241="","",IFERROR(SUMIF(tblMotor[A_Norm],$A241,tblMotor[Kargo]),0))</f>
        <v/>
      </c>
      <c r="F241" s="16">
        <f>IF($A241="","",IFERROR(SUMIF(tblMotor[A_Norm],$A241,tblMotor[IadeMaliyet]),0))</f>
        <v/>
      </c>
      <c r="G241" s="16">
        <f>IF($A241="","",IFERROR(SUMIF(tblMotor[A_Norm],$A241,tblMotor[ReklamHarcama]),0))</f>
        <v/>
      </c>
      <c r="H241" s="16">
        <f>IF(OR($A241="",$B241&lt;&gt;"tutar_farki"),"",IF(ABS($C241-$D241)&lt;=toleransKurus,"EGK-001",IF(ABS($C241-$F241)&lt;=toleransKurus,"EGK-002",IF(ABS($C241-$G241)&lt;=toleransKurus,"EGK-003",IF(ABS($C241-$E241)&lt;=toleransKurus,"EGK-004",IF($C241&gt;egk_esikFark,"EGK-005","TANIMSIZ"))))))</f>
        <v/>
      </c>
    </row>
    <row r="242">
      <c r="A242" s="22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IF($A242="","",IFERROR(SUMIF(tblMotor[A_Norm],$A242,tblMotor[KomisyonTutar]),0))</f>
        <v/>
      </c>
      <c r="E242" s="16">
        <f>IF($A242="","",IFERROR(SUMIF(tblMotor[A_Norm],$A242,tblMotor[Kargo]),0))</f>
        <v/>
      </c>
      <c r="F242" s="16">
        <f>IF($A242="","",IFERROR(SUMIF(tblMotor[A_Norm],$A242,tblMotor[IadeMaliyet]),0))</f>
        <v/>
      </c>
      <c r="G242" s="16">
        <f>IF($A242="","",IFERROR(SUMIF(tblMotor[A_Norm],$A242,tblMotor[ReklamHarcama]),0))</f>
        <v/>
      </c>
      <c r="H242" s="16">
        <f>IF(OR($A242="",$B242&lt;&gt;"tutar_farki"),"",IF(ABS($C242-$D242)&lt;=toleransKurus,"EGK-001",IF(ABS($C242-$F242)&lt;=toleransKurus,"EGK-002",IF(ABS($C242-$G242)&lt;=toleransKurus,"EGK-003",IF(ABS($C242-$E242)&lt;=toleransKurus,"EGK-004",IF($C242&gt;egk_esikFark,"EGK-005","TANIMSIZ"))))))</f>
        <v/>
      </c>
    </row>
    <row r="243">
      <c r="A243" s="22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IF($A243="","",IFERROR(SUMIF(tblMotor[A_Norm],$A243,tblMotor[KomisyonTutar]),0))</f>
        <v/>
      </c>
      <c r="E243" s="16">
        <f>IF($A243="","",IFERROR(SUMIF(tblMotor[A_Norm],$A243,tblMotor[Kargo]),0))</f>
        <v/>
      </c>
      <c r="F243" s="16">
        <f>IF($A243="","",IFERROR(SUMIF(tblMotor[A_Norm],$A243,tblMotor[IadeMaliyet]),0))</f>
        <v/>
      </c>
      <c r="G243" s="16">
        <f>IF($A243="","",IFERROR(SUMIF(tblMotor[A_Norm],$A243,tblMotor[ReklamHarcama]),0))</f>
        <v/>
      </c>
      <c r="H243" s="16">
        <f>IF(OR($A243="",$B243&lt;&gt;"tutar_farki"),"",IF(ABS($C243-$D243)&lt;=toleransKurus,"EGK-001",IF(ABS($C243-$F243)&lt;=toleransKurus,"EGK-002",IF(ABS($C243-$G243)&lt;=toleransKurus,"EGK-003",IF(ABS($C243-$E243)&lt;=toleransKurus,"EGK-004",IF($C243&gt;egk_esikFark,"EGK-005","TANIMSIZ"))))))</f>
        <v/>
      </c>
    </row>
    <row r="244">
      <c r="A244" s="22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IF($A244="","",IFERROR(SUMIF(tblMotor[A_Norm],$A244,tblMotor[KomisyonTutar]),0))</f>
        <v/>
      </c>
      <c r="E244" s="16">
        <f>IF($A244="","",IFERROR(SUMIF(tblMotor[A_Norm],$A244,tblMotor[Kargo]),0))</f>
        <v/>
      </c>
      <c r="F244" s="16">
        <f>IF($A244="","",IFERROR(SUMIF(tblMotor[A_Norm],$A244,tblMotor[IadeMaliyet]),0))</f>
        <v/>
      </c>
      <c r="G244" s="16">
        <f>IF($A244="","",IFERROR(SUMIF(tblMotor[A_Norm],$A244,tblMotor[ReklamHarcama]),0))</f>
        <v/>
      </c>
      <c r="H244" s="16">
        <f>IF(OR($A244="",$B244&lt;&gt;"tutar_farki"),"",IF(ABS($C244-$D244)&lt;=toleransKurus,"EGK-001",IF(ABS($C244-$F244)&lt;=toleransKurus,"EGK-002",IF(ABS($C244-$G244)&lt;=toleransKurus,"EGK-003",IF(ABS($C244-$E244)&lt;=toleransKurus,"EGK-004",IF($C244&gt;egk_esikFark,"EGK-005","TANIMSIZ"))))))</f>
        <v/>
      </c>
    </row>
    <row r="245">
      <c r="A245" s="22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IF($A245="","",IFERROR(SUMIF(tblMotor[A_Norm],$A245,tblMotor[KomisyonTutar]),0))</f>
        <v/>
      </c>
      <c r="E245" s="16">
        <f>IF($A245="","",IFERROR(SUMIF(tblMotor[A_Norm],$A245,tblMotor[Kargo]),0))</f>
        <v/>
      </c>
      <c r="F245" s="16">
        <f>IF($A245="","",IFERROR(SUMIF(tblMotor[A_Norm],$A245,tblMotor[IadeMaliyet]),0))</f>
        <v/>
      </c>
      <c r="G245" s="16">
        <f>IF($A245="","",IFERROR(SUMIF(tblMotor[A_Norm],$A245,tblMotor[ReklamHarcama]),0))</f>
        <v/>
      </c>
      <c r="H245" s="16">
        <f>IF(OR($A245="",$B245&lt;&gt;"tutar_farki"),"",IF(ABS($C245-$D245)&lt;=toleransKurus,"EGK-001",IF(ABS($C245-$F245)&lt;=toleransKurus,"EGK-002",IF(ABS($C245-$G245)&lt;=toleransKurus,"EGK-003",IF(ABS($C245-$E245)&lt;=toleransKurus,"EGK-004",IF($C245&gt;egk_esikFark,"EGK-005","TANIMSIZ"))))))</f>
        <v/>
      </c>
    </row>
    <row r="246">
      <c r="A246" s="22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IF($A246="","",IFERROR(SUMIF(tblMotor[A_Norm],$A246,tblMotor[KomisyonTutar]),0))</f>
        <v/>
      </c>
      <c r="E246" s="16">
        <f>IF($A246="","",IFERROR(SUMIF(tblMotor[A_Norm],$A246,tblMotor[Kargo]),0))</f>
        <v/>
      </c>
      <c r="F246" s="16">
        <f>IF($A246="","",IFERROR(SUMIF(tblMotor[A_Norm],$A246,tblMotor[IadeMaliyet]),0))</f>
        <v/>
      </c>
      <c r="G246" s="16">
        <f>IF($A246="","",IFERROR(SUMIF(tblMotor[A_Norm],$A246,tblMotor[ReklamHarcama]),0))</f>
        <v/>
      </c>
      <c r="H246" s="16">
        <f>IF(OR($A246="",$B246&lt;&gt;"tutar_farki"),"",IF(ABS($C246-$D246)&lt;=toleransKurus,"EGK-001",IF(ABS($C246-$F246)&lt;=toleransKurus,"EGK-002",IF(ABS($C246-$G246)&lt;=toleransKurus,"EGK-003",IF(ABS($C246-$E246)&lt;=toleransKurus,"EGK-004",IF($C246&gt;egk_esikFark,"EGK-005","TANIMSIZ"))))))</f>
        <v/>
      </c>
    </row>
    <row r="247">
      <c r="A247" s="22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IF($A247="","",IFERROR(SUMIF(tblMotor[A_Norm],$A247,tblMotor[KomisyonTutar]),0))</f>
        <v/>
      </c>
      <c r="E247" s="16">
        <f>IF($A247="","",IFERROR(SUMIF(tblMotor[A_Norm],$A247,tblMotor[Kargo]),0))</f>
        <v/>
      </c>
      <c r="F247" s="16">
        <f>IF($A247="","",IFERROR(SUMIF(tblMotor[A_Norm],$A247,tblMotor[IadeMaliyet]),0))</f>
        <v/>
      </c>
      <c r="G247" s="16">
        <f>IF($A247="","",IFERROR(SUMIF(tblMotor[A_Norm],$A247,tblMotor[ReklamHarcama]),0))</f>
        <v/>
      </c>
      <c r="H247" s="16">
        <f>IF(OR($A247="",$B247&lt;&gt;"tutar_farki"),"",IF(ABS($C247-$D247)&lt;=toleransKurus,"EGK-001",IF(ABS($C247-$F247)&lt;=toleransKurus,"EGK-002",IF(ABS($C247-$G247)&lt;=toleransKurus,"EGK-003",IF(ABS($C247-$E247)&lt;=toleransKurus,"EGK-004",IF($C247&gt;egk_esikFark,"EGK-005","TANIMSIZ"))))))</f>
        <v/>
      </c>
    </row>
    <row r="248">
      <c r="A248" s="22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IF($A248="","",IFERROR(SUMIF(tblMotor[A_Norm],$A248,tblMotor[KomisyonTutar]),0))</f>
        <v/>
      </c>
      <c r="E248" s="16">
        <f>IF($A248="","",IFERROR(SUMIF(tblMotor[A_Norm],$A248,tblMotor[Kargo]),0))</f>
        <v/>
      </c>
      <c r="F248" s="16">
        <f>IF($A248="","",IFERROR(SUMIF(tblMotor[A_Norm],$A248,tblMotor[IadeMaliyet]),0))</f>
        <v/>
      </c>
      <c r="G248" s="16">
        <f>IF($A248="","",IFERROR(SUMIF(tblMotor[A_Norm],$A248,tblMotor[ReklamHarcama]),0))</f>
        <v/>
      </c>
      <c r="H248" s="16">
        <f>IF(OR($A248="",$B248&lt;&gt;"tutar_farki"),"",IF(ABS($C248-$D248)&lt;=toleransKurus,"EGK-001",IF(ABS($C248-$F248)&lt;=toleransKurus,"EGK-002",IF(ABS($C248-$G248)&lt;=toleransKurus,"EGK-003",IF(ABS($C248-$E248)&lt;=toleransKurus,"EGK-004",IF($C248&gt;egk_esikFark,"EGK-005","TANIMSIZ"))))))</f>
        <v/>
      </c>
    </row>
    <row r="249">
      <c r="A249" s="22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IF($A249="","",IFERROR(SUMIF(tblMotor[A_Norm],$A249,tblMotor[KomisyonTutar]),0))</f>
        <v/>
      </c>
      <c r="E249" s="16">
        <f>IF($A249="","",IFERROR(SUMIF(tblMotor[A_Norm],$A249,tblMotor[Kargo]),0))</f>
        <v/>
      </c>
      <c r="F249" s="16">
        <f>IF($A249="","",IFERROR(SUMIF(tblMotor[A_Norm],$A249,tblMotor[IadeMaliyet]),0))</f>
        <v/>
      </c>
      <c r="G249" s="16">
        <f>IF($A249="","",IFERROR(SUMIF(tblMotor[A_Norm],$A249,tblMotor[ReklamHarcama]),0))</f>
        <v/>
      </c>
      <c r="H249" s="16">
        <f>IF(OR($A249="",$B249&lt;&gt;"tutar_farki"),"",IF(ABS($C249-$D249)&lt;=toleransKurus,"EGK-001",IF(ABS($C249-$F249)&lt;=toleransKurus,"EGK-002",IF(ABS($C249-$G249)&lt;=toleransKurus,"EGK-003",IF(ABS($C249-$E249)&lt;=toleransKurus,"EGK-004",IF($C249&gt;egk_esikFark,"EGK-005","TANIMSIZ"))))))</f>
        <v/>
      </c>
    </row>
    <row r="250">
      <c r="A250" s="22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IF($A250="","",IFERROR(SUMIF(tblMotor[A_Norm],$A250,tblMotor[KomisyonTutar]),0))</f>
        <v/>
      </c>
      <c r="E250" s="16">
        <f>IF($A250="","",IFERROR(SUMIF(tblMotor[A_Norm],$A250,tblMotor[Kargo]),0))</f>
        <v/>
      </c>
      <c r="F250" s="16">
        <f>IF($A250="","",IFERROR(SUMIF(tblMotor[A_Norm],$A250,tblMotor[IadeMaliyet]),0))</f>
        <v/>
      </c>
      <c r="G250" s="16">
        <f>IF($A250="","",IFERROR(SUMIF(tblMotor[A_Norm],$A250,tblMotor[ReklamHarcama]),0))</f>
        <v/>
      </c>
      <c r="H250" s="16">
        <f>IF(OR($A250="",$B250&lt;&gt;"tutar_farki"),"",IF(ABS($C250-$D250)&lt;=toleransKurus,"EGK-001",IF(ABS($C250-$F250)&lt;=toleransKurus,"EGK-002",IF(ABS($C250-$G250)&lt;=toleransKurus,"EGK-003",IF(ABS($C250-$E250)&lt;=toleransKurus,"EGK-004",IF($C250&gt;egk_esikFark,"EGK-005","TANIMSIZ"))))))</f>
        <v/>
      </c>
    </row>
    <row r="251">
      <c r="A251" s="22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IF($A251="","",IFERROR(SUMIF(tblMotor[A_Norm],$A251,tblMotor[KomisyonTutar]),0))</f>
        <v/>
      </c>
      <c r="E251" s="16">
        <f>IF($A251="","",IFERROR(SUMIF(tblMotor[A_Norm],$A251,tblMotor[Kargo]),0))</f>
        <v/>
      </c>
      <c r="F251" s="16">
        <f>IF($A251="","",IFERROR(SUMIF(tblMotor[A_Norm],$A251,tblMotor[IadeMaliyet]),0))</f>
        <v/>
      </c>
      <c r="G251" s="16">
        <f>IF($A251="","",IFERROR(SUMIF(tblMotor[A_Norm],$A251,tblMotor[ReklamHarcama]),0))</f>
        <v/>
      </c>
      <c r="H251" s="16">
        <f>IF(OR($A251="",$B251&lt;&gt;"tutar_farki"),"",IF(ABS($C251-$D251)&lt;=toleransKurus,"EGK-001",IF(ABS($C251-$F251)&lt;=toleransKurus,"EGK-002",IF(ABS($C251-$G251)&lt;=toleransKurus,"EGK-003",IF(ABS($C251-$E251)&lt;=toleransKurus,"EGK-004",IF($C251&gt;egk_esikFark,"EGK-005","TANIMSIZ"))))))</f>
        <v/>
      </c>
    </row>
    <row r="252">
      <c r="A252" s="22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IF($A252="","",IFERROR(SUMIF(tblMotor[A_Norm],$A252,tblMotor[KomisyonTutar]),0))</f>
        <v/>
      </c>
      <c r="E252" s="16">
        <f>IF($A252="","",IFERROR(SUMIF(tblMotor[A_Norm],$A252,tblMotor[Kargo]),0))</f>
        <v/>
      </c>
      <c r="F252" s="16">
        <f>IF($A252="","",IFERROR(SUMIF(tblMotor[A_Norm],$A252,tblMotor[IadeMaliyet]),0))</f>
        <v/>
      </c>
      <c r="G252" s="16">
        <f>IF($A252="","",IFERROR(SUMIF(tblMotor[A_Norm],$A252,tblMotor[ReklamHarcama]),0))</f>
        <v/>
      </c>
      <c r="H252" s="16">
        <f>IF(OR($A252="",$B252&lt;&gt;"tutar_farki"),"",IF(ABS($C252-$D252)&lt;=toleransKurus,"EGK-001",IF(ABS($C252-$F252)&lt;=toleransKurus,"EGK-002",IF(ABS($C252-$G252)&lt;=toleransKurus,"EGK-003",IF(ABS($C252-$E252)&lt;=toleransKurus,"EGK-004",IF($C252&gt;egk_esikFark,"EGK-005","TANIMSIZ"))))))</f>
        <v/>
      </c>
    </row>
    <row r="253">
      <c r="A253" s="22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IF($A253="","",IFERROR(SUMIF(tblMotor[A_Norm],$A253,tblMotor[KomisyonTutar]),0))</f>
        <v/>
      </c>
      <c r="E253" s="16">
        <f>IF($A253="","",IFERROR(SUMIF(tblMotor[A_Norm],$A253,tblMotor[Kargo]),0))</f>
        <v/>
      </c>
      <c r="F253" s="16">
        <f>IF($A253="","",IFERROR(SUMIF(tblMotor[A_Norm],$A253,tblMotor[IadeMaliyet]),0))</f>
        <v/>
      </c>
      <c r="G253" s="16">
        <f>IF($A253="","",IFERROR(SUMIF(tblMotor[A_Norm],$A253,tblMotor[ReklamHarcama]),0))</f>
        <v/>
      </c>
      <c r="H253" s="16">
        <f>IF(OR($A253="",$B253&lt;&gt;"tutar_farki"),"",IF(ABS($C253-$D253)&lt;=toleransKurus,"EGK-001",IF(ABS($C253-$F253)&lt;=toleransKurus,"EGK-002",IF(ABS($C253-$G253)&lt;=toleransKurus,"EGK-003",IF(ABS($C253-$E253)&lt;=toleransKurus,"EGK-004",IF($C253&gt;egk_esikFark,"EGK-005","TANIMSIZ"))))))</f>
        <v/>
      </c>
    </row>
    <row r="254">
      <c r="A254" s="22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IF($A254="","",IFERROR(SUMIF(tblMotor[A_Norm],$A254,tblMotor[KomisyonTutar]),0))</f>
        <v/>
      </c>
      <c r="E254" s="16">
        <f>IF($A254="","",IFERROR(SUMIF(tblMotor[A_Norm],$A254,tblMotor[Kargo]),0))</f>
        <v/>
      </c>
      <c r="F254" s="16">
        <f>IF($A254="","",IFERROR(SUMIF(tblMotor[A_Norm],$A254,tblMotor[IadeMaliyet]),0))</f>
        <v/>
      </c>
      <c r="G254" s="16">
        <f>IF($A254="","",IFERROR(SUMIF(tblMotor[A_Norm],$A254,tblMotor[ReklamHarcama]),0))</f>
        <v/>
      </c>
      <c r="H254" s="16">
        <f>IF(OR($A254="",$B254&lt;&gt;"tutar_farki"),"",IF(ABS($C254-$D254)&lt;=toleransKurus,"EGK-001",IF(ABS($C254-$F254)&lt;=toleransKurus,"EGK-002",IF(ABS($C254-$G254)&lt;=toleransKurus,"EGK-003",IF(ABS($C254-$E254)&lt;=toleransKurus,"EGK-004",IF($C254&gt;egk_esikFark,"EGK-005","TANIMSIZ"))))))</f>
        <v/>
      </c>
    </row>
    <row r="255">
      <c r="A255" s="22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IF($A255="","",IFERROR(SUMIF(tblMotor[A_Norm],$A255,tblMotor[KomisyonTutar]),0))</f>
        <v/>
      </c>
      <c r="E255" s="16">
        <f>IF($A255="","",IFERROR(SUMIF(tblMotor[A_Norm],$A255,tblMotor[Kargo]),0))</f>
        <v/>
      </c>
      <c r="F255" s="16">
        <f>IF($A255="","",IFERROR(SUMIF(tblMotor[A_Norm],$A255,tblMotor[IadeMaliyet]),0))</f>
        <v/>
      </c>
      <c r="G255" s="16">
        <f>IF($A255="","",IFERROR(SUMIF(tblMotor[A_Norm],$A255,tblMotor[ReklamHarcama]),0))</f>
        <v/>
      </c>
      <c r="H255" s="16">
        <f>IF(OR($A255="",$B255&lt;&gt;"tutar_farki"),"",IF(ABS($C255-$D255)&lt;=toleransKurus,"EGK-001",IF(ABS($C255-$F255)&lt;=toleransKurus,"EGK-002",IF(ABS($C255-$G255)&lt;=toleransKurus,"EGK-003",IF(ABS($C255-$E255)&lt;=toleransKurus,"EGK-004",IF($C255&gt;egk_esikFark,"EGK-005","TANIMSIZ"))))))</f>
        <v/>
      </c>
    </row>
    <row r="256">
      <c r="A256" s="22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IF($A256="","",IFERROR(SUMIF(tblMotor[A_Norm],$A256,tblMotor[KomisyonTutar]),0))</f>
        <v/>
      </c>
      <c r="E256" s="16">
        <f>IF($A256="","",IFERROR(SUMIF(tblMotor[A_Norm],$A256,tblMotor[Kargo]),0))</f>
        <v/>
      </c>
      <c r="F256" s="16">
        <f>IF($A256="","",IFERROR(SUMIF(tblMotor[A_Norm],$A256,tblMotor[IadeMaliyet]),0))</f>
        <v/>
      </c>
      <c r="G256" s="16">
        <f>IF($A256="","",IFERROR(SUMIF(tblMotor[A_Norm],$A256,tblMotor[ReklamHarcama]),0))</f>
        <v/>
      </c>
      <c r="H256" s="16">
        <f>IF(OR($A256="",$B256&lt;&gt;"tutar_farki"),"",IF(ABS($C256-$D256)&lt;=toleransKurus,"EGK-001",IF(ABS($C256-$F256)&lt;=toleransKurus,"EGK-002",IF(ABS($C256-$G256)&lt;=toleransKurus,"EGK-003",IF(ABS($C256-$E256)&lt;=toleransKurus,"EGK-004",IF($C256&gt;egk_esikFark,"EGK-005","TANIMSIZ"))))))</f>
        <v/>
      </c>
    </row>
    <row r="257">
      <c r="A257" s="22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IF($A257="","",IFERROR(SUMIF(tblMotor[A_Norm],$A257,tblMotor[KomisyonTutar]),0))</f>
        <v/>
      </c>
      <c r="E257" s="16">
        <f>IF($A257="","",IFERROR(SUMIF(tblMotor[A_Norm],$A257,tblMotor[Kargo]),0))</f>
        <v/>
      </c>
      <c r="F257" s="16">
        <f>IF($A257="","",IFERROR(SUMIF(tblMotor[A_Norm],$A257,tblMotor[IadeMaliyet]),0))</f>
        <v/>
      </c>
      <c r="G257" s="16">
        <f>IF($A257="","",IFERROR(SUMIF(tblMotor[A_Norm],$A257,tblMotor[ReklamHarcama]),0))</f>
        <v/>
      </c>
      <c r="H257" s="16">
        <f>IF(OR($A257="",$B257&lt;&gt;"tutar_farki"),"",IF(ABS($C257-$D257)&lt;=toleransKurus,"EGK-001",IF(ABS($C257-$F257)&lt;=toleransKurus,"EGK-002",IF(ABS($C257-$G257)&lt;=toleransKurus,"EGK-003",IF(ABS($C257-$E257)&lt;=toleransKurus,"EGK-004",IF($C257&gt;egk_esikFark,"EGK-005","TANIMSIZ"))))))</f>
        <v/>
      </c>
    </row>
    <row r="258">
      <c r="A258" s="22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IF($A258="","",IFERROR(SUMIF(tblMotor[A_Norm],$A258,tblMotor[KomisyonTutar]),0))</f>
        <v/>
      </c>
      <c r="E258" s="16">
        <f>IF($A258="","",IFERROR(SUMIF(tblMotor[A_Norm],$A258,tblMotor[Kargo]),0))</f>
        <v/>
      </c>
      <c r="F258" s="16">
        <f>IF($A258="","",IFERROR(SUMIF(tblMotor[A_Norm],$A258,tblMotor[IadeMaliyet]),0))</f>
        <v/>
      </c>
      <c r="G258" s="16">
        <f>IF($A258="","",IFERROR(SUMIF(tblMotor[A_Norm],$A258,tblMotor[ReklamHarcama]),0))</f>
        <v/>
      </c>
      <c r="H258" s="16">
        <f>IF(OR($A258="",$B258&lt;&gt;"tutar_farki"),"",IF(ABS($C258-$D258)&lt;=toleransKurus,"EGK-001",IF(ABS($C258-$F258)&lt;=toleransKurus,"EGK-002",IF(ABS($C258-$G258)&lt;=toleransKurus,"EGK-003",IF(ABS($C258-$E258)&lt;=toleransKurus,"EGK-004",IF($C258&gt;egk_esikFark,"EGK-005","TANIMSIZ"))))))</f>
        <v/>
      </c>
    </row>
    <row r="259">
      <c r="A259" s="22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IF($A259="","",IFERROR(SUMIF(tblMotor[A_Norm],$A259,tblMotor[KomisyonTutar]),0))</f>
        <v/>
      </c>
      <c r="E259" s="16">
        <f>IF($A259="","",IFERROR(SUMIF(tblMotor[A_Norm],$A259,tblMotor[Kargo]),0))</f>
        <v/>
      </c>
      <c r="F259" s="16">
        <f>IF($A259="","",IFERROR(SUMIF(tblMotor[A_Norm],$A259,tblMotor[IadeMaliyet]),0))</f>
        <v/>
      </c>
      <c r="G259" s="16">
        <f>IF($A259="","",IFERROR(SUMIF(tblMotor[A_Norm],$A259,tblMotor[ReklamHarcama]),0))</f>
        <v/>
      </c>
      <c r="H259" s="16">
        <f>IF(OR($A259="",$B259&lt;&gt;"tutar_farki"),"",IF(ABS($C259-$D259)&lt;=toleransKurus,"EGK-001",IF(ABS($C259-$F259)&lt;=toleransKurus,"EGK-002",IF(ABS($C259-$G259)&lt;=toleransKurus,"EGK-003",IF(ABS($C259-$E259)&lt;=toleransKurus,"EGK-004",IF($C259&gt;egk_esikFark,"EGK-005","TANIMSIZ"))))))</f>
        <v/>
      </c>
    </row>
    <row r="260">
      <c r="A260" s="22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IF($A260="","",IFERROR(SUMIF(tblMotor[A_Norm],$A260,tblMotor[KomisyonTutar]),0))</f>
        <v/>
      </c>
      <c r="E260" s="16">
        <f>IF($A260="","",IFERROR(SUMIF(tblMotor[A_Norm],$A260,tblMotor[Kargo]),0))</f>
        <v/>
      </c>
      <c r="F260" s="16">
        <f>IF($A260="","",IFERROR(SUMIF(tblMotor[A_Norm],$A260,tblMotor[IadeMaliyet]),0))</f>
        <v/>
      </c>
      <c r="G260" s="16">
        <f>IF($A260="","",IFERROR(SUMIF(tblMotor[A_Norm],$A260,tblMotor[ReklamHarcama]),0))</f>
        <v/>
      </c>
      <c r="H260" s="16">
        <f>IF(OR($A260="",$B260&lt;&gt;"tutar_farki"),"",IF(ABS($C260-$D260)&lt;=toleransKurus,"EGK-001",IF(ABS($C260-$F260)&lt;=toleransKurus,"EGK-002",IF(ABS($C260-$G260)&lt;=toleransKurus,"EGK-003",IF(ABS($C260-$E260)&lt;=toleransKurus,"EGK-004",IF($C260&gt;egk_esikFark,"EGK-005","TANIMSIZ"))))))</f>
        <v/>
      </c>
    </row>
    <row r="261">
      <c r="A261" s="22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IF($A261="","",IFERROR(SUMIF(tblMotor[A_Norm],$A261,tblMotor[KomisyonTutar]),0))</f>
        <v/>
      </c>
      <c r="E261" s="16">
        <f>IF($A261="","",IFERROR(SUMIF(tblMotor[A_Norm],$A261,tblMotor[Kargo]),0))</f>
        <v/>
      </c>
      <c r="F261" s="16">
        <f>IF($A261="","",IFERROR(SUMIF(tblMotor[A_Norm],$A261,tblMotor[IadeMaliyet]),0))</f>
        <v/>
      </c>
      <c r="G261" s="16">
        <f>IF($A261="","",IFERROR(SUMIF(tblMotor[A_Norm],$A261,tblMotor[ReklamHarcama]),0))</f>
        <v/>
      </c>
      <c r="H261" s="16">
        <f>IF(OR($A261="",$B261&lt;&gt;"tutar_farki"),"",IF(ABS($C261-$D261)&lt;=toleransKurus,"EGK-001",IF(ABS($C261-$F261)&lt;=toleransKurus,"EGK-002",IF(ABS($C261-$G261)&lt;=toleransKurus,"EGK-003",IF(ABS($C261-$E261)&lt;=toleransKurus,"EGK-004",IF($C261&gt;egk_esikFark,"EGK-005","TANIMSIZ"))))))</f>
        <v/>
      </c>
    </row>
    <row r="262">
      <c r="A262" s="22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IF($A262="","",IFERROR(SUMIF(tblMotor[A_Norm],$A262,tblMotor[KomisyonTutar]),0))</f>
        <v/>
      </c>
      <c r="E262" s="16">
        <f>IF($A262="","",IFERROR(SUMIF(tblMotor[A_Norm],$A262,tblMotor[Kargo]),0))</f>
        <v/>
      </c>
      <c r="F262" s="16">
        <f>IF($A262="","",IFERROR(SUMIF(tblMotor[A_Norm],$A262,tblMotor[IadeMaliyet]),0))</f>
        <v/>
      </c>
      <c r="G262" s="16">
        <f>IF($A262="","",IFERROR(SUMIF(tblMotor[A_Norm],$A262,tblMotor[ReklamHarcama]),0))</f>
        <v/>
      </c>
      <c r="H262" s="16">
        <f>IF(OR($A262="",$B262&lt;&gt;"tutar_farki"),"",IF(ABS($C262-$D262)&lt;=toleransKurus,"EGK-001",IF(ABS($C262-$F262)&lt;=toleransKurus,"EGK-002",IF(ABS($C262-$G262)&lt;=toleransKurus,"EGK-003",IF(ABS($C262-$E262)&lt;=toleransKurus,"EGK-004",IF($C262&gt;egk_esikFark,"EGK-005","TANIMSIZ"))))))</f>
        <v/>
      </c>
    </row>
    <row r="263">
      <c r="A263" s="22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IF($A263="","",IFERROR(SUMIF(tblMotor[A_Norm],$A263,tblMotor[KomisyonTutar]),0))</f>
        <v/>
      </c>
      <c r="E263" s="16">
        <f>IF($A263="","",IFERROR(SUMIF(tblMotor[A_Norm],$A263,tblMotor[Kargo]),0))</f>
        <v/>
      </c>
      <c r="F263" s="16">
        <f>IF($A263="","",IFERROR(SUMIF(tblMotor[A_Norm],$A263,tblMotor[IadeMaliyet]),0))</f>
        <v/>
      </c>
      <c r="G263" s="16">
        <f>IF($A263="","",IFERROR(SUMIF(tblMotor[A_Norm],$A263,tblMotor[ReklamHarcama]),0))</f>
        <v/>
      </c>
      <c r="H263" s="16">
        <f>IF(OR($A263="",$B263&lt;&gt;"tutar_farki"),"",IF(ABS($C263-$D263)&lt;=toleransKurus,"EGK-001",IF(ABS($C263-$F263)&lt;=toleransKurus,"EGK-002",IF(ABS($C263-$G263)&lt;=toleransKurus,"EGK-003",IF(ABS($C263-$E263)&lt;=toleransKurus,"EGK-004",IF($C263&gt;egk_esikFark,"EGK-005","TANIMSIZ"))))))</f>
        <v/>
      </c>
    </row>
    <row r="264">
      <c r="A264" s="22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IF($A264="","",IFERROR(SUMIF(tblMotor[A_Norm],$A264,tblMotor[KomisyonTutar]),0))</f>
        <v/>
      </c>
      <c r="E264" s="16">
        <f>IF($A264="","",IFERROR(SUMIF(tblMotor[A_Norm],$A264,tblMotor[Kargo]),0))</f>
        <v/>
      </c>
      <c r="F264" s="16">
        <f>IF($A264="","",IFERROR(SUMIF(tblMotor[A_Norm],$A264,tblMotor[IadeMaliyet]),0))</f>
        <v/>
      </c>
      <c r="G264" s="16">
        <f>IF($A264="","",IFERROR(SUMIF(tblMotor[A_Norm],$A264,tblMotor[ReklamHarcama]),0))</f>
        <v/>
      </c>
      <c r="H264" s="16">
        <f>IF(OR($A264="",$B264&lt;&gt;"tutar_farki"),"",IF(ABS($C264-$D264)&lt;=toleransKurus,"EGK-001",IF(ABS($C264-$F264)&lt;=toleransKurus,"EGK-002",IF(ABS($C264-$G264)&lt;=toleransKurus,"EGK-003",IF(ABS($C264-$E264)&lt;=toleransKurus,"EGK-004",IF($C264&gt;egk_esikFark,"EGK-005","TANIMSIZ"))))))</f>
        <v/>
      </c>
    </row>
    <row r="265">
      <c r="A265" s="22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IF($A265="","",IFERROR(SUMIF(tblMotor[A_Norm],$A265,tblMotor[KomisyonTutar]),0))</f>
        <v/>
      </c>
      <c r="E265" s="16">
        <f>IF($A265="","",IFERROR(SUMIF(tblMotor[A_Norm],$A265,tblMotor[Kargo]),0))</f>
        <v/>
      </c>
      <c r="F265" s="16">
        <f>IF($A265="","",IFERROR(SUMIF(tblMotor[A_Norm],$A265,tblMotor[IadeMaliyet]),0))</f>
        <v/>
      </c>
      <c r="G265" s="16">
        <f>IF($A265="","",IFERROR(SUMIF(tblMotor[A_Norm],$A265,tblMotor[ReklamHarcama]),0))</f>
        <v/>
      </c>
      <c r="H265" s="16">
        <f>IF(OR($A265="",$B265&lt;&gt;"tutar_farki"),"",IF(ABS($C265-$D265)&lt;=toleransKurus,"EGK-001",IF(ABS($C265-$F265)&lt;=toleransKurus,"EGK-002",IF(ABS($C265-$G265)&lt;=toleransKurus,"EGK-003",IF(ABS($C265-$E265)&lt;=toleransKurus,"EGK-004",IF($C265&gt;egk_esikFark,"EGK-005","TANIMSIZ"))))))</f>
        <v/>
      </c>
    </row>
    <row r="266">
      <c r="A266" s="22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IF($A266="","",IFERROR(SUMIF(tblMotor[A_Norm],$A266,tblMotor[KomisyonTutar]),0))</f>
        <v/>
      </c>
      <c r="E266" s="16">
        <f>IF($A266="","",IFERROR(SUMIF(tblMotor[A_Norm],$A266,tblMotor[Kargo]),0))</f>
        <v/>
      </c>
      <c r="F266" s="16">
        <f>IF($A266="","",IFERROR(SUMIF(tblMotor[A_Norm],$A266,tblMotor[IadeMaliyet]),0))</f>
        <v/>
      </c>
      <c r="G266" s="16">
        <f>IF($A266="","",IFERROR(SUMIF(tblMotor[A_Norm],$A266,tblMotor[ReklamHarcama]),0))</f>
        <v/>
      </c>
      <c r="H266" s="16">
        <f>IF(OR($A266="",$B266&lt;&gt;"tutar_farki"),"",IF(ABS($C266-$D266)&lt;=toleransKurus,"EGK-001",IF(ABS($C266-$F266)&lt;=toleransKurus,"EGK-002",IF(ABS($C266-$G266)&lt;=toleransKurus,"EGK-003",IF(ABS($C266-$E266)&lt;=toleransKurus,"EGK-004",IF($C266&gt;egk_esikFark,"EGK-005","TANIMSIZ"))))))</f>
        <v/>
      </c>
    </row>
    <row r="267">
      <c r="A267" s="22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IF($A267="","",IFERROR(SUMIF(tblMotor[A_Norm],$A267,tblMotor[KomisyonTutar]),0))</f>
        <v/>
      </c>
      <c r="E267" s="16">
        <f>IF($A267="","",IFERROR(SUMIF(tblMotor[A_Norm],$A267,tblMotor[Kargo]),0))</f>
        <v/>
      </c>
      <c r="F267" s="16">
        <f>IF($A267="","",IFERROR(SUMIF(tblMotor[A_Norm],$A267,tblMotor[IadeMaliyet]),0))</f>
        <v/>
      </c>
      <c r="G267" s="16">
        <f>IF($A267="","",IFERROR(SUMIF(tblMotor[A_Norm],$A267,tblMotor[ReklamHarcama]),0))</f>
        <v/>
      </c>
      <c r="H267" s="16">
        <f>IF(OR($A267="",$B267&lt;&gt;"tutar_farki"),"",IF(ABS($C267-$D267)&lt;=toleransKurus,"EGK-001",IF(ABS($C267-$F267)&lt;=toleransKurus,"EGK-002",IF(ABS($C267-$G267)&lt;=toleransKurus,"EGK-003",IF(ABS($C267-$E267)&lt;=toleransKurus,"EGK-004",IF($C267&gt;egk_esikFark,"EGK-005","TANIMSIZ"))))))</f>
        <v/>
      </c>
    </row>
    <row r="268">
      <c r="A268" s="22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IF($A268="","",IFERROR(SUMIF(tblMotor[A_Norm],$A268,tblMotor[KomisyonTutar]),0))</f>
        <v/>
      </c>
      <c r="E268" s="16">
        <f>IF($A268="","",IFERROR(SUMIF(tblMotor[A_Norm],$A268,tblMotor[Kargo]),0))</f>
        <v/>
      </c>
      <c r="F268" s="16">
        <f>IF($A268="","",IFERROR(SUMIF(tblMotor[A_Norm],$A268,tblMotor[IadeMaliyet]),0))</f>
        <v/>
      </c>
      <c r="G268" s="16">
        <f>IF($A268="","",IFERROR(SUMIF(tblMotor[A_Norm],$A268,tblMotor[ReklamHarcama]),0))</f>
        <v/>
      </c>
      <c r="H268" s="16">
        <f>IF(OR($A268="",$B268&lt;&gt;"tutar_farki"),"",IF(ABS($C268-$D268)&lt;=toleransKurus,"EGK-001",IF(ABS($C268-$F268)&lt;=toleransKurus,"EGK-002",IF(ABS($C268-$G268)&lt;=toleransKurus,"EGK-003",IF(ABS($C268-$E268)&lt;=toleransKurus,"EGK-004",IF($C268&gt;egk_esikFark,"EGK-005","TANIMSIZ"))))))</f>
        <v/>
      </c>
    </row>
    <row r="269">
      <c r="A269" s="22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IF($A269="","",IFERROR(SUMIF(tblMotor[A_Norm],$A269,tblMotor[KomisyonTutar]),0))</f>
        <v/>
      </c>
      <c r="E269" s="16">
        <f>IF($A269="","",IFERROR(SUMIF(tblMotor[A_Norm],$A269,tblMotor[Kargo]),0))</f>
        <v/>
      </c>
      <c r="F269" s="16">
        <f>IF($A269="","",IFERROR(SUMIF(tblMotor[A_Norm],$A269,tblMotor[IadeMaliyet]),0))</f>
        <v/>
      </c>
      <c r="G269" s="16">
        <f>IF($A269="","",IFERROR(SUMIF(tblMotor[A_Norm],$A269,tblMotor[ReklamHarcama]),0))</f>
        <v/>
      </c>
      <c r="H269" s="16">
        <f>IF(OR($A269="",$B269&lt;&gt;"tutar_farki"),"",IF(ABS($C269-$D269)&lt;=toleransKurus,"EGK-001",IF(ABS($C269-$F269)&lt;=toleransKurus,"EGK-002",IF(ABS($C269-$G269)&lt;=toleransKurus,"EGK-003",IF(ABS($C269-$E269)&lt;=toleransKurus,"EGK-004",IF($C269&gt;egk_esikFark,"EGK-005","TANIMSIZ"))))))</f>
        <v/>
      </c>
    </row>
    <row r="270">
      <c r="A270" s="22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IF($A270="","",IFERROR(SUMIF(tblMotor[A_Norm],$A270,tblMotor[KomisyonTutar]),0))</f>
        <v/>
      </c>
      <c r="E270" s="16">
        <f>IF($A270="","",IFERROR(SUMIF(tblMotor[A_Norm],$A270,tblMotor[Kargo]),0))</f>
        <v/>
      </c>
      <c r="F270" s="16">
        <f>IF($A270="","",IFERROR(SUMIF(tblMotor[A_Norm],$A270,tblMotor[IadeMaliyet]),0))</f>
        <v/>
      </c>
      <c r="G270" s="16">
        <f>IF($A270="","",IFERROR(SUMIF(tblMotor[A_Norm],$A270,tblMotor[ReklamHarcama]),0))</f>
        <v/>
      </c>
      <c r="H270" s="16">
        <f>IF(OR($A270="",$B270&lt;&gt;"tutar_farki"),"",IF(ABS($C270-$D270)&lt;=toleransKurus,"EGK-001",IF(ABS($C270-$F270)&lt;=toleransKurus,"EGK-002",IF(ABS($C270-$G270)&lt;=toleransKurus,"EGK-003",IF(ABS($C270-$E270)&lt;=toleransKurus,"EGK-004",IF($C270&gt;egk_esikFark,"EGK-005","TANIMSIZ"))))))</f>
        <v/>
      </c>
    </row>
    <row r="271">
      <c r="A271" s="22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IF($A271="","",IFERROR(SUMIF(tblMotor[A_Norm],$A271,tblMotor[KomisyonTutar]),0))</f>
        <v/>
      </c>
      <c r="E271" s="16">
        <f>IF($A271="","",IFERROR(SUMIF(tblMotor[A_Norm],$A271,tblMotor[Kargo]),0))</f>
        <v/>
      </c>
      <c r="F271" s="16">
        <f>IF($A271="","",IFERROR(SUMIF(tblMotor[A_Norm],$A271,tblMotor[IadeMaliyet]),0))</f>
        <v/>
      </c>
      <c r="G271" s="16">
        <f>IF($A271="","",IFERROR(SUMIF(tblMotor[A_Norm],$A271,tblMotor[ReklamHarcama]),0))</f>
        <v/>
      </c>
      <c r="H271" s="16">
        <f>IF(OR($A271="",$B271&lt;&gt;"tutar_farki"),"",IF(ABS($C271-$D271)&lt;=toleransKurus,"EGK-001",IF(ABS($C271-$F271)&lt;=toleransKurus,"EGK-002",IF(ABS($C271-$G271)&lt;=toleransKurus,"EGK-003",IF(ABS($C271-$E271)&lt;=toleransKurus,"EGK-004",IF($C271&gt;egk_esikFark,"EGK-005","TANIMSIZ"))))))</f>
        <v/>
      </c>
    </row>
    <row r="272">
      <c r="A272" s="22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IF($A272="","",IFERROR(SUMIF(tblMotor[A_Norm],$A272,tblMotor[KomisyonTutar]),0))</f>
        <v/>
      </c>
      <c r="E272" s="16">
        <f>IF($A272="","",IFERROR(SUMIF(tblMotor[A_Norm],$A272,tblMotor[Kargo]),0))</f>
        <v/>
      </c>
      <c r="F272" s="16">
        <f>IF($A272="","",IFERROR(SUMIF(tblMotor[A_Norm],$A272,tblMotor[IadeMaliyet]),0))</f>
        <v/>
      </c>
      <c r="G272" s="16">
        <f>IF($A272="","",IFERROR(SUMIF(tblMotor[A_Norm],$A272,tblMotor[ReklamHarcama]),0))</f>
        <v/>
      </c>
      <c r="H272" s="16">
        <f>IF(OR($A272="",$B272&lt;&gt;"tutar_farki"),"",IF(ABS($C272-$D272)&lt;=toleransKurus,"EGK-001",IF(ABS($C272-$F272)&lt;=toleransKurus,"EGK-002",IF(ABS($C272-$G272)&lt;=toleransKurus,"EGK-003",IF(ABS($C272-$E272)&lt;=toleransKurus,"EGK-004",IF($C272&gt;egk_esikFark,"EGK-005","TANIMSIZ"))))))</f>
        <v/>
      </c>
    </row>
    <row r="273">
      <c r="A273" s="22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IF($A273="","",IFERROR(SUMIF(tblMotor[A_Norm],$A273,tblMotor[KomisyonTutar]),0))</f>
        <v/>
      </c>
      <c r="E273" s="16">
        <f>IF($A273="","",IFERROR(SUMIF(tblMotor[A_Norm],$A273,tblMotor[Kargo]),0))</f>
        <v/>
      </c>
      <c r="F273" s="16">
        <f>IF($A273="","",IFERROR(SUMIF(tblMotor[A_Norm],$A273,tblMotor[IadeMaliyet]),0))</f>
        <v/>
      </c>
      <c r="G273" s="16">
        <f>IF($A273="","",IFERROR(SUMIF(tblMotor[A_Norm],$A273,tblMotor[ReklamHarcama]),0))</f>
        <v/>
      </c>
      <c r="H273" s="16">
        <f>IF(OR($A273="",$B273&lt;&gt;"tutar_farki"),"",IF(ABS($C273-$D273)&lt;=toleransKurus,"EGK-001",IF(ABS($C273-$F273)&lt;=toleransKurus,"EGK-002",IF(ABS($C273-$G273)&lt;=toleransKurus,"EGK-003",IF(ABS($C273-$E273)&lt;=toleransKurus,"EGK-004",IF($C273&gt;egk_esikFark,"EGK-005","TANIMSIZ"))))))</f>
        <v/>
      </c>
    </row>
    <row r="274">
      <c r="A274" s="22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IF($A274="","",IFERROR(SUMIF(tblMotor[A_Norm],$A274,tblMotor[KomisyonTutar]),0))</f>
        <v/>
      </c>
      <c r="E274" s="16">
        <f>IF($A274="","",IFERROR(SUMIF(tblMotor[A_Norm],$A274,tblMotor[Kargo]),0))</f>
        <v/>
      </c>
      <c r="F274" s="16">
        <f>IF($A274="","",IFERROR(SUMIF(tblMotor[A_Norm],$A274,tblMotor[IadeMaliyet]),0))</f>
        <v/>
      </c>
      <c r="G274" s="16">
        <f>IF($A274="","",IFERROR(SUMIF(tblMotor[A_Norm],$A274,tblMotor[ReklamHarcama]),0))</f>
        <v/>
      </c>
      <c r="H274" s="16">
        <f>IF(OR($A274="",$B274&lt;&gt;"tutar_farki"),"",IF(ABS($C274-$D274)&lt;=toleransKurus,"EGK-001",IF(ABS($C274-$F274)&lt;=toleransKurus,"EGK-002",IF(ABS($C274-$G274)&lt;=toleransKurus,"EGK-003",IF(ABS($C274-$E274)&lt;=toleransKurus,"EGK-004",IF($C274&gt;egk_esikFark,"EGK-005","TANIMSIZ"))))))</f>
        <v/>
      </c>
    </row>
    <row r="275">
      <c r="A275" s="22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IF($A275="","",IFERROR(SUMIF(tblMotor[A_Norm],$A275,tblMotor[KomisyonTutar]),0))</f>
        <v/>
      </c>
      <c r="E275" s="16">
        <f>IF($A275="","",IFERROR(SUMIF(tblMotor[A_Norm],$A275,tblMotor[Kargo]),0))</f>
        <v/>
      </c>
      <c r="F275" s="16">
        <f>IF($A275="","",IFERROR(SUMIF(tblMotor[A_Norm],$A275,tblMotor[IadeMaliyet]),0))</f>
        <v/>
      </c>
      <c r="G275" s="16">
        <f>IF($A275="","",IFERROR(SUMIF(tblMotor[A_Norm],$A275,tblMotor[ReklamHarcama]),0))</f>
        <v/>
      </c>
      <c r="H275" s="16">
        <f>IF(OR($A275="",$B275&lt;&gt;"tutar_farki"),"",IF(ABS($C275-$D275)&lt;=toleransKurus,"EGK-001",IF(ABS($C275-$F275)&lt;=toleransKurus,"EGK-002",IF(ABS($C275-$G275)&lt;=toleransKurus,"EGK-003",IF(ABS($C275-$E275)&lt;=toleransKurus,"EGK-004",IF($C275&gt;egk_esikFark,"EGK-005","TANIMSIZ"))))))</f>
        <v/>
      </c>
    </row>
    <row r="276">
      <c r="A276" s="22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IF($A276="","",IFERROR(SUMIF(tblMotor[A_Norm],$A276,tblMotor[KomisyonTutar]),0))</f>
        <v/>
      </c>
      <c r="E276" s="16">
        <f>IF($A276="","",IFERROR(SUMIF(tblMotor[A_Norm],$A276,tblMotor[Kargo]),0))</f>
        <v/>
      </c>
      <c r="F276" s="16">
        <f>IF($A276="","",IFERROR(SUMIF(tblMotor[A_Norm],$A276,tblMotor[IadeMaliyet]),0))</f>
        <v/>
      </c>
      <c r="G276" s="16">
        <f>IF($A276="","",IFERROR(SUMIF(tblMotor[A_Norm],$A276,tblMotor[ReklamHarcama]),0))</f>
        <v/>
      </c>
      <c r="H276" s="16">
        <f>IF(OR($A276="",$B276&lt;&gt;"tutar_farki"),"",IF(ABS($C276-$D276)&lt;=toleransKurus,"EGK-001",IF(ABS($C276-$F276)&lt;=toleransKurus,"EGK-002",IF(ABS($C276-$G276)&lt;=toleransKurus,"EGK-003",IF(ABS($C276-$E276)&lt;=toleransKurus,"EGK-004",IF($C276&gt;egk_esikFark,"EGK-005","TANIMSIZ"))))))</f>
        <v/>
      </c>
    </row>
    <row r="277">
      <c r="A277" s="22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IF($A277="","",IFERROR(SUMIF(tblMotor[A_Norm],$A277,tblMotor[KomisyonTutar]),0))</f>
        <v/>
      </c>
      <c r="E277" s="16">
        <f>IF($A277="","",IFERROR(SUMIF(tblMotor[A_Norm],$A277,tblMotor[Kargo]),0))</f>
        <v/>
      </c>
      <c r="F277" s="16">
        <f>IF($A277="","",IFERROR(SUMIF(tblMotor[A_Norm],$A277,tblMotor[IadeMaliyet]),0))</f>
        <v/>
      </c>
      <c r="G277" s="16">
        <f>IF($A277="","",IFERROR(SUMIF(tblMotor[A_Norm],$A277,tblMotor[ReklamHarcama]),0))</f>
        <v/>
      </c>
      <c r="H277" s="16">
        <f>IF(OR($A277="",$B277&lt;&gt;"tutar_farki"),"",IF(ABS($C277-$D277)&lt;=toleransKurus,"EGK-001",IF(ABS($C277-$F277)&lt;=toleransKurus,"EGK-002",IF(ABS($C277-$G277)&lt;=toleransKurus,"EGK-003",IF(ABS($C277-$E277)&lt;=toleransKurus,"EGK-004",IF($C277&gt;egk_esikFark,"EGK-005","TANIMSIZ"))))))</f>
        <v/>
      </c>
    </row>
    <row r="278">
      <c r="A278" s="22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IF($A278="","",IFERROR(SUMIF(tblMotor[A_Norm],$A278,tblMotor[KomisyonTutar]),0))</f>
        <v/>
      </c>
      <c r="E278" s="16">
        <f>IF($A278="","",IFERROR(SUMIF(tblMotor[A_Norm],$A278,tblMotor[Kargo]),0))</f>
        <v/>
      </c>
      <c r="F278" s="16">
        <f>IF($A278="","",IFERROR(SUMIF(tblMotor[A_Norm],$A278,tblMotor[IadeMaliyet]),0))</f>
        <v/>
      </c>
      <c r="G278" s="16">
        <f>IF($A278="","",IFERROR(SUMIF(tblMotor[A_Norm],$A278,tblMotor[ReklamHarcama]),0))</f>
        <v/>
      </c>
      <c r="H278" s="16">
        <f>IF(OR($A278="",$B278&lt;&gt;"tutar_farki"),"",IF(ABS($C278-$D278)&lt;=toleransKurus,"EGK-001",IF(ABS($C278-$F278)&lt;=toleransKurus,"EGK-002",IF(ABS($C278-$G278)&lt;=toleransKurus,"EGK-003",IF(ABS($C278-$E278)&lt;=toleransKurus,"EGK-004",IF($C278&gt;egk_esikFark,"EGK-005","TANIMSIZ"))))))</f>
        <v/>
      </c>
    </row>
    <row r="279">
      <c r="A279" s="22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IF($A279="","",IFERROR(SUMIF(tblMotor[A_Norm],$A279,tblMotor[KomisyonTutar]),0))</f>
        <v/>
      </c>
      <c r="E279" s="16">
        <f>IF($A279="","",IFERROR(SUMIF(tblMotor[A_Norm],$A279,tblMotor[Kargo]),0))</f>
        <v/>
      </c>
      <c r="F279" s="16">
        <f>IF($A279="","",IFERROR(SUMIF(tblMotor[A_Norm],$A279,tblMotor[IadeMaliyet]),0))</f>
        <v/>
      </c>
      <c r="G279" s="16">
        <f>IF($A279="","",IFERROR(SUMIF(tblMotor[A_Norm],$A279,tblMotor[ReklamHarcama]),0))</f>
        <v/>
      </c>
      <c r="H279" s="16">
        <f>IF(OR($A279="",$B279&lt;&gt;"tutar_farki"),"",IF(ABS($C279-$D279)&lt;=toleransKurus,"EGK-001",IF(ABS($C279-$F279)&lt;=toleransKurus,"EGK-002",IF(ABS($C279-$G279)&lt;=toleransKurus,"EGK-003",IF(ABS($C279-$E279)&lt;=toleransKurus,"EGK-004",IF($C279&gt;egk_esikFark,"EGK-005","TANIMSIZ"))))))</f>
        <v/>
      </c>
    </row>
    <row r="280">
      <c r="A280" s="22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IF($A280="","",IFERROR(SUMIF(tblMotor[A_Norm],$A280,tblMotor[KomisyonTutar]),0))</f>
        <v/>
      </c>
      <c r="E280" s="16">
        <f>IF($A280="","",IFERROR(SUMIF(tblMotor[A_Norm],$A280,tblMotor[Kargo]),0))</f>
        <v/>
      </c>
      <c r="F280" s="16">
        <f>IF($A280="","",IFERROR(SUMIF(tblMotor[A_Norm],$A280,tblMotor[IadeMaliyet]),0))</f>
        <v/>
      </c>
      <c r="G280" s="16">
        <f>IF($A280="","",IFERROR(SUMIF(tblMotor[A_Norm],$A280,tblMotor[ReklamHarcama]),0))</f>
        <v/>
      </c>
      <c r="H280" s="16">
        <f>IF(OR($A280="",$B280&lt;&gt;"tutar_farki"),"",IF(ABS($C280-$D280)&lt;=toleransKurus,"EGK-001",IF(ABS($C280-$F280)&lt;=toleransKurus,"EGK-002",IF(ABS($C280-$G280)&lt;=toleransKurus,"EGK-003",IF(ABS($C280-$E280)&lt;=toleransKurus,"EGK-004",IF($C280&gt;egk_esikFark,"EGK-005","TANIMSIZ"))))))</f>
        <v/>
      </c>
    </row>
    <row r="281">
      <c r="A281" s="22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IF($A281="","",IFERROR(SUMIF(tblMotor[A_Norm],$A281,tblMotor[KomisyonTutar]),0))</f>
        <v/>
      </c>
      <c r="E281" s="16">
        <f>IF($A281="","",IFERROR(SUMIF(tblMotor[A_Norm],$A281,tblMotor[Kargo]),0))</f>
        <v/>
      </c>
      <c r="F281" s="16">
        <f>IF($A281="","",IFERROR(SUMIF(tblMotor[A_Norm],$A281,tblMotor[IadeMaliyet]),0))</f>
        <v/>
      </c>
      <c r="G281" s="16">
        <f>IF($A281="","",IFERROR(SUMIF(tblMotor[A_Norm],$A281,tblMotor[ReklamHarcama]),0))</f>
        <v/>
      </c>
      <c r="H281" s="16">
        <f>IF(OR($A281="",$B281&lt;&gt;"tutar_farki"),"",IF(ABS($C281-$D281)&lt;=toleransKurus,"EGK-001",IF(ABS($C281-$F281)&lt;=toleransKurus,"EGK-002",IF(ABS($C281-$G281)&lt;=toleransKurus,"EGK-003",IF(ABS($C281-$E281)&lt;=toleransKurus,"EGK-004",IF($C281&gt;egk_esikFark,"EGK-005","TANIMSIZ"))))))</f>
        <v/>
      </c>
    </row>
    <row r="282">
      <c r="A282" s="22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IF($A282="","",IFERROR(SUMIF(tblMotor[A_Norm],$A282,tblMotor[KomisyonTutar]),0))</f>
        <v/>
      </c>
      <c r="E282" s="16">
        <f>IF($A282="","",IFERROR(SUMIF(tblMotor[A_Norm],$A282,tblMotor[Kargo]),0))</f>
        <v/>
      </c>
      <c r="F282" s="16">
        <f>IF($A282="","",IFERROR(SUMIF(tblMotor[A_Norm],$A282,tblMotor[IadeMaliyet]),0))</f>
        <v/>
      </c>
      <c r="G282" s="16">
        <f>IF($A282="","",IFERROR(SUMIF(tblMotor[A_Norm],$A282,tblMotor[ReklamHarcama]),0))</f>
        <v/>
      </c>
      <c r="H282" s="16">
        <f>IF(OR($A282="",$B282&lt;&gt;"tutar_farki"),"",IF(ABS($C282-$D282)&lt;=toleransKurus,"EGK-001",IF(ABS($C282-$F282)&lt;=toleransKurus,"EGK-002",IF(ABS($C282-$G282)&lt;=toleransKurus,"EGK-003",IF(ABS($C282-$E282)&lt;=toleransKurus,"EGK-004",IF($C282&gt;egk_esikFark,"EGK-005","TANIMSIZ"))))))</f>
        <v/>
      </c>
    </row>
    <row r="283">
      <c r="A283" s="22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IF($A283="","",IFERROR(SUMIF(tblMotor[A_Norm],$A283,tblMotor[KomisyonTutar]),0))</f>
        <v/>
      </c>
      <c r="E283" s="16">
        <f>IF($A283="","",IFERROR(SUMIF(tblMotor[A_Norm],$A283,tblMotor[Kargo]),0))</f>
        <v/>
      </c>
      <c r="F283" s="16">
        <f>IF($A283="","",IFERROR(SUMIF(tblMotor[A_Norm],$A283,tblMotor[IadeMaliyet]),0))</f>
        <v/>
      </c>
      <c r="G283" s="16">
        <f>IF($A283="","",IFERROR(SUMIF(tblMotor[A_Norm],$A283,tblMotor[ReklamHarcama]),0))</f>
        <v/>
      </c>
      <c r="H283" s="16">
        <f>IF(OR($A283="",$B283&lt;&gt;"tutar_farki"),"",IF(ABS($C283-$D283)&lt;=toleransKurus,"EGK-001",IF(ABS($C283-$F283)&lt;=toleransKurus,"EGK-002",IF(ABS($C283-$G283)&lt;=toleransKurus,"EGK-003",IF(ABS($C283-$E283)&lt;=toleransKurus,"EGK-004",IF($C283&gt;egk_esikFark,"EGK-005","TANIMSIZ"))))))</f>
        <v/>
      </c>
    </row>
    <row r="284">
      <c r="A284" s="22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IF($A284="","",IFERROR(SUMIF(tblMotor[A_Norm],$A284,tblMotor[KomisyonTutar]),0))</f>
        <v/>
      </c>
      <c r="E284" s="16">
        <f>IF($A284="","",IFERROR(SUMIF(tblMotor[A_Norm],$A284,tblMotor[Kargo]),0))</f>
        <v/>
      </c>
      <c r="F284" s="16">
        <f>IF($A284="","",IFERROR(SUMIF(tblMotor[A_Norm],$A284,tblMotor[IadeMaliyet]),0))</f>
        <v/>
      </c>
      <c r="G284" s="16">
        <f>IF($A284="","",IFERROR(SUMIF(tblMotor[A_Norm],$A284,tblMotor[ReklamHarcama]),0))</f>
        <v/>
      </c>
      <c r="H284" s="16">
        <f>IF(OR($A284="",$B284&lt;&gt;"tutar_farki"),"",IF(ABS($C284-$D284)&lt;=toleransKurus,"EGK-001",IF(ABS($C284-$F284)&lt;=toleransKurus,"EGK-002",IF(ABS($C284-$G284)&lt;=toleransKurus,"EGK-003",IF(ABS($C284-$E284)&lt;=toleransKurus,"EGK-004",IF($C284&gt;egk_esikFark,"EGK-005","TANIMSIZ"))))))</f>
        <v/>
      </c>
    </row>
    <row r="285">
      <c r="A285" s="22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IF($A285="","",IFERROR(SUMIF(tblMotor[A_Norm],$A285,tblMotor[KomisyonTutar]),0))</f>
        <v/>
      </c>
      <c r="E285" s="16">
        <f>IF($A285="","",IFERROR(SUMIF(tblMotor[A_Norm],$A285,tblMotor[Kargo]),0))</f>
        <v/>
      </c>
      <c r="F285" s="16">
        <f>IF($A285="","",IFERROR(SUMIF(tblMotor[A_Norm],$A285,tblMotor[IadeMaliyet]),0))</f>
        <v/>
      </c>
      <c r="G285" s="16">
        <f>IF($A285="","",IFERROR(SUMIF(tblMotor[A_Norm],$A285,tblMotor[ReklamHarcama]),0))</f>
        <v/>
      </c>
      <c r="H285" s="16">
        <f>IF(OR($A285="",$B285&lt;&gt;"tutar_farki"),"",IF(ABS($C285-$D285)&lt;=toleransKurus,"EGK-001",IF(ABS($C285-$F285)&lt;=toleransKurus,"EGK-002",IF(ABS($C285-$G285)&lt;=toleransKurus,"EGK-003",IF(ABS($C285-$E285)&lt;=toleransKurus,"EGK-004",IF($C285&gt;egk_esikFark,"EGK-005","TANIMSIZ"))))))</f>
        <v/>
      </c>
    </row>
    <row r="286">
      <c r="A286" s="22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IF($A286="","",IFERROR(SUMIF(tblMotor[A_Norm],$A286,tblMotor[KomisyonTutar]),0))</f>
        <v/>
      </c>
      <c r="E286" s="16">
        <f>IF($A286="","",IFERROR(SUMIF(tblMotor[A_Norm],$A286,tblMotor[Kargo]),0))</f>
        <v/>
      </c>
      <c r="F286" s="16">
        <f>IF($A286="","",IFERROR(SUMIF(tblMotor[A_Norm],$A286,tblMotor[IadeMaliyet]),0))</f>
        <v/>
      </c>
      <c r="G286" s="16">
        <f>IF($A286="","",IFERROR(SUMIF(tblMotor[A_Norm],$A286,tblMotor[ReklamHarcama]),0))</f>
        <v/>
      </c>
      <c r="H286" s="16">
        <f>IF(OR($A286="",$B286&lt;&gt;"tutar_farki"),"",IF(ABS($C286-$D286)&lt;=toleransKurus,"EGK-001",IF(ABS($C286-$F286)&lt;=toleransKurus,"EGK-002",IF(ABS($C286-$G286)&lt;=toleransKurus,"EGK-003",IF(ABS($C286-$E286)&lt;=toleransKurus,"EGK-004",IF($C286&gt;egk_esikFark,"EGK-005","TANIMSIZ"))))))</f>
        <v/>
      </c>
    </row>
    <row r="287">
      <c r="A287" s="22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IF($A287="","",IFERROR(SUMIF(tblMotor[A_Norm],$A287,tblMotor[KomisyonTutar]),0))</f>
        <v/>
      </c>
      <c r="E287" s="16">
        <f>IF($A287="","",IFERROR(SUMIF(tblMotor[A_Norm],$A287,tblMotor[Kargo]),0))</f>
        <v/>
      </c>
      <c r="F287" s="16">
        <f>IF($A287="","",IFERROR(SUMIF(tblMotor[A_Norm],$A287,tblMotor[IadeMaliyet]),0))</f>
        <v/>
      </c>
      <c r="G287" s="16">
        <f>IF($A287="","",IFERROR(SUMIF(tblMotor[A_Norm],$A287,tblMotor[ReklamHarcama]),0))</f>
        <v/>
      </c>
      <c r="H287" s="16">
        <f>IF(OR($A287="",$B287&lt;&gt;"tutar_farki"),"",IF(ABS($C287-$D287)&lt;=toleransKurus,"EGK-001",IF(ABS($C287-$F287)&lt;=toleransKurus,"EGK-002",IF(ABS($C287-$G287)&lt;=toleransKurus,"EGK-003",IF(ABS($C287-$E287)&lt;=toleransKurus,"EGK-004",IF($C287&gt;egk_esikFark,"EGK-005","TANIMSIZ"))))))</f>
        <v/>
      </c>
    </row>
    <row r="288">
      <c r="A288" s="22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IF($A288="","",IFERROR(SUMIF(tblMotor[A_Norm],$A288,tblMotor[KomisyonTutar]),0))</f>
        <v/>
      </c>
      <c r="E288" s="16">
        <f>IF($A288="","",IFERROR(SUMIF(tblMotor[A_Norm],$A288,tblMotor[Kargo]),0))</f>
        <v/>
      </c>
      <c r="F288" s="16">
        <f>IF($A288="","",IFERROR(SUMIF(tblMotor[A_Norm],$A288,tblMotor[IadeMaliyet]),0))</f>
        <v/>
      </c>
      <c r="G288" s="16">
        <f>IF($A288="","",IFERROR(SUMIF(tblMotor[A_Norm],$A288,tblMotor[ReklamHarcama]),0))</f>
        <v/>
      </c>
      <c r="H288" s="16">
        <f>IF(OR($A288="",$B288&lt;&gt;"tutar_farki"),"",IF(ABS($C288-$D288)&lt;=toleransKurus,"EGK-001",IF(ABS($C288-$F288)&lt;=toleransKurus,"EGK-002",IF(ABS($C288-$G288)&lt;=toleransKurus,"EGK-003",IF(ABS($C288-$E288)&lt;=toleransKurus,"EGK-004",IF($C288&gt;egk_esikFark,"EGK-005","TANIMSIZ"))))))</f>
        <v/>
      </c>
    </row>
    <row r="289">
      <c r="A289" s="22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IF($A289="","",IFERROR(SUMIF(tblMotor[A_Norm],$A289,tblMotor[KomisyonTutar]),0))</f>
        <v/>
      </c>
      <c r="E289" s="16">
        <f>IF($A289="","",IFERROR(SUMIF(tblMotor[A_Norm],$A289,tblMotor[Kargo]),0))</f>
        <v/>
      </c>
      <c r="F289" s="16">
        <f>IF($A289="","",IFERROR(SUMIF(tblMotor[A_Norm],$A289,tblMotor[IadeMaliyet]),0))</f>
        <v/>
      </c>
      <c r="G289" s="16">
        <f>IF($A289="","",IFERROR(SUMIF(tblMotor[A_Norm],$A289,tblMotor[ReklamHarcama]),0))</f>
        <v/>
      </c>
      <c r="H289" s="16">
        <f>IF(OR($A289="",$B289&lt;&gt;"tutar_farki"),"",IF(ABS($C289-$D289)&lt;=toleransKurus,"EGK-001",IF(ABS($C289-$F289)&lt;=toleransKurus,"EGK-002",IF(ABS($C289-$G289)&lt;=toleransKurus,"EGK-003",IF(ABS($C289-$E289)&lt;=toleransKurus,"EGK-004",IF($C289&gt;egk_esikFark,"EGK-005","TANIMSIZ"))))))</f>
        <v/>
      </c>
    </row>
    <row r="290">
      <c r="A290" s="22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IF($A290="","",IFERROR(SUMIF(tblMotor[A_Norm],$A290,tblMotor[KomisyonTutar]),0))</f>
        <v/>
      </c>
      <c r="E290" s="16">
        <f>IF($A290="","",IFERROR(SUMIF(tblMotor[A_Norm],$A290,tblMotor[Kargo]),0))</f>
        <v/>
      </c>
      <c r="F290" s="16">
        <f>IF($A290="","",IFERROR(SUMIF(tblMotor[A_Norm],$A290,tblMotor[IadeMaliyet]),0))</f>
        <v/>
      </c>
      <c r="G290" s="16">
        <f>IF($A290="","",IFERROR(SUMIF(tblMotor[A_Norm],$A290,tblMotor[ReklamHarcama]),0))</f>
        <v/>
      </c>
      <c r="H290" s="16">
        <f>IF(OR($A290="",$B290&lt;&gt;"tutar_farki"),"",IF(ABS($C290-$D290)&lt;=toleransKurus,"EGK-001",IF(ABS($C290-$F290)&lt;=toleransKurus,"EGK-002",IF(ABS($C290-$G290)&lt;=toleransKurus,"EGK-003",IF(ABS($C290-$E290)&lt;=toleransKurus,"EGK-004",IF($C290&gt;egk_esikFark,"EGK-005","TANIMSIZ"))))))</f>
        <v/>
      </c>
    </row>
    <row r="291">
      <c r="A291" s="22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IF($A291="","",IFERROR(SUMIF(tblMotor[A_Norm],$A291,tblMotor[KomisyonTutar]),0))</f>
        <v/>
      </c>
      <c r="E291" s="16">
        <f>IF($A291="","",IFERROR(SUMIF(tblMotor[A_Norm],$A291,tblMotor[Kargo]),0))</f>
        <v/>
      </c>
      <c r="F291" s="16">
        <f>IF($A291="","",IFERROR(SUMIF(tblMotor[A_Norm],$A291,tblMotor[IadeMaliyet]),0))</f>
        <v/>
      </c>
      <c r="G291" s="16">
        <f>IF($A291="","",IFERROR(SUMIF(tblMotor[A_Norm],$A291,tblMotor[ReklamHarcama]),0))</f>
        <v/>
      </c>
      <c r="H291" s="16">
        <f>IF(OR($A291="",$B291&lt;&gt;"tutar_farki"),"",IF(ABS($C291-$D291)&lt;=toleransKurus,"EGK-001",IF(ABS($C291-$F291)&lt;=toleransKurus,"EGK-002",IF(ABS($C291-$G291)&lt;=toleransKurus,"EGK-003",IF(ABS($C291-$E291)&lt;=toleransKurus,"EGK-004",IF($C291&gt;egk_esikFark,"EGK-005","TANIMSIZ"))))))</f>
        <v/>
      </c>
    </row>
    <row r="292">
      <c r="A292" s="22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IF($A292="","",IFERROR(SUMIF(tblMotor[A_Norm],$A292,tblMotor[KomisyonTutar]),0))</f>
        <v/>
      </c>
      <c r="E292" s="16">
        <f>IF($A292="","",IFERROR(SUMIF(tblMotor[A_Norm],$A292,tblMotor[Kargo]),0))</f>
        <v/>
      </c>
      <c r="F292" s="16">
        <f>IF($A292="","",IFERROR(SUMIF(tblMotor[A_Norm],$A292,tblMotor[IadeMaliyet]),0))</f>
        <v/>
      </c>
      <c r="G292" s="16">
        <f>IF($A292="","",IFERROR(SUMIF(tblMotor[A_Norm],$A292,tblMotor[ReklamHarcama]),0))</f>
        <v/>
      </c>
      <c r="H292" s="16">
        <f>IF(OR($A292="",$B292&lt;&gt;"tutar_farki"),"",IF(ABS($C292-$D292)&lt;=toleransKurus,"EGK-001",IF(ABS($C292-$F292)&lt;=toleransKurus,"EGK-002",IF(ABS($C292-$G292)&lt;=toleransKurus,"EGK-003",IF(ABS($C292-$E292)&lt;=toleransKurus,"EGK-004",IF($C292&gt;egk_esikFark,"EGK-005","TANIMSIZ"))))))</f>
        <v/>
      </c>
    </row>
    <row r="293">
      <c r="A293" s="22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IF($A293="","",IFERROR(SUMIF(tblMotor[A_Norm],$A293,tblMotor[KomisyonTutar]),0))</f>
        <v/>
      </c>
      <c r="E293" s="16">
        <f>IF($A293="","",IFERROR(SUMIF(tblMotor[A_Norm],$A293,tblMotor[Kargo]),0))</f>
        <v/>
      </c>
      <c r="F293" s="16">
        <f>IF($A293="","",IFERROR(SUMIF(tblMotor[A_Norm],$A293,tblMotor[IadeMaliyet]),0))</f>
        <v/>
      </c>
      <c r="G293" s="16">
        <f>IF($A293="","",IFERROR(SUMIF(tblMotor[A_Norm],$A293,tblMotor[ReklamHarcama]),0))</f>
        <v/>
      </c>
      <c r="H293" s="16">
        <f>IF(OR($A293="",$B293&lt;&gt;"tutar_farki"),"",IF(ABS($C293-$D293)&lt;=toleransKurus,"EGK-001",IF(ABS($C293-$F293)&lt;=toleransKurus,"EGK-002",IF(ABS($C293-$G293)&lt;=toleransKurus,"EGK-003",IF(ABS($C293-$E293)&lt;=toleransKurus,"EGK-004",IF($C293&gt;egk_esikFark,"EGK-005","TANIMSIZ"))))))</f>
        <v/>
      </c>
    </row>
    <row r="294">
      <c r="A294" s="22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IF($A294="","",IFERROR(SUMIF(tblMotor[A_Norm],$A294,tblMotor[KomisyonTutar]),0))</f>
        <v/>
      </c>
      <c r="E294" s="16">
        <f>IF($A294="","",IFERROR(SUMIF(tblMotor[A_Norm],$A294,tblMotor[Kargo]),0))</f>
        <v/>
      </c>
      <c r="F294" s="16">
        <f>IF($A294="","",IFERROR(SUMIF(tblMotor[A_Norm],$A294,tblMotor[IadeMaliyet]),0))</f>
        <v/>
      </c>
      <c r="G294" s="16">
        <f>IF($A294="","",IFERROR(SUMIF(tblMotor[A_Norm],$A294,tblMotor[ReklamHarcama]),0))</f>
        <v/>
      </c>
      <c r="H294" s="16">
        <f>IF(OR($A294="",$B294&lt;&gt;"tutar_farki"),"",IF(ABS($C294-$D294)&lt;=toleransKurus,"EGK-001",IF(ABS($C294-$F294)&lt;=toleransKurus,"EGK-002",IF(ABS($C294-$G294)&lt;=toleransKurus,"EGK-003",IF(ABS($C294-$E294)&lt;=toleransKurus,"EGK-004",IF($C294&gt;egk_esikFark,"EGK-005","TANIMSIZ"))))))</f>
        <v/>
      </c>
    </row>
    <row r="295">
      <c r="A295" s="22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IF($A295="","",IFERROR(SUMIF(tblMotor[A_Norm],$A295,tblMotor[KomisyonTutar]),0))</f>
        <v/>
      </c>
      <c r="E295" s="16">
        <f>IF($A295="","",IFERROR(SUMIF(tblMotor[A_Norm],$A295,tblMotor[Kargo]),0))</f>
        <v/>
      </c>
      <c r="F295" s="16">
        <f>IF($A295="","",IFERROR(SUMIF(tblMotor[A_Norm],$A295,tblMotor[IadeMaliyet]),0))</f>
        <v/>
      </c>
      <c r="G295" s="16">
        <f>IF($A295="","",IFERROR(SUMIF(tblMotor[A_Norm],$A295,tblMotor[ReklamHarcama]),0))</f>
        <v/>
      </c>
      <c r="H295" s="16">
        <f>IF(OR($A295="",$B295&lt;&gt;"tutar_farki"),"",IF(ABS($C295-$D295)&lt;=toleransKurus,"EGK-001",IF(ABS($C295-$F295)&lt;=toleransKurus,"EGK-002",IF(ABS($C295-$G295)&lt;=toleransKurus,"EGK-003",IF(ABS($C295-$E295)&lt;=toleransKurus,"EGK-004",IF($C295&gt;egk_esikFark,"EGK-005","TANIMSIZ"))))))</f>
        <v/>
      </c>
    </row>
    <row r="296">
      <c r="A296" s="22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IF($A296="","",IFERROR(SUMIF(tblMotor[A_Norm],$A296,tblMotor[KomisyonTutar]),0))</f>
        <v/>
      </c>
      <c r="E296" s="16">
        <f>IF($A296="","",IFERROR(SUMIF(tblMotor[A_Norm],$A296,tblMotor[Kargo]),0))</f>
        <v/>
      </c>
      <c r="F296" s="16">
        <f>IF($A296="","",IFERROR(SUMIF(tblMotor[A_Norm],$A296,tblMotor[IadeMaliyet]),0))</f>
        <v/>
      </c>
      <c r="G296" s="16">
        <f>IF($A296="","",IFERROR(SUMIF(tblMotor[A_Norm],$A296,tblMotor[ReklamHarcama]),0))</f>
        <v/>
      </c>
      <c r="H296" s="16">
        <f>IF(OR($A296="",$B296&lt;&gt;"tutar_farki"),"",IF(ABS($C296-$D296)&lt;=toleransKurus,"EGK-001",IF(ABS($C296-$F296)&lt;=toleransKurus,"EGK-002",IF(ABS($C296-$G296)&lt;=toleransKurus,"EGK-003",IF(ABS($C296-$E296)&lt;=toleransKurus,"EGK-004",IF($C296&gt;egk_esikFark,"EGK-005","TANIMSIZ"))))))</f>
        <v/>
      </c>
    </row>
    <row r="297">
      <c r="A297" s="22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IF($A297="","",IFERROR(SUMIF(tblMotor[A_Norm],$A297,tblMotor[KomisyonTutar]),0))</f>
        <v/>
      </c>
      <c r="E297" s="16">
        <f>IF($A297="","",IFERROR(SUMIF(tblMotor[A_Norm],$A297,tblMotor[Kargo]),0))</f>
        <v/>
      </c>
      <c r="F297" s="16">
        <f>IF($A297="","",IFERROR(SUMIF(tblMotor[A_Norm],$A297,tblMotor[IadeMaliyet]),0))</f>
        <v/>
      </c>
      <c r="G297" s="16">
        <f>IF($A297="","",IFERROR(SUMIF(tblMotor[A_Norm],$A297,tblMotor[ReklamHarcama]),0))</f>
        <v/>
      </c>
      <c r="H297" s="16">
        <f>IF(OR($A297="",$B297&lt;&gt;"tutar_farki"),"",IF(ABS($C297-$D297)&lt;=toleransKurus,"EGK-001",IF(ABS($C297-$F297)&lt;=toleransKurus,"EGK-002",IF(ABS($C297-$G297)&lt;=toleransKurus,"EGK-003",IF(ABS($C297-$E297)&lt;=toleransKurus,"EGK-004",IF($C297&gt;egk_esikFark,"EGK-005","TANIMSIZ"))))))</f>
        <v/>
      </c>
    </row>
    <row r="298">
      <c r="A298" s="22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IF($A298="","",IFERROR(SUMIF(tblMotor[A_Norm],$A298,tblMotor[KomisyonTutar]),0))</f>
        <v/>
      </c>
      <c r="E298" s="16">
        <f>IF($A298="","",IFERROR(SUMIF(tblMotor[A_Norm],$A298,tblMotor[Kargo]),0))</f>
        <v/>
      </c>
      <c r="F298" s="16">
        <f>IF($A298="","",IFERROR(SUMIF(tblMotor[A_Norm],$A298,tblMotor[IadeMaliyet]),0))</f>
        <v/>
      </c>
      <c r="G298" s="16">
        <f>IF($A298="","",IFERROR(SUMIF(tblMotor[A_Norm],$A298,tblMotor[ReklamHarcama]),0))</f>
        <v/>
      </c>
      <c r="H298" s="16">
        <f>IF(OR($A298="",$B298&lt;&gt;"tutar_farki"),"",IF(ABS($C298-$D298)&lt;=toleransKurus,"EGK-001",IF(ABS($C298-$F298)&lt;=toleransKurus,"EGK-002",IF(ABS($C298-$G298)&lt;=toleransKurus,"EGK-003",IF(ABS($C298-$E298)&lt;=toleransKurus,"EGK-004",IF($C298&gt;egk_esikFark,"EGK-005","TANIMSIZ"))))))</f>
        <v/>
      </c>
    </row>
    <row r="299">
      <c r="A299" s="22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IF($A299="","",IFERROR(SUMIF(tblMotor[A_Norm],$A299,tblMotor[KomisyonTutar]),0))</f>
        <v/>
      </c>
      <c r="E299" s="16">
        <f>IF($A299="","",IFERROR(SUMIF(tblMotor[A_Norm],$A299,tblMotor[Kargo]),0))</f>
        <v/>
      </c>
      <c r="F299" s="16">
        <f>IF($A299="","",IFERROR(SUMIF(tblMotor[A_Norm],$A299,tblMotor[IadeMaliyet]),0))</f>
        <v/>
      </c>
      <c r="G299" s="16">
        <f>IF($A299="","",IFERROR(SUMIF(tblMotor[A_Norm],$A299,tblMotor[ReklamHarcama]),0))</f>
        <v/>
      </c>
      <c r="H299" s="16">
        <f>IF(OR($A299="",$B299&lt;&gt;"tutar_farki"),"",IF(ABS($C299-$D299)&lt;=toleransKurus,"EGK-001",IF(ABS($C299-$F299)&lt;=toleransKurus,"EGK-002",IF(ABS($C299-$G299)&lt;=toleransKurus,"EGK-003",IF(ABS($C299-$E299)&lt;=toleransKurus,"EGK-004",IF($C299&gt;egk_esikFark,"EGK-005","TANIMSIZ"))))))</f>
        <v/>
      </c>
    </row>
    <row r="300">
      <c r="A300" s="22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IF($A300="","",IFERROR(SUMIF(tblMotor[A_Norm],$A300,tblMotor[KomisyonTutar]),0))</f>
        <v/>
      </c>
      <c r="E300" s="16">
        <f>IF($A300="","",IFERROR(SUMIF(tblMotor[A_Norm],$A300,tblMotor[Kargo]),0))</f>
        <v/>
      </c>
      <c r="F300" s="16">
        <f>IF($A300="","",IFERROR(SUMIF(tblMotor[A_Norm],$A300,tblMotor[IadeMaliyet]),0))</f>
        <v/>
      </c>
      <c r="G300" s="16">
        <f>IF($A300="","",IFERROR(SUMIF(tblMotor[A_Norm],$A300,tblMotor[ReklamHarcama]),0))</f>
        <v/>
      </c>
      <c r="H300" s="16">
        <f>IF(OR($A300="",$B300&lt;&gt;"tutar_farki"),"",IF(ABS($C300-$D300)&lt;=toleransKurus,"EGK-001",IF(ABS($C300-$F300)&lt;=toleransKurus,"EGK-002",IF(ABS($C300-$G300)&lt;=toleransKurus,"EGK-003",IF(ABS($C300-$E300)&lt;=toleransKurus,"EGK-004",IF($C300&gt;egk_esikFark,"EGK-005","TANIMSIZ"))))))</f>
        <v/>
      </c>
    </row>
    <row r="301">
      <c r="A301" s="22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IF($A301="","",IFERROR(SUMIF(tblMotor[A_Norm],$A301,tblMotor[KomisyonTutar]),0))</f>
        <v/>
      </c>
      <c r="E301" s="16">
        <f>IF($A301="","",IFERROR(SUMIF(tblMotor[A_Norm],$A301,tblMotor[Kargo]),0))</f>
        <v/>
      </c>
      <c r="F301" s="16">
        <f>IF($A301="","",IFERROR(SUMIF(tblMotor[A_Norm],$A301,tblMotor[IadeMaliyet]),0))</f>
        <v/>
      </c>
      <c r="G301" s="16">
        <f>IF($A301="","",IFERROR(SUMIF(tblMotor[A_Norm],$A301,tblMotor[ReklamHarcama]),0))</f>
        <v/>
      </c>
      <c r="H301" s="16">
        <f>IF(OR($A301="",$B301&lt;&gt;"tutar_farki"),"",IF(ABS($C301-$D301)&lt;=toleransKurus,"EGK-001",IF(ABS($C301-$F301)&lt;=toleransKurus,"EGK-002",IF(ABS($C301-$G301)&lt;=toleransKurus,"EGK-003",IF(ABS($C301-$E301)&lt;=toleransKurus,"EGK-004",IF($C301&gt;egk_esikFark,"EGK-005","TANIMSIZ"))))))</f>
        <v/>
      </c>
    </row>
    <row r="302">
      <c r="A302" s="22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IF($A302="","",IFERROR(SUMIF(tblMotor[A_Norm],$A302,tblMotor[KomisyonTutar]),0))</f>
        <v/>
      </c>
      <c r="E302" s="16">
        <f>IF($A302="","",IFERROR(SUMIF(tblMotor[A_Norm],$A302,tblMotor[Kargo]),0))</f>
        <v/>
      </c>
      <c r="F302" s="16">
        <f>IF($A302="","",IFERROR(SUMIF(tblMotor[A_Norm],$A302,tblMotor[IadeMaliyet]),0))</f>
        <v/>
      </c>
      <c r="G302" s="16">
        <f>IF($A302="","",IFERROR(SUMIF(tblMotor[A_Norm],$A302,tblMotor[ReklamHarcama]),0))</f>
        <v/>
      </c>
      <c r="H302" s="16">
        <f>IF(OR($A302="",$B302&lt;&gt;"tutar_farki"),"",IF(ABS($C302-$D302)&lt;=toleransKurus,"EGK-001",IF(ABS($C302-$F302)&lt;=toleransKurus,"EGK-002",IF(ABS($C302-$G302)&lt;=toleransKurus,"EGK-003",IF(ABS($C302-$E302)&lt;=toleransKurus,"EGK-004",IF($C302&gt;egk_esikFark,"EGK-005","TANIMSIZ"))))))</f>
        <v/>
      </c>
    </row>
    <row r="303">
      <c r="A303" s="22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IF($A303="","",IFERROR(SUMIF(tblMotor[A_Norm],$A303,tblMotor[KomisyonTutar]),0))</f>
        <v/>
      </c>
      <c r="E303" s="16">
        <f>IF($A303="","",IFERROR(SUMIF(tblMotor[A_Norm],$A303,tblMotor[Kargo]),0))</f>
        <v/>
      </c>
      <c r="F303" s="16">
        <f>IF($A303="","",IFERROR(SUMIF(tblMotor[A_Norm],$A303,tblMotor[IadeMaliyet]),0))</f>
        <v/>
      </c>
      <c r="G303" s="16">
        <f>IF($A303="","",IFERROR(SUMIF(tblMotor[A_Norm],$A303,tblMotor[ReklamHarcama]),0))</f>
        <v/>
      </c>
      <c r="H303" s="16">
        <f>IF(OR($A303="",$B303&lt;&gt;"tutar_farki"),"",IF(ABS($C303-$D303)&lt;=toleransKurus,"EGK-001",IF(ABS($C303-$F303)&lt;=toleransKurus,"EGK-002",IF(ABS($C303-$G303)&lt;=toleransKurus,"EGK-003",IF(ABS($C303-$E303)&lt;=toleransKurus,"EGK-004",IF($C303&gt;egk_esikFark,"EGK-005","TANIMSIZ"))))))</f>
        <v/>
      </c>
    </row>
    <row r="304">
      <c r="A304" s="22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IF($A304="","",IFERROR(SUMIF(tblMotor[A_Norm],$A304,tblMotor[KomisyonTutar]),0))</f>
        <v/>
      </c>
      <c r="E304" s="16">
        <f>IF($A304="","",IFERROR(SUMIF(tblMotor[A_Norm],$A304,tblMotor[Kargo]),0))</f>
        <v/>
      </c>
      <c r="F304" s="16">
        <f>IF($A304="","",IFERROR(SUMIF(tblMotor[A_Norm],$A304,tblMotor[IadeMaliyet]),0))</f>
        <v/>
      </c>
      <c r="G304" s="16">
        <f>IF($A304="","",IFERROR(SUMIF(tblMotor[A_Norm],$A304,tblMotor[ReklamHarcama]),0))</f>
        <v/>
      </c>
      <c r="H304" s="16">
        <f>IF(OR($A304="",$B304&lt;&gt;"tutar_farki"),"",IF(ABS($C304-$D304)&lt;=toleransKurus,"EGK-001",IF(ABS($C304-$F304)&lt;=toleransKurus,"EGK-002",IF(ABS($C304-$G304)&lt;=toleransKurus,"EGK-003",IF(ABS($C304-$E304)&lt;=toleransKurus,"EGK-004",IF($C304&gt;egk_esikFark,"EGK-005","TANIMSIZ"))))))</f>
        <v/>
      </c>
    </row>
    <row r="305">
      <c r="A305" s="22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IF($A305="","",IFERROR(SUMIF(tblMotor[A_Norm],$A305,tblMotor[KomisyonTutar]),0))</f>
        <v/>
      </c>
      <c r="E305" s="16">
        <f>IF($A305="","",IFERROR(SUMIF(tblMotor[A_Norm],$A305,tblMotor[Kargo]),0))</f>
        <v/>
      </c>
      <c r="F305" s="16">
        <f>IF($A305="","",IFERROR(SUMIF(tblMotor[A_Norm],$A305,tblMotor[IadeMaliyet]),0))</f>
        <v/>
      </c>
      <c r="G305" s="16">
        <f>IF($A305="","",IFERROR(SUMIF(tblMotor[A_Norm],$A305,tblMotor[ReklamHarcama]),0))</f>
        <v/>
      </c>
      <c r="H305" s="16">
        <f>IF(OR($A305="",$B305&lt;&gt;"tutar_farki"),"",IF(ABS($C305-$D305)&lt;=toleransKurus,"EGK-001",IF(ABS($C305-$F305)&lt;=toleransKurus,"EGK-002",IF(ABS($C305-$G305)&lt;=toleransKurus,"EGK-003",IF(ABS($C305-$E305)&lt;=toleransKurus,"EGK-004",IF($C305&gt;egk_esikFark,"EGK-005","TANIMSIZ"))))))</f>
        <v/>
      </c>
    </row>
    <row r="306">
      <c r="A306" s="22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IF($A306="","",IFERROR(SUMIF(tblMotor[A_Norm],$A306,tblMotor[KomisyonTutar]),0))</f>
        <v/>
      </c>
      <c r="E306" s="16">
        <f>IF($A306="","",IFERROR(SUMIF(tblMotor[A_Norm],$A306,tblMotor[Kargo]),0))</f>
        <v/>
      </c>
      <c r="F306" s="16">
        <f>IF($A306="","",IFERROR(SUMIF(tblMotor[A_Norm],$A306,tblMotor[IadeMaliyet]),0))</f>
        <v/>
      </c>
      <c r="G306" s="16">
        <f>IF($A306="","",IFERROR(SUMIF(tblMotor[A_Norm],$A306,tblMotor[ReklamHarcama]),0))</f>
        <v/>
      </c>
      <c r="H306" s="16">
        <f>IF(OR($A306="",$B306&lt;&gt;"tutar_farki"),"",IF(ABS($C306-$D306)&lt;=toleransKurus,"EGK-001",IF(ABS($C306-$F306)&lt;=toleransKurus,"EGK-002",IF(ABS($C306-$G306)&lt;=toleransKurus,"EGK-003",IF(ABS($C306-$E306)&lt;=toleransKurus,"EGK-004",IF($C306&gt;egk_esikFark,"EGK-005","TANIMSIZ"))))))</f>
        <v/>
      </c>
    </row>
    <row r="307">
      <c r="A307" s="22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IF($A307="","",IFERROR(SUMIF(tblMotor[A_Norm],$A307,tblMotor[KomisyonTutar]),0))</f>
        <v/>
      </c>
      <c r="E307" s="16">
        <f>IF($A307="","",IFERROR(SUMIF(tblMotor[A_Norm],$A307,tblMotor[Kargo]),0))</f>
        <v/>
      </c>
      <c r="F307" s="16">
        <f>IF($A307="","",IFERROR(SUMIF(tblMotor[A_Norm],$A307,tblMotor[IadeMaliyet]),0))</f>
        <v/>
      </c>
      <c r="G307" s="16">
        <f>IF($A307="","",IFERROR(SUMIF(tblMotor[A_Norm],$A307,tblMotor[ReklamHarcama]),0))</f>
        <v/>
      </c>
      <c r="H307" s="16">
        <f>IF(OR($A307="",$B307&lt;&gt;"tutar_farki"),"",IF(ABS($C307-$D307)&lt;=toleransKurus,"EGK-001",IF(ABS($C307-$F307)&lt;=toleransKurus,"EGK-002",IF(ABS($C307-$G307)&lt;=toleransKurus,"EGK-003",IF(ABS($C307-$E307)&lt;=toleransKurus,"EGK-004",IF($C307&gt;egk_esikFark,"EGK-005","TANIMSIZ"))))))</f>
        <v/>
      </c>
    </row>
    <row r="308">
      <c r="A308" s="22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IF($A308="","",IFERROR(SUMIF(tblMotor[A_Norm],$A308,tblMotor[KomisyonTutar]),0))</f>
        <v/>
      </c>
      <c r="E308" s="16">
        <f>IF($A308="","",IFERROR(SUMIF(tblMotor[A_Norm],$A308,tblMotor[Kargo]),0))</f>
        <v/>
      </c>
      <c r="F308" s="16">
        <f>IF($A308="","",IFERROR(SUMIF(tblMotor[A_Norm],$A308,tblMotor[IadeMaliyet]),0))</f>
        <v/>
      </c>
      <c r="G308" s="16">
        <f>IF($A308="","",IFERROR(SUMIF(tblMotor[A_Norm],$A308,tblMotor[ReklamHarcama]),0))</f>
        <v/>
      </c>
      <c r="H308" s="16">
        <f>IF(OR($A308="",$B308&lt;&gt;"tutar_farki"),"",IF(ABS($C308-$D308)&lt;=toleransKurus,"EGK-001",IF(ABS($C308-$F308)&lt;=toleransKurus,"EGK-002",IF(ABS($C308-$G308)&lt;=toleransKurus,"EGK-003",IF(ABS($C308-$E308)&lt;=toleransKurus,"EGK-004",IF($C308&gt;egk_esikFark,"EGK-005","TANIMSIZ"))))))</f>
        <v/>
      </c>
    </row>
    <row r="309">
      <c r="A309" s="22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IF($A309="","",IFERROR(SUMIF(tblMotor[A_Norm],$A309,tblMotor[KomisyonTutar]),0))</f>
        <v/>
      </c>
      <c r="E309" s="16">
        <f>IF($A309="","",IFERROR(SUMIF(tblMotor[A_Norm],$A309,tblMotor[Kargo]),0))</f>
        <v/>
      </c>
      <c r="F309" s="16">
        <f>IF($A309="","",IFERROR(SUMIF(tblMotor[A_Norm],$A309,tblMotor[IadeMaliyet]),0))</f>
        <v/>
      </c>
      <c r="G309" s="16">
        <f>IF($A309="","",IFERROR(SUMIF(tblMotor[A_Norm],$A309,tblMotor[ReklamHarcama]),0))</f>
        <v/>
      </c>
      <c r="H309" s="16">
        <f>IF(OR($A309="",$B309&lt;&gt;"tutar_farki"),"",IF(ABS($C309-$D309)&lt;=toleransKurus,"EGK-001",IF(ABS($C309-$F309)&lt;=toleransKurus,"EGK-002",IF(ABS($C309-$G309)&lt;=toleransKurus,"EGK-003",IF(ABS($C309-$E309)&lt;=toleransKurus,"EGK-004",IF($C309&gt;egk_esikFark,"EGK-005","TANIMSIZ"))))))</f>
        <v/>
      </c>
    </row>
    <row r="310">
      <c r="A310" s="22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IF($A310="","",IFERROR(SUMIF(tblMotor[A_Norm],$A310,tblMotor[KomisyonTutar]),0))</f>
        <v/>
      </c>
      <c r="E310" s="16">
        <f>IF($A310="","",IFERROR(SUMIF(tblMotor[A_Norm],$A310,tblMotor[Kargo]),0))</f>
        <v/>
      </c>
      <c r="F310" s="16">
        <f>IF($A310="","",IFERROR(SUMIF(tblMotor[A_Norm],$A310,tblMotor[IadeMaliyet]),0))</f>
        <v/>
      </c>
      <c r="G310" s="16">
        <f>IF($A310="","",IFERROR(SUMIF(tblMotor[A_Norm],$A310,tblMotor[ReklamHarcama]),0))</f>
        <v/>
      </c>
      <c r="H310" s="16">
        <f>IF(OR($A310="",$B310&lt;&gt;"tutar_farki"),"",IF(ABS($C310-$D310)&lt;=toleransKurus,"EGK-001",IF(ABS($C310-$F310)&lt;=toleransKurus,"EGK-002",IF(ABS($C310-$G310)&lt;=toleransKurus,"EGK-003",IF(ABS($C310-$E310)&lt;=toleransKurus,"EGK-004",IF($C310&gt;egk_esikFark,"EGK-005","TANIMSIZ"))))))</f>
        <v/>
      </c>
    </row>
    <row r="311">
      <c r="A311" s="22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IF($A311="","",IFERROR(SUMIF(tblMotor[A_Norm],$A311,tblMotor[KomisyonTutar]),0))</f>
        <v/>
      </c>
      <c r="E311" s="16">
        <f>IF($A311="","",IFERROR(SUMIF(tblMotor[A_Norm],$A311,tblMotor[Kargo]),0))</f>
        <v/>
      </c>
      <c r="F311" s="16">
        <f>IF($A311="","",IFERROR(SUMIF(tblMotor[A_Norm],$A311,tblMotor[IadeMaliyet]),0))</f>
        <v/>
      </c>
      <c r="G311" s="16">
        <f>IF($A311="","",IFERROR(SUMIF(tblMotor[A_Norm],$A311,tblMotor[ReklamHarcama]),0))</f>
        <v/>
      </c>
      <c r="H311" s="16">
        <f>IF(OR($A311="",$B311&lt;&gt;"tutar_farki"),"",IF(ABS($C311-$D311)&lt;=toleransKurus,"EGK-001",IF(ABS($C311-$F311)&lt;=toleransKurus,"EGK-002",IF(ABS($C311-$G311)&lt;=toleransKurus,"EGK-003",IF(ABS($C311-$E311)&lt;=toleransKurus,"EGK-004",IF($C311&gt;egk_esikFark,"EGK-005","TANIMSIZ"))))))</f>
        <v/>
      </c>
    </row>
    <row r="312">
      <c r="A312" s="22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IF($A312="","",IFERROR(SUMIF(tblMotor[A_Norm],$A312,tblMotor[KomisyonTutar]),0))</f>
        <v/>
      </c>
      <c r="E312" s="16">
        <f>IF($A312="","",IFERROR(SUMIF(tblMotor[A_Norm],$A312,tblMotor[Kargo]),0))</f>
        <v/>
      </c>
      <c r="F312" s="16">
        <f>IF($A312="","",IFERROR(SUMIF(tblMotor[A_Norm],$A312,tblMotor[IadeMaliyet]),0))</f>
        <v/>
      </c>
      <c r="G312" s="16">
        <f>IF($A312="","",IFERROR(SUMIF(tblMotor[A_Norm],$A312,tblMotor[ReklamHarcama]),0))</f>
        <v/>
      </c>
      <c r="H312" s="16">
        <f>IF(OR($A312="",$B312&lt;&gt;"tutar_farki"),"",IF(ABS($C312-$D312)&lt;=toleransKurus,"EGK-001",IF(ABS($C312-$F312)&lt;=toleransKurus,"EGK-002",IF(ABS($C312-$G312)&lt;=toleransKurus,"EGK-003",IF(ABS($C312-$E312)&lt;=toleransKurus,"EGK-004",IF($C312&gt;egk_esikFark,"EGK-005","TANIMSIZ"))))))</f>
        <v/>
      </c>
    </row>
    <row r="313">
      <c r="A313" s="22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IF($A313="","",IFERROR(SUMIF(tblMotor[A_Norm],$A313,tblMotor[KomisyonTutar]),0))</f>
        <v/>
      </c>
      <c r="E313" s="16">
        <f>IF($A313="","",IFERROR(SUMIF(tblMotor[A_Norm],$A313,tblMotor[Kargo]),0))</f>
        <v/>
      </c>
      <c r="F313" s="16">
        <f>IF($A313="","",IFERROR(SUMIF(tblMotor[A_Norm],$A313,tblMotor[IadeMaliyet]),0))</f>
        <v/>
      </c>
      <c r="G313" s="16">
        <f>IF($A313="","",IFERROR(SUMIF(tblMotor[A_Norm],$A313,tblMotor[ReklamHarcama]),0))</f>
        <v/>
      </c>
      <c r="H313" s="16">
        <f>IF(OR($A313="",$B313&lt;&gt;"tutar_farki"),"",IF(ABS($C313-$D313)&lt;=toleransKurus,"EGK-001",IF(ABS($C313-$F313)&lt;=toleransKurus,"EGK-002",IF(ABS($C313-$G313)&lt;=toleransKurus,"EGK-003",IF(ABS($C313-$E313)&lt;=toleransKurus,"EGK-004",IF($C313&gt;egk_esikFark,"EGK-005","TANIMSIZ"))))))</f>
        <v/>
      </c>
    </row>
    <row r="314">
      <c r="A314" s="22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IF($A314="","",IFERROR(SUMIF(tblMotor[A_Norm],$A314,tblMotor[KomisyonTutar]),0))</f>
        <v/>
      </c>
      <c r="E314" s="16">
        <f>IF($A314="","",IFERROR(SUMIF(tblMotor[A_Norm],$A314,tblMotor[Kargo]),0))</f>
        <v/>
      </c>
      <c r="F314" s="16">
        <f>IF($A314="","",IFERROR(SUMIF(tblMotor[A_Norm],$A314,tblMotor[IadeMaliyet]),0))</f>
        <v/>
      </c>
      <c r="G314" s="16">
        <f>IF($A314="","",IFERROR(SUMIF(tblMotor[A_Norm],$A314,tblMotor[ReklamHarcama]),0))</f>
        <v/>
      </c>
      <c r="H314" s="16">
        <f>IF(OR($A314="",$B314&lt;&gt;"tutar_farki"),"",IF(ABS($C314-$D314)&lt;=toleransKurus,"EGK-001",IF(ABS($C314-$F314)&lt;=toleransKurus,"EGK-002",IF(ABS($C314-$G314)&lt;=toleransKurus,"EGK-003",IF(ABS($C314-$E314)&lt;=toleransKurus,"EGK-004",IF($C314&gt;egk_esikFark,"EGK-005","TANIMSIZ"))))))</f>
        <v/>
      </c>
    </row>
    <row r="315">
      <c r="A315" s="22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IF($A315="","",IFERROR(SUMIF(tblMotor[A_Norm],$A315,tblMotor[KomisyonTutar]),0))</f>
        <v/>
      </c>
      <c r="E315" s="16">
        <f>IF($A315="","",IFERROR(SUMIF(tblMotor[A_Norm],$A315,tblMotor[Kargo]),0))</f>
        <v/>
      </c>
      <c r="F315" s="16">
        <f>IF($A315="","",IFERROR(SUMIF(tblMotor[A_Norm],$A315,tblMotor[IadeMaliyet]),0))</f>
        <v/>
      </c>
      <c r="G315" s="16">
        <f>IF($A315="","",IFERROR(SUMIF(tblMotor[A_Norm],$A315,tblMotor[ReklamHarcama]),0))</f>
        <v/>
      </c>
      <c r="H315" s="16">
        <f>IF(OR($A315="",$B315&lt;&gt;"tutar_farki"),"",IF(ABS($C315-$D315)&lt;=toleransKurus,"EGK-001",IF(ABS($C315-$F315)&lt;=toleransKurus,"EGK-002",IF(ABS($C315-$G315)&lt;=toleransKurus,"EGK-003",IF(ABS($C315-$E315)&lt;=toleransKurus,"EGK-004",IF($C315&gt;egk_esikFark,"EGK-005","TANIMSIZ"))))))</f>
        <v/>
      </c>
    </row>
    <row r="316">
      <c r="A316" s="22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IF($A316="","",IFERROR(SUMIF(tblMotor[A_Norm],$A316,tblMotor[KomisyonTutar]),0))</f>
        <v/>
      </c>
      <c r="E316" s="16">
        <f>IF($A316="","",IFERROR(SUMIF(tblMotor[A_Norm],$A316,tblMotor[Kargo]),0))</f>
        <v/>
      </c>
      <c r="F316" s="16">
        <f>IF($A316="","",IFERROR(SUMIF(tblMotor[A_Norm],$A316,tblMotor[IadeMaliyet]),0))</f>
        <v/>
      </c>
      <c r="G316" s="16">
        <f>IF($A316="","",IFERROR(SUMIF(tblMotor[A_Norm],$A316,tblMotor[ReklamHarcama]),0))</f>
        <v/>
      </c>
      <c r="H316" s="16">
        <f>IF(OR($A316="",$B316&lt;&gt;"tutar_farki"),"",IF(ABS($C316-$D316)&lt;=toleransKurus,"EGK-001",IF(ABS($C316-$F316)&lt;=toleransKurus,"EGK-002",IF(ABS($C316-$G316)&lt;=toleransKurus,"EGK-003",IF(ABS($C316-$E316)&lt;=toleransKurus,"EGK-004",IF($C316&gt;egk_esikFark,"EGK-005","TANIMSIZ"))))))</f>
        <v/>
      </c>
    </row>
    <row r="317">
      <c r="A317" s="22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IF($A317="","",IFERROR(SUMIF(tblMotor[A_Norm],$A317,tblMotor[KomisyonTutar]),0))</f>
        <v/>
      </c>
      <c r="E317" s="16">
        <f>IF($A317="","",IFERROR(SUMIF(tblMotor[A_Norm],$A317,tblMotor[Kargo]),0))</f>
        <v/>
      </c>
      <c r="F317" s="16">
        <f>IF($A317="","",IFERROR(SUMIF(tblMotor[A_Norm],$A317,tblMotor[IadeMaliyet]),0))</f>
        <v/>
      </c>
      <c r="G317" s="16">
        <f>IF($A317="","",IFERROR(SUMIF(tblMotor[A_Norm],$A317,tblMotor[ReklamHarcama]),0))</f>
        <v/>
      </c>
      <c r="H317" s="16">
        <f>IF(OR($A317="",$B317&lt;&gt;"tutar_farki"),"",IF(ABS($C317-$D317)&lt;=toleransKurus,"EGK-001",IF(ABS($C317-$F317)&lt;=toleransKurus,"EGK-002",IF(ABS($C317-$G317)&lt;=toleransKurus,"EGK-003",IF(ABS($C317-$E317)&lt;=toleransKurus,"EGK-004",IF($C317&gt;egk_esikFark,"EGK-005","TANIMSIZ"))))))</f>
        <v/>
      </c>
    </row>
    <row r="318">
      <c r="A318" s="22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IF($A318="","",IFERROR(SUMIF(tblMotor[A_Norm],$A318,tblMotor[KomisyonTutar]),0))</f>
        <v/>
      </c>
      <c r="E318" s="16">
        <f>IF($A318="","",IFERROR(SUMIF(tblMotor[A_Norm],$A318,tblMotor[Kargo]),0))</f>
        <v/>
      </c>
      <c r="F318" s="16">
        <f>IF($A318="","",IFERROR(SUMIF(tblMotor[A_Norm],$A318,tblMotor[IadeMaliyet]),0))</f>
        <v/>
      </c>
      <c r="G318" s="16">
        <f>IF($A318="","",IFERROR(SUMIF(tblMotor[A_Norm],$A318,tblMotor[ReklamHarcama]),0))</f>
        <v/>
      </c>
      <c r="H318" s="16">
        <f>IF(OR($A318="",$B318&lt;&gt;"tutar_farki"),"",IF(ABS($C318-$D318)&lt;=toleransKurus,"EGK-001",IF(ABS($C318-$F318)&lt;=toleransKurus,"EGK-002",IF(ABS($C318-$G318)&lt;=toleransKurus,"EGK-003",IF(ABS($C318-$E318)&lt;=toleransKurus,"EGK-004",IF($C318&gt;egk_esikFark,"EGK-005","TANIMSIZ"))))))</f>
        <v/>
      </c>
    </row>
    <row r="319">
      <c r="A319" s="22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IF($A319="","",IFERROR(SUMIF(tblMotor[A_Norm],$A319,tblMotor[KomisyonTutar]),0))</f>
        <v/>
      </c>
      <c r="E319" s="16">
        <f>IF($A319="","",IFERROR(SUMIF(tblMotor[A_Norm],$A319,tblMotor[Kargo]),0))</f>
        <v/>
      </c>
      <c r="F319" s="16">
        <f>IF($A319="","",IFERROR(SUMIF(tblMotor[A_Norm],$A319,tblMotor[IadeMaliyet]),0))</f>
        <v/>
      </c>
      <c r="G319" s="16">
        <f>IF($A319="","",IFERROR(SUMIF(tblMotor[A_Norm],$A319,tblMotor[ReklamHarcama]),0))</f>
        <v/>
      </c>
      <c r="H319" s="16">
        <f>IF(OR($A319="",$B319&lt;&gt;"tutar_farki"),"",IF(ABS($C319-$D319)&lt;=toleransKurus,"EGK-001",IF(ABS($C319-$F319)&lt;=toleransKurus,"EGK-002",IF(ABS($C319-$G319)&lt;=toleransKurus,"EGK-003",IF(ABS($C319-$E319)&lt;=toleransKurus,"EGK-004",IF($C319&gt;egk_esikFark,"EGK-005","TANIMSIZ"))))))</f>
        <v/>
      </c>
    </row>
    <row r="320">
      <c r="A320" s="22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IF($A320="","",IFERROR(SUMIF(tblMotor[A_Norm],$A320,tblMotor[KomisyonTutar]),0))</f>
        <v/>
      </c>
      <c r="E320" s="16">
        <f>IF($A320="","",IFERROR(SUMIF(tblMotor[A_Norm],$A320,tblMotor[Kargo]),0))</f>
        <v/>
      </c>
      <c r="F320" s="16">
        <f>IF($A320="","",IFERROR(SUMIF(tblMotor[A_Norm],$A320,tblMotor[IadeMaliyet]),0))</f>
        <v/>
      </c>
      <c r="G320" s="16">
        <f>IF($A320="","",IFERROR(SUMIF(tblMotor[A_Norm],$A320,tblMotor[ReklamHarcama]),0))</f>
        <v/>
      </c>
      <c r="H320" s="16">
        <f>IF(OR($A320="",$B320&lt;&gt;"tutar_farki"),"",IF(ABS($C320-$D320)&lt;=toleransKurus,"EGK-001",IF(ABS($C320-$F320)&lt;=toleransKurus,"EGK-002",IF(ABS($C320-$G320)&lt;=toleransKurus,"EGK-003",IF(ABS($C320-$E320)&lt;=toleransKurus,"EGK-004",IF($C320&gt;egk_esikFark,"EGK-005","TANIMSIZ"))))))</f>
        <v/>
      </c>
    </row>
    <row r="321">
      <c r="A321" s="22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IF($A321="","",IFERROR(SUMIF(tblMotor[A_Norm],$A321,tblMotor[KomisyonTutar]),0))</f>
        <v/>
      </c>
      <c r="E321" s="16">
        <f>IF($A321="","",IFERROR(SUMIF(tblMotor[A_Norm],$A321,tblMotor[Kargo]),0))</f>
        <v/>
      </c>
      <c r="F321" s="16">
        <f>IF($A321="","",IFERROR(SUMIF(tblMotor[A_Norm],$A321,tblMotor[IadeMaliyet]),0))</f>
        <v/>
      </c>
      <c r="G321" s="16">
        <f>IF($A321="","",IFERROR(SUMIF(tblMotor[A_Norm],$A321,tblMotor[ReklamHarcama]),0))</f>
        <v/>
      </c>
      <c r="H321" s="16">
        <f>IF(OR($A321="",$B321&lt;&gt;"tutar_farki"),"",IF(ABS($C321-$D321)&lt;=toleransKurus,"EGK-001",IF(ABS($C321-$F321)&lt;=toleransKurus,"EGK-002",IF(ABS($C321-$G321)&lt;=toleransKurus,"EGK-003",IF(ABS($C321-$E321)&lt;=toleransKurus,"EGK-004",IF($C321&gt;egk_esikFark,"EGK-005","TANIMSIZ"))))))</f>
        <v/>
      </c>
    </row>
    <row r="322">
      <c r="A322" s="22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IF($A322="","",IFERROR(SUMIF(tblMotor[A_Norm],$A322,tblMotor[KomisyonTutar]),0))</f>
        <v/>
      </c>
      <c r="E322" s="16">
        <f>IF($A322="","",IFERROR(SUMIF(tblMotor[A_Norm],$A322,tblMotor[Kargo]),0))</f>
        <v/>
      </c>
      <c r="F322" s="16">
        <f>IF($A322="","",IFERROR(SUMIF(tblMotor[A_Norm],$A322,tblMotor[IadeMaliyet]),0))</f>
        <v/>
      </c>
      <c r="G322" s="16">
        <f>IF($A322="","",IFERROR(SUMIF(tblMotor[A_Norm],$A322,tblMotor[ReklamHarcama]),0))</f>
        <v/>
      </c>
      <c r="H322" s="16">
        <f>IF(OR($A322="",$B322&lt;&gt;"tutar_farki"),"",IF(ABS($C322-$D322)&lt;=toleransKurus,"EGK-001",IF(ABS($C322-$F322)&lt;=toleransKurus,"EGK-002",IF(ABS($C322-$G322)&lt;=toleransKurus,"EGK-003",IF(ABS($C322-$E322)&lt;=toleransKurus,"EGK-004",IF($C322&gt;egk_esikFark,"EGK-005","TANIMSIZ"))))))</f>
        <v/>
      </c>
    </row>
    <row r="323">
      <c r="A323" s="22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IF($A323="","",IFERROR(SUMIF(tblMotor[A_Norm],$A323,tblMotor[KomisyonTutar]),0))</f>
        <v/>
      </c>
      <c r="E323" s="16">
        <f>IF($A323="","",IFERROR(SUMIF(tblMotor[A_Norm],$A323,tblMotor[Kargo]),0))</f>
        <v/>
      </c>
      <c r="F323" s="16">
        <f>IF($A323="","",IFERROR(SUMIF(tblMotor[A_Norm],$A323,tblMotor[IadeMaliyet]),0))</f>
        <v/>
      </c>
      <c r="G323" s="16">
        <f>IF($A323="","",IFERROR(SUMIF(tblMotor[A_Norm],$A323,tblMotor[ReklamHarcama]),0))</f>
        <v/>
      </c>
      <c r="H323" s="16">
        <f>IF(OR($A323="",$B323&lt;&gt;"tutar_farki"),"",IF(ABS($C323-$D323)&lt;=toleransKurus,"EGK-001",IF(ABS($C323-$F323)&lt;=toleransKurus,"EGK-002",IF(ABS($C323-$G323)&lt;=toleransKurus,"EGK-003",IF(ABS($C323-$E323)&lt;=toleransKurus,"EGK-004",IF($C323&gt;egk_esikFark,"EGK-005","TANIMSIZ"))))))</f>
        <v/>
      </c>
    </row>
    <row r="324">
      <c r="A324" s="22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IF($A324="","",IFERROR(SUMIF(tblMotor[A_Norm],$A324,tblMotor[KomisyonTutar]),0))</f>
        <v/>
      </c>
      <c r="E324" s="16">
        <f>IF($A324="","",IFERROR(SUMIF(tblMotor[A_Norm],$A324,tblMotor[Kargo]),0))</f>
        <v/>
      </c>
      <c r="F324" s="16">
        <f>IF($A324="","",IFERROR(SUMIF(tblMotor[A_Norm],$A324,tblMotor[IadeMaliyet]),0))</f>
        <v/>
      </c>
      <c r="G324" s="16">
        <f>IF($A324="","",IFERROR(SUMIF(tblMotor[A_Norm],$A324,tblMotor[ReklamHarcama]),0))</f>
        <v/>
      </c>
      <c r="H324" s="16">
        <f>IF(OR($A324="",$B324&lt;&gt;"tutar_farki"),"",IF(ABS($C324-$D324)&lt;=toleransKurus,"EGK-001",IF(ABS($C324-$F324)&lt;=toleransKurus,"EGK-002",IF(ABS($C324-$G324)&lt;=toleransKurus,"EGK-003",IF(ABS($C324-$E324)&lt;=toleransKurus,"EGK-004",IF($C324&gt;egk_esikFark,"EGK-005","TANIMSIZ"))))))</f>
        <v/>
      </c>
    </row>
    <row r="325">
      <c r="A325" s="22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IF($A325="","",IFERROR(SUMIF(tblMotor[A_Norm],$A325,tblMotor[KomisyonTutar]),0))</f>
        <v/>
      </c>
      <c r="E325" s="16">
        <f>IF($A325="","",IFERROR(SUMIF(tblMotor[A_Norm],$A325,tblMotor[Kargo]),0))</f>
        <v/>
      </c>
      <c r="F325" s="16">
        <f>IF($A325="","",IFERROR(SUMIF(tblMotor[A_Norm],$A325,tblMotor[IadeMaliyet]),0))</f>
        <v/>
      </c>
      <c r="G325" s="16">
        <f>IF($A325="","",IFERROR(SUMIF(tblMotor[A_Norm],$A325,tblMotor[ReklamHarcama]),0))</f>
        <v/>
      </c>
      <c r="H325" s="16">
        <f>IF(OR($A325="",$B325&lt;&gt;"tutar_farki"),"",IF(ABS($C325-$D325)&lt;=toleransKurus,"EGK-001",IF(ABS($C325-$F325)&lt;=toleransKurus,"EGK-002",IF(ABS($C325-$G325)&lt;=toleransKurus,"EGK-003",IF(ABS($C325-$E325)&lt;=toleransKurus,"EGK-004",IF($C325&gt;egk_esikFark,"EGK-005","TANIMSIZ"))))))</f>
        <v/>
      </c>
    </row>
    <row r="326">
      <c r="A326" s="22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IF($A326="","",IFERROR(SUMIF(tblMotor[A_Norm],$A326,tblMotor[KomisyonTutar]),0))</f>
        <v/>
      </c>
      <c r="E326" s="16">
        <f>IF($A326="","",IFERROR(SUMIF(tblMotor[A_Norm],$A326,tblMotor[Kargo]),0))</f>
        <v/>
      </c>
      <c r="F326" s="16">
        <f>IF($A326="","",IFERROR(SUMIF(tblMotor[A_Norm],$A326,tblMotor[IadeMaliyet]),0))</f>
        <v/>
      </c>
      <c r="G326" s="16">
        <f>IF($A326="","",IFERROR(SUMIF(tblMotor[A_Norm],$A326,tblMotor[ReklamHarcama]),0))</f>
        <v/>
      </c>
      <c r="H326" s="16">
        <f>IF(OR($A326="",$B326&lt;&gt;"tutar_farki"),"",IF(ABS($C326-$D326)&lt;=toleransKurus,"EGK-001",IF(ABS($C326-$F326)&lt;=toleransKurus,"EGK-002",IF(ABS($C326-$G326)&lt;=toleransKurus,"EGK-003",IF(ABS($C326-$E326)&lt;=toleransKurus,"EGK-004",IF($C326&gt;egk_esikFark,"EGK-005","TANIMSIZ"))))))</f>
        <v/>
      </c>
    </row>
    <row r="327">
      <c r="A327" s="22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IF($A327="","",IFERROR(SUMIF(tblMotor[A_Norm],$A327,tblMotor[KomisyonTutar]),0))</f>
        <v/>
      </c>
      <c r="E327" s="16">
        <f>IF($A327="","",IFERROR(SUMIF(tblMotor[A_Norm],$A327,tblMotor[Kargo]),0))</f>
        <v/>
      </c>
      <c r="F327" s="16">
        <f>IF($A327="","",IFERROR(SUMIF(tblMotor[A_Norm],$A327,tblMotor[IadeMaliyet]),0))</f>
        <v/>
      </c>
      <c r="G327" s="16">
        <f>IF($A327="","",IFERROR(SUMIF(tblMotor[A_Norm],$A327,tblMotor[ReklamHarcama]),0))</f>
        <v/>
      </c>
      <c r="H327" s="16">
        <f>IF(OR($A327="",$B327&lt;&gt;"tutar_farki"),"",IF(ABS($C327-$D327)&lt;=toleransKurus,"EGK-001",IF(ABS($C327-$F327)&lt;=toleransKurus,"EGK-002",IF(ABS($C327-$G327)&lt;=toleransKurus,"EGK-003",IF(ABS($C327-$E327)&lt;=toleransKurus,"EGK-004",IF($C327&gt;egk_esikFark,"EGK-005","TANIMSIZ"))))))</f>
        <v/>
      </c>
    </row>
    <row r="328">
      <c r="A328" s="22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IF($A328="","",IFERROR(SUMIF(tblMotor[A_Norm],$A328,tblMotor[KomisyonTutar]),0))</f>
        <v/>
      </c>
      <c r="E328" s="16">
        <f>IF($A328="","",IFERROR(SUMIF(tblMotor[A_Norm],$A328,tblMotor[Kargo]),0))</f>
        <v/>
      </c>
      <c r="F328" s="16">
        <f>IF($A328="","",IFERROR(SUMIF(tblMotor[A_Norm],$A328,tblMotor[IadeMaliyet]),0))</f>
        <v/>
      </c>
      <c r="G328" s="16">
        <f>IF($A328="","",IFERROR(SUMIF(tblMotor[A_Norm],$A328,tblMotor[ReklamHarcama]),0))</f>
        <v/>
      </c>
      <c r="H328" s="16">
        <f>IF(OR($A328="",$B328&lt;&gt;"tutar_farki"),"",IF(ABS($C328-$D328)&lt;=toleransKurus,"EGK-001",IF(ABS($C328-$F328)&lt;=toleransKurus,"EGK-002",IF(ABS($C328-$G328)&lt;=toleransKurus,"EGK-003",IF(ABS($C328-$E328)&lt;=toleransKurus,"EGK-004",IF($C328&gt;egk_esikFark,"EGK-005","TANIMSIZ"))))))</f>
        <v/>
      </c>
    </row>
    <row r="329">
      <c r="A329" s="22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IF($A329="","",IFERROR(SUMIF(tblMotor[A_Norm],$A329,tblMotor[KomisyonTutar]),0))</f>
        <v/>
      </c>
      <c r="E329" s="16">
        <f>IF($A329="","",IFERROR(SUMIF(tblMotor[A_Norm],$A329,tblMotor[Kargo]),0))</f>
        <v/>
      </c>
      <c r="F329" s="16">
        <f>IF($A329="","",IFERROR(SUMIF(tblMotor[A_Norm],$A329,tblMotor[IadeMaliyet]),0))</f>
        <v/>
      </c>
      <c r="G329" s="16">
        <f>IF($A329="","",IFERROR(SUMIF(tblMotor[A_Norm],$A329,tblMotor[ReklamHarcama]),0))</f>
        <v/>
      </c>
      <c r="H329" s="16">
        <f>IF(OR($A329="",$B329&lt;&gt;"tutar_farki"),"",IF(ABS($C329-$D329)&lt;=toleransKurus,"EGK-001",IF(ABS($C329-$F329)&lt;=toleransKurus,"EGK-002",IF(ABS($C329-$G329)&lt;=toleransKurus,"EGK-003",IF(ABS($C329-$E329)&lt;=toleransKurus,"EGK-004",IF($C329&gt;egk_esikFark,"EGK-005","TANIMSIZ"))))))</f>
        <v/>
      </c>
    </row>
    <row r="330">
      <c r="A330" s="22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IF($A330="","",IFERROR(SUMIF(tblMotor[A_Norm],$A330,tblMotor[KomisyonTutar]),0))</f>
        <v/>
      </c>
      <c r="E330" s="16">
        <f>IF($A330="","",IFERROR(SUMIF(tblMotor[A_Norm],$A330,tblMotor[Kargo]),0))</f>
        <v/>
      </c>
      <c r="F330" s="16">
        <f>IF($A330="","",IFERROR(SUMIF(tblMotor[A_Norm],$A330,tblMotor[IadeMaliyet]),0))</f>
        <v/>
      </c>
      <c r="G330" s="16">
        <f>IF($A330="","",IFERROR(SUMIF(tblMotor[A_Norm],$A330,tblMotor[ReklamHarcama]),0))</f>
        <v/>
      </c>
      <c r="H330" s="16">
        <f>IF(OR($A330="",$B330&lt;&gt;"tutar_farki"),"",IF(ABS($C330-$D330)&lt;=toleransKurus,"EGK-001",IF(ABS($C330-$F330)&lt;=toleransKurus,"EGK-002",IF(ABS($C330-$G330)&lt;=toleransKurus,"EGK-003",IF(ABS($C330-$E330)&lt;=toleransKurus,"EGK-004",IF($C330&gt;egk_esikFark,"EGK-005","TANIMSIZ"))))))</f>
        <v/>
      </c>
    </row>
    <row r="331">
      <c r="A331" s="22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IF($A331="","",IFERROR(SUMIF(tblMotor[A_Norm],$A331,tblMotor[KomisyonTutar]),0))</f>
        <v/>
      </c>
      <c r="E331" s="16">
        <f>IF($A331="","",IFERROR(SUMIF(tblMotor[A_Norm],$A331,tblMotor[Kargo]),0))</f>
        <v/>
      </c>
      <c r="F331" s="16">
        <f>IF($A331="","",IFERROR(SUMIF(tblMotor[A_Norm],$A331,tblMotor[IadeMaliyet]),0))</f>
        <v/>
      </c>
      <c r="G331" s="16">
        <f>IF($A331="","",IFERROR(SUMIF(tblMotor[A_Norm],$A331,tblMotor[ReklamHarcama]),0))</f>
        <v/>
      </c>
      <c r="H331" s="16">
        <f>IF(OR($A331="",$B331&lt;&gt;"tutar_farki"),"",IF(ABS($C331-$D331)&lt;=toleransKurus,"EGK-001",IF(ABS($C331-$F331)&lt;=toleransKurus,"EGK-002",IF(ABS($C331-$G331)&lt;=toleransKurus,"EGK-003",IF(ABS($C331-$E331)&lt;=toleransKurus,"EGK-004",IF($C331&gt;egk_esikFark,"EGK-005","TANIMSIZ"))))))</f>
        <v/>
      </c>
    </row>
    <row r="332">
      <c r="A332" s="22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IF($A332="","",IFERROR(SUMIF(tblMotor[A_Norm],$A332,tblMotor[KomisyonTutar]),0))</f>
        <v/>
      </c>
      <c r="E332" s="16">
        <f>IF($A332="","",IFERROR(SUMIF(tblMotor[A_Norm],$A332,tblMotor[Kargo]),0))</f>
        <v/>
      </c>
      <c r="F332" s="16">
        <f>IF($A332="","",IFERROR(SUMIF(tblMotor[A_Norm],$A332,tblMotor[IadeMaliyet]),0))</f>
        <v/>
      </c>
      <c r="G332" s="16">
        <f>IF($A332="","",IFERROR(SUMIF(tblMotor[A_Norm],$A332,tblMotor[ReklamHarcama]),0))</f>
        <v/>
      </c>
      <c r="H332" s="16">
        <f>IF(OR($A332="",$B332&lt;&gt;"tutar_farki"),"",IF(ABS($C332-$D332)&lt;=toleransKurus,"EGK-001",IF(ABS($C332-$F332)&lt;=toleransKurus,"EGK-002",IF(ABS($C332-$G332)&lt;=toleransKurus,"EGK-003",IF(ABS($C332-$E332)&lt;=toleransKurus,"EGK-004",IF($C332&gt;egk_esikFark,"EGK-005","TANIMSIZ"))))))</f>
        <v/>
      </c>
    </row>
    <row r="333">
      <c r="A333" s="22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IF($A333="","",IFERROR(SUMIF(tblMotor[A_Norm],$A333,tblMotor[KomisyonTutar]),0))</f>
        <v/>
      </c>
      <c r="E333" s="16">
        <f>IF($A333="","",IFERROR(SUMIF(tblMotor[A_Norm],$A333,tblMotor[Kargo]),0))</f>
        <v/>
      </c>
      <c r="F333" s="16">
        <f>IF($A333="","",IFERROR(SUMIF(tblMotor[A_Norm],$A333,tblMotor[IadeMaliyet]),0))</f>
        <v/>
      </c>
      <c r="G333" s="16">
        <f>IF($A333="","",IFERROR(SUMIF(tblMotor[A_Norm],$A333,tblMotor[ReklamHarcama]),0))</f>
        <v/>
      </c>
      <c r="H333" s="16">
        <f>IF(OR($A333="",$B333&lt;&gt;"tutar_farki"),"",IF(ABS($C333-$D333)&lt;=toleransKurus,"EGK-001",IF(ABS($C333-$F333)&lt;=toleransKurus,"EGK-002",IF(ABS($C333-$G333)&lt;=toleransKurus,"EGK-003",IF(ABS($C333-$E333)&lt;=toleransKurus,"EGK-004",IF($C333&gt;egk_esikFark,"EGK-005","TANIMSIZ"))))))</f>
        <v/>
      </c>
    </row>
    <row r="334">
      <c r="A334" s="22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IF($A334="","",IFERROR(SUMIF(tblMotor[A_Norm],$A334,tblMotor[KomisyonTutar]),0))</f>
        <v/>
      </c>
      <c r="E334" s="16">
        <f>IF($A334="","",IFERROR(SUMIF(tblMotor[A_Norm],$A334,tblMotor[Kargo]),0))</f>
        <v/>
      </c>
      <c r="F334" s="16">
        <f>IF($A334="","",IFERROR(SUMIF(tblMotor[A_Norm],$A334,tblMotor[IadeMaliyet]),0))</f>
        <v/>
      </c>
      <c r="G334" s="16">
        <f>IF($A334="","",IFERROR(SUMIF(tblMotor[A_Norm],$A334,tblMotor[ReklamHarcama]),0))</f>
        <v/>
      </c>
      <c r="H334" s="16">
        <f>IF(OR($A334="",$B334&lt;&gt;"tutar_farki"),"",IF(ABS($C334-$D334)&lt;=toleransKurus,"EGK-001",IF(ABS($C334-$F334)&lt;=toleransKurus,"EGK-002",IF(ABS($C334-$G334)&lt;=toleransKurus,"EGK-003",IF(ABS($C334-$E334)&lt;=toleransKurus,"EGK-004",IF($C334&gt;egk_esikFark,"EGK-005","TANIMSIZ"))))))</f>
        <v/>
      </c>
    </row>
    <row r="335">
      <c r="A335" s="22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IF($A335="","",IFERROR(SUMIF(tblMotor[A_Norm],$A335,tblMotor[KomisyonTutar]),0))</f>
        <v/>
      </c>
      <c r="E335" s="16">
        <f>IF($A335="","",IFERROR(SUMIF(tblMotor[A_Norm],$A335,tblMotor[Kargo]),0))</f>
        <v/>
      </c>
      <c r="F335" s="16">
        <f>IF($A335="","",IFERROR(SUMIF(tblMotor[A_Norm],$A335,tblMotor[IadeMaliyet]),0))</f>
        <v/>
      </c>
      <c r="G335" s="16">
        <f>IF($A335="","",IFERROR(SUMIF(tblMotor[A_Norm],$A335,tblMotor[ReklamHarcama]),0))</f>
        <v/>
      </c>
      <c r="H335" s="16">
        <f>IF(OR($A335="",$B335&lt;&gt;"tutar_farki"),"",IF(ABS($C335-$D335)&lt;=toleransKurus,"EGK-001",IF(ABS($C335-$F335)&lt;=toleransKurus,"EGK-002",IF(ABS($C335-$G335)&lt;=toleransKurus,"EGK-003",IF(ABS($C335-$E335)&lt;=toleransKurus,"EGK-004",IF($C335&gt;egk_esikFark,"EGK-005","TANIMSIZ"))))))</f>
        <v/>
      </c>
    </row>
    <row r="336">
      <c r="A336" s="22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IF($A336="","",IFERROR(SUMIF(tblMotor[A_Norm],$A336,tblMotor[KomisyonTutar]),0))</f>
        <v/>
      </c>
      <c r="E336" s="16">
        <f>IF($A336="","",IFERROR(SUMIF(tblMotor[A_Norm],$A336,tblMotor[Kargo]),0))</f>
        <v/>
      </c>
      <c r="F336" s="16">
        <f>IF($A336="","",IFERROR(SUMIF(tblMotor[A_Norm],$A336,tblMotor[IadeMaliyet]),0))</f>
        <v/>
      </c>
      <c r="G336" s="16">
        <f>IF($A336="","",IFERROR(SUMIF(tblMotor[A_Norm],$A336,tblMotor[ReklamHarcama]),0))</f>
        <v/>
      </c>
      <c r="H336" s="16">
        <f>IF(OR($A336="",$B336&lt;&gt;"tutar_farki"),"",IF(ABS($C336-$D336)&lt;=toleransKurus,"EGK-001",IF(ABS($C336-$F336)&lt;=toleransKurus,"EGK-002",IF(ABS($C336-$G336)&lt;=toleransKurus,"EGK-003",IF(ABS($C336-$E336)&lt;=toleransKurus,"EGK-004",IF($C336&gt;egk_esikFark,"EGK-005","TANIMSIZ"))))))</f>
        <v/>
      </c>
    </row>
    <row r="337">
      <c r="A337" s="22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IF($A337="","",IFERROR(SUMIF(tblMotor[A_Norm],$A337,tblMotor[KomisyonTutar]),0))</f>
        <v/>
      </c>
      <c r="E337" s="16">
        <f>IF($A337="","",IFERROR(SUMIF(tblMotor[A_Norm],$A337,tblMotor[Kargo]),0))</f>
        <v/>
      </c>
      <c r="F337" s="16">
        <f>IF($A337="","",IFERROR(SUMIF(tblMotor[A_Norm],$A337,tblMotor[IadeMaliyet]),0))</f>
        <v/>
      </c>
      <c r="G337" s="16">
        <f>IF($A337="","",IFERROR(SUMIF(tblMotor[A_Norm],$A337,tblMotor[ReklamHarcama]),0))</f>
        <v/>
      </c>
      <c r="H337" s="16">
        <f>IF(OR($A337="",$B337&lt;&gt;"tutar_farki"),"",IF(ABS($C337-$D337)&lt;=toleransKurus,"EGK-001",IF(ABS($C337-$F337)&lt;=toleransKurus,"EGK-002",IF(ABS($C337-$G337)&lt;=toleransKurus,"EGK-003",IF(ABS($C337-$E337)&lt;=toleransKurus,"EGK-004",IF($C337&gt;egk_esikFark,"EGK-005","TANIMSIZ"))))))</f>
        <v/>
      </c>
    </row>
    <row r="338">
      <c r="A338" s="22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IF($A338="","",IFERROR(SUMIF(tblMotor[A_Norm],$A338,tblMotor[KomisyonTutar]),0))</f>
        <v/>
      </c>
      <c r="E338" s="16">
        <f>IF($A338="","",IFERROR(SUMIF(tblMotor[A_Norm],$A338,tblMotor[Kargo]),0))</f>
        <v/>
      </c>
      <c r="F338" s="16">
        <f>IF($A338="","",IFERROR(SUMIF(tblMotor[A_Norm],$A338,tblMotor[IadeMaliyet]),0))</f>
        <v/>
      </c>
      <c r="G338" s="16">
        <f>IF($A338="","",IFERROR(SUMIF(tblMotor[A_Norm],$A338,tblMotor[ReklamHarcama]),0))</f>
        <v/>
      </c>
      <c r="H338" s="16">
        <f>IF(OR($A338="",$B338&lt;&gt;"tutar_farki"),"",IF(ABS($C338-$D338)&lt;=toleransKurus,"EGK-001",IF(ABS($C338-$F338)&lt;=toleransKurus,"EGK-002",IF(ABS($C338-$G338)&lt;=toleransKurus,"EGK-003",IF(ABS($C338-$E338)&lt;=toleransKurus,"EGK-004",IF($C338&gt;egk_esikFark,"EGK-005","TANIMSIZ"))))))</f>
        <v/>
      </c>
    </row>
    <row r="339">
      <c r="A339" s="22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IF($A339="","",IFERROR(SUMIF(tblMotor[A_Norm],$A339,tblMotor[KomisyonTutar]),0))</f>
        <v/>
      </c>
      <c r="E339" s="16">
        <f>IF($A339="","",IFERROR(SUMIF(tblMotor[A_Norm],$A339,tblMotor[Kargo]),0))</f>
        <v/>
      </c>
      <c r="F339" s="16">
        <f>IF($A339="","",IFERROR(SUMIF(tblMotor[A_Norm],$A339,tblMotor[IadeMaliyet]),0))</f>
        <v/>
      </c>
      <c r="G339" s="16">
        <f>IF($A339="","",IFERROR(SUMIF(tblMotor[A_Norm],$A339,tblMotor[ReklamHarcama]),0))</f>
        <v/>
      </c>
      <c r="H339" s="16">
        <f>IF(OR($A339="",$B339&lt;&gt;"tutar_farki"),"",IF(ABS($C339-$D339)&lt;=toleransKurus,"EGK-001",IF(ABS($C339-$F339)&lt;=toleransKurus,"EGK-002",IF(ABS($C339-$G339)&lt;=toleransKurus,"EGK-003",IF(ABS($C339-$E339)&lt;=toleransKurus,"EGK-004",IF($C339&gt;egk_esikFark,"EGK-005","TANIMSIZ"))))))</f>
        <v/>
      </c>
    </row>
    <row r="340">
      <c r="A340" s="22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IF($A340="","",IFERROR(SUMIF(tblMotor[A_Norm],$A340,tblMotor[KomisyonTutar]),0))</f>
        <v/>
      </c>
      <c r="E340" s="16">
        <f>IF($A340="","",IFERROR(SUMIF(tblMotor[A_Norm],$A340,tblMotor[Kargo]),0))</f>
        <v/>
      </c>
      <c r="F340" s="16">
        <f>IF($A340="","",IFERROR(SUMIF(tblMotor[A_Norm],$A340,tblMotor[IadeMaliyet]),0))</f>
        <v/>
      </c>
      <c r="G340" s="16">
        <f>IF($A340="","",IFERROR(SUMIF(tblMotor[A_Norm],$A340,tblMotor[ReklamHarcama]),0))</f>
        <v/>
      </c>
      <c r="H340" s="16">
        <f>IF(OR($A340="",$B340&lt;&gt;"tutar_farki"),"",IF(ABS($C340-$D340)&lt;=toleransKurus,"EGK-001",IF(ABS($C340-$F340)&lt;=toleransKurus,"EGK-002",IF(ABS($C340-$G340)&lt;=toleransKurus,"EGK-003",IF(ABS($C340-$E340)&lt;=toleransKurus,"EGK-004",IF($C340&gt;egk_esikFark,"EGK-005","TANIMSIZ"))))))</f>
        <v/>
      </c>
    </row>
    <row r="341">
      <c r="A341" s="22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IF($A341="","",IFERROR(SUMIF(tblMotor[A_Norm],$A341,tblMotor[KomisyonTutar]),0))</f>
        <v/>
      </c>
      <c r="E341" s="16">
        <f>IF($A341="","",IFERROR(SUMIF(tblMotor[A_Norm],$A341,tblMotor[Kargo]),0))</f>
        <v/>
      </c>
      <c r="F341" s="16">
        <f>IF($A341="","",IFERROR(SUMIF(tblMotor[A_Norm],$A341,tblMotor[IadeMaliyet]),0))</f>
        <v/>
      </c>
      <c r="G341" s="16">
        <f>IF($A341="","",IFERROR(SUMIF(tblMotor[A_Norm],$A341,tblMotor[ReklamHarcama]),0))</f>
        <v/>
      </c>
      <c r="H341" s="16">
        <f>IF(OR($A341="",$B341&lt;&gt;"tutar_farki"),"",IF(ABS($C341-$D341)&lt;=toleransKurus,"EGK-001",IF(ABS($C341-$F341)&lt;=toleransKurus,"EGK-002",IF(ABS($C341-$G341)&lt;=toleransKurus,"EGK-003",IF(ABS($C341-$E341)&lt;=toleransKurus,"EGK-004",IF($C341&gt;egk_esikFark,"EGK-005","TANIMSIZ"))))))</f>
        <v/>
      </c>
    </row>
    <row r="342">
      <c r="A342" s="22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IF($A342="","",IFERROR(SUMIF(tblMotor[A_Norm],$A342,tblMotor[KomisyonTutar]),0))</f>
        <v/>
      </c>
      <c r="E342" s="16">
        <f>IF($A342="","",IFERROR(SUMIF(tblMotor[A_Norm],$A342,tblMotor[Kargo]),0))</f>
        <v/>
      </c>
      <c r="F342" s="16">
        <f>IF($A342="","",IFERROR(SUMIF(tblMotor[A_Norm],$A342,tblMotor[IadeMaliyet]),0))</f>
        <v/>
      </c>
      <c r="G342" s="16">
        <f>IF($A342="","",IFERROR(SUMIF(tblMotor[A_Norm],$A342,tblMotor[ReklamHarcama]),0))</f>
        <v/>
      </c>
      <c r="H342" s="16">
        <f>IF(OR($A342="",$B342&lt;&gt;"tutar_farki"),"",IF(ABS($C342-$D342)&lt;=toleransKurus,"EGK-001",IF(ABS($C342-$F342)&lt;=toleransKurus,"EGK-002",IF(ABS($C342-$G342)&lt;=toleransKurus,"EGK-003",IF(ABS($C342-$E342)&lt;=toleransKurus,"EGK-004",IF($C342&gt;egk_esikFark,"EGK-005","TANIMSIZ"))))))</f>
        <v/>
      </c>
    </row>
    <row r="343">
      <c r="A343" s="22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IF($A343="","",IFERROR(SUMIF(tblMotor[A_Norm],$A343,tblMotor[KomisyonTutar]),0))</f>
        <v/>
      </c>
      <c r="E343" s="16">
        <f>IF($A343="","",IFERROR(SUMIF(tblMotor[A_Norm],$A343,tblMotor[Kargo]),0))</f>
        <v/>
      </c>
      <c r="F343" s="16">
        <f>IF($A343="","",IFERROR(SUMIF(tblMotor[A_Norm],$A343,tblMotor[IadeMaliyet]),0))</f>
        <v/>
      </c>
      <c r="G343" s="16">
        <f>IF($A343="","",IFERROR(SUMIF(tblMotor[A_Norm],$A343,tblMotor[ReklamHarcama]),0))</f>
        <v/>
      </c>
      <c r="H343" s="16">
        <f>IF(OR($A343="",$B343&lt;&gt;"tutar_farki"),"",IF(ABS($C343-$D343)&lt;=toleransKurus,"EGK-001",IF(ABS($C343-$F343)&lt;=toleransKurus,"EGK-002",IF(ABS($C343-$G343)&lt;=toleransKurus,"EGK-003",IF(ABS($C343-$E343)&lt;=toleransKurus,"EGK-004",IF($C343&gt;egk_esikFark,"EGK-005","TANIMSIZ"))))))</f>
        <v/>
      </c>
    </row>
    <row r="344">
      <c r="A344" s="22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IF($A344="","",IFERROR(SUMIF(tblMotor[A_Norm],$A344,tblMotor[KomisyonTutar]),0))</f>
        <v/>
      </c>
      <c r="E344" s="16">
        <f>IF($A344="","",IFERROR(SUMIF(tblMotor[A_Norm],$A344,tblMotor[Kargo]),0))</f>
        <v/>
      </c>
      <c r="F344" s="16">
        <f>IF($A344="","",IFERROR(SUMIF(tblMotor[A_Norm],$A344,tblMotor[IadeMaliyet]),0))</f>
        <v/>
      </c>
      <c r="G344" s="16">
        <f>IF($A344="","",IFERROR(SUMIF(tblMotor[A_Norm],$A344,tblMotor[ReklamHarcama]),0))</f>
        <v/>
      </c>
      <c r="H344" s="16">
        <f>IF(OR($A344="",$B344&lt;&gt;"tutar_farki"),"",IF(ABS($C344-$D344)&lt;=toleransKurus,"EGK-001",IF(ABS($C344-$F344)&lt;=toleransKurus,"EGK-002",IF(ABS($C344-$G344)&lt;=toleransKurus,"EGK-003",IF(ABS($C344-$E344)&lt;=toleransKurus,"EGK-004",IF($C344&gt;egk_esikFark,"EGK-005","TANIMSIZ"))))))</f>
        <v/>
      </c>
    </row>
    <row r="345">
      <c r="A345" s="22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IF($A345="","",IFERROR(SUMIF(tblMotor[A_Norm],$A345,tblMotor[KomisyonTutar]),0))</f>
        <v/>
      </c>
      <c r="E345" s="16">
        <f>IF($A345="","",IFERROR(SUMIF(tblMotor[A_Norm],$A345,tblMotor[Kargo]),0))</f>
        <v/>
      </c>
      <c r="F345" s="16">
        <f>IF($A345="","",IFERROR(SUMIF(tblMotor[A_Norm],$A345,tblMotor[IadeMaliyet]),0))</f>
        <v/>
      </c>
      <c r="G345" s="16">
        <f>IF($A345="","",IFERROR(SUMIF(tblMotor[A_Norm],$A345,tblMotor[ReklamHarcama]),0))</f>
        <v/>
      </c>
      <c r="H345" s="16">
        <f>IF(OR($A345="",$B345&lt;&gt;"tutar_farki"),"",IF(ABS($C345-$D345)&lt;=toleransKurus,"EGK-001",IF(ABS($C345-$F345)&lt;=toleransKurus,"EGK-002",IF(ABS($C345-$G345)&lt;=toleransKurus,"EGK-003",IF(ABS($C345-$E345)&lt;=toleransKurus,"EGK-004",IF($C345&gt;egk_esikFark,"EGK-005","TANIMSIZ"))))))</f>
        <v/>
      </c>
    </row>
    <row r="346">
      <c r="A346" s="22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IF($A346="","",IFERROR(SUMIF(tblMotor[A_Norm],$A346,tblMotor[KomisyonTutar]),0))</f>
        <v/>
      </c>
      <c r="E346" s="16">
        <f>IF($A346="","",IFERROR(SUMIF(tblMotor[A_Norm],$A346,tblMotor[Kargo]),0))</f>
        <v/>
      </c>
      <c r="F346" s="16">
        <f>IF($A346="","",IFERROR(SUMIF(tblMotor[A_Norm],$A346,tblMotor[IadeMaliyet]),0))</f>
        <v/>
      </c>
      <c r="G346" s="16">
        <f>IF($A346="","",IFERROR(SUMIF(tblMotor[A_Norm],$A346,tblMotor[ReklamHarcama]),0))</f>
        <v/>
      </c>
      <c r="H346" s="16">
        <f>IF(OR($A346="",$B346&lt;&gt;"tutar_farki"),"",IF(ABS($C346-$D346)&lt;=toleransKurus,"EGK-001",IF(ABS($C346-$F346)&lt;=toleransKurus,"EGK-002",IF(ABS($C346-$G346)&lt;=toleransKurus,"EGK-003",IF(ABS($C346-$E346)&lt;=toleransKurus,"EGK-004",IF($C346&gt;egk_esikFark,"EGK-005","TANIMSIZ"))))))</f>
        <v/>
      </c>
    </row>
    <row r="347">
      <c r="A347" s="22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IF($A347="","",IFERROR(SUMIF(tblMotor[A_Norm],$A347,tblMotor[KomisyonTutar]),0))</f>
        <v/>
      </c>
      <c r="E347" s="16">
        <f>IF($A347="","",IFERROR(SUMIF(tblMotor[A_Norm],$A347,tblMotor[Kargo]),0))</f>
        <v/>
      </c>
      <c r="F347" s="16">
        <f>IF($A347="","",IFERROR(SUMIF(tblMotor[A_Norm],$A347,tblMotor[IadeMaliyet]),0))</f>
        <v/>
      </c>
      <c r="G347" s="16">
        <f>IF($A347="","",IFERROR(SUMIF(tblMotor[A_Norm],$A347,tblMotor[ReklamHarcama]),0))</f>
        <v/>
      </c>
      <c r="H347" s="16">
        <f>IF(OR($A347="",$B347&lt;&gt;"tutar_farki"),"",IF(ABS($C347-$D347)&lt;=toleransKurus,"EGK-001",IF(ABS($C347-$F347)&lt;=toleransKurus,"EGK-002",IF(ABS($C347-$G347)&lt;=toleransKurus,"EGK-003",IF(ABS($C347-$E347)&lt;=toleransKurus,"EGK-004",IF($C347&gt;egk_esikFark,"EGK-005","TANIMSIZ"))))))</f>
        <v/>
      </c>
    </row>
    <row r="348">
      <c r="A348" s="22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IF($A348="","",IFERROR(SUMIF(tblMotor[A_Norm],$A348,tblMotor[KomisyonTutar]),0))</f>
        <v/>
      </c>
      <c r="E348" s="16">
        <f>IF($A348="","",IFERROR(SUMIF(tblMotor[A_Norm],$A348,tblMotor[Kargo]),0))</f>
        <v/>
      </c>
      <c r="F348" s="16">
        <f>IF($A348="","",IFERROR(SUMIF(tblMotor[A_Norm],$A348,tblMotor[IadeMaliyet]),0))</f>
        <v/>
      </c>
      <c r="G348" s="16">
        <f>IF($A348="","",IFERROR(SUMIF(tblMotor[A_Norm],$A348,tblMotor[ReklamHarcama]),0))</f>
        <v/>
      </c>
      <c r="H348" s="16">
        <f>IF(OR($A348="",$B348&lt;&gt;"tutar_farki"),"",IF(ABS($C348-$D348)&lt;=toleransKurus,"EGK-001",IF(ABS($C348-$F348)&lt;=toleransKurus,"EGK-002",IF(ABS($C348-$G348)&lt;=toleransKurus,"EGK-003",IF(ABS($C348-$E348)&lt;=toleransKurus,"EGK-004",IF($C348&gt;egk_esikFark,"EGK-005","TANIMSIZ"))))))</f>
        <v/>
      </c>
    </row>
    <row r="349">
      <c r="A349" s="22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IF($A349="","",IFERROR(SUMIF(tblMotor[A_Norm],$A349,tblMotor[KomisyonTutar]),0))</f>
        <v/>
      </c>
      <c r="E349" s="16">
        <f>IF($A349="","",IFERROR(SUMIF(tblMotor[A_Norm],$A349,tblMotor[Kargo]),0))</f>
        <v/>
      </c>
      <c r="F349" s="16">
        <f>IF($A349="","",IFERROR(SUMIF(tblMotor[A_Norm],$A349,tblMotor[IadeMaliyet]),0))</f>
        <v/>
      </c>
      <c r="G349" s="16">
        <f>IF($A349="","",IFERROR(SUMIF(tblMotor[A_Norm],$A349,tblMotor[ReklamHarcama]),0))</f>
        <v/>
      </c>
      <c r="H349" s="16">
        <f>IF(OR($A349="",$B349&lt;&gt;"tutar_farki"),"",IF(ABS($C349-$D349)&lt;=toleransKurus,"EGK-001",IF(ABS($C349-$F349)&lt;=toleransKurus,"EGK-002",IF(ABS($C349-$G349)&lt;=toleransKurus,"EGK-003",IF(ABS($C349-$E349)&lt;=toleransKurus,"EGK-004",IF($C349&gt;egk_esikFark,"EGK-005","TANIMSIZ"))))))</f>
        <v/>
      </c>
    </row>
    <row r="350">
      <c r="A350" s="22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IF($A350="","",IFERROR(SUMIF(tblMotor[A_Norm],$A350,tblMotor[KomisyonTutar]),0))</f>
        <v/>
      </c>
      <c r="E350" s="16">
        <f>IF($A350="","",IFERROR(SUMIF(tblMotor[A_Norm],$A350,tblMotor[Kargo]),0))</f>
        <v/>
      </c>
      <c r="F350" s="16">
        <f>IF($A350="","",IFERROR(SUMIF(tblMotor[A_Norm],$A350,tblMotor[IadeMaliyet]),0))</f>
        <v/>
      </c>
      <c r="G350" s="16">
        <f>IF($A350="","",IFERROR(SUMIF(tblMotor[A_Norm],$A350,tblMotor[ReklamHarcama]),0))</f>
        <v/>
      </c>
      <c r="H350" s="16">
        <f>IF(OR($A350="",$B350&lt;&gt;"tutar_farki"),"",IF(ABS($C350-$D350)&lt;=toleransKurus,"EGK-001",IF(ABS($C350-$F350)&lt;=toleransKurus,"EGK-002",IF(ABS($C350-$G350)&lt;=toleransKurus,"EGK-003",IF(ABS($C350-$E350)&lt;=toleransKurus,"EGK-004",IF($C350&gt;egk_esikFark,"EGK-005","TANIMSIZ"))))))</f>
        <v/>
      </c>
    </row>
    <row r="351">
      <c r="A351" s="22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IF($A351="","",IFERROR(SUMIF(tblMotor[A_Norm],$A351,tblMotor[KomisyonTutar]),0))</f>
        <v/>
      </c>
      <c r="E351" s="16">
        <f>IF($A351="","",IFERROR(SUMIF(tblMotor[A_Norm],$A351,tblMotor[Kargo]),0))</f>
        <v/>
      </c>
      <c r="F351" s="16">
        <f>IF($A351="","",IFERROR(SUMIF(tblMotor[A_Norm],$A351,tblMotor[IadeMaliyet]),0))</f>
        <v/>
      </c>
      <c r="G351" s="16">
        <f>IF($A351="","",IFERROR(SUMIF(tblMotor[A_Norm],$A351,tblMotor[ReklamHarcama]),0))</f>
        <v/>
      </c>
      <c r="H351" s="16">
        <f>IF(OR($A351="",$B351&lt;&gt;"tutar_farki"),"",IF(ABS($C351-$D351)&lt;=toleransKurus,"EGK-001",IF(ABS($C351-$F351)&lt;=toleransKurus,"EGK-002",IF(ABS($C351-$G351)&lt;=toleransKurus,"EGK-003",IF(ABS($C351-$E351)&lt;=toleransKurus,"EGK-004",IF($C351&gt;egk_esikFark,"EGK-005","TANIMSIZ"))))))</f>
        <v/>
      </c>
    </row>
    <row r="352">
      <c r="A352" s="22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IF($A352="","",IFERROR(SUMIF(tblMotor[A_Norm],$A352,tblMotor[KomisyonTutar]),0))</f>
        <v/>
      </c>
      <c r="E352" s="16">
        <f>IF($A352="","",IFERROR(SUMIF(tblMotor[A_Norm],$A352,tblMotor[Kargo]),0))</f>
        <v/>
      </c>
      <c r="F352" s="16">
        <f>IF($A352="","",IFERROR(SUMIF(tblMotor[A_Norm],$A352,tblMotor[IadeMaliyet]),0))</f>
        <v/>
      </c>
      <c r="G352" s="16">
        <f>IF($A352="","",IFERROR(SUMIF(tblMotor[A_Norm],$A352,tblMotor[ReklamHarcama]),0))</f>
        <v/>
      </c>
      <c r="H352" s="16">
        <f>IF(OR($A352="",$B352&lt;&gt;"tutar_farki"),"",IF(ABS($C352-$D352)&lt;=toleransKurus,"EGK-001",IF(ABS($C352-$F352)&lt;=toleransKurus,"EGK-002",IF(ABS($C352-$G352)&lt;=toleransKurus,"EGK-003",IF(ABS($C352-$E352)&lt;=toleransKurus,"EGK-004",IF($C352&gt;egk_esikFark,"EGK-005","TANIMSIZ"))))))</f>
        <v/>
      </c>
    </row>
    <row r="353">
      <c r="A353" s="22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IF($A353="","",IFERROR(SUMIF(tblMotor[A_Norm],$A353,tblMotor[KomisyonTutar]),0))</f>
        <v/>
      </c>
      <c r="E353" s="16">
        <f>IF($A353="","",IFERROR(SUMIF(tblMotor[A_Norm],$A353,tblMotor[Kargo]),0))</f>
        <v/>
      </c>
      <c r="F353" s="16">
        <f>IF($A353="","",IFERROR(SUMIF(tblMotor[A_Norm],$A353,tblMotor[IadeMaliyet]),0))</f>
        <v/>
      </c>
      <c r="G353" s="16">
        <f>IF($A353="","",IFERROR(SUMIF(tblMotor[A_Norm],$A353,tblMotor[ReklamHarcama]),0))</f>
        <v/>
      </c>
      <c r="H353" s="16">
        <f>IF(OR($A353="",$B353&lt;&gt;"tutar_farki"),"",IF(ABS($C353-$D353)&lt;=toleransKurus,"EGK-001",IF(ABS($C353-$F353)&lt;=toleransKurus,"EGK-002",IF(ABS($C353-$G353)&lt;=toleransKurus,"EGK-003",IF(ABS($C353-$E353)&lt;=toleransKurus,"EGK-004",IF($C353&gt;egk_esikFark,"EGK-005","TANIMSIZ"))))))</f>
        <v/>
      </c>
    </row>
    <row r="354">
      <c r="A354" s="22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IF($A354="","",IFERROR(SUMIF(tblMotor[A_Norm],$A354,tblMotor[KomisyonTutar]),0))</f>
        <v/>
      </c>
      <c r="E354" s="16">
        <f>IF($A354="","",IFERROR(SUMIF(tblMotor[A_Norm],$A354,tblMotor[Kargo]),0))</f>
        <v/>
      </c>
      <c r="F354" s="16">
        <f>IF($A354="","",IFERROR(SUMIF(tblMotor[A_Norm],$A354,tblMotor[IadeMaliyet]),0))</f>
        <v/>
      </c>
      <c r="G354" s="16">
        <f>IF($A354="","",IFERROR(SUMIF(tblMotor[A_Norm],$A354,tblMotor[ReklamHarcama]),0))</f>
        <v/>
      </c>
      <c r="H354" s="16">
        <f>IF(OR($A354="",$B354&lt;&gt;"tutar_farki"),"",IF(ABS($C354-$D354)&lt;=toleransKurus,"EGK-001",IF(ABS($C354-$F354)&lt;=toleransKurus,"EGK-002",IF(ABS($C354-$G354)&lt;=toleransKurus,"EGK-003",IF(ABS($C354-$E354)&lt;=toleransKurus,"EGK-004",IF($C354&gt;egk_esikFark,"EGK-005","TANIMSIZ"))))))</f>
        <v/>
      </c>
    </row>
    <row r="355">
      <c r="A355" s="22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IF($A355="","",IFERROR(SUMIF(tblMotor[A_Norm],$A355,tblMotor[KomisyonTutar]),0))</f>
        <v/>
      </c>
      <c r="E355" s="16">
        <f>IF($A355="","",IFERROR(SUMIF(tblMotor[A_Norm],$A355,tblMotor[Kargo]),0))</f>
        <v/>
      </c>
      <c r="F355" s="16">
        <f>IF($A355="","",IFERROR(SUMIF(tblMotor[A_Norm],$A355,tblMotor[IadeMaliyet]),0))</f>
        <v/>
      </c>
      <c r="G355" s="16">
        <f>IF($A355="","",IFERROR(SUMIF(tblMotor[A_Norm],$A355,tblMotor[ReklamHarcama]),0))</f>
        <v/>
      </c>
      <c r="H355" s="16">
        <f>IF(OR($A355="",$B355&lt;&gt;"tutar_farki"),"",IF(ABS($C355-$D355)&lt;=toleransKurus,"EGK-001",IF(ABS($C355-$F355)&lt;=toleransKurus,"EGK-002",IF(ABS($C355-$G355)&lt;=toleransKurus,"EGK-003",IF(ABS($C355-$E355)&lt;=toleransKurus,"EGK-004",IF($C355&gt;egk_esikFark,"EGK-005","TANIMSIZ"))))))</f>
        <v/>
      </c>
    </row>
    <row r="356">
      <c r="A356" s="22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IF($A356="","",IFERROR(SUMIF(tblMotor[A_Norm],$A356,tblMotor[KomisyonTutar]),0))</f>
        <v/>
      </c>
      <c r="E356" s="16">
        <f>IF($A356="","",IFERROR(SUMIF(tblMotor[A_Norm],$A356,tblMotor[Kargo]),0))</f>
        <v/>
      </c>
      <c r="F356" s="16">
        <f>IF($A356="","",IFERROR(SUMIF(tblMotor[A_Norm],$A356,tblMotor[IadeMaliyet]),0))</f>
        <v/>
      </c>
      <c r="G356" s="16">
        <f>IF($A356="","",IFERROR(SUMIF(tblMotor[A_Norm],$A356,tblMotor[ReklamHarcama]),0))</f>
        <v/>
      </c>
      <c r="H356" s="16">
        <f>IF(OR($A356="",$B356&lt;&gt;"tutar_farki"),"",IF(ABS($C356-$D356)&lt;=toleransKurus,"EGK-001",IF(ABS($C356-$F356)&lt;=toleransKurus,"EGK-002",IF(ABS($C356-$G356)&lt;=toleransKurus,"EGK-003",IF(ABS($C356-$E356)&lt;=toleransKurus,"EGK-004",IF($C356&gt;egk_esikFark,"EGK-005","TANIMSIZ"))))))</f>
        <v/>
      </c>
    </row>
    <row r="357">
      <c r="A357" s="22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IF($A357="","",IFERROR(SUMIF(tblMotor[A_Norm],$A357,tblMotor[KomisyonTutar]),0))</f>
        <v/>
      </c>
      <c r="E357" s="16">
        <f>IF($A357="","",IFERROR(SUMIF(tblMotor[A_Norm],$A357,tblMotor[Kargo]),0))</f>
        <v/>
      </c>
      <c r="F357" s="16">
        <f>IF($A357="","",IFERROR(SUMIF(tblMotor[A_Norm],$A357,tblMotor[IadeMaliyet]),0))</f>
        <v/>
      </c>
      <c r="G357" s="16">
        <f>IF($A357="","",IFERROR(SUMIF(tblMotor[A_Norm],$A357,tblMotor[ReklamHarcama]),0))</f>
        <v/>
      </c>
      <c r="H357" s="16">
        <f>IF(OR($A357="",$B357&lt;&gt;"tutar_farki"),"",IF(ABS($C357-$D357)&lt;=toleransKurus,"EGK-001",IF(ABS($C357-$F357)&lt;=toleransKurus,"EGK-002",IF(ABS($C357-$G357)&lt;=toleransKurus,"EGK-003",IF(ABS($C357-$E357)&lt;=toleransKurus,"EGK-004",IF($C357&gt;egk_esikFark,"EGK-005","TANIMSIZ"))))))</f>
        <v/>
      </c>
    </row>
    <row r="358">
      <c r="A358" s="22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IF($A358="","",IFERROR(SUMIF(tblMotor[A_Norm],$A358,tblMotor[KomisyonTutar]),0))</f>
        <v/>
      </c>
      <c r="E358" s="16">
        <f>IF($A358="","",IFERROR(SUMIF(tblMotor[A_Norm],$A358,tblMotor[Kargo]),0))</f>
        <v/>
      </c>
      <c r="F358" s="16">
        <f>IF($A358="","",IFERROR(SUMIF(tblMotor[A_Norm],$A358,tblMotor[IadeMaliyet]),0))</f>
        <v/>
      </c>
      <c r="G358" s="16">
        <f>IF($A358="","",IFERROR(SUMIF(tblMotor[A_Norm],$A358,tblMotor[ReklamHarcama]),0))</f>
        <v/>
      </c>
      <c r="H358" s="16">
        <f>IF(OR($A358="",$B358&lt;&gt;"tutar_farki"),"",IF(ABS($C358-$D358)&lt;=toleransKurus,"EGK-001",IF(ABS($C358-$F358)&lt;=toleransKurus,"EGK-002",IF(ABS($C358-$G358)&lt;=toleransKurus,"EGK-003",IF(ABS($C358-$E358)&lt;=toleransKurus,"EGK-004",IF($C358&gt;egk_esikFark,"EGK-005","TANIMSIZ"))))))</f>
        <v/>
      </c>
    </row>
    <row r="359">
      <c r="A359" s="22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IF($A359="","",IFERROR(SUMIF(tblMotor[A_Norm],$A359,tblMotor[KomisyonTutar]),0))</f>
        <v/>
      </c>
      <c r="E359" s="16">
        <f>IF($A359="","",IFERROR(SUMIF(tblMotor[A_Norm],$A359,tblMotor[Kargo]),0))</f>
        <v/>
      </c>
      <c r="F359" s="16">
        <f>IF($A359="","",IFERROR(SUMIF(tblMotor[A_Norm],$A359,tblMotor[IadeMaliyet]),0))</f>
        <v/>
      </c>
      <c r="G359" s="16">
        <f>IF($A359="","",IFERROR(SUMIF(tblMotor[A_Norm],$A359,tblMotor[ReklamHarcama]),0))</f>
        <v/>
      </c>
      <c r="H359" s="16">
        <f>IF(OR($A359="",$B359&lt;&gt;"tutar_farki"),"",IF(ABS($C359-$D359)&lt;=toleransKurus,"EGK-001",IF(ABS($C359-$F359)&lt;=toleransKurus,"EGK-002",IF(ABS($C359-$G359)&lt;=toleransKurus,"EGK-003",IF(ABS($C359-$E359)&lt;=toleransKurus,"EGK-004",IF($C359&gt;egk_esikFark,"EGK-005","TANIMSIZ"))))))</f>
        <v/>
      </c>
    </row>
    <row r="360">
      <c r="A360" s="22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IF($A360="","",IFERROR(SUMIF(tblMotor[A_Norm],$A360,tblMotor[KomisyonTutar]),0))</f>
        <v/>
      </c>
      <c r="E360" s="16">
        <f>IF($A360="","",IFERROR(SUMIF(tblMotor[A_Norm],$A360,tblMotor[Kargo]),0))</f>
        <v/>
      </c>
      <c r="F360" s="16">
        <f>IF($A360="","",IFERROR(SUMIF(tblMotor[A_Norm],$A360,tblMotor[IadeMaliyet]),0))</f>
        <v/>
      </c>
      <c r="G360" s="16">
        <f>IF($A360="","",IFERROR(SUMIF(tblMotor[A_Norm],$A360,tblMotor[ReklamHarcama]),0))</f>
        <v/>
      </c>
      <c r="H360" s="16">
        <f>IF(OR($A360="",$B360&lt;&gt;"tutar_farki"),"",IF(ABS($C360-$D360)&lt;=toleransKurus,"EGK-001",IF(ABS($C360-$F360)&lt;=toleransKurus,"EGK-002",IF(ABS($C360-$G360)&lt;=toleransKurus,"EGK-003",IF(ABS($C360-$E360)&lt;=toleransKurus,"EGK-004",IF($C360&gt;egk_esikFark,"EGK-005","TANIMSIZ"))))))</f>
        <v/>
      </c>
    </row>
    <row r="361">
      <c r="A361" s="22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IF($A361="","",IFERROR(SUMIF(tblMotor[A_Norm],$A361,tblMotor[KomisyonTutar]),0))</f>
        <v/>
      </c>
      <c r="E361" s="16">
        <f>IF($A361="","",IFERROR(SUMIF(tblMotor[A_Norm],$A361,tblMotor[Kargo]),0))</f>
        <v/>
      </c>
      <c r="F361" s="16">
        <f>IF($A361="","",IFERROR(SUMIF(tblMotor[A_Norm],$A361,tblMotor[IadeMaliyet]),0))</f>
        <v/>
      </c>
      <c r="G361" s="16">
        <f>IF($A361="","",IFERROR(SUMIF(tblMotor[A_Norm],$A361,tblMotor[ReklamHarcama]),0))</f>
        <v/>
      </c>
      <c r="H361" s="16">
        <f>IF(OR($A361="",$B361&lt;&gt;"tutar_farki"),"",IF(ABS($C361-$D361)&lt;=toleransKurus,"EGK-001",IF(ABS($C361-$F361)&lt;=toleransKurus,"EGK-002",IF(ABS($C361-$G361)&lt;=toleransKurus,"EGK-003",IF(ABS($C361-$E361)&lt;=toleransKurus,"EGK-004",IF($C361&gt;egk_esikFark,"EGK-005","TANIMSIZ"))))))</f>
        <v/>
      </c>
    </row>
    <row r="362">
      <c r="A362" s="22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IF($A362="","",IFERROR(SUMIF(tblMotor[A_Norm],$A362,tblMotor[KomisyonTutar]),0))</f>
        <v/>
      </c>
      <c r="E362" s="16">
        <f>IF($A362="","",IFERROR(SUMIF(tblMotor[A_Norm],$A362,tblMotor[Kargo]),0))</f>
        <v/>
      </c>
      <c r="F362" s="16">
        <f>IF($A362="","",IFERROR(SUMIF(tblMotor[A_Norm],$A362,tblMotor[IadeMaliyet]),0))</f>
        <v/>
      </c>
      <c r="G362" s="16">
        <f>IF($A362="","",IFERROR(SUMIF(tblMotor[A_Norm],$A362,tblMotor[ReklamHarcama]),0))</f>
        <v/>
      </c>
      <c r="H362" s="16">
        <f>IF(OR($A362="",$B362&lt;&gt;"tutar_farki"),"",IF(ABS($C362-$D362)&lt;=toleransKurus,"EGK-001",IF(ABS($C362-$F362)&lt;=toleransKurus,"EGK-002",IF(ABS($C362-$G362)&lt;=toleransKurus,"EGK-003",IF(ABS($C362-$E362)&lt;=toleransKurus,"EGK-004",IF($C362&gt;egk_esikFark,"EGK-005","TANIMSIZ"))))))</f>
        <v/>
      </c>
    </row>
    <row r="363">
      <c r="A363" s="22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IF($A363="","",IFERROR(SUMIF(tblMotor[A_Norm],$A363,tblMotor[KomisyonTutar]),0))</f>
        <v/>
      </c>
      <c r="E363" s="16">
        <f>IF($A363="","",IFERROR(SUMIF(tblMotor[A_Norm],$A363,tblMotor[Kargo]),0))</f>
        <v/>
      </c>
      <c r="F363" s="16">
        <f>IF($A363="","",IFERROR(SUMIF(tblMotor[A_Norm],$A363,tblMotor[IadeMaliyet]),0))</f>
        <v/>
      </c>
      <c r="G363" s="16">
        <f>IF($A363="","",IFERROR(SUMIF(tblMotor[A_Norm],$A363,tblMotor[ReklamHarcama]),0))</f>
        <v/>
      </c>
      <c r="H363" s="16">
        <f>IF(OR($A363="",$B363&lt;&gt;"tutar_farki"),"",IF(ABS($C363-$D363)&lt;=toleransKurus,"EGK-001",IF(ABS($C363-$F363)&lt;=toleransKurus,"EGK-002",IF(ABS($C363-$G363)&lt;=toleransKurus,"EGK-003",IF(ABS($C363-$E363)&lt;=toleransKurus,"EGK-004",IF($C363&gt;egk_esikFark,"EGK-005","TANIMSIZ"))))))</f>
        <v/>
      </c>
    </row>
    <row r="364">
      <c r="A364" s="22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IF($A364="","",IFERROR(SUMIF(tblMotor[A_Norm],$A364,tblMotor[KomisyonTutar]),0))</f>
        <v/>
      </c>
      <c r="E364" s="16">
        <f>IF($A364="","",IFERROR(SUMIF(tblMotor[A_Norm],$A364,tblMotor[Kargo]),0))</f>
        <v/>
      </c>
      <c r="F364" s="16">
        <f>IF($A364="","",IFERROR(SUMIF(tblMotor[A_Norm],$A364,tblMotor[IadeMaliyet]),0))</f>
        <v/>
      </c>
      <c r="G364" s="16">
        <f>IF($A364="","",IFERROR(SUMIF(tblMotor[A_Norm],$A364,tblMotor[ReklamHarcama]),0))</f>
        <v/>
      </c>
      <c r="H364" s="16">
        <f>IF(OR($A364="",$B364&lt;&gt;"tutar_farki"),"",IF(ABS($C364-$D364)&lt;=toleransKurus,"EGK-001",IF(ABS($C364-$F364)&lt;=toleransKurus,"EGK-002",IF(ABS($C364-$G364)&lt;=toleransKurus,"EGK-003",IF(ABS($C364-$E364)&lt;=toleransKurus,"EGK-004",IF($C364&gt;egk_esikFark,"EGK-005","TANIMSIZ"))))))</f>
        <v/>
      </c>
    </row>
    <row r="365">
      <c r="A365" s="22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IF($A365="","",IFERROR(SUMIF(tblMotor[A_Norm],$A365,tblMotor[KomisyonTutar]),0))</f>
        <v/>
      </c>
      <c r="E365" s="16">
        <f>IF($A365="","",IFERROR(SUMIF(tblMotor[A_Norm],$A365,tblMotor[Kargo]),0))</f>
        <v/>
      </c>
      <c r="F365" s="16">
        <f>IF($A365="","",IFERROR(SUMIF(tblMotor[A_Norm],$A365,tblMotor[IadeMaliyet]),0))</f>
        <v/>
      </c>
      <c r="G365" s="16">
        <f>IF($A365="","",IFERROR(SUMIF(tblMotor[A_Norm],$A365,tblMotor[ReklamHarcama]),0))</f>
        <v/>
      </c>
      <c r="H365" s="16">
        <f>IF(OR($A365="",$B365&lt;&gt;"tutar_farki"),"",IF(ABS($C365-$D365)&lt;=toleransKurus,"EGK-001",IF(ABS($C365-$F365)&lt;=toleransKurus,"EGK-002",IF(ABS($C365-$G365)&lt;=toleransKurus,"EGK-003",IF(ABS($C365-$E365)&lt;=toleransKurus,"EGK-004",IF($C365&gt;egk_esikFark,"EGK-005","TANIMSIZ"))))))</f>
        <v/>
      </c>
    </row>
    <row r="366">
      <c r="A366" s="22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IF($A366="","",IFERROR(SUMIF(tblMotor[A_Norm],$A366,tblMotor[KomisyonTutar]),0))</f>
        <v/>
      </c>
      <c r="E366" s="16">
        <f>IF($A366="","",IFERROR(SUMIF(tblMotor[A_Norm],$A366,tblMotor[Kargo]),0))</f>
        <v/>
      </c>
      <c r="F366" s="16">
        <f>IF($A366="","",IFERROR(SUMIF(tblMotor[A_Norm],$A366,tblMotor[IadeMaliyet]),0))</f>
        <v/>
      </c>
      <c r="G366" s="16">
        <f>IF($A366="","",IFERROR(SUMIF(tblMotor[A_Norm],$A366,tblMotor[ReklamHarcama]),0))</f>
        <v/>
      </c>
      <c r="H366" s="16">
        <f>IF(OR($A366="",$B366&lt;&gt;"tutar_farki"),"",IF(ABS($C366-$D366)&lt;=toleransKurus,"EGK-001",IF(ABS($C366-$F366)&lt;=toleransKurus,"EGK-002",IF(ABS($C366-$G366)&lt;=toleransKurus,"EGK-003",IF(ABS($C366-$E366)&lt;=toleransKurus,"EGK-004",IF($C366&gt;egk_esikFark,"EGK-005","TANIMSIZ"))))))</f>
        <v/>
      </c>
    </row>
    <row r="367">
      <c r="A367" s="22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IF($A367="","",IFERROR(SUMIF(tblMotor[A_Norm],$A367,tblMotor[KomisyonTutar]),0))</f>
        <v/>
      </c>
      <c r="E367" s="16">
        <f>IF($A367="","",IFERROR(SUMIF(tblMotor[A_Norm],$A367,tblMotor[Kargo]),0))</f>
        <v/>
      </c>
      <c r="F367" s="16">
        <f>IF($A367="","",IFERROR(SUMIF(tblMotor[A_Norm],$A367,tblMotor[IadeMaliyet]),0))</f>
        <v/>
      </c>
      <c r="G367" s="16">
        <f>IF($A367="","",IFERROR(SUMIF(tblMotor[A_Norm],$A367,tblMotor[ReklamHarcama]),0))</f>
        <v/>
      </c>
      <c r="H367" s="16">
        <f>IF(OR($A367="",$B367&lt;&gt;"tutar_farki"),"",IF(ABS($C367-$D367)&lt;=toleransKurus,"EGK-001",IF(ABS($C367-$F367)&lt;=toleransKurus,"EGK-002",IF(ABS($C367-$G367)&lt;=toleransKurus,"EGK-003",IF(ABS($C367-$E367)&lt;=toleransKurus,"EGK-004",IF($C367&gt;egk_esikFark,"EGK-005","TANIMSIZ"))))))</f>
        <v/>
      </c>
    </row>
    <row r="368">
      <c r="A368" s="22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IF($A368="","",IFERROR(SUMIF(tblMotor[A_Norm],$A368,tblMotor[KomisyonTutar]),0))</f>
        <v/>
      </c>
      <c r="E368" s="16">
        <f>IF($A368="","",IFERROR(SUMIF(tblMotor[A_Norm],$A368,tblMotor[Kargo]),0))</f>
        <v/>
      </c>
      <c r="F368" s="16">
        <f>IF($A368="","",IFERROR(SUMIF(tblMotor[A_Norm],$A368,tblMotor[IadeMaliyet]),0))</f>
        <v/>
      </c>
      <c r="G368" s="16">
        <f>IF($A368="","",IFERROR(SUMIF(tblMotor[A_Norm],$A368,tblMotor[ReklamHarcama]),0))</f>
        <v/>
      </c>
      <c r="H368" s="16">
        <f>IF(OR($A368="",$B368&lt;&gt;"tutar_farki"),"",IF(ABS($C368-$D368)&lt;=toleransKurus,"EGK-001",IF(ABS($C368-$F368)&lt;=toleransKurus,"EGK-002",IF(ABS($C368-$G368)&lt;=toleransKurus,"EGK-003",IF(ABS($C368-$E368)&lt;=toleransKurus,"EGK-004",IF($C368&gt;egk_esikFark,"EGK-005","TANIMSIZ"))))))</f>
        <v/>
      </c>
    </row>
    <row r="369">
      <c r="A369" s="22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IF($A369="","",IFERROR(SUMIF(tblMotor[A_Norm],$A369,tblMotor[KomisyonTutar]),0))</f>
        <v/>
      </c>
      <c r="E369" s="16">
        <f>IF($A369="","",IFERROR(SUMIF(tblMotor[A_Norm],$A369,tblMotor[Kargo]),0))</f>
        <v/>
      </c>
      <c r="F369" s="16">
        <f>IF($A369="","",IFERROR(SUMIF(tblMotor[A_Norm],$A369,tblMotor[IadeMaliyet]),0))</f>
        <v/>
      </c>
      <c r="G369" s="16">
        <f>IF($A369="","",IFERROR(SUMIF(tblMotor[A_Norm],$A369,tblMotor[ReklamHarcama]),0))</f>
        <v/>
      </c>
      <c r="H369" s="16">
        <f>IF(OR($A369="",$B369&lt;&gt;"tutar_farki"),"",IF(ABS($C369-$D369)&lt;=toleransKurus,"EGK-001",IF(ABS($C369-$F369)&lt;=toleransKurus,"EGK-002",IF(ABS($C369-$G369)&lt;=toleransKurus,"EGK-003",IF(ABS($C369-$E369)&lt;=toleransKurus,"EGK-004",IF($C369&gt;egk_esikFark,"EGK-005","TANIMSIZ"))))))</f>
        <v/>
      </c>
    </row>
    <row r="370">
      <c r="A370" s="22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IF($A370="","",IFERROR(SUMIF(tblMotor[A_Norm],$A370,tblMotor[KomisyonTutar]),0))</f>
        <v/>
      </c>
      <c r="E370" s="16">
        <f>IF($A370="","",IFERROR(SUMIF(tblMotor[A_Norm],$A370,tblMotor[Kargo]),0))</f>
        <v/>
      </c>
      <c r="F370" s="16">
        <f>IF($A370="","",IFERROR(SUMIF(tblMotor[A_Norm],$A370,tblMotor[IadeMaliyet]),0))</f>
        <v/>
      </c>
      <c r="G370" s="16">
        <f>IF($A370="","",IFERROR(SUMIF(tblMotor[A_Norm],$A370,tblMotor[ReklamHarcama]),0))</f>
        <v/>
      </c>
      <c r="H370" s="16">
        <f>IF(OR($A370="",$B370&lt;&gt;"tutar_farki"),"",IF(ABS($C370-$D370)&lt;=toleransKurus,"EGK-001",IF(ABS($C370-$F370)&lt;=toleransKurus,"EGK-002",IF(ABS($C370-$G370)&lt;=toleransKurus,"EGK-003",IF(ABS($C370-$E370)&lt;=toleransKurus,"EGK-004",IF($C370&gt;egk_esikFark,"EGK-005","TANIMSIZ"))))))</f>
        <v/>
      </c>
    </row>
    <row r="371">
      <c r="A371" s="22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IF($A371="","",IFERROR(SUMIF(tblMotor[A_Norm],$A371,tblMotor[KomisyonTutar]),0))</f>
        <v/>
      </c>
      <c r="E371" s="16">
        <f>IF($A371="","",IFERROR(SUMIF(tblMotor[A_Norm],$A371,tblMotor[Kargo]),0))</f>
        <v/>
      </c>
      <c r="F371" s="16">
        <f>IF($A371="","",IFERROR(SUMIF(tblMotor[A_Norm],$A371,tblMotor[IadeMaliyet]),0))</f>
        <v/>
      </c>
      <c r="G371" s="16">
        <f>IF($A371="","",IFERROR(SUMIF(tblMotor[A_Norm],$A371,tblMotor[ReklamHarcama]),0))</f>
        <v/>
      </c>
      <c r="H371" s="16">
        <f>IF(OR($A371="",$B371&lt;&gt;"tutar_farki"),"",IF(ABS($C371-$D371)&lt;=toleransKurus,"EGK-001",IF(ABS($C371-$F371)&lt;=toleransKurus,"EGK-002",IF(ABS($C371-$G371)&lt;=toleransKurus,"EGK-003",IF(ABS($C371-$E371)&lt;=toleransKurus,"EGK-004",IF($C371&gt;egk_esikFark,"EGK-005","TANIMSIZ"))))))</f>
        <v/>
      </c>
    </row>
    <row r="372">
      <c r="A372" s="22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IF($A372="","",IFERROR(SUMIF(tblMotor[A_Norm],$A372,tblMotor[KomisyonTutar]),0))</f>
        <v/>
      </c>
      <c r="E372" s="16">
        <f>IF($A372="","",IFERROR(SUMIF(tblMotor[A_Norm],$A372,tblMotor[Kargo]),0))</f>
        <v/>
      </c>
      <c r="F372" s="16">
        <f>IF($A372="","",IFERROR(SUMIF(tblMotor[A_Norm],$A372,tblMotor[IadeMaliyet]),0))</f>
        <v/>
      </c>
      <c r="G372" s="16">
        <f>IF($A372="","",IFERROR(SUMIF(tblMotor[A_Norm],$A372,tblMotor[ReklamHarcama]),0))</f>
        <v/>
      </c>
      <c r="H372" s="16">
        <f>IF(OR($A372="",$B372&lt;&gt;"tutar_farki"),"",IF(ABS($C372-$D372)&lt;=toleransKurus,"EGK-001",IF(ABS($C372-$F372)&lt;=toleransKurus,"EGK-002",IF(ABS($C372-$G372)&lt;=toleransKurus,"EGK-003",IF(ABS($C372-$E372)&lt;=toleransKurus,"EGK-004",IF($C372&gt;egk_esikFark,"EGK-005","TANIMSIZ"))))))</f>
        <v/>
      </c>
    </row>
    <row r="373">
      <c r="A373" s="22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IF($A373="","",IFERROR(SUMIF(tblMotor[A_Norm],$A373,tblMotor[KomisyonTutar]),0))</f>
        <v/>
      </c>
      <c r="E373" s="16">
        <f>IF($A373="","",IFERROR(SUMIF(tblMotor[A_Norm],$A373,tblMotor[Kargo]),0))</f>
        <v/>
      </c>
      <c r="F373" s="16">
        <f>IF($A373="","",IFERROR(SUMIF(tblMotor[A_Norm],$A373,tblMotor[IadeMaliyet]),0))</f>
        <v/>
      </c>
      <c r="G373" s="16">
        <f>IF($A373="","",IFERROR(SUMIF(tblMotor[A_Norm],$A373,tblMotor[ReklamHarcama]),0))</f>
        <v/>
      </c>
      <c r="H373" s="16">
        <f>IF(OR($A373="",$B373&lt;&gt;"tutar_farki"),"",IF(ABS($C373-$D373)&lt;=toleransKurus,"EGK-001",IF(ABS($C373-$F373)&lt;=toleransKurus,"EGK-002",IF(ABS($C373-$G373)&lt;=toleransKurus,"EGK-003",IF(ABS($C373-$E373)&lt;=toleransKurus,"EGK-004",IF($C373&gt;egk_esikFark,"EGK-005","TANIMSIZ"))))))</f>
        <v/>
      </c>
    </row>
    <row r="374">
      <c r="A374" s="22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IF($A374="","",IFERROR(SUMIF(tblMotor[A_Norm],$A374,tblMotor[KomisyonTutar]),0))</f>
        <v/>
      </c>
      <c r="E374" s="16">
        <f>IF($A374="","",IFERROR(SUMIF(tblMotor[A_Norm],$A374,tblMotor[Kargo]),0))</f>
        <v/>
      </c>
      <c r="F374" s="16">
        <f>IF($A374="","",IFERROR(SUMIF(tblMotor[A_Norm],$A374,tblMotor[IadeMaliyet]),0))</f>
        <v/>
      </c>
      <c r="G374" s="16">
        <f>IF($A374="","",IFERROR(SUMIF(tblMotor[A_Norm],$A374,tblMotor[ReklamHarcama]),0))</f>
        <v/>
      </c>
      <c r="H374" s="16">
        <f>IF(OR($A374="",$B374&lt;&gt;"tutar_farki"),"",IF(ABS($C374-$D374)&lt;=toleransKurus,"EGK-001",IF(ABS($C374-$F374)&lt;=toleransKurus,"EGK-002",IF(ABS($C374-$G374)&lt;=toleransKurus,"EGK-003",IF(ABS($C374-$E374)&lt;=toleransKurus,"EGK-004",IF($C374&gt;egk_esikFark,"EGK-005","TANIMSIZ"))))))</f>
        <v/>
      </c>
    </row>
    <row r="375">
      <c r="A375" s="22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IF($A375="","",IFERROR(SUMIF(tblMotor[A_Norm],$A375,tblMotor[KomisyonTutar]),0))</f>
        <v/>
      </c>
      <c r="E375" s="16">
        <f>IF($A375="","",IFERROR(SUMIF(tblMotor[A_Norm],$A375,tblMotor[Kargo]),0))</f>
        <v/>
      </c>
      <c r="F375" s="16">
        <f>IF($A375="","",IFERROR(SUMIF(tblMotor[A_Norm],$A375,tblMotor[IadeMaliyet]),0))</f>
        <v/>
      </c>
      <c r="G375" s="16">
        <f>IF($A375="","",IFERROR(SUMIF(tblMotor[A_Norm],$A375,tblMotor[ReklamHarcama]),0))</f>
        <v/>
      </c>
      <c r="H375" s="16">
        <f>IF(OR($A375="",$B375&lt;&gt;"tutar_farki"),"",IF(ABS($C375-$D375)&lt;=toleransKurus,"EGK-001",IF(ABS($C375-$F375)&lt;=toleransKurus,"EGK-002",IF(ABS($C375-$G375)&lt;=toleransKurus,"EGK-003",IF(ABS($C375-$E375)&lt;=toleransKurus,"EGK-004",IF($C375&gt;egk_esikFark,"EGK-005","TANIMSIZ"))))))</f>
        <v/>
      </c>
    </row>
    <row r="376">
      <c r="A376" s="22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IF($A376="","",IFERROR(SUMIF(tblMotor[A_Norm],$A376,tblMotor[KomisyonTutar]),0))</f>
        <v/>
      </c>
      <c r="E376" s="16">
        <f>IF($A376="","",IFERROR(SUMIF(tblMotor[A_Norm],$A376,tblMotor[Kargo]),0))</f>
        <v/>
      </c>
      <c r="F376" s="16">
        <f>IF($A376="","",IFERROR(SUMIF(tblMotor[A_Norm],$A376,tblMotor[IadeMaliyet]),0))</f>
        <v/>
      </c>
      <c r="G376" s="16">
        <f>IF($A376="","",IFERROR(SUMIF(tblMotor[A_Norm],$A376,tblMotor[ReklamHarcama]),0))</f>
        <v/>
      </c>
      <c r="H376" s="16">
        <f>IF(OR($A376="",$B376&lt;&gt;"tutar_farki"),"",IF(ABS($C376-$D376)&lt;=toleransKurus,"EGK-001",IF(ABS($C376-$F376)&lt;=toleransKurus,"EGK-002",IF(ABS($C376-$G376)&lt;=toleransKurus,"EGK-003",IF(ABS($C376-$E376)&lt;=toleransKurus,"EGK-004",IF($C376&gt;egk_esikFark,"EGK-005","TANIMSIZ"))))))</f>
        <v/>
      </c>
    </row>
    <row r="377">
      <c r="A377" s="22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IF($A377="","",IFERROR(SUMIF(tblMotor[A_Norm],$A377,tblMotor[KomisyonTutar]),0))</f>
        <v/>
      </c>
      <c r="E377" s="16">
        <f>IF($A377="","",IFERROR(SUMIF(tblMotor[A_Norm],$A377,tblMotor[Kargo]),0))</f>
        <v/>
      </c>
      <c r="F377" s="16">
        <f>IF($A377="","",IFERROR(SUMIF(tblMotor[A_Norm],$A377,tblMotor[IadeMaliyet]),0))</f>
        <v/>
      </c>
      <c r="G377" s="16">
        <f>IF($A377="","",IFERROR(SUMIF(tblMotor[A_Norm],$A377,tblMotor[ReklamHarcama]),0))</f>
        <v/>
      </c>
      <c r="H377" s="16">
        <f>IF(OR($A377="",$B377&lt;&gt;"tutar_farki"),"",IF(ABS($C377-$D377)&lt;=toleransKurus,"EGK-001",IF(ABS($C377-$F377)&lt;=toleransKurus,"EGK-002",IF(ABS($C377-$G377)&lt;=toleransKurus,"EGK-003",IF(ABS($C377-$E377)&lt;=toleransKurus,"EGK-004",IF($C377&gt;egk_esikFark,"EGK-005","TANIMSIZ"))))))</f>
        <v/>
      </c>
    </row>
    <row r="378">
      <c r="A378" s="22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IF($A378="","",IFERROR(SUMIF(tblMotor[A_Norm],$A378,tblMotor[KomisyonTutar]),0))</f>
        <v/>
      </c>
      <c r="E378" s="16">
        <f>IF($A378="","",IFERROR(SUMIF(tblMotor[A_Norm],$A378,tblMotor[Kargo]),0))</f>
        <v/>
      </c>
      <c r="F378" s="16">
        <f>IF($A378="","",IFERROR(SUMIF(tblMotor[A_Norm],$A378,tblMotor[IadeMaliyet]),0))</f>
        <v/>
      </c>
      <c r="G378" s="16">
        <f>IF($A378="","",IFERROR(SUMIF(tblMotor[A_Norm],$A378,tblMotor[ReklamHarcama]),0))</f>
        <v/>
      </c>
      <c r="H378" s="16">
        <f>IF(OR($A378="",$B378&lt;&gt;"tutar_farki"),"",IF(ABS($C378-$D378)&lt;=toleransKurus,"EGK-001",IF(ABS($C378-$F378)&lt;=toleransKurus,"EGK-002",IF(ABS($C378-$G378)&lt;=toleransKurus,"EGK-003",IF(ABS($C378-$E378)&lt;=toleransKurus,"EGK-004",IF($C378&gt;egk_esikFark,"EGK-005","TANIMSIZ"))))))</f>
        <v/>
      </c>
    </row>
    <row r="379">
      <c r="A379" s="22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IF($A379="","",IFERROR(SUMIF(tblMotor[A_Norm],$A379,tblMotor[KomisyonTutar]),0))</f>
        <v/>
      </c>
      <c r="E379" s="16">
        <f>IF($A379="","",IFERROR(SUMIF(tblMotor[A_Norm],$A379,tblMotor[Kargo]),0))</f>
        <v/>
      </c>
      <c r="F379" s="16">
        <f>IF($A379="","",IFERROR(SUMIF(tblMotor[A_Norm],$A379,tblMotor[IadeMaliyet]),0))</f>
        <v/>
      </c>
      <c r="G379" s="16">
        <f>IF($A379="","",IFERROR(SUMIF(tblMotor[A_Norm],$A379,tblMotor[ReklamHarcama]),0))</f>
        <v/>
      </c>
      <c r="H379" s="16">
        <f>IF(OR($A379="",$B379&lt;&gt;"tutar_farki"),"",IF(ABS($C379-$D379)&lt;=toleransKurus,"EGK-001",IF(ABS($C379-$F379)&lt;=toleransKurus,"EGK-002",IF(ABS($C379-$G379)&lt;=toleransKurus,"EGK-003",IF(ABS($C379-$E379)&lt;=toleransKurus,"EGK-004",IF($C379&gt;egk_esikFark,"EGK-005","TANIMSIZ"))))))</f>
        <v/>
      </c>
    </row>
    <row r="380">
      <c r="A380" s="22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IF($A380="","",IFERROR(SUMIF(tblMotor[A_Norm],$A380,tblMotor[KomisyonTutar]),0))</f>
        <v/>
      </c>
      <c r="E380" s="16">
        <f>IF($A380="","",IFERROR(SUMIF(tblMotor[A_Norm],$A380,tblMotor[Kargo]),0))</f>
        <v/>
      </c>
      <c r="F380" s="16">
        <f>IF($A380="","",IFERROR(SUMIF(tblMotor[A_Norm],$A380,tblMotor[IadeMaliyet]),0))</f>
        <v/>
      </c>
      <c r="G380" s="16">
        <f>IF($A380="","",IFERROR(SUMIF(tblMotor[A_Norm],$A380,tblMotor[ReklamHarcama]),0))</f>
        <v/>
      </c>
      <c r="H380" s="16">
        <f>IF(OR($A380="",$B380&lt;&gt;"tutar_farki"),"",IF(ABS($C380-$D380)&lt;=toleransKurus,"EGK-001",IF(ABS($C380-$F380)&lt;=toleransKurus,"EGK-002",IF(ABS($C380-$G380)&lt;=toleransKurus,"EGK-003",IF(ABS($C380-$E380)&lt;=toleransKurus,"EGK-004",IF($C380&gt;egk_esikFark,"EGK-005","TANIMSIZ"))))))</f>
        <v/>
      </c>
    </row>
    <row r="381">
      <c r="A381" s="22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IF($A381="","",IFERROR(SUMIF(tblMotor[A_Norm],$A381,tblMotor[KomisyonTutar]),0))</f>
        <v/>
      </c>
      <c r="E381" s="16">
        <f>IF($A381="","",IFERROR(SUMIF(tblMotor[A_Norm],$A381,tblMotor[Kargo]),0))</f>
        <v/>
      </c>
      <c r="F381" s="16">
        <f>IF($A381="","",IFERROR(SUMIF(tblMotor[A_Norm],$A381,tblMotor[IadeMaliyet]),0))</f>
        <v/>
      </c>
      <c r="G381" s="16">
        <f>IF($A381="","",IFERROR(SUMIF(tblMotor[A_Norm],$A381,tblMotor[ReklamHarcama]),0))</f>
        <v/>
      </c>
      <c r="H381" s="16">
        <f>IF(OR($A381="",$B381&lt;&gt;"tutar_farki"),"",IF(ABS($C381-$D381)&lt;=toleransKurus,"EGK-001",IF(ABS($C381-$F381)&lt;=toleransKurus,"EGK-002",IF(ABS($C381-$G381)&lt;=toleransKurus,"EGK-003",IF(ABS($C381-$E381)&lt;=toleransKurus,"EGK-004",IF($C381&gt;egk_esikFark,"EGK-005","TANIMSIZ"))))))</f>
        <v/>
      </c>
    </row>
    <row r="382">
      <c r="A382" s="22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IF($A382="","",IFERROR(SUMIF(tblMotor[A_Norm],$A382,tblMotor[KomisyonTutar]),0))</f>
        <v/>
      </c>
      <c r="E382" s="16">
        <f>IF($A382="","",IFERROR(SUMIF(tblMotor[A_Norm],$A382,tblMotor[Kargo]),0))</f>
        <v/>
      </c>
      <c r="F382" s="16">
        <f>IF($A382="","",IFERROR(SUMIF(tblMotor[A_Norm],$A382,tblMotor[IadeMaliyet]),0))</f>
        <v/>
      </c>
      <c r="G382" s="16">
        <f>IF($A382="","",IFERROR(SUMIF(tblMotor[A_Norm],$A382,tblMotor[ReklamHarcama]),0))</f>
        <v/>
      </c>
      <c r="H382" s="16">
        <f>IF(OR($A382="",$B382&lt;&gt;"tutar_farki"),"",IF(ABS($C382-$D382)&lt;=toleransKurus,"EGK-001",IF(ABS($C382-$F382)&lt;=toleransKurus,"EGK-002",IF(ABS($C382-$G382)&lt;=toleransKurus,"EGK-003",IF(ABS($C382-$E382)&lt;=toleransKurus,"EGK-004",IF($C382&gt;egk_esikFark,"EGK-005","TANIMSIZ"))))))</f>
        <v/>
      </c>
    </row>
    <row r="383">
      <c r="A383" s="22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IF($A383="","",IFERROR(SUMIF(tblMotor[A_Norm],$A383,tblMotor[KomisyonTutar]),0))</f>
        <v/>
      </c>
      <c r="E383" s="16">
        <f>IF($A383="","",IFERROR(SUMIF(tblMotor[A_Norm],$A383,tblMotor[Kargo]),0))</f>
        <v/>
      </c>
      <c r="F383" s="16">
        <f>IF($A383="","",IFERROR(SUMIF(tblMotor[A_Norm],$A383,tblMotor[IadeMaliyet]),0))</f>
        <v/>
      </c>
      <c r="G383" s="16">
        <f>IF($A383="","",IFERROR(SUMIF(tblMotor[A_Norm],$A383,tblMotor[ReklamHarcama]),0))</f>
        <v/>
      </c>
      <c r="H383" s="16">
        <f>IF(OR($A383="",$B383&lt;&gt;"tutar_farki"),"",IF(ABS($C383-$D383)&lt;=toleransKurus,"EGK-001",IF(ABS($C383-$F383)&lt;=toleransKurus,"EGK-002",IF(ABS($C383-$G383)&lt;=toleransKurus,"EGK-003",IF(ABS($C383-$E383)&lt;=toleransKurus,"EGK-004",IF($C383&gt;egk_esikFark,"EGK-005","TANIMSIZ"))))))</f>
        <v/>
      </c>
    </row>
    <row r="384">
      <c r="A384" s="22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IF($A384="","",IFERROR(SUMIF(tblMotor[A_Norm],$A384,tblMotor[KomisyonTutar]),0))</f>
        <v/>
      </c>
      <c r="E384" s="16">
        <f>IF($A384="","",IFERROR(SUMIF(tblMotor[A_Norm],$A384,tblMotor[Kargo]),0))</f>
        <v/>
      </c>
      <c r="F384" s="16">
        <f>IF($A384="","",IFERROR(SUMIF(tblMotor[A_Norm],$A384,tblMotor[IadeMaliyet]),0))</f>
        <v/>
      </c>
      <c r="G384" s="16">
        <f>IF($A384="","",IFERROR(SUMIF(tblMotor[A_Norm],$A384,tblMotor[ReklamHarcama]),0))</f>
        <v/>
      </c>
      <c r="H384" s="16">
        <f>IF(OR($A384="",$B384&lt;&gt;"tutar_farki"),"",IF(ABS($C384-$D384)&lt;=toleransKurus,"EGK-001",IF(ABS($C384-$F384)&lt;=toleransKurus,"EGK-002",IF(ABS($C384-$G384)&lt;=toleransKurus,"EGK-003",IF(ABS($C384-$E384)&lt;=toleransKurus,"EGK-004",IF($C384&gt;egk_esikFark,"EGK-005","TANIMSIZ"))))))</f>
        <v/>
      </c>
    </row>
    <row r="385">
      <c r="A385" s="22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IF($A385="","",IFERROR(SUMIF(tblMotor[A_Norm],$A385,tblMotor[KomisyonTutar]),0))</f>
        <v/>
      </c>
      <c r="E385" s="16">
        <f>IF($A385="","",IFERROR(SUMIF(tblMotor[A_Norm],$A385,tblMotor[Kargo]),0))</f>
        <v/>
      </c>
      <c r="F385" s="16">
        <f>IF($A385="","",IFERROR(SUMIF(tblMotor[A_Norm],$A385,tblMotor[IadeMaliyet]),0))</f>
        <v/>
      </c>
      <c r="G385" s="16">
        <f>IF($A385="","",IFERROR(SUMIF(tblMotor[A_Norm],$A385,tblMotor[ReklamHarcama]),0))</f>
        <v/>
      </c>
      <c r="H385" s="16">
        <f>IF(OR($A385="",$B385&lt;&gt;"tutar_farki"),"",IF(ABS($C385-$D385)&lt;=toleransKurus,"EGK-001",IF(ABS($C385-$F385)&lt;=toleransKurus,"EGK-002",IF(ABS($C385-$G385)&lt;=toleransKurus,"EGK-003",IF(ABS($C385-$E385)&lt;=toleransKurus,"EGK-004",IF($C385&gt;egk_esikFark,"EGK-005","TANIMSIZ"))))))</f>
        <v/>
      </c>
    </row>
    <row r="386">
      <c r="A386" s="22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IF($A386="","",IFERROR(SUMIF(tblMotor[A_Norm],$A386,tblMotor[KomisyonTutar]),0))</f>
        <v/>
      </c>
      <c r="E386" s="16">
        <f>IF($A386="","",IFERROR(SUMIF(tblMotor[A_Norm],$A386,tblMotor[Kargo]),0))</f>
        <v/>
      </c>
      <c r="F386" s="16">
        <f>IF($A386="","",IFERROR(SUMIF(tblMotor[A_Norm],$A386,tblMotor[IadeMaliyet]),0))</f>
        <v/>
      </c>
      <c r="G386" s="16">
        <f>IF($A386="","",IFERROR(SUMIF(tblMotor[A_Norm],$A386,tblMotor[ReklamHarcama]),0))</f>
        <v/>
      </c>
      <c r="H386" s="16">
        <f>IF(OR($A386="",$B386&lt;&gt;"tutar_farki"),"",IF(ABS($C386-$D386)&lt;=toleransKurus,"EGK-001",IF(ABS($C386-$F386)&lt;=toleransKurus,"EGK-002",IF(ABS($C386-$G386)&lt;=toleransKurus,"EGK-003",IF(ABS($C386-$E386)&lt;=toleransKurus,"EGK-004",IF($C386&gt;egk_esikFark,"EGK-005","TANIMSIZ"))))))</f>
        <v/>
      </c>
    </row>
    <row r="387">
      <c r="A387" s="22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IF($A387="","",IFERROR(SUMIF(tblMotor[A_Norm],$A387,tblMotor[KomisyonTutar]),0))</f>
        <v/>
      </c>
      <c r="E387" s="16">
        <f>IF($A387="","",IFERROR(SUMIF(tblMotor[A_Norm],$A387,tblMotor[Kargo]),0))</f>
        <v/>
      </c>
      <c r="F387" s="16">
        <f>IF($A387="","",IFERROR(SUMIF(tblMotor[A_Norm],$A387,tblMotor[IadeMaliyet]),0))</f>
        <v/>
      </c>
      <c r="G387" s="16">
        <f>IF($A387="","",IFERROR(SUMIF(tblMotor[A_Norm],$A387,tblMotor[ReklamHarcama]),0))</f>
        <v/>
      </c>
      <c r="H387" s="16">
        <f>IF(OR($A387="",$B387&lt;&gt;"tutar_farki"),"",IF(ABS($C387-$D387)&lt;=toleransKurus,"EGK-001",IF(ABS($C387-$F387)&lt;=toleransKurus,"EGK-002",IF(ABS($C387-$G387)&lt;=toleransKurus,"EGK-003",IF(ABS($C387-$E387)&lt;=toleransKurus,"EGK-004",IF($C387&gt;egk_esikFark,"EGK-005","TANIMSIZ"))))))</f>
        <v/>
      </c>
    </row>
    <row r="388">
      <c r="A388" s="22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IF($A388="","",IFERROR(SUMIF(tblMotor[A_Norm],$A388,tblMotor[KomisyonTutar]),0))</f>
        <v/>
      </c>
      <c r="E388" s="16">
        <f>IF($A388="","",IFERROR(SUMIF(tblMotor[A_Norm],$A388,tblMotor[Kargo]),0))</f>
        <v/>
      </c>
      <c r="F388" s="16">
        <f>IF($A388="","",IFERROR(SUMIF(tblMotor[A_Norm],$A388,tblMotor[IadeMaliyet]),0))</f>
        <v/>
      </c>
      <c r="G388" s="16">
        <f>IF($A388="","",IFERROR(SUMIF(tblMotor[A_Norm],$A388,tblMotor[ReklamHarcama]),0))</f>
        <v/>
      </c>
      <c r="H388" s="16">
        <f>IF(OR($A388="",$B388&lt;&gt;"tutar_farki"),"",IF(ABS($C388-$D388)&lt;=toleransKurus,"EGK-001",IF(ABS($C388-$F388)&lt;=toleransKurus,"EGK-002",IF(ABS($C388-$G388)&lt;=toleransKurus,"EGK-003",IF(ABS($C388-$E388)&lt;=toleransKurus,"EGK-004",IF($C388&gt;egk_esikFark,"EGK-005","TANIMSIZ"))))))</f>
        <v/>
      </c>
    </row>
    <row r="389">
      <c r="A389" s="22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IF($A389="","",IFERROR(SUMIF(tblMotor[A_Norm],$A389,tblMotor[KomisyonTutar]),0))</f>
        <v/>
      </c>
      <c r="E389" s="16">
        <f>IF($A389="","",IFERROR(SUMIF(tblMotor[A_Norm],$A389,tblMotor[Kargo]),0))</f>
        <v/>
      </c>
      <c r="F389" s="16">
        <f>IF($A389="","",IFERROR(SUMIF(tblMotor[A_Norm],$A389,tblMotor[IadeMaliyet]),0))</f>
        <v/>
      </c>
      <c r="G389" s="16">
        <f>IF($A389="","",IFERROR(SUMIF(tblMotor[A_Norm],$A389,tblMotor[ReklamHarcama]),0))</f>
        <v/>
      </c>
      <c r="H389" s="16">
        <f>IF(OR($A389="",$B389&lt;&gt;"tutar_farki"),"",IF(ABS($C389-$D389)&lt;=toleransKurus,"EGK-001",IF(ABS($C389-$F389)&lt;=toleransKurus,"EGK-002",IF(ABS($C389-$G389)&lt;=toleransKurus,"EGK-003",IF(ABS($C389-$E389)&lt;=toleransKurus,"EGK-004",IF($C389&gt;egk_esikFark,"EGK-005","TANIMSIZ"))))))</f>
        <v/>
      </c>
    </row>
    <row r="390">
      <c r="A390" s="22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IF($A390="","",IFERROR(SUMIF(tblMotor[A_Norm],$A390,tblMotor[KomisyonTutar]),0))</f>
        <v/>
      </c>
      <c r="E390" s="16">
        <f>IF($A390="","",IFERROR(SUMIF(tblMotor[A_Norm],$A390,tblMotor[Kargo]),0))</f>
        <v/>
      </c>
      <c r="F390" s="16">
        <f>IF($A390="","",IFERROR(SUMIF(tblMotor[A_Norm],$A390,tblMotor[IadeMaliyet]),0))</f>
        <v/>
      </c>
      <c r="G390" s="16">
        <f>IF($A390="","",IFERROR(SUMIF(tblMotor[A_Norm],$A390,tblMotor[ReklamHarcama]),0))</f>
        <v/>
      </c>
      <c r="H390" s="16">
        <f>IF(OR($A390="",$B390&lt;&gt;"tutar_farki"),"",IF(ABS($C390-$D390)&lt;=toleransKurus,"EGK-001",IF(ABS($C390-$F390)&lt;=toleransKurus,"EGK-002",IF(ABS($C390-$G390)&lt;=toleransKurus,"EGK-003",IF(ABS($C390-$E390)&lt;=toleransKurus,"EGK-004",IF($C390&gt;egk_esikFark,"EGK-005","TANIMSIZ"))))))</f>
        <v/>
      </c>
    </row>
    <row r="391">
      <c r="A391" s="22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IF($A391="","",IFERROR(SUMIF(tblMotor[A_Norm],$A391,tblMotor[KomisyonTutar]),0))</f>
        <v/>
      </c>
      <c r="E391" s="16">
        <f>IF($A391="","",IFERROR(SUMIF(tblMotor[A_Norm],$A391,tblMotor[Kargo]),0))</f>
        <v/>
      </c>
      <c r="F391" s="16">
        <f>IF($A391="","",IFERROR(SUMIF(tblMotor[A_Norm],$A391,tblMotor[IadeMaliyet]),0))</f>
        <v/>
      </c>
      <c r="G391" s="16">
        <f>IF($A391="","",IFERROR(SUMIF(tblMotor[A_Norm],$A391,tblMotor[ReklamHarcama]),0))</f>
        <v/>
      </c>
      <c r="H391" s="16">
        <f>IF(OR($A391="",$B391&lt;&gt;"tutar_farki"),"",IF(ABS($C391-$D391)&lt;=toleransKurus,"EGK-001",IF(ABS($C391-$F391)&lt;=toleransKurus,"EGK-002",IF(ABS($C391-$G391)&lt;=toleransKurus,"EGK-003",IF(ABS($C391-$E391)&lt;=toleransKurus,"EGK-004",IF($C391&gt;egk_esikFark,"EGK-005","TANIMSIZ"))))))</f>
        <v/>
      </c>
    </row>
    <row r="392">
      <c r="A392" s="22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IF($A392="","",IFERROR(SUMIF(tblMotor[A_Norm],$A392,tblMotor[KomisyonTutar]),0))</f>
        <v/>
      </c>
      <c r="E392" s="16">
        <f>IF($A392="","",IFERROR(SUMIF(tblMotor[A_Norm],$A392,tblMotor[Kargo]),0))</f>
        <v/>
      </c>
      <c r="F392" s="16">
        <f>IF($A392="","",IFERROR(SUMIF(tblMotor[A_Norm],$A392,tblMotor[IadeMaliyet]),0))</f>
        <v/>
      </c>
      <c r="G392" s="16">
        <f>IF($A392="","",IFERROR(SUMIF(tblMotor[A_Norm],$A392,tblMotor[ReklamHarcama]),0))</f>
        <v/>
      </c>
      <c r="H392" s="16">
        <f>IF(OR($A392="",$B392&lt;&gt;"tutar_farki"),"",IF(ABS($C392-$D392)&lt;=toleransKurus,"EGK-001",IF(ABS($C392-$F392)&lt;=toleransKurus,"EGK-002",IF(ABS($C392-$G392)&lt;=toleransKurus,"EGK-003",IF(ABS($C392-$E392)&lt;=toleransKurus,"EGK-004",IF($C392&gt;egk_esikFark,"EGK-005","TANIMSIZ"))))))</f>
        <v/>
      </c>
    </row>
    <row r="393">
      <c r="A393" s="22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IF($A393="","",IFERROR(SUMIF(tblMotor[A_Norm],$A393,tblMotor[KomisyonTutar]),0))</f>
        <v/>
      </c>
      <c r="E393" s="16">
        <f>IF($A393="","",IFERROR(SUMIF(tblMotor[A_Norm],$A393,tblMotor[Kargo]),0))</f>
        <v/>
      </c>
      <c r="F393" s="16">
        <f>IF($A393="","",IFERROR(SUMIF(tblMotor[A_Norm],$A393,tblMotor[IadeMaliyet]),0))</f>
        <v/>
      </c>
      <c r="G393" s="16">
        <f>IF($A393="","",IFERROR(SUMIF(tblMotor[A_Norm],$A393,tblMotor[ReklamHarcama]),0))</f>
        <v/>
      </c>
      <c r="H393" s="16">
        <f>IF(OR($A393="",$B393&lt;&gt;"tutar_farki"),"",IF(ABS($C393-$D393)&lt;=toleransKurus,"EGK-001",IF(ABS($C393-$F393)&lt;=toleransKurus,"EGK-002",IF(ABS($C393-$G393)&lt;=toleransKurus,"EGK-003",IF(ABS($C393-$E393)&lt;=toleransKurus,"EGK-004",IF($C393&gt;egk_esikFark,"EGK-005","TANIMSIZ"))))))</f>
        <v/>
      </c>
    </row>
    <row r="394">
      <c r="A394" s="22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IF($A394="","",IFERROR(SUMIF(tblMotor[A_Norm],$A394,tblMotor[KomisyonTutar]),0))</f>
        <v/>
      </c>
      <c r="E394" s="16">
        <f>IF($A394="","",IFERROR(SUMIF(tblMotor[A_Norm],$A394,tblMotor[Kargo]),0))</f>
        <v/>
      </c>
      <c r="F394" s="16">
        <f>IF($A394="","",IFERROR(SUMIF(tblMotor[A_Norm],$A394,tblMotor[IadeMaliyet]),0))</f>
        <v/>
      </c>
      <c r="G394" s="16">
        <f>IF($A394="","",IFERROR(SUMIF(tblMotor[A_Norm],$A394,tblMotor[ReklamHarcama]),0))</f>
        <v/>
      </c>
      <c r="H394" s="16">
        <f>IF(OR($A394="",$B394&lt;&gt;"tutar_farki"),"",IF(ABS($C394-$D394)&lt;=toleransKurus,"EGK-001",IF(ABS($C394-$F394)&lt;=toleransKurus,"EGK-002",IF(ABS($C394-$G394)&lt;=toleransKurus,"EGK-003",IF(ABS($C394-$E394)&lt;=toleransKurus,"EGK-004",IF($C394&gt;egk_esikFark,"EGK-005","TANIMSIZ"))))))</f>
        <v/>
      </c>
    </row>
    <row r="395">
      <c r="A395" s="22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IF($A395="","",IFERROR(SUMIF(tblMotor[A_Norm],$A395,tblMotor[KomisyonTutar]),0))</f>
        <v/>
      </c>
      <c r="E395" s="16">
        <f>IF($A395="","",IFERROR(SUMIF(tblMotor[A_Norm],$A395,tblMotor[Kargo]),0))</f>
        <v/>
      </c>
      <c r="F395" s="16">
        <f>IF($A395="","",IFERROR(SUMIF(tblMotor[A_Norm],$A395,tblMotor[IadeMaliyet]),0))</f>
        <v/>
      </c>
      <c r="G395" s="16">
        <f>IF($A395="","",IFERROR(SUMIF(tblMotor[A_Norm],$A395,tblMotor[ReklamHarcama]),0))</f>
        <v/>
      </c>
      <c r="H395" s="16">
        <f>IF(OR($A395="",$B395&lt;&gt;"tutar_farki"),"",IF(ABS($C395-$D395)&lt;=toleransKurus,"EGK-001",IF(ABS($C395-$F395)&lt;=toleransKurus,"EGK-002",IF(ABS($C395-$G395)&lt;=toleransKurus,"EGK-003",IF(ABS($C395-$E395)&lt;=toleransKurus,"EGK-004",IF($C395&gt;egk_esikFark,"EGK-005","TANIMSIZ"))))))</f>
        <v/>
      </c>
    </row>
    <row r="396">
      <c r="A396" s="22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IF($A396="","",IFERROR(SUMIF(tblMotor[A_Norm],$A396,tblMotor[KomisyonTutar]),0))</f>
        <v/>
      </c>
      <c r="E396" s="16">
        <f>IF($A396="","",IFERROR(SUMIF(tblMotor[A_Norm],$A396,tblMotor[Kargo]),0))</f>
        <v/>
      </c>
      <c r="F396" s="16">
        <f>IF($A396="","",IFERROR(SUMIF(tblMotor[A_Norm],$A396,tblMotor[IadeMaliyet]),0))</f>
        <v/>
      </c>
      <c r="G396" s="16">
        <f>IF($A396="","",IFERROR(SUMIF(tblMotor[A_Norm],$A396,tblMotor[ReklamHarcama]),0))</f>
        <v/>
      </c>
      <c r="H396" s="16">
        <f>IF(OR($A396="",$B396&lt;&gt;"tutar_farki"),"",IF(ABS($C396-$D396)&lt;=toleransKurus,"EGK-001",IF(ABS($C396-$F396)&lt;=toleransKurus,"EGK-002",IF(ABS($C396-$G396)&lt;=toleransKurus,"EGK-003",IF(ABS($C396-$E396)&lt;=toleransKurus,"EGK-004",IF($C396&gt;egk_esikFark,"EGK-005","TANIMSIZ"))))))</f>
        <v/>
      </c>
    </row>
    <row r="397">
      <c r="A397" s="22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IF($A397="","",IFERROR(SUMIF(tblMotor[A_Norm],$A397,tblMotor[KomisyonTutar]),0))</f>
        <v/>
      </c>
      <c r="E397" s="16">
        <f>IF($A397="","",IFERROR(SUMIF(tblMotor[A_Norm],$A397,tblMotor[Kargo]),0))</f>
        <v/>
      </c>
      <c r="F397" s="16">
        <f>IF($A397="","",IFERROR(SUMIF(tblMotor[A_Norm],$A397,tblMotor[IadeMaliyet]),0))</f>
        <v/>
      </c>
      <c r="G397" s="16">
        <f>IF($A397="","",IFERROR(SUMIF(tblMotor[A_Norm],$A397,tblMotor[ReklamHarcama]),0))</f>
        <v/>
      </c>
      <c r="H397" s="16">
        <f>IF(OR($A397="",$B397&lt;&gt;"tutar_farki"),"",IF(ABS($C397-$D397)&lt;=toleransKurus,"EGK-001",IF(ABS($C397-$F397)&lt;=toleransKurus,"EGK-002",IF(ABS($C397-$G397)&lt;=toleransKurus,"EGK-003",IF(ABS($C397-$E397)&lt;=toleransKurus,"EGK-004",IF($C397&gt;egk_esikFark,"EGK-005","TANIMSIZ"))))))</f>
        <v/>
      </c>
    </row>
    <row r="398">
      <c r="A398" s="22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IF($A398="","",IFERROR(SUMIF(tblMotor[A_Norm],$A398,tblMotor[KomisyonTutar]),0))</f>
        <v/>
      </c>
      <c r="E398" s="16">
        <f>IF($A398="","",IFERROR(SUMIF(tblMotor[A_Norm],$A398,tblMotor[Kargo]),0))</f>
        <v/>
      </c>
      <c r="F398" s="16">
        <f>IF($A398="","",IFERROR(SUMIF(tblMotor[A_Norm],$A398,tblMotor[IadeMaliyet]),0))</f>
        <v/>
      </c>
      <c r="G398" s="16">
        <f>IF($A398="","",IFERROR(SUMIF(tblMotor[A_Norm],$A398,tblMotor[ReklamHarcama]),0))</f>
        <v/>
      </c>
      <c r="H398" s="16">
        <f>IF(OR($A398="",$B398&lt;&gt;"tutar_farki"),"",IF(ABS($C398-$D398)&lt;=toleransKurus,"EGK-001",IF(ABS($C398-$F398)&lt;=toleransKurus,"EGK-002",IF(ABS($C398-$G398)&lt;=toleransKurus,"EGK-003",IF(ABS($C398-$E398)&lt;=toleransKurus,"EGK-004",IF($C398&gt;egk_esikFark,"EGK-005","TANIMSIZ"))))))</f>
        <v/>
      </c>
    </row>
    <row r="399">
      <c r="A399" s="22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IF($A399="","",IFERROR(SUMIF(tblMotor[A_Norm],$A399,tblMotor[KomisyonTutar]),0))</f>
        <v/>
      </c>
      <c r="E399" s="16">
        <f>IF($A399="","",IFERROR(SUMIF(tblMotor[A_Norm],$A399,tblMotor[Kargo]),0))</f>
        <v/>
      </c>
      <c r="F399" s="16">
        <f>IF($A399="","",IFERROR(SUMIF(tblMotor[A_Norm],$A399,tblMotor[IadeMaliyet]),0))</f>
        <v/>
      </c>
      <c r="G399" s="16">
        <f>IF($A399="","",IFERROR(SUMIF(tblMotor[A_Norm],$A399,tblMotor[ReklamHarcama]),0))</f>
        <v/>
      </c>
      <c r="H399" s="16">
        <f>IF(OR($A399="",$B399&lt;&gt;"tutar_farki"),"",IF(ABS($C399-$D399)&lt;=toleransKurus,"EGK-001",IF(ABS($C399-$F399)&lt;=toleransKurus,"EGK-002",IF(ABS($C399-$G399)&lt;=toleransKurus,"EGK-003",IF(ABS($C399-$E399)&lt;=toleransKurus,"EGK-004",IF($C399&gt;egk_esikFark,"EGK-005","TANIMSIZ"))))))</f>
        <v/>
      </c>
    </row>
    <row r="400">
      <c r="A400" s="22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IF($A400="","",IFERROR(SUMIF(tblMotor[A_Norm],$A400,tblMotor[KomisyonTutar]),0))</f>
        <v/>
      </c>
      <c r="E400" s="16">
        <f>IF($A400="","",IFERROR(SUMIF(tblMotor[A_Norm],$A400,tblMotor[Kargo]),0))</f>
        <v/>
      </c>
      <c r="F400" s="16">
        <f>IF($A400="","",IFERROR(SUMIF(tblMotor[A_Norm],$A400,tblMotor[IadeMaliyet]),0))</f>
        <v/>
      </c>
      <c r="G400" s="16">
        <f>IF($A400="","",IFERROR(SUMIF(tblMotor[A_Norm],$A400,tblMotor[ReklamHarcama]),0))</f>
        <v/>
      </c>
      <c r="H400" s="16">
        <f>IF(OR($A400="",$B400&lt;&gt;"tutar_farki"),"",IF(ABS($C400-$D400)&lt;=toleransKurus,"EGK-001",IF(ABS($C400-$F400)&lt;=toleransKurus,"EGK-002",IF(ABS($C400-$G400)&lt;=toleransKurus,"EGK-003",IF(ABS($C400-$E400)&lt;=toleransKurus,"EGK-004",IF($C400&gt;egk_esikFark,"EGK-005","TANIMSIZ"))))))</f>
        <v/>
      </c>
    </row>
    <row r="401">
      <c r="A401" s="22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IF($A401="","",IFERROR(SUMIF(tblMotor[A_Norm],$A401,tblMotor[KomisyonTutar]),0))</f>
        <v/>
      </c>
      <c r="E401" s="16">
        <f>IF($A401="","",IFERROR(SUMIF(tblMotor[A_Norm],$A401,tblMotor[Kargo]),0))</f>
        <v/>
      </c>
      <c r="F401" s="16">
        <f>IF($A401="","",IFERROR(SUMIF(tblMotor[A_Norm],$A401,tblMotor[IadeMaliyet]),0))</f>
        <v/>
      </c>
      <c r="G401" s="16">
        <f>IF($A401="","",IFERROR(SUMIF(tblMotor[A_Norm],$A401,tblMotor[ReklamHarcama]),0))</f>
        <v/>
      </c>
      <c r="H401" s="16">
        <f>IF(OR($A401="",$B401&lt;&gt;"tutar_farki"),"",IF(ABS($C401-$D401)&lt;=toleransKurus,"EGK-001",IF(ABS($C401-$F401)&lt;=toleransKurus,"EGK-002",IF(ABS($C401-$G401)&lt;=toleransKurus,"EGK-003",IF(ABS($C401-$E401)&lt;=toleransKurus,"EGK-004",IF($C401&gt;egk_esikFark,"EGK-005","TANIMSIZ"))))))</f>
        <v/>
      </c>
    </row>
    <row r="402">
      <c r="A402" s="22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IF($A402="","",IFERROR(SUMIF(tblMotor[A_Norm],$A402,tblMotor[KomisyonTutar]),0))</f>
        <v/>
      </c>
      <c r="E402" s="16">
        <f>IF($A402="","",IFERROR(SUMIF(tblMotor[A_Norm],$A402,tblMotor[Kargo]),0))</f>
        <v/>
      </c>
      <c r="F402" s="16">
        <f>IF($A402="","",IFERROR(SUMIF(tblMotor[A_Norm],$A402,tblMotor[IadeMaliyet]),0))</f>
        <v/>
      </c>
      <c r="G402" s="16">
        <f>IF($A402="","",IFERROR(SUMIF(tblMotor[A_Norm],$A402,tblMotor[ReklamHarcama]),0))</f>
        <v/>
      </c>
      <c r="H402" s="16">
        <f>IF(OR($A402="",$B402&lt;&gt;"tutar_farki"),"",IF(ABS($C402-$D402)&lt;=toleransKurus,"EGK-001",IF(ABS($C402-$F402)&lt;=toleransKurus,"EGK-002",IF(ABS($C402-$G402)&lt;=toleransKurus,"EGK-003",IF(ABS($C402-$E402)&lt;=toleransKurus,"EGK-004",IF($C402&gt;egk_esikFark,"EGK-005","TANIMSIZ"))))))</f>
        <v/>
      </c>
    </row>
    <row r="403">
      <c r="A403" s="22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IF($A403="","",IFERROR(SUMIF(tblMotor[A_Norm],$A403,tblMotor[KomisyonTutar]),0))</f>
        <v/>
      </c>
      <c r="E403" s="16">
        <f>IF($A403="","",IFERROR(SUMIF(tblMotor[A_Norm],$A403,tblMotor[Kargo]),0))</f>
        <v/>
      </c>
      <c r="F403" s="16">
        <f>IF($A403="","",IFERROR(SUMIF(tblMotor[A_Norm],$A403,tblMotor[IadeMaliyet]),0))</f>
        <v/>
      </c>
      <c r="G403" s="16">
        <f>IF($A403="","",IFERROR(SUMIF(tblMotor[A_Norm],$A403,tblMotor[ReklamHarcama]),0))</f>
        <v/>
      </c>
      <c r="H403" s="16">
        <f>IF(OR($A403="",$B403&lt;&gt;"tutar_farki"),"",IF(ABS($C403-$D403)&lt;=toleransKurus,"EGK-001",IF(ABS($C403-$F403)&lt;=toleransKurus,"EGK-002",IF(ABS($C403-$G403)&lt;=toleransKurus,"EGK-003",IF(ABS($C403-$E403)&lt;=toleransKurus,"EGK-004",IF($C403&gt;egk_esikFark,"EGK-005","TANIMSIZ"))))))</f>
        <v/>
      </c>
    </row>
    <row r="404">
      <c r="A404" s="22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IF($A404="","",IFERROR(SUMIF(tblMotor[A_Norm],$A404,tblMotor[KomisyonTutar]),0))</f>
        <v/>
      </c>
      <c r="E404" s="16">
        <f>IF($A404="","",IFERROR(SUMIF(tblMotor[A_Norm],$A404,tblMotor[Kargo]),0))</f>
        <v/>
      </c>
      <c r="F404" s="16">
        <f>IF($A404="","",IFERROR(SUMIF(tblMotor[A_Norm],$A404,tblMotor[IadeMaliyet]),0))</f>
        <v/>
      </c>
      <c r="G404" s="16">
        <f>IF($A404="","",IFERROR(SUMIF(tblMotor[A_Norm],$A404,tblMotor[ReklamHarcama]),0))</f>
        <v/>
      </c>
      <c r="H404" s="16">
        <f>IF(OR($A404="",$B404&lt;&gt;"tutar_farki"),"",IF(ABS($C404-$D404)&lt;=toleransKurus,"EGK-001",IF(ABS($C404-$F404)&lt;=toleransKurus,"EGK-002",IF(ABS($C404-$G404)&lt;=toleransKurus,"EGK-003",IF(ABS($C404-$E404)&lt;=toleransKurus,"EGK-004",IF($C404&gt;egk_esikFark,"EGK-005","TANIMSIZ"))))))</f>
        <v/>
      </c>
    </row>
    <row r="405">
      <c r="A405" s="22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IF($A405="","",IFERROR(SUMIF(tblMotor[A_Norm],$A405,tblMotor[KomisyonTutar]),0))</f>
        <v/>
      </c>
      <c r="E405" s="16">
        <f>IF($A405="","",IFERROR(SUMIF(tblMotor[A_Norm],$A405,tblMotor[Kargo]),0))</f>
        <v/>
      </c>
      <c r="F405" s="16">
        <f>IF($A405="","",IFERROR(SUMIF(tblMotor[A_Norm],$A405,tblMotor[IadeMaliyet]),0))</f>
        <v/>
      </c>
      <c r="G405" s="16">
        <f>IF($A405="","",IFERROR(SUMIF(tblMotor[A_Norm],$A405,tblMotor[ReklamHarcama]),0))</f>
        <v/>
      </c>
      <c r="H405" s="16">
        <f>IF(OR($A405="",$B405&lt;&gt;"tutar_farki"),"",IF(ABS($C405-$D405)&lt;=toleransKurus,"EGK-001",IF(ABS($C405-$F405)&lt;=toleransKurus,"EGK-002",IF(ABS($C405-$G405)&lt;=toleransKurus,"EGK-003",IF(ABS($C405-$E405)&lt;=toleransKurus,"EGK-004",IF($C405&gt;egk_esikFark,"EGK-005","TANIMSIZ"))))))</f>
        <v/>
      </c>
    </row>
    <row r="406">
      <c r="A406" s="22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IF($A406="","",IFERROR(SUMIF(tblMotor[A_Norm],$A406,tblMotor[KomisyonTutar]),0))</f>
        <v/>
      </c>
      <c r="E406" s="16">
        <f>IF($A406="","",IFERROR(SUMIF(tblMotor[A_Norm],$A406,tblMotor[Kargo]),0))</f>
        <v/>
      </c>
      <c r="F406" s="16">
        <f>IF($A406="","",IFERROR(SUMIF(tblMotor[A_Norm],$A406,tblMotor[IadeMaliyet]),0))</f>
        <v/>
      </c>
      <c r="G406" s="16">
        <f>IF($A406="","",IFERROR(SUMIF(tblMotor[A_Norm],$A406,tblMotor[ReklamHarcama]),0))</f>
        <v/>
      </c>
      <c r="H406" s="16">
        <f>IF(OR($A406="",$B406&lt;&gt;"tutar_farki"),"",IF(ABS($C406-$D406)&lt;=toleransKurus,"EGK-001",IF(ABS($C406-$F406)&lt;=toleransKurus,"EGK-002",IF(ABS($C406-$G406)&lt;=toleransKurus,"EGK-003",IF(ABS($C406-$E406)&lt;=toleransKurus,"EGK-004",IF($C406&gt;egk_esikFark,"EGK-005","TANIMSIZ"))))))</f>
        <v/>
      </c>
    </row>
    <row r="407">
      <c r="A407" s="22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IF($A407="","",IFERROR(SUMIF(tblMotor[A_Norm],$A407,tblMotor[KomisyonTutar]),0))</f>
        <v/>
      </c>
      <c r="E407" s="16">
        <f>IF($A407="","",IFERROR(SUMIF(tblMotor[A_Norm],$A407,tblMotor[Kargo]),0))</f>
        <v/>
      </c>
      <c r="F407" s="16">
        <f>IF($A407="","",IFERROR(SUMIF(tblMotor[A_Norm],$A407,tblMotor[IadeMaliyet]),0))</f>
        <v/>
      </c>
      <c r="G407" s="16">
        <f>IF($A407="","",IFERROR(SUMIF(tblMotor[A_Norm],$A407,tblMotor[ReklamHarcama]),0))</f>
        <v/>
      </c>
      <c r="H407" s="16">
        <f>IF(OR($A407="",$B407&lt;&gt;"tutar_farki"),"",IF(ABS($C407-$D407)&lt;=toleransKurus,"EGK-001",IF(ABS($C407-$F407)&lt;=toleransKurus,"EGK-002",IF(ABS($C407-$G407)&lt;=toleransKurus,"EGK-003",IF(ABS($C407-$E407)&lt;=toleransKurus,"EGK-004",IF($C407&gt;egk_esikFark,"EGK-005","TANIMSIZ"))))))</f>
        <v/>
      </c>
    </row>
    <row r="408">
      <c r="A408" s="22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IF($A408="","",IFERROR(SUMIF(tblMotor[A_Norm],$A408,tblMotor[KomisyonTutar]),0))</f>
        <v/>
      </c>
      <c r="E408" s="16">
        <f>IF($A408="","",IFERROR(SUMIF(tblMotor[A_Norm],$A408,tblMotor[Kargo]),0))</f>
        <v/>
      </c>
      <c r="F408" s="16">
        <f>IF($A408="","",IFERROR(SUMIF(tblMotor[A_Norm],$A408,tblMotor[IadeMaliyet]),0))</f>
        <v/>
      </c>
      <c r="G408" s="16">
        <f>IF($A408="","",IFERROR(SUMIF(tblMotor[A_Norm],$A408,tblMotor[ReklamHarcama]),0))</f>
        <v/>
      </c>
      <c r="H408" s="16">
        <f>IF(OR($A408="",$B408&lt;&gt;"tutar_farki"),"",IF(ABS($C408-$D408)&lt;=toleransKurus,"EGK-001",IF(ABS($C408-$F408)&lt;=toleransKurus,"EGK-002",IF(ABS($C408-$G408)&lt;=toleransKurus,"EGK-003",IF(ABS($C408-$E408)&lt;=toleransKurus,"EGK-004",IF($C408&gt;egk_esikFark,"EGK-005","TANIMSIZ"))))))</f>
        <v/>
      </c>
    </row>
    <row r="409">
      <c r="A409" s="22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IF($A409="","",IFERROR(SUMIF(tblMotor[A_Norm],$A409,tblMotor[KomisyonTutar]),0))</f>
        <v/>
      </c>
      <c r="E409" s="16">
        <f>IF($A409="","",IFERROR(SUMIF(tblMotor[A_Norm],$A409,tblMotor[Kargo]),0))</f>
        <v/>
      </c>
      <c r="F409" s="16">
        <f>IF($A409="","",IFERROR(SUMIF(tblMotor[A_Norm],$A409,tblMotor[IadeMaliyet]),0))</f>
        <v/>
      </c>
      <c r="G409" s="16">
        <f>IF($A409="","",IFERROR(SUMIF(tblMotor[A_Norm],$A409,tblMotor[ReklamHarcama]),0))</f>
        <v/>
      </c>
      <c r="H409" s="16">
        <f>IF(OR($A409="",$B409&lt;&gt;"tutar_farki"),"",IF(ABS($C409-$D409)&lt;=toleransKurus,"EGK-001",IF(ABS($C409-$F409)&lt;=toleransKurus,"EGK-002",IF(ABS($C409-$G409)&lt;=toleransKurus,"EGK-003",IF(ABS($C409-$E409)&lt;=toleransKurus,"EGK-004",IF($C409&gt;egk_esikFark,"EGK-005","TANIMSIZ"))))))</f>
        <v/>
      </c>
    </row>
    <row r="410">
      <c r="A410" s="22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IF($A410="","",IFERROR(SUMIF(tblMotor[A_Norm],$A410,tblMotor[KomisyonTutar]),0))</f>
        <v/>
      </c>
      <c r="E410" s="16">
        <f>IF($A410="","",IFERROR(SUMIF(tblMotor[A_Norm],$A410,tblMotor[Kargo]),0))</f>
        <v/>
      </c>
      <c r="F410" s="16">
        <f>IF($A410="","",IFERROR(SUMIF(tblMotor[A_Norm],$A410,tblMotor[IadeMaliyet]),0))</f>
        <v/>
      </c>
      <c r="G410" s="16">
        <f>IF($A410="","",IFERROR(SUMIF(tblMotor[A_Norm],$A410,tblMotor[ReklamHarcama]),0))</f>
        <v/>
      </c>
      <c r="H410" s="16">
        <f>IF(OR($A410="",$B410&lt;&gt;"tutar_farki"),"",IF(ABS($C410-$D410)&lt;=toleransKurus,"EGK-001",IF(ABS($C410-$F410)&lt;=toleransKurus,"EGK-002",IF(ABS($C410-$G410)&lt;=toleransKurus,"EGK-003",IF(ABS($C410-$E410)&lt;=toleransKurus,"EGK-004",IF($C410&gt;egk_esikFark,"EGK-005","TANIMSIZ"))))))</f>
        <v/>
      </c>
    </row>
    <row r="411">
      <c r="A411" s="22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IF($A411="","",IFERROR(SUMIF(tblMotor[A_Norm],$A411,tblMotor[KomisyonTutar]),0))</f>
        <v/>
      </c>
      <c r="E411" s="16">
        <f>IF($A411="","",IFERROR(SUMIF(tblMotor[A_Norm],$A411,tblMotor[Kargo]),0))</f>
        <v/>
      </c>
      <c r="F411" s="16">
        <f>IF($A411="","",IFERROR(SUMIF(tblMotor[A_Norm],$A411,tblMotor[IadeMaliyet]),0))</f>
        <v/>
      </c>
      <c r="G411" s="16">
        <f>IF($A411="","",IFERROR(SUMIF(tblMotor[A_Norm],$A411,tblMotor[ReklamHarcama]),0))</f>
        <v/>
      </c>
      <c r="H411" s="16">
        <f>IF(OR($A411="",$B411&lt;&gt;"tutar_farki"),"",IF(ABS($C411-$D411)&lt;=toleransKurus,"EGK-001",IF(ABS($C411-$F411)&lt;=toleransKurus,"EGK-002",IF(ABS($C411-$G411)&lt;=toleransKurus,"EGK-003",IF(ABS($C411-$E411)&lt;=toleransKurus,"EGK-004",IF($C411&gt;egk_esikFark,"EGK-005","TANIMSIZ"))))))</f>
        <v/>
      </c>
    </row>
    <row r="412">
      <c r="A412" s="22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IF($A412="","",IFERROR(SUMIF(tblMotor[A_Norm],$A412,tblMotor[KomisyonTutar]),0))</f>
        <v/>
      </c>
      <c r="E412" s="16">
        <f>IF($A412="","",IFERROR(SUMIF(tblMotor[A_Norm],$A412,tblMotor[Kargo]),0))</f>
        <v/>
      </c>
      <c r="F412" s="16">
        <f>IF($A412="","",IFERROR(SUMIF(tblMotor[A_Norm],$A412,tblMotor[IadeMaliyet]),0))</f>
        <v/>
      </c>
      <c r="G412" s="16">
        <f>IF($A412="","",IFERROR(SUMIF(tblMotor[A_Norm],$A412,tblMotor[ReklamHarcama]),0))</f>
        <v/>
      </c>
      <c r="H412" s="16">
        <f>IF(OR($A412="",$B412&lt;&gt;"tutar_farki"),"",IF(ABS($C412-$D412)&lt;=toleransKurus,"EGK-001",IF(ABS($C412-$F412)&lt;=toleransKurus,"EGK-002",IF(ABS($C412-$G412)&lt;=toleransKurus,"EGK-003",IF(ABS($C412-$E412)&lt;=toleransKurus,"EGK-004",IF($C412&gt;egk_esikFark,"EGK-005","TANIMSIZ"))))))</f>
        <v/>
      </c>
    </row>
    <row r="413">
      <c r="A413" s="22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IF($A413="","",IFERROR(SUMIF(tblMotor[A_Norm],$A413,tblMotor[KomisyonTutar]),0))</f>
        <v/>
      </c>
      <c r="E413" s="16">
        <f>IF($A413="","",IFERROR(SUMIF(tblMotor[A_Norm],$A413,tblMotor[Kargo]),0))</f>
        <v/>
      </c>
      <c r="F413" s="16">
        <f>IF($A413="","",IFERROR(SUMIF(tblMotor[A_Norm],$A413,tblMotor[IadeMaliyet]),0))</f>
        <v/>
      </c>
      <c r="G413" s="16">
        <f>IF($A413="","",IFERROR(SUMIF(tblMotor[A_Norm],$A413,tblMotor[ReklamHarcama]),0))</f>
        <v/>
      </c>
      <c r="H413" s="16">
        <f>IF(OR($A413="",$B413&lt;&gt;"tutar_farki"),"",IF(ABS($C413-$D413)&lt;=toleransKurus,"EGK-001",IF(ABS($C413-$F413)&lt;=toleransKurus,"EGK-002",IF(ABS($C413-$G413)&lt;=toleransKurus,"EGK-003",IF(ABS($C413-$E413)&lt;=toleransKurus,"EGK-004",IF($C413&gt;egk_esikFark,"EGK-005","TANIMSIZ"))))))</f>
        <v/>
      </c>
    </row>
    <row r="414">
      <c r="A414" s="22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IF($A414="","",IFERROR(SUMIF(tblMotor[A_Norm],$A414,tblMotor[KomisyonTutar]),0))</f>
        <v/>
      </c>
      <c r="E414" s="16">
        <f>IF($A414="","",IFERROR(SUMIF(tblMotor[A_Norm],$A414,tblMotor[Kargo]),0))</f>
        <v/>
      </c>
      <c r="F414" s="16">
        <f>IF($A414="","",IFERROR(SUMIF(tblMotor[A_Norm],$A414,tblMotor[IadeMaliyet]),0))</f>
        <v/>
      </c>
      <c r="G414" s="16">
        <f>IF($A414="","",IFERROR(SUMIF(tblMotor[A_Norm],$A414,tblMotor[ReklamHarcama]),0))</f>
        <v/>
      </c>
      <c r="H414" s="16">
        <f>IF(OR($A414="",$B414&lt;&gt;"tutar_farki"),"",IF(ABS($C414-$D414)&lt;=toleransKurus,"EGK-001",IF(ABS($C414-$F414)&lt;=toleransKurus,"EGK-002",IF(ABS($C414-$G414)&lt;=toleransKurus,"EGK-003",IF(ABS($C414-$E414)&lt;=toleransKurus,"EGK-004",IF($C414&gt;egk_esikFark,"EGK-005","TANIMSIZ"))))))</f>
        <v/>
      </c>
    </row>
    <row r="415">
      <c r="A415" s="22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IF($A415="","",IFERROR(SUMIF(tblMotor[A_Norm],$A415,tblMotor[KomisyonTutar]),0))</f>
        <v/>
      </c>
      <c r="E415" s="16">
        <f>IF($A415="","",IFERROR(SUMIF(tblMotor[A_Norm],$A415,tblMotor[Kargo]),0))</f>
        <v/>
      </c>
      <c r="F415" s="16">
        <f>IF($A415="","",IFERROR(SUMIF(tblMotor[A_Norm],$A415,tblMotor[IadeMaliyet]),0))</f>
        <v/>
      </c>
      <c r="G415" s="16">
        <f>IF($A415="","",IFERROR(SUMIF(tblMotor[A_Norm],$A415,tblMotor[ReklamHarcama]),0))</f>
        <v/>
      </c>
      <c r="H415" s="16">
        <f>IF(OR($A415="",$B415&lt;&gt;"tutar_farki"),"",IF(ABS($C415-$D415)&lt;=toleransKurus,"EGK-001",IF(ABS($C415-$F415)&lt;=toleransKurus,"EGK-002",IF(ABS($C415-$G415)&lt;=toleransKurus,"EGK-003",IF(ABS($C415-$E415)&lt;=toleransKurus,"EGK-004",IF($C415&gt;egk_esikFark,"EGK-005","TANIMSIZ"))))))</f>
        <v/>
      </c>
    </row>
    <row r="416">
      <c r="A416" s="22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IF($A416="","",IFERROR(SUMIF(tblMotor[A_Norm],$A416,tblMotor[KomisyonTutar]),0))</f>
        <v/>
      </c>
      <c r="E416" s="16">
        <f>IF($A416="","",IFERROR(SUMIF(tblMotor[A_Norm],$A416,tblMotor[Kargo]),0))</f>
        <v/>
      </c>
      <c r="F416" s="16">
        <f>IF($A416="","",IFERROR(SUMIF(tblMotor[A_Norm],$A416,tblMotor[IadeMaliyet]),0))</f>
        <v/>
      </c>
      <c r="G416" s="16">
        <f>IF($A416="","",IFERROR(SUMIF(tblMotor[A_Norm],$A416,tblMotor[ReklamHarcama]),0))</f>
        <v/>
      </c>
      <c r="H416" s="16">
        <f>IF(OR($A416="",$B416&lt;&gt;"tutar_farki"),"",IF(ABS($C416-$D416)&lt;=toleransKurus,"EGK-001",IF(ABS($C416-$F416)&lt;=toleransKurus,"EGK-002",IF(ABS($C416-$G416)&lt;=toleransKurus,"EGK-003",IF(ABS($C416-$E416)&lt;=toleransKurus,"EGK-004",IF($C416&gt;egk_esikFark,"EGK-005","TANIMSIZ"))))))</f>
        <v/>
      </c>
    </row>
    <row r="417">
      <c r="A417" s="22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IF($A417="","",IFERROR(SUMIF(tblMotor[A_Norm],$A417,tblMotor[KomisyonTutar]),0))</f>
        <v/>
      </c>
      <c r="E417" s="16">
        <f>IF($A417="","",IFERROR(SUMIF(tblMotor[A_Norm],$A417,tblMotor[Kargo]),0))</f>
        <v/>
      </c>
      <c r="F417" s="16">
        <f>IF($A417="","",IFERROR(SUMIF(tblMotor[A_Norm],$A417,tblMotor[IadeMaliyet]),0))</f>
        <v/>
      </c>
      <c r="G417" s="16">
        <f>IF($A417="","",IFERROR(SUMIF(tblMotor[A_Norm],$A417,tblMotor[ReklamHarcama]),0))</f>
        <v/>
      </c>
      <c r="H417" s="16">
        <f>IF(OR($A417="",$B417&lt;&gt;"tutar_farki"),"",IF(ABS($C417-$D417)&lt;=toleransKurus,"EGK-001",IF(ABS($C417-$F417)&lt;=toleransKurus,"EGK-002",IF(ABS($C417-$G417)&lt;=toleransKurus,"EGK-003",IF(ABS($C417-$E417)&lt;=toleransKurus,"EGK-004",IF($C417&gt;egk_esikFark,"EGK-005","TANIMSIZ"))))))</f>
        <v/>
      </c>
    </row>
    <row r="418">
      <c r="A418" s="22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IF($A418="","",IFERROR(SUMIF(tblMotor[A_Norm],$A418,tblMotor[KomisyonTutar]),0))</f>
        <v/>
      </c>
      <c r="E418" s="16">
        <f>IF($A418="","",IFERROR(SUMIF(tblMotor[A_Norm],$A418,tblMotor[Kargo]),0))</f>
        <v/>
      </c>
      <c r="F418" s="16">
        <f>IF($A418="","",IFERROR(SUMIF(tblMotor[A_Norm],$A418,tblMotor[IadeMaliyet]),0))</f>
        <v/>
      </c>
      <c r="G418" s="16">
        <f>IF($A418="","",IFERROR(SUMIF(tblMotor[A_Norm],$A418,tblMotor[ReklamHarcama]),0))</f>
        <v/>
      </c>
      <c r="H418" s="16">
        <f>IF(OR($A418="",$B418&lt;&gt;"tutar_farki"),"",IF(ABS($C418-$D418)&lt;=toleransKurus,"EGK-001",IF(ABS($C418-$F418)&lt;=toleransKurus,"EGK-002",IF(ABS($C418-$G418)&lt;=toleransKurus,"EGK-003",IF(ABS($C418-$E418)&lt;=toleransKurus,"EGK-004",IF($C418&gt;egk_esikFark,"EGK-005","TANIMSIZ"))))))</f>
        <v/>
      </c>
    </row>
    <row r="419">
      <c r="A419" s="22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IF($A419="","",IFERROR(SUMIF(tblMotor[A_Norm],$A419,tblMotor[KomisyonTutar]),0))</f>
        <v/>
      </c>
      <c r="E419" s="16">
        <f>IF($A419="","",IFERROR(SUMIF(tblMotor[A_Norm],$A419,tblMotor[Kargo]),0))</f>
        <v/>
      </c>
      <c r="F419" s="16">
        <f>IF($A419="","",IFERROR(SUMIF(tblMotor[A_Norm],$A419,tblMotor[IadeMaliyet]),0))</f>
        <v/>
      </c>
      <c r="G419" s="16">
        <f>IF($A419="","",IFERROR(SUMIF(tblMotor[A_Norm],$A419,tblMotor[ReklamHarcama]),0))</f>
        <v/>
      </c>
      <c r="H419" s="16">
        <f>IF(OR($A419="",$B419&lt;&gt;"tutar_farki"),"",IF(ABS($C419-$D419)&lt;=toleransKurus,"EGK-001",IF(ABS($C419-$F419)&lt;=toleransKurus,"EGK-002",IF(ABS($C419-$G419)&lt;=toleransKurus,"EGK-003",IF(ABS($C419-$E419)&lt;=toleransKurus,"EGK-004",IF($C419&gt;egk_esikFark,"EGK-005","TANIMSIZ"))))))</f>
        <v/>
      </c>
    </row>
    <row r="420">
      <c r="A420" s="22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IF($A420="","",IFERROR(SUMIF(tblMotor[A_Norm],$A420,tblMotor[KomisyonTutar]),0))</f>
        <v/>
      </c>
      <c r="E420" s="16">
        <f>IF($A420="","",IFERROR(SUMIF(tblMotor[A_Norm],$A420,tblMotor[Kargo]),0))</f>
        <v/>
      </c>
      <c r="F420" s="16">
        <f>IF($A420="","",IFERROR(SUMIF(tblMotor[A_Norm],$A420,tblMotor[IadeMaliyet]),0))</f>
        <v/>
      </c>
      <c r="G420" s="16">
        <f>IF($A420="","",IFERROR(SUMIF(tblMotor[A_Norm],$A420,tblMotor[ReklamHarcama]),0))</f>
        <v/>
      </c>
      <c r="H420" s="16">
        <f>IF(OR($A420="",$B420&lt;&gt;"tutar_farki"),"",IF(ABS($C420-$D420)&lt;=toleransKurus,"EGK-001",IF(ABS($C420-$F420)&lt;=toleransKurus,"EGK-002",IF(ABS($C420-$G420)&lt;=toleransKurus,"EGK-003",IF(ABS($C420-$E420)&lt;=toleransKurus,"EGK-004",IF($C420&gt;egk_esikFark,"EGK-005","TANIMSIZ"))))))</f>
        <v/>
      </c>
    </row>
    <row r="421">
      <c r="A421" s="22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IF($A421="","",IFERROR(SUMIF(tblMotor[A_Norm],$A421,tblMotor[KomisyonTutar]),0))</f>
        <v/>
      </c>
      <c r="E421" s="16">
        <f>IF($A421="","",IFERROR(SUMIF(tblMotor[A_Norm],$A421,tblMotor[Kargo]),0))</f>
        <v/>
      </c>
      <c r="F421" s="16">
        <f>IF($A421="","",IFERROR(SUMIF(tblMotor[A_Norm],$A421,tblMotor[IadeMaliyet]),0))</f>
        <v/>
      </c>
      <c r="G421" s="16">
        <f>IF($A421="","",IFERROR(SUMIF(tblMotor[A_Norm],$A421,tblMotor[ReklamHarcama]),0))</f>
        <v/>
      </c>
      <c r="H421" s="16">
        <f>IF(OR($A421="",$B421&lt;&gt;"tutar_farki"),"",IF(ABS($C421-$D421)&lt;=toleransKurus,"EGK-001",IF(ABS($C421-$F421)&lt;=toleransKurus,"EGK-002",IF(ABS($C421-$G421)&lt;=toleransKurus,"EGK-003",IF(ABS($C421-$E421)&lt;=toleransKurus,"EGK-004",IF($C421&gt;egk_esikFark,"EGK-005","TANIMSIZ"))))))</f>
        <v/>
      </c>
    </row>
    <row r="422">
      <c r="A422" s="22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IF($A422="","",IFERROR(SUMIF(tblMotor[A_Norm],$A422,tblMotor[KomisyonTutar]),0))</f>
        <v/>
      </c>
      <c r="E422" s="16">
        <f>IF($A422="","",IFERROR(SUMIF(tblMotor[A_Norm],$A422,tblMotor[Kargo]),0))</f>
        <v/>
      </c>
      <c r="F422" s="16">
        <f>IF($A422="","",IFERROR(SUMIF(tblMotor[A_Norm],$A422,tblMotor[IadeMaliyet]),0))</f>
        <v/>
      </c>
      <c r="G422" s="16">
        <f>IF($A422="","",IFERROR(SUMIF(tblMotor[A_Norm],$A422,tblMotor[ReklamHarcama]),0))</f>
        <v/>
      </c>
      <c r="H422" s="16">
        <f>IF(OR($A422="",$B422&lt;&gt;"tutar_farki"),"",IF(ABS($C422-$D422)&lt;=toleransKurus,"EGK-001",IF(ABS($C422-$F422)&lt;=toleransKurus,"EGK-002",IF(ABS($C422-$G422)&lt;=toleransKurus,"EGK-003",IF(ABS($C422-$E422)&lt;=toleransKurus,"EGK-004",IF($C422&gt;egk_esikFark,"EGK-005","TANIMSIZ"))))))</f>
        <v/>
      </c>
    </row>
    <row r="423">
      <c r="A423" s="22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IF($A423="","",IFERROR(SUMIF(tblMotor[A_Norm],$A423,tblMotor[KomisyonTutar]),0))</f>
        <v/>
      </c>
      <c r="E423" s="16">
        <f>IF($A423="","",IFERROR(SUMIF(tblMotor[A_Norm],$A423,tblMotor[Kargo]),0))</f>
        <v/>
      </c>
      <c r="F423" s="16">
        <f>IF($A423="","",IFERROR(SUMIF(tblMotor[A_Norm],$A423,tblMotor[IadeMaliyet]),0))</f>
        <v/>
      </c>
      <c r="G423" s="16">
        <f>IF($A423="","",IFERROR(SUMIF(tblMotor[A_Norm],$A423,tblMotor[ReklamHarcama]),0))</f>
        <v/>
      </c>
      <c r="H423" s="16">
        <f>IF(OR($A423="",$B423&lt;&gt;"tutar_farki"),"",IF(ABS($C423-$D423)&lt;=toleransKurus,"EGK-001",IF(ABS($C423-$F423)&lt;=toleransKurus,"EGK-002",IF(ABS($C423-$G423)&lt;=toleransKurus,"EGK-003",IF(ABS($C423-$E423)&lt;=toleransKurus,"EGK-004",IF($C423&gt;egk_esikFark,"EGK-005","TANIMSIZ"))))))</f>
        <v/>
      </c>
    </row>
    <row r="424">
      <c r="A424" s="22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IF($A424="","",IFERROR(SUMIF(tblMotor[A_Norm],$A424,tblMotor[KomisyonTutar]),0))</f>
        <v/>
      </c>
      <c r="E424" s="16">
        <f>IF($A424="","",IFERROR(SUMIF(tblMotor[A_Norm],$A424,tblMotor[Kargo]),0))</f>
        <v/>
      </c>
      <c r="F424" s="16">
        <f>IF($A424="","",IFERROR(SUMIF(tblMotor[A_Norm],$A424,tblMotor[IadeMaliyet]),0))</f>
        <v/>
      </c>
      <c r="G424" s="16">
        <f>IF($A424="","",IFERROR(SUMIF(tblMotor[A_Norm],$A424,tblMotor[ReklamHarcama]),0))</f>
        <v/>
      </c>
      <c r="H424" s="16">
        <f>IF(OR($A424="",$B424&lt;&gt;"tutar_farki"),"",IF(ABS($C424-$D424)&lt;=toleransKurus,"EGK-001",IF(ABS($C424-$F424)&lt;=toleransKurus,"EGK-002",IF(ABS($C424-$G424)&lt;=toleransKurus,"EGK-003",IF(ABS($C424-$E424)&lt;=toleransKurus,"EGK-004",IF($C424&gt;egk_esikFark,"EGK-005","TANIMSIZ"))))))</f>
        <v/>
      </c>
    </row>
    <row r="425">
      <c r="A425" s="22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IF($A425="","",IFERROR(SUMIF(tblMotor[A_Norm],$A425,tblMotor[KomisyonTutar]),0))</f>
        <v/>
      </c>
      <c r="E425" s="16">
        <f>IF($A425="","",IFERROR(SUMIF(tblMotor[A_Norm],$A425,tblMotor[Kargo]),0))</f>
        <v/>
      </c>
      <c r="F425" s="16">
        <f>IF($A425="","",IFERROR(SUMIF(tblMotor[A_Norm],$A425,tblMotor[IadeMaliyet]),0))</f>
        <v/>
      </c>
      <c r="G425" s="16">
        <f>IF($A425="","",IFERROR(SUMIF(tblMotor[A_Norm],$A425,tblMotor[ReklamHarcama]),0))</f>
        <v/>
      </c>
      <c r="H425" s="16">
        <f>IF(OR($A425="",$B425&lt;&gt;"tutar_farki"),"",IF(ABS($C425-$D425)&lt;=toleransKurus,"EGK-001",IF(ABS($C425-$F425)&lt;=toleransKurus,"EGK-002",IF(ABS($C425-$G425)&lt;=toleransKurus,"EGK-003",IF(ABS($C425-$E425)&lt;=toleransKurus,"EGK-004",IF($C425&gt;egk_esikFark,"EGK-005","TANIMSIZ"))))))</f>
        <v/>
      </c>
    </row>
    <row r="426">
      <c r="A426" s="22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IF($A426="","",IFERROR(SUMIF(tblMotor[A_Norm],$A426,tblMotor[KomisyonTutar]),0))</f>
        <v/>
      </c>
      <c r="E426" s="16">
        <f>IF($A426="","",IFERROR(SUMIF(tblMotor[A_Norm],$A426,tblMotor[Kargo]),0))</f>
        <v/>
      </c>
      <c r="F426" s="16">
        <f>IF($A426="","",IFERROR(SUMIF(tblMotor[A_Norm],$A426,tblMotor[IadeMaliyet]),0))</f>
        <v/>
      </c>
      <c r="G426" s="16">
        <f>IF($A426="","",IFERROR(SUMIF(tblMotor[A_Norm],$A426,tblMotor[ReklamHarcama]),0))</f>
        <v/>
      </c>
      <c r="H426" s="16">
        <f>IF(OR($A426="",$B426&lt;&gt;"tutar_farki"),"",IF(ABS($C426-$D426)&lt;=toleransKurus,"EGK-001",IF(ABS($C426-$F426)&lt;=toleransKurus,"EGK-002",IF(ABS($C426-$G426)&lt;=toleransKurus,"EGK-003",IF(ABS($C426-$E426)&lt;=toleransKurus,"EGK-004",IF($C426&gt;egk_esikFark,"EGK-005","TANIMSIZ"))))))</f>
        <v/>
      </c>
    </row>
    <row r="427">
      <c r="A427" s="22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IF($A427="","",IFERROR(SUMIF(tblMotor[A_Norm],$A427,tblMotor[KomisyonTutar]),0))</f>
        <v/>
      </c>
      <c r="E427" s="16">
        <f>IF($A427="","",IFERROR(SUMIF(tblMotor[A_Norm],$A427,tblMotor[Kargo]),0))</f>
        <v/>
      </c>
      <c r="F427" s="16">
        <f>IF($A427="","",IFERROR(SUMIF(tblMotor[A_Norm],$A427,tblMotor[IadeMaliyet]),0))</f>
        <v/>
      </c>
      <c r="G427" s="16">
        <f>IF($A427="","",IFERROR(SUMIF(tblMotor[A_Norm],$A427,tblMotor[ReklamHarcama]),0))</f>
        <v/>
      </c>
      <c r="H427" s="16">
        <f>IF(OR($A427="",$B427&lt;&gt;"tutar_farki"),"",IF(ABS($C427-$D427)&lt;=toleransKurus,"EGK-001",IF(ABS($C427-$F427)&lt;=toleransKurus,"EGK-002",IF(ABS($C427-$G427)&lt;=toleransKurus,"EGK-003",IF(ABS($C427-$E427)&lt;=toleransKurus,"EGK-004",IF($C427&gt;egk_esikFark,"EGK-005","TANIMSIZ"))))))</f>
        <v/>
      </c>
    </row>
    <row r="428">
      <c r="A428" s="22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IF($A428="","",IFERROR(SUMIF(tblMotor[A_Norm],$A428,tblMotor[KomisyonTutar]),0))</f>
        <v/>
      </c>
      <c r="E428" s="16">
        <f>IF($A428="","",IFERROR(SUMIF(tblMotor[A_Norm],$A428,tblMotor[Kargo]),0))</f>
        <v/>
      </c>
      <c r="F428" s="16">
        <f>IF($A428="","",IFERROR(SUMIF(tblMotor[A_Norm],$A428,tblMotor[IadeMaliyet]),0))</f>
        <v/>
      </c>
      <c r="G428" s="16">
        <f>IF($A428="","",IFERROR(SUMIF(tblMotor[A_Norm],$A428,tblMotor[ReklamHarcama]),0))</f>
        <v/>
      </c>
      <c r="H428" s="16">
        <f>IF(OR($A428="",$B428&lt;&gt;"tutar_farki"),"",IF(ABS($C428-$D428)&lt;=toleransKurus,"EGK-001",IF(ABS($C428-$F428)&lt;=toleransKurus,"EGK-002",IF(ABS($C428-$G428)&lt;=toleransKurus,"EGK-003",IF(ABS($C428-$E428)&lt;=toleransKurus,"EGK-004",IF($C428&gt;egk_esikFark,"EGK-005","TANIMSIZ"))))))</f>
        <v/>
      </c>
    </row>
    <row r="429">
      <c r="A429" s="22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IF($A429="","",IFERROR(SUMIF(tblMotor[A_Norm],$A429,tblMotor[KomisyonTutar]),0))</f>
        <v/>
      </c>
      <c r="E429" s="16">
        <f>IF($A429="","",IFERROR(SUMIF(tblMotor[A_Norm],$A429,tblMotor[Kargo]),0))</f>
        <v/>
      </c>
      <c r="F429" s="16">
        <f>IF($A429="","",IFERROR(SUMIF(tblMotor[A_Norm],$A429,tblMotor[IadeMaliyet]),0))</f>
        <v/>
      </c>
      <c r="G429" s="16">
        <f>IF($A429="","",IFERROR(SUMIF(tblMotor[A_Norm],$A429,tblMotor[ReklamHarcama]),0))</f>
        <v/>
      </c>
      <c r="H429" s="16">
        <f>IF(OR($A429="",$B429&lt;&gt;"tutar_farki"),"",IF(ABS($C429-$D429)&lt;=toleransKurus,"EGK-001",IF(ABS($C429-$F429)&lt;=toleransKurus,"EGK-002",IF(ABS($C429-$G429)&lt;=toleransKurus,"EGK-003",IF(ABS($C429-$E429)&lt;=toleransKurus,"EGK-004",IF($C429&gt;egk_esikFark,"EGK-005","TANIMSIZ"))))))</f>
        <v/>
      </c>
    </row>
    <row r="430">
      <c r="A430" s="22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IF($A430="","",IFERROR(SUMIF(tblMotor[A_Norm],$A430,tblMotor[KomisyonTutar]),0))</f>
        <v/>
      </c>
      <c r="E430" s="16">
        <f>IF($A430="","",IFERROR(SUMIF(tblMotor[A_Norm],$A430,tblMotor[Kargo]),0))</f>
        <v/>
      </c>
      <c r="F430" s="16">
        <f>IF($A430="","",IFERROR(SUMIF(tblMotor[A_Norm],$A430,tblMotor[IadeMaliyet]),0))</f>
        <v/>
      </c>
      <c r="G430" s="16">
        <f>IF($A430="","",IFERROR(SUMIF(tblMotor[A_Norm],$A430,tblMotor[ReklamHarcama]),0))</f>
        <v/>
      </c>
      <c r="H430" s="16">
        <f>IF(OR($A430="",$B430&lt;&gt;"tutar_farki"),"",IF(ABS($C430-$D430)&lt;=toleransKurus,"EGK-001",IF(ABS($C430-$F430)&lt;=toleransKurus,"EGK-002",IF(ABS($C430-$G430)&lt;=toleransKurus,"EGK-003",IF(ABS($C430-$E430)&lt;=toleransKurus,"EGK-004",IF($C430&gt;egk_esikFark,"EGK-005","TANIMSIZ"))))))</f>
        <v/>
      </c>
    </row>
    <row r="431">
      <c r="A431" s="22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IF($A431="","",IFERROR(SUMIF(tblMotor[A_Norm],$A431,tblMotor[KomisyonTutar]),0))</f>
        <v/>
      </c>
      <c r="E431" s="16">
        <f>IF($A431="","",IFERROR(SUMIF(tblMotor[A_Norm],$A431,tblMotor[Kargo]),0))</f>
        <v/>
      </c>
      <c r="F431" s="16">
        <f>IF($A431="","",IFERROR(SUMIF(tblMotor[A_Norm],$A431,tblMotor[IadeMaliyet]),0))</f>
        <v/>
      </c>
      <c r="G431" s="16">
        <f>IF($A431="","",IFERROR(SUMIF(tblMotor[A_Norm],$A431,tblMotor[ReklamHarcama]),0))</f>
        <v/>
      </c>
      <c r="H431" s="16">
        <f>IF(OR($A431="",$B431&lt;&gt;"tutar_farki"),"",IF(ABS($C431-$D431)&lt;=toleransKurus,"EGK-001",IF(ABS($C431-$F431)&lt;=toleransKurus,"EGK-002",IF(ABS($C431-$G431)&lt;=toleransKurus,"EGK-003",IF(ABS($C431-$E431)&lt;=toleransKurus,"EGK-004",IF($C431&gt;egk_esikFark,"EGK-005","TANIMSIZ"))))))</f>
        <v/>
      </c>
    </row>
    <row r="432">
      <c r="A432" s="22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IF($A432="","",IFERROR(SUMIF(tblMotor[A_Norm],$A432,tblMotor[KomisyonTutar]),0))</f>
        <v/>
      </c>
      <c r="E432" s="16">
        <f>IF($A432="","",IFERROR(SUMIF(tblMotor[A_Norm],$A432,tblMotor[Kargo]),0))</f>
        <v/>
      </c>
      <c r="F432" s="16">
        <f>IF($A432="","",IFERROR(SUMIF(tblMotor[A_Norm],$A432,tblMotor[IadeMaliyet]),0))</f>
        <v/>
      </c>
      <c r="G432" s="16">
        <f>IF($A432="","",IFERROR(SUMIF(tblMotor[A_Norm],$A432,tblMotor[ReklamHarcama]),0))</f>
        <v/>
      </c>
      <c r="H432" s="16">
        <f>IF(OR($A432="",$B432&lt;&gt;"tutar_farki"),"",IF(ABS($C432-$D432)&lt;=toleransKurus,"EGK-001",IF(ABS($C432-$F432)&lt;=toleransKurus,"EGK-002",IF(ABS($C432-$G432)&lt;=toleransKurus,"EGK-003",IF(ABS($C432-$E432)&lt;=toleransKurus,"EGK-004",IF($C432&gt;egk_esikFark,"EGK-005","TANIMSIZ"))))))</f>
        <v/>
      </c>
    </row>
    <row r="433">
      <c r="A433" s="22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IF($A433="","",IFERROR(SUMIF(tblMotor[A_Norm],$A433,tblMotor[KomisyonTutar]),0))</f>
        <v/>
      </c>
      <c r="E433" s="16">
        <f>IF($A433="","",IFERROR(SUMIF(tblMotor[A_Norm],$A433,tblMotor[Kargo]),0))</f>
        <v/>
      </c>
      <c r="F433" s="16">
        <f>IF($A433="","",IFERROR(SUMIF(tblMotor[A_Norm],$A433,tblMotor[IadeMaliyet]),0))</f>
        <v/>
      </c>
      <c r="G433" s="16">
        <f>IF($A433="","",IFERROR(SUMIF(tblMotor[A_Norm],$A433,tblMotor[ReklamHarcama]),0))</f>
        <v/>
      </c>
      <c r="H433" s="16">
        <f>IF(OR($A433="",$B433&lt;&gt;"tutar_farki"),"",IF(ABS($C433-$D433)&lt;=toleransKurus,"EGK-001",IF(ABS($C433-$F433)&lt;=toleransKurus,"EGK-002",IF(ABS($C433-$G433)&lt;=toleransKurus,"EGK-003",IF(ABS($C433-$E433)&lt;=toleransKurus,"EGK-004",IF($C433&gt;egk_esikFark,"EGK-005","TANIMSIZ"))))))</f>
        <v/>
      </c>
    </row>
    <row r="434">
      <c r="A434" s="22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IF($A434="","",IFERROR(SUMIF(tblMotor[A_Norm],$A434,tblMotor[KomisyonTutar]),0))</f>
        <v/>
      </c>
      <c r="E434" s="16">
        <f>IF($A434="","",IFERROR(SUMIF(tblMotor[A_Norm],$A434,tblMotor[Kargo]),0))</f>
        <v/>
      </c>
      <c r="F434" s="16">
        <f>IF($A434="","",IFERROR(SUMIF(tblMotor[A_Norm],$A434,tblMotor[IadeMaliyet]),0))</f>
        <v/>
      </c>
      <c r="G434" s="16">
        <f>IF($A434="","",IFERROR(SUMIF(tblMotor[A_Norm],$A434,tblMotor[ReklamHarcama]),0))</f>
        <v/>
      </c>
      <c r="H434" s="16">
        <f>IF(OR($A434="",$B434&lt;&gt;"tutar_farki"),"",IF(ABS($C434-$D434)&lt;=toleransKurus,"EGK-001",IF(ABS($C434-$F434)&lt;=toleransKurus,"EGK-002",IF(ABS($C434-$G434)&lt;=toleransKurus,"EGK-003",IF(ABS($C434-$E434)&lt;=toleransKurus,"EGK-004",IF($C434&gt;egk_esikFark,"EGK-005","TANIMSIZ"))))))</f>
        <v/>
      </c>
    </row>
    <row r="435">
      <c r="A435" s="22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IF($A435="","",IFERROR(SUMIF(tblMotor[A_Norm],$A435,tblMotor[KomisyonTutar]),0))</f>
        <v/>
      </c>
      <c r="E435" s="16">
        <f>IF($A435="","",IFERROR(SUMIF(tblMotor[A_Norm],$A435,tblMotor[Kargo]),0))</f>
        <v/>
      </c>
      <c r="F435" s="16">
        <f>IF($A435="","",IFERROR(SUMIF(tblMotor[A_Norm],$A435,tblMotor[IadeMaliyet]),0))</f>
        <v/>
      </c>
      <c r="G435" s="16">
        <f>IF($A435="","",IFERROR(SUMIF(tblMotor[A_Norm],$A435,tblMotor[ReklamHarcama]),0))</f>
        <v/>
      </c>
      <c r="H435" s="16">
        <f>IF(OR($A435="",$B435&lt;&gt;"tutar_farki"),"",IF(ABS($C435-$D435)&lt;=toleransKurus,"EGK-001",IF(ABS($C435-$F435)&lt;=toleransKurus,"EGK-002",IF(ABS($C435-$G435)&lt;=toleransKurus,"EGK-003",IF(ABS($C435-$E435)&lt;=toleransKurus,"EGK-004",IF($C435&gt;egk_esikFark,"EGK-005","TANIMSIZ"))))))</f>
        <v/>
      </c>
    </row>
    <row r="436">
      <c r="A436" s="22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IF($A436="","",IFERROR(SUMIF(tblMotor[A_Norm],$A436,tblMotor[KomisyonTutar]),0))</f>
        <v/>
      </c>
      <c r="E436" s="16">
        <f>IF($A436="","",IFERROR(SUMIF(tblMotor[A_Norm],$A436,tblMotor[Kargo]),0))</f>
        <v/>
      </c>
      <c r="F436" s="16">
        <f>IF($A436="","",IFERROR(SUMIF(tblMotor[A_Norm],$A436,tblMotor[IadeMaliyet]),0))</f>
        <v/>
      </c>
      <c r="G436" s="16">
        <f>IF($A436="","",IFERROR(SUMIF(tblMotor[A_Norm],$A436,tblMotor[ReklamHarcama]),0))</f>
        <v/>
      </c>
      <c r="H436" s="16">
        <f>IF(OR($A436="",$B436&lt;&gt;"tutar_farki"),"",IF(ABS($C436-$D436)&lt;=toleransKurus,"EGK-001",IF(ABS($C436-$F436)&lt;=toleransKurus,"EGK-002",IF(ABS($C436-$G436)&lt;=toleransKurus,"EGK-003",IF(ABS($C436-$E436)&lt;=toleransKurus,"EGK-004",IF($C436&gt;egk_esikFark,"EGK-005","TANIMSIZ"))))))</f>
        <v/>
      </c>
    </row>
    <row r="437">
      <c r="A437" s="22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IF($A437="","",IFERROR(SUMIF(tblMotor[A_Norm],$A437,tblMotor[KomisyonTutar]),0))</f>
        <v/>
      </c>
      <c r="E437" s="16">
        <f>IF($A437="","",IFERROR(SUMIF(tblMotor[A_Norm],$A437,tblMotor[Kargo]),0))</f>
        <v/>
      </c>
      <c r="F437" s="16">
        <f>IF($A437="","",IFERROR(SUMIF(tblMotor[A_Norm],$A437,tblMotor[IadeMaliyet]),0))</f>
        <v/>
      </c>
      <c r="G437" s="16">
        <f>IF($A437="","",IFERROR(SUMIF(tblMotor[A_Norm],$A437,tblMotor[ReklamHarcama]),0))</f>
        <v/>
      </c>
      <c r="H437" s="16">
        <f>IF(OR($A437="",$B437&lt;&gt;"tutar_farki"),"",IF(ABS($C437-$D437)&lt;=toleransKurus,"EGK-001",IF(ABS($C437-$F437)&lt;=toleransKurus,"EGK-002",IF(ABS($C437-$G437)&lt;=toleransKurus,"EGK-003",IF(ABS($C437-$E437)&lt;=toleransKurus,"EGK-004",IF($C437&gt;egk_esikFark,"EGK-005","TANIMSIZ"))))))</f>
        <v/>
      </c>
    </row>
    <row r="438">
      <c r="A438" s="22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IF($A438="","",IFERROR(SUMIF(tblMotor[A_Norm],$A438,tblMotor[KomisyonTutar]),0))</f>
        <v/>
      </c>
      <c r="E438" s="16">
        <f>IF($A438="","",IFERROR(SUMIF(tblMotor[A_Norm],$A438,tblMotor[Kargo]),0))</f>
        <v/>
      </c>
      <c r="F438" s="16">
        <f>IF($A438="","",IFERROR(SUMIF(tblMotor[A_Norm],$A438,tblMotor[IadeMaliyet]),0))</f>
        <v/>
      </c>
      <c r="G438" s="16">
        <f>IF($A438="","",IFERROR(SUMIF(tblMotor[A_Norm],$A438,tblMotor[ReklamHarcama]),0))</f>
        <v/>
      </c>
      <c r="H438" s="16">
        <f>IF(OR($A438="",$B438&lt;&gt;"tutar_farki"),"",IF(ABS($C438-$D438)&lt;=toleransKurus,"EGK-001",IF(ABS($C438-$F438)&lt;=toleransKurus,"EGK-002",IF(ABS($C438-$G438)&lt;=toleransKurus,"EGK-003",IF(ABS($C438-$E438)&lt;=toleransKurus,"EGK-004",IF($C438&gt;egk_esikFark,"EGK-005","TANIMSIZ"))))))</f>
        <v/>
      </c>
    </row>
    <row r="439">
      <c r="A439" s="22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IF($A439="","",IFERROR(SUMIF(tblMotor[A_Norm],$A439,tblMotor[KomisyonTutar]),0))</f>
        <v/>
      </c>
      <c r="E439" s="16">
        <f>IF($A439="","",IFERROR(SUMIF(tblMotor[A_Norm],$A439,tblMotor[Kargo]),0))</f>
        <v/>
      </c>
      <c r="F439" s="16">
        <f>IF($A439="","",IFERROR(SUMIF(tblMotor[A_Norm],$A439,tblMotor[IadeMaliyet]),0))</f>
        <v/>
      </c>
      <c r="G439" s="16">
        <f>IF($A439="","",IFERROR(SUMIF(tblMotor[A_Norm],$A439,tblMotor[ReklamHarcama]),0))</f>
        <v/>
      </c>
      <c r="H439" s="16">
        <f>IF(OR($A439="",$B439&lt;&gt;"tutar_farki"),"",IF(ABS($C439-$D439)&lt;=toleransKurus,"EGK-001",IF(ABS($C439-$F439)&lt;=toleransKurus,"EGK-002",IF(ABS($C439-$G439)&lt;=toleransKurus,"EGK-003",IF(ABS($C439-$E439)&lt;=toleransKurus,"EGK-004",IF($C439&gt;egk_esikFark,"EGK-005","TANIMSIZ"))))))</f>
        <v/>
      </c>
    </row>
    <row r="440">
      <c r="A440" s="22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IF($A440="","",IFERROR(SUMIF(tblMotor[A_Norm],$A440,tblMotor[KomisyonTutar]),0))</f>
        <v/>
      </c>
      <c r="E440" s="16">
        <f>IF($A440="","",IFERROR(SUMIF(tblMotor[A_Norm],$A440,tblMotor[Kargo]),0))</f>
        <v/>
      </c>
      <c r="F440" s="16">
        <f>IF($A440="","",IFERROR(SUMIF(tblMotor[A_Norm],$A440,tblMotor[IadeMaliyet]),0))</f>
        <v/>
      </c>
      <c r="G440" s="16">
        <f>IF($A440="","",IFERROR(SUMIF(tblMotor[A_Norm],$A440,tblMotor[ReklamHarcama]),0))</f>
        <v/>
      </c>
      <c r="H440" s="16">
        <f>IF(OR($A440="",$B440&lt;&gt;"tutar_farki"),"",IF(ABS($C440-$D440)&lt;=toleransKurus,"EGK-001",IF(ABS($C440-$F440)&lt;=toleransKurus,"EGK-002",IF(ABS($C440-$G440)&lt;=toleransKurus,"EGK-003",IF(ABS($C440-$E440)&lt;=toleransKurus,"EGK-004",IF($C440&gt;egk_esikFark,"EGK-005","TANIMSIZ"))))))</f>
        <v/>
      </c>
    </row>
    <row r="441">
      <c r="A441" s="22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IF($A441="","",IFERROR(SUMIF(tblMotor[A_Norm],$A441,tblMotor[KomisyonTutar]),0))</f>
        <v/>
      </c>
      <c r="E441" s="16">
        <f>IF($A441="","",IFERROR(SUMIF(tblMotor[A_Norm],$A441,tblMotor[Kargo]),0))</f>
        <v/>
      </c>
      <c r="F441" s="16">
        <f>IF($A441="","",IFERROR(SUMIF(tblMotor[A_Norm],$A441,tblMotor[IadeMaliyet]),0))</f>
        <v/>
      </c>
      <c r="G441" s="16">
        <f>IF($A441="","",IFERROR(SUMIF(tblMotor[A_Norm],$A441,tblMotor[ReklamHarcama]),0))</f>
        <v/>
      </c>
      <c r="H441" s="16">
        <f>IF(OR($A441="",$B441&lt;&gt;"tutar_farki"),"",IF(ABS($C441-$D441)&lt;=toleransKurus,"EGK-001",IF(ABS($C441-$F441)&lt;=toleransKurus,"EGK-002",IF(ABS($C441-$G441)&lt;=toleransKurus,"EGK-003",IF(ABS($C441-$E441)&lt;=toleransKurus,"EGK-004",IF($C441&gt;egk_esikFark,"EGK-005","TANIMSIZ"))))))</f>
        <v/>
      </c>
    </row>
    <row r="442">
      <c r="A442" s="22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IF($A442="","",IFERROR(SUMIF(tblMotor[A_Norm],$A442,tblMotor[KomisyonTutar]),0))</f>
        <v/>
      </c>
      <c r="E442" s="16">
        <f>IF($A442="","",IFERROR(SUMIF(tblMotor[A_Norm],$A442,tblMotor[Kargo]),0))</f>
        <v/>
      </c>
      <c r="F442" s="16">
        <f>IF($A442="","",IFERROR(SUMIF(tblMotor[A_Norm],$A442,tblMotor[IadeMaliyet]),0))</f>
        <v/>
      </c>
      <c r="G442" s="16">
        <f>IF($A442="","",IFERROR(SUMIF(tblMotor[A_Norm],$A442,tblMotor[ReklamHarcama]),0))</f>
        <v/>
      </c>
      <c r="H442" s="16">
        <f>IF(OR($A442="",$B442&lt;&gt;"tutar_farki"),"",IF(ABS($C442-$D442)&lt;=toleransKurus,"EGK-001",IF(ABS($C442-$F442)&lt;=toleransKurus,"EGK-002",IF(ABS($C442-$G442)&lt;=toleransKurus,"EGK-003",IF(ABS($C442-$E442)&lt;=toleransKurus,"EGK-004",IF($C442&gt;egk_esikFark,"EGK-005","TANIMSIZ"))))))</f>
        <v/>
      </c>
    </row>
    <row r="443">
      <c r="A443" s="22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IF($A443="","",IFERROR(SUMIF(tblMotor[A_Norm],$A443,tblMotor[KomisyonTutar]),0))</f>
        <v/>
      </c>
      <c r="E443" s="16">
        <f>IF($A443="","",IFERROR(SUMIF(tblMotor[A_Norm],$A443,tblMotor[Kargo]),0))</f>
        <v/>
      </c>
      <c r="F443" s="16">
        <f>IF($A443="","",IFERROR(SUMIF(tblMotor[A_Norm],$A443,tblMotor[IadeMaliyet]),0))</f>
        <v/>
      </c>
      <c r="G443" s="16">
        <f>IF($A443="","",IFERROR(SUMIF(tblMotor[A_Norm],$A443,tblMotor[ReklamHarcama]),0))</f>
        <v/>
      </c>
      <c r="H443" s="16">
        <f>IF(OR($A443="",$B443&lt;&gt;"tutar_farki"),"",IF(ABS($C443-$D443)&lt;=toleransKurus,"EGK-001",IF(ABS($C443-$F443)&lt;=toleransKurus,"EGK-002",IF(ABS($C443-$G443)&lt;=toleransKurus,"EGK-003",IF(ABS($C443-$E443)&lt;=toleransKurus,"EGK-004",IF($C443&gt;egk_esikFark,"EGK-005","TANIMSIZ"))))))</f>
        <v/>
      </c>
    </row>
    <row r="444">
      <c r="A444" s="22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IF($A444="","",IFERROR(SUMIF(tblMotor[A_Norm],$A444,tblMotor[KomisyonTutar]),0))</f>
        <v/>
      </c>
      <c r="E444" s="16">
        <f>IF($A444="","",IFERROR(SUMIF(tblMotor[A_Norm],$A444,tblMotor[Kargo]),0))</f>
        <v/>
      </c>
      <c r="F444" s="16">
        <f>IF($A444="","",IFERROR(SUMIF(tblMotor[A_Norm],$A444,tblMotor[IadeMaliyet]),0))</f>
        <v/>
      </c>
      <c r="G444" s="16">
        <f>IF($A444="","",IFERROR(SUMIF(tblMotor[A_Norm],$A444,tblMotor[ReklamHarcama]),0))</f>
        <v/>
      </c>
      <c r="H444" s="16">
        <f>IF(OR($A444="",$B444&lt;&gt;"tutar_farki"),"",IF(ABS($C444-$D444)&lt;=toleransKurus,"EGK-001",IF(ABS($C444-$F444)&lt;=toleransKurus,"EGK-002",IF(ABS($C444-$G444)&lt;=toleransKurus,"EGK-003",IF(ABS($C444-$E444)&lt;=toleransKurus,"EGK-004",IF($C444&gt;egk_esikFark,"EGK-005","TANIMSIZ"))))))</f>
        <v/>
      </c>
    </row>
    <row r="445">
      <c r="A445" s="22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IF($A445="","",IFERROR(SUMIF(tblMotor[A_Norm],$A445,tblMotor[KomisyonTutar]),0))</f>
        <v/>
      </c>
      <c r="E445" s="16">
        <f>IF($A445="","",IFERROR(SUMIF(tblMotor[A_Norm],$A445,tblMotor[Kargo]),0))</f>
        <v/>
      </c>
      <c r="F445" s="16">
        <f>IF($A445="","",IFERROR(SUMIF(tblMotor[A_Norm],$A445,tblMotor[IadeMaliyet]),0))</f>
        <v/>
      </c>
      <c r="G445" s="16">
        <f>IF($A445="","",IFERROR(SUMIF(tblMotor[A_Norm],$A445,tblMotor[ReklamHarcama]),0))</f>
        <v/>
      </c>
      <c r="H445" s="16">
        <f>IF(OR($A445="",$B445&lt;&gt;"tutar_farki"),"",IF(ABS($C445-$D445)&lt;=toleransKurus,"EGK-001",IF(ABS($C445-$F445)&lt;=toleransKurus,"EGK-002",IF(ABS($C445-$G445)&lt;=toleransKurus,"EGK-003",IF(ABS($C445-$E445)&lt;=toleransKurus,"EGK-004",IF($C445&gt;egk_esikFark,"EGK-005","TANIMSIZ"))))))</f>
        <v/>
      </c>
    </row>
    <row r="446">
      <c r="A446" s="22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IF($A446="","",IFERROR(SUMIF(tblMotor[A_Norm],$A446,tblMotor[KomisyonTutar]),0))</f>
        <v/>
      </c>
      <c r="E446" s="16">
        <f>IF($A446="","",IFERROR(SUMIF(tblMotor[A_Norm],$A446,tblMotor[Kargo]),0))</f>
        <v/>
      </c>
      <c r="F446" s="16">
        <f>IF($A446="","",IFERROR(SUMIF(tblMotor[A_Norm],$A446,tblMotor[IadeMaliyet]),0))</f>
        <v/>
      </c>
      <c r="G446" s="16">
        <f>IF($A446="","",IFERROR(SUMIF(tblMotor[A_Norm],$A446,tblMotor[ReklamHarcama]),0))</f>
        <v/>
      </c>
      <c r="H446" s="16">
        <f>IF(OR($A446="",$B446&lt;&gt;"tutar_farki"),"",IF(ABS($C446-$D446)&lt;=toleransKurus,"EGK-001",IF(ABS($C446-$F446)&lt;=toleransKurus,"EGK-002",IF(ABS($C446-$G446)&lt;=toleransKurus,"EGK-003",IF(ABS($C446-$E446)&lt;=toleransKurus,"EGK-004",IF($C446&gt;egk_esikFark,"EGK-005","TANIMSIZ"))))))</f>
        <v/>
      </c>
    </row>
    <row r="447">
      <c r="A447" s="22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IF($A447="","",IFERROR(SUMIF(tblMotor[A_Norm],$A447,tblMotor[KomisyonTutar]),0))</f>
        <v/>
      </c>
      <c r="E447" s="16">
        <f>IF($A447="","",IFERROR(SUMIF(tblMotor[A_Norm],$A447,tblMotor[Kargo]),0))</f>
        <v/>
      </c>
      <c r="F447" s="16">
        <f>IF($A447="","",IFERROR(SUMIF(tblMotor[A_Norm],$A447,tblMotor[IadeMaliyet]),0))</f>
        <v/>
      </c>
      <c r="G447" s="16">
        <f>IF($A447="","",IFERROR(SUMIF(tblMotor[A_Norm],$A447,tblMotor[ReklamHarcama]),0))</f>
        <v/>
      </c>
      <c r="H447" s="16">
        <f>IF(OR($A447="",$B447&lt;&gt;"tutar_farki"),"",IF(ABS($C447-$D447)&lt;=toleransKurus,"EGK-001",IF(ABS($C447-$F447)&lt;=toleransKurus,"EGK-002",IF(ABS($C447-$G447)&lt;=toleransKurus,"EGK-003",IF(ABS($C447-$E447)&lt;=toleransKurus,"EGK-004",IF($C447&gt;egk_esikFark,"EGK-005","TANIMSIZ"))))))</f>
        <v/>
      </c>
    </row>
    <row r="448">
      <c r="A448" s="22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IF($A448="","",IFERROR(SUMIF(tblMotor[A_Norm],$A448,tblMotor[KomisyonTutar]),0))</f>
        <v/>
      </c>
      <c r="E448" s="16">
        <f>IF($A448="","",IFERROR(SUMIF(tblMotor[A_Norm],$A448,tblMotor[Kargo]),0))</f>
        <v/>
      </c>
      <c r="F448" s="16">
        <f>IF($A448="","",IFERROR(SUMIF(tblMotor[A_Norm],$A448,tblMotor[IadeMaliyet]),0))</f>
        <v/>
      </c>
      <c r="G448" s="16">
        <f>IF($A448="","",IFERROR(SUMIF(tblMotor[A_Norm],$A448,tblMotor[ReklamHarcama]),0))</f>
        <v/>
      </c>
      <c r="H448" s="16">
        <f>IF(OR($A448="",$B448&lt;&gt;"tutar_farki"),"",IF(ABS($C448-$D448)&lt;=toleransKurus,"EGK-001",IF(ABS($C448-$F448)&lt;=toleransKurus,"EGK-002",IF(ABS($C448-$G448)&lt;=toleransKurus,"EGK-003",IF(ABS($C448-$E448)&lt;=toleransKurus,"EGK-004",IF($C448&gt;egk_esikFark,"EGK-005","TANIMSIZ"))))))</f>
        <v/>
      </c>
    </row>
    <row r="449">
      <c r="A449" s="22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IF($A449="","",IFERROR(SUMIF(tblMotor[A_Norm],$A449,tblMotor[KomisyonTutar]),0))</f>
        <v/>
      </c>
      <c r="E449" s="16">
        <f>IF($A449="","",IFERROR(SUMIF(tblMotor[A_Norm],$A449,tblMotor[Kargo]),0))</f>
        <v/>
      </c>
      <c r="F449" s="16">
        <f>IF($A449="","",IFERROR(SUMIF(tblMotor[A_Norm],$A449,tblMotor[IadeMaliyet]),0))</f>
        <v/>
      </c>
      <c r="G449" s="16">
        <f>IF($A449="","",IFERROR(SUMIF(tblMotor[A_Norm],$A449,tblMotor[ReklamHarcama]),0))</f>
        <v/>
      </c>
      <c r="H449" s="16">
        <f>IF(OR($A449="",$B449&lt;&gt;"tutar_farki"),"",IF(ABS($C449-$D449)&lt;=toleransKurus,"EGK-001",IF(ABS($C449-$F449)&lt;=toleransKurus,"EGK-002",IF(ABS($C449-$G449)&lt;=toleransKurus,"EGK-003",IF(ABS($C449-$E449)&lt;=toleransKurus,"EGK-004",IF($C449&gt;egk_esikFark,"EGK-005","TANIMSIZ"))))))</f>
        <v/>
      </c>
    </row>
    <row r="450">
      <c r="A450" s="22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IF($A450="","",IFERROR(SUMIF(tblMotor[A_Norm],$A450,tblMotor[KomisyonTutar]),0))</f>
        <v/>
      </c>
      <c r="E450" s="16">
        <f>IF($A450="","",IFERROR(SUMIF(tblMotor[A_Norm],$A450,tblMotor[Kargo]),0))</f>
        <v/>
      </c>
      <c r="F450" s="16">
        <f>IF($A450="","",IFERROR(SUMIF(tblMotor[A_Norm],$A450,tblMotor[IadeMaliyet]),0))</f>
        <v/>
      </c>
      <c r="G450" s="16">
        <f>IF($A450="","",IFERROR(SUMIF(tblMotor[A_Norm],$A450,tblMotor[ReklamHarcama]),0))</f>
        <v/>
      </c>
      <c r="H450" s="16">
        <f>IF(OR($A450="",$B450&lt;&gt;"tutar_farki"),"",IF(ABS($C450-$D450)&lt;=toleransKurus,"EGK-001",IF(ABS($C450-$F450)&lt;=toleransKurus,"EGK-002",IF(ABS($C450-$G450)&lt;=toleransKurus,"EGK-003",IF(ABS($C450-$E450)&lt;=toleransKurus,"EGK-004",IF($C450&gt;egk_esikFark,"EGK-005","TANIMSIZ"))))))</f>
        <v/>
      </c>
    </row>
    <row r="451">
      <c r="A451" s="22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IF($A451="","",IFERROR(SUMIF(tblMotor[A_Norm],$A451,tblMotor[KomisyonTutar]),0))</f>
        <v/>
      </c>
      <c r="E451" s="16">
        <f>IF($A451="","",IFERROR(SUMIF(tblMotor[A_Norm],$A451,tblMotor[Kargo]),0))</f>
        <v/>
      </c>
      <c r="F451" s="16">
        <f>IF($A451="","",IFERROR(SUMIF(tblMotor[A_Norm],$A451,tblMotor[IadeMaliyet]),0))</f>
        <v/>
      </c>
      <c r="G451" s="16">
        <f>IF($A451="","",IFERROR(SUMIF(tblMotor[A_Norm],$A451,tblMotor[ReklamHarcama]),0))</f>
        <v/>
      </c>
      <c r="H451" s="16">
        <f>IF(OR($A451="",$B451&lt;&gt;"tutar_farki"),"",IF(ABS($C451-$D451)&lt;=toleransKurus,"EGK-001",IF(ABS($C451-$F451)&lt;=toleransKurus,"EGK-002",IF(ABS($C451-$G451)&lt;=toleransKurus,"EGK-003",IF(ABS($C451-$E451)&lt;=toleransKurus,"EGK-004",IF($C451&gt;egk_esikFark,"EGK-005","TANIMSIZ"))))))</f>
        <v/>
      </c>
    </row>
    <row r="452">
      <c r="A452" s="22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IF($A452="","",IFERROR(SUMIF(tblMotor[A_Norm],$A452,tblMotor[KomisyonTutar]),0))</f>
        <v/>
      </c>
      <c r="E452" s="16">
        <f>IF($A452="","",IFERROR(SUMIF(tblMotor[A_Norm],$A452,tblMotor[Kargo]),0))</f>
        <v/>
      </c>
      <c r="F452" s="16">
        <f>IF($A452="","",IFERROR(SUMIF(tblMotor[A_Norm],$A452,tblMotor[IadeMaliyet]),0))</f>
        <v/>
      </c>
      <c r="G452" s="16">
        <f>IF($A452="","",IFERROR(SUMIF(tblMotor[A_Norm],$A452,tblMotor[ReklamHarcama]),0))</f>
        <v/>
      </c>
      <c r="H452" s="16">
        <f>IF(OR($A452="",$B452&lt;&gt;"tutar_farki"),"",IF(ABS($C452-$D452)&lt;=toleransKurus,"EGK-001",IF(ABS($C452-$F452)&lt;=toleransKurus,"EGK-002",IF(ABS($C452-$G452)&lt;=toleransKurus,"EGK-003",IF(ABS($C452-$E452)&lt;=toleransKurus,"EGK-004",IF($C452&gt;egk_esikFark,"EGK-005","TANIMSIZ"))))))</f>
        <v/>
      </c>
    </row>
    <row r="453">
      <c r="A453" s="22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IF($A453="","",IFERROR(SUMIF(tblMotor[A_Norm],$A453,tblMotor[KomisyonTutar]),0))</f>
        <v/>
      </c>
      <c r="E453" s="16">
        <f>IF($A453="","",IFERROR(SUMIF(tblMotor[A_Norm],$A453,tblMotor[Kargo]),0))</f>
        <v/>
      </c>
      <c r="F453" s="16">
        <f>IF($A453="","",IFERROR(SUMIF(tblMotor[A_Norm],$A453,tblMotor[IadeMaliyet]),0))</f>
        <v/>
      </c>
      <c r="G453" s="16">
        <f>IF($A453="","",IFERROR(SUMIF(tblMotor[A_Norm],$A453,tblMotor[ReklamHarcama]),0))</f>
        <v/>
      </c>
      <c r="H453" s="16">
        <f>IF(OR($A453="",$B453&lt;&gt;"tutar_farki"),"",IF(ABS($C453-$D453)&lt;=toleransKurus,"EGK-001",IF(ABS($C453-$F453)&lt;=toleransKurus,"EGK-002",IF(ABS($C453-$G453)&lt;=toleransKurus,"EGK-003",IF(ABS($C453-$E453)&lt;=toleransKurus,"EGK-004",IF($C453&gt;egk_esikFark,"EGK-005","TANIMSIZ"))))))</f>
        <v/>
      </c>
    </row>
    <row r="454">
      <c r="A454" s="22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IF($A454="","",IFERROR(SUMIF(tblMotor[A_Norm],$A454,tblMotor[KomisyonTutar]),0))</f>
        <v/>
      </c>
      <c r="E454" s="16">
        <f>IF($A454="","",IFERROR(SUMIF(tblMotor[A_Norm],$A454,tblMotor[Kargo]),0))</f>
        <v/>
      </c>
      <c r="F454" s="16">
        <f>IF($A454="","",IFERROR(SUMIF(tblMotor[A_Norm],$A454,tblMotor[IadeMaliyet]),0))</f>
        <v/>
      </c>
      <c r="G454" s="16">
        <f>IF($A454="","",IFERROR(SUMIF(tblMotor[A_Norm],$A454,tblMotor[ReklamHarcama]),0))</f>
        <v/>
      </c>
      <c r="H454" s="16">
        <f>IF(OR($A454="",$B454&lt;&gt;"tutar_farki"),"",IF(ABS($C454-$D454)&lt;=toleransKurus,"EGK-001",IF(ABS($C454-$F454)&lt;=toleransKurus,"EGK-002",IF(ABS($C454-$G454)&lt;=toleransKurus,"EGK-003",IF(ABS($C454-$E454)&lt;=toleransKurus,"EGK-004",IF($C454&gt;egk_esikFark,"EGK-005","TANIMSIZ"))))))</f>
        <v/>
      </c>
    </row>
    <row r="455">
      <c r="A455" s="22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IF($A455="","",IFERROR(SUMIF(tblMotor[A_Norm],$A455,tblMotor[KomisyonTutar]),0))</f>
        <v/>
      </c>
      <c r="E455" s="16">
        <f>IF($A455="","",IFERROR(SUMIF(tblMotor[A_Norm],$A455,tblMotor[Kargo]),0))</f>
        <v/>
      </c>
      <c r="F455" s="16">
        <f>IF($A455="","",IFERROR(SUMIF(tblMotor[A_Norm],$A455,tblMotor[IadeMaliyet]),0))</f>
        <v/>
      </c>
      <c r="G455" s="16">
        <f>IF($A455="","",IFERROR(SUMIF(tblMotor[A_Norm],$A455,tblMotor[ReklamHarcama]),0))</f>
        <v/>
      </c>
      <c r="H455" s="16">
        <f>IF(OR($A455="",$B455&lt;&gt;"tutar_farki"),"",IF(ABS($C455-$D455)&lt;=toleransKurus,"EGK-001",IF(ABS($C455-$F455)&lt;=toleransKurus,"EGK-002",IF(ABS($C455-$G455)&lt;=toleransKurus,"EGK-003",IF(ABS($C455-$E455)&lt;=toleransKurus,"EGK-004",IF($C455&gt;egk_esikFark,"EGK-005","TANIMSIZ"))))))</f>
        <v/>
      </c>
    </row>
    <row r="456">
      <c r="A456" s="22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IF($A456="","",IFERROR(SUMIF(tblMotor[A_Norm],$A456,tblMotor[KomisyonTutar]),0))</f>
        <v/>
      </c>
      <c r="E456" s="16">
        <f>IF($A456="","",IFERROR(SUMIF(tblMotor[A_Norm],$A456,tblMotor[Kargo]),0))</f>
        <v/>
      </c>
      <c r="F456" s="16">
        <f>IF($A456="","",IFERROR(SUMIF(tblMotor[A_Norm],$A456,tblMotor[IadeMaliyet]),0))</f>
        <v/>
      </c>
      <c r="G456" s="16">
        <f>IF($A456="","",IFERROR(SUMIF(tblMotor[A_Norm],$A456,tblMotor[ReklamHarcama]),0))</f>
        <v/>
      </c>
      <c r="H456" s="16">
        <f>IF(OR($A456="",$B456&lt;&gt;"tutar_farki"),"",IF(ABS($C456-$D456)&lt;=toleransKurus,"EGK-001",IF(ABS($C456-$F456)&lt;=toleransKurus,"EGK-002",IF(ABS($C456-$G456)&lt;=toleransKurus,"EGK-003",IF(ABS($C456-$E456)&lt;=toleransKurus,"EGK-004",IF($C456&gt;egk_esikFark,"EGK-005","TANIMSIZ"))))))</f>
        <v/>
      </c>
    </row>
    <row r="457">
      <c r="A457" s="22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IF($A457="","",IFERROR(SUMIF(tblMotor[A_Norm],$A457,tblMotor[KomisyonTutar]),0))</f>
        <v/>
      </c>
      <c r="E457" s="16">
        <f>IF($A457="","",IFERROR(SUMIF(tblMotor[A_Norm],$A457,tblMotor[Kargo]),0))</f>
        <v/>
      </c>
      <c r="F457" s="16">
        <f>IF($A457="","",IFERROR(SUMIF(tblMotor[A_Norm],$A457,tblMotor[IadeMaliyet]),0))</f>
        <v/>
      </c>
      <c r="G457" s="16">
        <f>IF($A457="","",IFERROR(SUMIF(tblMotor[A_Norm],$A457,tblMotor[ReklamHarcama]),0))</f>
        <v/>
      </c>
      <c r="H457" s="16">
        <f>IF(OR($A457="",$B457&lt;&gt;"tutar_farki"),"",IF(ABS($C457-$D457)&lt;=toleransKurus,"EGK-001",IF(ABS($C457-$F457)&lt;=toleransKurus,"EGK-002",IF(ABS($C457-$G457)&lt;=toleransKurus,"EGK-003",IF(ABS($C457-$E457)&lt;=toleransKurus,"EGK-004",IF($C457&gt;egk_esikFark,"EGK-005","TANIMSIZ"))))))</f>
        <v/>
      </c>
    </row>
    <row r="458">
      <c r="A458" s="22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IF($A458="","",IFERROR(SUMIF(tblMotor[A_Norm],$A458,tblMotor[KomisyonTutar]),0))</f>
        <v/>
      </c>
      <c r="E458" s="16">
        <f>IF($A458="","",IFERROR(SUMIF(tblMotor[A_Norm],$A458,tblMotor[Kargo]),0))</f>
        <v/>
      </c>
      <c r="F458" s="16">
        <f>IF($A458="","",IFERROR(SUMIF(tblMotor[A_Norm],$A458,tblMotor[IadeMaliyet]),0))</f>
        <v/>
      </c>
      <c r="G458" s="16">
        <f>IF($A458="","",IFERROR(SUMIF(tblMotor[A_Norm],$A458,tblMotor[ReklamHarcama]),0))</f>
        <v/>
      </c>
      <c r="H458" s="16">
        <f>IF(OR($A458="",$B458&lt;&gt;"tutar_farki"),"",IF(ABS($C458-$D458)&lt;=toleransKurus,"EGK-001",IF(ABS($C458-$F458)&lt;=toleransKurus,"EGK-002",IF(ABS($C458-$G458)&lt;=toleransKurus,"EGK-003",IF(ABS($C458-$E458)&lt;=toleransKurus,"EGK-004",IF($C458&gt;egk_esikFark,"EGK-005","TANIMSIZ"))))))</f>
        <v/>
      </c>
    </row>
    <row r="459">
      <c r="A459" s="22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IF($A459="","",IFERROR(SUMIF(tblMotor[A_Norm],$A459,tblMotor[KomisyonTutar]),0))</f>
        <v/>
      </c>
      <c r="E459" s="16">
        <f>IF($A459="","",IFERROR(SUMIF(tblMotor[A_Norm],$A459,tblMotor[Kargo]),0))</f>
        <v/>
      </c>
      <c r="F459" s="16">
        <f>IF($A459="","",IFERROR(SUMIF(tblMotor[A_Norm],$A459,tblMotor[IadeMaliyet]),0))</f>
        <v/>
      </c>
      <c r="G459" s="16">
        <f>IF($A459="","",IFERROR(SUMIF(tblMotor[A_Norm],$A459,tblMotor[ReklamHarcama]),0))</f>
        <v/>
      </c>
      <c r="H459" s="16">
        <f>IF(OR($A459="",$B459&lt;&gt;"tutar_farki"),"",IF(ABS($C459-$D459)&lt;=toleransKurus,"EGK-001",IF(ABS($C459-$F459)&lt;=toleransKurus,"EGK-002",IF(ABS($C459-$G459)&lt;=toleransKurus,"EGK-003",IF(ABS($C459-$E459)&lt;=toleransKurus,"EGK-004",IF($C459&gt;egk_esikFark,"EGK-005","TANIMSIZ"))))))</f>
        <v/>
      </c>
    </row>
    <row r="460">
      <c r="A460" s="22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IF($A460="","",IFERROR(SUMIF(tblMotor[A_Norm],$A460,tblMotor[KomisyonTutar]),0))</f>
        <v/>
      </c>
      <c r="E460" s="16">
        <f>IF($A460="","",IFERROR(SUMIF(tblMotor[A_Norm],$A460,tblMotor[Kargo]),0))</f>
        <v/>
      </c>
      <c r="F460" s="16">
        <f>IF($A460="","",IFERROR(SUMIF(tblMotor[A_Norm],$A460,tblMotor[IadeMaliyet]),0))</f>
        <v/>
      </c>
      <c r="G460" s="16">
        <f>IF($A460="","",IFERROR(SUMIF(tblMotor[A_Norm],$A460,tblMotor[ReklamHarcama]),0))</f>
        <v/>
      </c>
      <c r="H460" s="16">
        <f>IF(OR($A460="",$B460&lt;&gt;"tutar_farki"),"",IF(ABS($C460-$D460)&lt;=toleransKurus,"EGK-001",IF(ABS($C460-$F460)&lt;=toleransKurus,"EGK-002",IF(ABS($C460-$G460)&lt;=toleransKurus,"EGK-003",IF(ABS($C460-$E460)&lt;=toleransKurus,"EGK-004",IF($C460&gt;egk_esikFark,"EGK-005","TANIMSIZ"))))))</f>
        <v/>
      </c>
    </row>
    <row r="461">
      <c r="A461" s="22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IF($A461="","",IFERROR(SUMIF(tblMotor[A_Norm],$A461,tblMotor[KomisyonTutar]),0))</f>
        <v/>
      </c>
      <c r="E461" s="16">
        <f>IF($A461="","",IFERROR(SUMIF(tblMotor[A_Norm],$A461,tblMotor[Kargo]),0))</f>
        <v/>
      </c>
      <c r="F461" s="16">
        <f>IF($A461="","",IFERROR(SUMIF(tblMotor[A_Norm],$A461,tblMotor[IadeMaliyet]),0))</f>
        <v/>
      </c>
      <c r="G461" s="16">
        <f>IF($A461="","",IFERROR(SUMIF(tblMotor[A_Norm],$A461,tblMotor[ReklamHarcama]),0))</f>
        <v/>
      </c>
      <c r="H461" s="16">
        <f>IF(OR($A461="",$B461&lt;&gt;"tutar_farki"),"",IF(ABS($C461-$D461)&lt;=toleransKurus,"EGK-001",IF(ABS($C461-$F461)&lt;=toleransKurus,"EGK-002",IF(ABS($C461-$G461)&lt;=toleransKurus,"EGK-003",IF(ABS($C461-$E461)&lt;=toleransKurus,"EGK-004",IF($C461&gt;egk_esikFark,"EGK-005","TANIMSIZ"))))))</f>
        <v/>
      </c>
    </row>
    <row r="462">
      <c r="A462" s="22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IF($A462="","",IFERROR(SUMIF(tblMotor[A_Norm],$A462,tblMotor[KomisyonTutar]),0))</f>
        <v/>
      </c>
      <c r="E462" s="16">
        <f>IF($A462="","",IFERROR(SUMIF(tblMotor[A_Norm],$A462,tblMotor[Kargo]),0))</f>
        <v/>
      </c>
      <c r="F462" s="16">
        <f>IF($A462="","",IFERROR(SUMIF(tblMotor[A_Norm],$A462,tblMotor[IadeMaliyet]),0))</f>
        <v/>
      </c>
      <c r="G462" s="16">
        <f>IF($A462="","",IFERROR(SUMIF(tblMotor[A_Norm],$A462,tblMotor[ReklamHarcama]),0))</f>
        <v/>
      </c>
      <c r="H462" s="16">
        <f>IF(OR($A462="",$B462&lt;&gt;"tutar_farki"),"",IF(ABS($C462-$D462)&lt;=toleransKurus,"EGK-001",IF(ABS($C462-$F462)&lt;=toleransKurus,"EGK-002",IF(ABS($C462-$G462)&lt;=toleransKurus,"EGK-003",IF(ABS($C462-$E462)&lt;=toleransKurus,"EGK-004",IF($C462&gt;egk_esikFark,"EGK-005","TANIMSIZ"))))))</f>
        <v/>
      </c>
    </row>
    <row r="463">
      <c r="A463" s="22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IF($A463="","",IFERROR(SUMIF(tblMotor[A_Norm],$A463,tblMotor[KomisyonTutar]),0))</f>
        <v/>
      </c>
      <c r="E463" s="16">
        <f>IF($A463="","",IFERROR(SUMIF(tblMotor[A_Norm],$A463,tblMotor[Kargo]),0))</f>
        <v/>
      </c>
      <c r="F463" s="16">
        <f>IF($A463="","",IFERROR(SUMIF(tblMotor[A_Norm],$A463,tblMotor[IadeMaliyet]),0))</f>
        <v/>
      </c>
      <c r="G463" s="16">
        <f>IF($A463="","",IFERROR(SUMIF(tblMotor[A_Norm],$A463,tblMotor[ReklamHarcama]),0))</f>
        <v/>
      </c>
      <c r="H463" s="16">
        <f>IF(OR($A463="",$B463&lt;&gt;"tutar_farki"),"",IF(ABS($C463-$D463)&lt;=toleransKurus,"EGK-001",IF(ABS($C463-$F463)&lt;=toleransKurus,"EGK-002",IF(ABS($C463-$G463)&lt;=toleransKurus,"EGK-003",IF(ABS($C463-$E463)&lt;=toleransKurus,"EGK-004",IF($C463&gt;egk_esikFark,"EGK-005","TANIMSIZ"))))))</f>
        <v/>
      </c>
    </row>
    <row r="464">
      <c r="A464" s="22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IF($A464="","",IFERROR(SUMIF(tblMotor[A_Norm],$A464,tblMotor[KomisyonTutar]),0))</f>
        <v/>
      </c>
      <c r="E464" s="16">
        <f>IF($A464="","",IFERROR(SUMIF(tblMotor[A_Norm],$A464,tblMotor[Kargo]),0))</f>
        <v/>
      </c>
      <c r="F464" s="16">
        <f>IF($A464="","",IFERROR(SUMIF(tblMotor[A_Norm],$A464,tblMotor[IadeMaliyet]),0))</f>
        <v/>
      </c>
      <c r="G464" s="16">
        <f>IF($A464="","",IFERROR(SUMIF(tblMotor[A_Norm],$A464,tblMotor[ReklamHarcama]),0))</f>
        <v/>
      </c>
      <c r="H464" s="16">
        <f>IF(OR($A464="",$B464&lt;&gt;"tutar_farki"),"",IF(ABS($C464-$D464)&lt;=toleransKurus,"EGK-001",IF(ABS($C464-$F464)&lt;=toleransKurus,"EGK-002",IF(ABS($C464-$G464)&lt;=toleransKurus,"EGK-003",IF(ABS($C464-$E464)&lt;=toleransKurus,"EGK-004",IF($C464&gt;egk_esikFark,"EGK-005","TANIMSIZ"))))))</f>
        <v/>
      </c>
    </row>
    <row r="465">
      <c r="A465" s="22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IF($A465="","",IFERROR(SUMIF(tblMotor[A_Norm],$A465,tblMotor[KomisyonTutar]),0))</f>
        <v/>
      </c>
      <c r="E465" s="16">
        <f>IF($A465="","",IFERROR(SUMIF(tblMotor[A_Norm],$A465,tblMotor[Kargo]),0))</f>
        <v/>
      </c>
      <c r="F465" s="16">
        <f>IF($A465="","",IFERROR(SUMIF(tblMotor[A_Norm],$A465,tblMotor[IadeMaliyet]),0))</f>
        <v/>
      </c>
      <c r="G465" s="16">
        <f>IF($A465="","",IFERROR(SUMIF(tblMotor[A_Norm],$A465,tblMotor[ReklamHarcama]),0))</f>
        <v/>
      </c>
      <c r="H465" s="16">
        <f>IF(OR($A465="",$B465&lt;&gt;"tutar_farki"),"",IF(ABS($C465-$D465)&lt;=toleransKurus,"EGK-001",IF(ABS($C465-$F465)&lt;=toleransKurus,"EGK-002",IF(ABS($C465-$G465)&lt;=toleransKurus,"EGK-003",IF(ABS($C465-$E465)&lt;=toleransKurus,"EGK-004",IF($C465&gt;egk_esikFark,"EGK-005","TANIMSIZ"))))))</f>
        <v/>
      </c>
    </row>
    <row r="466">
      <c r="A466" s="22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IF($A466="","",IFERROR(SUMIF(tblMotor[A_Norm],$A466,tblMotor[KomisyonTutar]),0))</f>
        <v/>
      </c>
      <c r="E466" s="16">
        <f>IF($A466="","",IFERROR(SUMIF(tblMotor[A_Norm],$A466,tblMotor[Kargo]),0))</f>
        <v/>
      </c>
      <c r="F466" s="16">
        <f>IF($A466="","",IFERROR(SUMIF(tblMotor[A_Norm],$A466,tblMotor[IadeMaliyet]),0))</f>
        <v/>
      </c>
      <c r="G466" s="16">
        <f>IF($A466="","",IFERROR(SUMIF(tblMotor[A_Norm],$A466,tblMotor[ReklamHarcama]),0))</f>
        <v/>
      </c>
      <c r="H466" s="16">
        <f>IF(OR($A466="",$B466&lt;&gt;"tutar_farki"),"",IF(ABS($C466-$D466)&lt;=toleransKurus,"EGK-001",IF(ABS($C466-$F466)&lt;=toleransKurus,"EGK-002",IF(ABS($C466-$G466)&lt;=toleransKurus,"EGK-003",IF(ABS($C466-$E466)&lt;=toleransKurus,"EGK-004",IF($C466&gt;egk_esikFark,"EGK-005","TANIMSIZ"))))))</f>
        <v/>
      </c>
    </row>
    <row r="467">
      <c r="A467" s="22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IF($A467="","",IFERROR(SUMIF(tblMotor[A_Norm],$A467,tblMotor[KomisyonTutar]),0))</f>
        <v/>
      </c>
      <c r="E467" s="16">
        <f>IF($A467="","",IFERROR(SUMIF(tblMotor[A_Norm],$A467,tblMotor[Kargo]),0))</f>
        <v/>
      </c>
      <c r="F467" s="16">
        <f>IF($A467="","",IFERROR(SUMIF(tblMotor[A_Norm],$A467,tblMotor[IadeMaliyet]),0))</f>
        <v/>
      </c>
      <c r="G467" s="16">
        <f>IF($A467="","",IFERROR(SUMIF(tblMotor[A_Norm],$A467,tblMotor[ReklamHarcama]),0))</f>
        <v/>
      </c>
      <c r="H467" s="16">
        <f>IF(OR($A467="",$B467&lt;&gt;"tutar_farki"),"",IF(ABS($C467-$D467)&lt;=toleransKurus,"EGK-001",IF(ABS($C467-$F467)&lt;=toleransKurus,"EGK-002",IF(ABS($C467-$G467)&lt;=toleransKurus,"EGK-003",IF(ABS($C467-$E467)&lt;=toleransKurus,"EGK-004",IF($C467&gt;egk_esikFark,"EGK-005","TANIMSIZ"))))))</f>
        <v/>
      </c>
    </row>
    <row r="468">
      <c r="A468" s="22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IF($A468="","",IFERROR(SUMIF(tblMotor[A_Norm],$A468,tblMotor[KomisyonTutar]),0))</f>
        <v/>
      </c>
      <c r="E468" s="16">
        <f>IF($A468="","",IFERROR(SUMIF(tblMotor[A_Norm],$A468,tblMotor[Kargo]),0))</f>
        <v/>
      </c>
      <c r="F468" s="16">
        <f>IF($A468="","",IFERROR(SUMIF(tblMotor[A_Norm],$A468,tblMotor[IadeMaliyet]),0))</f>
        <v/>
      </c>
      <c r="G468" s="16">
        <f>IF($A468="","",IFERROR(SUMIF(tblMotor[A_Norm],$A468,tblMotor[ReklamHarcama]),0))</f>
        <v/>
      </c>
      <c r="H468" s="16">
        <f>IF(OR($A468="",$B468&lt;&gt;"tutar_farki"),"",IF(ABS($C468-$D468)&lt;=toleransKurus,"EGK-001",IF(ABS($C468-$F468)&lt;=toleransKurus,"EGK-002",IF(ABS($C468-$G468)&lt;=toleransKurus,"EGK-003",IF(ABS($C468-$E468)&lt;=toleransKurus,"EGK-004",IF($C468&gt;egk_esikFark,"EGK-005","TANIMSIZ"))))))</f>
        <v/>
      </c>
    </row>
    <row r="469">
      <c r="A469" s="22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IF($A469="","",IFERROR(SUMIF(tblMotor[A_Norm],$A469,tblMotor[KomisyonTutar]),0))</f>
        <v/>
      </c>
      <c r="E469" s="16">
        <f>IF($A469="","",IFERROR(SUMIF(tblMotor[A_Norm],$A469,tblMotor[Kargo]),0))</f>
        <v/>
      </c>
      <c r="F469" s="16">
        <f>IF($A469="","",IFERROR(SUMIF(tblMotor[A_Norm],$A469,tblMotor[IadeMaliyet]),0))</f>
        <v/>
      </c>
      <c r="G469" s="16">
        <f>IF($A469="","",IFERROR(SUMIF(tblMotor[A_Norm],$A469,tblMotor[ReklamHarcama]),0))</f>
        <v/>
      </c>
      <c r="H469" s="16">
        <f>IF(OR($A469="",$B469&lt;&gt;"tutar_farki"),"",IF(ABS($C469-$D469)&lt;=toleransKurus,"EGK-001",IF(ABS($C469-$F469)&lt;=toleransKurus,"EGK-002",IF(ABS($C469-$G469)&lt;=toleransKurus,"EGK-003",IF(ABS($C469-$E469)&lt;=toleransKurus,"EGK-004",IF($C469&gt;egk_esikFark,"EGK-005","TANIMSIZ"))))))</f>
        <v/>
      </c>
    </row>
    <row r="470">
      <c r="A470" s="22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IF($A470="","",IFERROR(SUMIF(tblMotor[A_Norm],$A470,tblMotor[KomisyonTutar]),0))</f>
        <v/>
      </c>
      <c r="E470" s="16">
        <f>IF($A470="","",IFERROR(SUMIF(tblMotor[A_Norm],$A470,tblMotor[Kargo]),0))</f>
        <v/>
      </c>
      <c r="F470" s="16">
        <f>IF($A470="","",IFERROR(SUMIF(tblMotor[A_Norm],$A470,tblMotor[IadeMaliyet]),0))</f>
        <v/>
      </c>
      <c r="G470" s="16">
        <f>IF($A470="","",IFERROR(SUMIF(tblMotor[A_Norm],$A470,tblMotor[ReklamHarcama]),0))</f>
        <v/>
      </c>
      <c r="H470" s="16">
        <f>IF(OR($A470="",$B470&lt;&gt;"tutar_farki"),"",IF(ABS($C470-$D470)&lt;=toleransKurus,"EGK-001",IF(ABS($C470-$F470)&lt;=toleransKurus,"EGK-002",IF(ABS($C470-$G470)&lt;=toleransKurus,"EGK-003",IF(ABS($C470-$E470)&lt;=toleransKurus,"EGK-004",IF($C470&gt;egk_esikFark,"EGK-005","TANIMSIZ"))))))</f>
        <v/>
      </c>
    </row>
    <row r="471">
      <c r="A471" s="22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IF($A471="","",IFERROR(SUMIF(tblMotor[A_Norm],$A471,tblMotor[KomisyonTutar]),0))</f>
        <v/>
      </c>
      <c r="E471" s="16">
        <f>IF($A471="","",IFERROR(SUMIF(tblMotor[A_Norm],$A471,tblMotor[Kargo]),0))</f>
        <v/>
      </c>
      <c r="F471" s="16">
        <f>IF($A471="","",IFERROR(SUMIF(tblMotor[A_Norm],$A471,tblMotor[IadeMaliyet]),0))</f>
        <v/>
      </c>
      <c r="G471" s="16">
        <f>IF($A471="","",IFERROR(SUMIF(tblMotor[A_Norm],$A471,tblMotor[ReklamHarcama]),0))</f>
        <v/>
      </c>
      <c r="H471" s="16">
        <f>IF(OR($A471="",$B471&lt;&gt;"tutar_farki"),"",IF(ABS($C471-$D471)&lt;=toleransKurus,"EGK-001",IF(ABS($C471-$F471)&lt;=toleransKurus,"EGK-002",IF(ABS($C471-$G471)&lt;=toleransKurus,"EGK-003",IF(ABS($C471-$E471)&lt;=toleransKurus,"EGK-004",IF($C471&gt;egk_esikFark,"EGK-005","TANIMSIZ"))))))</f>
        <v/>
      </c>
    </row>
    <row r="472">
      <c r="A472" s="22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IF($A472="","",IFERROR(SUMIF(tblMotor[A_Norm],$A472,tblMotor[KomisyonTutar]),0))</f>
        <v/>
      </c>
      <c r="E472" s="16">
        <f>IF($A472="","",IFERROR(SUMIF(tblMotor[A_Norm],$A472,tblMotor[Kargo]),0))</f>
        <v/>
      </c>
      <c r="F472" s="16">
        <f>IF($A472="","",IFERROR(SUMIF(tblMotor[A_Norm],$A472,tblMotor[IadeMaliyet]),0))</f>
        <v/>
      </c>
      <c r="G472" s="16">
        <f>IF($A472="","",IFERROR(SUMIF(tblMotor[A_Norm],$A472,tblMotor[ReklamHarcama]),0))</f>
        <v/>
      </c>
      <c r="H472" s="16">
        <f>IF(OR($A472="",$B472&lt;&gt;"tutar_farki"),"",IF(ABS($C472-$D472)&lt;=toleransKurus,"EGK-001",IF(ABS($C472-$F472)&lt;=toleransKurus,"EGK-002",IF(ABS($C472-$G472)&lt;=toleransKurus,"EGK-003",IF(ABS($C472-$E472)&lt;=toleransKurus,"EGK-004",IF($C472&gt;egk_esikFark,"EGK-005","TANIMSIZ"))))))</f>
        <v/>
      </c>
    </row>
    <row r="473">
      <c r="A473" s="22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IF($A473="","",IFERROR(SUMIF(tblMotor[A_Norm],$A473,tblMotor[KomisyonTutar]),0))</f>
        <v/>
      </c>
      <c r="E473" s="16">
        <f>IF($A473="","",IFERROR(SUMIF(tblMotor[A_Norm],$A473,tblMotor[Kargo]),0))</f>
        <v/>
      </c>
      <c r="F473" s="16">
        <f>IF($A473="","",IFERROR(SUMIF(tblMotor[A_Norm],$A473,tblMotor[IadeMaliyet]),0))</f>
        <v/>
      </c>
      <c r="G473" s="16">
        <f>IF($A473="","",IFERROR(SUMIF(tblMotor[A_Norm],$A473,tblMotor[ReklamHarcama]),0))</f>
        <v/>
      </c>
      <c r="H473" s="16">
        <f>IF(OR($A473="",$B473&lt;&gt;"tutar_farki"),"",IF(ABS($C473-$D473)&lt;=toleransKurus,"EGK-001",IF(ABS($C473-$F473)&lt;=toleransKurus,"EGK-002",IF(ABS($C473-$G473)&lt;=toleransKurus,"EGK-003",IF(ABS($C473-$E473)&lt;=toleransKurus,"EGK-004",IF($C473&gt;egk_esikFark,"EGK-005","TANIMSIZ"))))))</f>
        <v/>
      </c>
    </row>
    <row r="474">
      <c r="A474" s="22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IF($A474="","",IFERROR(SUMIF(tblMotor[A_Norm],$A474,tblMotor[KomisyonTutar]),0))</f>
        <v/>
      </c>
      <c r="E474" s="16">
        <f>IF($A474="","",IFERROR(SUMIF(tblMotor[A_Norm],$A474,tblMotor[Kargo]),0))</f>
        <v/>
      </c>
      <c r="F474" s="16">
        <f>IF($A474="","",IFERROR(SUMIF(tblMotor[A_Norm],$A474,tblMotor[IadeMaliyet]),0))</f>
        <v/>
      </c>
      <c r="G474" s="16">
        <f>IF($A474="","",IFERROR(SUMIF(tblMotor[A_Norm],$A474,tblMotor[ReklamHarcama]),0))</f>
        <v/>
      </c>
      <c r="H474" s="16">
        <f>IF(OR($A474="",$B474&lt;&gt;"tutar_farki"),"",IF(ABS($C474-$D474)&lt;=toleransKurus,"EGK-001",IF(ABS($C474-$F474)&lt;=toleransKurus,"EGK-002",IF(ABS($C474-$G474)&lt;=toleransKurus,"EGK-003",IF(ABS($C474-$E474)&lt;=toleransKurus,"EGK-004",IF($C474&gt;egk_esikFark,"EGK-005","TANIMSIZ"))))))</f>
        <v/>
      </c>
    </row>
    <row r="475">
      <c r="A475" s="22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IF($A475="","",IFERROR(SUMIF(tblMotor[A_Norm],$A475,tblMotor[KomisyonTutar]),0))</f>
        <v/>
      </c>
      <c r="E475" s="16">
        <f>IF($A475="","",IFERROR(SUMIF(tblMotor[A_Norm],$A475,tblMotor[Kargo]),0))</f>
        <v/>
      </c>
      <c r="F475" s="16">
        <f>IF($A475="","",IFERROR(SUMIF(tblMotor[A_Norm],$A475,tblMotor[IadeMaliyet]),0))</f>
        <v/>
      </c>
      <c r="G475" s="16">
        <f>IF($A475="","",IFERROR(SUMIF(tblMotor[A_Norm],$A475,tblMotor[ReklamHarcama]),0))</f>
        <v/>
      </c>
      <c r="H475" s="16">
        <f>IF(OR($A475="",$B475&lt;&gt;"tutar_farki"),"",IF(ABS($C475-$D475)&lt;=toleransKurus,"EGK-001",IF(ABS($C475-$F475)&lt;=toleransKurus,"EGK-002",IF(ABS($C475-$G475)&lt;=toleransKurus,"EGK-003",IF(ABS($C475-$E475)&lt;=toleransKurus,"EGK-004",IF($C475&gt;egk_esikFark,"EGK-005","TANIMSIZ"))))))</f>
        <v/>
      </c>
    </row>
    <row r="476">
      <c r="A476" s="22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IF($A476="","",IFERROR(SUMIF(tblMotor[A_Norm],$A476,tblMotor[KomisyonTutar]),0))</f>
        <v/>
      </c>
      <c r="E476" s="16">
        <f>IF($A476="","",IFERROR(SUMIF(tblMotor[A_Norm],$A476,tblMotor[Kargo]),0))</f>
        <v/>
      </c>
      <c r="F476" s="16">
        <f>IF($A476="","",IFERROR(SUMIF(tblMotor[A_Norm],$A476,tblMotor[IadeMaliyet]),0))</f>
        <v/>
      </c>
      <c r="G476" s="16">
        <f>IF($A476="","",IFERROR(SUMIF(tblMotor[A_Norm],$A476,tblMotor[ReklamHarcama]),0))</f>
        <v/>
      </c>
      <c r="H476" s="16">
        <f>IF(OR($A476="",$B476&lt;&gt;"tutar_farki"),"",IF(ABS($C476-$D476)&lt;=toleransKurus,"EGK-001",IF(ABS($C476-$F476)&lt;=toleransKurus,"EGK-002",IF(ABS($C476-$G476)&lt;=toleransKurus,"EGK-003",IF(ABS($C476-$E476)&lt;=toleransKurus,"EGK-004",IF($C476&gt;egk_esikFark,"EGK-005","TANIMSIZ"))))))</f>
        <v/>
      </c>
    </row>
    <row r="477">
      <c r="A477" s="22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IF($A477="","",IFERROR(SUMIF(tblMotor[A_Norm],$A477,tblMotor[KomisyonTutar]),0))</f>
        <v/>
      </c>
      <c r="E477" s="16">
        <f>IF($A477="","",IFERROR(SUMIF(tblMotor[A_Norm],$A477,tblMotor[Kargo]),0))</f>
        <v/>
      </c>
      <c r="F477" s="16">
        <f>IF($A477="","",IFERROR(SUMIF(tblMotor[A_Norm],$A477,tblMotor[IadeMaliyet]),0))</f>
        <v/>
      </c>
      <c r="G477" s="16">
        <f>IF($A477="","",IFERROR(SUMIF(tblMotor[A_Norm],$A477,tblMotor[ReklamHarcama]),0))</f>
        <v/>
      </c>
      <c r="H477" s="16">
        <f>IF(OR($A477="",$B477&lt;&gt;"tutar_farki"),"",IF(ABS($C477-$D477)&lt;=toleransKurus,"EGK-001",IF(ABS($C477-$F477)&lt;=toleransKurus,"EGK-002",IF(ABS($C477-$G477)&lt;=toleransKurus,"EGK-003",IF(ABS($C477-$E477)&lt;=toleransKurus,"EGK-004",IF($C477&gt;egk_esikFark,"EGK-005","TANIMSIZ"))))))</f>
        <v/>
      </c>
    </row>
    <row r="478">
      <c r="A478" s="22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IF($A478="","",IFERROR(SUMIF(tblMotor[A_Norm],$A478,tblMotor[KomisyonTutar]),0))</f>
        <v/>
      </c>
      <c r="E478" s="16">
        <f>IF($A478="","",IFERROR(SUMIF(tblMotor[A_Norm],$A478,tblMotor[Kargo]),0))</f>
        <v/>
      </c>
      <c r="F478" s="16">
        <f>IF($A478="","",IFERROR(SUMIF(tblMotor[A_Norm],$A478,tblMotor[IadeMaliyet]),0))</f>
        <v/>
      </c>
      <c r="G478" s="16">
        <f>IF($A478="","",IFERROR(SUMIF(tblMotor[A_Norm],$A478,tblMotor[ReklamHarcama]),0))</f>
        <v/>
      </c>
      <c r="H478" s="16">
        <f>IF(OR($A478="",$B478&lt;&gt;"tutar_farki"),"",IF(ABS($C478-$D478)&lt;=toleransKurus,"EGK-001",IF(ABS($C478-$F478)&lt;=toleransKurus,"EGK-002",IF(ABS($C478-$G478)&lt;=toleransKurus,"EGK-003",IF(ABS($C478-$E478)&lt;=toleransKurus,"EGK-004",IF($C478&gt;egk_esikFark,"EGK-005","TANIMSIZ"))))))</f>
        <v/>
      </c>
    </row>
    <row r="479">
      <c r="A479" s="22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IF($A479="","",IFERROR(SUMIF(tblMotor[A_Norm],$A479,tblMotor[KomisyonTutar]),0))</f>
        <v/>
      </c>
      <c r="E479" s="16">
        <f>IF($A479="","",IFERROR(SUMIF(tblMotor[A_Norm],$A479,tblMotor[Kargo]),0))</f>
        <v/>
      </c>
      <c r="F479" s="16">
        <f>IF($A479="","",IFERROR(SUMIF(tblMotor[A_Norm],$A479,tblMotor[IadeMaliyet]),0))</f>
        <v/>
      </c>
      <c r="G479" s="16">
        <f>IF($A479="","",IFERROR(SUMIF(tblMotor[A_Norm],$A479,tblMotor[ReklamHarcama]),0))</f>
        <v/>
      </c>
      <c r="H479" s="16">
        <f>IF(OR($A479="",$B479&lt;&gt;"tutar_farki"),"",IF(ABS($C479-$D479)&lt;=toleransKurus,"EGK-001",IF(ABS($C479-$F479)&lt;=toleransKurus,"EGK-002",IF(ABS($C479-$G479)&lt;=toleransKurus,"EGK-003",IF(ABS($C479-$E479)&lt;=toleransKurus,"EGK-004",IF($C479&gt;egk_esikFark,"EGK-005","TANIMSIZ"))))))</f>
        <v/>
      </c>
    </row>
    <row r="480">
      <c r="A480" s="22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IF($A480="","",IFERROR(SUMIF(tblMotor[A_Norm],$A480,tblMotor[KomisyonTutar]),0))</f>
        <v/>
      </c>
      <c r="E480" s="16">
        <f>IF($A480="","",IFERROR(SUMIF(tblMotor[A_Norm],$A480,tblMotor[Kargo]),0))</f>
        <v/>
      </c>
      <c r="F480" s="16">
        <f>IF($A480="","",IFERROR(SUMIF(tblMotor[A_Norm],$A480,tblMotor[IadeMaliyet]),0))</f>
        <v/>
      </c>
      <c r="G480" s="16">
        <f>IF($A480="","",IFERROR(SUMIF(tblMotor[A_Norm],$A480,tblMotor[ReklamHarcama]),0))</f>
        <v/>
      </c>
      <c r="H480" s="16">
        <f>IF(OR($A480="",$B480&lt;&gt;"tutar_farki"),"",IF(ABS($C480-$D480)&lt;=toleransKurus,"EGK-001",IF(ABS($C480-$F480)&lt;=toleransKurus,"EGK-002",IF(ABS($C480-$G480)&lt;=toleransKurus,"EGK-003",IF(ABS($C480-$E480)&lt;=toleransKurus,"EGK-004",IF($C480&gt;egk_esikFark,"EGK-005","TANIMSIZ"))))))</f>
        <v/>
      </c>
    </row>
    <row r="481">
      <c r="A481" s="22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IF($A481="","",IFERROR(SUMIF(tblMotor[A_Norm],$A481,tblMotor[KomisyonTutar]),0))</f>
        <v/>
      </c>
      <c r="E481" s="16">
        <f>IF($A481="","",IFERROR(SUMIF(tblMotor[A_Norm],$A481,tblMotor[Kargo]),0))</f>
        <v/>
      </c>
      <c r="F481" s="16">
        <f>IF($A481="","",IFERROR(SUMIF(tblMotor[A_Norm],$A481,tblMotor[IadeMaliyet]),0))</f>
        <v/>
      </c>
      <c r="G481" s="16">
        <f>IF($A481="","",IFERROR(SUMIF(tblMotor[A_Norm],$A481,tblMotor[ReklamHarcama]),0))</f>
        <v/>
      </c>
      <c r="H481" s="16">
        <f>IF(OR($A481="",$B481&lt;&gt;"tutar_farki"),"",IF(ABS($C481-$D481)&lt;=toleransKurus,"EGK-001",IF(ABS($C481-$F481)&lt;=toleransKurus,"EGK-002",IF(ABS($C481-$G481)&lt;=toleransKurus,"EGK-003",IF(ABS($C481-$E481)&lt;=toleransKurus,"EGK-004",IF($C481&gt;egk_esikFark,"EGK-005","TANIMSIZ"))))))</f>
        <v/>
      </c>
    </row>
    <row r="482">
      <c r="A482" s="22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IF($A482="","",IFERROR(SUMIF(tblMotor[A_Norm],$A482,tblMotor[KomisyonTutar]),0))</f>
        <v/>
      </c>
      <c r="E482" s="16">
        <f>IF($A482="","",IFERROR(SUMIF(tblMotor[A_Norm],$A482,tblMotor[Kargo]),0))</f>
        <v/>
      </c>
      <c r="F482" s="16">
        <f>IF($A482="","",IFERROR(SUMIF(tblMotor[A_Norm],$A482,tblMotor[IadeMaliyet]),0))</f>
        <v/>
      </c>
      <c r="G482" s="16">
        <f>IF($A482="","",IFERROR(SUMIF(tblMotor[A_Norm],$A482,tblMotor[ReklamHarcama]),0))</f>
        <v/>
      </c>
      <c r="H482" s="16">
        <f>IF(OR($A482="",$B482&lt;&gt;"tutar_farki"),"",IF(ABS($C482-$D482)&lt;=toleransKurus,"EGK-001",IF(ABS($C482-$F482)&lt;=toleransKurus,"EGK-002",IF(ABS($C482-$G482)&lt;=toleransKurus,"EGK-003",IF(ABS($C482-$E482)&lt;=toleransKurus,"EGK-004",IF($C482&gt;egk_esikFark,"EGK-005","TANIMSIZ"))))))</f>
        <v/>
      </c>
    </row>
    <row r="483">
      <c r="A483" s="22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IF($A483="","",IFERROR(SUMIF(tblMotor[A_Norm],$A483,tblMotor[KomisyonTutar]),0))</f>
        <v/>
      </c>
      <c r="E483" s="16">
        <f>IF($A483="","",IFERROR(SUMIF(tblMotor[A_Norm],$A483,tblMotor[Kargo]),0))</f>
        <v/>
      </c>
      <c r="F483" s="16">
        <f>IF($A483="","",IFERROR(SUMIF(tblMotor[A_Norm],$A483,tblMotor[IadeMaliyet]),0))</f>
        <v/>
      </c>
      <c r="G483" s="16">
        <f>IF($A483="","",IFERROR(SUMIF(tblMotor[A_Norm],$A483,tblMotor[ReklamHarcama]),0))</f>
        <v/>
      </c>
      <c r="H483" s="16">
        <f>IF(OR($A483="",$B483&lt;&gt;"tutar_farki"),"",IF(ABS($C483-$D483)&lt;=toleransKurus,"EGK-001",IF(ABS($C483-$F483)&lt;=toleransKurus,"EGK-002",IF(ABS($C483-$G483)&lt;=toleransKurus,"EGK-003",IF(ABS($C483-$E483)&lt;=toleransKurus,"EGK-004",IF($C483&gt;egk_esikFark,"EGK-005","TANIMSIZ"))))))</f>
        <v/>
      </c>
    </row>
    <row r="484">
      <c r="A484" s="22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IF($A484="","",IFERROR(SUMIF(tblMotor[A_Norm],$A484,tblMotor[KomisyonTutar]),0))</f>
        <v/>
      </c>
      <c r="E484" s="16">
        <f>IF($A484="","",IFERROR(SUMIF(tblMotor[A_Norm],$A484,tblMotor[Kargo]),0))</f>
        <v/>
      </c>
      <c r="F484" s="16">
        <f>IF($A484="","",IFERROR(SUMIF(tblMotor[A_Norm],$A484,tblMotor[IadeMaliyet]),0))</f>
        <v/>
      </c>
      <c r="G484" s="16">
        <f>IF($A484="","",IFERROR(SUMIF(tblMotor[A_Norm],$A484,tblMotor[ReklamHarcama]),0))</f>
        <v/>
      </c>
      <c r="H484" s="16">
        <f>IF(OR($A484="",$B484&lt;&gt;"tutar_farki"),"",IF(ABS($C484-$D484)&lt;=toleransKurus,"EGK-001",IF(ABS($C484-$F484)&lt;=toleransKurus,"EGK-002",IF(ABS($C484-$G484)&lt;=toleransKurus,"EGK-003",IF(ABS($C484-$E484)&lt;=toleransKurus,"EGK-004",IF($C484&gt;egk_esikFark,"EGK-005","TANIMSIZ"))))))</f>
        <v/>
      </c>
    </row>
    <row r="485">
      <c r="A485" s="22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IF($A485="","",IFERROR(SUMIF(tblMotor[A_Norm],$A485,tblMotor[KomisyonTutar]),0))</f>
        <v/>
      </c>
      <c r="E485" s="16">
        <f>IF($A485="","",IFERROR(SUMIF(tblMotor[A_Norm],$A485,tblMotor[Kargo]),0))</f>
        <v/>
      </c>
      <c r="F485" s="16">
        <f>IF($A485="","",IFERROR(SUMIF(tblMotor[A_Norm],$A485,tblMotor[IadeMaliyet]),0))</f>
        <v/>
      </c>
      <c r="G485" s="16">
        <f>IF($A485="","",IFERROR(SUMIF(tblMotor[A_Norm],$A485,tblMotor[ReklamHarcama]),0))</f>
        <v/>
      </c>
      <c r="H485" s="16">
        <f>IF(OR($A485="",$B485&lt;&gt;"tutar_farki"),"",IF(ABS($C485-$D485)&lt;=toleransKurus,"EGK-001",IF(ABS($C485-$F485)&lt;=toleransKurus,"EGK-002",IF(ABS($C485-$G485)&lt;=toleransKurus,"EGK-003",IF(ABS($C485-$E485)&lt;=toleransKurus,"EGK-004",IF($C485&gt;egk_esikFark,"EGK-005","TANIMSIZ"))))))</f>
        <v/>
      </c>
    </row>
    <row r="486">
      <c r="A486" s="22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IF($A486="","",IFERROR(SUMIF(tblMotor[A_Norm],$A486,tblMotor[KomisyonTutar]),0))</f>
        <v/>
      </c>
      <c r="E486" s="16">
        <f>IF($A486="","",IFERROR(SUMIF(tblMotor[A_Norm],$A486,tblMotor[Kargo]),0))</f>
        <v/>
      </c>
      <c r="F486" s="16">
        <f>IF($A486="","",IFERROR(SUMIF(tblMotor[A_Norm],$A486,tblMotor[IadeMaliyet]),0))</f>
        <v/>
      </c>
      <c r="G486" s="16">
        <f>IF($A486="","",IFERROR(SUMIF(tblMotor[A_Norm],$A486,tblMotor[ReklamHarcama]),0))</f>
        <v/>
      </c>
      <c r="H486" s="16">
        <f>IF(OR($A486="",$B486&lt;&gt;"tutar_farki"),"",IF(ABS($C486-$D486)&lt;=toleransKurus,"EGK-001",IF(ABS($C486-$F486)&lt;=toleransKurus,"EGK-002",IF(ABS($C486-$G486)&lt;=toleransKurus,"EGK-003",IF(ABS($C486-$E486)&lt;=toleransKurus,"EGK-004",IF($C486&gt;egk_esikFark,"EGK-005","TANIMSIZ"))))))</f>
        <v/>
      </c>
    </row>
    <row r="487">
      <c r="A487" s="22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IF($A487="","",IFERROR(SUMIF(tblMotor[A_Norm],$A487,tblMotor[KomisyonTutar]),0))</f>
        <v/>
      </c>
      <c r="E487" s="16">
        <f>IF($A487="","",IFERROR(SUMIF(tblMotor[A_Norm],$A487,tblMotor[Kargo]),0))</f>
        <v/>
      </c>
      <c r="F487" s="16">
        <f>IF($A487="","",IFERROR(SUMIF(tblMotor[A_Norm],$A487,tblMotor[IadeMaliyet]),0))</f>
        <v/>
      </c>
      <c r="G487" s="16">
        <f>IF($A487="","",IFERROR(SUMIF(tblMotor[A_Norm],$A487,tblMotor[ReklamHarcama]),0))</f>
        <v/>
      </c>
      <c r="H487" s="16">
        <f>IF(OR($A487="",$B487&lt;&gt;"tutar_farki"),"",IF(ABS($C487-$D487)&lt;=toleransKurus,"EGK-001",IF(ABS($C487-$F487)&lt;=toleransKurus,"EGK-002",IF(ABS($C487-$G487)&lt;=toleransKurus,"EGK-003",IF(ABS($C487-$E487)&lt;=toleransKurus,"EGK-004",IF($C487&gt;egk_esikFark,"EGK-005","TANIMSIZ"))))))</f>
        <v/>
      </c>
    </row>
    <row r="488">
      <c r="A488" s="22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IF($A488="","",IFERROR(SUMIF(tblMotor[A_Norm],$A488,tblMotor[KomisyonTutar]),0))</f>
        <v/>
      </c>
      <c r="E488" s="16">
        <f>IF($A488="","",IFERROR(SUMIF(tblMotor[A_Norm],$A488,tblMotor[Kargo]),0))</f>
        <v/>
      </c>
      <c r="F488" s="16">
        <f>IF($A488="","",IFERROR(SUMIF(tblMotor[A_Norm],$A488,tblMotor[IadeMaliyet]),0))</f>
        <v/>
      </c>
      <c r="G488" s="16">
        <f>IF($A488="","",IFERROR(SUMIF(tblMotor[A_Norm],$A488,tblMotor[ReklamHarcama]),0))</f>
        <v/>
      </c>
      <c r="H488" s="16">
        <f>IF(OR($A488="",$B488&lt;&gt;"tutar_farki"),"",IF(ABS($C488-$D488)&lt;=toleransKurus,"EGK-001",IF(ABS($C488-$F488)&lt;=toleransKurus,"EGK-002",IF(ABS($C488-$G488)&lt;=toleransKurus,"EGK-003",IF(ABS($C488-$E488)&lt;=toleransKurus,"EGK-004",IF($C488&gt;egk_esikFark,"EGK-005","TANIMSIZ"))))))</f>
        <v/>
      </c>
    </row>
    <row r="489">
      <c r="A489" s="22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IF($A489="","",IFERROR(SUMIF(tblMotor[A_Norm],$A489,tblMotor[KomisyonTutar]),0))</f>
        <v/>
      </c>
      <c r="E489" s="16">
        <f>IF($A489="","",IFERROR(SUMIF(tblMotor[A_Norm],$A489,tblMotor[Kargo]),0))</f>
        <v/>
      </c>
      <c r="F489" s="16">
        <f>IF($A489="","",IFERROR(SUMIF(tblMotor[A_Norm],$A489,tblMotor[IadeMaliyet]),0))</f>
        <v/>
      </c>
      <c r="G489" s="16">
        <f>IF($A489="","",IFERROR(SUMIF(tblMotor[A_Norm],$A489,tblMotor[ReklamHarcama]),0))</f>
        <v/>
      </c>
      <c r="H489" s="16">
        <f>IF(OR($A489="",$B489&lt;&gt;"tutar_farki"),"",IF(ABS($C489-$D489)&lt;=toleransKurus,"EGK-001",IF(ABS($C489-$F489)&lt;=toleransKurus,"EGK-002",IF(ABS($C489-$G489)&lt;=toleransKurus,"EGK-003",IF(ABS($C489-$E489)&lt;=toleransKurus,"EGK-004",IF($C489&gt;egk_esikFark,"EGK-005","TANIMSIZ"))))))</f>
        <v/>
      </c>
    </row>
    <row r="490">
      <c r="A490" s="22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IF($A490="","",IFERROR(SUMIF(tblMotor[A_Norm],$A490,tblMotor[KomisyonTutar]),0))</f>
        <v/>
      </c>
      <c r="E490" s="16">
        <f>IF($A490="","",IFERROR(SUMIF(tblMotor[A_Norm],$A490,tblMotor[Kargo]),0))</f>
        <v/>
      </c>
      <c r="F490" s="16">
        <f>IF($A490="","",IFERROR(SUMIF(tblMotor[A_Norm],$A490,tblMotor[IadeMaliyet]),0))</f>
        <v/>
      </c>
      <c r="G490" s="16">
        <f>IF($A490="","",IFERROR(SUMIF(tblMotor[A_Norm],$A490,tblMotor[ReklamHarcama]),0))</f>
        <v/>
      </c>
      <c r="H490" s="16">
        <f>IF(OR($A490="",$B490&lt;&gt;"tutar_farki"),"",IF(ABS($C490-$D490)&lt;=toleransKurus,"EGK-001",IF(ABS($C490-$F490)&lt;=toleransKurus,"EGK-002",IF(ABS($C490-$G490)&lt;=toleransKurus,"EGK-003",IF(ABS($C490-$E490)&lt;=toleransKurus,"EGK-004",IF($C490&gt;egk_esikFark,"EGK-005","TANIMSIZ"))))))</f>
        <v/>
      </c>
    </row>
    <row r="491">
      <c r="A491" s="22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IF($A491="","",IFERROR(SUMIF(tblMotor[A_Norm],$A491,tblMotor[KomisyonTutar]),0))</f>
        <v/>
      </c>
      <c r="E491" s="16">
        <f>IF($A491="","",IFERROR(SUMIF(tblMotor[A_Norm],$A491,tblMotor[Kargo]),0))</f>
        <v/>
      </c>
      <c r="F491" s="16">
        <f>IF($A491="","",IFERROR(SUMIF(tblMotor[A_Norm],$A491,tblMotor[IadeMaliyet]),0))</f>
        <v/>
      </c>
      <c r="G491" s="16">
        <f>IF($A491="","",IFERROR(SUMIF(tblMotor[A_Norm],$A491,tblMotor[ReklamHarcama]),0))</f>
        <v/>
      </c>
      <c r="H491" s="16">
        <f>IF(OR($A491="",$B491&lt;&gt;"tutar_farki"),"",IF(ABS($C491-$D491)&lt;=toleransKurus,"EGK-001",IF(ABS($C491-$F491)&lt;=toleransKurus,"EGK-002",IF(ABS($C491-$G491)&lt;=toleransKurus,"EGK-003",IF(ABS($C491-$E491)&lt;=toleransKurus,"EGK-004",IF($C491&gt;egk_esikFark,"EGK-005","TANIMSIZ"))))))</f>
        <v/>
      </c>
    </row>
    <row r="492">
      <c r="A492" s="22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IF($A492="","",IFERROR(SUMIF(tblMotor[A_Norm],$A492,tblMotor[KomisyonTutar]),0))</f>
        <v/>
      </c>
      <c r="E492" s="16">
        <f>IF($A492="","",IFERROR(SUMIF(tblMotor[A_Norm],$A492,tblMotor[Kargo]),0))</f>
        <v/>
      </c>
      <c r="F492" s="16">
        <f>IF($A492="","",IFERROR(SUMIF(tblMotor[A_Norm],$A492,tblMotor[IadeMaliyet]),0))</f>
        <v/>
      </c>
      <c r="G492" s="16">
        <f>IF($A492="","",IFERROR(SUMIF(tblMotor[A_Norm],$A492,tblMotor[ReklamHarcama]),0))</f>
        <v/>
      </c>
      <c r="H492" s="16">
        <f>IF(OR($A492="",$B492&lt;&gt;"tutar_farki"),"",IF(ABS($C492-$D492)&lt;=toleransKurus,"EGK-001",IF(ABS($C492-$F492)&lt;=toleransKurus,"EGK-002",IF(ABS($C492-$G492)&lt;=toleransKurus,"EGK-003",IF(ABS($C492-$E492)&lt;=toleransKurus,"EGK-004",IF($C492&gt;egk_esikFark,"EGK-005","TANIMSIZ"))))))</f>
        <v/>
      </c>
    </row>
    <row r="493">
      <c r="A493" s="22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IF($A493="","",IFERROR(SUMIF(tblMotor[A_Norm],$A493,tblMotor[KomisyonTutar]),0))</f>
        <v/>
      </c>
      <c r="E493" s="16">
        <f>IF($A493="","",IFERROR(SUMIF(tblMotor[A_Norm],$A493,tblMotor[Kargo]),0))</f>
        <v/>
      </c>
      <c r="F493" s="16">
        <f>IF($A493="","",IFERROR(SUMIF(tblMotor[A_Norm],$A493,tblMotor[IadeMaliyet]),0))</f>
        <v/>
      </c>
      <c r="G493" s="16">
        <f>IF($A493="","",IFERROR(SUMIF(tblMotor[A_Norm],$A493,tblMotor[ReklamHarcama]),0))</f>
        <v/>
      </c>
      <c r="H493" s="16">
        <f>IF(OR($A493="",$B493&lt;&gt;"tutar_farki"),"",IF(ABS($C493-$D493)&lt;=toleransKurus,"EGK-001",IF(ABS($C493-$F493)&lt;=toleransKurus,"EGK-002",IF(ABS($C493-$G493)&lt;=toleransKurus,"EGK-003",IF(ABS($C493-$E493)&lt;=toleransKurus,"EGK-004",IF($C493&gt;egk_esikFark,"EGK-005","TANIMSIZ"))))))</f>
        <v/>
      </c>
    </row>
    <row r="494">
      <c r="A494" s="22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IF($A494="","",IFERROR(SUMIF(tblMotor[A_Norm],$A494,tblMotor[KomisyonTutar]),0))</f>
        <v/>
      </c>
      <c r="E494" s="16">
        <f>IF($A494="","",IFERROR(SUMIF(tblMotor[A_Norm],$A494,tblMotor[Kargo]),0))</f>
        <v/>
      </c>
      <c r="F494" s="16">
        <f>IF($A494="","",IFERROR(SUMIF(tblMotor[A_Norm],$A494,tblMotor[IadeMaliyet]),0))</f>
        <v/>
      </c>
      <c r="G494" s="16">
        <f>IF($A494="","",IFERROR(SUMIF(tblMotor[A_Norm],$A494,tblMotor[ReklamHarcama]),0))</f>
        <v/>
      </c>
      <c r="H494" s="16">
        <f>IF(OR($A494="",$B494&lt;&gt;"tutar_farki"),"",IF(ABS($C494-$D494)&lt;=toleransKurus,"EGK-001",IF(ABS($C494-$F494)&lt;=toleransKurus,"EGK-002",IF(ABS($C494-$G494)&lt;=toleransKurus,"EGK-003",IF(ABS($C494-$E494)&lt;=toleransKurus,"EGK-004",IF($C494&gt;egk_esikFark,"EGK-005","TANIMSIZ"))))))</f>
        <v/>
      </c>
    </row>
    <row r="495">
      <c r="A495" s="22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IF($A495="","",IFERROR(SUMIF(tblMotor[A_Norm],$A495,tblMotor[KomisyonTutar]),0))</f>
        <v/>
      </c>
      <c r="E495" s="16">
        <f>IF($A495="","",IFERROR(SUMIF(tblMotor[A_Norm],$A495,tblMotor[Kargo]),0))</f>
        <v/>
      </c>
      <c r="F495" s="16">
        <f>IF($A495="","",IFERROR(SUMIF(tblMotor[A_Norm],$A495,tblMotor[IadeMaliyet]),0))</f>
        <v/>
      </c>
      <c r="G495" s="16">
        <f>IF($A495="","",IFERROR(SUMIF(tblMotor[A_Norm],$A495,tblMotor[ReklamHarcama]),0))</f>
        <v/>
      </c>
      <c r="H495" s="16">
        <f>IF(OR($A495="",$B495&lt;&gt;"tutar_farki"),"",IF(ABS($C495-$D495)&lt;=toleransKurus,"EGK-001",IF(ABS($C495-$F495)&lt;=toleransKurus,"EGK-002",IF(ABS($C495-$G495)&lt;=toleransKurus,"EGK-003",IF(ABS($C495-$E495)&lt;=toleransKurus,"EGK-004",IF($C495&gt;egk_esikFark,"EGK-005","TANIMSIZ"))))))</f>
        <v/>
      </c>
    </row>
    <row r="496">
      <c r="A496" s="22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IF($A496="","",IFERROR(SUMIF(tblMotor[A_Norm],$A496,tblMotor[KomisyonTutar]),0))</f>
        <v/>
      </c>
      <c r="E496" s="16">
        <f>IF($A496="","",IFERROR(SUMIF(tblMotor[A_Norm],$A496,tblMotor[Kargo]),0))</f>
        <v/>
      </c>
      <c r="F496" s="16">
        <f>IF($A496="","",IFERROR(SUMIF(tblMotor[A_Norm],$A496,tblMotor[IadeMaliyet]),0))</f>
        <v/>
      </c>
      <c r="G496" s="16">
        <f>IF($A496="","",IFERROR(SUMIF(tblMotor[A_Norm],$A496,tblMotor[ReklamHarcama]),0))</f>
        <v/>
      </c>
      <c r="H496" s="16">
        <f>IF(OR($A496="",$B496&lt;&gt;"tutar_farki"),"",IF(ABS($C496-$D496)&lt;=toleransKurus,"EGK-001",IF(ABS($C496-$F496)&lt;=toleransKurus,"EGK-002",IF(ABS($C496-$G496)&lt;=toleransKurus,"EGK-003",IF(ABS($C496-$E496)&lt;=toleransKurus,"EGK-004",IF($C496&gt;egk_esikFark,"EGK-005","TANIMSIZ"))))))</f>
        <v/>
      </c>
    </row>
    <row r="497">
      <c r="A497" s="22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IF($A497="","",IFERROR(SUMIF(tblMotor[A_Norm],$A497,tblMotor[KomisyonTutar]),0))</f>
        <v/>
      </c>
      <c r="E497" s="16">
        <f>IF($A497="","",IFERROR(SUMIF(tblMotor[A_Norm],$A497,tblMotor[Kargo]),0))</f>
        <v/>
      </c>
      <c r="F497" s="16">
        <f>IF($A497="","",IFERROR(SUMIF(tblMotor[A_Norm],$A497,tblMotor[IadeMaliyet]),0))</f>
        <v/>
      </c>
      <c r="G497" s="16">
        <f>IF($A497="","",IFERROR(SUMIF(tblMotor[A_Norm],$A497,tblMotor[ReklamHarcama]),0))</f>
        <v/>
      </c>
      <c r="H497" s="16">
        <f>IF(OR($A497="",$B497&lt;&gt;"tutar_farki"),"",IF(ABS($C497-$D497)&lt;=toleransKurus,"EGK-001",IF(ABS($C497-$F497)&lt;=toleransKurus,"EGK-002",IF(ABS($C497-$G497)&lt;=toleransKurus,"EGK-003",IF(ABS($C497-$E497)&lt;=toleransKurus,"EGK-004",IF($C497&gt;egk_esikFark,"EGK-005","TANIMSIZ"))))))</f>
        <v/>
      </c>
    </row>
    <row r="498">
      <c r="A498" s="22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IF($A498="","",IFERROR(SUMIF(tblMotor[A_Norm],$A498,tblMotor[KomisyonTutar]),0))</f>
        <v/>
      </c>
      <c r="E498" s="16">
        <f>IF($A498="","",IFERROR(SUMIF(tblMotor[A_Norm],$A498,tblMotor[Kargo]),0))</f>
        <v/>
      </c>
      <c r="F498" s="16">
        <f>IF($A498="","",IFERROR(SUMIF(tblMotor[A_Norm],$A498,tblMotor[IadeMaliyet]),0))</f>
        <v/>
      </c>
      <c r="G498" s="16">
        <f>IF($A498="","",IFERROR(SUMIF(tblMotor[A_Norm],$A498,tblMotor[ReklamHarcama]),0))</f>
        <v/>
      </c>
      <c r="H498" s="16">
        <f>IF(OR($A498="",$B498&lt;&gt;"tutar_farki"),"",IF(ABS($C498-$D498)&lt;=toleransKurus,"EGK-001",IF(ABS($C498-$F498)&lt;=toleransKurus,"EGK-002",IF(ABS($C498-$G498)&lt;=toleransKurus,"EGK-003",IF(ABS($C498-$E498)&lt;=toleransKurus,"EGK-004",IF($C498&gt;egk_esikFark,"EGK-005","TANIMSIZ"))))))</f>
        <v/>
      </c>
    </row>
    <row r="499">
      <c r="A499" s="22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IF($A499="","",IFERROR(SUMIF(tblMotor[A_Norm],$A499,tblMotor[KomisyonTutar]),0))</f>
        <v/>
      </c>
      <c r="E499" s="16">
        <f>IF($A499="","",IFERROR(SUMIF(tblMotor[A_Norm],$A499,tblMotor[Kargo]),0))</f>
        <v/>
      </c>
      <c r="F499" s="16">
        <f>IF($A499="","",IFERROR(SUMIF(tblMotor[A_Norm],$A499,tblMotor[IadeMaliyet]),0))</f>
        <v/>
      </c>
      <c r="G499" s="16">
        <f>IF($A499="","",IFERROR(SUMIF(tblMotor[A_Norm],$A499,tblMotor[ReklamHarcama]),0))</f>
        <v/>
      </c>
      <c r="H499" s="16">
        <f>IF(OR($A499="",$B499&lt;&gt;"tutar_farki"),"",IF(ABS($C499-$D499)&lt;=toleransKurus,"EGK-001",IF(ABS($C499-$F499)&lt;=toleransKurus,"EGK-002",IF(ABS($C499-$G499)&lt;=toleransKurus,"EGK-003",IF(ABS($C499-$E499)&lt;=toleransKurus,"EGK-004",IF($C499&gt;egk_esikFark,"EGK-005","TANIMSIZ"))))))</f>
        <v/>
      </c>
    </row>
    <row r="500">
      <c r="A500" s="22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IF($A500="","",IFERROR(SUMIF(tblMotor[A_Norm],$A500,tblMotor[KomisyonTutar]),0))</f>
        <v/>
      </c>
      <c r="E500" s="16">
        <f>IF($A500="","",IFERROR(SUMIF(tblMotor[A_Norm],$A500,tblMotor[Kargo]),0))</f>
        <v/>
      </c>
      <c r="F500" s="16">
        <f>IF($A500="","",IFERROR(SUMIF(tblMotor[A_Norm],$A500,tblMotor[IadeMaliyet]),0))</f>
        <v/>
      </c>
      <c r="G500" s="16">
        <f>IF($A500="","",IFERROR(SUMIF(tblMotor[A_Norm],$A500,tblMotor[ReklamHarcama]),0))</f>
        <v/>
      </c>
      <c r="H500" s="16">
        <f>IF(OR($A500="",$B500&lt;&gt;"tutar_farki"),"",IF(ABS($C500-$D500)&lt;=toleransKurus,"EGK-001",IF(ABS($C500-$F500)&lt;=toleransKurus,"EGK-002",IF(ABS($C500-$G500)&lt;=toleransKurus,"EGK-003",IF(ABS($C500-$E500)&lt;=toleransKurus,"EGK-004",IF($C500&gt;egk_esikFark,"EGK-005","TANIMSIZ"))))))</f>
        <v/>
      </c>
    </row>
    <row r="501">
      <c r="A501" s="22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IF($A501="","",IFERROR(SUMIF(tblMotor[A_Norm],$A501,tblMotor[KomisyonTutar]),0))</f>
        <v/>
      </c>
      <c r="E501" s="16">
        <f>IF($A501="","",IFERROR(SUMIF(tblMotor[A_Norm],$A501,tblMotor[Kargo]),0))</f>
        <v/>
      </c>
      <c r="F501" s="16">
        <f>IF($A501="","",IFERROR(SUMIF(tblMotor[A_Norm],$A501,tblMotor[IadeMaliyet]),0))</f>
        <v/>
      </c>
      <c r="G501" s="16">
        <f>IF($A501="","",IFERROR(SUMIF(tblMotor[A_Norm],$A501,tblMotor[ReklamHarcama]),0))</f>
        <v/>
      </c>
      <c r="H501" s="16">
        <f>IF(OR($A501="",$B501&lt;&gt;"tutar_farki"),"",IF(ABS($C501-$D501)&lt;=toleransKurus,"EGK-001",IF(ABS($C501-$F501)&lt;=toleransKurus,"EGK-002",IF(ABS($C501-$G501)&lt;=toleransKurus,"EGK-003",IF(ABS($C501-$E501)&lt;=toleransKurus,"EGK-004",IF($C501&gt;egk_esikFark,"EGK-005","TANIMSIZ"))))))</f>
        <v/>
      </c>
    </row>
    <row r="502">
      <c r="A502" s="22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IF($A502="","",IFERROR(SUMIF(tblMotor[A_Norm],$A502,tblMotor[KomisyonTutar]),0))</f>
        <v/>
      </c>
      <c r="E502" s="16">
        <f>IF($A502="","",IFERROR(SUMIF(tblMotor[A_Norm],$A502,tblMotor[Kargo]),0))</f>
        <v/>
      </c>
      <c r="F502" s="16">
        <f>IF($A502="","",IFERROR(SUMIF(tblMotor[A_Norm],$A502,tblMotor[IadeMaliyet]),0))</f>
        <v/>
      </c>
      <c r="G502" s="16">
        <f>IF($A502="","",IFERROR(SUMIF(tblMotor[A_Norm],$A502,tblMotor[ReklamHarcama]),0))</f>
        <v/>
      </c>
      <c r="H502" s="16">
        <f>IF(OR($A502="",$B502&lt;&gt;"tutar_farki"),"",IF(ABS($C502-$D502)&lt;=toleransKurus,"EGK-001",IF(ABS($C502-$F502)&lt;=toleransKurus,"EGK-002",IF(ABS($C502-$G502)&lt;=toleransKurus,"EGK-003",IF(ABS($C502-$E502)&lt;=toleransKurus,"EGK-004",IF($C502&gt;egk_esikFark,"EGK-005","TANIMSIZ"))))))</f>
        <v/>
      </c>
    </row>
    <row r="503">
      <c r="A503" s="22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IF($A503="","",IFERROR(SUMIF(tblMotor[A_Norm],$A503,tblMotor[KomisyonTutar]),0))</f>
        <v/>
      </c>
      <c r="E503" s="16">
        <f>IF($A503="","",IFERROR(SUMIF(tblMotor[A_Norm],$A503,tblMotor[Kargo]),0))</f>
        <v/>
      </c>
      <c r="F503" s="16">
        <f>IF($A503="","",IFERROR(SUMIF(tblMotor[A_Norm],$A503,tblMotor[IadeMaliyet]),0))</f>
        <v/>
      </c>
      <c r="G503" s="16">
        <f>IF($A503="","",IFERROR(SUMIF(tblMotor[A_Norm],$A503,tblMotor[ReklamHarcama]),0))</f>
        <v/>
      </c>
      <c r="H503" s="16">
        <f>IF(OR($A503="",$B503&lt;&gt;"tutar_farki"),"",IF(ABS($C503-$D503)&lt;=toleransKurus,"EGK-001",IF(ABS($C503-$F503)&lt;=toleransKurus,"EGK-002",IF(ABS($C503-$G503)&lt;=toleransKurus,"EGK-003",IF(ABS($C503-$E503)&lt;=toleransKurus,"EGK-004",IF($C503&gt;egk_esikFark,"EGK-005","TANIMSIZ"))))))</f>
        <v/>
      </c>
    </row>
    <row r="504">
      <c r="A504" s="22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IF($A504="","",IFERROR(SUMIF(tblMotor[A_Norm],$A504,tblMotor[KomisyonTutar]),0))</f>
        <v/>
      </c>
      <c r="E504" s="16">
        <f>IF($A504="","",IFERROR(SUMIF(tblMotor[A_Norm],$A504,tblMotor[Kargo]),0))</f>
        <v/>
      </c>
      <c r="F504" s="16">
        <f>IF($A504="","",IFERROR(SUMIF(tblMotor[A_Norm],$A504,tblMotor[IadeMaliyet]),0))</f>
        <v/>
      </c>
      <c r="G504" s="16">
        <f>IF($A504="","",IFERROR(SUMIF(tblMotor[A_Norm],$A504,tblMotor[ReklamHarcama]),0))</f>
        <v/>
      </c>
      <c r="H504" s="16">
        <f>IF(OR($A504="",$B504&lt;&gt;"tutar_farki"),"",IF(ABS($C504-$D504)&lt;=toleransKurus,"EGK-001",IF(ABS($C504-$F504)&lt;=toleransKurus,"EGK-002",IF(ABS($C504-$G504)&lt;=toleransKurus,"EGK-003",IF(ABS($C504-$E504)&lt;=toleransKurus,"EGK-004",IF($C504&gt;egk_esikFark,"EGK-005","TANIMSIZ"))))))</f>
        <v/>
      </c>
    </row>
    <row r="505">
      <c r="A505" s="22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IF($A505="","",IFERROR(SUMIF(tblMotor[A_Norm],$A505,tblMotor[KomisyonTutar]),0))</f>
        <v/>
      </c>
      <c r="E505" s="16">
        <f>IF($A505="","",IFERROR(SUMIF(tblMotor[A_Norm],$A505,tblMotor[Kargo]),0))</f>
        <v/>
      </c>
      <c r="F505" s="16">
        <f>IF($A505="","",IFERROR(SUMIF(tblMotor[A_Norm],$A505,tblMotor[IadeMaliyet]),0))</f>
        <v/>
      </c>
      <c r="G505" s="16">
        <f>IF($A505="","",IFERROR(SUMIF(tblMotor[A_Norm],$A505,tblMotor[ReklamHarcama]),0))</f>
        <v/>
      </c>
      <c r="H505" s="16">
        <f>IF(OR($A505="",$B505&lt;&gt;"tutar_farki"),"",IF(ABS($C505-$D505)&lt;=toleransKurus,"EGK-001",IF(ABS($C505-$F505)&lt;=toleransKurus,"EGK-002",IF(ABS($C505-$G505)&lt;=toleransKurus,"EGK-003",IF(ABS($C505-$E505)&lt;=toleransKurus,"EGK-004",IF($C505&gt;egk_esikFark,"EGK-005","TANIMSIZ"))))))</f>
        <v/>
      </c>
    </row>
    <row r="506">
      <c r="A506" s="22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IF($A506="","",IFERROR(SUMIF(tblMotor[A_Norm],$A506,tblMotor[KomisyonTutar]),0))</f>
        <v/>
      </c>
      <c r="E506" s="16">
        <f>IF($A506="","",IFERROR(SUMIF(tblMotor[A_Norm],$A506,tblMotor[Kargo]),0))</f>
        <v/>
      </c>
      <c r="F506" s="16">
        <f>IF($A506="","",IFERROR(SUMIF(tblMotor[A_Norm],$A506,tblMotor[IadeMaliyet]),0))</f>
        <v/>
      </c>
      <c r="G506" s="16">
        <f>IF($A506="","",IFERROR(SUMIF(tblMotor[A_Norm],$A506,tblMotor[ReklamHarcama]),0))</f>
        <v/>
      </c>
      <c r="H506" s="16">
        <f>IF(OR($A506="",$B506&lt;&gt;"tutar_farki"),"",IF(ABS($C506-$D506)&lt;=toleransKurus,"EGK-001",IF(ABS($C506-$F506)&lt;=toleransKurus,"EGK-002",IF(ABS($C506-$G506)&lt;=toleransKurus,"EGK-003",IF(ABS($C506-$E506)&lt;=toleransKurus,"EGK-004",IF($C506&gt;egk_esikFark,"EGK-005","TANIMSIZ"))))))</f>
        <v/>
      </c>
    </row>
    <row r="507">
      <c r="A507" s="22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IF($A507="","",IFERROR(SUMIF(tblMotor[A_Norm],$A507,tblMotor[KomisyonTutar]),0))</f>
        <v/>
      </c>
      <c r="E507" s="16">
        <f>IF($A507="","",IFERROR(SUMIF(tblMotor[A_Norm],$A507,tblMotor[Kargo]),0))</f>
        <v/>
      </c>
      <c r="F507" s="16">
        <f>IF($A507="","",IFERROR(SUMIF(tblMotor[A_Norm],$A507,tblMotor[IadeMaliyet]),0))</f>
        <v/>
      </c>
      <c r="G507" s="16">
        <f>IF($A507="","",IFERROR(SUMIF(tblMotor[A_Norm],$A507,tblMotor[ReklamHarcama]),0))</f>
        <v/>
      </c>
      <c r="H507" s="16">
        <f>IF(OR($A507="",$B507&lt;&gt;"tutar_farki"),"",IF(ABS($C507-$D507)&lt;=toleransKurus,"EGK-001",IF(ABS($C507-$F507)&lt;=toleransKurus,"EGK-002",IF(ABS($C507-$G507)&lt;=toleransKurus,"EGK-003",IF(ABS($C507-$E507)&lt;=toleransKurus,"EGK-004",IF($C507&gt;egk_esikFark,"EGK-005","TANIMSIZ"))))))</f>
        <v/>
      </c>
    </row>
    <row r="508">
      <c r="A508" s="22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IF($A508="","",IFERROR(SUMIF(tblMotor[A_Norm],$A508,tblMotor[KomisyonTutar]),0))</f>
        <v/>
      </c>
      <c r="E508" s="16">
        <f>IF($A508="","",IFERROR(SUMIF(tblMotor[A_Norm],$A508,tblMotor[Kargo]),0))</f>
        <v/>
      </c>
      <c r="F508" s="16">
        <f>IF($A508="","",IFERROR(SUMIF(tblMotor[A_Norm],$A508,tblMotor[IadeMaliyet]),0))</f>
        <v/>
      </c>
      <c r="G508" s="16">
        <f>IF($A508="","",IFERROR(SUMIF(tblMotor[A_Norm],$A508,tblMotor[ReklamHarcama]),0))</f>
        <v/>
      </c>
      <c r="H508" s="16">
        <f>IF(OR($A508="",$B508&lt;&gt;"tutar_farki"),"",IF(ABS($C508-$D508)&lt;=toleransKurus,"EGK-001",IF(ABS($C508-$F508)&lt;=toleransKurus,"EGK-002",IF(ABS($C508-$G508)&lt;=toleransKurus,"EGK-003",IF(ABS($C508-$E508)&lt;=toleransKurus,"EGK-004",IF($C508&gt;egk_esikFark,"EGK-005","TANIMSIZ"))))))</f>
        <v/>
      </c>
    </row>
    <row r="509">
      <c r="A509" s="22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IF($A509="","",IFERROR(SUMIF(tblMotor[A_Norm],$A509,tblMotor[KomisyonTutar]),0))</f>
        <v/>
      </c>
      <c r="E509" s="16">
        <f>IF($A509="","",IFERROR(SUMIF(tblMotor[A_Norm],$A509,tblMotor[Kargo]),0))</f>
        <v/>
      </c>
      <c r="F509" s="16">
        <f>IF($A509="","",IFERROR(SUMIF(tblMotor[A_Norm],$A509,tblMotor[IadeMaliyet]),0))</f>
        <v/>
      </c>
      <c r="G509" s="16">
        <f>IF($A509="","",IFERROR(SUMIF(tblMotor[A_Norm],$A509,tblMotor[ReklamHarcama]),0))</f>
        <v/>
      </c>
      <c r="H509" s="16">
        <f>IF(OR($A509="",$B509&lt;&gt;"tutar_farki"),"",IF(ABS($C509-$D509)&lt;=toleransKurus,"EGK-001",IF(ABS($C509-$F509)&lt;=toleransKurus,"EGK-002",IF(ABS($C509-$G509)&lt;=toleransKurus,"EGK-003",IF(ABS($C509-$E509)&lt;=toleransKurus,"EGK-004",IF($C509&gt;egk_esikFark,"EGK-005","TANIMSIZ"))))))</f>
        <v/>
      </c>
    </row>
    <row r="510">
      <c r="A510" s="22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IF($A510="","",IFERROR(SUMIF(tblMotor[A_Norm],$A510,tblMotor[KomisyonTutar]),0))</f>
        <v/>
      </c>
      <c r="E510" s="16">
        <f>IF($A510="","",IFERROR(SUMIF(tblMotor[A_Norm],$A510,tblMotor[Kargo]),0))</f>
        <v/>
      </c>
      <c r="F510" s="16">
        <f>IF($A510="","",IFERROR(SUMIF(tblMotor[A_Norm],$A510,tblMotor[IadeMaliyet]),0))</f>
        <v/>
      </c>
      <c r="G510" s="16">
        <f>IF($A510="","",IFERROR(SUMIF(tblMotor[A_Norm],$A510,tblMotor[ReklamHarcama]),0))</f>
        <v/>
      </c>
      <c r="H510" s="16">
        <f>IF(OR($A510="",$B510&lt;&gt;"tutar_farki"),"",IF(ABS($C510-$D510)&lt;=toleransKurus,"EGK-001",IF(ABS($C510-$F510)&lt;=toleransKurus,"EGK-002",IF(ABS($C510-$G510)&lt;=toleransKurus,"EGK-003",IF(ABS($C510-$E510)&lt;=toleransKurus,"EGK-004",IF($C510&gt;egk_esikFark,"EGK-005","TANIMSIZ"))))))</f>
        <v/>
      </c>
    </row>
    <row r="511">
      <c r="A511" s="22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IF($A511="","",IFERROR(SUMIF(tblMotor[A_Norm],$A511,tblMotor[KomisyonTutar]),0))</f>
        <v/>
      </c>
      <c r="E511" s="16">
        <f>IF($A511="","",IFERROR(SUMIF(tblMotor[A_Norm],$A511,tblMotor[Kargo]),0))</f>
        <v/>
      </c>
      <c r="F511" s="16">
        <f>IF($A511="","",IFERROR(SUMIF(tblMotor[A_Norm],$A511,tblMotor[IadeMaliyet]),0))</f>
        <v/>
      </c>
      <c r="G511" s="16">
        <f>IF($A511="","",IFERROR(SUMIF(tblMotor[A_Norm],$A511,tblMotor[ReklamHarcama]),0))</f>
        <v/>
      </c>
      <c r="H511" s="16">
        <f>IF(OR($A511="",$B511&lt;&gt;"tutar_farki"),"",IF(ABS($C511-$D511)&lt;=toleransKurus,"EGK-001",IF(ABS($C511-$F511)&lt;=toleransKurus,"EGK-002",IF(ABS($C511-$G511)&lt;=toleransKurus,"EGK-003",IF(ABS($C511-$E511)&lt;=toleransKurus,"EGK-004",IF($C511&gt;egk_esikFark,"EGK-005","TANIMSIZ"))))))</f>
        <v/>
      </c>
    </row>
    <row r="512">
      <c r="A512" s="22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IF($A512="","",IFERROR(SUMIF(tblMotor[A_Norm],$A512,tblMotor[KomisyonTutar]),0))</f>
        <v/>
      </c>
      <c r="E512" s="16">
        <f>IF($A512="","",IFERROR(SUMIF(tblMotor[A_Norm],$A512,tblMotor[Kargo]),0))</f>
        <v/>
      </c>
      <c r="F512" s="16">
        <f>IF($A512="","",IFERROR(SUMIF(tblMotor[A_Norm],$A512,tblMotor[IadeMaliyet]),0))</f>
        <v/>
      </c>
      <c r="G512" s="16">
        <f>IF($A512="","",IFERROR(SUMIF(tblMotor[A_Norm],$A512,tblMotor[ReklamHarcama]),0))</f>
        <v/>
      </c>
      <c r="H512" s="16">
        <f>IF(OR($A512="",$B512&lt;&gt;"tutar_farki"),"",IF(ABS($C512-$D512)&lt;=toleransKurus,"EGK-001",IF(ABS($C512-$F512)&lt;=toleransKurus,"EGK-002",IF(ABS($C512-$G512)&lt;=toleransKurus,"EGK-003",IF(ABS($C512-$E512)&lt;=toleransKurus,"EGK-004",IF($C512&gt;egk_esikFark,"EGK-005","TANIMSIZ"))))))</f>
        <v/>
      </c>
    </row>
    <row r="513">
      <c r="A513" s="22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IF($A513="","",IFERROR(SUMIF(tblMotor[A_Norm],$A513,tblMotor[KomisyonTutar]),0))</f>
        <v/>
      </c>
      <c r="E513" s="16">
        <f>IF($A513="","",IFERROR(SUMIF(tblMotor[A_Norm],$A513,tblMotor[Kargo]),0))</f>
        <v/>
      </c>
      <c r="F513" s="16">
        <f>IF($A513="","",IFERROR(SUMIF(tblMotor[A_Norm],$A513,tblMotor[IadeMaliyet]),0))</f>
        <v/>
      </c>
      <c r="G513" s="16">
        <f>IF($A513="","",IFERROR(SUMIF(tblMotor[A_Norm],$A513,tblMotor[ReklamHarcama]),0))</f>
        <v/>
      </c>
      <c r="H513" s="16">
        <f>IF(OR($A513="",$B513&lt;&gt;"tutar_farki"),"",IF(ABS($C513-$D513)&lt;=toleransKurus,"EGK-001",IF(ABS($C513-$F513)&lt;=toleransKurus,"EGK-002",IF(ABS($C513-$G513)&lt;=toleransKurus,"EGK-003",IF(ABS($C513-$E513)&lt;=toleransKurus,"EGK-004",IF($C513&gt;egk_esikFark,"EGK-005","TANIMSIZ"))))))</f>
        <v/>
      </c>
    </row>
    <row r="514">
      <c r="A514" s="22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IF($A514="","",IFERROR(SUMIF(tblMotor[A_Norm],$A514,tblMotor[KomisyonTutar]),0))</f>
        <v/>
      </c>
      <c r="E514" s="16">
        <f>IF($A514="","",IFERROR(SUMIF(tblMotor[A_Norm],$A514,tblMotor[Kargo]),0))</f>
        <v/>
      </c>
      <c r="F514" s="16">
        <f>IF($A514="","",IFERROR(SUMIF(tblMotor[A_Norm],$A514,tblMotor[IadeMaliyet]),0))</f>
        <v/>
      </c>
      <c r="G514" s="16">
        <f>IF($A514="","",IFERROR(SUMIF(tblMotor[A_Norm],$A514,tblMotor[ReklamHarcama]),0))</f>
        <v/>
      </c>
      <c r="H514" s="16">
        <f>IF(OR($A514="",$B514&lt;&gt;"tutar_farki"),"",IF(ABS($C514-$D514)&lt;=toleransKurus,"EGK-001",IF(ABS($C514-$F514)&lt;=toleransKurus,"EGK-002",IF(ABS($C514-$G514)&lt;=toleransKurus,"EGK-003",IF(ABS($C514-$E514)&lt;=toleransKurus,"EGK-004",IF($C514&gt;egk_esikFark,"EGK-005","TANIMSIZ"))))))</f>
        <v/>
      </c>
    </row>
    <row r="515">
      <c r="A515" s="22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IF($A515="","",IFERROR(SUMIF(tblMotor[A_Norm],$A515,tblMotor[KomisyonTutar]),0))</f>
        <v/>
      </c>
      <c r="E515" s="16">
        <f>IF($A515="","",IFERROR(SUMIF(tblMotor[A_Norm],$A515,tblMotor[Kargo]),0))</f>
        <v/>
      </c>
      <c r="F515" s="16">
        <f>IF($A515="","",IFERROR(SUMIF(tblMotor[A_Norm],$A515,tblMotor[IadeMaliyet]),0))</f>
        <v/>
      </c>
      <c r="G515" s="16">
        <f>IF($A515="","",IFERROR(SUMIF(tblMotor[A_Norm],$A515,tblMotor[ReklamHarcama]),0))</f>
        <v/>
      </c>
      <c r="H515" s="16">
        <f>IF(OR($A515="",$B515&lt;&gt;"tutar_farki"),"",IF(ABS($C515-$D515)&lt;=toleransKurus,"EGK-001",IF(ABS($C515-$F515)&lt;=toleransKurus,"EGK-002",IF(ABS($C515-$G515)&lt;=toleransKurus,"EGK-003",IF(ABS($C515-$E515)&lt;=toleransKurus,"EGK-004",IF($C515&gt;egk_esikFark,"EGK-005","TANIMSIZ")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"EGK-001"</formula>
    </cfRule>
    <cfRule type="cellIs" priority="3" operator="equal" dxfId="0">
      <formula>"EGK-002"</formula>
    </cfRule>
    <cfRule type="cellIs" priority="4" operator="equal" dxfId="0">
      <formula>"EGK-003"</formula>
    </cfRule>
    <cfRule type="cellIs" priority="5" operator="equal" dxfId="0">
      <formula>"EGK-004"</formula>
    </cfRule>
    <cfRule type="cellIs" priority="6" operator="equal" dxfId="0">
      <formula>"EGK-005"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E-Ticaret Gerçek Kârlılık &amp; Fiyatlama</t>
        </is>
      </c>
    </row>
    <row r="3" ht="20" customHeight="1">
      <c r="A3" s="10" t="inlineStr">
        <is>
          <t>Fiyat aksiyon metni — tutar farkı satırları için kopyalanabilir</t>
        </is>
      </c>
    </row>
    <row r="5" ht="30" customHeight="1">
      <c r="A5" s="12" t="inlineStr">
        <is>
          <t>A_Norm</t>
        </is>
      </c>
      <c r="B5" s="12" t="inlineStr">
        <is>
          <t>NetKar</t>
        </is>
      </c>
      <c r="C5" s="12" t="inlineStr">
        <is>
          <t>Basabas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6">
        <f>IF('ESLESTIRME'!$A6="","",IF('ESLESTIRME'!$G6="tutar_farki",'ESLESTIRME'!$A6,""))</f>
        <v/>
      </c>
      <c r="B6" s="16">
        <f>IF($A6="","",IFERROR(SUMIF(tblMotor[A_Norm],$A6,tblMotor[NetKar]),0))</f>
        <v/>
      </c>
      <c r="C6" s="16">
        <f>IF($A6="","",IFERROR(SUMIF(tblMotor[A_Norm],$A6,tblMotor[BasabasFiyat]),0))</f>
        <v/>
      </c>
      <c r="D6" s="16">
        <f>IF($A6="","",IFERROR(INDEX(tblMotor[KararSatir],MATCH($A6,tblMotor[A_Norm],0)),""))</f>
        <v/>
      </c>
      <c r="E6" s="16">
        <f>IF($A6="","",IF($B6&lt;0,"YUKSEK","NORMAL"))</f>
        <v/>
      </c>
      <c r="F6" s="16">
        <f>IF($A6="","",_xlfn.TEXTJOIN(" ",TRUE,"SKU",$A6,"karar",$D6,"net",TEXT($B6,"0.00"),"başabaş",TEXT($C6,"0.00"),"TL"))</f>
        <v/>
      </c>
    </row>
    <row r="7">
      <c r="A7" s="16">
        <f>IF('ESLESTIRME'!$A7="","",IF('ESLESTIRME'!$G7="tutar_farki",'ESLESTIRME'!$A7,""))</f>
        <v/>
      </c>
      <c r="B7" s="16">
        <f>IF($A7="","",IFERROR(SUMIF(tblMotor[A_Norm],$A7,tblMotor[NetKar]),0))</f>
        <v/>
      </c>
      <c r="C7" s="16">
        <f>IF($A7="","",IFERROR(SUMIF(tblMotor[A_Norm],$A7,tblMotor[BasabasFiyat]),0))</f>
        <v/>
      </c>
      <c r="D7" s="16">
        <f>IF($A7="","",IFERROR(INDEX(tblMotor[KararSatir],MATCH($A7,tblMotor[A_Norm],0)),""))</f>
        <v/>
      </c>
      <c r="E7" s="16">
        <f>IF($A7="","",IF($B7&lt;0,"YUKSEK","NORMAL"))</f>
        <v/>
      </c>
      <c r="F7" s="16">
        <f>IF($A7="","",_xlfn.TEXTJOIN(" ",TRUE,"SKU",$A7,"karar",$D7,"net",TEXT($B7,"0.00"),"başabaş",TEXT($C7,"0.00"),"TL"))</f>
        <v/>
      </c>
    </row>
    <row r="8">
      <c r="A8" s="16">
        <f>IF('ESLESTIRME'!$A8="","",IF('ESLESTIRME'!$G8="tutar_farki",'ESLESTIRME'!$A8,""))</f>
        <v/>
      </c>
      <c r="B8" s="16">
        <f>IF($A8="","",IFERROR(SUMIF(tblMotor[A_Norm],$A8,tblMotor[NetKar]),0))</f>
        <v/>
      </c>
      <c r="C8" s="16">
        <f>IF($A8="","",IFERROR(SUMIF(tblMotor[A_Norm],$A8,tblMotor[BasabasFiyat]),0))</f>
        <v/>
      </c>
      <c r="D8" s="16">
        <f>IF($A8="","",IFERROR(INDEX(tblMotor[KararSatir],MATCH($A8,tblMotor[A_Norm],0)),""))</f>
        <v/>
      </c>
      <c r="E8" s="16">
        <f>IF($A8="","",IF($B8&lt;0,"YUKSEK","NORMAL"))</f>
        <v/>
      </c>
      <c r="F8" s="16">
        <f>IF($A8="","",_xlfn.TEXTJOIN(" ",TRUE,"SKU",$A8,"karar",$D8,"net",TEXT($B8,"0.00"),"başabaş",TEXT($C8,"0.00"),"TL"))</f>
        <v/>
      </c>
    </row>
    <row r="9">
      <c r="A9" s="16">
        <f>IF('ESLESTIRME'!$A9="","",IF('ESLESTIRME'!$G9="tutar_farki",'ESLESTIRME'!$A9,""))</f>
        <v/>
      </c>
      <c r="B9" s="16">
        <f>IF($A9="","",IFERROR(SUMIF(tblMotor[A_Norm],$A9,tblMotor[NetKar]),0))</f>
        <v/>
      </c>
      <c r="C9" s="16">
        <f>IF($A9="","",IFERROR(SUMIF(tblMotor[A_Norm],$A9,tblMotor[BasabasFiyat]),0))</f>
        <v/>
      </c>
      <c r="D9" s="16">
        <f>IF($A9="","",IFERROR(INDEX(tblMotor[KararSatir],MATCH($A9,tblMotor[A_Norm],0)),""))</f>
        <v/>
      </c>
      <c r="E9" s="16">
        <f>IF($A9="","",IF($B9&lt;0,"YUKSEK","NORMAL"))</f>
        <v/>
      </c>
      <c r="F9" s="16">
        <f>IF($A9="","",_xlfn.TEXTJOIN(" ",TRUE,"SKU",$A9,"karar",$D9,"net",TEXT($B9,"0.00"),"başabaş",TEXT($C9,"0.00"),"TL"))</f>
        <v/>
      </c>
    </row>
    <row r="10">
      <c r="A10" s="16">
        <f>IF('ESLESTIRME'!$A10="","",IF('ESLESTIRME'!$G10="tutar_farki",'ESLESTIRME'!$A10,""))</f>
        <v/>
      </c>
      <c r="B10" s="16">
        <f>IF($A10="","",IFERROR(SUMIF(tblMotor[A_Norm],$A10,tblMotor[NetKar]),0))</f>
        <v/>
      </c>
      <c r="C10" s="16">
        <f>IF($A10="","",IFERROR(SUMIF(tblMotor[A_Norm],$A10,tblMotor[BasabasFiyat]),0))</f>
        <v/>
      </c>
      <c r="D10" s="16">
        <f>IF($A10="","",IFERROR(INDEX(tblMotor[KararSatir],MATCH($A10,tblMotor[A_Norm],0)),""))</f>
        <v/>
      </c>
      <c r="E10" s="16">
        <f>IF($A10="","",IF($B10&lt;0,"YUKSEK","NORMAL"))</f>
        <v/>
      </c>
      <c r="F10" s="16">
        <f>IF($A10="","",_xlfn.TEXTJOIN(" ",TRUE,"SKU",$A10,"karar",$D10,"net",TEXT($B10,"0.00"),"başabaş",TEXT($C10,"0.00"),"TL"))</f>
        <v/>
      </c>
    </row>
    <row r="11">
      <c r="A11" s="16">
        <f>IF('ESLESTIRME'!$A11="","",IF('ESLESTIRME'!$G11="tutar_farki",'ESLESTIRME'!$A11,""))</f>
        <v/>
      </c>
      <c r="B11" s="16">
        <f>IF($A11="","",IFERROR(SUMIF(tblMotor[A_Norm],$A11,tblMotor[NetKar]),0))</f>
        <v/>
      </c>
      <c r="C11" s="16">
        <f>IF($A11="","",IFERROR(SUMIF(tblMotor[A_Norm],$A11,tblMotor[BasabasFiyat]),0))</f>
        <v/>
      </c>
      <c r="D11" s="16">
        <f>IF($A11="","",IFERROR(INDEX(tblMotor[KararSatir],MATCH($A11,tblMotor[A_Norm],0)),""))</f>
        <v/>
      </c>
      <c r="E11" s="16">
        <f>IF($A11="","",IF($B11&lt;0,"YUKSEK","NORMAL"))</f>
        <v/>
      </c>
      <c r="F11" s="16">
        <f>IF($A11="","",_xlfn.TEXTJOIN(" ",TRUE,"SKU",$A11,"karar",$D11,"net",TEXT($B11,"0.00"),"başabaş",TEXT($C11,"0.00"),"TL"))</f>
        <v/>
      </c>
    </row>
    <row r="12">
      <c r="A12" s="16">
        <f>IF('ESLESTIRME'!$A12="","",IF('ESLESTIRME'!$G12="tutar_farki",'ESLESTIRME'!$A12,""))</f>
        <v/>
      </c>
      <c r="B12" s="16">
        <f>IF($A12="","",IFERROR(SUMIF(tblMotor[A_Norm],$A12,tblMotor[NetKar]),0))</f>
        <v/>
      </c>
      <c r="C12" s="16">
        <f>IF($A12="","",IFERROR(SUMIF(tblMotor[A_Norm],$A12,tblMotor[BasabasFiyat]),0))</f>
        <v/>
      </c>
      <c r="D12" s="16">
        <f>IF($A12="","",IFERROR(INDEX(tblMotor[KararSatir],MATCH($A12,tblMotor[A_Norm],0)),""))</f>
        <v/>
      </c>
      <c r="E12" s="16">
        <f>IF($A12="","",IF($B12&lt;0,"YUKSEK","NORMAL"))</f>
        <v/>
      </c>
      <c r="F12" s="16">
        <f>IF($A12="","",_xlfn.TEXTJOIN(" ",TRUE,"SKU",$A12,"karar",$D12,"net",TEXT($B12,"0.00"),"başabaş",TEXT($C12,"0.00"),"TL"))</f>
        <v/>
      </c>
    </row>
    <row r="13">
      <c r="A13" s="16">
        <f>IF('ESLESTIRME'!$A13="","",IF('ESLESTIRME'!$G13="tutar_farki",'ESLESTIRME'!$A13,""))</f>
        <v/>
      </c>
      <c r="B13" s="16">
        <f>IF($A13="","",IFERROR(SUMIF(tblMotor[A_Norm],$A13,tblMotor[NetKar]),0))</f>
        <v/>
      </c>
      <c r="C13" s="16">
        <f>IF($A13="","",IFERROR(SUMIF(tblMotor[A_Norm],$A13,tblMotor[BasabasFiyat]),0))</f>
        <v/>
      </c>
      <c r="D13" s="16">
        <f>IF($A13="","",IFERROR(INDEX(tblMotor[KararSatir],MATCH($A13,tblMotor[A_Norm],0)),""))</f>
        <v/>
      </c>
      <c r="E13" s="16">
        <f>IF($A13="","",IF($B13&lt;0,"YUKSEK","NORMAL"))</f>
        <v/>
      </c>
      <c r="F13" s="16">
        <f>IF($A13="","",_xlfn.TEXTJOIN(" ",TRUE,"SKU",$A13,"karar",$D13,"net",TEXT($B13,"0.00"),"başabaş",TEXT($C13,"0.00"),"TL"))</f>
        <v/>
      </c>
    </row>
    <row r="14">
      <c r="A14" s="16">
        <f>IF('ESLESTIRME'!$A14="","",IF('ESLESTIRME'!$G14="tutar_farki",'ESLESTIRME'!$A14,""))</f>
        <v/>
      </c>
      <c r="B14" s="16">
        <f>IF($A14="","",IFERROR(SUMIF(tblMotor[A_Norm],$A14,tblMotor[NetKar]),0))</f>
        <v/>
      </c>
      <c r="C14" s="16">
        <f>IF($A14="","",IFERROR(SUMIF(tblMotor[A_Norm],$A14,tblMotor[BasabasFiyat]),0))</f>
        <v/>
      </c>
      <c r="D14" s="16">
        <f>IF($A14="","",IFERROR(INDEX(tblMotor[KararSatir],MATCH($A14,tblMotor[A_Norm],0)),""))</f>
        <v/>
      </c>
      <c r="E14" s="16">
        <f>IF($A14="","",IF($B14&lt;0,"YUKSEK","NORMAL"))</f>
        <v/>
      </c>
      <c r="F14" s="16">
        <f>IF($A14="","",_xlfn.TEXTJOIN(" ",TRUE,"SKU",$A14,"karar",$D14,"net",TEXT($B14,"0.00"),"başabaş",TEXT($C14,"0.00"),"TL"))</f>
        <v/>
      </c>
    </row>
    <row r="15">
      <c r="A15" s="16">
        <f>IF('ESLESTIRME'!$A15="","",IF('ESLESTIRME'!$G15="tutar_farki",'ESLESTIRME'!$A15,""))</f>
        <v/>
      </c>
      <c r="B15" s="16">
        <f>IF($A15="","",IFERROR(SUMIF(tblMotor[A_Norm],$A15,tblMotor[NetKar]),0))</f>
        <v/>
      </c>
      <c r="C15" s="16">
        <f>IF($A15="","",IFERROR(SUMIF(tblMotor[A_Norm],$A15,tblMotor[BasabasFiyat]),0))</f>
        <v/>
      </c>
      <c r="D15" s="16">
        <f>IF($A15="","",IFERROR(INDEX(tblMotor[KararSatir],MATCH($A15,tblMotor[A_Norm],0)),""))</f>
        <v/>
      </c>
      <c r="E15" s="16">
        <f>IF($A15="","",IF($B15&lt;0,"YUKSEK","NORMAL"))</f>
        <v/>
      </c>
      <c r="F15" s="16">
        <f>IF($A15="","",_xlfn.TEXTJOIN(" ",TRUE,"SKU",$A15,"karar",$D15,"net",TEXT($B15,"0.00"),"başabaş",TEXT($C15,"0.00"),"TL"))</f>
        <v/>
      </c>
    </row>
    <row r="16">
      <c r="A16" s="16">
        <f>IF('ESLESTIRME'!$A16="","",IF('ESLESTIRME'!$G16="tutar_farki",'ESLESTIRME'!$A16,""))</f>
        <v/>
      </c>
      <c r="B16" s="16">
        <f>IF($A16="","",IFERROR(SUMIF(tblMotor[A_Norm],$A16,tblMotor[NetKar]),0))</f>
        <v/>
      </c>
      <c r="C16" s="16">
        <f>IF($A16="","",IFERROR(SUMIF(tblMotor[A_Norm],$A16,tblMotor[BasabasFiyat]),0))</f>
        <v/>
      </c>
      <c r="D16" s="16">
        <f>IF($A16="","",IFERROR(INDEX(tblMotor[KararSatir],MATCH($A16,tblMotor[A_Norm],0)),""))</f>
        <v/>
      </c>
      <c r="E16" s="16">
        <f>IF($A16="","",IF($B16&lt;0,"YUKSEK","NORMAL"))</f>
        <v/>
      </c>
      <c r="F16" s="16">
        <f>IF($A16="","",_xlfn.TEXTJOIN(" ",TRUE,"SKU",$A16,"karar",$D16,"net",TEXT($B16,"0.00"),"başabaş",TEXT($C16,"0.00"),"TL"))</f>
        <v/>
      </c>
    </row>
    <row r="17">
      <c r="A17" s="16">
        <f>IF('ESLESTIRME'!$A17="","",IF('ESLESTIRME'!$G17="tutar_farki",'ESLESTIRME'!$A17,""))</f>
        <v/>
      </c>
      <c r="B17" s="16">
        <f>IF($A17="","",IFERROR(SUMIF(tblMotor[A_Norm],$A17,tblMotor[NetKar]),0))</f>
        <v/>
      </c>
      <c r="C17" s="16">
        <f>IF($A17="","",IFERROR(SUMIF(tblMotor[A_Norm],$A17,tblMotor[BasabasFiyat]),0))</f>
        <v/>
      </c>
      <c r="D17" s="16">
        <f>IF($A17="","",IFERROR(INDEX(tblMotor[KararSatir],MATCH($A17,tblMotor[A_Norm],0)),""))</f>
        <v/>
      </c>
      <c r="E17" s="16">
        <f>IF($A17="","",IF($B17&lt;0,"YUKSEK","NORMAL"))</f>
        <v/>
      </c>
      <c r="F17" s="16">
        <f>IF($A17="","",_xlfn.TEXTJOIN(" ",TRUE,"SKU",$A17,"karar",$D17,"net",TEXT($B17,"0.00"),"başabaş",TEXT($C17,"0.00"),"TL"))</f>
        <v/>
      </c>
    </row>
    <row r="18">
      <c r="A18" s="16">
        <f>IF('ESLESTIRME'!$A18="","",IF('ESLESTIRME'!$G18="tutar_farki",'ESLESTIRME'!$A18,""))</f>
        <v/>
      </c>
      <c r="B18" s="16">
        <f>IF($A18="","",IFERROR(SUMIF(tblMotor[A_Norm],$A18,tblMotor[NetKar]),0))</f>
        <v/>
      </c>
      <c r="C18" s="16">
        <f>IF($A18="","",IFERROR(SUMIF(tblMotor[A_Norm],$A18,tblMotor[BasabasFiyat]),0))</f>
        <v/>
      </c>
      <c r="D18" s="16">
        <f>IF($A18="","",IFERROR(INDEX(tblMotor[KararSatir],MATCH($A18,tblMotor[A_Norm],0)),""))</f>
        <v/>
      </c>
      <c r="E18" s="16">
        <f>IF($A18="","",IF($B18&lt;0,"YUKSEK","NORMAL"))</f>
        <v/>
      </c>
      <c r="F18" s="16">
        <f>IF($A18="","",_xlfn.TEXTJOIN(" ",TRUE,"SKU",$A18,"karar",$D18,"net",TEXT($B18,"0.00"),"başabaş",TEXT($C18,"0.00"),"TL"))</f>
        <v/>
      </c>
    </row>
    <row r="19">
      <c r="A19" s="16">
        <f>IF('ESLESTIRME'!$A19="","",IF('ESLESTIRME'!$G19="tutar_farki",'ESLESTIRME'!$A19,""))</f>
        <v/>
      </c>
      <c r="B19" s="16">
        <f>IF($A19="","",IFERROR(SUMIF(tblMotor[A_Norm],$A19,tblMotor[NetKar]),0))</f>
        <v/>
      </c>
      <c r="C19" s="16">
        <f>IF($A19="","",IFERROR(SUMIF(tblMotor[A_Norm],$A19,tblMotor[BasabasFiyat]),0))</f>
        <v/>
      </c>
      <c r="D19" s="16">
        <f>IF($A19="","",IFERROR(INDEX(tblMotor[KararSatir],MATCH($A19,tblMotor[A_Norm],0)),""))</f>
        <v/>
      </c>
      <c r="E19" s="16">
        <f>IF($A19="","",IF($B19&lt;0,"YUKSEK","NORMAL"))</f>
        <v/>
      </c>
      <c r="F19" s="16">
        <f>IF($A19="","",_xlfn.TEXTJOIN(" ",TRUE,"SKU",$A19,"karar",$D19,"net",TEXT($B19,"0.00"),"başabaş",TEXT($C19,"0.00"),"TL"))</f>
        <v/>
      </c>
    </row>
    <row r="20">
      <c r="A20" s="16">
        <f>IF('ESLESTIRME'!$A20="","",IF('ESLESTIRME'!$G20="tutar_farki",'ESLESTIRME'!$A20,""))</f>
        <v/>
      </c>
      <c r="B20" s="16">
        <f>IF($A20="","",IFERROR(SUMIF(tblMotor[A_Norm],$A20,tblMotor[NetKar]),0))</f>
        <v/>
      </c>
      <c r="C20" s="16">
        <f>IF($A20="","",IFERROR(SUMIF(tblMotor[A_Norm],$A20,tblMotor[BasabasFiyat]),0))</f>
        <v/>
      </c>
      <c r="D20" s="16">
        <f>IF($A20="","",IFERROR(INDEX(tblMotor[KararSatir],MATCH($A20,tblMotor[A_Norm],0)),""))</f>
        <v/>
      </c>
      <c r="E20" s="16">
        <f>IF($A20="","",IF($B20&lt;0,"YUKSEK","NORMAL"))</f>
        <v/>
      </c>
      <c r="F20" s="16">
        <f>IF($A20="","",_xlfn.TEXTJOIN(" ",TRUE,"SKU",$A20,"karar",$D20,"net",TEXT($B20,"0.00"),"başabaş",TEXT($C20,"0.00"),"TL"))</f>
        <v/>
      </c>
    </row>
    <row r="21">
      <c r="A21" s="16">
        <f>IF('ESLESTIRME'!$A21="","",IF('ESLESTIRME'!$G21="tutar_farki",'ESLESTIRME'!$A21,""))</f>
        <v/>
      </c>
      <c r="B21" s="16">
        <f>IF($A21="","",IFERROR(SUMIF(tblMotor[A_Norm],$A21,tblMotor[NetKar]),0))</f>
        <v/>
      </c>
      <c r="C21" s="16">
        <f>IF($A21="","",IFERROR(SUMIF(tblMotor[A_Norm],$A21,tblMotor[BasabasFiyat]),0))</f>
        <v/>
      </c>
      <c r="D21" s="16">
        <f>IF($A21="","",IFERROR(INDEX(tblMotor[KararSatir],MATCH($A21,tblMotor[A_Norm],0)),""))</f>
        <v/>
      </c>
      <c r="E21" s="16">
        <f>IF($A21="","",IF($B21&lt;0,"YUKSEK","NORMAL"))</f>
        <v/>
      </c>
      <c r="F21" s="16">
        <f>IF($A21="","",_xlfn.TEXTJOIN(" ",TRUE,"SKU",$A21,"karar",$D21,"net",TEXT($B21,"0.00"),"başabaş",TEXT($C21,"0.00"),"TL"))</f>
        <v/>
      </c>
    </row>
    <row r="22">
      <c r="A22" s="16">
        <f>IF('ESLESTIRME'!$A22="","",IF('ESLESTIRME'!$G22="tutar_farki",'ESLESTIRME'!$A22,""))</f>
        <v/>
      </c>
      <c r="B22" s="16">
        <f>IF($A22="","",IFERROR(SUMIF(tblMotor[A_Norm],$A22,tblMotor[NetKar]),0))</f>
        <v/>
      </c>
      <c r="C22" s="16">
        <f>IF($A22="","",IFERROR(SUMIF(tblMotor[A_Norm],$A22,tblMotor[BasabasFiyat]),0))</f>
        <v/>
      </c>
      <c r="D22" s="16">
        <f>IF($A22="","",IFERROR(INDEX(tblMotor[KararSatir],MATCH($A22,tblMotor[A_Norm],0)),""))</f>
        <v/>
      </c>
      <c r="E22" s="16">
        <f>IF($A22="","",IF($B22&lt;0,"YUKSEK","NORMAL"))</f>
        <v/>
      </c>
      <c r="F22" s="16">
        <f>IF($A22="","",_xlfn.TEXTJOIN(" ",TRUE,"SKU",$A22,"karar",$D22,"net",TEXT($B22,"0.00"),"başabaş",TEXT($C22,"0.00"),"TL"))</f>
        <v/>
      </c>
    </row>
    <row r="23">
      <c r="A23" s="16">
        <f>IF('ESLESTIRME'!$A23="","",IF('ESLESTIRME'!$G23="tutar_farki",'ESLESTIRME'!$A23,""))</f>
        <v/>
      </c>
      <c r="B23" s="16">
        <f>IF($A23="","",IFERROR(SUMIF(tblMotor[A_Norm],$A23,tblMotor[NetKar]),0))</f>
        <v/>
      </c>
      <c r="C23" s="16">
        <f>IF($A23="","",IFERROR(SUMIF(tblMotor[A_Norm],$A23,tblMotor[BasabasFiyat]),0))</f>
        <v/>
      </c>
      <c r="D23" s="16">
        <f>IF($A23="","",IFERROR(INDEX(tblMotor[KararSatir],MATCH($A23,tblMotor[A_Norm],0)),""))</f>
        <v/>
      </c>
      <c r="E23" s="16">
        <f>IF($A23="","",IF($B23&lt;0,"YUKSEK","NORMAL"))</f>
        <v/>
      </c>
      <c r="F23" s="16">
        <f>IF($A23="","",_xlfn.TEXTJOIN(" ",TRUE,"SKU",$A23,"karar",$D23,"net",TEXT($B23,"0.00"),"başabaş",TEXT($C23,"0.00"),"TL"))</f>
        <v/>
      </c>
    </row>
    <row r="24">
      <c r="A24" s="16">
        <f>IF('ESLESTIRME'!$A24="","",IF('ESLESTIRME'!$G24="tutar_farki",'ESLESTIRME'!$A24,""))</f>
        <v/>
      </c>
      <c r="B24" s="16">
        <f>IF($A24="","",IFERROR(SUMIF(tblMotor[A_Norm],$A24,tblMotor[NetKar]),0))</f>
        <v/>
      </c>
      <c r="C24" s="16">
        <f>IF($A24="","",IFERROR(SUMIF(tblMotor[A_Norm],$A24,tblMotor[BasabasFiyat]),0))</f>
        <v/>
      </c>
      <c r="D24" s="16">
        <f>IF($A24="","",IFERROR(INDEX(tblMotor[KararSatir],MATCH($A24,tblMotor[A_Norm],0)),""))</f>
        <v/>
      </c>
      <c r="E24" s="16">
        <f>IF($A24="","",IF($B24&lt;0,"YUKSEK","NORMAL"))</f>
        <v/>
      </c>
      <c r="F24" s="16">
        <f>IF($A24="","",_xlfn.TEXTJOIN(" ",TRUE,"SKU",$A24,"karar",$D24,"net",TEXT($B24,"0.00"),"başabaş",TEXT($C24,"0.00"),"TL"))</f>
        <v/>
      </c>
    </row>
    <row r="25">
      <c r="A25" s="16">
        <f>IF('ESLESTIRME'!$A25="","",IF('ESLESTIRME'!$G25="tutar_farki",'ESLESTIRME'!$A25,""))</f>
        <v/>
      </c>
      <c r="B25" s="16">
        <f>IF($A25="","",IFERROR(SUMIF(tblMotor[A_Norm],$A25,tblMotor[NetKar]),0))</f>
        <v/>
      </c>
      <c r="C25" s="16">
        <f>IF($A25="","",IFERROR(SUMIF(tblMotor[A_Norm],$A25,tblMotor[BasabasFiyat]),0))</f>
        <v/>
      </c>
      <c r="D25" s="16">
        <f>IF($A25="","",IFERROR(INDEX(tblMotor[KararSatir],MATCH($A25,tblMotor[A_Norm],0)),""))</f>
        <v/>
      </c>
      <c r="E25" s="16">
        <f>IF($A25="","",IF($B25&lt;0,"YUKSEK","NORMAL"))</f>
        <v/>
      </c>
      <c r="F25" s="16">
        <f>IF($A25="","",_xlfn.TEXTJOIN(" ",TRUE,"SKU",$A25,"karar",$D25,"net",TEXT($B25,"0.00"),"başabaş",TEXT($C25,"0.00"),"TL"))</f>
        <v/>
      </c>
    </row>
    <row r="26">
      <c r="A26" s="16">
        <f>IF('ESLESTIRME'!$A26="","",IF('ESLESTIRME'!$G26="tutar_farki",'ESLESTIRME'!$A26,""))</f>
        <v/>
      </c>
      <c r="B26" s="16">
        <f>IF($A26="","",IFERROR(SUMIF(tblMotor[A_Norm],$A26,tblMotor[NetKar]),0))</f>
        <v/>
      </c>
      <c r="C26" s="16">
        <f>IF($A26="","",IFERROR(SUMIF(tblMotor[A_Norm],$A26,tblMotor[BasabasFiyat]),0))</f>
        <v/>
      </c>
      <c r="D26" s="16">
        <f>IF($A26="","",IFERROR(INDEX(tblMotor[KararSatir],MATCH($A26,tblMotor[A_Norm],0)),""))</f>
        <v/>
      </c>
      <c r="E26" s="16">
        <f>IF($A26="","",IF($B26&lt;0,"YUKSEK","NORMAL"))</f>
        <v/>
      </c>
      <c r="F26" s="16">
        <f>IF($A26="","",_xlfn.TEXTJOIN(" ",TRUE,"SKU",$A26,"karar",$D26,"net",TEXT($B26,"0.00"),"başabaş",TEXT($C26,"0.00"),"TL"))</f>
        <v/>
      </c>
    </row>
    <row r="27">
      <c r="A27" s="16">
        <f>IF('ESLESTIRME'!$A27="","",IF('ESLESTIRME'!$G27="tutar_farki",'ESLESTIRME'!$A27,""))</f>
        <v/>
      </c>
      <c r="B27" s="16">
        <f>IF($A27="","",IFERROR(SUMIF(tblMotor[A_Norm],$A27,tblMotor[NetKar]),0))</f>
        <v/>
      </c>
      <c r="C27" s="16">
        <f>IF($A27="","",IFERROR(SUMIF(tblMotor[A_Norm],$A27,tblMotor[BasabasFiyat]),0))</f>
        <v/>
      </c>
      <c r="D27" s="16">
        <f>IF($A27="","",IFERROR(INDEX(tblMotor[KararSatir],MATCH($A27,tblMotor[A_Norm],0)),""))</f>
        <v/>
      </c>
      <c r="E27" s="16">
        <f>IF($A27="","",IF($B27&lt;0,"YUKSEK","NORMAL"))</f>
        <v/>
      </c>
      <c r="F27" s="16">
        <f>IF($A27="","",_xlfn.TEXTJOIN(" ",TRUE,"SKU",$A27,"karar",$D27,"net",TEXT($B27,"0.00"),"başabaş",TEXT($C27,"0.00"),"TL"))</f>
        <v/>
      </c>
    </row>
    <row r="28">
      <c r="A28" s="16">
        <f>IF('ESLESTIRME'!$A28="","",IF('ESLESTIRME'!$G28="tutar_farki",'ESLESTIRME'!$A28,""))</f>
        <v/>
      </c>
      <c r="B28" s="16">
        <f>IF($A28="","",IFERROR(SUMIF(tblMotor[A_Norm],$A28,tblMotor[NetKar]),0))</f>
        <v/>
      </c>
      <c r="C28" s="16">
        <f>IF($A28="","",IFERROR(SUMIF(tblMotor[A_Norm],$A28,tblMotor[BasabasFiyat]),0))</f>
        <v/>
      </c>
      <c r="D28" s="16">
        <f>IF($A28="","",IFERROR(INDEX(tblMotor[KararSatir],MATCH($A28,tblMotor[A_Norm],0)),""))</f>
        <v/>
      </c>
      <c r="E28" s="16">
        <f>IF($A28="","",IF($B28&lt;0,"YUKSEK","NORMAL"))</f>
        <v/>
      </c>
      <c r="F28" s="16">
        <f>IF($A28="","",_xlfn.TEXTJOIN(" ",TRUE,"SKU",$A28,"karar",$D28,"net",TEXT($B28,"0.00"),"başabaş",TEXT($C28,"0.00"),"TL"))</f>
        <v/>
      </c>
    </row>
    <row r="29">
      <c r="A29" s="16">
        <f>IF('ESLESTIRME'!$A29="","",IF('ESLESTIRME'!$G29="tutar_farki",'ESLESTIRME'!$A29,""))</f>
        <v/>
      </c>
      <c r="B29" s="16">
        <f>IF($A29="","",IFERROR(SUMIF(tblMotor[A_Norm],$A29,tblMotor[NetKar]),0))</f>
        <v/>
      </c>
      <c r="C29" s="16">
        <f>IF($A29="","",IFERROR(SUMIF(tblMotor[A_Norm],$A29,tblMotor[BasabasFiyat]),0))</f>
        <v/>
      </c>
      <c r="D29" s="16">
        <f>IF($A29="","",IFERROR(INDEX(tblMotor[KararSatir],MATCH($A29,tblMotor[A_Norm],0)),""))</f>
        <v/>
      </c>
      <c r="E29" s="16">
        <f>IF($A29="","",IF($B29&lt;0,"YUKSEK","NORMAL"))</f>
        <v/>
      </c>
      <c r="F29" s="16">
        <f>IF($A29="","",_xlfn.TEXTJOIN(" ",TRUE,"SKU",$A29,"karar",$D29,"net",TEXT($B29,"0.00"),"başabaş",TEXT($C29,"0.00"),"TL"))</f>
        <v/>
      </c>
    </row>
    <row r="30">
      <c r="A30" s="16">
        <f>IF('ESLESTIRME'!$A30="","",IF('ESLESTIRME'!$G30="tutar_farki",'ESLESTIRME'!$A30,""))</f>
        <v/>
      </c>
      <c r="B30" s="16">
        <f>IF($A30="","",IFERROR(SUMIF(tblMotor[A_Norm],$A30,tblMotor[NetKar]),0))</f>
        <v/>
      </c>
      <c r="C30" s="16">
        <f>IF($A30="","",IFERROR(SUMIF(tblMotor[A_Norm],$A30,tblMotor[BasabasFiyat]),0))</f>
        <v/>
      </c>
      <c r="D30" s="16">
        <f>IF($A30="","",IFERROR(INDEX(tblMotor[KararSatir],MATCH($A30,tblMotor[A_Norm],0)),""))</f>
        <v/>
      </c>
      <c r="E30" s="16">
        <f>IF($A30="","",IF($B30&lt;0,"YUKSEK","NORMAL"))</f>
        <v/>
      </c>
      <c r="F30" s="16">
        <f>IF($A30="","",_xlfn.TEXTJOIN(" ",TRUE,"SKU",$A30,"karar",$D30,"net",TEXT($B30,"0.00"),"başabaş",TEXT($C30,"0.00"),"TL"))</f>
        <v/>
      </c>
    </row>
    <row r="31">
      <c r="A31" s="16">
        <f>IF('ESLESTIRME'!$A31="","",IF('ESLESTIRME'!$G31="tutar_farki",'ESLESTIRME'!$A31,""))</f>
        <v/>
      </c>
      <c r="B31" s="16">
        <f>IF($A31="","",IFERROR(SUMIF(tblMotor[A_Norm],$A31,tblMotor[NetKar]),0))</f>
        <v/>
      </c>
      <c r="C31" s="16">
        <f>IF($A31="","",IFERROR(SUMIF(tblMotor[A_Norm],$A31,tblMotor[BasabasFiyat]),0))</f>
        <v/>
      </c>
      <c r="D31" s="16">
        <f>IF($A31="","",IFERROR(INDEX(tblMotor[KararSatir],MATCH($A31,tblMotor[A_Norm],0)),""))</f>
        <v/>
      </c>
      <c r="E31" s="16">
        <f>IF($A31="","",IF($B31&lt;0,"YUKSEK","NORMAL"))</f>
        <v/>
      </c>
      <c r="F31" s="16">
        <f>IF($A31="","",_xlfn.TEXTJOIN(" ",TRUE,"SKU",$A31,"karar",$D31,"net",TEXT($B31,"0.00"),"başabaş",TEXT($C31,"0.00"),"TL"))</f>
        <v/>
      </c>
    </row>
    <row r="32">
      <c r="A32" s="16">
        <f>IF('ESLESTIRME'!$A32="","",IF('ESLESTIRME'!$G32="tutar_farki",'ESLESTIRME'!$A32,""))</f>
        <v/>
      </c>
      <c r="B32" s="16">
        <f>IF($A32="","",IFERROR(SUMIF(tblMotor[A_Norm],$A32,tblMotor[NetKar]),0))</f>
        <v/>
      </c>
      <c r="C32" s="16">
        <f>IF($A32="","",IFERROR(SUMIF(tblMotor[A_Norm],$A32,tblMotor[BasabasFiyat]),0))</f>
        <v/>
      </c>
      <c r="D32" s="16">
        <f>IF($A32="","",IFERROR(INDEX(tblMotor[KararSatir],MATCH($A32,tblMotor[A_Norm],0)),""))</f>
        <v/>
      </c>
      <c r="E32" s="16">
        <f>IF($A32="","",IF($B32&lt;0,"YUKSEK","NORMAL"))</f>
        <v/>
      </c>
      <c r="F32" s="16">
        <f>IF($A32="","",_xlfn.TEXTJOIN(" ",TRUE,"SKU",$A32,"karar",$D32,"net",TEXT($B32,"0.00"),"başabaş",TEXT($C32,"0.00"),"TL"))</f>
        <v/>
      </c>
    </row>
    <row r="33">
      <c r="A33" s="16">
        <f>IF('ESLESTIRME'!$A33="","",IF('ESLESTIRME'!$G33="tutar_farki",'ESLESTIRME'!$A33,""))</f>
        <v/>
      </c>
      <c r="B33" s="16">
        <f>IF($A33="","",IFERROR(SUMIF(tblMotor[A_Norm],$A33,tblMotor[NetKar]),0))</f>
        <v/>
      </c>
      <c r="C33" s="16">
        <f>IF($A33="","",IFERROR(SUMIF(tblMotor[A_Norm],$A33,tblMotor[BasabasFiyat]),0))</f>
        <v/>
      </c>
      <c r="D33" s="16">
        <f>IF($A33="","",IFERROR(INDEX(tblMotor[KararSatir],MATCH($A33,tblMotor[A_Norm],0)),""))</f>
        <v/>
      </c>
      <c r="E33" s="16">
        <f>IF($A33="","",IF($B33&lt;0,"YUKSEK","NORMAL"))</f>
        <v/>
      </c>
      <c r="F33" s="16">
        <f>IF($A33="","",_xlfn.TEXTJOIN(" ",TRUE,"SKU",$A33,"karar",$D33,"net",TEXT($B33,"0.00"),"başabaş",TEXT($C33,"0.00"),"TL"))</f>
        <v/>
      </c>
    </row>
    <row r="34">
      <c r="A34" s="16">
        <f>IF('ESLESTIRME'!$A34="","",IF('ESLESTIRME'!$G34="tutar_farki",'ESLESTIRME'!$A34,""))</f>
        <v/>
      </c>
      <c r="B34" s="16">
        <f>IF($A34="","",IFERROR(SUMIF(tblMotor[A_Norm],$A34,tblMotor[NetKar]),0))</f>
        <v/>
      </c>
      <c r="C34" s="16">
        <f>IF($A34="","",IFERROR(SUMIF(tblMotor[A_Norm],$A34,tblMotor[BasabasFiyat]),0))</f>
        <v/>
      </c>
      <c r="D34" s="16">
        <f>IF($A34="","",IFERROR(INDEX(tblMotor[KararSatir],MATCH($A34,tblMotor[A_Norm],0)),""))</f>
        <v/>
      </c>
      <c r="E34" s="16">
        <f>IF($A34="","",IF($B34&lt;0,"YUKSEK","NORMAL"))</f>
        <v/>
      </c>
      <c r="F34" s="16">
        <f>IF($A34="","",_xlfn.TEXTJOIN(" ",TRUE,"SKU",$A34,"karar",$D34,"net",TEXT($B34,"0.00"),"başabaş",TEXT($C34,"0.00"),"TL"))</f>
        <v/>
      </c>
    </row>
    <row r="35">
      <c r="A35" s="16">
        <f>IF('ESLESTIRME'!$A35="","",IF('ESLESTIRME'!$G35="tutar_farki",'ESLESTIRME'!$A35,""))</f>
        <v/>
      </c>
      <c r="B35" s="16">
        <f>IF($A35="","",IFERROR(SUMIF(tblMotor[A_Norm],$A35,tblMotor[NetKar]),0))</f>
        <v/>
      </c>
      <c r="C35" s="16">
        <f>IF($A35="","",IFERROR(SUMIF(tblMotor[A_Norm],$A35,tblMotor[BasabasFiyat]),0))</f>
        <v/>
      </c>
      <c r="D35" s="16">
        <f>IF($A35="","",IFERROR(INDEX(tblMotor[KararSatir],MATCH($A35,tblMotor[A_Norm],0)),""))</f>
        <v/>
      </c>
      <c r="E35" s="16">
        <f>IF($A35="","",IF($B35&lt;0,"YUKSEK","NORMAL"))</f>
        <v/>
      </c>
      <c r="F35" s="16">
        <f>IF($A35="","",_xlfn.TEXTJOIN(" ",TRUE,"SKU",$A35,"karar",$D35,"net",TEXT($B35,"0.00"),"başabaş",TEXT($C35,"0.00"),"TL"))</f>
        <v/>
      </c>
    </row>
    <row r="36">
      <c r="A36" s="16">
        <f>IF('ESLESTIRME'!$A36="","",IF('ESLESTIRME'!$G36="tutar_farki",'ESLESTIRME'!$A36,""))</f>
        <v/>
      </c>
      <c r="B36" s="16">
        <f>IF($A36="","",IFERROR(SUMIF(tblMotor[A_Norm],$A36,tblMotor[NetKar]),0))</f>
        <v/>
      </c>
      <c r="C36" s="16">
        <f>IF($A36="","",IFERROR(SUMIF(tblMotor[A_Norm],$A36,tblMotor[BasabasFiyat]),0))</f>
        <v/>
      </c>
      <c r="D36" s="16">
        <f>IF($A36="","",IFERROR(INDEX(tblMotor[KararSatir],MATCH($A36,tblMotor[A_Norm],0)),""))</f>
        <v/>
      </c>
      <c r="E36" s="16">
        <f>IF($A36="","",IF($B36&lt;0,"YUKSEK","NORMAL"))</f>
        <v/>
      </c>
      <c r="F36" s="16">
        <f>IF($A36="","",_xlfn.TEXTJOIN(" ",TRUE,"SKU",$A36,"karar",$D36,"net",TEXT($B36,"0.00"),"başabaş",TEXT($C36,"0.00"),"TL"))</f>
        <v/>
      </c>
    </row>
    <row r="37">
      <c r="A37" s="16">
        <f>IF('ESLESTIRME'!$A37="","",IF('ESLESTIRME'!$G37="tutar_farki",'ESLESTIRME'!$A37,""))</f>
        <v/>
      </c>
      <c r="B37" s="16">
        <f>IF($A37="","",IFERROR(SUMIF(tblMotor[A_Norm],$A37,tblMotor[NetKar]),0))</f>
        <v/>
      </c>
      <c r="C37" s="16">
        <f>IF($A37="","",IFERROR(SUMIF(tblMotor[A_Norm],$A37,tblMotor[BasabasFiyat]),0))</f>
        <v/>
      </c>
      <c r="D37" s="16">
        <f>IF($A37="","",IFERROR(INDEX(tblMotor[KararSatir],MATCH($A37,tblMotor[A_Norm],0)),""))</f>
        <v/>
      </c>
      <c r="E37" s="16">
        <f>IF($A37="","",IF($B37&lt;0,"YUKSEK","NORMAL"))</f>
        <v/>
      </c>
      <c r="F37" s="16">
        <f>IF($A37="","",_xlfn.TEXTJOIN(" ",TRUE,"SKU",$A37,"karar",$D37,"net",TEXT($B37,"0.00"),"başabaş",TEXT($C37,"0.00"),"TL"))</f>
        <v/>
      </c>
    </row>
    <row r="38">
      <c r="A38" s="16">
        <f>IF('ESLESTIRME'!$A38="","",IF('ESLESTIRME'!$G38="tutar_farki",'ESLESTIRME'!$A38,""))</f>
        <v/>
      </c>
      <c r="B38" s="16">
        <f>IF($A38="","",IFERROR(SUMIF(tblMotor[A_Norm],$A38,tblMotor[NetKar]),0))</f>
        <v/>
      </c>
      <c r="C38" s="16">
        <f>IF($A38="","",IFERROR(SUMIF(tblMotor[A_Norm],$A38,tblMotor[BasabasFiyat]),0))</f>
        <v/>
      </c>
      <c r="D38" s="16">
        <f>IF($A38="","",IFERROR(INDEX(tblMotor[KararSatir],MATCH($A38,tblMotor[A_Norm],0)),""))</f>
        <v/>
      </c>
      <c r="E38" s="16">
        <f>IF($A38="","",IF($B38&lt;0,"YUKSEK","NORMAL"))</f>
        <v/>
      </c>
      <c r="F38" s="16">
        <f>IF($A38="","",_xlfn.TEXTJOIN(" ",TRUE,"SKU",$A38,"karar",$D38,"net",TEXT($B38,"0.00"),"başabaş",TEXT($C38,"0.00"),"TL"))</f>
        <v/>
      </c>
    </row>
    <row r="39">
      <c r="A39" s="16">
        <f>IF('ESLESTIRME'!$A39="","",IF('ESLESTIRME'!$G39="tutar_farki",'ESLESTIRME'!$A39,""))</f>
        <v/>
      </c>
      <c r="B39" s="16">
        <f>IF($A39="","",IFERROR(SUMIF(tblMotor[A_Norm],$A39,tblMotor[NetKar]),0))</f>
        <v/>
      </c>
      <c r="C39" s="16">
        <f>IF($A39="","",IFERROR(SUMIF(tblMotor[A_Norm],$A39,tblMotor[BasabasFiyat]),0))</f>
        <v/>
      </c>
      <c r="D39" s="16">
        <f>IF($A39="","",IFERROR(INDEX(tblMotor[KararSatir],MATCH($A39,tblMotor[A_Norm],0)),""))</f>
        <v/>
      </c>
      <c r="E39" s="16">
        <f>IF($A39="","",IF($B39&lt;0,"YUKSEK","NORMAL"))</f>
        <v/>
      </c>
      <c r="F39" s="16">
        <f>IF($A39="","",_xlfn.TEXTJOIN(" ",TRUE,"SKU",$A39,"karar",$D39,"net",TEXT($B39,"0.00"),"başabaş",TEXT($C39,"0.00"),"TL"))</f>
        <v/>
      </c>
    </row>
    <row r="40">
      <c r="A40" s="16">
        <f>IF('ESLESTIRME'!$A40="","",IF('ESLESTIRME'!$G40="tutar_farki",'ESLESTIRME'!$A40,""))</f>
        <v/>
      </c>
      <c r="B40" s="16">
        <f>IF($A40="","",IFERROR(SUMIF(tblMotor[A_Norm],$A40,tblMotor[NetKar]),0))</f>
        <v/>
      </c>
      <c r="C40" s="16">
        <f>IF($A40="","",IFERROR(SUMIF(tblMotor[A_Norm],$A40,tblMotor[BasabasFiyat]),0))</f>
        <v/>
      </c>
      <c r="D40" s="16">
        <f>IF($A40="","",IFERROR(INDEX(tblMotor[KararSatir],MATCH($A40,tblMotor[A_Norm],0)),""))</f>
        <v/>
      </c>
      <c r="E40" s="16">
        <f>IF($A40="","",IF($B40&lt;0,"YUKSEK","NORMAL"))</f>
        <v/>
      </c>
      <c r="F40" s="16">
        <f>IF($A40="","",_xlfn.TEXTJOIN(" ",TRUE,"SKU",$A40,"karar",$D40,"net",TEXT($B40,"0.00"),"başabaş",TEXT($C40,"0.00"),"TL"))</f>
        <v/>
      </c>
    </row>
    <row r="41">
      <c r="A41" s="16">
        <f>IF('ESLESTIRME'!$A41="","",IF('ESLESTIRME'!$G41="tutar_farki",'ESLESTIRME'!$A41,""))</f>
        <v/>
      </c>
      <c r="B41" s="16">
        <f>IF($A41="","",IFERROR(SUMIF(tblMotor[A_Norm],$A41,tblMotor[NetKar]),0))</f>
        <v/>
      </c>
      <c r="C41" s="16">
        <f>IF($A41="","",IFERROR(SUMIF(tblMotor[A_Norm],$A41,tblMotor[BasabasFiyat]),0))</f>
        <v/>
      </c>
      <c r="D41" s="16">
        <f>IF($A41="","",IFERROR(INDEX(tblMotor[KararSatir],MATCH($A41,tblMotor[A_Norm],0)),""))</f>
        <v/>
      </c>
      <c r="E41" s="16">
        <f>IF($A41="","",IF($B41&lt;0,"YUKSEK","NORMAL"))</f>
        <v/>
      </c>
      <c r="F41" s="16">
        <f>IF($A41="","",_xlfn.TEXTJOIN(" ",TRUE,"SKU",$A41,"karar",$D41,"net",TEXT($B41,"0.00"),"başabaş",TEXT($C41,"0.00"),"TL"))</f>
        <v/>
      </c>
    </row>
    <row r="42">
      <c r="A42" s="16">
        <f>IF('ESLESTIRME'!$A42="","",IF('ESLESTIRME'!$G42="tutar_farki",'ESLESTIRME'!$A42,""))</f>
        <v/>
      </c>
      <c r="B42" s="16">
        <f>IF($A42="","",IFERROR(SUMIF(tblMotor[A_Norm],$A42,tblMotor[NetKar]),0))</f>
        <v/>
      </c>
      <c r="C42" s="16">
        <f>IF($A42="","",IFERROR(SUMIF(tblMotor[A_Norm],$A42,tblMotor[BasabasFiyat]),0))</f>
        <v/>
      </c>
      <c r="D42" s="16">
        <f>IF($A42="","",IFERROR(INDEX(tblMotor[KararSatir],MATCH($A42,tblMotor[A_Norm],0)),""))</f>
        <v/>
      </c>
      <c r="E42" s="16">
        <f>IF($A42="","",IF($B42&lt;0,"YUKSEK","NORMAL"))</f>
        <v/>
      </c>
      <c r="F42" s="16">
        <f>IF($A42="","",_xlfn.TEXTJOIN(" ",TRUE,"SKU",$A42,"karar",$D42,"net",TEXT($B42,"0.00"),"başabaş",TEXT($C42,"0.00"),"TL"))</f>
        <v/>
      </c>
    </row>
    <row r="43">
      <c r="A43" s="16">
        <f>IF('ESLESTIRME'!$A43="","",IF('ESLESTIRME'!$G43="tutar_farki",'ESLESTIRME'!$A43,""))</f>
        <v/>
      </c>
      <c r="B43" s="16">
        <f>IF($A43="","",IFERROR(SUMIF(tblMotor[A_Norm],$A43,tblMotor[NetKar]),0))</f>
        <v/>
      </c>
      <c r="C43" s="16">
        <f>IF($A43="","",IFERROR(SUMIF(tblMotor[A_Norm],$A43,tblMotor[BasabasFiyat]),0))</f>
        <v/>
      </c>
      <c r="D43" s="16">
        <f>IF($A43="","",IFERROR(INDEX(tblMotor[KararSatir],MATCH($A43,tblMotor[A_Norm],0)),""))</f>
        <v/>
      </c>
      <c r="E43" s="16">
        <f>IF($A43="","",IF($B43&lt;0,"YUKSEK","NORMAL"))</f>
        <v/>
      </c>
      <c r="F43" s="16">
        <f>IF($A43="","",_xlfn.TEXTJOIN(" ",TRUE,"SKU",$A43,"karar",$D43,"net",TEXT($B43,"0.00"),"başabaş",TEXT($C43,"0.00"),"TL"))</f>
        <v/>
      </c>
    </row>
    <row r="44">
      <c r="A44" s="16">
        <f>IF('ESLESTIRME'!$A44="","",IF('ESLESTIRME'!$G44="tutar_farki",'ESLESTIRME'!$A44,""))</f>
        <v/>
      </c>
      <c r="B44" s="16">
        <f>IF($A44="","",IFERROR(SUMIF(tblMotor[A_Norm],$A44,tblMotor[NetKar]),0))</f>
        <v/>
      </c>
      <c r="C44" s="16">
        <f>IF($A44="","",IFERROR(SUMIF(tblMotor[A_Norm],$A44,tblMotor[BasabasFiyat]),0))</f>
        <v/>
      </c>
      <c r="D44" s="16">
        <f>IF($A44="","",IFERROR(INDEX(tblMotor[KararSatir],MATCH($A44,tblMotor[A_Norm],0)),""))</f>
        <v/>
      </c>
      <c r="E44" s="16">
        <f>IF($A44="","",IF($B44&lt;0,"YUKSEK","NORMAL"))</f>
        <v/>
      </c>
      <c r="F44" s="16">
        <f>IF($A44="","",_xlfn.TEXTJOIN(" ",TRUE,"SKU",$A44,"karar",$D44,"net",TEXT($B44,"0.00"),"başabaş",TEXT($C44,"0.00"),"TL"))</f>
        <v/>
      </c>
    </row>
    <row r="45">
      <c r="A45" s="16">
        <f>IF('ESLESTIRME'!$A45="","",IF('ESLESTIRME'!$G45="tutar_farki",'ESLESTIRME'!$A45,""))</f>
        <v/>
      </c>
      <c r="B45" s="16">
        <f>IF($A45="","",IFERROR(SUMIF(tblMotor[A_Norm],$A45,tblMotor[NetKar]),0))</f>
        <v/>
      </c>
      <c r="C45" s="16">
        <f>IF($A45="","",IFERROR(SUMIF(tblMotor[A_Norm],$A45,tblMotor[BasabasFiyat]),0))</f>
        <v/>
      </c>
      <c r="D45" s="16">
        <f>IF($A45="","",IFERROR(INDEX(tblMotor[KararSatir],MATCH($A45,tblMotor[A_Norm],0)),""))</f>
        <v/>
      </c>
      <c r="E45" s="16">
        <f>IF($A45="","",IF($B45&lt;0,"YUKSEK","NORMAL"))</f>
        <v/>
      </c>
      <c r="F45" s="16">
        <f>IF($A45="","",_xlfn.TEXTJOIN(" ",TRUE,"SKU",$A45,"karar",$D45,"net",TEXT($B45,"0.00"),"başabaş",TEXT($C45,"0.00"),"TL"))</f>
        <v/>
      </c>
    </row>
    <row r="46">
      <c r="A46" s="16">
        <f>IF('ESLESTIRME'!$A46="","",IF('ESLESTIRME'!$G46="tutar_farki",'ESLESTIRME'!$A46,""))</f>
        <v/>
      </c>
      <c r="B46" s="16">
        <f>IF($A46="","",IFERROR(SUMIF(tblMotor[A_Norm],$A46,tblMotor[NetKar]),0))</f>
        <v/>
      </c>
      <c r="C46" s="16">
        <f>IF($A46="","",IFERROR(SUMIF(tblMotor[A_Norm],$A46,tblMotor[BasabasFiyat]),0))</f>
        <v/>
      </c>
      <c r="D46" s="16">
        <f>IF($A46="","",IFERROR(INDEX(tblMotor[KararSatir],MATCH($A46,tblMotor[A_Norm],0)),""))</f>
        <v/>
      </c>
      <c r="E46" s="16">
        <f>IF($A46="","",IF($B46&lt;0,"YUKSEK","NORMAL"))</f>
        <v/>
      </c>
      <c r="F46" s="16">
        <f>IF($A46="","",_xlfn.TEXTJOIN(" ",TRUE,"SKU",$A46,"karar",$D46,"net",TEXT($B46,"0.00"),"başabaş",TEXT($C46,"0.00"),"TL"))</f>
        <v/>
      </c>
    </row>
    <row r="47">
      <c r="A47" s="16">
        <f>IF('ESLESTIRME'!$A47="","",IF('ESLESTIRME'!$G47="tutar_farki",'ESLESTIRME'!$A47,""))</f>
        <v/>
      </c>
      <c r="B47" s="16">
        <f>IF($A47="","",IFERROR(SUMIF(tblMotor[A_Norm],$A47,tblMotor[NetKar]),0))</f>
        <v/>
      </c>
      <c r="C47" s="16">
        <f>IF($A47="","",IFERROR(SUMIF(tblMotor[A_Norm],$A47,tblMotor[BasabasFiyat]),0))</f>
        <v/>
      </c>
      <c r="D47" s="16">
        <f>IF($A47="","",IFERROR(INDEX(tblMotor[KararSatir],MATCH($A47,tblMotor[A_Norm],0)),""))</f>
        <v/>
      </c>
      <c r="E47" s="16">
        <f>IF($A47="","",IF($B47&lt;0,"YUKSEK","NORMAL"))</f>
        <v/>
      </c>
      <c r="F47" s="16">
        <f>IF($A47="","",_xlfn.TEXTJOIN(" ",TRUE,"SKU",$A47,"karar",$D47,"net",TEXT($B47,"0.00"),"başabaş",TEXT($C47,"0.00"),"TL"))</f>
        <v/>
      </c>
    </row>
    <row r="48">
      <c r="A48" s="16">
        <f>IF('ESLESTIRME'!$A48="","",IF('ESLESTIRME'!$G48="tutar_farki",'ESLESTIRME'!$A48,""))</f>
        <v/>
      </c>
      <c r="B48" s="16">
        <f>IF($A48="","",IFERROR(SUMIF(tblMotor[A_Norm],$A48,tblMotor[NetKar]),0))</f>
        <v/>
      </c>
      <c r="C48" s="16">
        <f>IF($A48="","",IFERROR(SUMIF(tblMotor[A_Norm],$A48,tblMotor[BasabasFiyat]),0))</f>
        <v/>
      </c>
      <c r="D48" s="16">
        <f>IF($A48="","",IFERROR(INDEX(tblMotor[KararSatir],MATCH($A48,tblMotor[A_Norm],0)),""))</f>
        <v/>
      </c>
      <c r="E48" s="16">
        <f>IF($A48="","",IF($B48&lt;0,"YUKSEK","NORMAL"))</f>
        <v/>
      </c>
      <c r="F48" s="16">
        <f>IF($A48="","",_xlfn.TEXTJOIN(" ",TRUE,"SKU",$A48,"karar",$D48,"net",TEXT($B48,"0.00"),"başabaş",TEXT($C48,"0.00"),"TL"))</f>
        <v/>
      </c>
    </row>
    <row r="49">
      <c r="A49" s="16">
        <f>IF('ESLESTIRME'!$A49="","",IF('ESLESTIRME'!$G49="tutar_farki",'ESLESTIRME'!$A49,""))</f>
        <v/>
      </c>
      <c r="B49" s="16">
        <f>IF($A49="","",IFERROR(SUMIF(tblMotor[A_Norm],$A49,tblMotor[NetKar]),0))</f>
        <v/>
      </c>
      <c r="C49" s="16">
        <f>IF($A49="","",IFERROR(SUMIF(tblMotor[A_Norm],$A49,tblMotor[BasabasFiyat]),0))</f>
        <v/>
      </c>
      <c r="D49" s="16">
        <f>IF($A49="","",IFERROR(INDEX(tblMotor[KararSatir],MATCH($A49,tblMotor[A_Norm],0)),""))</f>
        <v/>
      </c>
      <c r="E49" s="16">
        <f>IF($A49="","",IF($B49&lt;0,"YUKSEK","NORMAL"))</f>
        <v/>
      </c>
      <c r="F49" s="16">
        <f>IF($A49="","",_xlfn.TEXTJOIN(" ",TRUE,"SKU",$A49,"karar",$D49,"net",TEXT($B49,"0.00"),"başabaş",TEXT($C49,"0.00"),"TL"))</f>
        <v/>
      </c>
    </row>
    <row r="50">
      <c r="A50" s="16">
        <f>IF('ESLESTIRME'!$A50="","",IF('ESLESTIRME'!$G50="tutar_farki",'ESLESTIRME'!$A50,""))</f>
        <v/>
      </c>
      <c r="B50" s="16">
        <f>IF($A50="","",IFERROR(SUMIF(tblMotor[A_Norm],$A50,tblMotor[NetKar]),0))</f>
        <v/>
      </c>
      <c r="C50" s="16">
        <f>IF($A50="","",IFERROR(SUMIF(tblMotor[A_Norm],$A50,tblMotor[BasabasFiyat]),0))</f>
        <v/>
      </c>
      <c r="D50" s="16">
        <f>IF($A50="","",IFERROR(INDEX(tblMotor[KararSatir],MATCH($A50,tblMotor[A_Norm],0)),""))</f>
        <v/>
      </c>
      <c r="E50" s="16">
        <f>IF($A50="","",IF($B50&lt;0,"YUKSEK","NORMAL"))</f>
        <v/>
      </c>
      <c r="F50" s="16">
        <f>IF($A50="","",_xlfn.TEXTJOIN(" ",TRUE,"SKU",$A50,"karar",$D50,"net",TEXT($B50,"0.00"),"başabaş",TEXT($C50,"0.00"),"TL"))</f>
        <v/>
      </c>
    </row>
    <row r="51">
      <c r="A51" s="16">
        <f>IF('ESLESTIRME'!$A51="","",IF('ESLESTIRME'!$G51="tutar_farki",'ESLESTIRME'!$A51,""))</f>
        <v/>
      </c>
      <c r="B51" s="16">
        <f>IF($A51="","",IFERROR(SUMIF(tblMotor[A_Norm],$A51,tblMotor[NetKar]),0))</f>
        <v/>
      </c>
      <c r="C51" s="16">
        <f>IF($A51="","",IFERROR(SUMIF(tblMotor[A_Norm],$A51,tblMotor[BasabasFiyat]),0))</f>
        <v/>
      </c>
      <c r="D51" s="16">
        <f>IF($A51="","",IFERROR(INDEX(tblMotor[KararSatir],MATCH($A51,tblMotor[A_Norm],0)),""))</f>
        <v/>
      </c>
      <c r="E51" s="16">
        <f>IF($A51="","",IF($B51&lt;0,"YUKSEK","NORMAL"))</f>
        <v/>
      </c>
      <c r="F51" s="16">
        <f>IF($A51="","",_xlfn.TEXTJOIN(" ",TRUE,"SKU",$A51,"karar",$D51,"net",TEXT($B51,"0.00"),"başabaş",TEXT($C51,"0.00"),"TL"))</f>
        <v/>
      </c>
    </row>
    <row r="52">
      <c r="A52" s="16">
        <f>IF('ESLESTIRME'!$A52="","",IF('ESLESTIRME'!$G52="tutar_farki",'ESLESTIRME'!$A52,""))</f>
        <v/>
      </c>
      <c r="B52" s="16">
        <f>IF($A52="","",IFERROR(SUMIF(tblMotor[A_Norm],$A52,tblMotor[NetKar]),0))</f>
        <v/>
      </c>
      <c r="C52" s="16">
        <f>IF($A52="","",IFERROR(SUMIF(tblMotor[A_Norm],$A52,tblMotor[BasabasFiyat]),0))</f>
        <v/>
      </c>
      <c r="D52" s="16">
        <f>IF($A52="","",IFERROR(INDEX(tblMotor[KararSatir],MATCH($A52,tblMotor[A_Norm],0)),""))</f>
        <v/>
      </c>
      <c r="E52" s="16">
        <f>IF($A52="","",IF($B52&lt;0,"YUKSEK","NORMAL"))</f>
        <v/>
      </c>
      <c r="F52" s="16">
        <f>IF($A52="","",_xlfn.TEXTJOIN(" ",TRUE,"SKU",$A52,"karar",$D52,"net",TEXT($B52,"0.00"),"başabaş",TEXT($C52,"0.00"),"TL"))</f>
        <v/>
      </c>
    </row>
    <row r="53">
      <c r="A53" s="16">
        <f>IF('ESLESTIRME'!$A53="","",IF('ESLESTIRME'!$G53="tutar_farki",'ESLESTIRME'!$A53,""))</f>
        <v/>
      </c>
      <c r="B53" s="16">
        <f>IF($A53="","",IFERROR(SUMIF(tblMotor[A_Norm],$A53,tblMotor[NetKar]),0))</f>
        <v/>
      </c>
      <c r="C53" s="16">
        <f>IF($A53="","",IFERROR(SUMIF(tblMotor[A_Norm],$A53,tblMotor[BasabasFiyat]),0))</f>
        <v/>
      </c>
      <c r="D53" s="16">
        <f>IF($A53="","",IFERROR(INDEX(tblMotor[KararSatir],MATCH($A53,tblMotor[A_Norm],0)),""))</f>
        <v/>
      </c>
      <c r="E53" s="16">
        <f>IF($A53="","",IF($B53&lt;0,"YUKSEK","NORMAL"))</f>
        <v/>
      </c>
      <c r="F53" s="16">
        <f>IF($A53="","",_xlfn.TEXTJOIN(" ",TRUE,"SKU",$A53,"karar",$D53,"net",TEXT($B53,"0.00"),"başabaş",TEXT($C53,"0.00"),"TL"))</f>
        <v/>
      </c>
    </row>
    <row r="54">
      <c r="A54" s="16">
        <f>IF('ESLESTIRME'!$A54="","",IF('ESLESTIRME'!$G54="tutar_farki",'ESLESTIRME'!$A54,""))</f>
        <v/>
      </c>
      <c r="B54" s="16">
        <f>IF($A54="","",IFERROR(SUMIF(tblMotor[A_Norm],$A54,tblMotor[NetKar]),0))</f>
        <v/>
      </c>
      <c r="C54" s="16">
        <f>IF($A54="","",IFERROR(SUMIF(tblMotor[A_Norm],$A54,tblMotor[BasabasFiyat]),0))</f>
        <v/>
      </c>
      <c r="D54" s="16">
        <f>IF($A54="","",IFERROR(INDEX(tblMotor[KararSatir],MATCH($A54,tblMotor[A_Norm],0)),""))</f>
        <v/>
      </c>
      <c r="E54" s="16">
        <f>IF($A54="","",IF($B54&lt;0,"YUKSEK","NORMAL"))</f>
        <v/>
      </c>
      <c r="F54" s="16">
        <f>IF($A54="","",_xlfn.TEXTJOIN(" ",TRUE,"SKU",$A54,"karar",$D54,"net",TEXT($B54,"0.00"),"başabaş",TEXT($C54,"0.00"),"TL"))</f>
        <v/>
      </c>
    </row>
    <row r="55">
      <c r="A55" s="16">
        <f>IF('ESLESTIRME'!$A55="","",IF('ESLESTIRME'!$G55="tutar_farki",'ESLESTIRME'!$A55,""))</f>
        <v/>
      </c>
      <c r="B55" s="16">
        <f>IF($A55="","",IFERROR(SUMIF(tblMotor[A_Norm],$A55,tblMotor[NetKar]),0))</f>
        <v/>
      </c>
      <c r="C55" s="16">
        <f>IF($A55="","",IFERROR(SUMIF(tblMotor[A_Norm],$A55,tblMotor[BasabasFiyat]),0))</f>
        <v/>
      </c>
      <c r="D55" s="16">
        <f>IF($A55="","",IFERROR(INDEX(tblMotor[KararSatir],MATCH($A55,tblMotor[A_Norm],0)),""))</f>
        <v/>
      </c>
      <c r="E55" s="16">
        <f>IF($A55="","",IF($B55&lt;0,"YUKSEK","NORMAL"))</f>
        <v/>
      </c>
      <c r="F55" s="16">
        <f>IF($A55="","",_xlfn.TEXTJOIN(" ",TRUE,"SKU",$A55,"karar",$D55,"net",TEXT($B55,"0.00"),"başabaş",TEXT($C55,"0.00"),"TL"))</f>
        <v/>
      </c>
    </row>
    <row r="56">
      <c r="A56" s="16">
        <f>IF('ESLESTIRME'!$A56="","",IF('ESLESTIRME'!$G56="tutar_farki",'ESLESTIRME'!$A56,""))</f>
        <v/>
      </c>
      <c r="B56" s="16">
        <f>IF($A56="","",IFERROR(SUMIF(tblMotor[A_Norm],$A56,tblMotor[NetKar]),0))</f>
        <v/>
      </c>
      <c r="C56" s="16">
        <f>IF($A56="","",IFERROR(SUMIF(tblMotor[A_Norm],$A56,tblMotor[BasabasFiyat]),0))</f>
        <v/>
      </c>
      <c r="D56" s="16">
        <f>IF($A56="","",IFERROR(INDEX(tblMotor[KararSatir],MATCH($A56,tblMotor[A_Norm],0)),""))</f>
        <v/>
      </c>
      <c r="E56" s="16">
        <f>IF($A56="","",IF($B56&lt;0,"YUKSEK","NORMAL"))</f>
        <v/>
      </c>
      <c r="F56" s="16">
        <f>IF($A56="","",_xlfn.TEXTJOIN(" ",TRUE,"SKU",$A56,"karar",$D56,"net",TEXT($B56,"0.00"),"başabaş",TEXT($C56,"0.00"),"TL"))</f>
        <v/>
      </c>
    </row>
    <row r="57">
      <c r="A57" s="16">
        <f>IF('ESLESTIRME'!$A57="","",IF('ESLESTIRME'!$G57="tutar_farki",'ESLESTIRME'!$A57,""))</f>
        <v/>
      </c>
      <c r="B57" s="16">
        <f>IF($A57="","",IFERROR(SUMIF(tblMotor[A_Norm],$A57,tblMotor[NetKar]),0))</f>
        <v/>
      </c>
      <c r="C57" s="16">
        <f>IF($A57="","",IFERROR(SUMIF(tblMotor[A_Norm],$A57,tblMotor[BasabasFiyat]),0))</f>
        <v/>
      </c>
      <c r="D57" s="16">
        <f>IF($A57="","",IFERROR(INDEX(tblMotor[KararSatir],MATCH($A57,tblMotor[A_Norm],0)),""))</f>
        <v/>
      </c>
      <c r="E57" s="16">
        <f>IF($A57="","",IF($B57&lt;0,"YUKSEK","NORMAL"))</f>
        <v/>
      </c>
      <c r="F57" s="16">
        <f>IF($A57="","",_xlfn.TEXTJOIN(" ",TRUE,"SKU",$A57,"karar",$D57,"net",TEXT($B57,"0.00"),"başabaş",TEXT($C57,"0.00"),"TL"))</f>
        <v/>
      </c>
    </row>
    <row r="58">
      <c r="A58" s="16">
        <f>IF('ESLESTIRME'!$A58="","",IF('ESLESTIRME'!$G58="tutar_farki",'ESLESTIRME'!$A58,""))</f>
        <v/>
      </c>
      <c r="B58" s="16">
        <f>IF($A58="","",IFERROR(SUMIF(tblMotor[A_Norm],$A58,tblMotor[NetKar]),0))</f>
        <v/>
      </c>
      <c r="C58" s="16">
        <f>IF($A58="","",IFERROR(SUMIF(tblMotor[A_Norm],$A58,tblMotor[BasabasFiyat]),0))</f>
        <v/>
      </c>
      <c r="D58" s="16">
        <f>IF($A58="","",IFERROR(INDEX(tblMotor[KararSatir],MATCH($A58,tblMotor[A_Norm],0)),""))</f>
        <v/>
      </c>
      <c r="E58" s="16">
        <f>IF($A58="","",IF($B58&lt;0,"YUKSEK","NORMAL"))</f>
        <v/>
      </c>
      <c r="F58" s="16">
        <f>IF($A58="","",_xlfn.TEXTJOIN(" ",TRUE,"SKU",$A58,"karar",$D58,"net",TEXT($B58,"0.00"),"başabaş",TEXT($C58,"0.00"),"TL"))</f>
        <v/>
      </c>
    </row>
    <row r="59">
      <c r="A59" s="16">
        <f>IF('ESLESTIRME'!$A59="","",IF('ESLESTIRME'!$G59="tutar_farki",'ESLESTIRME'!$A59,""))</f>
        <v/>
      </c>
      <c r="B59" s="16">
        <f>IF($A59="","",IFERROR(SUMIF(tblMotor[A_Norm],$A59,tblMotor[NetKar]),0))</f>
        <v/>
      </c>
      <c r="C59" s="16">
        <f>IF($A59="","",IFERROR(SUMIF(tblMotor[A_Norm],$A59,tblMotor[BasabasFiyat]),0))</f>
        <v/>
      </c>
      <c r="D59" s="16">
        <f>IF($A59="","",IFERROR(INDEX(tblMotor[KararSatir],MATCH($A59,tblMotor[A_Norm],0)),""))</f>
        <v/>
      </c>
      <c r="E59" s="16">
        <f>IF($A59="","",IF($B59&lt;0,"YUKSEK","NORMAL"))</f>
        <v/>
      </c>
      <c r="F59" s="16">
        <f>IF($A59="","",_xlfn.TEXTJOIN(" ",TRUE,"SKU",$A59,"karar",$D59,"net",TEXT($B59,"0.00"),"başabaş",TEXT($C59,"0.00"),"TL"))</f>
        <v/>
      </c>
    </row>
    <row r="60">
      <c r="A60" s="16">
        <f>IF('ESLESTIRME'!$A60="","",IF('ESLESTIRME'!$G60="tutar_farki",'ESLESTIRME'!$A60,""))</f>
        <v/>
      </c>
      <c r="B60" s="16">
        <f>IF($A60="","",IFERROR(SUMIF(tblMotor[A_Norm],$A60,tblMotor[NetKar]),0))</f>
        <v/>
      </c>
      <c r="C60" s="16">
        <f>IF($A60="","",IFERROR(SUMIF(tblMotor[A_Norm],$A60,tblMotor[BasabasFiyat]),0))</f>
        <v/>
      </c>
      <c r="D60" s="16">
        <f>IF($A60="","",IFERROR(INDEX(tblMotor[KararSatir],MATCH($A60,tblMotor[A_Norm],0)),""))</f>
        <v/>
      </c>
      <c r="E60" s="16">
        <f>IF($A60="","",IF($B60&lt;0,"YUKSEK","NORMAL"))</f>
        <v/>
      </c>
      <c r="F60" s="16">
        <f>IF($A60="","",_xlfn.TEXTJOIN(" ",TRUE,"SKU",$A60,"karar",$D60,"net",TEXT($B60,"0.00"),"başabaş",TEXT($C60,"0.00"),"TL"))</f>
        <v/>
      </c>
    </row>
    <row r="61">
      <c r="A61" s="16">
        <f>IF('ESLESTIRME'!$A61="","",IF('ESLESTIRME'!$G61="tutar_farki",'ESLESTIRME'!$A61,""))</f>
        <v/>
      </c>
      <c r="B61" s="16">
        <f>IF($A61="","",IFERROR(SUMIF(tblMotor[A_Norm],$A61,tblMotor[NetKar]),0))</f>
        <v/>
      </c>
      <c r="C61" s="16">
        <f>IF($A61="","",IFERROR(SUMIF(tblMotor[A_Norm],$A61,tblMotor[BasabasFiyat]),0))</f>
        <v/>
      </c>
      <c r="D61" s="16">
        <f>IF($A61="","",IFERROR(INDEX(tblMotor[KararSatir],MATCH($A61,tblMotor[A_Norm],0)),""))</f>
        <v/>
      </c>
      <c r="E61" s="16">
        <f>IF($A61="","",IF($B61&lt;0,"YUKSEK","NORMAL"))</f>
        <v/>
      </c>
      <c r="F61" s="16">
        <f>IF($A61="","",_xlfn.TEXTJOIN(" ",TRUE,"SKU",$A61,"karar",$D61,"net",TEXT($B61,"0.00"),"başabaş",TEXT($C61,"0.00"),"TL"))</f>
        <v/>
      </c>
    </row>
    <row r="62">
      <c r="A62" s="16">
        <f>IF('ESLESTIRME'!$A62="","",IF('ESLESTIRME'!$G62="tutar_farki",'ESLESTIRME'!$A62,""))</f>
        <v/>
      </c>
      <c r="B62" s="16">
        <f>IF($A62="","",IFERROR(SUMIF(tblMotor[A_Norm],$A62,tblMotor[NetKar]),0))</f>
        <v/>
      </c>
      <c r="C62" s="16">
        <f>IF($A62="","",IFERROR(SUMIF(tblMotor[A_Norm],$A62,tblMotor[BasabasFiyat]),0))</f>
        <v/>
      </c>
      <c r="D62" s="16">
        <f>IF($A62="","",IFERROR(INDEX(tblMotor[KararSatir],MATCH($A62,tblMotor[A_Norm],0)),""))</f>
        <v/>
      </c>
      <c r="E62" s="16">
        <f>IF($A62="","",IF($B62&lt;0,"YUKSEK","NORMAL"))</f>
        <v/>
      </c>
      <c r="F62" s="16">
        <f>IF($A62="","",_xlfn.TEXTJOIN(" ",TRUE,"SKU",$A62,"karar",$D62,"net",TEXT($B62,"0.00"),"başabaş",TEXT($C62,"0.00"),"TL"))</f>
        <v/>
      </c>
    </row>
    <row r="63">
      <c r="A63" s="16">
        <f>IF('ESLESTIRME'!$A63="","",IF('ESLESTIRME'!$G63="tutar_farki",'ESLESTIRME'!$A63,""))</f>
        <v/>
      </c>
      <c r="B63" s="16">
        <f>IF($A63="","",IFERROR(SUMIF(tblMotor[A_Norm],$A63,tblMotor[NetKar]),0))</f>
        <v/>
      </c>
      <c r="C63" s="16">
        <f>IF($A63="","",IFERROR(SUMIF(tblMotor[A_Norm],$A63,tblMotor[BasabasFiyat]),0))</f>
        <v/>
      </c>
      <c r="D63" s="16">
        <f>IF($A63="","",IFERROR(INDEX(tblMotor[KararSatir],MATCH($A63,tblMotor[A_Norm],0)),""))</f>
        <v/>
      </c>
      <c r="E63" s="16">
        <f>IF($A63="","",IF($B63&lt;0,"YUKSEK","NORMAL"))</f>
        <v/>
      </c>
      <c r="F63" s="16">
        <f>IF($A63="","",_xlfn.TEXTJOIN(" ",TRUE,"SKU",$A63,"karar",$D63,"net",TEXT($B63,"0.00"),"başabaş",TEXT($C63,"0.00"),"TL"))</f>
        <v/>
      </c>
    </row>
    <row r="64">
      <c r="A64" s="16">
        <f>IF('ESLESTIRME'!$A64="","",IF('ESLESTIRME'!$G64="tutar_farki",'ESLESTIRME'!$A64,""))</f>
        <v/>
      </c>
      <c r="B64" s="16">
        <f>IF($A64="","",IFERROR(SUMIF(tblMotor[A_Norm],$A64,tblMotor[NetKar]),0))</f>
        <v/>
      </c>
      <c r="C64" s="16">
        <f>IF($A64="","",IFERROR(SUMIF(tblMotor[A_Norm],$A64,tblMotor[BasabasFiyat]),0))</f>
        <v/>
      </c>
      <c r="D64" s="16">
        <f>IF($A64="","",IFERROR(INDEX(tblMotor[KararSatir],MATCH($A64,tblMotor[A_Norm],0)),""))</f>
        <v/>
      </c>
      <c r="E64" s="16">
        <f>IF($A64="","",IF($B64&lt;0,"YUKSEK","NORMAL"))</f>
        <v/>
      </c>
      <c r="F64" s="16">
        <f>IF($A64="","",_xlfn.TEXTJOIN(" ",TRUE,"SKU",$A64,"karar",$D64,"net",TEXT($B64,"0.00"),"başabaş",TEXT($C64,"0.00"),"TL"))</f>
        <v/>
      </c>
    </row>
    <row r="65">
      <c r="A65" s="16">
        <f>IF('ESLESTIRME'!$A65="","",IF('ESLESTIRME'!$G65="tutar_farki",'ESLESTIRME'!$A65,""))</f>
        <v/>
      </c>
      <c r="B65" s="16">
        <f>IF($A65="","",IFERROR(SUMIF(tblMotor[A_Norm],$A65,tblMotor[NetKar]),0))</f>
        <v/>
      </c>
      <c r="C65" s="16">
        <f>IF($A65="","",IFERROR(SUMIF(tblMotor[A_Norm],$A65,tblMotor[BasabasFiyat]),0))</f>
        <v/>
      </c>
      <c r="D65" s="16">
        <f>IF($A65="","",IFERROR(INDEX(tblMotor[KararSatir],MATCH($A65,tblMotor[A_Norm],0)),""))</f>
        <v/>
      </c>
      <c r="E65" s="16">
        <f>IF($A65="","",IF($B65&lt;0,"YUKSEK","NORMAL"))</f>
        <v/>
      </c>
      <c r="F65" s="16">
        <f>IF($A65="","",_xlfn.TEXTJOIN(" ",TRUE,"SKU",$A65,"karar",$D65,"net",TEXT($B65,"0.00"),"başabaş",TEXT($C65,"0.00"),"TL"))</f>
        <v/>
      </c>
    </row>
    <row r="66">
      <c r="A66" s="16">
        <f>IF('ESLESTIRME'!$A66="","",IF('ESLESTIRME'!$G66="tutar_farki",'ESLESTIRME'!$A66,""))</f>
        <v/>
      </c>
      <c r="B66" s="16">
        <f>IF($A66="","",IFERROR(SUMIF(tblMotor[A_Norm],$A66,tblMotor[NetKar]),0))</f>
        <v/>
      </c>
      <c r="C66" s="16">
        <f>IF($A66="","",IFERROR(SUMIF(tblMotor[A_Norm],$A66,tblMotor[BasabasFiyat]),0))</f>
        <v/>
      </c>
      <c r="D66" s="16">
        <f>IF($A66="","",IFERROR(INDEX(tblMotor[KararSatir],MATCH($A66,tblMotor[A_Norm],0)),""))</f>
        <v/>
      </c>
      <c r="E66" s="16">
        <f>IF($A66="","",IF($B66&lt;0,"YUKSEK","NORMAL"))</f>
        <v/>
      </c>
      <c r="F66" s="16">
        <f>IF($A66="","",_xlfn.TEXTJOIN(" ",TRUE,"SKU",$A66,"karar",$D66,"net",TEXT($B66,"0.00"),"başabaş",TEXT($C66,"0.00"),"TL"))</f>
        <v/>
      </c>
    </row>
    <row r="67">
      <c r="A67" s="16">
        <f>IF('ESLESTIRME'!$A67="","",IF('ESLESTIRME'!$G67="tutar_farki",'ESLESTIRME'!$A67,""))</f>
        <v/>
      </c>
      <c r="B67" s="16">
        <f>IF($A67="","",IFERROR(SUMIF(tblMotor[A_Norm],$A67,tblMotor[NetKar]),0))</f>
        <v/>
      </c>
      <c r="C67" s="16">
        <f>IF($A67="","",IFERROR(SUMIF(tblMotor[A_Norm],$A67,tblMotor[BasabasFiyat]),0))</f>
        <v/>
      </c>
      <c r="D67" s="16">
        <f>IF($A67="","",IFERROR(INDEX(tblMotor[KararSatir],MATCH($A67,tblMotor[A_Norm],0)),""))</f>
        <v/>
      </c>
      <c r="E67" s="16">
        <f>IF($A67="","",IF($B67&lt;0,"YUKSEK","NORMAL"))</f>
        <v/>
      </c>
      <c r="F67" s="16">
        <f>IF($A67="","",_xlfn.TEXTJOIN(" ",TRUE,"SKU",$A67,"karar",$D67,"net",TEXT($B67,"0.00"),"başabaş",TEXT($C67,"0.00"),"TL"))</f>
        <v/>
      </c>
    </row>
    <row r="68">
      <c r="A68" s="16">
        <f>IF('ESLESTIRME'!$A68="","",IF('ESLESTIRME'!$G68="tutar_farki",'ESLESTIRME'!$A68,""))</f>
        <v/>
      </c>
      <c r="B68" s="16">
        <f>IF($A68="","",IFERROR(SUMIF(tblMotor[A_Norm],$A68,tblMotor[NetKar]),0))</f>
        <v/>
      </c>
      <c r="C68" s="16">
        <f>IF($A68="","",IFERROR(SUMIF(tblMotor[A_Norm],$A68,tblMotor[BasabasFiyat]),0))</f>
        <v/>
      </c>
      <c r="D68" s="16">
        <f>IF($A68="","",IFERROR(INDEX(tblMotor[KararSatir],MATCH($A68,tblMotor[A_Norm],0)),""))</f>
        <v/>
      </c>
      <c r="E68" s="16">
        <f>IF($A68="","",IF($B68&lt;0,"YUKSEK","NORMAL"))</f>
        <v/>
      </c>
      <c r="F68" s="16">
        <f>IF($A68="","",_xlfn.TEXTJOIN(" ",TRUE,"SKU",$A68,"karar",$D68,"net",TEXT($B68,"0.00"),"başabaş",TEXT($C68,"0.00"),"TL"))</f>
        <v/>
      </c>
    </row>
    <row r="69">
      <c r="A69" s="16">
        <f>IF('ESLESTIRME'!$A69="","",IF('ESLESTIRME'!$G69="tutar_farki",'ESLESTIRME'!$A69,""))</f>
        <v/>
      </c>
      <c r="B69" s="16">
        <f>IF($A69="","",IFERROR(SUMIF(tblMotor[A_Norm],$A69,tblMotor[NetKar]),0))</f>
        <v/>
      </c>
      <c r="C69" s="16">
        <f>IF($A69="","",IFERROR(SUMIF(tblMotor[A_Norm],$A69,tblMotor[BasabasFiyat]),0))</f>
        <v/>
      </c>
      <c r="D69" s="16">
        <f>IF($A69="","",IFERROR(INDEX(tblMotor[KararSatir],MATCH($A69,tblMotor[A_Norm],0)),""))</f>
        <v/>
      </c>
      <c r="E69" s="16">
        <f>IF($A69="","",IF($B69&lt;0,"YUKSEK","NORMAL"))</f>
        <v/>
      </c>
      <c r="F69" s="16">
        <f>IF($A69="","",_xlfn.TEXTJOIN(" ",TRUE,"SKU",$A69,"karar",$D69,"net",TEXT($B69,"0.00"),"başabaş",TEXT($C69,"0.00"),"TL"))</f>
        <v/>
      </c>
    </row>
    <row r="70">
      <c r="A70" s="16">
        <f>IF('ESLESTIRME'!$A70="","",IF('ESLESTIRME'!$G70="tutar_farki",'ESLESTIRME'!$A70,""))</f>
        <v/>
      </c>
      <c r="B70" s="16">
        <f>IF($A70="","",IFERROR(SUMIF(tblMotor[A_Norm],$A70,tblMotor[NetKar]),0))</f>
        <v/>
      </c>
      <c r="C70" s="16">
        <f>IF($A70="","",IFERROR(SUMIF(tblMotor[A_Norm],$A70,tblMotor[BasabasFiyat]),0))</f>
        <v/>
      </c>
      <c r="D70" s="16">
        <f>IF($A70="","",IFERROR(INDEX(tblMotor[KararSatir],MATCH($A70,tblMotor[A_Norm],0)),""))</f>
        <v/>
      </c>
      <c r="E70" s="16">
        <f>IF($A70="","",IF($B70&lt;0,"YUKSEK","NORMAL"))</f>
        <v/>
      </c>
      <c r="F70" s="16">
        <f>IF($A70="","",_xlfn.TEXTJOIN(" ",TRUE,"SKU",$A70,"karar",$D70,"net",TEXT($B70,"0.00"),"başabaş",TEXT($C70,"0.00"),"TL"))</f>
        <v/>
      </c>
    </row>
    <row r="71">
      <c r="A71" s="16">
        <f>IF('ESLESTIRME'!$A71="","",IF('ESLESTIRME'!$G71="tutar_farki",'ESLESTIRME'!$A71,""))</f>
        <v/>
      </c>
      <c r="B71" s="16">
        <f>IF($A71="","",IFERROR(SUMIF(tblMotor[A_Norm],$A71,tblMotor[NetKar]),0))</f>
        <v/>
      </c>
      <c r="C71" s="16">
        <f>IF($A71="","",IFERROR(SUMIF(tblMotor[A_Norm],$A71,tblMotor[BasabasFiyat]),0))</f>
        <v/>
      </c>
      <c r="D71" s="16">
        <f>IF($A71="","",IFERROR(INDEX(tblMotor[KararSatir],MATCH($A71,tblMotor[A_Norm],0)),""))</f>
        <v/>
      </c>
      <c r="E71" s="16">
        <f>IF($A71="","",IF($B71&lt;0,"YUKSEK","NORMAL"))</f>
        <v/>
      </c>
      <c r="F71" s="16">
        <f>IF($A71="","",_xlfn.TEXTJOIN(" ",TRUE,"SKU",$A71,"karar",$D71,"net",TEXT($B71,"0.00"),"başabaş",TEXT($C71,"0.00"),"TL"))</f>
        <v/>
      </c>
    </row>
    <row r="72">
      <c r="A72" s="16">
        <f>IF('ESLESTIRME'!$A72="","",IF('ESLESTIRME'!$G72="tutar_farki",'ESLESTIRME'!$A72,""))</f>
        <v/>
      </c>
      <c r="B72" s="16">
        <f>IF($A72="","",IFERROR(SUMIF(tblMotor[A_Norm],$A72,tblMotor[NetKar]),0))</f>
        <v/>
      </c>
      <c r="C72" s="16">
        <f>IF($A72="","",IFERROR(SUMIF(tblMotor[A_Norm],$A72,tblMotor[BasabasFiyat]),0))</f>
        <v/>
      </c>
      <c r="D72" s="16">
        <f>IF($A72="","",IFERROR(INDEX(tblMotor[KararSatir],MATCH($A72,tblMotor[A_Norm],0)),""))</f>
        <v/>
      </c>
      <c r="E72" s="16">
        <f>IF($A72="","",IF($B72&lt;0,"YUKSEK","NORMAL"))</f>
        <v/>
      </c>
      <c r="F72" s="16">
        <f>IF($A72="","",_xlfn.TEXTJOIN(" ",TRUE,"SKU",$A72,"karar",$D72,"net",TEXT($B72,"0.00"),"başabaş",TEXT($C72,"0.00"),"TL"))</f>
        <v/>
      </c>
    </row>
    <row r="73">
      <c r="A73" s="16">
        <f>IF('ESLESTIRME'!$A73="","",IF('ESLESTIRME'!$G73="tutar_farki",'ESLESTIRME'!$A73,""))</f>
        <v/>
      </c>
      <c r="B73" s="16">
        <f>IF($A73="","",IFERROR(SUMIF(tblMotor[A_Norm],$A73,tblMotor[NetKar]),0))</f>
        <v/>
      </c>
      <c r="C73" s="16">
        <f>IF($A73="","",IFERROR(SUMIF(tblMotor[A_Norm],$A73,tblMotor[BasabasFiyat]),0))</f>
        <v/>
      </c>
      <c r="D73" s="16">
        <f>IF($A73="","",IFERROR(INDEX(tblMotor[KararSatir],MATCH($A73,tblMotor[A_Norm],0)),""))</f>
        <v/>
      </c>
      <c r="E73" s="16">
        <f>IF($A73="","",IF($B73&lt;0,"YUKSEK","NORMAL"))</f>
        <v/>
      </c>
      <c r="F73" s="16">
        <f>IF($A73="","",_xlfn.TEXTJOIN(" ",TRUE,"SKU",$A73,"karar",$D73,"net",TEXT($B73,"0.00"),"başabaş",TEXT($C73,"0.00"),"TL"))</f>
        <v/>
      </c>
    </row>
    <row r="74">
      <c r="A74" s="16">
        <f>IF('ESLESTIRME'!$A74="","",IF('ESLESTIRME'!$G74="tutar_farki",'ESLESTIRME'!$A74,""))</f>
        <v/>
      </c>
      <c r="B74" s="16">
        <f>IF($A74="","",IFERROR(SUMIF(tblMotor[A_Norm],$A74,tblMotor[NetKar]),0))</f>
        <v/>
      </c>
      <c r="C74" s="16">
        <f>IF($A74="","",IFERROR(SUMIF(tblMotor[A_Norm],$A74,tblMotor[BasabasFiyat]),0))</f>
        <v/>
      </c>
      <c r="D74" s="16">
        <f>IF($A74="","",IFERROR(INDEX(tblMotor[KararSatir],MATCH($A74,tblMotor[A_Norm],0)),""))</f>
        <v/>
      </c>
      <c r="E74" s="16">
        <f>IF($A74="","",IF($B74&lt;0,"YUKSEK","NORMAL"))</f>
        <v/>
      </c>
      <c r="F74" s="16">
        <f>IF($A74="","",_xlfn.TEXTJOIN(" ",TRUE,"SKU",$A74,"karar",$D74,"net",TEXT($B74,"0.00"),"başabaş",TEXT($C74,"0.00"),"TL"))</f>
        <v/>
      </c>
    </row>
    <row r="75">
      <c r="A75" s="16">
        <f>IF('ESLESTIRME'!$A75="","",IF('ESLESTIRME'!$G75="tutar_farki",'ESLESTIRME'!$A75,""))</f>
        <v/>
      </c>
      <c r="B75" s="16">
        <f>IF($A75="","",IFERROR(SUMIF(tblMotor[A_Norm],$A75,tblMotor[NetKar]),0))</f>
        <v/>
      </c>
      <c r="C75" s="16">
        <f>IF($A75="","",IFERROR(SUMIF(tblMotor[A_Norm],$A75,tblMotor[BasabasFiyat]),0))</f>
        <v/>
      </c>
      <c r="D75" s="16">
        <f>IF($A75="","",IFERROR(INDEX(tblMotor[KararSatir],MATCH($A75,tblMotor[A_Norm],0)),""))</f>
        <v/>
      </c>
      <c r="E75" s="16">
        <f>IF($A75="","",IF($B75&lt;0,"YUKSEK","NORMAL"))</f>
        <v/>
      </c>
      <c r="F75" s="16">
        <f>IF($A75="","",_xlfn.TEXTJOIN(" ",TRUE,"SKU",$A75,"karar",$D75,"net",TEXT($B75,"0.00"),"başabaş",TEXT($C75,"0.00"),"TL"))</f>
        <v/>
      </c>
    </row>
    <row r="76">
      <c r="A76" s="16">
        <f>IF('ESLESTIRME'!$A76="","",IF('ESLESTIRME'!$G76="tutar_farki",'ESLESTIRME'!$A76,""))</f>
        <v/>
      </c>
      <c r="B76" s="16">
        <f>IF($A76="","",IFERROR(SUMIF(tblMotor[A_Norm],$A76,tblMotor[NetKar]),0))</f>
        <v/>
      </c>
      <c r="C76" s="16">
        <f>IF($A76="","",IFERROR(SUMIF(tblMotor[A_Norm],$A76,tblMotor[BasabasFiyat]),0))</f>
        <v/>
      </c>
      <c r="D76" s="16">
        <f>IF($A76="","",IFERROR(INDEX(tblMotor[KararSatir],MATCH($A76,tblMotor[A_Norm],0)),""))</f>
        <v/>
      </c>
      <c r="E76" s="16">
        <f>IF($A76="","",IF($B76&lt;0,"YUKSEK","NORMAL"))</f>
        <v/>
      </c>
      <c r="F76" s="16">
        <f>IF($A76="","",_xlfn.TEXTJOIN(" ",TRUE,"SKU",$A76,"karar",$D76,"net",TEXT($B76,"0.00"),"başabaş",TEXT($C76,"0.00"),"TL"))</f>
        <v/>
      </c>
    </row>
    <row r="77">
      <c r="A77" s="16">
        <f>IF('ESLESTIRME'!$A77="","",IF('ESLESTIRME'!$G77="tutar_farki",'ESLESTIRME'!$A77,""))</f>
        <v/>
      </c>
      <c r="B77" s="16">
        <f>IF($A77="","",IFERROR(SUMIF(tblMotor[A_Norm],$A77,tblMotor[NetKar]),0))</f>
        <v/>
      </c>
      <c r="C77" s="16">
        <f>IF($A77="","",IFERROR(SUMIF(tblMotor[A_Norm],$A77,tblMotor[BasabasFiyat]),0))</f>
        <v/>
      </c>
      <c r="D77" s="16">
        <f>IF($A77="","",IFERROR(INDEX(tblMotor[KararSatir],MATCH($A77,tblMotor[A_Norm],0)),""))</f>
        <v/>
      </c>
      <c r="E77" s="16">
        <f>IF($A77="","",IF($B77&lt;0,"YUKSEK","NORMAL"))</f>
        <v/>
      </c>
      <c r="F77" s="16">
        <f>IF($A77="","",_xlfn.TEXTJOIN(" ",TRUE,"SKU",$A77,"karar",$D77,"net",TEXT($B77,"0.00"),"başabaş",TEXT($C77,"0.00"),"TL"))</f>
        <v/>
      </c>
    </row>
    <row r="78">
      <c r="A78" s="16">
        <f>IF('ESLESTIRME'!$A78="","",IF('ESLESTIRME'!$G78="tutar_farki",'ESLESTIRME'!$A78,""))</f>
        <v/>
      </c>
      <c r="B78" s="16">
        <f>IF($A78="","",IFERROR(SUMIF(tblMotor[A_Norm],$A78,tblMotor[NetKar]),0))</f>
        <v/>
      </c>
      <c r="C78" s="16">
        <f>IF($A78="","",IFERROR(SUMIF(tblMotor[A_Norm],$A78,tblMotor[BasabasFiyat]),0))</f>
        <v/>
      </c>
      <c r="D78" s="16">
        <f>IF($A78="","",IFERROR(INDEX(tblMotor[KararSatir],MATCH($A78,tblMotor[A_Norm],0)),""))</f>
        <v/>
      </c>
      <c r="E78" s="16">
        <f>IF($A78="","",IF($B78&lt;0,"YUKSEK","NORMAL"))</f>
        <v/>
      </c>
      <c r="F78" s="16">
        <f>IF($A78="","",_xlfn.TEXTJOIN(" ",TRUE,"SKU",$A78,"karar",$D78,"net",TEXT($B78,"0.00"),"başabaş",TEXT($C78,"0.00"),"TL"))</f>
        <v/>
      </c>
    </row>
    <row r="79">
      <c r="A79" s="16">
        <f>IF('ESLESTIRME'!$A79="","",IF('ESLESTIRME'!$G79="tutar_farki",'ESLESTIRME'!$A79,""))</f>
        <v/>
      </c>
      <c r="B79" s="16">
        <f>IF($A79="","",IFERROR(SUMIF(tblMotor[A_Norm],$A79,tblMotor[NetKar]),0))</f>
        <v/>
      </c>
      <c r="C79" s="16">
        <f>IF($A79="","",IFERROR(SUMIF(tblMotor[A_Norm],$A79,tblMotor[BasabasFiyat]),0))</f>
        <v/>
      </c>
      <c r="D79" s="16">
        <f>IF($A79="","",IFERROR(INDEX(tblMotor[KararSatir],MATCH($A79,tblMotor[A_Norm],0)),""))</f>
        <v/>
      </c>
      <c r="E79" s="16">
        <f>IF($A79="","",IF($B79&lt;0,"YUKSEK","NORMAL"))</f>
        <v/>
      </c>
      <c r="F79" s="16">
        <f>IF($A79="","",_xlfn.TEXTJOIN(" ",TRUE,"SKU",$A79,"karar",$D79,"net",TEXT($B79,"0.00"),"başabaş",TEXT($C79,"0.00"),"TL"))</f>
        <v/>
      </c>
    </row>
    <row r="80">
      <c r="A80" s="16">
        <f>IF('ESLESTIRME'!$A80="","",IF('ESLESTIRME'!$G80="tutar_farki",'ESLESTIRME'!$A80,""))</f>
        <v/>
      </c>
      <c r="B80" s="16">
        <f>IF($A80="","",IFERROR(SUMIF(tblMotor[A_Norm],$A80,tblMotor[NetKar]),0))</f>
        <v/>
      </c>
      <c r="C80" s="16">
        <f>IF($A80="","",IFERROR(SUMIF(tblMotor[A_Norm],$A80,tblMotor[BasabasFiyat]),0))</f>
        <v/>
      </c>
      <c r="D80" s="16">
        <f>IF($A80="","",IFERROR(INDEX(tblMotor[KararSatir],MATCH($A80,tblMotor[A_Norm],0)),""))</f>
        <v/>
      </c>
      <c r="E80" s="16">
        <f>IF($A80="","",IF($B80&lt;0,"YUKSEK","NORMAL"))</f>
        <v/>
      </c>
      <c r="F80" s="16">
        <f>IF($A80="","",_xlfn.TEXTJOIN(" ",TRUE,"SKU",$A80,"karar",$D80,"net",TEXT($B80,"0.00"),"başabaş",TEXT($C80,"0.00"),"TL"))</f>
        <v/>
      </c>
    </row>
    <row r="81">
      <c r="A81" s="16">
        <f>IF('ESLESTIRME'!$A81="","",IF('ESLESTIRME'!$G81="tutar_farki",'ESLESTIRME'!$A81,""))</f>
        <v/>
      </c>
      <c r="B81" s="16">
        <f>IF($A81="","",IFERROR(SUMIF(tblMotor[A_Norm],$A81,tblMotor[NetKar]),0))</f>
        <v/>
      </c>
      <c r="C81" s="16">
        <f>IF($A81="","",IFERROR(SUMIF(tblMotor[A_Norm],$A81,tblMotor[BasabasFiyat]),0))</f>
        <v/>
      </c>
      <c r="D81" s="16">
        <f>IF($A81="","",IFERROR(INDEX(tblMotor[KararSatir],MATCH($A81,tblMotor[A_Norm],0)),""))</f>
        <v/>
      </c>
      <c r="E81" s="16">
        <f>IF($A81="","",IF($B81&lt;0,"YUKSEK","NORMAL"))</f>
        <v/>
      </c>
      <c r="F81" s="16">
        <f>IF($A81="","",_xlfn.TEXTJOIN(" ",TRUE,"SKU",$A81,"karar",$D81,"net",TEXT($B81,"0.00"),"başabaş",TEXT($C81,"0.00"),"TL"))</f>
        <v/>
      </c>
    </row>
    <row r="82">
      <c r="A82" s="16">
        <f>IF('ESLESTIRME'!$A82="","",IF('ESLESTIRME'!$G82="tutar_farki",'ESLESTIRME'!$A82,""))</f>
        <v/>
      </c>
      <c r="B82" s="16">
        <f>IF($A82="","",IFERROR(SUMIF(tblMotor[A_Norm],$A82,tblMotor[NetKar]),0))</f>
        <v/>
      </c>
      <c r="C82" s="16">
        <f>IF($A82="","",IFERROR(SUMIF(tblMotor[A_Norm],$A82,tblMotor[BasabasFiyat]),0))</f>
        <v/>
      </c>
      <c r="D82" s="16">
        <f>IF($A82="","",IFERROR(INDEX(tblMotor[KararSatir],MATCH($A82,tblMotor[A_Norm],0)),""))</f>
        <v/>
      </c>
      <c r="E82" s="16">
        <f>IF($A82="","",IF($B82&lt;0,"YUKSEK","NORMAL"))</f>
        <v/>
      </c>
      <c r="F82" s="16">
        <f>IF($A82="","",_xlfn.TEXTJOIN(" ",TRUE,"SKU",$A82,"karar",$D82,"net",TEXT($B82,"0.00"),"başabaş",TEXT($C82,"0.00"),"TL"))</f>
        <v/>
      </c>
    </row>
    <row r="83">
      <c r="A83" s="16">
        <f>IF('ESLESTIRME'!$A83="","",IF('ESLESTIRME'!$G83="tutar_farki",'ESLESTIRME'!$A83,""))</f>
        <v/>
      </c>
      <c r="B83" s="16">
        <f>IF($A83="","",IFERROR(SUMIF(tblMotor[A_Norm],$A83,tblMotor[NetKar]),0))</f>
        <v/>
      </c>
      <c r="C83" s="16">
        <f>IF($A83="","",IFERROR(SUMIF(tblMotor[A_Norm],$A83,tblMotor[BasabasFiyat]),0))</f>
        <v/>
      </c>
      <c r="D83" s="16">
        <f>IF($A83="","",IFERROR(INDEX(tblMotor[KararSatir],MATCH($A83,tblMotor[A_Norm],0)),""))</f>
        <v/>
      </c>
      <c r="E83" s="16">
        <f>IF($A83="","",IF($B83&lt;0,"YUKSEK","NORMAL"))</f>
        <v/>
      </c>
      <c r="F83" s="16">
        <f>IF($A83="","",_xlfn.TEXTJOIN(" ",TRUE,"SKU",$A83,"karar",$D83,"net",TEXT($B83,"0.00"),"başabaş",TEXT($C83,"0.00"),"TL"))</f>
        <v/>
      </c>
    </row>
    <row r="84">
      <c r="A84" s="16">
        <f>IF('ESLESTIRME'!$A84="","",IF('ESLESTIRME'!$G84="tutar_farki",'ESLESTIRME'!$A84,""))</f>
        <v/>
      </c>
      <c r="B84" s="16">
        <f>IF($A84="","",IFERROR(SUMIF(tblMotor[A_Norm],$A84,tblMotor[NetKar]),0))</f>
        <v/>
      </c>
      <c r="C84" s="16">
        <f>IF($A84="","",IFERROR(SUMIF(tblMotor[A_Norm],$A84,tblMotor[BasabasFiyat]),0))</f>
        <v/>
      </c>
      <c r="D84" s="16">
        <f>IF($A84="","",IFERROR(INDEX(tblMotor[KararSatir],MATCH($A84,tblMotor[A_Norm],0)),""))</f>
        <v/>
      </c>
      <c r="E84" s="16">
        <f>IF($A84="","",IF($B84&lt;0,"YUKSEK","NORMAL"))</f>
        <v/>
      </c>
      <c r="F84" s="16">
        <f>IF($A84="","",_xlfn.TEXTJOIN(" ",TRUE,"SKU",$A84,"karar",$D84,"net",TEXT($B84,"0.00"),"başabaş",TEXT($C84,"0.00"),"TL"))</f>
        <v/>
      </c>
    </row>
    <row r="85">
      <c r="A85" s="16">
        <f>IF('ESLESTIRME'!$A85="","",IF('ESLESTIRME'!$G85="tutar_farki",'ESLESTIRME'!$A85,""))</f>
        <v/>
      </c>
      <c r="B85" s="16">
        <f>IF($A85="","",IFERROR(SUMIF(tblMotor[A_Norm],$A85,tblMotor[NetKar]),0))</f>
        <v/>
      </c>
      <c r="C85" s="16">
        <f>IF($A85="","",IFERROR(SUMIF(tblMotor[A_Norm],$A85,tblMotor[BasabasFiyat]),0))</f>
        <v/>
      </c>
      <c r="D85" s="16">
        <f>IF($A85="","",IFERROR(INDEX(tblMotor[KararSatir],MATCH($A85,tblMotor[A_Norm],0)),""))</f>
        <v/>
      </c>
      <c r="E85" s="16">
        <f>IF($A85="","",IF($B85&lt;0,"YUKSEK","NORMAL"))</f>
        <v/>
      </c>
      <c r="F85" s="16">
        <f>IF($A85="","",_xlfn.TEXTJOIN(" ",TRUE,"SKU",$A85,"karar",$D85,"net",TEXT($B85,"0.00"),"başabaş",TEXT($C85,"0.00"),"TL"))</f>
        <v/>
      </c>
    </row>
    <row r="86">
      <c r="A86" s="16">
        <f>IF('ESLESTIRME'!$A86="","",IF('ESLESTIRME'!$G86="tutar_farki",'ESLESTIRME'!$A86,""))</f>
        <v/>
      </c>
      <c r="B86" s="16">
        <f>IF($A86="","",IFERROR(SUMIF(tblMotor[A_Norm],$A86,tblMotor[NetKar]),0))</f>
        <v/>
      </c>
      <c r="C86" s="16">
        <f>IF($A86="","",IFERROR(SUMIF(tblMotor[A_Norm],$A86,tblMotor[BasabasFiyat]),0))</f>
        <v/>
      </c>
      <c r="D86" s="16">
        <f>IF($A86="","",IFERROR(INDEX(tblMotor[KararSatir],MATCH($A86,tblMotor[A_Norm],0)),""))</f>
        <v/>
      </c>
      <c r="E86" s="16">
        <f>IF($A86="","",IF($B86&lt;0,"YUKSEK","NORMAL"))</f>
        <v/>
      </c>
      <c r="F86" s="16">
        <f>IF($A86="","",_xlfn.TEXTJOIN(" ",TRUE,"SKU",$A86,"karar",$D86,"net",TEXT($B86,"0.00"),"başabaş",TEXT($C86,"0.00"),"TL"))</f>
        <v/>
      </c>
    </row>
    <row r="87">
      <c r="A87" s="16">
        <f>IF('ESLESTIRME'!$A87="","",IF('ESLESTIRME'!$G87="tutar_farki",'ESLESTIRME'!$A87,""))</f>
        <v/>
      </c>
      <c r="B87" s="16">
        <f>IF($A87="","",IFERROR(SUMIF(tblMotor[A_Norm],$A87,tblMotor[NetKar]),0))</f>
        <v/>
      </c>
      <c r="C87" s="16">
        <f>IF($A87="","",IFERROR(SUMIF(tblMotor[A_Norm],$A87,tblMotor[BasabasFiyat]),0))</f>
        <v/>
      </c>
      <c r="D87" s="16">
        <f>IF($A87="","",IFERROR(INDEX(tblMotor[KararSatir],MATCH($A87,tblMotor[A_Norm],0)),""))</f>
        <v/>
      </c>
      <c r="E87" s="16">
        <f>IF($A87="","",IF($B87&lt;0,"YUKSEK","NORMAL"))</f>
        <v/>
      </c>
      <c r="F87" s="16">
        <f>IF($A87="","",_xlfn.TEXTJOIN(" ",TRUE,"SKU",$A87,"karar",$D87,"net",TEXT($B87,"0.00"),"başabaş",TEXT($C87,"0.00"),"TL"))</f>
        <v/>
      </c>
    </row>
    <row r="88">
      <c r="A88" s="16">
        <f>IF('ESLESTIRME'!$A88="","",IF('ESLESTIRME'!$G88="tutar_farki",'ESLESTIRME'!$A88,""))</f>
        <v/>
      </c>
      <c r="B88" s="16">
        <f>IF($A88="","",IFERROR(SUMIF(tblMotor[A_Norm],$A88,tblMotor[NetKar]),0))</f>
        <v/>
      </c>
      <c r="C88" s="16">
        <f>IF($A88="","",IFERROR(SUMIF(tblMotor[A_Norm],$A88,tblMotor[BasabasFiyat]),0))</f>
        <v/>
      </c>
      <c r="D88" s="16">
        <f>IF($A88="","",IFERROR(INDEX(tblMotor[KararSatir],MATCH($A88,tblMotor[A_Norm],0)),""))</f>
        <v/>
      </c>
      <c r="E88" s="16">
        <f>IF($A88="","",IF($B88&lt;0,"YUKSEK","NORMAL"))</f>
        <v/>
      </c>
      <c r="F88" s="16">
        <f>IF($A88="","",_xlfn.TEXTJOIN(" ",TRUE,"SKU",$A88,"karar",$D88,"net",TEXT($B88,"0.00"),"başabaş",TEXT($C88,"0.00"),"TL"))</f>
        <v/>
      </c>
    </row>
    <row r="89">
      <c r="A89" s="16">
        <f>IF('ESLESTIRME'!$A89="","",IF('ESLESTIRME'!$G89="tutar_farki",'ESLESTIRME'!$A89,""))</f>
        <v/>
      </c>
      <c r="B89" s="16">
        <f>IF($A89="","",IFERROR(SUMIF(tblMotor[A_Norm],$A89,tblMotor[NetKar]),0))</f>
        <v/>
      </c>
      <c r="C89" s="16">
        <f>IF($A89="","",IFERROR(SUMIF(tblMotor[A_Norm],$A89,tblMotor[BasabasFiyat]),0))</f>
        <v/>
      </c>
      <c r="D89" s="16">
        <f>IF($A89="","",IFERROR(INDEX(tblMotor[KararSatir],MATCH($A89,tblMotor[A_Norm],0)),""))</f>
        <v/>
      </c>
      <c r="E89" s="16">
        <f>IF($A89="","",IF($B89&lt;0,"YUKSEK","NORMAL"))</f>
        <v/>
      </c>
      <c r="F89" s="16">
        <f>IF($A89="","",_xlfn.TEXTJOIN(" ",TRUE,"SKU",$A89,"karar",$D89,"net",TEXT($B89,"0.00"),"başabaş",TEXT($C89,"0.00"),"TL"))</f>
        <v/>
      </c>
    </row>
    <row r="90">
      <c r="A90" s="16">
        <f>IF('ESLESTIRME'!$A90="","",IF('ESLESTIRME'!$G90="tutar_farki",'ESLESTIRME'!$A90,""))</f>
        <v/>
      </c>
      <c r="B90" s="16">
        <f>IF($A90="","",IFERROR(SUMIF(tblMotor[A_Norm],$A90,tblMotor[NetKar]),0))</f>
        <v/>
      </c>
      <c r="C90" s="16">
        <f>IF($A90="","",IFERROR(SUMIF(tblMotor[A_Norm],$A90,tblMotor[BasabasFiyat]),0))</f>
        <v/>
      </c>
      <c r="D90" s="16">
        <f>IF($A90="","",IFERROR(INDEX(tblMotor[KararSatir],MATCH($A90,tblMotor[A_Norm],0)),""))</f>
        <v/>
      </c>
      <c r="E90" s="16">
        <f>IF($A90="","",IF($B90&lt;0,"YUKSEK","NORMAL"))</f>
        <v/>
      </c>
      <c r="F90" s="16">
        <f>IF($A90="","",_xlfn.TEXTJOIN(" ",TRUE,"SKU",$A90,"karar",$D90,"net",TEXT($B90,"0.00"),"başabaş",TEXT($C90,"0.00"),"TL"))</f>
        <v/>
      </c>
    </row>
    <row r="91">
      <c r="A91" s="16">
        <f>IF('ESLESTIRME'!$A91="","",IF('ESLESTIRME'!$G91="tutar_farki",'ESLESTIRME'!$A91,""))</f>
        <v/>
      </c>
      <c r="B91" s="16">
        <f>IF($A91="","",IFERROR(SUMIF(tblMotor[A_Norm],$A91,tblMotor[NetKar]),0))</f>
        <v/>
      </c>
      <c r="C91" s="16">
        <f>IF($A91="","",IFERROR(SUMIF(tblMotor[A_Norm],$A91,tblMotor[BasabasFiyat]),0))</f>
        <v/>
      </c>
      <c r="D91" s="16">
        <f>IF($A91="","",IFERROR(INDEX(tblMotor[KararSatir],MATCH($A91,tblMotor[A_Norm],0)),""))</f>
        <v/>
      </c>
      <c r="E91" s="16">
        <f>IF($A91="","",IF($B91&lt;0,"YUKSEK","NORMAL"))</f>
        <v/>
      </c>
      <c r="F91" s="16">
        <f>IF($A91="","",_xlfn.TEXTJOIN(" ",TRUE,"SKU",$A91,"karar",$D91,"net",TEXT($B91,"0.00"),"başabaş",TEXT($C91,"0.00"),"TL"))</f>
        <v/>
      </c>
    </row>
    <row r="92">
      <c r="A92" s="16">
        <f>IF('ESLESTIRME'!$A92="","",IF('ESLESTIRME'!$G92="tutar_farki",'ESLESTIRME'!$A92,""))</f>
        <v/>
      </c>
      <c r="B92" s="16">
        <f>IF($A92="","",IFERROR(SUMIF(tblMotor[A_Norm],$A92,tblMotor[NetKar]),0))</f>
        <v/>
      </c>
      <c r="C92" s="16">
        <f>IF($A92="","",IFERROR(SUMIF(tblMotor[A_Norm],$A92,tblMotor[BasabasFiyat]),0))</f>
        <v/>
      </c>
      <c r="D92" s="16">
        <f>IF($A92="","",IFERROR(INDEX(tblMotor[KararSatir],MATCH($A92,tblMotor[A_Norm],0)),""))</f>
        <v/>
      </c>
      <c r="E92" s="16">
        <f>IF($A92="","",IF($B92&lt;0,"YUKSEK","NORMAL"))</f>
        <v/>
      </c>
      <c r="F92" s="16">
        <f>IF($A92="","",_xlfn.TEXTJOIN(" ",TRUE,"SKU",$A92,"karar",$D92,"net",TEXT($B92,"0.00"),"başabaş",TEXT($C92,"0.00"),"TL"))</f>
        <v/>
      </c>
    </row>
    <row r="93">
      <c r="A93" s="16">
        <f>IF('ESLESTIRME'!$A93="","",IF('ESLESTIRME'!$G93="tutar_farki",'ESLESTIRME'!$A93,""))</f>
        <v/>
      </c>
      <c r="B93" s="16">
        <f>IF($A93="","",IFERROR(SUMIF(tblMotor[A_Norm],$A93,tblMotor[NetKar]),0))</f>
        <v/>
      </c>
      <c r="C93" s="16">
        <f>IF($A93="","",IFERROR(SUMIF(tblMotor[A_Norm],$A93,tblMotor[BasabasFiyat]),0))</f>
        <v/>
      </c>
      <c r="D93" s="16">
        <f>IF($A93="","",IFERROR(INDEX(tblMotor[KararSatir],MATCH($A93,tblMotor[A_Norm],0)),""))</f>
        <v/>
      </c>
      <c r="E93" s="16">
        <f>IF($A93="","",IF($B93&lt;0,"YUKSEK","NORMAL"))</f>
        <v/>
      </c>
      <c r="F93" s="16">
        <f>IF($A93="","",_xlfn.TEXTJOIN(" ",TRUE,"SKU",$A93,"karar",$D93,"net",TEXT($B93,"0.00"),"başabaş",TEXT($C93,"0.00"),"TL"))</f>
        <v/>
      </c>
    </row>
    <row r="94">
      <c r="A94" s="16">
        <f>IF('ESLESTIRME'!$A94="","",IF('ESLESTIRME'!$G94="tutar_farki",'ESLESTIRME'!$A94,""))</f>
        <v/>
      </c>
      <c r="B94" s="16">
        <f>IF($A94="","",IFERROR(SUMIF(tblMotor[A_Norm],$A94,tblMotor[NetKar]),0))</f>
        <v/>
      </c>
      <c r="C94" s="16">
        <f>IF($A94="","",IFERROR(SUMIF(tblMotor[A_Norm],$A94,tblMotor[BasabasFiyat]),0))</f>
        <v/>
      </c>
      <c r="D94" s="16">
        <f>IF($A94="","",IFERROR(INDEX(tblMotor[KararSatir],MATCH($A94,tblMotor[A_Norm],0)),""))</f>
        <v/>
      </c>
      <c r="E94" s="16">
        <f>IF($A94="","",IF($B94&lt;0,"YUKSEK","NORMAL"))</f>
        <v/>
      </c>
      <c r="F94" s="16">
        <f>IF($A94="","",_xlfn.TEXTJOIN(" ",TRUE,"SKU",$A94,"karar",$D94,"net",TEXT($B94,"0.00"),"başabaş",TEXT($C94,"0.00"),"TL"))</f>
        <v/>
      </c>
    </row>
    <row r="95">
      <c r="A95" s="16">
        <f>IF('ESLESTIRME'!$A95="","",IF('ESLESTIRME'!$G95="tutar_farki",'ESLESTIRME'!$A95,""))</f>
        <v/>
      </c>
      <c r="B95" s="16">
        <f>IF($A95="","",IFERROR(SUMIF(tblMotor[A_Norm],$A95,tblMotor[NetKar]),0))</f>
        <v/>
      </c>
      <c r="C95" s="16">
        <f>IF($A95="","",IFERROR(SUMIF(tblMotor[A_Norm],$A95,tblMotor[BasabasFiyat]),0))</f>
        <v/>
      </c>
      <c r="D95" s="16">
        <f>IF($A95="","",IFERROR(INDEX(tblMotor[KararSatir],MATCH($A95,tblMotor[A_Norm],0)),""))</f>
        <v/>
      </c>
      <c r="E95" s="16">
        <f>IF($A95="","",IF($B95&lt;0,"YUKSEK","NORMAL"))</f>
        <v/>
      </c>
      <c r="F95" s="16">
        <f>IF($A95="","",_xlfn.TEXTJOIN(" ",TRUE,"SKU",$A95,"karar",$D95,"net",TEXT($B95,"0.00"),"başabaş",TEXT($C95,"0.00"),"TL"))</f>
        <v/>
      </c>
    </row>
    <row r="96">
      <c r="A96" s="16">
        <f>IF('ESLESTIRME'!$A96="","",IF('ESLESTIRME'!$G96="tutar_farki",'ESLESTIRME'!$A96,""))</f>
        <v/>
      </c>
      <c r="B96" s="16">
        <f>IF($A96="","",IFERROR(SUMIF(tblMotor[A_Norm],$A96,tblMotor[NetKar]),0))</f>
        <v/>
      </c>
      <c r="C96" s="16">
        <f>IF($A96="","",IFERROR(SUMIF(tblMotor[A_Norm],$A96,tblMotor[BasabasFiyat]),0))</f>
        <v/>
      </c>
      <c r="D96" s="16">
        <f>IF($A96="","",IFERROR(INDEX(tblMotor[KararSatir],MATCH($A96,tblMotor[A_Norm],0)),""))</f>
        <v/>
      </c>
      <c r="E96" s="16">
        <f>IF($A96="","",IF($B96&lt;0,"YUKSEK","NORMAL"))</f>
        <v/>
      </c>
      <c r="F96" s="16">
        <f>IF($A96="","",_xlfn.TEXTJOIN(" ",TRUE,"SKU",$A96,"karar",$D96,"net",TEXT($B96,"0.00"),"başabaş",TEXT($C96,"0.00"),"TL"))</f>
        <v/>
      </c>
    </row>
    <row r="97">
      <c r="A97" s="16">
        <f>IF('ESLESTIRME'!$A97="","",IF('ESLESTIRME'!$G97="tutar_farki",'ESLESTIRME'!$A97,""))</f>
        <v/>
      </c>
      <c r="B97" s="16">
        <f>IF($A97="","",IFERROR(SUMIF(tblMotor[A_Norm],$A97,tblMotor[NetKar]),0))</f>
        <v/>
      </c>
      <c r="C97" s="16">
        <f>IF($A97="","",IFERROR(SUMIF(tblMotor[A_Norm],$A97,tblMotor[BasabasFiyat]),0))</f>
        <v/>
      </c>
      <c r="D97" s="16">
        <f>IF($A97="","",IFERROR(INDEX(tblMotor[KararSatir],MATCH($A97,tblMotor[A_Norm],0)),""))</f>
        <v/>
      </c>
      <c r="E97" s="16">
        <f>IF($A97="","",IF($B97&lt;0,"YUKSEK","NORMAL"))</f>
        <v/>
      </c>
      <c r="F97" s="16">
        <f>IF($A97="","",_xlfn.TEXTJOIN(" ",TRUE,"SKU",$A97,"karar",$D97,"net",TEXT($B97,"0.00"),"başabaş",TEXT($C97,"0.00"),"TL"))</f>
        <v/>
      </c>
    </row>
    <row r="98">
      <c r="A98" s="16">
        <f>IF('ESLESTIRME'!$A98="","",IF('ESLESTIRME'!$G98="tutar_farki",'ESLESTIRME'!$A98,""))</f>
        <v/>
      </c>
      <c r="B98" s="16">
        <f>IF($A98="","",IFERROR(SUMIF(tblMotor[A_Norm],$A98,tblMotor[NetKar]),0))</f>
        <v/>
      </c>
      <c r="C98" s="16">
        <f>IF($A98="","",IFERROR(SUMIF(tblMotor[A_Norm],$A98,tblMotor[BasabasFiyat]),0))</f>
        <v/>
      </c>
      <c r="D98" s="16">
        <f>IF($A98="","",IFERROR(INDEX(tblMotor[KararSatir],MATCH($A98,tblMotor[A_Norm],0)),""))</f>
        <v/>
      </c>
      <c r="E98" s="16">
        <f>IF($A98="","",IF($B98&lt;0,"YUKSEK","NORMAL"))</f>
        <v/>
      </c>
      <c r="F98" s="16">
        <f>IF($A98="","",_xlfn.TEXTJOIN(" ",TRUE,"SKU",$A98,"karar",$D98,"net",TEXT($B98,"0.00"),"başabaş",TEXT($C98,"0.00"),"TL"))</f>
        <v/>
      </c>
    </row>
    <row r="99">
      <c r="A99" s="16">
        <f>IF('ESLESTIRME'!$A99="","",IF('ESLESTIRME'!$G99="tutar_farki",'ESLESTIRME'!$A99,""))</f>
        <v/>
      </c>
      <c r="B99" s="16">
        <f>IF($A99="","",IFERROR(SUMIF(tblMotor[A_Norm],$A99,tblMotor[NetKar]),0))</f>
        <v/>
      </c>
      <c r="C99" s="16">
        <f>IF($A99="","",IFERROR(SUMIF(tblMotor[A_Norm],$A99,tblMotor[BasabasFiyat]),0))</f>
        <v/>
      </c>
      <c r="D99" s="16">
        <f>IF($A99="","",IFERROR(INDEX(tblMotor[KararSatir],MATCH($A99,tblMotor[A_Norm],0)),""))</f>
        <v/>
      </c>
      <c r="E99" s="16">
        <f>IF($A99="","",IF($B99&lt;0,"YUKSEK","NORMAL"))</f>
        <v/>
      </c>
      <c r="F99" s="16">
        <f>IF($A99="","",_xlfn.TEXTJOIN(" ",TRUE,"SKU",$A99,"karar",$D99,"net",TEXT($B99,"0.00"),"başabaş",TEXT($C99,"0.00"),"TL"))</f>
        <v/>
      </c>
    </row>
    <row r="100">
      <c r="A100" s="16">
        <f>IF('ESLESTIRME'!$A100="","",IF('ESLESTIRME'!$G100="tutar_farki",'ESLESTIRME'!$A100,""))</f>
        <v/>
      </c>
      <c r="B100" s="16">
        <f>IF($A100="","",IFERROR(SUMIF(tblMotor[A_Norm],$A100,tblMotor[NetKar]),0))</f>
        <v/>
      </c>
      <c r="C100" s="16">
        <f>IF($A100="","",IFERROR(SUMIF(tblMotor[A_Norm],$A100,tblMotor[BasabasFiyat]),0))</f>
        <v/>
      </c>
      <c r="D100" s="16">
        <f>IF($A100="","",IFERROR(INDEX(tblMotor[KararSatir],MATCH($A100,tblMotor[A_Norm],0)),""))</f>
        <v/>
      </c>
      <c r="E100" s="16">
        <f>IF($A100="","",IF($B100&lt;0,"YUKSEK","NORMAL"))</f>
        <v/>
      </c>
      <c r="F100" s="16">
        <f>IF($A100="","",_xlfn.TEXTJOIN(" ",TRUE,"SKU",$A100,"karar",$D100,"net",TEXT($B100,"0.00"),"başabaş",TEXT($C100,"0.00"),"TL"))</f>
        <v/>
      </c>
    </row>
    <row r="101">
      <c r="A101" s="16">
        <f>IF('ESLESTIRME'!$A101="","",IF('ESLESTIRME'!$G101="tutar_farki",'ESLESTIRME'!$A101,""))</f>
        <v/>
      </c>
      <c r="B101" s="16">
        <f>IF($A101="","",IFERROR(SUMIF(tblMotor[A_Norm],$A101,tblMotor[NetKar]),0))</f>
        <v/>
      </c>
      <c r="C101" s="16">
        <f>IF($A101="","",IFERROR(SUMIF(tblMotor[A_Norm],$A101,tblMotor[BasabasFiyat]),0))</f>
        <v/>
      </c>
      <c r="D101" s="16">
        <f>IF($A101="","",IFERROR(INDEX(tblMotor[KararSatir],MATCH($A101,tblMotor[A_Norm],0)),""))</f>
        <v/>
      </c>
      <c r="E101" s="16">
        <f>IF($A101="","",IF($B101&lt;0,"YUKSEK","NORMAL"))</f>
        <v/>
      </c>
      <c r="F101" s="16">
        <f>IF($A101="","",_xlfn.TEXTJOIN(" ",TRUE,"SKU",$A101,"karar",$D101,"net",TEXT($B101,"0.00"),"başabaş",TEXT($C101,"0.00"),"TL"))</f>
        <v/>
      </c>
    </row>
    <row r="102">
      <c r="A102" s="16">
        <f>IF('ESLESTIRME'!$A102="","",IF('ESLESTIRME'!$G102="tutar_farki",'ESLESTIRME'!$A102,""))</f>
        <v/>
      </c>
      <c r="B102" s="16">
        <f>IF($A102="","",IFERROR(SUMIF(tblMotor[A_Norm],$A102,tblMotor[NetKar]),0))</f>
        <v/>
      </c>
      <c r="C102" s="16">
        <f>IF($A102="","",IFERROR(SUMIF(tblMotor[A_Norm],$A102,tblMotor[BasabasFiyat]),0))</f>
        <v/>
      </c>
      <c r="D102" s="16">
        <f>IF($A102="","",IFERROR(INDEX(tblMotor[KararSatir],MATCH($A102,tblMotor[A_Norm],0)),""))</f>
        <v/>
      </c>
      <c r="E102" s="16">
        <f>IF($A102="","",IF($B102&lt;0,"YUKSEK","NORMAL"))</f>
        <v/>
      </c>
      <c r="F102" s="16">
        <f>IF($A102="","",_xlfn.TEXTJOIN(" ",TRUE,"SKU",$A102,"karar",$D102,"net",TEXT($B102,"0.00"),"başabaş",TEXT($C102,"0.00"),"TL"))</f>
        <v/>
      </c>
    </row>
    <row r="103">
      <c r="A103" s="16">
        <f>IF('ESLESTIRME'!$A103="","",IF('ESLESTIRME'!$G103="tutar_farki",'ESLESTIRME'!$A103,""))</f>
        <v/>
      </c>
      <c r="B103" s="16">
        <f>IF($A103="","",IFERROR(SUMIF(tblMotor[A_Norm],$A103,tblMotor[NetKar]),0))</f>
        <v/>
      </c>
      <c r="C103" s="16">
        <f>IF($A103="","",IFERROR(SUMIF(tblMotor[A_Norm],$A103,tblMotor[BasabasFiyat]),0))</f>
        <v/>
      </c>
      <c r="D103" s="16">
        <f>IF($A103="","",IFERROR(INDEX(tblMotor[KararSatir],MATCH($A103,tblMotor[A_Norm],0)),""))</f>
        <v/>
      </c>
      <c r="E103" s="16">
        <f>IF($A103="","",IF($B103&lt;0,"YUKSEK","NORMAL"))</f>
        <v/>
      </c>
      <c r="F103" s="16">
        <f>IF($A103="","",_xlfn.TEXTJOIN(" ",TRUE,"SKU",$A103,"karar",$D103,"net",TEXT($B103,"0.00"),"başabaş",TEXT($C103,"0.00"),"TL"))</f>
        <v/>
      </c>
    </row>
    <row r="104">
      <c r="A104" s="16">
        <f>IF('ESLESTIRME'!$A104="","",IF('ESLESTIRME'!$G104="tutar_farki",'ESLESTIRME'!$A104,""))</f>
        <v/>
      </c>
      <c r="B104" s="16">
        <f>IF($A104="","",IFERROR(SUMIF(tblMotor[A_Norm],$A104,tblMotor[NetKar]),0))</f>
        <v/>
      </c>
      <c r="C104" s="16">
        <f>IF($A104="","",IFERROR(SUMIF(tblMotor[A_Norm],$A104,tblMotor[BasabasFiyat]),0))</f>
        <v/>
      </c>
      <c r="D104" s="16">
        <f>IF($A104="","",IFERROR(INDEX(tblMotor[KararSatir],MATCH($A104,tblMotor[A_Norm],0)),""))</f>
        <v/>
      </c>
      <c r="E104" s="16">
        <f>IF($A104="","",IF($B104&lt;0,"YUKSEK","NORMAL"))</f>
        <v/>
      </c>
      <c r="F104" s="16">
        <f>IF($A104="","",_xlfn.TEXTJOIN(" ",TRUE,"SKU",$A104,"karar",$D104,"net",TEXT($B104,"0.00"),"başabaş",TEXT($C104,"0.00"),"TL"))</f>
        <v/>
      </c>
    </row>
    <row r="105">
      <c r="A105" s="16">
        <f>IF('ESLESTIRME'!$A105="","",IF('ESLESTIRME'!$G105="tutar_farki",'ESLESTIRME'!$A105,""))</f>
        <v/>
      </c>
      <c r="B105" s="16">
        <f>IF($A105="","",IFERROR(SUMIF(tblMotor[A_Norm],$A105,tblMotor[NetKar]),0))</f>
        <v/>
      </c>
      <c r="C105" s="16">
        <f>IF($A105="","",IFERROR(SUMIF(tblMotor[A_Norm],$A105,tblMotor[BasabasFiyat]),0))</f>
        <v/>
      </c>
      <c r="D105" s="16">
        <f>IF($A105="","",IFERROR(INDEX(tblMotor[KararSatir],MATCH($A105,tblMotor[A_Norm],0)),""))</f>
        <v/>
      </c>
      <c r="E105" s="16">
        <f>IF($A105="","",IF($B105&lt;0,"YUKSEK","NORMAL"))</f>
        <v/>
      </c>
      <c r="F105" s="16">
        <f>IF($A105="","",_xlfn.TEXTJOIN(" ",TRUE,"SKU",$A105,"karar",$D105,"net",TEXT($B105,"0.00"),"başabaş",TEXT($C105,"0.00"),"TL"))</f>
        <v/>
      </c>
    </row>
    <row r="106">
      <c r="A106" s="16">
        <f>IF('ESLESTIRME'!$A106="","",IF('ESLESTIRME'!$G106="tutar_farki",'ESLESTIRME'!$A106,""))</f>
        <v/>
      </c>
      <c r="B106" s="16">
        <f>IF($A106="","",IFERROR(SUMIF(tblMotor[A_Norm],$A106,tblMotor[NetKar]),0))</f>
        <v/>
      </c>
      <c r="C106" s="16">
        <f>IF($A106="","",IFERROR(SUMIF(tblMotor[A_Norm],$A106,tblMotor[BasabasFiyat]),0))</f>
        <v/>
      </c>
      <c r="D106" s="16">
        <f>IF($A106="","",IFERROR(INDEX(tblMotor[KararSatir],MATCH($A106,tblMotor[A_Norm],0)),""))</f>
        <v/>
      </c>
      <c r="E106" s="16">
        <f>IF($A106="","",IF($B106&lt;0,"YUKSEK","NORMAL"))</f>
        <v/>
      </c>
      <c r="F106" s="16">
        <f>IF($A106="","",_xlfn.TEXTJOIN(" ",TRUE,"SKU",$A106,"karar",$D106,"net",TEXT($B106,"0.00"),"başabaş",TEXT($C106,"0.00"),"TL"))</f>
        <v/>
      </c>
    </row>
    <row r="107">
      <c r="A107" s="16">
        <f>IF('ESLESTIRME'!$A107="","",IF('ESLESTIRME'!$G107="tutar_farki",'ESLESTIRME'!$A107,""))</f>
        <v/>
      </c>
      <c r="B107" s="16">
        <f>IF($A107="","",IFERROR(SUMIF(tblMotor[A_Norm],$A107,tblMotor[NetKar]),0))</f>
        <v/>
      </c>
      <c r="C107" s="16">
        <f>IF($A107="","",IFERROR(SUMIF(tblMotor[A_Norm],$A107,tblMotor[BasabasFiyat]),0))</f>
        <v/>
      </c>
      <c r="D107" s="16">
        <f>IF($A107="","",IFERROR(INDEX(tblMotor[KararSatir],MATCH($A107,tblMotor[A_Norm],0)),""))</f>
        <v/>
      </c>
      <c r="E107" s="16">
        <f>IF($A107="","",IF($B107&lt;0,"YUKSEK","NORMAL"))</f>
        <v/>
      </c>
      <c r="F107" s="16">
        <f>IF($A107="","",_xlfn.TEXTJOIN(" ",TRUE,"SKU",$A107,"karar",$D107,"net",TEXT($B107,"0.00"),"başabaş",TEXT($C107,"0.00"),"TL"))</f>
        <v/>
      </c>
    </row>
    <row r="108">
      <c r="A108" s="16">
        <f>IF('ESLESTIRME'!$A108="","",IF('ESLESTIRME'!$G108="tutar_farki",'ESLESTIRME'!$A108,""))</f>
        <v/>
      </c>
      <c r="B108" s="16">
        <f>IF($A108="","",IFERROR(SUMIF(tblMotor[A_Norm],$A108,tblMotor[NetKar]),0))</f>
        <v/>
      </c>
      <c r="C108" s="16">
        <f>IF($A108="","",IFERROR(SUMIF(tblMotor[A_Norm],$A108,tblMotor[BasabasFiyat]),0))</f>
        <v/>
      </c>
      <c r="D108" s="16">
        <f>IF($A108="","",IFERROR(INDEX(tblMotor[KararSatir],MATCH($A108,tblMotor[A_Norm],0)),""))</f>
        <v/>
      </c>
      <c r="E108" s="16">
        <f>IF($A108="","",IF($B108&lt;0,"YUKSEK","NORMAL"))</f>
        <v/>
      </c>
      <c r="F108" s="16">
        <f>IF($A108="","",_xlfn.TEXTJOIN(" ",TRUE,"SKU",$A108,"karar",$D108,"net",TEXT($B108,"0.00"),"başabaş",TEXT($C108,"0.00"),"TL"))</f>
        <v/>
      </c>
    </row>
    <row r="109">
      <c r="A109" s="16">
        <f>IF('ESLESTIRME'!$A109="","",IF('ESLESTIRME'!$G109="tutar_farki",'ESLESTIRME'!$A109,""))</f>
        <v/>
      </c>
      <c r="B109" s="16">
        <f>IF($A109="","",IFERROR(SUMIF(tblMotor[A_Norm],$A109,tblMotor[NetKar]),0))</f>
        <v/>
      </c>
      <c r="C109" s="16">
        <f>IF($A109="","",IFERROR(SUMIF(tblMotor[A_Norm],$A109,tblMotor[BasabasFiyat]),0))</f>
        <v/>
      </c>
      <c r="D109" s="16">
        <f>IF($A109="","",IFERROR(INDEX(tblMotor[KararSatir],MATCH($A109,tblMotor[A_Norm],0)),""))</f>
        <v/>
      </c>
      <c r="E109" s="16">
        <f>IF($A109="","",IF($B109&lt;0,"YUKSEK","NORMAL"))</f>
        <v/>
      </c>
      <c r="F109" s="16">
        <f>IF($A109="","",_xlfn.TEXTJOIN(" ",TRUE,"SKU",$A109,"karar",$D109,"net",TEXT($B109,"0.00"),"başabaş",TEXT($C109,"0.00"),"TL"))</f>
        <v/>
      </c>
    </row>
    <row r="110">
      <c r="A110" s="16">
        <f>IF('ESLESTIRME'!$A110="","",IF('ESLESTIRME'!$G110="tutar_farki",'ESLESTIRME'!$A110,""))</f>
        <v/>
      </c>
      <c r="B110" s="16">
        <f>IF($A110="","",IFERROR(SUMIF(tblMotor[A_Norm],$A110,tblMotor[NetKar]),0))</f>
        <v/>
      </c>
      <c r="C110" s="16">
        <f>IF($A110="","",IFERROR(SUMIF(tblMotor[A_Norm],$A110,tblMotor[BasabasFiyat]),0))</f>
        <v/>
      </c>
      <c r="D110" s="16">
        <f>IF($A110="","",IFERROR(INDEX(tblMotor[KararSatir],MATCH($A110,tblMotor[A_Norm],0)),""))</f>
        <v/>
      </c>
      <c r="E110" s="16">
        <f>IF($A110="","",IF($B110&lt;0,"YUKSEK","NORMAL"))</f>
        <v/>
      </c>
      <c r="F110" s="16">
        <f>IF($A110="","",_xlfn.TEXTJOIN(" ",TRUE,"SKU",$A110,"karar",$D110,"net",TEXT($B110,"0.00"),"başabaş",TEXT($C110,"0.00"),"TL"))</f>
        <v/>
      </c>
    </row>
    <row r="111">
      <c r="A111" s="16">
        <f>IF('ESLESTIRME'!$A111="","",IF('ESLESTIRME'!$G111="tutar_farki",'ESLESTIRME'!$A111,""))</f>
        <v/>
      </c>
      <c r="B111" s="16">
        <f>IF($A111="","",IFERROR(SUMIF(tblMotor[A_Norm],$A111,tblMotor[NetKar]),0))</f>
        <v/>
      </c>
      <c r="C111" s="16">
        <f>IF($A111="","",IFERROR(SUMIF(tblMotor[A_Norm],$A111,tblMotor[BasabasFiyat]),0))</f>
        <v/>
      </c>
      <c r="D111" s="16">
        <f>IF($A111="","",IFERROR(INDEX(tblMotor[KararSatir],MATCH($A111,tblMotor[A_Norm],0)),""))</f>
        <v/>
      </c>
      <c r="E111" s="16">
        <f>IF($A111="","",IF($B111&lt;0,"YUKSEK","NORMAL"))</f>
        <v/>
      </c>
      <c r="F111" s="16">
        <f>IF($A111="","",_xlfn.TEXTJOIN(" ",TRUE,"SKU",$A111,"karar",$D111,"net",TEXT($B111,"0.00"),"başabaş",TEXT($C111,"0.00"),"TL"))</f>
        <v/>
      </c>
    </row>
    <row r="112">
      <c r="A112" s="16">
        <f>IF('ESLESTIRME'!$A112="","",IF('ESLESTIRME'!$G112="tutar_farki",'ESLESTIRME'!$A112,""))</f>
        <v/>
      </c>
      <c r="B112" s="16">
        <f>IF($A112="","",IFERROR(SUMIF(tblMotor[A_Norm],$A112,tblMotor[NetKar]),0))</f>
        <v/>
      </c>
      <c r="C112" s="16">
        <f>IF($A112="","",IFERROR(SUMIF(tblMotor[A_Norm],$A112,tblMotor[BasabasFiyat]),0))</f>
        <v/>
      </c>
      <c r="D112" s="16">
        <f>IF($A112="","",IFERROR(INDEX(tblMotor[KararSatir],MATCH($A112,tblMotor[A_Norm],0)),""))</f>
        <v/>
      </c>
      <c r="E112" s="16">
        <f>IF($A112="","",IF($B112&lt;0,"YUKSEK","NORMAL"))</f>
        <v/>
      </c>
      <c r="F112" s="16">
        <f>IF($A112="","",_xlfn.TEXTJOIN(" ",TRUE,"SKU",$A112,"karar",$D112,"net",TEXT($B112,"0.00"),"başabaş",TEXT($C112,"0.00"),"TL"))</f>
        <v/>
      </c>
    </row>
    <row r="113">
      <c r="A113" s="16">
        <f>IF('ESLESTIRME'!$A113="","",IF('ESLESTIRME'!$G113="tutar_farki",'ESLESTIRME'!$A113,""))</f>
        <v/>
      </c>
      <c r="B113" s="16">
        <f>IF($A113="","",IFERROR(SUMIF(tblMotor[A_Norm],$A113,tblMotor[NetKar]),0))</f>
        <v/>
      </c>
      <c r="C113" s="16">
        <f>IF($A113="","",IFERROR(SUMIF(tblMotor[A_Norm],$A113,tblMotor[BasabasFiyat]),0))</f>
        <v/>
      </c>
      <c r="D113" s="16">
        <f>IF($A113="","",IFERROR(INDEX(tblMotor[KararSatir],MATCH($A113,tblMotor[A_Norm],0)),""))</f>
        <v/>
      </c>
      <c r="E113" s="16">
        <f>IF($A113="","",IF($B113&lt;0,"YUKSEK","NORMAL"))</f>
        <v/>
      </c>
      <c r="F113" s="16">
        <f>IF($A113="","",_xlfn.TEXTJOIN(" ",TRUE,"SKU",$A113,"karar",$D113,"net",TEXT($B113,"0.00"),"başabaş",TEXT($C113,"0.00"),"TL"))</f>
        <v/>
      </c>
    </row>
    <row r="114">
      <c r="A114" s="16">
        <f>IF('ESLESTIRME'!$A114="","",IF('ESLESTIRME'!$G114="tutar_farki",'ESLESTIRME'!$A114,""))</f>
        <v/>
      </c>
      <c r="B114" s="16">
        <f>IF($A114="","",IFERROR(SUMIF(tblMotor[A_Norm],$A114,tblMotor[NetKar]),0))</f>
        <v/>
      </c>
      <c r="C114" s="16">
        <f>IF($A114="","",IFERROR(SUMIF(tblMotor[A_Norm],$A114,tblMotor[BasabasFiyat]),0))</f>
        <v/>
      </c>
      <c r="D114" s="16">
        <f>IF($A114="","",IFERROR(INDEX(tblMotor[KararSatir],MATCH($A114,tblMotor[A_Norm],0)),""))</f>
        <v/>
      </c>
      <c r="E114" s="16">
        <f>IF($A114="","",IF($B114&lt;0,"YUKSEK","NORMAL"))</f>
        <v/>
      </c>
      <c r="F114" s="16">
        <f>IF($A114="","",_xlfn.TEXTJOIN(" ",TRUE,"SKU",$A114,"karar",$D114,"net",TEXT($B114,"0.00"),"başabaş",TEXT($C114,"0.00"),"TL"))</f>
        <v/>
      </c>
    </row>
    <row r="115">
      <c r="A115" s="16">
        <f>IF('ESLESTIRME'!$A115="","",IF('ESLESTIRME'!$G115="tutar_farki",'ESLESTIRME'!$A115,""))</f>
        <v/>
      </c>
      <c r="B115" s="16">
        <f>IF($A115="","",IFERROR(SUMIF(tblMotor[A_Norm],$A115,tblMotor[NetKar]),0))</f>
        <v/>
      </c>
      <c r="C115" s="16">
        <f>IF($A115="","",IFERROR(SUMIF(tblMotor[A_Norm],$A115,tblMotor[BasabasFiyat]),0))</f>
        <v/>
      </c>
      <c r="D115" s="16">
        <f>IF($A115="","",IFERROR(INDEX(tblMotor[KararSatir],MATCH($A115,tblMotor[A_Norm],0)),""))</f>
        <v/>
      </c>
      <c r="E115" s="16">
        <f>IF($A115="","",IF($B115&lt;0,"YUKSEK","NORMAL"))</f>
        <v/>
      </c>
      <c r="F115" s="16">
        <f>IF($A115="","",_xlfn.TEXTJOIN(" ",TRUE,"SKU",$A115,"karar",$D115,"net",TEXT($B115,"0.00"),"başabaş",TEXT($C115,"0.00"),"TL"))</f>
        <v/>
      </c>
    </row>
    <row r="116">
      <c r="A116" s="16">
        <f>IF('ESLESTIRME'!$A116="","",IF('ESLESTIRME'!$G116="tutar_farki",'ESLESTIRME'!$A116,""))</f>
        <v/>
      </c>
      <c r="B116" s="16">
        <f>IF($A116="","",IFERROR(SUMIF(tblMotor[A_Norm],$A116,tblMotor[NetKar]),0))</f>
        <v/>
      </c>
      <c r="C116" s="16">
        <f>IF($A116="","",IFERROR(SUMIF(tblMotor[A_Norm],$A116,tblMotor[BasabasFiyat]),0))</f>
        <v/>
      </c>
      <c r="D116" s="16">
        <f>IF($A116="","",IFERROR(INDEX(tblMotor[KararSatir],MATCH($A116,tblMotor[A_Norm],0)),""))</f>
        <v/>
      </c>
      <c r="E116" s="16">
        <f>IF($A116="","",IF($B116&lt;0,"YUKSEK","NORMAL"))</f>
        <v/>
      </c>
      <c r="F116" s="16">
        <f>IF($A116="","",_xlfn.TEXTJOIN(" ",TRUE,"SKU",$A116,"karar",$D116,"net",TEXT($B116,"0.00"),"başabaş",TEXT($C116,"0.00"),"TL"))</f>
        <v/>
      </c>
    </row>
    <row r="117">
      <c r="A117" s="16">
        <f>IF('ESLESTIRME'!$A117="","",IF('ESLESTIRME'!$G117="tutar_farki",'ESLESTIRME'!$A117,""))</f>
        <v/>
      </c>
      <c r="B117" s="16">
        <f>IF($A117="","",IFERROR(SUMIF(tblMotor[A_Norm],$A117,tblMotor[NetKar]),0))</f>
        <v/>
      </c>
      <c r="C117" s="16">
        <f>IF($A117="","",IFERROR(SUMIF(tblMotor[A_Norm],$A117,tblMotor[BasabasFiyat]),0))</f>
        <v/>
      </c>
      <c r="D117" s="16">
        <f>IF($A117="","",IFERROR(INDEX(tblMotor[KararSatir],MATCH($A117,tblMotor[A_Norm],0)),""))</f>
        <v/>
      </c>
      <c r="E117" s="16">
        <f>IF($A117="","",IF($B117&lt;0,"YUKSEK","NORMAL"))</f>
        <v/>
      </c>
      <c r="F117" s="16">
        <f>IF($A117="","",_xlfn.TEXTJOIN(" ",TRUE,"SKU",$A117,"karar",$D117,"net",TEXT($B117,"0.00"),"başabaş",TEXT($C117,"0.00"),"TL"))</f>
        <v/>
      </c>
    </row>
    <row r="118">
      <c r="A118" s="16">
        <f>IF('ESLESTIRME'!$A118="","",IF('ESLESTIRME'!$G118="tutar_farki",'ESLESTIRME'!$A118,""))</f>
        <v/>
      </c>
      <c r="B118" s="16">
        <f>IF($A118="","",IFERROR(SUMIF(tblMotor[A_Norm],$A118,tblMotor[NetKar]),0))</f>
        <v/>
      </c>
      <c r="C118" s="16">
        <f>IF($A118="","",IFERROR(SUMIF(tblMotor[A_Norm],$A118,tblMotor[BasabasFiyat]),0))</f>
        <v/>
      </c>
      <c r="D118" s="16">
        <f>IF($A118="","",IFERROR(INDEX(tblMotor[KararSatir],MATCH($A118,tblMotor[A_Norm],0)),""))</f>
        <v/>
      </c>
      <c r="E118" s="16">
        <f>IF($A118="","",IF($B118&lt;0,"YUKSEK","NORMAL"))</f>
        <v/>
      </c>
      <c r="F118" s="16">
        <f>IF($A118="","",_xlfn.TEXTJOIN(" ",TRUE,"SKU",$A118,"karar",$D118,"net",TEXT($B118,"0.00"),"başabaş",TEXT($C118,"0.00"),"TL"))</f>
        <v/>
      </c>
    </row>
    <row r="119">
      <c r="A119" s="16">
        <f>IF('ESLESTIRME'!$A119="","",IF('ESLESTIRME'!$G119="tutar_farki",'ESLESTIRME'!$A119,""))</f>
        <v/>
      </c>
      <c r="B119" s="16">
        <f>IF($A119="","",IFERROR(SUMIF(tblMotor[A_Norm],$A119,tblMotor[NetKar]),0))</f>
        <v/>
      </c>
      <c r="C119" s="16">
        <f>IF($A119="","",IFERROR(SUMIF(tblMotor[A_Norm],$A119,tblMotor[BasabasFiyat]),0))</f>
        <v/>
      </c>
      <c r="D119" s="16">
        <f>IF($A119="","",IFERROR(INDEX(tblMotor[KararSatir],MATCH($A119,tblMotor[A_Norm],0)),""))</f>
        <v/>
      </c>
      <c r="E119" s="16">
        <f>IF($A119="","",IF($B119&lt;0,"YUKSEK","NORMAL"))</f>
        <v/>
      </c>
      <c r="F119" s="16">
        <f>IF($A119="","",_xlfn.TEXTJOIN(" ",TRUE,"SKU",$A119,"karar",$D119,"net",TEXT($B119,"0.00"),"başabaş",TEXT($C119,"0.00"),"TL"))</f>
        <v/>
      </c>
    </row>
    <row r="120">
      <c r="A120" s="16">
        <f>IF('ESLESTIRME'!$A120="","",IF('ESLESTIRME'!$G120="tutar_farki",'ESLESTIRME'!$A120,""))</f>
        <v/>
      </c>
      <c r="B120" s="16">
        <f>IF($A120="","",IFERROR(SUMIF(tblMotor[A_Norm],$A120,tblMotor[NetKar]),0))</f>
        <v/>
      </c>
      <c r="C120" s="16">
        <f>IF($A120="","",IFERROR(SUMIF(tblMotor[A_Norm],$A120,tblMotor[BasabasFiyat]),0))</f>
        <v/>
      </c>
      <c r="D120" s="16">
        <f>IF($A120="","",IFERROR(INDEX(tblMotor[KararSatir],MATCH($A120,tblMotor[A_Norm],0)),""))</f>
        <v/>
      </c>
      <c r="E120" s="16">
        <f>IF($A120="","",IF($B120&lt;0,"YUKSEK","NORMAL"))</f>
        <v/>
      </c>
      <c r="F120" s="16">
        <f>IF($A120="","",_xlfn.TEXTJOIN(" ",TRUE,"SKU",$A120,"karar",$D120,"net",TEXT($B120,"0.00"),"başabaş",TEXT($C120,"0.00"),"TL"))</f>
        <v/>
      </c>
    </row>
    <row r="121">
      <c r="A121" s="16">
        <f>IF('ESLESTIRME'!$A121="","",IF('ESLESTIRME'!$G121="tutar_farki",'ESLESTIRME'!$A121,""))</f>
        <v/>
      </c>
      <c r="B121" s="16">
        <f>IF($A121="","",IFERROR(SUMIF(tblMotor[A_Norm],$A121,tblMotor[NetKar]),0))</f>
        <v/>
      </c>
      <c r="C121" s="16">
        <f>IF($A121="","",IFERROR(SUMIF(tblMotor[A_Norm],$A121,tblMotor[BasabasFiyat]),0))</f>
        <v/>
      </c>
      <c r="D121" s="16">
        <f>IF($A121="","",IFERROR(INDEX(tblMotor[KararSatir],MATCH($A121,tblMotor[A_Norm],0)),""))</f>
        <v/>
      </c>
      <c r="E121" s="16">
        <f>IF($A121="","",IF($B121&lt;0,"YUKSEK","NORMAL"))</f>
        <v/>
      </c>
      <c r="F121" s="16">
        <f>IF($A121="","",_xlfn.TEXTJOIN(" ",TRUE,"SKU",$A121,"karar",$D121,"net",TEXT($B121,"0.00"),"başabaş",TEXT($C121,"0.00"),"TL"))</f>
        <v/>
      </c>
    </row>
    <row r="122">
      <c r="A122" s="16">
        <f>IF('ESLESTIRME'!$A122="","",IF('ESLESTIRME'!$G122="tutar_farki",'ESLESTIRME'!$A122,""))</f>
        <v/>
      </c>
      <c r="B122" s="16">
        <f>IF($A122="","",IFERROR(SUMIF(tblMotor[A_Norm],$A122,tblMotor[NetKar]),0))</f>
        <v/>
      </c>
      <c r="C122" s="16">
        <f>IF($A122="","",IFERROR(SUMIF(tblMotor[A_Norm],$A122,tblMotor[BasabasFiyat]),0))</f>
        <v/>
      </c>
      <c r="D122" s="16">
        <f>IF($A122="","",IFERROR(INDEX(tblMotor[KararSatir],MATCH($A122,tblMotor[A_Norm],0)),""))</f>
        <v/>
      </c>
      <c r="E122" s="16">
        <f>IF($A122="","",IF($B122&lt;0,"YUKSEK","NORMAL"))</f>
        <v/>
      </c>
      <c r="F122" s="16">
        <f>IF($A122="","",_xlfn.TEXTJOIN(" ",TRUE,"SKU",$A122,"karar",$D122,"net",TEXT($B122,"0.00"),"başabaş",TEXT($C122,"0.00"),"TL"))</f>
        <v/>
      </c>
    </row>
    <row r="123">
      <c r="A123" s="16">
        <f>IF('ESLESTIRME'!$A123="","",IF('ESLESTIRME'!$G123="tutar_farki",'ESLESTIRME'!$A123,""))</f>
        <v/>
      </c>
      <c r="B123" s="16">
        <f>IF($A123="","",IFERROR(SUMIF(tblMotor[A_Norm],$A123,tblMotor[NetKar]),0))</f>
        <v/>
      </c>
      <c r="C123" s="16">
        <f>IF($A123="","",IFERROR(SUMIF(tblMotor[A_Norm],$A123,tblMotor[BasabasFiyat]),0))</f>
        <v/>
      </c>
      <c r="D123" s="16">
        <f>IF($A123="","",IFERROR(INDEX(tblMotor[KararSatir],MATCH($A123,tblMotor[A_Norm],0)),""))</f>
        <v/>
      </c>
      <c r="E123" s="16">
        <f>IF($A123="","",IF($B123&lt;0,"YUKSEK","NORMAL"))</f>
        <v/>
      </c>
      <c r="F123" s="16">
        <f>IF($A123="","",_xlfn.TEXTJOIN(" ",TRUE,"SKU",$A123,"karar",$D123,"net",TEXT($B123,"0.00"),"başabaş",TEXT($C123,"0.00"),"TL"))</f>
        <v/>
      </c>
    </row>
    <row r="124">
      <c r="A124" s="16">
        <f>IF('ESLESTIRME'!$A124="","",IF('ESLESTIRME'!$G124="tutar_farki",'ESLESTIRME'!$A124,""))</f>
        <v/>
      </c>
      <c r="B124" s="16">
        <f>IF($A124="","",IFERROR(SUMIF(tblMotor[A_Norm],$A124,tblMotor[NetKar]),0))</f>
        <v/>
      </c>
      <c r="C124" s="16">
        <f>IF($A124="","",IFERROR(SUMIF(tblMotor[A_Norm],$A124,tblMotor[BasabasFiyat]),0))</f>
        <v/>
      </c>
      <c r="D124" s="16">
        <f>IF($A124="","",IFERROR(INDEX(tblMotor[KararSatir],MATCH($A124,tblMotor[A_Norm],0)),""))</f>
        <v/>
      </c>
      <c r="E124" s="16">
        <f>IF($A124="","",IF($B124&lt;0,"YUKSEK","NORMAL"))</f>
        <v/>
      </c>
      <c r="F124" s="16">
        <f>IF($A124="","",_xlfn.TEXTJOIN(" ",TRUE,"SKU",$A124,"karar",$D124,"net",TEXT($B124,"0.00"),"başabaş",TEXT($C124,"0.00"),"TL"))</f>
        <v/>
      </c>
    </row>
    <row r="125">
      <c r="A125" s="16">
        <f>IF('ESLESTIRME'!$A125="","",IF('ESLESTIRME'!$G125="tutar_farki",'ESLESTIRME'!$A125,""))</f>
        <v/>
      </c>
      <c r="B125" s="16">
        <f>IF($A125="","",IFERROR(SUMIF(tblMotor[A_Norm],$A125,tblMotor[NetKar]),0))</f>
        <v/>
      </c>
      <c r="C125" s="16">
        <f>IF($A125="","",IFERROR(SUMIF(tblMotor[A_Norm],$A125,tblMotor[BasabasFiyat]),0))</f>
        <v/>
      </c>
      <c r="D125" s="16">
        <f>IF($A125="","",IFERROR(INDEX(tblMotor[KararSatir],MATCH($A125,tblMotor[A_Norm],0)),""))</f>
        <v/>
      </c>
      <c r="E125" s="16">
        <f>IF($A125="","",IF($B125&lt;0,"YUKSEK","NORMAL"))</f>
        <v/>
      </c>
      <c r="F125" s="16">
        <f>IF($A125="","",_xlfn.TEXTJOIN(" ",TRUE,"SKU",$A125,"karar",$D125,"net",TEXT($B125,"0.00"),"başabaş",TEXT($C125,"0.00"),"TL"))</f>
        <v/>
      </c>
    </row>
    <row r="126">
      <c r="A126" s="16">
        <f>IF('ESLESTIRME'!$A126="","",IF('ESLESTIRME'!$G126="tutar_farki",'ESLESTIRME'!$A126,""))</f>
        <v/>
      </c>
      <c r="B126" s="16">
        <f>IF($A126="","",IFERROR(SUMIF(tblMotor[A_Norm],$A126,tblMotor[NetKar]),0))</f>
        <v/>
      </c>
      <c r="C126" s="16">
        <f>IF($A126="","",IFERROR(SUMIF(tblMotor[A_Norm],$A126,tblMotor[BasabasFiyat]),0))</f>
        <v/>
      </c>
      <c r="D126" s="16">
        <f>IF($A126="","",IFERROR(INDEX(tblMotor[KararSatir],MATCH($A126,tblMotor[A_Norm],0)),""))</f>
        <v/>
      </c>
      <c r="E126" s="16">
        <f>IF($A126="","",IF($B126&lt;0,"YUKSEK","NORMAL"))</f>
        <v/>
      </c>
      <c r="F126" s="16">
        <f>IF($A126="","",_xlfn.TEXTJOIN(" ",TRUE,"SKU",$A126,"karar",$D126,"net",TEXT($B126,"0.00"),"başabaş",TEXT($C126,"0.00"),"TL"))</f>
        <v/>
      </c>
    </row>
    <row r="127">
      <c r="A127" s="16">
        <f>IF('ESLESTIRME'!$A127="","",IF('ESLESTIRME'!$G127="tutar_farki",'ESLESTIRME'!$A127,""))</f>
        <v/>
      </c>
      <c r="B127" s="16">
        <f>IF($A127="","",IFERROR(SUMIF(tblMotor[A_Norm],$A127,tblMotor[NetKar]),0))</f>
        <v/>
      </c>
      <c r="C127" s="16">
        <f>IF($A127="","",IFERROR(SUMIF(tblMotor[A_Norm],$A127,tblMotor[BasabasFiyat]),0))</f>
        <v/>
      </c>
      <c r="D127" s="16">
        <f>IF($A127="","",IFERROR(INDEX(tblMotor[KararSatir],MATCH($A127,tblMotor[A_Norm],0)),""))</f>
        <v/>
      </c>
      <c r="E127" s="16">
        <f>IF($A127="","",IF($B127&lt;0,"YUKSEK","NORMAL"))</f>
        <v/>
      </c>
      <c r="F127" s="16">
        <f>IF($A127="","",_xlfn.TEXTJOIN(" ",TRUE,"SKU",$A127,"karar",$D127,"net",TEXT($B127,"0.00"),"başabaş",TEXT($C127,"0.00"),"TL"))</f>
        <v/>
      </c>
    </row>
    <row r="128">
      <c r="A128" s="16">
        <f>IF('ESLESTIRME'!$A128="","",IF('ESLESTIRME'!$G128="tutar_farki",'ESLESTIRME'!$A128,""))</f>
        <v/>
      </c>
      <c r="B128" s="16">
        <f>IF($A128="","",IFERROR(SUMIF(tblMotor[A_Norm],$A128,tblMotor[NetKar]),0))</f>
        <v/>
      </c>
      <c r="C128" s="16">
        <f>IF($A128="","",IFERROR(SUMIF(tblMotor[A_Norm],$A128,tblMotor[BasabasFiyat]),0))</f>
        <v/>
      </c>
      <c r="D128" s="16">
        <f>IF($A128="","",IFERROR(INDEX(tblMotor[KararSatir],MATCH($A128,tblMotor[A_Norm],0)),""))</f>
        <v/>
      </c>
      <c r="E128" s="16">
        <f>IF($A128="","",IF($B128&lt;0,"YUKSEK","NORMAL"))</f>
        <v/>
      </c>
      <c r="F128" s="16">
        <f>IF($A128="","",_xlfn.TEXTJOIN(" ",TRUE,"SKU",$A128,"karar",$D128,"net",TEXT($B128,"0.00"),"başabaş",TEXT($C128,"0.00"),"TL"))</f>
        <v/>
      </c>
    </row>
    <row r="129">
      <c r="A129" s="16">
        <f>IF('ESLESTIRME'!$A129="","",IF('ESLESTIRME'!$G129="tutar_farki",'ESLESTIRME'!$A129,""))</f>
        <v/>
      </c>
      <c r="B129" s="16">
        <f>IF($A129="","",IFERROR(SUMIF(tblMotor[A_Norm],$A129,tblMotor[NetKar]),0))</f>
        <v/>
      </c>
      <c r="C129" s="16">
        <f>IF($A129="","",IFERROR(SUMIF(tblMotor[A_Norm],$A129,tblMotor[BasabasFiyat]),0))</f>
        <v/>
      </c>
      <c r="D129" s="16">
        <f>IF($A129="","",IFERROR(INDEX(tblMotor[KararSatir],MATCH($A129,tblMotor[A_Norm],0)),""))</f>
        <v/>
      </c>
      <c r="E129" s="16">
        <f>IF($A129="","",IF($B129&lt;0,"YUKSEK","NORMAL"))</f>
        <v/>
      </c>
      <c r="F129" s="16">
        <f>IF($A129="","",_xlfn.TEXTJOIN(" ",TRUE,"SKU",$A129,"karar",$D129,"net",TEXT($B129,"0.00"),"başabaş",TEXT($C129,"0.00"),"TL"))</f>
        <v/>
      </c>
    </row>
    <row r="130">
      <c r="A130" s="16">
        <f>IF('ESLESTIRME'!$A130="","",IF('ESLESTIRME'!$G130="tutar_farki",'ESLESTIRME'!$A130,""))</f>
        <v/>
      </c>
      <c r="B130" s="16">
        <f>IF($A130="","",IFERROR(SUMIF(tblMotor[A_Norm],$A130,tblMotor[NetKar]),0))</f>
        <v/>
      </c>
      <c r="C130" s="16">
        <f>IF($A130="","",IFERROR(SUMIF(tblMotor[A_Norm],$A130,tblMotor[BasabasFiyat]),0))</f>
        <v/>
      </c>
      <c r="D130" s="16">
        <f>IF($A130="","",IFERROR(INDEX(tblMotor[KararSatir],MATCH($A130,tblMotor[A_Norm],0)),""))</f>
        <v/>
      </c>
      <c r="E130" s="16">
        <f>IF($A130="","",IF($B130&lt;0,"YUKSEK","NORMAL"))</f>
        <v/>
      </c>
      <c r="F130" s="16">
        <f>IF($A130="","",_xlfn.TEXTJOIN(" ",TRUE,"SKU",$A130,"karar",$D130,"net",TEXT($B130,"0.00"),"başabaş",TEXT($C130,"0.00"),"TL"))</f>
        <v/>
      </c>
    </row>
    <row r="131">
      <c r="A131" s="16">
        <f>IF('ESLESTIRME'!$A131="","",IF('ESLESTIRME'!$G131="tutar_farki",'ESLESTIRME'!$A131,""))</f>
        <v/>
      </c>
      <c r="B131" s="16">
        <f>IF($A131="","",IFERROR(SUMIF(tblMotor[A_Norm],$A131,tblMotor[NetKar]),0))</f>
        <v/>
      </c>
      <c r="C131" s="16">
        <f>IF($A131="","",IFERROR(SUMIF(tblMotor[A_Norm],$A131,tblMotor[BasabasFiyat]),0))</f>
        <v/>
      </c>
      <c r="D131" s="16">
        <f>IF($A131="","",IFERROR(INDEX(tblMotor[KararSatir],MATCH($A131,tblMotor[A_Norm],0)),""))</f>
        <v/>
      </c>
      <c r="E131" s="16">
        <f>IF($A131="","",IF($B131&lt;0,"YUKSEK","NORMAL"))</f>
        <v/>
      </c>
      <c r="F131" s="16">
        <f>IF($A131="","",_xlfn.TEXTJOIN(" ",TRUE,"SKU",$A131,"karar",$D131,"net",TEXT($B131,"0.00"),"başabaş",TEXT($C131,"0.00"),"TL"))</f>
        <v/>
      </c>
    </row>
    <row r="132">
      <c r="A132" s="16">
        <f>IF('ESLESTIRME'!$A132="","",IF('ESLESTIRME'!$G132="tutar_farki",'ESLESTIRME'!$A132,""))</f>
        <v/>
      </c>
      <c r="B132" s="16">
        <f>IF($A132="","",IFERROR(SUMIF(tblMotor[A_Norm],$A132,tblMotor[NetKar]),0))</f>
        <v/>
      </c>
      <c r="C132" s="16">
        <f>IF($A132="","",IFERROR(SUMIF(tblMotor[A_Norm],$A132,tblMotor[BasabasFiyat]),0))</f>
        <v/>
      </c>
      <c r="D132" s="16">
        <f>IF($A132="","",IFERROR(INDEX(tblMotor[KararSatir],MATCH($A132,tblMotor[A_Norm],0)),""))</f>
        <v/>
      </c>
      <c r="E132" s="16">
        <f>IF($A132="","",IF($B132&lt;0,"YUKSEK","NORMAL"))</f>
        <v/>
      </c>
      <c r="F132" s="16">
        <f>IF($A132="","",_xlfn.TEXTJOIN(" ",TRUE,"SKU",$A132,"karar",$D132,"net",TEXT($B132,"0.00"),"başabaş",TEXT($C132,"0.00"),"TL"))</f>
        <v/>
      </c>
    </row>
    <row r="133">
      <c r="A133" s="16">
        <f>IF('ESLESTIRME'!$A133="","",IF('ESLESTIRME'!$G133="tutar_farki",'ESLESTIRME'!$A133,""))</f>
        <v/>
      </c>
      <c r="B133" s="16">
        <f>IF($A133="","",IFERROR(SUMIF(tblMotor[A_Norm],$A133,tblMotor[NetKar]),0))</f>
        <v/>
      </c>
      <c r="C133" s="16">
        <f>IF($A133="","",IFERROR(SUMIF(tblMotor[A_Norm],$A133,tblMotor[BasabasFiyat]),0))</f>
        <v/>
      </c>
      <c r="D133" s="16">
        <f>IF($A133="","",IFERROR(INDEX(tblMotor[KararSatir],MATCH($A133,tblMotor[A_Norm],0)),""))</f>
        <v/>
      </c>
      <c r="E133" s="16">
        <f>IF($A133="","",IF($B133&lt;0,"YUKSEK","NORMAL"))</f>
        <v/>
      </c>
      <c r="F133" s="16">
        <f>IF($A133="","",_xlfn.TEXTJOIN(" ",TRUE,"SKU",$A133,"karar",$D133,"net",TEXT($B133,"0.00"),"başabaş",TEXT($C133,"0.00"),"TL"))</f>
        <v/>
      </c>
    </row>
    <row r="134">
      <c r="A134" s="16">
        <f>IF('ESLESTIRME'!$A134="","",IF('ESLESTIRME'!$G134="tutar_farki",'ESLESTIRME'!$A134,""))</f>
        <v/>
      </c>
      <c r="B134" s="16">
        <f>IF($A134="","",IFERROR(SUMIF(tblMotor[A_Norm],$A134,tblMotor[NetKar]),0))</f>
        <v/>
      </c>
      <c r="C134" s="16">
        <f>IF($A134="","",IFERROR(SUMIF(tblMotor[A_Norm],$A134,tblMotor[BasabasFiyat]),0))</f>
        <v/>
      </c>
      <c r="D134" s="16">
        <f>IF($A134="","",IFERROR(INDEX(tblMotor[KararSatir],MATCH($A134,tblMotor[A_Norm],0)),""))</f>
        <v/>
      </c>
      <c r="E134" s="16">
        <f>IF($A134="","",IF($B134&lt;0,"YUKSEK","NORMAL"))</f>
        <v/>
      </c>
      <c r="F134" s="16">
        <f>IF($A134="","",_xlfn.TEXTJOIN(" ",TRUE,"SKU",$A134,"karar",$D134,"net",TEXT($B134,"0.00"),"başabaş",TEXT($C134,"0.00"),"TL"))</f>
        <v/>
      </c>
    </row>
    <row r="135">
      <c r="A135" s="16">
        <f>IF('ESLESTIRME'!$A135="","",IF('ESLESTIRME'!$G135="tutar_farki",'ESLESTIRME'!$A135,""))</f>
        <v/>
      </c>
      <c r="B135" s="16">
        <f>IF($A135="","",IFERROR(SUMIF(tblMotor[A_Norm],$A135,tblMotor[NetKar]),0))</f>
        <v/>
      </c>
      <c r="C135" s="16">
        <f>IF($A135="","",IFERROR(SUMIF(tblMotor[A_Norm],$A135,tblMotor[BasabasFiyat]),0))</f>
        <v/>
      </c>
      <c r="D135" s="16">
        <f>IF($A135="","",IFERROR(INDEX(tblMotor[KararSatir],MATCH($A135,tblMotor[A_Norm],0)),""))</f>
        <v/>
      </c>
      <c r="E135" s="16">
        <f>IF($A135="","",IF($B135&lt;0,"YUKSEK","NORMAL"))</f>
        <v/>
      </c>
      <c r="F135" s="16">
        <f>IF($A135="","",_xlfn.TEXTJOIN(" ",TRUE,"SKU",$A135,"karar",$D135,"net",TEXT($B135,"0.00"),"başabaş",TEXT($C135,"0.00"),"TL"))</f>
        <v/>
      </c>
    </row>
    <row r="136">
      <c r="A136" s="16">
        <f>IF('ESLESTIRME'!$A136="","",IF('ESLESTIRME'!$G136="tutar_farki",'ESLESTIRME'!$A136,""))</f>
        <v/>
      </c>
      <c r="B136" s="16">
        <f>IF($A136="","",IFERROR(SUMIF(tblMotor[A_Norm],$A136,tblMotor[NetKar]),0))</f>
        <v/>
      </c>
      <c r="C136" s="16">
        <f>IF($A136="","",IFERROR(SUMIF(tblMotor[A_Norm],$A136,tblMotor[BasabasFiyat]),0))</f>
        <v/>
      </c>
      <c r="D136" s="16">
        <f>IF($A136="","",IFERROR(INDEX(tblMotor[KararSatir],MATCH($A136,tblMotor[A_Norm],0)),""))</f>
        <v/>
      </c>
      <c r="E136" s="16">
        <f>IF($A136="","",IF($B136&lt;0,"YUKSEK","NORMAL"))</f>
        <v/>
      </c>
      <c r="F136" s="16">
        <f>IF($A136="","",_xlfn.TEXTJOIN(" ",TRUE,"SKU",$A136,"karar",$D136,"net",TEXT($B136,"0.00"),"başabaş",TEXT($C136,"0.00"),"TL"))</f>
        <v/>
      </c>
    </row>
    <row r="137">
      <c r="A137" s="16">
        <f>IF('ESLESTIRME'!$A137="","",IF('ESLESTIRME'!$G137="tutar_farki",'ESLESTIRME'!$A137,""))</f>
        <v/>
      </c>
      <c r="B137" s="16">
        <f>IF($A137="","",IFERROR(SUMIF(tblMotor[A_Norm],$A137,tblMotor[NetKar]),0))</f>
        <v/>
      </c>
      <c r="C137" s="16">
        <f>IF($A137="","",IFERROR(SUMIF(tblMotor[A_Norm],$A137,tblMotor[BasabasFiyat]),0))</f>
        <v/>
      </c>
      <c r="D137" s="16">
        <f>IF($A137="","",IFERROR(INDEX(tblMotor[KararSatir],MATCH($A137,tblMotor[A_Norm],0)),""))</f>
        <v/>
      </c>
      <c r="E137" s="16">
        <f>IF($A137="","",IF($B137&lt;0,"YUKSEK","NORMAL"))</f>
        <v/>
      </c>
      <c r="F137" s="16">
        <f>IF($A137="","",_xlfn.TEXTJOIN(" ",TRUE,"SKU",$A137,"karar",$D137,"net",TEXT($B137,"0.00"),"başabaş",TEXT($C137,"0.00"),"TL"))</f>
        <v/>
      </c>
    </row>
    <row r="138">
      <c r="A138" s="16">
        <f>IF('ESLESTIRME'!$A138="","",IF('ESLESTIRME'!$G138="tutar_farki",'ESLESTIRME'!$A138,""))</f>
        <v/>
      </c>
      <c r="B138" s="16">
        <f>IF($A138="","",IFERROR(SUMIF(tblMotor[A_Norm],$A138,tblMotor[NetKar]),0))</f>
        <v/>
      </c>
      <c r="C138" s="16">
        <f>IF($A138="","",IFERROR(SUMIF(tblMotor[A_Norm],$A138,tblMotor[BasabasFiyat]),0))</f>
        <v/>
      </c>
      <c r="D138" s="16">
        <f>IF($A138="","",IFERROR(INDEX(tblMotor[KararSatir],MATCH($A138,tblMotor[A_Norm],0)),""))</f>
        <v/>
      </c>
      <c r="E138" s="16">
        <f>IF($A138="","",IF($B138&lt;0,"YUKSEK","NORMAL"))</f>
        <v/>
      </c>
      <c r="F138" s="16">
        <f>IF($A138="","",_xlfn.TEXTJOIN(" ",TRUE,"SKU",$A138,"karar",$D138,"net",TEXT($B138,"0.00"),"başabaş",TEXT($C138,"0.00"),"TL"))</f>
        <v/>
      </c>
    </row>
    <row r="139">
      <c r="A139" s="16">
        <f>IF('ESLESTIRME'!$A139="","",IF('ESLESTIRME'!$G139="tutar_farki",'ESLESTIRME'!$A139,""))</f>
        <v/>
      </c>
      <c r="B139" s="16">
        <f>IF($A139="","",IFERROR(SUMIF(tblMotor[A_Norm],$A139,tblMotor[NetKar]),0))</f>
        <v/>
      </c>
      <c r="C139" s="16">
        <f>IF($A139="","",IFERROR(SUMIF(tblMotor[A_Norm],$A139,tblMotor[BasabasFiyat]),0))</f>
        <v/>
      </c>
      <c r="D139" s="16">
        <f>IF($A139="","",IFERROR(INDEX(tblMotor[KararSatir],MATCH($A139,tblMotor[A_Norm],0)),""))</f>
        <v/>
      </c>
      <c r="E139" s="16">
        <f>IF($A139="","",IF($B139&lt;0,"YUKSEK","NORMAL"))</f>
        <v/>
      </c>
      <c r="F139" s="16">
        <f>IF($A139="","",_xlfn.TEXTJOIN(" ",TRUE,"SKU",$A139,"karar",$D139,"net",TEXT($B139,"0.00"),"başabaş",TEXT($C139,"0.00"),"TL"))</f>
        <v/>
      </c>
    </row>
    <row r="140">
      <c r="A140" s="16">
        <f>IF('ESLESTIRME'!$A140="","",IF('ESLESTIRME'!$G140="tutar_farki",'ESLESTIRME'!$A140,""))</f>
        <v/>
      </c>
      <c r="B140" s="16">
        <f>IF($A140="","",IFERROR(SUMIF(tblMotor[A_Norm],$A140,tblMotor[NetKar]),0))</f>
        <v/>
      </c>
      <c r="C140" s="16">
        <f>IF($A140="","",IFERROR(SUMIF(tblMotor[A_Norm],$A140,tblMotor[BasabasFiyat]),0))</f>
        <v/>
      </c>
      <c r="D140" s="16">
        <f>IF($A140="","",IFERROR(INDEX(tblMotor[KararSatir],MATCH($A140,tblMotor[A_Norm],0)),""))</f>
        <v/>
      </c>
      <c r="E140" s="16">
        <f>IF($A140="","",IF($B140&lt;0,"YUKSEK","NORMAL"))</f>
        <v/>
      </c>
      <c r="F140" s="16">
        <f>IF($A140="","",_xlfn.TEXTJOIN(" ",TRUE,"SKU",$A140,"karar",$D140,"net",TEXT($B140,"0.00"),"başabaş",TEXT($C140,"0.00"),"TL"))</f>
        <v/>
      </c>
    </row>
    <row r="141">
      <c r="A141" s="16">
        <f>IF('ESLESTIRME'!$A141="","",IF('ESLESTIRME'!$G141="tutar_farki",'ESLESTIRME'!$A141,""))</f>
        <v/>
      </c>
      <c r="B141" s="16">
        <f>IF($A141="","",IFERROR(SUMIF(tblMotor[A_Norm],$A141,tblMotor[NetKar]),0))</f>
        <v/>
      </c>
      <c r="C141" s="16">
        <f>IF($A141="","",IFERROR(SUMIF(tblMotor[A_Norm],$A141,tblMotor[BasabasFiyat]),0))</f>
        <v/>
      </c>
      <c r="D141" s="16">
        <f>IF($A141="","",IFERROR(INDEX(tblMotor[KararSatir],MATCH($A141,tblMotor[A_Norm],0)),""))</f>
        <v/>
      </c>
      <c r="E141" s="16">
        <f>IF($A141="","",IF($B141&lt;0,"YUKSEK","NORMAL"))</f>
        <v/>
      </c>
      <c r="F141" s="16">
        <f>IF($A141="","",_xlfn.TEXTJOIN(" ",TRUE,"SKU",$A141,"karar",$D141,"net",TEXT($B141,"0.00"),"başabaş",TEXT($C141,"0.00"),"TL"))</f>
        <v/>
      </c>
    </row>
    <row r="142">
      <c r="A142" s="16">
        <f>IF('ESLESTIRME'!$A142="","",IF('ESLESTIRME'!$G142="tutar_farki",'ESLESTIRME'!$A142,""))</f>
        <v/>
      </c>
      <c r="B142" s="16">
        <f>IF($A142="","",IFERROR(SUMIF(tblMotor[A_Norm],$A142,tblMotor[NetKar]),0))</f>
        <v/>
      </c>
      <c r="C142" s="16">
        <f>IF($A142="","",IFERROR(SUMIF(tblMotor[A_Norm],$A142,tblMotor[BasabasFiyat]),0))</f>
        <v/>
      </c>
      <c r="D142" s="16">
        <f>IF($A142="","",IFERROR(INDEX(tblMotor[KararSatir],MATCH($A142,tblMotor[A_Norm],0)),""))</f>
        <v/>
      </c>
      <c r="E142" s="16">
        <f>IF($A142="","",IF($B142&lt;0,"YUKSEK","NORMAL"))</f>
        <v/>
      </c>
      <c r="F142" s="16">
        <f>IF($A142="","",_xlfn.TEXTJOIN(" ",TRUE,"SKU",$A142,"karar",$D142,"net",TEXT($B142,"0.00"),"başabaş",TEXT($C142,"0.00"),"TL"))</f>
        <v/>
      </c>
    </row>
    <row r="143">
      <c r="A143" s="16">
        <f>IF('ESLESTIRME'!$A143="","",IF('ESLESTIRME'!$G143="tutar_farki",'ESLESTIRME'!$A143,""))</f>
        <v/>
      </c>
      <c r="B143" s="16">
        <f>IF($A143="","",IFERROR(SUMIF(tblMotor[A_Norm],$A143,tblMotor[NetKar]),0))</f>
        <v/>
      </c>
      <c r="C143" s="16">
        <f>IF($A143="","",IFERROR(SUMIF(tblMotor[A_Norm],$A143,tblMotor[BasabasFiyat]),0))</f>
        <v/>
      </c>
      <c r="D143" s="16">
        <f>IF($A143="","",IFERROR(INDEX(tblMotor[KararSatir],MATCH($A143,tblMotor[A_Norm],0)),""))</f>
        <v/>
      </c>
      <c r="E143" s="16">
        <f>IF($A143="","",IF($B143&lt;0,"YUKSEK","NORMAL"))</f>
        <v/>
      </c>
      <c r="F143" s="16">
        <f>IF($A143="","",_xlfn.TEXTJOIN(" ",TRUE,"SKU",$A143,"karar",$D143,"net",TEXT($B143,"0.00"),"başabaş",TEXT($C143,"0.00"),"TL"))</f>
        <v/>
      </c>
    </row>
    <row r="144">
      <c r="A144" s="16">
        <f>IF('ESLESTIRME'!$A144="","",IF('ESLESTIRME'!$G144="tutar_farki",'ESLESTIRME'!$A144,""))</f>
        <v/>
      </c>
      <c r="B144" s="16">
        <f>IF($A144="","",IFERROR(SUMIF(tblMotor[A_Norm],$A144,tblMotor[NetKar]),0))</f>
        <v/>
      </c>
      <c r="C144" s="16">
        <f>IF($A144="","",IFERROR(SUMIF(tblMotor[A_Norm],$A144,tblMotor[BasabasFiyat]),0))</f>
        <v/>
      </c>
      <c r="D144" s="16">
        <f>IF($A144="","",IFERROR(INDEX(tblMotor[KararSatir],MATCH($A144,tblMotor[A_Norm],0)),""))</f>
        <v/>
      </c>
      <c r="E144" s="16">
        <f>IF($A144="","",IF($B144&lt;0,"YUKSEK","NORMAL"))</f>
        <v/>
      </c>
      <c r="F144" s="16">
        <f>IF($A144="","",_xlfn.TEXTJOIN(" ",TRUE,"SKU",$A144,"karar",$D144,"net",TEXT($B144,"0.00"),"başabaş",TEXT($C144,"0.00"),"TL"))</f>
        <v/>
      </c>
    </row>
    <row r="145">
      <c r="A145" s="16">
        <f>IF('ESLESTIRME'!$A145="","",IF('ESLESTIRME'!$G145="tutar_farki",'ESLESTIRME'!$A145,""))</f>
        <v/>
      </c>
      <c r="B145" s="16">
        <f>IF($A145="","",IFERROR(SUMIF(tblMotor[A_Norm],$A145,tblMotor[NetKar]),0))</f>
        <v/>
      </c>
      <c r="C145" s="16">
        <f>IF($A145="","",IFERROR(SUMIF(tblMotor[A_Norm],$A145,tblMotor[BasabasFiyat]),0))</f>
        <v/>
      </c>
      <c r="D145" s="16">
        <f>IF($A145="","",IFERROR(INDEX(tblMotor[KararSatir],MATCH($A145,tblMotor[A_Norm],0)),""))</f>
        <v/>
      </c>
      <c r="E145" s="16">
        <f>IF($A145="","",IF($B145&lt;0,"YUKSEK","NORMAL"))</f>
        <v/>
      </c>
      <c r="F145" s="16">
        <f>IF($A145="","",_xlfn.TEXTJOIN(" ",TRUE,"SKU",$A145,"karar",$D145,"net",TEXT($B145,"0.00"),"başabaş",TEXT($C145,"0.00"),"TL"))</f>
        <v/>
      </c>
    </row>
    <row r="146">
      <c r="A146" s="16">
        <f>IF('ESLESTIRME'!$A146="","",IF('ESLESTIRME'!$G146="tutar_farki",'ESLESTIRME'!$A146,""))</f>
        <v/>
      </c>
      <c r="B146" s="16">
        <f>IF($A146="","",IFERROR(SUMIF(tblMotor[A_Norm],$A146,tblMotor[NetKar]),0))</f>
        <v/>
      </c>
      <c r="C146" s="16">
        <f>IF($A146="","",IFERROR(SUMIF(tblMotor[A_Norm],$A146,tblMotor[BasabasFiyat]),0))</f>
        <v/>
      </c>
      <c r="D146" s="16">
        <f>IF($A146="","",IFERROR(INDEX(tblMotor[KararSatir],MATCH($A146,tblMotor[A_Norm],0)),""))</f>
        <v/>
      </c>
      <c r="E146" s="16">
        <f>IF($A146="","",IF($B146&lt;0,"YUKSEK","NORMAL"))</f>
        <v/>
      </c>
      <c r="F146" s="16">
        <f>IF($A146="","",_xlfn.TEXTJOIN(" ",TRUE,"SKU",$A146,"karar",$D146,"net",TEXT($B146,"0.00"),"başabaş",TEXT($C146,"0.00"),"TL"))</f>
        <v/>
      </c>
    </row>
    <row r="147">
      <c r="A147" s="16">
        <f>IF('ESLESTIRME'!$A147="","",IF('ESLESTIRME'!$G147="tutar_farki",'ESLESTIRME'!$A147,""))</f>
        <v/>
      </c>
      <c r="B147" s="16">
        <f>IF($A147="","",IFERROR(SUMIF(tblMotor[A_Norm],$A147,tblMotor[NetKar]),0))</f>
        <v/>
      </c>
      <c r="C147" s="16">
        <f>IF($A147="","",IFERROR(SUMIF(tblMotor[A_Norm],$A147,tblMotor[BasabasFiyat]),0))</f>
        <v/>
      </c>
      <c r="D147" s="16">
        <f>IF($A147="","",IFERROR(INDEX(tblMotor[KararSatir],MATCH($A147,tblMotor[A_Norm],0)),""))</f>
        <v/>
      </c>
      <c r="E147" s="16">
        <f>IF($A147="","",IF($B147&lt;0,"YUKSEK","NORMAL"))</f>
        <v/>
      </c>
      <c r="F147" s="16">
        <f>IF($A147="","",_xlfn.TEXTJOIN(" ",TRUE,"SKU",$A147,"karar",$D147,"net",TEXT($B147,"0.00"),"başabaş",TEXT($C147,"0.00"),"TL"))</f>
        <v/>
      </c>
    </row>
    <row r="148">
      <c r="A148" s="16">
        <f>IF('ESLESTIRME'!$A148="","",IF('ESLESTIRME'!$G148="tutar_farki",'ESLESTIRME'!$A148,""))</f>
        <v/>
      </c>
      <c r="B148" s="16">
        <f>IF($A148="","",IFERROR(SUMIF(tblMotor[A_Norm],$A148,tblMotor[NetKar]),0))</f>
        <v/>
      </c>
      <c r="C148" s="16">
        <f>IF($A148="","",IFERROR(SUMIF(tblMotor[A_Norm],$A148,tblMotor[BasabasFiyat]),0))</f>
        <v/>
      </c>
      <c r="D148" s="16">
        <f>IF($A148="","",IFERROR(INDEX(tblMotor[KararSatir],MATCH($A148,tblMotor[A_Norm],0)),""))</f>
        <v/>
      </c>
      <c r="E148" s="16">
        <f>IF($A148="","",IF($B148&lt;0,"YUKSEK","NORMAL"))</f>
        <v/>
      </c>
      <c r="F148" s="16">
        <f>IF($A148="","",_xlfn.TEXTJOIN(" ",TRUE,"SKU",$A148,"karar",$D148,"net",TEXT($B148,"0.00"),"başabaş",TEXT($C148,"0.00"),"TL"))</f>
        <v/>
      </c>
    </row>
    <row r="149">
      <c r="A149" s="16">
        <f>IF('ESLESTIRME'!$A149="","",IF('ESLESTIRME'!$G149="tutar_farki",'ESLESTIRME'!$A149,""))</f>
        <v/>
      </c>
      <c r="B149" s="16">
        <f>IF($A149="","",IFERROR(SUMIF(tblMotor[A_Norm],$A149,tblMotor[NetKar]),0))</f>
        <v/>
      </c>
      <c r="C149" s="16">
        <f>IF($A149="","",IFERROR(SUMIF(tblMotor[A_Norm],$A149,tblMotor[BasabasFiyat]),0))</f>
        <v/>
      </c>
      <c r="D149" s="16">
        <f>IF($A149="","",IFERROR(INDEX(tblMotor[KararSatir],MATCH($A149,tblMotor[A_Norm],0)),""))</f>
        <v/>
      </c>
      <c r="E149" s="16">
        <f>IF($A149="","",IF($B149&lt;0,"YUKSEK","NORMAL"))</f>
        <v/>
      </c>
      <c r="F149" s="16">
        <f>IF($A149="","",_xlfn.TEXTJOIN(" ",TRUE,"SKU",$A149,"karar",$D149,"net",TEXT($B149,"0.00"),"başabaş",TEXT($C149,"0.00"),"TL"))</f>
        <v/>
      </c>
    </row>
    <row r="150">
      <c r="A150" s="16">
        <f>IF('ESLESTIRME'!$A150="","",IF('ESLESTIRME'!$G150="tutar_farki",'ESLESTIRME'!$A150,""))</f>
        <v/>
      </c>
      <c r="B150" s="16">
        <f>IF($A150="","",IFERROR(SUMIF(tblMotor[A_Norm],$A150,tblMotor[NetKar]),0))</f>
        <v/>
      </c>
      <c r="C150" s="16">
        <f>IF($A150="","",IFERROR(SUMIF(tblMotor[A_Norm],$A150,tblMotor[BasabasFiyat]),0))</f>
        <v/>
      </c>
      <c r="D150" s="16">
        <f>IF($A150="","",IFERROR(INDEX(tblMotor[KararSatir],MATCH($A150,tblMotor[A_Norm],0)),""))</f>
        <v/>
      </c>
      <c r="E150" s="16">
        <f>IF($A150="","",IF($B150&lt;0,"YUKSEK","NORMAL"))</f>
        <v/>
      </c>
      <c r="F150" s="16">
        <f>IF($A150="","",_xlfn.TEXTJOIN(" ",TRUE,"SKU",$A150,"karar",$D150,"net",TEXT($B150,"0.00"),"başabaş",TEXT($C150,"0.00"),"TL"))</f>
        <v/>
      </c>
    </row>
    <row r="151">
      <c r="A151" s="16">
        <f>IF('ESLESTIRME'!$A151="","",IF('ESLESTIRME'!$G151="tutar_farki",'ESLESTIRME'!$A151,""))</f>
        <v/>
      </c>
      <c r="B151" s="16">
        <f>IF($A151="","",IFERROR(SUMIF(tblMotor[A_Norm],$A151,tblMotor[NetKar]),0))</f>
        <v/>
      </c>
      <c r="C151" s="16">
        <f>IF($A151="","",IFERROR(SUMIF(tblMotor[A_Norm],$A151,tblMotor[BasabasFiyat]),0))</f>
        <v/>
      </c>
      <c r="D151" s="16">
        <f>IF($A151="","",IFERROR(INDEX(tblMotor[KararSatir],MATCH($A151,tblMotor[A_Norm],0)),""))</f>
        <v/>
      </c>
      <c r="E151" s="16">
        <f>IF($A151="","",IF($B151&lt;0,"YUKSEK","NORMAL"))</f>
        <v/>
      </c>
      <c r="F151" s="16">
        <f>IF($A151="","",_xlfn.TEXTJOIN(" ",TRUE,"SKU",$A151,"karar",$D151,"net",TEXT($B151,"0.00"),"başabaş",TEXT($C151,"0.00"),"TL"))</f>
        <v/>
      </c>
    </row>
    <row r="152">
      <c r="A152" s="16">
        <f>IF('ESLESTIRME'!$A152="","",IF('ESLESTIRME'!$G152="tutar_farki",'ESLESTIRME'!$A152,""))</f>
        <v/>
      </c>
      <c r="B152" s="16">
        <f>IF($A152="","",IFERROR(SUMIF(tblMotor[A_Norm],$A152,tblMotor[NetKar]),0))</f>
        <v/>
      </c>
      <c r="C152" s="16">
        <f>IF($A152="","",IFERROR(SUMIF(tblMotor[A_Norm],$A152,tblMotor[BasabasFiyat]),0))</f>
        <v/>
      </c>
      <c r="D152" s="16">
        <f>IF($A152="","",IFERROR(INDEX(tblMotor[KararSatir],MATCH($A152,tblMotor[A_Norm],0)),""))</f>
        <v/>
      </c>
      <c r="E152" s="16">
        <f>IF($A152="","",IF($B152&lt;0,"YUKSEK","NORMAL"))</f>
        <v/>
      </c>
      <c r="F152" s="16">
        <f>IF($A152="","",_xlfn.TEXTJOIN(" ",TRUE,"SKU",$A152,"karar",$D152,"net",TEXT($B152,"0.00"),"başabaş",TEXT($C152,"0.00"),"TL"))</f>
        <v/>
      </c>
    </row>
    <row r="153">
      <c r="A153" s="16">
        <f>IF('ESLESTIRME'!$A153="","",IF('ESLESTIRME'!$G153="tutar_farki",'ESLESTIRME'!$A153,""))</f>
        <v/>
      </c>
      <c r="B153" s="16">
        <f>IF($A153="","",IFERROR(SUMIF(tblMotor[A_Norm],$A153,tblMotor[NetKar]),0))</f>
        <v/>
      </c>
      <c r="C153" s="16">
        <f>IF($A153="","",IFERROR(SUMIF(tblMotor[A_Norm],$A153,tblMotor[BasabasFiyat]),0))</f>
        <v/>
      </c>
      <c r="D153" s="16">
        <f>IF($A153="","",IFERROR(INDEX(tblMotor[KararSatir],MATCH($A153,tblMotor[A_Norm],0)),""))</f>
        <v/>
      </c>
      <c r="E153" s="16">
        <f>IF($A153="","",IF($B153&lt;0,"YUKSEK","NORMAL"))</f>
        <v/>
      </c>
      <c r="F153" s="16">
        <f>IF($A153="","",_xlfn.TEXTJOIN(" ",TRUE,"SKU",$A153,"karar",$D153,"net",TEXT($B153,"0.00"),"başabaş",TEXT($C153,"0.00"),"TL"))</f>
        <v/>
      </c>
    </row>
    <row r="154">
      <c r="A154" s="16">
        <f>IF('ESLESTIRME'!$A154="","",IF('ESLESTIRME'!$G154="tutar_farki",'ESLESTIRME'!$A154,""))</f>
        <v/>
      </c>
      <c r="B154" s="16">
        <f>IF($A154="","",IFERROR(SUMIF(tblMotor[A_Norm],$A154,tblMotor[NetKar]),0))</f>
        <v/>
      </c>
      <c r="C154" s="16">
        <f>IF($A154="","",IFERROR(SUMIF(tblMotor[A_Norm],$A154,tblMotor[BasabasFiyat]),0))</f>
        <v/>
      </c>
      <c r="D154" s="16">
        <f>IF($A154="","",IFERROR(INDEX(tblMotor[KararSatir],MATCH($A154,tblMotor[A_Norm],0)),""))</f>
        <v/>
      </c>
      <c r="E154" s="16">
        <f>IF($A154="","",IF($B154&lt;0,"YUKSEK","NORMAL"))</f>
        <v/>
      </c>
      <c r="F154" s="16">
        <f>IF($A154="","",_xlfn.TEXTJOIN(" ",TRUE,"SKU",$A154,"karar",$D154,"net",TEXT($B154,"0.00"),"başabaş",TEXT($C154,"0.00"),"TL"))</f>
        <v/>
      </c>
    </row>
    <row r="155">
      <c r="A155" s="16">
        <f>IF('ESLESTIRME'!$A155="","",IF('ESLESTIRME'!$G155="tutar_farki",'ESLESTIRME'!$A155,""))</f>
        <v/>
      </c>
      <c r="B155" s="16">
        <f>IF($A155="","",IFERROR(SUMIF(tblMotor[A_Norm],$A155,tblMotor[NetKar]),0))</f>
        <v/>
      </c>
      <c r="C155" s="16">
        <f>IF($A155="","",IFERROR(SUMIF(tblMotor[A_Norm],$A155,tblMotor[BasabasFiyat]),0))</f>
        <v/>
      </c>
      <c r="D155" s="16">
        <f>IF($A155="","",IFERROR(INDEX(tblMotor[KararSatir],MATCH($A155,tblMotor[A_Norm],0)),""))</f>
        <v/>
      </c>
      <c r="E155" s="16">
        <f>IF($A155="","",IF($B155&lt;0,"YUKSEK","NORMAL"))</f>
        <v/>
      </c>
      <c r="F155" s="16">
        <f>IF($A155="","",_xlfn.TEXTJOIN(" ",TRUE,"SKU",$A155,"karar",$D155,"net",TEXT($B155,"0.00"),"başabaş",TEXT($C155,"0.00"),"TL"))</f>
        <v/>
      </c>
    </row>
    <row r="156">
      <c r="A156" s="16">
        <f>IF('ESLESTIRME'!$A156="","",IF('ESLESTIRME'!$G156="tutar_farki",'ESLESTIRME'!$A156,""))</f>
        <v/>
      </c>
      <c r="B156" s="16">
        <f>IF($A156="","",IFERROR(SUMIF(tblMotor[A_Norm],$A156,tblMotor[NetKar]),0))</f>
        <v/>
      </c>
      <c r="C156" s="16">
        <f>IF($A156="","",IFERROR(SUMIF(tblMotor[A_Norm],$A156,tblMotor[BasabasFiyat]),0))</f>
        <v/>
      </c>
      <c r="D156" s="16">
        <f>IF($A156="","",IFERROR(INDEX(tblMotor[KararSatir],MATCH($A156,tblMotor[A_Norm],0)),""))</f>
        <v/>
      </c>
      <c r="E156" s="16">
        <f>IF($A156="","",IF($B156&lt;0,"YUKSEK","NORMAL"))</f>
        <v/>
      </c>
      <c r="F156" s="16">
        <f>IF($A156="","",_xlfn.TEXTJOIN(" ",TRUE,"SKU",$A156,"karar",$D156,"net",TEXT($B156,"0.00"),"başabaş",TEXT($C156,"0.00"),"TL"))</f>
        <v/>
      </c>
    </row>
    <row r="157">
      <c r="A157" s="16">
        <f>IF('ESLESTIRME'!$A157="","",IF('ESLESTIRME'!$G157="tutar_farki",'ESLESTIRME'!$A157,""))</f>
        <v/>
      </c>
      <c r="B157" s="16">
        <f>IF($A157="","",IFERROR(SUMIF(tblMotor[A_Norm],$A157,tblMotor[NetKar]),0))</f>
        <v/>
      </c>
      <c r="C157" s="16">
        <f>IF($A157="","",IFERROR(SUMIF(tblMotor[A_Norm],$A157,tblMotor[BasabasFiyat]),0))</f>
        <v/>
      </c>
      <c r="D157" s="16">
        <f>IF($A157="","",IFERROR(INDEX(tblMotor[KararSatir],MATCH($A157,tblMotor[A_Norm],0)),""))</f>
        <v/>
      </c>
      <c r="E157" s="16">
        <f>IF($A157="","",IF($B157&lt;0,"YUKSEK","NORMAL"))</f>
        <v/>
      </c>
      <c r="F157" s="16">
        <f>IF($A157="","",_xlfn.TEXTJOIN(" ",TRUE,"SKU",$A157,"karar",$D157,"net",TEXT($B157,"0.00"),"başabaş",TEXT($C157,"0.00"),"TL"))</f>
        <v/>
      </c>
    </row>
    <row r="158">
      <c r="A158" s="16">
        <f>IF('ESLESTIRME'!$A158="","",IF('ESLESTIRME'!$G158="tutar_farki",'ESLESTIRME'!$A158,""))</f>
        <v/>
      </c>
      <c r="B158" s="16">
        <f>IF($A158="","",IFERROR(SUMIF(tblMotor[A_Norm],$A158,tblMotor[NetKar]),0))</f>
        <v/>
      </c>
      <c r="C158" s="16">
        <f>IF($A158="","",IFERROR(SUMIF(tblMotor[A_Norm],$A158,tblMotor[BasabasFiyat]),0))</f>
        <v/>
      </c>
      <c r="D158" s="16">
        <f>IF($A158="","",IFERROR(INDEX(tblMotor[KararSatir],MATCH($A158,tblMotor[A_Norm],0)),""))</f>
        <v/>
      </c>
      <c r="E158" s="16">
        <f>IF($A158="","",IF($B158&lt;0,"YUKSEK","NORMAL"))</f>
        <v/>
      </c>
      <c r="F158" s="16">
        <f>IF($A158="","",_xlfn.TEXTJOIN(" ",TRUE,"SKU",$A158,"karar",$D158,"net",TEXT($B158,"0.00"),"başabaş",TEXT($C158,"0.00"),"TL"))</f>
        <v/>
      </c>
    </row>
    <row r="159">
      <c r="A159" s="16">
        <f>IF('ESLESTIRME'!$A159="","",IF('ESLESTIRME'!$G159="tutar_farki",'ESLESTIRME'!$A159,""))</f>
        <v/>
      </c>
      <c r="B159" s="16">
        <f>IF($A159="","",IFERROR(SUMIF(tblMotor[A_Norm],$A159,tblMotor[NetKar]),0))</f>
        <v/>
      </c>
      <c r="C159" s="16">
        <f>IF($A159="","",IFERROR(SUMIF(tblMotor[A_Norm],$A159,tblMotor[BasabasFiyat]),0))</f>
        <v/>
      </c>
      <c r="D159" s="16">
        <f>IF($A159="","",IFERROR(INDEX(tblMotor[KararSatir],MATCH($A159,tblMotor[A_Norm],0)),""))</f>
        <v/>
      </c>
      <c r="E159" s="16">
        <f>IF($A159="","",IF($B159&lt;0,"YUKSEK","NORMAL"))</f>
        <v/>
      </c>
      <c r="F159" s="16">
        <f>IF($A159="","",_xlfn.TEXTJOIN(" ",TRUE,"SKU",$A159,"karar",$D159,"net",TEXT($B159,"0.00"),"başabaş",TEXT($C159,"0.00"),"TL"))</f>
        <v/>
      </c>
    </row>
    <row r="160">
      <c r="A160" s="16">
        <f>IF('ESLESTIRME'!$A160="","",IF('ESLESTIRME'!$G160="tutar_farki",'ESLESTIRME'!$A160,""))</f>
        <v/>
      </c>
      <c r="B160" s="16">
        <f>IF($A160="","",IFERROR(SUMIF(tblMotor[A_Norm],$A160,tblMotor[NetKar]),0))</f>
        <v/>
      </c>
      <c r="C160" s="16">
        <f>IF($A160="","",IFERROR(SUMIF(tblMotor[A_Norm],$A160,tblMotor[BasabasFiyat]),0))</f>
        <v/>
      </c>
      <c r="D160" s="16">
        <f>IF($A160="","",IFERROR(INDEX(tblMotor[KararSatir],MATCH($A160,tblMotor[A_Norm],0)),""))</f>
        <v/>
      </c>
      <c r="E160" s="16">
        <f>IF($A160="","",IF($B160&lt;0,"YUKSEK","NORMAL"))</f>
        <v/>
      </c>
      <c r="F160" s="16">
        <f>IF($A160="","",_xlfn.TEXTJOIN(" ",TRUE,"SKU",$A160,"karar",$D160,"net",TEXT($B160,"0.00"),"başabaş",TEXT($C160,"0.00"),"TL"))</f>
        <v/>
      </c>
    </row>
    <row r="161">
      <c r="A161" s="16">
        <f>IF('ESLESTIRME'!$A161="","",IF('ESLESTIRME'!$G161="tutar_farki",'ESLESTIRME'!$A161,""))</f>
        <v/>
      </c>
      <c r="B161" s="16">
        <f>IF($A161="","",IFERROR(SUMIF(tblMotor[A_Norm],$A161,tblMotor[NetKar]),0))</f>
        <v/>
      </c>
      <c r="C161" s="16">
        <f>IF($A161="","",IFERROR(SUMIF(tblMotor[A_Norm],$A161,tblMotor[BasabasFiyat]),0))</f>
        <v/>
      </c>
      <c r="D161" s="16">
        <f>IF($A161="","",IFERROR(INDEX(tblMotor[KararSatir],MATCH($A161,tblMotor[A_Norm],0)),""))</f>
        <v/>
      </c>
      <c r="E161" s="16">
        <f>IF($A161="","",IF($B161&lt;0,"YUKSEK","NORMAL"))</f>
        <v/>
      </c>
      <c r="F161" s="16">
        <f>IF($A161="","",_xlfn.TEXTJOIN(" ",TRUE,"SKU",$A161,"karar",$D161,"net",TEXT($B161,"0.00"),"başabaş",TEXT($C161,"0.00"),"TL"))</f>
        <v/>
      </c>
    </row>
    <row r="162">
      <c r="A162" s="16">
        <f>IF('ESLESTIRME'!$A162="","",IF('ESLESTIRME'!$G162="tutar_farki",'ESLESTIRME'!$A162,""))</f>
        <v/>
      </c>
      <c r="B162" s="16">
        <f>IF($A162="","",IFERROR(SUMIF(tblMotor[A_Norm],$A162,tblMotor[NetKar]),0))</f>
        <v/>
      </c>
      <c r="C162" s="16">
        <f>IF($A162="","",IFERROR(SUMIF(tblMotor[A_Norm],$A162,tblMotor[BasabasFiyat]),0))</f>
        <v/>
      </c>
      <c r="D162" s="16">
        <f>IF($A162="","",IFERROR(INDEX(tblMotor[KararSatir],MATCH($A162,tblMotor[A_Norm],0)),""))</f>
        <v/>
      </c>
      <c r="E162" s="16">
        <f>IF($A162="","",IF($B162&lt;0,"YUKSEK","NORMAL"))</f>
        <v/>
      </c>
      <c r="F162" s="16">
        <f>IF($A162="","",_xlfn.TEXTJOIN(" ",TRUE,"SKU",$A162,"karar",$D162,"net",TEXT($B162,"0.00"),"başabaş",TEXT($C162,"0.00"),"TL"))</f>
        <v/>
      </c>
    </row>
    <row r="163">
      <c r="A163" s="16">
        <f>IF('ESLESTIRME'!$A163="","",IF('ESLESTIRME'!$G163="tutar_farki",'ESLESTIRME'!$A163,""))</f>
        <v/>
      </c>
      <c r="B163" s="16">
        <f>IF($A163="","",IFERROR(SUMIF(tblMotor[A_Norm],$A163,tblMotor[NetKar]),0))</f>
        <v/>
      </c>
      <c r="C163" s="16">
        <f>IF($A163="","",IFERROR(SUMIF(tblMotor[A_Norm],$A163,tblMotor[BasabasFiyat]),0))</f>
        <v/>
      </c>
      <c r="D163" s="16">
        <f>IF($A163="","",IFERROR(INDEX(tblMotor[KararSatir],MATCH($A163,tblMotor[A_Norm],0)),""))</f>
        <v/>
      </c>
      <c r="E163" s="16">
        <f>IF($A163="","",IF($B163&lt;0,"YUKSEK","NORMAL"))</f>
        <v/>
      </c>
      <c r="F163" s="16">
        <f>IF($A163="","",_xlfn.TEXTJOIN(" ",TRUE,"SKU",$A163,"karar",$D163,"net",TEXT($B163,"0.00"),"başabaş",TEXT($C163,"0.00"),"TL"))</f>
        <v/>
      </c>
    </row>
    <row r="164">
      <c r="A164" s="16">
        <f>IF('ESLESTIRME'!$A164="","",IF('ESLESTIRME'!$G164="tutar_farki",'ESLESTIRME'!$A164,""))</f>
        <v/>
      </c>
      <c r="B164" s="16">
        <f>IF($A164="","",IFERROR(SUMIF(tblMotor[A_Norm],$A164,tblMotor[NetKar]),0))</f>
        <v/>
      </c>
      <c r="C164" s="16">
        <f>IF($A164="","",IFERROR(SUMIF(tblMotor[A_Norm],$A164,tblMotor[BasabasFiyat]),0))</f>
        <v/>
      </c>
      <c r="D164" s="16">
        <f>IF($A164="","",IFERROR(INDEX(tblMotor[KararSatir],MATCH($A164,tblMotor[A_Norm],0)),""))</f>
        <v/>
      </c>
      <c r="E164" s="16">
        <f>IF($A164="","",IF($B164&lt;0,"YUKSEK","NORMAL"))</f>
        <v/>
      </c>
      <c r="F164" s="16">
        <f>IF($A164="","",_xlfn.TEXTJOIN(" ",TRUE,"SKU",$A164,"karar",$D164,"net",TEXT($B164,"0.00"),"başabaş",TEXT($C164,"0.00"),"TL"))</f>
        <v/>
      </c>
    </row>
    <row r="165">
      <c r="A165" s="16">
        <f>IF('ESLESTIRME'!$A165="","",IF('ESLESTIRME'!$G165="tutar_farki",'ESLESTIRME'!$A165,""))</f>
        <v/>
      </c>
      <c r="B165" s="16">
        <f>IF($A165="","",IFERROR(SUMIF(tblMotor[A_Norm],$A165,tblMotor[NetKar]),0))</f>
        <v/>
      </c>
      <c r="C165" s="16">
        <f>IF($A165="","",IFERROR(SUMIF(tblMotor[A_Norm],$A165,tblMotor[BasabasFiyat]),0))</f>
        <v/>
      </c>
      <c r="D165" s="16">
        <f>IF($A165="","",IFERROR(INDEX(tblMotor[KararSatir],MATCH($A165,tblMotor[A_Norm],0)),""))</f>
        <v/>
      </c>
      <c r="E165" s="16">
        <f>IF($A165="","",IF($B165&lt;0,"YUKSEK","NORMAL"))</f>
        <v/>
      </c>
      <c r="F165" s="16">
        <f>IF($A165="","",_xlfn.TEXTJOIN(" ",TRUE,"SKU",$A165,"karar",$D165,"net",TEXT($B165,"0.00"),"başabaş",TEXT($C165,"0.00"),"TL"))</f>
        <v/>
      </c>
    </row>
    <row r="166">
      <c r="A166" s="16">
        <f>IF('ESLESTIRME'!$A166="","",IF('ESLESTIRME'!$G166="tutar_farki",'ESLESTIRME'!$A166,""))</f>
        <v/>
      </c>
      <c r="B166" s="16">
        <f>IF($A166="","",IFERROR(SUMIF(tblMotor[A_Norm],$A166,tblMotor[NetKar]),0))</f>
        <v/>
      </c>
      <c r="C166" s="16">
        <f>IF($A166="","",IFERROR(SUMIF(tblMotor[A_Norm],$A166,tblMotor[BasabasFiyat]),0))</f>
        <v/>
      </c>
      <c r="D166" s="16">
        <f>IF($A166="","",IFERROR(INDEX(tblMotor[KararSatir],MATCH($A166,tblMotor[A_Norm],0)),""))</f>
        <v/>
      </c>
      <c r="E166" s="16">
        <f>IF($A166="","",IF($B166&lt;0,"YUKSEK","NORMAL"))</f>
        <v/>
      </c>
      <c r="F166" s="16">
        <f>IF($A166="","",_xlfn.TEXTJOIN(" ",TRUE,"SKU",$A166,"karar",$D166,"net",TEXT($B166,"0.00"),"başabaş",TEXT($C166,"0.00"),"TL"))</f>
        <v/>
      </c>
    </row>
    <row r="167">
      <c r="A167" s="16">
        <f>IF('ESLESTIRME'!$A167="","",IF('ESLESTIRME'!$G167="tutar_farki",'ESLESTIRME'!$A167,""))</f>
        <v/>
      </c>
      <c r="B167" s="16">
        <f>IF($A167="","",IFERROR(SUMIF(tblMotor[A_Norm],$A167,tblMotor[NetKar]),0))</f>
        <v/>
      </c>
      <c r="C167" s="16">
        <f>IF($A167="","",IFERROR(SUMIF(tblMotor[A_Norm],$A167,tblMotor[BasabasFiyat]),0))</f>
        <v/>
      </c>
      <c r="D167" s="16">
        <f>IF($A167="","",IFERROR(INDEX(tblMotor[KararSatir],MATCH($A167,tblMotor[A_Norm],0)),""))</f>
        <v/>
      </c>
      <c r="E167" s="16">
        <f>IF($A167="","",IF($B167&lt;0,"YUKSEK","NORMAL"))</f>
        <v/>
      </c>
      <c r="F167" s="16">
        <f>IF($A167="","",_xlfn.TEXTJOIN(" ",TRUE,"SKU",$A167,"karar",$D167,"net",TEXT($B167,"0.00"),"başabaş",TEXT($C167,"0.00"),"TL"))</f>
        <v/>
      </c>
    </row>
    <row r="168">
      <c r="A168" s="16">
        <f>IF('ESLESTIRME'!$A168="","",IF('ESLESTIRME'!$G168="tutar_farki",'ESLESTIRME'!$A168,""))</f>
        <v/>
      </c>
      <c r="B168" s="16">
        <f>IF($A168="","",IFERROR(SUMIF(tblMotor[A_Norm],$A168,tblMotor[NetKar]),0))</f>
        <v/>
      </c>
      <c r="C168" s="16">
        <f>IF($A168="","",IFERROR(SUMIF(tblMotor[A_Norm],$A168,tblMotor[BasabasFiyat]),0))</f>
        <v/>
      </c>
      <c r="D168" s="16">
        <f>IF($A168="","",IFERROR(INDEX(tblMotor[KararSatir],MATCH($A168,tblMotor[A_Norm],0)),""))</f>
        <v/>
      </c>
      <c r="E168" s="16">
        <f>IF($A168="","",IF($B168&lt;0,"YUKSEK","NORMAL"))</f>
        <v/>
      </c>
      <c r="F168" s="16">
        <f>IF($A168="","",_xlfn.TEXTJOIN(" ",TRUE,"SKU",$A168,"karar",$D168,"net",TEXT($B168,"0.00"),"başabaş",TEXT($C168,"0.00"),"TL"))</f>
        <v/>
      </c>
    </row>
    <row r="169">
      <c r="A169" s="16">
        <f>IF('ESLESTIRME'!$A169="","",IF('ESLESTIRME'!$G169="tutar_farki",'ESLESTIRME'!$A169,""))</f>
        <v/>
      </c>
      <c r="B169" s="16">
        <f>IF($A169="","",IFERROR(SUMIF(tblMotor[A_Norm],$A169,tblMotor[NetKar]),0))</f>
        <v/>
      </c>
      <c r="C169" s="16">
        <f>IF($A169="","",IFERROR(SUMIF(tblMotor[A_Norm],$A169,tblMotor[BasabasFiyat]),0))</f>
        <v/>
      </c>
      <c r="D169" s="16">
        <f>IF($A169="","",IFERROR(INDEX(tblMotor[KararSatir],MATCH($A169,tblMotor[A_Norm],0)),""))</f>
        <v/>
      </c>
      <c r="E169" s="16">
        <f>IF($A169="","",IF($B169&lt;0,"YUKSEK","NORMAL"))</f>
        <v/>
      </c>
      <c r="F169" s="16">
        <f>IF($A169="","",_xlfn.TEXTJOIN(" ",TRUE,"SKU",$A169,"karar",$D169,"net",TEXT($B169,"0.00"),"başabaş",TEXT($C169,"0.00"),"TL"))</f>
        <v/>
      </c>
    </row>
    <row r="170">
      <c r="A170" s="16">
        <f>IF('ESLESTIRME'!$A170="","",IF('ESLESTIRME'!$G170="tutar_farki",'ESLESTIRME'!$A170,""))</f>
        <v/>
      </c>
      <c r="B170" s="16">
        <f>IF($A170="","",IFERROR(SUMIF(tblMotor[A_Norm],$A170,tblMotor[NetKar]),0))</f>
        <v/>
      </c>
      <c r="C170" s="16">
        <f>IF($A170="","",IFERROR(SUMIF(tblMotor[A_Norm],$A170,tblMotor[BasabasFiyat]),0))</f>
        <v/>
      </c>
      <c r="D170" s="16">
        <f>IF($A170="","",IFERROR(INDEX(tblMotor[KararSatir],MATCH($A170,tblMotor[A_Norm],0)),""))</f>
        <v/>
      </c>
      <c r="E170" s="16">
        <f>IF($A170="","",IF($B170&lt;0,"YUKSEK","NORMAL"))</f>
        <v/>
      </c>
      <c r="F170" s="16">
        <f>IF($A170="","",_xlfn.TEXTJOIN(" ",TRUE,"SKU",$A170,"karar",$D170,"net",TEXT($B170,"0.00"),"başabaş",TEXT($C170,"0.00"),"TL"))</f>
        <v/>
      </c>
    </row>
    <row r="171">
      <c r="A171" s="16">
        <f>IF('ESLESTIRME'!$A171="","",IF('ESLESTIRME'!$G171="tutar_farki",'ESLESTIRME'!$A171,""))</f>
        <v/>
      </c>
      <c r="B171" s="16">
        <f>IF($A171="","",IFERROR(SUMIF(tblMotor[A_Norm],$A171,tblMotor[NetKar]),0))</f>
        <v/>
      </c>
      <c r="C171" s="16">
        <f>IF($A171="","",IFERROR(SUMIF(tblMotor[A_Norm],$A171,tblMotor[BasabasFiyat]),0))</f>
        <v/>
      </c>
      <c r="D171" s="16">
        <f>IF($A171="","",IFERROR(INDEX(tblMotor[KararSatir],MATCH($A171,tblMotor[A_Norm],0)),""))</f>
        <v/>
      </c>
      <c r="E171" s="16">
        <f>IF($A171="","",IF($B171&lt;0,"YUKSEK","NORMAL"))</f>
        <v/>
      </c>
      <c r="F171" s="16">
        <f>IF($A171="","",_xlfn.TEXTJOIN(" ",TRUE,"SKU",$A171,"karar",$D171,"net",TEXT($B171,"0.00"),"başabaş",TEXT($C171,"0.00"),"TL"))</f>
        <v/>
      </c>
    </row>
    <row r="172">
      <c r="A172" s="16">
        <f>IF('ESLESTIRME'!$A172="","",IF('ESLESTIRME'!$G172="tutar_farki",'ESLESTIRME'!$A172,""))</f>
        <v/>
      </c>
      <c r="B172" s="16">
        <f>IF($A172="","",IFERROR(SUMIF(tblMotor[A_Norm],$A172,tblMotor[NetKar]),0))</f>
        <v/>
      </c>
      <c r="C172" s="16">
        <f>IF($A172="","",IFERROR(SUMIF(tblMotor[A_Norm],$A172,tblMotor[BasabasFiyat]),0))</f>
        <v/>
      </c>
      <c r="D172" s="16">
        <f>IF($A172="","",IFERROR(INDEX(tblMotor[KararSatir],MATCH($A172,tblMotor[A_Norm],0)),""))</f>
        <v/>
      </c>
      <c r="E172" s="16">
        <f>IF($A172="","",IF($B172&lt;0,"YUKSEK","NORMAL"))</f>
        <v/>
      </c>
      <c r="F172" s="16">
        <f>IF($A172="","",_xlfn.TEXTJOIN(" ",TRUE,"SKU",$A172,"karar",$D172,"net",TEXT($B172,"0.00"),"başabaş",TEXT($C172,"0.00"),"TL"))</f>
        <v/>
      </c>
    </row>
    <row r="173">
      <c r="A173" s="16">
        <f>IF('ESLESTIRME'!$A173="","",IF('ESLESTIRME'!$G173="tutar_farki",'ESLESTIRME'!$A173,""))</f>
        <v/>
      </c>
      <c r="B173" s="16">
        <f>IF($A173="","",IFERROR(SUMIF(tblMotor[A_Norm],$A173,tblMotor[NetKar]),0))</f>
        <v/>
      </c>
      <c r="C173" s="16">
        <f>IF($A173="","",IFERROR(SUMIF(tblMotor[A_Norm],$A173,tblMotor[BasabasFiyat]),0))</f>
        <v/>
      </c>
      <c r="D173" s="16">
        <f>IF($A173="","",IFERROR(INDEX(tblMotor[KararSatir],MATCH($A173,tblMotor[A_Norm],0)),""))</f>
        <v/>
      </c>
      <c r="E173" s="16">
        <f>IF($A173="","",IF($B173&lt;0,"YUKSEK","NORMAL"))</f>
        <v/>
      </c>
      <c r="F173" s="16">
        <f>IF($A173="","",_xlfn.TEXTJOIN(" ",TRUE,"SKU",$A173,"karar",$D173,"net",TEXT($B173,"0.00"),"başabaş",TEXT($C173,"0.00"),"TL"))</f>
        <v/>
      </c>
    </row>
    <row r="174">
      <c r="A174" s="16">
        <f>IF('ESLESTIRME'!$A174="","",IF('ESLESTIRME'!$G174="tutar_farki",'ESLESTIRME'!$A174,""))</f>
        <v/>
      </c>
      <c r="B174" s="16">
        <f>IF($A174="","",IFERROR(SUMIF(tblMotor[A_Norm],$A174,tblMotor[NetKar]),0))</f>
        <v/>
      </c>
      <c r="C174" s="16">
        <f>IF($A174="","",IFERROR(SUMIF(tblMotor[A_Norm],$A174,tblMotor[BasabasFiyat]),0))</f>
        <v/>
      </c>
      <c r="D174" s="16">
        <f>IF($A174="","",IFERROR(INDEX(tblMotor[KararSatir],MATCH($A174,tblMotor[A_Norm],0)),""))</f>
        <v/>
      </c>
      <c r="E174" s="16">
        <f>IF($A174="","",IF($B174&lt;0,"YUKSEK","NORMAL"))</f>
        <v/>
      </c>
      <c r="F174" s="16">
        <f>IF($A174="","",_xlfn.TEXTJOIN(" ",TRUE,"SKU",$A174,"karar",$D174,"net",TEXT($B174,"0.00"),"başabaş",TEXT($C174,"0.00"),"TL"))</f>
        <v/>
      </c>
    </row>
    <row r="175">
      <c r="A175" s="16">
        <f>IF('ESLESTIRME'!$A175="","",IF('ESLESTIRME'!$G175="tutar_farki",'ESLESTIRME'!$A175,""))</f>
        <v/>
      </c>
      <c r="B175" s="16">
        <f>IF($A175="","",IFERROR(SUMIF(tblMotor[A_Norm],$A175,tblMotor[NetKar]),0))</f>
        <v/>
      </c>
      <c r="C175" s="16">
        <f>IF($A175="","",IFERROR(SUMIF(tblMotor[A_Norm],$A175,tblMotor[BasabasFiyat]),0))</f>
        <v/>
      </c>
      <c r="D175" s="16">
        <f>IF($A175="","",IFERROR(INDEX(tblMotor[KararSatir],MATCH($A175,tblMotor[A_Norm],0)),""))</f>
        <v/>
      </c>
      <c r="E175" s="16">
        <f>IF($A175="","",IF($B175&lt;0,"YUKSEK","NORMAL"))</f>
        <v/>
      </c>
      <c r="F175" s="16">
        <f>IF($A175="","",_xlfn.TEXTJOIN(" ",TRUE,"SKU",$A175,"karar",$D175,"net",TEXT($B175,"0.00"),"başabaş",TEXT($C175,"0.00"),"TL"))</f>
        <v/>
      </c>
    </row>
    <row r="176">
      <c r="A176" s="16">
        <f>IF('ESLESTIRME'!$A176="","",IF('ESLESTIRME'!$G176="tutar_farki",'ESLESTIRME'!$A176,""))</f>
        <v/>
      </c>
      <c r="B176" s="16">
        <f>IF($A176="","",IFERROR(SUMIF(tblMotor[A_Norm],$A176,tblMotor[NetKar]),0))</f>
        <v/>
      </c>
      <c r="C176" s="16">
        <f>IF($A176="","",IFERROR(SUMIF(tblMotor[A_Norm],$A176,tblMotor[BasabasFiyat]),0))</f>
        <v/>
      </c>
      <c r="D176" s="16">
        <f>IF($A176="","",IFERROR(INDEX(tblMotor[KararSatir],MATCH($A176,tblMotor[A_Norm],0)),""))</f>
        <v/>
      </c>
      <c r="E176" s="16">
        <f>IF($A176="","",IF($B176&lt;0,"YUKSEK","NORMAL"))</f>
        <v/>
      </c>
      <c r="F176" s="16">
        <f>IF($A176="","",_xlfn.TEXTJOIN(" ",TRUE,"SKU",$A176,"karar",$D176,"net",TEXT($B176,"0.00"),"başabaş",TEXT($C176,"0.00"),"TL"))</f>
        <v/>
      </c>
    </row>
    <row r="177">
      <c r="A177" s="16">
        <f>IF('ESLESTIRME'!$A177="","",IF('ESLESTIRME'!$G177="tutar_farki",'ESLESTIRME'!$A177,""))</f>
        <v/>
      </c>
      <c r="B177" s="16">
        <f>IF($A177="","",IFERROR(SUMIF(tblMotor[A_Norm],$A177,tblMotor[NetKar]),0))</f>
        <v/>
      </c>
      <c r="C177" s="16">
        <f>IF($A177="","",IFERROR(SUMIF(tblMotor[A_Norm],$A177,tblMotor[BasabasFiyat]),0))</f>
        <v/>
      </c>
      <c r="D177" s="16">
        <f>IF($A177="","",IFERROR(INDEX(tblMotor[KararSatir],MATCH($A177,tblMotor[A_Norm],0)),""))</f>
        <v/>
      </c>
      <c r="E177" s="16">
        <f>IF($A177="","",IF($B177&lt;0,"YUKSEK","NORMAL"))</f>
        <v/>
      </c>
      <c r="F177" s="16">
        <f>IF($A177="","",_xlfn.TEXTJOIN(" ",TRUE,"SKU",$A177,"karar",$D177,"net",TEXT($B177,"0.00"),"başabaş",TEXT($C177,"0.00"),"TL"))</f>
        <v/>
      </c>
    </row>
    <row r="178">
      <c r="A178" s="16">
        <f>IF('ESLESTIRME'!$A178="","",IF('ESLESTIRME'!$G178="tutar_farki",'ESLESTIRME'!$A178,""))</f>
        <v/>
      </c>
      <c r="B178" s="16">
        <f>IF($A178="","",IFERROR(SUMIF(tblMotor[A_Norm],$A178,tblMotor[NetKar]),0))</f>
        <v/>
      </c>
      <c r="C178" s="16">
        <f>IF($A178="","",IFERROR(SUMIF(tblMotor[A_Norm],$A178,tblMotor[BasabasFiyat]),0))</f>
        <v/>
      </c>
      <c r="D178" s="16">
        <f>IF($A178="","",IFERROR(INDEX(tblMotor[KararSatir],MATCH($A178,tblMotor[A_Norm],0)),""))</f>
        <v/>
      </c>
      <c r="E178" s="16">
        <f>IF($A178="","",IF($B178&lt;0,"YUKSEK","NORMAL"))</f>
        <v/>
      </c>
      <c r="F178" s="16">
        <f>IF($A178="","",_xlfn.TEXTJOIN(" ",TRUE,"SKU",$A178,"karar",$D178,"net",TEXT($B178,"0.00"),"başabaş",TEXT($C178,"0.00"),"TL"))</f>
        <v/>
      </c>
    </row>
    <row r="179">
      <c r="A179" s="16">
        <f>IF('ESLESTIRME'!$A179="","",IF('ESLESTIRME'!$G179="tutar_farki",'ESLESTIRME'!$A179,""))</f>
        <v/>
      </c>
      <c r="B179" s="16">
        <f>IF($A179="","",IFERROR(SUMIF(tblMotor[A_Norm],$A179,tblMotor[NetKar]),0))</f>
        <v/>
      </c>
      <c r="C179" s="16">
        <f>IF($A179="","",IFERROR(SUMIF(tblMotor[A_Norm],$A179,tblMotor[BasabasFiyat]),0))</f>
        <v/>
      </c>
      <c r="D179" s="16">
        <f>IF($A179="","",IFERROR(INDEX(tblMotor[KararSatir],MATCH($A179,tblMotor[A_Norm],0)),""))</f>
        <v/>
      </c>
      <c r="E179" s="16">
        <f>IF($A179="","",IF($B179&lt;0,"YUKSEK","NORMAL"))</f>
        <v/>
      </c>
      <c r="F179" s="16">
        <f>IF($A179="","",_xlfn.TEXTJOIN(" ",TRUE,"SKU",$A179,"karar",$D179,"net",TEXT($B179,"0.00"),"başabaş",TEXT($C179,"0.00"),"TL"))</f>
        <v/>
      </c>
    </row>
    <row r="180">
      <c r="A180" s="16">
        <f>IF('ESLESTIRME'!$A180="","",IF('ESLESTIRME'!$G180="tutar_farki",'ESLESTIRME'!$A180,""))</f>
        <v/>
      </c>
      <c r="B180" s="16">
        <f>IF($A180="","",IFERROR(SUMIF(tblMotor[A_Norm],$A180,tblMotor[NetKar]),0))</f>
        <v/>
      </c>
      <c r="C180" s="16">
        <f>IF($A180="","",IFERROR(SUMIF(tblMotor[A_Norm],$A180,tblMotor[BasabasFiyat]),0))</f>
        <v/>
      </c>
      <c r="D180" s="16">
        <f>IF($A180="","",IFERROR(INDEX(tblMotor[KararSatir],MATCH($A180,tblMotor[A_Norm],0)),""))</f>
        <v/>
      </c>
      <c r="E180" s="16">
        <f>IF($A180="","",IF($B180&lt;0,"YUKSEK","NORMAL"))</f>
        <v/>
      </c>
      <c r="F180" s="16">
        <f>IF($A180="","",_xlfn.TEXTJOIN(" ",TRUE,"SKU",$A180,"karar",$D180,"net",TEXT($B180,"0.00"),"başabaş",TEXT($C180,"0.00"),"TL"))</f>
        <v/>
      </c>
    </row>
    <row r="181">
      <c r="A181" s="16">
        <f>IF('ESLESTIRME'!$A181="","",IF('ESLESTIRME'!$G181="tutar_farki",'ESLESTIRME'!$A181,""))</f>
        <v/>
      </c>
      <c r="B181" s="16">
        <f>IF($A181="","",IFERROR(SUMIF(tblMotor[A_Norm],$A181,tblMotor[NetKar]),0))</f>
        <v/>
      </c>
      <c r="C181" s="16">
        <f>IF($A181="","",IFERROR(SUMIF(tblMotor[A_Norm],$A181,tblMotor[BasabasFiyat]),0))</f>
        <v/>
      </c>
      <c r="D181" s="16">
        <f>IF($A181="","",IFERROR(INDEX(tblMotor[KararSatir],MATCH($A181,tblMotor[A_Norm],0)),""))</f>
        <v/>
      </c>
      <c r="E181" s="16">
        <f>IF($A181="","",IF($B181&lt;0,"YUKSEK","NORMAL"))</f>
        <v/>
      </c>
      <c r="F181" s="16">
        <f>IF($A181="","",_xlfn.TEXTJOIN(" ",TRUE,"SKU",$A181,"karar",$D181,"net",TEXT($B181,"0.00"),"başabaş",TEXT($C181,"0.00"),"TL"))</f>
        <v/>
      </c>
    </row>
    <row r="182">
      <c r="A182" s="16">
        <f>IF('ESLESTIRME'!$A182="","",IF('ESLESTIRME'!$G182="tutar_farki",'ESLESTIRME'!$A182,""))</f>
        <v/>
      </c>
      <c r="B182" s="16">
        <f>IF($A182="","",IFERROR(SUMIF(tblMotor[A_Norm],$A182,tblMotor[NetKar]),0))</f>
        <v/>
      </c>
      <c r="C182" s="16">
        <f>IF($A182="","",IFERROR(SUMIF(tblMotor[A_Norm],$A182,tblMotor[BasabasFiyat]),0))</f>
        <v/>
      </c>
      <c r="D182" s="16">
        <f>IF($A182="","",IFERROR(INDEX(tblMotor[KararSatir],MATCH($A182,tblMotor[A_Norm],0)),""))</f>
        <v/>
      </c>
      <c r="E182" s="16">
        <f>IF($A182="","",IF($B182&lt;0,"YUKSEK","NORMAL"))</f>
        <v/>
      </c>
      <c r="F182" s="16">
        <f>IF($A182="","",_xlfn.TEXTJOIN(" ",TRUE,"SKU",$A182,"karar",$D182,"net",TEXT($B182,"0.00"),"başabaş",TEXT($C182,"0.00"),"TL"))</f>
        <v/>
      </c>
    </row>
    <row r="183">
      <c r="A183" s="16">
        <f>IF('ESLESTIRME'!$A183="","",IF('ESLESTIRME'!$G183="tutar_farki",'ESLESTIRME'!$A183,""))</f>
        <v/>
      </c>
      <c r="B183" s="16">
        <f>IF($A183="","",IFERROR(SUMIF(tblMotor[A_Norm],$A183,tblMotor[NetKar]),0))</f>
        <v/>
      </c>
      <c r="C183" s="16">
        <f>IF($A183="","",IFERROR(SUMIF(tblMotor[A_Norm],$A183,tblMotor[BasabasFiyat]),0))</f>
        <v/>
      </c>
      <c r="D183" s="16">
        <f>IF($A183="","",IFERROR(INDEX(tblMotor[KararSatir],MATCH($A183,tblMotor[A_Norm],0)),""))</f>
        <v/>
      </c>
      <c r="E183" s="16">
        <f>IF($A183="","",IF($B183&lt;0,"YUKSEK","NORMAL"))</f>
        <v/>
      </c>
      <c r="F183" s="16">
        <f>IF($A183="","",_xlfn.TEXTJOIN(" ",TRUE,"SKU",$A183,"karar",$D183,"net",TEXT($B183,"0.00"),"başabaş",TEXT($C183,"0.00"),"TL"))</f>
        <v/>
      </c>
    </row>
    <row r="184">
      <c r="A184" s="16">
        <f>IF('ESLESTIRME'!$A184="","",IF('ESLESTIRME'!$G184="tutar_farki",'ESLESTIRME'!$A184,""))</f>
        <v/>
      </c>
      <c r="B184" s="16">
        <f>IF($A184="","",IFERROR(SUMIF(tblMotor[A_Norm],$A184,tblMotor[NetKar]),0))</f>
        <v/>
      </c>
      <c r="C184" s="16">
        <f>IF($A184="","",IFERROR(SUMIF(tblMotor[A_Norm],$A184,tblMotor[BasabasFiyat]),0))</f>
        <v/>
      </c>
      <c r="D184" s="16">
        <f>IF($A184="","",IFERROR(INDEX(tblMotor[KararSatir],MATCH($A184,tblMotor[A_Norm],0)),""))</f>
        <v/>
      </c>
      <c r="E184" s="16">
        <f>IF($A184="","",IF($B184&lt;0,"YUKSEK","NORMAL"))</f>
        <v/>
      </c>
      <c r="F184" s="16">
        <f>IF($A184="","",_xlfn.TEXTJOIN(" ",TRUE,"SKU",$A184,"karar",$D184,"net",TEXT($B184,"0.00"),"başabaş",TEXT($C184,"0.00"),"TL"))</f>
        <v/>
      </c>
    </row>
    <row r="185">
      <c r="A185" s="16">
        <f>IF('ESLESTIRME'!$A185="","",IF('ESLESTIRME'!$G185="tutar_farki",'ESLESTIRME'!$A185,""))</f>
        <v/>
      </c>
      <c r="B185" s="16">
        <f>IF($A185="","",IFERROR(SUMIF(tblMotor[A_Norm],$A185,tblMotor[NetKar]),0))</f>
        <v/>
      </c>
      <c r="C185" s="16">
        <f>IF($A185="","",IFERROR(SUMIF(tblMotor[A_Norm],$A185,tblMotor[BasabasFiyat]),0))</f>
        <v/>
      </c>
      <c r="D185" s="16">
        <f>IF($A185="","",IFERROR(INDEX(tblMotor[KararSatir],MATCH($A185,tblMotor[A_Norm],0)),""))</f>
        <v/>
      </c>
      <c r="E185" s="16">
        <f>IF($A185="","",IF($B185&lt;0,"YUKSEK","NORMAL"))</f>
        <v/>
      </c>
      <c r="F185" s="16">
        <f>IF($A185="","",_xlfn.TEXTJOIN(" ",TRUE,"SKU",$A185,"karar",$D185,"net",TEXT($B185,"0.00"),"başabaş",TEXT($C185,"0.00"),"TL"))</f>
        <v/>
      </c>
    </row>
    <row r="186">
      <c r="A186" s="16">
        <f>IF('ESLESTIRME'!$A186="","",IF('ESLESTIRME'!$G186="tutar_farki",'ESLESTIRME'!$A186,""))</f>
        <v/>
      </c>
      <c r="B186" s="16">
        <f>IF($A186="","",IFERROR(SUMIF(tblMotor[A_Norm],$A186,tblMotor[NetKar]),0))</f>
        <v/>
      </c>
      <c r="C186" s="16">
        <f>IF($A186="","",IFERROR(SUMIF(tblMotor[A_Norm],$A186,tblMotor[BasabasFiyat]),0))</f>
        <v/>
      </c>
      <c r="D186" s="16">
        <f>IF($A186="","",IFERROR(INDEX(tblMotor[KararSatir],MATCH($A186,tblMotor[A_Norm],0)),""))</f>
        <v/>
      </c>
      <c r="E186" s="16">
        <f>IF($A186="","",IF($B186&lt;0,"YUKSEK","NORMAL"))</f>
        <v/>
      </c>
      <c r="F186" s="16">
        <f>IF($A186="","",_xlfn.TEXTJOIN(" ",TRUE,"SKU",$A186,"karar",$D186,"net",TEXT($B186,"0.00"),"başabaş",TEXT($C186,"0.00"),"TL"))</f>
        <v/>
      </c>
    </row>
    <row r="187">
      <c r="A187" s="16">
        <f>IF('ESLESTIRME'!$A187="","",IF('ESLESTIRME'!$G187="tutar_farki",'ESLESTIRME'!$A187,""))</f>
        <v/>
      </c>
      <c r="B187" s="16">
        <f>IF($A187="","",IFERROR(SUMIF(tblMotor[A_Norm],$A187,tblMotor[NetKar]),0))</f>
        <v/>
      </c>
      <c r="C187" s="16">
        <f>IF($A187="","",IFERROR(SUMIF(tblMotor[A_Norm],$A187,tblMotor[BasabasFiyat]),0))</f>
        <v/>
      </c>
      <c r="D187" s="16">
        <f>IF($A187="","",IFERROR(INDEX(tblMotor[KararSatir],MATCH($A187,tblMotor[A_Norm],0)),""))</f>
        <v/>
      </c>
      <c r="E187" s="16">
        <f>IF($A187="","",IF($B187&lt;0,"YUKSEK","NORMAL"))</f>
        <v/>
      </c>
      <c r="F187" s="16">
        <f>IF($A187="","",_xlfn.TEXTJOIN(" ",TRUE,"SKU",$A187,"karar",$D187,"net",TEXT($B187,"0.00"),"başabaş",TEXT($C187,"0.00"),"TL"))</f>
        <v/>
      </c>
    </row>
    <row r="188">
      <c r="A188" s="16">
        <f>IF('ESLESTIRME'!$A188="","",IF('ESLESTIRME'!$G188="tutar_farki",'ESLESTIRME'!$A188,""))</f>
        <v/>
      </c>
      <c r="B188" s="16">
        <f>IF($A188="","",IFERROR(SUMIF(tblMotor[A_Norm],$A188,tblMotor[NetKar]),0))</f>
        <v/>
      </c>
      <c r="C188" s="16">
        <f>IF($A188="","",IFERROR(SUMIF(tblMotor[A_Norm],$A188,tblMotor[BasabasFiyat]),0))</f>
        <v/>
      </c>
      <c r="D188" s="16">
        <f>IF($A188="","",IFERROR(INDEX(tblMotor[KararSatir],MATCH($A188,tblMotor[A_Norm],0)),""))</f>
        <v/>
      </c>
      <c r="E188" s="16">
        <f>IF($A188="","",IF($B188&lt;0,"YUKSEK","NORMAL"))</f>
        <v/>
      </c>
      <c r="F188" s="16">
        <f>IF($A188="","",_xlfn.TEXTJOIN(" ",TRUE,"SKU",$A188,"karar",$D188,"net",TEXT($B188,"0.00"),"başabaş",TEXT($C188,"0.00"),"TL"))</f>
        <v/>
      </c>
    </row>
    <row r="189">
      <c r="A189" s="16">
        <f>IF('ESLESTIRME'!$A189="","",IF('ESLESTIRME'!$G189="tutar_farki",'ESLESTIRME'!$A189,""))</f>
        <v/>
      </c>
      <c r="B189" s="16">
        <f>IF($A189="","",IFERROR(SUMIF(tblMotor[A_Norm],$A189,tblMotor[NetKar]),0))</f>
        <v/>
      </c>
      <c r="C189" s="16">
        <f>IF($A189="","",IFERROR(SUMIF(tblMotor[A_Norm],$A189,tblMotor[BasabasFiyat]),0))</f>
        <v/>
      </c>
      <c r="D189" s="16">
        <f>IF($A189="","",IFERROR(INDEX(tblMotor[KararSatir],MATCH($A189,tblMotor[A_Norm],0)),""))</f>
        <v/>
      </c>
      <c r="E189" s="16">
        <f>IF($A189="","",IF($B189&lt;0,"YUKSEK","NORMAL"))</f>
        <v/>
      </c>
      <c r="F189" s="16">
        <f>IF($A189="","",_xlfn.TEXTJOIN(" ",TRUE,"SKU",$A189,"karar",$D189,"net",TEXT($B189,"0.00"),"başabaş",TEXT($C189,"0.00"),"TL"))</f>
        <v/>
      </c>
    </row>
    <row r="190">
      <c r="A190" s="16">
        <f>IF('ESLESTIRME'!$A190="","",IF('ESLESTIRME'!$G190="tutar_farki",'ESLESTIRME'!$A190,""))</f>
        <v/>
      </c>
      <c r="B190" s="16">
        <f>IF($A190="","",IFERROR(SUMIF(tblMotor[A_Norm],$A190,tblMotor[NetKar]),0))</f>
        <v/>
      </c>
      <c r="C190" s="16">
        <f>IF($A190="","",IFERROR(SUMIF(tblMotor[A_Norm],$A190,tblMotor[BasabasFiyat]),0))</f>
        <v/>
      </c>
      <c r="D190" s="16">
        <f>IF($A190="","",IFERROR(INDEX(tblMotor[KararSatir],MATCH($A190,tblMotor[A_Norm],0)),""))</f>
        <v/>
      </c>
      <c r="E190" s="16">
        <f>IF($A190="","",IF($B190&lt;0,"YUKSEK","NORMAL"))</f>
        <v/>
      </c>
      <c r="F190" s="16">
        <f>IF($A190="","",_xlfn.TEXTJOIN(" ",TRUE,"SKU",$A190,"karar",$D190,"net",TEXT($B190,"0.00"),"başabaş",TEXT($C190,"0.00"),"TL"))</f>
        <v/>
      </c>
    </row>
    <row r="191">
      <c r="A191" s="16">
        <f>IF('ESLESTIRME'!$A191="","",IF('ESLESTIRME'!$G191="tutar_farki",'ESLESTIRME'!$A191,""))</f>
        <v/>
      </c>
      <c r="B191" s="16">
        <f>IF($A191="","",IFERROR(SUMIF(tblMotor[A_Norm],$A191,tblMotor[NetKar]),0))</f>
        <v/>
      </c>
      <c r="C191" s="16">
        <f>IF($A191="","",IFERROR(SUMIF(tblMotor[A_Norm],$A191,tblMotor[BasabasFiyat]),0))</f>
        <v/>
      </c>
      <c r="D191" s="16">
        <f>IF($A191="","",IFERROR(INDEX(tblMotor[KararSatir],MATCH($A191,tblMotor[A_Norm],0)),""))</f>
        <v/>
      </c>
      <c r="E191" s="16">
        <f>IF($A191="","",IF($B191&lt;0,"YUKSEK","NORMAL"))</f>
        <v/>
      </c>
      <c r="F191" s="16">
        <f>IF($A191="","",_xlfn.TEXTJOIN(" ",TRUE,"SKU",$A191,"karar",$D191,"net",TEXT($B191,"0.00"),"başabaş",TEXT($C191,"0.00"),"TL"))</f>
        <v/>
      </c>
    </row>
    <row r="192">
      <c r="A192" s="16">
        <f>IF('ESLESTIRME'!$A192="","",IF('ESLESTIRME'!$G192="tutar_farki",'ESLESTIRME'!$A192,""))</f>
        <v/>
      </c>
      <c r="B192" s="16">
        <f>IF($A192="","",IFERROR(SUMIF(tblMotor[A_Norm],$A192,tblMotor[NetKar]),0))</f>
        <v/>
      </c>
      <c r="C192" s="16">
        <f>IF($A192="","",IFERROR(SUMIF(tblMotor[A_Norm],$A192,tblMotor[BasabasFiyat]),0))</f>
        <v/>
      </c>
      <c r="D192" s="16">
        <f>IF($A192="","",IFERROR(INDEX(tblMotor[KararSatir],MATCH($A192,tblMotor[A_Norm],0)),""))</f>
        <v/>
      </c>
      <c r="E192" s="16">
        <f>IF($A192="","",IF($B192&lt;0,"YUKSEK","NORMAL"))</f>
        <v/>
      </c>
      <c r="F192" s="16">
        <f>IF($A192="","",_xlfn.TEXTJOIN(" ",TRUE,"SKU",$A192,"karar",$D192,"net",TEXT($B192,"0.00"),"başabaş",TEXT($C192,"0.00"),"TL"))</f>
        <v/>
      </c>
    </row>
    <row r="193">
      <c r="A193" s="16">
        <f>IF('ESLESTIRME'!$A193="","",IF('ESLESTIRME'!$G193="tutar_farki",'ESLESTIRME'!$A193,""))</f>
        <v/>
      </c>
      <c r="B193" s="16">
        <f>IF($A193="","",IFERROR(SUMIF(tblMotor[A_Norm],$A193,tblMotor[NetKar]),0))</f>
        <v/>
      </c>
      <c r="C193" s="16">
        <f>IF($A193="","",IFERROR(SUMIF(tblMotor[A_Norm],$A193,tblMotor[BasabasFiyat]),0))</f>
        <v/>
      </c>
      <c r="D193" s="16">
        <f>IF($A193="","",IFERROR(INDEX(tblMotor[KararSatir],MATCH($A193,tblMotor[A_Norm],0)),""))</f>
        <v/>
      </c>
      <c r="E193" s="16">
        <f>IF($A193="","",IF($B193&lt;0,"YUKSEK","NORMAL"))</f>
        <v/>
      </c>
      <c r="F193" s="16">
        <f>IF($A193="","",_xlfn.TEXTJOIN(" ",TRUE,"SKU",$A193,"karar",$D193,"net",TEXT($B193,"0.00"),"başabaş",TEXT($C193,"0.00"),"TL"))</f>
        <v/>
      </c>
    </row>
    <row r="194">
      <c r="A194" s="16">
        <f>IF('ESLESTIRME'!$A194="","",IF('ESLESTIRME'!$G194="tutar_farki",'ESLESTIRME'!$A194,""))</f>
        <v/>
      </c>
      <c r="B194" s="16">
        <f>IF($A194="","",IFERROR(SUMIF(tblMotor[A_Norm],$A194,tblMotor[NetKar]),0))</f>
        <v/>
      </c>
      <c r="C194" s="16">
        <f>IF($A194="","",IFERROR(SUMIF(tblMotor[A_Norm],$A194,tblMotor[BasabasFiyat]),0))</f>
        <v/>
      </c>
      <c r="D194" s="16">
        <f>IF($A194="","",IFERROR(INDEX(tblMotor[KararSatir],MATCH($A194,tblMotor[A_Norm],0)),""))</f>
        <v/>
      </c>
      <c r="E194" s="16">
        <f>IF($A194="","",IF($B194&lt;0,"YUKSEK","NORMAL"))</f>
        <v/>
      </c>
      <c r="F194" s="16">
        <f>IF($A194="","",_xlfn.TEXTJOIN(" ",TRUE,"SKU",$A194,"karar",$D194,"net",TEXT($B194,"0.00"),"başabaş",TEXT($C194,"0.00"),"TL"))</f>
        <v/>
      </c>
    </row>
    <row r="195">
      <c r="A195" s="16">
        <f>IF('ESLESTIRME'!$A195="","",IF('ESLESTIRME'!$G195="tutar_farki",'ESLESTIRME'!$A195,""))</f>
        <v/>
      </c>
      <c r="B195" s="16">
        <f>IF($A195="","",IFERROR(SUMIF(tblMotor[A_Norm],$A195,tblMotor[NetKar]),0))</f>
        <v/>
      </c>
      <c r="C195" s="16">
        <f>IF($A195="","",IFERROR(SUMIF(tblMotor[A_Norm],$A195,tblMotor[BasabasFiyat]),0))</f>
        <v/>
      </c>
      <c r="D195" s="16">
        <f>IF($A195="","",IFERROR(INDEX(tblMotor[KararSatir],MATCH($A195,tblMotor[A_Norm],0)),""))</f>
        <v/>
      </c>
      <c r="E195" s="16">
        <f>IF($A195="","",IF($B195&lt;0,"YUKSEK","NORMAL"))</f>
        <v/>
      </c>
      <c r="F195" s="16">
        <f>IF($A195="","",_xlfn.TEXTJOIN(" ",TRUE,"SKU",$A195,"karar",$D195,"net",TEXT($B195,"0.00"),"başabaş",TEXT($C195,"0.00"),"TL"))</f>
        <v/>
      </c>
    </row>
    <row r="196">
      <c r="A196" s="16">
        <f>IF('ESLESTIRME'!$A196="","",IF('ESLESTIRME'!$G196="tutar_farki",'ESLESTIRME'!$A196,""))</f>
        <v/>
      </c>
      <c r="B196" s="16">
        <f>IF($A196="","",IFERROR(SUMIF(tblMotor[A_Norm],$A196,tblMotor[NetKar]),0))</f>
        <v/>
      </c>
      <c r="C196" s="16">
        <f>IF($A196="","",IFERROR(SUMIF(tblMotor[A_Norm],$A196,tblMotor[BasabasFiyat]),0))</f>
        <v/>
      </c>
      <c r="D196" s="16">
        <f>IF($A196="","",IFERROR(INDEX(tblMotor[KararSatir],MATCH($A196,tblMotor[A_Norm],0)),""))</f>
        <v/>
      </c>
      <c r="E196" s="16">
        <f>IF($A196="","",IF($B196&lt;0,"YUKSEK","NORMAL"))</f>
        <v/>
      </c>
      <c r="F196" s="16">
        <f>IF($A196="","",_xlfn.TEXTJOIN(" ",TRUE,"SKU",$A196,"karar",$D196,"net",TEXT($B196,"0.00"),"başabaş",TEXT($C196,"0.00"),"TL"))</f>
        <v/>
      </c>
    </row>
    <row r="197">
      <c r="A197" s="16">
        <f>IF('ESLESTIRME'!$A197="","",IF('ESLESTIRME'!$G197="tutar_farki",'ESLESTIRME'!$A197,""))</f>
        <v/>
      </c>
      <c r="B197" s="16">
        <f>IF($A197="","",IFERROR(SUMIF(tblMotor[A_Norm],$A197,tblMotor[NetKar]),0))</f>
        <v/>
      </c>
      <c r="C197" s="16">
        <f>IF($A197="","",IFERROR(SUMIF(tblMotor[A_Norm],$A197,tblMotor[BasabasFiyat]),0))</f>
        <v/>
      </c>
      <c r="D197" s="16">
        <f>IF($A197="","",IFERROR(INDEX(tblMotor[KararSatir],MATCH($A197,tblMotor[A_Norm],0)),""))</f>
        <v/>
      </c>
      <c r="E197" s="16">
        <f>IF($A197="","",IF($B197&lt;0,"YUKSEK","NORMAL"))</f>
        <v/>
      </c>
      <c r="F197" s="16">
        <f>IF($A197="","",_xlfn.TEXTJOIN(" ",TRUE,"SKU",$A197,"karar",$D197,"net",TEXT($B197,"0.00"),"başabaş",TEXT($C197,"0.00"),"TL"))</f>
        <v/>
      </c>
    </row>
    <row r="198">
      <c r="A198" s="16">
        <f>IF('ESLESTIRME'!$A198="","",IF('ESLESTIRME'!$G198="tutar_farki",'ESLESTIRME'!$A198,""))</f>
        <v/>
      </c>
      <c r="B198" s="16">
        <f>IF($A198="","",IFERROR(SUMIF(tblMotor[A_Norm],$A198,tblMotor[NetKar]),0))</f>
        <v/>
      </c>
      <c r="C198" s="16">
        <f>IF($A198="","",IFERROR(SUMIF(tblMotor[A_Norm],$A198,tblMotor[BasabasFiyat]),0))</f>
        <v/>
      </c>
      <c r="D198" s="16">
        <f>IF($A198="","",IFERROR(INDEX(tblMotor[KararSatir],MATCH($A198,tblMotor[A_Norm],0)),""))</f>
        <v/>
      </c>
      <c r="E198" s="16">
        <f>IF($A198="","",IF($B198&lt;0,"YUKSEK","NORMAL"))</f>
        <v/>
      </c>
      <c r="F198" s="16">
        <f>IF($A198="","",_xlfn.TEXTJOIN(" ",TRUE,"SKU",$A198,"karar",$D198,"net",TEXT($B198,"0.00"),"başabaş",TEXT($C198,"0.00"),"TL"))</f>
        <v/>
      </c>
    </row>
    <row r="199">
      <c r="A199" s="16">
        <f>IF('ESLESTIRME'!$A199="","",IF('ESLESTIRME'!$G199="tutar_farki",'ESLESTIRME'!$A199,""))</f>
        <v/>
      </c>
      <c r="B199" s="16">
        <f>IF($A199="","",IFERROR(SUMIF(tblMotor[A_Norm],$A199,tblMotor[NetKar]),0))</f>
        <v/>
      </c>
      <c r="C199" s="16">
        <f>IF($A199="","",IFERROR(SUMIF(tblMotor[A_Norm],$A199,tblMotor[BasabasFiyat]),0))</f>
        <v/>
      </c>
      <c r="D199" s="16">
        <f>IF($A199="","",IFERROR(INDEX(tblMotor[KararSatir],MATCH($A199,tblMotor[A_Norm],0)),""))</f>
        <v/>
      </c>
      <c r="E199" s="16">
        <f>IF($A199="","",IF($B199&lt;0,"YUKSEK","NORMAL"))</f>
        <v/>
      </c>
      <c r="F199" s="16">
        <f>IF($A199="","",_xlfn.TEXTJOIN(" ",TRUE,"SKU",$A199,"karar",$D199,"net",TEXT($B199,"0.00"),"başabaş",TEXT($C199,"0.00"),"TL"))</f>
        <v/>
      </c>
    </row>
    <row r="200">
      <c r="A200" s="16">
        <f>IF('ESLESTIRME'!$A200="","",IF('ESLESTIRME'!$G200="tutar_farki",'ESLESTIRME'!$A200,""))</f>
        <v/>
      </c>
      <c r="B200" s="16">
        <f>IF($A200="","",IFERROR(SUMIF(tblMotor[A_Norm],$A200,tblMotor[NetKar]),0))</f>
        <v/>
      </c>
      <c r="C200" s="16">
        <f>IF($A200="","",IFERROR(SUMIF(tblMotor[A_Norm],$A200,tblMotor[BasabasFiyat]),0))</f>
        <v/>
      </c>
      <c r="D200" s="16">
        <f>IF($A200="","",IFERROR(INDEX(tblMotor[KararSatir],MATCH($A200,tblMotor[A_Norm],0)),""))</f>
        <v/>
      </c>
      <c r="E200" s="16">
        <f>IF($A200="","",IF($B200&lt;0,"YUKSEK","NORMAL"))</f>
        <v/>
      </c>
      <c r="F200" s="16">
        <f>IF($A200="","",_xlfn.TEXTJOIN(" ",TRUE,"SKU",$A200,"karar",$D200,"net",TEXT($B200,"0.00"),"başabaş",TEXT($C200,"0.00"),"TL"))</f>
        <v/>
      </c>
    </row>
    <row r="201">
      <c r="A201" s="16">
        <f>IF('ESLESTIRME'!$A201="","",IF('ESLESTIRME'!$G201="tutar_farki",'ESLESTIRME'!$A201,""))</f>
        <v/>
      </c>
      <c r="B201" s="16">
        <f>IF($A201="","",IFERROR(SUMIF(tblMotor[A_Norm],$A201,tblMotor[NetKar]),0))</f>
        <v/>
      </c>
      <c r="C201" s="16">
        <f>IF($A201="","",IFERROR(SUMIF(tblMotor[A_Norm],$A201,tblMotor[BasabasFiyat]),0))</f>
        <v/>
      </c>
      <c r="D201" s="16">
        <f>IF($A201="","",IFERROR(INDEX(tblMotor[KararSatir],MATCH($A201,tblMotor[A_Norm],0)),""))</f>
        <v/>
      </c>
      <c r="E201" s="16">
        <f>IF($A201="","",IF($B201&lt;0,"YUKSEK","NORMAL"))</f>
        <v/>
      </c>
      <c r="F201" s="16">
        <f>IF($A201="","",_xlfn.TEXTJOIN(" ",TRUE,"SKU",$A201,"karar",$D201,"net",TEXT($B201,"0.00"),"başabaş",TEXT($C201,"0.00"),"TL"))</f>
        <v/>
      </c>
    </row>
    <row r="202">
      <c r="A202" s="16">
        <f>IF('ESLESTIRME'!$A202="","",IF('ESLESTIRME'!$G202="tutar_farki",'ESLESTIRME'!$A202,""))</f>
        <v/>
      </c>
      <c r="B202" s="16">
        <f>IF($A202="","",IFERROR(SUMIF(tblMotor[A_Norm],$A202,tblMotor[NetKar]),0))</f>
        <v/>
      </c>
      <c r="C202" s="16">
        <f>IF($A202="","",IFERROR(SUMIF(tblMotor[A_Norm],$A202,tblMotor[BasabasFiyat]),0))</f>
        <v/>
      </c>
      <c r="D202" s="16">
        <f>IF($A202="","",IFERROR(INDEX(tblMotor[KararSatir],MATCH($A202,tblMotor[A_Norm],0)),""))</f>
        <v/>
      </c>
      <c r="E202" s="16">
        <f>IF($A202="","",IF($B202&lt;0,"YUKSEK","NORMAL"))</f>
        <v/>
      </c>
      <c r="F202" s="16">
        <f>IF($A202="","",_xlfn.TEXTJOIN(" ",TRUE,"SKU",$A202,"karar",$D202,"net",TEXT($B202,"0.00"),"başabaş",TEXT($C202,"0.00"),"TL"))</f>
        <v/>
      </c>
    </row>
    <row r="203">
      <c r="A203" s="16">
        <f>IF('ESLESTIRME'!$A203="","",IF('ESLESTIRME'!$G203="tutar_farki",'ESLESTIRME'!$A203,""))</f>
        <v/>
      </c>
      <c r="B203" s="16">
        <f>IF($A203="","",IFERROR(SUMIF(tblMotor[A_Norm],$A203,tblMotor[NetKar]),0))</f>
        <v/>
      </c>
      <c r="C203" s="16">
        <f>IF($A203="","",IFERROR(SUMIF(tblMotor[A_Norm],$A203,tblMotor[BasabasFiyat]),0))</f>
        <v/>
      </c>
      <c r="D203" s="16">
        <f>IF($A203="","",IFERROR(INDEX(tblMotor[KararSatir],MATCH($A203,tblMotor[A_Norm],0)),""))</f>
        <v/>
      </c>
      <c r="E203" s="16">
        <f>IF($A203="","",IF($B203&lt;0,"YUKSEK","NORMAL"))</f>
        <v/>
      </c>
      <c r="F203" s="16">
        <f>IF($A203="","",_xlfn.TEXTJOIN(" ",TRUE,"SKU",$A203,"karar",$D203,"net",TEXT($B203,"0.00"),"başabaş",TEXT($C203,"0.00"),"TL"))</f>
        <v/>
      </c>
    </row>
    <row r="204">
      <c r="A204" s="16">
        <f>IF('ESLESTIRME'!$A204="","",IF('ESLESTIRME'!$G204="tutar_farki",'ESLESTIRME'!$A204,""))</f>
        <v/>
      </c>
      <c r="B204" s="16">
        <f>IF($A204="","",IFERROR(SUMIF(tblMotor[A_Norm],$A204,tblMotor[NetKar]),0))</f>
        <v/>
      </c>
      <c r="C204" s="16">
        <f>IF($A204="","",IFERROR(SUMIF(tblMotor[A_Norm],$A204,tblMotor[BasabasFiyat]),0))</f>
        <v/>
      </c>
      <c r="D204" s="16">
        <f>IF($A204="","",IFERROR(INDEX(tblMotor[KararSatir],MATCH($A204,tblMotor[A_Norm],0)),""))</f>
        <v/>
      </c>
      <c r="E204" s="16">
        <f>IF($A204="","",IF($B204&lt;0,"YUKSEK","NORMAL"))</f>
        <v/>
      </c>
      <c r="F204" s="16">
        <f>IF($A204="","",_xlfn.TEXTJOIN(" ",TRUE,"SKU",$A204,"karar",$D204,"net",TEXT($B204,"0.00"),"başabaş",TEXT($C204,"0.00"),"TL"))</f>
        <v/>
      </c>
    </row>
    <row r="205">
      <c r="A205" s="16">
        <f>IF('ESLESTIRME'!$A205="","",IF('ESLESTIRME'!$G205="tutar_farki",'ESLESTIRME'!$A205,""))</f>
        <v/>
      </c>
      <c r="B205" s="16">
        <f>IF($A205="","",IFERROR(SUMIF(tblMotor[A_Norm],$A205,tblMotor[NetKar]),0))</f>
        <v/>
      </c>
      <c r="C205" s="16">
        <f>IF($A205="","",IFERROR(SUMIF(tblMotor[A_Norm],$A205,tblMotor[BasabasFiyat]),0))</f>
        <v/>
      </c>
      <c r="D205" s="16">
        <f>IF($A205="","",IFERROR(INDEX(tblMotor[KararSatir],MATCH($A205,tblMotor[A_Norm],0)),""))</f>
        <v/>
      </c>
      <c r="E205" s="16">
        <f>IF($A205="","",IF($B205&lt;0,"YUKSEK","NORMAL"))</f>
        <v/>
      </c>
      <c r="F205" s="16">
        <f>IF($A205="","",_xlfn.TEXTJOIN(" ",TRUE,"SKU",$A205,"karar",$D205,"net",TEXT($B205,"0.00"),"başabaş",TEXT($C205,"0.00"),"TL"))</f>
        <v/>
      </c>
    </row>
    <row r="206">
      <c r="A206" s="16">
        <f>IF('ESLESTIRME'!$A206="","",IF('ESLESTIRME'!$G206="tutar_farki",'ESLESTIRME'!$A206,""))</f>
        <v/>
      </c>
      <c r="B206" s="16">
        <f>IF($A206="","",IFERROR(SUMIF(tblMotor[A_Norm],$A206,tblMotor[NetKar]),0))</f>
        <v/>
      </c>
      <c r="C206" s="16">
        <f>IF($A206="","",IFERROR(SUMIF(tblMotor[A_Norm],$A206,tblMotor[BasabasFiyat]),0))</f>
        <v/>
      </c>
      <c r="D206" s="16">
        <f>IF($A206="","",IFERROR(INDEX(tblMotor[KararSatir],MATCH($A206,tblMotor[A_Norm],0)),""))</f>
        <v/>
      </c>
      <c r="E206" s="16">
        <f>IF($A206="","",IF($B206&lt;0,"YUKSEK","NORMAL"))</f>
        <v/>
      </c>
      <c r="F206" s="16">
        <f>IF($A206="","",_xlfn.TEXTJOIN(" ",TRUE,"SKU",$A206,"karar",$D206,"net",TEXT($B206,"0.00"),"başabaş",TEXT($C206,"0.00"),"TL"))</f>
        <v/>
      </c>
    </row>
    <row r="207">
      <c r="A207" s="16">
        <f>IF('ESLESTIRME'!$A207="","",IF('ESLESTIRME'!$G207="tutar_farki",'ESLESTIRME'!$A207,""))</f>
        <v/>
      </c>
      <c r="B207" s="16">
        <f>IF($A207="","",IFERROR(SUMIF(tblMotor[A_Norm],$A207,tblMotor[NetKar]),0))</f>
        <v/>
      </c>
      <c r="C207" s="16">
        <f>IF($A207="","",IFERROR(SUMIF(tblMotor[A_Norm],$A207,tblMotor[BasabasFiyat]),0))</f>
        <v/>
      </c>
      <c r="D207" s="16">
        <f>IF($A207="","",IFERROR(INDEX(tblMotor[KararSatir],MATCH($A207,tblMotor[A_Norm],0)),""))</f>
        <v/>
      </c>
      <c r="E207" s="16">
        <f>IF($A207="","",IF($B207&lt;0,"YUKSEK","NORMAL"))</f>
        <v/>
      </c>
      <c r="F207" s="16">
        <f>IF($A207="","",_xlfn.TEXTJOIN(" ",TRUE,"SKU",$A207,"karar",$D207,"net",TEXT($B207,"0.00"),"başabaş",TEXT($C207,"0.00"),"TL"))</f>
        <v/>
      </c>
    </row>
    <row r="208">
      <c r="A208" s="16">
        <f>IF('ESLESTIRME'!$A208="","",IF('ESLESTIRME'!$G208="tutar_farki",'ESLESTIRME'!$A208,""))</f>
        <v/>
      </c>
      <c r="B208" s="16">
        <f>IF($A208="","",IFERROR(SUMIF(tblMotor[A_Norm],$A208,tblMotor[NetKar]),0))</f>
        <v/>
      </c>
      <c r="C208" s="16">
        <f>IF($A208="","",IFERROR(SUMIF(tblMotor[A_Norm],$A208,tblMotor[BasabasFiyat]),0))</f>
        <v/>
      </c>
      <c r="D208" s="16">
        <f>IF($A208="","",IFERROR(INDEX(tblMotor[KararSatir],MATCH($A208,tblMotor[A_Norm],0)),""))</f>
        <v/>
      </c>
      <c r="E208" s="16">
        <f>IF($A208="","",IF($B208&lt;0,"YUKSEK","NORMAL"))</f>
        <v/>
      </c>
      <c r="F208" s="16">
        <f>IF($A208="","",_xlfn.TEXTJOIN(" ",TRUE,"SKU",$A208,"karar",$D208,"net",TEXT($B208,"0.00"),"başabaş",TEXT($C208,"0.00"),"TL"))</f>
        <v/>
      </c>
    </row>
    <row r="209">
      <c r="A209" s="16">
        <f>IF('ESLESTIRME'!$A209="","",IF('ESLESTIRME'!$G209="tutar_farki",'ESLESTIRME'!$A209,""))</f>
        <v/>
      </c>
      <c r="B209" s="16">
        <f>IF($A209="","",IFERROR(SUMIF(tblMotor[A_Norm],$A209,tblMotor[NetKar]),0))</f>
        <v/>
      </c>
      <c r="C209" s="16">
        <f>IF($A209="","",IFERROR(SUMIF(tblMotor[A_Norm],$A209,tblMotor[BasabasFiyat]),0))</f>
        <v/>
      </c>
      <c r="D209" s="16">
        <f>IF($A209="","",IFERROR(INDEX(tblMotor[KararSatir],MATCH($A209,tblMotor[A_Norm],0)),""))</f>
        <v/>
      </c>
      <c r="E209" s="16">
        <f>IF($A209="","",IF($B209&lt;0,"YUKSEK","NORMAL"))</f>
        <v/>
      </c>
      <c r="F209" s="16">
        <f>IF($A209="","",_xlfn.TEXTJOIN(" ",TRUE,"SKU",$A209,"karar",$D209,"net",TEXT($B209,"0.00"),"başabaş",TEXT($C209,"0.00"),"TL"))</f>
        <v/>
      </c>
    </row>
    <row r="210">
      <c r="A210" s="16">
        <f>IF('ESLESTIRME'!$A210="","",IF('ESLESTIRME'!$G210="tutar_farki",'ESLESTIRME'!$A210,""))</f>
        <v/>
      </c>
      <c r="B210" s="16">
        <f>IF($A210="","",IFERROR(SUMIF(tblMotor[A_Norm],$A210,tblMotor[NetKar]),0))</f>
        <v/>
      </c>
      <c r="C210" s="16">
        <f>IF($A210="","",IFERROR(SUMIF(tblMotor[A_Norm],$A210,tblMotor[BasabasFiyat]),0))</f>
        <v/>
      </c>
      <c r="D210" s="16">
        <f>IF($A210="","",IFERROR(INDEX(tblMotor[KararSatir],MATCH($A210,tblMotor[A_Norm],0)),""))</f>
        <v/>
      </c>
      <c r="E210" s="16">
        <f>IF($A210="","",IF($B210&lt;0,"YUKSEK","NORMAL"))</f>
        <v/>
      </c>
      <c r="F210" s="16">
        <f>IF($A210="","",_xlfn.TEXTJOIN(" ",TRUE,"SKU",$A210,"karar",$D210,"net",TEXT($B210,"0.00"),"başabaş",TEXT($C210,"0.00"),"TL"))</f>
        <v/>
      </c>
    </row>
    <row r="211">
      <c r="A211" s="16">
        <f>IF('ESLESTIRME'!$A211="","",IF('ESLESTIRME'!$G211="tutar_farki",'ESLESTIRME'!$A211,""))</f>
        <v/>
      </c>
      <c r="B211" s="16">
        <f>IF($A211="","",IFERROR(SUMIF(tblMotor[A_Norm],$A211,tblMotor[NetKar]),0))</f>
        <v/>
      </c>
      <c r="C211" s="16">
        <f>IF($A211="","",IFERROR(SUMIF(tblMotor[A_Norm],$A211,tblMotor[BasabasFiyat]),0))</f>
        <v/>
      </c>
      <c r="D211" s="16">
        <f>IF($A211="","",IFERROR(INDEX(tblMotor[KararSatir],MATCH($A211,tblMotor[A_Norm],0)),""))</f>
        <v/>
      </c>
      <c r="E211" s="16">
        <f>IF($A211="","",IF($B211&lt;0,"YUKSEK","NORMAL"))</f>
        <v/>
      </c>
      <c r="F211" s="16">
        <f>IF($A211="","",_xlfn.TEXTJOIN(" ",TRUE,"SKU",$A211,"karar",$D211,"net",TEXT($B211,"0.00"),"başabaş",TEXT($C211,"0.00"),"TL"))</f>
        <v/>
      </c>
    </row>
    <row r="212">
      <c r="A212" s="16">
        <f>IF('ESLESTIRME'!$A212="","",IF('ESLESTIRME'!$G212="tutar_farki",'ESLESTIRME'!$A212,""))</f>
        <v/>
      </c>
      <c r="B212" s="16">
        <f>IF($A212="","",IFERROR(SUMIF(tblMotor[A_Norm],$A212,tblMotor[NetKar]),0))</f>
        <v/>
      </c>
      <c r="C212" s="16">
        <f>IF($A212="","",IFERROR(SUMIF(tblMotor[A_Norm],$A212,tblMotor[BasabasFiyat]),0))</f>
        <v/>
      </c>
      <c r="D212" s="16">
        <f>IF($A212="","",IFERROR(INDEX(tblMotor[KararSatir],MATCH($A212,tblMotor[A_Norm],0)),""))</f>
        <v/>
      </c>
      <c r="E212" s="16">
        <f>IF($A212="","",IF($B212&lt;0,"YUKSEK","NORMAL"))</f>
        <v/>
      </c>
      <c r="F212" s="16">
        <f>IF($A212="","",_xlfn.TEXTJOIN(" ",TRUE,"SKU",$A212,"karar",$D212,"net",TEXT($B212,"0.00"),"başabaş",TEXT($C212,"0.00"),"TL"))</f>
        <v/>
      </c>
    </row>
    <row r="213">
      <c r="A213" s="16">
        <f>IF('ESLESTIRME'!$A213="","",IF('ESLESTIRME'!$G213="tutar_farki",'ESLESTIRME'!$A213,""))</f>
        <v/>
      </c>
      <c r="B213" s="16">
        <f>IF($A213="","",IFERROR(SUMIF(tblMotor[A_Norm],$A213,tblMotor[NetKar]),0))</f>
        <v/>
      </c>
      <c r="C213" s="16">
        <f>IF($A213="","",IFERROR(SUMIF(tblMotor[A_Norm],$A213,tblMotor[BasabasFiyat]),0))</f>
        <v/>
      </c>
      <c r="D213" s="16">
        <f>IF($A213="","",IFERROR(INDEX(tblMotor[KararSatir],MATCH($A213,tblMotor[A_Norm],0)),""))</f>
        <v/>
      </c>
      <c r="E213" s="16">
        <f>IF($A213="","",IF($B213&lt;0,"YUKSEK","NORMAL"))</f>
        <v/>
      </c>
      <c r="F213" s="16">
        <f>IF($A213="","",_xlfn.TEXTJOIN(" ",TRUE,"SKU",$A213,"karar",$D213,"net",TEXT($B213,"0.00"),"başabaş",TEXT($C213,"0.00"),"TL"))</f>
        <v/>
      </c>
    </row>
    <row r="214">
      <c r="A214" s="16">
        <f>IF('ESLESTIRME'!$A214="","",IF('ESLESTIRME'!$G214="tutar_farki",'ESLESTIRME'!$A214,""))</f>
        <v/>
      </c>
      <c r="B214" s="16">
        <f>IF($A214="","",IFERROR(SUMIF(tblMotor[A_Norm],$A214,tblMotor[NetKar]),0))</f>
        <v/>
      </c>
      <c r="C214" s="16">
        <f>IF($A214="","",IFERROR(SUMIF(tblMotor[A_Norm],$A214,tblMotor[BasabasFiyat]),0))</f>
        <v/>
      </c>
      <c r="D214" s="16">
        <f>IF($A214="","",IFERROR(INDEX(tblMotor[KararSatir],MATCH($A214,tblMotor[A_Norm],0)),""))</f>
        <v/>
      </c>
      <c r="E214" s="16">
        <f>IF($A214="","",IF($B214&lt;0,"YUKSEK","NORMAL"))</f>
        <v/>
      </c>
      <c r="F214" s="16">
        <f>IF($A214="","",_xlfn.TEXTJOIN(" ",TRUE,"SKU",$A214,"karar",$D214,"net",TEXT($B214,"0.00"),"başabaş",TEXT($C214,"0.00"),"TL"))</f>
        <v/>
      </c>
    </row>
    <row r="215">
      <c r="A215" s="16">
        <f>IF('ESLESTIRME'!$A215="","",IF('ESLESTIRME'!$G215="tutar_farki",'ESLESTIRME'!$A215,""))</f>
        <v/>
      </c>
      <c r="B215" s="16">
        <f>IF($A215="","",IFERROR(SUMIF(tblMotor[A_Norm],$A215,tblMotor[NetKar]),0))</f>
        <v/>
      </c>
      <c r="C215" s="16">
        <f>IF($A215="","",IFERROR(SUMIF(tblMotor[A_Norm],$A215,tblMotor[BasabasFiyat]),0))</f>
        <v/>
      </c>
      <c r="D215" s="16">
        <f>IF($A215="","",IFERROR(INDEX(tblMotor[KararSatir],MATCH($A215,tblMotor[A_Norm],0)),""))</f>
        <v/>
      </c>
      <c r="E215" s="16">
        <f>IF($A215="","",IF($B215&lt;0,"YUKSEK","NORMAL"))</f>
        <v/>
      </c>
      <c r="F215" s="16">
        <f>IF($A215="","",_xlfn.TEXTJOIN(" ",TRUE,"SKU",$A215,"karar",$D215,"net",TEXT($B215,"0.00"),"başabaş",TEXT($C215,"0.00"),"TL"))</f>
        <v/>
      </c>
    </row>
    <row r="216">
      <c r="A216" s="16">
        <f>IF('ESLESTIRME'!$A216="","",IF('ESLESTIRME'!$G216="tutar_farki",'ESLESTIRME'!$A216,""))</f>
        <v/>
      </c>
      <c r="B216" s="16">
        <f>IF($A216="","",IFERROR(SUMIF(tblMotor[A_Norm],$A216,tblMotor[NetKar]),0))</f>
        <v/>
      </c>
      <c r="C216" s="16">
        <f>IF($A216="","",IFERROR(SUMIF(tblMotor[A_Norm],$A216,tblMotor[BasabasFiyat]),0))</f>
        <v/>
      </c>
      <c r="D216" s="16">
        <f>IF($A216="","",IFERROR(INDEX(tblMotor[KararSatir],MATCH($A216,tblMotor[A_Norm],0)),""))</f>
        <v/>
      </c>
      <c r="E216" s="16">
        <f>IF($A216="","",IF($B216&lt;0,"YUKSEK","NORMAL"))</f>
        <v/>
      </c>
      <c r="F216" s="16">
        <f>IF($A216="","",_xlfn.TEXTJOIN(" ",TRUE,"SKU",$A216,"karar",$D216,"net",TEXT($B216,"0.00"),"başabaş",TEXT($C216,"0.00"),"TL"))</f>
        <v/>
      </c>
    </row>
    <row r="217">
      <c r="A217" s="16">
        <f>IF('ESLESTIRME'!$A217="","",IF('ESLESTIRME'!$G217="tutar_farki",'ESLESTIRME'!$A217,""))</f>
        <v/>
      </c>
      <c r="B217" s="16">
        <f>IF($A217="","",IFERROR(SUMIF(tblMotor[A_Norm],$A217,tblMotor[NetKar]),0))</f>
        <v/>
      </c>
      <c r="C217" s="16">
        <f>IF($A217="","",IFERROR(SUMIF(tblMotor[A_Norm],$A217,tblMotor[BasabasFiyat]),0))</f>
        <v/>
      </c>
      <c r="D217" s="16">
        <f>IF($A217="","",IFERROR(INDEX(tblMotor[KararSatir],MATCH($A217,tblMotor[A_Norm],0)),""))</f>
        <v/>
      </c>
      <c r="E217" s="16">
        <f>IF($A217="","",IF($B217&lt;0,"YUKSEK","NORMAL"))</f>
        <v/>
      </c>
      <c r="F217" s="16">
        <f>IF($A217="","",_xlfn.TEXTJOIN(" ",TRUE,"SKU",$A217,"karar",$D217,"net",TEXT($B217,"0.00"),"başabaş",TEXT($C217,"0.00"),"TL"))</f>
        <v/>
      </c>
    </row>
    <row r="218">
      <c r="A218" s="16">
        <f>IF('ESLESTIRME'!$A218="","",IF('ESLESTIRME'!$G218="tutar_farki",'ESLESTIRME'!$A218,""))</f>
        <v/>
      </c>
      <c r="B218" s="16">
        <f>IF($A218="","",IFERROR(SUMIF(tblMotor[A_Norm],$A218,tblMotor[NetKar]),0))</f>
        <v/>
      </c>
      <c r="C218" s="16">
        <f>IF($A218="","",IFERROR(SUMIF(tblMotor[A_Norm],$A218,tblMotor[BasabasFiyat]),0))</f>
        <v/>
      </c>
      <c r="D218" s="16">
        <f>IF($A218="","",IFERROR(INDEX(tblMotor[KararSatir],MATCH($A218,tblMotor[A_Norm],0)),""))</f>
        <v/>
      </c>
      <c r="E218" s="16">
        <f>IF($A218="","",IF($B218&lt;0,"YUKSEK","NORMAL"))</f>
        <v/>
      </c>
      <c r="F218" s="16">
        <f>IF($A218="","",_xlfn.TEXTJOIN(" ",TRUE,"SKU",$A218,"karar",$D218,"net",TEXT($B218,"0.00"),"başabaş",TEXT($C218,"0.00"),"TL"))</f>
        <v/>
      </c>
    </row>
    <row r="219">
      <c r="A219" s="16">
        <f>IF('ESLESTIRME'!$A219="","",IF('ESLESTIRME'!$G219="tutar_farki",'ESLESTIRME'!$A219,""))</f>
        <v/>
      </c>
      <c r="B219" s="16">
        <f>IF($A219="","",IFERROR(SUMIF(tblMotor[A_Norm],$A219,tblMotor[NetKar]),0))</f>
        <v/>
      </c>
      <c r="C219" s="16">
        <f>IF($A219="","",IFERROR(SUMIF(tblMotor[A_Norm],$A219,tblMotor[BasabasFiyat]),0))</f>
        <v/>
      </c>
      <c r="D219" s="16">
        <f>IF($A219="","",IFERROR(INDEX(tblMotor[KararSatir],MATCH($A219,tblMotor[A_Norm],0)),""))</f>
        <v/>
      </c>
      <c r="E219" s="16">
        <f>IF($A219="","",IF($B219&lt;0,"YUKSEK","NORMAL"))</f>
        <v/>
      </c>
      <c r="F219" s="16">
        <f>IF($A219="","",_xlfn.TEXTJOIN(" ",TRUE,"SKU",$A219,"karar",$D219,"net",TEXT($B219,"0.00"),"başabaş",TEXT($C219,"0.00"),"TL"))</f>
        <v/>
      </c>
    </row>
    <row r="220">
      <c r="A220" s="16">
        <f>IF('ESLESTIRME'!$A220="","",IF('ESLESTIRME'!$G220="tutar_farki",'ESLESTIRME'!$A220,""))</f>
        <v/>
      </c>
      <c r="B220" s="16">
        <f>IF($A220="","",IFERROR(SUMIF(tblMotor[A_Norm],$A220,tblMotor[NetKar]),0))</f>
        <v/>
      </c>
      <c r="C220" s="16">
        <f>IF($A220="","",IFERROR(SUMIF(tblMotor[A_Norm],$A220,tblMotor[BasabasFiyat]),0))</f>
        <v/>
      </c>
      <c r="D220" s="16">
        <f>IF($A220="","",IFERROR(INDEX(tblMotor[KararSatir],MATCH($A220,tblMotor[A_Norm],0)),""))</f>
        <v/>
      </c>
      <c r="E220" s="16">
        <f>IF($A220="","",IF($B220&lt;0,"YUKSEK","NORMAL"))</f>
        <v/>
      </c>
      <c r="F220" s="16">
        <f>IF($A220="","",_xlfn.TEXTJOIN(" ",TRUE,"SKU",$A220,"karar",$D220,"net",TEXT($B220,"0.00"),"başabaş",TEXT($C220,"0.00"),"TL"))</f>
        <v/>
      </c>
    </row>
    <row r="221">
      <c r="A221" s="16">
        <f>IF('ESLESTIRME'!$A221="","",IF('ESLESTIRME'!$G221="tutar_farki",'ESLESTIRME'!$A221,""))</f>
        <v/>
      </c>
      <c r="B221" s="16">
        <f>IF($A221="","",IFERROR(SUMIF(tblMotor[A_Norm],$A221,tblMotor[NetKar]),0))</f>
        <v/>
      </c>
      <c r="C221" s="16">
        <f>IF($A221="","",IFERROR(SUMIF(tblMotor[A_Norm],$A221,tblMotor[BasabasFiyat]),0))</f>
        <v/>
      </c>
      <c r="D221" s="16">
        <f>IF($A221="","",IFERROR(INDEX(tblMotor[KararSatir],MATCH($A221,tblMotor[A_Norm],0)),""))</f>
        <v/>
      </c>
      <c r="E221" s="16">
        <f>IF($A221="","",IF($B221&lt;0,"YUKSEK","NORMAL"))</f>
        <v/>
      </c>
      <c r="F221" s="16">
        <f>IF($A221="","",_xlfn.TEXTJOIN(" ",TRUE,"SKU",$A221,"karar",$D221,"net",TEXT($B221,"0.00"),"başabaş",TEXT($C221,"0.00"),"TL"))</f>
        <v/>
      </c>
    </row>
    <row r="222">
      <c r="A222" s="16">
        <f>IF('ESLESTIRME'!$A222="","",IF('ESLESTIRME'!$G222="tutar_farki",'ESLESTIRME'!$A222,""))</f>
        <v/>
      </c>
      <c r="B222" s="16">
        <f>IF($A222="","",IFERROR(SUMIF(tblMotor[A_Norm],$A222,tblMotor[NetKar]),0))</f>
        <v/>
      </c>
      <c r="C222" s="16">
        <f>IF($A222="","",IFERROR(SUMIF(tblMotor[A_Norm],$A222,tblMotor[BasabasFiyat]),0))</f>
        <v/>
      </c>
      <c r="D222" s="16">
        <f>IF($A222="","",IFERROR(INDEX(tblMotor[KararSatir],MATCH($A222,tblMotor[A_Norm],0)),""))</f>
        <v/>
      </c>
      <c r="E222" s="16">
        <f>IF($A222="","",IF($B222&lt;0,"YUKSEK","NORMAL"))</f>
        <v/>
      </c>
      <c r="F222" s="16">
        <f>IF($A222="","",_xlfn.TEXTJOIN(" ",TRUE,"SKU",$A222,"karar",$D222,"net",TEXT($B222,"0.00"),"başabaş",TEXT($C222,"0.00"),"TL"))</f>
        <v/>
      </c>
    </row>
    <row r="223">
      <c r="A223" s="16">
        <f>IF('ESLESTIRME'!$A223="","",IF('ESLESTIRME'!$G223="tutar_farki",'ESLESTIRME'!$A223,""))</f>
        <v/>
      </c>
      <c r="B223" s="16">
        <f>IF($A223="","",IFERROR(SUMIF(tblMotor[A_Norm],$A223,tblMotor[NetKar]),0))</f>
        <v/>
      </c>
      <c r="C223" s="16">
        <f>IF($A223="","",IFERROR(SUMIF(tblMotor[A_Norm],$A223,tblMotor[BasabasFiyat]),0))</f>
        <v/>
      </c>
      <c r="D223" s="16">
        <f>IF($A223="","",IFERROR(INDEX(tblMotor[KararSatir],MATCH($A223,tblMotor[A_Norm],0)),""))</f>
        <v/>
      </c>
      <c r="E223" s="16">
        <f>IF($A223="","",IF($B223&lt;0,"YUKSEK","NORMAL"))</f>
        <v/>
      </c>
      <c r="F223" s="16">
        <f>IF($A223="","",_xlfn.TEXTJOIN(" ",TRUE,"SKU",$A223,"karar",$D223,"net",TEXT($B223,"0.00"),"başabaş",TEXT($C223,"0.00"),"TL"))</f>
        <v/>
      </c>
    </row>
    <row r="224">
      <c r="A224" s="16">
        <f>IF('ESLESTIRME'!$A224="","",IF('ESLESTIRME'!$G224="tutar_farki",'ESLESTIRME'!$A224,""))</f>
        <v/>
      </c>
      <c r="B224" s="16">
        <f>IF($A224="","",IFERROR(SUMIF(tblMotor[A_Norm],$A224,tblMotor[NetKar]),0))</f>
        <v/>
      </c>
      <c r="C224" s="16">
        <f>IF($A224="","",IFERROR(SUMIF(tblMotor[A_Norm],$A224,tblMotor[BasabasFiyat]),0))</f>
        <v/>
      </c>
      <c r="D224" s="16">
        <f>IF($A224="","",IFERROR(INDEX(tblMotor[KararSatir],MATCH($A224,tblMotor[A_Norm],0)),""))</f>
        <v/>
      </c>
      <c r="E224" s="16">
        <f>IF($A224="","",IF($B224&lt;0,"YUKSEK","NORMAL"))</f>
        <v/>
      </c>
      <c r="F224" s="16">
        <f>IF($A224="","",_xlfn.TEXTJOIN(" ",TRUE,"SKU",$A224,"karar",$D224,"net",TEXT($B224,"0.00"),"başabaş",TEXT($C224,"0.00"),"TL"))</f>
        <v/>
      </c>
    </row>
    <row r="225">
      <c r="A225" s="16">
        <f>IF('ESLESTIRME'!$A225="","",IF('ESLESTIRME'!$G225="tutar_farki",'ESLESTIRME'!$A225,""))</f>
        <v/>
      </c>
      <c r="B225" s="16">
        <f>IF($A225="","",IFERROR(SUMIF(tblMotor[A_Norm],$A225,tblMotor[NetKar]),0))</f>
        <v/>
      </c>
      <c r="C225" s="16">
        <f>IF($A225="","",IFERROR(SUMIF(tblMotor[A_Norm],$A225,tblMotor[BasabasFiyat]),0))</f>
        <v/>
      </c>
      <c r="D225" s="16">
        <f>IF($A225="","",IFERROR(INDEX(tblMotor[KararSatir],MATCH($A225,tblMotor[A_Norm],0)),""))</f>
        <v/>
      </c>
      <c r="E225" s="16">
        <f>IF($A225="","",IF($B225&lt;0,"YUKSEK","NORMAL"))</f>
        <v/>
      </c>
      <c r="F225" s="16">
        <f>IF($A225="","",_xlfn.TEXTJOIN(" ",TRUE,"SKU",$A225,"karar",$D225,"net",TEXT($B225,"0.00"),"başabaş",TEXT($C225,"0.00"),"TL"))</f>
        <v/>
      </c>
    </row>
    <row r="226">
      <c r="A226" s="16">
        <f>IF('ESLESTIRME'!$A226="","",IF('ESLESTIRME'!$G226="tutar_farki",'ESLESTIRME'!$A226,""))</f>
        <v/>
      </c>
      <c r="B226" s="16">
        <f>IF($A226="","",IFERROR(SUMIF(tblMotor[A_Norm],$A226,tblMotor[NetKar]),0))</f>
        <v/>
      </c>
      <c r="C226" s="16">
        <f>IF($A226="","",IFERROR(SUMIF(tblMotor[A_Norm],$A226,tblMotor[BasabasFiyat]),0))</f>
        <v/>
      </c>
      <c r="D226" s="16">
        <f>IF($A226="","",IFERROR(INDEX(tblMotor[KararSatir],MATCH($A226,tblMotor[A_Norm],0)),""))</f>
        <v/>
      </c>
      <c r="E226" s="16">
        <f>IF($A226="","",IF($B226&lt;0,"YUKSEK","NORMAL"))</f>
        <v/>
      </c>
      <c r="F226" s="16">
        <f>IF($A226="","",_xlfn.TEXTJOIN(" ",TRUE,"SKU",$A226,"karar",$D226,"net",TEXT($B226,"0.00"),"başabaş",TEXT($C226,"0.00"),"TL"))</f>
        <v/>
      </c>
    </row>
    <row r="227">
      <c r="A227" s="16">
        <f>IF('ESLESTIRME'!$A227="","",IF('ESLESTIRME'!$G227="tutar_farki",'ESLESTIRME'!$A227,""))</f>
        <v/>
      </c>
      <c r="B227" s="16">
        <f>IF($A227="","",IFERROR(SUMIF(tblMotor[A_Norm],$A227,tblMotor[NetKar]),0))</f>
        <v/>
      </c>
      <c r="C227" s="16">
        <f>IF($A227="","",IFERROR(SUMIF(tblMotor[A_Norm],$A227,tblMotor[BasabasFiyat]),0))</f>
        <v/>
      </c>
      <c r="D227" s="16">
        <f>IF($A227="","",IFERROR(INDEX(tblMotor[KararSatir],MATCH($A227,tblMotor[A_Norm],0)),""))</f>
        <v/>
      </c>
      <c r="E227" s="16">
        <f>IF($A227="","",IF($B227&lt;0,"YUKSEK","NORMAL"))</f>
        <v/>
      </c>
      <c r="F227" s="16">
        <f>IF($A227="","",_xlfn.TEXTJOIN(" ",TRUE,"SKU",$A227,"karar",$D227,"net",TEXT($B227,"0.00"),"başabaş",TEXT($C227,"0.00"),"TL"))</f>
        <v/>
      </c>
    </row>
    <row r="228">
      <c r="A228" s="16">
        <f>IF('ESLESTIRME'!$A228="","",IF('ESLESTIRME'!$G228="tutar_farki",'ESLESTIRME'!$A228,""))</f>
        <v/>
      </c>
      <c r="B228" s="16">
        <f>IF($A228="","",IFERROR(SUMIF(tblMotor[A_Norm],$A228,tblMotor[NetKar]),0))</f>
        <v/>
      </c>
      <c r="C228" s="16">
        <f>IF($A228="","",IFERROR(SUMIF(tblMotor[A_Norm],$A228,tblMotor[BasabasFiyat]),0))</f>
        <v/>
      </c>
      <c r="D228" s="16">
        <f>IF($A228="","",IFERROR(INDEX(tblMotor[KararSatir],MATCH($A228,tblMotor[A_Norm],0)),""))</f>
        <v/>
      </c>
      <c r="E228" s="16">
        <f>IF($A228="","",IF($B228&lt;0,"YUKSEK","NORMAL"))</f>
        <v/>
      </c>
      <c r="F228" s="16">
        <f>IF($A228="","",_xlfn.TEXTJOIN(" ",TRUE,"SKU",$A228,"karar",$D228,"net",TEXT($B228,"0.00"),"başabaş",TEXT($C228,"0.00"),"TL"))</f>
        <v/>
      </c>
    </row>
    <row r="229">
      <c r="A229" s="16">
        <f>IF('ESLESTIRME'!$A229="","",IF('ESLESTIRME'!$G229="tutar_farki",'ESLESTIRME'!$A229,""))</f>
        <v/>
      </c>
      <c r="B229" s="16">
        <f>IF($A229="","",IFERROR(SUMIF(tblMotor[A_Norm],$A229,tblMotor[NetKar]),0))</f>
        <v/>
      </c>
      <c r="C229" s="16">
        <f>IF($A229="","",IFERROR(SUMIF(tblMotor[A_Norm],$A229,tblMotor[BasabasFiyat]),0))</f>
        <v/>
      </c>
      <c r="D229" s="16">
        <f>IF($A229="","",IFERROR(INDEX(tblMotor[KararSatir],MATCH($A229,tblMotor[A_Norm],0)),""))</f>
        <v/>
      </c>
      <c r="E229" s="16">
        <f>IF($A229="","",IF($B229&lt;0,"YUKSEK","NORMAL"))</f>
        <v/>
      </c>
      <c r="F229" s="16">
        <f>IF($A229="","",_xlfn.TEXTJOIN(" ",TRUE,"SKU",$A229,"karar",$D229,"net",TEXT($B229,"0.00"),"başabaş",TEXT($C229,"0.00"),"TL"))</f>
        <v/>
      </c>
    </row>
    <row r="230">
      <c r="A230" s="16">
        <f>IF('ESLESTIRME'!$A230="","",IF('ESLESTIRME'!$G230="tutar_farki",'ESLESTIRME'!$A230,""))</f>
        <v/>
      </c>
      <c r="B230" s="16">
        <f>IF($A230="","",IFERROR(SUMIF(tblMotor[A_Norm],$A230,tblMotor[NetKar]),0))</f>
        <v/>
      </c>
      <c r="C230" s="16">
        <f>IF($A230="","",IFERROR(SUMIF(tblMotor[A_Norm],$A230,tblMotor[BasabasFiyat]),0))</f>
        <v/>
      </c>
      <c r="D230" s="16">
        <f>IF($A230="","",IFERROR(INDEX(tblMotor[KararSatir],MATCH($A230,tblMotor[A_Norm],0)),""))</f>
        <v/>
      </c>
      <c r="E230" s="16">
        <f>IF($A230="","",IF($B230&lt;0,"YUKSEK","NORMAL"))</f>
        <v/>
      </c>
      <c r="F230" s="16">
        <f>IF($A230="","",_xlfn.TEXTJOIN(" ",TRUE,"SKU",$A230,"karar",$D230,"net",TEXT($B230,"0.00"),"başabaş",TEXT($C230,"0.00"),"TL"))</f>
        <v/>
      </c>
    </row>
    <row r="231">
      <c r="A231" s="16">
        <f>IF('ESLESTIRME'!$A231="","",IF('ESLESTIRME'!$G231="tutar_farki",'ESLESTIRME'!$A231,""))</f>
        <v/>
      </c>
      <c r="B231" s="16">
        <f>IF($A231="","",IFERROR(SUMIF(tblMotor[A_Norm],$A231,tblMotor[NetKar]),0))</f>
        <v/>
      </c>
      <c r="C231" s="16">
        <f>IF($A231="","",IFERROR(SUMIF(tblMotor[A_Norm],$A231,tblMotor[BasabasFiyat]),0))</f>
        <v/>
      </c>
      <c r="D231" s="16">
        <f>IF($A231="","",IFERROR(INDEX(tblMotor[KararSatir],MATCH($A231,tblMotor[A_Norm],0)),""))</f>
        <v/>
      </c>
      <c r="E231" s="16">
        <f>IF($A231="","",IF($B231&lt;0,"YUKSEK","NORMAL"))</f>
        <v/>
      </c>
      <c r="F231" s="16">
        <f>IF($A231="","",_xlfn.TEXTJOIN(" ",TRUE,"SKU",$A231,"karar",$D231,"net",TEXT($B231,"0.00"),"başabaş",TEXT($C231,"0.00"),"TL"))</f>
        <v/>
      </c>
    </row>
    <row r="232">
      <c r="A232" s="16">
        <f>IF('ESLESTIRME'!$A232="","",IF('ESLESTIRME'!$G232="tutar_farki",'ESLESTIRME'!$A232,""))</f>
        <v/>
      </c>
      <c r="B232" s="16">
        <f>IF($A232="","",IFERROR(SUMIF(tblMotor[A_Norm],$A232,tblMotor[NetKar]),0))</f>
        <v/>
      </c>
      <c r="C232" s="16">
        <f>IF($A232="","",IFERROR(SUMIF(tblMotor[A_Norm],$A232,tblMotor[BasabasFiyat]),0))</f>
        <v/>
      </c>
      <c r="D232" s="16">
        <f>IF($A232="","",IFERROR(INDEX(tblMotor[KararSatir],MATCH($A232,tblMotor[A_Norm],0)),""))</f>
        <v/>
      </c>
      <c r="E232" s="16">
        <f>IF($A232="","",IF($B232&lt;0,"YUKSEK","NORMAL"))</f>
        <v/>
      </c>
      <c r="F232" s="16">
        <f>IF($A232="","",_xlfn.TEXTJOIN(" ",TRUE,"SKU",$A232,"karar",$D232,"net",TEXT($B232,"0.00"),"başabaş",TEXT($C232,"0.00"),"TL"))</f>
        <v/>
      </c>
    </row>
    <row r="233">
      <c r="A233" s="16">
        <f>IF('ESLESTIRME'!$A233="","",IF('ESLESTIRME'!$G233="tutar_farki",'ESLESTIRME'!$A233,""))</f>
        <v/>
      </c>
      <c r="B233" s="16">
        <f>IF($A233="","",IFERROR(SUMIF(tblMotor[A_Norm],$A233,tblMotor[NetKar]),0))</f>
        <v/>
      </c>
      <c r="C233" s="16">
        <f>IF($A233="","",IFERROR(SUMIF(tblMotor[A_Norm],$A233,tblMotor[BasabasFiyat]),0))</f>
        <v/>
      </c>
      <c r="D233" s="16">
        <f>IF($A233="","",IFERROR(INDEX(tblMotor[KararSatir],MATCH($A233,tblMotor[A_Norm],0)),""))</f>
        <v/>
      </c>
      <c r="E233" s="16">
        <f>IF($A233="","",IF($B233&lt;0,"YUKSEK","NORMAL"))</f>
        <v/>
      </c>
      <c r="F233" s="16">
        <f>IF($A233="","",_xlfn.TEXTJOIN(" ",TRUE,"SKU",$A233,"karar",$D233,"net",TEXT($B233,"0.00"),"başabaş",TEXT($C233,"0.00"),"TL"))</f>
        <v/>
      </c>
    </row>
    <row r="234">
      <c r="A234" s="16">
        <f>IF('ESLESTIRME'!$A234="","",IF('ESLESTIRME'!$G234="tutar_farki",'ESLESTIRME'!$A234,""))</f>
        <v/>
      </c>
      <c r="B234" s="16">
        <f>IF($A234="","",IFERROR(SUMIF(tblMotor[A_Norm],$A234,tblMotor[NetKar]),0))</f>
        <v/>
      </c>
      <c r="C234" s="16">
        <f>IF($A234="","",IFERROR(SUMIF(tblMotor[A_Norm],$A234,tblMotor[BasabasFiyat]),0))</f>
        <v/>
      </c>
      <c r="D234" s="16">
        <f>IF($A234="","",IFERROR(INDEX(tblMotor[KararSatir],MATCH($A234,tblMotor[A_Norm],0)),""))</f>
        <v/>
      </c>
      <c r="E234" s="16">
        <f>IF($A234="","",IF($B234&lt;0,"YUKSEK","NORMAL"))</f>
        <v/>
      </c>
      <c r="F234" s="16">
        <f>IF($A234="","",_xlfn.TEXTJOIN(" ",TRUE,"SKU",$A234,"karar",$D234,"net",TEXT($B234,"0.00"),"başabaş",TEXT($C234,"0.00"),"TL"))</f>
        <v/>
      </c>
    </row>
    <row r="235">
      <c r="A235" s="16">
        <f>IF('ESLESTIRME'!$A235="","",IF('ESLESTIRME'!$G235="tutar_farki",'ESLESTIRME'!$A235,""))</f>
        <v/>
      </c>
      <c r="B235" s="16">
        <f>IF($A235="","",IFERROR(SUMIF(tblMotor[A_Norm],$A235,tblMotor[NetKar]),0))</f>
        <v/>
      </c>
      <c r="C235" s="16">
        <f>IF($A235="","",IFERROR(SUMIF(tblMotor[A_Norm],$A235,tblMotor[BasabasFiyat]),0))</f>
        <v/>
      </c>
      <c r="D235" s="16">
        <f>IF($A235="","",IFERROR(INDEX(tblMotor[KararSatir],MATCH($A235,tblMotor[A_Norm],0)),""))</f>
        <v/>
      </c>
      <c r="E235" s="16">
        <f>IF($A235="","",IF($B235&lt;0,"YUKSEK","NORMAL"))</f>
        <v/>
      </c>
      <c r="F235" s="16">
        <f>IF($A235="","",_xlfn.TEXTJOIN(" ",TRUE,"SKU",$A235,"karar",$D235,"net",TEXT($B235,"0.00"),"başabaş",TEXT($C235,"0.00"),"TL"))</f>
        <v/>
      </c>
    </row>
    <row r="236">
      <c r="A236" s="16">
        <f>IF('ESLESTIRME'!$A236="","",IF('ESLESTIRME'!$G236="tutar_farki",'ESLESTIRME'!$A236,""))</f>
        <v/>
      </c>
      <c r="B236" s="16">
        <f>IF($A236="","",IFERROR(SUMIF(tblMotor[A_Norm],$A236,tblMotor[NetKar]),0))</f>
        <v/>
      </c>
      <c r="C236" s="16">
        <f>IF($A236="","",IFERROR(SUMIF(tblMotor[A_Norm],$A236,tblMotor[BasabasFiyat]),0))</f>
        <v/>
      </c>
      <c r="D236" s="16">
        <f>IF($A236="","",IFERROR(INDEX(tblMotor[KararSatir],MATCH($A236,tblMotor[A_Norm],0)),""))</f>
        <v/>
      </c>
      <c r="E236" s="16">
        <f>IF($A236="","",IF($B236&lt;0,"YUKSEK","NORMAL"))</f>
        <v/>
      </c>
      <c r="F236" s="16">
        <f>IF($A236="","",_xlfn.TEXTJOIN(" ",TRUE,"SKU",$A236,"karar",$D236,"net",TEXT($B236,"0.00"),"başabaş",TEXT($C236,"0.00"),"TL"))</f>
        <v/>
      </c>
    </row>
    <row r="237">
      <c r="A237" s="16">
        <f>IF('ESLESTIRME'!$A237="","",IF('ESLESTIRME'!$G237="tutar_farki",'ESLESTIRME'!$A237,""))</f>
        <v/>
      </c>
      <c r="B237" s="16">
        <f>IF($A237="","",IFERROR(SUMIF(tblMotor[A_Norm],$A237,tblMotor[NetKar]),0))</f>
        <v/>
      </c>
      <c r="C237" s="16">
        <f>IF($A237="","",IFERROR(SUMIF(tblMotor[A_Norm],$A237,tblMotor[BasabasFiyat]),0))</f>
        <v/>
      </c>
      <c r="D237" s="16">
        <f>IF($A237="","",IFERROR(INDEX(tblMotor[KararSatir],MATCH($A237,tblMotor[A_Norm],0)),""))</f>
        <v/>
      </c>
      <c r="E237" s="16">
        <f>IF($A237="","",IF($B237&lt;0,"YUKSEK","NORMAL"))</f>
        <v/>
      </c>
      <c r="F237" s="16">
        <f>IF($A237="","",_xlfn.TEXTJOIN(" ",TRUE,"SKU",$A237,"karar",$D237,"net",TEXT($B237,"0.00"),"başabaş",TEXT($C237,"0.00"),"TL"))</f>
        <v/>
      </c>
    </row>
    <row r="238">
      <c r="A238" s="16">
        <f>IF('ESLESTIRME'!$A238="","",IF('ESLESTIRME'!$G238="tutar_farki",'ESLESTIRME'!$A238,""))</f>
        <v/>
      </c>
      <c r="B238" s="16">
        <f>IF($A238="","",IFERROR(SUMIF(tblMotor[A_Norm],$A238,tblMotor[NetKar]),0))</f>
        <v/>
      </c>
      <c r="C238" s="16">
        <f>IF($A238="","",IFERROR(SUMIF(tblMotor[A_Norm],$A238,tblMotor[BasabasFiyat]),0))</f>
        <v/>
      </c>
      <c r="D238" s="16">
        <f>IF($A238="","",IFERROR(INDEX(tblMotor[KararSatir],MATCH($A238,tblMotor[A_Norm],0)),""))</f>
        <v/>
      </c>
      <c r="E238" s="16">
        <f>IF($A238="","",IF($B238&lt;0,"YUKSEK","NORMAL"))</f>
        <v/>
      </c>
      <c r="F238" s="16">
        <f>IF($A238="","",_xlfn.TEXTJOIN(" ",TRUE,"SKU",$A238,"karar",$D238,"net",TEXT($B238,"0.00"),"başabaş",TEXT($C238,"0.00"),"TL"))</f>
        <v/>
      </c>
    </row>
    <row r="239">
      <c r="A239" s="16">
        <f>IF('ESLESTIRME'!$A239="","",IF('ESLESTIRME'!$G239="tutar_farki",'ESLESTIRME'!$A239,""))</f>
        <v/>
      </c>
      <c r="B239" s="16">
        <f>IF($A239="","",IFERROR(SUMIF(tblMotor[A_Norm],$A239,tblMotor[NetKar]),0))</f>
        <v/>
      </c>
      <c r="C239" s="16">
        <f>IF($A239="","",IFERROR(SUMIF(tblMotor[A_Norm],$A239,tblMotor[BasabasFiyat]),0))</f>
        <v/>
      </c>
      <c r="D239" s="16">
        <f>IF($A239="","",IFERROR(INDEX(tblMotor[KararSatir],MATCH($A239,tblMotor[A_Norm],0)),""))</f>
        <v/>
      </c>
      <c r="E239" s="16">
        <f>IF($A239="","",IF($B239&lt;0,"YUKSEK","NORMAL"))</f>
        <v/>
      </c>
      <c r="F239" s="16">
        <f>IF($A239="","",_xlfn.TEXTJOIN(" ",TRUE,"SKU",$A239,"karar",$D239,"net",TEXT($B239,"0.00"),"başabaş",TEXT($C239,"0.00"),"TL"))</f>
        <v/>
      </c>
    </row>
    <row r="240">
      <c r="A240" s="16">
        <f>IF('ESLESTIRME'!$A240="","",IF('ESLESTIRME'!$G240="tutar_farki",'ESLESTIRME'!$A240,""))</f>
        <v/>
      </c>
      <c r="B240" s="16">
        <f>IF($A240="","",IFERROR(SUMIF(tblMotor[A_Norm],$A240,tblMotor[NetKar]),0))</f>
        <v/>
      </c>
      <c r="C240" s="16">
        <f>IF($A240="","",IFERROR(SUMIF(tblMotor[A_Norm],$A240,tblMotor[BasabasFiyat]),0))</f>
        <v/>
      </c>
      <c r="D240" s="16">
        <f>IF($A240="","",IFERROR(INDEX(tblMotor[KararSatir],MATCH($A240,tblMotor[A_Norm],0)),""))</f>
        <v/>
      </c>
      <c r="E240" s="16">
        <f>IF($A240="","",IF($B240&lt;0,"YUKSEK","NORMAL"))</f>
        <v/>
      </c>
      <c r="F240" s="16">
        <f>IF($A240="","",_xlfn.TEXTJOIN(" ",TRUE,"SKU",$A240,"karar",$D240,"net",TEXT($B240,"0.00"),"başabaş",TEXT($C240,"0.00"),"TL"))</f>
        <v/>
      </c>
    </row>
    <row r="241">
      <c r="A241" s="16">
        <f>IF('ESLESTIRME'!$A241="","",IF('ESLESTIRME'!$G241="tutar_farki",'ESLESTIRME'!$A241,""))</f>
        <v/>
      </c>
      <c r="B241" s="16">
        <f>IF($A241="","",IFERROR(SUMIF(tblMotor[A_Norm],$A241,tblMotor[NetKar]),0))</f>
        <v/>
      </c>
      <c r="C241" s="16">
        <f>IF($A241="","",IFERROR(SUMIF(tblMotor[A_Norm],$A241,tblMotor[BasabasFiyat]),0))</f>
        <v/>
      </c>
      <c r="D241" s="16">
        <f>IF($A241="","",IFERROR(INDEX(tblMotor[KararSatir],MATCH($A241,tblMotor[A_Norm],0)),""))</f>
        <v/>
      </c>
      <c r="E241" s="16">
        <f>IF($A241="","",IF($B241&lt;0,"YUKSEK","NORMAL"))</f>
        <v/>
      </c>
      <c r="F241" s="16">
        <f>IF($A241="","",_xlfn.TEXTJOIN(" ",TRUE,"SKU",$A241,"karar",$D241,"net",TEXT($B241,"0.00"),"başabaş",TEXT($C241,"0.00"),"TL"))</f>
        <v/>
      </c>
    </row>
    <row r="242">
      <c r="A242" s="16">
        <f>IF('ESLESTIRME'!$A242="","",IF('ESLESTIRME'!$G242="tutar_farki",'ESLESTIRME'!$A242,""))</f>
        <v/>
      </c>
      <c r="B242" s="16">
        <f>IF($A242="","",IFERROR(SUMIF(tblMotor[A_Norm],$A242,tblMotor[NetKar]),0))</f>
        <v/>
      </c>
      <c r="C242" s="16">
        <f>IF($A242="","",IFERROR(SUMIF(tblMotor[A_Norm],$A242,tblMotor[BasabasFiyat]),0))</f>
        <v/>
      </c>
      <c r="D242" s="16">
        <f>IF($A242="","",IFERROR(INDEX(tblMotor[KararSatir],MATCH($A242,tblMotor[A_Norm],0)),""))</f>
        <v/>
      </c>
      <c r="E242" s="16">
        <f>IF($A242="","",IF($B242&lt;0,"YUKSEK","NORMAL"))</f>
        <v/>
      </c>
      <c r="F242" s="16">
        <f>IF($A242="","",_xlfn.TEXTJOIN(" ",TRUE,"SKU",$A242,"karar",$D242,"net",TEXT($B242,"0.00"),"başabaş",TEXT($C242,"0.00"),"TL"))</f>
        <v/>
      </c>
    </row>
    <row r="243">
      <c r="A243" s="16">
        <f>IF('ESLESTIRME'!$A243="","",IF('ESLESTIRME'!$G243="tutar_farki",'ESLESTIRME'!$A243,""))</f>
        <v/>
      </c>
      <c r="B243" s="16">
        <f>IF($A243="","",IFERROR(SUMIF(tblMotor[A_Norm],$A243,tblMotor[NetKar]),0))</f>
        <v/>
      </c>
      <c r="C243" s="16">
        <f>IF($A243="","",IFERROR(SUMIF(tblMotor[A_Norm],$A243,tblMotor[BasabasFiyat]),0))</f>
        <v/>
      </c>
      <c r="D243" s="16">
        <f>IF($A243="","",IFERROR(INDEX(tblMotor[KararSatir],MATCH($A243,tblMotor[A_Norm],0)),""))</f>
        <v/>
      </c>
      <c r="E243" s="16">
        <f>IF($A243="","",IF($B243&lt;0,"YUKSEK","NORMAL"))</f>
        <v/>
      </c>
      <c r="F243" s="16">
        <f>IF($A243="","",_xlfn.TEXTJOIN(" ",TRUE,"SKU",$A243,"karar",$D243,"net",TEXT($B243,"0.00"),"başabaş",TEXT($C243,"0.00"),"TL"))</f>
        <v/>
      </c>
    </row>
    <row r="244">
      <c r="A244" s="16">
        <f>IF('ESLESTIRME'!$A244="","",IF('ESLESTIRME'!$G244="tutar_farki",'ESLESTIRME'!$A244,""))</f>
        <v/>
      </c>
      <c r="B244" s="16">
        <f>IF($A244="","",IFERROR(SUMIF(tblMotor[A_Norm],$A244,tblMotor[NetKar]),0))</f>
        <v/>
      </c>
      <c r="C244" s="16">
        <f>IF($A244="","",IFERROR(SUMIF(tblMotor[A_Norm],$A244,tblMotor[BasabasFiyat]),0))</f>
        <v/>
      </c>
      <c r="D244" s="16">
        <f>IF($A244="","",IFERROR(INDEX(tblMotor[KararSatir],MATCH($A244,tblMotor[A_Norm],0)),""))</f>
        <v/>
      </c>
      <c r="E244" s="16">
        <f>IF($A244="","",IF($B244&lt;0,"YUKSEK","NORMAL"))</f>
        <v/>
      </c>
      <c r="F244" s="16">
        <f>IF($A244="","",_xlfn.TEXTJOIN(" ",TRUE,"SKU",$A244,"karar",$D244,"net",TEXT($B244,"0.00"),"başabaş",TEXT($C244,"0.00"),"TL"))</f>
        <v/>
      </c>
    </row>
    <row r="245">
      <c r="A245" s="16">
        <f>IF('ESLESTIRME'!$A245="","",IF('ESLESTIRME'!$G245="tutar_farki",'ESLESTIRME'!$A245,""))</f>
        <v/>
      </c>
      <c r="B245" s="16">
        <f>IF($A245="","",IFERROR(SUMIF(tblMotor[A_Norm],$A245,tblMotor[NetKar]),0))</f>
        <v/>
      </c>
      <c r="C245" s="16">
        <f>IF($A245="","",IFERROR(SUMIF(tblMotor[A_Norm],$A245,tblMotor[BasabasFiyat]),0))</f>
        <v/>
      </c>
      <c r="D245" s="16">
        <f>IF($A245="","",IFERROR(INDEX(tblMotor[KararSatir],MATCH($A245,tblMotor[A_Norm],0)),""))</f>
        <v/>
      </c>
      <c r="E245" s="16">
        <f>IF($A245="","",IF($B245&lt;0,"YUKSEK","NORMAL"))</f>
        <v/>
      </c>
      <c r="F245" s="16">
        <f>IF($A245="","",_xlfn.TEXTJOIN(" ",TRUE,"SKU",$A245,"karar",$D245,"net",TEXT($B245,"0.00"),"başabaş",TEXT($C245,"0.00"),"TL"))</f>
        <v/>
      </c>
    </row>
    <row r="246">
      <c r="A246" s="16">
        <f>IF('ESLESTIRME'!$A246="","",IF('ESLESTIRME'!$G246="tutar_farki",'ESLESTIRME'!$A246,""))</f>
        <v/>
      </c>
      <c r="B246" s="16">
        <f>IF($A246="","",IFERROR(SUMIF(tblMotor[A_Norm],$A246,tblMotor[NetKar]),0))</f>
        <v/>
      </c>
      <c r="C246" s="16">
        <f>IF($A246="","",IFERROR(SUMIF(tblMotor[A_Norm],$A246,tblMotor[BasabasFiyat]),0))</f>
        <v/>
      </c>
      <c r="D246" s="16">
        <f>IF($A246="","",IFERROR(INDEX(tblMotor[KararSatir],MATCH($A246,tblMotor[A_Norm],0)),""))</f>
        <v/>
      </c>
      <c r="E246" s="16">
        <f>IF($A246="","",IF($B246&lt;0,"YUKSEK","NORMAL"))</f>
        <v/>
      </c>
      <c r="F246" s="16">
        <f>IF($A246="","",_xlfn.TEXTJOIN(" ",TRUE,"SKU",$A246,"karar",$D246,"net",TEXT($B246,"0.00"),"başabaş",TEXT($C246,"0.00"),"TL"))</f>
        <v/>
      </c>
    </row>
    <row r="247">
      <c r="A247" s="16">
        <f>IF('ESLESTIRME'!$A247="","",IF('ESLESTIRME'!$G247="tutar_farki",'ESLESTIRME'!$A247,""))</f>
        <v/>
      </c>
      <c r="B247" s="16">
        <f>IF($A247="","",IFERROR(SUMIF(tblMotor[A_Norm],$A247,tblMotor[NetKar]),0))</f>
        <v/>
      </c>
      <c r="C247" s="16">
        <f>IF($A247="","",IFERROR(SUMIF(tblMotor[A_Norm],$A247,tblMotor[BasabasFiyat]),0))</f>
        <v/>
      </c>
      <c r="D247" s="16">
        <f>IF($A247="","",IFERROR(INDEX(tblMotor[KararSatir],MATCH($A247,tblMotor[A_Norm],0)),""))</f>
        <v/>
      </c>
      <c r="E247" s="16">
        <f>IF($A247="","",IF($B247&lt;0,"YUKSEK","NORMAL"))</f>
        <v/>
      </c>
      <c r="F247" s="16">
        <f>IF($A247="","",_xlfn.TEXTJOIN(" ",TRUE,"SKU",$A247,"karar",$D247,"net",TEXT($B247,"0.00"),"başabaş",TEXT($C247,"0.00"),"TL"))</f>
        <v/>
      </c>
    </row>
    <row r="248">
      <c r="A248" s="16">
        <f>IF('ESLESTIRME'!$A248="","",IF('ESLESTIRME'!$G248="tutar_farki",'ESLESTIRME'!$A248,""))</f>
        <v/>
      </c>
      <c r="B248" s="16">
        <f>IF($A248="","",IFERROR(SUMIF(tblMotor[A_Norm],$A248,tblMotor[NetKar]),0))</f>
        <v/>
      </c>
      <c r="C248" s="16">
        <f>IF($A248="","",IFERROR(SUMIF(tblMotor[A_Norm],$A248,tblMotor[BasabasFiyat]),0))</f>
        <v/>
      </c>
      <c r="D248" s="16">
        <f>IF($A248="","",IFERROR(INDEX(tblMotor[KararSatir],MATCH($A248,tblMotor[A_Norm],0)),""))</f>
        <v/>
      </c>
      <c r="E248" s="16">
        <f>IF($A248="","",IF($B248&lt;0,"YUKSEK","NORMAL"))</f>
        <v/>
      </c>
      <c r="F248" s="16">
        <f>IF($A248="","",_xlfn.TEXTJOIN(" ",TRUE,"SKU",$A248,"karar",$D248,"net",TEXT($B248,"0.00"),"başabaş",TEXT($C248,"0.00"),"TL"))</f>
        <v/>
      </c>
    </row>
    <row r="249">
      <c r="A249" s="16">
        <f>IF('ESLESTIRME'!$A249="","",IF('ESLESTIRME'!$G249="tutar_farki",'ESLESTIRME'!$A249,""))</f>
        <v/>
      </c>
      <c r="B249" s="16">
        <f>IF($A249="","",IFERROR(SUMIF(tblMotor[A_Norm],$A249,tblMotor[NetKar]),0))</f>
        <v/>
      </c>
      <c r="C249" s="16">
        <f>IF($A249="","",IFERROR(SUMIF(tblMotor[A_Norm],$A249,tblMotor[BasabasFiyat]),0))</f>
        <v/>
      </c>
      <c r="D249" s="16">
        <f>IF($A249="","",IFERROR(INDEX(tblMotor[KararSatir],MATCH($A249,tblMotor[A_Norm],0)),""))</f>
        <v/>
      </c>
      <c r="E249" s="16">
        <f>IF($A249="","",IF($B249&lt;0,"YUKSEK","NORMAL"))</f>
        <v/>
      </c>
      <c r="F249" s="16">
        <f>IF($A249="","",_xlfn.TEXTJOIN(" ",TRUE,"SKU",$A249,"karar",$D249,"net",TEXT($B249,"0.00"),"başabaş",TEXT($C249,"0.00"),"TL"))</f>
        <v/>
      </c>
    </row>
    <row r="250">
      <c r="A250" s="16">
        <f>IF('ESLESTIRME'!$A250="","",IF('ESLESTIRME'!$G250="tutar_farki",'ESLESTIRME'!$A250,""))</f>
        <v/>
      </c>
      <c r="B250" s="16">
        <f>IF($A250="","",IFERROR(SUMIF(tblMotor[A_Norm],$A250,tblMotor[NetKar]),0))</f>
        <v/>
      </c>
      <c r="C250" s="16">
        <f>IF($A250="","",IFERROR(SUMIF(tblMotor[A_Norm],$A250,tblMotor[BasabasFiyat]),0))</f>
        <v/>
      </c>
      <c r="D250" s="16">
        <f>IF($A250="","",IFERROR(INDEX(tblMotor[KararSatir],MATCH($A250,tblMotor[A_Norm],0)),""))</f>
        <v/>
      </c>
      <c r="E250" s="16">
        <f>IF($A250="","",IF($B250&lt;0,"YUKSEK","NORMAL"))</f>
        <v/>
      </c>
      <c r="F250" s="16">
        <f>IF($A250="","",_xlfn.TEXTJOIN(" ",TRUE,"SKU",$A250,"karar",$D250,"net",TEXT($B250,"0.00"),"başabaş",TEXT($C250,"0.00"),"TL"))</f>
        <v/>
      </c>
    </row>
    <row r="251">
      <c r="A251" s="16">
        <f>IF('ESLESTIRME'!$A251="","",IF('ESLESTIRME'!$G251="tutar_farki",'ESLESTIRME'!$A251,""))</f>
        <v/>
      </c>
      <c r="B251" s="16">
        <f>IF($A251="","",IFERROR(SUMIF(tblMotor[A_Norm],$A251,tblMotor[NetKar]),0))</f>
        <v/>
      </c>
      <c r="C251" s="16">
        <f>IF($A251="","",IFERROR(SUMIF(tblMotor[A_Norm],$A251,tblMotor[BasabasFiyat]),0))</f>
        <v/>
      </c>
      <c r="D251" s="16">
        <f>IF($A251="","",IFERROR(INDEX(tblMotor[KararSatir],MATCH($A251,tblMotor[A_Norm],0)),""))</f>
        <v/>
      </c>
      <c r="E251" s="16">
        <f>IF($A251="","",IF($B251&lt;0,"YUKSEK","NORMAL"))</f>
        <v/>
      </c>
      <c r="F251" s="16">
        <f>IF($A251="","",_xlfn.TEXTJOIN(" ",TRUE,"SKU",$A251,"karar",$D251,"net",TEXT($B251,"0.00"),"başabaş",TEXT($C251,"0.00"),"TL"))</f>
        <v/>
      </c>
    </row>
    <row r="252">
      <c r="A252" s="16">
        <f>IF('ESLESTIRME'!$A252="","",IF('ESLESTIRME'!$G252="tutar_farki",'ESLESTIRME'!$A252,""))</f>
        <v/>
      </c>
      <c r="B252" s="16">
        <f>IF($A252="","",IFERROR(SUMIF(tblMotor[A_Norm],$A252,tblMotor[NetKar]),0))</f>
        <v/>
      </c>
      <c r="C252" s="16">
        <f>IF($A252="","",IFERROR(SUMIF(tblMotor[A_Norm],$A252,tblMotor[BasabasFiyat]),0))</f>
        <v/>
      </c>
      <c r="D252" s="16">
        <f>IF($A252="","",IFERROR(INDEX(tblMotor[KararSatir],MATCH($A252,tblMotor[A_Norm],0)),""))</f>
        <v/>
      </c>
      <c r="E252" s="16">
        <f>IF($A252="","",IF($B252&lt;0,"YUKSEK","NORMAL"))</f>
        <v/>
      </c>
      <c r="F252" s="16">
        <f>IF($A252="","",_xlfn.TEXTJOIN(" ",TRUE,"SKU",$A252,"karar",$D252,"net",TEXT($B252,"0.00"),"başabaş",TEXT($C252,"0.00"),"TL"))</f>
        <v/>
      </c>
    </row>
    <row r="253">
      <c r="A253" s="16">
        <f>IF('ESLESTIRME'!$A253="","",IF('ESLESTIRME'!$G253="tutar_farki",'ESLESTIRME'!$A253,""))</f>
        <v/>
      </c>
      <c r="B253" s="16">
        <f>IF($A253="","",IFERROR(SUMIF(tblMotor[A_Norm],$A253,tblMotor[NetKar]),0))</f>
        <v/>
      </c>
      <c r="C253" s="16">
        <f>IF($A253="","",IFERROR(SUMIF(tblMotor[A_Norm],$A253,tblMotor[BasabasFiyat]),0))</f>
        <v/>
      </c>
      <c r="D253" s="16">
        <f>IF($A253="","",IFERROR(INDEX(tblMotor[KararSatir],MATCH($A253,tblMotor[A_Norm],0)),""))</f>
        <v/>
      </c>
      <c r="E253" s="16">
        <f>IF($A253="","",IF($B253&lt;0,"YUKSEK","NORMAL"))</f>
        <v/>
      </c>
      <c r="F253" s="16">
        <f>IF($A253="","",_xlfn.TEXTJOIN(" ",TRUE,"SKU",$A253,"karar",$D253,"net",TEXT($B253,"0.00"),"başabaş",TEXT($C253,"0.00"),"TL"))</f>
        <v/>
      </c>
    </row>
    <row r="254">
      <c r="A254" s="16">
        <f>IF('ESLESTIRME'!$A254="","",IF('ESLESTIRME'!$G254="tutar_farki",'ESLESTIRME'!$A254,""))</f>
        <v/>
      </c>
      <c r="B254" s="16">
        <f>IF($A254="","",IFERROR(SUMIF(tblMotor[A_Norm],$A254,tblMotor[NetKar]),0))</f>
        <v/>
      </c>
      <c r="C254" s="16">
        <f>IF($A254="","",IFERROR(SUMIF(tblMotor[A_Norm],$A254,tblMotor[BasabasFiyat]),0))</f>
        <v/>
      </c>
      <c r="D254" s="16">
        <f>IF($A254="","",IFERROR(INDEX(tblMotor[KararSatir],MATCH($A254,tblMotor[A_Norm],0)),""))</f>
        <v/>
      </c>
      <c r="E254" s="16">
        <f>IF($A254="","",IF($B254&lt;0,"YUKSEK","NORMAL"))</f>
        <v/>
      </c>
      <c r="F254" s="16">
        <f>IF($A254="","",_xlfn.TEXTJOIN(" ",TRUE,"SKU",$A254,"karar",$D254,"net",TEXT($B254,"0.00"),"başabaş",TEXT($C254,"0.00"),"TL"))</f>
        <v/>
      </c>
    </row>
    <row r="255">
      <c r="A255" s="16">
        <f>IF('ESLESTIRME'!$A255="","",IF('ESLESTIRME'!$G255="tutar_farki",'ESLESTIRME'!$A255,""))</f>
        <v/>
      </c>
      <c r="B255" s="16">
        <f>IF($A255="","",IFERROR(SUMIF(tblMotor[A_Norm],$A255,tblMotor[NetKar]),0))</f>
        <v/>
      </c>
      <c r="C255" s="16">
        <f>IF($A255="","",IFERROR(SUMIF(tblMotor[A_Norm],$A255,tblMotor[BasabasFiyat]),0))</f>
        <v/>
      </c>
      <c r="D255" s="16">
        <f>IF($A255="","",IFERROR(INDEX(tblMotor[KararSatir],MATCH($A255,tblMotor[A_Norm],0)),""))</f>
        <v/>
      </c>
      <c r="E255" s="16">
        <f>IF($A255="","",IF($B255&lt;0,"YUKSEK","NORMAL"))</f>
        <v/>
      </c>
      <c r="F255" s="16">
        <f>IF($A255="","",_xlfn.TEXTJOIN(" ",TRUE,"SKU",$A255,"karar",$D255,"net",TEXT($B255,"0.00"),"başabaş",TEXT($C255,"0.00"),"TL"))</f>
        <v/>
      </c>
    </row>
    <row r="256">
      <c r="A256" s="16">
        <f>IF('ESLESTIRME'!$A256="","",IF('ESLESTIRME'!$G256="tutar_farki",'ESLESTIRME'!$A256,""))</f>
        <v/>
      </c>
      <c r="B256" s="16">
        <f>IF($A256="","",IFERROR(SUMIF(tblMotor[A_Norm],$A256,tblMotor[NetKar]),0))</f>
        <v/>
      </c>
      <c r="C256" s="16">
        <f>IF($A256="","",IFERROR(SUMIF(tblMotor[A_Norm],$A256,tblMotor[BasabasFiyat]),0))</f>
        <v/>
      </c>
      <c r="D256" s="16">
        <f>IF($A256="","",IFERROR(INDEX(tblMotor[KararSatir],MATCH($A256,tblMotor[A_Norm],0)),""))</f>
        <v/>
      </c>
      <c r="E256" s="16">
        <f>IF($A256="","",IF($B256&lt;0,"YUKSEK","NORMAL"))</f>
        <v/>
      </c>
      <c r="F256" s="16">
        <f>IF($A256="","",_xlfn.TEXTJOIN(" ",TRUE,"SKU",$A256,"karar",$D256,"net",TEXT($B256,"0.00"),"başabaş",TEXT($C256,"0.00"),"TL"))</f>
        <v/>
      </c>
    </row>
    <row r="257">
      <c r="A257" s="16">
        <f>IF('ESLESTIRME'!$A257="","",IF('ESLESTIRME'!$G257="tutar_farki",'ESLESTIRME'!$A257,""))</f>
        <v/>
      </c>
      <c r="B257" s="16">
        <f>IF($A257="","",IFERROR(SUMIF(tblMotor[A_Norm],$A257,tblMotor[NetKar]),0))</f>
        <v/>
      </c>
      <c r="C257" s="16">
        <f>IF($A257="","",IFERROR(SUMIF(tblMotor[A_Norm],$A257,tblMotor[BasabasFiyat]),0))</f>
        <v/>
      </c>
      <c r="D257" s="16">
        <f>IF($A257="","",IFERROR(INDEX(tblMotor[KararSatir],MATCH($A257,tblMotor[A_Norm],0)),""))</f>
        <v/>
      </c>
      <c r="E257" s="16">
        <f>IF($A257="","",IF($B257&lt;0,"YUKSEK","NORMAL"))</f>
        <v/>
      </c>
      <c r="F257" s="16">
        <f>IF($A257="","",_xlfn.TEXTJOIN(" ",TRUE,"SKU",$A257,"karar",$D257,"net",TEXT($B257,"0.00"),"başabaş",TEXT($C257,"0.00"),"TL"))</f>
        <v/>
      </c>
    </row>
    <row r="258">
      <c r="A258" s="16">
        <f>IF('ESLESTIRME'!$A258="","",IF('ESLESTIRME'!$G258="tutar_farki",'ESLESTIRME'!$A258,""))</f>
        <v/>
      </c>
      <c r="B258" s="16">
        <f>IF($A258="","",IFERROR(SUMIF(tblMotor[A_Norm],$A258,tblMotor[NetKar]),0))</f>
        <v/>
      </c>
      <c r="C258" s="16">
        <f>IF($A258="","",IFERROR(SUMIF(tblMotor[A_Norm],$A258,tblMotor[BasabasFiyat]),0))</f>
        <v/>
      </c>
      <c r="D258" s="16">
        <f>IF($A258="","",IFERROR(INDEX(tblMotor[KararSatir],MATCH($A258,tblMotor[A_Norm],0)),""))</f>
        <v/>
      </c>
      <c r="E258" s="16">
        <f>IF($A258="","",IF($B258&lt;0,"YUKSEK","NORMAL"))</f>
        <v/>
      </c>
      <c r="F258" s="16">
        <f>IF($A258="","",_xlfn.TEXTJOIN(" ",TRUE,"SKU",$A258,"karar",$D258,"net",TEXT($B258,"0.00"),"başabaş",TEXT($C258,"0.00"),"TL"))</f>
        <v/>
      </c>
    </row>
    <row r="259">
      <c r="A259" s="16">
        <f>IF('ESLESTIRME'!$A259="","",IF('ESLESTIRME'!$G259="tutar_farki",'ESLESTIRME'!$A259,""))</f>
        <v/>
      </c>
      <c r="B259" s="16">
        <f>IF($A259="","",IFERROR(SUMIF(tblMotor[A_Norm],$A259,tblMotor[NetKar]),0))</f>
        <v/>
      </c>
      <c r="C259" s="16">
        <f>IF($A259="","",IFERROR(SUMIF(tblMotor[A_Norm],$A259,tblMotor[BasabasFiyat]),0))</f>
        <v/>
      </c>
      <c r="D259" s="16">
        <f>IF($A259="","",IFERROR(INDEX(tblMotor[KararSatir],MATCH($A259,tblMotor[A_Norm],0)),""))</f>
        <v/>
      </c>
      <c r="E259" s="16">
        <f>IF($A259="","",IF($B259&lt;0,"YUKSEK","NORMAL"))</f>
        <v/>
      </c>
      <c r="F259" s="16">
        <f>IF($A259="","",_xlfn.TEXTJOIN(" ",TRUE,"SKU",$A259,"karar",$D259,"net",TEXT($B259,"0.00"),"başabaş",TEXT($C259,"0.00"),"TL"))</f>
        <v/>
      </c>
    </row>
    <row r="260">
      <c r="A260" s="16">
        <f>IF('ESLESTIRME'!$A260="","",IF('ESLESTIRME'!$G260="tutar_farki",'ESLESTIRME'!$A260,""))</f>
        <v/>
      </c>
      <c r="B260" s="16">
        <f>IF($A260="","",IFERROR(SUMIF(tblMotor[A_Norm],$A260,tblMotor[NetKar]),0))</f>
        <v/>
      </c>
      <c r="C260" s="16">
        <f>IF($A260="","",IFERROR(SUMIF(tblMotor[A_Norm],$A260,tblMotor[BasabasFiyat]),0))</f>
        <v/>
      </c>
      <c r="D260" s="16">
        <f>IF($A260="","",IFERROR(INDEX(tblMotor[KararSatir],MATCH($A260,tblMotor[A_Norm],0)),""))</f>
        <v/>
      </c>
      <c r="E260" s="16">
        <f>IF($A260="","",IF($B260&lt;0,"YUKSEK","NORMAL"))</f>
        <v/>
      </c>
      <c r="F260" s="16">
        <f>IF($A260="","",_xlfn.TEXTJOIN(" ",TRUE,"SKU",$A260,"karar",$D260,"net",TEXT($B260,"0.00"),"başabaş",TEXT($C260,"0.00"),"TL"))</f>
        <v/>
      </c>
    </row>
    <row r="261">
      <c r="A261" s="16">
        <f>IF('ESLESTIRME'!$A261="","",IF('ESLESTIRME'!$G261="tutar_farki",'ESLESTIRME'!$A261,""))</f>
        <v/>
      </c>
      <c r="B261" s="16">
        <f>IF($A261="","",IFERROR(SUMIF(tblMotor[A_Norm],$A261,tblMotor[NetKar]),0))</f>
        <v/>
      </c>
      <c r="C261" s="16">
        <f>IF($A261="","",IFERROR(SUMIF(tblMotor[A_Norm],$A261,tblMotor[BasabasFiyat]),0))</f>
        <v/>
      </c>
      <c r="D261" s="16">
        <f>IF($A261="","",IFERROR(INDEX(tblMotor[KararSatir],MATCH($A261,tblMotor[A_Norm],0)),""))</f>
        <v/>
      </c>
      <c r="E261" s="16">
        <f>IF($A261="","",IF($B261&lt;0,"YUKSEK","NORMAL"))</f>
        <v/>
      </c>
      <c r="F261" s="16">
        <f>IF($A261="","",_xlfn.TEXTJOIN(" ",TRUE,"SKU",$A261,"karar",$D261,"net",TEXT($B261,"0.00"),"başabaş",TEXT($C261,"0.00"),"TL"))</f>
        <v/>
      </c>
    </row>
    <row r="262">
      <c r="A262" s="16">
        <f>IF('ESLESTIRME'!$A262="","",IF('ESLESTIRME'!$G262="tutar_farki",'ESLESTIRME'!$A262,""))</f>
        <v/>
      </c>
      <c r="B262" s="16">
        <f>IF($A262="","",IFERROR(SUMIF(tblMotor[A_Norm],$A262,tblMotor[NetKar]),0))</f>
        <v/>
      </c>
      <c r="C262" s="16">
        <f>IF($A262="","",IFERROR(SUMIF(tblMotor[A_Norm],$A262,tblMotor[BasabasFiyat]),0))</f>
        <v/>
      </c>
      <c r="D262" s="16">
        <f>IF($A262="","",IFERROR(INDEX(tblMotor[KararSatir],MATCH($A262,tblMotor[A_Norm],0)),""))</f>
        <v/>
      </c>
      <c r="E262" s="16">
        <f>IF($A262="","",IF($B262&lt;0,"YUKSEK","NORMAL"))</f>
        <v/>
      </c>
      <c r="F262" s="16">
        <f>IF($A262="","",_xlfn.TEXTJOIN(" ",TRUE,"SKU",$A262,"karar",$D262,"net",TEXT($B262,"0.00"),"başabaş",TEXT($C262,"0.00"),"TL"))</f>
        <v/>
      </c>
    </row>
    <row r="263">
      <c r="A263" s="16">
        <f>IF('ESLESTIRME'!$A263="","",IF('ESLESTIRME'!$G263="tutar_farki",'ESLESTIRME'!$A263,""))</f>
        <v/>
      </c>
      <c r="B263" s="16">
        <f>IF($A263="","",IFERROR(SUMIF(tblMotor[A_Norm],$A263,tblMotor[NetKar]),0))</f>
        <v/>
      </c>
      <c r="C263" s="16">
        <f>IF($A263="","",IFERROR(SUMIF(tblMotor[A_Norm],$A263,tblMotor[BasabasFiyat]),0))</f>
        <v/>
      </c>
      <c r="D263" s="16">
        <f>IF($A263="","",IFERROR(INDEX(tblMotor[KararSatir],MATCH($A263,tblMotor[A_Norm],0)),""))</f>
        <v/>
      </c>
      <c r="E263" s="16">
        <f>IF($A263="","",IF($B263&lt;0,"YUKSEK","NORMAL"))</f>
        <v/>
      </c>
      <c r="F263" s="16">
        <f>IF($A263="","",_xlfn.TEXTJOIN(" ",TRUE,"SKU",$A263,"karar",$D263,"net",TEXT($B263,"0.00"),"başabaş",TEXT($C263,"0.00"),"TL"))</f>
        <v/>
      </c>
    </row>
    <row r="264">
      <c r="A264" s="16">
        <f>IF('ESLESTIRME'!$A264="","",IF('ESLESTIRME'!$G264="tutar_farki",'ESLESTIRME'!$A264,""))</f>
        <v/>
      </c>
      <c r="B264" s="16">
        <f>IF($A264="","",IFERROR(SUMIF(tblMotor[A_Norm],$A264,tblMotor[NetKar]),0))</f>
        <v/>
      </c>
      <c r="C264" s="16">
        <f>IF($A264="","",IFERROR(SUMIF(tblMotor[A_Norm],$A264,tblMotor[BasabasFiyat]),0))</f>
        <v/>
      </c>
      <c r="D264" s="16">
        <f>IF($A264="","",IFERROR(INDEX(tblMotor[KararSatir],MATCH($A264,tblMotor[A_Norm],0)),""))</f>
        <v/>
      </c>
      <c r="E264" s="16">
        <f>IF($A264="","",IF($B264&lt;0,"YUKSEK","NORMAL"))</f>
        <v/>
      </c>
      <c r="F264" s="16">
        <f>IF($A264="","",_xlfn.TEXTJOIN(" ",TRUE,"SKU",$A264,"karar",$D264,"net",TEXT($B264,"0.00"),"başabaş",TEXT($C264,"0.00"),"TL"))</f>
        <v/>
      </c>
    </row>
    <row r="265">
      <c r="A265" s="16">
        <f>IF('ESLESTIRME'!$A265="","",IF('ESLESTIRME'!$G265="tutar_farki",'ESLESTIRME'!$A265,""))</f>
        <v/>
      </c>
      <c r="B265" s="16">
        <f>IF($A265="","",IFERROR(SUMIF(tblMotor[A_Norm],$A265,tblMotor[NetKar]),0))</f>
        <v/>
      </c>
      <c r="C265" s="16">
        <f>IF($A265="","",IFERROR(SUMIF(tblMotor[A_Norm],$A265,tblMotor[BasabasFiyat]),0))</f>
        <v/>
      </c>
      <c r="D265" s="16">
        <f>IF($A265="","",IFERROR(INDEX(tblMotor[KararSatir],MATCH($A265,tblMotor[A_Norm],0)),""))</f>
        <v/>
      </c>
      <c r="E265" s="16">
        <f>IF($A265="","",IF($B265&lt;0,"YUKSEK","NORMAL"))</f>
        <v/>
      </c>
      <c r="F265" s="16">
        <f>IF($A265="","",_xlfn.TEXTJOIN(" ",TRUE,"SKU",$A265,"karar",$D265,"net",TEXT($B265,"0.00"),"başabaş",TEXT($C265,"0.00"),"TL"))</f>
        <v/>
      </c>
    </row>
    <row r="266">
      <c r="A266" s="16">
        <f>IF('ESLESTIRME'!$A266="","",IF('ESLESTIRME'!$G266="tutar_farki",'ESLESTIRME'!$A266,""))</f>
        <v/>
      </c>
      <c r="B266" s="16">
        <f>IF($A266="","",IFERROR(SUMIF(tblMotor[A_Norm],$A266,tblMotor[NetKar]),0))</f>
        <v/>
      </c>
      <c r="C266" s="16">
        <f>IF($A266="","",IFERROR(SUMIF(tblMotor[A_Norm],$A266,tblMotor[BasabasFiyat]),0))</f>
        <v/>
      </c>
      <c r="D266" s="16">
        <f>IF($A266="","",IFERROR(INDEX(tblMotor[KararSatir],MATCH($A266,tblMotor[A_Norm],0)),""))</f>
        <v/>
      </c>
      <c r="E266" s="16">
        <f>IF($A266="","",IF($B266&lt;0,"YUKSEK","NORMAL"))</f>
        <v/>
      </c>
      <c r="F266" s="16">
        <f>IF($A266="","",_xlfn.TEXTJOIN(" ",TRUE,"SKU",$A266,"karar",$D266,"net",TEXT($B266,"0.00"),"başabaş",TEXT($C266,"0.00"),"TL"))</f>
        <v/>
      </c>
    </row>
    <row r="267">
      <c r="A267" s="16">
        <f>IF('ESLESTIRME'!$A267="","",IF('ESLESTIRME'!$G267="tutar_farki",'ESLESTIRME'!$A267,""))</f>
        <v/>
      </c>
      <c r="B267" s="16">
        <f>IF($A267="","",IFERROR(SUMIF(tblMotor[A_Norm],$A267,tblMotor[NetKar]),0))</f>
        <v/>
      </c>
      <c r="C267" s="16">
        <f>IF($A267="","",IFERROR(SUMIF(tblMotor[A_Norm],$A267,tblMotor[BasabasFiyat]),0))</f>
        <v/>
      </c>
      <c r="D267" s="16">
        <f>IF($A267="","",IFERROR(INDEX(tblMotor[KararSatir],MATCH($A267,tblMotor[A_Norm],0)),""))</f>
        <v/>
      </c>
      <c r="E267" s="16">
        <f>IF($A267="","",IF($B267&lt;0,"YUKSEK","NORMAL"))</f>
        <v/>
      </c>
      <c r="F267" s="16">
        <f>IF($A267="","",_xlfn.TEXTJOIN(" ",TRUE,"SKU",$A267,"karar",$D267,"net",TEXT($B267,"0.00"),"başabaş",TEXT($C267,"0.00"),"TL"))</f>
        <v/>
      </c>
    </row>
    <row r="268">
      <c r="A268" s="16">
        <f>IF('ESLESTIRME'!$A268="","",IF('ESLESTIRME'!$G268="tutar_farki",'ESLESTIRME'!$A268,""))</f>
        <v/>
      </c>
      <c r="B268" s="16">
        <f>IF($A268="","",IFERROR(SUMIF(tblMotor[A_Norm],$A268,tblMotor[NetKar]),0))</f>
        <v/>
      </c>
      <c r="C268" s="16">
        <f>IF($A268="","",IFERROR(SUMIF(tblMotor[A_Norm],$A268,tblMotor[BasabasFiyat]),0))</f>
        <v/>
      </c>
      <c r="D268" s="16">
        <f>IF($A268="","",IFERROR(INDEX(tblMotor[KararSatir],MATCH($A268,tblMotor[A_Norm],0)),""))</f>
        <v/>
      </c>
      <c r="E268" s="16">
        <f>IF($A268="","",IF($B268&lt;0,"YUKSEK","NORMAL"))</f>
        <v/>
      </c>
      <c r="F268" s="16">
        <f>IF($A268="","",_xlfn.TEXTJOIN(" ",TRUE,"SKU",$A268,"karar",$D268,"net",TEXT($B268,"0.00"),"başabaş",TEXT($C268,"0.00"),"TL"))</f>
        <v/>
      </c>
    </row>
    <row r="269">
      <c r="A269" s="16">
        <f>IF('ESLESTIRME'!$A269="","",IF('ESLESTIRME'!$G269="tutar_farki",'ESLESTIRME'!$A269,""))</f>
        <v/>
      </c>
      <c r="B269" s="16">
        <f>IF($A269="","",IFERROR(SUMIF(tblMotor[A_Norm],$A269,tblMotor[NetKar]),0))</f>
        <v/>
      </c>
      <c r="C269" s="16">
        <f>IF($A269="","",IFERROR(SUMIF(tblMotor[A_Norm],$A269,tblMotor[BasabasFiyat]),0))</f>
        <v/>
      </c>
      <c r="D269" s="16">
        <f>IF($A269="","",IFERROR(INDEX(tblMotor[KararSatir],MATCH($A269,tblMotor[A_Norm],0)),""))</f>
        <v/>
      </c>
      <c r="E269" s="16">
        <f>IF($A269="","",IF($B269&lt;0,"YUKSEK","NORMAL"))</f>
        <v/>
      </c>
      <c r="F269" s="16">
        <f>IF($A269="","",_xlfn.TEXTJOIN(" ",TRUE,"SKU",$A269,"karar",$D269,"net",TEXT($B269,"0.00"),"başabaş",TEXT($C269,"0.00"),"TL"))</f>
        <v/>
      </c>
    </row>
    <row r="270">
      <c r="A270" s="16">
        <f>IF('ESLESTIRME'!$A270="","",IF('ESLESTIRME'!$G270="tutar_farki",'ESLESTIRME'!$A270,""))</f>
        <v/>
      </c>
      <c r="B270" s="16">
        <f>IF($A270="","",IFERROR(SUMIF(tblMotor[A_Norm],$A270,tblMotor[NetKar]),0))</f>
        <v/>
      </c>
      <c r="C270" s="16">
        <f>IF($A270="","",IFERROR(SUMIF(tblMotor[A_Norm],$A270,tblMotor[BasabasFiyat]),0))</f>
        <v/>
      </c>
      <c r="D270" s="16">
        <f>IF($A270="","",IFERROR(INDEX(tblMotor[KararSatir],MATCH($A270,tblMotor[A_Norm],0)),""))</f>
        <v/>
      </c>
      <c r="E270" s="16">
        <f>IF($A270="","",IF($B270&lt;0,"YUKSEK","NORMAL"))</f>
        <v/>
      </c>
      <c r="F270" s="16">
        <f>IF($A270="","",_xlfn.TEXTJOIN(" ",TRUE,"SKU",$A270,"karar",$D270,"net",TEXT($B270,"0.00"),"başabaş",TEXT($C270,"0.00"),"TL"))</f>
        <v/>
      </c>
    </row>
    <row r="271">
      <c r="A271" s="16">
        <f>IF('ESLESTIRME'!$A271="","",IF('ESLESTIRME'!$G271="tutar_farki",'ESLESTIRME'!$A271,""))</f>
        <v/>
      </c>
      <c r="B271" s="16">
        <f>IF($A271="","",IFERROR(SUMIF(tblMotor[A_Norm],$A271,tblMotor[NetKar]),0))</f>
        <v/>
      </c>
      <c r="C271" s="16">
        <f>IF($A271="","",IFERROR(SUMIF(tblMotor[A_Norm],$A271,tblMotor[BasabasFiyat]),0))</f>
        <v/>
      </c>
      <c r="D271" s="16">
        <f>IF($A271="","",IFERROR(INDEX(tblMotor[KararSatir],MATCH($A271,tblMotor[A_Norm],0)),""))</f>
        <v/>
      </c>
      <c r="E271" s="16">
        <f>IF($A271="","",IF($B271&lt;0,"YUKSEK","NORMAL"))</f>
        <v/>
      </c>
      <c r="F271" s="16">
        <f>IF($A271="","",_xlfn.TEXTJOIN(" ",TRUE,"SKU",$A271,"karar",$D271,"net",TEXT($B271,"0.00"),"başabaş",TEXT($C271,"0.00"),"TL"))</f>
        <v/>
      </c>
    </row>
    <row r="272">
      <c r="A272" s="16">
        <f>IF('ESLESTIRME'!$A272="","",IF('ESLESTIRME'!$G272="tutar_farki",'ESLESTIRME'!$A272,""))</f>
        <v/>
      </c>
      <c r="B272" s="16">
        <f>IF($A272="","",IFERROR(SUMIF(tblMotor[A_Norm],$A272,tblMotor[NetKar]),0))</f>
        <v/>
      </c>
      <c r="C272" s="16">
        <f>IF($A272="","",IFERROR(SUMIF(tblMotor[A_Norm],$A272,tblMotor[BasabasFiyat]),0))</f>
        <v/>
      </c>
      <c r="D272" s="16">
        <f>IF($A272="","",IFERROR(INDEX(tblMotor[KararSatir],MATCH($A272,tblMotor[A_Norm],0)),""))</f>
        <v/>
      </c>
      <c r="E272" s="16">
        <f>IF($A272="","",IF($B272&lt;0,"YUKSEK","NORMAL"))</f>
        <v/>
      </c>
      <c r="F272" s="16">
        <f>IF($A272="","",_xlfn.TEXTJOIN(" ",TRUE,"SKU",$A272,"karar",$D272,"net",TEXT($B272,"0.00"),"başabaş",TEXT($C272,"0.00"),"TL"))</f>
        <v/>
      </c>
    </row>
    <row r="273">
      <c r="A273" s="16">
        <f>IF('ESLESTIRME'!$A273="","",IF('ESLESTIRME'!$G273="tutar_farki",'ESLESTIRME'!$A273,""))</f>
        <v/>
      </c>
      <c r="B273" s="16">
        <f>IF($A273="","",IFERROR(SUMIF(tblMotor[A_Norm],$A273,tblMotor[NetKar]),0))</f>
        <v/>
      </c>
      <c r="C273" s="16">
        <f>IF($A273="","",IFERROR(SUMIF(tblMotor[A_Norm],$A273,tblMotor[BasabasFiyat]),0))</f>
        <v/>
      </c>
      <c r="D273" s="16">
        <f>IF($A273="","",IFERROR(INDEX(tblMotor[KararSatir],MATCH($A273,tblMotor[A_Norm],0)),""))</f>
        <v/>
      </c>
      <c r="E273" s="16">
        <f>IF($A273="","",IF($B273&lt;0,"YUKSEK","NORMAL"))</f>
        <v/>
      </c>
      <c r="F273" s="16">
        <f>IF($A273="","",_xlfn.TEXTJOIN(" ",TRUE,"SKU",$A273,"karar",$D273,"net",TEXT($B273,"0.00"),"başabaş",TEXT($C273,"0.00"),"TL"))</f>
        <v/>
      </c>
    </row>
    <row r="274">
      <c r="A274" s="16">
        <f>IF('ESLESTIRME'!$A274="","",IF('ESLESTIRME'!$G274="tutar_farki",'ESLESTIRME'!$A274,""))</f>
        <v/>
      </c>
      <c r="B274" s="16">
        <f>IF($A274="","",IFERROR(SUMIF(tblMotor[A_Norm],$A274,tblMotor[NetKar]),0))</f>
        <v/>
      </c>
      <c r="C274" s="16">
        <f>IF($A274="","",IFERROR(SUMIF(tblMotor[A_Norm],$A274,tblMotor[BasabasFiyat]),0))</f>
        <v/>
      </c>
      <c r="D274" s="16">
        <f>IF($A274="","",IFERROR(INDEX(tblMotor[KararSatir],MATCH($A274,tblMotor[A_Norm],0)),""))</f>
        <v/>
      </c>
      <c r="E274" s="16">
        <f>IF($A274="","",IF($B274&lt;0,"YUKSEK","NORMAL"))</f>
        <v/>
      </c>
      <c r="F274" s="16">
        <f>IF($A274="","",_xlfn.TEXTJOIN(" ",TRUE,"SKU",$A274,"karar",$D274,"net",TEXT($B274,"0.00"),"başabaş",TEXT($C274,"0.00"),"TL"))</f>
        <v/>
      </c>
    </row>
    <row r="275">
      <c r="A275" s="16">
        <f>IF('ESLESTIRME'!$A275="","",IF('ESLESTIRME'!$G275="tutar_farki",'ESLESTIRME'!$A275,""))</f>
        <v/>
      </c>
      <c r="B275" s="16">
        <f>IF($A275="","",IFERROR(SUMIF(tblMotor[A_Norm],$A275,tblMotor[NetKar]),0))</f>
        <v/>
      </c>
      <c r="C275" s="16">
        <f>IF($A275="","",IFERROR(SUMIF(tblMotor[A_Norm],$A275,tblMotor[BasabasFiyat]),0))</f>
        <v/>
      </c>
      <c r="D275" s="16">
        <f>IF($A275="","",IFERROR(INDEX(tblMotor[KararSatir],MATCH($A275,tblMotor[A_Norm],0)),""))</f>
        <v/>
      </c>
      <c r="E275" s="16">
        <f>IF($A275="","",IF($B275&lt;0,"YUKSEK","NORMAL"))</f>
        <v/>
      </c>
      <c r="F275" s="16">
        <f>IF($A275="","",_xlfn.TEXTJOIN(" ",TRUE,"SKU",$A275,"karar",$D275,"net",TEXT($B275,"0.00"),"başabaş",TEXT($C275,"0.00"),"TL"))</f>
        <v/>
      </c>
    </row>
    <row r="276">
      <c r="A276" s="16">
        <f>IF('ESLESTIRME'!$A276="","",IF('ESLESTIRME'!$G276="tutar_farki",'ESLESTIRME'!$A276,""))</f>
        <v/>
      </c>
      <c r="B276" s="16">
        <f>IF($A276="","",IFERROR(SUMIF(tblMotor[A_Norm],$A276,tblMotor[NetKar]),0))</f>
        <v/>
      </c>
      <c r="C276" s="16">
        <f>IF($A276="","",IFERROR(SUMIF(tblMotor[A_Norm],$A276,tblMotor[BasabasFiyat]),0))</f>
        <v/>
      </c>
      <c r="D276" s="16">
        <f>IF($A276="","",IFERROR(INDEX(tblMotor[KararSatir],MATCH($A276,tblMotor[A_Norm],0)),""))</f>
        <v/>
      </c>
      <c r="E276" s="16">
        <f>IF($A276="","",IF($B276&lt;0,"YUKSEK","NORMAL"))</f>
        <v/>
      </c>
      <c r="F276" s="16">
        <f>IF($A276="","",_xlfn.TEXTJOIN(" ",TRUE,"SKU",$A276,"karar",$D276,"net",TEXT($B276,"0.00"),"başabaş",TEXT($C276,"0.00"),"TL"))</f>
        <v/>
      </c>
    </row>
    <row r="277">
      <c r="A277" s="16">
        <f>IF('ESLESTIRME'!$A277="","",IF('ESLESTIRME'!$G277="tutar_farki",'ESLESTIRME'!$A277,""))</f>
        <v/>
      </c>
      <c r="B277" s="16">
        <f>IF($A277="","",IFERROR(SUMIF(tblMotor[A_Norm],$A277,tblMotor[NetKar]),0))</f>
        <v/>
      </c>
      <c r="C277" s="16">
        <f>IF($A277="","",IFERROR(SUMIF(tblMotor[A_Norm],$A277,tblMotor[BasabasFiyat]),0))</f>
        <v/>
      </c>
      <c r="D277" s="16">
        <f>IF($A277="","",IFERROR(INDEX(tblMotor[KararSatir],MATCH($A277,tblMotor[A_Norm],0)),""))</f>
        <v/>
      </c>
      <c r="E277" s="16">
        <f>IF($A277="","",IF($B277&lt;0,"YUKSEK","NORMAL"))</f>
        <v/>
      </c>
      <c r="F277" s="16">
        <f>IF($A277="","",_xlfn.TEXTJOIN(" ",TRUE,"SKU",$A277,"karar",$D277,"net",TEXT($B277,"0.00"),"başabaş",TEXT($C277,"0.00"),"TL"))</f>
        <v/>
      </c>
    </row>
    <row r="278">
      <c r="A278" s="16">
        <f>IF('ESLESTIRME'!$A278="","",IF('ESLESTIRME'!$G278="tutar_farki",'ESLESTIRME'!$A278,""))</f>
        <v/>
      </c>
      <c r="B278" s="16">
        <f>IF($A278="","",IFERROR(SUMIF(tblMotor[A_Norm],$A278,tblMotor[NetKar]),0))</f>
        <v/>
      </c>
      <c r="C278" s="16">
        <f>IF($A278="","",IFERROR(SUMIF(tblMotor[A_Norm],$A278,tblMotor[BasabasFiyat]),0))</f>
        <v/>
      </c>
      <c r="D278" s="16">
        <f>IF($A278="","",IFERROR(INDEX(tblMotor[KararSatir],MATCH($A278,tblMotor[A_Norm],0)),""))</f>
        <v/>
      </c>
      <c r="E278" s="16">
        <f>IF($A278="","",IF($B278&lt;0,"YUKSEK","NORMAL"))</f>
        <v/>
      </c>
      <c r="F278" s="16">
        <f>IF($A278="","",_xlfn.TEXTJOIN(" ",TRUE,"SKU",$A278,"karar",$D278,"net",TEXT($B278,"0.00"),"başabaş",TEXT($C278,"0.00"),"TL"))</f>
        <v/>
      </c>
    </row>
    <row r="279">
      <c r="A279" s="16">
        <f>IF('ESLESTIRME'!$A279="","",IF('ESLESTIRME'!$G279="tutar_farki",'ESLESTIRME'!$A279,""))</f>
        <v/>
      </c>
      <c r="B279" s="16">
        <f>IF($A279="","",IFERROR(SUMIF(tblMotor[A_Norm],$A279,tblMotor[NetKar]),0))</f>
        <v/>
      </c>
      <c r="C279" s="16">
        <f>IF($A279="","",IFERROR(SUMIF(tblMotor[A_Norm],$A279,tblMotor[BasabasFiyat]),0))</f>
        <v/>
      </c>
      <c r="D279" s="16">
        <f>IF($A279="","",IFERROR(INDEX(tblMotor[KararSatir],MATCH($A279,tblMotor[A_Norm],0)),""))</f>
        <v/>
      </c>
      <c r="E279" s="16">
        <f>IF($A279="","",IF($B279&lt;0,"YUKSEK","NORMAL"))</f>
        <v/>
      </c>
      <c r="F279" s="16">
        <f>IF($A279="","",_xlfn.TEXTJOIN(" ",TRUE,"SKU",$A279,"karar",$D279,"net",TEXT($B279,"0.00"),"başabaş",TEXT($C279,"0.00"),"TL"))</f>
        <v/>
      </c>
    </row>
    <row r="280">
      <c r="A280" s="16">
        <f>IF('ESLESTIRME'!$A280="","",IF('ESLESTIRME'!$G280="tutar_farki",'ESLESTIRME'!$A280,""))</f>
        <v/>
      </c>
      <c r="B280" s="16">
        <f>IF($A280="","",IFERROR(SUMIF(tblMotor[A_Norm],$A280,tblMotor[NetKar]),0))</f>
        <v/>
      </c>
      <c r="C280" s="16">
        <f>IF($A280="","",IFERROR(SUMIF(tblMotor[A_Norm],$A280,tblMotor[BasabasFiyat]),0))</f>
        <v/>
      </c>
      <c r="D280" s="16">
        <f>IF($A280="","",IFERROR(INDEX(tblMotor[KararSatir],MATCH($A280,tblMotor[A_Norm],0)),""))</f>
        <v/>
      </c>
      <c r="E280" s="16">
        <f>IF($A280="","",IF($B280&lt;0,"YUKSEK","NORMAL"))</f>
        <v/>
      </c>
      <c r="F280" s="16">
        <f>IF($A280="","",_xlfn.TEXTJOIN(" ",TRUE,"SKU",$A280,"karar",$D280,"net",TEXT($B280,"0.00"),"başabaş",TEXT($C280,"0.00"),"TL"))</f>
        <v/>
      </c>
    </row>
    <row r="281">
      <c r="A281" s="16">
        <f>IF('ESLESTIRME'!$A281="","",IF('ESLESTIRME'!$G281="tutar_farki",'ESLESTIRME'!$A281,""))</f>
        <v/>
      </c>
      <c r="B281" s="16">
        <f>IF($A281="","",IFERROR(SUMIF(tblMotor[A_Norm],$A281,tblMotor[NetKar]),0))</f>
        <v/>
      </c>
      <c r="C281" s="16">
        <f>IF($A281="","",IFERROR(SUMIF(tblMotor[A_Norm],$A281,tblMotor[BasabasFiyat]),0))</f>
        <v/>
      </c>
      <c r="D281" s="16">
        <f>IF($A281="","",IFERROR(INDEX(tblMotor[KararSatir],MATCH($A281,tblMotor[A_Norm],0)),""))</f>
        <v/>
      </c>
      <c r="E281" s="16">
        <f>IF($A281="","",IF($B281&lt;0,"YUKSEK","NORMAL"))</f>
        <v/>
      </c>
      <c r="F281" s="16">
        <f>IF($A281="","",_xlfn.TEXTJOIN(" ",TRUE,"SKU",$A281,"karar",$D281,"net",TEXT($B281,"0.00"),"başabaş",TEXT($C281,"0.00"),"TL"))</f>
        <v/>
      </c>
    </row>
    <row r="282">
      <c r="A282" s="16">
        <f>IF('ESLESTIRME'!$A282="","",IF('ESLESTIRME'!$G282="tutar_farki",'ESLESTIRME'!$A282,""))</f>
        <v/>
      </c>
      <c r="B282" s="16">
        <f>IF($A282="","",IFERROR(SUMIF(tblMotor[A_Norm],$A282,tblMotor[NetKar]),0))</f>
        <v/>
      </c>
      <c r="C282" s="16">
        <f>IF($A282="","",IFERROR(SUMIF(tblMotor[A_Norm],$A282,tblMotor[BasabasFiyat]),0))</f>
        <v/>
      </c>
      <c r="D282" s="16">
        <f>IF($A282="","",IFERROR(INDEX(tblMotor[KararSatir],MATCH($A282,tblMotor[A_Norm],0)),""))</f>
        <v/>
      </c>
      <c r="E282" s="16">
        <f>IF($A282="","",IF($B282&lt;0,"YUKSEK","NORMAL"))</f>
        <v/>
      </c>
      <c r="F282" s="16">
        <f>IF($A282="","",_xlfn.TEXTJOIN(" ",TRUE,"SKU",$A282,"karar",$D282,"net",TEXT($B282,"0.00"),"başabaş",TEXT($C282,"0.00"),"TL"))</f>
        <v/>
      </c>
    </row>
    <row r="283">
      <c r="A283" s="16">
        <f>IF('ESLESTIRME'!$A283="","",IF('ESLESTIRME'!$G283="tutar_farki",'ESLESTIRME'!$A283,""))</f>
        <v/>
      </c>
      <c r="B283" s="16">
        <f>IF($A283="","",IFERROR(SUMIF(tblMotor[A_Norm],$A283,tblMotor[NetKar]),0))</f>
        <v/>
      </c>
      <c r="C283" s="16">
        <f>IF($A283="","",IFERROR(SUMIF(tblMotor[A_Norm],$A283,tblMotor[BasabasFiyat]),0))</f>
        <v/>
      </c>
      <c r="D283" s="16">
        <f>IF($A283="","",IFERROR(INDEX(tblMotor[KararSatir],MATCH($A283,tblMotor[A_Norm],0)),""))</f>
        <v/>
      </c>
      <c r="E283" s="16">
        <f>IF($A283="","",IF($B283&lt;0,"YUKSEK","NORMAL"))</f>
        <v/>
      </c>
      <c r="F283" s="16">
        <f>IF($A283="","",_xlfn.TEXTJOIN(" ",TRUE,"SKU",$A283,"karar",$D283,"net",TEXT($B283,"0.00"),"başabaş",TEXT($C283,"0.00"),"TL"))</f>
        <v/>
      </c>
    </row>
    <row r="284">
      <c r="A284" s="16">
        <f>IF('ESLESTIRME'!$A284="","",IF('ESLESTIRME'!$G284="tutar_farki",'ESLESTIRME'!$A284,""))</f>
        <v/>
      </c>
      <c r="B284" s="16">
        <f>IF($A284="","",IFERROR(SUMIF(tblMotor[A_Norm],$A284,tblMotor[NetKar]),0))</f>
        <v/>
      </c>
      <c r="C284" s="16">
        <f>IF($A284="","",IFERROR(SUMIF(tblMotor[A_Norm],$A284,tblMotor[BasabasFiyat]),0))</f>
        <v/>
      </c>
      <c r="D284" s="16">
        <f>IF($A284="","",IFERROR(INDEX(tblMotor[KararSatir],MATCH($A284,tblMotor[A_Norm],0)),""))</f>
        <v/>
      </c>
      <c r="E284" s="16">
        <f>IF($A284="","",IF($B284&lt;0,"YUKSEK","NORMAL"))</f>
        <v/>
      </c>
      <c r="F284" s="16">
        <f>IF($A284="","",_xlfn.TEXTJOIN(" ",TRUE,"SKU",$A284,"karar",$D284,"net",TEXT($B284,"0.00"),"başabaş",TEXT($C284,"0.00"),"TL"))</f>
        <v/>
      </c>
    </row>
    <row r="285">
      <c r="A285" s="16">
        <f>IF('ESLESTIRME'!$A285="","",IF('ESLESTIRME'!$G285="tutar_farki",'ESLESTIRME'!$A285,""))</f>
        <v/>
      </c>
      <c r="B285" s="16">
        <f>IF($A285="","",IFERROR(SUMIF(tblMotor[A_Norm],$A285,tblMotor[NetKar]),0))</f>
        <v/>
      </c>
      <c r="C285" s="16">
        <f>IF($A285="","",IFERROR(SUMIF(tblMotor[A_Norm],$A285,tblMotor[BasabasFiyat]),0))</f>
        <v/>
      </c>
      <c r="D285" s="16">
        <f>IF($A285="","",IFERROR(INDEX(tblMotor[KararSatir],MATCH($A285,tblMotor[A_Norm],0)),""))</f>
        <v/>
      </c>
      <c r="E285" s="16">
        <f>IF($A285="","",IF($B285&lt;0,"YUKSEK","NORMAL"))</f>
        <v/>
      </c>
      <c r="F285" s="16">
        <f>IF($A285="","",_xlfn.TEXTJOIN(" ",TRUE,"SKU",$A285,"karar",$D285,"net",TEXT($B285,"0.00"),"başabaş",TEXT($C285,"0.00"),"TL"))</f>
        <v/>
      </c>
    </row>
    <row r="286">
      <c r="A286" s="16">
        <f>IF('ESLESTIRME'!$A286="","",IF('ESLESTIRME'!$G286="tutar_farki",'ESLESTIRME'!$A286,""))</f>
        <v/>
      </c>
      <c r="B286" s="16">
        <f>IF($A286="","",IFERROR(SUMIF(tblMotor[A_Norm],$A286,tblMotor[NetKar]),0))</f>
        <v/>
      </c>
      <c r="C286" s="16">
        <f>IF($A286="","",IFERROR(SUMIF(tblMotor[A_Norm],$A286,tblMotor[BasabasFiyat]),0))</f>
        <v/>
      </c>
      <c r="D286" s="16">
        <f>IF($A286="","",IFERROR(INDEX(tblMotor[KararSatir],MATCH($A286,tblMotor[A_Norm],0)),""))</f>
        <v/>
      </c>
      <c r="E286" s="16">
        <f>IF($A286="","",IF($B286&lt;0,"YUKSEK","NORMAL"))</f>
        <v/>
      </c>
      <c r="F286" s="16">
        <f>IF($A286="","",_xlfn.TEXTJOIN(" ",TRUE,"SKU",$A286,"karar",$D286,"net",TEXT($B286,"0.00"),"başabaş",TEXT($C286,"0.00"),"TL"))</f>
        <v/>
      </c>
    </row>
    <row r="287">
      <c r="A287" s="16">
        <f>IF('ESLESTIRME'!$A287="","",IF('ESLESTIRME'!$G287="tutar_farki",'ESLESTIRME'!$A287,""))</f>
        <v/>
      </c>
      <c r="B287" s="16">
        <f>IF($A287="","",IFERROR(SUMIF(tblMotor[A_Norm],$A287,tblMotor[NetKar]),0))</f>
        <v/>
      </c>
      <c r="C287" s="16">
        <f>IF($A287="","",IFERROR(SUMIF(tblMotor[A_Norm],$A287,tblMotor[BasabasFiyat]),0))</f>
        <v/>
      </c>
      <c r="D287" s="16">
        <f>IF($A287="","",IFERROR(INDEX(tblMotor[KararSatir],MATCH($A287,tblMotor[A_Norm],0)),""))</f>
        <v/>
      </c>
      <c r="E287" s="16">
        <f>IF($A287="","",IF($B287&lt;0,"YUKSEK","NORMAL"))</f>
        <v/>
      </c>
      <c r="F287" s="16">
        <f>IF($A287="","",_xlfn.TEXTJOIN(" ",TRUE,"SKU",$A287,"karar",$D287,"net",TEXT($B287,"0.00"),"başabaş",TEXT($C287,"0.00"),"TL"))</f>
        <v/>
      </c>
    </row>
    <row r="288">
      <c r="A288" s="16">
        <f>IF('ESLESTIRME'!$A288="","",IF('ESLESTIRME'!$G288="tutar_farki",'ESLESTIRME'!$A288,""))</f>
        <v/>
      </c>
      <c r="B288" s="16">
        <f>IF($A288="","",IFERROR(SUMIF(tblMotor[A_Norm],$A288,tblMotor[NetKar]),0))</f>
        <v/>
      </c>
      <c r="C288" s="16">
        <f>IF($A288="","",IFERROR(SUMIF(tblMotor[A_Norm],$A288,tblMotor[BasabasFiyat]),0))</f>
        <v/>
      </c>
      <c r="D288" s="16">
        <f>IF($A288="","",IFERROR(INDEX(tblMotor[KararSatir],MATCH($A288,tblMotor[A_Norm],0)),""))</f>
        <v/>
      </c>
      <c r="E288" s="16">
        <f>IF($A288="","",IF($B288&lt;0,"YUKSEK","NORMAL"))</f>
        <v/>
      </c>
      <c r="F288" s="16">
        <f>IF($A288="","",_xlfn.TEXTJOIN(" ",TRUE,"SKU",$A288,"karar",$D288,"net",TEXT($B288,"0.00"),"başabaş",TEXT($C288,"0.00"),"TL"))</f>
        <v/>
      </c>
    </row>
    <row r="289">
      <c r="A289" s="16">
        <f>IF('ESLESTIRME'!$A289="","",IF('ESLESTIRME'!$G289="tutar_farki",'ESLESTIRME'!$A289,""))</f>
        <v/>
      </c>
      <c r="B289" s="16">
        <f>IF($A289="","",IFERROR(SUMIF(tblMotor[A_Norm],$A289,tblMotor[NetKar]),0))</f>
        <v/>
      </c>
      <c r="C289" s="16">
        <f>IF($A289="","",IFERROR(SUMIF(tblMotor[A_Norm],$A289,tblMotor[BasabasFiyat]),0))</f>
        <v/>
      </c>
      <c r="D289" s="16">
        <f>IF($A289="","",IFERROR(INDEX(tblMotor[KararSatir],MATCH($A289,tblMotor[A_Norm],0)),""))</f>
        <v/>
      </c>
      <c r="E289" s="16">
        <f>IF($A289="","",IF($B289&lt;0,"YUKSEK","NORMAL"))</f>
        <v/>
      </c>
      <c r="F289" s="16">
        <f>IF($A289="","",_xlfn.TEXTJOIN(" ",TRUE,"SKU",$A289,"karar",$D289,"net",TEXT($B289,"0.00"),"başabaş",TEXT($C289,"0.00"),"TL"))</f>
        <v/>
      </c>
    </row>
    <row r="290">
      <c r="A290" s="16">
        <f>IF('ESLESTIRME'!$A290="","",IF('ESLESTIRME'!$G290="tutar_farki",'ESLESTIRME'!$A290,""))</f>
        <v/>
      </c>
      <c r="B290" s="16">
        <f>IF($A290="","",IFERROR(SUMIF(tblMotor[A_Norm],$A290,tblMotor[NetKar]),0))</f>
        <v/>
      </c>
      <c r="C290" s="16">
        <f>IF($A290="","",IFERROR(SUMIF(tblMotor[A_Norm],$A290,tblMotor[BasabasFiyat]),0))</f>
        <v/>
      </c>
      <c r="D290" s="16">
        <f>IF($A290="","",IFERROR(INDEX(tblMotor[KararSatir],MATCH($A290,tblMotor[A_Norm],0)),""))</f>
        <v/>
      </c>
      <c r="E290" s="16">
        <f>IF($A290="","",IF($B290&lt;0,"YUKSEK","NORMAL"))</f>
        <v/>
      </c>
      <c r="F290" s="16">
        <f>IF($A290="","",_xlfn.TEXTJOIN(" ",TRUE,"SKU",$A290,"karar",$D290,"net",TEXT($B290,"0.00"),"başabaş",TEXT($C290,"0.00"),"TL"))</f>
        <v/>
      </c>
    </row>
    <row r="291">
      <c r="A291" s="16">
        <f>IF('ESLESTIRME'!$A291="","",IF('ESLESTIRME'!$G291="tutar_farki",'ESLESTIRME'!$A291,""))</f>
        <v/>
      </c>
      <c r="B291" s="16">
        <f>IF($A291="","",IFERROR(SUMIF(tblMotor[A_Norm],$A291,tblMotor[NetKar]),0))</f>
        <v/>
      </c>
      <c r="C291" s="16">
        <f>IF($A291="","",IFERROR(SUMIF(tblMotor[A_Norm],$A291,tblMotor[BasabasFiyat]),0))</f>
        <v/>
      </c>
      <c r="D291" s="16">
        <f>IF($A291="","",IFERROR(INDEX(tblMotor[KararSatir],MATCH($A291,tblMotor[A_Norm],0)),""))</f>
        <v/>
      </c>
      <c r="E291" s="16">
        <f>IF($A291="","",IF($B291&lt;0,"YUKSEK","NORMAL"))</f>
        <v/>
      </c>
      <c r="F291" s="16">
        <f>IF($A291="","",_xlfn.TEXTJOIN(" ",TRUE,"SKU",$A291,"karar",$D291,"net",TEXT($B291,"0.00"),"başabaş",TEXT($C291,"0.00"),"TL"))</f>
        <v/>
      </c>
    </row>
    <row r="292">
      <c r="A292" s="16">
        <f>IF('ESLESTIRME'!$A292="","",IF('ESLESTIRME'!$G292="tutar_farki",'ESLESTIRME'!$A292,""))</f>
        <v/>
      </c>
      <c r="B292" s="16">
        <f>IF($A292="","",IFERROR(SUMIF(tblMotor[A_Norm],$A292,tblMotor[NetKar]),0))</f>
        <v/>
      </c>
      <c r="C292" s="16">
        <f>IF($A292="","",IFERROR(SUMIF(tblMotor[A_Norm],$A292,tblMotor[BasabasFiyat]),0))</f>
        <v/>
      </c>
      <c r="D292" s="16">
        <f>IF($A292="","",IFERROR(INDEX(tblMotor[KararSatir],MATCH($A292,tblMotor[A_Norm],0)),""))</f>
        <v/>
      </c>
      <c r="E292" s="16">
        <f>IF($A292="","",IF($B292&lt;0,"YUKSEK","NORMAL"))</f>
        <v/>
      </c>
      <c r="F292" s="16">
        <f>IF($A292="","",_xlfn.TEXTJOIN(" ",TRUE,"SKU",$A292,"karar",$D292,"net",TEXT($B292,"0.00"),"başabaş",TEXT($C292,"0.00"),"TL"))</f>
        <v/>
      </c>
    </row>
    <row r="293">
      <c r="A293" s="16">
        <f>IF('ESLESTIRME'!$A293="","",IF('ESLESTIRME'!$G293="tutar_farki",'ESLESTIRME'!$A293,""))</f>
        <v/>
      </c>
      <c r="B293" s="16">
        <f>IF($A293="","",IFERROR(SUMIF(tblMotor[A_Norm],$A293,tblMotor[NetKar]),0))</f>
        <v/>
      </c>
      <c r="C293" s="16">
        <f>IF($A293="","",IFERROR(SUMIF(tblMotor[A_Norm],$A293,tblMotor[BasabasFiyat]),0))</f>
        <v/>
      </c>
      <c r="D293" s="16">
        <f>IF($A293="","",IFERROR(INDEX(tblMotor[KararSatir],MATCH($A293,tblMotor[A_Norm],0)),""))</f>
        <v/>
      </c>
      <c r="E293" s="16">
        <f>IF($A293="","",IF($B293&lt;0,"YUKSEK","NORMAL"))</f>
        <v/>
      </c>
      <c r="F293" s="16">
        <f>IF($A293="","",_xlfn.TEXTJOIN(" ",TRUE,"SKU",$A293,"karar",$D293,"net",TEXT($B293,"0.00"),"başabaş",TEXT($C293,"0.00"),"TL"))</f>
        <v/>
      </c>
    </row>
    <row r="294">
      <c r="A294" s="16">
        <f>IF('ESLESTIRME'!$A294="","",IF('ESLESTIRME'!$G294="tutar_farki",'ESLESTIRME'!$A294,""))</f>
        <v/>
      </c>
      <c r="B294" s="16">
        <f>IF($A294="","",IFERROR(SUMIF(tblMotor[A_Norm],$A294,tblMotor[NetKar]),0))</f>
        <v/>
      </c>
      <c r="C294" s="16">
        <f>IF($A294="","",IFERROR(SUMIF(tblMotor[A_Norm],$A294,tblMotor[BasabasFiyat]),0))</f>
        <v/>
      </c>
      <c r="D294" s="16">
        <f>IF($A294="","",IFERROR(INDEX(tblMotor[KararSatir],MATCH($A294,tblMotor[A_Norm],0)),""))</f>
        <v/>
      </c>
      <c r="E294" s="16">
        <f>IF($A294="","",IF($B294&lt;0,"YUKSEK","NORMAL"))</f>
        <v/>
      </c>
      <c r="F294" s="16">
        <f>IF($A294="","",_xlfn.TEXTJOIN(" ",TRUE,"SKU",$A294,"karar",$D294,"net",TEXT($B294,"0.00"),"başabaş",TEXT($C294,"0.00"),"TL"))</f>
        <v/>
      </c>
    </row>
    <row r="295">
      <c r="A295" s="16">
        <f>IF('ESLESTIRME'!$A295="","",IF('ESLESTIRME'!$G295="tutar_farki",'ESLESTIRME'!$A295,""))</f>
        <v/>
      </c>
      <c r="B295" s="16">
        <f>IF($A295="","",IFERROR(SUMIF(tblMotor[A_Norm],$A295,tblMotor[NetKar]),0))</f>
        <v/>
      </c>
      <c r="C295" s="16">
        <f>IF($A295="","",IFERROR(SUMIF(tblMotor[A_Norm],$A295,tblMotor[BasabasFiyat]),0))</f>
        <v/>
      </c>
      <c r="D295" s="16">
        <f>IF($A295="","",IFERROR(INDEX(tblMotor[KararSatir],MATCH($A295,tblMotor[A_Norm],0)),""))</f>
        <v/>
      </c>
      <c r="E295" s="16">
        <f>IF($A295="","",IF($B295&lt;0,"YUKSEK","NORMAL"))</f>
        <v/>
      </c>
      <c r="F295" s="16">
        <f>IF($A295="","",_xlfn.TEXTJOIN(" ",TRUE,"SKU",$A295,"karar",$D295,"net",TEXT($B295,"0.00"),"başabaş",TEXT($C295,"0.00"),"TL"))</f>
        <v/>
      </c>
    </row>
    <row r="296">
      <c r="A296" s="16">
        <f>IF('ESLESTIRME'!$A296="","",IF('ESLESTIRME'!$G296="tutar_farki",'ESLESTIRME'!$A296,""))</f>
        <v/>
      </c>
      <c r="B296" s="16">
        <f>IF($A296="","",IFERROR(SUMIF(tblMotor[A_Norm],$A296,tblMotor[NetKar]),0))</f>
        <v/>
      </c>
      <c r="C296" s="16">
        <f>IF($A296="","",IFERROR(SUMIF(tblMotor[A_Norm],$A296,tblMotor[BasabasFiyat]),0))</f>
        <v/>
      </c>
      <c r="D296" s="16">
        <f>IF($A296="","",IFERROR(INDEX(tblMotor[KararSatir],MATCH($A296,tblMotor[A_Norm],0)),""))</f>
        <v/>
      </c>
      <c r="E296" s="16">
        <f>IF($A296="","",IF($B296&lt;0,"YUKSEK","NORMAL"))</f>
        <v/>
      </c>
      <c r="F296" s="16">
        <f>IF($A296="","",_xlfn.TEXTJOIN(" ",TRUE,"SKU",$A296,"karar",$D296,"net",TEXT($B296,"0.00"),"başabaş",TEXT($C296,"0.00"),"TL"))</f>
        <v/>
      </c>
    </row>
    <row r="297">
      <c r="A297" s="16">
        <f>IF('ESLESTIRME'!$A297="","",IF('ESLESTIRME'!$G297="tutar_farki",'ESLESTIRME'!$A297,""))</f>
        <v/>
      </c>
      <c r="B297" s="16">
        <f>IF($A297="","",IFERROR(SUMIF(tblMotor[A_Norm],$A297,tblMotor[NetKar]),0))</f>
        <v/>
      </c>
      <c r="C297" s="16">
        <f>IF($A297="","",IFERROR(SUMIF(tblMotor[A_Norm],$A297,tblMotor[BasabasFiyat]),0))</f>
        <v/>
      </c>
      <c r="D297" s="16">
        <f>IF($A297="","",IFERROR(INDEX(tblMotor[KararSatir],MATCH($A297,tblMotor[A_Norm],0)),""))</f>
        <v/>
      </c>
      <c r="E297" s="16">
        <f>IF($A297="","",IF($B297&lt;0,"YUKSEK","NORMAL"))</f>
        <v/>
      </c>
      <c r="F297" s="16">
        <f>IF($A297="","",_xlfn.TEXTJOIN(" ",TRUE,"SKU",$A297,"karar",$D297,"net",TEXT($B297,"0.00"),"başabaş",TEXT($C297,"0.00"),"TL"))</f>
        <v/>
      </c>
    </row>
    <row r="298">
      <c r="A298" s="16">
        <f>IF('ESLESTIRME'!$A298="","",IF('ESLESTIRME'!$G298="tutar_farki",'ESLESTIRME'!$A298,""))</f>
        <v/>
      </c>
      <c r="B298" s="16">
        <f>IF($A298="","",IFERROR(SUMIF(tblMotor[A_Norm],$A298,tblMotor[NetKar]),0))</f>
        <v/>
      </c>
      <c r="C298" s="16">
        <f>IF($A298="","",IFERROR(SUMIF(tblMotor[A_Norm],$A298,tblMotor[BasabasFiyat]),0))</f>
        <v/>
      </c>
      <c r="D298" s="16">
        <f>IF($A298="","",IFERROR(INDEX(tblMotor[KararSatir],MATCH($A298,tblMotor[A_Norm],0)),""))</f>
        <v/>
      </c>
      <c r="E298" s="16">
        <f>IF($A298="","",IF($B298&lt;0,"YUKSEK","NORMAL"))</f>
        <v/>
      </c>
      <c r="F298" s="16">
        <f>IF($A298="","",_xlfn.TEXTJOIN(" ",TRUE,"SKU",$A298,"karar",$D298,"net",TEXT($B298,"0.00"),"başabaş",TEXT($C298,"0.00"),"TL"))</f>
        <v/>
      </c>
    </row>
    <row r="299">
      <c r="A299" s="16">
        <f>IF('ESLESTIRME'!$A299="","",IF('ESLESTIRME'!$G299="tutar_farki",'ESLESTIRME'!$A299,""))</f>
        <v/>
      </c>
      <c r="B299" s="16">
        <f>IF($A299="","",IFERROR(SUMIF(tblMotor[A_Norm],$A299,tblMotor[NetKar]),0))</f>
        <v/>
      </c>
      <c r="C299" s="16">
        <f>IF($A299="","",IFERROR(SUMIF(tblMotor[A_Norm],$A299,tblMotor[BasabasFiyat]),0))</f>
        <v/>
      </c>
      <c r="D299" s="16">
        <f>IF($A299="","",IFERROR(INDEX(tblMotor[KararSatir],MATCH($A299,tblMotor[A_Norm],0)),""))</f>
        <v/>
      </c>
      <c r="E299" s="16">
        <f>IF($A299="","",IF($B299&lt;0,"YUKSEK","NORMAL"))</f>
        <v/>
      </c>
      <c r="F299" s="16">
        <f>IF($A299="","",_xlfn.TEXTJOIN(" ",TRUE,"SKU",$A299,"karar",$D299,"net",TEXT($B299,"0.00"),"başabaş",TEXT($C299,"0.00"),"TL"))</f>
        <v/>
      </c>
    </row>
    <row r="300">
      <c r="A300" s="16">
        <f>IF('ESLESTIRME'!$A300="","",IF('ESLESTIRME'!$G300="tutar_farki",'ESLESTIRME'!$A300,""))</f>
        <v/>
      </c>
      <c r="B300" s="16">
        <f>IF($A300="","",IFERROR(SUMIF(tblMotor[A_Norm],$A300,tblMotor[NetKar]),0))</f>
        <v/>
      </c>
      <c r="C300" s="16">
        <f>IF($A300="","",IFERROR(SUMIF(tblMotor[A_Norm],$A300,tblMotor[BasabasFiyat]),0))</f>
        <v/>
      </c>
      <c r="D300" s="16">
        <f>IF($A300="","",IFERROR(INDEX(tblMotor[KararSatir],MATCH($A300,tblMotor[A_Norm],0)),""))</f>
        <v/>
      </c>
      <c r="E300" s="16">
        <f>IF($A300="","",IF($B300&lt;0,"YUKSEK","NORMAL"))</f>
        <v/>
      </c>
      <c r="F300" s="16">
        <f>IF($A300="","",_xlfn.TEXTJOIN(" ",TRUE,"SKU",$A300,"karar",$D300,"net",TEXT($B300,"0.00"),"başabaş",TEXT($C300,"0.00"),"TL"))</f>
        <v/>
      </c>
    </row>
    <row r="301">
      <c r="A301" s="16">
        <f>IF('ESLESTIRME'!$A301="","",IF('ESLESTIRME'!$G301="tutar_farki",'ESLESTIRME'!$A301,""))</f>
        <v/>
      </c>
      <c r="B301" s="16">
        <f>IF($A301="","",IFERROR(SUMIF(tblMotor[A_Norm],$A301,tblMotor[NetKar]),0))</f>
        <v/>
      </c>
      <c r="C301" s="16">
        <f>IF($A301="","",IFERROR(SUMIF(tblMotor[A_Norm],$A301,tblMotor[BasabasFiyat]),0))</f>
        <v/>
      </c>
      <c r="D301" s="16">
        <f>IF($A301="","",IFERROR(INDEX(tblMotor[KararSatir],MATCH($A301,tblMotor[A_Norm],0)),""))</f>
        <v/>
      </c>
      <c r="E301" s="16">
        <f>IF($A301="","",IF($B301&lt;0,"YUKSEK","NORMAL"))</f>
        <v/>
      </c>
      <c r="F301" s="16">
        <f>IF($A301="","",_xlfn.TEXTJOIN(" ",TRUE,"SKU",$A301,"karar",$D301,"net",TEXT($B301,"0.00"),"başabaş",TEXT($C301,"0.00"),"TL"))</f>
        <v/>
      </c>
    </row>
    <row r="302">
      <c r="A302" s="16">
        <f>IF('ESLESTIRME'!$A302="","",IF('ESLESTIRME'!$G302="tutar_farki",'ESLESTIRME'!$A302,""))</f>
        <v/>
      </c>
      <c r="B302" s="16">
        <f>IF($A302="","",IFERROR(SUMIF(tblMotor[A_Norm],$A302,tblMotor[NetKar]),0))</f>
        <v/>
      </c>
      <c r="C302" s="16">
        <f>IF($A302="","",IFERROR(SUMIF(tblMotor[A_Norm],$A302,tblMotor[BasabasFiyat]),0))</f>
        <v/>
      </c>
      <c r="D302" s="16">
        <f>IF($A302="","",IFERROR(INDEX(tblMotor[KararSatir],MATCH($A302,tblMotor[A_Norm],0)),""))</f>
        <v/>
      </c>
      <c r="E302" s="16">
        <f>IF($A302="","",IF($B302&lt;0,"YUKSEK","NORMAL"))</f>
        <v/>
      </c>
      <c r="F302" s="16">
        <f>IF($A302="","",_xlfn.TEXTJOIN(" ",TRUE,"SKU",$A302,"karar",$D302,"net",TEXT($B302,"0.00"),"başabaş",TEXT($C302,"0.00"),"TL"))</f>
        <v/>
      </c>
    </row>
    <row r="303">
      <c r="A303" s="16">
        <f>IF('ESLESTIRME'!$A303="","",IF('ESLESTIRME'!$G303="tutar_farki",'ESLESTIRME'!$A303,""))</f>
        <v/>
      </c>
      <c r="B303" s="16">
        <f>IF($A303="","",IFERROR(SUMIF(tblMotor[A_Norm],$A303,tblMotor[NetKar]),0))</f>
        <v/>
      </c>
      <c r="C303" s="16">
        <f>IF($A303="","",IFERROR(SUMIF(tblMotor[A_Norm],$A303,tblMotor[BasabasFiyat]),0))</f>
        <v/>
      </c>
      <c r="D303" s="16">
        <f>IF($A303="","",IFERROR(INDEX(tblMotor[KararSatir],MATCH($A303,tblMotor[A_Norm],0)),""))</f>
        <v/>
      </c>
      <c r="E303" s="16">
        <f>IF($A303="","",IF($B303&lt;0,"YUKSEK","NORMAL"))</f>
        <v/>
      </c>
      <c r="F303" s="16">
        <f>IF($A303="","",_xlfn.TEXTJOIN(" ",TRUE,"SKU",$A303,"karar",$D303,"net",TEXT($B303,"0.00"),"başabaş",TEXT($C303,"0.00"),"TL"))</f>
        <v/>
      </c>
    </row>
    <row r="304">
      <c r="A304" s="16">
        <f>IF('ESLESTIRME'!$A304="","",IF('ESLESTIRME'!$G304="tutar_farki",'ESLESTIRME'!$A304,""))</f>
        <v/>
      </c>
      <c r="B304" s="16">
        <f>IF($A304="","",IFERROR(SUMIF(tblMotor[A_Norm],$A304,tblMotor[NetKar]),0))</f>
        <v/>
      </c>
      <c r="C304" s="16">
        <f>IF($A304="","",IFERROR(SUMIF(tblMotor[A_Norm],$A304,tblMotor[BasabasFiyat]),0))</f>
        <v/>
      </c>
      <c r="D304" s="16">
        <f>IF($A304="","",IFERROR(INDEX(tblMotor[KararSatir],MATCH($A304,tblMotor[A_Norm],0)),""))</f>
        <v/>
      </c>
      <c r="E304" s="16">
        <f>IF($A304="","",IF($B304&lt;0,"YUKSEK","NORMAL"))</f>
        <v/>
      </c>
      <c r="F304" s="16">
        <f>IF($A304="","",_xlfn.TEXTJOIN(" ",TRUE,"SKU",$A304,"karar",$D304,"net",TEXT($B304,"0.00"),"başabaş",TEXT($C304,"0.00"),"TL"))</f>
        <v/>
      </c>
    </row>
    <row r="305">
      <c r="A305" s="16">
        <f>IF('ESLESTIRME'!$A305="","",IF('ESLESTIRME'!$G305="tutar_farki",'ESLESTIRME'!$A305,""))</f>
        <v/>
      </c>
      <c r="B305" s="16">
        <f>IF($A305="","",IFERROR(SUMIF(tblMotor[A_Norm],$A305,tblMotor[NetKar]),0))</f>
        <v/>
      </c>
      <c r="C305" s="16">
        <f>IF($A305="","",IFERROR(SUMIF(tblMotor[A_Norm],$A305,tblMotor[BasabasFiyat]),0))</f>
        <v/>
      </c>
      <c r="D305" s="16">
        <f>IF($A305="","",IFERROR(INDEX(tblMotor[KararSatir],MATCH($A305,tblMotor[A_Norm],0)),""))</f>
        <v/>
      </c>
      <c r="E305" s="16">
        <f>IF($A305="","",IF($B305&lt;0,"YUKSEK","NORMAL"))</f>
        <v/>
      </c>
      <c r="F305" s="16">
        <f>IF($A305="","",_xlfn.TEXTJOIN(" ",TRUE,"SKU",$A305,"karar",$D305,"net",TEXT($B305,"0.00"),"başabaş",TEXT($C305,"0.00"),"TL"))</f>
        <v/>
      </c>
    </row>
    <row r="306">
      <c r="A306" s="16">
        <f>IF('ESLESTIRME'!$A306="","",IF('ESLESTIRME'!$G306="tutar_farki",'ESLESTIRME'!$A306,""))</f>
        <v/>
      </c>
      <c r="B306" s="16">
        <f>IF($A306="","",IFERROR(SUMIF(tblMotor[A_Norm],$A306,tblMotor[NetKar]),0))</f>
        <v/>
      </c>
      <c r="C306" s="16">
        <f>IF($A306="","",IFERROR(SUMIF(tblMotor[A_Norm],$A306,tblMotor[BasabasFiyat]),0))</f>
        <v/>
      </c>
      <c r="D306" s="16">
        <f>IF($A306="","",IFERROR(INDEX(tblMotor[KararSatir],MATCH($A306,tblMotor[A_Norm],0)),""))</f>
        <v/>
      </c>
      <c r="E306" s="16">
        <f>IF($A306="","",IF($B306&lt;0,"YUKSEK","NORMAL"))</f>
        <v/>
      </c>
      <c r="F306" s="16">
        <f>IF($A306="","",_xlfn.TEXTJOIN(" ",TRUE,"SKU",$A306,"karar",$D306,"net",TEXT($B306,"0.00"),"başabaş",TEXT($C306,"0.00"),"TL"))</f>
        <v/>
      </c>
    </row>
    <row r="307">
      <c r="A307" s="16">
        <f>IF('ESLESTIRME'!$A307="","",IF('ESLESTIRME'!$G307="tutar_farki",'ESLESTIRME'!$A307,""))</f>
        <v/>
      </c>
      <c r="B307" s="16">
        <f>IF($A307="","",IFERROR(SUMIF(tblMotor[A_Norm],$A307,tblMotor[NetKar]),0))</f>
        <v/>
      </c>
      <c r="C307" s="16">
        <f>IF($A307="","",IFERROR(SUMIF(tblMotor[A_Norm],$A307,tblMotor[BasabasFiyat]),0))</f>
        <v/>
      </c>
      <c r="D307" s="16">
        <f>IF($A307="","",IFERROR(INDEX(tblMotor[KararSatir],MATCH($A307,tblMotor[A_Norm],0)),""))</f>
        <v/>
      </c>
      <c r="E307" s="16">
        <f>IF($A307="","",IF($B307&lt;0,"YUKSEK","NORMAL"))</f>
        <v/>
      </c>
      <c r="F307" s="16">
        <f>IF($A307="","",_xlfn.TEXTJOIN(" ",TRUE,"SKU",$A307,"karar",$D307,"net",TEXT($B307,"0.00"),"başabaş",TEXT($C307,"0.00"),"TL"))</f>
        <v/>
      </c>
    </row>
    <row r="308">
      <c r="A308" s="16">
        <f>IF('ESLESTIRME'!$A308="","",IF('ESLESTIRME'!$G308="tutar_farki",'ESLESTIRME'!$A308,""))</f>
        <v/>
      </c>
      <c r="B308" s="16">
        <f>IF($A308="","",IFERROR(SUMIF(tblMotor[A_Norm],$A308,tblMotor[NetKar]),0))</f>
        <v/>
      </c>
      <c r="C308" s="16">
        <f>IF($A308="","",IFERROR(SUMIF(tblMotor[A_Norm],$A308,tblMotor[BasabasFiyat]),0))</f>
        <v/>
      </c>
      <c r="D308" s="16">
        <f>IF($A308="","",IFERROR(INDEX(tblMotor[KararSatir],MATCH($A308,tblMotor[A_Norm],0)),""))</f>
        <v/>
      </c>
      <c r="E308" s="16">
        <f>IF($A308="","",IF($B308&lt;0,"YUKSEK","NORMAL"))</f>
        <v/>
      </c>
      <c r="F308" s="16">
        <f>IF($A308="","",_xlfn.TEXTJOIN(" ",TRUE,"SKU",$A308,"karar",$D308,"net",TEXT($B308,"0.00"),"başabaş",TEXT($C308,"0.00"),"TL"))</f>
        <v/>
      </c>
    </row>
    <row r="309">
      <c r="A309" s="16">
        <f>IF('ESLESTIRME'!$A309="","",IF('ESLESTIRME'!$G309="tutar_farki",'ESLESTIRME'!$A309,""))</f>
        <v/>
      </c>
      <c r="B309" s="16">
        <f>IF($A309="","",IFERROR(SUMIF(tblMotor[A_Norm],$A309,tblMotor[NetKar]),0))</f>
        <v/>
      </c>
      <c r="C309" s="16">
        <f>IF($A309="","",IFERROR(SUMIF(tblMotor[A_Norm],$A309,tblMotor[BasabasFiyat]),0))</f>
        <v/>
      </c>
      <c r="D309" s="16">
        <f>IF($A309="","",IFERROR(INDEX(tblMotor[KararSatir],MATCH($A309,tblMotor[A_Norm],0)),""))</f>
        <v/>
      </c>
      <c r="E309" s="16">
        <f>IF($A309="","",IF($B309&lt;0,"YUKSEK","NORMAL"))</f>
        <v/>
      </c>
      <c r="F309" s="16">
        <f>IF($A309="","",_xlfn.TEXTJOIN(" ",TRUE,"SKU",$A309,"karar",$D309,"net",TEXT($B309,"0.00"),"başabaş",TEXT($C309,"0.00"),"TL"))</f>
        <v/>
      </c>
    </row>
    <row r="310">
      <c r="A310" s="16">
        <f>IF('ESLESTIRME'!$A310="","",IF('ESLESTIRME'!$G310="tutar_farki",'ESLESTIRME'!$A310,""))</f>
        <v/>
      </c>
      <c r="B310" s="16">
        <f>IF($A310="","",IFERROR(SUMIF(tblMotor[A_Norm],$A310,tblMotor[NetKar]),0))</f>
        <v/>
      </c>
      <c r="C310" s="16">
        <f>IF($A310="","",IFERROR(SUMIF(tblMotor[A_Norm],$A310,tblMotor[BasabasFiyat]),0))</f>
        <v/>
      </c>
      <c r="D310" s="16">
        <f>IF($A310="","",IFERROR(INDEX(tblMotor[KararSatir],MATCH($A310,tblMotor[A_Norm],0)),""))</f>
        <v/>
      </c>
      <c r="E310" s="16">
        <f>IF($A310="","",IF($B310&lt;0,"YUKSEK","NORMAL"))</f>
        <v/>
      </c>
      <c r="F310" s="16">
        <f>IF($A310="","",_xlfn.TEXTJOIN(" ",TRUE,"SKU",$A310,"karar",$D310,"net",TEXT($B310,"0.00"),"başabaş",TEXT($C310,"0.00"),"TL"))</f>
        <v/>
      </c>
    </row>
    <row r="311">
      <c r="A311" s="16">
        <f>IF('ESLESTIRME'!$A311="","",IF('ESLESTIRME'!$G311="tutar_farki",'ESLESTIRME'!$A311,""))</f>
        <v/>
      </c>
      <c r="B311" s="16">
        <f>IF($A311="","",IFERROR(SUMIF(tblMotor[A_Norm],$A311,tblMotor[NetKar]),0))</f>
        <v/>
      </c>
      <c r="C311" s="16">
        <f>IF($A311="","",IFERROR(SUMIF(tblMotor[A_Norm],$A311,tblMotor[BasabasFiyat]),0))</f>
        <v/>
      </c>
      <c r="D311" s="16">
        <f>IF($A311="","",IFERROR(INDEX(tblMotor[KararSatir],MATCH($A311,tblMotor[A_Norm],0)),""))</f>
        <v/>
      </c>
      <c r="E311" s="16">
        <f>IF($A311="","",IF($B311&lt;0,"YUKSEK","NORMAL"))</f>
        <v/>
      </c>
      <c r="F311" s="16">
        <f>IF($A311="","",_xlfn.TEXTJOIN(" ",TRUE,"SKU",$A311,"karar",$D311,"net",TEXT($B311,"0.00"),"başabaş",TEXT($C311,"0.00"),"TL"))</f>
        <v/>
      </c>
    </row>
    <row r="312">
      <c r="A312" s="16">
        <f>IF('ESLESTIRME'!$A312="","",IF('ESLESTIRME'!$G312="tutar_farki",'ESLESTIRME'!$A312,""))</f>
        <v/>
      </c>
      <c r="B312" s="16">
        <f>IF($A312="","",IFERROR(SUMIF(tblMotor[A_Norm],$A312,tblMotor[NetKar]),0))</f>
        <v/>
      </c>
      <c r="C312" s="16">
        <f>IF($A312="","",IFERROR(SUMIF(tblMotor[A_Norm],$A312,tblMotor[BasabasFiyat]),0))</f>
        <v/>
      </c>
      <c r="D312" s="16">
        <f>IF($A312="","",IFERROR(INDEX(tblMotor[KararSatir],MATCH($A312,tblMotor[A_Norm],0)),""))</f>
        <v/>
      </c>
      <c r="E312" s="16">
        <f>IF($A312="","",IF($B312&lt;0,"YUKSEK","NORMAL"))</f>
        <v/>
      </c>
      <c r="F312" s="16">
        <f>IF($A312="","",_xlfn.TEXTJOIN(" ",TRUE,"SKU",$A312,"karar",$D312,"net",TEXT($B312,"0.00"),"başabaş",TEXT($C312,"0.00"),"TL"))</f>
        <v/>
      </c>
    </row>
    <row r="313">
      <c r="A313" s="16">
        <f>IF('ESLESTIRME'!$A313="","",IF('ESLESTIRME'!$G313="tutar_farki",'ESLESTIRME'!$A313,""))</f>
        <v/>
      </c>
      <c r="B313" s="16">
        <f>IF($A313="","",IFERROR(SUMIF(tblMotor[A_Norm],$A313,tblMotor[NetKar]),0))</f>
        <v/>
      </c>
      <c r="C313" s="16">
        <f>IF($A313="","",IFERROR(SUMIF(tblMotor[A_Norm],$A313,tblMotor[BasabasFiyat]),0))</f>
        <v/>
      </c>
      <c r="D313" s="16">
        <f>IF($A313="","",IFERROR(INDEX(tblMotor[KararSatir],MATCH($A313,tblMotor[A_Norm],0)),""))</f>
        <v/>
      </c>
      <c r="E313" s="16">
        <f>IF($A313="","",IF($B313&lt;0,"YUKSEK","NORMAL"))</f>
        <v/>
      </c>
      <c r="F313" s="16">
        <f>IF($A313="","",_xlfn.TEXTJOIN(" ",TRUE,"SKU",$A313,"karar",$D313,"net",TEXT($B313,"0.00"),"başabaş",TEXT($C313,"0.00"),"TL"))</f>
        <v/>
      </c>
    </row>
    <row r="314">
      <c r="A314" s="16">
        <f>IF('ESLESTIRME'!$A314="","",IF('ESLESTIRME'!$G314="tutar_farki",'ESLESTIRME'!$A314,""))</f>
        <v/>
      </c>
      <c r="B314" s="16">
        <f>IF($A314="","",IFERROR(SUMIF(tblMotor[A_Norm],$A314,tblMotor[NetKar]),0))</f>
        <v/>
      </c>
      <c r="C314" s="16">
        <f>IF($A314="","",IFERROR(SUMIF(tblMotor[A_Norm],$A314,tblMotor[BasabasFiyat]),0))</f>
        <v/>
      </c>
      <c r="D314" s="16">
        <f>IF($A314="","",IFERROR(INDEX(tblMotor[KararSatir],MATCH($A314,tblMotor[A_Norm],0)),""))</f>
        <v/>
      </c>
      <c r="E314" s="16">
        <f>IF($A314="","",IF($B314&lt;0,"YUKSEK","NORMAL"))</f>
        <v/>
      </c>
      <c r="F314" s="16">
        <f>IF($A314="","",_xlfn.TEXTJOIN(" ",TRUE,"SKU",$A314,"karar",$D314,"net",TEXT($B314,"0.00"),"başabaş",TEXT($C314,"0.00"),"TL"))</f>
        <v/>
      </c>
    </row>
    <row r="315">
      <c r="A315" s="16">
        <f>IF('ESLESTIRME'!$A315="","",IF('ESLESTIRME'!$G315="tutar_farki",'ESLESTIRME'!$A315,""))</f>
        <v/>
      </c>
      <c r="B315" s="16">
        <f>IF($A315="","",IFERROR(SUMIF(tblMotor[A_Norm],$A315,tblMotor[NetKar]),0))</f>
        <v/>
      </c>
      <c r="C315" s="16">
        <f>IF($A315="","",IFERROR(SUMIF(tblMotor[A_Norm],$A315,tblMotor[BasabasFiyat]),0))</f>
        <v/>
      </c>
      <c r="D315" s="16">
        <f>IF($A315="","",IFERROR(INDEX(tblMotor[KararSatir],MATCH($A315,tblMotor[A_Norm],0)),""))</f>
        <v/>
      </c>
      <c r="E315" s="16">
        <f>IF($A315="","",IF($B315&lt;0,"YUKSEK","NORMAL"))</f>
        <v/>
      </c>
      <c r="F315" s="16">
        <f>IF($A315="","",_xlfn.TEXTJOIN(" ",TRUE,"SKU",$A315,"karar",$D315,"net",TEXT($B315,"0.00"),"başabaş",TEXT($C315,"0.00"),"TL"))</f>
        <v/>
      </c>
    </row>
    <row r="316">
      <c r="A316" s="16">
        <f>IF('ESLESTIRME'!$A316="","",IF('ESLESTIRME'!$G316="tutar_farki",'ESLESTIRME'!$A316,""))</f>
        <v/>
      </c>
      <c r="B316" s="16">
        <f>IF($A316="","",IFERROR(SUMIF(tblMotor[A_Norm],$A316,tblMotor[NetKar]),0))</f>
        <v/>
      </c>
      <c r="C316" s="16">
        <f>IF($A316="","",IFERROR(SUMIF(tblMotor[A_Norm],$A316,tblMotor[BasabasFiyat]),0))</f>
        <v/>
      </c>
      <c r="D316" s="16">
        <f>IF($A316="","",IFERROR(INDEX(tblMotor[KararSatir],MATCH($A316,tblMotor[A_Norm],0)),""))</f>
        <v/>
      </c>
      <c r="E316" s="16">
        <f>IF($A316="","",IF($B316&lt;0,"YUKSEK","NORMAL"))</f>
        <v/>
      </c>
      <c r="F316" s="16">
        <f>IF($A316="","",_xlfn.TEXTJOIN(" ",TRUE,"SKU",$A316,"karar",$D316,"net",TEXT($B316,"0.00"),"başabaş",TEXT($C316,"0.00"),"TL"))</f>
        <v/>
      </c>
    </row>
    <row r="317">
      <c r="A317" s="16">
        <f>IF('ESLESTIRME'!$A317="","",IF('ESLESTIRME'!$G317="tutar_farki",'ESLESTIRME'!$A317,""))</f>
        <v/>
      </c>
      <c r="B317" s="16">
        <f>IF($A317="","",IFERROR(SUMIF(tblMotor[A_Norm],$A317,tblMotor[NetKar]),0))</f>
        <v/>
      </c>
      <c r="C317" s="16">
        <f>IF($A317="","",IFERROR(SUMIF(tblMotor[A_Norm],$A317,tblMotor[BasabasFiyat]),0))</f>
        <v/>
      </c>
      <c r="D317" s="16">
        <f>IF($A317="","",IFERROR(INDEX(tblMotor[KararSatir],MATCH($A317,tblMotor[A_Norm],0)),""))</f>
        <v/>
      </c>
      <c r="E317" s="16">
        <f>IF($A317="","",IF($B317&lt;0,"YUKSEK","NORMAL"))</f>
        <v/>
      </c>
      <c r="F317" s="16">
        <f>IF($A317="","",_xlfn.TEXTJOIN(" ",TRUE,"SKU",$A317,"karar",$D317,"net",TEXT($B317,"0.00"),"başabaş",TEXT($C317,"0.00"),"TL"))</f>
        <v/>
      </c>
    </row>
    <row r="318">
      <c r="A318" s="16">
        <f>IF('ESLESTIRME'!$A318="","",IF('ESLESTIRME'!$G318="tutar_farki",'ESLESTIRME'!$A318,""))</f>
        <v/>
      </c>
      <c r="B318" s="16">
        <f>IF($A318="","",IFERROR(SUMIF(tblMotor[A_Norm],$A318,tblMotor[NetKar]),0))</f>
        <v/>
      </c>
      <c r="C318" s="16">
        <f>IF($A318="","",IFERROR(SUMIF(tblMotor[A_Norm],$A318,tblMotor[BasabasFiyat]),0))</f>
        <v/>
      </c>
      <c r="D318" s="16">
        <f>IF($A318="","",IFERROR(INDEX(tblMotor[KararSatir],MATCH($A318,tblMotor[A_Norm],0)),""))</f>
        <v/>
      </c>
      <c r="E318" s="16">
        <f>IF($A318="","",IF($B318&lt;0,"YUKSEK","NORMAL"))</f>
        <v/>
      </c>
      <c r="F318" s="16">
        <f>IF($A318="","",_xlfn.TEXTJOIN(" ",TRUE,"SKU",$A318,"karar",$D318,"net",TEXT($B318,"0.00"),"başabaş",TEXT($C318,"0.00"),"TL"))</f>
        <v/>
      </c>
    </row>
    <row r="319">
      <c r="A319" s="16">
        <f>IF('ESLESTIRME'!$A319="","",IF('ESLESTIRME'!$G319="tutar_farki",'ESLESTIRME'!$A319,""))</f>
        <v/>
      </c>
      <c r="B319" s="16">
        <f>IF($A319="","",IFERROR(SUMIF(tblMotor[A_Norm],$A319,tblMotor[NetKar]),0))</f>
        <v/>
      </c>
      <c r="C319" s="16">
        <f>IF($A319="","",IFERROR(SUMIF(tblMotor[A_Norm],$A319,tblMotor[BasabasFiyat]),0))</f>
        <v/>
      </c>
      <c r="D319" s="16">
        <f>IF($A319="","",IFERROR(INDEX(tblMotor[KararSatir],MATCH($A319,tblMotor[A_Norm],0)),""))</f>
        <v/>
      </c>
      <c r="E319" s="16">
        <f>IF($A319="","",IF($B319&lt;0,"YUKSEK","NORMAL"))</f>
        <v/>
      </c>
      <c r="F319" s="16">
        <f>IF($A319="","",_xlfn.TEXTJOIN(" ",TRUE,"SKU",$A319,"karar",$D319,"net",TEXT($B319,"0.00"),"başabaş",TEXT($C319,"0.00"),"TL"))</f>
        <v/>
      </c>
    </row>
    <row r="320">
      <c r="A320" s="16">
        <f>IF('ESLESTIRME'!$A320="","",IF('ESLESTIRME'!$G320="tutar_farki",'ESLESTIRME'!$A320,""))</f>
        <v/>
      </c>
      <c r="B320" s="16">
        <f>IF($A320="","",IFERROR(SUMIF(tblMotor[A_Norm],$A320,tblMotor[NetKar]),0))</f>
        <v/>
      </c>
      <c r="C320" s="16">
        <f>IF($A320="","",IFERROR(SUMIF(tblMotor[A_Norm],$A320,tblMotor[BasabasFiyat]),0))</f>
        <v/>
      </c>
      <c r="D320" s="16">
        <f>IF($A320="","",IFERROR(INDEX(tblMotor[KararSatir],MATCH($A320,tblMotor[A_Norm],0)),""))</f>
        <v/>
      </c>
      <c r="E320" s="16">
        <f>IF($A320="","",IF($B320&lt;0,"YUKSEK","NORMAL"))</f>
        <v/>
      </c>
      <c r="F320" s="16">
        <f>IF($A320="","",_xlfn.TEXTJOIN(" ",TRUE,"SKU",$A320,"karar",$D320,"net",TEXT($B320,"0.00"),"başabaş",TEXT($C320,"0.00"),"TL"))</f>
        <v/>
      </c>
    </row>
    <row r="321">
      <c r="A321" s="16">
        <f>IF('ESLESTIRME'!$A321="","",IF('ESLESTIRME'!$G321="tutar_farki",'ESLESTIRME'!$A321,""))</f>
        <v/>
      </c>
      <c r="B321" s="16">
        <f>IF($A321="","",IFERROR(SUMIF(tblMotor[A_Norm],$A321,tblMotor[NetKar]),0))</f>
        <v/>
      </c>
      <c r="C321" s="16">
        <f>IF($A321="","",IFERROR(SUMIF(tblMotor[A_Norm],$A321,tblMotor[BasabasFiyat]),0))</f>
        <v/>
      </c>
      <c r="D321" s="16">
        <f>IF($A321="","",IFERROR(INDEX(tblMotor[KararSatir],MATCH($A321,tblMotor[A_Norm],0)),""))</f>
        <v/>
      </c>
      <c r="E321" s="16">
        <f>IF($A321="","",IF($B321&lt;0,"YUKSEK","NORMAL"))</f>
        <v/>
      </c>
      <c r="F321" s="16">
        <f>IF($A321="","",_xlfn.TEXTJOIN(" ",TRUE,"SKU",$A321,"karar",$D321,"net",TEXT($B321,"0.00"),"başabaş",TEXT($C321,"0.00"),"TL"))</f>
        <v/>
      </c>
    </row>
    <row r="322">
      <c r="A322" s="16">
        <f>IF('ESLESTIRME'!$A322="","",IF('ESLESTIRME'!$G322="tutar_farki",'ESLESTIRME'!$A322,""))</f>
        <v/>
      </c>
      <c r="B322" s="16">
        <f>IF($A322="","",IFERROR(SUMIF(tblMotor[A_Norm],$A322,tblMotor[NetKar]),0))</f>
        <v/>
      </c>
      <c r="C322" s="16">
        <f>IF($A322="","",IFERROR(SUMIF(tblMotor[A_Norm],$A322,tblMotor[BasabasFiyat]),0))</f>
        <v/>
      </c>
      <c r="D322" s="16">
        <f>IF($A322="","",IFERROR(INDEX(tblMotor[KararSatir],MATCH($A322,tblMotor[A_Norm],0)),""))</f>
        <v/>
      </c>
      <c r="E322" s="16">
        <f>IF($A322="","",IF($B322&lt;0,"YUKSEK","NORMAL"))</f>
        <v/>
      </c>
      <c r="F322" s="16">
        <f>IF($A322="","",_xlfn.TEXTJOIN(" ",TRUE,"SKU",$A322,"karar",$D322,"net",TEXT($B322,"0.00"),"başabaş",TEXT($C322,"0.00"),"TL"))</f>
        <v/>
      </c>
    </row>
    <row r="323">
      <c r="A323" s="16">
        <f>IF('ESLESTIRME'!$A323="","",IF('ESLESTIRME'!$G323="tutar_farki",'ESLESTIRME'!$A323,""))</f>
        <v/>
      </c>
      <c r="B323" s="16">
        <f>IF($A323="","",IFERROR(SUMIF(tblMotor[A_Norm],$A323,tblMotor[NetKar]),0))</f>
        <v/>
      </c>
      <c r="C323" s="16">
        <f>IF($A323="","",IFERROR(SUMIF(tblMotor[A_Norm],$A323,tblMotor[BasabasFiyat]),0))</f>
        <v/>
      </c>
      <c r="D323" s="16">
        <f>IF($A323="","",IFERROR(INDEX(tblMotor[KararSatir],MATCH($A323,tblMotor[A_Norm],0)),""))</f>
        <v/>
      </c>
      <c r="E323" s="16">
        <f>IF($A323="","",IF($B323&lt;0,"YUKSEK","NORMAL"))</f>
        <v/>
      </c>
      <c r="F323" s="16">
        <f>IF($A323="","",_xlfn.TEXTJOIN(" ",TRUE,"SKU",$A323,"karar",$D323,"net",TEXT($B323,"0.00"),"başabaş",TEXT($C323,"0.00"),"TL"))</f>
        <v/>
      </c>
    </row>
    <row r="324">
      <c r="A324" s="16">
        <f>IF('ESLESTIRME'!$A324="","",IF('ESLESTIRME'!$G324="tutar_farki",'ESLESTIRME'!$A324,""))</f>
        <v/>
      </c>
      <c r="B324" s="16">
        <f>IF($A324="","",IFERROR(SUMIF(tblMotor[A_Norm],$A324,tblMotor[NetKar]),0))</f>
        <v/>
      </c>
      <c r="C324" s="16">
        <f>IF($A324="","",IFERROR(SUMIF(tblMotor[A_Norm],$A324,tblMotor[BasabasFiyat]),0))</f>
        <v/>
      </c>
      <c r="D324" s="16">
        <f>IF($A324="","",IFERROR(INDEX(tblMotor[KararSatir],MATCH($A324,tblMotor[A_Norm],0)),""))</f>
        <v/>
      </c>
      <c r="E324" s="16">
        <f>IF($A324="","",IF($B324&lt;0,"YUKSEK","NORMAL"))</f>
        <v/>
      </c>
      <c r="F324" s="16">
        <f>IF($A324="","",_xlfn.TEXTJOIN(" ",TRUE,"SKU",$A324,"karar",$D324,"net",TEXT($B324,"0.00"),"başabaş",TEXT($C324,"0.00"),"TL"))</f>
        <v/>
      </c>
    </row>
    <row r="325">
      <c r="A325" s="16">
        <f>IF('ESLESTIRME'!$A325="","",IF('ESLESTIRME'!$G325="tutar_farki",'ESLESTIRME'!$A325,""))</f>
        <v/>
      </c>
      <c r="B325" s="16">
        <f>IF($A325="","",IFERROR(SUMIF(tblMotor[A_Norm],$A325,tblMotor[NetKar]),0))</f>
        <v/>
      </c>
      <c r="C325" s="16">
        <f>IF($A325="","",IFERROR(SUMIF(tblMotor[A_Norm],$A325,tblMotor[BasabasFiyat]),0))</f>
        <v/>
      </c>
      <c r="D325" s="16">
        <f>IF($A325="","",IFERROR(INDEX(tblMotor[KararSatir],MATCH($A325,tblMotor[A_Norm],0)),""))</f>
        <v/>
      </c>
      <c r="E325" s="16">
        <f>IF($A325="","",IF($B325&lt;0,"YUKSEK","NORMAL"))</f>
        <v/>
      </c>
      <c r="F325" s="16">
        <f>IF($A325="","",_xlfn.TEXTJOIN(" ",TRUE,"SKU",$A325,"karar",$D325,"net",TEXT($B325,"0.00"),"başabaş",TEXT($C325,"0.00"),"TL"))</f>
        <v/>
      </c>
    </row>
    <row r="326">
      <c r="A326" s="16">
        <f>IF('ESLESTIRME'!$A326="","",IF('ESLESTIRME'!$G326="tutar_farki",'ESLESTIRME'!$A326,""))</f>
        <v/>
      </c>
      <c r="B326" s="16">
        <f>IF($A326="","",IFERROR(SUMIF(tblMotor[A_Norm],$A326,tblMotor[NetKar]),0))</f>
        <v/>
      </c>
      <c r="C326" s="16">
        <f>IF($A326="","",IFERROR(SUMIF(tblMotor[A_Norm],$A326,tblMotor[BasabasFiyat]),0))</f>
        <v/>
      </c>
      <c r="D326" s="16">
        <f>IF($A326="","",IFERROR(INDEX(tblMotor[KararSatir],MATCH($A326,tblMotor[A_Norm],0)),""))</f>
        <v/>
      </c>
      <c r="E326" s="16">
        <f>IF($A326="","",IF($B326&lt;0,"YUKSEK","NORMAL"))</f>
        <v/>
      </c>
      <c r="F326" s="16">
        <f>IF($A326="","",_xlfn.TEXTJOIN(" ",TRUE,"SKU",$A326,"karar",$D326,"net",TEXT($B326,"0.00"),"başabaş",TEXT($C326,"0.00"),"TL"))</f>
        <v/>
      </c>
    </row>
    <row r="327">
      <c r="A327" s="16">
        <f>IF('ESLESTIRME'!$A327="","",IF('ESLESTIRME'!$G327="tutar_farki",'ESLESTIRME'!$A327,""))</f>
        <v/>
      </c>
      <c r="B327" s="16">
        <f>IF($A327="","",IFERROR(SUMIF(tblMotor[A_Norm],$A327,tblMotor[NetKar]),0))</f>
        <v/>
      </c>
      <c r="C327" s="16">
        <f>IF($A327="","",IFERROR(SUMIF(tblMotor[A_Norm],$A327,tblMotor[BasabasFiyat]),0))</f>
        <v/>
      </c>
      <c r="D327" s="16">
        <f>IF($A327="","",IFERROR(INDEX(tblMotor[KararSatir],MATCH($A327,tblMotor[A_Norm],0)),""))</f>
        <v/>
      </c>
      <c r="E327" s="16">
        <f>IF($A327="","",IF($B327&lt;0,"YUKSEK","NORMAL"))</f>
        <v/>
      </c>
      <c r="F327" s="16">
        <f>IF($A327="","",_xlfn.TEXTJOIN(" ",TRUE,"SKU",$A327,"karar",$D327,"net",TEXT($B327,"0.00"),"başabaş",TEXT($C327,"0.00"),"TL"))</f>
        <v/>
      </c>
    </row>
    <row r="328">
      <c r="A328" s="16">
        <f>IF('ESLESTIRME'!$A328="","",IF('ESLESTIRME'!$G328="tutar_farki",'ESLESTIRME'!$A328,""))</f>
        <v/>
      </c>
      <c r="B328" s="16">
        <f>IF($A328="","",IFERROR(SUMIF(tblMotor[A_Norm],$A328,tblMotor[NetKar]),0))</f>
        <v/>
      </c>
      <c r="C328" s="16">
        <f>IF($A328="","",IFERROR(SUMIF(tblMotor[A_Norm],$A328,tblMotor[BasabasFiyat]),0))</f>
        <v/>
      </c>
      <c r="D328" s="16">
        <f>IF($A328="","",IFERROR(INDEX(tblMotor[KararSatir],MATCH($A328,tblMotor[A_Norm],0)),""))</f>
        <v/>
      </c>
      <c r="E328" s="16">
        <f>IF($A328="","",IF($B328&lt;0,"YUKSEK","NORMAL"))</f>
        <v/>
      </c>
      <c r="F328" s="16">
        <f>IF($A328="","",_xlfn.TEXTJOIN(" ",TRUE,"SKU",$A328,"karar",$D328,"net",TEXT($B328,"0.00"),"başabaş",TEXT($C328,"0.00"),"TL"))</f>
        <v/>
      </c>
    </row>
    <row r="329">
      <c r="A329" s="16">
        <f>IF('ESLESTIRME'!$A329="","",IF('ESLESTIRME'!$G329="tutar_farki",'ESLESTIRME'!$A329,""))</f>
        <v/>
      </c>
      <c r="B329" s="16">
        <f>IF($A329="","",IFERROR(SUMIF(tblMotor[A_Norm],$A329,tblMotor[NetKar]),0))</f>
        <v/>
      </c>
      <c r="C329" s="16">
        <f>IF($A329="","",IFERROR(SUMIF(tblMotor[A_Norm],$A329,tblMotor[BasabasFiyat]),0))</f>
        <v/>
      </c>
      <c r="D329" s="16">
        <f>IF($A329="","",IFERROR(INDEX(tblMotor[KararSatir],MATCH($A329,tblMotor[A_Norm],0)),""))</f>
        <v/>
      </c>
      <c r="E329" s="16">
        <f>IF($A329="","",IF($B329&lt;0,"YUKSEK","NORMAL"))</f>
        <v/>
      </c>
      <c r="F329" s="16">
        <f>IF($A329="","",_xlfn.TEXTJOIN(" ",TRUE,"SKU",$A329,"karar",$D329,"net",TEXT($B329,"0.00"),"başabaş",TEXT($C329,"0.00"),"TL"))</f>
        <v/>
      </c>
    </row>
    <row r="330">
      <c r="A330" s="16">
        <f>IF('ESLESTIRME'!$A330="","",IF('ESLESTIRME'!$G330="tutar_farki",'ESLESTIRME'!$A330,""))</f>
        <v/>
      </c>
      <c r="B330" s="16">
        <f>IF($A330="","",IFERROR(SUMIF(tblMotor[A_Norm],$A330,tblMotor[NetKar]),0))</f>
        <v/>
      </c>
      <c r="C330" s="16">
        <f>IF($A330="","",IFERROR(SUMIF(tblMotor[A_Norm],$A330,tblMotor[BasabasFiyat]),0))</f>
        <v/>
      </c>
      <c r="D330" s="16">
        <f>IF($A330="","",IFERROR(INDEX(tblMotor[KararSatir],MATCH($A330,tblMotor[A_Norm],0)),""))</f>
        <v/>
      </c>
      <c r="E330" s="16">
        <f>IF($A330="","",IF($B330&lt;0,"YUKSEK","NORMAL"))</f>
        <v/>
      </c>
      <c r="F330" s="16">
        <f>IF($A330="","",_xlfn.TEXTJOIN(" ",TRUE,"SKU",$A330,"karar",$D330,"net",TEXT($B330,"0.00"),"başabaş",TEXT($C330,"0.00"),"TL"))</f>
        <v/>
      </c>
    </row>
    <row r="331">
      <c r="A331" s="16">
        <f>IF('ESLESTIRME'!$A331="","",IF('ESLESTIRME'!$G331="tutar_farki",'ESLESTIRME'!$A331,""))</f>
        <v/>
      </c>
      <c r="B331" s="16">
        <f>IF($A331="","",IFERROR(SUMIF(tblMotor[A_Norm],$A331,tblMotor[NetKar]),0))</f>
        <v/>
      </c>
      <c r="C331" s="16">
        <f>IF($A331="","",IFERROR(SUMIF(tblMotor[A_Norm],$A331,tblMotor[BasabasFiyat]),0))</f>
        <v/>
      </c>
      <c r="D331" s="16">
        <f>IF($A331="","",IFERROR(INDEX(tblMotor[KararSatir],MATCH($A331,tblMotor[A_Norm],0)),""))</f>
        <v/>
      </c>
      <c r="E331" s="16">
        <f>IF($A331="","",IF($B331&lt;0,"YUKSEK","NORMAL"))</f>
        <v/>
      </c>
      <c r="F331" s="16">
        <f>IF($A331="","",_xlfn.TEXTJOIN(" ",TRUE,"SKU",$A331,"karar",$D331,"net",TEXT($B331,"0.00"),"başabaş",TEXT($C331,"0.00"),"TL"))</f>
        <v/>
      </c>
    </row>
    <row r="332">
      <c r="A332" s="16">
        <f>IF('ESLESTIRME'!$A332="","",IF('ESLESTIRME'!$G332="tutar_farki",'ESLESTIRME'!$A332,""))</f>
        <v/>
      </c>
      <c r="B332" s="16">
        <f>IF($A332="","",IFERROR(SUMIF(tblMotor[A_Norm],$A332,tblMotor[NetKar]),0))</f>
        <v/>
      </c>
      <c r="C332" s="16">
        <f>IF($A332="","",IFERROR(SUMIF(tblMotor[A_Norm],$A332,tblMotor[BasabasFiyat]),0))</f>
        <v/>
      </c>
      <c r="D332" s="16">
        <f>IF($A332="","",IFERROR(INDEX(tblMotor[KararSatir],MATCH($A332,tblMotor[A_Norm],0)),""))</f>
        <v/>
      </c>
      <c r="E332" s="16">
        <f>IF($A332="","",IF($B332&lt;0,"YUKSEK","NORMAL"))</f>
        <v/>
      </c>
      <c r="F332" s="16">
        <f>IF($A332="","",_xlfn.TEXTJOIN(" ",TRUE,"SKU",$A332,"karar",$D332,"net",TEXT($B332,"0.00"),"başabaş",TEXT($C332,"0.00"),"TL"))</f>
        <v/>
      </c>
    </row>
    <row r="333">
      <c r="A333" s="16">
        <f>IF('ESLESTIRME'!$A333="","",IF('ESLESTIRME'!$G333="tutar_farki",'ESLESTIRME'!$A333,""))</f>
        <v/>
      </c>
      <c r="B333" s="16">
        <f>IF($A333="","",IFERROR(SUMIF(tblMotor[A_Norm],$A333,tblMotor[NetKar]),0))</f>
        <v/>
      </c>
      <c r="C333" s="16">
        <f>IF($A333="","",IFERROR(SUMIF(tblMotor[A_Norm],$A333,tblMotor[BasabasFiyat]),0))</f>
        <v/>
      </c>
      <c r="D333" s="16">
        <f>IF($A333="","",IFERROR(INDEX(tblMotor[KararSatir],MATCH($A333,tblMotor[A_Norm],0)),""))</f>
        <v/>
      </c>
      <c r="E333" s="16">
        <f>IF($A333="","",IF($B333&lt;0,"YUKSEK","NORMAL"))</f>
        <v/>
      </c>
      <c r="F333" s="16">
        <f>IF($A333="","",_xlfn.TEXTJOIN(" ",TRUE,"SKU",$A333,"karar",$D333,"net",TEXT($B333,"0.00"),"başabaş",TEXT($C333,"0.00"),"TL"))</f>
        <v/>
      </c>
    </row>
    <row r="334">
      <c r="A334" s="16">
        <f>IF('ESLESTIRME'!$A334="","",IF('ESLESTIRME'!$G334="tutar_farki",'ESLESTIRME'!$A334,""))</f>
        <v/>
      </c>
      <c r="B334" s="16">
        <f>IF($A334="","",IFERROR(SUMIF(tblMotor[A_Norm],$A334,tblMotor[NetKar]),0))</f>
        <v/>
      </c>
      <c r="C334" s="16">
        <f>IF($A334="","",IFERROR(SUMIF(tblMotor[A_Norm],$A334,tblMotor[BasabasFiyat]),0))</f>
        <v/>
      </c>
      <c r="D334" s="16">
        <f>IF($A334="","",IFERROR(INDEX(tblMotor[KararSatir],MATCH($A334,tblMotor[A_Norm],0)),""))</f>
        <v/>
      </c>
      <c r="E334" s="16">
        <f>IF($A334="","",IF($B334&lt;0,"YUKSEK","NORMAL"))</f>
        <v/>
      </c>
      <c r="F334" s="16">
        <f>IF($A334="","",_xlfn.TEXTJOIN(" ",TRUE,"SKU",$A334,"karar",$D334,"net",TEXT($B334,"0.00"),"başabaş",TEXT($C334,"0.00"),"TL"))</f>
        <v/>
      </c>
    </row>
    <row r="335">
      <c r="A335" s="16">
        <f>IF('ESLESTIRME'!$A335="","",IF('ESLESTIRME'!$G335="tutar_farki",'ESLESTIRME'!$A335,""))</f>
        <v/>
      </c>
      <c r="B335" s="16">
        <f>IF($A335="","",IFERROR(SUMIF(tblMotor[A_Norm],$A335,tblMotor[NetKar]),0))</f>
        <v/>
      </c>
      <c r="C335" s="16">
        <f>IF($A335="","",IFERROR(SUMIF(tblMotor[A_Norm],$A335,tblMotor[BasabasFiyat]),0))</f>
        <v/>
      </c>
      <c r="D335" s="16">
        <f>IF($A335="","",IFERROR(INDEX(tblMotor[KararSatir],MATCH($A335,tblMotor[A_Norm],0)),""))</f>
        <v/>
      </c>
      <c r="E335" s="16">
        <f>IF($A335="","",IF($B335&lt;0,"YUKSEK","NORMAL"))</f>
        <v/>
      </c>
      <c r="F335" s="16">
        <f>IF($A335="","",_xlfn.TEXTJOIN(" ",TRUE,"SKU",$A335,"karar",$D335,"net",TEXT($B335,"0.00"),"başabaş",TEXT($C335,"0.00"),"TL"))</f>
        <v/>
      </c>
    </row>
    <row r="336">
      <c r="A336" s="16">
        <f>IF('ESLESTIRME'!$A336="","",IF('ESLESTIRME'!$G336="tutar_farki",'ESLESTIRME'!$A336,""))</f>
        <v/>
      </c>
      <c r="B336" s="16">
        <f>IF($A336="","",IFERROR(SUMIF(tblMotor[A_Norm],$A336,tblMotor[NetKar]),0))</f>
        <v/>
      </c>
      <c r="C336" s="16">
        <f>IF($A336="","",IFERROR(SUMIF(tblMotor[A_Norm],$A336,tblMotor[BasabasFiyat]),0))</f>
        <v/>
      </c>
      <c r="D336" s="16">
        <f>IF($A336="","",IFERROR(INDEX(tblMotor[KararSatir],MATCH($A336,tblMotor[A_Norm],0)),""))</f>
        <v/>
      </c>
      <c r="E336" s="16">
        <f>IF($A336="","",IF($B336&lt;0,"YUKSEK","NORMAL"))</f>
        <v/>
      </c>
      <c r="F336" s="16">
        <f>IF($A336="","",_xlfn.TEXTJOIN(" ",TRUE,"SKU",$A336,"karar",$D336,"net",TEXT($B336,"0.00"),"başabaş",TEXT($C336,"0.00"),"TL"))</f>
        <v/>
      </c>
    </row>
    <row r="337">
      <c r="A337" s="16">
        <f>IF('ESLESTIRME'!$A337="","",IF('ESLESTIRME'!$G337="tutar_farki",'ESLESTIRME'!$A337,""))</f>
        <v/>
      </c>
      <c r="B337" s="16">
        <f>IF($A337="","",IFERROR(SUMIF(tblMotor[A_Norm],$A337,tblMotor[NetKar]),0))</f>
        <v/>
      </c>
      <c r="C337" s="16">
        <f>IF($A337="","",IFERROR(SUMIF(tblMotor[A_Norm],$A337,tblMotor[BasabasFiyat]),0))</f>
        <v/>
      </c>
      <c r="D337" s="16">
        <f>IF($A337="","",IFERROR(INDEX(tblMotor[KararSatir],MATCH($A337,tblMotor[A_Norm],0)),""))</f>
        <v/>
      </c>
      <c r="E337" s="16">
        <f>IF($A337="","",IF($B337&lt;0,"YUKSEK","NORMAL"))</f>
        <v/>
      </c>
      <c r="F337" s="16">
        <f>IF($A337="","",_xlfn.TEXTJOIN(" ",TRUE,"SKU",$A337,"karar",$D337,"net",TEXT($B337,"0.00"),"başabaş",TEXT($C337,"0.00"),"TL"))</f>
        <v/>
      </c>
    </row>
    <row r="338">
      <c r="A338" s="16">
        <f>IF('ESLESTIRME'!$A338="","",IF('ESLESTIRME'!$G338="tutar_farki",'ESLESTIRME'!$A338,""))</f>
        <v/>
      </c>
      <c r="B338" s="16">
        <f>IF($A338="","",IFERROR(SUMIF(tblMotor[A_Norm],$A338,tblMotor[NetKar]),0))</f>
        <v/>
      </c>
      <c r="C338" s="16">
        <f>IF($A338="","",IFERROR(SUMIF(tblMotor[A_Norm],$A338,tblMotor[BasabasFiyat]),0))</f>
        <v/>
      </c>
      <c r="D338" s="16">
        <f>IF($A338="","",IFERROR(INDEX(tblMotor[KararSatir],MATCH($A338,tblMotor[A_Norm],0)),""))</f>
        <v/>
      </c>
      <c r="E338" s="16">
        <f>IF($A338="","",IF($B338&lt;0,"YUKSEK","NORMAL"))</f>
        <v/>
      </c>
      <c r="F338" s="16">
        <f>IF($A338="","",_xlfn.TEXTJOIN(" ",TRUE,"SKU",$A338,"karar",$D338,"net",TEXT($B338,"0.00"),"başabaş",TEXT($C338,"0.00"),"TL"))</f>
        <v/>
      </c>
    </row>
    <row r="339">
      <c r="A339" s="16">
        <f>IF('ESLESTIRME'!$A339="","",IF('ESLESTIRME'!$G339="tutar_farki",'ESLESTIRME'!$A339,""))</f>
        <v/>
      </c>
      <c r="B339" s="16">
        <f>IF($A339="","",IFERROR(SUMIF(tblMotor[A_Norm],$A339,tblMotor[NetKar]),0))</f>
        <v/>
      </c>
      <c r="C339" s="16">
        <f>IF($A339="","",IFERROR(SUMIF(tblMotor[A_Norm],$A339,tblMotor[BasabasFiyat]),0))</f>
        <v/>
      </c>
      <c r="D339" s="16">
        <f>IF($A339="","",IFERROR(INDEX(tblMotor[KararSatir],MATCH($A339,tblMotor[A_Norm],0)),""))</f>
        <v/>
      </c>
      <c r="E339" s="16">
        <f>IF($A339="","",IF($B339&lt;0,"YUKSEK","NORMAL"))</f>
        <v/>
      </c>
      <c r="F339" s="16">
        <f>IF($A339="","",_xlfn.TEXTJOIN(" ",TRUE,"SKU",$A339,"karar",$D339,"net",TEXT($B339,"0.00"),"başabaş",TEXT($C339,"0.00"),"TL"))</f>
        <v/>
      </c>
    </row>
    <row r="340">
      <c r="A340" s="16">
        <f>IF('ESLESTIRME'!$A340="","",IF('ESLESTIRME'!$G340="tutar_farki",'ESLESTIRME'!$A340,""))</f>
        <v/>
      </c>
      <c r="B340" s="16">
        <f>IF($A340="","",IFERROR(SUMIF(tblMotor[A_Norm],$A340,tblMotor[NetKar]),0))</f>
        <v/>
      </c>
      <c r="C340" s="16">
        <f>IF($A340="","",IFERROR(SUMIF(tblMotor[A_Norm],$A340,tblMotor[BasabasFiyat]),0))</f>
        <v/>
      </c>
      <c r="D340" s="16">
        <f>IF($A340="","",IFERROR(INDEX(tblMotor[KararSatir],MATCH($A340,tblMotor[A_Norm],0)),""))</f>
        <v/>
      </c>
      <c r="E340" s="16">
        <f>IF($A340="","",IF($B340&lt;0,"YUKSEK","NORMAL"))</f>
        <v/>
      </c>
      <c r="F340" s="16">
        <f>IF($A340="","",_xlfn.TEXTJOIN(" ",TRUE,"SKU",$A340,"karar",$D340,"net",TEXT($B340,"0.00"),"başabaş",TEXT($C340,"0.00"),"TL"))</f>
        <v/>
      </c>
    </row>
    <row r="341">
      <c r="A341" s="16">
        <f>IF('ESLESTIRME'!$A341="","",IF('ESLESTIRME'!$G341="tutar_farki",'ESLESTIRME'!$A341,""))</f>
        <v/>
      </c>
      <c r="B341" s="16">
        <f>IF($A341="","",IFERROR(SUMIF(tblMotor[A_Norm],$A341,tblMotor[NetKar]),0))</f>
        <v/>
      </c>
      <c r="C341" s="16">
        <f>IF($A341="","",IFERROR(SUMIF(tblMotor[A_Norm],$A341,tblMotor[BasabasFiyat]),0))</f>
        <v/>
      </c>
      <c r="D341" s="16">
        <f>IF($A341="","",IFERROR(INDEX(tblMotor[KararSatir],MATCH($A341,tblMotor[A_Norm],0)),""))</f>
        <v/>
      </c>
      <c r="E341" s="16">
        <f>IF($A341="","",IF($B341&lt;0,"YUKSEK","NORMAL"))</f>
        <v/>
      </c>
      <c r="F341" s="16">
        <f>IF($A341="","",_xlfn.TEXTJOIN(" ",TRUE,"SKU",$A341,"karar",$D341,"net",TEXT($B341,"0.00"),"başabaş",TEXT($C341,"0.00"),"TL"))</f>
        <v/>
      </c>
    </row>
    <row r="342">
      <c r="A342" s="16">
        <f>IF('ESLESTIRME'!$A342="","",IF('ESLESTIRME'!$G342="tutar_farki",'ESLESTIRME'!$A342,""))</f>
        <v/>
      </c>
      <c r="B342" s="16">
        <f>IF($A342="","",IFERROR(SUMIF(tblMotor[A_Norm],$A342,tblMotor[NetKar]),0))</f>
        <v/>
      </c>
      <c r="C342" s="16">
        <f>IF($A342="","",IFERROR(SUMIF(tblMotor[A_Norm],$A342,tblMotor[BasabasFiyat]),0))</f>
        <v/>
      </c>
      <c r="D342" s="16">
        <f>IF($A342="","",IFERROR(INDEX(tblMotor[KararSatir],MATCH($A342,tblMotor[A_Norm],0)),""))</f>
        <v/>
      </c>
      <c r="E342" s="16">
        <f>IF($A342="","",IF($B342&lt;0,"YUKSEK","NORMAL"))</f>
        <v/>
      </c>
      <c r="F342" s="16">
        <f>IF($A342="","",_xlfn.TEXTJOIN(" ",TRUE,"SKU",$A342,"karar",$D342,"net",TEXT($B342,"0.00"),"başabaş",TEXT($C342,"0.00"),"TL"))</f>
        <v/>
      </c>
    </row>
    <row r="343">
      <c r="A343" s="16">
        <f>IF('ESLESTIRME'!$A343="","",IF('ESLESTIRME'!$G343="tutar_farki",'ESLESTIRME'!$A343,""))</f>
        <v/>
      </c>
      <c r="B343" s="16">
        <f>IF($A343="","",IFERROR(SUMIF(tblMotor[A_Norm],$A343,tblMotor[NetKar]),0))</f>
        <v/>
      </c>
      <c r="C343" s="16">
        <f>IF($A343="","",IFERROR(SUMIF(tblMotor[A_Norm],$A343,tblMotor[BasabasFiyat]),0))</f>
        <v/>
      </c>
      <c r="D343" s="16">
        <f>IF($A343="","",IFERROR(INDEX(tblMotor[KararSatir],MATCH($A343,tblMotor[A_Norm],0)),""))</f>
        <v/>
      </c>
      <c r="E343" s="16">
        <f>IF($A343="","",IF($B343&lt;0,"YUKSEK","NORMAL"))</f>
        <v/>
      </c>
      <c r="F343" s="16">
        <f>IF($A343="","",_xlfn.TEXTJOIN(" ",TRUE,"SKU",$A343,"karar",$D343,"net",TEXT($B343,"0.00"),"başabaş",TEXT($C343,"0.00"),"TL"))</f>
        <v/>
      </c>
    </row>
    <row r="344">
      <c r="A344" s="16">
        <f>IF('ESLESTIRME'!$A344="","",IF('ESLESTIRME'!$G344="tutar_farki",'ESLESTIRME'!$A344,""))</f>
        <v/>
      </c>
      <c r="B344" s="16">
        <f>IF($A344="","",IFERROR(SUMIF(tblMotor[A_Norm],$A344,tblMotor[NetKar]),0))</f>
        <v/>
      </c>
      <c r="C344" s="16">
        <f>IF($A344="","",IFERROR(SUMIF(tblMotor[A_Norm],$A344,tblMotor[BasabasFiyat]),0))</f>
        <v/>
      </c>
      <c r="D344" s="16">
        <f>IF($A344="","",IFERROR(INDEX(tblMotor[KararSatir],MATCH($A344,tblMotor[A_Norm],0)),""))</f>
        <v/>
      </c>
      <c r="E344" s="16">
        <f>IF($A344="","",IF($B344&lt;0,"YUKSEK","NORMAL"))</f>
        <v/>
      </c>
      <c r="F344" s="16">
        <f>IF($A344="","",_xlfn.TEXTJOIN(" ",TRUE,"SKU",$A344,"karar",$D344,"net",TEXT($B344,"0.00"),"başabaş",TEXT($C344,"0.00"),"TL"))</f>
        <v/>
      </c>
    </row>
    <row r="345">
      <c r="A345" s="16">
        <f>IF('ESLESTIRME'!$A345="","",IF('ESLESTIRME'!$G345="tutar_farki",'ESLESTIRME'!$A345,""))</f>
        <v/>
      </c>
      <c r="B345" s="16">
        <f>IF($A345="","",IFERROR(SUMIF(tblMotor[A_Norm],$A345,tblMotor[NetKar]),0))</f>
        <v/>
      </c>
      <c r="C345" s="16">
        <f>IF($A345="","",IFERROR(SUMIF(tblMotor[A_Norm],$A345,tblMotor[BasabasFiyat]),0))</f>
        <v/>
      </c>
      <c r="D345" s="16">
        <f>IF($A345="","",IFERROR(INDEX(tblMotor[KararSatir],MATCH($A345,tblMotor[A_Norm],0)),""))</f>
        <v/>
      </c>
      <c r="E345" s="16">
        <f>IF($A345="","",IF($B345&lt;0,"YUKSEK","NORMAL"))</f>
        <v/>
      </c>
      <c r="F345" s="16">
        <f>IF($A345="","",_xlfn.TEXTJOIN(" ",TRUE,"SKU",$A345,"karar",$D345,"net",TEXT($B345,"0.00"),"başabaş",TEXT($C345,"0.00"),"TL"))</f>
        <v/>
      </c>
    </row>
    <row r="346">
      <c r="A346" s="16">
        <f>IF('ESLESTIRME'!$A346="","",IF('ESLESTIRME'!$G346="tutar_farki",'ESLESTIRME'!$A346,""))</f>
        <v/>
      </c>
      <c r="B346" s="16">
        <f>IF($A346="","",IFERROR(SUMIF(tblMotor[A_Norm],$A346,tblMotor[NetKar]),0))</f>
        <v/>
      </c>
      <c r="C346" s="16">
        <f>IF($A346="","",IFERROR(SUMIF(tblMotor[A_Norm],$A346,tblMotor[BasabasFiyat]),0))</f>
        <v/>
      </c>
      <c r="D346" s="16">
        <f>IF($A346="","",IFERROR(INDEX(tblMotor[KararSatir],MATCH($A346,tblMotor[A_Norm],0)),""))</f>
        <v/>
      </c>
      <c r="E346" s="16">
        <f>IF($A346="","",IF($B346&lt;0,"YUKSEK","NORMAL"))</f>
        <v/>
      </c>
      <c r="F346" s="16">
        <f>IF($A346="","",_xlfn.TEXTJOIN(" ",TRUE,"SKU",$A346,"karar",$D346,"net",TEXT($B346,"0.00"),"başabaş",TEXT($C346,"0.00"),"TL"))</f>
        <v/>
      </c>
    </row>
    <row r="347">
      <c r="A347" s="16">
        <f>IF('ESLESTIRME'!$A347="","",IF('ESLESTIRME'!$G347="tutar_farki",'ESLESTIRME'!$A347,""))</f>
        <v/>
      </c>
      <c r="B347" s="16">
        <f>IF($A347="","",IFERROR(SUMIF(tblMotor[A_Norm],$A347,tblMotor[NetKar]),0))</f>
        <v/>
      </c>
      <c r="C347" s="16">
        <f>IF($A347="","",IFERROR(SUMIF(tblMotor[A_Norm],$A347,tblMotor[BasabasFiyat]),0))</f>
        <v/>
      </c>
      <c r="D347" s="16">
        <f>IF($A347="","",IFERROR(INDEX(tblMotor[KararSatir],MATCH($A347,tblMotor[A_Norm],0)),""))</f>
        <v/>
      </c>
      <c r="E347" s="16">
        <f>IF($A347="","",IF($B347&lt;0,"YUKSEK","NORMAL"))</f>
        <v/>
      </c>
      <c r="F347" s="16">
        <f>IF($A347="","",_xlfn.TEXTJOIN(" ",TRUE,"SKU",$A347,"karar",$D347,"net",TEXT($B347,"0.00"),"başabaş",TEXT($C347,"0.00"),"TL"))</f>
        <v/>
      </c>
    </row>
    <row r="348">
      <c r="A348" s="16">
        <f>IF('ESLESTIRME'!$A348="","",IF('ESLESTIRME'!$G348="tutar_farki",'ESLESTIRME'!$A348,""))</f>
        <v/>
      </c>
      <c r="B348" s="16">
        <f>IF($A348="","",IFERROR(SUMIF(tblMotor[A_Norm],$A348,tblMotor[NetKar]),0))</f>
        <v/>
      </c>
      <c r="C348" s="16">
        <f>IF($A348="","",IFERROR(SUMIF(tblMotor[A_Norm],$A348,tblMotor[BasabasFiyat]),0))</f>
        <v/>
      </c>
      <c r="D348" s="16">
        <f>IF($A348="","",IFERROR(INDEX(tblMotor[KararSatir],MATCH($A348,tblMotor[A_Norm],0)),""))</f>
        <v/>
      </c>
      <c r="E348" s="16">
        <f>IF($A348="","",IF($B348&lt;0,"YUKSEK","NORMAL"))</f>
        <v/>
      </c>
      <c r="F348" s="16">
        <f>IF($A348="","",_xlfn.TEXTJOIN(" ",TRUE,"SKU",$A348,"karar",$D348,"net",TEXT($B348,"0.00"),"başabaş",TEXT($C348,"0.00"),"TL"))</f>
        <v/>
      </c>
    </row>
    <row r="349">
      <c r="A349" s="16">
        <f>IF('ESLESTIRME'!$A349="","",IF('ESLESTIRME'!$G349="tutar_farki",'ESLESTIRME'!$A349,""))</f>
        <v/>
      </c>
      <c r="B349" s="16">
        <f>IF($A349="","",IFERROR(SUMIF(tblMotor[A_Norm],$A349,tblMotor[NetKar]),0))</f>
        <v/>
      </c>
      <c r="C349" s="16">
        <f>IF($A349="","",IFERROR(SUMIF(tblMotor[A_Norm],$A349,tblMotor[BasabasFiyat]),0))</f>
        <v/>
      </c>
      <c r="D349" s="16">
        <f>IF($A349="","",IFERROR(INDEX(tblMotor[KararSatir],MATCH($A349,tblMotor[A_Norm],0)),""))</f>
        <v/>
      </c>
      <c r="E349" s="16">
        <f>IF($A349="","",IF($B349&lt;0,"YUKSEK","NORMAL"))</f>
        <v/>
      </c>
      <c r="F349" s="16">
        <f>IF($A349="","",_xlfn.TEXTJOIN(" ",TRUE,"SKU",$A349,"karar",$D349,"net",TEXT($B349,"0.00"),"başabaş",TEXT($C349,"0.00"),"TL"))</f>
        <v/>
      </c>
    </row>
    <row r="350">
      <c r="A350" s="16">
        <f>IF('ESLESTIRME'!$A350="","",IF('ESLESTIRME'!$G350="tutar_farki",'ESLESTIRME'!$A350,""))</f>
        <v/>
      </c>
      <c r="B350" s="16">
        <f>IF($A350="","",IFERROR(SUMIF(tblMotor[A_Norm],$A350,tblMotor[NetKar]),0))</f>
        <v/>
      </c>
      <c r="C350" s="16">
        <f>IF($A350="","",IFERROR(SUMIF(tblMotor[A_Norm],$A350,tblMotor[BasabasFiyat]),0))</f>
        <v/>
      </c>
      <c r="D350" s="16">
        <f>IF($A350="","",IFERROR(INDEX(tblMotor[KararSatir],MATCH($A350,tblMotor[A_Norm],0)),""))</f>
        <v/>
      </c>
      <c r="E350" s="16">
        <f>IF($A350="","",IF($B350&lt;0,"YUKSEK","NORMAL"))</f>
        <v/>
      </c>
      <c r="F350" s="16">
        <f>IF($A350="","",_xlfn.TEXTJOIN(" ",TRUE,"SKU",$A350,"karar",$D350,"net",TEXT($B350,"0.00"),"başabaş",TEXT($C350,"0.00"),"TL"))</f>
        <v/>
      </c>
    </row>
    <row r="351">
      <c r="A351" s="16">
        <f>IF('ESLESTIRME'!$A351="","",IF('ESLESTIRME'!$G351="tutar_farki",'ESLESTIRME'!$A351,""))</f>
        <v/>
      </c>
      <c r="B351" s="16">
        <f>IF($A351="","",IFERROR(SUMIF(tblMotor[A_Norm],$A351,tblMotor[NetKar]),0))</f>
        <v/>
      </c>
      <c r="C351" s="16">
        <f>IF($A351="","",IFERROR(SUMIF(tblMotor[A_Norm],$A351,tblMotor[BasabasFiyat]),0))</f>
        <v/>
      </c>
      <c r="D351" s="16">
        <f>IF($A351="","",IFERROR(INDEX(tblMotor[KararSatir],MATCH($A351,tblMotor[A_Norm],0)),""))</f>
        <v/>
      </c>
      <c r="E351" s="16">
        <f>IF($A351="","",IF($B351&lt;0,"YUKSEK","NORMAL"))</f>
        <v/>
      </c>
      <c r="F351" s="16">
        <f>IF($A351="","",_xlfn.TEXTJOIN(" ",TRUE,"SKU",$A351,"karar",$D351,"net",TEXT($B351,"0.00"),"başabaş",TEXT($C351,"0.00"),"TL"))</f>
        <v/>
      </c>
    </row>
    <row r="352">
      <c r="A352" s="16">
        <f>IF('ESLESTIRME'!$A352="","",IF('ESLESTIRME'!$G352="tutar_farki",'ESLESTIRME'!$A352,""))</f>
        <v/>
      </c>
      <c r="B352" s="16">
        <f>IF($A352="","",IFERROR(SUMIF(tblMotor[A_Norm],$A352,tblMotor[NetKar]),0))</f>
        <v/>
      </c>
      <c r="C352" s="16">
        <f>IF($A352="","",IFERROR(SUMIF(tblMotor[A_Norm],$A352,tblMotor[BasabasFiyat]),0))</f>
        <v/>
      </c>
      <c r="D352" s="16">
        <f>IF($A352="","",IFERROR(INDEX(tblMotor[KararSatir],MATCH($A352,tblMotor[A_Norm],0)),""))</f>
        <v/>
      </c>
      <c r="E352" s="16">
        <f>IF($A352="","",IF($B352&lt;0,"YUKSEK","NORMAL"))</f>
        <v/>
      </c>
      <c r="F352" s="16">
        <f>IF($A352="","",_xlfn.TEXTJOIN(" ",TRUE,"SKU",$A352,"karar",$D352,"net",TEXT($B352,"0.00"),"başabaş",TEXT($C352,"0.00"),"TL"))</f>
        <v/>
      </c>
    </row>
    <row r="353">
      <c r="A353" s="16">
        <f>IF('ESLESTIRME'!$A353="","",IF('ESLESTIRME'!$G353="tutar_farki",'ESLESTIRME'!$A353,""))</f>
        <v/>
      </c>
      <c r="B353" s="16">
        <f>IF($A353="","",IFERROR(SUMIF(tblMotor[A_Norm],$A353,tblMotor[NetKar]),0))</f>
        <v/>
      </c>
      <c r="C353" s="16">
        <f>IF($A353="","",IFERROR(SUMIF(tblMotor[A_Norm],$A353,tblMotor[BasabasFiyat]),0))</f>
        <v/>
      </c>
      <c r="D353" s="16">
        <f>IF($A353="","",IFERROR(INDEX(tblMotor[KararSatir],MATCH($A353,tblMotor[A_Norm],0)),""))</f>
        <v/>
      </c>
      <c r="E353" s="16">
        <f>IF($A353="","",IF($B353&lt;0,"YUKSEK","NORMAL"))</f>
        <v/>
      </c>
      <c r="F353" s="16">
        <f>IF($A353="","",_xlfn.TEXTJOIN(" ",TRUE,"SKU",$A353,"karar",$D353,"net",TEXT($B353,"0.00"),"başabaş",TEXT($C353,"0.00"),"TL"))</f>
        <v/>
      </c>
    </row>
    <row r="354">
      <c r="A354" s="16">
        <f>IF('ESLESTIRME'!$A354="","",IF('ESLESTIRME'!$G354="tutar_farki",'ESLESTIRME'!$A354,""))</f>
        <v/>
      </c>
      <c r="B354" s="16">
        <f>IF($A354="","",IFERROR(SUMIF(tblMotor[A_Norm],$A354,tblMotor[NetKar]),0))</f>
        <v/>
      </c>
      <c r="C354" s="16">
        <f>IF($A354="","",IFERROR(SUMIF(tblMotor[A_Norm],$A354,tblMotor[BasabasFiyat]),0))</f>
        <v/>
      </c>
      <c r="D354" s="16">
        <f>IF($A354="","",IFERROR(INDEX(tblMotor[KararSatir],MATCH($A354,tblMotor[A_Norm],0)),""))</f>
        <v/>
      </c>
      <c r="E354" s="16">
        <f>IF($A354="","",IF($B354&lt;0,"YUKSEK","NORMAL"))</f>
        <v/>
      </c>
      <c r="F354" s="16">
        <f>IF($A354="","",_xlfn.TEXTJOIN(" ",TRUE,"SKU",$A354,"karar",$D354,"net",TEXT($B354,"0.00"),"başabaş",TEXT($C354,"0.00"),"TL"))</f>
        <v/>
      </c>
    </row>
    <row r="355">
      <c r="A355" s="16">
        <f>IF('ESLESTIRME'!$A355="","",IF('ESLESTIRME'!$G355="tutar_farki",'ESLESTIRME'!$A355,""))</f>
        <v/>
      </c>
      <c r="B355" s="16">
        <f>IF($A355="","",IFERROR(SUMIF(tblMotor[A_Norm],$A355,tblMotor[NetKar]),0))</f>
        <v/>
      </c>
      <c r="C355" s="16">
        <f>IF($A355="","",IFERROR(SUMIF(tblMotor[A_Norm],$A355,tblMotor[BasabasFiyat]),0))</f>
        <v/>
      </c>
      <c r="D355" s="16">
        <f>IF($A355="","",IFERROR(INDEX(tblMotor[KararSatir],MATCH($A355,tblMotor[A_Norm],0)),""))</f>
        <v/>
      </c>
      <c r="E355" s="16">
        <f>IF($A355="","",IF($B355&lt;0,"YUKSEK","NORMAL"))</f>
        <v/>
      </c>
      <c r="F355" s="16">
        <f>IF($A355="","",_xlfn.TEXTJOIN(" ",TRUE,"SKU",$A355,"karar",$D355,"net",TEXT($B355,"0.00"),"başabaş",TEXT($C355,"0.00"),"TL"))</f>
        <v/>
      </c>
    </row>
    <row r="356">
      <c r="A356" s="16">
        <f>IF('ESLESTIRME'!$A356="","",IF('ESLESTIRME'!$G356="tutar_farki",'ESLESTIRME'!$A356,""))</f>
        <v/>
      </c>
      <c r="B356" s="16">
        <f>IF($A356="","",IFERROR(SUMIF(tblMotor[A_Norm],$A356,tblMotor[NetKar]),0))</f>
        <v/>
      </c>
      <c r="C356" s="16">
        <f>IF($A356="","",IFERROR(SUMIF(tblMotor[A_Norm],$A356,tblMotor[BasabasFiyat]),0))</f>
        <v/>
      </c>
      <c r="D356" s="16">
        <f>IF($A356="","",IFERROR(INDEX(tblMotor[KararSatir],MATCH($A356,tblMotor[A_Norm],0)),""))</f>
        <v/>
      </c>
      <c r="E356" s="16">
        <f>IF($A356="","",IF($B356&lt;0,"YUKSEK","NORMAL"))</f>
        <v/>
      </c>
      <c r="F356" s="16">
        <f>IF($A356="","",_xlfn.TEXTJOIN(" ",TRUE,"SKU",$A356,"karar",$D356,"net",TEXT($B356,"0.00"),"başabaş",TEXT($C356,"0.00"),"TL"))</f>
        <v/>
      </c>
    </row>
    <row r="357">
      <c r="A357" s="16">
        <f>IF('ESLESTIRME'!$A357="","",IF('ESLESTIRME'!$G357="tutar_farki",'ESLESTIRME'!$A357,""))</f>
        <v/>
      </c>
      <c r="B357" s="16">
        <f>IF($A357="","",IFERROR(SUMIF(tblMotor[A_Norm],$A357,tblMotor[NetKar]),0))</f>
        <v/>
      </c>
      <c r="C357" s="16">
        <f>IF($A357="","",IFERROR(SUMIF(tblMotor[A_Norm],$A357,tblMotor[BasabasFiyat]),0))</f>
        <v/>
      </c>
      <c r="D357" s="16">
        <f>IF($A357="","",IFERROR(INDEX(tblMotor[KararSatir],MATCH($A357,tblMotor[A_Norm],0)),""))</f>
        <v/>
      </c>
      <c r="E357" s="16">
        <f>IF($A357="","",IF($B357&lt;0,"YUKSEK","NORMAL"))</f>
        <v/>
      </c>
      <c r="F357" s="16">
        <f>IF($A357="","",_xlfn.TEXTJOIN(" ",TRUE,"SKU",$A357,"karar",$D357,"net",TEXT($B357,"0.00"),"başabaş",TEXT($C357,"0.00"),"TL"))</f>
        <v/>
      </c>
    </row>
    <row r="358">
      <c r="A358" s="16">
        <f>IF('ESLESTIRME'!$A358="","",IF('ESLESTIRME'!$G358="tutar_farki",'ESLESTIRME'!$A358,""))</f>
        <v/>
      </c>
      <c r="B358" s="16">
        <f>IF($A358="","",IFERROR(SUMIF(tblMotor[A_Norm],$A358,tblMotor[NetKar]),0))</f>
        <v/>
      </c>
      <c r="C358" s="16">
        <f>IF($A358="","",IFERROR(SUMIF(tblMotor[A_Norm],$A358,tblMotor[BasabasFiyat]),0))</f>
        <v/>
      </c>
      <c r="D358" s="16">
        <f>IF($A358="","",IFERROR(INDEX(tblMotor[KararSatir],MATCH($A358,tblMotor[A_Norm],0)),""))</f>
        <v/>
      </c>
      <c r="E358" s="16">
        <f>IF($A358="","",IF($B358&lt;0,"YUKSEK","NORMAL"))</f>
        <v/>
      </c>
      <c r="F358" s="16">
        <f>IF($A358="","",_xlfn.TEXTJOIN(" ",TRUE,"SKU",$A358,"karar",$D358,"net",TEXT($B358,"0.00"),"başabaş",TEXT($C358,"0.00"),"TL"))</f>
        <v/>
      </c>
    </row>
    <row r="359">
      <c r="A359" s="16">
        <f>IF('ESLESTIRME'!$A359="","",IF('ESLESTIRME'!$G359="tutar_farki",'ESLESTIRME'!$A359,""))</f>
        <v/>
      </c>
      <c r="B359" s="16">
        <f>IF($A359="","",IFERROR(SUMIF(tblMotor[A_Norm],$A359,tblMotor[NetKar]),0))</f>
        <v/>
      </c>
      <c r="C359" s="16">
        <f>IF($A359="","",IFERROR(SUMIF(tblMotor[A_Norm],$A359,tblMotor[BasabasFiyat]),0))</f>
        <v/>
      </c>
      <c r="D359" s="16">
        <f>IF($A359="","",IFERROR(INDEX(tblMotor[KararSatir],MATCH($A359,tblMotor[A_Norm],0)),""))</f>
        <v/>
      </c>
      <c r="E359" s="16">
        <f>IF($A359="","",IF($B359&lt;0,"YUKSEK","NORMAL"))</f>
        <v/>
      </c>
      <c r="F359" s="16">
        <f>IF($A359="","",_xlfn.TEXTJOIN(" ",TRUE,"SKU",$A359,"karar",$D359,"net",TEXT($B359,"0.00"),"başabaş",TEXT($C359,"0.00"),"TL"))</f>
        <v/>
      </c>
    </row>
    <row r="360">
      <c r="A360" s="16">
        <f>IF('ESLESTIRME'!$A360="","",IF('ESLESTIRME'!$G360="tutar_farki",'ESLESTIRME'!$A360,""))</f>
        <v/>
      </c>
      <c r="B360" s="16">
        <f>IF($A360="","",IFERROR(SUMIF(tblMotor[A_Norm],$A360,tblMotor[NetKar]),0))</f>
        <v/>
      </c>
      <c r="C360" s="16">
        <f>IF($A360="","",IFERROR(SUMIF(tblMotor[A_Norm],$A360,tblMotor[BasabasFiyat]),0))</f>
        <v/>
      </c>
      <c r="D360" s="16">
        <f>IF($A360="","",IFERROR(INDEX(tblMotor[KararSatir],MATCH($A360,tblMotor[A_Norm],0)),""))</f>
        <v/>
      </c>
      <c r="E360" s="16">
        <f>IF($A360="","",IF($B360&lt;0,"YUKSEK","NORMAL"))</f>
        <v/>
      </c>
      <c r="F360" s="16">
        <f>IF($A360="","",_xlfn.TEXTJOIN(" ",TRUE,"SKU",$A360,"karar",$D360,"net",TEXT($B360,"0.00"),"başabaş",TEXT($C360,"0.00"),"TL"))</f>
        <v/>
      </c>
    </row>
    <row r="361">
      <c r="A361" s="16">
        <f>IF('ESLESTIRME'!$A361="","",IF('ESLESTIRME'!$G361="tutar_farki",'ESLESTIRME'!$A361,""))</f>
        <v/>
      </c>
      <c r="B361" s="16">
        <f>IF($A361="","",IFERROR(SUMIF(tblMotor[A_Norm],$A361,tblMotor[NetKar]),0))</f>
        <v/>
      </c>
      <c r="C361" s="16">
        <f>IF($A361="","",IFERROR(SUMIF(tblMotor[A_Norm],$A361,tblMotor[BasabasFiyat]),0))</f>
        <v/>
      </c>
      <c r="D361" s="16">
        <f>IF($A361="","",IFERROR(INDEX(tblMotor[KararSatir],MATCH($A361,tblMotor[A_Norm],0)),""))</f>
        <v/>
      </c>
      <c r="E361" s="16">
        <f>IF($A361="","",IF($B361&lt;0,"YUKSEK","NORMAL"))</f>
        <v/>
      </c>
      <c r="F361" s="16">
        <f>IF($A361="","",_xlfn.TEXTJOIN(" ",TRUE,"SKU",$A361,"karar",$D361,"net",TEXT($B361,"0.00"),"başabaş",TEXT($C361,"0.00"),"TL"))</f>
        <v/>
      </c>
    </row>
    <row r="362">
      <c r="A362" s="16">
        <f>IF('ESLESTIRME'!$A362="","",IF('ESLESTIRME'!$G362="tutar_farki",'ESLESTIRME'!$A362,""))</f>
        <v/>
      </c>
      <c r="B362" s="16">
        <f>IF($A362="","",IFERROR(SUMIF(tblMotor[A_Norm],$A362,tblMotor[NetKar]),0))</f>
        <v/>
      </c>
      <c r="C362" s="16">
        <f>IF($A362="","",IFERROR(SUMIF(tblMotor[A_Norm],$A362,tblMotor[BasabasFiyat]),0))</f>
        <v/>
      </c>
      <c r="D362" s="16">
        <f>IF($A362="","",IFERROR(INDEX(tblMotor[KararSatir],MATCH($A362,tblMotor[A_Norm],0)),""))</f>
        <v/>
      </c>
      <c r="E362" s="16">
        <f>IF($A362="","",IF($B362&lt;0,"YUKSEK","NORMAL"))</f>
        <v/>
      </c>
      <c r="F362" s="16">
        <f>IF($A362="","",_xlfn.TEXTJOIN(" ",TRUE,"SKU",$A362,"karar",$D362,"net",TEXT($B362,"0.00"),"başabaş",TEXT($C362,"0.00"),"TL"))</f>
        <v/>
      </c>
    </row>
    <row r="363">
      <c r="A363" s="16">
        <f>IF('ESLESTIRME'!$A363="","",IF('ESLESTIRME'!$G363="tutar_farki",'ESLESTIRME'!$A363,""))</f>
        <v/>
      </c>
      <c r="B363" s="16">
        <f>IF($A363="","",IFERROR(SUMIF(tblMotor[A_Norm],$A363,tblMotor[NetKar]),0))</f>
        <v/>
      </c>
      <c r="C363" s="16">
        <f>IF($A363="","",IFERROR(SUMIF(tblMotor[A_Norm],$A363,tblMotor[BasabasFiyat]),0))</f>
        <v/>
      </c>
      <c r="D363" s="16">
        <f>IF($A363="","",IFERROR(INDEX(tblMotor[KararSatir],MATCH($A363,tblMotor[A_Norm],0)),""))</f>
        <v/>
      </c>
      <c r="E363" s="16">
        <f>IF($A363="","",IF($B363&lt;0,"YUKSEK","NORMAL"))</f>
        <v/>
      </c>
      <c r="F363" s="16">
        <f>IF($A363="","",_xlfn.TEXTJOIN(" ",TRUE,"SKU",$A363,"karar",$D363,"net",TEXT($B363,"0.00"),"başabaş",TEXT($C363,"0.00"),"TL"))</f>
        <v/>
      </c>
    </row>
    <row r="364">
      <c r="A364" s="16">
        <f>IF('ESLESTIRME'!$A364="","",IF('ESLESTIRME'!$G364="tutar_farki",'ESLESTIRME'!$A364,""))</f>
        <v/>
      </c>
      <c r="B364" s="16">
        <f>IF($A364="","",IFERROR(SUMIF(tblMotor[A_Norm],$A364,tblMotor[NetKar]),0))</f>
        <v/>
      </c>
      <c r="C364" s="16">
        <f>IF($A364="","",IFERROR(SUMIF(tblMotor[A_Norm],$A364,tblMotor[BasabasFiyat]),0))</f>
        <v/>
      </c>
      <c r="D364" s="16">
        <f>IF($A364="","",IFERROR(INDEX(tblMotor[KararSatir],MATCH($A364,tblMotor[A_Norm],0)),""))</f>
        <v/>
      </c>
      <c r="E364" s="16">
        <f>IF($A364="","",IF($B364&lt;0,"YUKSEK","NORMAL"))</f>
        <v/>
      </c>
      <c r="F364" s="16">
        <f>IF($A364="","",_xlfn.TEXTJOIN(" ",TRUE,"SKU",$A364,"karar",$D364,"net",TEXT($B364,"0.00"),"başabaş",TEXT($C364,"0.00"),"TL"))</f>
        <v/>
      </c>
    </row>
    <row r="365">
      <c r="A365" s="16">
        <f>IF('ESLESTIRME'!$A365="","",IF('ESLESTIRME'!$G365="tutar_farki",'ESLESTIRME'!$A365,""))</f>
        <v/>
      </c>
      <c r="B365" s="16">
        <f>IF($A365="","",IFERROR(SUMIF(tblMotor[A_Norm],$A365,tblMotor[NetKar]),0))</f>
        <v/>
      </c>
      <c r="C365" s="16">
        <f>IF($A365="","",IFERROR(SUMIF(tblMotor[A_Norm],$A365,tblMotor[BasabasFiyat]),0))</f>
        <v/>
      </c>
      <c r="D365" s="16">
        <f>IF($A365="","",IFERROR(INDEX(tblMotor[KararSatir],MATCH($A365,tblMotor[A_Norm],0)),""))</f>
        <v/>
      </c>
      <c r="E365" s="16">
        <f>IF($A365="","",IF($B365&lt;0,"YUKSEK","NORMAL"))</f>
        <v/>
      </c>
      <c r="F365" s="16">
        <f>IF($A365="","",_xlfn.TEXTJOIN(" ",TRUE,"SKU",$A365,"karar",$D365,"net",TEXT($B365,"0.00"),"başabaş",TEXT($C365,"0.00"),"TL"))</f>
        <v/>
      </c>
    </row>
    <row r="366">
      <c r="A366" s="16">
        <f>IF('ESLESTIRME'!$A366="","",IF('ESLESTIRME'!$G366="tutar_farki",'ESLESTIRME'!$A366,""))</f>
        <v/>
      </c>
      <c r="B366" s="16">
        <f>IF($A366="","",IFERROR(SUMIF(tblMotor[A_Norm],$A366,tblMotor[NetKar]),0))</f>
        <v/>
      </c>
      <c r="C366" s="16">
        <f>IF($A366="","",IFERROR(SUMIF(tblMotor[A_Norm],$A366,tblMotor[BasabasFiyat]),0))</f>
        <v/>
      </c>
      <c r="D366" s="16">
        <f>IF($A366="","",IFERROR(INDEX(tblMotor[KararSatir],MATCH($A366,tblMotor[A_Norm],0)),""))</f>
        <v/>
      </c>
      <c r="E366" s="16">
        <f>IF($A366="","",IF($B366&lt;0,"YUKSEK","NORMAL"))</f>
        <v/>
      </c>
      <c r="F366" s="16">
        <f>IF($A366="","",_xlfn.TEXTJOIN(" ",TRUE,"SKU",$A366,"karar",$D366,"net",TEXT($B366,"0.00"),"başabaş",TEXT($C366,"0.00"),"TL"))</f>
        <v/>
      </c>
    </row>
    <row r="367">
      <c r="A367" s="16">
        <f>IF('ESLESTIRME'!$A367="","",IF('ESLESTIRME'!$G367="tutar_farki",'ESLESTIRME'!$A367,""))</f>
        <v/>
      </c>
      <c r="B367" s="16">
        <f>IF($A367="","",IFERROR(SUMIF(tblMotor[A_Norm],$A367,tblMotor[NetKar]),0))</f>
        <v/>
      </c>
      <c r="C367" s="16">
        <f>IF($A367="","",IFERROR(SUMIF(tblMotor[A_Norm],$A367,tblMotor[BasabasFiyat]),0))</f>
        <v/>
      </c>
      <c r="D367" s="16">
        <f>IF($A367="","",IFERROR(INDEX(tblMotor[KararSatir],MATCH($A367,tblMotor[A_Norm],0)),""))</f>
        <v/>
      </c>
      <c r="E367" s="16">
        <f>IF($A367="","",IF($B367&lt;0,"YUKSEK","NORMAL"))</f>
        <v/>
      </c>
      <c r="F367" s="16">
        <f>IF($A367="","",_xlfn.TEXTJOIN(" ",TRUE,"SKU",$A367,"karar",$D367,"net",TEXT($B367,"0.00"),"başabaş",TEXT($C367,"0.00"),"TL"))</f>
        <v/>
      </c>
    </row>
    <row r="368">
      <c r="A368" s="16">
        <f>IF('ESLESTIRME'!$A368="","",IF('ESLESTIRME'!$G368="tutar_farki",'ESLESTIRME'!$A368,""))</f>
        <v/>
      </c>
      <c r="B368" s="16">
        <f>IF($A368="","",IFERROR(SUMIF(tblMotor[A_Norm],$A368,tblMotor[NetKar]),0))</f>
        <v/>
      </c>
      <c r="C368" s="16">
        <f>IF($A368="","",IFERROR(SUMIF(tblMotor[A_Norm],$A368,tblMotor[BasabasFiyat]),0))</f>
        <v/>
      </c>
      <c r="D368" s="16">
        <f>IF($A368="","",IFERROR(INDEX(tblMotor[KararSatir],MATCH($A368,tblMotor[A_Norm],0)),""))</f>
        <v/>
      </c>
      <c r="E368" s="16">
        <f>IF($A368="","",IF($B368&lt;0,"YUKSEK","NORMAL"))</f>
        <v/>
      </c>
      <c r="F368" s="16">
        <f>IF($A368="","",_xlfn.TEXTJOIN(" ",TRUE,"SKU",$A368,"karar",$D368,"net",TEXT($B368,"0.00"),"başabaş",TEXT($C368,"0.00"),"TL"))</f>
        <v/>
      </c>
    </row>
    <row r="369">
      <c r="A369" s="16">
        <f>IF('ESLESTIRME'!$A369="","",IF('ESLESTIRME'!$G369="tutar_farki",'ESLESTIRME'!$A369,""))</f>
        <v/>
      </c>
      <c r="B369" s="16">
        <f>IF($A369="","",IFERROR(SUMIF(tblMotor[A_Norm],$A369,tblMotor[NetKar]),0))</f>
        <v/>
      </c>
      <c r="C369" s="16">
        <f>IF($A369="","",IFERROR(SUMIF(tblMotor[A_Norm],$A369,tblMotor[BasabasFiyat]),0))</f>
        <v/>
      </c>
      <c r="D369" s="16">
        <f>IF($A369="","",IFERROR(INDEX(tblMotor[KararSatir],MATCH($A369,tblMotor[A_Norm],0)),""))</f>
        <v/>
      </c>
      <c r="E369" s="16">
        <f>IF($A369="","",IF($B369&lt;0,"YUKSEK","NORMAL"))</f>
        <v/>
      </c>
      <c r="F369" s="16">
        <f>IF($A369="","",_xlfn.TEXTJOIN(" ",TRUE,"SKU",$A369,"karar",$D369,"net",TEXT($B369,"0.00"),"başabaş",TEXT($C369,"0.00"),"TL"))</f>
        <v/>
      </c>
    </row>
    <row r="370">
      <c r="A370" s="16">
        <f>IF('ESLESTIRME'!$A370="","",IF('ESLESTIRME'!$G370="tutar_farki",'ESLESTIRME'!$A370,""))</f>
        <v/>
      </c>
      <c r="B370" s="16">
        <f>IF($A370="","",IFERROR(SUMIF(tblMotor[A_Norm],$A370,tblMotor[NetKar]),0))</f>
        <v/>
      </c>
      <c r="C370" s="16">
        <f>IF($A370="","",IFERROR(SUMIF(tblMotor[A_Norm],$A370,tblMotor[BasabasFiyat]),0))</f>
        <v/>
      </c>
      <c r="D370" s="16">
        <f>IF($A370="","",IFERROR(INDEX(tblMotor[KararSatir],MATCH($A370,tblMotor[A_Norm],0)),""))</f>
        <v/>
      </c>
      <c r="E370" s="16">
        <f>IF($A370="","",IF($B370&lt;0,"YUKSEK","NORMAL"))</f>
        <v/>
      </c>
      <c r="F370" s="16">
        <f>IF($A370="","",_xlfn.TEXTJOIN(" ",TRUE,"SKU",$A370,"karar",$D370,"net",TEXT($B370,"0.00"),"başabaş",TEXT($C370,"0.00"),"TL"))</f>
        <v/>
      </c>
    </row>
    <row r="371">
      <c r="A371" s="16">
        <f>IF('ESLESTIRME'!$A371="","",IF('ESLESTIRME'!$G371="tutar_farki",'ESLESTIRME'!$A371,""))</f>
        <v/>
      </c>
      <c r="B371" s="16">
        <f>IF($A371="","",IFERROR(SUMIF(tblMotor[A_Norm],$A371,tblMotor[NetKar]),0))</f>
        <v/>
      </c>
      <c r="C371" s="16">
        <f>IF($A371="","",IFERROR(SUMIF(tblMotor[A_Norm],$A371,tblMotor[BasabasFiyat]),0))</f>
        <v/>
      </c>
      <c r="D371" s="16">
        <f>IF($A371="","",IFERROR(INDEX(tblMotor[KararSatir],MATCH($A371,tblMotor[A_Norm],0)),""))</f>
        <v/>
      </c>
      <c r="E371" s="16">
        <f>IF($A371="","",IF($B371&lt;0,"YUKSEK","NORMAL"))</f>
        <v/>
      </c>
      <c r="F371" s="16">
        <f>IF($A371="","",_xlfn.TEXTJOIN(" ",TRUE,"SKU",$A371,"karar",$D371,"net",TEXT($B371,"0.00"),"başabaş",TEXT($C371,"0.00"),"TL"))</f>
        <v/>
      </c>
    </row>
    <row r="372">
      <c r="A372" s="16">
        <f>IF('ESLESTIRME'!$A372="","",IF('ESLESTIRME'!$G372="tutar_farki",'ESLESTIRME'!$A372,""))</f>
        <v/>
      </c>
      <c r="B372" s="16">
        <f>IF($A372="","",IFERROR(SUMIF(tblMotor[A_Norm],$A372,tblMotor[NetKar]),0))</f>
        <v/>
      </c>
      <c r="C372" s="16">
        <f>IF($A372="","",IFERROR(SUMIF(tblMotor[A_Norm],$A372,tblMotor[BasabasFiyat]),0))</f>
        <v/>
      </c>
      <c r="D372" s="16">
        <f>IF($A372="","",IFERROR(INDEX(tblMotor[KararSatir],MATCH($A372,tblMotor[A_Norm],0)),""))</f>
        <v/>
      </c>
      <c r="E372" s="16">
        <f>IF($A372="","",IF($B372&lt;0,"YUKSEK","NORMAL"))</f>
        <v/>
      </c>
      <c r="F372" s="16">
        <f>IF($A372="","",_xlfn.TEXTJOIN(" ",TRUE,"SKU",$A372,"karar",$D372,"net",TEXT($B372,"0.00"),"başabaş",TEXT($C372,"0.00"),"TL"))</f>
        <v/>
      </c>
    </row>
    <row r="373">
      <c r="A373" s="16">
        <f>IF('ESLESTIRME'!$A373="","",IF('ESLESTIRME'!$G373="tutar_farki",'ESLESTIRME'!$A373,""))</f>
        <v/>
      </c>
      <c r="B373" s="16">
        <f>IF($A373="","",IFERROR(SUMIF(tblMotor[A_Norm],$A373,tblMotor[NetKar]),0))</f>
        <v/>
      </c>
      <c r="C373" s="16">
        <f>IF($A373="","",IFERROR(SUMIF(tblMotor[A_Norm],$A373,tblMotor[BasabasFiyat]),0))</f>
        <v/>
      </c>
      <c r="D373" s="16">
        <f>IF($A373="","",IFERROR(INDEX(tblMotor[KararSatir],MATCH($A373,tblMotor[A_Norm],0)),""))</f>
        <v/>
      </c>
      <c r="E373" s="16">
        <f>IF($A373="","",IF($B373&lt;0,"YUKSEK","NORMAL"))</f>
        <v/>
      </c>
      <c r="F373" s="16">
        <f>IF($A373="","",_xlfn.TEXTJOIN(" ",TRUE,"SKU",$A373,"karar",$D373,"net",TEXT($B373,"0.00"),"başabaş",TEXT($C373,"0.00"),"TL"))</f>
        <v/>
      </c>
    </row>
    <row r="374">
      <c r="A374" s="16">
        <f>IF('ESLESTIRME'!$A374="","",IF('ESLESTIRME'!$G374="tutar_farki",'ESLESTIRME'!$A374,""))</f>
        <v/>
      </c>
      <c r="B374" s="16">
        <f>IF($A374="","",IFERROR(SUMIF(tblMotor[A_Norm],$A374,tblMotor[NetKar]),0))</f>
        <v/>
      </c>
      <c r="C374" s="16">
        <f>IF($A374="","",IFERROR(SUMIF(tblMotor[A_Norm],$A374,tblMotor[BasabasFiyat]),0))</f>
        <v/>
      </c>
      <c r="D374" s="16">
        <f>IF($A374="","",IFERROR(INDEX(tblMotor[KararSatir],MATCH($A374,tblMotor[A_Norm],0)),""))</f>
        <v/>
      </c>
      <c r="E374" s="16">
        <f>IF($A374="","",IF($B374&lt;0,"YUKSEK","NORMAL"))</f>
        <v/>
      </c>
      <c r="F374" s="16">
        <f>IF($A374="","",_xlfn.TEXTJOIN(" ",TRUE,"SKU",$A374,"karar",$D374,"net",TEXT($B374,"0.00"),"başabaş",TEXT($C374,"0.00"),"TL"))</f>
        <v/>
      </c>
    </row>
    <row r="375">
      <c r="A375" s="16">
        <f>IF('ESLESTIRME'!$A375="","",IF('ESLESTIRME'!$G375="tutar_farki",'ESLESTIRME'!$A375,""))</f>
        <v/>
      </c>
      <c r="B375" s="16">
        <f>IF($A375="","",IFERROR(SUMIF(tblMotor[A_Norm],$A375,tblMotor[NetKar]),0))</f>
        <v/>
      </c>
      <c r="C375" s="16">
        <f>IF($A375="","",IFERROR(SUMIF(tblMotor[A_Norm],$A375,tblMotor[BasabasFiyat]),0))</f>
        <v/>
      </c>
      <c r="D375" s="16">
        <f>IF($A375="","",IFERROR(INDEX(tblMotor[KararSatir],MATCH($A375,tblMotor[A_Norm],0)),""))</f>
        <v/>
      </c>
      <c r="E375" s="16">
        <f>IF($A375="","",IF($B375&lt;0,"YUKSEK","NORMAL"))</f>
        <v/>
      </c>
      <c r="F375" s="16">
        <f>IF($A375="","",_xlfn.TEXTJOIN(" ",TRUE,"SKU",$A375,"karar",$D375,"net",TEXT($B375,"0.00"),"başabaş",TEXT($C375,"0.00"),"TL"))</f>
        <v/>
      </c>
    </row>
    <row r="376">
      <c r="A376" s="16">
        <f>IF('ESLESTIRME'!$A376="","",IF('ESLESTIRME'!$G376="tutar_farki",'ESLESTIRME'!$A376,""))</f>
        <v/>
      </c>
      <c r="B376" s="16">
        <f>IF($A376="","",IFERROR(SUMIF(tblMotor[A_Norm],$A376,tblMotor[NetKar]),0))</f>
        <v/>
      </c>
      <c r="C376" s="16">
        <f>IF($A376="","",IFERROR(SUMIF(tblMotor[A_Norm],$A376,tblMotor[BasabasFiyat]),0))</f>
        <v/>
      </c>
      <c r="D376" s="16">
        <f>IF($A376="","",IFERROR(INDEX(tblMotor[KararSatir],MATCH($A376,tblMotor[A_Norm],0)),""))</f>
        <v/>
      </c>
      <c r="E376" s="16">
        <f>IF($A376="","",IF($B376&lt;0,"YUKSEK","NORMAL"))</f>
        <v/>
      </c>
      <c r="F376" s="16">
        <f>IF($A376="","",_xlfn.TEXTJOIN(" ",TRUE,"SKU",$A376,"karar",$D376,"net",TEXT($B376,"0.00"),"başabaş",TEXT($C376,"0.00"),"TL"))</f>
        <v/>
      </c>
    </row>
    <row r="377">
      <c r="A377" s="16">
        <f>IF('ESLESTIRME'!$A377="","",IF('ESLESTIRME'!$G377="tutar_farki",'ESLESTIRME'!$A377,""))</f>
        <v/>
      </c>
      <c r="B377" s="16">
        <f>IF($A377="","",IFERROR(SUMIF(tblMotor[A_Norm],$A377,tblMotor[NetKar]),0))</f>
        <v/>
      </c>
      <c r="C377" s="16">
        <f>IF($A377="","",IFERROR(SUMIF(tblMotor[A_Norm],$A377,tblMotor[BasabasFiyat]),0))</f>
        <v/>
      </c>
      <c r="D377" s="16">
        <f>IF($A377="","",IFERROR(INDEX(tblMotor[KararSatir],MATCH($A377,tblMotor[A_Norm],0)),""))</f>
        <v/>
      </c>
      <c r="E377" s="16">
        <f>IF($A377="","",IF($B377&lt;0,"YUKSEK","NORMAL"))</f>
        <v/>
      </c>
      <c r="F377" s="16">
        <f>IF($A377="","",_xlfn.TEXTJOIN(" ",TRUE,"SKU",$A377,"karar",$D377,"net",TEXT($B377,"0.00"),"başabaş",TEXT($C377,"0.00"),"TL"))</f>
        <v/>
      </c>
    </row>
    <row r="378">
      <c r="A378" s="16">
        <f>IF('ESLESTIRME'!$A378="","",IF('ESLESTIRME'!$G378="tutar_farki",'ESLESTIRME'!$A378,""))</f>
        <v/>
      </c>
      <c r="B378" s="16">
        <f>IF($A378="","",IFERROR(SUMIF(tblMotor[A_Norm],$A378,tblMotor[NetKar]),0))</f>
        <v/>
      </c>
      <c r="C378" s="16">
        <f>IF($A378="","",IFERROR(SUMIF(tblMotor[A_Norm],$A378,tblMotor[BasabasFiyat]),0))</f>
        <v/>
      </c>
      <c r="D378" s="16">
        <f>IF($A378="","",IFERROR(INDEX(tblMotor[KararSatir],MATCH($A378,tblMotor[A_Norm],0)),""))</f>
        <v/>
      </c>
      <c r="E378" s="16">
        <f>IF($A378="","",IF($B378&lt;0,"YUKSEK","NORMAL"))</f>
        <v/>
      </c>
      <c r="F378" s="16">
        <f>IF($A378="","",_xlfn.TEXTJOIN(" ",TRUE,"SKU",$A378,"karar",$D378,"net",TEXT($B378,"0.00"),"başabaş",TEXT($C378,"0.00"),"TL"))</f>
        <v/>
      </c>
    </row>
    <row r="379">
      <c r="A379" s="16">
        <f>IF('ESLESTIRME'!$A379="","",IF('ESLESTIRME'!$G379="tutar_farki",'ESLESTIRME'!$A379,""))</f>
        <v/>
      </c>
      <c r="B379" s="16">
        <f>IF($A379="","",IFERROR(SUMIF(tblMotor[A_Norm],$A379,tblMotor[NetKar]),0))</f>
        <v/>
      </c>
      <c r="C379" s="16">
        <f>IF($A379="","",IFERROR(SUMIF(tblMotor[A_Norm],$A379,tblMotor[BasabasFiyat]),0))</f>
        <v/>
      </c>
      <c r="D379" s="16">
        <f>IF($A379="","",IFERROR(INDEX(tblMotor[KararSatir],MATCH($A379,tblMotor[A_Norm],0)),""))</f>
        <v/>
      </c>
      <c r="E379" s="16">
        <f>IF($A379="","",IF($B379&lt;0,"YUKSEK","NORMAL"))</f>
        <v/>
      </c>
      <c r="F379" s="16">
        <f>IF($A379="","",_xlfn.TEXTJOIN(" ",TRUE,"SKU",$A379,"karar",$D379,"net",TEXT($B379,"0.00"),"başabaş",TEXT($C379,"0.00"),"TL"))</f>
        <v/>
      </c>
    </row>
    <row r="380">
      <c r="A380" s="16">
        <f>IF('ESLESTIRME'!$A380="","",IF('ESLESTIRME'!$G380="tutar_farki",'ESLESTIRME'!$A380,""))</f>
        <v/>
      </c>
      <c r="B380" s="16">
        <f>IF($A380="","",IFERROR(SUMIF(tblMotor[A_Norm],$A380,tblMotor[NetKar]),0))</f>
        <v/>
      </c>
      <c r="C380" s="16">
        <f>IF($A380="","",IFERROR(SUMIF(tblMotor[A_Norm],$A380,tblMotor[BasabasFiyat]),0))</f>
        <v/>
      </c>
      <c r="D380" s="16">
        <f>IF($A380="","",IFERROR(INDEX(tblMotor[KararSatir],MATCH($A380,tblMotor[A_Norm],0)),""))</f>
        <v/>
      </c>
      <c r="E380" s="16">
        <f>IF($A380="","",IF($B380&lt;0,"YUKSEK","NORMAL"))</f>
        <v/>
      </c>
      <c r="F380" s="16">
        <f>IF($A380="","",_xlfn.TEXTJOIN(" ",TRUE,"SKU",$A380,"karar",$D380,"net",TEXT($B380,"0.00"),"başabaş",TEXT($C380,"0.00"),"TL"))</f>
        <v/>
      </c>
    </row>
    <row r="381">
      <c r="A381" s="16">
        <f>IF('ESLESTIRME'!$A381="","",IF('ESLESTIRME'!$G381="tutar_farki",'ESLESTIRME'!$A381,""))</f>
        <v/>
      </c>
      <c r="B381" s="16">
        <f>IF($A381="","",IFERROR(SUMIF(tblMotor[A_Norm],$A381,tblMotor[NetKar]),0))</f>
        <v/>
      </c>
      <c r="C381" s="16">
        <f>IF($A381="","",IFERROR(SUMIF(tblMotor[A_Norm],$A381,tblMotor[BasabasFiyat]),0))</f>
        <v/>
      </c>
      <c r="D381" s="16">
        <f>IF($A381="","",IFERROR(INDEX(tblMotor[KararSatir],MATCH($A381,tblMotor[A_Norm],0)),""))</f>
        <v/>
      </c>
      <c r="E381" s="16">
        <f>IF($A381="","",IF($B381&lt;0,"YUKSEK","NORMAL"))</f>
        <v/>
      </c>
      <c r="F381" s="16">
        <f>IF($A381="","",_xlfn.TEXTJOIN(" ",TRUE,"SKU",$A381,"karar",$D381,"net",TEXT($B381,"0.00"),"başabaş",TEXT($C381,"0.00"),"TL"))</f>
        <v/>
      </c>
    </row>
    <row r="382">
      <c r="A382" s="16">
        <f>IF('ESLESTIRME'!$A382="","",IF('ESLESTIRME'!$G382="tutar_farki",'ESLESTIRME'!$A382,""))</f>
        <v/>
      </c>
      <c r="B382" s="16">
        <f>IF($A382="","",IFERROR(SUMIF(tblMotor[A_Norm],$A382,tblMotor[NetKar]),0))</f>
        <v/>
      </c>
      <c r="C382" s="16">
        <f>IF($A382="","",IFERROR(SUMIF(tblMotor[A_Norm],$A382,tblMotor[BasabasFiyat]),0))</f>
        <v/>
      </c>
      <c r="D382" s="16">
        <f>IF($A382="","",IFERROR(INDEX(tblMotor[KararSatir],MATCH($A382,tblMotor[A_Norm],0)),""))</f>
        <v/>
      </c>
      <c r="E382" s="16">
        <f>IF($A382="","",IF($B382&lt;0,"YUKSEK","NORMAL"))</f>
        <v/>
      </c>
      <c r="F382" s="16">
        <f>IF($A382="","",_xlfn.TEXTJOIN(" ",TRUE,"SKU",$A382,"karar",$D382,"net",TEXT($B382,"0.00"),"başabaş",TEXT($C382,"0.00"),"TL"))</f>
        <v/>
      </c>
    </row>
    <row r="383">
      <c r="A383" s="16">
        <f>IF('ESLESTIRME'!$A383="","",IF('ESLESTIRME'!$G383="tutar_farki",'ESLESTIRME'!$A383,""))</f>
        <v/>
      </c>
      <c r="B383" s="16">
        <f>IF($A383="","",IFERROR(SUMIF(tblMotor[A_Norm],$A383,tblMotor[NetKar]),0))</f>
        <v/>
      </c>
      <c r="C383" s="16">
        <f>IF($A383="","",IFERROR(SUMIF(tblMotor[A_Norm],$A383,tblMotor[BasabasFiyat]),0))</f>
        <v/>
      </c>
      <c r="D383" s="16">
        <f>IF($A383="","",IFERROR(INDEX(tblMotor[KararSatir],MATCH($A383,tblMotor[A_Norm],0)),""))</f>
        <v/>
      </c>
      <c r="E383" s="16">
        <f>IF($A383="","",IF($B383&lt;0,"YUKSEK","NORMAL"))</f>
        <v/>
      </c>
      <c r="F383" s="16">
        <f>IF($A383="","",_xlfn.TEXTJOIN(" ",TRUE,"SKU",$A383,"karar",$D383,"net",TEXT($B383,"0.00"),"başabaş",TEXT($C383,"0.00"),"TL"))</f>
        <v/>
      </c>
    </row>
    <row r="384">
      <c r="A384" s="16">
        <f>IF('ESLESTIRME'!$A384="","",IF('ESLESTIRME'!$G384="tutar_farki",'ESLESTIRME'!$A384,""))</f>
        <v/>
      </c>
      <c r="B384" s="16">
        <f>IF($A384="","",IFERROR(SUMIF(tblMotor[A_Norm],$A384,tblMotor[NetKar]),0))</f>
        <v/>
      </c>
      <c r="C384" s="16">
        <f>IF($A384="","",IFERROR(SUMIF(tblMotor[A_Norm],$A384,tblMotor[BasabasFiyat]),0))</f>
        <v/>
      </c>
      <c r="D384" s="16">
        <f>IF($A384="","",IFERROR(INDEX(tblMotor[KararSatir],MATCH($A384,tblMotor[A_Norm],0)),""))</f>
        <v/>
      </c>
      <c r="E384" s="16">
        <f>IF($A384="","",IF($B384&lt;0,"YUKSEK","NORMAL"))</f>
        <v/>
      </c>
      <c r="F384" s="16">
        <f>IF($A384="","",_xlfn.TEXTJOIN(" ",TRUE,"SKU",$A384,"karar",$D384,"net",TEXT($B384,"0.00"),"başabaş",TEXT($C384,"0.00"),"TL"))</f>
        <v/>
      </c>
    </row>
    <row r="385">
      <c r="A385" s="16">
        <f>IF('ESLESTIRME'!$A385="","",IF('ESLESTIRME'!$G385="tutar_farki",'ESLESTIRME'!$A385,""))</f>
        <v/>
      </c>
      <c r="B385" s="16">
        <f>IF($A385="","",IFERROR(SUMIF(tblMotor[A_Norm],$A385,tblMotor[NetKar]),0))</f>
        <v/>
      </c>
      <c r="C385" s="16">
        <f>IF($A385="","",IFERROR(SUMIF(tblMotor[A_Norm],$A385,tblMotor[BasabasFiyat]),0))</f>
        <v/>
      </c>
      <c r="D385" s="16">
        <f>IF($A385="","",IFERROR(INDEX(tblMotor[KararSatir],MATCH($A385,tblMotor[A_Norm],0)),""))</f>
        <v/>
      </c>
      <c r="E385" s="16">
        <f>IF($A385="","",IF($B385&lt;0,"YUKSEK","NORMAL"))</f>
        <v/>
      </c>
      <c r="F385" s="16">
        <f>IF($A385="","",_xlfn.TEXTJOIN(" ",TRUE,"SKU",$A385,"karar",$D385,"net",TEXT($B385,"0.00"),"başabaş",TEXT($C385,"0.00"),"TL"))</f>
        <v/>
      </c>
    </row>
    <row r="386">
      <c r="A386" s="16">
        <f>IF('ESLESTIRME'!$A386="","",IF('ESLESTIRME'!$G386="tutar_farki",'ESLESTIRME'!$A386,""))</f>
        <v/>
      </c>
      <c r="B386" s="16">
        <f>IF($A386="","",IFERROR(SUMIF(tblMotor[A_Norm],$A386,tblMotor[NetKar]),0))</f>
        <v/>
      </c>
      <c r="C386" s="16">
        <f>IF($A386="","",IFERROR(SUMIF(tblMotor[A_Norm],$A386,tblMotor[BasabasFiyat]),0))</f>
        <v/>
      </c>
      <c r="D386" s="16">
        <f>IF($A386="","",IFERROR(INDEX(tblMotor[KararSatir],MATCH($A386,tblMotor[A_Norm],0)),""))</f>
        <v/>
      </c>
      <c r="E386" s="16">
        <f>IF($A386="","",IF($B386&lt;0,"YUKSEK","NORMAL"))</f>
        <v/>
      </c>
      <c r="F386" s="16">
        <f>IF($A386="","",_xlfn.TEXTJOIN(" ",TRUE,"SKU",$A386,"karar",$D386,"net",TEXT($B386,"0.00"),"başabaş",TEXT($C386,"0.00"),"TL"))</f>
        <v/>
      </c>
    </row>
    <row r="387">
      <c r="A387" s="16">
        <f>IF('ESLESTIRME'!$A387="","",IF('ESLESTIRME'!$G387="tutar_farki",'ESLESTIRME'!$A387,""))</f>
        <v/>
      </c>
      <c r="B387" s="16">
        <f>IF($A387="","",IFERROR(SUMIF(tblMotor[A_Norm],$A387,tblMotor[NetKar]),0))</f>
        <v/>
      </c>
      <c r="C387" s="16">
        <f>IF($A387="","",IFERROR(SUMIF(tblMotor[A_Norm],$A387,tblMotor[BasabasFiyat]),0))</f>
        <v/>
      </c>
      <c r="D387" s="16">
        <f>IF($A387="","",IFERROR(INDEX(tblMotor[KararSatir],MATCH($A387,tblMotor[A_Norm],0)),""))</f>
        <v/>
      </c>
      <c r="E387" s="16">
        <f>IF($A387="","",IF($B387&lt;0,"YUKSEK","NORMAL"))</f>
        <v/>
      </c>
      <c r="F387" s="16">
        <f>IF($A387="","",_xlfn.TEXTJOIN(" ",TRUE,"SKU",$A387,"karar",$D387,"net",TEXT($B387,"0.00"),"başabaş",TEXT($C387,"0.00"),"TL"))</f>
        <v/>
      </c>
    </row>
    <row r="388">
      <c r="A388" s="16">
        <f>IF('ESLESTIRME'!$A388="","",IF('ESLESTIRME'!$G388="tutar_farki",'ESLESTIRME'!$A388,""))</f>
        <v/>
      </c>
      <c r="B388" s="16">
        <f>IF($A388="","",IFERROR(SUMIF(tblMotor[A_Norm],$A388,tblMotor[NetKar]),0))</f>
        <v/>
      </c>
      <c r="C388" s="16">
        <f>IF($A388="","",IFERROR(SUMIF(tblMotor[A_Norm],$A388,tblMotor[BasabasFiyat]),0))</f>
        <v/>
      </c>
      <c r="D388" s="16">
        <f>IF($A388="","",IFERROR(INDEX(tblMotor[KararSatir],MATCH($A388,tblMotor[A_Norm],0)),""))</f>
        <v/>
      </c>
      <c r="E388" s="16">
        <f>IF($A388="","",IF($B388&lt;0,"YUKSEK","NORMAL"))</f>
        <v/>
      </c>
      <c r="F388" s="16">
        <f>IF($A388="","",_xlfn.TEXTJOIN(" ",TRUE,"SKU",$A388,"karar",$D388,"net",TEXT($B388,"0.00"),"başabaş",TEXT($C388,"0.00"),"TL"))</f>
        <v/>
      </c>
    </row>
    <row r="389">
      <c r="A389" s="16">
        <f>IF('ESLESTIRME'!$A389="","",IF('ESLESTIRME'!$G389="tutar_farki",'ESLESTIRME'!$A389,""))</f>
        <v/>
      </c>
      <c r="B389" s="16">
        <f>IF($A389="","",IFERROR(SUMIF(tblMotor[A_Norm],$A389,tblMotor[NetKar]),0))</f>
        <v/>
      </c>
      <c r="C389" s="16">
        <f>IF($A389="","",IFERROR(SUMIF(tblMotor[A_Norm],$A389,tblMotor[BasabasFiyat]),0))</f>
        <v/>
      </c>
      <c r="D389" s="16">
        <f>IF($A389="","",IFERROR(INDEX(tblMotor[KararSatir],MATCH($A389,tblMotor[A_Norm],0)),""))</f>
        <v/>
      </c>
      <c r="E389" s="16">
        <f>IF($A389="","",IF($B389&lt;0,"YUKSEK","NORMAL"))</f>
        <v/>
      </c>
      <c r="F389" s="16">
        <f>IF($A389="","",_xlfn.TEXTJOIN(" ",TRUE,"SKU",$A389,"karar",$D389,"net",TEXT($B389,"0.00"),"başabaş",TEXT($C389,"0.00"),"TL"))</f>
        <v/>
      </c>
    </row>
    <row r="390">
      <c r="A390" s="16">
        <f>IF('ESLESTIRME'!$A390="","",IF('ESLESTIRME'!$G390="tutar_farki",'ESLESTIRME'!$A390,""))</f>
        <v/>
      </c>
      <c r="B390" s="16">
        <f>IF($A390="","",IFERROR(SUMIF(tblMotor[A_Norm],$A390,tblMotor[NetKar]),0))</f>
        <v/>
      </c>
      <c r="C390" s="16">
        <f>IF($A390="","",IFERROR(SUMIF(tblMotor[A_Norm],$A390,tblMotor[BasabasFiyat]),0))</f>
        <v/>
      </c>
      <c r="D390" s="16">
        <f>IF($A390="","",IFERROR(INDEX(tblMotor[KararSatir],MATCH($A390,tblMotor[A_Norm],0)),""))</f>
        <v/>
      </c>
      <c r="E390" s="16">
        <f>IF($A390="","",IF($B390&lt;0,"YUKSEK","NORMAL"))</f>
        <v/>
      </c>
      <c r="F390" s="16">
        <f>IF($A390="","",_xlfn.TEXTJOIN(" ",TRUE,"SKU",$A390,"karar",$D390,"net",TEXT($B390,"0.00"),"başabaş",TEXT($C390,"0.00"),"TL"))</f>
        <v/>
      </c>
    </row>
    <row r="391">
      <c r="A391" s="16">
        <f>IF('ESLESTIRME'!$A391="","",IF('ESLESTIRME'!$G391="tutar_farki",'ESLESTIRME'!$A391,""))</f>
        <v/>
      </c>
      <c r="B391" s="16">
        <f>IF($A391="","",IFERROR(SUMIF(tblMotor[A_Norm],$A391,tblMotor[NetKar]),0))</f>
        <v/>
      </c>
      <c r="C391" s="16">
        <f>IF($A391="","",IFERROR(SUMIF(tblMotor[A_Norm],$A391,tblMotor[BasabasFiyat]),0))</f>
        <v/>
      </c>
      <c r="D391" s="16">
        <f>IF($A391="","",IFERROR(INDEX(tblMotor[KararSatir],MATCH($A391,tblMotor[A_Norm],0)),""))</f>
        <v/>
      </c>
      <c r="E391" s="16">
        <f>IF($A391="","",IF($B391&lt;0,"YUKSEK","NORMAL"))</f>
        <v/>
      </c>
      <c r="F391" s="16">
        <f>IF($A391="","",_xlfn.TEXTJOIN(" ",TRUE,"SKU",$A391,"karar",$D391,"net",TEXT($B391,"0.00"),"başabaş",TEXT($C391,"0.00"),"TL"))</f>
        <v/>
      </c>
    </row>
    <row r="392">
      <c r="A392" s="16">
        <f>IF('ESLESTIRME'!$A392="","",IF('ESLESTIRME'!$G392="tutar_farki",'ESLESTIRME'!$A392,""))</f>
        <v/>
      </c>
      <c r="B392" s="16">
        <f>IF($A392="","",IFERROR(SUMIF(tblMotor[A_Norm],$A392,tblMotor[NetKar]),0))</f>
        <v/>
      </c>
      <c r="C392" s="16">
        <f>IF($A392="","",IFERROR(SUMIF(tblMotor[A_Norm],$A392,tblMotor[BasabasFiyat]),0))</f>
        <v/>
      </c>
      <c r="D392" s="16">
        <f>IF($A392="","",IFERROR(INDEX(tblMotor[KararSatir],MATCH($A392,tblMotor[A_Norm],0)),""))</f>
        <v/>
      </c>
      <c r="E392" s="16">
        <f>IF($A392="","",IF($B392&lt;0,"YUKSEK","NORMAL"))</f>
        <v/>
      </c>
      <c r="F392" s="16">
        <f>IF($A392="","",_xlfn.TEXTJOIN(" ",TRUE,"SKU",$A392,"karar",$D392,"net",TEXT($B392,"0.00"),"başabaş",TEXT($C392,"0.00"),"TL"))</f>
        <v/>
      </c>
    </row>
    <row r="393">
      <c r="A393" s="16">
        <f>IF('ESLESTIRME'!$A393="","",IF('ESLESTIRME'!$G393="tutar_farki",'ESLESTIRME'!$A393,""))</f>
        <v/>
      </c>
      <c r="B393" s="16">
        <f>IF($A393="","",IFERROR(SUMIF(tblMotor[A_Norm],$A393,tblMotor[NetKar]),0))</f>
        <v/>
      </c>
      <c r="C393" s="16">
        <f>IF($A393="","",IFERROR(SUMIF(tblMotor[A_Norm],$A393,tblMotor[BasabasFiyat]),0))</f>
        <v/>
      </c>
      <c r="D393" s="16">
        <f>IF($A393="","",IFERROR(INDEX(tblMotor[KararSatir],MATCH($A393,tblMotor[A_Norm],0)),""))</f>
        <v/>
      </c>
      <c r="E393" s="16">
        <f>IF($A393="","",IF($B393&lt;0,"YUKSEK","NORMAL"))</f>
        <v/>
      </c>
      <c r="F393" s="16">
        <f>IF($A393="","",_xlfn.TEXTJOIN(" ",TRUE,"SKU",$A393,"karar",$D393,"net",TEXT($B393,"0.00"),"başabaş",TEXT($C393,"0.00"),"TL"))</f>
        <v/>
      </c>
    </row>
    <row r="394">
      <c r="A394" s="16">
        <f>IF('ESLESTIRME'!$A394="","",IF('ESLESTIRME'!$G394="tutar_farki",'ESLESTIRME'!$A394,""))</f>
        <v/>
      </c>
      <c r="B394" s="16">
        <f>IF($A394="","",IFERROR(SUMIF(tblMotor[A_Norm],$A394,tblMotor[NetKar]),0))</f>
        <v/>
      </c>
      <c r="C394" s="16">
        <f>IF($A394="","",IFERROR(SUMIF(tblMotor[A_Norm],$A394,tblMotor[BasabasFiyat]),0))</f>
        <v/>
      </c>
      <c r="D394" s="16">
        <f>IF($A394="","",IFERROR(INDEX(tblMotor[KararSatir],MATCH($A394,tblMotor[A_Norm],0)),""))</f>
        <v/>
      </c>
      <c r="E394" s="16">
        <f>IF($A394="","",IF($B394&lt;0,"YUKSEK","NORMAL"))</f>
        <v/>
      </c>
      <c r="F394" s="16">
        <f>IF($A394="","",_xlfn.TEXTJOIN(" ",TRUE,"SKU",$A394,"karar",$D394,"net",TEXT($B394,"0.00"),"başabaş",TEXT($C394,"0.00"),"TL"))</f>
        <v/>
      </c>
    </row>
    <row r="395">
      <c r="A395" s="16">
        <f>IF('ESLESTIRME'!$A395="","",IF('ESLESTIRME'!$G395="tutar_farki",'ESLESTIRME'!$A395,""))</f>
        <v/>
      </c>
      <c r="B395" s="16">
        <f>IF($A395="","",IFERROR(SUMIF(tblMotor[A_Norm],$A395,tblMotor[NetKar]),0))</f>
        <v/>
      </c>
      <c r="C395" s="16">
        <f>IF($A395="","",IFERROR(SUMIF(tblMotor[A_Norm],$A395,tblMotor[BasabasFiyat]),0))</f>
        <v/>
      </c>
      <c r="D395" s="16">
        <f>IF($A395="","",IFERROR(INDEX(tblMotor[KararSatir],MATCH($A395,tblMotor[A_Norm],0)),""))</f>
        <v/>
      </c>
      <c r="E395" s="16">
        <f>IF($A395="","",IF($B395&lt;0,"YUKSEK","NORMAL"))</f>
        <v/>
      </c>
      <c r="F395" s="16">
        <f>IF($A395="","",_xlfn.TEXTJOIN(" ",TRUE,"SKU",$A395,"karar",$D395,"net",TEXT($B395,"0.00"),"başabaş",TEXT($C395,"0.00"),"TL"))</f>
        <v/>
      </c>
    </row>
    <row r="396">
      <c r="A396" s="16">
        <f>IF('ESLESTIRME'!$A396="","",IF('ESLESTIRME'!$G396="tutar_farki",'ESLESTIRME'!$A396,""))</f>
        <v/>
      </c>
      <c r="B396" s="16">
        <f>IF($A396="","",IFERROR(SUMIF(tblMotor[A_Norm],$A396,tblMotor[NetKar]),0))</f>
        <v/>
      </c>
      <c r="C396" s="16">
        <f>IF($A396="","",IFERROR(SUMIF(tblMotor[A_Norm],$A396,tblMotor[BasabasFiyat]),0))</f>
        <v/>
      </c>
      <c r="D396" s="16">
        <f>IF($A396="","",IFERROR(INDEX(tblMotor[KararSatir],MATCH($A396,tblMotor[A_Norm],0)),""))</f>
        <v/>
      </c>
      <c r="E396" s="16">
        <f>IF($A396="","",IF($B396&lt;0,"YUKSEK","NORMAL"))</f>
        <v/>
      </c>
      <c r="F396" s="16">
        <f>IF($A396="","",_xlfn.TEXTJOIN(" ",TRUE,"SKU",$A396,"karar",$D396,"net",TEXT($B396,"0.00"),"başabaş",TEXT($C396,"0.00"),"TL"))</f>
        <v/>
      </c>
    </row>
    <row r="397">
      <c r="A397" s="16">
        <f>IF('ESLESTIRME'!$A397="","",IF('ESLESTIRME'!$G397="tutar_farki",'ESLESTIRME'!$A397,""))</f>
        <v/>
      </c>
      <c r="B397" s="16">
        <f>IF($A397="","",IFERROR(SUMIF(tblMotor[A_Norm],$A397,tblMotor[NetKar]),0))</f>
        <v/>
      </c>
      <c r="C397" s="16">
        <f>IF($A397="","",IFERROR(SUMIF(tblMotor[A_Norm],$A397,tblMotor[BasabasFiyat]),0))</f>
        <v/>
      </c>
      <c r="D397" s="16">
        <f>IF($A397="","",IFERROR(INDEX(tblMotor[KararSatir],MATCH($A397,tblMotor[A_Norm],0)),""))</f>
        <v/>
      </c>
      <c r="E397" s="16">
        <f>IF($A397="","",IF($B397&lt;0,"YUKSEK","NORMAL"))</f>
        <v/>
      </c>
      <c r="F397" s="16">
        <f>IF($A397="","",_xlfn.TEXTJOIN(" ",TRUE,"SKU",$A397,"karar",$D397,"net",TEXT($B397,"0.00"),"başabaş",TEXT($C397,"0.00"),"TL"))</f>
        <v/>
      </c>
    </row>
    <row r="398">
      <c r="A398" s="16">
        <f>IF('ESLESTIRME'!$A398="","",IF('ESLESTIRME'!$G398="tutar_farki",'ESLESTIRME'!$A398,""))</f>
        <v/>
      </c>
      <c r="B398" s="16">
        <f>IF($A398="","",IFERROR(SUMIF(tblMotor[A_Norm],$A398,tblMotor[NetKar]),0))</f>
        <v/>
      </c>
      <c r="C398" s="16">
        <f>IF($A398="","",IFERROR(SUMIF(tblMotor[A_Norm],$A398,tblMotor[BasabasFiyat]),0))</f>
        <v/>
      </c>
      <c r="D398" s="16">
        <f>IF($A398="","",IFERROR(INDEX(tblMotor[KararSatir],MATCH($A398,tblMotor[A_Norm],0)),""))</f>
        <v/>
      </c>
      <c r="E398" s="16">
        <f>IF($A398="","",IF($B398&lt;0,"YUKSEK","NORMAL"))</f>
        <v/>
      </c>
      <c r="F398" s="16">
        <f>IF($A398="","",_xlfn.TEXTJOIN(" ",TRUE,"SKU",$A398,"karar",$D398,"net",TEXT($B398,"0.00"),"başabaş",TEXT($C398,"0.00"),"TL"))</f>
        <v/>
      </c>
    </row>
    <row r="399">
      <c r="A399" s="16">
        <f>IF('ESLESTIRME'!$A399="","",IF('ESLESTIRME'!$G399="tutar_farki",'ESLESTIRME'!$A399,""))</f>
        <v/>
      </c>
      <c r="B399" s="16">
        <f>IF($A399="","",IFERROR(SUMIF(tblMotor[A_Norm],$A399,tblMotor[NetKar]),0))</f>
        <v/>
      </c>
      <c r="C399" s="16">
        <f>IF($A399="","",IFERROR(SUMIF(tblMotor[A_Norm],$A399,tblMotor[BasabasFiyat]),0))</f>
        <v/>
      </c>
      <c r="D399" s="16">
        <f>IF($A399="","",IFERROR(INDEX(tblMotor[KararSatir],MATCH($A399,tblMotor[A_Norm],0)),""))</f>
        <v/>
      </c>
      <c r="E399" s="16">
        <f>IF($A399="","",IF($B399&lt;0,"YUKSEK","NORMAL"))</f>
        <v/>
      </c>
      <c r="F399" s="16">
        <f>IF($A399="","",_xlfn.TEXTJOIN(" ",TRUE,"SKU",$A399,"karar",$D399,"net",TEXT($B399,"0.00"),"başabaş",TEXT($C399,"0.00"),"TL"))</f>
        <v/>
      </c>
    </row>
    <row r="400">
      <c r="A400" s="16">
        <f>IF('ESLESTIRME'!$A400="","",IF('ESLESTIRME'!$G400="tutar_farki",'ESLESTIRME'!$A400,""))</f>
        <v/>
      </c>
      <c r="B400" s="16">
        <f>IF($A400="","",IFERROR(SUMIF(tblMotor[A_Norm],$A400,tblMotor[NetKar]),0))</f>
        <v/>
      </c>
      <c r="C400" s="16">
        <f>IF($A400="","",IFERROR(SUMIF(tblMotor[A_Norm],$A400,tblMotor[BasabasFiyat]),0))</f>
        <v/>
      </c>
      <c r="D400" s="16">
        <f>IF($A400="","",IFERROR(INDEX(tblMotor[KararSatir],MATCH($A400,tblMotor[A_Norm],0)),""))</f>
        <v/>
      </c>
      <c r="E400" s="16">
        <f>IF($A400="","",IF($B400&lt;0,"YUKSEK","NORMAL"))</f>
        <v/>
      </c>
      <c r="F400" s="16">
        <f>IF($A400="","",_xlfn.TEXTJOIN(" ",TRUE,"SKU",$A400,"karar",$D400,"net",TEXT($B400,"0.00"),"başabaş",TEXT($C400,"0.00"),"TL"))</f>
        <v/>
      </c>
    </row>
    <row r="401">
      <c r="A401" s="16">
        <f>IF('ESLESTIRME'!$A401="","",IF('ESLESTIRME'!$G401="tutar_farki",'ESLESTIRME'!$A401,""))</f>
        <v/>
      </c>
      <c r="B401" s="16">
        <f>IF($A401="","",IFERROR(SUMIF(tblMotor[A_Norm],$A401,tblMotor[NetKar]),0))</f>
        <v/>
      </c>
      <c r="C401" s="16">
        <f>IF($A401="","",IFERROR(SUMIF(tblMotor[A_Norm],$A401,tblMotor[BasabasFiyat]),0))</f>
        <v/>
      </c>
      <c r="D401" s="16">
        <f>IF($A401="","",IFERROR(INDEX(tblMotor[KararSatir],MATCH($A401,tblMotor[A_Norm],0)),""))</f>
        <v/>
      </c>
      <c r="E401" s="16">
        <f>IF($A401="","",IF($B401&lt;0,"YUKSEK","NORMAL"))</f>
        <v/>
      </c>
      <c r="F401" s="16">
        <f>IF($A401="","",_xlfn.TEXTJOIN(" ",TRUE,"SKU",$A401,"karar",$D401,"net",TEXT($B401,"0.00"),"başabaş",TEXT($C401,"0.00"),"TL"))</f>
        <v/>
      </c>
    </row>
    <row r="402">
      <c r="A402" s="16">
        <f>IF('ESLESTIRME'!$A402="","",IF('ESLESTIRME'!$G402="tutar_farki",'ESLESTIRME'!$A402,""))</f>
        <v/>
      </c>
      <c r="B402" s="16">
        <f>IF($A402="","",IFERROR(SUMIF(tblMotor[A_Norm],$A402,tblMotor[NetKar]),0))</f>
        <v/>
      </c>
      <c r="C402" s="16">
        <f>IF($A402="","",IFERROR(SUMIF(tblMotor[A_Norm],$A402,tblMotor[BasabasFiyat]),0))</f>
        <v/>
      </c>
      <c r="D402" s="16">
        <f>IF($A402="","",IFERROR(INDEX(tblMotor[KararSatir],MATCH($A402,tblMotor[A_Norm],0)),""))</f>
        <v/>
      </c>
      <c r="E402" s="16">
        <f>IF($A402="","",IF($B402&lt;0,"YUKSEK","NORMAL"))</f>
        <v/>
      </c>
      <c r="F402" s="16">
        <f>IF($A402="","",_xlfn.TEXTJOIN(" ",TRUE,"SKU",$A402,"karar",$D402,"net",TEXT($B402,"0.00"),"başabaş",TEXT($C402,"0.00"),"TL"))</f>
        <v/>
      </c>
    </row>
    <row r="403">
      <c r="A403" s="16">
        <f>IF('ESLESTIRME'!$A403="","",IF('ESLESTIRME'!$G403="tutar_farki",'ESLESTIRME'!$A403,""))</f>
        <v/>
      </c>
      <c r="B403" s="16">
        <f>IF($A403="","",IFERROR(SUMIF(tblMotor[A_Norm],$A403,tblMotor[NetKar]),0))</f>
        <v/>
      </c>
      <c r="C403" s="16">
        <f>IF($A403="","",IFERROR(SUMIF(tblMotor[A_Norm],$A403,tblMotor[BasabasFiyat]),0))</f>
        <v/>
      </c>
      <c r="D403" s="16">
        <f>IF($A403="","",IFERROR(INDEX(tblMotor[KararSatir],MATCH($A403,tblMotor[A_Norm],0)),""))</f>
        <v/>
      </c>
      <c r="E403" s="16">
        <f>IF($A403="","",IF($B403&lt;0,"YUKSEK","NORMAL"))</f>
        <v/>
      </c>
      <c r="F403" s="16">
        <f>IF($A403="","",_xlfn.TEXTJOIN(" ",TRUE,"SKU",$A403,"karar",$D403,"net",TEXT($B403,"0.00"),"başabaş",TEXT($C403,"0.00"),"TL"))</f>
        <v/>
      </c>
    </row>
    <row r="404">
      <c r="A404" s="16">
        <f>IF('ESLESTIRME'!$A404="","",IF('ESLESTIRME'!$G404="tutar_farki",'ESLESTIRME'!$A404,""))</f>
        <v/>
      </c>
      <c r="B404" s="16">
        <f>IF($A404="","",IFERROR(SUMIF(tblMotor[A_Norm],$A404,tblMotor[NetKar]),0))</f>
        <v/>
      </c>
      <c r="C404" s="16">
        <f>IF($A404="","",IFERROR(SUMIF(tblMotor[A_Norm],$A404,tblMotor[BasabasFiyat]),0))</f>
        <v/>
      </c>
      <c r="D404" s="16">
        <f>IF($A404="","",IFERROR(INDEX(tblMotor[KararSatir],MATCH($A404,tblMotor[A_Norm],0)),""))</f>
        <v/>
      </c>
      <c r="E404" s="16">
        <f>IF($A404="","",IF($B404&lt;0,"YUKSEK","NORMAL"))</f>
        <v/>
      </c>
      <c r="F404" s="16">
        <f>IF($A404="","",_xlfn.TEXTJOIN(" ",TRUE,"SKU",$A404,"karar",$D404,"net",TEXT($B404,"0.00"),"başabaş",TEXT($C404,"0.00"),"TL"))</f>
        <v/>
      </c>
    </row>
    <row r="405">
      <c r="A405" s="16">
        <f>IF('ESLESTIRME'!$A405="","",IF('ESLESTIRME'!$G405="tutar_farki",'ESLESTIRME'!$A405,""))</f>
        <v/>
      </c>
      <c r="B405" s="16">
        <f>IF($A405="","",IFERROR(SUMIF(tblMotor[A_Norm],$A405,tblMotor[NetKar]),0))</f>
        <v/>
      </c>
      <c r="C405" s="16">
        <f>IF($A405="","",IFERROR(SUMIF(tblMotor[A_Norm],$A405,tblMotor[BasabasFiyat]),0))</f>
        <v/>
      </c>
      <c r="D405" s="16">
        <f>IF($A405="","",IFERROR(INDEX(tblMotor[KararSatir],MATCH($A405,tblMotor[A_Norm],0)),""))</f>
        <v/>
      </c>
      <c r="E405" s="16">
        <f>IF($A405="","",IF($B405&lt;0,"YUKSEK","NORMAL"))</f>
        <v/>
      </c>
      <c r="F405" s="16">
        <f>IF($A405="","",_xlfn.TEXTJOIN(" ",TRUE,"SKU",$A405,"karar",$D405,"net",TEXT($B405,"0.00"),"başabaş",TEXT($C405,"0.00"),"TL"))</f>
        <v/>
      </c>
    </row>
    <row r="406">
      <c r="A406" s="16">
        <f>IF('ESLESTIRME'!$A406="","",IF('ESLESTIRME'!$G406="tutar_farki",'ESLESTIRME'!$A406,""))</f>
        <v/>
      </c>
      <c r="B406" s="16">
        <f>IF($A406="","",IFERROR(SUMIF(tblMotor[A_Norm],$A406,tblMotor[NetKar]),0))</f>
        <v/>
      </c>
      <c r="C406" s="16">
        <f>IF($A406="","",IFERROR(SUMIF(tblMotor[A_Norm],$A406,tblMotor[BasabasFiyat]),0))</f>
        <v/>
      </c>
      <c r="D406" s="16">
        <f>IF($A406="","",IFERROR(INDEX(tblMotor[KararSatir],MATCH($A406,tblMotor[A_Norm],0)),""))</f>
        <v/>
      </c>
      <c r="E406" s="16">
        <f>IF($A406="","",IF($B406&lt;0,"YUKSEK","NORMAL"))</f>
        <v/>
      </c>
      <c r="F406" s="16">
        <f>IF($A406="","",_xlfn.TEXTJOIN(" ",TRUE,"SKU",$A406,"karar",$D406,"net",TEXT($B406,"0.00"),"başabaş",TEXT($C406,"0.00"),"TL"))</f>
        <v/>
      </c>
    </row>
    <row r="407">
      <c r="A407" s="16">
        <f>IF('ESLESTIRME'!$A407="","",IF('ESLESTIRME'!$G407="tutar_farki",'ESLESTIRME'!$A407,""))</f>
        <v/>
      </c>
      <c r="B407" s="16">
        <f>IF($A407="","",IFERROR(SUMIF(tblMotor[A_Norm],$A407,tblMotor[NetKar]),0))</f>
        <v/>
      </c>
      <c r="C407" s="16">
        <f>IF($A407="","",IFERROR(SUMIF(tblMotor[A_Norm],$A407,tblMotor[BasabasFiyat]),0))</f>
        <v/>
      </c>
      <c r="D407" s="16">
        <f>IF($A407="","",IFERROR(INDEX(tblMotor[KararSatir],MATCH($A407,tblMotor[A_Norm],0)),""))</f>
        <v/>
      </c>
      <c r="E407" s="16">
        <f>IF($A407="","",IF($B407&lt;0,"YUKSEK","NORMAL"))</f>
        <v/>
      </c>
      <c r="F407" s="16">
        <f>IF($A407="","",_xlfn.TEXTJOIN(" ",TRUE,"SKU",$A407,"karar",$D407,"net",TEXT($B407,"0.00"),"başabaş",TEXT($C407,"0.00"),"TL"))</f>
        <v/>
      </c>
    </row>
    <row r="408">
      <c r="A408" s="16">
        <f>IF('ESLESTIRME'!$A408="","",IF('ESLESTIRME'!$G408="tutar_farki",'ESLESTIRME'!$A408,""))</f>
        <v/>
      </c>
      <c r="B408" s="16">
        <f>IF($A408="","",IFERROR(SUMIF(tblMotor[A_Norm],$A408,tblMotor[NetKar]),0))</f>
        <v/>
      </c>
      <c r="C408" s="16">
        <f>IF($A408="","",IFERROR(SUMIF(tblMotor[A_Norm],$A408,tblMotor[BasabasFiyat]),0))</f>
        <v/>
      </c>
      <c r="D408" s="16">
        <f>IF($A408="","",IFERROR(INDEX(tblMotor[KararSatir],MATCH($A408,tblMotor[A_Norm],0)),""))</f>
        <v/>
      </c>
      <c r="E408" s="16">
        <f>IF($A408="","",IF($B408&lt;0,"YUKSEK","NORMAL"))</f>
        <v/>
      </c>
      <c r="F408" s="16">
        <f>IF($A408="","",_xlfn.TEXTJOIN(" ",TRUE,"SKU",$A408,"karar",$D408,"net",TEXT($B408,"0.00"),"başabaş",TEXT($C408,"0.00"),"TL"))</f>
        <v/>
      </c>
    </row>
    <row r="409">
      <c r="A409" s="16">
        <f>IF('ESLESTIRME'!$A409="","",IF('ESLESTIRME'!$G409="tutar_farki",'ESLESTIRME'!$A409,""))</f>
        <v/>
      </c>
      <c r="B409" s="16">
        <f>IF($A409="","",IFERROR(SUMIF(tblMotor[A_Norm],$A409,tblMotor[NetKar]),0))</f>
        <v/>
      </c>
      <c r="C409" s="16">
        <f>IF($A409="","",IFERROR(SUMIF(tblMotor[A_Norm],$A409,tblMotor[BasabasFiyat]),0))</f>
        <v/>
      </c>
      <c r="D409" s="16">
        <f>IF($A409="","",IFERROR(INDEX(tblMotor[KararSatir],MATCH($A409,tblMotor[A_Norm],0)),""))</f>
        <v/>
      </c>
      <c r="E409" s="16">
        <f>IF($A409="","",IF($B409&lt;0,"YUKSEK","NORMAL"))</f>
        <v/>
      </c>
      <c r="F409" s="16">
        <f>IF($A409="","",_xlfn.TEXTJOIN(" ",TRUE,"SKU",$A409,"karar",$D409,"net",TEXT($B409,"0.00"),"başabaş",TEXT($C409,"0.00"),"TL"))</f>
        <v/>
      </c>
    </row>
    <row r="410">
      <c r="A410" s="16">
        <f>IF('ESLESTIRME'!$A410="","",IF('ESLESTIRME'!$G410="tutar_farki",'ESLESTIRME'!$A410,""))</f>
        <v/>
      </c>
      <c r="B410" s="16">
        <f>IF($A410="","",IFERROR(SUMIF(tblMotor[A_Norm],$A410,tblMotor[NetKar]),0))</f>
        <v/>
      </c>
      <c r="C410" s="16">
        <f>IF($A410="","",IFERROR(SUMIF(tblMotor[A_Norm],$A410,tblMotor[BasabasFiyat]),0))</f>
        <v/>
      </c>
      <c r="D410" s="16">
        <f>IF($A410="","",IFERROR(INDEX(tblMotor[KararSatir],MATCH($A410,tblMotor[A_Norm],0)),""))</f>
        <v/>
      </c>
      <c r="E410" s="16">
        <f>IF($A410="","",IF($B410&lt;0,"YUKSEK","NORMAL"))</f>
        <v/>
      </c>
      <c r="F410" s="16">
        <f>IF($A410="","",_xlfn.TEXTJOIN(" ",TRUE,"SKU",$A410,"karar",$D410,"net",TEXT($B410,"0.00"),"başabaş",TEXT($C410,"0.00"),"TL"))</f>
        <v/>
      </c>
    </row>
    <row r="411">
      <c r="A411" s="16">
        <f>IF('ESLESTIRME'!$A411="","",IF('ESLESTIRME'!$G411="tutar_farki",'ESLESTIRME'!$A411,""))</f>
        <v/>
      </c>
      <c r="B411" s="16">
        <f>IF($A411="","",IFERROR(SUMIF(tblMotor[A_Norm],$A411,tblMotor[NetKar]),0))</f>
        <v/>
      </c>
      <c r="C411" s="16">
        <f>IF($A411="","",IFERROR(SUMIF(tblMotor[A_Norm],$A411,tblMotor[BasabasFiyat]),0))</f>
        <v/>
      </c>
      <c r="D411" s="16">
        <f>IF($A411="","",IFERROR(INDEX(tblMotor[KararSatir],MATCH($A411,tblMotor[A_Norm],0)),""))</f>
        <v/>
      </c>
      <c r="E411" s="16">
        <f>IF($A411="","",IF($B411&lt;0,"YUKSEK","NORMAL"))</f>
        <v/>
      </c>
      <c r="F411" s="16">
        <f>IF($A411="","",_xlfn.TEXTJOIN(" ",TRUE,"SKU",$A411,"karar",$D411,"net",TEXT($B411,"0.00"),"başabaş",TEXT($C411,"0.00"),"TL"))</f>
        <v/>
      </c>
    </row>
    <row r="412">
      <c r="A412" s="16">
        <f>IF('ESLESTIRME'!$A412="","",IF('ESLESTIRME'!$G412="tutar_farki",'ESLESTIRME'!$A412,""))</f>
        <v/>
      </c>
      <c r="B412" s="16">
        <f>IF($A412="","",IFERROR(SUMIF(tblMotor[A_Norm],$A412,tblMotor[NetKar]),0))</f>
        <v/>
      </c>
      <c r="C412" s="16">
        <f>IF($A412="","",IFERROR(SUMIF(tblMotor[A_Norm],$A412,tblMotor[BasabasFiyat]),0))</f>
        <v/>
      </c>
      <c r="D412" s="16">
        <f>IF($A412="","",IFERROR(INDEX(tblMotor[KararSatir],MATCH($A412,tblMotor[A_Norm],0)),""))</f>
        <v/>
      </c>
      <c r="E412" s="16">
        <f>IF($A412="","",IF($B412&lt;0,"YUKSEK","NORMAL"))</f>
        <v/>
      </c>
      <c r="F412" s="16">
        <f>IF($A412="","",_xlfn.TEXTJOIN(" ",TRUE,"SKU",$A412,"karar",$D412,"net",TEXT($B412,"0.00"),"başabaş",TEXT($C412,"0.00"),"TL"))</f>
        <v/>
      </c>
    </row>
    <row r="413">
      <c r="A413" s="16">
        <f>IF('ESLESTIRME'!$A413="","",IF('ESLESTIRME'!$G413="tutar_farki",'ESLESTIRME'!$A413,""))</f>
        <v/>
      </c>
      <c r="B413" s="16">
        <f>IF($A413="","",IFERROR(SUMIF(tblMotor[A_Norm],$A413,tblMotor[NetKar]),0))</f>
        <v/>
      </c>
      <c r="C413" s="16">
        <f>IF($A413="","",IFERROR(SUMIF(tblMotor[A_Norm],$A413,tblMotor[BasabasFiyat]),0))</f>
        <v/>
      </c>
      <c r="D413" s="16">
        <f>IF($A413="","",IFERROR(INDEX(tblMotor[KararSatir],MATCH($A413,tblMotor[A_Norm],0)),""))</f>
        <v/>
      </c>
      <c r="E413" s="16">
        <f>IF($A413="","",IF($B413&lt;0,"YUKSEK","NORMAL"))</f>
        <v/>
      </c>
      <c r="F413" s="16">
        <f>IF($A413="","",_xlfn.TEXTJOIN(" ",TRUE,"SKU",$A413,"karar",$D413,"net",TEXT($B413,"0.00"),"başabaş",TEXT($C413,"0.00"),"TL"))</f>
        <v/>
      </c>
    </row>
    <row r="414">
      <c r="A414" s="16">
        <f>IF('ESLESTIRME'!$A414="","",IF('ESLESTIRME'!$G414="tutar_farki",'ESLESTIRME'!$A414,""))</f>
        <v/>
      </c>
      <c r="B414" s="16">
        <f>IF($A414="","",IFERROR(SUMIF(tblMotor[A_Norm],$A414,tblMotor[NetKar]),0))</f>
        <v/>
      </c>
      <c r="C414" s="16">
        <f>IF($A414="","",IFERROR(SUMIF(tblMotor[A_Norm],$A414,tblMotor[BasabasFiyat]),0))</f>
        <v/>
      </c>
      <c r="D414" s="16">
        <f>IF($A414="","",IFERROR(INDEX(tblMotor[KararSatir],MATCH($A414,tblMotor[A_Norm],0)),""))</f>
        <v/>
      </c>
      <c r="E414" s="16">
        <f>IF($A414="","",IF($B414&lt;0,"YUKSEK","NORMAL"))</f>
        <v/>
      </c>
      <c r="F414" s="16">
        <f>IF($A414="","",_xlfn.TEXTJOIN(" ",TRUE,"SKU",$A414,"karar",$D414,"net",TEXT($B414,"0.00"),"başabaş",TEXT($C414,"0.00"),"TL"))</f>
        <v/>
      </c>
    </row>
    <row r="415">
      <c r="A415" s="16">
        <f>IF('ESLESTIRME'!$A415="","",IF('ESLESTIRME'!$G415="tutar_farki",'ESLESTIRME'!$A415,""))</f>
        <v/>
      </c>
      <c r="B415" s="16">
        <f>IF($A415="","",IFERROR(SUMIF(tblMotor[A_Norm],$A415,tblMotor[NetKar]),0))</f>
        <v/>
      </c>
      <c r="C415" s="16">
        <f>IF($A415="","",IFERROR(SUMIF(tblMotor[A_Norm],$A415,tblMotor[BasabasFiyat]),0))</f>
        <v/>
      </c>
      <c r="D415" s="16">
        <f>IF($A415="","",IFERROR(INDEX(tblMotor[KararSatir],MATCH($A415,tblMotor[A_Norm],0)),""))</f>
        <v/>
      </c>
      <c r="E415" s="16">
        <f>IF($A415="","",IF($B415&lt;0,"YUKSEK","NORMAL"))</f>
        <v/>
      </c>
      <c r="F415" s="16">
        <f>IF($A415="","",_xlfn.TEXTJOIN(" ",TRUE,"SKU",$A415,"karar",$D415,"net",TEXT($B415,"0.00"),"başabaş",TEXT($C415,"0.00"),"TL"))</f>
        <v/>
      </c>
    </row>
    <row r="416">
      <c r="A416" s="16">
        <f>IF('ESLESTIRME'!$A416="","",IF('ESLESTIRME'!$G416="tutar_farki",'ESLESTIRME'!$A416,""))</f>
        <v/>
      </c>
      <c r="B416" s="16">
        <f>IF($A416="","",IFERROR(SUMIF(tblMotor[A_Norm],$A416,tblMotor[NetKar]),0))</f>
        <v/>
      </c>
      <c r="C416" s="16">
        <f>IF($A416="","",IFERROR(SUMIF(tblMotor[A_Norm],$A416,tblMotor[BasabasFiyat]),0))</f>
        <v/>
      </c>
      <c r="D416" s="16">
        <f>IF($A416="","",IFERROR(INDEX(tblMotor[KararSatir],MATCH($A416,tblMotor[A_Norm],0)),""))</f>
        <v/>
      </c>
      <c r="E416" s="16">
        <f>IF($A416="","",IF($B416&lt;0,"YUKSEK","NORMAL"))</f>
        <v/>
      </c>
      <c r="F416" s="16">
        <f>IF($A416="","",_xlfn.TEXTJOIN(" ",TRUE,"SKU",$A416,"karar",$D416,"net",TEXT($B416,"0.00"),"başabaş",TEXT($C416,"0.00"),"TL"))</f>
        <v/>
      </c>
    </row>
    <row r="417">
      <c r="A417" s="16">
        <f>IF('ESLESTIRME'!$A417="","",IF('ESLESTIRME'!$G417="tutar_farki",'ESLESTIRME'!$A417,""))</f>
        <v/>
      </c>
      <c r="B417" s="16">
        <f>IF($A417="","",IFERROR(SUMIF(tblMotor[A_Norm],$A417,tblMotor[NetKar]),0))</f>
        <v/>
      </c>
      <c r="C417" s="16">
        <f>IF($A417="","",IFERROR(SUMIF(tblMotor[A_Norm],$A417,tblMotor[BasabasFiyat]),0))</f>
        <v/>
      </c>
      <c r="D417" s="16">
        <f>IF($A417="","",IFERROR(INDEX(tblMotor[KararSatir],MATCH($A417,tblMotor[A_Norm],0)),""))</f>
        <v/>
      </c>
      <c r="E417" s="16">
        <f>IF($A417="","",IF($B417&lt;0,"YUKSEK","NORMAL"))</f>
        <v/>
      </c>
      <c r="F417" s="16">
        <f>IF($A417="","",_xlfn.TEXTJOIN(" ",TRUE,"SKU",$A417,"karar",$D417,"net",TEXT($B417,"0.00"),"başabaş",TEXT($C417,"0.00"),"TL"))</f>
        <v/>
      </c>
    </row>
    <row r="418">
      <c r="A418" s="16">
        <f>IF('ESLESTIRME'!$A418="","",IF('ESLESTIRME'!$G418="tutar_farki",'ESLESTIRME'!$A418,""))</f>
        <v/>
      </c>
      <c r="B418" s="16">
        <f>IF($A418="","",IFERROR(SUMIF(tblMotor[A_Norm],$A418,tblMotor[NetKar]),0))</f>
        <v/>
      </c>
      <c r="C418" s="16">
        <f>IF($A418="","",IFERROR(SUMIF(tblMotor[A_Norm],$A418,tblMotor[BasabasFiyat]),0))</f>
        <v/>
      </c>
      <c r="D418" s="16">
        <f>IF($A418="","",IFERROR(INDEX(tblMotor[KararSatir],MATCH($A418,tblMotor[A_Norm],0)),""))</f>
        <v/>
      </c>
      <c r="E418" s="16">
        <f>IF($A418="","",IF($B418&lt;0,"YUKSEK","NORMAL"))</f>
        <v/>
      </c>
      <c r="F418" s="16">
        <f>IF($A418="","",_xlfn.TEXTJOIN(" ",TRUE,"SKU",$A418,"karar",$D418,"net",TEXT($B418,"0.00"),"başabaş",TEXT($C418,"0.00"),"TL"))</f>
        <v/>
      </c>
    </row>
    <row r="419">
      <c r="A419" s="16">
        <f>IF('ESLESTIRME'!$A419="","",IF('ESLESTIRME'!$G419="tutar_farki",'ESLESTIRME'!$A419,""))</f>
        <v/>
      </c>
      <c r="B419" s="16">
        <f>IF($A419="","",IFERROR(SUMIF(tblMotor[A_Norm],$A419,tblMotor[NetKar]),0))</f>
        <v/>
      </c>
      <c r="C419" s="16">
        <f>IF($A419="","",IFERROR(SUMIF(tblMotor[A_Norm],$A419,tblMotor[BasabasFiyat]),0))</f>
        <v/>
      </c>
      <c r="D419" s="16">
        <f>IF($A419="","",IFERROR(INDEX(tblMotor[KararSatir],MATCH($A419,tblMotor[A_Norm],0)),""))</f>
        <v/>
      </c>
      <c r="E419" s="16">
        <f>IF($A419="","",IF($B419&lt;0,"YUKSEK","NORMAL"))</f>
        <v/>
      </c>
      <c r="F419" s="16">
        <f>IF($A419="","",_xlfn.TEXTJOIN(" ",TRUE,"SKU",$A419,"karar",$D419,"net",TEXT($B419,"0.00"),"başabaş",TEXT($C419,"0.00"),"TL"))</f>
        <v/>
      </c>
    </row>
    <row r="420">
      <c r="A420" s="16">
        <f>IF('ESLESTIRME'!$A420="","",IF('ESLESTIRME'!$G420="tutar_farki",'ESLESTIRME'!$A420,""))</f>
        <v/>
      </c>
      <c r="B420" s="16">
        <f>IF($A420="","",IFERROR(SUMIF(tblMotor[A_Norm],$A420,tblMotor[NetKar]),0))</f>
        <v/>
      </c>
      <c r="C420" s="16">
        <f>IF($A420="","",IFERROR(SUMIF(tblMotor[A_Norm],$A420,tblMotor[BasabasFiyat]),0))</f>
        <v/>
      </c>
      <c r="D420" s="16">
        <f>IF($A420="","",IFERROR(INDEX(tblMotor[KararSatir],MATCH($A420,tblMotor[A_Norm],0)),""))</f>
        <v/>
      </c>
      <c r="E420" s="16">
        <f>IF($A420="","",IF($B420&lt;0,"YUKSEK","NORMAL"))</f>
        <v/>
      </c>
      <c r="F420" s="16">
        <f>IF($A420="","",_xlfn.TEXTJOIN(" ",TRUE,"SKU",$A420,"karar",$D420,"net",TEXT($B420,"0.00"),"başabaş",TEXT($C420,"0.00"),"TL"))</f>
        <v/>
      </c>
    </row>
    <row r="421">
      <c r="A421" s="16">
        <f>IF('ESLESTIRME'!$A421="","",IF('ESLESTIRME'!$G421="tutar_farki",'ESLESTIRME'!$A421,""))</f>
        <v/>
      </c>
      <c r="B421" s="16">
        <f>IF($A421="","",IFERROR(SUMIF(tblMotor[A_Norm],$A421,tblMotor[NetKar]),0))</f>
        <v/>
      </c>
      <c r="C421" s="16">
        <f>IF($A421="","",IFERROR(SUMIF(tblMotor[A_Norm],$A421,tblMotor[BasabasFiyat]),0))</f>
        <v/>
      </c>
      <c r="D421" s="16">
        <f>IF($A421="","",IFERROR(INDEX(tblMotor[KararSatir],MATCH($A421,tblMotor[A_Norm],0)),""))</f>
        <v/>
      </c>
      <c r="E421" s="16">
        <f>IF($A421="","",IF($B421&lt;0,"YUKSEK","NORMAL"))</f>
        <v/>
      </c>
      <c r="F421" s="16">
        <f>IF($A421="","",_xlfn.TEXTJOIN(" ",TRUE,"SKU",$A421,"karar",$D421,"net",TEXT($B421,"0.00"),"başabaş",TEXT($C421,"0.00"),"TL"))</f>
        <v/>
      </c>
    </row>
    <row r="422">
      <c r="A422" s="16">
        <f>IF('ESLESTIRME'!$A422="","",IF('ESLESTIRME'!$G422="tutar_farki",'ESLESTIRME'!$A422,""))</f>
        <v/>
      </c>
      <c r="B422" s="16">
        <f>IF($A422="","",IFERROR(SUMIF(tblMotor[A_Norm],$A422,tblMotor[NetKar]),0))</f>
        <v/>
      </c>
      <c r="C422" s="16">
        <f>IF($A422="","",IFERROR(SUMIF(tblMotor[A_Norm],$A422,tblMotor[BasabasFiyat]),0))</f>
        <v/>
      </c>
      <c r="D422" s="16">
        <f>IF($A422="","",IFERROR(INDEX(tblMotor[KararSatir],MATCH($A422,tblMotor[A_Norm],0)),""))</f>
        <v/>
      </c>
      <c r="E422" s="16">
        <f>IF($A422="","",IF($B422&lt;0,"YUKSEK","NORMAL"))</f>
        <v/>
      </c>
      <c r="F422" s="16">
        <f>IF($A422="","",_xlfn.TEXTJOIN(" ",TRUE,"SKU",$A422,"karar",$D422,"net",TEXT($B422,"0.00"),"başabaş",TEXT($C422,"0.00"),"TL"))</f>
        <v/>
      </c>
    </row>
    <row r="423">
      <c r="A423" s="16">
        <f>IF('ESLESTIRME'!$A423="","",IF('ESLESTIRME'!$G423="tutar_farki",'ESLESTIRME'!$A423,""))</f>
        <v/>
      </c>
      <c r="B423" s="16">
        <f>IF($A423="","",IFERROR(SUMIF(tblMotor[A_Norm],$A423,tblMotor[NetKar]),0))</f>
        <v/>
      </c>
      <c r="C423" s="16">
        <f>IF($A423="","",IFERROR(SUMIF(tblMotor[A_Norm],$A423,tblMotor[BasabasFiyat]),0))</f>
        <v/>
      </c>
      <c r="D423" s="16">
        <f>IF($A423="","",IFERROR(INDEX(tblMotor[KararSatir],MATCH($A423,tblMotor[A_Norm],0)),""))</f>
        <v/>
      </c>
      <c r="E423" s="16">
        <f>IF($A423="","",IF($B423&lt;0,"YUKSEK","NORMAL"))</f>
        <v/>
      </c>
      <c r="F423" s="16">
        <f>IF($A423="","",_xlfn.TEXTJOIN(" ",TRUE,"SKU",$A423,"karar",$D423,"net",TEXT($B423,"0.00"),"başabaş",TEXT($C423,"0.00"),"TL"))</f>
        <v/>
      </c>
    </row>
    <row r="424">
      <c r="A424" s="16">
        <f>IF('ESLESTIRME'!$A424="","",IF('ESLESTIRME'!$G424="tutar_farki",'ESLESTIRME'!$A424,""))</f>
        <v/>
      </c>
      <c r="B424" s="16">
        <f>IF($A424="","",IFERROR(SUMIF(tblMotor[A_Norm],$A424,tblMotor[NetKar]),0))</f>
        <v/>
      </c>
      <c r="C424" s="16">
        <f>IF($A424="","",IFERROR(SUMIF(tblMotor[A_Norm],$A424,tblMotor[BasabasFiyat]),0))</f>
        <v/>
      </c>
      <c r="D424" s="16">
        <f>IF($A424="","",IFERROR(INDEX(tblMotor[KararSatir],MATCH($A424,tblMotor[A_Norm],0)),""))</f>
        <v/>
      </c>
      <c r="E424" s="16">
        <f>IF($A424="","",IF($B424&lt;0,"YUKSEK","NORMAL"))</f>
        <v/>
      </c>
      <c r="F424" s="16">
        <f>IF($A424="","",_xlfn.TEXTJOIN(" ",TRUE,"SKU",$A424,"karar",$D424,"net",TEXT($B424,"0.00"),"başabaş",TEXT($C424,"0.00"),"TL"))</f>
        <v/>
      </c>
    </row>
    <row r="425">
      <c r="A425" s="16">
        <f>IF('ESLESTIRME'!$A425="","",IF('ESLESTIRME'!$G425="tutar_farki",'ESLESTIRME'!$A425,""))</f>
        <v/>
      </c>
      <c r="B425" s="16">
        <f>IF($A425="","",IFERROR(SUMIF(tblMotor[A_Norm],$A425,tblMotor[NetKar]),0))</f>
        <v/>
      </c>
      <c r="C425" s="16">
        <f>IF($A425="","",IFERROR(SUMIF(tblMotor[A_Norm],$A425,tblMotor[BasabasFiyat]),0))</f>
        <v/>
      </c>
      <c r="D425" s="16">
        <f>IF($A425="","",IFERROR(INDEX(tblMotor[KararSatir],MATCH($A425,tblMotor[A_Norm],0)),""))</f>
        <v/>
      </c>
      <c r="E425" s="16">
        <f>IF($A425="","",IF($B425&lt;0,"YUKSEK","NORMAL"))</f>
        <v/>
      </c>
      <c r="F425" s="16">
        <f>IF($A425="","",_xlfn.TEXTJOIN(" ",TRUE,"SKU",$A425,"karar",$D425,"net",TEXT($B425,"0.00"),"başabaş",TEXT($C425,"0.00"),"TL"))</f>
        <v/>
      </c>
    </row>
    <row r="426">
      <c r="A426" s="16">
        <f>IF('ESLESTIRME'!$A426="","",IF('ESLESTIRME'!$G426="tutar_farki",'ESLESTIRME'!$A426,""))</f>
        <v/>
      </c>
      <c r="B426" s="16">
        <f>IF($A426="","",IFERROR(SUMIF(tblMotor[A_Norm],$A426,tblMotor[NetKar]),0))</f>
        <v/>
      </c>
      <c r="C426" s="16">
        <f>IF($A426="","",IFERROR(SUMIF(tblMotor[A_Norm],$A426,tblMotor[BasabasFiyat]),0))</f>
        <v/>
      </c>
      <c r="D426" s="16">
        <f>IF($A426="","",IFERROR(INDEX(tblMotor[KararSatir],MATCH($A426,tblMotor[A_Norm],0)),""))</f>
        <v/>
      </c>
      <c r="E426" s="16">
        <f>IF($A426="","",IF($B426&lt;0,"YUKSEK","NORMAL"))</f>
        <v/>
      </c>
      <c r="F426" s="16">
        <f>IF($A426="","",_xlfn.TEXTJOIN(" ",TRUE,"SKU",$A426,"karar",$D426,"net",TEXT($B426,"0.00"),"başabaş",TEXT($C426,"0.00"),"TL"))</f>
        <v/>
      </c>
    </row>
    <row r="427">
      <c r="A427" s="16">
        <f>IF('ESLESTIRME'!$A427="","",IF('ESLESTIRME'!$G427="tutar_farki",'ESLESTIRME'!$A427,""))</f>
        <v/>
      </c>
      <c r="B427" s="16">
        <f>IF($A427="","",IFERROR(SUMIF(tblMotor[A_Norm],$A427,tblMotor[NetKar]),0))</f>
        <v/>
      </c>
      <c r="C427" s="16">
        <f>IF($A427="","",IFERROR(SUMIF(tblMotor[A_Norm],$A427,tblMotor[BasabasFiyat]),0))</f>
        <v/>
      </c>
      <c r="D427" s="16">
        <f>IF($A427="","",IFERROR(INDEX(tblMotor[KararSatir],MATCH($A427,tblMotor[A_Norm],0)),""))</f>
        <v/>
      </c>
      <c r="E427" s="16">
        <f>IF($A427="","",IF($B427&lt;0,"YUKSEK","NORMAL"))</f>
        <v/>
      </c>
      <c r="F427" s="16">
        <f>IF($A427="","",_xlfn.TEXTJOIN(" ",TRUE,"SKU",$A427,"karar",$D427,"net",TEXT($B427,"0.00"),"başabaş",TEXT($C427,"0.00"),"TL"))</f>
        <v/>
      </c>
    </row>
    <row r="428">
      <c r="A428" s="16">
        <f>IF('ESLESTIRME'!$A428="","",IF('ESLESTIRME'!$G428="tutar_farki",'ESLESTIRME'!$A428,""))</f>
        <v/>
      </c>
      <c r="B428" s="16">
        <f>IF($A428="","",IFERROR(SUMIF(tblMotor[A_Norm],$A428,tblMotor[NetKar]),0))</f>
        <v/>
      </c>
      <c r="C428" s="16">
        <f>IF($A428="","",IFERROR(SUMIF(tblMotor[A_Norm],$A428,tblMotor[BasabasFiyat]),0))</f>
        <v/>
      </c>
      <c r="D428" s="16">
        <f>IF($A428="","",IFERROR(INDEX(tblMotor[KararSatir],MATCH($A428,tblMotor[A_Norm],0)),""))</f>
        <v/>
      </c>
      <c r="E428" s="16">
        <f>IF($A428="","",IF($B428&lt;0,"YUKSEK","NORMAL"))</f>
        <v/>
      </c>
      <c r="F428" s="16">
        <f>IF($A428="","",_xlfn.TEXTJOIN(" ",TRUE,"SKU",$A428,"karar",$D428,"net",TEXT($B428,"0.00"),"başabaş",TEXT($C428,"0.00"),"TL"))</f>
        <v/>
      </c>
    </row>
    <row r="429">
      <c r="A429" s="16">
        <f>IF('ESLESTIRME'!$A429="","",IF('ESLESTIRME'!$G429="tutar_farki",'ESLESTIRME'!$A429,""))</f>
        <v/>
      </c>
      <c r="B429" s="16">
        <f>IF($A429="","",IFERROR(SUMIF(tblMotor[A_Norm],$A429,tblMotor[NetKar]),0))</f>
        <v/>
      </c>
      <c r="C429" s="16">
        <f>IF($A429="","",IFERROR(SUMIF(tblMotor[A_Norm],$A429,tblMotor[BasabasFiyat]),0))</f>
        <v/>
      </c>
      <c r="D429" s="16">
        <f>IF($A429="","",IFERROR(INDEX(tblMotor[KararSatir],MATCH($A429,tblMotor[A_Norm],0)),""))</f>
        <v/>
      </c>
      <c r="E429" s="16">
        <f>IF($A429="","",IF($B429&lt;0,"YUKSEK","NORMAL"))</f>
        <v/>
      </c>
      <c r="F429" s="16">
        <f>IF($A429="","",_xlfn.TEXTJOIN(" ",TRUE,"SKU",$A429,"karar",$D429,"net",TEXT($B429,"0.00"),"başabaş",TEXT($C429,"0.00"),"TL"))</f>
        <v/>
      </c>
    </row>
    <row r="430">
      <c r="A430" s="16">
        <f>IF('ESLESTIRME'!$A430="","",IF('ESLESTIRME'!$G430="tutar_farki",'ESLESTIRME'!$A430,""))</f>
        <v/>
      </c>
      <c r="B430" s="16">
        <f>IF($A430="","",IFERROR(SUMIF(tblMotor[A_Norm],$A430,tblMotor[NetKar]),0))</f>
        <v/>
      </c>
      <c r="C430" s="16">
        <f>IF($A430="","",IFERROR(SUMIF(tblMotor[A_Norm],$A430,tblMotor[BasabasFiyat]),0))</f>
        <v/>
      </c>
      <c r="D430" s="16">
        <f>IF($A430="","",IFERROR(INDEX(tblMotor[KararSatir],MATCH($A430,tblMotor[A_Norm],0)),""))</f>
        <v/>
      </c>
      <c r="E430" s="16">
        <f>IF($A430="","",IF($B430&lt;0,"YUKSEK","NORMAL"))</f>
        <v/>
      </c>
      <c r="F430" s="16">
        <f>IF($A430="","",_xlfn.TEXTJOIN(" ",TRUE,"SKU",$A430,"karar",$D430,"net",TEXT($B430,"0.00"),"başabaş",TEXT($C430,"0.00"),"TL"))</f>
        <v/>
      </c>
    </row>
    <row r="431">
      <c r="A431" s="16">
        <f>IF('ESLESTIRME'!$A431="","",IF('ESLESTIRME'!$G431="tutar_farki",'ESLESTIRME'!$A431,""))</f>
        <v/>
      </c>
      <c r="B431" s="16">
        <f>IF($A431="","",IFERROR(SUMIF(tblMotor[A_Norm],$A431,tblMotor[NetKar]),0))</f>
        <v/>
      </c>
      <c r="C431" s="16">
        <f>IF($A431="","",IFERROR(SUMIF(tblMotor[A_Norm],$A431,tblMotor[BasabasFiyat]),0))</f>
        <v/>
      </c>
      <c r="D431" s="16">
        <f>IF($A431="","",IFERROR(INDEX(tblMotor[KararSatir],MATCH($A431,tblMotor[A_Norm],0)),""))</f>
        <v/>
      </c>
      <c r="E431" s="16">
        <f>IF($A431="","",IF($B431&lt;0,"YUKSEK","NORMAL"))</f>
        <v/>
      </c>
      <c r="F431" s="16">
        <f>IF($A431="","",_xlfn.TEXTJOIN(" ",TRUE,"SKU",$A431,"karar",$D431,"net",TEXT($B431,"0.00"),"başabaş",TEXT($C431,"0.00"),"TL"))</f>
        <v/>
      </c>
    </row>
    <row r="432">
      <c r="A432" s="16">
        <f>IF('ESLESTIRME'!$A432="","",IF('ESLESTIRME'!$G432="tutar_farki",'ESLESTIRME'!$A432,""))</f>
        <v/>
      </c>
      <c r="B432" s="16">
        <f>IF($A432="","",IFERROR(SUMIF(tblMotor[A_Norm],$A432,tblMotor[NetKar]),0))</f>
        <v/>
      </c>
      <c r="C432" s="16">
        <f>IF($A432="","",IFERROR(SUMIF(tblMotor[A_Norm],$A432,tblMotor[BasabasFiyat]),0))</f>
        <v/>
      </c>
      <c r="D432" s="16">
        <f>IF($A432="","",IFERROR(INDEX(tblMotor[KararSatir],MATCH($A432,tblMotor[A_Norm],0)),""))</f>
        <v/>
      </c>
      <c r="E432" s="16">
        <f>IF($A432="","",IF($B432&lt;0,"YUKSEK","NORMAL"))</f>
        <v/>
      </c>
      <c r="F432" s="16">
        <f>IF($A432="","",_xlfn.TEXTJOIN(" ",TRUE,"SKU",$A432,"karar",$D432,"net",TEXT($B432,"0.00"),"başabaş",TEXT($C432,"0.00"),"TL"))</f>
        <v/>
      </c>
    </row>
    <row r="433">
      <c r="A433" s="16">
        <f>IF('ESLESTIRME'!$A433="","",IF('ESLESTIRME'!$G433="tutar_farki",'ESLESTIRME'!$A433,""))</f>
        <v/>
      </c>
      <c r="B433" s="16">
        <f>IF($A433="","",IFERROR(SUMIF(tblMotor[A_Norm],$A433,tblMotor[NetKar]),0))</f>
        <v/>
      </c>
      <c r="C433" s="16">
        <f>IF($A433="","",IFERROR(SUMIF(tblMotor[A_Norm],$A433,tblMotor[BasabasFiyat]),0))</f>
        <v/>
      </c>
      <c r="D433" s="16">
        <f>IF($A433="","",IFERROR(INDEX(tblMotor[KararSatir],MATCH($A433,tblMotor[A_Norm],0)),""))</f>
        <v/>
      </c>
      <c r="E433" s="16">
        <f>IF($A433="","",IF($B433&lt;0,"YUKSEK","NORMAL"))</f>
        <v/>
      </c>
      <c r="F433" s="16">
        <f>IF($A433="","",_xlfn.TEXTJOIN(" ",TRUE,"SKU",$A433,"karar",$D433,"net",TEXT($B433,"0.00"),"başabaş",TEXT($C433,"0.00"),"TL"))</f>
        <v/>
      </c>
    </row>
    <row r="434">
      <c r="A434" s="16">
        <f>IF('ESLESTIRME'!$A434="","",IF('ESLESTIRME'!$G434="tutar_farki",'ESLESTIRME'!$A434,""))</f>
        <v/>
      </c>
      <c r="B434" s="16">
        <f>IF($A434="","",IFERROR(SUMIF(tblMotor[A_Norm],$A434,tblMotor[NetKar]),0))</f>
        <v/>
      </c>
      <c r="C434" s="16">
        <f>IF($A434="","",IFERROR(SUMIF(tblMotor[A_Norm],$A434,tblMotor[BasabasFiyat]),0))</f>
        <v/>
      </c>
      <c r="D434" s="16">
        <f>IF($A434="","",IFERROR(INDEX(tblMotor[KararSatir],MATCH($A434,tblMotor[A_Norm],0)),""))</f>
        <v/>
      </c>
      <c r="E434" s="16">
        <f>IF($A434="","",IF($B434&lt;0,"YUKSEK","NORMAL"))</f>
        <v/>
      </c>
      <c r="F434" s="16">
        <f>IF($A434="","",_xlfn.TEXTJOIN(" ",TRUE,"SKU",$A434,"karar",$D434,"net",TEXT($B434,"0.00"),"başabaş",TEXT($C434,"0.00"),"TL"))</f>
        <v/>
      </c>
    </row>
    <row r="435">
      <c r="A435" s="16">
        <f>IF('ESLESTIRME'!$A435="","",IF('ESLESTIRME'!$G435="tutar_farki",'ESLESTIRME'!$A435,""))</f>
        <v/>
      </c>
      <c r="B435" s="16">
        <f>IF($A435="","",IFERROR(SUMIF(tblMotor[A_Norm],$A435,tblMotor[NetKar]),0))</f>
        <v/>
      </c>
      <c r="C435" s="16">
        <f>IF($A435="","",IFERROR(SUMIF(tblMotor[A_Norm],$A435,tblMotor[BasabasFiyat]),0))</f>
        <v/>
      </c>
      <c r="D435" s="16">
        <f>IF($A435="","",IFERROR(INDEX(tblMotor[KararSatir],MATCH($A435,tblMotor[A_Norm],0)),""))</f>
        <v/>
      </c>
      <c r="E435" s="16">
        <f>IF($A435="","",IF($B435&lt;0,"YUKSEK","NORMAL"))</f>
        <v/>
      </c>
      <c r="F435" s="16">
        <f>IF($A435="","",_xlfn.TEXTJOIN(" ",TRUE,"SKU",$A435,"karar",$D435,"net",TEXT($B435,"0.00"),"başabaş",TEXT($C435,"0.00"),"TL"))</f>
        <v/>
      </c>
    </row>
    <row r="436">
      <c r="A436" s="16">
        <f>IF('ESLESTIRME'!$A436="","",IF('ESLESTIRME'!$G436="tutar_farki",'ESLESTIRME'!$A436,""))</f>
        <v/>
      </c>
      <c r="B436" s="16">
        <f>IF($A436="","",IFERROR(SUMIF(tblMotor[A_Norm],$A436,tblMotor[NetKar]),0))</f>
        <v/>
      </c>
      <c r="C436" s="16">
        <f>IF($A436="","",IFERROR(SUMIF(tblMotor[A_Norm],$A436,tblMotor[BasabasFiyat]),0))</f>
        <v/>
      </c>
      <c r="D436" s="16">
        <f>IF($A436="","",IFERROR(INDEX(tblMotor[KararSatir],MATCH($A436,tblMotor[A_Norm],0)),""))</f>
        <v/>
      </c>
      <c r="E436" s="16">
        <f>IF($A436="","",IF($B436&lt;0,"YUKSEK","NORMAL"))</f>
        <v/>
      </c>
      <c r="F436" s="16">
        <f>IF($A436="","",_xlfn.TEXTJOIN(" ",TRUE,"SKU",$A436,"karar",$D436,"net",TEXT($B436,"0.00"),"başabaş",TEXT($C436,"0.00"),"TL"))</f>
        <v/>
      </c>
    </row>
    <row r="437">
      <c r="A437" s="16">
        <f>IF('ESLESTIRME'!$A437="","",IF('ESLESTIRME'!$G437="tutar_farki",'ESLESTIRME'!$A437,""))</f>
        <v/>
      </c>
      <c r="B437" s="16">
        <f>IF($A437="","",IFERROR(SUMIF(tblMotor[A_Norm],$A437,tblMotor[NetKar]),0))</f>
        <v/>
      </c>
      <c r="C437" s="16">
        <f>IF($A437="","",IFERROR(SUMIF(tblMotor[A_Norm],$A437,tblMotor[BasabasFiyat]),0))</f>
        <v/>
      </c>
      <c r="D437" s="16">
        <f>IF($A437="","",IFERROR(INDEX(tblMotor[KararSatir],MATCH($A437,tblMotor[A_Norm],0)),""))</f>
        <v/>
      </c>
      <c r="E437" s="16">
        <f>IF($A437="","",IF($B437&lt;0,"YUKSEK","NORMAL"))</f>
        <v/>
      </c>
      <c r="F437" s="16">
        <f>IF($A437="","",_xlfn.TEXTJOIN(" ",TRUE,"SKU",$A437,"karar",$D437,"net",TEXT($B437,"0.00"),"başabaş",TEXT($C437,"0.00"),"TL"))</f>
        <v/>
      </c>
    </row>
    <row r="438">
      <c r="A438" s="16">
        <f>IF('ESLESTIRME'!$A438="","",IF('ESLESTIRME'!$G438="tutar_farki",'ESLESTIRME'!$A438,""))</f>
        <v/>
      </c>
      <c r="B438" s="16">
        <f>IF($A438="","",IFERROR(SUMIF(tblMotor[A_Norm],$A438,tblMotor[NetKar]),0))</f>
        <v/>
      </c>
      <c r="C438" s="16">
        <f>IF($A438="","",IFERROR(SUMIF(tblMotor[A_Norm],$A438,tblMotor[BasabasFiyat]),0))</f>
        <v/>
      </c>
      <c r="D438" s="16">
        <f>IF($A438="","",IFERROR(INDEX(tblMotor[KararSatir],MATCH($A438,tblMotor[A_Norm],0)),""))</f>
        <v/>
      </c>
      <c r="E438" s="16">
        <f>IF($A438="","",IF($B438&lt;0,"YUKSEK","NORMAL"))</f>
        <v/>
      </c>
      <c r="F438" s="16">
        <f>IF($A438="","",_xlfn.TEXTJOIN(" ",TRUE,"SKU",$A438,"karar",$D438,"net",TEXT($B438,"0.00"),"başabaş",TEXT($C438,"0.00"),"TL"))</f>
        <v/>
      </c>
    </row>
    <row r="439">
      <c r="A439" s="16">
        <f>IF('ESLESTIRME'!$A439="","",IF('ESLESTIRME'!$G439="tutar_farki",'ESLESTIRME'!$A439,""))</f>
        <v/>
      </c>
      <c r="B439" s="16">
        <f>IF($A439="","",IFERROR(SUMIF(tblMotor[A_Norm],$A439,tblMotor[NetKar]),0))</f>
        <v/>
      </c>
      <c r="C439" s="16">
        <f>IF($A439="","",IFERROR(SUMIF(tblMotor[A_Norm],$A439,tblMotor[BasabasFiyat]),0))</f>
        <v/>
      </c>
      <c r="D439" s="16">
        <f>IF($A439="","",IFERROR(INDEX(tblMotor[KararSatir],MATCH($A439,tblMotor[A_Norm],0)),""))</f>
        <v/>
      </c>
      <c r="E439" s="16">
        <f>IF($A439="","",IF($B439&lt;0,"YUKSEK","NORMAL"))</f>
        <v/>
      </c>
      <c r="F439" s="16">
        <f>IF($A439="","",_xlfn.TEXTJOIN(" ",TRUE,"SKU",$A439,"karar",$D439,"net",TEXT($B439,"0.00"),"başabaş",TEXT($C439,"0.00"),"TL"))</f>
        <v/>
      </c>
    </row>
    <row r="440">
      <c r="A440" s="16">
        <f>IF('ESLESTIRME'!$A440="","",IF('ESLESTIRME'!$G440="tutar_farki",'ESLESTIRME'!$A440,""))</f>
        <v/>
      </c>
      <c r="B440" s="16">
        <f>IF($A440="","",IFERROR(SUMIF(tblMotor[A_Norm],$A440,tblMotor[NetKar]),0))</f>
        <v/>
      </c>
      <c r="C440" s="16">
        <f>IF($A440="","",IFERROR(SUMIF(tblMotor[A_Norm],$A440,tblMotor[BasabasFiyat]),0))</f>
        <v/>
      </c>
      <c r="D440" s="16">
        <f>IF($A440="","",IFERROR(INDEX(tblMotor[KararSatir],MATCH($A440,tblMotor[A_Norm],0)),""))</f>
        <v/>
      </c>
      <c r="E440" s="16">
        <f>IF($A440="","",IF($B440&lt;0,"YUKSEK","NORMAL"))</f>
        <v/>
      </c>
      <c r="F440" s="16">
        <f>IF($A440="","",_xlfn.TEXTJOIN(" ",TRUE,"SKU",$A440,"karar",$D440,"net",TEXT($B440,"0.00"),"başabaş",TEXT($C440,"0.00"),"TL"))</f>
        <v/>
      </c>
    </row>
    <row r="441">
      <c r="A441" s="16">
        <f>IF('ESLESTIRME'!$A441="","",IF('ESLESTIRME'!$G441="tutar_farki",'ESLESTIRME'!$A441,""))</f>
        <v/>
      </c>
      <c r="B441" s="16">
        <f>IF($A441="","",IFERROR(SUMIF(tblMotor[A_Norm],$A441,tblMotor[NetKar]),0))</f>
        <v/>
      </c>
      <c r="C441" s="16">
        <f>IF($A441="","",IFERROR(SUMIF(tblMotor[A_Norm],$A441,tblMotor[BasabasFiyat]),0))</f>
        <v/>
      </c>
      <c r="D441" s="16">
        <f>IF($A441="","",IFERROR(INDEX(tblMotor[KararSatir],MATCH($A441,tblMotor[A_Norm],0)),""))</f>
        <v/>
      </c>
      <c r="E441" s="16">
        <f>IF($A441="","",IF($B441&lt;0,"YUKSEK","NORMAL"))</f>
        <v/>
      </c>
      <c r="F441" s="16">
        <f>IF($A441="","",_xlfn.TEXTJOIN(" ",TRUE,"SKU",$A441,"karar",$D441,"net",TEXT($B441,"0.00"),"başabaş",TEXT($C441,"0.00"),"TL"))</f>
        <v/>
      </c>
    </row>
    <row r="442">
      <c r="A442" s="16">
        <f>IF('ESLESTIRME'!$A442="","",IF('ESLESTIRME'!$G442="tutar_farki",'ESLESTIRME'!$A442,""))</f>
        <v/>
      </c>
      <c r="B442" s="16">
        <f>IF($A442="","",IFERROR(SUMIF(tblMotor[A_Norm],$A442,tblMotor[NetKar]),0))</f>
        <v/>
      </c>
      <c r="C442" s="16">
        <f>IF($A442="","",IFERROR(SUMIF(tblMotor[A_Norm],$A442,tblMotor[BasabasFiyat]),0))</f>
        <v/>
      </c>
      <c r="D442" s="16">
        <f>IF($A442="","",IFERROR(INDEX(tblMotor[KararSatir],MATCH($A442,tblMotor[A_Norm],0)),""))</f>
        <v/>
      </c>
      <c r="E442" s="16">
        <f>IF($A442="","",IF($B442&lt;0,"YUKSEK","NORMAL"))</f>
        <v/>
      </c>
      <c r="F442" s="16">
        <f>IF($A442="","",_xlfn.TEXTJOIN(" ",TRUE,"SKU",$A442,"karar",$D442,"net",TEXT($B442,"0.00"),"başabaş",TEXT($C442,"0.00"),"TL"))</f>
        <v/>
      </c>
    </row>
    <row r="443">
      <c r="A443" s="16">
        <f>IF('ESLESTIRME'!$A443="","",IF('ESLESTIRME'!$G443="tutar_farki",'ESLESTIRME'!$A443,""))</f>
        <v/>
      </c>
      <c r="B443" s="16">
        <f>IF($A443="","",IFERROR(SUMIF(tblMotor[A_Norm],$A443,tblMotor[NetKar]),0))</f>
        <v/>
      </c>
      <c r="C443" s="16">
        <f>IF($A443="","",IFERROR(SUMIF(tblMotor[A_Norm],$A443,tblMotor[BasabasFiyat]),0))</f>
        <v/>
      </c>
      <c r="D443" s="16">
        <f>IF($A443="","",IFERROR(INDEX(tblMotor[KararSatir],MATCH($A443,tblMotor[A_Norm],0)),""))</f>
        <v/>
      </c>
      <c r="E443" s="16">
        <f>IF($A443="","",IF($B443&lt;0,"YUKSEK","NORMAL"))</f>
        <v/>
      </c>
      <c r="F443" s="16">
        <f>IF($A443="","",_xlfn.TEXTJOIN(" ",TRUE,"SKU",$A443,"karar",$D443,"net",TEXT($B443,"0.00"),"başabaş",TEXT($C443,"0.00"),"TL"))</f>
        <v/>
      </c>
    </row>
    <row r="444">
      <c r="A444" s="16">
        <f>IF('ESLESTIRME'!$A444="","",IF('ESLESTIRME'!$G444="tutar_farki",'ESLESTIRME'!$A444,""))</f>
        <v/>
      </c>
      <c r="B444" s="16">
        <f>IF($A444="","",IFERROR(SUMIF(tblMotor[A_Norm],$A444,tblMotor[NetKar]),0))</f>
        <v/>
      </c>
      <c r="C444" s="16">
        <f>IF($A444="","",IFERROR(SUMIF(tblMotor[A_Norm],$A444,tblMotor[BasabasFiyat]),0))</f>
        <v/>
      </c>
      <c r="D444" s="16">
        <f>IF($A444="","",IFERROR(INDEX(tblMotor[KararSatir],MATCH($A444,tblMotor[A_Norm],0)),""))</f>
        <v/>
      </c>
      <c r="E444" s="16">
        <f>IF($A444="","",IF($B444&lt;0,"YUKSEK","NORMAL"))</f>
        <v/>
      </c>
      <c r="F444" s="16">
        <f>IF($A444="","",_xlfn.TEXTJOIN(" ",TRUE,"SKU",$A444,"karar",$D444,"net",TEXT($B444,"0.00"),"başabaş",TEXT($C444,"0.00"),"TL"))</f>
        <v/>
      </c>
    </row>
    <row r="445">
      <c r="A445" s="16">
        <f>IF('ESLESTIRME'!$A445="","",IF('ESLESTIRME'!$G445="tutar_farki",'ESLESTIRME'!$A445,""))</f>
        <v/>
      </c>
      <c r="B445" s="16">
        <f>IF($A445="","",IFERROR(SUMIF(tblMotor[A_Norm],$A445,tblMotor[NetKar]),0))</f>
        <v/>
      </c>
      <c r="C445" s="16">
        <f>IF($A445="","",IFERROR(SUMIF(tblMotor[A_Norm],$A445,tblMotor[BasabasFiyat]),0))</f>
        <v/>
      </c>
      <c r="D445" s="16">
        <f>IF($A445="","",IFERROR(INDEX(tblMotor[KararSatir],MATCH($A445,tblMotor[A_Norm],0)),""))</f>
        <v/>
      </c>
      <c r="E445" s="16">
        <f>IF($A445="","",IF($B445&lt;0,"YUKSEK","NORMAL"))</f>
        <v/>
      </c>
      <c r="F445" s="16">
        <f>IF($A445="","",_xlfn.TEXTJOIN(" ",TRUE,"SKU",$A445,"karar",$D445,"net",TEXT($B445,"0.00"),"başabaş",TEXT($C445,"0.00"),"TL"))</f>
        <v/>
      </c>
    </row>
    <row r="446">
      <c r="A446" s="16">
        <f>IF('ESLESTIRME'!$A446="","",IF('ESLESTIRME'!$G446="tutar_farki",'ESLESTIRME'!$A446,""))</f>
        <v/>
      </c>
      <c r="B446" s="16">
        <f>IF($A446="","",IFERROR(SUMIF(tblMotor[A_Norm],$A446,tblMotor[NetKar]),0))</f>
        <v/>
      </c>
      <c r="C446" s="16">
        <f>IF($A446="","",IFERROR(SUMIF(tblMotor[A_Norm],$A446,tblMotor[BasabasFiyat]),0))</f>
        <v/>
      </c>
      <c r="D446" s="16">
        <f>IF($A446="","",IFERROR(INDEX(tblMotor[KararSatir],MATCH($A446,tblMotor[A_Norm],0)),""))</f>
        <v/>
      </c>
      <c r="E446" s="16">
        <f>IF($A446="","",IF($B446&lt;0,"YUKSEK","NORMAL"))</f>
        <v/>
      </c>
      <c r="F446" s="16">
        <f>IF($A446="","",_xlfn.TEXTJOIN(" ",TRUE,"SKU",$A446,"karar",$D446,"net",TEXT($B446,"0.00"),"başabaş",TEXT($C446,"0.00"),"TL"))</f>
        <v/>
      </c>
    </row>
    <row r="447">
      <c r="A447" s="16">
        <f>IF('ESLESTIRME'!$A447="","",IF('ESLESTIRME'!$G447="tutar_farki",'ESLESTIRME'!$A447,""))</f>
        <v/>
      </c>
      <c r="B447" s="16">
        <f>IF($A447="","",IFERROR(SUMIF(tblMotor[A_Norm],$A447,tblMotor[NetKar]),0))</f>
        <v/>
      </c>
      <c r="C447" s="16">
        <f>IF($A447="","",IFERROR(SUMIF(tblMotor[A_Norm],$A447,tblMotor[BasabasFiyat]),0))</f>
        <v/>
      </c>
      <c r="D447" s="16">
        <f>IF($A447="","",IFERROR(INDEX(tblMotor[KararSatir],MATCH($A447,tblMotor[A_Norm],0)),""))</f>
        <v/>
      </c>
      <c r="E447" s="16">
        <f>IF($A447="","",IF($B447&lt;0,"YUKSEK","NORMAL"))</f>
        <v/>
      </c>
      <c r="F447" s="16">
        <f>IF($A447="","",_xlfn.TEXTJOIN(" ",TRUE,"SKU",$A447,"karar",$D447,"net",TEXT($B447,"0.00"),"başabaş",TEXT($C447,"0.00"),"TL"))</f>
        <v/>
      </c>
    </row>
    <row r="448">
      <c r="A448" s="16">
        <f>IF('ESLESTIRME'!$A448="","",IF('ESLESTIRME'!$G448="tutar_farki",'ESLESTIRME'!$A448,""))</f>
        <v/>
      </c>
      <c r="B448" s="16">
        <f>IF($A448="","",IFERROR(SUMIF(tblMotor[A_Norm],$A448,tblMotor[NetKar]),0))</f>
        <v/>
      </c>
      <c r="C448" s="16">
        <f>IF($A448="","",IFERROR(SUMIF(tblMotor[A_Norm],$A448,tblMotor[BasabasFiyat]),0))</f>
        <v/>
      </c>
      <c r="D448" s="16">
        <f>IF($A448="","",IFERROR(INDEX(tblMotor[KararSatir],MATCH($A448,tblMotor[A_Norm],0)),""))</f>
        <v/>
      </c>
      <c r="E448" s="16">
        <f>IF($A448="","",IF($B448&lt;0,"YUKSEK","NORMAL"))</f>
        <v/>
      </c>
      <c r="F448" s="16">
        <f>IF($A448="","",_xlfn.TEXTJOIN(" ",TRUE,"SKU",$A448,"karar",$D448,"net",TEXT($B448,"0.00"),"başabaş",TEXT($C448,"0.00"),"TL"))</f>
        <v/>
      </c>
    </row>
    <row r="449">
      <c r="A449" s="16">
        <f>IF('ESLESTIRME'!$A449="","",IF('ESLESTIRME'!$G449="tutar_farki",'ESLESTIRME'!$A449,""))</f>
        <v/>
      </c>
      <c r="B449" s="16">
        <f>IF($A449="","",IFERROR(SUMIF(tblMotor[A_Norm],$A449,tblMotor[NetKar]),0))</f>
        <v/>
      </c>
      <c r="C449" s="16">
        <f>IF($A449="","",IFERROR(SUMIF(tblMotor[A_Norm],$A449,tblMotor[BasabasFiyat]),0))</f>
        <v/>
      </c>
      <c r="D449" s="16">
        <f>IF($A449="","",IFERROR(INDEX(tblMotor[KararSatir],MATCH($A449,tblMotor[A_Norm],0)),""))</f>
        <v/>
      </c>
      <c r="E449" s="16">
        <f>IF($A449="","",IF($B449&lt;0,"YUKSEK","NORMAL"))</f>
        <v/>
      </c>
      <c r="F449" s="16">
        <f>IF($A449="","",_xlfn.TEXTJOIN(" ",TRUE,"SKU",$A449,"karar",$D449,"net",TEXT($B449,"0.00"),"başabaş",TEXT($C449,"0.00"),"TL"))</f>
        <v/>
      </c>
    </row>
    <row r="450">
      <c r="A450" s="16">
        <f>IF('ESLESTIRME'!$A450="","",IF('ESLESTIRME'!$G450="tutar_farki",'ESLESTIRME'!$A450,""))</f>
        <v/>
      </c>
      <c r="B450" s="16">
        <f>IF($A450="","",IFERROR(SUMIF(tblMotor[A_Norm],$A450,tblMotor[NetKar]),0))</f>
        <v/>
      </c>
      <c r="C450" s="16">
        <f>IF($A450="","",IFERROR(SUMIF(tblMotor[A_Norm],$A450,tblMotor[BasabasFiyat]),0))</f>
        <v/>
      </c>
      <c r="D450" s="16">
        <f>IF($A450="","",IFERROR(INDEX(tblMotor[KararSatir],MATCH($A450,tblMotor[A_Norm],0)),""))</f>
        <v/>
      </c>
      <c r="E450" s="16">
        <f>IF($A450="","",IF($B450&lt;0,"YUKSEK","NORMAL"))</f>
        <v/>
      </c>
      <c r="F450" s="16">
        <f>IF($A450="","",_xlfn.TEXTJOIN(" ",TRUE,"SKU",$A450,"karar",$D450,"net",TEXT($B450,"0.00"),"başabaş",TEXT($C450,"0.00"),"TL"))</f>
        <v/>
      </c>
    </row>
    <row r="451">
      <c r="A451" s="16">
        <f>IF('ESLESTIRME'!$A451="","",IF('ESLESTIRME'!$G451="tutar_farki",'ESLESTIRME'!$A451,""))</f>
        <v/>
      </c>
      <c r="B451" s="16">
        <f>IF($A451="","",IFERROR(SUMIF(tblMotor[A_Norm],$A451,tblMotor[NetKar]),0))</f>
        <v/>
      </c>
      <c r="C451" s="16">
        <f>IF($A451="","",IFERROR(SUMIF(tblMotor[A_Norm],$A451,tblMotor[BasabasFiyat]),0))</f>
        <v/>
      </c>
      <c r="D451" s="16">
        <f>IF($A451="","",IFERROR(INDEX(tblMotor[KararSatir],MATCH($A451,tblMotor[A_Norm],0)),""))</f>
        <v/>
      </c>
      <c r="E451" s="16">
        <f>IF($A451="","",IF($B451&lt;0,"YUKSEK","NORMAL"))</f>
        <v/>
      </c>
      <c r="F451" s="16">
        <f>IF($A451="","",_xlfn.TEXTJOIN(" ",TRUE,"SKU",$A451,"karar",$D451,"net",TEXT($B451,"0.00"),"başabaş",TEXT($C451,"0.00"),"TL"))</f>
        <v/>
      </c>
    </row>
    <row r="452">
      <c r="A452" s="16">
        <f>IF('ESLESTIRME'!$A452="","",IF('ESLESTIRME'!$G452="tutar_farki",'ESLESTIRME'!$A452,""))</f>
        <v/>
      </c>
      <c r="B452" s="16">
        <f>IF($A452="","",IFERROR(SUMIF(tblMotor[A_Norm],$A452,tblMotor[NetKar]),0))</f>
        <v/>
      </c>
      <c r="C452" s="16">
        <f>IF($A452="","",IFERROR(SUMIF(tblMotor[A_Norm],$A452,tblMotor[BasabasFiyat]),0))</f>
        <v/>
      </c>
      <c r="D452" s="16">
        <f>IF($A452="","",IFERROR(INDEX(tblMotor[KararSatir],MATCH($A452,tblMotor[A_Norm],0)),""))</f>
        <v/>
      </c>
      <c r="E452" s="16">
        <f>IF($A452="","",IF($B452&lt;0,"YUKSEK","NORMAL"))</f>
        <v/>
      </c>
      <c r="F452" s="16">
        <f>IF($A452="","",_xlfn.TEXTJOIN(" ",TRUE,"SKU",$A452,"karar",$D452,"net",TEXT($B452,"0.00"),"başabaş",TEXT($C452,"0.00"),"TL"))</f>
        <v/>
      </c>
    </row>
    <row r="453">
      <c r="A453" s="16">
        <f>IF('ESLESTIRME'!$A453="","",IF('ESLESTIRME'!$G453="tutar_farki",'ESLESTIRME'!$A453,""))</f>
        <v/>
      </c>
      <c r="B453" s="16">
        <f>IF($A453="","",IFERROR(SUMIF(tblMotor[A_Norm],$A453,tblMotor[NetKar]),0))</f>
        <v/>
      </c>
      <c r="C453" s="16">
        <f>IF($A453="","",IFERROR(SUMIF(tblMotor[A_Norm],$A453,tblMotor[BasabasFiyat]),0))</f>
        <v/>
      </c>
      <c r="D453" s="16">
        <f>IF($A453="","",IFERROR(INDEX(tblMotor[KararSatir],MATCH($A453,tblMotor[A_Norm],0)),""))</f>
        <v/>
      </c>
      <c r="E453" s="16">
        <f>IF($A453="","",IF($B453&lt;0,"YUKSEK","NORMAL"))</f>
        <v/>
      </c>
      <c r="F453" s="16">
        <f>IF($A453="","",_xlfn.TEXTJOIN(" ",TRUE,"SKU",$A453,"karar",$D453,"net",TEXT($B453,"0.00"),"başabaş",TEXT($C453,"0.00"),"TL"))</f>
        <v/>
      </c>
    </row>
    <row r="454">
      <c r="A454" s="16">
        <f>IF('ESLESTIRME'!$A454="","",IF('ESLESTIRME'!$G454="tutar_farki",'ESLESTIRME'!$A454,""))</f>
        <v/>
      </c>
      <c r="B454" s="16">
        <f>IF($A454="","",IFERROR(SUMIF(tblMotor[A_Norm],$A454,tblMotor[NetKar]),0))</f>
        <v/>
      </c>
      <c r="C454" s="16">
        <f>IF($A454="","",IFERROR(SUMIF(tblMotor[A_Norm],$A454,tblMotor[BasabasFiyat]),0))</f>
        <v/>
      </c>
      <c r="D454" s="16">
        <f>IF($A454="","",IFERROR(INDEX(tblMotor[KararSatir],MATCH($A454,tblMotor[A_Norm],0)),""))</f>
        <v/>
      </c>
      <c r="E454" s="16">
        <f>IF($A454="","",IF($B454&lt;0,"YUKSEK","NORMAL"))</f>
        <v/>
      </c>
      <c r="F454" s="16">
        <f>IF($A454="","",_xlfn.TEXTJOIN(" ",TRUE,"SKU",$A454,"karar",$D454,"net",TEXT($B454,"0.00"),"başabaş",TEXT($C454,"0.00"),"TL"))</f>
        <v/>
      </c>
    </row>
    <row r="455">
      <c r="A455" s="16">
        <f>IF('ESLESTIRME'!$A455="","",IF('ESLESTIRME'!$G455="tutar_farki",'ESLESTIRME'!$A455,""))</f>
        <v/>
      </c>
      <c r="B455" s="16">
        <f>IF($A455="","",IFERROR(SUMIF(tblMotor[A_Norm],$A455,tblMotor[NetKar]),0))</f>
        <v/>
      </c>
      <c r="C455" s="16">
        <f>IF($A455="","",IFERROR(SUMIF(tblMotor[A_Norm],$A455,tblMotor[BasabasFiyat]),0))</f>
        <v/>
      </c>
      <c r="D455" s="16">
        <f>IF($A455="","",IFERROR(INDEX(tblMotor[KararSatir],MATCH($A455,tblMotor[A_Norm],0)),""))</f>
        <v/>
      </c>
      <c r="E455" s="16">
        <f>IF($A455="","",IF($B455&lt;0,"YUKSEK","NORMAL"))</f>
        <v/>
      </c>
      <c r="F455" s="16">
        <f>IF($A455="","",_xlfn.TEXTJOIN(" ",TRUE,"SKU",$A455,"karar",$D455,"net",TEXT($B455,"0.00"),"başabaş",TEXT($C455,"0.00"),"TL"))</f>
        <v/>
      </c>
    </row>
    <row r="456">
      <c r="A456" s="16">
        <f>IF('ESLESTIRME'!$A456="","",IF('ESLESTIRME'!$G456="tutar_farki",'ESLESTIRME'!$A456,""))</f>
        <v/>
      </c>
      <c r="B456" s="16">
        <f>IF($A456="","",IFERROR(SUMIF(tblMotor[A_Norm],$A456,tblMotor[NetKar]),0))</f>
        <v/>
      </c>
      <c r="C456" s="16">
        <f>IF($A456="","",IFERROR(SUMIF(tblMotor[A_Norm],$A456,tblMotor[BasabasFiyat]),0))</f>
        <v/>
      </c>
      <c r="D456" s="16">
        <f>IF($A456="","",IFERROR(INDEX(tblMotor[KararSatir],MATCH($A456,tblMotor[A_Norm],0)),""))</f>
        <v/>
      </c>
      <c r="E456" s="16">
        <f>IF($A456="","",IF($B456&lt;0,"YUKSEK","NORMAL"))</f>
        <v/>
      </c>
      <c r="F456" s="16">
        <f>IF($A456="","",_xlfn.TEXTJOIN(" ",TRUE,"SKU",$A456,"karar",$D456,"net",TEXT($B456,"0.00"),"başabaş",TEXT($C456,"0.00"),"TL"))</f>
        <v/>
      </c>
    </row>
    <row r="457">
      <c r="A457" s="16">
        <f>IF('ESLESTIRME'!$A457="","",IF('ESLESTIRME'!$G457="tutar_farki",'ESLESTIRME'!$A457,""))</f>
        <v/>
      </c>
      <c r="B457" s="16">
        <f>IF($A457="","",IFERROR(SUMIF(tblMotor[A_Norm],$A457,tblMotor[NetKar]),0))</f>
        <v/>
      </c>
      <c r="C457" s="16">
        <f>IF($A457="","",IFERROR(SUMIF(tblMotor[A_Norm],$A457,tblMotor[BasabasFiyat]),0))</f>
        <v/>
      </c>
      <c r="D457" s="16">
        <f>IF($A457="","",IFERROR(INDEX(tblMotor[KararSatir],MATCH($A457,tblMotor[A_Norm],0)),""))</f>
        <v/>
      </c>
      <c r="E457" s="16">
        <f>IF($A457="","",IF($B457&lt;0,"YUKSEK","NORMAL"))</f>
        <v/>
      </c>
      <c r="F457" s="16">
        <f>IF($A457="","",_xlfn.TEXTJOIN(" ",TRUE,"SKU",$A457,"karar",$D457,"net",TEXT($B457,"0.00"),"başabaş",TEXT($C457,"0.00"),"TL"))</f>
        <v/>
      </c>
    </row>
    <row r="458">
      <c r="A458" s="16">
        <f>IF('ESLESTIRME'!$A458="","",IF('ESLESTIRME'!$G458="tutar_farki",'ESLESTIRME'!$A458,""))</f>
        <v/>
      </c>
      <c r="B458" s="16">
        <f>IF($A458="","",IFERROR(SUMIF(tblMotor[A_Norm],$A458,tblMotor[NetKar]),0))</f>
        <v/>
      </c>
      <c r="C458" s="16">
        <f>IF($A458="","",IFERROR(SUMIF(tblMotor[A_Norm],$A458,tblMotor[BasabasFiyat]),0))</f>
        <v/>
      </c>
      <c r="D458" s="16">
        <f>IF($A458="","",IFERROR(INDEX(tblMotor[KararSatir],MATCH($A458,tblMotor[A_Norm],0)),""))</f>
        <v/>
      </c>
      <c r="E458" s="16">
        <f>IF($A458="","",IF($B458&lt;0,"YUKSEK","NORMAL"))</f>
        <v/>
      </c>
      <c r="F458" s="16">
        <f>IF($A458="","",_xlfn.TEXTJOIN(" ",TRUE,"SKU",$A458,"karar",$D458,"net",TEXT($B458,"0.00"),"başabaş",TEXT($C458,"0.00"),"TL"))</f>
        <v/>
      </c>
    </row>
    <row r="459">
      <c r="A459" s="16">
        <f>IF('ESLESTIRME'!$A459="","",IF('ESLESTIRME'!$G459="tutar_farki",'ESLESTIRME'!$A459,""))</f>
        <v/>
      </c>
      <c r="B459" s="16">
        <f>IF($A459="","",IFERROR(SUMIF(tblMotor[A_Norm],$A459,tblMotor[NetKar]),0))</f>
        <v/>
      </c>
      <c r="C459" s="16">
        <f>IF($A459="","",IFERROR(SUMIF(tblMotor[A_Norm],$A459,tblMotor[BasabasFiyat]),0))</f>
        <v/>
      </c>
      <c r="D459" s="16">
        <f>IF($A459="","",IFERROR(INDEX(tblMotor[KararSatir],MATCH($A459,tblMotor[A_Norm],0)),""))</f>
        <v/>
      </c>
      <c r="E459" s="16">
        <f>IF($A459="","",IF($B459&lt;0,"YUKSEK","NORMAL"))</f>
        <v/>
      </c>
      <c r="F459" s="16">
        <f>IF($A459="","",_xlfn.TEXTJOIN(" ",TRUE,"SKU",$A459,"karar",$D459,"net",TEXT($B459,"0.00"),"başabaş",TEXT($C459,"0.00"),"TL"))</f>
        <v/>
      </c>
    </row>
    <row r="460">
      <c r="A460" s="16">
        <f>IF('ESLESTIRME'!$A460="","",IF('ESLESTIRME'!$G460="tutar_farki",'ESLESTIRME'!$A460,""))</f>
        <v/>
      </c>
      <c r="B460" s="16">
        <f>IF($A460="","",IFERROR(SUMIF(tblMotor[A_Norm],$A460,tblMotor[NetKar]),0))</f>
        <v/>
      </c>
      <c r="C460" s="16">
        <f>IF($A460="","",IFERROR(SUMIF(tblMotor[A_Norm],$A460,tblMotor[BasabasFiyat]),0))</f>
        <v/>
      </c>
      <c r="D460" s="16">
        <f>IF($A460="","",IFERROR(INDEX(tblMotor[KararSatir],MATCH($A460,tblMotor[A_Norm],0)),""))</f>
        <v/>
      </c>
      <c r="E460" s="16">
        <f>IF($A460="","",IF($B460&lt;0,"YUKSEK","NORMAL"))</f>
        <v/>
      </c>
      <c r="F460" s="16">
        <f>IF($A460="","",_xlfn.TEXTJOIN(" ",TRUE,"SKU",$A460,"karar",$D460,"net",TEXT($B460,"0.00"),"başabaş",TEXT($C460,"0.00"),"TL"))</f>
        <v/>
      </c>
    </row>
    <row r="461">
      <c r="A461" s="16">
        <f>IF('ESLESTIRME'!$A461="","",IF('ESLESTIRME'!$G461="tutar_farki",'ESLESTIRME'!$A461,""))</f>
        <v/>
      </c>
      <c r="B461" s="16">
        <f>IF($A461="","",IFERROR(SUMIF(tblMotor[A_Norm],$A461,tblMotor[NetKar]),0))</f>
        <v/>
      </c>
      <c r="C461" s="16">
        <f>IF($A461="","",IFERROR(SUMIF(tblMotor[A_Norm],$A461,tblMotor[BasabasFiyat]),0))</f>
        <v/>
      </c>
      <c r="D461" s="16">
        <f>IF($A461="","",IFERROR(INDEX(tblMotor[KararSatir],MATCH($A461,tblMotor[A_Norm],0)),""))</f>
        <v/>
      </c>
      <c r="E461" s="16">
        <f>IF($A461="","",IF($B461&lt;0,"YUKSEK","NORMAL"))</f>
        <v/>
      </c>
      <c r="F461" s="16">
        <f>IF($A461="","",_xlfn.TEXTJOIN(" ",TRUE,"SKU",$A461,"karar",$D461,"net",TEXT($B461,"0.00"),"başabaş",TEXT($C461,"0.00"),"TL"))</f>
        <v/>
      </c>
    </row>
    <row r="462">
      <c r="A462" s="16">
        <f>IF('ESLESTIRME'!$A462="","",IF('ESLESTIRME'!$G462="tutar_farki",'ESLESTIRME'!$A462,""))</f>
        <v/>
      </c>
      <c r="B462" s="16">
        <f>IF($A462="","",IFERROR(SUMIF(tblMotor[A_Norm],$A462,tblMotor[NetKar]),0))</f>
        <v/>
      </c>
      <c r="C462" s="16">
        <f>IF($A462="","",IFERROR(SUMIF(tblMotor[A_Norm],$A462,tblMotor[BasabasFiyat]),0))</f>
        <v/>
      </c>
      <c r="D462" s="16">
        <f>IF($A462="","",IFERROR(INDEX(tblMotor[KararSatir],MATCH($A462,tblMotor[A_Norm],0)),""))</f>
        <v/>
      </c>
      <c r="E462" s="16">
        <f>IF($A462="","",IF($B462&lt;0,"YUKSEK","NORMAL"))</f>
        <v/>
      </c>
      <c r="F462" s="16">
        <f>IF($A462="","",_xlfn.TEXTJOIN(" ",TRUE,"SKU",$A462,"karar",$D462,"net",TEXT($B462,"0.00"),"başabaş",TEXT($C462,"0.00"),"TL"))</f>
        <v/>
      </c>
    </row>
    <row r="463">
      <c r="A463" s="16">
        <f>IF('ESLESTIRME'!$A463="","",IF('ESLESTIRME'!$G463="tutar_farki",'ESLESTIRME'!$A463,""))</f>
        <v/>
      </c>
      <c r="B463" s="16">
        <f>IF($A463="","",IFERROR(SUMIF(tblMotor[A_Norm],$A463,tblMotor[NetKar]),0))</f>
        <v/>
      </c>
      <c r="C463" s="16">
        <f>IF($A463="","",IFERROR(SUMIF(tblMotor[A_Norm],$A463,tblMotor[BasabasFiyat]),0))</f>
        <v/>
      </c>
      <c r="D463" s="16">
        <f>IF($A463="","",IFERROR(INDEX(tblMotor[KararSatir],MATCH($A463,tblMotor[A_Norm],0)),""))</f>
        <v/>
      </c>
      <c r="E463" s="16">
        <f>IF($A463="","",IF($B463&lt;0,"YUKSEK","NORMAL"))</f>
        <v/>
      </c>
      <c r="F463" s="16">
        <f>IF($A463="","",_xlfn.TEXTJOIN(" ",TRUE,"SKU",$A463,"karar",$D463,"net",TEXT($B463,"0.00"),"başabaş",TEXT($C463,"0.00"),"TL"))</f>
        <v/>
      </c>
    </row>
    <row r="464">
      <c r="A464" s="16">
        <f>IF('ESLESTIRME'!$A464="","",IF('ESLESTIRME'!$G464="tutar_farki",'ESLESTIRME'!$A464,""))</f>
        <v/>
      </c>
      <c r="B464" s="16">
        <f>IF($A464="","",IFERROR(SUMIF(tblMotor[A_Norm],$A464,tblMotor[NetKar]),0))</f>
        <v/>
      </c>
      <c r="C464" s="16">
        <f>IF($A464="","",IFERROR(SUMIF(tblMotor[A_Norm],$A464,tblMotor[BasabasFiyat]),0))</f>
        <v/>
      </c>
      <c r="D464" s="16">
        <f>IF($A464="","",IFERROR(INDEX(tblMotor[KararSatir],MATCH($A464,tblMotor[A_Norm],0)),""))</f>
        <v/>
      </c>
      <c r="E464" s="16">
        <f>IF($A464="","",IF($B464&lt;0,"YUKSEK","NORMAL"))</f>
        <v/>
      </c>
      <c r="F464" s="16">
        <f>IF($A464="","",_xlfn.TEXTJOIN(" ",TRUE,"SKU",$A464,"karar",$D464,"net",TEXT($B464,"0.00"),"başabaş",TEXT($C464,"0.00"),"TL"))</f>
        <v/>
      </c>
    </row>
    <row r="465">
      <c r="A465" s="16">
        <f>IF('ESLESTIRME'!$A465="","",IF('ESLESTIRME'!$G465="tutar_farki",'ESLESTIRME'!$A465,""))</f>
        <v/>
      </c>
      <c r="B465" s="16">
        <f>IF($A465="","",IFERROR(SUMIF(tblMotor[A_Norm],$A465,tblMotor[NetKar]),0))</f>
        <v/>
      </c>
      <c r="C465" s="16">
        <f>IF($A465="","",IFERROR(SUMIF(tblMotor[A_Norm],$A465,tblMotor[BasabasFiyat]),0))</f>
        <v/>
      </c>
      <c r="D465" s="16">
        <f>IF($A465="","",IFERROR(INDEX(tblMotor[KararSatir],MATCH($A465,tblMotor[A_Norm],0)),""))</f>
        <v/>
      </c>
      <c r="E465" s="16">
        <f>IF($A465="","",IF($B465&lt;0,"YUKSEK","NORMAL"))</f>
        <v/>
      </c>
      <c r="F465" s="16">
        <f>IF($A465="","",_xlfn.TEXTJOIN(" ",TRUE,"SKU",$A465,"karar",$D465,"net",TEXT($B465,"0.00"),"başabaş",TEXT($C465,"0.00"),"TL"))</f>
        <v/>
      </c>
    </row>
    <row r="466">
      <c r="A466" s="16">
        <f>IF('ESLESTIRME'!$A466="","",IF('ESLESTIRME'!$G466="tutar_farki",'ESLESTIRME'!$A466,""))</f>
        <v/>
      </c>
      <c r="B466" s="16">
        <f>IF($A466="","",IFERROR(SUMIF(tblMotor[A_Norm],$A466,tblMotor[NetKar]),0))</f>
        <v/>
      </c>
      <c r="C466" s="16">
        <f>IF($A466="","",IFERROR(SUMIF(tblMotor[A_Norm],$A466,tblMotor[BasabasFiyat]),0))</f>
        <v/>
      </c>
      <c r="D466" s="16">
        <f>IF($A466="","",IFERROR(INDEX(tblMotor[KararSatir],MATCH($A466,tblMotor[A_Norm],0)),""))</f>
        <v/>
      </c>
      <c r="E466" s="16">
        <f>IF($A466="","",IF($B466&lt;0,"YUKSEK","NORMAL"))</f>
        <v/>
      </c>
      <c r="F466" s="16">
        <f>IF($A466="","",_xlfn.TEXTJOIN(" ",TRUE,"SKU",$A466,"karar",$D466,"net",TEXT($B466,"0.00"),"başabaş",TEXT($C466,"0.00"),"TL"))</f>
        <v/>
      </c>
    </row>
    <row r="467">
      <c r="A467" s="16">
        <f>IF('ESLESTIRME'!$A467="","",IF('ESLESTIRME'!$G467="tutar_farki",'ESLESTIRME'!$A467,""))</f>
        <v/>
      </c>
      <c r="B467" s="16">
        <f>IF($A467="","",IFERROR(SUMIF(tblMotor[A_Norm],$A467,tblMotor[NetKar]),0))</f>
        <v/>
      </c>
      <c r="C467" s="16">
        <f>IF($A467="","",IFERROR(SUMIF(tblMotor[A_Norm],$A467,tblMotor[BasabasFiyat]),0))</f>
        <v/>
      </c>
      <c r="D467" s="16">
        <f>IF($A467="","",IFERROR(INDEX(tblMotor[KararSatir],MATCH($A467,tblMotor[A_Norm],0)),""))</f>
        <v/>
      </c>
      <c r="E467" s="16">
        <f>IF($A467="","",IF($B467&lt;0,"YUKSEK","NORMAL"))</f>
        <v/>
      </c>
      <c r="F467" s="16">
        <f>IF($A467="","",_xlfn.TEXTJOIN(" ",TRUE,"SKU",$A467,"karar",$D467,"net",TEXT($B467,"0.00"),"başabaş",TEXT($C467,"0.00"),"TL"))</f>
        <v/>
      </c>
    </row>
    <row r="468">
      <c r="A468" s="16">
        <f>IF('ESLESTIRME'!$A468="","",IF('ESLESTIRME'!$G468="tutar_farki",'ESLESTIRME'!$A468,""))</f>
        <v/>
      </c>
      <c r="B468" s="16">
        <f>IF($A468="","",IFERROR(SUMIF(tblMotor[A_Norm],$A468,tblMotor[NetKar]),0))</f>
        <v/>
      </c>
      <c r="C468" s="16">
        <f>IF($A468="","",IFERROR(SUMIF(tblMotor[A_Norm],$A468,tblMotor[BasabasFiyat]),0))</f>
        <v/>
      </c>
      <c r="D468" s="16">
        <f>IF($A468="","",IFERROR(INDEX(tblMotor[KararSatir],MATCH($A468,tblMotor[A_Norm],0)),""))</f>
        <v/>
      </c>
      <c r="E468" s="16">
        <f>IF($A468="","",IF($B468&lt;0,"YUKSEK","NORMAL"))</f>
        <v/>
      </c>
      <c r="F468" s="16">
        <f>IF($A468="","",_xlfn.TEXTJOIN(" ",TRUE,"SKU",$A468,"karar",$D468,"net",TEXT($B468,"0.00"),"başabaş",TEXT($C468,"0.00"),"TL"))</f>
        <v/>
      </c>
    </row>
    <row r="469">
      <c r="A469" s="16">
        <f>IF('ESLESTIRME'!$A469="","",IF('ESLESTIRME'!$G469="tutar_farki",'ESLESTIRME'!$A469,""))</f>
        <v/>
      </c>
      <c r="B469" s="16">
        <f>IF($A469="","",IFERROR(SUMIF(tblMotor[A_Norm],$A469,tblMotor[NetKar]),0))</f>
        <v/>
      </c>
      <c r="C469" s="16">
        <f>IF($A469="","",IFERROR(SUMIF(tblMotor[A_Norm],$A469,tblMotor[BasabasFiyat]),0))</f>
        <v/>
      </c>
      <c r="D469" s="16">
        <f>IF($A469="","",IFERROR(INDEX(tblMotor[KararSatir],MATCH($A469,tblMotor[A_Norm],0)),""))</f>
        <v/>
      </c>
      <c r="E469" s="16">
        <f>IF($A469="","",IF($B469&lt;0,"YUKSEK","NORMAL"))</f>
        <v/>
      </c>
      <c r="F469" s="16">
        <f>IF($A469="","",_xlfn.TEXTJOIN(" ",TRUE,"SKU",$A469,"karar",$D469,"net",TEXT($B469,"0.00"),"başabaş",TEXT($C469,"0.00"),"TL"))</f>
        <v/>
      </c>
    </row>
    <row r="470">
      <c r="A470" s="16">
        <f>IF('ESLESTIRME'!$A470="","",IF('ESLESTIRME'!$G470="tutar_farki",'ESLESTIRME'!$A470,""))</f>
        <v/>
      </c>
      <c r="B470" s="16">
        <f>IF($A470="","",IFERROR(SUMIF(tblMotor[A_Norm],$A470,tblMotor[NetKar]),0))</f>
        <v/>
      </c>
      <c r="C470" s="16">
        <f>IF($A470="","",IFERROR(SUMIF(tblMotor[A_Norm],$A470,tblMotor[BasabasFiyat]),0))</f>
        <v/>
      </c>
      <c r="D470" s="16">
        <f>IF($A470="","",IFERROR(INDEX(tblMotor[KararSatir],MATCH($A470,tblMotor[A_Norm],0)),""))</f>
        <v/>
      </c>
      <c r="E470" s="16">
        <f>IF($A470="","",IF($B470&lt;0,"YUKSEK","NORMAL"))</f>
        <v/>
      </c>
      <c r="F470" s="16">
        <f>IF($A470="","",_xlfn.TEXTJOIN(" ",TRUE,"SKU",$A470,"karar",$D470,"net",TEXT($B470,"0.00"),"başabaş",TEXT($C470,"0.00"),"TL"))</f>
        <v/>
      </c>
    </row>
    <row r="471">
      <c r="A471" s="16">
        <f>IF('ESLESTIRME'!$A471="","",IF('ESLESTIRME'!$G471="tutar_farki",'ESLESTIRME'!$A471,""))</f>
        <v/>
      </c>
      <c r="B471" s="16">
        <f>IF($A471="","",IFERROR(SUMIF(tblMotor[A_Norm],$A471,tblMotor[NetKar]),0))</f>
        <v/>
      </c>
      <c r="C471" s="16">
        <f>IF($A471="","",IFERROR(SUMIF(tblMotor[A_Norm],$A471,tblMotor[BasabasFiyat]),0))</f>
        <v/>
      </c>
      <c r="D471" s="16">
        <f>IF($A471="","",IFERROR(INDEX(tblMotor[KararSatir],MATCH($A471,tblMotor[A_Norm],0)),""))</f>
        <v/>
      </c>
      <c r="E471" s="16">
        <f>IF($A471="","",IF($B471&lt;0,"YUKSEK","NORMAL"))</f>
        <v/>
      </c>
      <c r="F471" s="16">
        <f>IF($A471="","",_xlfn.TEXTJOIN(" ",TRUE,"SKU",$A471,"karar",$D471,"net",TEXT($B471,"0.00"),"başabaş",TEXT($C471,"0.00"),"TL"))</f>
        <v/>
      </c>
    </row>
    <row r="472">
      <c r="A472" s="16">
        <f>IF('ESLESTIRME'!$A472="","",IF('ESLESTIRME'!$G472="tutar_farki",'ESLESTIRME'!$A472,""))</f>
        <v/>
      </c>
      <c r="B472" s="16">
        <f>IF($A472="","",IFERROR(SUMIF(tblMotor[A_Norm],$A472,tblMotor[NetKar]),0))</f>
        <v/>
      </c>
      <c r="C472" s="16">
        <f>IF($A472="","",IFERROR(SUMIF(tblMotor[A_Norm],$A472,tblMotor[BasabasFiyat]),0))</f>
        <v/>
      </c>
      <c r="D472" s="16">
        <f>IF($A472="","",IFERROR(INDEX(tblMotor[KararSatir],MATCH($A472,tblMotor[A_Norm],0)),""))</f>
        <v/>
      </c>
      <c r="E472" s="16">
        <f>IF($A472="","",IF($B472&lt;0,"YUKSEK","NORMAL"))</f>
        <v/>
      </c>
      <c r="F472" s="16">
        <f>IF($A472="","",_xlfn.TEXTJOIN(" ",TRUE,"SKU",$A472,"karar",$D472,"net",TEXT($B472,"0.00"),"başabaş",TEXT($C472,"0.00"),"TL"))</f>
        <v/>
      </c>
    </row>
    <row r="473">
      <c r="A473" s="16">
        <f>IF('ESLESTIRME'!$A473="","",IF('ESLESTIRME'!$G473="tutar_farki",'ESLESTIRME'!$A473,""))</f>
        <v/>
      </c>
      <c r="B473" s="16">
        <f>IF($A473="","",IFERROR(SUMIF(tblMotor[A_Norm],$A473,tblMotor[NetKar]),0))</f>
        <v/>
      </c>
      <c r="C473" s="16">
        <f>IF($A473="","",IFERROR(SUMIF(tblMotor[A_Norm],$A473,tblMotor[BasabasFiyat]),0))</f>
        <v/>
      </c>
      <c r="D473" s="16">
        <f>IF($A473="","",IFERROR(INDEX(tblMotor[KararSatir],MATCH($A473,tblMotor[A_Norm],0)),""))</f>
        <v/>
      </c>
      <c r="E473" s="16">
        <f>IF($A473="","",IF($B473&lt;0,"YUKSEK","NORMAL"))</f>
        <v/>
      </c>
      <c r="F473" s="16">
        <f>IF($A473="","",_xlfn.TEXTJOIN(" ",TRUE,"SKU",$A473,"karar",$D473,"net",TEXT($B473,"0.00"),"başabaş",TEXT($C473,"0.00"),"TL"))</f>
        <v/>
      </c>
    </row>
    <row r="474">
      <c r="A474" s="16">
        <f>IF('ESLESTIRME'!$A474="","",IF('ESLESTIRME'!$G474="tutar_farki",'ESLESTIRME'!$A474,""))</f>
        <v/>
      </c>
      <c r="B474" s="16">
        <f>IF($A474="","",IFERROR(SUMIF(tblMotor[A_Norm],$A474,tblMotor[NetKar]),0))</f>
        <v/>
      </c>
      <c r="C474" s="16">
        <f>IF($A474="","",IFERROR(SUMIF(tblMotor[A_Norm],$A474,tblMotor[BasabasFiyat]),0))</f>
        <v/>
      </c>
      <c r="D474" s="16">
        <f>IF($A474="","",IFERROR(INDEX(tblMotor[KararSatir],MATCH($A474,tblMotor[A_Norm],0)),""))</f>
        <v/>
      </c>
      <c r="E474" s="16">
        <f>IF($A474="","",IF($B474&lt;0,"YUKSEK","NORMAL"))</f>
        <v/>
      </c>
      <c r="F474" s="16">
        <f>IF($A474="","",_xlfn.TEXTJOIN(" ",TRUE,"SKU",$A474,"karar",$D474,"net",TEXT($B474,"0.00"),"başabaş",TEXT($C474,"0.00"),"TL"))</f>
        <v/>
      </c>
    </row>
    <row r="475">
      <c r="A475" s="16">
        <f>IF('ESLESTIRME'!$A475="","",IF('ESLESTIRME'!$G475="tutar_farki",'ESLESTIRME'!$A475,""))</f>
        <v/>
      </c>
      <c r="B475" s="16">
        <f>IF($A475="","",IFERROR(SUMIF(tblMotor[A_Norm],$A475,tblMotor[NetKar]),0))</f>
        <v/>
      </c>
      <c r="C475" s="16">
        <f>IF($A475="","",IFERROR(SUMIF(tblMotor[A_Norm],$A475,tblMotor[BasabasFiyat]),0))</f>
        <v/>
      </c>
      <c r="D475" s="16">
        <f>IF($A475="","",IFERROR(INDEX(tblMotor[KararSatir],MATCH($A475,tblMotor[A_Norm],0)),""))</f>
        <v/>
      </c>
      <c r="E475" s="16">
        <f>IF($A475="","",IF($B475&lt;0,"YUKSEK","NORMAL"))</f>
        <v/>
      </c>
      <c r="F475" s="16">
        <f>IF($A475="","",_xlfn.TEXTJOIN(" ",TRUE,"SKU",$A475,"karar",$D475,"net",TEXT($B475,"0.00"),"başabaş",TEXT($C475,"0.00"),"TL"))</f>
        <v/>
      </c>
    </row>
    <row r="476">
      <c r="A476" s="16">
        <f>IF('ESLESTIRME'!$A476="","",IF('ESLESTIRME'!$G476="tutar_farki",'ESLESTIRME'!$A476,""))</f>
        <v/>
      </c>
      <c r="B476" s="16">
        <f>IF($A476="","",IFERROR(SUMIF(tblMotor[A_Norm],$A476,tblMotor[NetKar]),0))</f>
        <v/>
      </c>
      <c r="C476" s="16">
        <f>IF($A476="","",IFERROR(SUMIF(tblMotor[A_Norm],$A476,tblMotor[BasabasFiyat]),0))</f>
        <v/>
      </c>
      <c r="D476" s="16">
        <f>IF($A476="","",IFERROR(INDEX(tblMotor[KararSatir],MATCH($A476,tblMotor[A_Norm],0)),""))</f>
        <v/>
      </c>
      <c r="E476" s="16">
        <f>IF($A476="","",IF($B476&lt;0,"YUKSEK","NORMAL"))</f>
        <v/>
      </c>
      <c r="F476" s="16">
        <f>IF($A476="","",_xlfn.TEXTJOIN(" ",TRUE,"SKU",$A476,"karar",$D476,"net",TEXT($B476,"0.00"),"başabaş",TEXT($C476,"0.00"),"TL"))</f>
        <v/>
      </c>
    </row>
    <row r="477">
      <c r="A477" s="16">
        <f>IF('ESLESTIRME'!$A477="","",IF('ESLESTIRME'!$G477="tutar_farki",'ESLESTIRME'!$A477,""))</f>
        <v/>
      </c>
      <c r="B477" s="16">
        <f>IF($A477="","",IFERROR(SUMIF(tblMotor[A_Norm],$A477,tblMotor[NetKar]),0))</f>
        <v/>
      </c>
      <c r="C477" s="16">
        <f>IF($A477="","",IFERROR(SUMIF(tblMotor[A_Norm],$A477,tblMotor[BasabasFiyat]),0))</f>
        <v/>
      </c>
      <c r="D477" s="16">
        <f>IF($A477="","",IFERROR(INDEX(tblMotor[KararSatir],MATCH($A477,tblMotor[A_Norm],0)),""))</f>
        <v/>
      </c>
      <c r="E477" s="16">
        <f>IF($A477="","",IF($B477&lt;0,"YUKSEK","NORMAL"))</f>
        <v/>
      </c>
      <c r="F477" s="16">
        <f>IF($A477="","",_xlfn.TEXTJOIN(" ",TRUE,"SKU",$A477,"karar",$D477,"net",TEXT($B477,"0.00"),"başabaş",TEXT($C477,"0.00"),"TL"))</f>
        <v/>
      </c>
    </row>
    <row r="478">
      <c r="A478" s="16">
        <f>IF('ESLESTIRME'!$A478="","",IF('ESLESTIRME'!$G478="tutar_farki",'ESLESTIRME'!$A478,""))</f>
        <v/>
      </c>
      <c r="B478" s="16">
        <f>IF($A478="","",IFERROR(SUMIF(tblMotor[A_Norm],$A478,tblMotor[NetKar]),0))</f>
        <v/>
      </c>
      <c r="C478" s="16">
        <f>IF($A478="","",IFERROR(SUMIF(tblMotor[A_Norm],$A478,tblMotor[BasabasFiyat]),0))</f>
        <v/>
      </c>
      <c r="D478" s="16">
        <f>IF($A478="","",IFERROR(INDEX(tblMotor[KararSatir],MATCH($A478,tblMotor[A_Norm],0)),""))</f>
        <v/>
      </c>
      <c r="E478" s="16">
        <f>IF($A478="","",IF($B478&lt;0,"YUKSEK","NORMAL"))</f>
        <v/>
      </c>
      <c r="F478" s="16">
        <f>IF($A478="","",_xlfn.TEXTJOIN(" ",TRUE,"SKU",$A478,"karar",$D478,"net",TEXT($B478,"0.00"),"başabaş",TEXT($C478,"0.00"),"TL"))</f>
        <v/>
      </c>
    </row>
    <row r="479">
      <c r="A479" s="16">
        <f>IF('ESLESTIRME'!$A479="","",IF('ESLESTIRME'!$G479="tutar_farki",'ESLESTIRME'!$A479,""))</f>
        <v/>
      </c>
      <c r="B479" s="16">
        <f>IF($A479="","",IFERROR(SUMIF(tblMotor[A_Norm],$A479,tblMotor[NetKar]),0))</f>
        <v/>
      </c>
      <c r="C479" s="16">
        <f>IF($A479="","",IFERROR(SUMIF(tblMotor[A_Norm],$A479,tblMotor[BasabasFiyat]),0))</f>
        <v/>
      </c>
      <c r="D479" s="16">
        <f>IF($A479="","",IFERROR(INDEX(tblMotor[KararSatir],MATCH($A479,tblMotor[A_Norm],0)),""))</f>
        <v/>
      </c>
      <c r="E479" s="16">
        <f>IF($A479="","",IF($B479&lt;0,"YUKSEK","NORMAL"))</f>
        <v/>
      </c>
      <c r="F479" s="16">
        <f>IF($A479="","",_xlfn.TEXTJOIN(" ",TRUE,"SKU",$A479,"karar",$D479,"net",TEXT($B479,"0.00"),"başabaş",TEXT($C479,"0.00"),"TL"))</f>
        <v/>
      </c>
    </row>
    <row r="480">
      <c r="A480" s="16">
        <f>IF('ESLESTIRME'!$A480="","",IF('ESLESTIRME'!$G480="tutar_farki",'ESLESTIRME'!$A480,""))</f>
        <v/>
      </c>
      <c r="B480" s="16">
        <f>IF($A480="","",IFERROR(SUMIF(tblMotor[A_Norm],$A480,tblMotor[NetKar]),0))</f>
        <v/>
      </c>
      <c r="C480" s="16">
        <f>IF($A480="","",IFERROR(SUMIF(tblMotor[A_Norm],$A480,tblMotor[BasabasFiyat]),0))</f>
        <v/>
      </c>
      <c r="D480" s="16">
        <f>IF($A480="","",IFERROR(INDEX(tblMotor[KararSatir],MATCH($A480,tblMotor[A_Norm],0)),""))</f>
        <v/>
      </c>
      <c r="E480" s="16">
        <f>IF($A480="","",IF($B480&lt;0,"YUKSEK","NORMAL"))</f>
        <v/>
      </c>
      <c r="F480" s="16">
        <f>IF($A480="","",_xlfn.TEXTJOIN(" ",TRUE,"SKU",$A480,"karar",$D480,"net",TEXT($B480,"0.00"),"başabaş",TEXT($C480,"0.00"),"TL"))</f>
        <v/>
      </c>
    </row>
    <row r="481">
      <c r="A481" s="16">
        <f>IF('ESLESTIRME'!$A481="","",IF('ESLESTIRME'!$G481="tutar_farki",'ESLESTIRME'!$A481,""))</f>
        <v/>
      </c>
      <c r="B481" s="16">
        <f>IF($A481="","",IFERROR(SUMIF(tblMotor[A_Norm],$A481,tblMotor[NetKar]),0))</f>
        <v/>
      </c>
      <c r="C481" s="16">
        <f>IF($A481="","",IFERROR(SUMIF(tblMotor[A_Norm],$A481,tblMotor[BasabasFiyat]),0))</f>
        <v/>
      </c>
      <c r="D481" s="16">
        <f>IF($A481="","",IFERROR(INDEX(tblMotor[KararSatir],MATCH($A481,tblMotor[A_Norm],0)),""))</f>
        <v/>
      </c>
      <c r="E481" s="16">
        <f>IF($A481="","",IF($B481&lt;0,"YUKSEK","NORMAL"))</f>
        <v/>
      </c>
      <c r="F481" s="16">
        <f>IF($A481="","",_xlfn.TEXTJOIN(" ",TRUE,"SKU",$A481,"karar",$D481,"net",TEXT($B481,"0.00"),"başabaş",TEXT($C481,"0.00"),"TL"))</f>
        <v/>
      </c>
    </row>
    <row r="482">
      <c r="A482" s="16">
        <f>IF('ESLESTIRME'!$A482="","",IF('ESLESTIRME'!$G482="tutar_farki",'ESLESTIRME'!$A482,""))</f>
        <v/>
      </c>
      <c r="B482" s="16">
        <f>IF($A482="","",IFERROR(SUMIF(tblMotor[A_Norm],$A482,tblMotor[NetKar]),0))</f>
        <v/>
      </c>
      <c r="C482" s="16">
        <f>IF($A482="","",IFERROR(SUMIF(tblMotor[A_Norm],$A482,tblMotor[BasabasFiyat]),0))</f>
        <v/>
      </c>
      <c r="D482" s="16">
        <f>IF($A482="","",IFERROR(INDEX(tblMotor[KararSatir],MATCH($A482,tblMotor[A_Norm],0)),""))</f>
        <v/>
      </c>
      <c r="E482" s="16">
        <f>IF($A482="","",IF($B482&lt;0,"YUKSEK","NORMAL"))</f>
        <v/>
      </c>
      <c r="F482" s="16">
        <f>IF($A482="","",_xlfn.TEXTJOIN(" ",TRUE,"SKU",$A482,"karar",$D482,"net",TEXT($B482,"0.00"),"başabaş",TEXT($C482,"0.00"),"TL"))</f>
        <v/>
      </c>
    </row>
    <row r="483">
      <c r="A483" s="16">
        <f>IF('ESLESTIRME'!$A483="","",IF('ESLESTIRME'!$G483="tutar_farki",'ESLESTIRME'!$A483,""))</f>
        <v/>
      </c>
      <c r="B483" s="16">
        <f>IF($A483="","",IFERROR(SUMIF(tblMotor[A_Norm],$A483,tblMotor[NetKar]),0))</f>
        <v/>
      </c>
      <c r="C483" s="16">
        <f>IF($A483="","",IFERROR(SUMIF(tblMotor[A_Norm],$A483,tblMotor[BasabasFiyat]),0))</f>
        <v/>
      </c>
      <c r="D483" s="16">
        <f>IF($A483="","",IFERROR(INDEX(tblMotor[KararSatir],MATCH($A483,tblMotor[A_Norm],0)),""))</f>
        <v/>
      </c>
      <c r="E483" s="16">
        <f>IF($A483="","",IF($B483&lt;0,"YUKSEK","NORMAL"))</f>
        <v/>
      </c>
      <c r="F483" s="16">
        <f>IF($A483="","",_xlfn.TEXTJOIN(" ",TRUE,"SKU",$A483,"karar",$D483,"net",TEXT($B483,"0.00"),"başabaş",TEXT($C483,"0.00"),"TL"))</f>
        <v/>
      </c>
    </row>
    <row r="484">
      <c r="A484" s="16">
        <f>IF('ESLESTIRME'!$A484="","",IF('ESLESTIRME'!$G484="tutar_farki",'ESLESTIRME'!$A484,""))</f>
        <v/>
      </c>
      <c r="B484" s="16">
        <f>IF($A484="","",IFERROR(SUMIF(tblMotor[A_Norm],$A484,tblMotor[NetKar]),0))</f>
        <v/>
      </c>
      <c r="C484" s="16">
        <f>IF($A484="","",IFERROR(SUMIF(tblMotor[A_Norm],$A484,tblMotor[BasabasFiyat]),0))</f>
        <v/>
      </c>
      <c r="D484" s="16">
        <f>IF($A484="","",IFERROR(INDEX(tblMotor[KararSatir],MATCH($A484,tblMotor[A_Norm],0)),""))</f>
        <v/>
      </c>
      <c r="E484" s="16">
        <f>IF($A484="","",IF($B484&lt;0,"YUKSEK","NORMAL"))</f>
        <v/>
      </c>
      <c r="F484" s="16">
        <f>IF($A484="","",_xlfn.TEXTJOIN(" ",TRUE,"SKU",$A484,"karar",$D484,"net",TEXT($B484,"0.00"),"başabaş",TEXT($C484,"0.00"),"TL"))</f>
        <v/>
      </c>
    </row>
    <row r="485">
      <c r="A485" s="16">
        <f>IF('ESLESTIRME'!$A485="","",IF('ESLESTIRME'!$G485="tutar_farki",'ESLESTIRME'!$A485,""))</f>
        <v/>
      </c>
      <c r="B485" s="16">
        <f>IF($A485="","",IFERROR(SUMIF(tblMotor[A_Norm],$A485,tblMotor[NetKar]),0))</f>
        <v/>
      </c>
      <c r="C485" s="16">
        <f>IF($A485="","",IFERROR(SUMIF(tblMotor[A_Norm],$A485,tblMotor[BasabasFiyat]),0))</f>
        <v/>
      </c>
      <c r="D485" s="16">
        <f>IF($A485="","",IFERROR(INDEX(tblMotor[KararSatir],MATCH($A485,tblMotor[A_Norm],0)),""))</f>
        <v/>
      </c>
      <c r="E485" s="16">
        <f>IF($A485="","",IF($B485&lt;0,"YUKSEK","NORMAL"))</f>
        <v/>
      </c>
      <c r="F485" s="16">
        <f>IF($A485="","",_xlfn.TEXTJOIN(" ",TRUE,"SKU",$A485,"karar",$D485,"net",TEXT($B485,"0.00"),"başabaş",TEXT($C485,"0.00"),"TL"))</f>
        <v/>
      </c>
    </row>
    <row r="486">
      <c r="A486" s="16">
        <f>IF('ESLESTIRME'!$A486="","",IF('ESLESTIRME'!$G486="tutar_farki",'ESLESTIRME'!$A486,""))</f>
        <v/>
      </c>
      <c r="B486" s="16">
        <f>IF($A486="","",IFERROR(SUMIF(tblMotor[A_Norm],$A486,tblMotor[NetKar]),0))</f>
        <v/>
      </c>
      <c r="C486" s="16">
        <f>IF($A486="","",IFERROR(SUMIF(tblMotor[A_Norm],$A486,tblMotor[BasabasFiyat]),0))</f>
        <v/>
      </c>
      <c r="D486" s="16">
        <f>IF($A486="","",IFERROR(INDEX(tblMotor[KararSatir],MATCH($A486,tblMotor[A_Norm],0)),""))</f>
        <v/>
      </c>
      <c r="E486" s="16">
        <f>IF($A486="","",IF($B486&lt;0,"YUKSEK","NORMAL"))</f>
        <v/>
      </c>
      <c r="F486" s="16">
        <f>IF($A486="","",_xlfn.TEXTJOIN(" ",TRUE,"SKU",$A486,"karar",$D486,"net",TEXT($B486,"0.00"),"başabaş",TEXT($C486,"0.00"),"TL"))</f>
        <v/>
      </c>
    </row>
    <row r="487">
      <c r="A487" s="16">
        <f>IF('ESLESTIRME'!$A487="","",IF('ESLESTIRME'!$G487="tutar_farki",'ESLESTIRME'!$A487,""))</f>
        <v/>
      </c>
      <c r="B487" s="16">
        <f>IF($A487="","",IFERROR(SUMIF(tblMotor[A_Norm],$A487,tblMotor[NetKar]),0))</f>
        <v/>
      </c>
      <c r="C487" s="16">
        <f>IF($A487="","",IFERROR(SUMIF(tblMotor[A_Norm],$A487,tblMotor[BasabasFiyat]),0))</f>
        <v/>
      </c>
      <c r="D487" s="16">
        <f>IF($A487="","",IFERROR(INDEX(tblMotor[KararSatir],MATCH($A487,tblMotor[A_Norm],0)),""))</f>
        <v/>
      </c>
      <c r="E487" s="16">
        <f>IF($A487="","",IF($B487&lt;0,"YUKSEK","NORMAL"))</f>
        <v/>
      </c>
      <c r="F487" s="16">
        <f>IF($A487="","",_xlfn.TEXTJOIN(" ",TRUE,"SKU",$A487,"karar",$D487,"net",TEXT($B487,"0.00"),"başabaş",TEXT($C487,"0.00"),"TL"))</f>
        <v/>
      </c>
    </row>
    <row r="488">
      <c r="A488" s="16">
        <f>IF('ESLESTIRME'!$A488="","",IF('ESLESTIRME'!$G488="tutar_farki",'ESLESTIRME'!$A488,""))</f>
        <v/>
      </c>
      <c r="B488" s="16">
        <f>IF($A488="","",IFERROR(SUMIF(tblMotor[A_Norm],$A488,tblMotor[NetKar]),0))</f>
        <v/>
      </c>
      <c r="C488" s="16">
        <f>IF($A488="","",IFERROR(SUMIF(tblMotor[A_Norm],$A488,tblMotor[BasabasFiyat]),0))</f>
        <v/>
      </c>
      <c r="D488" s="16">
        <f>IF($A488="","",IFERROR(INDEX(tblMotor[KararSatir],MATCH($A488,tblMotor[A_Norm],0)),""))</f>
        <v/>
      </c>
      <c r="E488" s="16">
        <f>IF($A488="","",IF($B488&lt;0,"YUKSEK","NORMAL"))</f>
        <v/>
      </c>
      <c r="F488" s="16">
        <f>IF($A488="","",_xlfn.TEXTJOIN(" ",TRUE,"SKU",$A488,"karar",$D488,"net",TEXT($B488,"0.00"),"başabaş",TEXT($C488,"0.00"),"TL"))</f>
        <v/>
      </c>
    </row>
    <row r="489">
      <c r="A489" s="16">
        <f>IF('ESLESTIRME'!$A489="","",IF('ESLESTIRME'!$G489="tutar_farki",'ESLESTIRME'!$A489,""))</f>
        <v/>
      </c>
      <c r="B489" s="16">
        <f>IF($A489="","",IFERROR(SUMIF(tblMotor[A_Norm],$A489,tblMotor[NetKar]),0))</f>
        <v/>
      </c>
      <c r="C489" s="16">
        <f>IF($A489="","",IFERROR(SUMIF(tblMotor[A_Norm],$A489,tblMotor[BasabasFiyat]),0))</f>
        <v/>
      </c>
      <c r="D489" s="16">
        <f>IF($A489="","",IFERROR(INDEX(tblMotor[KararSatir],MATCH($A489,tblMotor[A_Norm],0)),""))</f>
        <v/>
      </c>
      <c r="E489" s="16">
        <f>IF($A489="","",IF($B489&lt;0,"YUKSEK","NORMAL"))</f>
        <v/>
      </c>
      <c r="F489" s="16">
        <f>IF($A489="","",_xlfn.TEXTJOIN(" ",TRUE,"SKU",$A489,"karar",$D489,"net",TEXT($B489,"0.00"),"başabaş",TEXT($C489,"0.00"),"TL"))</f>
        <v/>
      </c>
    </row>
    <row r="490">
      <c r="A490" s="16">
        <f>IF('ESLESTIRME'!$A490="","",IF('ESLESTIRME'!$G490="tutar_farki",'ESLESTIRME'!$A490,""))</f>
        <v/>
      </c>
      <c r="B490" s="16">
        <f>IF($A490="","",IFERROR(SUMIF(tblMotor[A_Norm],$A490,tblMotor[NetKar]),0))</f>
        <v/>
      </c>
      <c r="C490" s="16">
        <f>IF($A490="","",IFERROR(SUMIF(tblMotor[A_Norm],$A490,tblMotor[BasabasFiyat]),0))</f>
        <v/>
      </c>
      <c r="D490" s="16">
        <f>IF($A490="","",IFERROR(INDEX(tblMotor[KararSatir],MATCH($A490,tblMotor[A_Norm],0)),""))</f>
        <v/>
      </c>
      <c r="E490" s="16">
        <f>IF($A490="","",IF($B490&lt;0,"YUKSEK","NORMAL"))</f>
        <v/>
      </c>
      <c r="F490" s="16">
        <f>IF($A490="","",_xlfn.TEXTJOIN(" ",TRUE,"SKU",$A490,"karar",$D490,"net",TEXT($B490,"0.00"),"başabaş",TEXT($C490,"0.00"),"TL"))</f>
        <v/>
      </c>
    </row>
    <row r="491">
      <c r="A491" s="16">
        <f>IF('ESLESTIRME'!$A491="","",IF('ESLESTIRME'!$G491="tutar_farki",'ESLESTIRME'!$A491,""))</f>
        <v/>
      </c>
      <c r="B491" s="16">
        <f>IF($A491="","",IFERROR(SUMIF(tblMotor[A_Norm],$A491,tblMotor[NetKar]),0))</f>
        <v/>
      </c>
      <c r="C491" s="16">
        <f>IF($A491="","",IFERROR(SUMIF(tblMotor[A_Norm],$A491,tblMotor[BasabasFiyat]),0))</f>
        <v/>
      </c>
      <c r="D491" s="16">
        <f>IF($A491="","",IFERROR(INDEX(tblMotor[KararSatir],MATCH($A491,tblMotor[A_Norm],0)),""))</f>
        <v/>
      </c>
      <c r="E491" s="16">
        <f>IF($A491="","",IF($B491&lt;0,"YUKSEK","NORMAL"))</f>
        <v/>
      </c>
      <c r="F491" s="16">
        <f>IF($A491="","",_xlfn.TEXTJOIN(" ",TRUE,"SKU",$A491,"karar",$D491,"net",TEXT($B491,"0.00"),"başabaş",TEXT($C491,"0.00"),"TL"))</f>
        <v/>
      </c>
    </row>
    <row r="492">
      <c r="A492" s="16">
        <f>IF('ESLESTIRME'!$A492="","",IF('ESLESTIRME'!$G492="tutar_farki",'ESLESTIRME'!$A492,""))</f>
        <v/>
      </c>
      <c r="B492" s="16">
        <f>IF($A492="","",IFERROR(SUMIF(tblMotor[A_Norm],$A492,tblMotor[NetKar]),0))</f>
        <v/>
      </c>
      <c r="C492" s="16">
        <f>IF($A492="","",IFERROR(SUMIF(tblMotor[A_Norm],$A492,tblMotor[BasabasFiyat]),0))</f>
        <v/>
      </c>
      <c r="D492" s="16">
        <f>IF($A492="","",IFERROR(INDEX(tblMotor[KararSatir],MATCH($A492,tblMotor[A_Norm],0)),""))</f>
        <v/>
      </c>
      <c r="E492" s="16">
        <f>IF($A492="","",IF($B492&lt;0,"YUKSEK","NORMAL"))</f>
        <v/>
      </c>
      <c r="F492" s="16">
        <f>IF($A492="","",_xlfn.TEXTJOIN(" ",TRUE,"SKU",$A492,"karar",$D492,"net",TEXT($B492,"0.00"),"başabaş",TEXT($C492,"0.00"),"TL"))</f>
        <v/>
      </c>
    </row>
    <row r="493">
      <c r="A493" s="16">
        <f>IF('ESLESTIRME'!$A493="","",IF('ESLESTIRME'!$G493="tutar_farki",'ESLESTIRME'!$A493,""))</f>
        <v/>
      </c>
      <c r="B493" s="16">
        <f>IF($A493="","",IFERROR(SUMIF(tblMotor[A_Norm],$A493,tblMotor[NetKar]),0))</f>
        <v/>
      </c>
      <c r="C493" s="16">
        <f>IF($A493="","",IFERROR(SUMIF(tblMotor[A_Norm],$A493,tblMotor[BasabasFiyat]),0))</f>
        <v/>
      </c>
      <c r="D493" s="16">
        <f>IF($A493="","",IFERROR(INDEX(tblMotor[KararSatir],MATCH($A493,tblMotor[A_Norm],0)),""))</f>
        <v/>
      </c>
      <c r="E493" s="16">
        <f>IF($A493="","",IF($B493&lt;0,"YUKSEK","NORMAL"))</f>
        <v/>
      </c>
      <c r="F493" s="16">
        <f>IF($A493="","",_xlfn.TEXTJOIN(" ",TRUE,"SKU",$A493,"karar",$D493,"net",TEXT($B493,"0.00"),"başabaş",TEXT($C493,"0.00"),"TL"))</f>
        <v/>
      </c>
    </row>
    <row r="494">
      <c r="A494" s="16">
        <f>IF('ESLESTIRME'!$A494="","",IF('ESLESTIRME'!$G494="tutar_farki",'ESLESTIRME'!$A494,""))</f>
        <v/>
      </c>
      <c r="B494" s="16">
        <f>IF($A494="","",IFERROR(SUMIF(tblMotor[A_Norm],$A494,tblMotor[NetKar]),0))</f>
        <v/>
      </c>
      <c r="C494" s="16">
        <f>IF($A494="","",IFERROR(SUMIF(tblMotor[A_Norm],$A494,tblMotor[BasabasFiyat]),0))</f>
        <v/>
      </c>
      <c r="D494" s="16">
        <f>IF($A494="","",IFERROR(INDEX(tblMotor[KararSatir],MATCH($A494,tblMotor[A_Norm],0)),""))</f>
        <v/>
      </c>
      <c r="E494" s="16">
        <f>IF($A494="","",IF($B494&lt;0,"YUKSEK","NORMAL"))</f>
        <v/>
      </c>
      <c r="F494" s="16">
        <f>IF($A494="","",_xlfn.TEXTJOIN(" ",TRUE,"SKU",$A494,"karar",$D494,"net",TEXT($B494,"0.00"),"başabaş",TEXT($C494,"0.00"),"TL"))</f>
        <v/>
      </c>
    </row>
    <row r="495">
      <c r="A495" s="16">
        <f>IF('ESLESTIRME'!$A495="","",IF('ESLESTIRME'!$G495="tutar_farki",'ESLESTIRME'!$A495,""))</f>
        <v/>
      </c>
      <c r="B495" s="16">
        <f>IF($A495="","",IFERROR(SUMIF(tblMotor[A_Norm],$A495,tblMotor[NetKar]),0))</f>
        <v/>
      </c>
      <c r="C495" s="16">
        <f>IF($A495="","",IFERROR(SUMIF(tblMotor[A_Norm],$A495,tblMotor[BasabasFiyat]),0))</f>
        <v/>
      </c>
      <c r="D495" s="16">
        <f>IF($A495="","",IFERROR(INDEX(tblMotor[KararSatir],MATCH($A495,tblMotor[A_Norm],0)),""))</f>
        <v/>
      </c>
      <c r="E495" s="16">
        <f>IF($A495="","",IF($B495&lt;0,"YUKSEK","NORMAL"))</f>
        <v/>
      </c>
      <c r="F495" s="16">
        <f>IF($A495="","",_xlfn.TEXTJOIN(" ",TRUE,"SKU",$A495,"karar",$D495,"net",TEXT($B495,"0.00"),"başabaş",TEXT($C495,"0.00"),"TL"))</f>
        <v/>
      </c>
    </row>
    <row r="496">
      <c r="A496" s="16">
        <f>IF('ESLESTIRME'!$A496="","",IF('ESLESTIRME'!$G496="tutar_farki",'ESLESTIRME'!$A496,""))</f>
        <v/>
      </c>
      <c r="B496" s="16">
        <f>IF($A496="","",IFERROR(SUMIF(tblMotor[A_Norm],$A496,tblMotor[NetKar]),0))</f>
        <v/>
      </c>
      <c r="C496" s="16">
        <f>IF($A496="","",IFERROR(SUMIF(tblMotor[A_Norm],$A496,tblMotor[BasabasFiyat]),0))</f>
        <v/>
      </c>
      <c r="D496" s="16">
        <f>IF($A496="","",IFERROR(INDEX(tblMotor[KararSatir],MATCH($A496,tblMotor[A_Norm],0)),""))</f>
        <v/>
      </c>
      <c r="E496" s="16">
        <f>IF($A496="","",IF($B496&lt;0,"YUKSEK","NORMAL"))</f>
        <v/>
      </c>
      <c r="F496" s="16">
        <f>IF($A496="","",_xlfn.TEXTJOIN(" ",TRUE,"SKU",$A496,"karar",$D496,"net",TEXT($B496,"0.00"),"başabaş",TEXT($C496,"0.00"),"TL"))</f>
        <v/>
      </c>
    </row>
    <row r="497">
      <c r="A497" s="16">
        <f>IF('ESLESTIRME'!$A497="","",IF('ESLESTIRME'!$G497="tutar_farki",'ESLESTIRME'!$A497,""))</f>
        <v/>
      </c>
      <c r="B497" s="16">
        <f>IF($A497="","",IFERROR(SUMIF(tblMotor[A_Norm],$A497,tblMotor[NetKar]),0))</f>
        <v/>
      </c>
      <c r="C497" s="16">
        <f>IF($A497="","",IFERROR(SUMIF(tblMotor[A_Norm],$A497,tblMotor[BasabasFiyat]),0))</f>
        <v/>
      </c>
      <c r="D497" s="16">
        <f>IF($A497="","",IFERROR(INDEX(tblMotor[KararSatir],MATCH($A497,tblMotor[A_Norm],0)),""))</f>
        <v/>
      </c>
      <c r="E497" s="16">
        <f>IF($A497="","",IF($B497&lt;0,"YUKSEK","NORMAL"))</f>
        <v/>
      </c>
      <c r="F497" s="16">
        <f>IF($A497="","",_xlfn.TEXTJOIN(" ",TRUE,"SKU",$A497,"karar",$D497,"net",TEXT($B497,"0.00"),"başabaş",TEXT($C497,"0.00"),"TL"))</f>
        <v/>
      </c>
    </row>
    <row r="498">
      <c r="A498" s="16">
        <f>IF('ESLESTIRME'!$A498="","",IF('ESLESTIRME'!$G498="tutar_farki",'ESLESTIRME'!$A498,""))</f>
        <v/>
      </c>
      <c r="B498" s="16">
        <f>IF($A498="","",IFERROR(SUMIF(tblMotor[A_Norm],$A498,tblMotor[NetKar]),0))</f>
        <v/>
      </c>
      <c r="C498" s="16">
        <f>IF($A498="","",IFERROR(SUMIF(tblMotor[A_Norm],$A498,tblMotor[BasabasFiyat]),0))</f>
        <v/>
      </c>
      <c r="D498" s="16">
        <f>IF($A498="","",IFERROR(INDEX(tblMotor[KararSatir],MATCH($A498,tblMotor[A_Norm],0)),""))</f>
        <v/>
      </c>
      <c r="E498" s="16">
        <f>IF($A498="","",IF($B498&lt;0,"YUKSEK","NORMAL"))</f>
        <v/>
      </c>
      <c r="F498" s="16">
        <f>IF($A498="","",_xlfn.TEXTJOIN(" ",TRUE,"SKU",$A498,"karar",$D498,"net",TEXT($B498,"0.00"),"başabaş",TEXT($C498,"0.00"),"TL"))</f>
        <v/>
      </c>
    </row>
    <row r="499">
      <c r="A499" s="16">
        <f>IF('ESLESTIRME'!$A499="","",IF('ESLESTIRME'!$G499="tutar_farki",'ESLESTIRME'!$A499,""))</f>
        <v/>
      </c>
      <c r="B499" s="16">
        <f>IF($A499="","",IFERROR(SUMIF(tblMotor[A_Norm],$A499,tblMotor[NetKar]),0))</f>
        <v/>
      </c>
      <c r="C499" s="16">
        <f>IF($A499="","",IFERROR(SUMIF(tblMotor[A_Norm],$A499,tblMotor[BasabasFiyat]),0))</f>
        <v/>
      </c>
      <c r="D499" s="16">
        <f>IF($A499="","",IFERROR(INDEX(tblMotor[KararSatir],MATCH($A499,tblMotor[A_Norm],0)),""))</f>
        <v/>
      </c>
      <c r="E499" s="16">
        <f>IF($A499="","",IF($B499&lt;0,"YUKSEK","NORMAL"))</f>
        <v/>
      </c>
      <c r="F499" s="16">
        <f>IF($A499="","",_xlfn.TEXTJOIN(" ",TRUE,"SKU",$A499,"karar",$D499,"net",TEXT($B499,"0.00"),"başabaş",TEXT($C499,"0.00"),"TL"))</f>
        <v/>
      </c>
    </row>
    <row r="500">
      <c r="A500" s="16">
        <f>IF('ESLESTIRME'!$A500="","",IF('ESLESTIRME'!$G500="tutar_farki",'ESLESTIRME'!$A500,""))</f>
        <v/>
      </c>
      <c r="B500" s="16">
        <f>IF($A500="","",IFERROR(SUMIF(tblMotor[A_Norm],$A500,tblMotor[NetKar]),0))</f>
        <v/>
      </c>
      <c r="C500" s="16">
        <f>IF($A500="","",IFERROR(SUMIF(tblMotor[A_Norm],$A500,tblMotor[BasabasFiyat]),0))</f>
        <v/>
      </c>
      <c r="D500" s="16">
        <f>IF($A500="","",IFERROR(INDEX(tblMotor[KararSatir],MATCH($A500,tblMotor[A_Norm],0)),""))</f>
        <v/>
      </c>
      <c r="E500" s="16">
        <f>IF($A500="","",IF($B500&lt;0,"YUKSEK","NORMAL"))</f>
        <v/>
      </c>
      <c r="F500" s="16">
        <f>IF($A500="","",_xlfn.TEXTJOIN(" ",TRUE,"SKU",$A500,"karar",$D500,"net",TEXT($B500,"0.00"),"başabaş",TEXT($C500,"0.00"),"TL"))</f>
        <v/>
      </c>
    </row>
    <row r="501">
      <c r="A501" s="16">
        <f>IF('ESLESTIRME'!$A501="","",IF('ESLESTIRME'!$G501="tutar_farki",'ESLESTIRME'!$A501,""))</f>
        <v/>
      </c>
      <c r="B501" s="16">
        <f>IF($A501="","",IFERROR(SUMIF(tblMotor[A_Norm],$A501,tblMotor[NetKar]),0))</f>
        <v/>
      </c>
      <c r="C501" s="16">
        <f>IF($A501="","",IFERROR(SUMIF(tblMotor[A_Norm],$A501,tblMotor[BasabasFiyat]),0))</f>
        <v/>
      </c>
      <c r="D501" s="16">
        <f>IF($A501="","",IFERROR(INDEX(tblMotor[KararSatir],MATCH($A501,tblMotor[A_Norm],0)),""))</f>
        <v/>
      </c>
      <c r="E501" s="16">
        <f>IF($A501="","",IF($B501&lt;0,"YUKSEK","NORMAL"))</f>
        <v/>
      </c>
      <c r="F501" s="16">
        <f>IF($A501="","",_xlfn.TEXTJOIN(" ",TRUE,"SKU",$A501,"karar",$D501,"net",TEXT($B501,"0.00"),"başabaş",TEXT($C501,"0.00"),"TL"))</f>
        <v/>
      </c>
    </row>
    <row r="502">
      <c r="A502" s="16">
        <f>IF('ESLESTIRME'!$A502="","",IF('ESLESTIRME'!$G502="tutar_farki",'ESLESTIRME'!$A502,""))</f>
        <v/>
      </c>
      <c r="B502" s="16">
        <f>IF($A502="","",IFERROR(SUMIF(tblMotor[A_Norm],$A502,tblMotor[NetKar]),0))</f>
        <v/>
      </c>
      <c r="C502" s="16">
        <f>IF($A502="","",IFERROR(SUMIF(tblMotor[A_Norm],$A502,tblMotor[BasabasFiyat]),0))</f>
        <v/>
      </c>
      <c r="D502" s="16">
        <f>IF($A502="","",IFERROR(INDEX(tblMotor[KararSatir],MATCH($A502,tblMotor[A_Norm],0)),""))</f>
        <v/>
      </c>
      <c r="E502" s="16">
        <f>IF($A502="","",IF($B502&lt;0,"YUKSEK","NORMAL"))</f>
        <v/>
      </c>
      <c r="F502" s="16">
        <f>IF($A502="","",_xlfn.TEXTJOIN(" ",TRUE,"SKU",$A502,"karar",$D502,"net",TEXT($B502,"0.00"),"başabaş",TEXT($C502,"0.00"),"TL"))</f>
        <v/>
      </c>
    </row>
    <row r="503">
      <c r="A503" s="16">
        <f>IF('ESLESTIRME'!$A503="","",IF('ESLESTIRME'!$G503="tutar_farki",'ESLESTIRME'!$A503,""))</f>
        <v/>
      </c>
      <c r="B503" s="16">
        <f>IF($A503="","",IFERROR(SUMIF(tblMotor[A_Norm],$A503,tblMotor[NetKar]),0))</f>
        <v/>
      </c>
      <c r="C503" s="16">
        <f>IF($A503="","",IFERROR(SUMIF(tblMotor[A_Norm],$A503,tblMotor[BasabasFiyat]),0))</f>
        <v/>
      </c>
      <c r="D503" s="16">
        <f>IF($A503="","",IFERROR(INDEX(tblMotor[KararSatir],MATCH($A503,tblMotor[A_Norm],0)),""))</f>
        <v/>
      </c>
      <c r="E503" s="16">
        <f>IF($A503="","",IF($B503&lt;0,"YUKSEK","NORMAL"))</f>
        <v/>
      </c>
      <c r="F503" s="16">
        <f>IF($A503="","",_xlfn.TEXTJOIN(" ",TRUE,"SKU",$A503,"karar",$D503,"net",TEXT($B503,"0.00"),"başabaş",TEXT($C503,"0.00"),"TL"))</f>
        <v/>
      </c>
    </row>
    <row r="504">
      <c r="A504" s="16">
        <f>IF('ESLESTIRME'!$A504="","",IF('ESLESTIRME'!$G504="tutar_farki",'ESLESTIRME'!$A504,""))</f>
        <v/>
      </c>
      <c r="B504" s="16">
        <f>IF($A504="","",IFERROR(SUMIF(tblMotor[A_Norm],$A504,tblMotor[NetKar]),0))</f>
        <v/>
      </c>
      <c r="C504" s="16">
        <f>IF($A504="","",IFERROR(SUMIF(tblMotor[A_Norm],$A504,tblMotor[BasabasFiyat]),0))</f>
        <v/>
      </c>
      <c r="D504" s="16">
        <f>IF($A504="","",IFERROR(INDEX(tblMotor[KararSatir],MATCH($A504,tblMotor[A_Norm],0)),""))</f>
        <v/>
      </c>
      <c r="E504" s="16">
        <f>IF($A504="","",IF($B504&lt;0,"YUKSEK","NORMAL"))</f>
        <v/>
      </c>
      <c r="F504" s="16">
        <f>IF($A504="","",_xlfn.TEXTJOIN(" ",TRUE,"SKU",$A504,"karar",$D504,"net",TEXT($B504,"0.00"),"başabaş",TEXT($C504,"0.00"),"TL"))</f>
        <v/>
      </c>
    </row>
    <row r="505">
      <c r="A505" s="16">
        <f>IF('ESLESTIRME'!$A505="","",IF('ESLESTIRME'!$G505="tutar_farki",'ESLESTIRME'!$A505,""))</f>
        <v/>
      </c>
      <c r="B505" s="16">
        <f>IF($A505="","",IFERROR(SUMIF(tblMotor[A_Norm],$A505,tblMotor[NetKar]),0))</f>
        <v/>
      </c>
      <c r="C505" s="16">
        <f>IF($A505="","",IFERROR(SUMIF(tblMotor[A_Norm],$A505,tblMotor[BasabasFiyat]),0))</f>
        <v/>
      </c>
      <c r="D505" s="16">
        <f>IF($A505="","",IFERROR(INDEX(tblMotor[KararSatir],MATCH($A505,tblMotor[A_Norm],0)),""))</f>
        <v/>
      </c>
      <c r="E505" s="16">
        <f>IF($A505="","",IF($B505&lt;0,"YUKSEK","NORMAL"))</f>
        <v/>
      </c>
      <c r="F505" s="16">
        <f>IF($A505="","",_xlfn.TEXTJOIN(" ",TRUE,"SKU",$A505,"karar",$D505,"net",TEXT($B505,"0.00"),"başabaş",TEXT($C505,"0.00"),"TL"))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E-Ticaret Gerçek Kârlılık &amp; Fiyatlama</t>
        </is>
      </c>
    </row>
    <row r="3" ht="28" customHeight="1">
      <c r="A3" s="33" t="inlineStr">
        <is>
          <t>Gerçek Kârlılık Kanıt Raporu</t>
        </is>
      </c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egk_eslesmeOrani</f>
        <v/>
      </c>
    </row>
    <row r="10">
      <c r="A10" s="7" t="inlineStr">
        <is>
          <t>Toplam Net Kâr</t>
        </is>
      </c>
      <c r="B10" s="37">
        <f>SUM(tblMotor[NetKar])</f>
        <v/>
      </c>
    </row>
    <row r="11">
      <c r="A11" s="7" t="inlineStr">
        <is>
          <t>Hedef-Gerçek Fark</t>
        </is>
      </c>
      <c r="B11" s="37">
        <f>egk_mutabakatFarki</f>
        <v/>
      </c>
    </row>
    <row r="12">
      <c r="A12" s="7" t="inlineStr">
        <is>
          <t>Ortalama Katkı</t>
        </is>
      </c>
      <c r="B12" s="36">
        <f>egk_modulT1</f>
        <v/>
      </c>
    </row>
    <row r="13">
      <c r="A13" s="7" t="inlineStr">
        <is>
          <t>Başabaş Ort.</t>
        </is>
      </c>
      <c r="B13" s="37">
        <f>IFERROR(IF(COUNTA(tblMotor[A_Norm])=0,0,AVERAGE(tblMotor[BasabasFiyat])),0)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egk_kovaButunluk</f>
        <v/>
      </c>
    </row>
    <row r="17">
      <c r="A17" s="18" t="inlineStr">
        <is>
          <t>Varsayımlar</t>
        </is>
      </c>
    </row>
    <row r="18">
      <c r="A18" s="8" t="inlineStr">
        <is>
          <t>Tolerans kuruşu AYARLAR'dan gelir. SKU UPPER/TRIM/SUBSTITUTE ile normalize edilir.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ZAM YAP satırlarında başabaş fiyatın üstüne çıkın.</t>
        </is>
      </c>
    </row>
    <row r="22">
      <c r="A22" s="7" t="inlineStr">
        <is>
          <t>2. İNDİRİMİ KES satırlarında kampanya/varyant B'yi kapatın.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"TUT"</formula>
    </cfRule>
    <cfRule type="cellIs" priority="2" operator="equal" dxfId="0">
      <formula>"ZAM YAP"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&amp;LE-Ticaret Gerçek Kârlılık &amp; Fiyatlama | Kanıt&amp;CExcelArşiv&amp;RSayfa &amp;P / &amp;N</oddFooter>
    <evenHeader/>
    <evenFooter>&amp;LE-Ticaret Gerçek Kârlılık &amp; Fiyatlama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E-Ticaret Gerçek Kârlılık &amp; Fiyatlama</t>
        </is>
      </c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COUNTA(tblVeriA[UrunKodu])</f>
        <v/>
      </c>
    </row>
    <row r="6">
      <c r="A6" s="7" t="inlineStr">
        <is>
          <t>B satır sayısı</t>
        </is>
      </c>
      <c r="B6" s="38">
        <f>COUNTA(tblVeriB[UrunKodu])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Net toplam</t>
        </is>
      </c>
      <c r="B17" s="37">
        <f>SUM(tblMotor[NetKar])</f>
        <v/>
      </c>
    </row>
    <row r="18">
      <c r="A18" s="7" t="inlineStr">
        <is>
          <t>Hedef toplam</t>
        </is>
      </c>
      <c r="B18" s="37">
        <f>SUM(tblVeriA[HedefNet])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E-Ticaret Gerçek Kârlılık &amp; Fiyatlama</t>
        </is>
      </c>
    </row>
    <row r="3">
      <c r="A3" s="39" t="inlineStr">
        <is>
          <t>Örnek Senaryo Açıklaması</t>
        </is>
      </c>
    </row>
    <row r="4">
      <c r="A4" s="8" t="inlineStr">
        <is>
          <t>Dosyada 35 satır örnek ürün vardır: hedef↔gerçek net kâr farkı, kısa/uzun SKU (3,7,11), eşleşmeyen (15) ve kampanya/Yorum B satırları kasıtlıdır. VERI_A ve VERI_B'yi temizleyip kendi kataloğunuzu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ZAM YAP / TUT / İNDİRİMİ KES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E-Ticaret Gerçek Kârlılık &amp; Fiyatlama</t>
        </is>
      </c>
    </row>
    <row r="3">
      <c r="A3" s="18" t="inlineStr">
        <is>
          <t>Platform Listesi</t>
        </is>
      </c>
      <c r="C3" s="18" t="inlineStr">
        <is>
          <t>Durum Listesi</t>
        </is>
      </c>
      <c r="E3" s="34" t="inlineStr">
        <is>
          <t>Yorum A/B</t>
        </is>
      </c>
    </row>
    <row r="6">
      <c r="A6" s="40" t="inlineStr">
        <is>
          <t>Platform</t>
        </is>
      </c>
      <c r="C6" s="40" t="inlineStr">
        <is>
          <t>Durum</t>
        </is>
      </c>
      <c r="E6" s="40" t="inlineStr">
        <is>
          <t>Secim</t>
        </is>
      </c>
    </row>
    <row r="7">
      <c r="A7" s="13" t="inlineStr">
        <is>
          <t>Trendyol</t>
        </is>
      </c>
      <c r="C7" s="13" t="inlineStr">
        <is>
          <t>Aktif</t>
        </is>
      </c>
      <c r="E7" s="13" t="inlineStr">
        <is>
          <t>A</t>
        </is>
      </c>
    </row>
    <row r="8">
      <c r="A8" s="13" t="inlineStr">
        <is>
          <t>Hepsiburada</t>
        </is>
      </c>
      <c r="C8" s="13" t="inlineStr">
        <is>
          <t>Kampanya</t>
        </is>
      </c>
      <c r="E8" s="13" t="inlineStr">
        <is>
          <t>B</t>
        </is>
      </c>
    </row>
    <row r="9">
      <c r="A9" s="13" t="inlineStr">
        <is>
          <t>Amazon</t>
        </is>
      </c>
      <c r="C9" s="13" t="inlineStr">
        <is>
          <t>Durduruldu</t>
        </is>
      </c>
    </row>
    <row r="10">
      <c r="A10" s="13" t="inlineStr">
        <is>
          <t>N11</t>
        </is>
      </c>
    </row>
    <row r="11">
      <c r="A11" s="13" t="inlineStr">
        <is>
          <t>KendiSite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8">
    <dataValidation sqref="A7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Platform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3D2E"/>
    <outlinePr summaryBelow="1" summaryRight="1"/>
    <pageSetUpPr/>
  </sheetPr>
  <dimension ref="A1:L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E-Ticaret Gerçek Kârlılık &amp; Fiyatlama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5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egk_esikEslesme</t>
        </is>
      </c>
      <c r="B8" s="15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egk_esikFark</t>
        </is>
      </c>
      <c r="B9" s="14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egk_esikKatkiDusuk</t>
        </is>
      </c>
      <c r="B10" s="15" t="n">
        <v>0.08</v>
      </c>
      <c r="C10" s="7" t="inlineStr">
        <is>
          <t>oran</t>
        </is>
      </c>
      <c r="D10" s="7" t="inlineStr">
        <is>
          <t>Fiyatlama politikası</t>
        </is>
      </c>
      <c r="E10" s="7" t="inlineStr">
        <is>
          <t>01.01.2026</t>
        </is>
      </c>
      <c r="F10" s="8" t="inlineStr">
        <is>
          <t>ZAM YAP eşiği</t>
        </is>
      </c>
    </row>
    <row r="11">
      <c r="A11" s="7" t="inlineStr">
        <is>
          <t>egk_esikKatkiHedef</t>
        </is>
      </c>
      <c r="B11" s="15" t="n">
        <v>0.15</v>
      </c>
      <c r="C11" s="7" t="inlineStr">
        <is>
          <t>oran</t>
        </is>
      </c>
      <c r="D11" s="7" t="inlineStr">
        <is>
          <t>Fiyatlama politikası</t>
        </is>
      </c>
      <c r="E11" s="7" t="inlineStr">
        <is>
          <t>01.01.2026</t>
        </is>
      </c>
      <c r="F11" s="8" t="inlineStr">
        <is>
          <t>Hedef katkı</t>
        </is>
      </c>
    </row>
    <row r="12">
      <c r="A12" s="7" t="inlineStr">
        <is>
          <t>egk_azamiTutar</t>
        </is>
      </c>
      <c r="B12" s="14" t="n">
        <v>1000000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egk_ikincilUzunluk</t>
        </is>
      </c>
      <c r="B13" s="17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Ikincil anahtar</t>
        </is>
      </c>
    </row>
    <row r="14">
      <c r="A14" s="7" t="inlineStr">
        <is>
          <t>egk_olcekHedef</t>
        </is>
      </c>
      <c r="B14" s="17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egk_yuzdelikOran</t>
        </is>
      </c>
      <c r="B15" s="15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egk_komisyonSenaryo</t>
        </is>
      </c>
      <c r="B16" s="15" t="n">
        <v>0.02</v>
      </c>
      <c r="C16" s="7" t="inlineStr">
        <is>
          <t>oran</t>
        </is>
      </c>
      <c r="D16" s="7" t="inlineStr">
        <is>
          <t>M_SEN parametre</t>
        </is>
      </c>
      <c r="E16" s="7" t="inlineStr">
        <is>
          <t>01.01.2026</t>
        </is>
      </c>
      <c r="F16" s="8" t="inlineStr">
        <is>
          <t>Komisyon +pp senaryo</t>
        </is>
      </c>
    </row>
    <row r="17">
      <c r="A17" s="7" t="inlineStr">
        <is>
          <t>egk_fiyatModeli</t>
        </is>
      </c>
      <c r="B17" s="13" t="inlineStr">
        <is>
          <t>Tek seferlik alım — aylık ücret yok</t>
        </is>
      </c>
      <c r="C17" s="7" t="inlineStr">
        <is>
          <t>metin</t>
        </is>
      </c>
      <c r="D17" s="7" t="inlineStr">
        <is>
          <t>Ürün konumlandırma</t>
        </is>
      </c>
      <c r="E17" s="7" t="inlineStr">
        <is>
          <t>01.01.2026</t>
        </is>
      </c>
      <c r="F17" s="8" t="inlineStr">
        <is>
          <t>R3 ayrım</t>
        </is>
      </c>
    </row>
    <row r="18">
      <c r="A18" s="7" t="inlineStr">
        <is>
          <t>egk_kvkkBeyani</t>
        </is>
      </c>
      <c r="B18" s="13" t="inlineStr">
        <is>
          <t>Veri cihazdan çıkmaz</t>
        </is>
      </c>
      <c r="C18" s="7" t="inlineStr">
        <is>
          <t>metin</t>
        </is>
      </c>
      <c r="D18" s="7" t="inlineStr">
        <is>
          <t>KVKK beyanı</t>
        </is>
      </c>
      <c r="E18" s="7" t="inlineStr">
        <is>
          <t>01.01.2026</t>
        </is>
      </c>
      <c r="F18" s="8" t="inlineStr">
        <is>
          <t>R3 ayrım</t>
        </is>
      </c>
    </row>
    <row r="19">
      <c r="A19" s="7" t="inlineStr">
        <is>
          <t>egk_basabasFiyat</t>
        </is>
      </c>
      <c r="B19" s="13" t="inlineStr">
        <is>
          <t>Başabaş fiyat motoru</t>
        </is>
      </c>
      <c r="C19" s="7" t="inlineStr">
        <is>
          <t>metin</t>
        </is>
      </c>
      <c r="D19" s="7" t="inlineStr">
        <is>
          <t>MOTOR</t>
        </is>
      </c>
      <c r="E19" s="7" t="inlineStr">
        <is>
          <t>01.01.2026</t>
        </is>
      </c>
      <c r="F19" s="8" t="inlineStr">
        <is>
          <t>R1 ayrım</t>
        </is>
      </c>
    </row>
    <row r="20">
      <c r="A20" s="7" t="inlineStr">
        <is>
          <t>egk_normAnahtar</t>
        </is>
      </c>
      <c r="B20" s="13" t="inlineStr">
        <is>
          <t>UPPER TRIM SUBSTITUTE</t>
        </is>
      </c>
      <c r="C20" s="7" t="inlineStr">
        <is>
          <t>metin</t>
        </is>
      </c>
      <c r="D20" s="7" t="inlineStr">
        <is>
          <t>Ç7 anahtar</t>
        </is>
      </c>
      <c r="E20" s="7" t="inlineStr">
        <is>
          <t>01.01.2026</t>
        </is>
      </c>
      <c r="F20" s="8" t="inlineStr">
        <is>
          <t>Serbest alternatif</t>
        </is>
      </c>
    </row>
    <row r="21">
      <c r="A21" s="7" t="inlineStr">
        <is>
          <t>egk_tanimsizKova</t>
        </is>
      </c>
      <c r="B21" s="13" t="inlineStr">
        <is>
          <t>TANIMSIZ görünür</t>
        </is>
      </c>
      <c r="C21" s="7" t="inlineStr">
        <is>
          <t>metin</t>
        </is>
      </c>
      <c r="D21" s="7" t="inlineStr">
        <is>
          <t>E04</t>
        </is>
      </c>
      <c r="E21" s="7" t="inlineStr">
        <is>
          <t>01.01.2026</t>
        </is>
      </c>
      <c r="F21" s="8" t="inlineStr">
        <is>
          <t>Serbest alternatif</t>
        </is>
      </c>
    </row>
    <row r="22">
      <c r="A22" s="7" t="inlineStr">
        <is>
          <t>egk_kovaButunlukAd</t>
        </is>
      </c>
      <c r="B22" s="13" t="inlineStr">
        <is>
          <t>Dört kova bütünlük</t>
        </is>
      </c>
      <c r="C22" s="7" t="inlineStr">
        <is>
          <t>metin</t>
        </is>
      </c>
      <c r="D22" s="7" t="inlineStr">
        <is>
          <t>E02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egk_dosyaSurumu</t>
        </is>
      </c>
      <c r="B23" s="13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egk_firmaUnvan</t>
        </is>
      </c>
      <c r="B24" s="13" t="inlineStr">
        <is>
          <t>Örnek Ticaret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5">
      <c r="A25" s="7" t="inlineStr">
        <is>
          <t>egk_kuralSeti</t>
        </is>
      </c>
      <c r="B25" s="13" t="inlineStr">
        <is>
          <t>EGK-001..005</t>
        </is>
      </c>
      <c r="C25" s="7" t="inlineStr">
        <is>
          <t>metin</t>
        </is>
      </c>
      <c r="D25" s="7" t="inlineStr">
        <is>
          <t>Kök neden kuralları</t>
        </is>
      </c>
      <c r="E25" s="7" t="inlineStr">
        <is>
          <t>01.01.2026</t>
        </is>
      </c>
      <c r="F25" s="8" t="inlineStr">
        <is>
          <t>Kural seti</t>
        </is>
      </c>
    </row>
    <row r="28">
      <c r="H28" s="18" t="inlineStr">
        <is>
          <t>Motor Cikti</t>
        </is>
      </c>
      <c r="I28" s="18" t="inlineStr">
        <is>
          <t>Deger</t>
        </is>
      </c>
    </row>
    <row r="29">
      <c r="H29" s="7" t="inlineStr">
        <is>
          <t>egk_mutabakatFarki</t>
        </is>
      </c>
      <c r="I29" s="34">
        <f>IFERROR(SUM(tblVeriA[HedefNet])-SUM(tblMotor[NetKar]),0)</f>
        <v/>
      </c>
    </row>
    <row r="30">
      <c r="H30" s="7" t="inlineStr">
        <is>
          <t>egk_eslesmeOrani</t>
        </is>
      </c>
      <c r="I30" s="34">
        <f>IF(COUNTA(tblEslesme[A_Norm])=0,0,(COUNTIF(tblEslesme[Kova],"eslesti")+COUNTIF(tblEslesme[Kova],"tolerans_icinde"))/COUNTA(tblEslesme[A_Norm]))</f>
        <v/>
      </c>
    </row>
    <row r="31">
      <c r="H31" s="7" t="inlineStr">
        <is>
          <t>egk_kovaButunluk</t>
        </is>
      </c>
      <c r="I31" s="34">
        <f>ESLESTIRME!C2</f>
        <v/>
      </c>
    </row>
    <row r="32">
      <c r="H32" s="7" t="inlineStr">
        <is>
          <t>egk_modulT1</t>
        </is>
      </c>
      <c r="I32" s="34">
        <f>IFERROR(IF(COUNTA(tblMotor[A_Norm])=0,0,AVERAGE(tblMotor[KatkiPayi])),0)</f>
        <v/>
      </c>
    </row>
    <row r="33">
      <c r="H33" s="7" t="inlineStr">
        <is>
          <t>egk_modulT2</t>
        </is>
      </c>
      <c r="I33" s="34">
        <f>IFERROR(IF(COUNTA(tblMotor[A_Norm])=0,0,AVERAGE(tblMotor[KomisyonOran])),0)</f>
        <v/>
      </c>
    </row>
    <row r="34">
      <c r="H34" s="7" t="inlineStr">
        <is>
          <t>egk_modulO1</t>
        </is>
      </c>
      <c r="I34" s="34">
        <f>COUNTIF(tblEslesme[EsikUstu],1)</f>
        <v/>
      </c>
    </row>
    <row r="35">
      <c r="H35" s="7" t="inlineStr">
        <is>
          <t>egk_modulO2</t>
        </is>
      </c>
      <c r="I35" s="34">
        <f>IFERROR(MAX(PANO!K28:K32),0)</f>
        <v/>
      </c>
    </row>
    <row r="36">
      <c r="H36" s="7" t="inlineStr">
        <is>
          <t>egk_modulO3</t>
        </is>
      </c>
      <c r="I36" s="34">
        <f>IFERROR(SUM(tblMotor[NetKar])*(1-egk_komisyonSenaryo),0)</f>
        <v/>
      </c>
    </row>
    <row r="37">
      <c r="H37" s="7" t="inlineStr">
        <is>
          <t>egk_modulO6</t>
        </is>
      </c>
      <c r="I37" s="34">
        <f>IFERROR(IF(COUNTA(tblVeriA[Platform])=0,0,COUNTIF(tblVeriA[Platform],INDEX(tblVeriA[Platform],1))/COUNTA(tblVeriA[Platform])),0)</f>
        <v/>
      </c>
    </row>
    <row r="38">
      <c r="H38" s="7" t="inlineStr">
        <is>
          <t>egk_modulO8</t>
        </is>
      </c>
      <c r="I38" s="34">
        <f>IF(COUNTA(tblVeriA[UrunKodu])=0,0,ROUND(100*(COUNTIF(tblEslesme[Kova],"eslesti")+COUNTIF(tblEslesme[Kova],"tolerans_icinde"))/MAX(COUNTA(tblEslesme[A_Norm]),1),0))</f>
        <v/>
      </c>
    </row>
    <row r="39">
      <c r="H39" s="7" t="inlineStr">
        <is>
          <t>egk_modulMSen</t>
        </is>
      </c>
      <c r="I39" s="34">
        <f>IFERROR(SUM(tblMotor[KomisyonTutar])*egk_komisyonSenaryo,0)</f>
        <v/>
      </c>
    </row>
    <row r="40">
      <c r="H40" s="7" t="inlineStr">
        <is>
          <t>egk_modulI1</t>
        </is>
      </c>
      <c r="I40" s="34">
        <f>IFERROR(PERCENTILE(tblMotor[NetKar],egk_yuzdelikOran),0)</f>
        <v/>
      </c>
    </row>
    <row r="41">
      <c r="H41" s="7" t="inlineStr">
        <is>
          <t>egk_modulI2</t>
        </is>
      </c>
      <c r="I41" s="34">
        <f>IFERROR(PERCENTILE(tblMotor[NetKar],0.9),0)</f>
        <v/>
      </c>
    </row>
    <row r="43">
      <c r="H43" s="18" t="inlineStr">
        <is>
          <t>Canli Yorumlar</t>
        </is>
      </c>
    </row>
    <row r="44">
      <c r="H44" s="7" t="inlineStr">
        <is>
          <t>egk_modulT1Yorum</t>
        </is>
      </c>
      <c r="I44" s="8">
        <f>IFERROR(_xlfn.TEXTJOIN(" ",TRUE,"Ort katkı",TEXT(egk_modulT1,"0.0%")),"-")</f>
        <v/>
      </c>
    </row>
    <row r="45">
      <c r="H45" s="7" t="inlineStr">
        <is>
          <t>egk_modulT2Yorum</t>
        </is>
      </c>
      <c r="I45" s="8">
        <f>IFERROR(_xlfn.TEXTJOIN(" ",TRUE,"Ort komisyon",TEXT(egk_modulT2,"0.0%")),"-")</f>
        <v/>
      </c>
    </row>
    <row r="46">
      <c r="H46" s="7" t="inlineStr">
        <is>
          <t>egk_modulO1Yorum</t>
        </is>
      </c>
      <c r="I46" s="8">
        <f>IFERROR(_xlfn.TEXTJOIN(" ",TRUE,"Anomali",TEXT(egk_modulO1,"0")),"-")</f>
        <v/>
      </c>
    </row>
    <row r="47">
      <c r="H47" s="7" t="inlineStr">
        <is>
          <t>egk_modulO2Yorum</t>
        </is>
      </c>
      <c r="I47" s="8">
        <f>IFERROR(_xlfn.TEXTJOIN(" ",TRUE,"Tornado",TEXT(egk_modulO2,"0.00"),"TL"),"-")</f>
        <v/>
      </c>
    </row>
    <row r="48">
      <c r="H48" s="7" t="inlineStr">
        <is>
          <t>egk_modulO3Yorum</t>
        </is>
      </c>
      <c r="I48" s="8">
        <f>IFERROR(_xlfn.TEXTJOIN(" ",TRUE,"Senaryo net",TEXT(egk_modulO3,"0.00"),"TL"),"-")</f>
        <v/>
      </c>
    </row>
    <row r="49">
      <c r="H49" s="7" t="inlineStr">
        <is>
          <t>egk_modulO6Yorum</t>
        </is>
      </c>
      <c r="I49" s="8">
        <f>IFERROR(_xlfn.TEXTJOIN(" ",TRUE,"Yoğunlaşma",TEXT(egk_modulO6,"0.0%")),"-")</f>
        <v/>
      </c>
    </row>
    <row r="50">
      <c r="H50" s="7" t="inlineStr">
        <is>
          <t>egk_modulO8Yorum</t>
        </is>
      </c>
      <c r="I50" s="8">
        <f>IFERROR(_xlfn.TEXTJOIN(" ",TRUE,"Kalite",TEXT(egk_modulO8,"0")),"-")</f>
        <v/>
      </c>
    </row>
    <row r="51">
      <c r="H51" s="7" t="inlineStr">
        <is>
          <t>egk_modulMSenYorum</t>
        </is>
      </c>
      <c r="I51" s="8">
        <f>IFERROR(_xlfn.TEXTJOIN(" ",TRUE,"Komisyon senaryo etki",TEXT(egk_modulMSen,"0.00"),"TL"),"-")</f>
        <v/>
      </c>
    </row>
    <row r="52">
      <c r="H52" s="7" t="inlineStr">
        <is>
          <t>egk_modulI1Yorum</t>
        </is>
      </c>
      <c r="I52" s="8">
        <f>IFERROR(_xlfn.TEXTJOIN(" ",TRUE,"Tahmin",TEXT(egk_modulI1,"0.00"),"TL"),"-")</f>
        <v/>
      </c>
    </row>
    <row r="53">
      <c r="H53" s="7" t="inlineStr">
        <is>
          <t>egk_modulI2Yorum</t>
        </is>
      </c>
      <c r="I53" s="8">
        <f>IFERROR(_xlfn.TEXTJOIN(" ",TRUE,"P90",TEXT(egk_modulI2,"0.00"),"TL"),"-")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3D2E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E-Ticaret Gerçek Kârlılık &amp; Fiyatlama</t>
        </is>
      </c>
    </row>
    <row r="3">
      <c r="A3" s="23" t="inlineStr">
        <is>
          <t>Kullanım Kılavuzu</t>
        </is>
      </c>
    </row>
    <row r="5">
      <c r="A5" s="8" t="inlineStr">
        <is>
          <t>1. VERI_A: Ürün kataloğunu (kod, fiyat, maliyet, hedef katkı) sarı hücrelere girin.</t>
        </is>
      </c>
    </row>
    <row r="6">
      <c r="A6" s="8" t="inlineStr">
        <is>
          <t>2. VERI_B: Platform komisyon, kargo, iade, reklam ve ROAS değerlerini yapıştırın.</t>
        </is>
      </c>
    </row>
    <row r="7">
      <c r="A7" s="8" t="inlineStr">
        <is>
          <t>3. ANAHTAR: Normalize SKU, uzunluk, ikincil ve duplike kolonları otomatik dolar.</t>
        </is>
      </c>
    </row>
    <row r="8">
      <c r="A8" s="8" t="inlineStr">
        <is>
          <t>4. MOTOR: Brüt/net kâr, katkı payı, başabaş fiyat ve satır kararı hesaplanır.</t>
        </is>
      </c>
    </row>
    <row r="9">
      <c r="A9" s="8" t="inlineStr">
        <is>
          <t>5. ESLESTIRME: Hedef net ↔ gerçek net dört kova denetimi.</t>
        </is>
      </c>
    </row>
    <row r="10">
      <c r="A10" s="8" t="inlineStr">
        <is>
          <t>6. KOK_NEDEN: EGK-001..005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SKU boşluklu bırakmak (normalize edilir ama kontrol edin)</t>
        </is>
      </c>
    </row>
    <row r="15">
      <c r="A15" s="7" t="inlineStr">
        <is>
          <t>• Komisyon oranını yüzde yerine tutar yazmak</t>
        </is>
      </c>
    </row>
    <row r="16">
      <c r="A16" s="7" t="inlineStr">
        <is>
          <t>• ROAS yerine yalnızca reklam tutarını doldurup diğerini boş bırakmak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2026-08-11T10:49:17Z</dcterms:created>
  <dcterms:modified xmlns:dcterms="http://purl.org/dc/terms/" xmlns:xsi="http://www.w3.org/2001/XMLSchema-instance" xsi:type="dcterms:W3CDTF">2026-09-25T15:13:37Z</dcterms:modified>
</cp:coreProperties>
</file>