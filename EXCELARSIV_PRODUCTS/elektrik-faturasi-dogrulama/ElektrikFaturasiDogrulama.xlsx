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ESLESTIRME" sheetId="14" state="visible" r:id="rId14"/>
    <sheet xmlns:r="http://schemas.openxmlformats.org/officeDocument/2006/relationships" name="KOK_NEDEN" sheetId="15" state="visible" r:id="rId15"/>
    <sheet xmlns:r="http://schemas.openxmlformats.org/officeDocument/2006/relationships" name="AKSIYON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toleransKurus">AYARLAR!$B$6</definedName>
    <definedName name="raporTarihi">AYARLAR!$B$7</definedName>
    <definedName name="efd_esikEslesme">AYARLAR!$B$8</definedName>
    <definedName name="efd_esikFark">AYARLAR!$B$9</definedName>
    <definedName name="efd_azamiTutar">AYARLAR!$B$10</definedName>
    <definedName name="efd_ikincilUzunluk">AYARLAR!$B$11</definedName>
    <definedName name="efd_olcekHedef">AYARLAR!$B$12</definedName>
    <definedName name="efd_anomaliZ">AYARLAR!$B$13</definedName>
    <definedName name="efd_yuzdelikOran">AYARLAR!$B$14</definedName>
    <definedName name="efd_kdvOran">AYARLAR!$B$15</definedName>
    <definedName name="efd_dagitimBirim">AYARLAR!$B$16</definedName>
    <definedName name="efd_fiyatModeli">AYARLAR!$B$17</definedName>
    <definedName name="efd_kvkkBeyani">AYARLAR!$B$18</definedName>
    <definedName name="efd_kalemAyristirma">AYARLAR!$B$19</definedName>
    <definedName name="efd_kovaButunlukMetin">AYARLAR!$B$20</definedName>
    <definedName name="efd_itirazMetni">AYARLAR!$B$21</definedName>
    <definedName name="efd_normAnahtar">AYARLAR!$B$22</definedName>
    <definedName name="efd_tanimsizKova">AYARLAR!$B$23</definedName>
    <definedName name="efd_dosyaSurumu">AYARLAR!$B$24</definedName>
    <definedName name="efd_firmaUnvan">AYARLAR!$B$25</definedName>
    <definedName name="efd_mutabakatFarki">AYARLAR!$I$27</definedName>
    <definedName name="efd_eslesmeOrani">AYARLAR!$I$28</definedName>
    <definedName name="efd_kovaButunluk">AYARLAR!$I$29</definedName>
    <definedName name="efd_kokNedenDagilim">AYARLAR!$I$30</definedName>
    <definedName name="efd_paretoFark">AYARLAR!$I$31</definedName>
    <definedName name="efd_anomaliSayisi">AYARLAR!$I$32</definedName>
    <definedName name="efd_tahminAralik">AYARLAR!$I$33</definedName>
    <definedName name="efd_tornadoZirve">AYARLAR!$I$34</definedName>
    <definedName name="efd_yorumFark">AYARLAR!$I$36</definedName>
    <definedName name="efd_yorumKokNeden">AYARLAR!$I$37</definedName>
    <definedName name="efd_yorumPareto">AYARLAR!$I$38</definedName>
    <definedName name="efd_yorumAnomali">AYARLAR!$I$39</definedName>
    <definedName name="efd_yorumTornado">AYARLAR!$I$40</definedName>
    <definedName name="efd_yorumTahmin">AYARLAR!$I$41</definedName>
    <definedName name="ListeTarifeGruplari">LISTELER!$A$7:$A$11</definedName>
    <definedName name="ListeDurumlar">LISTELER!$C$7:$C$10</definedName>
    <definedName name="ListeKalemKodlari">LISTELER!$E$7:$E$11</definedName>
    <definedName name="_xlnm.Print_Area" localSheetId="16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4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4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4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4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4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4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4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4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4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4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4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7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7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8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8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8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9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9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0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10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1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E11" authorId="0" shapeId="0">
      <text>
        <t>Tanım: Kalem | Neden önemli: Fatura mutabakat sonucunu etkiler | Doğru kullanım: Kalem kodu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Fatura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Fatura mutabakat sonucunu etkiler | Doğru kullanım: Rapor tarihi (TODAY yok) | Örnek: hücredeki örnek değere bakın | Risk: Yanlış giriş hatalı kova üretir</t>
      </text>
    </comment>
    <comment ref="B8" authorId="0" shapeId="0">
      <text>
        <t>Tanım: efd_esikEslesme | Neden önemli: Fatura mutabakat sonucunu etkiler | Doğru kullanım: Eşleşme oranı eşiği | Örnek: hücredeki örnek değere bakın | Risk: Yanlış giriş hatalı kova üretir</t>
      </text>
    </comment>
    <comment ref="B9" authorId="0" shapeId="0">
      <text>
        <t>Tanım: efd_esikFark | Neden önemli: Fatura mutabakat sonucunu etkiler | Doğru kullanım: Fark tutarı eşiği | Örnek: hücredeki örnek değere bakın | Risk: Yanlış giriş hatalı kova üretir</t>
      </text>
    </comment>
    <comment ref="B10" authorId="0" shapeId="0">
      <text>
        <t>Tanım: efd_azamiTutar | Neden önemli: Fatura mutabakat sonucunu etkiler | Doğru kullanım: Azami makul tutar | Örnek: hücredeki örnek değere bakın | Risk: Yanlış giriş hatalı kova üretir</t>
      </text>
    </comment>
    <comment ref="B11" authorId="0" shapeId="0">
      <text>
        <t>Tanım: efd_ikincilUzunluk | Neden önemli: Fatura mutabakat sonucunu etkiler | Doğru kullanım: Ikincil anahtar uzunluğu | Örnek: hücredeki örnek değere bakın | Risk: Yanlış giriş hatalı kova üretir</t>
      </text>
    </comment>
    <comment ref="B12" authorId="0" shapeId="0">
      <text>
        <t>Tanım: efd_olcekHedef | Neden önemli: Fatura mutabakat sonucunu etkiler | Doğru kullanım: Ölçek sözleşmesi | Örnek: hücredeki örnek değere bakın | Risk: Yanlış giriş hatalı kova üretir</t>
      </text>
    </comment>
    <comment ref="B13" authorId="0" shapeId="0">
      <text>
        <t>Tanım: efd_anomaliZ | Neden önemli: Fatura mutabakat sonucunu etkiler | Doğru kullanım: Anomali Z eşiği | Örnek: hücredeki örnek değere bakın | Risk: Yanlış giriş hatalı kova üretir</t>
      </text>
    </comment>
    <comment ref="B14" authorId="0" shapeId="0">
      <text>
        <t>Tanım: efd_yuzdelikOran | Neden önemli: Fatura mutabakat sonucunu etkiler | Doğru kullanım: PERCENTILE oranı | Örnek: hücredeki örnek değere bakın | Risk: Yanlış giriş hatalı kova üretir</t>
      </text>
    </comment>
    <comment ref="B15" authorId="0" shapeId="0">
      <text>
        <t>Tanım: efd_kdvOran | Neden önemli: Fatura mutabakat sonucunu etkiler | Doğru kullanım: Varsayılan KDV | Örnek: hücredeki örnek değere bakın | Risk: Yanlış giriş hatalı kova üretir</t>
      </text>
    </comment>
    <comment ref="B16" authorId="0" shapeId="0">
      <text>
        <t>Tanım: efd_dagitimBirim | Neden önemli: Fatura mutabakat sonucunu etkiler | Doğru kullanım: Varsayılan dağıtım | Örnek: hücredeki örnek değere bakın | Risk: Yanlış giriş hatalı kova üretir</t>
      </text>
    </comment>
    <comment ref="B17" authorId="0" shapeId="0">
      <text>
        <t>Tanım: efd_fiyatModeli | Neden önemli: Fatura mutabakat sonucunu etkiler | Doğru kullanım: R3 ayrım | Örnek: hücredeki örnek değere bakın | Risk: Yanlış giriş hatalı kova üretir</t>
      </text>
    </comment>
    <comment ref="B18" authorId="0" shapeId="0">
      <text>
        <t>Tanım: efd_kvkkBeyani | Neden önemli: Fatura mutabakat sonucunu etkiler | Doğru kullanım: R3 ayrım | Örnek: hücredeki örnek değere bakın | Risk: Yanlış giriş hatalı kova üretir</t>
      </text>
    </comment>
    <comment ref="B19" authorId="0" shapeId="0">
      <text>
        <t>Tanım: efd_kalemAyristirma | Neden önemli: Fatura mutabakat sonucunu etkiler | Doğru kullanım: R1 ayrım | Örnek: hücredeki örnek değere bakın | Risk: Yanlış giriş hatalı kova üretir</t>
      </text>
    </comment>
    <comment ref="B20" authorId="0" shapeId="0">
      <text>
        <t>Tanım: efd_kovaButunlukMetin | Neden önemli: Fatura mutabakat sonucunu etkiler | Doğru kullanım: R1 ayrım | Örnek: hücredeki örnek değere bakın | Risk: Yanlış giriş hatalı kova üretir</t>
      </text>
    </comment>
    <comment ref="B21" authorId="0" shapeId="0">
      <text>
        <t>Tanım: efd_itirazMetni | Neden önemli: Fatura mutabakat sonucunu etkiler | Doğru kullanım: R1 ayrım | Örnek: hücredeki örnek değere bakın | Risk: Yanlış giriş hatalı kova üretir</t>
      </text>
    </comment>
    <comment ref="B22" authorId="0" shapeId="0">
      <text>
        <t>Tanım: efd_normAnahtar | Neden önemli: Fatura mutabakat sonucunu etkiler | Doğru kullanım: Serbest alternatif | Örnek: hücredeki örnek değere bakın | Risk: Yanlış giriş hatalı kova üretir</t>
      </text>
    </comment>
    <comment ref="B23" authorId="0" shapeId="0">
      <text>
        <t>Tanım: efd_tanimsizKova | Neden önemli: Fatura mutabakat sonucunu etkiler | Doğru kullanım: Serbest alternatif | Örnek: hücredeki örnek değere bakın | Risk: Yanlış giriş hatalı kova üretir</t>
      </text>
    </comment>
    <comment ref="B24" authorId="0" shapeId="0">
      <text>
        <t>Tanım: efd_dosyaSurumu | Neden önemli: Fatura mutabakat sonucunu etkiler | Doğru kullanım: Ürün sürümü | Örnek: hücredeki örnek değere bakın | Risk: Yanlış giriş hatalı kova üretir</t>
      </text>
    </comment>
    <comment ref="B25" authorId="0" shapeId="0">
      <text>
        <t>Tanım: efd_firmaUnvan | Neden önemli: Fatura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FaturaNo"/>
    <tableColumn id="2" name="Tarih"/>
    <tableColumn id="3" name="KalemKodu"/>
    <tableColumn id="4" name="TuketimKwh"/>
    <tableColumn id="5" name="EnerjiBedeli"/>
    <tableColumn id="6" name="DagitimBedeli"/>
    <tableColumn id="7" name="VergiKdv"/>
    <tableColumn id="8" name="ToplamTutar"/>
    <tableColumn id="9" name="TarifeGrup"/>
    <tableColumn id="10" name="Donem"/>
    <tableColumn id="11" name="Durum"/>
    <tableColumn id="12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FaturaNo"/>
    <tableColumn id="2" name="Tarih"/>
    <tableColumn id="3" name="TuketimKwh"/>
    <tableColumn id="4" name="BeklenenTutar"/>
    <tableColumn id="5" name="SayacNo"/>
    <tableColumn id="6" name="Kaynak"/>
    <tableColumn id="7" name="Donem"/>
    <tableColumn id="8" name="Durum"/>
    <tableColumn id="9" name="KayitDolu">
      <calculatedColumnFormula>IF(tblVeriB[[#This Row],[FaturaNo]]="","",1)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Row],[Norm]],efd_ikincilUzunluk))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Row],[NormB]],efd_ikincilUzunluk))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Row],[A_Norm]],tblVeriB[BeklenenTutar]))</calculatedColumnFormula>
    </tableColumn>
    <tableColumn id="4" name="A_Tutar">
      <calculatedColumnFormula>IF(tblEslesme[[#This Row],[A_Norm]]="","",SUMIF(tblAnahtarA[Norm],tblEslesme[[#This Row],[A_Norm]],tblVeriA[ToplamTutar]))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Enerji">
      <calculatedColumnFormula>IF(tblKok[[#This Row],[A_Norm]]="","",IFERROR(SUMIF(tblAnahtarA[Norm],tblKok[[#This Row],[A_Norm]],tblVeriA[EnerjiBedeli]),0))</calculatedColumnFormula>
    </tableColumn>
    <tableColumn id="5" name="Dagitim">
      <calculatedColumnFormula>IF(tblKok[[#This Row],[A_Norm]]="","",IFERROR(SUMIF(tblAnahtarA[Norm],tblKok[[#This Row],[A_Norm]],tblVeriA[DagitimBedeli]),0))</calculatedColumnFormula>
    </tableColumn>
    <tableColumn id="6" name="Kdv">
      <calculatedColumnFormula>IF(tblKok[[#This Row],[A_Norm]]="","",IFERROR(SUMIF(tblAnahtarA[Norm],tblKok[[#This Row],[A_Norm]],tblVeriA[VergiKdv]),0))</calculatedColumnFormula>
    </tableColumn>
    <tableColumn id="7" name="Tuketim">
      <calculatedColumnFormula>IF(tblKok[[#This Row],[A_Norm]]="","",IFERROR(SUMIF(tblAnahtarA[Norm],tblKok[[#This Row],[A_Norm]],tblVeriA[TuketimKwh]),0))</calculatedColumnFormula>
    </tableColumn>
    <tableColumn id="8" name="KokNeden">
      <calculatedColumnFormula>IF(OR(tblKok[[#This Row],[A_Norm]]="",tblKok[[#This Row],[Kova]]&lt;&gt;"tutar_farki"),"",IF(ABS(tblKok[[#This Row],[AbsFark]]-tblKok[[#This Row],[Enerji]])&lt;=toleransKurus,"TARIFE",IF(ABS(tblKok[[#This Row],[AbsFark]]-tblKok[[#This Row],[Dagitim]])&lt;=toleransKurus,"DAGITIM",IF(ABS(tblKok[[#This Row],[AbsFark]]-tblKok[[#This Row],[Kdv]])&lt;=toleransKurus,"KDV",IF(tblKok[[#This Row],[Tuketim]]&gt;0,"TUKETIM","TANIMSIZ")))))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Row],[Fark]])&gt;efd_esikFark,"YUKSEK","NORMAL"))</calculatedColumnFormula>
    </tableColumn>
    <tableColumn id="6" name="ItirazMetni">
      <calculatedColumnFormula>IF(tblAksiyon[[#This Row],[Kova]]&lt;&gt;"tutar_farki","","Fatura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</row>
    <row r="2"/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5"/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77" t="inlineStr">
        <is>
          <t>ELEKTRIK FATURASI DOĞRULAMA MOTORU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Tesis müdürü, mali işler, enerji yöneticisi, SMMM · 2026 Q3 Denetim Standardı</t>
        </is>
      </c>
    </row>
    <row r="4"/>
    <row r="5">
      <c r="B5" s="81" t="inlineStr">
        <is>
          <t>MUTABAKAT FARKI</t>
        </is>
      </c>
      <c r="C5" s="82" t="n"/>
      <c r="D5" s="83" t="inlineStr">
        <is>
          <t>KONSOLİDE</t>
        </is>
      </c>
      <c r="E5" s="84" t="inlineStr">
        <is>
          <t>KÖK-NEDEN AYRIŞTIRMA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IF(E7&gt;0, ROUND(B7/E7, 2),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0"/>
    <row r="11">
      <c r="B11" s="66" t="inlineStr">
        <is>
          <t>ELEKTRIK FATURASI DOĞRULAMA MOTORU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SUM(I15:I18)</f>
        <v/>
      </c>
      <c r="J19" s="183">
        <f>SUM(J15:J18)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G26" s="190" t="n"/>
      <c r="H26" s="190" t="n"/>
      <c r="I26" s="191" t="n"/>
      <c r="K26" s="118" t="inlineStr">
        <is>
          <t>STRATEJİ REÇETESİNİ İNCELE &gt;</t>
        </is>
      </c>
    </row>
    <row r="27">
      <c r="F27" s="192" t="n"/>
      <c r="G27" s="193" t="n"/>
      <c r="H27" s="193" t="n"/>
      <c r="I27" s="19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9" t="inlineStr">
        <is>
          <t>🔍  ELEKTRIK FATURASI DOĞRULAMA MOTORU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4"/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6"/>
    <row r="17">
      <c r="B17" s="139" t="inlineStr">
        <is>
          <t>SAYFA TOPLAMI (10 / 1.450 KAYIT)</t>
        </is>
      </c>
      <c r="E17" s="1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ELEKTRIK FATURASI DOĞRULAMA MOTORU — NİHAİ KARAR VE DEĞERLEME</t>
        </is>
      </c>
    </row>
    <row r="3">
      <c r="B3" s="142" t="inlineStr">
        <is>
          <t>Yönetim Kurulu ve İcra Komitesi için Otomatik Finansal Stres Testi Raporu · Tesis müdürü, mali işler, enerji yöneticisi, SMMM</t>
        </is>
      </c>
    </row>
    <row r="4">
      <c r="B4" s="143" t="inlineStr">
        <is>
          <t>DÖNEM: 2026 Q3 · DENETİM PROTOKOLÜ: ISO/VUK/IFRS UYUMLU · DURUM: ONAYLANDI</t>
        </is>
      </c>
    </row>
    <row r="5"/>
    <row r="6">
      <c r="B6" s="144" t="inlineStr">
        <is>
          <t>SENARYO A: KÖTÜMSER (STRES TESTİ -%20)</t>
        </is>
      </c>
      <c r="C6" s="195" t="n"/>
      <c r="D6" s="195" t="n"/>
      <c r="E6" s="195" t="n"/>
      <c r="F6" s="196" t="n"/>
      <c r="H6" s="145" t="inlineStr">
        <is>
          <t>SENARYO B: BAZ MODEL (HEDEFLENEN)</t>
        </is>
      </c>
      <c r="I6" s="195" t="n"/>
      <c r="J6" s="195" t="n"/>
      <c r="K6" s="195" t="n"/>
      <c r="L6" s="196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ROUND(PANO!B7*0.8/PANO!E7,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197" t="n"/>
      <c r="D14" s="197" t="n"/>
      <c r="E14" s="197" t="n"/>
      <c r="F14" s="198" t="n"/>
      <c r="H14" s="152" t="inlineStr">
        <is>
          <t>OPTİMUM İCRA VE PLANLAMA REÇETESİ</t>
        </is>
      </c>
      <c r="I14" s="199" t="n"/>
      <c r="J14" s="199" t="n"/>
      <c r="K14" s="199" t="n"/>
      <c r="L14" s="200" t="n"/>
    </row>
    <row r="15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/>
    <row r="17">
      <c r="B17" s="53" t="inlineStr">
        <is>
          <t>YÖNETİM KARAR MATRİSİ VE UYGULAMA REÇETESİ</t>
        </is>
      </c>
    </row>
    <row r="18"/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</row>
    <row r="2"/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</row>
    <row r="2"/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</row>
    <row r="2"/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</row>
    <row r="2"/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Elektrik Faturası Doğrulama Motoru</t>
        </is>
      </c>
    </row>
    <row r="2"/>
    <row r="3" ht="22" customHeight="1">
      <c r="A3" s="207" t="inlineStr">
        <is>
          <t>Elektrik Faturası Doğrulama Motoru</t>
        </is>
      </c>
    </row>
    <row r="4">
      <c r="A4" s="4" t="inlineStr">
        <is>
          <t>Elektrik faturasını tarife, dağıtım ve vergi kalemlerine ayırır; sayaç tüketimiyle dört kovada mutabakat kurar; kök neden ve itiraz metni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Normalize fatura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Tarife, dağıtım, KDV, tüketim kök-neden kuralları + TANIMSIZ kova</t>
        </is>
      </c>
    </row>
    <row r="10">
      <c r="A10" s="6" t="inlineStr">
        <is>
          <t>• Tutar farkı satırları için kopyalanabilir dağıtım şirketi itiraz metni</t>
        </is>
      </c>
    </row>
    <row r="11">
      <c r="A11" s="6" t="inlineStr">
        <is>
          <t>• Aylık kanıt raporu — mali işler ve 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Tesis ve enerji yöneticileri</t>
        </is>
      </c>
    </row>
    <row r="15">
      <c r="A15" s="7" t="inlineStr">
        <is>
          <t>• Mali işler / fatura ödeme kontrolü</t>
        </is>
      </c>
    </row>
    <row r="16">
      <c r="A16" s="7" t="inlineStr">
        <is>
          <t>• SMMM ve dönem mutabakat kanıtı arayanlar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fatura kalemlerini yapıştırın. 2) VERI_B'ye sayaç/beklenen tutarları girin. 3) PANO'dan eşleşme oranı ve farkı izleyin. 4) AKSIYON'dan itiraz metinlerini kopyalayın.</t>
        </is>
      </c>
    </row>
    <row r="20"/>
    <row r="21">
      <c r="A21" s="9" t="inlineStr">
        <is>
          <t>Sürüm 1.0.0 | Kod: EFD-PRO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23.5" customWidth="1" min="2" max="2"/>
    <col width="14" customWidth="1" min="3" max="3"/>
    <col width="14.5" customWidth="1" min="4" max="4"/>
    <col width="16.5" customWidth="1" min="5" max="5"/>
    <col width="17.5" customWidth="1" min="6" max="6"/>
    <col width="14" customWidth="1" min="7" max="7"/>
    <col width="15.5" customWidth="1" min="8" max="8"/>
    <col width="15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8" t="inlineStr">
        <is>
          <t>VERI A — Elektrik Faturası Doğrulama Motoru</t>
        </is>
      </c>
    </row>
    <row r="2"/>
    <row r="3" ht="22" customHeight="1">
      <c r="A3" s="208" t="inlineStr">
        <is>
          <t>Fatura kalemleri — sarı hücrelere yapıştırın / girin</t>
        </is>
      </c>
    </row>
    <row r="4"/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KalemKodu</t>
        </is>
      </c>
      <c r="D5" s="12" t="inlineStr">
        <is>
          <t>TuketimKwh</t>
        </is>
      </c>
      <c r="E5" s="12" t="inlineStr">
        <is>
          <t>EnerjiBedeli</t>
        </is>
      </c>
      <c r="F5" s="12" t="inlineStr">
        <is>
          <t>DagitimBedeli</t>
        </is>
      </c>
      <c r="G5" s="12" t="inlineStr">
        <is>
          <t>VergiKdv</t>
        </is>
      </c>
      <c r="H5" s="12" t="inlineStr">
        <is>
          <t>ToplamTutar</t>
        </is>
      </c>
      <c r="I5" s="12" t="inlineStr">
        <is>
          <t>TarifeGrup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3" t="inlineStr">
        <is>
          <t>REAKTIF</t>
        </is>
      </c>
      <c r="D6" s="15" t="n">
        <v>845</v>
      </c>
      <c r="E6" s="69" t="n">
        <v>2053.35</v>
      </c>
      <c r="F6" s="69" t="n">
        <v>523.9</v>
      </c>
      <c r="G6" s="69" t="n">
        <v>515.45</v>
      </c>
      <c r="H6" s="69" t="n">
        <v>3092.7</v>
      </c>
      <c r="I6" s="13" t="inlineStr">
        <is>
          <t>Ticarethane</t>
        </is>
      </c>
      <c r="J6" s="13" t="inlineStr">
        <is>
          <t>2026-07</t>
        </is>
      </c>
      <c r="K6" s="13" t="inlineStr">
        <is>
          <t>Açık</t>
        </is>
      </c>
      <c r="L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3" t="inlineStr">
        <is>
          <t>GECE</t>
        </is>
      </c>
      <c r="D7" s="15" t="n">
        <v>890</v>
      </c>
      <c r="E7" s="69" t="n">
        <v>2233.9</v>
      </c>
      <c r="F7" s="69" t="n">
        <v>551.8</v>
      </c>
      <c r="G7" s="69" t="n">
        <v>557.14</v>
      </c>
      <c r="H7" s="69" t="n">
        <v>3342.84</v>
      </c>
      <c r="I7" s="13" t="inlineStr">
        <is>
          <t>Sanayi</t>
        </is>
      </c>
      <c r="J7" s="13" t="inlineStr">
        <is>
          <t>2026-07</t>
        </is>
      </c>
      <c r="K7" s="13" t="inlineStr">
        <is>
          <t>Açık</t>
        </is>
      </c>
      <c r="L7" s="17">
        <f>IF($A7="","",1)</f>
        <v/>
      </c>
    </row>
    <row r="8">
      <c r="A8" s="13" t="inlineStr">
        <is>
          <t>EF20260800</t>
        </is>
      </c>
      <c r="B8" s="68" t="n">
        <v>46213</v>
      </c>
      <c r="C8" s="13" t="inlineStr">
        <is>
          <t>GUNDUZ</t>
        </is>
      </c>
      <c r="D8" s="15" t="n">
        <v>935</v>
      </c>
      <c r="E8" s="69" t="n">
        <v>2421.65</v>
      </c>
      <c r="F8" s="69" t="n">
        <v>579.7</v>
      </c>
      <c r="G8" s="69" t="n">
        <v>600.27</v>
      </c>
      <c r="H8" s="69" t="n">
        <v>3601.62</v>
      </c>
      <c r="I8" s="13" t="inlineStr">
        <is>
          <t>Tarımsal</t>
        </is>
      </c>
      <c r="J8" s="13" t="inlineStr">
        <is>
          <t>2026-07</t>
        </is>
      </c>
      <c r="K8" s="13" t="inlineStr">
        <is>
          <t>Açık</t>
        </is>
      </c>
      <c r="L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3" t="inlineStr">
        <is>
          <t>PUANT</t>
        </is>
      </c>
      <c r="D9" s="15" t="n">
        <v>980</v>
      </c>
      <c r="E9" s="69" t="n">
        <v>2616.6</v>
      </c>
      <c r="F9" s="69" t="n">
        <v>607.6</v>
      </c>
      <c r="G9" s="69" t="n">
        <v>644.84</v>
      </c>
      <c r="H9" s="69" t="n">
        <v>3869.04</v>
      </c>
      <c r="I9" s="13" t="inlineStr">
        <is>
          <t>Diğer</t>
        </is>
      </c>
      <c r="J9" s="13" t="inlineStr">
        <is>
          <t>2026-07</t>
        </is>
      </c>
      <c r="K9" s="13" t="inlineStr">
        <is>
          <t>Açık</t>
        </is>
      </c>
      <c r="L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3" t="inlineStr">
        <is>
          <t>AKTIF</t>
        </is>
      </c>
      <c r="D10" s="15" t="n">
        <v>1025</v>
      </c>
      <c r="E10" s="69" t="n">
        <v>2408.75</v>
      </c>
      <c r="F10" s="69" t="n">
        <v>635.5</v>
      </c>
      <c r="G10" s="69" t="n">
        <v>608.85</v>
      </c>
      <c r="H10" s="69" t="n">
        <v>3653.1</v>
      </c>
      <c r="I10" s="13" t="inlineStr">
        <is>
          <t>Mesken</t>
        </is>
      </c>
      <c r="J10" s="13" t="inlineStr">
        <is>
          <t>2026-07</t>
        </is>
      </c>
      <c r="K10" s="13" t="inlineStr">
        <is>
          <t>Açık</t>
        </is>
      </c>
      <c r="L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3" t="inlineStr">
        <is>
          <t>REAKTIF</t>
        </is>
      </c>
      <c r="D11" s="15" t="n">
        <v>1070</v>
      </c>
      <c r="E11" s="69" t="n">
        <v>2600.1</v>
      </c>
      <c r="F11" s="69" t="n">
        <v>663.4</v>
      </c>
      <c r="G11" s="69" t="n">
        <v>652.7</v>
      </c>
      <c r="H11" s="69" t="n">
        <v>3916.2</v>
      </c>
      <c r="I11" s="13" t="inlineStr">
        <is>
          <t>Ticarethane</t>
        </is>
      </c>
      <c r="J11" s="13" t="inlineStr">
        <is>
          <t>2026-07</t>
        </is>
      </c>
      <c r="K11" s="13" t="inlineStr">
        <is>
          <t>Açık</t>
        </is>
      </c>
      <c r="L11" s="17">
        <f>IF($A11="","",1)</f>
        <v/>
      </c>
    </row>
    <row r="12">
      <c r="A12" s="13" t="inlineStr">
        <is>
          <t>EF20260800</t>
        </is>
      </c>
      <c r="B12" s="68" t="n">
        <v>46217</v>
      </c>
      <c r="C12" s="13" t="inlineStr">
        <is>
          <t>GECE</t>
        </is>
      </c>
      <c r="D12" s="15" t="n">
        <v>1115</v>
      </c>
      <c r="E12" s="69" t="n">
        <v>2798.65</v>
      </c>
      <c r="F12" s="69" t="n">
        <v>691.3</v>
      </c>
      <c r="G12" s="69" t="n">
        <v>697.99</v>
      </c>
      <c r="H12" s="69" t="n">
        <v>4187.94</v>
      </c>
      <c r="I12" s="13" t="inlineStr">
        <is>
          <t>Sanayi</t>
        </is>
      </c>
      <c r="J12" s="13" t="inlineStr">
        <is>
          <t>2026-07</t>
        </is>
      </c>
      <c r="K12" s="13" t="inlineStr">
        <is>
          <t>Açık</t>
        </is>
      </c>
      <c r="L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3" t="inlineStr">
        <is>
          <t>GUNDUZ</t>
        </is>
      </c>
      <c r="D13" s="15" t="n">
        <v>1160</v>
      </c>
      <c r="E13" s="69" t="n">
        <v>3004.4</v>
      </c>
      <c r="F13" s="69" t="n">
        <v>719.2</v>
      </c>
      <c r="G13" s="69" t="n">
        <v>744.72</v>
      </c>
      <c r="H13" s="69" t="n">
        <v>4468.32</v>
      </c>
      <c r="I13" s="13" t="inlineStr">
        <is>
          <t>Tarımsal</t>
        </is>
      </c>
      <c r="J13" s="13" t="inlineStr">
        <is>
          <t>2026-07</t>
        </is>
      </c>
      <c r="K13" s="13" t="inlineStr">
        <is>
          <t>Açık</t>
        </is>
      </c>
      <c r="L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3" t="inlineStr">
        <is>
          <t>PUANT</t>
        </is>
      </c>
      <c r="D14" s="15" t="n">
        <v>1205</v>
      </c>
      <c r="E14" s="69" t="n">
        <v>3217.35</v>
      </c>
      <c r="F14" s="69" t="n">
        <v>747.1</v>
      </c>
      <c r="G14" s="69" t="n">
        <v>792.89</v>
      </c>
      <c r="H14" s="69" t="n">
        <v>4757.34</v>
      </c>
      <c r="I14" s="13" t="inlineStr">
        <is>
          <t>Diğer</t>
        </is>
      </c>
      <c r="J14" s="13" t="inlineStr">
        <is>
          <t>2026-07</t>
        </is>
      </c>
      <c r="K14" s="13" t="inlineStr">
        <is>
          <t>Açık</t>
        </is>
      </c>
      <c r="L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3" t="inlineStr">
        <is>
          <t>AKTIF</t>
        </is>
      </c>
      <c r="D15" s="15" t="n">
        <v>1250</v>
      </c>
      <c r="E15" s="69" t="n">
        <v>2937.5</v>
      </c>
      <c r="F15" s="69" t="n">
        <v>775</v>
      </c>
      <c r="G15" s="69" t="n">
        <v>742.5</v>
      </c>
      <c r="H15" s="69" t="n">
        <v>4455</v>
      </c>
      <c r="I15" s="13" t="inlineStr">
        <is>
          <t>Mesken</t>
        </is>
      </c>
      <c r="J15" s="13" t="inlineStr">
        <is>
          <t>2026-07</t>
        </is>
      </c>
      <c r="K15" s="13" t="inlineStr">
        <is>
          <t>Açık</t>
        </is>
      </c>
      <c r="L15" s="17">
        <f>IF($A15="","",1)</f>
        <v/>
      </c>
    </row>
    <row r="16">
      <c r="A16" s="13" t="inlineStr">
        <is>
          <t>EF20260801</t>
        </is>
      </c>
      <c r="B16" s="68" t="n">
        <v>46221</v>
      </c>
      <c r="C16" s="13" t="inlineStr">
        <is>
          <t>REAKTIF</t>
        </is>
      </c>
      <c r="D16" s="15" t="n">
        <v>1295</v>
      </c>
      <c r="E16" s="69" t="n">
        <v>3146.85</v>
      </c>
      <c r="F16" s="69" t="n">
        <v>802.9</v>
      </c>
      <c r="G16" s="69" t="n">
        <v>789.95</v>
      </c>
      <c r="H16" s="69" t="n">
        <v>4739.7</v>
      </c>
      <c r="I16" s="13" t="inlineStr">
        <is>
          <t>Ticarethane</t>
        </is>
      </c>
      <c r="J16" s="13" t="inlineStr">
        <is>
          <t>2026-07</t>
        </is>
      </c>
      <c r="K16" s="13" t="inlineStr">
        <is>
          <t>Açık</t>
        </is>
      </c>
      <c r="L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3" t="inlineStr">
        <is>
          <t>GECE</t>
        </is>
      </c>
      <c r="D17" s="15" t="n">
        <v>1340</v>
      </c>
      <c r="E17" s="69" t="n">
        <v>3363.4</v>
      </c>
      <c r="F17" s="69" t="n">
        <v>830.8</v>
      </c>
      <c r="G17" s="69" t="n">
        <v>838.84</v>
      </c>
      <c r="H17" s="69" t="n">
        <v>5033.04</v>
      </c>
      <c r="I17" s="13" t="inlineStr">
        <is>
          <t>Sanayi</t>
        </is>
      </c>
      <c r="J17" s="13" t="inlineStr">
        <is>
          <t>2026-07</t>
        </is>
      </c>
      <c r="K17" s="13" t="inlineStr">
        <is>
          <t>Açık</t>
        </is>
      </c>
      <c r="L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3" t="inlineStr">
        <is>
          <t>GUNDUZ</t>
        </is>
      </c>
      <c r="D18" s="15" t="n">
        <v>1385</v>
      </c>
      <c r="E18" s="69" t="n">
        <v>3587.15</v>
      </c>
      <c r="F18" s="69" t="n">
        <v>858.7</v>
      </c>
      <c r="G18" s="69" t="n">
        <v>889.17</v>
      </c>
      <c r="H18" s="69" t="n">
        <v>5335.02</v>
      </c>
      <c r="I18" s="13" t="inlineStr">
        <is>
          <t>Tarımsal</t>
        </is>
      </c>
      <c r="J18" s="13" t="inlineStr">
        <is>
          <t>2026-07</t>
        </is>
      </c>
      <c r="K18" s="13" t="inlineStr">
        <is>
          <t>Açık</t>
        </is>
      </c>
      <c r="L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3" t="inlineStr">
        <is>
          <t>PUANT</t>
        </is>
      </c>
      <c r="D19" s="15" t="n">
        <v>1430</v>
      </c>
      <c r="E19" s="69" t="n">
        <v>3818.1</v>
      </c>
      <c r="F19" s="69" t="n">
        <v>886.6</v>
      </c>
      <c r="G19" s="69" t="n">
        <v>940.9400000000001</v>
      </c>
      <c r="H19" s="69" t="n">
        <v>5645.64</v>
      </c>
      <c r="I19" s="13" t="inlineStr">
        <is>
          <t>Diğer</t>
        </is>
      </c>
      <c r="J19" s="13" t="inlineStr">
        <is>
          <t>2026-07</t>
        </is>
      </c>
      <c r="K19" s="13" t="inlineStr">
        <is>
          <t>Açık</t>
        </is>
      </c>
      <c r="L19" s="17">
        <f>IF($A19="","",1)</f>
        <v/>
      </c>
    </row>
    <row r="20">
      <c r="A20" s="13" t="inlineStr">
        <is>
          <t>EF202608015X</t>
        </is>
      </c>
      <c r="B20" s="68" t="n">
        <v>46225</v>
      </c>
      <c r="C20" s="13" t="inlineStr">
        <is>
          <t>AKTIF</t>
        </is>
      </c>
      <c r="D20" s="15" t="n">
        <v>1475</v>
      </c>
      <c r="E20" s="69" t="n">
        <v>3466.25</v>
      </c>
      <c r="F20" s="69" t="n">
        <v>914.5</v>
      </c>
      <c r="G20" s="69" t="n">
        <v>876.15</v>
      </c>
      <c r="H20" s="69" t="n">
        <v>5256.9</v>
      </c>
      <c r="I20" s="13" t="inlineStr">
        <is>
          <t>Mesken</t>
        </is>
      </c>
      <c r="J20" s="13" t="inlineStr">
        <is>
          <t>2026-07</t>
        </is>
      </c>
      <c r="K20" s="13" t="inlineStr">
        <is>
          <t>Açık</t>
        </is>
      </c>
      <c r="L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3" t="inlineStr">
        <is>
          <t>REAKTIF</t>
        </is>
      </c>
      <c r="D21" s="15" t="n">
        <v>1520</v>
      </c>
      <c r="E21" s="69" t="n">
        <v>3693.6</v>
      </c>
      <c r="F21" s="69" t="n">
        <v>942.4</v>
      </c>
      <c r="G21" s="69" t="n">
        <v>927.2</v>
      </c>
      <c r="H21" s="69" t="n">
        <v>5563.2</v>
      </c>
      <c r="I21" s="13" t="inlineStr">
        <is>
          <t>Ticarethane</t>
        </is>
      </c>
      <c r="J21" s="13" t="inlineStr">
        <is>
          <t>2026-07</t>
        </is>
      </c>
      <c r="K21" s="13" t="inlineStr">
        <is>
          <t>Açık</t>
        </is>
      </c>
      <c r="L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3" t="inlineStr">
        <is>
          <t>GECE</t>
        </is>
      </c>
      <c r="D22" s="15" t="n">
        <v>1565</v>
      </c>
      <c r="E22" s="69" t="n">
        <v>3928.15</v>
      </c>
      <c r="F22" s="69" t="n">
        <v>970.3</v>
      </c>
      <c r="G22" s="69" t="n">
        <v>979.6900000000001</v>
      </c>
      <c r="H22" s="69" t="n">
        <v>5878.14</v>
      </c>
      <c r="I22" s="13" t="inlineStr">
        <is>
          <t>Sanayi</t>
        </is>
      </c>
      <c r="J22" s="13" t="inlineStr">
        <is>
          <t>2026-07</t>
        </is>
      </c>
      <c r="K22" s="13" t="inlineStr">
        <is>
          <t>Açık</t>
        </is>
      </c>
      <c r="L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3" t="inlineStr">
        <is>
          <t>GUNDUZ</t>
        </is>
      </c>
      <c r="D23" s="15" t="n">
        <v>1610</v>
      </c>
      <c r="E23" s="69" t="n">
        <v>4169.9</v>
      </c>
      <c r="F23" s="69" t="n">
        <v>998.2</v>
      </c>
      <c r="G23" s="69" t="n">
        <v>1033.62</v>
      </c>
      <c r="H23" s="69" t="n">
        <v>6201.72</v>
      </c>
      <c r="I23" s="13" t="inlineStr">
        <is>
          <t>Tarımsal</t>
        </is>
      </c>
      <c r="J23" s="13" t="inlineStr">
        <is>
          <t>2026-07</t>
        </is>
      </c>
      <c r="K23" s="13" t="inlineStr">
        <is>
          <t>Açık</t>
        </is>
      </c>
      <c r="L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3" t="inlineStr">
        <is>
          <t>PUANT</t>
        </is>
      </c>
      <c r="D24" s="15" t="n">
        <v>1655</v>
      </c>
      <c r="E24" s="69" t="n">
        <v>4418.85</v>
      </c>
      <c r="F24" s="69" t="n">
        <v>1026.1</v>
      </c>
      <c r="G24" s="69" t="n">
        <v>1088.99</v>
      </c>
      <c r="H24" s="69" t="n">
        <v>6533.94</v>
      </c>
      <c r="I24" s="13" t="inlineStr">
        <is>
          <t>Diğer</t>
        </is>
      </c>
      <c r="J24" s="13" t="inlineStr">
        <is>
          <t>2026-07</t>
        </is>
      </c>
      <c r="K24" s="13" t="inlineStr">
        <is>
          <t>Açık</t>
        </is>
      </c>
      <c r="L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3" t="inlineStr">
        <is>
          <t>AKTIF</t>
        </is>
      </c>
      <c r="D25" s="15" t="n">
        <v>1700</v>
      </c>
      <c r="E25" s="69" t="n">
        <v>3995</v>
      </c>
      <c r="F25" s="69" t="n">
        <v>1054</v>
      </c>
      <c r="G25" s="69" t="n">
        <v>1009.8</v>
      </c>
      <c r="H25" s="69" t="n">
        <v>6058.8</v>
      </c>
      <c r="I25" s="13" t="inlineStr">
        <is>
          <t>Mesken</t>
        </is>
      </c>
      <c r="J25" s="13" t="inlineStr">
        <is>
          <t>2026-07</t>
        </is>
      </c>
      <c r="K25" s="13" t="inlineStr">
        <is>
          <t>Açık</t>
        </is>
      </c>
      <c r="L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3" t="inlineStr">
        <is>
          <t>REAKTIF</t>
        </is>
      </c>
      <c r="D26" s="15" t="n">
        <v>1745</v>
      </c>
      <c r="E26" s="69" t="n">
        <v>4240.35</v>
      </c>
      <c r="F26" s="69" t="n">
        <v>1081.9</v>
      </c>
      <c r="G26" s="69" t="n">
        <v>1064.45</v>
      </c>
      <c r="H26" s="69" t="n">
        <v>6386.7</v>
      </c>
      <c r="I26" s="13" t="inlineStr">
        <is>
          <t>Ticarethane</t>
        </is>
      </c>
      <c r="J26" s="13" t="inlineStr">
        <is>
          <t>2026-07</t>
        </is>
      </c>
      <c r="K26" s="13" t="inlineStr">
        <is>
          <t>Açık</t>
        </is>
      </c>
      <c r="L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3" t="inlineStr">
        <is>
          <t>GECE</t>
        </is>
      </c>
      <c r="D27" s="15" t="n">
        <v>1790</v>
      </c>
      <c r="E27" s="69" t="n">
        <v>4492.9</v>
      </c>
      <c r="F27" s="69" t="n">
        <v>1109.8</v>
      </c>
      <c r="G27" s="69" t="n">
        <v>1120.54</v>
      </c>
      <c r="H27" s="69" t="n">
        <v>6723.24</v>
      </c>
      <c r="I27" s="13" t="inlineStr">
        <is>
          <t>Sanayi</t>
        </is>
      </c>
      <c r="J27" s="13" t="inlineStr">
        <is>
          <t>2026-07</t>
        </is>
      </c>
      <c r="K27" s="13" t="inlineStr">
        <is>
          <t>Açık</t>
        </is>
      </c>
      <c r="L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3" t="inlineStr">
        <is>
          <t>GUNDUZ</t>
        </is>
      </c>
      <c r="D28" s="15" t="n">
        <v>1835</v>
      </c>
      <c r="E28" s="69" t="n">
        <v>4752.65</v>
      </c>
      <c r="F28" s="69" t="n">
        <v>1137.7</v>
      </c>
      <c r="G28" s="69" t="n">
        <v>1178.07</v>
      </c>
      <c r="H28" s="69" t="n">
        <v>7068.42</v>
      </c>
      <c r="I28" s="13" t="inlineStr">
        <is>
          <t>Tarımsal</t>
        </is>
      </c>
      <c r="J28" s="13" t="inlineStr">
        <is>
          <t>2026-07</t>
        </is>
      </c>
      <c r="K28" s="13" t="inlineStr">
        <is>
          <t>Açık</t>
        </is>
      </c>
      <c r="L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3" t="inlineStr">
        <is>
          <t>PUANT</t>
        </is>
      </c>
      <c r="D29" s="15" t="n">
        <v>1880</v>
      </c>
      <c r="E29" s="69" t="n">
        <v>5019.6</v>
      </c>
      <c r="F29" s="69" t="n">
        <v>1165.6</v>
      </c>
      <c r="G29" s="69" t="n">
        <v>1237.04</v>
      </c>
      <c r="H29" s="69" t="n">
        <v>7422.24</v>
      </c>
      <c r="I29" s="13" t="inlineStr">
        <is>
          <t>Diğer</t>
        </is>
      </c>
      <c r="J29" s="13" t="inlineStr">
        <is>
          <t>2026-07</t>
        </is>
      </c>
      <c r="K29" s="13" t="inlineStr">
        <is>
          <t>Açık</t>
        </is>
      </c>
      <c r="L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3" t="inlineStr">
        <is>
          <t>AKTIF</t>
        </is>
      </c>
      <c r="D30" s="15" t="n">
        <v>1925</v>
      </c>
      <c r="E30" s="69" t="n">
        <v>4523.75</v>
      </c>
      <c r="F30" s="69" t="n">
        <v>1193.5</v>
      </c>
      <c r="G30" s="69" t="n">
        <v>1143.45</v>
      </c>
      <c r="H30" s="69" t="n">
        <v>6860.7</v>
      </c>
      <c r="I30" s="13" t="inlineStr">
        <is>
          <t>Mesken</t>
        </is>
      </c>
      <c r="J30" s="13" t="inlineStr">
        <is>
          <t>2026-07</t>
        </is>
      </c>
      <c r="K30" s="13" t="inlineStr">
        <is>
          <t>Açık</t>
        </is>
      </c>
      <c r="L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3" t="inlineStr">
        <is>
          <t>REAKTIF</t>
        </is>
      </c>
      <c r="D31" s="15" t="n">
        <v>1970</v>
      </c>
      <c r="E31" s="69" t="n">
        <v>4787.1</v>
      </c>
      <c r="F31" s="69" t="n">
        <v>1221.4</v>
      </c>
      <c r="G31" s="69" t="n">
        <v>1201.7</v>
      </c>
      <c r="H31" s="69" t="n">
        <v>7210.2</v>
      </c>
      <c r="I31" s="13" t="inlineStr">
        <is>
          <t>Ticarethane</t>
        </is>
      </c>
      <c r="J31" s="13" t="inlineStr">
        <is>
          <t>2026-07</t>
        </is>
      </c>
      <c r="K31" s="13" t="inlineStr">
        <is>
          <t>Açık</t>
        </is>
      </c>
      <c r="L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3" t="inlineStr">
        <is>
          <t>GECE</t>
        </is>
      </c>
      <c r="D32" s="15" t="n">
        <v>2015</v>
      </c>
      <c r="E32" s="69" t="n">
        <v>5057.65</v>
      </c>
      <c r="F32" s="69" t="n">
        <v>1249.3</v>
      </c>
      <c r="G32" s="69" t="n">
        <v>1261.39</v>
      </c>
      <c r="H32" s="69" t="n">
        <v>7568.34</v>
      </c>
      <c r="I32" s="13" t="inlineStr">
        <is>
          <t>Sanayi</t>
        </is>
      </c>
      <c r="J32" s="13" t="inlineStr">
        <is>
          <t>2026-07</t>
        </is>
      </c>
      <c r="K32" s="13" t="inlineStr">
        <is>
          <t>Açık</t>
        </is>
      </c>
      <c r="L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3" t="inlineStr">
        <is>
          <t>GUNDUZ</t>
        </is>
      </c>
      <c r="D33" s="15" t="n">
        <v>2060</v>
      </c>
      <c r="E33" s="69" t="n">
        <v>5335.4</v>
      </c>
      <c r="F33" s="69" t="n">
        <v>1277.2</v>
      </c>
      <c r="G33" s="69" t="n">
        <v>1322.52</v>
      </c>
      <c r="H33" s="69" t="n">
        <v>7935.12</v>
      </c>
      <c r="I33" s="13" t="inlineStr">
        <is>
          <t>Tarımsal</t>
        </is>
      </c>
      <c r="J33" s="13" t="inlineStr">
        <is>
          <t>2026-07</t>
        </is>
      </c>
      <c r="K33" s="13" t="inlineStr">
        <is>
          <t>Açık</t>
        </is>
      </c>
      <c r="L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3" t="inlineStr">
        <is>
          <t>PUANT</t>
        </is>
      </c>
      <c r="D34" s="15" t="n">
        <v>2105</v>
      </c>
      <c r="E34" s="69" t="n">
        <v>5620.35</v>
      </c>
      <c r="F34" s="69" t="n">
        <v>1305.1</v>
      </c>
      <c r="G34" s="69" t="n">
        <v>1385.09</v>
      </c>
      <c r="H34" s="69" t="n">
        <v>8310.540000000001</v>
      </c>
      <c r="I34" s="13" t="inlineStr">
        <is>
          <t>Diğer</t>
        </is>
      </c>
      <c r="J34" s="13" t="inlineStr">
        <is>
          <t>2026-07</t>
        </is>
      </c>
      <c r="K34" s="13" t="inlineStr">
        <is>
          <t>Açık</t>
        </is>
      </c>
      <c r="L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3" t="inlineStr">
        <is>
          <t>AKTIF</t>
        </is>
      </c>
      <c r="D35" s="15" t="n">
        <v>2150</v>
      </c>
      <c r="E35" s="69" t="n">
        <v>5052.5</v>
      </c>
      <c r="F35" s="69" t="n">
        <v>1333</v>
      </c>
      <c r="G35" s="69" t="n">
        <v>1277.1</v>
      </c>
      <c r="H35" s="69" t="n">
        <v>7662.6</v>
      </c>
      <c r="I35" s="13" t="inlineStr">
        <is>
          <t>Mesken</t>
        </is>
      </c>
      <c r="J35" s="13" t="inlineStr">
        <is>
          <t>2026-07</t>
        </is>
      </c>
      <c r="K35" s="13" t="inlineStr">
        <is>
          <t>Açık</t>
        </is>
      </c>
      <c r="L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3" t="inlineStr">
        <is>
          <t>REAKTIF</t>
        </is>
      </c>
      <c r="D36" s="15" t="n">
        <v>2195</v>
      </c>
      <c r="E36" s="69" t="n">
        <v>5333.85</v>
      </c>
      <c r="F36" s="69" t="n">
        <v>1360.9</v>
      </c>
      <c r="G36" s="69" t="n">
        <v>1338.95</v>
      </c>
      <c r="H36" s="69" t="n">
        <v>8033.7</v>
      </c>
      <c r="I36" s="13" t="inlineStr">
        <is>
          <t>Ticarethane</t>
        </is>
      </c>
      <c r="J36" s="13" t="inlineStr">
        <is>
          <t>2026-07</t>
        </is>
      </c>
      <c r="K36" s="13" t="inlineStr">
        <is>
          <t>Açık</t>
        </is>
      </c>
      <c r="L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3" t="inlineStr">
        <is>
          <t>GECE</t>
        </is>
      </c>
      <c r="D37" s="15" t="n">
        <v>2240</v>
      </c>
      <c r="E37" s="69" t="n">
        <v>5622.4</v>
      </c>
      <c r="F37" s="69" t="n">
        <v>1388.8</v>
      </c>
      <c r="G37" s="69" t="n">
        <v>1402.24</v>
      </c>
      <c r="H37" s="69" t="n">
        <v>8413.440000000001</v>
      </c>
      <c r="I37" s="13" t="inlineStr">
        <is>
          <t>Sanayi</t>
        </is>
      </c>
      <c r="J37" s="13" t="inlineStr">
        <is>
          <t>2026-07</t>
        </is>
      </c>
      <c r="K37" s="13" t="inlineStr">
        <is>
          <t>Açık</t>
        </is>
      </c>
      <c r="L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3" t="inlineStr">
        <is>
          <t>GUNDUZ</t>
        </is>
      </c>
      <c r="D38" s="15" t="n">
        <v>2285</v>
      </c>
      <c r="E38" s="69" t="n">
        <v>5918.15</v>
      </c>
      <c r="F38" s="69" t="n">
        <v>1416.7</v>
      </c>
      <c r="G38" s="69" t="n">
        <v>1466.97</v>
      </c>
      <c r="H38" s="69" t="n">
        <v>8801.82</v>
      </c>
      <c r="I38" s="13" t="inlineStr">
        <is>
          <t>Tarımsal</t>
        </is>
      </c>
      <c r="J38" s="13" t="inlineStr">
        <is>
          <t>2026-07</t>
        </is>
      </c>
      <c r="K38" s="13" t="inlineStr">
        <is>
          <t>Açık</t>
        </is>
      </c>
      <c r="L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3" t="inlineStr">
        <is>
          <t>PUANT</t>
        </is>
      </c>
      <c r="D39" s="15" t="n">
        <v>2330</v>
      </c>
      <c r="E39" s="69" t="n">
        <v>6221.1</v>
      </c>
      <c r="F39" s="69" t="n">
        <v>1444.6</v>
      </c>
      <c r="G39" s="69" t="n">
        <v>1533.14</v>
      </c>
      <c r="H39" s="69" t="n">
        <v>9198.84</v>
      </c>
      <c r="I39" s="13" t="inlineStr">
        <is>
          <t>Diğer</t>
        </is>
      </c>
      <c r="J39" s="13" t="inlineStr">
        <is>
          <t>2026-07</t>
        </is>
      </c>
      <c r="K39" s="13" t="inlineStr">
        <is>
          <t>Açık</t>
        </is>
      </c>
      <c r="L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3" t="inlineStr">
        <is>
          <t>AKTIF</t>
        </is>
      </c>
      <c r="D40" s="15" t="n">
        <v>2375</v>
      </c>
      <c r="E40" s="69" t="n">
        <v>5581.25</v>
      </c>
      <c r="F40" s="69" t="n">
        <v>1472.5</v>
      </c>
      <c r="G40" s="69" t="n">
        <v>1410.75</v>
      </c>
      <c r="H40" s="69" t="n">
        <v>8464.5</v>
      </c>
      <c r="I40" s="13" t="inlineStr">
        <is>
          <t>Mesken</t>
        </is>
      </c>
      <c r="J40" s="13" t="inlineStr">
        <is>
          <t>2026-07</t>
        </is>
      </c>
      <c r="K40" s="13" t="inlineStr">
        <is>
          <t>Açık</t>
        </is>
      </c>
      <c r="L40" s="17">
        <f>IF($A40="","",1)</f>
        <v/>
      </c>
    </row>
    <row r="41">
      <c r="A41" s="13" t="n"/>
      <c r="B41" s="68" t="n"/>
      <c r="C41" s="13" t="n"/>
      <c r="D41" s="15" t="n"/>
      <c r="E41" s="69" t="n"/>
      <c r="F41" s="69" t="n"/>
      <c r="G41" s="69" t="n"/>
      <c r="H41" s="69" t="n"/>
      <c r="I41" s="13" t="n"/>
      <c r="J41" s="13" t="n"/>
      <c r="K41" s="13" t="n"/>
      <c r="L41" s="17">
        <f>IF($A41="","",1)</f>
        <v/>
      </c>
    </row>
    <row r="42">
      <c r="A42" s="13" t="n"/>
      <c r="B42" s="68" t="n"/>
      <c r="C42" s="13" t="n"/>
      <c r="D42" s="15" t="n"/>
      <c r="E42" s="69" t="n"/>
      <c r="F42" s="69" t="n"/>
      <c r="G42" s="69" t="n"/>
      <c r="H42" s="69" t="n"/>
      <c r="I42" s="13" t="n"/>
      <c r="J42" s="13" t="n"/>
      <c r="K42" s="13" t="n"/>
      <c r="L42" s="17">
        <f>IF($A42="","",1)</f>
        <v/>
      </c>
    </row>
    <row r="43">
      <c r="A43" s="13" t="n"/>
      <c r="B43" s="68" t="n"/>
      <c r="C43" s="13" t="n"/>
      <c r="D43" s="15" t="n"/>
      <c r="E43" s="69" t="n"/>
      <c r="F43" s="69" t="n"/>
      <c r="G43" s="69" t="n"/>
      <c r="H43" s="69" t="n"/>
      <c r="I43" s="13" t="n"/>
      <c r="J43" s="13" t="n"/>
      <c r="K43" s="13" t="n"/>
      <c r="L43" s="17">
        <f>IF($A43="","",1)</f>
        <v/>
      </c>
    </row>
    <row r="44">
      <c r="A44" s="13" t="n"/>
      <c r="B44" s="68" t="n"/>
      <c r="C44" s="13" t="n"/>
      <c r="D44" s="15" t="n"/>
      <c r="E44" s="69" t="n"/>
      <c r="F44" s="69" t="n"/>
      <c r="G44" s="69" t="n"/>
      <c r="H44" s="69" t="n"/>
      <c r="I44" s="13" t="n"/>
      <c r="J44" s="13" t="n"/>
      <c r="K44" s="13" t="n"/>
      <c r="L44" s="17">
        <f>IF($A44="","",1)</f>
        <v/>
      </c>
    </row>
    <row r="45">
      <c r="A45" s="13" t="n"/>
      <c r="B45" s="68" t="n"/>
      <c r="C45" s="13" t="n"/>
      <c r="D45" s="15" t="n"/>
      <c r="E45" s="69" t="n"/>
      <c r="F45" s="69" t="n"/>
      <c r="G45" s="69" t="n"/>
      <c r="H45" s="69" t="n"/>
      <c r="I45" s="13" t="n"/>
      <c r="J45" s="13" t="n"/>
      <c r="K45" s="13" t="n"/>
      <c r="L45" s="17">
        <f>IF($A45="","",1)</f>
        <v/>
      </c>
    </row>
    <row r="46">
      <c r="A46" s="13" t="n"/>
      <c r="B46" s="68" t="n"/>
      <c r="C46" s="13" t="n"/>
      <c r="D46" s="15" t="n"/>
      <c r="E46" s="69" t="n"/>
      <c r="F46" s="69" t="n"/>
      <c r="G46" s="69" t="n"/>
      <c r="H46" s="69" t="n"/>
      <c r="I46" s="13" t="n"/>
      <c r="J46" s="13" t="n"/>
      <c r="K46" s="13" t="n"/>
      <c r="L46" s="17">
        <f>IF($A46="","",1)</f>
        <v/>
      </c>
    </row>
    <row r="47">
      <c r="A47" s="13" t="n"/>
      <c r="B47" s="68" t="n"/>
      <c r="C47" s="13" t="n"/>
      <c r="D47" s="15" t="n"/>
      <c r="E47" s="69" t="n"/>
      <c r="F47" s="69" t="n"/>
      <c r="G47" s="69" t="n"/>
      <c r="H47" s="69" t="n"/>
      <c r="I47" s="13" t="n"/>
      <c r="J47" s="13" t="n"/>
      <c r="K47" s="13" t="n"/>
      <c r="L47" s="17">
        <f>IF($A47="","",1)</f>
        <v/>
      </c>
    </row>
    <row r="48">
      <c r="A48" s="13" t="n"/>
      <c r="B48" s="68" t="n"/>
      <c r="C48" s="13" t="n"/>
      <c r="D48" s="15" t="n"/>
      <c r="E48" s="69" t="n"/>
      <c r="F48" s="69" t="n"/>
      <c r="G48" s="69" t="n"/>
      <c r="H48" s="69" t="n"/>
      <c r="I48" s="13" t="n"/>
      <c r="J48" s="13" t="n"/>
      <c r="K48" s="13" t="n"/>
      <c r="L48" s="17">
        <f>IF($A48="","",1)</f>
        <v/>
      </c>
    </row>
    <row r="49">
      <c r="A49" s="13" t="n"/>
      <c r="B49" s="68" t="n"/>
      <c r="C49" s="13" t="n"/>
      <c r="D49" s="15" t="n"/>
      <c r="E49" s="69" t="n"/>
      <c r="F49" s="69" t="n"/>
      <c r="G49" s="69" t="n"/>
      <c r="H49" s="69" t="n"/>
      <c r="I49" s="13" t="n"/>
      <c r="J49" s="13" t="n"/>
      <c r="K49" s="13" t="n"/>
      <c r="L49" s="17">
        <f>IF($A49="","",1)</f>
        <v/>
      </c>
    </row>
    <row r="50">
      <c r="A50" s="13" t="n"/>
      <c r="B50" s="68" t="n"/>
      <c r="C50" s="13" t="n"/>
      <c r="D50" s="15" t="n"/>
      <c r="E50" s="69" t="n"/>
      <c r="F50" s="69" t="n"/>
      <c r="G50" s="69" t="n"/>
      <c r="H50" s="69" t="n"/>
      <c r="I50" s="13" t="n"/>
      <c r="J50" s="13" t="n"/>
      <c r="K50" s="13" t="n"/>
      <c r="L50" s="17">
        <f>IF($A50="","",1)</f>
        <v/>
      </c>
    </row>
    <row r="51">
      <c r="A51" s="13" t="n"/>
      <c r="B51" s="68" t="n"/>
      <c r="C51" s="13" t="n"/>
      <c r="D51" s="15" t="n"/>
      <c r="E51" s="69" t="n"/>
      <c r="F51" s="69" t="n"/>
      <c r="G51" s="69" t="n"/>
      <c r="H51" s="69" t="n"/>
      <c r="I51" s="13" t="n"/>
      <c r="J51" s="13" t="n"/>
      <c r="K51" s="13" t="n"/>
      <c r="L51" s="17">
        <f>IF($A51="","",1)</f>
        <v/>
      </c>
    </row>
    <row r="52">
      <c r="A52" s="13" t="n"/>
      <c r="B52" s="68" t="n"/>
      <c r="C52" s="13" t="n"/>
      <c r="D52" s="15" t="n"/>
      <c r="E52" s="69" t="n"/>
      <c r="F52" s="69" t="n"/>
      <c r="G52" s="69" t="n"/>
      <c r="H52" s="69" t="n"/>
      <c r="I52" s="13" t="n"/>
      <c r="J52" s="13" t="n"/>
      <c r="K52" s="13" t="n"/>
      <c r="L52" s="17">
        <f>IF($A52="","",1)</f>
        <v/>
      </c>
    </row>
    <row r="53">
      <c r="A53" s="13" t="n"/>
      <c r="B53" s="68" t="n"/>
      <c r="C53" s="13" t="n"/>
      <c r="D53" s="15" t="n"/>
      <c r="E53" s="69" t="n"/>
      <c r="F53" s="69" t="n"/>
      <c r="G53" s="69" t="n"/>
      <c r="H53" s="69" t="n"/>
      <c r="I53" s="13" t="n"/>
      <c r="J53" s="13" t="n"/>
      <c r="K53" s="13" t="n"/>
      <c r="L53" s="17">
        <f>IF($A53="","",1)</f>
        <v/>
      </c>
    </row>
    <row r="54">
      <c r="A54" s="13" t="n"/>
      <c r="B54" s="68" t="n"/>
      <c r="C54" s="13" t="n"/>
      <c r="D54" s="15" t="n"/>
      <c r="E54" s="69" t="n"/>
      <c r="F54" s="69" t="n"/>
      <c r="G54" s="69" t="n"/>
      <c r="H54" s="69" t="n"/>
      <c r="I54" s="13" t="n"/>
      <c r="J54" s="13" t="n"/>
      <c r="K54" s="13" t="n"/>
      <c r="L54" s="17">
        <f>IF($A54="","",1)</f>
        <v/>
      </c>
    </row>
    <row r="55">
      <c r="A55" s="13" t="n"/>
      <c r="B55" s="68" t="n"/>
      <c r="C55" s="13" t="n"/>
      <c r="D55" s="15" t="n"/>
      <c r="E55" s="69" t="n"/>
      <c r="F55" s="69" t="n"/>
      <c r="G55" s="69" t="n"/>
      <c r="H55" s="69" t="n"/>
      <c r="I55" s="13" t="n"/>
      <c r="J55" s="13" t="n"/>
      <c r="K55" s="13" t="n"/>
      <c r="L55" s="17">
        <f>IF($A55="","",1)</f>
        <v/>
      </c>
    </row>
    <row r="56">
      <c r="A56" s="13" t="n"/>
      <c r="B56" s="68" t="n"/>
      <c r="C56" s="13" t="n"/>
      <c r="D56" s="15" t="n"/>
      <c r="E56" s="69" t="n"/>
      <c r="F56" s="69" t="n"/>
      <c r="G56" s="69" t="n"/>
      <c r="H56" s="69" t="n"/>
      <c r="I56" s="13" t="n"/>
      <c r="J56" s="13" t="n"/>
      <c r="K56" s="13" t="n"/>
      <c r="L56" s="17">
        <f>IF($A56="","",1)</f>
        <v/>
      </c>
    </row>
    <row r="57">
      <c r="A57" s="13" t="n"/>
      <c r="B57" s="68" t="n"/>
      <c r="C57" s="13" t="n"/>
      <c r="D57" s="15" t="n"/>
      <c r="E57" s="69" t="n"/>
      <c r="F57" s="69" t="n"/>
      <c r="G57" s="69" t="n"/>
      <c r="H57" s="69" t="n"/>
      <c r="I57" s="13" t="n"/>
      <c r="J57" s="13" t="n"/>
      <c r="K57" s="13" t="n"/>
      <c r="L57" s="17">
        <f>IF($A57="","",1)</f>
        <v/>
      </c>
    </row>
    <row r="58">
      <c r="A58" s="13" t="n"/>
      <c r="B58" s="68" t="n"/>
      <c r="C58" s="13" t="n"/>
      <c r="D58" s="15" t="n"/>
      <c r="E58" s="69" t="n"/>
      <c r="F58" s="69" t="n"/>
      <c r="G58" s="69" t="n"/>
      <c r="H58" s="69" t="n"/>
      <c r="I58" s="13" t="n"/>
      <c r="J58" s="13" t="n"/>
      <c r="K58" s="13" t="n"/>
      <c r="L58" s="17">
        <f>IF($A58="","",1)</f>
        <v/>
      </c>
    </row>
    <row r="59">
      <c r="A59" s="13" t="n"/>
      <c r="B59" s="68" t="n"/>
      <c r="C59" s="13" t="n"/>
      <c r="D59" s="15" t="n"/>
      <c r="E59" s="69" t="n"/>
      <c r="F59" s="69" t="n"/>
      <c r="G59" s="69" t="n"/>
      <c r="H59" s="69" t="n"/>
      <c r="I59" s="13" t="n"/>
      <c r="J59" s="13" t="n"/>
      <c r="K59" s="13" t="n"/>
      <c r="L59" s="17">
        <f>IF($A59="","",1)</f>
        <v/>
      </c>
    </row>
    <row r="60">
      <c r="A60" s="13" t="n"/>
      <c r="B60" s="68" t="n"/>
      <c r="C60" s="13" t="n"/>
      <c r="D60" s="15" t="n"/>
      <c r="E60" s="69" t="n"/>
      <c r="F60" s="69" t="n"/>
      <c r="G60" s="69" t="n"/>
      <c r="H60" s="69" t="n"/>
      <c r="I60" s="13" t="n"/>
      <c r="J60" s="13" t="n"/>
      <c r="K60" s="13" t="n"/>
      <c r="L60" s="17">
        <f>IF($A60="","",1)</f>
        <v/>
      </c>
    </row>
    <row r="61">
      <c r="A61" s="13" t="n"/>
      <c r="B61" s="68" t="n"/>
      <c r="C61" s="13" t="n"/>
      <c r="D61" s="15" t="n"/>
      <c r="E61" s="69" t="n"/>
      <c r="F61" s="69" t="n"/>
      <c r="G61" s="69" t="n"/>
      <c r="H61" s="69" t="n"/>
      <c r="I61" s="13" t="n"/>
      <c r="J61" s="13" t="n"/>
      <c r="K61" s="13" t="n"/>
      <c r="L61" s="17">
        <f>IF($A61="","",1)</f>
        <v/>
      </c>
    </row>
    <row r="62">
      <c r="A62" s="13" t="n"/>
      <c r="B62" s="68" t="n"/>
      <c r="C62" s="13" t="n"/>
      <c r="D62" s="15" t="n"/>
      <c r="E62" s="69" t="n"/>
      <c r="F62" s="69" t="n"/>
      <c r="G62" s="69" t="n"/>
      <c r="H62" s="69" t="n"/>
      <c r="I62" s="13" t="n"/>
      <c r="J62" s="13" t="n"/>
      <c r="K62" s="13" t="n"/>
      <c r="L62" s="17">
        <f>IF($A62="","",1)</f>
        <v/>
      </c>
    </row>
    <row r="63">
      <c r="A63" s="13" t="n"/>
      <c r="B63" s="68" t="n"/>
      <c r="C63" s="13" t="n"/>
      <c r="D63" s="15" t="n"/>
      <c r="E63" s="69" t="n"/>
      <c r="F63" s="69" t="n"/>
      <c r="G63" s="69" t="n"/>
      <c r="H63" s="69" t="n"/>
      <c r="I63" s="13" t="n"/>
      <c r="J63" s="13" t="n"/>
      <c r="K63" s="13" t="n"/>
      <c r="L63" s="17">
        <f>IF($A63="","",1)</f>
        <v/>
      </c>
    </row>
    <row r="64">
      <c r="A64" s="13" t="n"/>
      <c r="B64" s="68" t="n"/>
      <c r="C64" s="13" t="n"/>
      <c r="D64" s="15" t="n"/>
      <c r="E64" s="69" t="n"/>
      <c r="F64" s="69" t="n"/>
      <c r="G64" s="69" t="n"/>
      <c r="H64" s="69" t="n"/>
      <c r="I64" s="13" t="n"/>
      <c r="J64" s="13" t="n"/>
      <c r="K64" s="13" t="n"/>
      <c r="L64" s="17">
        <f>IF($A64="","",1)</f>
        <v/>
      </c>
    </row>
    <row r="65">
      <c r="A65" s="13" t="n"/>
      <c r="B65" s="68" t="n"/>
      <c r="C65" s="13" t="n"/>
      <c r="D65" s="15" t="n"/>
      <c r="E65" s="69" t="n"/>
      <c r="F65" s="69" t="n"/>
      <c r="G65" s="69" t="n"/>
      <c r="H65" s="69" t="n"/>
      <c r="I65" s="13" t="n"/>
      <c r="J65" s="13" t="n"/>
      <c r="K65" s="13" t="n"/>
      <c r="L65" s="17">
        <f>IF($A65="","",1)</f>
        <v/>
      </c>
    </row>
    <row r="66">
      <c r="A66" s="13" t="n"/>
      <c r="B66" s="68" t="n"/>
      <c r="C66" s="13" t="n"/>
      <c r="D66" s="15" t="n"/>
      <c r="E66" s="69" t="n"/>
      <c r="F66" s="69" t="n"/>
      <c r="G66" s="69" t="n"/>
      <c r="H66" s="69" t="n"/>
      <c r="I66" s="13" t="n"/>
      <c r="J66" s="13" t="n"/>
      <c r="K66" s="13" t="n"/>
      <c r="L66" s="17">
        <f>IF($A66="","",1)</f>
        <v/>
      </c>
    </row>
    <row r="67">
      <c r="A67" s="13" t="n"/>
      <c r="B67" s="68" t="n"/>
      <c r="C67" s="13" t="n"/>
      <c r="D67" s="15" t="n"/>
      <c r="E67" s="69" t="n"/>
      <c r="F67" s="69" t="n"/>
      <c r="G67" s="69" t="n"/>
      <c r="H67" s="69" t="n"/>
      <c r="I67" s="13" t="n"/>
      <c r="J67" s="13" t="n"/>
      <c r="K67" s="13" t="n"/>
      <c r="L67" s="17">
        <f>IF($A67="","",1)</f>
        <v/>
      </c>
    </row>
    <row r="68">
      <c r="A68" s="13" t="n"/>
      <c r="B68" s="68" t="n"/>
      <c r="C68" s="13" t="n"/>
      <c r="D68" s="15" t="n"/>
      <c r="E68" s="69" t="n"/>
      <c r="F68" s="69" t="n"/>
      <c r="G68" s="69" t="n"/>
      <c r="H68" s="69" t="n"/>
      <c r="I68" s="13" t="n"/>
      <c r="J68" s="13" t="n"/>
      <c r="K68" s="13" t="n"/>
      <c r="L68" s="17">
        <f>IF($A68="","",1)</f>
        <v/>
      </c>
    </row>
    <row r="69">
      <c r="A69" s="13" t="n"/>
      <c r="B69" s="68" t="n"/>
      <c r="C69" s="13" t="n"/>
      <c r="D69" s="15" t="n"/>
      <c r="E69" s="69" t="n"/>
      <c r="F69" s="69" t="n"/>
      <c r="G69" s="69" t="n"/>
      <c r="H69" s="69" t="n"/>
      <c r="I69" s="13" t="n"/>
      <c r="J69" s="13" t="n"/>
      <c r="K69" s="13" t="n"/>
      <c r="L69" s="17">
        <f>IF($A69="","",1)</f>
        <v/>
      </c>
    </row>
    <row r="70">
      <c r="A70" s="13" t="n"/>
      <c r="B70" s="68" t="n"/>
      <c r="C70" s="13" t="n"/>
      <c r="D70" s="15" t="n"/>
      <c r="E70" s="69" t="n"/>
      <c r="F70" s="69" t="n"/>
      <c r="G70" s="69" t="n"/>
      <c r="H70" s="69" t="n"/>
      <c r="I70" s="13" t="n"/>
      <c r="J70" s="13" t="n"/>
      <c r="K70" s="13" t="n"/>
      <c r="L70" s="17">
        <f>IF($A70="","",1)</f>
        <v/>
      </c>
    </row>
    <row r="71">
      <c r="A71" s="13" t="n"/>
      <c r="B71" s="68" t="n"/>
      <c r="C71" s="13" t="n"/>
      <c r="D71" s="15" t="n"/>
      <c r="E71" s="69" t="n"/>
      <c r="F71" s="69" t="n"/>
      <c r="G71" s="69" t="n"/>
      <c r="H71" s="69" t="n"/>
      <c r="I71" s="13" t="n"/>
      <c r="J71" s="13" t="n"/>
      <c r="K71" s="13" t="n"/>
      <c r="L71" s="17">
        <f>IF($A71="","",1)</f>
        <v/>
      </c>
    </row>
    <row r="72">
      <c r="A72" s="13" t="n"/>
      <c r="B72" s="68" t="n"/>
      <c r="C72" s="13" t="n"/>
      <c r="D72" s="15" t="n"/>
      <c r="E72" s="69" t="n"/>
      <c r="F72" s="69" t="n"/>
      <c r="G72" s="69" t="n"/>
      <c r="H72" s="69" t="n"/>
      <c r="I72" s="13" t="n"/>
      <c r="J72" s="13" t="n"/>
      <c r="K72" s="13" t="n"/>
      <c r="L72" s="17">
        <f>IF($A72="","",1)</f>
        <v/>
      </c>
    </row>
    <row r="73">
      <c r="A73" s="13" t="n"/>
      <c r="B73" s="68" t="n"/>
      <c r="C73" s="13" t="n"/>
      <c r="D73" s="15" t="n"/>
      <c r="E73" s="69" t="n"/>
      <c r="F73" s="69" t="n"/>
      <c r="G73" s="69" t="n"/>
      <c r="H73" s="69" t="n"/>
      <c r="I73" s="13" t="n"/>
      <c r="J73" s="13" t="n"/>
      <c r="K73" s="13" t="n"/>
      <c r="L73" s="17">
        <f>IF($A73="","",1)</f>
        <v/>
      </c>
    </row>
    <row r="74">
      <c r="A74" s="13" t="n"/>
      <c r="B74" s="68" t="n"/>
      <c r="C74" s="13" t="n"/>
      <c r="D74" s="15" t="n"/>
      <c r="E74" s="69" t="n"/>
      <c r="F74" s="69" t="n"/>
      <c r="G74" s="69" t="n"/>
      <c r="H74" s="69" t="n"/>
      <c r="I74" s="13" t="n"/>
      <c r="J74" s="13" t="n"/>
      <c r="K74" s="13" t="n"/>
      <c r="L74" s="17">
        <f>IF($A74="","",1)</f>
        <v/>
      </c>
    </row>
    <row r="75">
      <c r="A75" s="13" t="n"/>
      <c r="B75" s="68" t="n"/>
      <c r="C75" s="13" t="n"/>
      <c r="D75" s="15" t="n"/>
      <c r="E75" s="69" t="n"/>
      <c r="F75" s="69" t="n"/>
      <c r="G75" s="69" t="n"/>
      <c r="H75" s="69" t="n"/>
      <c r="I75" s="13" t="n"/>
      <c r="J75" s="13" t="n"/>
      <c r="K75" s="13" t="n"/>
      <c r="L75" s="17">
        <f>IF($A75="","",1)</f>
        <v/>
      </c>
    </row>
    <row r="76">
      <c r="A76" s="13" t="n"/>
      <c r="B76" s="68" t="n"/>
      <c r="C76" s="13" t="n"/>
      <c r="D76" s="15" t="n"/>
      <c r="E76" s="69" t="n"/>
      <c r="F76" s="69" t="n"/>
      <c r="G76" s="69" t="n"/>
      <c r="H76" s="69" t="n"/>
      <c r="I76" s="13" t="n"/>
      <c r="J76" s="13" t="n"/>
      <c r="K76" s="13" t="n"/>
      <c r="L76" s="17">
        <f>IF($A76="","",1)</f>
        <v/>
      </c>
    </row>
    <row r="77">
      <c r="A77" s="13" t="n"/>
      <c r="B77" s="68" t="n"/>
      <c r="C77" s="13" t="n"/>
      <c r="D77" s="15" t="n"/>
      <c r="E77" s="69" t="n"/>
      <c r="F77" s="69" t="n"/>
      <c r="G77" s="69" t="n"/>
      <c r="H77" s="69" t="n"/>
      <c r="I77" s="13" t="n"/>
      <c r="J77" s="13" t="n"/>
      <c r="K77" s="13" t="n"/>
      <c r="L77" s="17">
        <f>IF($A77="","",1)</f>
        <v/>
      </c>
    </row>
    <row r="78">
      <c r="A78" s="13" t="n"/>
      <c r="B78" s="68" t="n"/>
      <c r="C78" s="13" t="n"/>
      <c r="D78" s="15" t="n"/>
      <c r="E78" s="69" t="n"/>
      <c r="F78" s="69" t="n"/>
      <c r="G78" s="69" t="n"/>
      <c r="H78" s="69" t="n"/>
      <c r="I78" s="13" t="n"/>
      <c r="J78" s="13" t="n"/>
      <c r="K78" s="13" t="n"/>
      <c r="L78" s="17">
        <f>IF($A78="","",1)</f>
        <v/>
      </c>
    </row>
    <row r="79">
      <c r="A79" s="13" t="n"/>
      <c r="B79" s="68" t="n"/>
      <c r="C79" s="13" t="n"/>
      <c r="D79" s="15" t="n"/>
      <c r="E79" s="69" t="n"/>
      <c r="F79" s="69" t="n"/>
      <c r="G79" s="69" t="n"/>
      <c r="H79" s="69" t="n"/>
      <c r="I79" s="13" t="n"/>
      <c r="J79" s="13" t="n"/>
      <c r="K79" s="13" t="n"/>
      <c r="L79" s="17">
        <f>IF($A79="","",1)</f>
        <v/>
      </c>
    </row>
    <row r="80">
      <c r="A80" s="13" t="n"/>
      <c r="B80" s="68" t="n"/>
      <c r="C80" s="13" t="n"/>
      <c r="D80" s="15" t="n"/>
      <c r="E80" s="69" t="n"/>
      <c r="F80" s="69" t="n"/>
      <c r="G80" s="69" t="n"/>
      <c r="H80" s="69" t="n"/>
      <c r="I80" s="13" t="n"/>
      <c r="J80" s="13" t="n"/>
      <c r="K80" s="13" t="n"/>
      <c r="L80" s="17">
        <f>IF($A80="","",1)</f>
        <v/>
      </c>
    </row>
    <row r="81">
      <c r="A81" s="13" t="n"/>
      <c r="B81" s="68" t="n"/>
      <c r="C81" s="13" t="n"/>
      <c r="D81" s="15" t="n"/>
      <c r="E81" s="69" t="n"/>
      <c r="F81" s="69" t="n"/>
      <c r="G81" s="69" t="n"/>
      <c r="H81" s="69" t="n"/>
      <c r="I81" s="13" t="n"/>
      <c r="J81" s="13" t="n"/>
      <c r="K81" s="13" t="n"/>
      <c r="L81" s="17">
        <f>IF($A81="","",1)</f>
        <v/>
      </c>
    </row>
    <row r="82">
      <c r="A82" s="13" t="n"/>
      <c r="B82" s="68" t="n"/>
      <c r="C82" s="13" t="n"/>
      <c r="D82" s="15" t="n"/>
      <c r="E82" s="69" t="n"/>
      <c r="F82" s="69" t="n"/>
      <c r="G82" s="69" t="n"/>
      <c r="H82" s="69" t="n"/>
      <c r="I82" s="13" t="n"/>
      <c r="J82" s="13" t="n"/>
      <c r="K82" s="13" t="n"/>
      <c r="L82" s="17">
        <f>IF($A82="","",1)</f>
        <v/>
      </c>
    </row>
    <row r="83">
      <c r="A83" s="13" t="n"/>
      <c r="B83" s="68" t="n"/>
      <c r="C83" s="13" t="n"/>
      <c r="D83" s="15" t="n"/>
      <c r="E83" s="69" t="n"/>
      <c r="F83" s="69" t="n"/>
      <c r="G83" s="69" t="n"/>
      <c r="H83" s="69" t="n"/>
      <c r="I83" s="13" t="n"/>
      <c r="J83" s="13" t="n"/>
      <c r="K83" s="13" t="n"/>
      <c r="L83" s="17">
        <f>IF($A83="","",1)</f>
        <v/>
      </c>
    </row>
    <row r="84">
      <c r="A84" s="13" t="n"/>
      <c r="B84" s="68" t="n"/>
      <c r="C84" s="13" t="n"/>
      <c r="D84" s="15" t="n"/>
      <c r="E84" s="69" t="n"/>
      <c r="F84" s="69" t="n"/>
      <c r="G84" s="69" t="n"/>
      <c r="H84" s="69" t="n"/>
      <c r="I84" s="13" t="n"/>
      <c r="J84" s="13" t="n"/>
      <c r="K84" s="13" t="n"/>
      <c r="L84" s="17">
        <f>IF($A84="","",1)</f>
        <v/>
      </c>
    </row>
    <row r="85">
      <c r="A85" s="13" t="n"/>
      <c r="B85" s="68" t="n"/>
      <c r="C85" s="13" t="n"/>
      <c r="D85" s="15" t="n"/>
      <c r="E85" s="69" t="n"/>
      <c r="F85" s="69" t="n"/>
      <c r="G85" s="69" t="n"/>
      <c r="H85" s="69" t="n"/>
      <c r="I85" s="13" t="n"/>
      <c r="J85" s="13" t="n"/>
      <c r="K85" s="13" t="n"/>
      <c r="L85" s="17">
        <f>IF($A85="","",1)</f>
        <v/>
      </c>
    </row>
    <row r="86">
      <c r="A86" s="13" t="n"/>
      <c r="B86" s="68" t="n"/>
      <c r="C86" s="13" t="n"/>
      <c r="D86" s="15" t="n"/>
      <c r="E86" s="69" t="n"/>
      <c r="F86" s="69" t="n"/>
      <c r="G86" s="69" t="n"/>
      <c r="H86" s="69" t="n"/>
      <c r="I86" s="13" t="n"/>
      <c r="J86" s="13" t="n"/>
      <c r="K86" s="13" t="n"/>
      <c r="L86" s="17">
        <f>IF($A86="","",1)</f>
        <v/>
      </c>
    </row>
    <row r="87">
      <c r="A87" s="13" t="n"/>
      <c r="B87" s="68" t="n"/>
      <c r="C87" s="13" t="n"/>
      <c r="D87" s="15" t="n"/>
      <c r="E87" s="69" t="n"/>
      <c r="F87" s="69" t="n"/>
      <c r="G87" s="69" t="n"/>
      <c r="H87" s="69" t="n"/>
      <c r="I87" s="13" t="n"/>
      <c r="J87" s="13" t="n"/>
      <c r="K87" s="13" t="n"/>
      <c r="L87" s="17">
        <f>IF($A87="","",1)</f>
        <v/>
      </c>
    </row>
    <row r="88">
      <c r="A88" s="13" t="n"/>
      <c r="B88" s="68" t="n"/>
      <c r="C88" s="13" t="n"/>
      <c r="D88" s="15" t="n"/>
      <c r="E88" s="69" t="n"/>
      <c r="F88" s="69" t="n"/>
      <c r="G88" s="69" t="n"/>
      <c r="H88" s="69" t="n"/>
      <c r="I88" s="13" t="n"/>
      <c r="J88" s="13" t="n"/>
      <c r="K88" s="13" t="n"/>
      <c r="L88" s="17">
        <f>IF($A88="","",1)</f>
        <v/>
      </c>
    </row>
    <row r="89">
      <c r="A89" s="13" t="n"/>
      <c r="B89" s="68" t="n"/>
      <c r="C89" s="13" t="n"/>
      <c r="D89" s="15" t="n"/>
      <c r="E89" s="69" t="n"/>
      <c r="F89" s="69" t="n"/>
      <c r="G89" s="69" t="n"/>
      <c r="H89" s="69" t="n"/>
      <c r="I89" s="13" t="n"/>
      <c r="J89" s="13" t="n"/>
      <c r="K89" s="13" t="n"/>
      <c r="L89" s="17">
        <f>IF($A89="","",1)</f>
        <v/>
      </c>
    </row>
    <row r="90">
      <c r="A90" s="13" t="n"/>
      <c r="B90" s="68" t="n"/>
      <c r="C90" s="13" t="n"/>
      <c r="D90" s="15" t="n"/>
      <c r="E90" s="69" t="n"/>
      <c r="F90" s="69" t="n"/>
      <c r="G90" s="69" t="n"/>
      <c r="H90" s="69" t="n"/>
      <c r="I90" s="13" t="n"/>
      <c r="J90" s="13" t="n"/>
      <c r="K90" s="13" t="n"/>
      <c r="L90" s="17">
        <f>IF($A90="","",1)</f>
        <v/>
      </c>
    </row>
    <row r="91">
      <c r="A91" s="13" t="n"/>
      <c r="B91" s="68" t="n"/>
      <c r="C91" s="13" t="n"/>
      <c r="D91" s="15" t="n"/>
      <c r="E91" s="69" t="n"/>
      <c r="F91" s="69" t="n"/>
      <c r="G91" s="69" t="n"/>
      <c r="H91" s="69" t="n"/>
      <c r="I91" s="13" t="n"/>
      <c r="J91" s="13" t="n"/>
      <c r="K91" s="13" t="n"/>
      <c r="L91" s="17">
        <f>IF($A91="","",1)</f>
        <v/>
      </c>
    </row>
    <row r="92">
      <c r="A92" s="13" t="n"/>
      <c r="B92" s="68" t="n"/>
      <c r="C92" s="13" t="n"/>
      <c r="D92" s="15" t="n"/>
      <c r="E92" s="69" t="n"/>
      <c r="F92" s="69" t="n"/>
      <c r="G92" s="69" t="n"/>
      <c r="H92" s="69" t="n"/>
      <c r="I92" s="13" t="n"/>
      <c r="J92" s="13" t="n"/>
      <c r="K92" s="13" t="n"/>
      <c r="L92" s="17">
        <f>IF($A92="","",1)</f>
        <v/>
      </c>
    </row>
    <row r="93">
      <c r="A93" s="13" t="n"/>
      <c r="B93" s="68" t="n"/>
      <c r="C93" s="13" t="n"/>
      <c r="D93" s="15" t="n"/>
      <c r="E93" s="69" t="n"/>
      <c r="F93" s="69" t="n"/>
      <c r="G93" s="69" t="n"/>
      <c r="H93" s="69" t="n"/>
      <c r="I93" s="13" t="n"/>
      <c r="J93" s="13" t="n"/>
      <c r="K93" s="13" t="n"/>
      <c r="L93" s="17">
        <f>IF($A93="","",1)</f>
        <v/>
      </c>
    </row>
    <row r="94">
      <c r="A94" s="13" t="n"/>
      <c r="B94" s="68" t="n"/>
      <c r="C94" s="13" t="n"/>
      <c r="D94" s="15" t="n"/>
      <c r="E94" s="69" t="n"/>
      <c r="F94" s="69" t="n"/>
      <c r="G94" s="69" t="n"/>
      <c r="H94" s="69" t="n"/>
      <c r="I94" s="13" t="n"/>
      <c r="J94" s="13" t="n"/>
      <c r="K94" s="13" t="n"/>
      <c r="L94" s="17">
        <f>IF($A94="","",1)</f>
        <v/>
      </c>
    </row>
    <row r="95">
      <c r="A95" s="13" t="n"/>
      <c r="B95" s="68" t="n"/>
      <c r="C95" s="13" t="n"/>
      <c r="D95" s="15" t="n"/>
      <c r="E95" s="69" t="n"/>
      <c r="F95" s="69" t="n"/>
      <c r="G95" s="69" t="n"/>
      <c r="H95" s="69" t="n"/>
      <c r="I95" s="13" t="n"/>
      <c r="J95" s="13" t="n"/>
      <c r="K95" s="13" t="n"/>
      <c r="L95" s="17">
        <f>IF($A95="","",1)</f>
        <v/>
      </c>
    </row>
    <row r="96">
      <c r="A96" s="13" t="n"/>
      <c r="B96" s="68" t="n"/>
      <c r="C96" s="13" t="n"/>
      <c r="D96" s="15" t="n"/>
      <c r="E96" s="69" t="n"/>
      <c r="F96" s="69" t="n"/>
      <c r="G96" s="69" t="n"/>
      <c r="H96" s="69" t="n"/>
      <c r="I96" s="13" t="n"/>
      <c r="J96" s="13" t="n"/>
      <c r="K96" s="13" t="n"/>
      <c r="L96" s="17">
        <f>IF($A96="","",1)</f>
        <v/>
      </c>
    </row>
    <row r="97">
      <c r="A97" s="13" t="n"/>
      <c r="B97" s="68" t="n"/>
      <c r="C97" s="13" t="n"/>
      <c r="D97" s="15" t="n"/>
      <c r="E97" s="69" t="n"/>
      <c r="F97" s="69" t="n"/>
      <c r="G97" s="69" t="n"/>
      <c r="H97" s="69" t="n"/>
      <c r="I97" s="13" t="n"/>
      <c r="J97" s="13" t="n"/>
      <c r="K97" s="13" t="n"/>
      <c r="L97" s="17">
        <f>IF($A97="","",1)</f>
        <v/>
      </c>
    </row>
    <row r="98">
      <c r="A98" s="13" t="n"/>
      <c r="B98" s="68" t="n"/>
      <c r="C98" s="13" t="n"/>
      <c r="D98" s="15" t="n"/>
      <c r="E98" s="69" t="n"/>
      <c r="F98" s="69" t="n"/>
      <c r="G98" s="69" t="n"/>
      <c r="H98" s="69" t="n"/>
      <c r="I98" s="13" t="n"/>
      <c r="J98" s="13" t="n"/>
      <c r="K98" s="13" t="n"/>
      <c r="L98" s="17">
        <f>IF($A98="","",1)</f>
        <v/>
      </c>
    </row>
    <row r="99">
      <c r="A99" s="13" t="n"/>
      <c r="B99" s="68" t="n"/>
      <c r="C99" s="13" t="n"/>
      <c r="D99" s="15" t="n"/>
      <c r="E99" s="69" t="n"/>
      <c r="F99" s="69" t="n"/>
      <c r="G99" s="69" t="n"/>
      <c r="H99" s="69" t="n"/>
      <c r="I99" s="13" t="n"/>
      <c r="J99" s="13" t="n"/>
      <c r="K99" s="13" t="n"/>
      <c r="L99" s="17">
        <f>IF($A99="","",1)</f>
        <v/>
      </c>
    </row>
    <row r="100">
      <c r="A100" s="13" t="n"/>
      <c r="B100" s="68" t="n"/>
      <c r="C100" s="13" t="n"/>
      <c r="D100" s="15" t="n"/>
      <c r="E100" s="69" t="n"/>
      <c r="F100" s="69" t="n"/>
      <c r="G100" s="69" t="n"/>
      <c r="H100" s="69" t="n"/>
      <c r="I100" s="13" t="n"/>
      <c r="J100" s="13" t="n"/>
      <c r="K100" s="13" t="n"/>
      <c r="L100" s="17">
        <f>IF($A100="","",1)</f>
        <v/>
      </c>
    </row>
    <row r="101">
      <c r="A101" s="13" t="n"/>
      <c r="B101" s="68" t="n"/>
      <c r="C101" s="13" t="n"/>
      <c r="D101" s="15" t="n"/>
      <c r="E101" s="69" t="n"/>
      <c r="F101" s="69" t="n"/>
      <c r="G101" s="69" t="n"/>
      <c r="H101" s="69" t="n"/>
      <c r="I101" s="13" t="n"/>
      <c r="J101" s="13" t="n"/>
      <c r="K101" s="13" t="n"/>
      <c r="L101" s="17">
        <f>IF($A101="","",1)</f>
        <v/>
      </c>
    </row>
    <row r="102">
      <c r="A102" s="13" t="n"/>
      <c r="B102" s="68" t="n"/>
      <c r="C102" s="13" t="n"/>
      <c r="D102" s="15" t="n"/>
      <c r="E102" s="69" t="n"/>
      <c r="F102" s="69" t="n"/>
      <c r="G102" s="69" t="n"/>
      <c r="H102" s="69" t="n"/>
      <c r="I102" s="13" t="n"/>
      <c r="J102" s="13" t="n"/>
      <c r="K102" s="13" t="n"/>
      <c r="L102" s="17">
        <f>IF($A102="","",1)</f>
        <v/>
      </c>
    </row>
    <row r="103">
      <c r="A103" s="13" t="n"/>
      <c r="B103" s="68" t="n"/>
      <c r="C103" s="13" t="n"/>
      <c r="D103" s="15" t="n"/>
      <c r="E103" s="69" t="n"/>
      <c r="F103" s="69" t="n"/>
      <c r="G103" s="69" t="n"/>
      <c r="H103" s="69" t="n"/>
      <c r="I103" s="13" t="n"/>
      <c r="J103" s="13" t="n"/>
      <c r="K103" s="13" t="n"/>
      <c r="L103" s="17">
        <f>IF($A103="","",1)</f>
        <v/>
      </c>
    </row>
    <row r="104">
      <c r="A104" s="13" t="n"/>
      <c r="B104" s="68" t="n"/>
      <c r="C104" s="13" t="n"/>
      <c r="D104" s="15" t="n"/>
      <c r="E104" s="69" t="n"/>
      <c r="F104" s="69" t="n"/>
      <c r="G104" s="69" t="n"/>
      <c r="H104" s="69" t="n"/>
      <c r="I104" s="13" t="n"/>
      <c r="J104" s="13" t="n"/>
      <c r="K104" s="13" t="n"/>
      <c r="L104" s="17">
        <f>IF($A104="","",1)</f>
        <v/>
      </c>
    </row>
    <row r="105">
      <c r="A105" s="13" t="n"/>
      <c r="B105" s="68" t="n"/>
      <c r="C105" s="13" t="n"/>
      <c r="D105" s="15" t="n"/>
      <c r="E105" s="69" t="n"/>
      <c r="F105" s="69" t="n"/>
      <c r="G105" s="69" t="n"/>
      <c r="H105" s="69" t="n"/>
      <c r="I105" s="13" t="n"/>
      <c r="J105" s="13" t="n"/>
      <c r="K105" s="13" t="n"/>
      <c r="L105" s="17">
        <f>IF($A105="","",1)</f>
        <v/>
      </c>
    </row>
    <row r="106">
      <c r="A106" s="13" t="n"/>
      <c r="B106" s="68" t="n"/>
      <c r="C106" s="13" t="n"/>
      <c r="D106" s="15" t="n"/>
      <c r="E106" s="69" t="n"/>
      <c r="F106" s="69" t="n"/>
      <c r="G106" s="69" t="n"/>
      <c r="H106" s="69" t="n"/>
      <c r="I106" s="13" t="n"/>
      <c r="J106" s="13" t="n"/>
      <c r="K106" s="13" t="n"/>
      <c r="L106" s="17">
        <f>IF($A106="","",1)</f>
        <v/>
      </c>
    </row>
    <row r="107">
      <c r="A107" s="13" t="n"/>
      <c r="B107" s="68" t="n"/>
      <c r="C107" s="13" t="n"/>
      <c r="D107" s="15" t="n"/>
      <c r="E107" s="69" t="n"/>
      <c r="F107" s="69" t="n"/>
      <c r="G107" s="69" t="n"/>
      <c r="H107" s="69" t="n"/>
      <c r="I107" s="13" t="n"/>
      <c r="J107" s="13" t="n"/>
      <c r="K107" s="13" t="n"/>
      <c r="L107" s="17">
        <f>IF($A107="","",1)</f>
        <v/>
      </c>
    </row>
    <row r="108">
      <c r="A108" s="13" t="n"/>
      <c r="B108" s="68" t="n"/>
      <c r="C108" s="13" t="n"/>
      <c r="D108" s="15" t="n"/>
      <c r="E108" s="69" t="n"/>
      <c r="F108" s="69" t="n"/>
      <c r="G108" s="69" t="n"/>
      <c r="H108" s="69" t="n"/>
      <c r="I108" s="13" t="n"/>
      <c r="J108" s="13" t="n"/>
      <c r="K108" s="13" t="n"/>
      <c r="L108" s="17">
        <f>IF($A108="","",1)</f>
        <v/>
      </c>
    </row>
    <row r="109">
      <c r="A109" s="13" t="n"/>
      <c r="B109" s="68" t="n"/>
      <c r="C109" s="13" t="n"/>
      <c r="D109" s="15" t="n"/>
      <c r="E109" s="69" t="n"/>
      <c r="F109" s="69" t="n"/>
      <c r="G109" s="69" t="n"/>
      <c r="H109" s="69" t="n"/>
      <c r="I109" s="13" t="n"/>
      <c r="J109" s="13" t="n"/>
      <c r="K109" s="13" t="n"/>
      <c r="L109" s="17">
        <f>IF($A109="","",1)</f>
        <v/>
      </c>
    </row>
    <row r="110">
      <c r="A110" s="13" t="n"/>
      <c r="B110" s="68" t="n"/>
      <c r="C110" s="13" t="n"/>
      <c r="D110" s="15" t="n"/>
      <c r="E110" s="69" t="n"/>
      <c r="F110" s="69" t="n"/>
      <c r="G110" s="69" t="n"/>
      <c r="H110" s="69" t="n"/>
      <c r="I110" s="13" t="n"/>
      <c r="J110" s="13" t="n"/>
      <c r="K110" s="13" t="n"/>
      <c r="L110" s="17">
        <f>IF($A110="","",1)</f>
        <v/>
      </c>
    </row>
    <row r="111">
      <c r="A111" s="13" t="n"/>
      <c r="B111" s="68" t="n"/>
      <c r="C111" s="13" t="n"/>
      <c r="D111" s="15" t="n"/>
      <c r="E111" s="69" t="n"/>
      <c r="F111" s="69" t="n"/>
      <c r="G111" s="69" t="n"/>
      <c r="H111" s="69" t="n"/>
      <c r="I111" s="13" t="n"/>
      <c r="J111" s="13" t="n"/>
      <c r="K111" s="13" t="n"/>
      <c r="L111" s="17">
        <f>IF($A111="","",1)</f>
        <v/>
      </c>
    </row>
    <row r="112">
      <c r="A112" s="13" t="n"/>
      <c r="B112" s="68" t="n"/>
      <c r="C112" s="13" t="n"/>
      <c r="D112" s="15" t="n"/>
      <c r="E112" s="69" t="n"/>
      <c r="F112" s="69" t="n"/>
      <c r="G112" s="69" t="n"/>
      <c r="H112" s="69" t="n"/>
      <c r="I112" s="13" t="n"/>
      <c r="J112" s="13" t="n"/>
      <c r="K112" s="13" t="n"/>
      <c r="L112" s="17">
        <f>IF($A112="","",1)</f>
        <v/>
      </c>
    </row>
    <row r="113">
      <c r="A113" s="13" t="n"/>
      <c r="B113" s="68" t="n"/>
      <c r="C113" s="13" t="n"/>
      <c r="D113" s="15" t="n"/>
      <c r="E113" s="69" t="n"/>
      <c r="F113" s="69" t="n"/>
      <c r="G113" s="69" t="n"/>
      <c r="H113" s="69" t="n"/>
      <c r="I113" s="13" t="n"/>
      <c r="J113" s="13" t="n"/>
      <c r="K113" s="13" t="n"/>
      <c r="L113" s="17">
        <f>IF($A113="","",1)</f>
        <v/>
      </c>
    </row>
    <row r="114">
      <c r="A114" s="13" t="n"/>
      <c r="B114" s="68" t="n"/>
      <c r="C114" s="13" t="n"/>
      <c r="D114" s="15" t="n"/>
      <c r="E114" s="69" t="n"/>
      <c r="F114" s="69" t="n"/>
      <c r="G114" s="69" t="n"/>
      <c r="H114" s="69" t="n"/>
      <c r="I114" s="13" t="n"/>
      <c r="J114" s="13" t="n"/>
      <c r="K114" s="13" t="n"/>
      <c r="L114" s="17">
        <f>IF($A114="","",1)</f>
        <v/>
      </c>
    </row>
    <row r="115">
      <c r="A115" s="13" t="n"/>
      <c r="B115" s="68" t="n"/>
      <c r="C115" s="13" t="n"/>
      <c r="D115" s="15" t="n"/>
      <c r="E115" s="69" t="n"/>
      <c r="F115" s="69" t="n"/>
      <c r="G115" s="69" t="n"/>
      <c r="H115" s="69" t="n"/>
      <c r="I115" s="13" t="n"/>
      <c r="J115" s="13" t="n"/>
      <c r="K115" s="13" t="n"/>
      <c r="L115" s="17">
        <f>IF($A115="","",1)</f>
        <v/>
      </c>
    </row>
    <row r="116">
      <c r="A116" s="13" t="n"/>
      <c r="B116" s="68" t="n"/>
      <c r="C116" s="13" t="n"/>
      <c r="D116" s="15" t="n"/>
      <c r="E116" s="69" t="n"/>
      <c r="F116" s="69" t="n"/>
      <c r="G116" s="69" t="n"/>
      <c r="H116" s="69" t="n"/>
      <c r="I116" s="13" t="n"/>
      <c r="J116" s="13" t="n"/>
      <c r="K116" s="13" t="n"/>
      <c r="L116" s="17">
        <f>IF($A116="","",1)</f>
        <v/>
      </c>
    </row>
    <row r="117">
      <c r="A117" s="13" t="n"/>
      <c r="B117" s="68" t="n"/>
      <c r="C117" s="13" t="n"/>
      <c r="D117" s="15" t="n"/>
      <c r="E117" s="69" t="n"/>
      <c r="F117" s="69" t="n"/>
      <c r="G117" s="69" t="n"/>
      <c r="H117" s="69" t="n"/>
      <c r="I117" s="13" t="n"/>
      <c r="J117" s="13" t="n"/>
      <c r="K117" s="13" t="n"/>
      <c r="L117" s="17">
        <f>IF($A117="","",1)</f>
        <v/>
      </c>
    </row>
    <row r="118">
      <c r="A118" s="13" t="n"/>
      <c r="B118" s="68" t="n"/>
      <c r="C118" s="13" t="n"/>
      <c r="D118" s="15" t="n"/>
      <c r="E118" s="69" t="n"/>
      <c r="F118" s="69" t="n"/>
      <c r="G118" s="69" t="n"/>
      <c r="H118" s="69" t="n"/>
      <c r="I118" s="13" t="n"/>
      <c r="J118" s="13" t="n"/>
      <c r="K118" s="13" t="n"/>
      <c r="L118" s="17">
        <f>IF($A118="","",1)</f>
        <v/>
      </c>
    </row>
    <row r="119">
      <c r="A119" s="13" t="n"/>
      <c r="B119" s="68" t="n"/>
      <c r="C119" s="13" t="n"/>
      <c r="D119" s="15" t="n"/>
      <c r="E119" s="69" t="n"/>
      <c r="F119" s="69" t="n"/>
      <c r="G119" s="69" t="n"/>
      <c r="H119" s="69" t="n"/>
      <c r="I119" s="13" t="n"/>
      <c r="J119" s="13" t="n"/>
      <c r="K119" s="13" t="n"/>
      <c r="L119" s="17">
        <f>IF($A119="","",1)</f>
        <v/>
      </c>
    </row>
    <row r="120">
      <c r="A120" s="13" t="n"/>
      <c r="B120" s="68" t="n"/>
      <c r="C120" s="13" t="n"/>
      <c r="D120" s="15" t="n"/>
      <c r="E120" s="69" t="n"/>
      <c r="F120" s="69" t="n"/>
      <c r="G120" s="69" t="n"/>
      <c r="H120" s="69" t="n"/>
      <c r="I120" s="13" t="n"/>
      <c r="J120" s="13" t="n"/>
      <c r="K120" s="13" t="n"/>
      <c r="L120" s="17">
        <f>IF($A120="","",1)</f>
        <v/>
      </c>
    </row>
    <row r="121">
      <c r="A121" s="13" t="n"/>
      <c r="B121" s="68" t="n"/>
      <c r="C121" s="13" t="n"/>
      <c r="D121" s="15" t="n"/>
      <c r="E121" s="69" t="n"/>
      <c r="F121" s="69" t="n"/>
      <c r="G121" s="69" t="n"/>
      <c r="H121" s="69" t="n"/>
      <c r="I121" s="13" t="n"/>
      <c r="J121" s="13" t="n"/>
      <c r="K121" s="13" t="n"/>
      <c r="L121" s="17">
        <f>IF($A121="","",1)</f>
        <v/>
      </c>
    </row>
    <row r="122">
      <c r="A122" s="13" t="n"/>
      <c r="B122" s="68" t="n"/>
      <c r="C122" s="13" t="n"/>
      <c r="D122" s="15" t="n"/>
      <c r="E122" s="69" t="n"/>
      <c r="F122" s="69" t="n"/>
      <c r="G122" s="69" t="n"/>
      <c r="H122" s="69" t="n"/>
      <c r="I122" s="13" t="n"/>
      <c r="J122" s="13" t="n"/>
      <c r="K122" s="13" t="n"/>
      <c r="L122" s="17">
        <f>IF($A122="","",1)</f>
        <v/>
      </c>
    </row>
    <row r="123">
      <c r="A123" s="13" t="n"/>
      <c r="B123" s="68" t="n"/>
      <c r="C123" s="13" t="n"/>
      <c r="D123" s="15" t="n"/>
      <c r="E123" s="69" t="n"/>
      <c r="F123" s="69" t="n"/>
      <c r="G123" s="69" t="n"/>
      <c r="H123" s="69" t="n"/>
      <c r="I123" s="13" t="n"/>
      <c r="J123" s="13" t="n"/>
      <c r="K123" s="13" t="n"/>
      <c r="L123" s="17">
        <f>IF($A123="","",1)</f>
        <v/>
      </c>
    </row>
    <row r="124">
      <c r="A124" s="13" t="n"/>
      <c r="B124" s="68" t="n"/>
      <c r="C124" s="13" t="n"/>
      <c r="D124" s="15" t="n"/>
      <c r="E124" s="69" t="n"/>
      <c r="F124" s="69" t="n"/>
      <c r="G124" s="69" t="n"/>
      <c r="H124" s="69" t="n"/>
      <c r="I124" s="13" t="n"/>
      <c r="J124" s="13" t="n"/>
      <c r="K124" s="13" t="n"/>
      <c r="L124" s="17">
        <f>IF($A124="","",1)</f>
        <v/>
      </c>
    </row>
    <row r="125">
      <c r="A125" s="13" t="n"/>
      <c r="B125" s="68" t="n"/>
      <c r="C125" s="13" t="n"/>
      <c r="D125" s="15" t="n"/>
      <c r="E125" s="69" t="n"/>
      <c r="F125" s="69" t="n"/>
      <c r="G125" s="69" t="n"/>
      <c r="H125" s="69" t="n"/>
      <c r="I125" s="13" t="n"/>
      <c r="J125" s="13" t="n"/>
      <c r="K125" s="13" t="n"/>
      <c r="L125" s="17">
        <f>IF($A125="","",1)</f>
        <v/>
      </c>
    </row>
    <row r="126">
      <c r="A126" s="13" t="n"/>
      <c r="B126" s="68" t="n"/>
      <c r="C126" s="13" t="n"/>
      <c r="D126" s="15" t="n"/>
      <c r="E126" s="69" t="n"/>
      <c r="F126" s="69" t="n"/>
      <c r="G126" s="69" t="n"/>
      <c r="H126" s="69" t="n"/>
      <c r="I126" s="13" t="n"/>
      <c r="J126" s="13" t="n"/>
      <c r="K126" s="13" t="n"/>
      <c r="L126" s="17">
        <f>IF($A126="","",1)</f>
        <v/>
      </c>
    </row>
    <row r="127">
      <c r="A127" s="13" t="n"/>
      <c r="B127" s="68" t="n"/>
      <c r="C127" s="13" t="n"/>
      <c r="D127" s="15" t="n"/>
      <c r="E127" s="69" t="n"/>
      <c r="F127" s="69" t="n"/>
      <c r="G127" s="69" t="n"/>
      <c r="H127" s="69" t="n"/>
      <c r="I127" s="13" t="n"/>
      <c r="J127" s="13" t="n"/>
      <c r="K127" s="13" t="n"/>
      <c r="L127" s="17">
        <f>IF($A127="","",1)</f>
        <v/>
      </c>
    </row>
    <row r="128">
      <c r="A128" s="13" t="n"/>
      <c r="B128" s="68" t="n"/>
      <c r="C128" s="13" t="n"/>
      <c r="D128" s="15" t="n"/>
      <c r="E128" s="69" t="n"/>
      <c r="F128" s="69" t="n"/>
      <c r="G128" s="69" t="n"/>
      <c r="H128" s="69" t="n"/>
      <c r="I128" s="13" t="n"/>
      <c r="J128" s="13" t="n"/>
      <c r="K128" s="13" t="n"/>
      <c r="L128" s="17">
        <f>IF($A128="","",1)</f>
        <v/>
      </c>
    </row>
    <row r="129">
      <c r="A129" s="13" t="n"/>
      <c r="B129" s="68" t="n"/>
      <c r="C129" s="13" t="n"/>
      <c r="D129" s="15" t="n"/>
      <c r="E129" s="69" t="n"/>
      <c r="F129" s="69" t="n"/>
      <c r="G129" s="69" t="n"/>
      <c r="H129" s="69" t="n"/>
      <c r="I129" s="13" t="n"/>
      <c r="J129" s="13" t="n"/>
      <c r="K129" s="13" t="n"/>
      <c r="L129" s="17">
        <f>IF($A129="","",1)</f>
        <v/>
      </c>
    </row>
    <row r="130">
      <c r="A130" s="13" t="n"/>
      <c r="B130" s="68" t="n"/>
      <c r="C130" s="13" t="n"/>
      <c r="D130" s="15" t="n"/>
      <c r="E130" s="69" t="n"/>
      <c r="F130" s="69" t="n"/>
      <c r="G130" s="69" t="n"/>
      <c r="H130" s="69" t="n"/>
      <c r="I130" s="13" t="n"/>
      <c r="J130" s="13" t="n"/>
      <c r="K130" s="13" t="n"/>
      <c r="L130" s="17">
        <f>IF($A130="","",1)</f>
        <v/>
      </c>
    </row>
    <row r="131">
      <c r="A131" s="13" t="n"/>
      <c r="B131" s="68" t="n"/>
      <c r="C131" s="13" t="n"/>
      <c r="D131" s="15" t="n"/>
      <c r="E131" s="69" t="n"/>
      <c r="F131" s="69" t="n"/>
      <c r="G131" s="69" t="n"/>
      <c r="H131" s="69" t="n"/>
      <c r="I131" s="13" t="n"/>
      <c r="J131" s="13" t="n"/>
      <c r="K131" s="13" t="n"/>
      <c r="L131" s="17">
        <f>IF($A131="","",1)</f>
        <v/>
      </c>
    </row>
    <row r="132">
      <c r="A132" s="13" t="n"/>
      <c r="B132" s="68" t="n"/>
      <c r="C132" s="13" t="n"/>
      <c r="D132" s="15" t="n"/>
      <c r="E132" s="69" t="n"/>
      <c r="F132" s="69" t="n"/>
      <c r="G132" s="69" t="n"/>
      <c r="H132" s="69" t="n"/>
      <c r="I132" s="13" t="n"/>
      <c r="J132" s="13" t="n"/>
      <c r="K132" s="13" t="n"/>
      <c r="L132" s="17">
        <f>IF($A132="","",1)</f>
        <v/>
      </c>
    </row>
    <row r="133">
      <c r="A133" s="13" t="n"/>
      <c r="B133" s="68" t="n"/>
      <c r="C133" s="13" t="n"/>
      <c r="D133" s="15" t="n"/>
      <c r="E133" s="69" t="n"/>
      <c r="F133" s="69" t="n"/>
      <c r="G133" s="69" t="n"/>
      <c r="H133" s="69" t="n"/>
      <c r="I133" s="13" t="n"/>
      <c r="J133" s="13" t="n"/>
      <c r="K133" s="13" t="n"/>
      <c r="L133" s="17">
        <f>IF($A133="","",1)</f>
        <v/>
      </c>
    </row>
    <row r="134">
      <c r="A134" s="13" t="n"/>
      <c r="B134" s="68" t="n"/>
      <c r="C134" s="13" t="n"/>
      <c r="D134" s="15" t="n"/>
      <c r="E134" s="69" t="n"/>
      <c r="F134" s="69" t="n"/>
      <c r="G134" s="69" t="n"/>
      <c r="H134" s="69" t="n"/>
      <c r="I134" s="13" t="n"/>
      <c r="J134" s="13" t="n"/>
      <c r="K134" s="13" t="n"/>
      <c r="L134" s="17">
        <f>IF($A134="","",1)</f>
        <v/>
      </c>
    </row>
    <row r="135">
      <c r="A135" s="13" t="n"/>
      <c r="B135" s="68" t="n"/>
      <c r="C135" s="13" t="n"/>
      <c r="D135" s="15" t="n"/>
      <c r="E135" s="69" t="n"/>
      <c r="F135" s="69" t="n"/>
      <c r="G135" s="69" t="n"/>
      <c r="H135" s="69" t="n"/>
      <c r="I135" s="13" t="n"/>
      <c r="J135" s="13" t="n"/>
      <c r="K135" s="13" t="n"/>
      <c r="L135" s="17">
        <f>IF($A135="","",1)</f>
        <v/>
      </c>
    </row>
    <row r="136">
      <c r="A136" s="13" t="n"/>
      <c r="B136" s="68" t="n"/>
      <c r="C136" s="13" t="n"/>
      <c r="D136" s="15" t="n"/>
      <c r="E136" s="69" t="n"/>
      <c r="F136" s="69" t="n"/>
      <c r="G136" s="69" t="n"/>
      <c r="H136" s="69" t="n"/>
      <c r="I136" s="13" t="n"/>
      <c r="J136" s="13" t="n"/>
      <c r="K136" s="13" t="n"/>
      <c r="L136" s="17">
        <f>IF($A136="","",1)</f>
        <v/>
      </c>
    </row>
    <row r="137">
      <c r="A137" s="13" t="n"/>
      <c r="B137" s="68" t="n"/>
      <c r="C137" s="13" t="n"/>
      <c r="D137" s="15" t="n"/>
      <c r="E137" s="69" t="n"/>
      <c r="F137" s="69" t="n"/>
      <c r="G137" s="69" t="n"/>
      <c r="H137" s="69" t="n"/>
      <c r="I137" s="13" t="n"/>
      <c r="J137" s="13" t="n"/>
      <c r="K137" s="13" t="n"/>
      <c r="L137" s="17">
        <f>IF($A137="","",1)</f>
        <v/>
      </c>
    </row>
    <row r="138">
      <c r="A138" s="13" t="n"/>
      <c r="B138" s="68" t="n"/>
      <c r="C138" s="13" t="n"/>
      <c r="D138" s="15" t="n"/>
      <c r="E138" s="69" t="n"/>
      <c r="F138" s="69" t="n"/>
      <c r="G138" s="69" t="n"/>
      <c r="H138" s="69" t="n"/>
      <c r="I138" s="13" t="n"/>
      <c r="J138" s="13" t="n"/>
      <c r="K138" s="13" t="n"/>
      <c r="L138" s="17">
        <f>IF($A138="","",1)</f>
        <v/>
      </c>
    </row>
    <row r="139">
      <c r="A139" s="13" t="n"/>
      <c r="B139" s="68" t="n"/>
      <c r="C139" s="13" t="n"/>
      <c r="D139" s="15" t="n"/>
      <c r="E139" s="69" t="n"/>
      <c r="F139" s="69" t="n"/>
      <c r="G139" s="69" t="n"/>
      <c r="H139" s="69" t="n"/>
      <c r="I139" s="13" t="n"/>
      <c r="J139" s="13" t="n"/>
      <c r="K139" s="13" t="n"/>
      <c r="L139" s="17">
        <f>IF($A139="","",1)</f>
        <v/>
      </c>
    </row>
    <row r="140">
      <c r="A140" s="13" t="n"/>
      <c r="B140" s="68" t="n"/>
      <c r="C140" s="13" t="n"/>
      <c r="D140" s="15" t="n"/>
      <c r="E140" s="69" t="n"/>
      <c r="F140" s="69" t="n"/>
      <c r="G140" s="69" t="n"/>
      <c r="H140" s="69" t="n"/>
      <c r="I140" s="13" t="n"/>
      <c r="J140" s="13" t="n"/>
      <c r="K140" s="13" t="n"/>
      <c r="L140" s="17">
        <f>IF($A140="","",1)</f>
        <v/>
      </c>
    </row>
    <row r="141">
      <c r="A141" s="13" t="n"/>
      <c r="B141" s="68" t="n"/>
      <c r="C141" s="13" t="n"/>
      <c r="D141" s="15" t="n"/>
      <c r="E141" s="69" t="n"/>
      <c r="F141" s="69" t="n"/>
      <c r="G141" s="69" t="n"/>
      <c r="H141" s="69" t="n"/>
      <c r="I141" s="13" t="n"/>
      <c r="J141" s="13" t="n"/>
      <c r="K141" s="13" t="n"/>
      <c r="L141" s="17">
        <f>IF($A141="","",1)</f>
        <v/>
      </c>
    </row>
    <row r="142">
      <c r="A142" s="13" t="n"/>
      <c r="B142" s="68" t="n"/>
      <c r="C142" s="13" t="n"/>
      <c r="D142" s="15" t="n"/>
      <c r="E142" s="69" t="n"/>
      <c r="F142" s="69" t="n"/>
      <c r="G142" s="69" t="n"/>
      <c r="H142" s="69" t="n"/>
      <c r="I142" s="13" t="n"/>
      <c r="J142" s="13" t="n"/>
      <c r="K142" s="13" t="n"/>
      <c r="L142" s="17">
        <f>IF($A142="","",1)</f>
        <v/>
      </c>
    </row>
    <row r="143">
      <c r="A143" s="13" t="n"/>
      <c r="B143" s="68" t="n"/>
      <c r="C143" s="13" t="n"/>
      <c r="D143" s="15" t="n"/>
      <c r="E143" s="69" t="n"/>
      <c r="F143" s="69" t="n"/>
      <c r="G143" s="69" t="n"/>
      <c r="H143" s="69" t="n"/>
      <c r="I143" s="13" t="n"/>
      <c r="J143" s="13" t="n"/>
      <c r="K143" s="13" t="n"/>
      <c r="L143" s="17">
        <f>IF($A143="","",1)</f>
        <v/>
      </c>
    </row>
    <row r="144">
      <c r="A144" s="13" t="n"/>
      <c r="B144" s="68" t="n"/>
      <c r="C144" s="13" t="n"/>
      <c r="D144" s="15" t="n"/>
      <c r="E144" s="69" t="n"/>
      <c r="F144" s="69" t="n"/>
      <c r="G144" s="69" t="n"/>
      <c r="H144" s="69" t="n"/>
      <c r="I144" s="13" t="n"/>
      <c r="J144" s="13" t="n"/>
      <c r="K144" s="13" t="n"/>
      <c r="L144" s="17">
        <f>IF($A144="","",1)</f>
        <v/>
      </c>
    </row>
    <row r="145">
      <c r="A145" s="13" t="n"/>
      <c r="B145" s="68" t="n"/>
      <c r="C145" s="13" t="n"/>
      <c r="D145" s="15" t="n"/>
      <c r="E145" s="69" t="n"/>
      <c r="F145" s="69" t="n"/>
      <c r="G145" s="69" t="n"/>
      <c r="H145" s="69" t="n"/>
      <c r="I145" s="13" t="n"/>
      <c r="J145" s="13" t="n"/>
      <c r="K145" s="13" t="n"/>
      <c r="L145" s="17">
        <f>IF($A145="","",1)</f>
        <v/>
      </c>
    </row>
    <row r="146">
      <c r="A146" s="13" t="n"/>
      <c r="B146" s="68" t="n"/>
      <c r="C146" s="13" t="n"/>
      <c r="D146" s="15" t="n"/>
      <c r="E146" s="69" t="n"/>
      <c r="F146" s="69" t="n"/>
      <c r="G146" s="69" t="n"/>
      <c r="H146" s="69" t="n"/>
      <c r="I146" s="13" t="n"/>
      <c r="J146" s="13" t="n"/>
      <c r="K146" s="13" t="n"/>
      <c r="L146" s="17">
        <f>IF($A146="","",1)</f>
        <v/>
      </c>
    </row>
    <row r="147">
      <c r="A147" s="13" t="n"/>
      <c r="B147" s="68" t="n"/>
      <c r="C147" s="13" t="n"/>
      <c r="D147" s="15" t="n"/>
      <c r="E147" s="69" t="n"/>
      <c r="F147" s="69" t="n"/>
      <c r="G147" s="69" t="n"/>
      <c r="H147" s="69" t="n"/>
      <c r="I147" s="13" t="n"/>
      <c r="J147" s="13" t="n"/>
      <c r="K147" s="13" t="n"/>
      <c r="L147" s="17">
        <f>IF($A147="","",1)</f>
        <v/>
      </c>
    </row>
    <row r="148">
      <c r="A148" s="13" t="n"/>
      <c r="B148" s="68" t="n"/>
      <c r="C148" s="13" t="n"/>
      <c r="D148" s="15" t="n"/>
      <c r="E148" s="69" t="n"/>
      <c r="F148" s="69" t="n"/>
      <c r="G148" s="69" t="n"/>
      <c r="H148" s="69" t="n"/>
      <c r="I148" s="13" t="n"/>
      <c r="J148" s="13" t="n"/>
      <c r="K148" s="13" t="n"/>
      <c r="L148" s="17">
        <f>IF($A148="","",1)</f>
        <v/>
      </c>
    </row>
    <row r="149">
      <c r="A149" s="13" t="n"/>
      <c r="B149" s="68" t="n"/>
      <c r="C149" s="13" t="n"/>
      <c r="D149" s="15" t="n"/>
      <c r="E149" s="69" t="n"/>
      <c r="F149" s="69" t="n"/>
      <c r="G149" s="69" t="n"/>
      <c r="H149" s="69" t="n"/>
      <c r="I149" s="13" t="n"/>
      <c r="J149" s="13" t="n"/>
      <c r="K149" s="13" t="n"/>
      <c r="L149" s="17">
        <f>IF($A149="","",1)</f>
        <v/>
      </c>
    </row>
    <row r="150">
      <c r="A150" s="13" t="n"/>
      <c r="B150" s="68" t="n"/>
      <c r="C150" s="13" t="n"/>
      <c r="D150" s="15" t="n"/>
      <c r="E150" s="69" t="n"/>
      <c r="F150" s="69" t="n"/>
      <c r="G150" s="69" t="n"/>
      <c r="H150" s="69" t="n"/>
      <c r="I150" s="13" t="n"/>
      <c r="J150" s="13" t="n"/>
      <c r="K150" s="13" t="n"/>
      <c r="L150" s="17">
        <f>IF($A150="","",1)</f>
        <v/>
      </c>
    </row>
    <row r="151">
      <c r="A151" s="13" t="n"/>
      <c r="B151" s="68" t="n"/>
      <c r="C151" s="13" t="n"/>
      <c r="D151" s="15" t="n"/>
      <c r="E151" s="69" t="n"/>
      <c r="F151" s="69" t="n"/>
      <c r="G151" s="69" t="n"/>
      <c r="H151" s="69" t="n"/>
      <c r="I151" s="13" t="n"/>
      <c r="J151" s="13" t="n"/>
      <c r="K151" s="13" t="n"/>
      <c r="L151" s="17">
        <f>IF($A151="","",1)</f>
        <v/>
      </c>
    </row>
    <row r="152">
      <c r="A152" s="13" t="n"/>
      <c r="B152" s="68" t="n"/>
      <c r="C152" s="13" t="n"/>
      <c r="D152" s="15" t="n"/>
      <c r="E152" s="69" t="n"/>
      <c r="F152" s="69" t="n"/>
      <c r="G152" s="69" t="n"/>
      <c r="H152" s="69" t="n"/>
      <c r="I152" s="13" t="n"/>
      <c r="J152" s="13" t="n"/>
      <c r="K152" s="13" t="n"/>
      <c r="L152" s="17">
        <f>IF($A152="","",1)</f>
        <v/>
      </c>
    </row>
    <row r="153">
      <c r="A153" s="13" t="n"/>
      <c r="B153" s="68" t="n"/>
      <c r="C153" s="13" t="n"/>
      <c r="D153" s="15" t="n"/>
      <c r="E153" s="69" t="n"/>
      <c r="F153" s="69" t="n"/>
      <c r="G153" s="69" t="n"/>
      <c r="H153" s="69" t="n"/>
      <c r="I153" s="13" t="n"/>
      <c r="J153" s="13" t="n"/>
      <c r="K153" s="13" t="n"/>
      <c r="L153" s="17">
        <f>IF($A153="","",1)</f>
        <v/>
      </c>
    </row>
    <row r="154">
      <c r="A154" s="13" t="n"/>
      <c r="B154" s="68" t="n"/>
      <c r="C154" s="13" t="n"/>
      <c r="D154" s="15" t="n"/>
      <c r="E154" s="69" t="n"/>
      <c r="F154" s="69" t="n"/>
      <c r="G154" s="69" t="n"/>
      <c r="H154" s="69" t="n"/>
      <c r="I154" s="13" t="n"/>
      <c r="J154" s="13" t="n"/>
      <c r="K154" s="13" t="n"/>
      <c r="L154" s="17">
        <f>IF($A154="","",1)</f>
        <v/>
      </c>
    </row>
    <row r="155">
      <c r="A155" s="13" t="n"/>
      <c r="B155" s="68" t="n"/>
      <c r="C155" s="13" t="n"/>
      <c r="D155" s="15" t="n"/>
      <c r="E155" s="69" t="n"/>
      <c r="F155" s="69" t="n"/>
      <c r="G155" s="69" t="n"/>
      <c r="H155" s="69" t="n"/>
      <c r="I155" s="13" t="n"/>
      <c r="J155" s="13" t="n"/>
      <c r="K155" s="13" t="n"/>
      <c r="L155" s="17">
        <f>IF($A155="","",1)</f>
        <v/>
      </c>
    </row>
    <row r="156">
      <c r="A156" s="13" t="n"/>
      <c r="B156" s="68" t="n"/>
      <c r="C156" s="13" t="n"/>
      <c r="D156" s="15" t="n"/>
      <c r="E156" s="69" t="n"/>
      <c r="F156" s="69" t="n"/>
      <c r="G156" s="69" t="n"/>
      <c r="H156" s="69" t="n"/>
      <c r="I156" s="13" t="n"/>
      <c r="J156" s="13" t="n"/>
      <c r="K156" s="13" t="n"/>
      <c r="L156" s="17">
        <f>IF($A156="","",1)</f>
        <v/>
      </c>
    </row>
    <row r="157">
      <c r="A157" s="13" t="n"/>
      <c r="B157" s="68" t="n"/>
      <c r="C157" s="13" t="n"/>
      <c r="D157" s="15" t="n"/>
      <c r="E157" s="69" t="n"/>
      <c r="F157" s="69" t="n"/>
      <c r="G157" s="69" t="n"/>
      <c r="H157" s="69" t="n"/>
      <c r="I157" s="13" t="n"/>
      <c r="J157" s="13" t="n"/>
      <c r="K157" s="13" t="n"/>
      <c r="L157" s="17">
        <f>IF($A157="","",1)</f>
        <v/>
      </c>
    </row>
    <row r="158">
      <c r="A158" s="13" t="n"/>
      <c r="B158" s="68" t="n"/>
      <c r="C158" s="13" t="n"/>
      <c r="D158" s="15" t="n"/>
      <c r="E158" s="69" t="n"/>
      <c r="F158" s="69" t="n"/>
      <c r="G158" s="69" t="n"/>
      <c r="H158" s="69" t="n"/>
      <c r="I158" s="13" t="n"/>
      <c r="J158" s="13" t="n"/>
      <c r="K158" s="13" t="n"/>
      <c r="L158" s="17">
        <f>IF($A158="","",1)</f>
        <v/>
      </c>
    </row>
    <row r="159">
      <c r="A159" s="13" t="n"/>
      <c r="B159" s="68" t="n"/>
      <c r="C159" s="13" t="n"/>
      <c r="D159" s="15" t="n"/>
      <c r="E159" s="69" t="n"/>
      <c r="F159" s="69" t="n"/>
      <c r="G159" s="69" t="n"/>
      <c r="H159" s="69" t="n"/>
      <c r="I159" s="13" t="n"/>
      <c r="J159" s="13" t="n"/>
      <c r="K159" s="13" t="n"/>
      <c r="L159" s="17">
        <f>IF($A159="","",1)</f>
        <v/>
      </c>
    </row>
    <row r="160">
      <c r="A160" s="13" t="n"/>
      <c r="B160" s="68" t="n"/>
      <c r="C160" s="13" t="n"/>
      <c r="D160" s="15" t="n"/>
      <c r="E160" s="69" t="n"/>
      <c r="F160" s="69" t="n"/>
      <c r="G160" s="69" t="n"/>
      <c r="H160" s="69" t="n"/>
      <c r="I160" s="13" t="n"/>
      <c r="J160" s="13" t="n"/>
      <c r="K160" s="13" t="n"/>
      <c r="L160" s="17">
        <f>IF($A160="","",1)</f>
        <v/>
      </c>
    </row>
    <row r="161">
      <c r="A161" s="13" t="n"/>
      <c r="B161" s="68" t="n"/>
      <c r="C161" s="13" t="n"/>
      <c r="D161" s="15" t="n"/>
      <c r="E161" s="69" t="n"/>
      <c r="F161" s="69" t="n"/>
      <c r="G161" s="69" t="n"/>
      <c r="H161" s="69" t="n"/>
      <c r="I161" s="13" t="n"/>
      <c r="J161" s="13" t="n"/>
      <c r="K161" s="13" t="n"/>
      <c r="L161" s="17">
        <f>IF($A161="","",1)</f>
        <v/>
      </c>
    </row>
    <row r="162">
      <c r="A162" s="13" t="n"/>
      <c r="B162" s="68" t="n"/>
      <c r="C162" s="13" t="n"/>
      <c r="D162" s="15" t="n"/>
      <c r="E162" s="69" t="n"/>
      <c r="F162" s="69" t="n"/>
      <c r="G162" s="69" t="n"/>
      <c r="H162" s="69" t="n"/>
      <c r="I162" s="13" t="n"/>
      <c r="J162" s="13" t="n"/>
      <c r="K162" s="13" t="n"/>
      <c r="L162" s="17">
        <f>IF($A162="","",1)</f>
        <v/>
      </c>
    </row>
    <row r="163">
      <c r="A163" s="13" t="n"/>
      <c r="B163" s="68" t="n"/>
      <c r="C163" s="13" t="n"/>
      <c r="D163" s="15" t="n"/>
      <c r="E163" s="69" t="n"/>
      <c r="F163" s="69" t="n"/>
      <c r="G163" s="69" t="n"/>
      <c r="H163" s="69" t="n"/>
      <c r="I163" s="13" t="n"/>
      <c r="J163" s="13" t="n"/>
      <c r="K163" s="13" t="n"/>
      <c r="L163" s="17">
        <f>IF($A163="","",1)</f>
        <v/>
      </c>
    </row>
    <row r="164">
      <c r="A164" s="13" t="n"/>
      <c r="B164" s="68" t="n"/>
      <c r="C164" s="13" t="n"/>
      <c r="D164" s="15" t="n"/>
      <c r="E164" s="69" t="n"/>
      <c r="F164" s="69" t="n"/>
      <c r="G164" s="69" t="n"/>
      <c r="H164" s="69" t="n"/>
      <c r="I164" s="13" t="n"/>
      <c r="J164" s="13" t="n"/>
      <c r="K164" s="13" t="n"/>
      <c r="L164" s="17">
        <f>IF($A164="","",1)</f>
        <v/>
      </c>
    </row>
    <row r="165">
      <c r="A165" s="13" t="n"/>
      <c r="B165" s="68" t="n"/>
      <c r="C165" s="13" t="n"/>
      <c r="D165" s="15" t="n"/>
      <c r="E165" s="69" t="n"/>
      <c r="F165" s="69" t="n"/>
      <c r="G165" s="69" t="n"/>
      <c r="H165" s="69" t="n"/>
      <c r="I165" s="13" t="n"/>
      <c r="J165" s="13" t="n"/>
      <c r="K165" s="13" t="n"/>
      <c r="L165" s="17">
        <f>IF($A165="","",1)</f>
        <v/>
      </c>
    </row>
    <row r="166">
      <c r="A166" s="13" t="n"/>
      <c r="B166" s="68" t="n"/>
      <c r="C166" s="13" t="n"/>
      <c r="D166" s="15" t="n"/>
      <c r="E166" s="69" t="n"/>
      <c r="F166" s="69" t="n"/>
      <c r="G166" s="69" t="n"/>
      <c r="H166" s="69" t="n"/>
      <c r="I166" s="13" t="n"/>
      <c r="J166" s="13" t="n"/>
      <c r="K166" s="13" t="n"/>
      <c r="L166" s="17">
        <f>IF($A166="","",1)</f>
        <v/>
      </c>
    </row>
    <row r="167">
      <c r="A167" s="13" t="n"/>
      <c r="B167" s="68" t="n"/>
      <c r="C167" s="13" t="n"/>
      <c r="D167" s="15" t="n"/>
      <c r="E167" s="69" t="n"/>
      <c r="F167" s="69" t="n"/>
      <c r="G167" s="69" t="n"/>
      <c r="H167" s="69" t="n"/>
      <c r="I167" s="13" t="n"/>
      <c r="J167" s="13" t="n"/>
      <c r="K167" s="13" t="n"/>
      <c r="L167" s="17">
        <f>IF($A167="","",1)</f>
        <v/>
      </c>
    </row>
    <row r="168">
      <c r="A168" s="13" t="n"/>
      <c r="B168" s="68" t="n"/>
      <c r="C168" s="13" t="n"/>
      <c r="D168" s="15" t="n"/>
      <c r="E168" s="69" t="n"/>
      <c r="F168" s="69" t="n"/>
      <c r="G168" s="69" t="n"/>
      <c r="H168" s="69" t="n"/>
      <c r="I168" s="13" t="n"/>
      <c r="J168" s="13" t="n"/>
      <c r="K168" s="13" t="n"/>
      <c r="L168" s="17">
        <f>IF($A168="","",1)</f>
        <v/>
      </c>
    </row>
    <row r="169">
      <c r="A169" s="13" t="n"/>
      <c r="B169" s="68" t="n"/>
      <c r="C169" s="13" t="n"/>
      <c r="D169" s="15" t="n"/>
      <c r="E169" s="69" t="n"/>
      <c r="F169" s="69" t="n"/>
      <c r="G169" s="69" t="n"/>
      <c r="H169" s="69" t="n"/>
      <c r="I169" s="13" t="n"/>
      <c r="J169" s="13" t="n"/>
      <c r="K169" s="13" t="n"/>
      <c r="L169" s="17">
        <f>IF($A169="","",1)</f>
        <v/>
      </c>
    </row>
    <row r="170">
      <c r="A170" s="13" t="n"/>
      <c r="B170" s="68" t="n"/>
      <c r="C170" s="13" t="n"/>
      <c r="D170" s="15" t="n"/>
      <c r="E170" s="69" t="n"/>
      <c r="F170" s="69" t="n"/>
      <c r="G170" s="69" t="n"/>
      <c r="H170" s="69" t="n"/>
      <c r="I170" s="13" t="n"/>
      <c r="J170" s="13" t="n"/>
      <c r="K170" s="13" t="n"/>
      <c r="L170" s="17">
        <f>IF($A170="","",1)</f>
        <v/>
      </c>
    </row>
    <row r="171">
      <c r="A171" s="13" t="n"/>
      <c r="B171" s="68" t="n"/>
      <c r="C171" s="13" t="n"/>
      <c r="D171" s="15" t="n"/>
      <c r="E171" s="69" t="n"/>
      <c r="F171" s="69" t="n"/>
      <c r="G171" s="69" t="n"/>
      <c r="H171" s="69" t="n"/>
      <c r="I171" s="13" t="n"/>
      <c r="J171" s="13" t="n"/>
      <c r="K171" s="13" t="n"/>
      <c r="L171" s="17">
        <f>IF($A171="","",1)</f>
        <v/>
      </c>
    </row>
    <row r="172">
      <c r="A172" s="13" t="n"/>
      <c r="B172" s="68" t="n"/>
      <c r="C172" s="13" t="n"/>
      <c r="D172" s="15" t="n"/>
      <c r="E172" s="69" t="n"/>
      <c r="F172" s="69" t="n"/>
      <c r="G172" s="69" t="n"/>
      <c r="H172" s="69" t="n"/>
      <c r="I172" s="13" t="n"/>
      <c r="J172" s="13" t="n"/>
      <c r="K172" s="13" t="n"/>
      <c r="L172" s="17">
        <f>IF($A172="","",1)</f>
        <v/>
      </c>
    </row>
    <row r="173">
      <c r="A173" s="13" t="n"/>
      <c r="B173" s="68" t="n"/>
      <c r="C173" s="13" t="n"/>
      <c r="D173" s="15" t="n"/>
      <c r="E173" s="69" t="n"/>
      <c r="F173" s="69" t="n"/>
      <c r="G173" s="69" t="n"/>
      <c r="H173" s="69" t="n"/>
      <c r="I173" s="13" t="n"/>
      <c r="J173" s="13" t="n"/>
      <c r="K173" s="13" t="n"/>
      <c r="L173" s="17">
        <f>IF($A173="","",1)</f>
        <v/>
      </c>
    </row>
    <row r="174">
      <c r="A174" s="13" t="n"/>
      <c r="B174" s="68" t="n"/>
      <c r="C174" s="13" t="n"/>
      <c r="D174" s="15" t="n"/>
      <c r="E174" s="69" t="n"/>
      <c r="F174" s="69" t="n"/>
      <c r="G174" s="69" t="n"/>
      <c r="H174" s="69" t="n"/>
      <c r="I174" s="13" t="n"/>
      <c r="J174" s="13" t="n"/>
      <c r="K174" s="13" t="n"/>
      <c r="L174" s="17">
        <f>IF($A174="","",1)</f>
        <v/>
      </c>
    </row>
    <row r="175">
      <c r="A175" s="13" t="n"/>
      <c r="B175" s="68" t="n"/>
      <c r="C175" s="13" t="n"/>
      <c r="D175" s="15" t="n"/>
      <c r="E175" s="69" t="n"/>
      <c r="F175" s="69" t="n"/>
      <c r="G175" s="69" t="n"/>
      <c r="H175" s="69" t="n"/>
      <c r="I175" s="13" t="n"/>
      <c r="J175" s="13" t="n"/>
      <c r="K175" s="13" t="n"/>
      <c r="L175" s="17">
        <f>IF($A175="","",1)</f>
        <v/>
      </c>
    </row>
    <row r="176">
      <c r="A176" s="13" t="n"/>
      <c r="B176" s="68" t="n"/>
      <c r="C176" s="13" t="n"/>
      <c r="D176" s="15" t="n"/>
      <c r="E176" s="69" t="n"/>
      <c r="F176" s="69" t="n"/>
      <c r="G176" s="69" t="n"/>
      <c r="H176" s="69" t="n"/>
      <c r="I176" s="13" t="n"/>
      <c r="J176" s="13" t="n"/>
      <c r="K176" s="13" t="n"/>
      <c r="L176" s="17">
        <f>IF($A176="","",1)</f>
        <v/>
      </c>
    </row>
    <row r="177">
      <c r="A177" s="13" t="n"/>
      <c r="B177" s="68" t="n"/>
      <c r="C177" s="13" t="n"/>
      <c r="D177" s="15" t="n"/>
      <c r="E177" s="69" t="n"/>
      <c r="F177" s="69" t="n"/>
      <c r="G177" s="69" t="n"/>
      <c r="H177" s="69" t="n"/>
      <c r="I177" s="13" t="n"/>
      <c r="J177" s="13" t="n"/>
      <c r="K177" s="13" t="n"/>
      <c r="L177" s="17">
        <f>IF($A177="","",1)</f>
        <v/>
      </c>
    </row>
    <row r="178">
      <c r="A178" s="13" t="n"/>
      <c r="B178" s="68" t="n"/>
      <c r="C178" s="13" t="n"/>
      <c r="D178" s="15" t="n"/>
      <c r="E178" s="69" t="n"/>
      <c r="F178" s="69" t="n"/>
      <c r="G178" s="69" t="n"/>
      <c r="H178" s="69" t="n"/>
      <c r="I178" s="13" t="n"/>
      <c r="J178" s="13" t="n"/>
      <c r="K178" s="13" t="n"/>
      <c r="L178" s="17">
        <f>IF($A178="","",1)</f>
        <v/>
      </c>
    </row>
    <row r="179">
      <c r="A179" s="13" t="n"/>
      <c r="B179" s="68" t="n"/>
      <c r="C179" s="13" t="n"/>
      <c r="D179" s="15" t="n"/>
      <c r="E179" s="69" t="n"/>
      <c r="F179" s="69" t="n"/>
      <c r="G179" s="69" t="n"/>
      <c r="H179" s="69" t="n"/>
      <c r="I179" s="13" t="n"/>
      <c r="J179" s="13" t="n"/>
      <c r="K179" s="13" t="n"/>
      <c r="L179" s="17">
        <f>IF($A179="","",1)</f>
        <v/>
      </c>
    </row>
    <row r="180">
      <c r="A180" s="13" t="n"/>
      <c r="B180" s="68" t="n"/>
      <c r="C180" s="13" t="n"/>
      <c r="D180" s="15" t="n"/>
      <c r="E180" s="69" t="n"/>
      <c r="F180" s="69" t="n"/>
      <c r="G180" s="69" t="n"/>
      <c r="H180" s="69" t="n"/>
      <c r="I180" s="13" t="n"/>
      <c r="J180" s="13" t="n"/>
      <c r="K180" s="13" t="n"/>
      <c r="L180" s="17">
        <f>IF($A180="","",1)</f>
        <v/>
      </c>
    </row>
    <row r="181">
      <c r="A181" s="13" t="n"/>
      <c r="B181" s="68" t="n"/>
      <c r="C181" s="13" t="n"/>
      <c r="D181" s="15" t="n"/>
      <c r="E181" s="69" t="n"/>
      <c r="F181" s="69" t="n"/>
      <c r="G181" s="69" t="n"/>
      <c r="H181" s="69" t="n"/>
      <c r="I181" s="13" t="n"/>
      <c r="J181" s="13" t="n"/>
      <c r="K181" s="13" t="n"/>
      <c r="L181" s="17">
        <f>IF($A181="","",1)</f>
        <v/>
      </c>
    </row>
    <row r="182">
      <c r="A182" s="13" t="n"/>
      <c r="B182" s="68" t="n"/>
      <c r="C182" s="13" t="n"/>
      <c r="D182" s="15" t="n"/>
      <c r="E182" s="69" t="n"/>
      <c r="F182" s="69" t="n"/>
      <c r="G182" s="69" t="n"/>
      <c r="H182" s="69" t="n"/>
      <c r="I182" s="13" t="n"/>
      <c r="J182" s="13" t="n"/>
      <c r="K182" s="13" t="n"/>
      <c r="L182" s="17">
        <f>IF($A182="","",1)</f>
        <v/>
      </c>
    </row>
    <row r="183">
      <c r="A183" s="13" t="n"/>
      <c r="B183" s="68" t="n"/>
      <c r="C183" s="13" t="n"/>
      <c r="D183" s="15" t="n"/>
      <c r="E183" s="69" t="n"/>
      <c r="F183" s="69" t="n"/>
      <c r="G183" s="69" t="n"/>
      <c r="H183" s="69" t="n"/>
      <c r="I183" s="13" t="n"/>
      <c r="J183" s="13" t="n"/>
      <c r="K183" s="13" t="n"/>
      <c r="L183" s="17">
        <f>IF($A183="","",1)</f>
        <v/>
      </c>
    </row>
    <row r="184">
      <c r="A184" s="13" t="n"/>
      <c r="B184" s="68" t="n"/>
      <c r="C184" s="13" t="n"/>
      <c r="D184" s="15" t="n"/>
      <c r="E184" s="69" t="n"/>
      <c r="F184" s="69" t="n"/>
      <c r="G184" s="69" t="n"/>
      <c r="H184" s="69" t="n"/>
      <c r="I184" s="13" t="n"/>
      <c r="J184" s="13" t="n"/>
      <c r="K184" s="13" t="n"/>
      <c r="L184" s="17">
        <f>IF($A184="","",1)</f>
        <v/>
      </c>
    </row>
    <row r="185">
      <c r="A185" s="13" t="n"/>
      <c r="B185" s="68" t="n"/>
      <c r="C185" s="13" t="n"/>
      <c r="D185" s="15" t="n"/>
      <c r="E185" s="69" t="n"/>
      <c r="F185" s="69" t="n"/>
      <c r="G185" s="69" t="n"/>
      <c r="H185" s="69" t="n"/>
      <c r="I185" s="13" t="n"/>
      <c r="J185" s="13" t="n"/>
      <c r="K185" s="13" t="n"/>
      <c r="L185" s="17">
        <f>IF($A185="","",1)</f>
        <v/>
      </c>
    </row>
    <row r="186">
      <c r="A186" s="13" t="n"/>
      <c r="B186" s="68" t="n"/>
      <c r="C186" s="13" t="n"/>
      <c r="D186" s="15" t="n"/>
      <c r="E186" s="69" t="n"/>
      <c r="F186" s="69" t="n"/>
      <c r="G186" s="69" t="n"/>
      <c r="H186" s="69" t="n"/>
      <c r="I186" s="13" t="n"/>
      <c r="J186" s="13" t="n"/>
      <c r="K186" s="13" t="n"/>
      <c r="L186" s="17">
        <f>IF($A186="","",1)</f>
        <v/>
      </c>
    </row>
    <row r="187">
      <c r="A187" s="13" t="n"/>
      <c r="B187" s="68" t="n"/>
      <c r="C187" s="13" t="n"/>
      <c r="D187" s="15" t="n"/>
      <c r="E187" s="69" t="n"/>
      <c r="F187" s="69" t="n"/>
      <c r="G187" s="69" t="n"/>
      <c r="H187" s="69" t="n"/>
      <c r="I187" s="13" t="n"/>
      <c r="J187" s="13" t="n"/>
      <c r="K187" s="13" t="n"/>
      <c r="L187" s="17">
        <f>IF($A187="","",1)</f>
        <v/>
      </c>
    </row>
    <row r="188">
      <c r="A188" s="13" t="n"/>
      <c r="B188" s="68" t="n"/>
      <c r="C188" s="13" t="n"/>
      <c r="D188" s="15" t="n"/>
      <c r="E188" s="69" t="n"/>
      <c r="F188" s="69" t="n"/>
      <c r="G188" s="69" t="n"/>
      <c r="H188" s="69" t="n"/>
      <c r="I188" s="13" t="n"/>
      <c r="J188" s="13" t="n"/>
      <c r="K188" s="13" t="n"/>
      <c r="L188" s="17">
        <f>IF($A188="","",1)</f>
        <v/>
      </c>
    </row>
    <row r="189">
      <c r="A189" s="13" t="n"/>
      <c r="B189" s="68" t="n"/>
      <c r="C189" s="13" t="n"/>
      <c r="D189" s="15" t="n"/>
      <c r="E189" s="69" t="n"/>
      <c r="F189" s="69" t="n"/>
      <c r="G189" s="69" t="n"/>
      <c r="H189" s="69" t="n"/>
      <c r="I189" s="13" t="n"/>
      <c r="J189" s="13" t="n"/>
      <c r="K189" s="13" t="n"/>
      <c r="L189" s="17">
        <f>IF($A189="","",1)</f>
        <v/>
      </c>
    </row>
    <row r="190">
      <c r="A190" s="13" t="n"/>
      <c r="B190" s="68" t="n"/>
      <c r="C190" s="13" t="n"/>
      <c r="D190" s="15" t="n"/>
      <c r="E190" s="69" t="n"/>
      <c r="F190" s="69" t="n"/>
      <c r="G190" s="69" t="n"/>
      <c r="H190" s="69" t="n"/>
      <c r="I190" s="13" t="n"/>
      <c r="J190" s="13" t="n"/>
      <c r="K190" s="13" t="n"/>
      <c r="L190" s="17">
        <f>IF($A190="","",1)</f>
        <v/>
      </c>
    </row>
    <row r="191">
      <c r="A191" s="13" t="n"/>
      <c r="B191" s="68" t="n"/>
      <c r="C191" s="13" t="n"/>
      <c r="D191" s="15" t="n"/>
      <c r="E191" s="69" t="n"/>
      <c r="F191" s="69" t="n"/>
      <c r="G191" s="69" t="n"/>
      <c r="H191" s="69" t="n"/>
      <c r="I191" s="13" t="n"/>
      <c r="J191" s="13" t="n"/>
      <c r="K191" s="13" t="n"/>
      <c r="L191" s="17">
        <f>IF($A191="","",1)</f>
        <v/>
      </c>
    </row>
    <row r="192">
      <c r="A192" s="13" t="n"/>
      <c r="B192" s="68" t="n"/>
      <c r="C192" s="13" t="n"/>
      <c r="D192" s="15" t="n"/>
      <c r="E192" s="69" t="n"/>
      <c r="F192" s="69" t="n"/>
      <c r="G192" s="69" t="n"/>
      <c r="H192" s="69" t="n"/>
      <c r="I192" s="13" t="n"/>
      <c r="J192" s="13" t="n"/>
      <c r="K192" s="13" t="n"/>
      <c r="L192" s="17">
        <f>IF($A192="","",1)</f>
        <v/>
      </c>
    </row>
    <row r="193">
      <c r="A193" s="13" t="n"/>
      <c r="B193" s="68" t="n"/>
      <c r="C193" s="13" t="n"/>
      <c r="D193" s="15" t="n"/>
      <c r="E193" s="69" t="n"/>
      <c r="F193" s="69" t="n"/>
      <c r="G193" s="69" t="n"/>
      <c r="H193" s="69" t="n"/>
      <c r="I193" s="13" t="n"/>
      <c r="J193" s="13" t="n"/>
      <c r="K193" s="13" t="n"/>
      <c r="L193" s="17">
        <f>IF($A193="","",1)</f>
        <v/>
      </c>
    </row>
    <row r="194">
      <c r="A194" s="13" t="n"/>
      <c r="B194" s="68" t="n"/>
      <c r="C194" s="13" t="n"/>
      <c r="D194" s="15" t="n"/>
      <c r="E194" s="69" t="n"/>
      <c r="F194" s="69" t="n"/>
      <c r="G194" s="69" t="n"/>
      <c r="H194" s="69" t="n"/>
      <c r="I194" s="13" t="n"/>
      <c r="J194" s="13" t="n"/>
      <c r="K194" s="13" t="n"/>
      <c r="L194" s="17">
        <f>IF($A194="","",1)</f>
        <v/>
      </c>
    </row>
    <row r="195">
      <c r="A195" s="13" t="n"/>
      <c r="B195" s="68" t="n"/>
      <c r="C195" s="13" t="n"/>
      <c r="D195" s="15" t="n"/>
      <c r="E195" s="69" t="n"/>
      <c r="F195" s="69" t="n"/>
      <c r="G195" s="69" t="n"/>
      <c r="H195" s="69" t="n"/>
      <c r="I195" s="13" t="n"/>
      <c r="J195" s="13" t="n"/>
      <c r="K195" s="13" t="n"/>
      <c r="L195" s="17">
        <f>IF($A195="","",1)</f>
        <v/>
      </c>
    </row>
    <row r="196">
      <c r="A196" s="13" t="n"/>
      <c r="B196" s="68" t="n"/>
      <c r="C196" s="13" t="n"/>
      <c r="D196" s="15" t="n"/>
      <c r="E196" s="69" t="n"/>
      <c r="F196" s="69" t="n"/>
      <c r="G196" s="69" t="n"/>
      <c r="H196" s="69" t="n"/>
      <c r="I196" s="13" t="n"/>
      <c r="J196" s="13" t="n"/>
      <c r="K196" s="13" t="n"/>
      <c r="L196" s="17">
        <f>IF($A196="","",1)</f>
        <v/>
      </c>
    </row>
    <row r="197">
      <c r="A197" s="13" t="n"/>
      <c r="B197" s="68" t="n"/>
      <c r="C197" s="13" t="n"/>
      <c r="D197" s="15" t="n"/>
      <c r="E197" s="69" t="n"/>
      <c r="F197" s="69" t="n"/>
      <c r="G197" s="69" t="n"/>
      <c r="H197" s="69" t="n"/>
      <c r="I197" s="13" t="n"/>
      <c r="J197" s="13" t="n"/>
      <c r="K197" s="13" t="n"/>
      <c r="L197" s="17">
        <f>IF($A197="","",1)</f>
        <v/>
      </c>
    </row>
    <row r="198">
      <c r="A198" s="13" t="n"/>
      <c r="B198" s="68" t="n"/>
      <c r="C198" s="13" t="n"/>
      <c r="D198" s="15" t="n"/>
      <c r="E198" s="69" t="n"/>
      <c r="F198" s="69" t="n"/>
      <c r="G198" s="69" t="n"/>
      <c r="H198" s="69" t="n"/>
      <c r="I198" s="13" t="n"/>
      <c r="J198" s="13" t="n"/>
      <c r="K198" s="13" t="n"/>
      <c r="L198" s="17">
        <f>IF($A198="","",1)</f>
        <v/>
      </c>
    </row>
    <row r="199">
      <c r="A199" s="13" t="n"/>
      <c r="B199" s="68" t="n"/>
      <c r="C199" s="13" t="n"/>
      <c r="D199" s="15" t="n"/>
      <c r="E199" s="69" t="n"/>
      <c r="F199" s="69" t="n"/>
      <c r="G199" s="69" t="n"/>
      <c r="H199" s="69" t="n"/>
      <c r="I199" s="13" t="n"/>
      <c r="J199" s="13" t="n"/>
      <c r="K199" s="13" t="n"/>
      <c r="L199" s="17">
        <f>IF($A199="","",1)</f>
        <v/>
      </c>
    </row>
    <row r="200">
      <c r="A200" s="13" t="n"/>
      <c r="B200" s="68" t="n"/>
      <c r="C200" s="13" t="n"/>
      <c r="D200" s="15" t="n"/>
      <c r="E200" s="69" t="n"/>
      <c r="F200" s="69" t="n"/>
      <c r="G200" s="69" t="n"/>
      <c r="H200" s="69" t="n"/>
      <c r="I200" s="13" t="n"/>
      <c r="J200" s="13" t="n"/>
      <c r="K200" s="13" t="n"/>
      <c r="L200" s="17">
        <f>IF($A200="","",1)</f>
        <v/>
      </c>
    </row>
    <row r="201">
      <c r="A201" s="13" t="n"/>
      <c r="B201" s="68" t="n"/>
      <c r="C201" s="13" t="n"/>
      <c r="D201" s="15" t="n"/>
      <c r="E201" s="69" t="n"/>
      <c r="F201" s="69" t="n"/>
      <c r="G201" s="69" t="n"/>
      <c r="H201" s="69" t="n"/>
      <c r="I201" s="13" t="n"/>
      <c r="J201" s="13" t="n"/>
      <c r="K201" s="13" t="n"/>
      <c r="L201" s="17">
        <f>IF($A201="","",1)</f>
        <v/>
      </c>
    </row>
    <row r="202">
      <c r="A202" s="13" t="n"/>
      <c r="B202" s="68" t="n"/>
      <c r="C202" s="13" t="n"/>
      <c r="D202" s="15" t="n"/>
      <c r="E202" s="69" t="n"/>
      <c r="F202" s="69" t="n"/>
      <c r="G202" s="69" t="n"/>
      <c r="H202" s="69" t="n"/>
      <c r="I202" s="13" t="n"/>
      <c r="J202" s="13" t="n"/>
      <c r="K202" s="13" t="n"/>
      <c r="L202" s="17">
        <f>IF($A202="","",1)</f>
        <v/>
      </c>
    </row>
    <row r="203">
      <c r="A203" s="13" t="n"/>
      <c r="B203" s="68" t="n"/>
      <c r="C203" s="13" t="n"/>
      <c r="D203" s="15" t="n"/>
      <c r="E203" s="69" t="n"/>
      <c r="F203" s="69" t="n"/>
      <c r="G203" s="69" t="n"/>
      <c r="H203" s="69" t="n"/>
      <c r="I203" s="13" t="n"/>
      <c r="J203" s="13" t="n"/>
      <c r="K203" s="13" t="n"/>
      <c r="L203" s="17">
        <f>IF($A203="","",1)</f>
        <v/>
      </c>
    </row>
    <row r="204">
      <c r="A204" s="13" t="n"/>
      <c r="B204" s="68" t="n"/>
      <c r="C204" s="13" t="n"/>
      <c r="D204" s="15" t="n"/>
      <c r="E204" s="69" t="n"/>
      <c r="F204" s="69" t="n"/>
      <c r="G204" s="69" t="n"/>
      <c r="H204" s="69" t="n"/>
      <c r="I204" s="13" t="n"/>
      <c r="J204" s="13" t="n"/>
      <c r="K204" s="13" t="n"/>
      <c r="L204" s="17">
        <f>IF($A204="","",1)</f>
        <v/>
      </c>
    </row>
    <row r="205">
      <c r="A205" s="13" t="n"/>
      <c r="B205" s="68" t="n"/>
      <c r="C205" s="13" t="n"/>
      <c r="D205" s="15" t="n"/>
      <c r="E205" s="69" t="n"/>
      <c r="F205" s="69" t="n"/>
      <c r="G205" s="69" t="n"/>
      <c r="H205" s="69" t="n"/>
      <c r="I205" s="13" t="n"/>
      <c r="J205" s="13" t="n"/>
      <c r="K205" s="13" t="n"/>
      <c r="L205" s="17">
        <f>IF($A205="","",1)</f>
        <v/>
      </c>
    </row>
    <row r="206">
      <c r="A206" s="13" t="n"/>
      <c r="B206" s="68" t="n"/>
      <c r="C206" s="13" t="n"/>
      <c r="D206" s="15" t="n"/>
      <c r="E206" s="69" t="n"/>
      <c r="F206" s="69" t="n"/>
      <c r="G206" s="69" t="n"/>
      <c r="H206" s="69" t="n"/>
      <c r="I206" s="13" t="n"/>
      <c r="J206" s="13" t="n"/>
      <c r="K206" s="13" t="n"/>
      <c r="L206" s="17">
        <f>IF($A206="","",1)</f>
        <v/>
      </c>
    </row>
    <row r="207">
      <c r="A207" s="13" t="n"/>
      <c r="B207" s="68" t="n"/>
      <c r="C207" s="13" t="n"/>
      <c r="D207" s="15" t="n"/>
      <c r="E207" s="69" t="n"/>
      <c r="F207" s="69" t="n"/>
      <c r="G207" s="69" t="n"/>
      <c r="H207" s="69" t="n"/>
      <c r="I207" s="13" t="n"/>
      <c r="J207" s="13" t="n"/>
      <c r="K207" s="13" t="n"/>
      <c r="L207" s="17">
        <f>IF($A207="","",1)</f>
        <v/>
      </c>
    </row>
    <row r="208">
      <c r="A208" s="13" t="n"/>
      <c r="B208" s="68" t="n"/>
      <c r="C208" s="13" t="n"/>
      <c r="D208" s="15" t="n"/>
      <c r="E208" s="69" t="n"/>
      <c r="F208" s="69" t="n"/>
      <c r="G208" s="69" t="n"/>
      <c r="H208" s="69" t="n"/>
      <c r="I208" s="13" t="n"/>
      <c r="J208" s="13" t="n"/>
      <c r="K208" s="13" t="n"/>
      <c r="L208" s="17">
        <f>IF($A208="","",1)</f>
        <v/>
      </c>
    </row>
    <row r="209">
      <c r="A209" s="13" t="n"/>
      <c r="B209" s="68" t="n"/>
      <c r="C209" s="13" t="n"/>
      <c r="D209" s="15" t="n"/>
      <c r="E209" s="69" t="n"/>
      <c r="F209" s="69" t="n"/>
      <c r="G209" s="69" t="n"/>
      <c r="H209" s="69" t="n"/>
      <c r="I209" s="13" t="n"/>
      <c r="J209" s="13" t="n"/>
      <c r="K209" s="13" t="n"/>
      <c r="L209" s="17">
        <f>IF($A209="","",1)</f>
        <v/>
      </c>
    </row>
    <row r="210">
      <c r="A210" s="13" t="n"/>
      <c r="B210" s="68" t="n"/>
      <c r="C210" s="13" t="n"/>
      <c r="D210" s="15" t="n"/>
      <c r="E210" s="69" t="n"/>
      <c r="F210" s="69" t="n"/>
      <c r="G210" s="69" t="n"/>
      <c r="H210" s="69" t="n"/>
      <c r="I210" s="13" t="n"/>
      <c r="J210" s="13" t="n"/>
      <c r="K210" s="13" t="n"/>
      <c r="L210" s="17">
        <f>IF($A210="","",1)</f>
        <v/>
      </c>
    </row>
    <row r="211">
      <c r="A211" s="13" t="n"/>
      <c r="B211" s="68" t="n"/>
      <c r="C211" s="13" t="n"/>
      <c r="D211" s="15" t="n"/>
      <c r="E211" s="69" t="n"/>
      <c r="F211" s="69" t="n"/>
      <c r="G211" s="69" t="n"/>
      <c r="H211" s="69" t="n"/>
      <c r="I211" s="13" t="n"/>
      <c r="J211" s="13" t="n"/>
      <c r="K211" s="13" t="n"/>
      <c r="L211" s="17">
        <f>IF($A211="","",1)</f>
        <v/>
      </c>
    </row>
    <row r="212">
      <c r="A212" s="13" t="n"/>
      <c r="B212" s="68" t="n"/>
      <c r="C212" s="13" t="n"/>
      <c r="D212" s="15" t="n"/>
      <c r="E212" s="69" t="n"/>
      <c r="F212" s="69" t="n"/>
      <c r="G212" s="69" t="n"/>
      <c r="H212" s="69" t="n"/>
      <c r="I212" s="13" t="n"/>
      <c r="J212" s="13" t="n"/>
      <c r="K212" s="13" t="n"/>
      <c r="L212" s="17">
        <f>IF($A212="","",1)</f>
        <v/>
      </c>
    </row>
    <row r="213">
      <c r="A213" s="13" t="n"/>
      <c r="B213" s="68" t="n"/>
      <c r="C213" s="13" t="n"/>
      <c r="D213" s="15" t="n"/>
      <c r="E213" s="69" t="n"/>
      <c r="F213" s="69" t="n"/>
      <c r="G213" s="69" t="n"/>
      <c r="H213" s="69" t="n"/>
      <c r="I213" s="13" t="n"/>
      <c r="J213" s="13" t="n"/>
      <c r="K213" s="13" t="n"/>
      <c r="L213" s="17">
        <f>IF($A213="","",1)</f>
        <v/>
      </c>
    </row>
    <row r="214">
      <c r="A214" s="13" t="n"/>
      <c r="B214" s="68" t="n"/>
      <c r="C214" s="13" t="n"/>
      <c r="D214" s="15" t="n"/>
      <c r="E214" s="69" t="n"/>
      <c r="F214" s="69" t="n"/>
      <c r="G214" s="69" t="n"/>
      <c r="H214" s="69" t="n"/>
      <c r="I214" s="13" t="n"/>
      <c r="J214" s="13" t="n"/>
      <c r="K214" s="13" t="n"/>
      <c r="L214" s="17">
        <f>IF($A214="","",1)</f>
        <v/>
      </c>
    </row>
    <row r="215">
      <c r="A215" s="13" t="n"/>
      <c r="B215" s="68" t="n"/>
      <c r="C215" s="13" t="n"/>
      <c r="D215" s="15" t="n"/>
      <c r="E215" s="69" t="n"/>
      <c r="F215" s="69" t="n"/>
      <c r="G215" s="69" t="n"/>
      <c r="H215" s="69" t="n"/>
      <c r="I215" s="13" t="n"/>
      <c r="J215" s="13" t="n"/>
      <c r="K215" s="13" t="n"/>
      <c r="L215" s="17">
        <f>IF($A215="","",1)</f>
        <v/>
      </c>
    </row>
    <row r="216">
      <c r="A216" s="13" t="n"/>
      <c r="B216" s="68" t="n"/>
      <c r="C216" s="13" t="n"/>
      <c r="D216" s="15" t="n"/>
      <c r="E216" s="69" t="n"/>
      <c r="F216" s="69" t="n"/>
      <c r="G216" s="69" t="n"/>
      <c r="H216" s="69" t="n"/>
      <c r="I216" s="13" t="n"/>
      <c r="J216" s="13" t="n"/>
      <c r="K216" s="13" t="n"/>
      <c r="L216" s="17">
        <f>IF($A216="","",1)</f>
        <v/>
      </c>
    </row>
    <row r="217">
      <c r="A217" s="13" t="n"/>
      <c r="B217" s="68" t="n"/>
      <c r="C217" s="13" t="n"/>
      <c r="D217" s="15" t="n"/>
      <c r="E217" s="69" t="n"/>
      <c r="F217" s="69" t="n"/>
      <c r="G217" s="69" t="n"/>
      <c r="H217" s="69" t="n"/>
      <c r="I217" s="13" t="n"/>
      <c r="J217" s="13" t="n"/>
      <c r="K217" s="13" t="n"/>
      <c r="L217" s="17">
        <f>IF($A217="","",1)</f>
        <v/>
      </c>
    </row>
    <row r="218">
      <c r="A218" s="13" t="n"/>
      <c r="B218" s="68" t="n"/>
      <c r="C218" s="13" t="n"/>
      <c r="D218" s="15" t="n"/>
      <c r="E218" s="69" t="n"/>
      <c r="F218" s="69" t="n"/>
      <c r="G218" s="69" t="n"/>
      <c r="H218" s="69" t="n"/>
      <c r="I218" s="13" t="n"/>
      <c r="J218" s="13" t="n"/>
      <c r="K218" s="13" t="n"/>
      <c r="L218" s="17">
        <f>IF($A218="","",1)</f>
        <v/>
      </c>
    </row>
    <row r="219">
      <c r="A219" s="13" t="n"/>
      <c r="B219" s="68" t="n"/>
      <c r="C219" s="13" t="n"/>
      <c r="D219" s="15" t="n"/>
      <c r="E219" s="69" t="n"/>
      <c r="F219" s="69" t="n"/>
      <c r="G219" s="69" t="n"/>
      <c r="H219" s="69" t="n"/>
      <c r="I219" s="13" t="n"/>
      <c r="J219" s="13" t="n"/>
      <c r="K219" s="13" t="n"/>
      <c r="L219" s="17">
        <f>IF($A219="","",1)</f>
        <v/>
      </c>
    </row>
    <row r="220">
      <c r="A220" s="13" t="n"/>
      <c r="B220" s="68" t="n"/>
      <c r="C220" s="13" t="n"/>
      <c r="D220" s="15" t="n"/>
      <c r="E220" s="69" t="n"/>
      <c r="F220" s="69" t="n"/>
      <c r="G220" s="69" t="n"/>
      <c r="H220" s="69" t="n"/>
      <c r="I220" s="13" t="n"/>
      <c r="J220" s="13" t="n"/>
      <c r="K220" s="13" t="n"/>
      <c r="L220" s="17">
        <f>IF($A220="","",1)</f>
        <v/>
      </c>
    </row>
    <row r="221">
      <c r="A221" s="13" t="n"/>
      <c r="B221" s="68" t="n"/>
      <c r="C221" s="13" t="n"/>
      <c r="D221" s="15" t="n"/>
      <c r="E221" s="69" t="n"/>
      <c r="F221" s="69" t="n"/>
      <c r="G221" s="69" t="n"/>
      <c r="H221" s="69" t="n"/>
      <c r="I221" s="13" t="n"/>
      <c r="J221" s="13" t="n"/>
      <c r="K221" s="13" t="n"/>
      <c r="L221" s="17">
        <f>IF($A221="","",1)</f>
        <v/>
      </c>
    </row>
    <row r="222">
      <c r="A222" s="13" t="n"/>
      <c r="B222" s="68" t="n"/>
      <c r="C222" s="13" t="n"/>
      <c r="D222" s="15" t="n"/>
      <c r="E222" s="69" t="n"/>
      <c r="F222" s="69" t="n"/>
      <c r="G222" s="69" t="n"/>
      <c r="H222" s="69" t="n"/>
      <c r="I222" s="13" t="n"/>
      <c r="J222" s="13" t="n"/>
      <c r="K222" s="13" t="n"/>
      <c r="L222" s="17">
        <f>IF($A222="","",1)</f>
        <v/>
      </c>
    </row>
    <row r="223">
      <c r="A223" s="13" t="n"/>
      <c r="B223" s="68" t="n"/>
      <c r="C223" s="13" t="n"/>
      <c r="D223" s="15" t="n"/>
      <c r="E223" s="69" t="n"/>
      <c r="F223" s="69" t="n"/>
      <c r="G223" s="69" t="n"/>
      <c r="H223" s="69" t="n"/>
      <c r="I223" s="13" t="n"/>
      <c r="J223" s="13" t="n"/>
      <c r="K223" s="13" t="n"/>
      <c r="L223" s="17">
        <f>IF($A223="","",1)</f>
        <v/>
      </c>
    </row>
    <row r="224">
      <c r="A224" s="13" t="n"/>
      <c r="B224" s="68" t="n"/>
      <c r="C224" s="13" t="n"/>
      <c r="D224" s="15" t="n"/>
      <c r="E224" s="69" t="n"/>
      <c r="F224" s="69" t="n"/>
      <c r="G224" s="69" t="n"/>
      <c r="H224" s="69" t="n"/>
      <c r="I224" s="13" t="n"/>
      <c r="J224" s="13" t="n"/>
      <c r="K224" s="13" t="n"/>
      <c r="L224" s="17">
        <f>IF($A224="","",1)</f>
        <v/>
      </c>
    </row>
    <row r="225">
      <c r="A225" s="13" t="n"/>
      <c r="B225" s="68" t="n"/>
      <c r="C225" s="13" t="n"/>
      <c r="D225" s="15" t="n"/>
      <c r="E225" s="69" t="n"/>
      <c r="F225" s="69" t="n"/>
      <c r="G225" s="69" t="n"/>
      <c r="H225" s="69" t="n"/>
      <c r="I225" s="13" t="n"/>
      <c r="J225" s="13" t="n"/>
      <c r="K225" s="13" t="n"/>
      <c r="L225" s="17">
        <f>IF($A225="","",1)</f>
        <v/>
      </c>
    </row>
    <row r="226">
      <c r="A226" s="13" t="n"/>
      <c r="B226" s="68" t="n"/>
      <c r="C226" s="13" t="n"/>
      <c r="D226" s="15" t="n"/>
      <c r="E226" s="69" t="n"/>
      <c r="F226" s="69" t="n"/>
      <c r="G226" s="69" t="n"/>
      <c r="H226" s="69" t="n"/>
      <c r="I226" s="13" t="n"/>
      <c r="J226" s="13" t="n"/>
      <c r="K226" s="13" t="n"/>
      <c r="L226" s="17">
        <f>IF($A226="","",1)</f>
        <v/>
      </c>
    </row>
    <row r="227">
      <c r="A227" s="13" t="n"/>
      <c r="B227" s="68" t="n"/>
      <c r="C227" s="13" t="n"/>
      <c r="D227" s="15" t="n"/>
      <c r="E227" s="69" t="n"/>
      <c r="F227" s="69" t="n"/>
      <c r="G227" s="69" t="n"/>
      <c r="H227" s="69" t="n"/>
      <c r="I227" s="13" t="n"/>
      <c r="J227" s="13" t="n"/>
      <c r="K227" s="13" t="n"/>
      <c r="L227" s="17">
        <f>IF($A227="","",1)</f>
        <v/>
      </c>
    </row>
    <row r="228">
      <c r="A228" s="13" t="n"/>
      <c r="B228" s="68" t="n"/>
      <c r="C228" s="13" t="n"/>
      <c r="D228" s="15" t="n"/>
      <c r="E228" s="69" t="n"/>
      <c r="F228" s="69" t="n"/>
      <c r="G228" s="69" t="n"/>
      <c r="H228" s="69" t="n"/>
      <c r="I228" s="13" t="n"/>
      <c r="J228" s="13" t="n"/>
      <c r="K228" s="13" t="n"/>
      <c r="L228" s="17">
        <f>IF($A228="","",1)</f>
        <v/>
      </c>
    </row>
    <row r="229">
      <c r="A229" s="13" t="n"/>
      <c r="B229" s="68" t="n"/>
      <c r="C229" s="13" t="n"/>
      <c r="D229" s="15" t="n"/>
      <c r="E229" s="69" t="n"/>
      <c r="F229" s="69" t="n"/>
      <c r="G229" s="69" t="n"/>
      <c r="H229" s="69" t="n"/>
      <c r="I229" s="13" t="n"/>
      <c r="J229" s="13" t="n"/>
      <c r="K229" s="13" t="n"/>
      <c r="L229" s="17">
        <f>IF($A229="","",1)</f>
        <v/>
      </c>
    </row>
    <row r="230">
      <c r="A230" s="13" t="n"/>
      <c r="B230" s="68" t="n"/>
      <c r="C230" s="13" t="n"/>
      <c r="D230" s="15" t="n"/>
      <c r="E230" s="69" t="n"/>
      <c r="F230" s="69" t="n"/>
      <c r="G230" s="69" t="n"/>
      <c r="H230" s="69" t="n"/>
      <c r="I230" s="13" t="n"/>
      <c r="J230" s="13" t="n"/>
      <c r="K230" s="13" t="n"/>
      <c r="L230" s="17">
        <f>IF($A230="","",1)</f>
        <v/>
      </c>
    </row>
    <row r="231">
      <c r="A231" s="13" t="n"/>
      <c r="B231" s="68" t="n"/>
      <c r="C231" s="13" t="n"/>
      <c r="D231" s="15" t="n"/>
      <c r="E231" s="69" t="n"/>
      <c r="F231" s="69" t="n"/>
      <c r="G231" s="69" t="n"/>
      <c r="H231" s="69" t="n"/>
      <c r="I231" s="13" t="n"/>
      <c r="J231" s="13" t="n"/>
      <c r="K231" s="13" t="n"/>
      <c r="L231" s="17">
        <f>IF($A231="","",1)</f>
        <v/>
      </c>
    </row>
    <row r="232">
      <c r="A232" s="13" t="n"/>
      <c r="B232" s="68" t="n"/>
      <c r="C232" s="13" t="n"/>
      <c r="D232" s="15" t="n"/>
      <c r="E232" s="69" t="n"/>
      <c r="F232" s="69" t="n"/>
      <c r="G232" s="69" t="n"/>
      <c r="H232" s="69" t="n"/>
      <c r="I232" s="13" t="n"/>
      <c r="J232" s="13" t="n"/>
      <c r="K232" s="13" t="n"/>
      <c r="L232" s="17">
        <f>IF($A232="","",1)</f>
        <v/>
      </c>
    </row>
    <row r="233">
      <c r="A233" s="13" t="n"/>
      <c r="B233" s="68" t="n"/>
      <c r="C233" s="13" t="n"/>
      <c r="D233" s="15" t="n"/>
      <c r="E233" s="69" t="n"/>
      <c r="F233" s="69" t="n"/>
      <c r="G233" s="69" t="n"/>
      <c r="H233" s="69" t="n"/>
      <c r="I233" s="13" t="n"/>
      <c r="J233" s="13" t="n"/>
      <c r="K233" s="13" t="n"/>
      <c r="L233" s="17">
        <f>IF($A233="","",1)</f>
        <v/>
      </c>
    </row>
    <row r="234">
      <c r="A234" s="13" t="n"/>
      <c r="B234" s="68" t="n"/>
      <c r="C234" s="13" t="n"/>
      <c r="D234" s="15" t="n"/>
      <c r="E234" s="69" t="n"/>
      <c r="F234" s="69" t="n"/>
      <c r="G234" s="69" t="n"/>
      <c r="H234" s="69" t="n"/>
      <c r="I234" s="13" t="n"/>
      <c r="J234" s="13" t="n"/>
      <c r="K234" s="13" t="n"/>
      <c r="L234" s="17">
        <f>IF($A234="","",1)</f>
        <v/>
      </c>
    </row>
    <row r="235">
      <c r="A235" s="13" t="n"/>
      <c r="B235" s="68" t="n"/>
      <c r="C235" s="13" t="n"/>
      <c r="D235" s="15" t="n"/>
      <c r="E235" s="69" t="n"/>
      <c r="F235" s="69" t="n"/>
      <c r="G235" s="69" t="n"/>
      <c r="H235" s="69" t="n"/>
      <c r="I235" s="13" t="n"/>
      <c r="J235" s="13" t="n"/>
      <c r="K235" s="13" t="n"/>
      <c r="L235" s="17">
        <f>IF($A235="","",1)</f>
        <v/>
      </c>
    </row>
    <row r="236">
      <c r="A236" s="13" t="n"/>
      <c r="B236" s="68" t="n"/>
      <c r="C236" s="13" t="n"/>
      <c r="D236" s="15" t="n"/>
      <c r="E236" s="69" t="n"/>
      <c r="F236" s="69" t="n"/>
      <c r="G236" s="69" t="n"/>
      <c r="H236" s="69" t="n"/>
      <c r="I236" s="13" t="n"/>
      <c r="J236" s="13" t="n"/>
      <c r="K236" s="13" t="n"/>
      <c r="L236" s="17">
        <f>IF($A236="","",1)</f>
        <v/>
      </c>
    </row>
    <row r="237">
      <c r="A237" s="13" t="n"/>
      <c r="B237" s="68" t="n"/>
      <c r="C237" s="13" t="n"/>
      <c r="D237" s="15" t="n"/>
      <c r="E237" s="69" t="n"/>
      <c r="F237" s="69" t="n"/>
      <c r="G237" s="69" t="n"/>
      <c r="H237" s="69" t="n"/>
      <c r="I237" s="13" t="n"/>
      <c r="J237" s="13" t="n"/>
      <c r="K237" s="13" t="n"/>
      <c r="L237" s="17">
        <f>IF($A237="","",1)</f>
        <v/>
      </c>
    </row>
    <row r="238">
      <c r="A238" s="13" t="n"/>
      <c r="B238" s="68" t="n"/>
      <c r="C238" s="13" t="n"/>
      <c r="D238" s="15" t="n"/>
      <c r="E238" s="69" t="n"/>
      <c r="F238" s="69" t="n"/>
      <c r="G238" s="69" t="n"/>
      <c r="H238" s="69" t="n"/>
      <c r="I238" s="13" t="n"/>
      <c r="J238" s="13" t="n"/>
      <c r="K238" s="13" t="n"/>
      <c r="L238" s="17">
        <f>IF($A238="","",1)</f>
        <v/>
      </c>
    </row>
    <row r="239">
      <c r="A239" s="13" t="n"/>
      <c r="B239" s="68" t="n"/>
      <c r="C239" s="13" t="n"/>
      <c r="D239" s="15" t="n"/>
      <c r="E239" s="69" t="n"/>
      <c r="F239" s="69" t="n"/>
      <c r="G239" s="69" t="n"/>
      <c r="H239" s="69" t="n"/>
      <c r="I239" s="13" t="n"/>
      <c r="J239" s="13" t="n"/>
      <c r="K239" s="13" t="n"/>
      <c r="L239" s="17">
        <f>IF($A239="","",1)</f>
        <v/>
      </c>
    </row>
    <row r="240">
      <c r="A240" s="13" t="n"/>
      <c r="B240" s="68" t="n"/>
      <c r="C240" s="13" t="n"/>
      <c r="D240" s="15" t="n"/>
      <c r="E240" s="69" t="n"/>
      <c r="F240" s="69" t="n"/>
      <c r="G240" s="69" t="n"/>
      <c r="H240" s="69" t="n"/>
      <c r="I240" s="13" t="n"/>
      <c r="J240" s="13" t="n"/>
      <c r="K240" s="13" t="n"/>
      <c r="L240" s="17">
        <f>IF($A240="","",1)</f>
        <v/>
      </c>
    </row>
    <row r="241">
      <c r="A241" s="13" t="n"/>
      <c r="B241" s="68" t="n"/>
      <c r="C241" s="13" t="n"/>
      <c r="D241" s="15" t="n"/>
      <c r="E241" s="69" t="n"/>
      <c r="F241" s="69" t="n"/>
      <c r="G241" s="69" t="n"/>
      <c r="H241" s="69" t="n"/>
      <c r="I241" s="13" t="n"/>
      <c r="J241" s="13" t="n"/>
      <c r="K241" s="13" t="n"/>
      <c r="L241" s="17">
        <f>IF($A241="","",1)</f>
        <v/>
      </c>
    </row>
    <row r="242">
      <c r="A242" s="13" t="n"/>
      <c r="B242" s="68" t="n"/>
      <c r="C242" s="13" t="n"/>
      <c r="D242" s="15" t="n"/>
      <c r="E242" s="69" t="n"/>
      <c r="F242" s="69" t="n"/>
      <c r="G242" s="69" t="n"/>
      <c r="H242" s="69" t="n"/>
      <c r="I242" s="13" t="n"/>
      <c r="J242" s="13" t="n"/>
      <c r="K242" s="13" t="n"/>
      <c r="L242" s="17">
        <f>IF($A242="","",1)</f>
        <v/>
      </c>
    </row>
    <row r="243">
      <c r="A243" s="13" t="n"/>
      <c r="B243" s="68" t="n"/>
      <c r="C243" s="13" t="n"/>
      <c r="D243" s="15" t="n"/>
      <c r="E243" s="69" t="n"/>
      <c r="F243" s="69" t="n"/>
      <c r="G243" s="69" t="n"/>
      <c r="H243" s="69" t="n"/>
      <c r="I243" s="13" t="n"/>
      <c r="J243" s="13" t="n"/>
      <c r="K243" s="13" t="n"/>
      <c r="L243" s="17">
        <f>IF($A243="","",1)</f>
        <v/>
      </c>
    </row>
    <row r="244">
      <c r="A244" s="13" t="n"/>
      <c r="B244" s="68" t="n"/>
      <c r="C244" s="13" t="n"/>
      <c r="D244" s="15" t="n"/>
      <c r="E244" s="69" t="n"/>
      <c r="F244" s="69" t="n"/>
      <c r="G244" s="69" t="n"/>
      <c r="H244" s="69" t="n"/>
      <c r="I244" s="13" t="n"/>
      <c r="J244" s="13" t="n"/>
      <c r="K244" s="13" t="n"/>
      <c r="L244" s="17">
        <f>IF($A244="","",1)</f>
        <v/>
      </c>
    </row>
    <row r="245">
      <c r="A245" s="13" t="n"/>
      <c r="B245" s="68" t="n"/>
      <c r="C245" s="13" t="n"/>
      <c r="D245" s="15" t="n"/>
      <c r="E245" s="69" t="n"/>
      <c r="F245" s="69" t="n"/>
      <c r="G245" s="69" t="n"/>
      <c r="H245" s="69" t="n"/>
      <c r="I245" s="13" t="n"/>
      <c r="J245" s="13" t="n"/>
      <c r="K245" s="13" t="n"/>
      <c r="L245" s="17">
        <f>IF($A245="","",1)</f>
        <v/>
      </c>
    </row>
    <row r="246">
      <c r="A246" s="13" t="n"/>
      <c r="B246" s="68" t="n"/>
      <c r="C246" s="13" t="n"/>
      <c r="D246" s="15" t="n"/>
      <c r="E246" s="69" t="n"/>
      <c r="F246" s="69" t="n"/>
      <c r="G246" s="69" t="n"/>
      <c r="H246" s="69" t="n"/>
      <c r="I246" s="13" t="n"/>
      <c r="J246" s="13" t="n"/>
      <c r="K246" s="13" t="n"/>
      <c r="L246" s="17">
        <f>IF($A246="","",1)</f>
        <v/>
      </c>
    </row>
    <row r="247">
      <c r="A247" s="13" t="n"/>
      <c r="B247" s="68" t="n"/>
      <c r="C247" s="13" t="n"/>
      <c r="D247" s="15" t="n"/>
      <c r="E247" s="69" t="n"/>
      <c r="F247" s="69" t="n"/>
      <c r="G247" s="69" t="n"/>
      <c r="H247" s="69" t="n"/>
      <c r="I247" s="13" t="n"/>
      <c r="J247" s="13" t="n"/>
      <c r="K247" s="13" t="n"/>
      <c r="L247" s="17">
        <f>IF($A247="","",1)</f>
        <v/>
      </c>
    </row>
    <row r="248">
      <c r="A248" s="13" t="n"/>
      <c r="B248" s="68" t="n"/>
      <c r="C248" s="13" t="n"/>
      <c r="D248" s="15" t="n"/>
      <c r="E248" s="69" t="n"/>
      <c r="F248" s="69" t="n"/>
      <c r="G248" s="69" t="n"/>
      <c r="H248" s="69" t="n"/>
      <c r="I248" s="13" t="n"/>
      <c r="J248" s="13" t="n"/>
      <c r="K248" s="13" t="n"/>
      <c r="L248" s="17">
        <f>IF($A248="","",1)</f>
        <v/>
      </c>
    </row>
    <row r="249">
      <c r="A249" s="13" t="n"/>
      <c r="B249" s="68" t="n"/>
      <c r="C249" s="13" t="n"/>
      <c r="D249" s="15" t="n"/>
      <c r="E249" s="69" t="n"/>
      <c r="F249" s="69" t="n"/>
      <c r="G249" s="69" t="n"/>
      <c r="H249" s="69" t="n"/>
      <c r="I249" s="13" t="n"/>
      <c r="J249" s="13" t="n"/>
      <c r="K249" s="13" t="n"/>
      <c r="L249" s="17">
        <f>IF($A249="","",1)</f>
        <v/>
      </c>
    </row>
    <row r="250">
      <c r="A250" s="13" t="n"/>
      <c r="B250" s="68" t="n"/>
      <c r="C250" s="13" t="n"/>
      <c r="D250" s="15" t="n"/>
      <c r="E250" s="69" t="n"/>
      <c r="F250" s="69" t="n"/>
      <c r="G250" s="69" t="n"/>
      <c r="H250" s="69" t="n"/>
      <c r="I250" s="13" t="n"/>
      <c r="J250" s="13" t="n"/>
      <c r="K250" s="13" t="n"/>
      <c r="L250" s="17">
        <f>IF($A250="","",1)</f>
        <v/>
      </c>
    </row>
    <row r="251">
      <c r="A251" s="13" t="n"/>
      <c r="B251" s="68" t="n"/>
      <c r="C251" s="13" t="n"/>
      <c r="D251" s="15" t="n"/>
      <c r="E251" s="69" t="n"/>
      <c r="F251" s="69" t="n"/>
      <c r="G251" s="69" t="n"/>
      <c r="H251" s="69" t="n"/>
      <c r="I251" s="13" t="n"/>
      <c r="J251" s="13" t="n"/>
      <c r="K251" s="13" t="n"/>
      <c r="L251" s="17">
        <f>IF($A251="","",1)</f>
        <v/>
      </c>
    </row>
    <row r="252">
      <c r="A252" s="13" t="n"/>
      <c r="B252" s="68" t="n"/>
      <c r="C252" s="13" t="n"/>
      <c r="D252" s="15" t="n"/>
      <c r="E252" s="69" t="n"/>
      <c r="F252" s="69" t="n"/>
      <c r="G252" s="69" t="n"/>
      <c r="H252" s="69" t="n"/>
      <c r="I252" s="13" t="n"/>
      <c r="J252" s="13" t="n"/>
      <c r="K252" s="13" t="n"/>
      <c r="L252" s="17">
        <f>IF($A252="","",1)</f>
        <v/>
      </c>
    </row>
    <row r="253">
      <c r="A253" s="13" t="n"/>
      <c r="B253" s="68" t="n"/>
      <c r="C253" s="13" t="n"/>
      <c r="D253" s="15" t="n"/>
      <c r="E253" s="69" t="n"/>
      <c r="F253" s="69" t="n"/>
      <c r="G253" s="69" t="n"/>
      <c r="H253" s="69" t="n"/>
      <c r="I253" s="13" t="n"/>
      <c r="J253" s="13" t="n"/>
      <c r="K253" s="13" t="n"/>
      <c r="L253" s="17">
        <f>IF($A253="","",1)</f>
        <v/>
      </c>
    </row>
    <row r="254">
      <c r="A254" s="13" t="n"/>
      <c r="B254" s="68" t="n"/>
      <c r="C254" s="13" t="n"/>
      <c r="D254" s="15" t="n"/>
      <c r="E254" s="69" t="n"/>
      <c r="F254" s="69" t="n"/>
      <c r="G254" s="69" t="n"/>
      <c r="H254" s="69" t="n"/>
      <c r="I254" s="13" t="n"/>
      <c r="J254" s="13" t="n"/>
      <c r="K254" s="13" t="n"/>
      <c r="L254" s="17">
        <f>IF($A254="","",1)</f>
        <v/>
      </c>
    </row>
    <row r="255">
      <c r="A255" s="13" t="n"/>
      <c r="B255" s="68" t="n"/>
      <c r="C255" s="13" t="n"/>
      <c r="D255" s="15" t="n"/>
      <c r="E255" s="69" t="n"/>
      <c r="F255" s="69" t="n"/>
      <c r="G255" s="69" t="n"/>
      <c r="H255" s="69" t="n"/>
      <c r="I255" s="13" t="n"/>
      <c r="J255" s="13" t="n"/>
      <c r="K255" s="13" t="n"/>
      <c r="L255" s="17">
        <f>IF($A255="","",1)</f>
        <v/>
      </c>
    </row>
    <row r="256">
      <c r="A256" s="13" t="n"/>
      <c r="B256" s="68" t="n"/>
      <c r="C256" s="13" t="n"/>
      <c r="D256" s="15" t="n"/>
      <c r="E256" s="69" t="n"/>
      <c r="F256" s="69" t="n"/>
      <c r="G256" s="69" t="n"/>
      <c r="H256" s="69" t="n"/>
      <c r="I256" s="13" t="n"/>
      <c r="J256" s="13" t="n"/>
      <c r="K256" s="13" t="n"/>
      <c r="L256" s="17">
        <f>IF($A256="","",1)</f>
        <v/>
      </c>
    </row>
    <row r="257">
      <c r="A257" s="13" t="n"/>
      <c r="B257" s="68" t="n"/>
      <c r="C257" s="13" t="n"/>
      <c r="D257" s="15" t="n"/>
      <c r="E257" s="69" t="n"/>
      <c r="F257" s="69" t="n"/>
      <c r="G257" s="69" t="n"/>
      <c r="H257" s="69" t="n"/>
      <c r="I257" s="13" t="n"/>
      <c r="J257" s="13" t="n"/>
      <c r="K257" s="13" t="n"/>
      <c r="L257" s="17">
        <f>IF($A257="","",1)</f>
        <v/>
      </c>
    </row>
    <row r="258">
      <c r="A258" s="13" t="n"/>
      <c r="B258" s="68" t="n"/>
      <c r="C258" s="13" t="n"/>
      <c r="D258" s="15" t="n"/>
      <c r="E258" s="69" t="n"/>
      <c r="F258" s="69" t="n"/>
      <c r="G258" s="69" t="n"/>
      <c r="H258" s="69" t="n"/>
      <c r="I258" s="13" t="n"/>
      <c r="J258" s="13" t="n"/>
      <c r="K258" s="13" t="n"/>
      <c r="L258" s="17">
        <f>IF($A258="","",1)</f>
        <v/>
      </c>
    </row>
    <row r="259">
      <c r="A259" s="13" t="n"/>
      <c r="B259" s="68" t="n"/>
      <c r="C259" s="13" t="n"/>
      <c r="D259" s="15" t="n"/>
      <c r="E259" s="69" t="n"/>
      <c r="F259" s="69" t="n"/>
      <c r="G259" s="69" t="n"/>
      <c r="H259" s="69" t="n"/>
      <c r="I259" s="13" t="n"/>
      <c r="J259" s="13" t="n"/>
      <c r="K259" s="13" t="n"/>
      <c r="L259" s="17">
        <f>IF($A259="","",1)</f>
        <v/>
      </c>
    </row>
    <row r="260">
      <c r="A260" s="13" t="n"/>
      <c r="B260" s="68" t="n"/>
      <c r="C260" s="13" t="n"/>
      <c r="D260" s="15" t="n"/>
      <c r="E260" s="69" t="n"/>
      <c r="F260" s="69" t="n"/>
      <c r="G260" s="69" t="n"/>
      <c r="H260" s="69" t="n"/>
      <c r="I260" s="13" t="n"/>
      <c r="J260" s="13" t="n"/>
      <c r="K260" s="13" t="n"/>
      <c r="L260" s="17">
        <f>IF($A260="","",1)</f>
        <v/>
      </c>
    </row>
    <row r="261">
      <c r="A261" s="13" t="n"/>
      <c r="B261" s="68" t="n"/>
      <c r="C261" s="13" t="n"/>
      <c r="D261" s="15" t="n"/>
      <c r="E261" s="69" t="n"/>
      <c r="F261" s="69" t="n"/>
      <c r="G261" s="69" t="n"/>
      <c r="H261" s="69" t="n"/>
      <c r="I261" s="13" t="n"/>
      <c r="J261" s="13" t="n"/>
      <c r="K261" s="13" t="n"/>
      <c r="L261" s="17">
        <f>IF($A261="","",1)</f>
        <v/>
      </c>
    </row>
    <row r="262">
      <c r="A262" s="13" t="n"/>
      <c r="B262" s="68" t="n"/>
      <c r="C262" s="13" t="n"/>
      <c r="D262" s="15" t="n"/>
      <c r="E262" s="69" t="n"/>
      <c r="F262" s="69" t="n"/>
      <c r="G262" s="69" t="n"/>
      <c r="H262" s="69" t="n"/>
      <c r="I262" s="13" t="n"/>
      <c r="J262" s="13" t="n"/>
      <c r="K262" s="13" t="n"/>
      <c r="L262" s="17">
        <f>IF($A262="","",1)</f>
        <v/>
      </c>
    </row>
    <row r="263">
      <c r="A263" s="13" t="n"/>
      <c r="B263" s="68" t="n"/>
      <c r="C263" s="13" t="n"/>
      <c r="D263" s="15" t="n"/>
      <c r="E263" s="69" t="n"/>
      <c r="F263" s="69" t="n"/>
      <c r="G263" s="69" t="n"/>
      <c r="H263" s="69" t="n"/>
      <c r="I263" s="13" t="n"/>
      <c r="J263" s="13" t="n"/>
      <c r="K263" s="13" t="n"/>
      <c r="L263" s="17">
        <f>IF($A263="","",1)</f>
        <v/>
      </c>
    </row>
    <row r="264">
      <c r="A264" s="13" t="n"/>
      <c r="B264" s="68" t="n"/>
      <c r="C264" s="13" t="n"/>
      <c r="D264" s="15" t="n"/>
      <c r="E264" s="69" t="n"/>
      <c r="F264" s="69" t="n"/>
      <c r="G264" s="69" t="n"/>
      <c r="H264" s="69" t="n"/>
      <c r="I264" s="13" t="n"/>
      <c r="J264" s="13" t="n"/>
      <c r="K264" s="13" t="n"/>
      <c r="L264" s="17">
        <f>IF($A264="","",1)</f>
        <v/>
      </c>
    </row>
    <row r="265">
      <c r="A265" s="13" t="n"/>
      <c r="B265" s="68" t="n"/>
      <c r="C265" s="13" t="n"/>
      <c r="D265" s="15" t="n"/>
      <c r="E265" s="69" t="n"/>
      <c r="F265" s="69" t="n"/>
      <c r="G265" s="69" t="n"/>
      <c r="H265" s="69" t="n"/>
      <c r="I265" s="13" t="n"/>
      <c r="J265" s="13" t="n"/>
      <c r="K265" s="13" t="n"/>
      <c r="L265" s="17">
        <f>IF($A265="","",1)</f>
        <v/>
      </c>
    </row>
    <row r="266">
      <c r="A266" s="13" t="n"/>
      <c r="B266" s="68" t="n"/>
      <c r="C266" s="13" t="n"/>
      <c r="D266" s="15" t="n"/>
      <c r="E266" s="69" t="n"/>
      <c r="F266" s="69" t="n"/>
      <c r="G266" s="69" t="n"/>
      <c r="H266" s="69" t="n"/>
      <c r="I266" s="13" t="n"/>
      <c r="J266" s="13" t="n"/>
      <c r="K266" s="13" t="n"/>
      <c r="L266" s="17">
        <f>IF($A266="","",1)</f>
        <v/>
      </c>
    </row>
    <row r="267">
      <c r="A267" s="13" t="n"/>
      <c r="B267" s="68" t="n"/>
      <c r="C267" s="13" t="n"/>
      <c r="D267" s="15" t="n"/>
      <c r="E267" s="69" t="n"/>
      <c r="F267" s="69" t="n"/>
      <c r="G267" s="69" t="n"/>
      <c r="H267" s="69" t="n"/>
      <c r="I267" s="13" t="n"/>
      <c r="J267" s="13" t="n"/>
      <c r="K267" s="13" t="n"/>
      <c r="L267" s="17">
        <f>IF($A267="","",1)</f>
        <v/>
      </c>
    </row>
    <row r="268">
      <c r="A268" s="13" t="n"/>
      <c r="B268" s="68" t="n"/>
      <c r="C268" s="13" t="n"/>
      <c r="D268" s="15" t="n"/>
      <c r="E268" s="69" t="n"/>
      <c r="F268" s="69" t="n"/>
      <c r="G268" s="69" t="n"/>
      <c r="H268" s="69" t="n"/>
      <c r="I268" s="13" t="n"/>
      <c r="J268" s="13" t="n"/>
      <c r="K268" s="13" t="n"/>
      <c r="L268" s="17">
        <f>IF($A268="","",1)</f>
        <v/>
      </c>
    </row>
    <row r="269">
      <c r="A269" s="13" t="n"/>
      <c r="B269" s="68" t="n"/>
      <c r="C269" s="13" t="n"/>
      <c r="D269" s="15" t="n"/>
      <c r="E269" s="69" t="n"/>
      <c r="F269" s="69" t="n"/>
      <c r="G269" s="69" t="n"/>
      <c r="H269" s="69" t="n"/>
      <c r="I269" s="13" t="n"/>
      <c r="J269" s="13" t="n"/>
      <c r="K269" s="13" t="n"/>
      <c r="L269" s="17">
        <f>IF($A269="","",1)</f>
        <v/>
      </c>
    </row>
    <row r="270">
      <c r="A270" s="13" t="n"/>
      <c r="B270" s="68" t="n"/>
      <c r="C270" s="13" t="n"/>
      <c r="D270" s="15" t="n"/>
      <c r="E270" s="69" t="n"/>
      <c r="F270" s="69" t="n"/>
      <c r="G270" s="69" t="n"/>
      <c r="H270" s="69" t="n"/>
      <c r="I270" s="13" t="n"/>
      <c r="J270" s="13" t="n"/>
      <c r="K270" s="13" t="n"/>
      <c r="L270" s="17">
        <f>IF($A270="","",1)</f>
        <v/>
      </c>
    </row>
    <row r="271">
      <c r="A271" s="13" t="n"/>
      <c r="B271" s="68" t="n"/>
      <c r="C271" s="13" t="n"/>
      <c r="D271" s="15" t="n"/>
      <c r="E271" s="69" t="n"/>
      <c r="F271" s="69" t="n"/>
      <c r="G271" s="69" t="n"/>
      <c r="H271" s="69" t="n"/>
      <c r="I271" s="13" t="n"/>
      <c r="J271" s="13" t="n"/>
      <c r="K271" s="13" t="n"/>
      <c r="L271" s="17">
        <f>IF($A271="","",1)</f>
        <v/>
      </c>
    </row>
    <row r="272">
      <c r="A272" s="13" t="n"/>
      <c r="B272" s="68" t="n"/>
      <c r="C272" s="13" t="n"/>
      <c r="D272" s="15" t="n"/>
      <c r="E272" s="69" t="n"/>
      <c r="F272" s="69" t="n"/>
      <c r="G272" s="69" t="n"/>
      <c r="H272" s="69" t="n"/>
      <c r="I272" s="13" t="n"/>
      <c r="J272" s="13" t="n"/>
      <c r="K272" s="13" t="n"/>
      <c r="L272" s="17">
        <f>IF($A272="","",1)</f>
        <v/>
      </c>
    </row>
    <row r="273">
      <c r="A273" s="13" t="n"/>
      <c r="B273" s="68" t="n"/>
      <c r="C273" s="13" t="n"/>
      <c r="D273" s="15" t="n"/>
      <c r="E273" s="69" t="n"/>
      <c r="F273" s="69" t="n"/>
      <c r="G273" s="69" t="n"/>
      <c r="H273" s="69" t="n"/>
      <c r="I273" s="13" t="n"/>
      <c r="J273" s="13" t="n"/>
      <c r="K273" s="13" t="n"/>
      <c r="L273" s="17">
        <f>IF($A273="","",1)</f>
        <v/>
      </c>
    </row>
    <row r="274">
      <c r="A274" s="13" t="n"/>
      <c r="B274" s="68" t="n"/>
      <c r="C274" s="13" t="n"/>
      <c r="D274" s="15" t="n"/>
      <c r="E274" s="69" t="n"/>
      <c r="F274" s="69" t="n"/>
      <c r="G274" s="69" t="n"/>
      <c r="H274" s="69" t="n"/>
      <c r="I274" s="13" t="n"/>
      <c r="J274" s="13" t="n"/>
      <c r="K274" s="13" t="n"/>
      <c r="L274" s="17">
        <f>IF($A274="","",1)</f>
        <v/>
      </c>
    </row>
    <row r="275">
      <c r="A275" s="13" t="n"/>
      <c r="B275" s="68" t="n"/>
      <c r="C275" s="13" t="n"/>
      <c r="D275" s="15" t="n"/>
      <c r="E275" s="69" t="n"/>
      <c r="F275" s="69" t="n"/>
      <c r="G275" s="69" t="n"/>
      <c r="H275" s="69" t="n"/>
      <c r="I275" s="13" t="n"/>
      <c r="J275" s="13" t="n"/>
      <c r="K275" s="13" t="n"/>
      <c r="L275" s="17">
        <f>IF($A275="","",1)</f>
        <v/>
      </c>
    </row>
    <row r="276">
      <c r="A276" s="13" t="n"/>
      <c r="B276" s="68" t="n"/>
      <c r="C276" s="13" t="n"/>
      <c r="D276" s="15" t="n"/>
      <c r="E276" s="69" t="n"/>
      <c r="F276" s="69" t="n"/>
      <c r="G276" s="69" t="n"/>
      <c r="H276" s="69" t="n"/>
      <c r="I276" s="13" t="n"/>
      <c r="J276" s="13" t="n"/>
      <c r="K276" s="13" t="n"/>
      <c r="L276" s="17">
        <f>IF($A276="","",1)</f>
        <v/>
      </c>
    </row>
    <row r="277">
      <c r="A277" s="13" t="n"/>
      <c r="B277" s="68" t="n"/>
      <c r="C277" s="13" t="n"/>
      <c r="D277" s="15" t="n"/>
      <c r="E277" s="69" t="n"/>
      <c r="F277" s="69" t="n"/>
      <c r="G277" s="69" t="n"/>
      <c r="H277" s="69" t="n"/>
      <c r="I277" s="13" t="n"/>
      <c r="J277" s="13" t="n"/>
      <c r="K277" s="13" t="n"/>
      <c r="L277" s="17">
        <f>IF($A277="","",1)</f>
        <v/>
      </c>
    </row>
    <row r="278">
      <c r="A278" s="13" t="n"/>
      <c r="B278" s="68" t="n"/>
      <c r="C278" s="13" t="n"/>
      <c r="D278" s="15" t="n"/>
      <c r="E278" s="69" t="n"/>
      <c r="F278" s="69" t="n"/>
      <c r="G278" s="69" t="n"/>
      <c r="H278" s="69" t="n"/>
      <c r="I278" s="13" t="n"/>
      <c r="J278" s="13" t="n"/>
      <c r="K278" s="13" t="n"/>
      <c r="L278" s="17">
        <f>IF($A278="","",1)</f>
        <v/>
      </c>
    </row>
    <row r="279">
      <c r="A279" s="13" t="n"/>
      <c r="B279" s="68" t="n"/>
      <c r="C279" s="13" t="n"/>
      <c r="D279" s="15" t="n"/>
      <c r="E279" s="69" t="n"/>
      <c r="F279" s="69" t="n"/>
      <c r="G279" s="69" t="n"/>
      <c r="H279" s="69" t="n"/>
      <c r="I279" s="13" t="n"/>
      <c r="J279" s="13" t="n"/>
      <c r="K279" s="13" t="n"/>
      <c r="L279" s="17">
        <f>IF($A279="","",1)</f>
        <v/>
      </c>
    </row>
    <row r="280">
      <c r="A280" s="13" t="n"/>
      <c r="B280" s="68" t="n"/>
      <c r="C280" s="13" t="n"/>
      <c r="D280" s="15" t="n"/>
      <c r="E280" s="69" t="n"/>
      <c r="F280" s="69" t="n"/>
      <c r="G280" s="69" t="n"/>
      <c r="H280" s="69" t="n"/>
      <c r="I280" s="13" t="n"/>
      <c r="J280" s="13" t="n"/>
      <c r="K280" s="13" t="n"/>
      <c r="L280" s="17">
        <f>IF($A280="","",1)</f>
        <v/>
      </c>
    </row>
    <row r="281">
      <c r="A281" s="13" t="n"/>
      <c r="B281" s="68" t="n"/>
      <c r="C281" s="13" t="n"/>
      <c r="D281" s="15" t="n"/>
      <c r="E281" s="69" t="n"/>
      <c r="F281" s="69" t="n"/>
      <c r="G281" s="69" t="n"/>
      <c r="H281" s="69" t="n"/>
      <c r="I281" s="13" t="n"/>
      <c r="J281" s="13" t="n"/>
      <c r="K281" s="13" t="n"/>
      <c r="L281" s="17">
        <f>IF($A281="","",1)</f>
        <v/>
      </c>
    </row>
    <row r="282">
      <c r="A282" s="13" t="n"/>
      <c r="B282" s="68" t="n"/>
      <c r="C282" s="13" t="n"/>
      <c r="D282" s="15" t="n"/>
      <c r="E282" s="69" t="n"/>
      <c r="F282" s="69" t="n"/>
      <c r="G282" s="69" t="n"/>
      <c r="H282" s="69" t="n"/>
      <c r="I282" s="13" t="n"/>
      <c r="J282" s="13" t="n"/>
      <c r="K282" s="13" t="n"/>
      <c r="L282" s="17">
        <f>IF($A282="","",1)</f>
        <v/>
      </c>
    </row>
    <row r="283">
      <c r="A283" s="13" t="n"/>
      <c r="B283" s="68" t="n"/>
      <c r="C283" s="13" t="n"/>
      <c r="D283" s="15" t="n"/>
      <c r="E283" s="69" t="n"/>
      <c r="F283" s="69" t="n"/>
      <c r="G283" s="69" t="n"/>
      <c r="H283" s="69" t="n"/>
      <c r="I283" s="13" t="n"/>
      <c r="J283" s="13" t="n"/>
      <c r="K283" s="13" t="n"/>
      <c r="L283" s="17">
        <f>IF($A283="","",1)</f>
        <v/>
      </c>
    </row>
    <row r="284">
      <c r="A284" s="13" t="n"/>
      <c r="B284" s="68" t="n"/>
      <c r="C284" s="13" t="n"/>
      <c r="D284" s="15" t="n"/>
      <c r="E284" s="69" t="n"/>
      <c r="F284" s="69" t="n"/>
      <c r="G284" s="69" t="n"/>
      <c r="H284" s="69" t="n"/>
      <c r="I284" s="13" t="n"/>
      <c r="J284" s="13" t="n"/>
      <c r="K284" s="13" t="n"/>
      <c r="L284" s="17">
        <f>IF($A284="","",1)</f>
        <v/>
      </c>
    </row>
    <row r="285">
      <c r="A285" s="13" t="n"/>
      <c r="B285" s="68" t="n"/>
      <c r="C285" s="13" t="n"/>
      <c r="D285" s="15" t="n"/>
      <c r="E285" s="69" t="n"/>
      <c r="F285" s="69" t="n"/>
      <c r="G285" s="69" t="n"/>
      <c r="H285" s="69" t="n"/>
      <c r="I285" s="13" t="n"/>
      <c r="J285" s="13" t="n"/>
      <c r="K285" s="13" t="n"/>
      <c r="L285" s="17">
        <f>IF($A285="","",1)</f>
        <v/>
      </c>
    </row>
    <row r="286">
      <c r="A286" s="13" t="n"/>
      <c r="B286" s="68" t="n"/>
      <c r="C286" s="13" t="n"/>
      <c r="D286" s="15" t="n"/>
      <c r="E286" s="69" t="n"/>
      <c r="F286" s="69" t="n"/>
      <c r="G286" s="69" t="n"/>
      <c r="H286" s="69" t="n"/>
      <c r="I286" s="13" t="n"/>
      <c r="J286" s="13" t="n"/>
      <c r="K286" s="13" t="n"/>
      <c r="L286" s="17">
        <f>IF($A286="","",1)</f>
        <v/>
      </c>
    </row>
    <row r="287">
      <c r="A287" s="13" t="n"/>
      <c r="B287" s="68" t="n"/>
      <c r="C287" s="13" t="n"/>
      <c r="D287" s="15" t="n"/>
      <c r="E287" s="69" t="n"/>
      <c r="F287" s="69" t="n"/>
      <c r="G287" s="69" t="n"/>
      <c r="H287" s="69" t="n"/>
      <c r="I287" s="13" t="n"/>
      <c r="J287" s="13" t="n"/>
      <c r="K287" s="13" t="n"/>
      <c r="L287" s="17">
        <f>IF($A287="","",1)</f>
        <v/>
      </c>
    </row>
    <row r="288">
      <c r="A288" s="13" t="n"/>
      <c r="B288" s="68" t="n"/>
      <c r="C288" s="13" t="n"/>
      <c r="D288" s="15" t="n"/>
      <c r="E288" s="69" t="n"/>
      <c r="F288" s="69" t="n"/>
      <c r="G288" s="69" t="n"/>
      <c r="H288" s="69" t="n"/>
      <c r="I288" s="13" t="n"/>
      <c r="J288" s="13" t="n"/>
      <c r="K288" s="13" t="n"/>
      <c r="L288" s="17">
        <f>IF($A288="","",1)</f>
        <v/>
      </c>
    </row>
    <row r="289">
      <c r="A289" s="13" t="n"/>
      <c r="B289" s="68" t="n"/>
      <c r="C289" s="13" t="n"/>
      <c r="D289" s="15" t="n"/>
      <c r="E289" s="69" t="n"/>
      <c r="F289" s="69" t="n"/>
      <c r="G289" s="69" t="n"/>
      <c r="H289" s="69" t="n"/>
      <c r="I289" s="13" t="n"/>
      <c r="J289" s="13" t="n"/>
      <c r="K289" s="13" t="n"/>
      <c r="L289" s="17">
        <f>IF($A289="","",1)</f>
        <v/>
      </c>
    </row>
    <row r="290">
      <c r="A290" s="13" t="n"/>
      <c r="B290" s="68" t="n"/>
      <c r="C290" s="13" t="n"/>
      <c r="D290" s="15" t="n"/>
      <c r="E290" s="69" t="n"/>
      <c r="F290" s="69" t="n"/>
      <c r="G290" s="69" t="n"/>
      <c r="H290" s="69" t="n"/>
      <c r="I290" s="13" t="n"/>
      <c r="J290" s="13" t="n"/>
      <c r="K290" s="13" t="n"/>
      <c r="L290" s="17">
        <f>IF($A290="","",1)</f>
        <v/>
      </c>
    </row>
    <row r="291">
      <c r="A291" s="13" t="n"/>
      <c r="B291" s="68" t="n"/>
      <c r="C291" s="13" t="n"/>
      <c r="D291" s="15" t="n"/>
      <c r="E291" s="69" t="n"/>
      <c r="F291" s="69" t="n"/>
      <c r="G291" s="69" t="n"/>
      <c r="H291" s="69" t="n"/>
      <c r="I291" s="13" t="n"/>
      <c r="J291" s="13" t="n"/>
      <c r="K291" s="13" t="n"/>
      <c r="L291" s="17">
        <f>IF($A291="","",1)</f>
        <v/>
      </c>
    </row>
    <row r="292">
      <c r="A292" s="13" t="n"/>
      <c r="B292" s="68" t="n"/>
      <c r="C292" s="13" t="n"/>
      <c r="D292" s="15" t="n"/>
      <c r="E292" s="69" t="n"/>
      <c r="F292" s="69" t="n"/>
      <c r="G292" s="69" t="n"/>
      <c r="H292" s="69" t="n"/>
      <c r="I292" s="13" t="n"/>
      <c r="J292" s="13" t="n"/>
      <c r="K292" s="13" t="n"/>
      <c r="L292" s="17">
        <f>IF($A292="","",1)</f>
        <v/>
      </c>
    </row>
    <row r="293">
      <c r="A293" s="13" t="n"/>
      <c r="B293" s="68" t="n"/>
      <c r="C293" s="13" t="n"/>
      <c r="D293" s="15" t="n"/>
      <c r="E293" s="69" t="n"/>
      <c r="F293" s="69" t="n"/>
      <c r="G293" s="69" t="n"/>
      <c r="H293" s="69" t="n"/>
      <c r="I293" s="13" t="n"/>
      <c r="J293" s="13" t="n"/>
      <c r="K293" s="13" t="n"/>
      <c r="L293" s="17">
        <f>IF($A293="","",1)</f>
        <v/>
      </c>
    </row>
    <row r="294">
      <c r="A294" s="13" t="n"/>
      <c r="B294" s="68" t="n"/>
      <c r="C294" s="13" t="n"/>
      <c r="D294" s="15" t="n"/>
      <c r="E294" s="69" t="n"/>
      <c r="F294" s="69" t="n"/>
      <c r="G294" s="69" t="n"/>
      <c r="H294" s="69" t="n"/>
      <c r="I294" s="13" t="n"/>
      <c r="J294" s="13" t="n"/>
      <c r="K294" s="13" t="n"/>
      <c r="L294" s="17">
        <f>IF($A294="","",1)</f>
        <v/>
      </c>
    </row>
    <row r="295">
      <c r="A295" s="13" t="n"/>
      <c r="B295" s="68" t="n"/>
      <c r="C295" s="13" t="n"/>
      <c r="D295" s="15" t="n"/>
      <c r="E295" s="69" t="n"/>
      <c r="F295" s="69" t="n"/>
      <c r="G295" s="69" t="n"/>
      <c r="H295" s="69" t="n"/>
      <c r="I295" s="13" t="n"/>
      <c r="J295" s="13" t="n"/>
      <c r="K295" s="13" t="n"/>
      <c r="L295" s="17">
        <f>IF($A295="","",1)</f>
        <v/>
      </c>
    </row>
    <row r="296">
      <c r="A296" s="13" t="n"/>
      <c r="B296" s="68" t="n"/>
      <c r="C296" s="13" t="n"/>
      <c r="D296" s="15" t="n"/>
      <c r="E296" s="69" t="n"/>
      <c r="F296" s="69" t="n"/>
      <c r="G296" s="69" t="n"/>
      <c r="H296" s="69" t="n"/>
      <c r="I296" s="13" t="n"/>
      <c r="J296" s="13" t="n"/>
      <c r="K296" s="13" t="n"/>
      <c r="L296" s="17">
        <f>IF($A296="","",1)</f>
        <v/>
      </c>
    </row>
    <row r="297">
      <c r="A297" s="13" t="n"/>
      <c r="B297" s="68" t="n"/>
      <c r="C297" s="13" t="n"/>
      <c r="D297" s="15" t="n"/>
      <c r="E297" s="69" t="n"/>
      <c r="F297" s="69" t="n"/>
      <c r="G297" s="69" t="n"/>
      <c r="H297" s="69" t="n"/>
      <c r="I297" s="13" t="n"/>
      <c r="J297" s="13" t="n"/>
      <c r="K297" s="13" t="n"/>
      <c r="L297" s="17">
        <f>IF($A297="","",1)</f>
        <v/>
      </c>
    </row>
    <row r="298">
      <c r="A298" s="13" t="n"/>
      <c r="B298" s="68" t="n"/>
      <c r="C298" s="13" t="n"/>
      <c r="D298" s="15" t="n"/>
      <c r="E298" s="69" t="n"/>
      <c r="F298" s="69" t="n"/>
      <c r="G298" s="69" t="n"/>
      <c r="H298" s="69" t="n"/>
      <c r="I298" s="13" t="n"/>
      <c r="J298" s="13" t="n"/>
      <c r="K298" s="13" t="n"/>
      <c r="L298" s="17">
        <f>IF($A298="","",1)</f>
        <v/>
      </c>
    </row>
    <row r="299">
      <c r="A299" s="13" t="n"/>
      <c r="B299" s="68" t="n"/>
      <c r="C299" s="13" t="n"/>
      <c r="D299" s="15" t="n"/>
      <c r="E299" s="69" t="n"/>
      <c r="F299" s="69" t="n"/>
      <c r="G299" s="69" t="n"/>
      <c r="H299" s="69" t="n"/>
      <c r="I299" s="13" t="n"/>
      <c r="J299" s="13" t="n"/>
      <c r="K299" s="13" t="n"/>
      <c r="L299" s="17">
        <f>IF($A299="","",1)</f>
        <v/>
      </c>
    </row>
    <row r="300">
      <c r="A300" s="13" t="n"/>
      <c r="B300" s="68" t="n"/>
      <c r="C300" s="13" t="n"/>
      <c r="D300" s="15" t="n"/>
      <c r="E300" s="69" t="n"/>
      <c r="F300" s="69" t="n"/>
      <c r="G300" s="69" t="n"/>
      <c r="H300" s="69" t="n"/>
      <c r="I300" s="13" t="n"/>
      <c r="J300" s="13" t="n"/>
      <c r="K300" s="13" t="n"/>
      <c r="L300" s="17">
        <f>IF($A300="","",1)</f>
        <v/>
      </c>
    </row>
    <row r="301">
      <c r="A301" s="13" t="n"/>
      <c r="B301" s="68" t="n"/>
      <c r="C301" s="13" t="n"/>
      <c r="D301" s="15" t="n"/>
      <c r="E301" s="69" t="n"/>
      <c r="F301" s="69" t="n"/>
      <c r="G301" s="69" t="n"/>
      <c r="H301" s="69" t="n"/>
      <c r="I301" s="13" t="n"/>
      <c r="J301" s="13" t="n"/>
      <c r="K301" s="13" t="n"/>
      <c r="L301" s="17">
        <f>IF($A301="","",1)</f>
        <v/>
      </c>
    </row>
    <row r="302">
      <c r="A302" s="13" t="n"/>
      <c r="B302" s="68" t="n"/>
      <c r="C302" s="13" t="n"/>
      <c r="D302" s="15" t="n"/>
      <c r="E302" s="69" t="n"/>
      <c r="F302" s="69" t="n"/>
      <c r="G302" s="69" t="n"/>
      <c r="H302" s="69" t="n"/>
      <c r="I302" s="13" t="n"/>
      <c r="J302" s="13" t="n"/>
      <c r="K302" s="13" t="n"/>
      <c r="L302" s="17">
        <f>IF($A302="","",1)</f>
        <v/>
      </c>
    </row>
    <row r="303">
      <c r="A303" s="13" t="n"/>
      <c r="B303" s="68" t="n"/>
      <c r="C303" s="13" t="n"/>
      <c r="D303" s="15" t="n"/>
      <c r="E303" s="69" t="n"/>
      <c r="F303" s="69" t="n"/>
      <c r="G303" s="69" t="n"/>
      <c r="H303" s="69" t="n"/>
      <c r="I303" s="13" t="n"/>
      <c r="J303" s="13" t="n"/>
      <c r="K303" s="13" t="n"/>
      <c r="L303" s="17">
        <f>IF($A303="","",1)</f>
        <v/>
      </c>
    </row>
    <row r="304">
      <c r="A304" s="13" t="n"/>
      <c r="B304" s="68" t="n"/>
      <c r="C304" s="13" t="n"/>
      <c r="D304" s="15" t="n"/>
      <c r="E304" s="69" t="n"/>
      <c r="F304" s="69" t="n"/>
      <c r="G304" s="69" t="n"/>
      <c r="H304" s="69" t="n"/>
      <c r="I304" s="13" t="n"/>
      <c r="J304" s="13" t="n"/>
      <c r="K304" s="13" t="n"/>
      <c r="L304" s="17">
        <f>IF($A304="","",1)</f>
        <v/>
      </c>
    </row>
    <row r="305">
      <c r="A305" s="13" t="n"/>
      <c r="B305" s="68" t="n"/>
      <c r="C305" s="13" t="n"/>
      <c r="D305" s="15" t="n"/>
      <c r="E305" s="69" t="n"/>
      <c r="F305" s="69" t="n"/>
      <c r="G305" s="69" t="n"/>
      <c r="H305" s="69" t="n"/>
      <c r="I305" s="13" t="n"/>
      <c r="J305" s="13" t="n"/>
      <c r="K305" s="13" t="n"/>
      <c r="L305" s="17">
        <f>IF($A305="","",1)</f>
        <v/>
      </c>
    </row>
    <row r="306">
      <c r="A306" s="13" t="n"/>
      <c r="B306" s="68" t="n"/>
      <c r="C306" s="13" t="n"/>
      <c r="D306" s="15" t="n"/>
      <c r="E306" s="69" t="n"/>
      <c r="F306" s="69" t="n"/>
      <c r="G306" s="69" t="n"/>
      <c r="H306" s="69" t="n"/>
      <c r="I306" s="13" t="n"/>
      <c r="J306" s="13" t="n"/>
      <c r="K306" s="13" t="n"/>
      <c r="L306" s="17">
        <f>IF($A306="","",1)</f>
        <v/>
      </c>
    </row>
    <row r="307">
      <c r="A307" s="13" t="n"/>
      <c r="B307" s="68" t="n"/>
      <c r="C307" s="13" t="n"/>
      <c r="D307" s="15" t="n"/>
      <c r="E307" s="69" t="n"/>
      <c r="F307" s="69" t="n"/>
      <c r="G307" s="69" t="n"/>
      <c r="H307" s="69" t="n"/>
      <c r="I307" s="13" t="n"/>
      <c r="J307" s="13" t="n"/>
      <c r="K307" s="13" t="n"/>
      <c r="L307" s="17">
        <f>IF($A307="","",1)</f>
        <v/>
      </c>
    </row>
    <row r="308">
      <c r="A308" s="13" t="n"/>
      <c r="B308" s="68" t="n"/>
      <c r="C308" s="13" t="n"/>
      <c r="D308" s="15" t="n"/>
      <c r="E308" s="69" t="n"/>
      <c r="F308" s="69" t="n"/>
      <c r="G308" s="69" t="n"/>
      <c r="H308" s="69" t="n"/>
      <c r="I308" s="13" t="n"/>
      <c r="J308" s="13" t="n"/>
      <c r="K308" s="13" t="n"/>
      <c r="L308" s="17">
        <f>IF($A308="","",1)</f>
        <v/>
      </c>
    </row>
    <row r="309">
      <c r="A309" s="13" t="n"/>
      <c r="B309" s="68" t="n"/>
      <c r="C309" s="13" t="n"/>
      <c r="D309" s="15" t="n"/>
      <c r="E309" s="69" t="n"/>
      <c r="F309" s="69" t="n"/>
      <c r="G309" s="69" t="n"/>
      <c r="H309" s="69" t="n"/>
      <c r="I309" s="13" t="n"/>
      <c r="J309" s="13" t="n"/>
      <c r="K309" s="13" t="n"/>
      <c r="L309" s="17">
        <f>IF($A309="","",1)</f>
        <v/>
      </c>
    </row>
    <row r="310">
      <c r="A310" s="13" t="n"/>
      <c r="B310" s="68" t="n"/>
      <c r="C310" s="13" t="n"/>
      <c r="D310" s="15" t="n"/>
      <c r="E310" s="69" t="n"/>
      <c r="F310" s="69" t="n"/>
      <c r="G310" s="69" t="n"/>
      <c r="H310" s="69" t="n"/>
      <c r="I310" s="13" t="n"/>
      <c r="J310" s="13" t="n"/>
      <c r="K310" s="13" t="n"/>
      <c r="L310" s="17">
        <f>IF($A310="","",1)</f>
        <v/>
      </c>
    </row>
    <row r="311">
      <c r="A311" s="13" t="n"/>
      <c r="B311" s="68" t="n"/>
      <c r="C311" s="13" t="n"/>
      <c r="D311" s="15" t="n"/>
      <c r="E311" s="69" t="n"/>
      <c r="F311" s="69" t="n"/>
      <c r="G311" s="69" t="n"/>
      <c r="H311" s="69" t="n"/>
      <c r="I311" s="13" t="n"/>
      <c r="J311" s="13" t="n"/>
      <c r="K311" s="13" t="n"/>
      <c r="L311" s="17">
        <f>IF($A311="","",1)</f>
        <v/>
      </c>
    </row>
    <row r="312">
      <c r="A312" s="13" t="n"/>
      <c r="B312" s="68" t="n"/>
      <c r="C312" s="13" t="n"/>
      <c r="D312" s="15" t="n"/>
      <c r="E312" s="69" t="n"/>
      <c r="F312" s="69" t="n"/>
      <c r="G312" s="69" t="n"/>
      <c r="H312" s="69" t="n"/>
      <c r="I312" s="13" t="n"/>
      <c r="J312" s="13" t="n"/>
      <c r="K312" s="13" t="n"/>
      <c r="L312" s="17">
        <f>IF($A312="","",1)</f>
        <v/>
      </c>
    </row>
    <row r="313">
      <c r="A313" s="13" t="n"/>
      <c r="B313" s="68" t="n"/>
      <c r="C313" s="13" t="n"/>
      <c r="D313" s="15" t="n"/>
      <c r="E313" s="69" t="n"/>
      <c r="F313" s="69" t="n"/>
      <c r="G313" s="69" t="n"/>
      <c r="H313" s="69" t="n"/>
      <c r="I313" s="13" t="n"/>
      <c r="J313" s="13" t="n"/>
      <c r="K313" s="13" t="n"/>
      <c r="L313" s="17">
        <f>IF($A313="","",1)</f>
        <v/>
      </c>
    </row>
    <row r="314">
      <c r="A314" s="13" t="n"/>
      <c r="B314" s="68" t="n"/>
      <c r="C314" s="13" t="n"/>
      <c r="D314" s="15" t="n"/>
      <c r="E314" s="69" t="n"/>
      <c r="F314" s="69" t="n"/>
      <c r="G314" s="69" t="n"/>
      <c r="H314" s="69" t="n"/>
      <c r="I314" s="13" t="n"/>
      <c r="J314" s="13" t="n"/>
      <c r="K314" s="13" t="n"/>
      <c r="L314" s="17">
        <f>IF($A314="","",1)</f>
        <v/>
      </c>
    </row>
    <row r="315">
      <c r="A315" s="13" t="n"/>
      <c r="B315" s="68" t="n"/>
      <c r="C315" s="13" t="n"/>
      <c r="D315" s="15" t="n"/>
      <c r="E315" s="69" t="n"/>
      <c r="F315" s="69" t="n"/>
      <c r="G315" s="69" t="n"/>
      <c r="H315" s="69" t="n"/>
      <c r="I315" s="13" t="n"/>
      <c r="J315" s="13" t="n"/>
      <c r="K315" s="13" t="n"/>
      <c r="L315" s="17">
        <f>IF($A315="","",1)</f>
        <v/>
      </c>
    </row>
    <row r="316">
      <c r="A316" s="13" t="n"/>
      <c r="B316" s="68" t="n"/>
      <c r="C316" s="13" t="n"/>
      <c r="D316" s="15" t="n"/>
      <c r="E316" s="69" t="n"/>
      <c r="F316" s="69" t="n"/>
      <c r="G316" s="69" t="n"/>
      <c r="H316" s="69" t="n"/>
      <c r="I316" s="13" t="n"/>
      <c r="J316" s="13" t="n"/>
      <c r="K316" s="13" t="n"/>
      <c r="L316" s="17">
        <f>IF($A316="","",1)</f>
        <v/>
      </c>
    </row>
    <row r="317">
      <c r="A317" s="13" t="n"/>
      <c r="B317" s="68" t="n"/>
      <c r="C317" s="13" t="n"/>
      <c r="D317" s="15" t="n"/>
      <c r="E317" s="69" t="n"/>
      <c r="F317" s="69" t="n"/>
      <c r="G317" s="69" t="n"/>
      <c r="H317" s="69" t="n"/>
      <c r="I317" s="13" t="n"/>
      <c r="J317" s="13" t="n"/>
      <c r="K317" s="13" t="n"/>
      <c r="L317" s="17">
        <f>IF($A317="","",1)</f>
        <v/>
      </c>
    </row>
    <row r="318">
      <c r="A318" s="13" t="n"/>
      <c r="B318" s="68" t="n"/>
      <c r="C318" s="13" t="n"/>
      <c r="D318" s="15" t="n"/>
      <c r="E318" s="69" t="n"/>
      <c r="F318" s="69" t="n"/>
      <c r="G318" s="69" t="n"/>
      <c r="H318" s="69" t="n"/>
      <c r="I318" s="13" t="n"/>
      <c r="J318" s="13" t="n"/>
      <c r="K318" s="13" t="n"/>
      <c r="L318" s="17">
        <f>IF($A318="","",1)</f>
        <v/>
      </c>
    </row>
    <row r="319">
      <c r="A319" s="13" t="n"/>
      <c r="B319" s="68" t="n"/>
      <c r="C319" s="13" t="n"/>
      <c r="D319" s="15" t="n"/>
      <c r="E319" s="69" t="n"/>
      <c r="F319" s="69" t="n"/>
      <c r="G319" s="69" t="n"/>
      <c r="H319" s="69" t="n"/>
      <c r="I319" s="13" t="n"/>
      <c r="J319" s="13" t="n"/>
      <c r="K319" s="13" t="n"/>
      <c r="L319" s="17">
        <f>IF($A319="","",1)</f>
        <v/>
      </c>
    </row>
    <row r="320">
      <c r="A320" s="13" t="n"/>
      <c r="B320" s="68" t="n"/>
      <c r="C320" s="13" t="n"/>
      <c r="D320" s="15" t="n"/>
      <c r="E320" s="69" t="n"/>
      <c r="F320" s="69" t="n"/>
      <c r="G320" s="69" t="n"/>
      <c r="H320" s="69" t="n"/>
      <c r="I320" s="13" t="n"/>
      <c r="J320" s="13" t="n"/>
      <c r="K320" s="13" t="n"/>
      <c r="L320" s="17">
        <f>IF($A320="","",1)</f>
        <v/>
      </c>
    </row>
    <row r="321">
      <c r="A321" s="13" t="n"/>
      <c r="B321" s="68" t="n"/>
      <c r="C321" s="13" t="n"/>
      <c r="D321" s="15" t="n"/>
      <c r="E321" s="69" t="n"/>
      <c r="F321" s="69" t="n"/>
      <c r="G321" s="69" t="n"/>
      <c r="H321" s="69" t="n"/>
      <c r="I321" s="13" t="n"/>
      <c r="J321" s="13" t="n"/>
      <c r="K321" s="13" t="n"/>
      <c r="L321" s="17">
        <f>IF($A321="","",1)</f>
        <v/>
      </c>
    </row>
    <row r="322">
      <c r="A322" s="13" t="n"/>
      <c r="B322" s="68" t="n"/>
      <c r="C322" s="13" t="n"/>
      <c r="D322" s="15" t="n"/>
      <c r="E322" s="69" t="n"/>
      <c r="F322" s="69" t="n"/>
      <c r="G322" s="69" t="n"/>
      <c r="H322" s="69" t="n"/>
      <c r="I322" s="13" t="n"/>
      <c r="J322" s="13" t="n"/>
      <c r="K322" s="13" t="n"/>
      <c r="L322" s="17">
        <f>IF($A322="","",1)</f>
        <v/>
      </c>
    </row>
    <row r="323">
      <c r="A323" s="13" t="n"/>
      <c r="B323" s="68" t="n"/>
      <c r="C323" s="13" t="n"/>
      <c r="D323" s="15" t="n"/>
      <c r="E323" s="69" t="n"/>
      <c r="F323" s="69" t="n"/>
      <c r="G323" s="69" t="n"/>
      <c r="H323" s="69" t="n"/>
      <c r="I323" s="13" t="n"/>
      <c r="J323" s="13" t="n"/>
      <c r="K323" s="13" t="n"/>
      <c r="L323" s="17">
        <f>IF($A323="","",1)</f>
        <v/>
      </c>
    </row>
    <row r="324">
      <c r="A324" s="13" t="n"/>
      <c r="B324" s="68" t="n"/>
      <c r="C324" s="13" t="n"/>
      <c r="D324" s="15" t="n"/>
      <c r="E324" s="69" t="n"/>
      <c r="F324" s="69" t="n"/>
      <c r="G324" s="69" t="n"/>
      <c r="H324" s="69" t="n"/>
      <c r="I324" s="13" t="n"/>
      <c r="J324" s="13" t="n"/>
      <c r="K324" s="13" t="n"/>
      <c r="L324" s="17">
        <f>IF($A324="","",1)</f>
        <v/>
      </c>
    </row>
    <row r="325">
      <c r="A325" s="13" t="n"/>
      <c r="B325" s="68" t="n"/>
      <c r="C325" s="13" t="n"/>
      <c r="D325" s="15" t="n"/>
      <c r="E325" s="69" t="n"/>
      <c r="F325" s="69" t="n"/>
      <c r="G325" s="69" t="n"/>
      <c r="H325" s="69" t="n"/>
      <c r="I325" s="13" t="n"/>
      <c r="J325" s="13" t="n"/>
      <c r="K325" s="13" t="n"/>
      <c r="L325" s="17">
        <f>IF($A325="","",1)</f>
        <v/>
      </c>
    </row>
    <row r="326">
      <c r="A326" s="13" t="n"/>
      <c r="B326" s="68" t="n"/>
      <c r="C326" s="13" t="n"/>
      <c r="D326" s="15" t="n"/>
      <c r="E326" s="69" t="n"/>
      <c r="F326" s="69" t="n"/>
      <c r="G326" s="69" t="n"/>
      <c r="H326" s="69" t="n"/>
      <c r="I326" s="13" t="n"/>
      <c r="J326" s="13" t="n"/>
      <c r="K326" s="13" t="n"/>
      <c r="L326" s="17">
        <f>IF($A326="","",1)</f>
        <v/>
      </c>
    </row>
    <row r="327">
      <c r="A327" s="13" t="n"/>
      <c r="B327" s="68" t="n"/>
      <c r="C327" s="13" t="n"/>
      <c r="D327" s="15" t="n"/>
      <c r="E327" s="69" t="n"/>
      <c r="F327" s="69" t="n"/>
      <c r="G327" s="69" t="n"/>
      <c r="H327" s="69" t="n"/>
      <c r="I327" s="13" t="n"/>
      <c r="J327" s="13" t="n"/>
      <c r="K327" s="13" t="n"/>
      <c r="L327" s="17">
        <f>IF($A327="","",1)</f>
        <v/>
      </c>
    </row>
    <row r="328">
      <c r="A328" s="13" t="n"/>
      <c r="B328" s="68" t="n"/>
      <c r="C328" s="13" t="n"/>
      <c r="D328" s="15" t="n"/>
      <c r="E328" s="69" t="n"/>
      <c r="F328" s="69" t="n"/>
      <c r="G328" s="69" t="n"/>
      <c r="H328" s="69" t="n"/>
      <c r="I328" s="13" t="n"/>
      <c r="J328" s="13" t="n"/>
      <c r="K328" s="13" t="n"/>
      <c r="L328" s="17">
        <f>IF($A328="","",1)</f>
        <v/>
      </c>
    </row>
    <row r="329">
      <c r="A329" s="13" t="n"/>
      <c r="B329" s="68" t="n"/>
      <c r="C329" s="13" t="n"/>
      <c r="D329" s="15" t="n"/>
      <c r="E329" s="69" t="n"/>
      <c r="F329" s="69" t="n"/>
      <c r="G329" s="69" t="n"/>
      <c r="H329" s="69" t="n"/>
      <c r="I329" s="13" t="n"/>
      <c r="J329" s="13" t="n"/>
      <c r="K329" s="13" t="n"/>
      <c r="L329" s="17">
        <f>IF($A329="","",1)</f>
        <v/>
      </c>
    </row>
    <row r="330">
      <c r="A330" s="13" t="n"/>
      <c r="B330" s="68" t="n"/>
      <c r="C330" s="13" t="n"/>
      <c r="D330" s="15" t="n"/>
      <c r="E330" s="69" t="n"/>
      <c r="F330" s="69" t="n"/>
      <c r="G330" s="69" t="n"/>
      <c r="H330" s="69" t="n"/>
      <c r="I330" s="13" t="n"/>
      <c r="J330" s="13" t="n"/>
      <c r="K330" s="13" t="n"/>
      <c r="L330" s="17">
        <f>IF($A330="","",1)</f>
        <v/>
      </c>
    </row>
    <row r="331">
      <c r="A331" s="13" t="n"/>
      <c r="B331" s="68" t="n"/>
      <c r="C331" s="13" t="n"/>
      <c r="D331" s="15" t="n"/>
      <c r="E331" s="69" t="n"/>
      <c r="F331" s="69" t="n"/>
      <c r="G331" s="69" t="n"/>
      <c r="H331" s="69" t="n"/>
      <c r="I331" s="13" t="n"/>
      <c r="J331" s="13" t="n"/>
      <c r="K331" s="13" t="n"/>
      <c r="L331" s="17">
        <f>IF($A331="","",1)</f>
        <v/>
      </c>
    </row>
    <row r="332">
      <c r="A332" s="13" t="n"/>
      <c r="B332" s="68" t="n"/>
      <c r="C332" s="13" t="n"/>
      <c r="D332" s="15" t="n"/>
      <c r="E332" s="69" t="n"/>
      <c r="F332" s="69" t="n"/>
      <c r="G332" s="69" t="n"/>
      <c r="H332" s="69" t="n"/>
      <c r="I332" s="13" t="n"/>
      <c r="J332" s="13" t="n"/>
      <c r="K332" s="13" t="n"/>
      <c r="L332" s="17">
        <f>IF($A332="","",1)</f>
        <v/>
      </c>
    </row>
    <row r="333">
      <c r="A333" s="13" t="n"/>
      <c r="B333" s="68" t="n"/>
      <c r="C333" s="13" t="n"/>
      <c r="D333" s="15" t="n"/>
      <c r="E333" s="69" t="n"/>
      <c r="F333" s="69" t="n"/>
      <c r="G333" s="69" t="n"/>
      <c r="H333" s="69" t="n"/>
      <c r="I333" s="13" t="n"/>
      <c r="J333" s="13" t="n"/>
      <c r="K333" s="13" t="n"/>
      <c r="L333" s="17">
        <f>IF($A333="","",1)</f>
        <v/>
      </c>
    </row>
    <row r="334">
      <c r="A334" s="13" t="n"/>
      <c r="B334" s="68" t="n"/>
      <c r="C334" s="13" t="n"/>
      <c r="D334" s="15" t="n"/>
      <c r="E334" s="69" t="n"/>
      <c r="F334" s="69" t="n"/>
      <c r="G334" s="69" t="n"/>
      <c r="H334" s="69" t="n"/>
      <c r="I334" s="13" t="n"/>
      <c r="J334" s="13" t="n"/>
      <c r="K334" s="13" t="n"/>
      <c r="L334" s="17">
        <f>IF($A334="","",1)</f>
        <v/>
      </c>
    </row>
    <row r="335">
      <c r="A335" s="13" t="n"/>
      <c r="B335" s="68" t="n"/>
      <c r="C335" s="13" t="n"/>
      <c r="D335" s="15" t="n"/>
      <c r="E335" s="69" t="n"/>
      <c r="F335" s="69" t="n"/>
      <c r="G335" s="69" t="n"/>
      <c r="H335" s="69" t="n"/>
      <c r="I335" s="13" t="n"/>
      <c r="J335" s="13" t="n"/>
      <c r="K335" s="13" t="n"/>
      <c r="L335" s="17">
        <f>IF($A335="","",1)</f>
        <v/>
      </c>
    </row>
    <row r="336">
      <c r="A336" s="13" t="n"/>
      <c r="B336" s="68" t="n"/>
      <c r="C336" s="13" t="n"/>
      <c r="D336" s="15" t="n"/>
      <c r="E336" s="69" t="n"/>
      <c r="F336" s="69" t="n"/>
      <c r="G336" s="69" t="n"/>
      <c r="H336" s="69" t="n"/>
      <c r="I336" s="13" t="n"/>
      <c r="J336" s="13" t="n"/>
      <c r="K336" s="13" t="n"/>
      <c r="L336" s="17">
        <f>IF($A336="","",1)</f>
        <v/>
      </c>
    </row>
    <row r="337">
      <c r="A337" s="13" t="n"/>
      <c r="B337" s="68" t="n"/>
      <c r="C337" s="13" t="n"/>
      <c r="D337" s="15" t="n"/>
      <c r="E337" s="69" t="n"/>
      <c r="F337" s="69" t="n"/>
      <c r="G337" s="69" t="n"/>
      <c r="H337" s="69" t="n"/>
      <c r="I337" s="13" t="n"/>
      <c r="J337" s="13" t="n"/>
      <c r="K337" s="13" t="n"/>
      <c r="L337" s="17">
        <f>IF($A337="","",1)</f>
        <v/>
      </c>
    </row>
    <row r="338">
      <c r="A338" s="13" t="n"/>
      <c r="B338" s="68" t="n"/>
      <c r="C338" s="13" t="n"/>
      <c r="D338" s="15" t="n"/>
      <c r="E338" s="69" t="n"/>
      <c r="F338" s="69" t="n"/>
      <c r="G338" s="69" t="n"/>
      <c r="H338" s="69" t="n"/>
      <c r="I338" s="13" t="n"/>
      <c r="J338" s="13" t="n"/>
      <c r="K338" s="13" t="n"/>
      <c r="L338" s="17">
        <f>IF($A338="","",1)</f>
        <v/>
      </c>
    </row>
    <row r="339">
      <c r="A339" s="13" t="n"/>
      <c r="B339" s="68" t="n"/>
      <c r="C339" s="13" t="n"/>
      <c r="D339" s="15" t="n"/>
      <c r="E339" s="69" t="n"/>
      <c r="F339" s="69" t="n"/>
      <c r="G339" s="69" t="n"/>
      <c r="H339" s="69" t="n"/>
      <c r="I339" s="13" t="n"/>
      <c r="J339" s="13" t="n"/>
      <c r="K339" s="13" t="n"/>
      <c r="L339" s="17">
        <f>IF($A339="","",1)</f>
        <v/>
      </c>
    </row>
    <row r="340">
      <c r="A340" s="13" t="n"/>
      <c r="B340" s="68" t="n"/>
      <c r="C340" s="13" t="n"/>
      <c r="D340" s="15" t="n"/>
      <c r="E340" s="69" t="n"/>
      <c r="F340" s="69" t="n"/>
      <c r="G340" s="69" t="n"/>
      <c r="H340" s="69" t="n"/>
      <c r="I340" s="13" t="n"/>
      <c r="J340" s="13" t="n"/>
      <c r="K340" s="13" t="n"/>
      <c r="L340" s="17">
        <f>IF($A340="","",1)</f>
        <v/>
      </c>
    </row>
    <row r="341">
      <c r="A341" s="13" t="n"/>
      <c r="B341" s="68" t="n"/>
      <c r="C341" s="13" t="n"/>
      <c r="D341" s="15" t="n"/>
      <c r="E341" s="69" t="n"/>
      <c r="F341" s="69" t="n"/>
      <c r="G341" s="69" t="n"/>
      <c r="H341" s="69" t="n"/>
      <c r="I341" s="13" t="n"/>
      <c r="J341" s="13" t="n"/>
      <c r="K341" s="13" t="n"/>
      <c r="L341" s="17">
        <f>IF($A341="","",1)</f>
        <v/>
      </c>
    </row>
    <row r="342">
      <c r="A342" s="13" t="n"/>
      <c r="B342" s="68" t="n"/>
      <c r="C342" s="13" t="n"/>
      <c r="D342" s="15" t="n"/>
      <c r="E342" s="69" t="n"/>
      <c r="F342" s="69" t="n"/>
      <c r="G342" s="69" t="n"/>
      <c r="H342" s="69" t="n"/>
      <c r="I342" s="13" t="n"/>
      <c r="J342" s="13" t="n"/>
      <c r="K342" s="13" t="n"/>
      <c r="L342" s="17">
        <f>IF($A342="","",1)</f>
        <v/>
      </c>
    </row>
    <row r="343">
      <c r="A343" s="13" t="n"/>
      <c r="B343" s="68" t="n"/>
      <c r="C343" s="13" t="n"/>
      <c r="D343" s="15" t="n"/>
      <c r="E343" s="69" t="n"/>
      <c r="F343" s="69" t="n"/>
      <c r="G343" s="69" t="n"/>
      <c r="H343" s="69" t="n"/>
      <c r="I343" s="13" t="n"/>
      <c r="J343" s="13" t="n"/>
      <c r="K343" s="13" t="n"/>
      <c r="L343" s="17">
        <f>IF($A343="","",1)</f>
        <v/>
      </c>
    </row>
    <row r="344">
      <c r="A344" s="13" t="n"/>
      <c r="B344" s="68" t="n"/>
      <c r="C344" s="13" t="n"/>
      <c r="D344" s="15" t="n"/>
      <c r="E344" s="69" t="n"/>
      <c r="F344" s="69" t="n"/>
      <c r="G344" s="69" t="n"/>
      <c r="H344" s="69" t="n"/>
      <c r="I344" s="13" t="n"/>
      <c r="J344" s="13" t="n"/>
      <c r="K344" s="13" t="n"/>
      <c r="L344" s="17">
        <f>IF($A344="","",1)</f>
        <v/>
      </c>
    </row>
    <row r="345">
      <c r="A345" s="13" t="n"/>
      <c r="B345" s="68" t="n"/>
      <c r="C345" s="13" t="n"/>
      <c r="D345" s="15" t="n"/>
      <c r="E345" s="69" t="n"/>
      <c r="F345" s="69" t="n"/>
      <c r="G345" s="69" t="n"/>
      <c r="H345" s="69" t="n"/>
      <c r="I345" s="13" t="n"/>
      <c r="J345" s="13" t="n"/>
      <c r="K345" s="13" t="n"/>
      <c r="L345" s="17">
        <f>IF($A345="","",1)</f>
        <v/>
      </c>
    </row>
    <row r="346">
      <c r="A346" s="13" t="n"/>
      <c r="B346" s="68" t="n"/>
      <c r="C346" s="13" t="n"/>
      <c r="D346" s="15" t="n"/>
      <c r="E346" s="69" t="n"/>
      <c r="F346" s="69" t="n"/>
      <c r="G346" s="69" t="n"/>
      <c r="H346" s="69" t="n"/>
      <c r="I346" s="13" t="n"/>
      <c r="J346" s="13" t="n"/>
      <c r="K346" s="13" t="n"/>
      <c r="L346" s="17">
        <f>IF($A346="","",1)</f>
        <v/>
      </c>
    </row>
    <row r="347">
      <c r="A347" s="13" t="n"/>
      <c r="B347" s="68" t="n"/>
      <c r="C347" s="13" t="n"/>
      <c r="D347" s="15" t="n"/>
      <c r="E347" s="69" t="n"/>
      <c r="F347" s="69" t="n"/>
      <c r="G347" s="69" t="n"/>
      <c r="H347" s="69" t="n"/>
      <c r="I347" s="13" t="n"/>
      <c r="J347" s="13" t="n"/>
      <c r="K347" s="13" t="n"/>
      <c r="L347" s="17">
        <f>IF($A347="","",1)</f>
        <v/>
      </c>
    </row>
    <row r="348">
      <c r="A348" s="13" t="n"/>
      <c r="B348" s="68" t="n"/>
      <c r="C348" s="13" t="n"/>
      <c r="D348" s="15" t="n"/>
      <c r="E348" s="69" t="n"/>
      <c r="F348" s="69" t="n"/>
      <c r="G348" s="69" t="n"/>
      <c r="H348" s="69" t="n"/>
      <c r="I348" s="13" t="n"/>
      <c r="J348" s="13" t="n"/>
      <c r="K348" s="13" t="n"/>
      <c r="L348" s="17">
        <f>IF($A348="","",1)</f>
        <v/>
      </c>
    </row>
    <row r="349">
      <c r="A349" s="13" t="n"/>
      <c r="B349" s="68" t="n"/>
      <c r="C349" s="13" t="n"/>
      <c r="D349" s="15" t="n"/>
      <c r="E349" s="69" t="n"/>
      <c r="F349" s="69" t="n"/>
      <c r="G349" s="69" t="n"/>
      <c r="H349" s="69" t="n"/>
      <c r="I349" s="13" t="n"/>
      <c r="J349" s="13" t="n"/>
      <c r="K349" s="13" t="n"/>
      <c r="L349" s="17">
        <f>IF($A349="","",1)</f>
        <v/>
      </c>
    </row>
    <row r="350">
      <c r="A350" s="13" t="n"/>
      <c r="B350" s="68" t="n"/>
      <c r="C350" s="13" t="n"/>
      <c r="D350" s="15" t="n"/>
      <c r="E350" s="69" t="n"/>
      <c r="F350" s="69" t="n"/>
      <c r="G350" s="69" t="n"/>
      <c r="H350" s="69" t="n"/>
      <c r="I350" s="13" t="n"/>
      <c r="J350" s="13" t="n"/>
      <c r="K350" s="13" t="n"/>
      <c r="L350" s="17">
        <f>IF($A350="","",1)</f>
        <v/>
      </c>
    </row>
    <row r="351">
      <c r="A351" s="13" t="n"/>
      <c r="B351" s="68" t="n"/>
      <c r="C351" s="13" t="n"/>
      <c r="D351" s="15" t="n"/>
      <c r="E351" s="69" t="n"/>
      <c r="F351" s="69" t="n"/>
      <c r="G351" s="69" t="n"/>
      <c r="H351" s="69" t="n"/>
      <c r="I351" s="13" t="n"/>
      <c r="J351" s="13" t="n"/>
      <c r="K351" s="13" t="n"/>
      <c r="L351" s="17">
        <f>IF($A351="","",1)</f>
        <v/>
      </c>
    </row>
    <row r="352">
      <c r="A352" s="13" t="n"/>
      <c r="B352" s="68" t="n"/>
      <c r="C352" s="13" t="n"/>
      <c r="D352" s="15" t="n"/>
      <c r="E352" s="69" t="n"/>
      <c r="F352" s="69" t="n"/>
      <c r="G352" s="69" t="n"/>
      <c r="H352" s="69" t="n"/>
      <c r="I352" s="13" t="n"/>
      <c r="J352" s="13" t="n"/>
      <c r="K352" s="13" t="n"/>
      <c r="L352" s="17">
        <f>IF($A352="","",1)</f>
        <v/>
      </c>
    </row>
    <row r="353">
      <c r="A353" s="13" t="n"/>
      <c r="B353" s="68" t="n"/>
      <c r="C353" s="13" t="n"/>
      <c r="D353" s="15" t="n"/>
      <c r="E353" s="69" t="n"/>
      <c r="F353" s="69" t="n"/>
      <c r="G353" s="69" t="n"/>
      <c r="H353" s="69" t="n"/>
      <c r="I353" s="13" t="n"/>
      <c r="J353" s="13" t="n"/>
      <c r="K353" s="13" t="n"/>
      <c r="L353" s="17">
        <f>IF($A353="","",1)</f>
        <v/>
      </c>
    </row>
    <row r="354">
      <c r="A354" s="13" t="n"/>
      <c r="B354" s="68" t="n"/>
      <c r="C354" s="13" t="n"/>
      <c r="D354" s="15" t="n"/>
      <c r="E354" s="69" t="n"/>
      <c r="F354" s="69" t="n"/>
      <c r="G354" s="69" t="n"/>
      <c r="H354" s="69" t="n"/>
      <c r="I354" s="13" t="n"/>
      <c r="J354" s="13" t="n"/>
      <c r="K354" s="13" t="n"/>
      <c r="L354" s="17">
        <f>IF($A354="","",1)</f>
        <v/>
      </c>
    </row>
    <row r="355">
      <c r="A355" s="13" t="n"/>
      <c r="B355" s="68" t="n"/>
      <c r="C355" s="13" t="n"/>
      <c r="D355" s="15" t="n"/>
      <c r="E355" s="69" t="n"/>
      <c r="F355" s="69" t="n"/>
      <c r="G355" s="69" t="n"/>
      <c r="H355" s="69" t="n"/>
      <c r="I355" s="13" t="n"/>
      <c r="J355" s="13" t="n"/>
      <c r="K355" s="13" t="n"/>
      <c r="L355" s="17">
        <f>IF($A355="","",1)</f>
        <v/>
      </c>
    </row>
    <row r="356">
      <c r="A356" s="13" t="n"/>
      <c r="B356" s="68" t="n"/>
      <c r="C356" s="13" t="n"/>
      <c r="D356" s="15" t="n"/>
      <c r="E356" s="69" t="n"/>
      <c r="F356" s="69" t="n"/>
      <c r="G356" s="69" t="n"/>
      <c r="H356" s="69" t="n"/>
      <c r="I356" s="13" t="n"/>
      <c r="J356" s="13" t="n"/>
      <c r="K356" s="13" t="n"/>
      <c r="L356" s="17">
        <f>IF($A356="","",1)</f>
        <v/>
      </c>
    </row>
    <row r="357">
      <c r="A357" s="13" t="n"/>
      <c r="B357" s="68" t="n"/>
      <c r="C357" s="13" t="n"/>
      <c r="D357" s="15" t="n"/>
      <c r="E357" s="69" t="n"/>
      <c r="F357" s="69" t="n"/>
      <c r="G357" s="69" t="n"/>
      <c r="H357" s="69" t="n"/>
      <c r="I357" s="13" t="n"/>
      <c r="J357" s="13" t="n"/>
      <c r="K357" s="13" t="n"/>
      <c r="L357" s="17">
        <f>IF($A357="","",1)</f>
        <v/>
      </c>
    </row>
    <row r="358">
      <c r="A358" s="13" t="n"/>
      <c r="B358" s="68" t="n"/>
      <c r="C358" s="13" t="n"/>
      <c r="D358" s="15" t="n"/>
      <c r="E358" s="69" t="n"/>
      <c r="F358" s="69" t="n"/>
      <c r="G358" s="69" t="n"/>
      <c r="H358" s="69" t="n"/>
      <c r="I358" s="13" t="n"/>
      <c r="J358" s="13" t="n"/>
      <c r="K358" s="13" t="n"/>
      <c r="L358" s="17">
        <f>IF($A358="","",1)</f>
        <v/>
      </c>
    </row>
    <row r="359">
      <c r="A359" s="13" t="n"/>
      <c r="B359" s="68" t="n"/>
      <c r="C359" s="13" t="n"/>
      <c r="D359" s="15" t="n"/>
      <c r="E359" s="69" t="n"/>
      <c r="F359" s="69" t="n"/>
      <c r="G359" s="69" t="n"/>
      <c r="H359" s="69" t="n"/>
      <c r="I359" s="13" t="n"/>
      <c r="J359" s="13" t="n"/>
      <c r="K359" s="13" t="n"/>
      <c r="L359" s="17">
        <f>IF($A359="","",1)</f>
        <v/>
      </c>
    </row>
    <row r="360">
      <c r="A360" s="13" t="n"/>
      <c r="B360" s="68" t="n"/>
      <c r="C360" s="13" t="n"/>
      <c r="D360" s="15" t="n"/>
      <c r="E360" s="69" t="n"/>
      <c r="F360" s="69" t="n"/>
      <c r="G360" s="69" t="n"/>
      <c r="H360" s="69" t="n"/>
      <c r="I360" s="13" t="n"/>
      <c r="J360" s="13" t="n"/>
      <c r="K360" s="13" t="n"/>
      <c r="L360" s="17">
        <f>IF($A360="","",1)</f>
        <v/>
      </c>
    </row>
    <row r="361">
      <c r="A361" s="13" t="n"/>
      <c r="B361" s="68" t="n"/>
      <c r="C361" s="13" t="n"/>
      <c r="D361" s="15" t="n"/>
      <c r="E361" s="69" t="n"/>
      <c r="F361" s="69" t="n"/>
      <c r="G361" s="69" t="n"/>
      <c r="H361" s="69" t="n"/>
      <c r="I361" s="13" t="n"/>
      <c r="J361" s="13" t="n"/>
      <c r="K361" s="13" t="n"/>
      <c r="L361" s="17">
        <f>IF($A361="","",1)</f>
        <v/>
      </c>
    </row>
    <row r="362">
      <c r="A362" s="13" t="n"/>
      <c r="B362" s="68" t="n"/>
      <c r="C362" s="13" t="n"/>
      <c r="D362" s="15" t="n"/>
      <c r="E362" s="69" t="n"/>
      <c r="F362" s="69" t="n"/>
      <c r="G362" s="69" t="n"/>
      <c r="H362" s="69" t="n"/>
      <c r="I362" s="13" t="n"/>
      <c r="J362" s="13" t="n"/>
      <c r="K362" s="13" t="n"/>
      <c r="L362" s="17">
        <f>IF($A362="","",1)</f>
        <v/>
      </c>
    </row>
    <row r="363">
      <c r="A363" s="13" t="n"/>
      <c r="B363" s="68" t="n"/>
      <c r="C363" s="13" t="n"/>
      <c r="D363" s="15" t="n"/>
      <c r="E363" s="69" t="n"/>
      <c r="F363" s="69" t="n"/>
      <c r="G363" s="69" t="n"/>
      <c r="H363" s="69" t="n"/>
      <c r="I363" s="13" t="n"/>
      <c r="J363" s="13" t="n"/>
      <c r="K363" s="13" t="n"/>
      <c r="L363" s="17">
        <f>IF($A363="","",1)</f>
        <v/>
      </c>
    </row>
    <row r="364">
      <c r="A364" s="13" t="n"/>
      <c r="B364" s="68" t="n"/>
      <c r="C364" s="13" t="n"/>
      <c r="D364" s="15" t="n"/>
      <c r="E364" s="69" t="n"/>
      <c r="F364" s="69" t="n"/>
      <c r="G364" s="69" t="n"/>
      <c r="H364" s="69" t="n"/>
      <c r="I364" s="13" t="n"/>
      <c r="J364" s="13" t="n"/>
      <c r="K364" s="13" t="n"/>
      <c r="L364" s="17">
        <f>IF($A364="","",1)</f>
        <v/>
      </c>
    </row>
    <row r="365">
      <c r="A365" s="13" t="n"/>
      <c r="B365" s="68" t="n"/>
      <c r="C365" s="13" t="n"/>
      <c r="D365" s="15" t="n"/>
      <c r="E365" s="69" t="n"/>
      <c r="F365" s="69" t="n"/>
      <c r="G365" s="69" t="n"/>
      <c r="H365" s="69" t="n"/>
      <c r="I365" s="13" t="n"/>
      <c r="J365" s="13" t="n"/>
      <c r="K365" s="13" t="n"/>
      <c r="L365" s="17">
        <f>IF($A365="","",1)</f>
        <v/>
      </c>
    </row>
    <row r="366">
      <c r="A366" s="13" t="n"/>
      <c r="B366" s="68" t="n"/>
      <c r="C366" s="13" t="n"/>
      <c r="D366" s="15" t="n"/>
      <c r="E366" s="69" t="n"/>
      <c r="F366" s="69" t="n"/>
      <c r="G366" s="69" t="n"/>
      <c r="H366" s="69" t="n"/>
      <c r="I366" s="13" t="n"/>
      <c r="J366" s="13" t="n"/>
      <c r="K366" s="13" t="n"/>
      <c r="L366" s="17">
        <f>IF($A366="","",1)</f>
        <v/>
      </c>
    </row>
    <row r="367">
      <c r="A367" s="13" t="n"/>
      <c r="B367" s="68" t="n"/>
      <c r="C367" s="13" t="n"/>
      <c r="D367" s="15" t="n"/>
      <c r="E367" s="69" t="n"/>
      <c r="F367" s="69" t="n"/>
      <c r="G367" s="69" t="n"/>
      <c r="H367" s="69" t="n"/>
      <c r="I367" s="13" t="n"/>
      <c r="J367" s="13" t="n"/>
      <c r="K367" s="13" t="n"/>
      <c r="L367" s="17">
        <f>IF($A367="","",1)</f>
        <v/>
      </c>
    </row>
    <row r="368">
      <c r="A368" s="13" t="n"/>
      <c r="B368" s="68" t="n"/>
      <c r="C368" s="13" t="n"/>
      <c r="D368" s="15" t="n"/>
      <c r="E368" s="69" t="n"/>
      <c r="F368" s="69" t="n"/>
      <c r="G368" s="69" t="n"/>
      <c r="H368" s="69" t="n"/>
      <c r="I368" s="13" t="n"/>
      <c r="J368" s="13" t="n"/>
      <c r="K368" s="13" t="n"/>
      <c r="L368" s="17">
        <f>IF($A368="","",1)</f>
        <v/>
      </c>
    </row>
    <row r="369">
      <c r="A369" s="13" t="n"/>
      <c r="B369" s="68" t="n"/>
      <c r="C369" s="13" t="n"/>
      <c r="D369" s="15" t="n"/>
      <c r="E369" s="69" t="n"/>
      <c r="F369" s="69" t="n"/>
      <c r="G369" s="69" t="n"/>
      <c r="H369" s="69" t="n"/>
      <c r="I369" s="13" t="n"/>
      <c r="J369" s="13" t="n"/>
      <c r="K369" s="13" t="n"/>
      <c r="L369" s="17">
        <f>IF($A369="","",1)</f>
        <v/>
      </c>
    </row>
    <row r="370">
      <c r="A370" s="13" t="n"/>
      <c r="B370" s="68" t="n"/>
      <c r="C370" s="13" t="n"/>
      <c r="D370" s="15" t="n"/>
      <c r="E370" s="69" t="n"/>
      <c r="F370" s="69" t="n"/>
      <c r="G370" s="69" t="n"/>
      <c r="H370" s="69" t="n"/>
      <c r="I370" s="13" t="n"/>
      <c r="J370" s="13" t="n"/>
      <c r="K370" s="13" t="n"/>
      <c r="L370" s="17">
        <f>IF($A370="","",1)</f>
        <v/>
      </c>
    </row>
    <row r="371">
      <c r="A371" s="13" t="n"/>
      <c r="B371" s="68" t="n"/>
      <c r="C371" s="13" t="n"/>
      <c r="D371" s="15" t="n"/>
      <c r="E371" s="69" t="n"/>
      <c r="F371" s="69" t="n"/>
      <c r="G371" s="69" t="n"/>
      <c r="H371" s="69" t="n"/>
      <c r="I371" s="13" t="n"/>
      <c r="J371" s="13" t="n"/>
      <c r="K371" s="13" t="n"/>
      <c r="L371" s="17">
        <f>IF($A371="","",1)</f>
        <v/>
      </c>
    </row>
    <row r="372">
      <c r="A372" s="13" t="n"/>
      <c r="B372" s="68" t="n"/>
      <c r="C372" s="13" t="n"/>
      <c r="D372" s="15" t="n"/>
      <c r="E372" s="69" t="n"/>
      <c r="F372" s="69" t="n"/>
      <c r="G372" s="69" t="n"/>
      <c r="H372" s="69" t="n"/>
      <c r="I372" s="13" t="n"/>
      <c r="J372" s="13" t="n"/>
      <c r="K372" s="13" t="n"/>
      <c r="L372" s="17">
        <f>IF($A372="","",1)</f>
        <v/>
      </c>
    </row>
    <row r="373">
      <c r="A373" s="13" t="n"/>
      <c r="B373" s="68" t="n"/>
      <c r="C373" s="13" t="n"/>
      <c r="D373" s="15" t="n"/>
      <c r="E373" s="69" t="n"/>
      <c r="F373" s="69" t="n"/>
      <c r="G373" s="69" t="n"/>
      <c r="H373" s="69" t="n"/>
      <c r="I373" s="13" t="n"/>
      <c r="J373" s="13" t="n"/>
      <c r="K373" s="13" t="n"/>
      <c r="L373" s="17">
        <f>IF($A373="","",1)</f>
        <v/>
      </c>
    </row>
    <row r="374">
      <c r="A374" s="13" t="n"/>
      <c r="B374" s="68" t="n"/>
      <c r="C374" s="13" t="n"/>
      <c r="D374" s="15" t="n"/>
      <c r="E374" s="69" t="n"/>
      <c r="F374" s="69" t="n"/>
      <c r="G374" s="69" t="n"/>
      <c r="H374" s="69" t="n"/>
      <c r="I374" s="13" t="n"/>
      <c r="J374" s="13" t="n"/>
      <c r="K374" s="13" t="n"/>
      <c r="L374" s="17">
        <f>IF($A374="","",1)</f>
        <v/>
      </c>
    </row>
    <row r="375">
      <c r="A375" s="13" t="n"/>
      <c r="B375" s="68" t="n"/>
      <c r="C375" s="13" t="n"/>
      <c r="D375" s="15" t="n"/>
      <c r="E375" s="69" t="n"/>
      <c r="F375" s="69" t="n"/>
      <c r="G375" s="69" t="n"/>
      <c r="H375" s="69" t="n"/>
      <c r="I375" s="13" t="n"/>
      <c r="J375" s="13" t="n"/>
      <c r="K375" s="13" t="n"/>
      <c r="L375" s="17">
        <f>IF($A375="","",1)</f>
        <v/>
      </c>
    </row>
    <row r="376">
      <c r="A376" s="13" t="n"/>
      <c r="B376" s="68" t="n"/>
      <c r="C376" s="13" t="n"/>
      <c r="D376" s="15" t="n"/>
      <c r="E376" s="69" t="n"/>
      <c r="F376" s="69" t="n"/>
      <c r="G376" s="69" t="n"/>
      <c r="H376" s="69" t="n"/>
      <c r="I376" s="13" t="n"/>
      <c r="J376" s="13" t="n"/>
      <c r="K376" s="13" t="n"/>
      <c r="L376" s="17">
        <f>IF($A376="","",1)</f>
        <v/>
      </c>
    </row>
    <row r="377">
      <c r="A377" s="13" t="n"/>
      <c r="B377" s="68" t="n"/>
      <c r="C377" s="13" t="n"/>
      <c r="D377" s="15" t="n"/>
      <c r="E377" s="69" t="n"/>
      <c r="F377" s="69" t="n"/>
      <c r="G377" s="69" t="n"/>
      <c r="H377" s="69" t="n"/>
      <c r="I377" s="13" t="n"/>
      <c r="J377" s="13" t="n"/>
      <c r="K377" s="13" t="n"/>
      <c r="L377" s="17">
        <f>IF($A377="","",1)</f>
        <v/>
      </c>
    </row>
    <row r="378">
      <c r="A378" s="13" t="n"/>
      <c r="B378" s="68" t="n"/>
      <c r="C378" s="13" t="n"/>
      <c r="D378" s="15" t="n"/>
      <c r="E378" s="69" t="n"/>
      <c r="F378" s="69" t="n"/>
      <c r="G378" s="69" t="n"/>
      <c r="H378" s="69" t="n"/>
      <c r="I378" s="13" t="n"/>
      <c r="J378" s="13" t="n"/>
      <c r="K378" s="13" t="n"/>
      <c r="L378" s="17">
        <f>IF($A378="","",1)</f>
        <v/>
      </c>
    </row>
    <row r="379">
      <c r="A379" s="13" t="n"/>
      <c r="B379" s="68" t="n"/>
      <c r="C379" s="13" t="n"/>
      <c r="D379" s="15" t="n"/>
      <c r="E379" s="69" t="n"/>
      <c r="F379" s="69" t="n"/>
      <c r="G379" s="69" t="n"/>
      <c r="H379" s="69" t="n"/>
      <c r="I379" s="13" t="n"/>
      <c r="J379" s="13" t="n"/>
      <c r="K379" s="13" t="n"/>
      <c r="L379" s="17">
        <f>IF($A379="","",1)</f>
        <v/>
      </c>
    </row>
    <row r="380">
      <c r="A380" s="13" t="n"/>
      <c r="B380" s="68" t="n"/>
      <c r="C380" s="13" t="n"/>
      <c r="D380" s="15" t="n"/>
      <c r="E380" s="69" t="n"/>
      <c r="F380" s="69" t="n"/>
      <c r="G380" s="69" t="n"/>
      <c r="H380" s="69" t="n"/>
      <c r="I380" s="13" t="n"/>
      <c r="J380" s="13" t="n"/>
      <c r="K380" s="13" t="n"/>
      <c r="L380" s="17">
        <f>IF($A380="","",1)</f>
        <v/>
      </c>
    </row>
    <row r="381">
      <c r="A381" s="13" t="n"/>
      <c r="B381" s="68" t="n"/>
      <c r="C381" s="13" t="n"/>
      <c r="D381" s="15" t="n"/>
      <c r="E381" s="69" t="n"/>
      <c r="F381" s="69" t="n"/>
      <c r="G381" s="69" t="n"/>
      <c r="H381" s="69" t="n"/>
      <c r="I381" s="13" t="n"/>
      <c r="J381" s="13" t="n"/>
      <c r="K381" s="13" t="n"/>
      <c r="L381" s="17">
        <f>IF($A381="","",1)</f>
        <v/>
      </c>
    </row>
    <row r="382">
      <c r="A382" s="13" t="n"/>
      <c r="B382" s="68" t="n"/>
      <c r="C382" s="13" t="n"/>
      <c r="D382" s="15" t="n"/>
      <c r="E382" s="69" t="n"/>
      <c r="F382" s="69" t="n"/>
      <c r="G382" s="69" t="n"/>
      <c r="H382" s="69" t="n"/>
      <c r="I382" s="13" t="n"/>
      <c r="J382" s="13" t="n"/>
      <c r="K382" s="13" t="n"/>
      <c r="L382" s="17">
        <f>IF($A382="","",1)</f>
        <v/>
      </c>
    </row>
    <row r="383">
      <c r="A383" s="13" t="n"/>
      <c r="B383" s="68" t="n"/>
      <c r="C383" s="13" t="n"/>
      <c r="D383" s="15" t="n"/>
      <c r="E383" s="69" t="n"/>
      <c r="F383" s="69" t="n"/>
      <c r="G383" s="69" t="n"/>
      <c r="H383" s="69" t="n"/>
      <c r="I383" s="13" t="n"/>
      <c r="J383" s="13" t="n"/>
      <c r="K383" s="13" t="n"/>
      <c r="L383" s="17">
        <f>IF($A383="","",1)</f>
        <v/>
      </c>
    </row>
    <row r="384">
      <c r="A384" s="13" t="n"/>
      <c r="B384" s="68" t="n"/>
      <c r="C384" s="13" t="n"/>
      <c r="D384" s="15" t="n"/>
      <c r="E384" s="69" t="n"/>
      <c r="F384" s="69" t="n"/>
      <c r="G384" s="69" t="n"/>
      <c r="H384" s="69" t="n"/>
      <c r="I384" s="13" t="n"/>
      <c r="J384" s="13" t="n"/>
      <c r="K384" s="13" t="n"/>
      <c r="L384" s="17">
        <f>IF($A384="","",1)</f>
        <v/>
      </c>
    </row>
    <row r="385">
      <c r="A385" s="13" t="n"/>
      <c r="B385" s="68" t="n"/>
      <c r="C385" s="13" t="n"/>
      <c r="D385" s="15" t="n"/>
      <c r="E385" s="69" t="n"/>
      <c r="F385" s="69" t="n"/>
      <c r="G385" s="69" t="n"/>
      <c r="H385" s="69" t="n"/>
      <c r="I385" s="13" t="n"/>
      <c r="J385" s="13" t="n"/>
      <c r="K385" s="13" t="n"/>
      <c r="L385" s="17">
        <f>IF($A385="","",1)</f>
        <v/>
      </c>
    </row>
    <row r="386">
      <c r="A386" s="13" t="n"/>
      <c r="B386" s="68" t="n"/>
      <c r="C386" s="13" t="n"/>
      <c r="D386" s="15" t="n"/>
      <c r="E386" s="69" t="n"/>
      <c r="F386" s="69" t="n"/>
      <c r="G386" s="69" t="n"/>
      <c r="H386" s="69" t="n"/>
      <c r="I386" s="13" t="n"/>
      <c r="J386" s="13" t="n"/>
      <c r="K386" s="13" t="n"/>
      <c r="L386" s="17">
        <f>IF($A386="","",1)</f>
        <v/>
      </c>
    </row>
    <row r="387">
      <c r="A387" s="13" t="n"/>
      <c r="B387" s="68" t="n"/>
      <c r="C387" s="13" t="n"/>
      <c r="D387" s="15" t="n"/>
      <c r="E387" s="69" t="n"/>
      <c r="F387" s="69" t="n"/>
      <c r="G387" s="69" t="n"/>
      <c r="H387" s="69" t="n"/>
      <c r="I387" s="13" t="n"/>
      <c r="J387" s="13" t="n"/>
      <c r="K387" s="13" t="n"/>
      <c r="L387" s="17">
        <f>IF($A387="","",1)</f>
        <v/>
      </c>
    </row>
    <row r="388">
      <c r="A388" s="13" t="n"/>
      <c r="B388" s="68" t="n"/>
      <c r="C388" s="13" t="n"/>
      <c r="D388" s="15" t="n"/>
      <c r="E388" s="69" t="n"/>
      <c r="F388" s="69" t="n"/>
      <c r="G388" s="69" t="n"/>
      <c r="H388" s="69" t="n"/>
      <c r="I388" s="13" t="n"/>
      <c r="J388" s="13" t="n"/>
      <c r="K388" s="13" t="n"/>
      <c r="L388" s="17">
        <f>IF($A388="","",1)</f>
        <v/>
      </c>
    </row>
    <row r="389">
      <c r="A389" s="13" t="n"/>
      <c r="B389" s="68" t="n"/>
      <c r="C389" s="13" t="n"/>
      <c r="D389" s="15" t="n"/>
      <c r="E389" s="69" t="n"/>
      <c r="F389" s="69" t="n"/>
      <c r="G389" s="69" t="n"/>
      <c r="H389" s="69" t="n"/>
      <c r="I389" s="13" t="n"/>
      <c r="J389" s="13" t="n"/>
      <c r="K389" s="13" t="n"/>
      <c r="L389" s="17">
        <f>IF($A389="","",1)</f>
        <v/>
      </c>
    </row>
    <row r="390">
      <c r="A390" s="13" t="n"/>
      <c r="B390" s="68" t="n"/>
      <c r="C390" s="13" t="n"/>
      <c r="D390" s="15" t="n"/>
      <c r="E390" s="69" t="n"/>
      <c r="F390" s="69" t="n"/>
      <c r="G390" s="69" t="n"/>
      <c r="H390" s="69" t="n"/>
      <c r="I390" s="13" t="n"/>
      <c r="J390" s="13" t="n"/>
      <c r="K390" s="13" t="n"/>
      <c r="L390" s="17">
        <f>IF($A390="","",1)</f>
        <v/>
      </c>
    </row>
    <row r="391">
      <c r="A391" s="13" t="n"/>
      <c r="B391" s="68" t="n"/>
      <c r="C391" s="13" t="n"/>
      <c r="D391" s="15" t="n"/>
      <c r="E391" s="69" t="n"/>
      <c r="F391" s="69" t="n"/>
      <c r="G391" s="69" t="n"/>
      <c r="H391" s="69" t="n"/>
      <c r="I391" s="13" t="n"/>
      <c r="J391" s="13" t="n"/>
      <c r="K391" s="13" t="n"/>
      <c r="L391" s="17">
        <f>IF($A391="","",1)</f>
        <v/>
      </c>
    </row>
    <row r="392">
      <c r="A392" s="13" t="n"/>
      <c r="B392" s="68" t="n"/>
      <c r="C392" s="13" t="n"/>
      <c r="D392" s="15" t="n"/>
      <c r="E392" s="69" t="n"/>
      <c r="F392" s="69" t="n"/>
      <c r="G392" s="69" t="n"/>
      <c r="H392" s="69" t="n"/>
      <c r="I392" s="13" t="n"/>
      <c r="J392" s="13" t="n"/>
      <c r="K392" s="13" t="n"/>
      <c r="L392" s="17">
        <f>IF($A392="","",1)</f>
        <v/>
      </c>
    </row>
    <row r="393">
      <c r="A393" s="13" t="n"/>
      <c r="B393" s="68" t="n"/>
      <c r="C393" s="13" t="n"/>
      <c r="D393" s="15" t="n"/>
      <c r="E393" s="69" t="n"/>
      <c r="F393" s="69" t="n"/>
      <c r="G393" s="69" t="n"/>
      <c r="H393" s="69" t="n"/>
      <c r="I393" s="13" t="n"/>
      <c r="J393" s="13" t="n"/>
      <c r="K393" s="13" t="n"/>
      <c r="L393" s="17">
        <f>IF($A393="","",1)</f>
        <v/>
      </c>
    </row>
    <row r="394">
      <c r="A394" s="13" t="n"/>
      <c r="B394" s="68" t="n"/>
      <c r="C394" s="13" t="n"/>
      <c r="D394" s="15" t="n"/>
      <c r="E394" s="69" t="n"/>
      <c r="F394" s="69" t="n"/>
      <c r="G394" s="69" t="n"/>
      <c r="H394" s="69" t="n"/>
      <c r="I394" s="13" t="n"/>
      <c r="J394" s="13" t="n"/>
      <c r="K394" s="13" t="n"/>
      <c r="L394" s="17">
        <f>IF($A394="","",1)</f>
        <v/>
      </c>
    </row>
    <row r="395">
      <c r="A395" s="13" t="n"/>
      <c r="B395" s="68" t="n"/>
      <c r="C395" s="13" t="n"/>
      <c r="D395" s="15" t="n"/>
      <c r="E395" s="69" t="n"/>
      <c r="F395" s="69" t="n"/>
      <c r="G395" s="69" t="n"/>
      <c r="H395" s="69" t="n"/>
      <c r="I395" s="13" t="n"/>
      <c r="J395" s="13" t="n"/>
      <c r="K395" s="13" t="n"/>
      <c r="L395" s="17">
        <f>IF($A395="","",1)</f>
        <v/>
      </c>
    </row>
    <row r="396">
      <c r="A396" s="13" t="n"/>
      <c r="B396" s="68" t="n"/>
      <c r="C396" s="13" t="n"/>
      <c r="D396" s="15" t="n"/>
      <c r="E396" s="69" t="n"/>
      <c r="F396" s="69" t="n"/>
      <c r="G396" s="69" t="n"/>
      <c r="H396" s="69" t="n"/>
      <c r="I396" s="13" t="n"/>
      <c r="J396" s="13" t="n"/>
      <c r="K396" s="13" t="n"/>
      <c r="L396" s="17">
        <f>IF($A396="","",1)</f>
        <v/>
      </c>
    </row>
    <row r="397">
      <c r="A397" s="13" t="n"/>
      <c r="B397" s="68" t="n"/>
      <c r="C397" s="13" t="n"/>
      <c r="D397" s="15" t="n"/>
      <c r="E397" s="69" t="n"/>
      <c r="F397" s="69" t="n"/>
      <c r="G397" s="69" t="n"/>
      <c r="H397" s="69" t="n"/>
      <c r="I397" s="13" t="n"/>
      <c r="J397" s="13" t="n"/>
      <c r="K397" s="13" t="n"/>
      <c r="L397" s="17">
        <f>IF($A397="","",1)</f>
        <v/>
      </c>
    </row>
    <row r="398">
      <c r="A398" s="13" t="n"/>
      <c r="B398" s="68" t="n"/>
      <c r="C398" s="13" t="n"/>
      <c r="D398" s="15" t="n"/>
      <c r="E398" s="69" t="n"/>
      <c r="F398" s="69" t="n"/>
      <c r="G398" s="69" t="n"/>
      <c r="H398" s="69" t="n"/>
      <c r="I398" s="13" t="n"/>
      <c r="J398" s="13" t="n"/>
      <c r="K398" s="13" t="n"/>
      <c r="L398" s="17">
        <f>IF($A398="","",1)</f>
        <v/>
      </c>
    </row>
    <row r="399">
      <c r="A399" s="13" t="n"/>
      <c r="B399" s="68" t="n"/>
      <c r="C399" s="13" t="n"/>
      <c r="D399" s="15" t="n"/>
      <c r="E399" s="69" t="n"/>
      <c r="F399" s="69" t="n"/>
      <c r="G399" s="69" t="n"/>
      <c r="H399" s="69" t="n"/>
      <c r="I399" s="13" t="n"/>
      <c r="J399" s="13" t="n"/>
      <c r="K399" s="13" t="n"/>
      <c r="L399" s="17">
        <f>IF($A399="","",1)</f>
        <v/>
      </c>
    </row>
    <row r="400">
      <c r="A400" s="13" t="n"/>
      <c r="B400" s="68" t="n"/>
      <c r="C400" s="13" t="n"/>
      <c r="D400" s="15" t="n"/>
      <c r="E400" s="69" t="n"/>
      <c r="F400" s="69" t="n"/>
      <c r="G400" s="69" t="n"/>
      <c r="H400" s="69" t="n"/>
      <c r="I400" s="13" t="n"/>
      <c r="J400" s="13" t="n"/>
      <c r="K400" s="13" t="n"/>
      <c r="L400" s="17">
        <f>IF($A400="","",1)</f>
        <v/>
      </c>
    </row>
    <row r="401">
      <c r="A401" s="13" t="n"/>
      <c r="B401" s="68" t="n"/>
      <c r="C401" s="13" t="n"/>
      <c r="D401" s="15" t="n"/>
      <c r="E401" s="69" t="n"/>
      <c r="F401" s="69" t="n"/>
      <c r="G401" s="69" t="n"/>
      <c r="H401" s="69" t="n"/>
      <c r="I401" s="13" t="n"/>
      <c r="J401" s="13" t="n"/>
      <c r="K401" s="13" t="n"/>
      <c r="L401" s="17">
        <f>IF($A401="","",1)</f>
        <v/>
      </c>
    </row>
    <row r="402">
      <c r="A402" s="13" t="n"/>
      <c r="B402" s="68" t="n"/>
      <c r="C402" s="13" t="n"/>
      <c r="D402" s="15" t="n"/>
      <c r="E402" s="69" t="n"/>
      <c r="F402" s="69" t="n"/>
      <c r="G402" s="69" t="n"/>
      <c r="H402" s="69" t="n"/>
      <c r="I402" s="13" t="n"/>
      <c r="J402" s="13" t="n"/>
      <c r="K402" s="13" t="n"/>
      <c r="L402" s="17">
        <f>IF($A402="","",1)</f>
        <v/>
      </c>
    </row>
    <row r="403">
      <c r="A403" s="13" t="n"/>
      <c r="B403" s="68" t="n"/>
      <c r="C403" s="13" t="n"/>
      <c r="D403" s="15" t="n"/>
      <c r="E403" s="69" t="n"/>
      <c r="F403" s="69" t="n"/>
      <c r="G403" s="69" t="n"/>
      <c r="H403" s="69" t="n"/>
      <c r="I403" s="13" t="n"/>
      <c r="J403" s="13" t="n"/>
      <c r="K403" s="13" t="n"/>
      <c r="L403" s="17">
        <f>IF($A403="","",1)</f>
        <v/>
      </c>
    </row>
    <row r="404">
      <c r="A404" s="13" t="n"/>
      <c r="B404" s="68" t="n"/>
      <c r="C404" s="13" t="n"/>
      <c r="D404" s="15" t="n"/>
      <c r="E404" s="69" t="n"/>
      <c r="F404" s="69" t="n"/>
      <c r="G404" s="69" t="n"/>
      <c r="H404" s="69" t="n"/>
      <c r="I404" s="13" t="n"/>
      <c r="J404" s="13" t="n"/>
      <c r="K404" s="13" t="n"/>
      <c r="L404" s="17">
        <f>IF($A404="","",1)</f>
        <v/>
      </c>
    </row>
    <row r="405">
      <c r="A405" s="13" t="n"/>
      <c r="B405" s="68" t="n"/>
      <c r="C405" s="13" t="n"/>
      <c r="D405" s="15" t="n"/>
      <c r="E405" s="69" t="n"/>
      <c r="F405" s="69" t="n"/>
      <c r="G405" s="69" t="n"/>
      <c r="H405" s="69" t="n"/>
      <c r="I405" s="13" t="n"/>
      <c r="J405" s="13" t="n"/>
      <c r="K405" s="13" t="n"/>
      <c r="L405" s="17">
        <f>IF($A405="","",1)</f>
        <v/>
      </c>
    </row>
    <row r="406">
      <c r="A406" s="13" t="n"/>
      <c r="B406" s="68" t="n"/>
      <c r="C406" s="13" t="n"/>
      <c r="D406" s="15" t="n"/>
      <c r="E406" s="69" t="n"/>
      <c r="F406" s="69" t="n"/>
      <c r="G406" s="69" t="n"/>
      <c r="H406" s="69" t="n"/>
      <c r="I406" s="13" t="n"/>
      <c r="J406" s="13" t="n"/>
      <c r="K406" s="13" t="n"/>
      <c r="L406" s="17">
        <f>IF($A406="","",1)</f>
        <v/>
      </c>
    </row>
    <row r="407">
      <c r="A407" s="13" t="n"/>
      <c r="B407" s="68" t="n"/>
      <c r="C407" s="13" t="n"/>
      <c r="D407" s="15" t="n"/>
      <c r="E407" s="69" t="n"/>
      <c r="F407" s="69" t="n"/>
      <c r="G407" s="69" t="n"/>
      <c r="H407" s="69" t="n"/>
      <c r="I407" s="13" t="n"/>
      <c r="J407" s="13" t="n"/>
      <c r="K407" s="13" t="n"/>
      <c r="L407" s="17">
        <f>IF($A407="","",1)</f>
        <v/>
      </c>
    </row>
    <row r="408">
      <c r="A408" s="13" t="n"/>
      <c r="B408" s="68" t="n"/>
      <c r="C408" s="13" t="n"/>
      <c r="D408" s="15" t="n"/>
      <c r="E408" s="69" t="n"/>
      <c r="F408" s="69" t="n"/>
      <c r="G408" s="69" t="n"/>
      <c r="H408" s="69" t="n"/>
      <c r="I408" s="13" t="n"/>
      <c r="J408" s="13" t="n"/>
      <c r="K408" s="13" t="n"/>
      <c r="L408" s="17">
        <f>IF($A408="","",1)</f>
        <v/>
      </c>
    </row>
    <row r="409">
      <c r="A409" s="13" t="n"/>
      <c r="B409" s="68" t="n"/>
      <c r="C409" s="13" t="n"/>
      <c r="D409" s="15" t="n"/>
      <c r="E409" s="69" t="n"/>
      <c r="F409" s="69" t="n"/>
      <c r="G409" s="69" t="n"/>
      <c r="H409" s="69" t="n"/>
      <c r="I409" s="13" t="n"/>
      <c r="J409" s="13" t="n"/>
      <c r="K409" s="13" t="n"/>
      <c r="L409" s="17">
        <f>IF($A409="","",1)</f>
        <v/>
      </c>
    </row>
    <row r="410">
      <c r="A410" s="13" t="n"/>
      <c r="B410" s="68" t="n"/>
      <c r="C410" s="13" t="n"/>
      <c r="D410" s="15" t="n"/>
      <c r="E410" s="69" t="n"/>
      <c r="F410" s="69" t="n"/>
      <c r="G410" s="69" t="n"/>
      <c r="H410" s="69" t="n"/>
      <c r="I410" s="13" t="n"/>
      <c r="J410" s="13" t="n"/>
      <c r="K410" s="13" t="n"/>
      <c r="L410" s="17">
        <f>IF($A410="","",1)</f>
        <v/>
      </c>
    </row>
    <row r="411">
      <c r="A411" s="13" t="n"/>
      <c r="B411" s="68" t="n"/>
      <c r="C411" s="13" t="n"/>
      <c r="D411" s="15" t="n"/>
      <c r="E411" s="69" t="n"/>
      <c r="F411" s="69" t="n"/>
      <c r="G411" s="69" t="n"/>
      <c r="H411" s="69" t="n"/>
      <c r="I411" s="13" t="n"/>
      <c r="J411" s="13" t="n"/>
      <c r="K411" s="13" t="n"/>
      <c r="L411" s="17">
        <f>IF($A411="","",1)</f>
        <v/>
      </c>
    </row>
    <row r="412">
      <c r="A412" s="13" t="n"/>
      <c r="B412" s="68" t="n"/>
      <c r="C412" s="13" t="n"/>
      <c r="D412" s="15" t="n"/>
      <c r="E412" s="69" t="n"/>
      <c r="F412" s="69" t="n"/>
      <c r="G412" s="69" t="n"/>
      <c r="H412" s="69" t="n"/>
      <c r="I412" s="13" t="n"/>
      <c r="J412" s="13" t="n"/>
      <c r="K412" s="13" t="n"/>
      <c r="L412" s="17">
        <f>IF($A412="","",1)</f>
        <v/>
      </c>
    </row>
    <row r="413">
      <c r="A413" s="13" t="n"/>
      <c r="B413" s="68" t="n"/>
      <c r="C413" s="13" t="n"/>
      <c r="D413" s="15" t="n"/>
      <c r="E413" s="69" t="n"/>
      <c r="F413" s="69" t="n"/>
      <c r="G413" s="69" t="n"/>
      <c r="H413" s="69" t="n"/>
      <c r="I413" s="13" t="n"/>
      <c r="J413" s="13" t="n"/>
      <c r="K413" s="13" t="n"/>
      <c r="L413" s="17">
        <f>IF($A413="","",1)</f>
        <v/>
      </c>
    </row>
    <row r="414">
      <c r="A414" s="13" t="n"/>
      <c r="B414" s="68" t="n"/>
      <c r="C414" s="13" t="n"/>
      <c r="D414" s="15" t="n"/>
      <c r="E414" s="69" t="n"/>
      <c r="F414" s="69" t="n"/>
      <c r="G414" s="69" t="n"/>
      <c r="H414" s="69" t="n"/>
      <c r="I414" s="13" t="n"/>
      <c r="J414" s="13" t="n"/>
      <c r="K414" s="13" t="n"/>
      <c r="L414" s="17">
        <f>IF($A414="","",1)</f>
        <v/>
      </c>
    </row>
    <row r="415">
      <c r="A415" s="13" t="n"/>
      <c r="B415" s="68" t="n"/>
      <c r="C415" s="13" t="n"/>
      <c r="D415" s="15" t="n"/>
      <c r="E415" s="69" t="n"/>
      <c r="F415" s="69" t="n"/>
      <c r="G415" s="69" t="n"/>
      <c r="H415" s="69" t="n"/>
      <c r="I415" s="13" t="n"/>
      <c r="J415" s="13" t="n"/>
      <c r="K415" s="13" t="n"/>
      <c r="L415" s="17">
        <f>IF($A415="","",1)</f>
        <v/>
      </c>
    </row>
    <row r="416">
      <c r="A416" s="13" t="n"/>
      <c r="B416" s="68" t="n"/>
      <c r="C416" s="13" t="n"/>
      <c r="D416" s="15" t="n"/>
      <c r="E416" s="69" t="n"/>
      <c r="F416" s="69" t="n"/>
      <c r="G416" s="69" t="n"/>
      <c r="H416" s="69" t="n"/>
      <c r="I416" s="13" t="n"/>
      <c r="J416" s="13" t="n"/>
      <c r="K416" s="13" t="n"/>
      <c r="L416" s="17">
        <f>IF($A416="","",1)</f>
        <v/>
      </c>
    </row>
    <row r="417">
      <c r="A417" s="13" t="n"/>
      <c r="B417" s="68" t="n"/>
      <c r="C417" s="13" t="n"/>
      <c r="D417" s="15" t="n"/>
      <c r="E417" s="69" t="n"/>
      <c r="F417" s="69" t="n"/>
      <c r="G417" s="69" t="n"/>
      <c r="H417" s="69" t="n"/>
      <c r="I417" s="13" t="n"/>
      <c r="J417" s="13" t="n"/>
      <c r="K417" s="13" t="n"/>
      <c r="L417" s="17">
        <f>IF($A417="","",1)</f>
        <v/>
      </c>
    </row>
    <row r="418">
      <c r="A418" s="13" t="n"/>
      <c r="B418" s="68" t="n"/>
      <c r="C418" s="13" t="n"/>
      <c r="D418" s="15" t="n"/>
      <c r="E418" s="69" t="n"/>
      <c r="F418" s="69" t="n"/>
      <c r="G418" s="69" t="n"/>
      <c r="H418" s="69" t="n"/>
      <c r="I418" s="13" t="n"/>
      <c r="J418" s="13" t="n"/>
      <c r="K418" s="13" t="n"/>
      <c r="L418" s="17">
        <f>IF($A418="","",1)</f>
        <v/>
      </c>
    </row>
    <row r="419">
      <c r="A419" s="13" t="n"/>
      <c r="B419" s="68" t="n"/>
      <c r="C419" s="13" t="n"/>
      <c r="D419" s="15" t="n"/>
      <c r="E419" s="69" t="n"/>
      <c r="F419" s="69" t="n"/>
      <c r="G419" s="69" t="n"/>
      <c r="H419" s="69" t="n"/>
      <c r="I419" s="13" t="n"/>
      <c r="J419" s="13" t="n"/>
      <c r="K419" s="13" t="n"/>
      <c r="L419" s="17">
        <f>IF($A419="","",1)</f>
        <v/>
      </c>
    </row>
    <row r="420">
      <c r="A420" s="13" t="n"/>
      <c r="B420" s="68" t="n"/>
      <c r="C420" s="13" t="n"/>
      <c r="D420" s="15" t="n"/>
      <c r="E420" s="69" t="n"/>
      <c r="F420" s="69" t="n"/>
      <c r="G420" s="69" t="n"/>
      <c r="H420" s="69" t="n"/>
      <c r="I420" s="13" t="n"/>
      <c r="J420" s="13" t="n"/>
      <c r="K420" s="13" t="n"/>
      <c r="L420" s="17">
        <f>IF($A420="","",1)</f>
        <v/>
      </c>
    </row>
    <row r="421">
      <c r="A421" s="13" t="n"/>
      <c r="B421" s="68" t="n"/>
      <c r="C421" s="13" t="n"/>
      <c r="D421" s="15" t="n"/>
      <c r="E421" s="69" t="n"/>
      <c r="F421" s="69" t="n"/>
      <c r="G421" s="69" t="n"/>
      <c r="H421" s="69" t="n"/>
      <c r="I421" s="13" t="n"/>
      <c r="J421" s="13" t="n"/>
      <c r="K421" s="13" t="n"/>
      <c r="L421" s="17">
        <f>IF($A421="","",1)</f>
        <v/>
      </c>
    </row>
    <row r="422">
      <c r="A422" s="13" t="n"/>
      <c r="B422" s="68" t="n"/>
      <c r="C422" s="13" t="n"/>
      <c r="D422" s="15" t="n"/>
      <c r="E422" s="69" t="n"/>
      <c r="F422" s="69" t="n"/>
      <c r="G422" s="69" t="n"/>
      <c r="H422" s="69" t="n"/>
      <c r="I422" s="13" t="n"/>
      <c r="J422" s="13" t="n"/>
      <c r="K422" s="13" t="n"/>
      <c r="L422" s="17">
        <f>IF($A422="","",1)</f>
        <v/>
      </c>
    </row>
    <row r="423">
      <c r="A423" s="13" t="n"/>
      <c r="B423" s="68" t="n"/>
      <c r="C423" s="13" t="n"/>
      <c r="D423" s="15" t="n"/>
      <c r="E423" s="69" t="n"/>
      <c r="F423" s="69" t="n"/>
      <c r="G423" s="69" t="n"/>
      <c r="H423" s="69" t="n"/>
      <c r="I423" s="13" t="n"/>
      <c r="J423" s="13" t="n"/>
      <c r="K423" s="13" t="n"/>
      <c r="L423" s="17">
        <f>IF($A423="","",1)</f>
        <v/>
      </c>
    </row>
    <row r="424">
      <c r="A424" s="13" t="n"/>
      <c r="B424" s="68" t="n"/>
      <c r="C424" s="13" t="n"/>
      <c r="D424" s="15" t="n"/>
      <c r="E424" s="69" t="n"/>
      <c r="F424" s="69" t="n"/>
      <c r="G424" s="69" t="n"/>
      <c r="H424" s="69" t="n"/>
      <c r="I424" s="13" t="n"/>
      <c r="J424" s="13" t="n"/>
      <c r="K424" s="13" t="n"/>
      <c r="L424" s="17">
        <f>IF($A424="","",1)</f>
        <v/>
      </c>
    </row>
    <row r="425">
      <c r="A425" s="13" t="n"/>
      <c r="B425" s="68" t="n"/>
      <c r="C425" s="13" t="n"/>
      <c r="D425" s="15" t="n"/>
      <c r="E425" s="69" t="n"/>
      <c r="F425" s="69" t="n"/>
      <c r="G425" s="69" t="n"/>
      <c r="H425" s="69" t="n"/>
      <c r="I425" s="13" t="n"/>
      <c r="J425" s="13" t="n"/>
      <c r="K425" s="13" t="n"/>
      <c r="L425" s="17">
        <f>IF($A425="","",1)</f>
        <v/>
      </c>
    </row>
    <row r="426">
      <c r="A426" s="13" t="n"/>
      <c r="B426" s="68" t="n"/>
      <c r="C426" s="13" t="n"/>
      <c r="D426" s="15" t="n"/>
      <c r="E426" s="69" t="n"/>
      <c r="F426" s="69" t="n"/>
      <c r="G426" s="69" t="n"/>
      <c r="H426" s="69" t="n"/>
      <c r="I426" s="13" t="n"/>
      <c r="J426" s="13" t="n"/>
      <c r="K426" s="13" t="n"/>
      <c r="L426" s="17">
        <f>IF($A426="","",1)</f>
        <v/>
      </c>
    </row>
    <row r="427">
      <c r="A427" s="13" t="n"/>
      <c r="B427" s="68" t="n"/>
      <c r="C427" s="13" t="n"/>
      <c r="D427" s="15" t="n"/>
      <c r="E427" s="69" t="n"/>
      <c r="F427" s="69" t="n"/>
      <c r="G427" s="69" t="n"/>
      <c r="H427" s="69" t="n"/>
      <c r="I427" s="13" t="n"/>
      <c r="J427" s="13" t="n"/>
      <c r="K427" s="13" t="n"/>
      <c r="L427" s="17">
        <f>IF($A427="","",1)</f>
        <v/>
      </c>
    </row>
    <row r="428">
      <c r="A428" s="13" t="n"/>
      <c r="B428" s="68" t="n"/>
      <c r="C428" s="13" t="n"/>
      <c r="D428" s="15" t="n"/>
      <c r="E428" s="69" t="n"/>
      <c r="F428" s="69" t="n"/>
      <c r="G428" s="69" t="n"/>
      <c r="H428" s="69" t="n"/>
      <c r="I428" s="13" t="n"/>
      <c r="J428" s="13" t="n"/>
      <c r="K428" s="13" t="n"/>
      <c r="L428" s="17">
        <f>IF($A428="","",1)</f>
        <v/>
      </c>
    </row>
    <row r="429">
      <c r="A429" s="13" t="n"/>
      <c r="B429" s="68" t="n"/>
      <c r="C429" s="13" t="n"/>
      <c r="D429" s="15" t="n"/>
      <c r="E429" s="69" t="n"/>
      <c r="F429" s="69" t="n"/>
      <c r="G429" s="69" t="n"/>
      <c r="H429" s="69" t="n"/>
      <c r="I429" s="13" t="n"/>
      <c r="J429" s="13" t="n"/>
      <c r="K429" s="13" t="n"/>
      <c r="L429" s="17">
        <f>IF($A429="","",1)</f>
        <v/>
      </c>
    </row>
    <row r="430">
      <c r="A430" s="13" t="n"/>
      <c r="B430" s="68" t="n"/>
      <c r="C430" s="13" t="n"/>
      <c r="D430" s="15" t="n"/>
      <c r="E430" s="69" t="n"/>
      <c r="F430" s="69" t="n"/>
      <c r="G430" s="69" t="n"/>
      <c r="H430" s="69" t="n"/>
      <c r="I430" s="13" t="n"/>
      <c r="J430" s="13" t="n"/>
      <c r="K430" s="13" t="n"/>
      <c r="L430" s="17">
        <f>IF($A430="","",1)</f>
        <v/>
      </c>
    </row>
    <row r="431">
      <c r="A431" s="13" t="n"/>
      <c r="B431" s="68" t="n"/>
      <c r="C431" s="13" t="n"/>
      <c r="D431" s="15" t="n"/>
      <c r="E431" s="69" t="n"/>
      <c r="F431" s="69" t="n"/>
      <c r="G431" s="69" t="n"/>
      <c r="H431" s="69" t="n"/>
      <c r="I431" s="13" t="n"/>
      <c r="J431" s="13" t="n"/>
      <c r="K431" s="13" t="n"/>
      <c r="L431" s="17">
        <f>IF($A431="","",1)</f>
        <v/>
      </c>
    </row>
    <row r="432">
      <c r="A432" s="13" t="n"/>
      <c r="B432" s="68" t="n"/>
      <c r="C432" s="13" t="n"/>
      <c r="D432" s="15" t="n"/>
      <c r="E432" s="69" t="n"/>
      <c r="F432" s="69" t="n"/>
      <c r="G432" s="69" t="n"/>
      <c r="H432" s="69" t="n"/>
      <c r="I432" s="13" t="n"/>
      <c r="J432" s="13" t="n"/>
      <c r="K432" s="13" t="n"/>
      <c r="L432" s="17">
        <f>IF($A432="","",1)</f>
        <v/>
      </c>
    </row>
    <row r="433">
      <c r="A433" s="13" t="n"/>
      <c r="B433" s="68" t="n"/>
      <c r="C433" s="13" t="n"/>
      <c r="D433" s="15" t="n"/>
      <c r="E433" s="69" t="n"/>
      <c r="F433" s="69" t="n"/>
      <c r="G433" s="69" t="n"/>
      <c r="H433" s="69" t="n"/>
      <c r="I433" s="13" t="n"/>
      <c r="J433" s="13" t="n"/>
      <c r="K433" s="13" t="n"/>
      <c r="L433" s="17">
        <f>IF($A433="","",1)</f>
        <v/>
      </c>
    </row>
    <row r="434">
      <c r="A434" s="13" t="n"/>
      <c r="B434" s="68" t="n"/>
      <c r="C434" s="13" t="n"/>
      <c r="D434" s="15" t="n"/>
      <c r="E434" s="69" t="n"/>
      <c r="F434" s="69" t="n"/>
      <c r="G434" s="69" t="n"/>
      <c r="H434" s="69" t="n"/>
      <c r="I434" s="13" t="n"/>
      <c r="J434" s="13" t="n"/>
      <c r="K434" s="13" t="n"/>
      <c r="L434" s="17">
        <f>IF($A434="","",1)</f>
        <v/>
      </c>
    </row>
    <row r="435">
      <c r="A435" s="13" t="n"/>
      <c r="B435" s="68" t="n"/>
      <c r="C435" s="13" t="n"/>
      <c r="D435" s="15" t="n"/>
      <c r="E435" s="69" t="n"/>
      <c r="F435" s="69" t="n"/>
      <c r="G435" s="69" t="n"/>
      <c r="H435" s="69" t="n"/>
      <c r="I435" s="13" t="n"/>
      <c r="J435" s="13" t="n"/>
      <c r="K435" s="13" t="n"/>
      <c r="L435" s="17">
        <f>IF($A435="","",1)</f>
        <v/>
      </c>
    </row>
    <row r="436">
      <c r="A436" s="13" t="n"/>
      <c r="B436" s="68" t="n"/>
      <c r="C436" s="13" t="n"/>
      <c r="D436" s="15" t="n"/>
      <c r="E436" s="69" t="n"/>
      <c r="F436" s="69" t="n"/>
      <c r="G436" s="69" t="n"/>
      <c r="H436" s="69" t="n"/>
      <c r="I436" s="13" t="n"/>
      <c r="J436" s="13" t="n"/>
      <c r="K436" s="13" t="n"/>
      <c r="L436" s="17">
        <f>IF($A436="","",1)</f>
        <v/>
      </c>
    </row>
    <row r="437">
      <c r="A437" s="13" t="n"/>
      <c r="B437" s="68" t="n"/>
      <c r="C437" s="13" t="n"/>
      <c r="D437" s="15" t="n"/>
      <c r="E437" s="69" t="n"/>
      <c r="F437" s="69" t="n"/>
      <c r="G437" s="69" t="n"/>
      <c r="H437" s="69" t="n"/>
      <c r="I437" s="13" t="n"/>
      <c r="J437" s="13" t="n"/>
      <c r="K437" s="13" t="n"/>
      <c r="L437" s="17">
        <f>IF($A437="","",1)</f>
        <v/>
      </c>
    </row>
    <row r="438">
      <c r="A438" s="13" t="n"/>
      <c r="B438" s="68" t="n"/>
      <c r="C438" s="13" t="n"/>
      <c r="D438" s="15" t="n"/>
      <c r="E438" s="69" t="n"/>
      <c r="F438" s="69" t="n"/>
      <c r="G438" s="69" t="n"/>
      <c r="H438" s="69" t="n"/>
      <c r="I438" s="13" t="n"/>
      <c r="J438" s="13" t="n"/>
      <c r="K438" s="13" t="n"/>
      <c r="L438" s="17">
        <f>IF($A438="","",1)</f>
        <v/>
      </c>
    </row>
    <row r="439">
      <c r="A439" s="13" t="n"/>
      <c r="B439" s="68" t="n"/>
      <c r="C439" s="13" t="n"/>
      <c r="D439" s="15" t="n"/>
      <c r="E439" s="69" t="n"/>
      <c r="F439" s="69" t="n"/>
      <c r="G439" s="69" t="n"/>
      <c r="H439" s="69" t="n"/>
      <c r="I439" s="13" t="n"/>
      <c r="J439" s="13" t="n"/>
      <c r="K439" s="13" t="n"/>
      <c r="L439" s="17">
        <f>IF($A439="","",1)</f>
        <v/>
      </c>
    </row>
    <row r="440">
      <c r="A440" s="13" t="n"/>
      <c r="B440" s="68" t="n"/>
      <c r="C440" s="13" t="n"/>
      <c r="D440" s="15" t="n"/>
      <c r="E440" s="69" t="n"/>
      <c r="F440" s="69" t="n"/>
      <c r="G440" s="69" t="n"/>
      <c r="H440" s="69" t="n"/>
      <c r="I440" s="13" t="n"/>
      <c r="J440" s="13" t="n"/>
      <c r="K440" s="13" t="n"/>
      <c r="L440" s="17">
        <f>IF($A440="","",1)</f>
        <v/>
      </c>
    </row>
    <row r="441">
      <c r="A441" s="13" t="n"/>
      <c r="B441" s="68" t="n"/>
      <c r="C441" s="13" t="n"/>
      <c r="D441" s="15" t="n"/>
      <c r="E441" s="69" t="n"/>
      <c r="F441" s="69" t="n"/>
      <c r="G441" s="69" t="n"/>
      <c r="H441" s="69" t="n"/>
      <c r="I441" s="13" t="n"/>
      <c r="J441" s="13" t="n"/>
      <c r="K441" s="13" t="n"/>
      <c r="L441" s="17">
        <f>IF($A441="","",1)</f>
        <v/>
      </c>
    </row>
    <row r="442">
      <c r="A442" s="13" t="n"/>
      <c r="B442" s="68" t="n"/>
      <c r="C442" s="13" t="n"/>
      <c r="D442" s="15" t="n"/>
      <c r="E442" s="69" t="n"/>
      <c r="F442" s="69" t="n"/>
      <c r="G442" s="69" t="n"/>
      <c r="H442" s="69" t="n"/>
      <c r="I442" s="13" t="n"/>
      <c r="J442" s="13" t="n"/>
      <c r="K442" s="13" t="n"/>
      <c r="L442" s="17">
        <f>IF($A442="","",1)</f>
        <v/>
      </c>
    </row>
    <row r="443">
      <c r="A443" s="13" t="n"/>
      <c r="B443" s="68" t="n"/>
      <c r="C443" s="13" t="n"/>
      <c r="D443" s="15" t="n"/>
      <c r="E443" s="69" t="n"/>
      <c r="F443" s="69" t="n"/>
      <c r="G443" s="69" t="n"/>
      <c r="H443" s="69" t="n"/>
      <c r="I443" s="13" t="n"/>
      <c r="J443" s="13" t="n"/>
      <c r="K443" s="13" t="n"/>
      <c r="L443" s="17">
        <f>IF($A443="","",1)</f>
        <v/>
      </c>
    </row>
    <row r="444">
      <c r="A444" s="13" t="n"/>
      <c r="B444" s="68" t="n"/>
      <c r="C444" s="13" t="n"/>
      <c r="D444" s="15" t="n"/>
      <c r="E444" s="69" t="n"/>
      <c r="F444" s="69" t="n"/>
      <c r="G444" s="69" t="n"/>
      <c r="H444" s="69" t="n"/>
      <c r="I444" s="13" t="n"/>
      <c r="J444" s="13" t="n"/>
      <c r="K444" s="13" t="n"/>
      <c r="L444" s="17">
        <f>IF($A444="","",1)</f>
        <v/>
      </c>
    </row>
    <row r="445">
      <c r="A445" s="13" t="n"/>
      <c r="B445" s="68" t="n"/>
      <c r="C445" s="13" t="n"/>
      <c r="D445" s="15" t="n"/>
      <c r="E445" s="69" t="n"/>
      <c r="F445" s="69" t="n"/>
      <c r="G445" s="69" t="n"/>
      <c r="H445" s="69" t="n"/>
      <c r="I445" s="13" t="n"/>
      <c r="J445" s="13" t="n"/>
      <c r="K445" s="13" t="n"/>
      <c r="L445" s="17">
        <f>IF($A445="","",1)</f>
        <v/>
      </c>
    </row>
    <row r="446">
      <c r="A446" s="13" t="n"/>
      <c r="B446" s="68" t="n"/>
      <c r="C446" s="13" t="n"/>
      <c r="D446" s="15" t="n"/>
      <c r="E446" s="69" t="n"/>
      <c r="F446" s="69" t="n"/>
      <c r="G446" s="69" t="n"/>
      <c r="H446" s="69" t="n"/>
      <c r="I446" s="13" t="n"/>
      <c r="J446" s="13" t="n"/>
      <c r="K446" s="13" t="n"/>
      <c r="L446" s="17">
        <f>IF($A446="","",1)</f>
        <v/>
      </c>
    </row>
    <row r="447">
      <c r="A447" s="13" t="n"/>
      <c r="B447" s="68" t="n"/>
      <c r="C447" s="13" t="n"/>
      <c r="D447" s="15" t="n"/>
      <c r="E447" s="69" t="n"/>
      <c r="F447" s="69" t="n"/>
      <c r="G447" s="69" t="n"/>
      <c r="H447" s="69" t="n"/>
      <c r="I447" s="13" t="n"/>
      <c r="J447" s="13" t="n"/>
      <c r="K447" s="13" t="n"/>
      <c r="L447" s="17">
        <f>IF($A447="","",1)</f>
        <v/>
      </c>
    </row>
    <row r="448">
      <c r="A448" s="13" t="n"/>
      <c r="B448" s="68" t="n"/>
      <c r="C448" s="13" t="n"/>
      <c r="D448" s="15" t="n"/>
      <c r="E448" s="69" t="n"/>
      <c r="F448" s="69" t="n"/>
      <c r="G448" s="69" t="n"/>
      <c r="H448" s="69" t="n"/>
      <c r="I448" s="13" t="n"/>
      <c r="J448" s="13" t="n"/>
      <c r="K448" s="13" t="n"/>
      <c r="L448" s="17">
        <f>IF($A448="","",1)</f>
        <v/>
      </c>
    </row>
    <row r="449">
      <c r="A449" s="13" t="n"/>
      <c r="B449" s="68" t="n"/>
      <c r="C449" s="13" t="n"/>
      <c r="D449" s="15" t="n"/>
      <c r="E449" s="69" t="n"/>
      <c r="F449" s="69" t="n"/>
      <c r="G449" s="69" t="n"/>
      <c r="H449" s="69" t="n"/>
      <c r="I449" s="13" t="n"/>
      <c r="J449" s="13" t="n"/>
      <c r="K449" s="13" t="n"/>
      <c r="L449" s="17">
        <f>IF($A449="","",1)</f>
        <v/>
      </c>
    </row>
    <row r="450">
      <c r="A450" s="13" t="n"/>
      <c r="B450" s="68" t="n"/>
      <c r="C450" s="13" t="n"/>
      <c r="D450" s="15" t="n"/>
      <c r="E450" s="69" t="n"/>
      <c r="F450" s="69" t="n"/>
      <c r="G450" s="69" t="n"/>
      <c r="H450" s="69" t="n"/>
      <c r="I450" s="13" t="n"/>
      <c r="J450" s="13" t="n"/>
      <c r="K450" s="13" t="n"/>
      <c r="L450" s="17">
        <f>IF($A450="","",1)</f>
        <v/>
      </c>
    </row>
    <row r="451">
      <c r="A451" s="13" t="n"/>
      <c r="B451" s="68" t="n"/>
      <c r="C451" s="13" t="n"/>
      <c r="D451" s="15" t="n"/>
      <c r="E451" s="69" t="n"/>
      <c r="F451" s="69" t="n"/>
      <c r="G451" s="69" t="n"/>
      <c r="H451" s="69" t="n"/>
      <c r="I451" s="13" t="n"/>
      <c r="J451" s="13" t="n"/>
      <c r="K451" s="13" t="n"/>
      <c r="L451" s="17">
        <f>IF($A451="","",1)</f>
        <v/>
      </c>
    </row>
    <row r="452">
      <c r="A452" s="13" t="n"/>
      <c r="B452" s="68" t="n"/>
      <c r="C452" s="13" t="n"/>
      <c r="D452" s="15" t="n"/>
      <c r="E452" s="69" t="n"/>
      <c r="F452" s="69" t="n"/>
      <c r="G452" s="69" t="n"/>
      <c r="H452" s="69" t="n"/>
      <c r="I452" s="13" t="n"/>
      <c r="J452" s="13" t="n"/>
      <c r="K452" s="13" t="n"/>
      <c r="L452" s="17">
        <f>IF($A452="","",1)</f>
        <v/>
      </c>
    </row>
    <row r="453">
      <c r="A453" s="13" t="n"/>
      <c r="B453" s="68" t="n"/>
      <c r="C453" s="13" t="n"/>
      <c r="D453" s="15" t="n"/>
      <c r="E453" s="69" t="n"/>
      <c r="F453" s="69" t="n"/>
      <c r="G453" s="69" t="n"/>
      <c r="H453" s="69" t="n"/>
      <c r="I453" s="13" t="n"/>
      <c r="J453" s="13" t="n"/>
      <c r="K453" s="13" t="n"/>
      <c r="L453" s="17">
        <f>IF($A453="","",1)</f>
        <v/>
      </c>
    </row>
    <row r="454">
      <c r="A454" s="13" t="n"/>
      <c r="B454" s="68" t="n"/>
      <c r="C454" s="13" t="n"/>
      <c r="D454" s="15" t="n"/>
      <c r="E454" s="69" t="n"/>
      <c r="F454" s="69" t="n"/>
      <c r="G454" s="69" t="n"/>
      <c r="H454" s="69" t="n"/>
      <c r="I454" s="13" t="n"/>
      <c r="J454" s="13" t="n"/>
      <c r="K454" s="13" t="n"/>
      <c r="L454" s="17">
        <f>IF($A454="","",1)</f>
        <v/>
      </c>
    </row>
    <row r="455">
      <c r="A455" s="13" t="n"/>
      <c r="B455" s="68" t="n"/>
      <c r="C455" s="13" t="n"/>
      <c r="D455" s="15" t="n"/>
      <c r="E455" s="69" t="n"/>
      <c r="F455" s="69" t="n"/>
      <c r="G455" s="69" t="n"/>
      <c r="H455" s="69" t="n"/>
      <c r="I455" s="13" t="n"/>
      <c r="J455" s="13" t="n"/>
      <c r="K455" s="13" t="n"/>
      <c r="L455" s="17">
        <f>IF($A455="","",1)</f>
        <v/>
      </c>
    </row>
    <row r="456">
      <c r="A456" s="13" t="n"/>
      <c r="B456" s="68" t="n"/>
      <c r="C456" s="13" t="n"/>
      <c r="D456" s="15" t="n"/>
      <c r="E456" s="69" t="n"/>
      <c r="F456" s="69" t="n"/>
      <c r="G456" s="69" t="n"/>
      <c r="H456" s="69" t="n"/>
      <c r="I456" s="13" t="n"/>
      <c r="J456" s="13" t="n"/>
      <c r="K456" s="13" t="n"/>
      <c r="L456" s="17">
        <f>IF($A456="","",1)</f>
        <v/>
      </c>
    </row>
    <row r="457">
      <c r="A457" s="13" t="n"/>
      <c r="B457" s="68" t="n"/>
      <c r="C457" s="13" t="n"/>
      <c r="D457" s="15" t="n"/>
      <c r="E457" s="69" t="n"/>
      <c r="F457" s="69" t="n"/>
      <c r="G457" s="69" t="n"/>
      <c r="H457" s="69" t="n"/>
      <c r="I457" s="13" t="n"/>
      <c r="J457" s="13" t="n"/>
      <c r="K457" s="13" t="n"/>
      <c r="L457" s="17">
        <f>IF($A457="","",1)</f>
        <v/>
      </c>
    </row>
    <row r="458">
      <c r="A458" s="13" t="n"/>
      <c r="B458" s="68" t="n"/>
      <c r="C458" s="13" t="n"/>
      <c r="D458" s="15" t="n"/>
      <c r="E458" s="69" t="n"/>
      <c r="F458" s="69" t="n"/>
      <c r="G458" s="69" t="n"/>
      <c r="H458" s="69" t="n"/>
      <c r="I458" s="13" t="n"/>
      <c r="J458" s="13" t="n"/>
      <c r="K458" s="13" t="n"/>
      <c r="L458" s="17">
        <f>IF($A458="","",1)</f>
        <v/>
      </c>
    </row>
    <row r="459">
      <c r="A459" s="13" t="n"/>
      <c r="B459" s="68" t="n"/>
      <c r="C459" s="13" t="n"/>
      <c r="D459" s="15" t="n"/>
      <c r="E459" s="69" t="n"/>
      <c r="F459" s="69" t="n"/>
      <c r="G459" s="69" t="n"/>
      <c r="H459" s="69" t="n"/>
      <c r="I459" s="13" t="n"/>
      <c r="J459" s="13" t="n"/>
      <c r="K459" s="13" t="n"/>
      <c r="L459" s="17">
        <f>IF($A459="","",1)</f>
        <v/>
      </c>
    </row>
    <row r="460">
      <c r="A460" s="13" t="n"/>
      <c r="B460" s="68" t="n"/>
      <c r="C460" s="13" t="n"/>
      <c r="D460" s="15" t="n"/>
      <c r="E460" s="69" t="n"/>
      <c r="F460" s="69" t="n"/>
      <c r="G460" s="69" t="n"/>
      <c r="H460" s="69" t="n"/>
      <c r="I460" s="13" t="n"/>
      <c r="J460" s="13" t="n"/>
      <c r="K460" s="13" t="n"/>
      <c r="L460" s="17">
        <f>IF($A460="","",1)</f>
        <v/>
      </c>
    </row>
    <row r="461">
      <c r="A461" s="13" t="n"/>
      <c r="B461" s="68" t="n"/>
      <c r="C461" s="13" t="n"/>
      <c r="D461" s="15" t="n"/>
      <c r="E461" s="69" t="n"/>
      <c r="F461" s="69" t="n"/>
      <c r="G461" s="69" t="n"/>
      <c r="H461" s="69" t="n"/>
      <c r="I461" s="13" t="n"/>
      <c r="J461" s="13" t="n"/>
      <c r="K461" s="13" t="n"/>
      <c r="L461" s="17">
        <f>IF($A461="","",1)</f>
        <v/>
      </c>
    </row>
    <row r="462">
      <c r="A462" s="13" t="n"/>
      <c r="B462" s="68" t="n"/>
      <c r="C462" s="13" t="n"/>
      <c r="D462" s="15" t="n"/>
      <c r="E462" s="69" t="n"/>
      <c r="F462" s="69" t="n"/>
      <c r="G462" s="69" t="n"/>
      <c r="H462" s="69" t="n"/>
      <c r="I462" s="13" t="n"/>
      <c r="J462" s="13" t="n"/>
      <c r="K462" s="13" t="n"/>
      <c r="L462" s="17">
        <f>IF($A462="","",1)</f>
        <v/>
      </c>
    </row>
    <row r="463">
      <c r="A463" s="13" t="n"/>
      <c r="B463" s="68" t="n"/>
      <c r="C463" s="13" t="n"/>
      <c r="D463" s="15" t="n"/>
      <c r="E463" s="69" t="n"/>
      <c r="F463" s="69" t="n"/>
      <c r="G463" s="69" t="n"/>
      <c r="H463" s="69" t="n"/>
      <c r="I463" s="13" t="n"/>
      <c r="J463" s="13" t="n"/>
      <c r="K463" s="13" t="n"/>
      <c r="L463" s="17">
        <f>IF($A463="","",1)</f>
        <v/>
      </c>
    </row>
    <row r="464">
      <c r="A464" s="13" t="n"/>
      <c r="B464" s="68" t="n"/>
      <c r="C464" s="13" t="n"/>
      <c r="D464" s="15" t="n"/>
      <c r="E464" s="69" t="n"/>
      <c r="F464" s="69" t="n"/>
      <c r="G464" s="69" t="n"/>
      <c r="H464" s="69" t="n"/>
      <c r="I464" s="13" t="n"/>
      <c r="J464" s="13" t="n"/>
      <c r="K464" s="13" t="n"/>
      <c r="L464" s="17">
        <f>IF($A464="","",1)</f>
        <v/>
      </c>
    </row>
    <row r="465">
      <c r="A465" s="13" t="n"/>
      <c r="B465" s="68" t="n"/>
      <c r="C465" s="13" t="n"/>
      <c r="D465" s="15" t="n"/>
      <c r="E465" s="69" t="n"/>
      <c r="F465" s="69" t="n"/>
      <c r="G465" s="69" t="n"/>
      <c r="H465" s="69" t="n"/>
      <c r="I465" s="13" t="n"/>
      <c r="J465" s="13" t="n"/>
      <c r="K465" s="13" t="n"/>
      <c r="L465" s="17">
        <f>IF($A465="","",1)</f>
        <v/>
      </c>
    </row>
    <row r="466">
      <c r="A466" s="13" t="n"/>
      <c r="B466" s="68" t="n"/>
      <c r="C466" s="13" t="n"/>
      <c r="D466" s="15" t="n"/>
      <c r="E466" s="69" t="n"/>
      <c r="F466" s="69" t="n"/>
      <c r="G466" s="69" t="n"/>
      <c r="H466" s="69" t="n"/>
      <c r="I466" s="13" t="n"/>
      <c r="J466" s="13" t="n"/>
      <c r="K466" s="13" t="n"/>
      <c r="L466" s="17">
        <f>IF($A466="","",1)</f>
        <v/>
      </c>
    </row>
    <row r="467">
      <c r="A467" s="13" t="n"/>
      <c r="B467" s="68" t="n"/>
      <c r="C467" s="13" t="n"/>
      <c r="D467" s="15" t="n"/>
      <c r="E467" s="69" t="n"/>
      <c r="F467" s="69" t="n"/>
      <c r="G467" s="69" t="n"/>
      <c r="H467" s="69" t="n"/>
      <c r="I467" s="13" t="n"/>
      <c r="J467" s="13" t="n"/>
      <c r="K467" s="13" t="n"/>
      <c r="L467" s="17">
        <f>IF($A467="","",1)</f>
        <v/>
      </c>
    </row>
    <row r="468">
      <c r="A468" s="13" t="n"/>
      <c r="B468" s="68" t="n"/>
      <c r="C468" s="13" t="n"/>
      <c r="D468" s="15" t="n"/>
      <c r="E468" s="69" t="n"/>
      <c r="F468" s="69" t="n"/>
      <c r="G468" s="69" t="n"/>
      <c r="H468" s="69" t="n"/>
      <c r="I468" s="13" t="n"/>
      <c r="J468" s="13" t="n"/>
      <c r="K468" s="13" t="n"/>
      <c r="L468" s="17">
        <f>IF($A468="","",1)</f>
        <v/>
      </c>
    </row>
    <row r="469">
      <c r="A469" s="13" t="n"/>
      <c r="B469" s="68" t="n"/>
      <c r="C469" s="13" t="n"/>
      <c r="D469" s="15" t="n"/>
      <c r="E469" s="69" t="n"/>
      <c r="F469" s="69" t="n"/>
      <c r="G469" s="69" t="n"/>
      <c r="H469" s="69" t="n"/>
      <c r="I469" s="13" t="n"/>
      <c r="J469" s="13" t="n"/>
      <c r="K469" s="13" t="n"/>
      <c r="L469" s="17">
        <f>IF($A469="","",1)</f>
        <v/>
      </c>
    </row>
    <row r="470">
      <c r="A470" s="13" t="n"/>
      <c r="B470" s="68" t="n"/>
      <c r="C470" s="13" t="n"/>
      <c r="D470" s="15" t="n"/>
      <c r="E470" s="69" t="n"/>
      <c r="F470" s="69" t="n"/>
      <c r="G470" s="69" t="n"/>
      <c r="H470" s="69" t="n"/>
      <c r="I470" s="13" t="n"/>
      <c r="J470" s="13" t="n"/>
      <c r="K470" s="13" t="n"/>
      <c r="L470" s="17">
        <f>IF($A470="","",1)</f>
        <v/>
      </c>
    </row>
    <row r="471">
      <c r="A471" s="13" t="n"/>
      <c r="B471" s="68" t="n"/>
      <c r="C471" s="13" t="n"/>
      <c r="D471" s="15" t="n"/>
      <c r="E471" s="69" t="n"/>
      <c r="F471" s="69" t="n"/>
      <c r="G471" s="69" t="n"/>
      <c r="H471" s="69" t="n"/>
      <c r="I471" s="13" t="n"/>
      <c r="J471" s="13" t="n"/>
      <c r="K471" s="13" t="n"/>
      <c r="L471" s="17">
        <f>IF($A471="","",1)</f>
        <v/>
      </c>
    </row>
    <row r="472">
      <c r="A472" s="13" t="n"/>
      <c r="B472" s="68" t="n"/>
      <c r="C472" s="13" t="n"/>
      <c r="D472" s="15" t="n"/>
      <c r="E472" s="69" t="n"/>
      <c r="F472" s="69" t="n"/>
      <c r="G472" s="69" t="n"/>
      <c r="H472" s="69" t="n"/>
      <c r="I472" s="13" t="n"/>
      <c r="J472" s="13" t="n"/>
      <c r="K472" s="13" t="n"/>
      <c r="L472" s="17">
        <f>IF($A472="","",1)</f>
        <v/>
      </c>
    </row>
    <row r="473">
      <c r="A473" s="13" t="n"/>
      <c r="B473" s="68" t="n"/>
      <c r="C473" s="13" t="n"/>
      <c r="D473" s="15" t="n"/>
      <c r="E473" s="69" t="n"/>
      <c r="F473" s="69" t="n"/>
      <c r="G473" s="69" t="n"/>
      <c r="H473" s="69" t="n"/>
      <c r="I473" s="13" t="n"/>
      <c r="J473" s="13" t="n"/>
      <c r="K473" s="13" t="n"/>
      <c r="L473" s="17">
        <f>IF($A473="","",1)</f>
        <v/>
      </c>
    </row>
    <row r="474">
      <c r="A474" s="13" t="n"/>
      <c r="B474" s="68" t="n"/>
      <c r="C474" s="13" t="n"/>
      <c r="D474" s="15" t="n"/>
      <c r="E474" s="69" t="n"/>
      <c r="F474" s="69" t="n"/>
      <c r="G474" s="69" t="n"/>
      <c r="H474" s="69" t="n"/>
      <c r="I474" s="13" t="n"/>
      <c r="J474" s="13" t="n"/>
      <c r="K474" s="13" t="n"/>
      <c r="L474" s="17">
        <f>IF($A474="","",1)</f>
        <v/>
      </c>
    </row>
    <row r="475">
      <c r="A475" s="13" t="n"/>
      <c r="B475" s="68" t="n"/>
      <c r="C475" s="13" t="n"/>
      <c r="D475" s="15" t="n"/>
      <c r="E475" s="69" t="n"/>
      <c r="F475" s="69" t="n"/>
      <c r="G475" s="69" t="n"/>
      <c r="H475" s="69" t="n"/>
      <c r="I475" s="13" t="n"/>
      <c r="J475" s="13" t="n"/>
      <c r="K475" s="13" t="n"/>
      <c r="L475" s="17">
        <f>IF($A475="","",1)</f>
        <v/>
      </c>
    </row>
    <row r="476">
      <c r="A476" s="13" t="n"/>
      <c r="B476" s="68" t="n"/>
      <c r="C476" s="13" t="n"/>
      <c r="D476" s="15" t="n"/>
      <c r="E476" s="69" t="n"/>
      <c r="F476" s="69" t="n"/>
      <c r="G476" s="69" t="n"/>
      <c r="H476" s="69" t="n"/>
      <c r="I476" s="13" t="n"/>
      <c r="J476" s="13" t="n"/>
      <c r="K476" s="13" t="n"/>
      <c r="L476" s="17">
        <f>IF($A476="","",1)</f>
        <v/>
      </c>
    </row>
    <row r="477">
      <c r="A477" s="13" t="n"/>
      <c r="B477" s="68" t="n"/>
      <c r="C477" s="13" t="n"/>
      <c r="D477" s="15" t="n"/>
      <c r="E477" s="69" t="n"/>
      <c r="F477" s="69" t="n"/>
      <c r="G477" s="69" t="n"/>
      <c r="H477" s="69" t="n"/>
      <c r="I477" s="13" t="n"/>
      <c r="J477" s="13" t="n"/>
      <c r="K477" s="13" t="n"/>
      <c r="L477" s="17">
        <f>IF($A477="","",1)</f>
        <v/>
      </c>
    </row>
    <row r="478">
      <c r="A478" s="13" t="n"/>
      <c r="B478" s="68" t="n"/>
      <c r="C478" s="13" t="n"/>
      <c r="D478" s="15" t="n"/>
      <c r="E478" s="69" t="n"/>
      <c r="F478" s="69" t="n"/>
      <c r="G478" s="69" t="n"/>
      <c r="H478" s="69" t="n"/>
      <c r="I478" s="13" t="n"/>
      <c r="J478" s="13" t="n"/>
      <c r="K478" s="13" t="n"/>
      <c r="L478" s="17">
        <f>IF($A478="","",1)</f>
        <v/>
      </c>
    </row>
    <row r="479">
      <c r="A479" s="13" t="n"/>
      <c r="B479" s="68" t="n"/>
      <c r="C479" s="13" t="n"/>
      <c r="D479" s="15" t="n"/>
      <c r="E479" s="69" t="n"/>
      <c r="F479" s="69" t="n"/>
      <c r="G479" s="69" t="n"/>
      <c r="H479" s="69" t="n"/>
      <c r="I479" s="13" t="n"/>
      <c r="J479" s="13" t="n"/>
      <c r="K479" s="13" t="n"/>
      <c r="L479" s="17">
        <f>IF($A479="","",1)</f>
        <v/>
      </c>
    </row>
    <row r="480">
      <c r="A480" s="13" t="n"/>
      <c r="B480" s="68" t="n"/>
      <c r="C480" s="13" t="n"/>
      <c r="D480" s="15" t="n"/>
      <c r="E480" s="69" t="n"/>
      <c r="F480" s="69" t="n"/>
      <c r="G480" s="69" t="n"/>
      <c r="H480" s="69" t="n"/>
      <c r="I480" s="13" t="n"/>
      <c r="J480" s="13" t="n"/>
      <c r="K480" s="13" t="n"/>
      <c r="L480" s="17">
        <f>IF($A480="","",1)</f>
        <v/>
      </c>
    </row>
    <row r="481">
      <c r="A481" s="13" t="n"/>
      <c r="B481" s="68" t="n"/>
      <c r="C481" s="13" t="n"/>
      <c r="D481" s="15" t="n"/>
      <c r="E481" s="69" t="n"/>
      <c r="F481" s="69" t="n"/>
      <c r="G481" s="69" t="n"/>
      <c r="H481" s="69" t="n"/>
      <c r="I481" s="13" t="n"/>
      <c r="J481" s="13" t="n"/>
      <c r="K481" s="13" t="n"/>
      <c r="L481" s="17">
        <f>IF($A481="","",1)</f>
        <v/>
      </c>
    </row>
    <row r="482">
      <c r="A482" s="13" t="n"/>
      <c r="B482" s="68" t="n"/>
      <c r="C482" s="13" t="n"/>
      <c r="D482" s="15" t="n"/>
      <c r="E482" s="69" t="n"/>
      <c r="F482" s="69" t="n"/>
      <c r="G482" s="69" t="n"/>
      <c r="H482" s="69" t="n"/>
      <c r="I482" s="13" t="n"/>
      <c r="J482" s="13" t="n"/>
      <c r="K482" s="13" t="n"/>
      <c r="L482" s="17">
        <f>IF($A482="","",1)</f>
        <v/>
      </c>
    </row>
    <row r="483">
      <c r="A483" s="13" t="n"/>
      <c r="B483" s="68" t="n"/>
      <c r="C483" s="13" t="n"/>
      <c r="D483" s="15" t="n"/>
      <c r="E483" s="69" t="n"/>
      <c r="F483" s="69" t="n"/>
      <c r="G483" s="69" t="n"/>
      <c r="H483" s="69" t="n"/>
      <c r="I483" s="13" t="n"/>
      <c r="J483" s="13" t="n"/>
      <c r="K483" s="13" t="n"/>
      <c r="L483" s="17">
        <f>IF($A483="","",1)</f>
        <v/>
      </c>
    </row>
    <row r="484">
      <c r="A484" s="13" t="n"/>
      <c r="B484" s="68" t="n"/>
      <c r="C484" s="13" t="n"/>
      <c r="D484" s="15" t="n"/>
      <c r="E484" s="69" t="n"/>
      <c r="F484" s="69" t="n"/>
      <c r="G484" s="69" t="n"/>
      <c r="H484" s="69" t="n"/>
      <c r="I484" s="13" t="n"/>
      <c r="J484" s="13" t="n"/>
      <c r="K484" s="13" t="n"/>
      <c r="L484" s="17">
        <f>IF($A484="","",1)</f>
        <v/>
      </c>
    </row>
    <row r="485">
      <c r="A485" s="13" t="n"/>
      <c r="B485" s="68" t="n"/>
      <c r="C485" s="13" t="n"/>
      <c r="D485" s="15" t="n"/>
      <c r="E485" s="69" t="n"/>
      <c r="F485" s="69" t="n"/>
      <c r="G485" s="69" t="n"/>
      <c r="H485" s="69" t="n"/>
      <c r="I485" s="13" t="n"/>
      <c r="J485" s="13" t="n"/>
      <c r="K485" s="13" t="n"/>
      <c r="L485" s="17">
        <f>IF($A485="","",1)</f>
        <v/>
      </c>
    </row>
    <row r="486">
      <c r="A486" s="13" t="n"/>
      <c r="B486" s="68" t="n"/>
      <c r="C486" s="13" t="n"/>
      <c r="D486" s="15" t="n"/>
      <c r="E486" s="69" t="n"/>
      <c r="F486" s="69" t="n"/>
      <c r="G486" s="69" t="n"/>
      <c r="H486" s="69" t="n"/>
      <c r="I486" s="13" t="n"/>
      <c r="J486" s="13" t="n"/>
      <c r="K486" s="13" t="n"/>
      <c r="L486" s="17">
        <f>IF($A486="","",1)</f>
        <v/>
      </c>
    </row>
    <row r="487">
      <c r="A487" s="13" t="n"/>
      <c r="B487" s="68" t="n"/>
      <c r="C487" s="13" t="n"/>
      <c r="D487" s="15" t="n"/>
      <c r="E487" s="69" t="n"/>
      <c r="F487" s="69" t="n"/>
      <c r="G487" s="69" t="n"/>
      <c r="H487" s="69" t="n"/>
      <c r="I487" s="13" t="n"/>
      <c r="J487" s="13" t="n"/>
      <c r="K487" s="13" t="n"/>
      <c r="L487" s="17">
        <f>IF($A487="","",1)</f>
        <v/>
      </c>
    </row>
    <row r="488">
      <c r="A488" s="13" t="n"/>
      <c r="B488" s="68" t="n"/>
      <c r="C488" s="13" t="n"/>
      <c r="D488" s="15" t="n"/>
      <c r="E488" s="69" t="n"/>
      <c r="F488" s="69" t="n"/>
      <c r="G488" s="69" t="n"/>
      <c r="H488" s="69" t="n"/>
      <c r="I488" s="13" t="n"/>
      <c r="J488" s="13" t="n"/>
      <c r="K488" s="13" t="n"/>
      <c r="L488" s="17">
        <f>IF($A488="","",1)</f>
        <v/>
      </c>
    </row>
    <row r="489">
      <c r="A489" s="13" t="n"/>
      <c r="B489" s="68" t="n"/>
      <c r="C489" s="13" t="n"/>
      <c r="D489" s="15" t="n"/>
      <c r="E489" s="69" t="n"/>
      <c r="F489" s="69" t="n"/>
      <c r="G489" s="69" t="n"/>
      <c r="H489" s="69" t="n"/>
      <c r="I489" s="13" t="n"/>
      <c r="J489" s="13" t="n"/>
      <c r="K489" s="13" t="n"/>
      <c r="L489" s="17">
        <f>IF($A489="","",1)</f>
        <v/>
      </c>
    </row>
    <row r="490">
      <c r="A490" s="13" t="n"/>
      <c r="B490" s="68" t="n"/>
      <c r="C490" s="13" t="n"/>
      <c r="D490" s="15" t="n"/>
      <c r="E490" s="69" t="n"/>
      <c r="F490" s="69" t="n"/>
      <c r="G490" s="69" t="n"/>
      <c r="H490" s="69" t="n"/>
      <c r="I490" s="13" t="n"/>
      <c r="J490" s="13" t="n"/>
      <c r="K490" s="13" t="n"/>
      <c r="L490" s="17">
        <f>IF($A490="","",1)</f>
        <v/>
      </c>
    </row>
    <row r="491">
      <c r="A491" s="13" t="n"/>
      <c r="B491" s="68" t="n"/>
      <c r="C491" s="13" t="n"/>
      <c r="D491" s="15" t="n"/>
      <c r="E491" s="69" t="n"/>
      <c r="F491" s="69" t="n"/>
      <c r="G491" s="69" t="n"/>
      <c r="H491" s="69" t="n"/>
      <c r="I491" s="13" t="n"/>
      <c r="J491" s="13" t="n"/>
      <c r="K491" s="13" t="n"/>
      <c r="L491" s="17">
        <f>IF($A491="","",1)</f>
        <v/>
      </c>
    </row>
    <row r="492">
      <c r="A492" s="13" t="n"/>
      <c r="B492" s="68" t="n"/>
      <c r="C492" s="13" t="n"/>
      <c r="D492" s="15" t="n"/>
      <c r="E492" s="69" t="n"/>
      <c r="F492" s="69" t="n"/>
      <c r="G492" s="69" t="n"/>
      <c r="H492" s="69" t="n"/>
      <c r="I492" s="13" t="n"/>
      <c r="J492" s="13" t="n"/>
      <c r="K492" s="13" t="n"/>
      <c r="L492" s="17">
        <f>IF($A492="","",1)</f>
        <v/>
      </c>
    </row>
    <row r="493">
      <c r="A493" s="13" t="n"/>
      <c r="B493" s="68" t="n"/>
      <c r="C493" s="13" t="n"/>
      <c r="D493" s="15" t="n"/>
      <c r="E493" s="69" t="n"/>
      <c r="F493" s="69" t="n"/>
      <c r="G493" s="69" t="n"/>
      <c r="H493" s="69" t="n"/>
      <c r="I493" s="13" t="n"/>
      <c r="J493" s="13" t="n"/>
      <c r="K493" s="13" t="n"/>
      <c r="L493" s="17">
        <f>IF($A493="","",1)</f>
        <v/>
      </c>
    </row>
    <row r="494">
      <c r="A494" s="13" t="n"/>
      <c r="B494" s="68" t="n"/>
      <c r="C494" s="13" t="n"/>
      <c r="D494" s="15" t="n"/>
      <c r="E494" s="69" t="n"/>
      <c r="F494" s="69" t="n"/>
      <c r="G494" s="69" t="n"/>
      <c r="H494" s="69" t="n"/>
      <c r="I494" s="13" t="n"/>
      <c r="J494" s="13" t="n"/>
      <c r="K494" s="13" t="n"/>
      <c r="L494" s="17">
        <f>IF($A494="","",1)</f>
        <v/>
      </c>
    </row>
    <row r="495">
      <c r="A495" s="13" t="n"/>
      <c r="B495" s="68" t="n"/>
      <c r="C495" s="13" t="n"/>
      <c r="D495" s="15" t="n"/>
      <c r="E495" s="69" t="n"/>
      <c r="F495" s="69" t="n"/>
      <c r="G495" s="69" t="n"/>
      <c r="H495" s="69" t="n"/>
      <c r="I495" s="13" t="n"/>
      <c r="J495" s="13" t="n"/>
      <c r="K495" s="13" t="n"/>
      <c r="L495" s="17">
        <f>IF($A495="","",1)</f>
        <v/>
      </c>
    </row>
    <row r="496">
      <c r="A496" s="13" t="n"/>
      <c r="B496" s="68" t="n"/>
      <c r="C496" s="13" t="n"/>
      <c r="D496" s="15" t="n"/>
      <c r="E496" s="69" t="n"/>
      <c r="F496" s="69" t="n"/>
      <c r="G496" s="69" t="n"/>
      <c r="H496" s="69" t="n"/>
      <c r="I496" s="13" t="n"/>
      <c r="J496" s="13" t="n"/>
      <c r="K496" s="13" t="n"/>
      <c r="L496" s="17">
        <f>IF($A496="","",1)</f>
        <v/>
      </c>
    </row>
    <row r="497">
      <c r="A497" s="13" t="n"/>
      <c r="B497" s="68" t="n"/>
      <c r="C497" s="13" t="n"/>
      <c r="D497" s="15" t="n"/>
      <c r="E497" s="69" t="n"/>
      <c r="F497" s="69" t="n"/>
      <c r="G497" s="69" t="n"/>
      <c r="H497" s="69" t="n"/>
      <c r="I497" s="13" t="n"/>
      <c r="J497" s="13" t="n"/>
      <c r="K497" s="13" t="n"/>
      <c r="L497" s="17">
        <f>IF($A497="","",1)</f>
        <v/>
      </c>
    </row>
    <row r="498">
      <c r="A498" s="13" t="n"/>
      <c r="B498" s="68" t="n"/>
      <c r="C498" s="13" t="n"/>
      <c r="D498" s="15" t="n"/>
      <c r="E498" s="69" t="n"/>
      <c r="F498" s="69" t="n"/>
      <c r="G498" s="69" t="n"/>
      <c r="H498" s="69" t="n"/>
      <c r="I498" s="13" t="n"/>
      <c r="J498" s="13" t="n"/>
      <c r="K498" s="13" t="n"/>
      <c r="L498" s="17">
        <f>IF($A498="","",1)</f>
        <v/>
      </c>
    </row>
    <row r="499">
      <c r="A499" s="13" t="n"/>
      <c r="B499" s="68" t="n"/>
      <c r="C499" s="13" t="n"/>
      <c r="D499" s="15" t="n"/>
      <c r="E499" s="69" t="n"/>
      <c r="F499" s="69" t="n"/>
      <c r="G499" s="69" t="n"/>
      <c r="H499" s="69" t="n"/>
      <c r="I499" s="13" t="n"/>
      <c r="J499" s="13" t="n"/>
      <c r="K499" s="13" t="n"/>
      <c r="L499" s="17">
        <f>IF($A499="","",1)</f>
        <v/>
      </c>
    </row>
    <row r="500">
      <c r="A500" s="13" t="n"/>
      <c r="B500" s="68" t="n"/>
      <c r="C500" s="13" t="n"/>
      <c r="D500" s="15" t="n"/>
      <c r="E500" s="69" t="n"/>
      <c r="F500" s="69" t="n"/>
      <c r="G500" s="69" t="n"/>
      <c r="H500" s="69" t="n"/>
      <c r="I500" s="13" t="n"/>
      <c r="J500" s="13" t="n"/>
      <c r="K500" s="13" t="n"/>
      <c r="L500" s="17">
        <f>IF($A500="","",1)</f>
        <v/>
      </c>
    </row>
    <row r="501">
      <c r="A501" s="13" t="n"/>
      <c r="B501" s="68" t="n"/>
      <c r="C501" s="13" t="n"/>
      <c r="D501" s="15" t="n"/>
      <c r="E501" s="69" t="n"/>
      <c r="F501" s="69" t="n"/>
      <c r="G501" s="69" t="n"/>
      <c r="H501" s="69" t="n"/>
      <c r="I501" s="13" t="n"/>
      <c r="J501" s="13" t="n"/>
      <c r="K501" s="13" t="n"/>
      <c r="L501" s="17">
        <f>IF($A501="","",1)</f>
        <v/>
      </c>
    </row>
    <row r="502">
      <c r="A502" s="13" t="n"/>
      <c r="B502" s="68" t="n"/>
      <c r="C502" s="13" t="n"/>
      <c r="D502" s="15" t="n"/>
      <c r="E502" s="69" t="n"/>
      <c r="F502" s="69" t="n"/>
      <c r="G502" s="69" t="n"/>
      <c r="H502" s="69" t="n"/>
      <c r="I502" s="13" t="n"/>
      <c r="J502" s="13" t="n"/>
      <c r="K502" s="13" t="n"/>
      <c r="L502" s="17">
        <f>IF($A502="","",1)</f>
        <v/>
      </c>
    </row>
    <row r="503">
      <c r="A503" s="13" t="n"/>
      <c r="B503" s="68" t="n"/>
      <c r="C503" s="13" t="n"/>
      <c r="D503" s="15" t="n"/>
      <c r="E503" s="69" t="n"/>
      <c r="F503" s="69" t="n"/>
      <c r="G503" s="69" t="n"/>
      <c r="H503" s="69" t="n"/>
      <c r="I503" s="13" t="n"/>
      <c r="J503" s="13" t="n"/>
      <c r="K503" s="13" t="n"/>
      <c r="L503" s="17">
        <f>IF($A503="","",1)</f>
        <v/>
      </c>
    </row>
    <row r="504">
      <c r="A504" s="13" t="n"/>
      <c r="B504" s="68" t="n"/>
      <c r="C504" s="13" t="n"/>
      <c r="D504" s="15" t="n"/>
      <c r="E504" s="69" t="n"/>
      <c r="F504" s="69" t="n"/>
      <c r="G504" s="69" t="n"/>
      <c r="H504" s="69" t="n"/>
      <c r="I504" s="13" t="n"/>
      <c r="J504" s="13" t="n"/>
      <c r="K504" s="13" t="n"/>
      <c r="L504" s="17">
        <f>IF($A504="","",1)</f>
        <v/>
      </c>
    </row>
    <row r="505">
      <c r="A505" s="13" t="n"/>
      <c r="B505" s="68" t="n"/>
      <c r="C505" s="13" t="n"/>
      <c r="D505" s="15" t="n"/>
      <c r="E505" s="69" t="n"/>
      <c r="F505" s="69" t="n"/>
      <c r="G505" s="69" t="n"/>
      <c r="H505" s="69" t="n"/>
      <c r="I505" s="13" t="n"/>
      <c r="J505" s="13" t="n"/>
      <c r="K505" s="13" t="n"/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505">
    <cfRule type="cellIs" priority="1" operator="lessThan" dxfId="0">
      <formula>0</formula>
    </cfRule>
  </conditionalFormatting>
  <conditionalFormatting sqref="E6:E505">
    <cfRule type="cellIs" priority="2" operator="greaterThan" dxfId="1">
      <formula>50000</formula>
    </cfRule>
  </conditionalFormatting>
  <dataValidations count="11">
    <dataValidation sqref="A6:A505" showDropDown="0" showInputMessage="1" showErrorMessage="1" allowBlank="1" errorTitle="Geçersiz" error="Değer kurallara uymuyor" promptTitle="FaturaNo" prompt="Geçerli değer girin" type="textLength" errorStyle="stop" operator="greaterThan">
      <formula1>1</formula1>
      <formula2>40</formula2>
    </dataValidation>
    <dataValidation sqref="D6:D505" showDropDown="0" showInputMessage="1" showErrorMessage="1" allowBlank="1" errorTitle="Geçersiz" error="Değer kurallara uymuyor" promptTitle="TuketimKwh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EnerjiBedel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agitimBedel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VergiKdv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ToplamTutar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505" showDropDown="0" showInputMessage="1" showErrorMessage="1" allowBlank="1" errorTitle="Liste" error="Listeden seçim yapın" promptTitle="Kalem" prompt="Listeden seçin" type="list" errorStyle="stop">
      <formula1>ListeKalemKodlari</formula1>
    </dataValidation>
    <dataValidation sqref="I6:I505" showDropDown="0" showInputMessage="1" showErrorMessage="1" allowBlank="1" errorTitle="Liste" error="Listeden seçim yapın" promptTitle="Tarife" prompt="Listeden seçin" type="list" errorStyle="stop">
      <formula1>ListeTarifeGruplari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I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3.5" customWidth="1" min="2" max="2"/>
    <col width="16" customWidth="1" min="3" max="3"/>
    <col width="17.5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8" t="inlineStr">
        <is>
          <t>VERI B — Elektrik Faturası Doğrulama Motoru</t>
        </is>
      </c>
    </row>
    <row r="2"/>
    <row r="3" ht="22" customHeight="1">
      <c r="A3" s="208" t="inlineStr">
        <is>
          <t>Sayaç okuma / beklenen tutar tarafı</t>
        </is>
      </c>
    </row>
    <row r="4"/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TuketimKwh</t>
        </is>
      </c>
      <c r="D5" s="12" t="inlineStr">
        <is>
          <t>BeklenenTutar</t>
        </is>
      </c>
      <c r="E5" s="12" t="inlineStr">
        <is>
          <t>SayacNo</t>
        </is>
      </c>
      <c r="F5" s="12" t="inlineStr">
        <is>
          <t>Kaynak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5" t="n">
        <v>845</v>
      </c>
      <c r="D6" s="69" t="n">
        <v>3092.7</v>
      </c>
      <c r="E6" s="13" t="inlineStr">
        <is>
          <t>SYC10001</t>
        </is>
      </c>
      <c r="F6" s="13" t="inlineStr">
        <is>
          <t>Sayaç</t>
        </is>
      </c>
      <c r="G6" s="13" t="inlineStr">
        <is>
          <t>2026-07</t>
        </is>
      </c>
      <c r="H6" s="13" t="inlineStr">
        <is>
          <t>Açık</t>
        </is>
      </c>
      <c r="I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5" t="n">
        <v>890</v>
      </c>
      <c r="D7" s="69" t="n">
        <v>3342.84</v>
      </c>
      <c r="E7" s="13" t="inlineStr">
        <is>
          <t>SYC10002</t>
        </is>
      </c>
      <c r="F7" s="13" t="inlineStr">
        <is>
          <t>Sayaç</t>
        </is>
      </c>
      <c r="G7" s="13" t="inlineStr">
        <is>
          <t>2026-07</t>
        </is>
      </c>
      <c r="H7" s="13" t="inlineStr">
        <is>
          <t>Açık</t>
        </is>
      </c>
      <c r="I7" s="17">
        <f>IF($A7="","",1)</f>
        <v/>
      </c>
    </row>
    <row r="8">
      <c r="A8" s="13" t="inlineStr">
        <is>
          <t>EF202608003</t>
        </is>
      </c>
      <c r="B8" s="68" t="n">
        <v>46213</v>
      </c>
      <c r="C8" s="15" t="n">
        <v>935</v>
      </c>
      <c r="D8" s="69" t="n">
        <v>3601.62</v>
      </c>
      <c r="E8" s="13" t="inlineStr">
        <is>
          <t>SYC10003</t>
        </is>
      </c>
      <c r="F8" s="13" t="inlineStr">
        <is>
          <t>Sayaç</t>
        </is>
      </c>
      <c r="G8" s="13" t="inlineStr">
        <is>
          <t>2026-07</t>
        </is>
      </c>
      <c r="H8" s="13" t="inlineStr">
        <is>
          <t>Açık</t>
        </is>
      </c>
      <c r="I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5" t="n">
        <v>980</v>
      </c>
      <c r="D9" s="69" t="n">
        <v>3869.04</v>
      </c>
      <c r="E9" s="13" t="inlineStr">
        <is>
          <t>SYC10004</t>
        </is>
      </c>
      <c r="F9" s="13" t="inlineStr">
        <is>
          <t>Sayaç</t>
        </is>
      </c>
      <c r="G9" s="13" t="inlineStr">
        <is>
          <t>2026-07</t>
        </is>
      </c>
      <c r="H9" s="13" t="inlineStr">
        <is>
          <t>Açık</t>
        </is>
      </c>
      <c r="I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5" t="n">
        <v>1025</v>
      </c>
      <c r="D10" s="69" t="n">
        <v>3653.1</v>
      </c>
      <c r="E10" s="13" t="inlineStr">
        <is>
          <t>SYC10005</t>
        </is>
      </c>
      <c r="F10" s="13" t="inlineStr">
        <is>
          <t>Sayaç</t>
        </is>
      </c>
      <c r="G10" s="13" t="inlineStr">
        <is>
          <t>2026-07</t>
        </is>
      </c>
      <c r="H10" s="13" t="inlineStr">
        <is>
          <t>Açık</t>
        </is>
      </c>
      <c r="I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5" t="n">
        <v>1070</v>
      </c>
      <c r="D11" s="69" t="n">
        <v>3916.2</v>
      </c>
      <c r="E11" s="13" t="inlineStr">
        <is>
          <t>SYC10006</t>
        </is>
      </c>
      <c r="F11" s="13" t="inlineStr">
        <is>
          <t>Sayaç</t>
        </is>
      </c>
      <c r="G11" s="13" t="inlineStr">
        <is>
          <t>2026-07</t>
        </is>
      </c>
      <c r="H11" s="13" t="inlineStr">
        <is>
          <t>Açık</t>
        </is>
      </c>
      <c r="I11" s="17">
        <f>IF($A11="","",1)</f>
        <v/>
      </c>
    </row>
    <row r="12">
      <c r="A12" s="13" t="inlineStr">
        <is>
          <t>EF202608007</t>
        </is>
      </c>
      <c r="B12" s="68" t="n">
        <v>46217</v>
      </c>
      <c r="C12" s="15" t="n">
        <v>1115</v>
      </c>
      <c r="D12" s="69" t="n">
        <v>4187.94</v>
      </c>
      <c r="E12" s="13" t="inlineStr">
        <is>
          <t>SYC10007</t>
        </is>
      </c>
      <c r="F12" s="13" t="inlineStr">
        <is>
          <t>Sayaç</t>
        </is>
      </c>
      <c r="G12" s="13" t="inlineStr">
        <is>
          <t>2026-07</t>
        </is>
      </c>
      <c r="H12" s="13" t="inlineStr">
        <is>
          <t>Açık</t>
        </is>
      </c>
      <c r="I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5" t="n">
        <v>1160</v>
      </c>
      <c r="D13" s="69" t="n">
        <v>4445.82</v>
      </c>
      <c r="E13" s="13" t="inlineStr">
        <is>
          <t>SYC10008</t>
        </is>
      </c>
      <c r="F13" s="13" t="inlineStr">
        <is>
          <t>Sayaç</t>
        </is>
      </c>
      <c r="G13" s="13" t="inlineStr">
        <is>
          <t>2026-07</t>
        </is>
      </c>
      <c r="H13" s="13" t="inlineStr">
        <is>
          <t>Açık</t>
        </is>
      </c>
      <c r="I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5" t="n">
        <v>1205</v>
      </c>
      <c r="D14" s="69" t="n">
        <v>4757.34</v>
      </c>
      <c r="E14" s="13" t="inlineStr">
        <is>
          <t>SYC10009</t>
        </is>
      </c>
      <c r="F14" s="13" t="inlineStr">
        <is>
          <t>Sayaç</t>
        </is>
      </c>
      <c r="G14" s="13" t="inlineStr">
        <is>
          <t>2026-07</t>
        </is>
      </c>
      <c r="H14" s="13" t="inlineStr">
        <is>
          <t>Açık</t>
        </is>
      </c>
      <c r="I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5" t="n">
        <v>1250</v>
      </c>
      <c r="D15" s="69" t="n">
        <v>4455</v>
      </c>
      <c r="E15" s="13" t="inlineStr">
        <is>
          <t>SYC10010</t>
        </is>
      </c>
      <c r="F15" s="13" t="inlineStr">
        <is>
          <t>Sayaç</t>
        </is>
      </c>
      <c r="G15" s="13" t="inlineStr">
        <is>
          <t>2026-07</t>
        </is>
      </c>
      <c r="H15" s="13" t="inlineStr">
        <is>
          <t>Açık</t>
        </is>
      </c>
      <c r="I15" s="17">
        <f>IF($A15="","",1)</f>
        <v/>
      </c>
    </row>
    <row r="16">
      <c r="A16" s="13" t="inlineStr">
        <is>
          <t>EF202608011</t>
        </is>
      </c>
      <c r="B16" s="68" t="n">
        <v>46221</v>
      </c>
      <c r="C16" s="15" t="n">
        <v>1295</v>
      </c>
      <c r="D16" s="69" t="n">
        <v>4739.73</v>
      </c>
      <c r="E16" s="13" t="inlineStr">
        <is>
          <t>SYC10011</t>
        </is>
      </c>
      <c r="F16" s="13" t="inlineStr">
        <is>
          <t>Sayaç</t>
        </is>
      </c>
      <c r="G16" s="13" t="inlineStr">
        <is>
          <t>2026-07</t>
        </is>
      </c>
      <c r="H16" s="13" t="inlineStr">
        <is>
          <t>Açık</t>
        </is>
      </c>
      <c r="I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5" t="n">
        <v>1340</v>
      </c>
      <c r="D17" s="69" t="n">
        <v>5033.04</v>
      </c>
      <c r="E17" s="13" t="inlineStr">
        <is>
          <t>SYC10012</t>
        </is>
      </c>
      <c r="F17" s="13" t="inlineStr">
        <is>
          <t>Sayaç</t>
        </is>
      </c>
      <c r="G17" s="13" t="inlineStr">
        <is>
          <t>2026-07</t>
        </is>
      </c>
      <c r="H17" s="13" t="inlineStr">
        <is>
          <t>Açık</t>
        </is>
      </c>
      <c r="I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5" t="n">
        <v>1385</v>
      </c>
      <c r="D18" s="69" t="n">
        <v>5335.02</v>
      </c>
      <c r="E18" s="13" t="inlineStr">
        <is>
          <t>SYC10013</t>
        </is>
      </c>
      <c r="F18" s="13" t="inlineStr">
        <is>
          <t>Sayaç</t>
        </is>
      </c>
      <c r="G18" s="13" t="inlineStr">
        <is>
          <t>2026-07</t>
        </is>
      </c>
      <c r="H18" s="13" t="inlineStr">
        <is>
          <t>Açık</t>
        </is>
      </c>
      <c r="I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5" t="n">
        <v>1430</v>
      </c>
      <c r="D19" s="69" t="n">
        <v>5645.64</v>
      </c>
      <c r="E19" s="13" t="inlineStr">
        <is>
          <t>SYC10014</t>
        </is>
      </c>
      <c r="F19" s="13" t="inlineStr">
        <is>
          <t>Sayaç</t>
        </is>
      </c>
      <c r="G19" s="13" t="inlineStr">
        <is>
          <t>2026-07</t>
        </is>
      </c>
      <c r="H19" s="13" t="inlineStr">
        <is>
          <t>Açık</t>
        </is>
      </c>
      <c r="I19" s="17">
        <f>IF($A19="","",1)</f>
        <v/>
      </c>
    </row>
    <row r="20">
      <c r="A20" s="13" t="inlineStr">
        <is>
          <t>EF202608015</t>
        </is>
      </c>
      <c r="B20" s="68" t="n">
        <v>46225</v>
      </c>
      <c r="C20" s="15" t="n">
        <v>1475</v>
      </c>
      <c r="D20" s="69" t="n">
        <v>5256.9</v>
      </c>
      <c r="E20" s="13" t="inlineStr">
        <is>
          <t>SYC10015</t>
        </is>
      </c>
      <c r="F20" s="13" t="inlineStr">
        <is>
          <t>Sayaç</t>
        </is>
      </c>
      <c r="G20" s="13" t="inlineStr">
        <is>
          <t>2026-07</t>
        </is>
      </c>
      <c r="H20" s="13" t="inlineStr">
        <is>
          <t>Açık</t>
        </is>
      </c>
      <c r="I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5" t="n">
        <v>1520</v>
      </c>
      <c r="D21" s="69" t="n">
        <v>5540.7</v>
      </c>
      <c r="E21" s="13" t="inlineStr">
        <is>
          <t>SYC10016</t>
        </is>
      </c>
      <c r="F21" s="13" t="inlineStr">
        <is>
          <t>Sayaç</t>
        </is>
      </c>
      <c r="G21" s="13" t="inlineStr">
        <is>
          <t>2026-07</t>
        </is>
      </c>
      <c r="H21" s="13" t="inlineStr">
        <is>
          <t>Açık</t>
        </is>
      </c>
      <c r="I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5" t="n">
        <v>1565</v>
      </c>
      <c r="D22" s="69" t="n">
        <v>5878.14</v>
      </c>
      <c r="E22" s="13" t="inlineStr">
        <is>
          <t>SYC10017</t>
        </is>
      </c>
      <c r="F22" s="13" t="inlineStr">
        <is>
          <t>Sayaç</t>
        </is>
      </c>
      <c r="G22" s="13" t="inlineStr">
        <is>
          <t>2026-07</t>
        </is>
      </c>
      <c r="H22" s="13" t="inlineStr">
        <is>
          <t>Açık</t>
        </is>
      </c>
      <c r="I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5" t="n">
        <v>1610</v>
      </c>
      <c r="D23" s="69" t="n">
        <v>6201.72</v>
      </c>
      <c r="E23" s="13" t="inlineStr">
        <is>
          <t>SYC10018</t>
        </is>
      </c>
      <c r="F23" s="13" t="inlineStr">
        <is>
          <t>Sayaç</t>
        </is>
      </c>
      <c r="G23" s="13" t="inlineStr">
        <is>
          <t>2026-07</t>
        </is>
      </c>
      <c r="H23" s="13" t="inlineStr">
        <is>
          <t>Açık</t>
        </is>
      </c>
      <c r="I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5" t="n">
        <v>1655</v>
      </c>
      <c r="D24" s="69" t="n">
        <v>6533.94</v>
      </c>
      <c r="E24" s="13" t="inlineStr">
        <is>
          <t>SYC10019</t>
        </is>
      </c>
      <c r="F24" s="13" t="inlineStr">
        <is>
          <t>Sayaç</t>
        </is>
      </c>
      <c r="G24" s="13" t="inlineStr">
        <is>
          <t>2026-07</t>
        </is>
      </c>
      <c r="H24" s="13" t="inlineStr">
        <is>
          <t>Açık</t>
        </is>
      </c>
      <c r="I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5" t="n">
        <v>1700</v>
      </c>
      <c r="D25" s="69" t="n">
        <v>6058.8</v>
      </c>
      <c r="E25" s="13" t="inlineStr">
        <is>
          <t>SYC10020</t>
        </is>
      </c>
      <c r="F25" s="13" t="inlineStr">
        <is>
          <t>Sayaç</t>
        </is>
      </c>
      <c r="G25" s="13" t="inlineStr">
        <is>
          <t>2026-07</t>
        </is>
      </c>
      <c r="H25" s="13" t="inlineStr">
        <is>
          <t>Açık</t>
        </is>
      </c>
      <c r="I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5" t="n">
        <v>1745</v>
      </c>
      <c r="D26" s="69" t="n">
        <v>6386.7</v>
      </c>
      <c r="E26" s="13" t="inlineStr">
        <is>
          <t>SYC10021</t>
        </is>
      </c>
      <c r="F26" s="13" t="inlineStr">
        <is>
          <t>Sayaç</t>
        </is>
      </c>
      <c r="G26" s="13" t="inlineStr">
        <is>
          <t>2026-07</t>
        </is>
      </c>
      <c r="H26" s="13" t="inlineStr">
        <is>
          <t>Açık</t>
        </is>
      </c>
      <c r="I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5" t="n">
        <v>1790</v>
      </c>
      <c r="D27" s="69" t="n">
        <v>6723.27</v>
      </c>
      <c r="E27" s="13" t="inlineStr">
        <is>
          <t>SYC10022</t>
        </is>
      </c>
      <c r="F27" s="13" t="inlineStr">
        <is>
          <t>Sayaç</t>
        </is>
      </c>
      <c r="G27" s="13" t="inlineStr">
        <is>
          <t>2026-07</t>
        </is>
      </c>
      <c r="H27" s="13" t="inlineStr">
        <is>
          <t>Açık</t>
        </is>
      </c>
      <c r="I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5" t="n">
        <v>1835</v>
      </c>
      <c r="D28" s="69" t="n">
        <v>7068.42</v>
      </c>
      <c r="E28" s="13" t="inlineStr">
        <is>
          <t>SYC10023</t>
        </is>
      </c>
      <c r="F28" s="13" t="inlineStr">
        <is>
          <t>Sayaç</t>
        </is>
      </c>
      <c r="G28" s="13" t="inlineStr">
        <is>
          <t>2026-07</t>
        </is>
      </c>
      <c r="H28" s="13" t="inlineStr">
        <is>
          <t>Açık</t>
        </is>
      </c>
      <c r="I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5" t="n">
        <v>1880</v>
      </c>
      <c r="D29" s="69" t="n">
        <v>7399.74</v>
      </c>
      <c r="E29" s="13" t="inlineStr">
        <is>
          <t>SYC10024</t>
        </is>
      </c>
      <c r="F29" s="13" t="inlineStr">
        <is>
          <t>Sayaç</t>
        </is>
      </c>
      <c r="G29" s="13" t="inlineStr">
        <is>
          <t>2026-07</t>
        </is>
      </c>
      <c r="H29" s="13" t="inlineStr">
        <is>
          <t>Açık</t>
        </is>
      </c>
      <c r="I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5" t="n">
        <v>1925</v>
      </c>
      <c r="D30" s="69" t="n">
        <v>6860.7</v>
      </c>
      <c r="E30" s="13" t="inlineStr">
        <is>
          <t>SYC10025</t>
        </is>
      </c>
      <c r="F30" s="13" t="inlineStr">
        <is>
          <t>Sayaç</t>
        </is>
      </c>
      <c r="G30" s="13" t="inlineStr">
        <is>
          <t>2026-07</t>
        </is>
      </c>
      <c r="H30" s="13" t="inlineStr">
        <is>
          <t>Açık</t>
        </is>
      </c>
      <c r="I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5" t="n">
        <v>1970</v>
      </c>
      <c r="D31" s="69" t="n">
        <v>7210.2</v>
      </c>
      <c r="E31" s="13" t="inlineStr">
        <is>
          <t>SYC10026</t>
        </is>
      </c>
      <c r="F31" s="13" t="inlineStr">
        <is>
          <t>Sayaç</t>
        </is>
      </c>
      <c r="G31" s="13" t="inlineStr">
        <is>
          <t>2026-07</t>
        </is>
      </c>
      <c r="H31" s="13" t="inlineStr">
        <is>
          <t>Açık</t>
        </is>
      </c>
      <c r="I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5" t="n">
        <v>2015</v>
      </c>
      <c r="D32" s="69" t="n">
        <v>7568.34</v>
      </c>
      <c r="E32" s="13" t="inlineStr">
        <is>
          <t>SYC10027</t>
        </is>
      </c>
      <c r="F32" s="13" t="inlineStr">
        <is>
          <t>Sayaç</t>
        </is>
      </c>
      <c r="G32" s="13" t="inlineStr">
        <is>
          <t>2026-07</t>
        </is>
      </c>
      <c r="H32" s="13" t="inlineStr">
        <is>
          <t>Açık</t>
        </is>
      </c>
      <c r="I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5" t="n">
        <v>2060</v>
      </c>
      <c r="D33" s="69" t="n">
        <v>7935.12</v>
      </c>
      <c r="E33" s="13" t="inlineStr">
        <is>
          <t>SYC10028</t>
        </is>
      </c>
      <c r="F33" s="13" t="inlineStr">
        <is>
          <t>Sayaç</t>
        </is>
      </c>
      <c r="G33" s="13" t="inlineStr">
        <is>
          <t>2026-07</t>
        </is>
      </c>
      <c r="H33" s="13" t="inlineStr">
        <is>
          <t>Açık</t>
        </is>
      </c>
      <c r="I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5" t="n">
        <v>2105</v>
      </c>
      <c r="D34" s="69" t="n">
        <v>8310.540000000001</v>
      </c>
      <c r="E34" s="13" t="inlineStr">
        <is>
          <t>SYC10029</t>
        </is>
      </c>
      <c r="F34" s="13" t="inlineStr">
        <is>
          <t>Sayaç</t>
        </is>
      </c>
      <c r="G34" s="13" t="inlineStr">
        <is>
          <t>2026-07</t>
        </is>
      </c>
      <c r="H34" s="13" t="inlineStr">
        <is>
          <t>Açık</t>
        </is>
      </c>
      <c r="I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5" t="n">
        <v>2150</v>
      </c>
      <c r="D35" s="69" t="n">
        <v>7662.6</v>
      </c>
      <c r="E35" s="13" t="inlineStr">
        <is>
          <t>SYC10030</t>
        </is>
      </c>
      <c r="F35" s="13" t="inlineStr">
        <is>
          <t>Sayaç</t>
        </is>
      </c>
      <c r="G35" s="13" t="inlineStr">
        <is>
          <t>2026-07</t>
        </is>
      </c>
      <c r="H35" s="13" t="inlineStr">
        <is>
          <t>Açık</t>
        </is>
      </c>
      <c r="I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5" t="n">
        <v>2195</v>
      </c>
      <c r="D36" s="69" t="n">
        <v>8033.7</v>
      </c>
      <c r="E36" s="13" t="inlineStr">
        <is>
          <t>SYC10031</t>
        </is>
      </c>
      <c r="F36" s="13" t="inlineStr">
        <is>
          <t>Sayaç</t>
        </is>
      </c>
      <c r="G36" s="13" t="inlineStr">
        <is>
          <t>2026-07</t>
        </is>
      </c>
      <c r="H36" s="13" t="inlineStr">
        <is>
          <t>Açık</t>
        </is>
      </c>
      <c r="I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5" t="n">
        <v>2240</v>
      </c>
      <c r="D37" s="69" t="n">
        <v>8390.940000000001</v>
      </c>
      <c r="E37" s="13" t="inlineStr">
        <is>
          <t>SYC10032</t>
        </is>
      </c>
      <c r="F37" s="13" t="inlineStr">
        <is>
          <t>Sayaç</t>
        </is>
      </c>
      <c r="G37" s="13" t="inlineStr">
        <is>
          <t>2026-07</t>
        </is>
      </c>
      <c r="H37" s="13" t="inlineStr">
        <is>
          <t>Açık</t>
        </is>
      </c>
      <c r="I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5" t="n">
        <v>2285</v>
      </c>
      <c r="D38" s="69" t="n">
        <v>8801.85</v>
      </c>
      <c r="E38" s="13" t="inlineStr">
        <is>
          <t>SYC10033</t>
        </is>
      </c>
      <c r="F38" s="13" t="inlineStr">
        <is>
          <t>Sayaç</t>
        </is>
      </c>
      <c r="G38" s="13" t="inlineStr">
        <is>
          <t>2026-07</t>
        </is>
      </c>
      <c r="H38" s="13" t="inlineStr">
        <is>
          <t>Açık</t>
        </is>
      </c>
      <c r="I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5" t="n">
        <v>2330</v>
      </c>
      <c r="D39" s="69" t="n">
        <v>9198.84</v>
      </c>
      <c r="E39" s="13" t="inlineStr">
        <is>
          <t>SYC10034</t>
        </is>
      </c>
      <c r="F39" s="13" t="inlineStr">
        <is>
          <t>Sayaç</t>
        </is>
      </c>
      <c r="G39" s="13" t="inlineStr">
        <is>
          <t>2026-07</t>
        </is>
      </c>
      <c r="H39" s="13" t="inlineStr">
        <is>
          <t>Açık</t>
        </is>
      </c>
      <c r="I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5" t="n">
        <v>2375</v>
      </c>
      <c r="D40" s="69" t="n">
        <v>8464.5</v>
      </c>
      <c r="E40" s="13" t="inlineStr">
        <is>
          <t>SYC10035</t>
        </is>
      </c>
      <c r="F40" s="13" t="inlineStr">
        <is>
          <t>Sayaç</t>
        </is>
      </c>
      <c r="G40" s="13" t="inlineStr">
        <is>
          <t>2026-07</t>
        </is>
      </c>
      <c r="H40" s="13" t="inlineStr">
        <is>
          <t>Açık</t>
        </is>
      </c>
      <c r="I40" s="17">
        <f>IF($A40="","",1)</f>
        <v/>
      </c>
    </row>
    <row r="41">
      <c r="A41" s="13" t="n"/>
      <c r="B41" s="68" t="n"/>
      <c r="C41" s="15" t="n"/>
      <c r="D41" s="69" t="n"/>
      <c r="E41" s="13" t="n"/>
      <c r="F41" s="13" t="n"/>
      <c r="G41" s="13" t="n"/>
      <c r="H41" s="13" t="n"/>
      <c r="I41" s="17">
        <f>IF($A41="","",1)</f>
        <v/>
      </c>
    </row>
    <row r="42">
      <c r="A42" s="13" t="n"/>
      <c r="B42" s="68" t="n"/>
      <c r="C42" s="15" t="n"/>
      <c r="D42" s="69" t="n"/>
      <c r="E42" s="13" t="n"/>
      <c r="F42" s="13" t="n"/>
      <c r="G42" s="13" t="n"/>
      <c r="H42" s="13" t="n"/>
      <c r="I42" s="17">
        <f>IF($A42="","",1)</f>
        <v/>
      </c>
    </row>
    <row r="43">
      <c r="A43" s="13" t="n"/>
      <c r="B43" s="68" t="n"/>
      <c r="C43" s="15" t="n"/>
      <c r="D43" s="69" t="n"/>
      <c r="E43" s="13" t="n"/>
      <c r="F43" s="13" t="n"/>
      <c r="G43" s="13" t="n"/>
      <c r="H43" s="13" t="n"/>
      <c r="I43" s="17">
        <f>IF($A43="","",1)</f>
        <v/>
      </c>
    </row>
    <row r="44">
      <c r="A44" s="13" t="n"/>
      <c r="B44" s="68" t="n"/>
      <c r="C44" s="15" t="n"/>
      <c r="D44" s="69" t="n"/>
      <c r="E44" s="13" t="n"/>
      <c r="F44" s="13" t="n"/>
      <c r="G44" s="13" t="n"/>
      <c r="H44" s="13" t="n"/>
      <c r="I44" s="17">
        <f>IF($A44="","",1)</f>
        <v/>
      </c>
    </row>
    <row r="45">
      <c r="A45" s="13" t="n"/>
      <c r="B45" s="68" t="n"/>
      <c r="C45" s="15" t="n"/>
      <c r="D45" s="69" t="n"/>
      <c r="E45" s="13" t="n"/>
      <c r="F45" s="13" t="n"/>
      <c r="G45" s="13" t="n"/>
      <c r="H45" s="13" t="n"/>
      <c r="I45" s="17">
        <f>IF($A45="","",1)</f>
        <v/>
      </c>
    </row>
    <row r="46">
      <c r="A46" s="13" t="n"/>
      <c r="B46" s="68" t="n"/>
      <c r="C46" s="15" t="n"/>
      <c r="D46" s="69" t="n"/>
      <c r="E46" s="13" t="n"/>
      <c r="F46" s="13" t="n"/>
      <c r="G46" s="13" t="n"/>
      <c r="H46" s="13" t="n"/>
      <c r="I46" s="17">
        <f>IF($A46="","",1)</f>
        <v/>
      </c>
    </row>
    <row r="47">
      <c r="A47" s="13" t="n"/>
      <c r="B47" s="68" t="n"/>
      <c r="C47" s="15" t="n"/>
      <c r="D47" s="69" t="n"/>
      <c r="E47" s="13" t="n"/>
      <c r="F47" s="13" t="n"/>
      <c r="G47" s="13" t="n"/>
      <c r="H47" s="13" t="n"/>
      <c r="I47" s="17">
        <f>IF($A47="","",1)</f>
        <v/>
      </c>
    </row>
    <row r="48">
      <c r="A48" s="13" t="n"/>
      <c r="B48" s="68" t="n"/>
      <c r="C48" s="15" t="n"/>
      <c r="D48" s="69" t="n"/>
      <c r="E48" s="13" t="n"/>
      <c r="F48" s="13" t="n"/>
      <c r="G48" s="13" t="n"/>
      <c r="H48" s="13" t="n"/>
      <c r="I48" s="17">
        <f>IF($A48="","",1)</f>
        <v/>
      </c>
    </row>
    <row r="49">
      <c r="A49" s="13" t="n"/>
      <c r="B49" s="68" t="n"/>
      <c r="C49" s="15" t="n"/>
      <c r="D49" s="69" t="n"/>
      <c r="E49" s="13" t="n"/>
      <c r="F49" s="13" t="n"/>
      <c r="G49" s="13" t="n"/>
      <c r="H49" s="13" t="n"/>
      <c r="I49" s="17">
        <f>IF($A49="","",1)</f>
        <v/>
      </c>
    </row>
    <row r="50">
      <c r="A50" s="13" t="n"/>
      <c r="B50" s="68" t="n"/>
      <c r="C50" s="15" t="n"/>
      <c r="D50" s="69" t="n"/>
      <c r="E50" s="13" t="n"/>
      <c r="F50" s="13" t="n"/>
      <c r="G50" s="13" t="n"/>
      <c r="H50" s="13" t="n"/>
      <c r="I50" s="17">
        <f>IF($A50="","",1)</f>
        <v/>
      </c>
    </row>
    <row r="51">
      <c r="A51" s="13" t="n"/>
      <c r="B51" s="68" t="n"/>
      <c r="C51" s="15" t="n"/>
      <c r="D51" s="69" t="n"/>
      <c r="E51" s="13" t="n"/>
      <c r="F51" s="13" t="n"/>
      <c r="G51" s="13" t="n"/>
      <c r="H51" s="13" t="n"/>
      <c r="I51" s="17">
        <f>IF($A51="","",1)</f>
        <v/>
      </c>
    </row>
    <row r="52">
      <c r="A52" s="13" t="n"/>
      <c r="B52" s="68" t="n"/>
      <c r="C52" s="15" t="n"/>
      <c r="D52" s="69" t="n"/>
      <c r="E52" s="13" t="n"/>
      <c r="F52" s="13" t="n"/>
      <c r="G52" s="13" t="n"/>
      <c r="H52" s="13" t="n"/>
      <c r="I52" s="17">
        <f>IF($A52="","",1)</f>
        <v/>
      </c>
    </row>
    <row r="53">
      <c r="A53" s="13" t="n"/>
      <c r="B53" s="68" t="n"/>
      <c r="C53" s="15" t="n"/>
      <c r="D53" s="69" t="n"/>
      <c r="E53" s="13" t="n"/>
      <c r="F53" s="13" t="n"/>
      <c r="G53" s="13" t="n"/>
      <c r="H53" s="13" t="n"/>
      <c r="I53" s="17">
        <f>IF($A53="","",1)</f>
        <v/>
      </c>
    </row>
    <row r="54">
      <c r="A54" s="13" t="n"/>
      <c r="B54" s="68" t="n"/>
      <c r="C54" s="15" t="n"/>
      <c r="D54" s="69" t="n"/>
      <c r="E54" s="13" t="n"/>
      <c r="F54" s="13" t="n"/>
      <c r="G54" s="13" t="n"/>
      <c r="H54" s="13" t="n"/>
      <c r="I54" s="17">
        <f>IF($A54="","",1)</f>
        <v/>
      </c>
    </row>
    <row r="55">
      <c r="A55" s="13" t="n"/>
      <c r="B55" s="68" t="n"/>
      <c r="C55" s="15" t="n"/>
      <c r="D55" s="69" t="n"/>
      <c r="E55" s="13" t="n"/>
      <c r="F55" s="13" t="n"/>
      <c r="G55" s="13" t="n"/>
      <c r="H55" s="13" t="n"/>
      <c r="I55" s="17">
        <f>IF($A55="","",1)</f>
        <v/>
      </c>
    </row>
    <row r="56">
      <c r="A56" s="13" t="n"/>
      <c r="B56" s="68" t="n"/>
      <c r="C56" s="15" t="n"/>
      <c r="D56" s="69" t="n"/>
      <c r="E56" s="13" t="n"/>
      <c r="F56" s="13" t="n"/>
      <c r="G56" s="13" t="n"/>
      <c r="H56" s="13" t="n"/>
      <c r="I56" s="17">
        <f>IF($A56="","",1)</f>
        <v/>
      </c>
    </row>
    <row r="57">
      <c r="A57" s="13" t="n"/>
      <c r="B57" s="68" t="n"/>
      <c r="C57" s="15" t="n"/>
      <c r="D57" s="69" t="n"/>
      <c r="E57" s="13" t="n"/>
      <c r="F57" s="13" t="n"/>
      <c r="G57" s="13" t="n"/>
      <c r="H57" s="13" t="n"/>
      <c r="I57" s="17">
        <f>IF($A57="","",1)</f>
        <v/>
      </c>
    </row>
    <row r="58">
      <c r="A58" s="13" t="n"/>
      <c r="B58" s="68" t="n"/>
      <c r="C58" s="15" t="n"/>
      <c r="D58" s="69" t="n"/>
      <c r="E58" s="13" t="n"/>
      <c r="F58" s="13" t="n"/>
      <c r="G58" s="13" t="n"/>
      <c r="H58" s="13" t="n"/>
      <c r="I58" s="17">
        <f>IF($A58="","",1)</f>
        <v/>
      </c>
    </row>
    <row r="59">
      <c r="A59" s="13" t="n"/>
      <c r="B59" s="68" t="n"/>
      <c r="C59" s="15" t="n"/>
      <c r="D59" s="69" t="n"/>
      <c r="E59" s="13" t="n"/>
      <c r="F59" s="13" t="n"/>
      <c r="G59" s="13" t="n"/>
      <c r="H59" s="13" t="n"/>
      <c r="I59" s="17">
        <f>IF($A59="","",1)</f>
        <v/>
      </c>
    </row>
    <row r="60">
      <c r="A60" s="13" t="n"/>
      <c r="B60" s="68" t="n"/>
      <c r="C60" s="15" t="n"/>
      <c r="D60" s="69" t="n"/>
      <c r="E60" s="13" t="n"/>
      <c r="F60" s="13" t="n"/>
      <c r="G60" s="13" t="n"/>
      <c r="H60" s="13" t="n"/>
      <c r="I60" s="17">
        <f>IF($A60="","",1)</f>
        <v/>
      </c>
    </row>
    <row r="61">
      <c r="A61" s="13" t="n"/>
      <c r="B61" s="68" t="n"/>
      <c r="C61" s="15" t="n"/>
      <c r="D61" s="69" t="n"/>
      <c r="E61" s="13" t="n"/>
      <c r="F61" s="13" t="n"/>
      <c r="G61" s="13" t="n"/>
      <c r="H61" s="13" t="n"/>
      <c r="I61" s="17">
        <f>IF($A61="","",1)</f>
        <v/>
      </c>
    </row>
    <row r="62">
      <c r="A62" s="13" t="n"/>
      <c r="B62" s="68" t="n"/>
      <c r="C62" s="15" t="n"/>
      <c r="D62" s="69" t="n"/>
      <c r="E62" s="13" t="n"/>
      <c r="F62" s="13" t="n"/>
      <c r="G62" s="13" t="n"/>
      <c r="H62" s="13" t="n"/>
      <c r="I62" s="17">
        <f>IF($A62="","",1)</f>
        <v/>
      </c>
    </row>
    <row r="63">
      <c r="A63" s="13" t="n"/>
      <c r="B63" s="68" t="n"/>
      <c r="C63" s="15" t="n"/>
      <c r="D63" s="69" t="n"/>
      <c r="E63" s="13" t="n"/>
      <c r="F63" s="13" t="n"/>
      <c r="G63" s="13" t="n"/>
      <c r="H63" s="13" t="n"/>
      <c r="I63" s="17">
        <f>IF($A63="","",1)</f>
        <v/>
      </c>
    </row>
    <row r="64">
      <c r="A64" s="13" t="n"/>
      <c r="B64" s="68" t="n"/>
      <c r="C64" s="15" t="n"/>
      <c r="D64" s="69" t="n"/>
      <c r="E64" s="13" t="n"/>
      <c r="F64" s="13" t="n"/>
      <c r="G64" s="13" t="n"/>
      <c r="H64" s="13" t="n"/>
      <c r="I64" s="17">
        <f>IF($A64="","",1)</f>
        <v/>
      </c>
    </row>
    <row r="65">
      <c r="A65" s="13" t="n"/>
      <c r="B65" s="68" t="n"/>
      <c r="C65" s="15" t="n"/>
      <c r="D65" s="69" t="n"/>
      <c r="E65" s="13" t="n"/>
      <c r="F65" s="13" t="n"/>
      <c r="G65" s="13" t="n"/>
      <c r="H65" s="13" t="n"/>
      <c r="I65" s="17">
        <f>IF($A65="","",1)</f>
        <v/>
      </c>
    </row>
    <row r="66">
      <c r="A66" s="13" t="n"/>
      <c r="B66" s="68" t="n"/>
      <c r="C66" s="15" t="n"/>
      <c r="D66" s="69" t="n"/>
      <c r="E66" s="13" t="n"/>
      <c r="F66" s="13" t="n"/>
      <c r="G66" s="13" t="n"/>
      <c r="H66" s="13" t="n"/>
      <c r="I66" s="17">
        <f>IF($A66="","",1)</f>
        <v/>
      </c>
    </row>
    <row r="67">
      <c r="A67" s="13" t="n"/>
      <c r="B67" s="68" t="n"/>
      <c r="C67" s="15" t="n"/>
      <c r="D67" s="69" t="n"/>
      <c r="E67" s="13" t="n"/>
      <c r="F67" s="13" t="n"/>
      <c r="G67" s="13" t="n"/>
      <c r="H67" s="13" t="n"/>
      <c r="I67" s="17">
        <f>IF($A67="","",1)</f>
        <v/>
      </c>
    </row>
    <row r="68">
      <c r="A68" s="13" t="n"/>
      <c r="B68" s="68" t="n"/>
      <c r="C68" s="15" t="n"/>
      <c r="D68" s="69" t="n"/>
      <c r="E68" s="13" t="n"/>
      <c r="F68" s="13" t="n"/>
      <c r="G68" s="13" t="n"/>
      <c r="H68" s="13" t="n"/>
      <c r="I68" s="17">
        <f>IF($A68="","",1)</f>
        <v/>
      </c>
    </row>
    <row r="69">
      <c r="A69" s="13" t="n"/>
      <c r="B69" s="68" t="n"/>
      <c r="C69" s="15" t="n"/>
      <c r="D69" s="69" t="n"/>
      <c r="E69" s="13" t="n"/>
      <c r="F69" s="13" t="n"/>
      <c r="G69" s="13" t="n"/>
      <c r="H69" s="13" t="n"/>
      <c r="I69" s="17">
        <f>IF($A69="","",1)</f>
        <v/>
      </c>
    </row>
    <row r="70">
      <c r="A70" s="13" t="n"/>
      <c r="B70" s="68" t="n"/>
      <c r="C70" s="15" t="n"/>
      <c r="D70" s="69" t="n"/>
      <c r="E70" s="13" t="n"/>
      <c r="F70" s="13" t="n"/>
      <c r="G70" s="13" t="n"/>
      <c r="H70" s="13" t="n"/>
      <c r="I70" s="17">
        <f>IF($A70="","",1)</f>
        <v/>
      </c>
    </row>
    <row r="71">
      <c r="A71" s="13" t="n"/>
      <c r="B71" s="68" t="n"/>
      <c r="C71" s="15" t="n"/>
      <c r="D71" s="69" t="n"/>
      <c r="E71" s="13" t="n"/>
      <c r="F71" s="13" t="n"/>
      <c r="G71" s="13" t="n"/>
      <c r="H71" s="13" t="n"/>
      <c r="I71" s="17">
        <f>IF($A71="","",1)</f>
        <v/>
      </c>
    </row>
    <row r="72">
      <c r="A72" s="13" t="n"/>
      <c r="B72" s="68" t="n"/>
      <c r="C72" s="15" t="n"/>
      <c r="D72" s="69" t="n"/>
      <c r="E72" s="13" t="n"/>
      <c r="F72" s="13" t="n"/>
      <c r="G72" s="13" t="n"/>
      <c r="H72" s="13" t="n"/>
      <c r="I72" s="17">
        <f>IF($A72="","",1)</f>
        <v/>
      </c>
    </row>
    <row r="73">
      <c r="A73" s="13" t="n"/>
      <c r="B73" s="68" t="n"/>
      <c r="C73" s="15" t="n"/>
      <c r="D73" s="69" t="n"/>
      <c r="E73" s="13" t="n"/>
      <c r="F73" s="13" t="n"/>
      <c r="G73" s="13" t="n"/>
      <c r="H73" s="13" t="n"/>
      <c r="I73" s="17">
        <f>IF($A73="","",1)</f>
        <v/>
      </c>
    </row>
    <row r="74">
      <c r="A74" s="13" t="n"/>
      <c r="B74" s="68" t="n"/>
      <c r="C74" s="15" t="n"/>
      <c r="D74" s="69" t="n"/>
      <c r="E74" s="13" t="n"/>
      <c r="F74" s="13" t="n"/>
      <c r="G74" s="13" t="n"/>
      <c r="H74" s="13" t="n"/>
      <c r="I74" s="17">
        <f>IF($A74="","",1)</f>
        <v/>
      </c>
    </row>
    <row r="75">
      <c r="A75" s="13" t="n"/>
      <c r="B75" s="68" t="n"/>
      <c r="C75" s="15" t="n"/>
      <c r="D75" s="69" t="n"/>
      <c r="E75" s="13" t="n"/>
      <c r="F75" s="13" t="n"/>
      <c r="G75" s="13" t="n"/>
      <c r="H75" s="13" t="n"/>
      <c r="I75" s="17">
        <f>IF($A75="","",1)</f>
        <v/>
      </c>
    </row>
    <row r="76">
      <c r="A76" s="13" t="n"/>
      <c r="B76" s="68" t="n"/>
      <c r="C76" s="15" t="n"/>
      <c r="D76" s="69" t="n"/>
      <c r="E76" s="13" t="n"/>
      <c r="F76" s="13" t="n"/>
      <c r="G76" s="13" t="n"/>
      <c r="H76" s="13" t="n"/>
      <c r="I76" s="17">
        <f>IF($A76="","",1)</f>
        <v/>
      </c>
    </row>
    <row r="77">
      <c r="A77" s="13" t="n"/>
      <c r="B77" s="68" t="n"/>
      <c r="C77" s="15" t="n"/>
      <c r="D77" s="69" t="n"/>
      <c r="E77" s="13" t="n"/>
      <c r="F77" s="13" t="n"/>
      <c r="G77" s="13" t="n"/>
      <c r="H77" s="13" t="n"/>
      <c r="I77" s="17">
        <f>IF($A77="","",1)</f>
        <v/>
      </c>
    </row>
    <row r="78">
      <c r="A78" s="13" t="n"/>
      <c r="B78" s="68" t="n"/>
      <c r="C78" s="15" t="n"/>
      <c r="D78" s="69" t="n"/>
      <c r="E78" s="13" t="n"/>
      <c r="F78" s="13" t="n"/>
      <c r="G78" s="13" t="n"/>
      <c r="H78" s="13" t="n"/>
      <c r="I78" s="17">
        <f>IF($A78="","",1)</f>
        <v/>
      </c>
    </row>
    <row r="79">
      <c r="A79" s="13" t="n"/>
      <c r="B79" s="68" t="n"/>
      <c r="C79" s="15" t="n"/>
      <c r="D79" s="69" t="n"/>
      <c r="E79" s="13" t="n"/>
      <c r="F79" s="13" t="n"/>
      <c r="G79" s="13" t="n"/>
      <c r="H79" s="13" t="n"/>
      <c r="I79" s="17">
        <f>IF($A79="","",1)</f>
        <v/>
      </c>
    </row>
    <row r="80">
      <c r="A80" s="13" t="n"/>
      <c r="B80" s="68" t="n"/>
      <c r="C80" s="15" t="n"/>
      <c r="D80" s="69" t="n"/>
      <c r="E80" s="13" t="n"/>
      <c r="F80" s="13" t="n"/>
      <c r="G80" s="13" t="n"/>
      <c r="H80" s="13" t="n"/>
      <c r="I80" s="17">
        <f>IF($A80="","",1)</f>
        <v/>
      </c>
    </row>
    <row r="81">
      <c r="A81" s="13" t="n"/>
      <c r="B81" s="68" t="n"/>
      <c r="C81" s="15" t="n"/>
      <c r="D81" s="69" t="n"/>
      <c r="E81" s="13" t="n"/>
      <c r="F81" s="13" t="n"/>
      <c r="G81" s="13" t="n"/>
      <c r="H81" s="13" t="n"/>
      <c r="I81" s="17">
        <f>IF($A81="","",1)</f>
        <v/>
      </c>
    </row>
    <row r="82">
      <c r="A82" s="13" t="n"/>
      <c r="B82" s="68" t="n"/>
      <c r="C82" s="15" t="n"/>
      <c r="D82" s="69" t="n"/>
      <c r="E82" s="13" t="n"/>
      <c r="F82" s="13" t="n"/>
      <c r="G82" s="13" t="n"/>
      <c r="H82" s="13" t="n"/>
      <c r="I82" s="17">
        <f>IF($A82="","",1)</f>
        <v/>
      </c>
    </row>
    <row r="83">
      <c r="A83" s="13" t="n"/>
      <c r="B83" s="68" t="n"/>
      <c r="C83" s="15" t="n"/>
      <c r="D83" s="69" t="n"/>
      <c r="E83" s="13" t="n"/>
      <c r="F83" s="13" t="n"/>
      <c r="G83" s="13" t="n"/>
      <c r="H83" s="13" t="n"/>
      <c r="I83" s="17">
        <f>IF($A83="","",1)</f>
        <v/>
      </c>
    </row>
    <row r="84">
      <c r="A84" s="13" t="n"/>
      <c r="B84" s="68" t="n"/>
      <c r="C84" s="15" t="n"/>
      <c r="D84" s="69" t="n"/>
      <c r="E84" s="13" t="n"/>
      <c r="F84" s="13" t="n"/>
      <c r="G84" s="13" t="n"/>
      <c r="H84" s="13" t="n"/>
      <c r="I84" s="17">
        <f>IF($A84="","",1)</f>
        <v/>
      </c>
    </row>
    <row r="85">
      <c r="A85" s="13" t="n"/>
      <c r="B85" s="68" t="n"/>
      <c r="C85" s="15" t="n"/>
      <c r="D85" s="69" t="n"/>
      <c r="E85" s="13" t="n"/>
      <c r="F85" s="13" t="n"/>
      <c r="G85" s="13" t="n"/>
      <c r="H85" s="13" t="n"/>
      <c r="I85" s="17">
        <f>IF($A85="","",1)</f>
        <v/>
      </c>
    </row>
    <row r="86">
      <c r="A86" s="13" t="n"/>
      <c r="B86" s="68" t="n"/>
      <c r="C86" s="15" t="n"/>
      <c r="D86" s="69" t="n"/>
      <c r="E86" s="13" t="n"/>
      <c r="F86" s="13" t="n"/>
      <c r="G86" s="13" t="n"/>
      <c r="H86" s="13" t="n"/>
      <c r="I86" s="17">
        <f>IF($A86="","",1)</f>
        <v/>
      </c>
    </row>
    <row r="87">
      <c r="A87" s="13" t="n"/>
      <c r="B87" s="68" t="n"/>
      <c r="C87" s="15" t="n"/>
      <c r="D87" s="69" t="n"/>
      <c r="E87" s="13" t="n"/>
      <c r="F87" s="13" t="n"/>
      <c r="G87" s="13" t="n"/>
      <c r="H87" s="13" t="n"/>
      <c r="I87" s="17">
        <f>IF($A87="","",1)</f>
        <v/>
      </c>
    </row>
    <row r="88">
      <c r="A88" s="13" t="n"/>
      <c r="B88" s="68" t="n"/>
      <c r="C88" s="15" t="n"/>
      <c r="D88" s="69" t="n"/>
      <c r="E88" s="13" t="n"/>
      <c r="F88" s="13" t="n"/>
      <c r="G88" s="13" t="n"/>
      <c r="H88" s="13" t="n"/>
      <c r="I88" s="17">
        <f>IF($A88="","",1)</f>
        <v/>
      </c>
    </row>
    <row r="89">
      <c r="A89" s="13" t="n"/>
      <c r="B89" s="68" t="n"/>
      <c r="C89" s="15" t="n"/>
      <c r="D89" s="69" t="n"/>
      <c r="E89" s="13" t="n"/>
      <c r="F89" s="13" t="n"/>
      <c r="G89" s="13" t="n"/>
      <c r="H89" s="13" t="n"/>
      <c r="I89" s="17">
        <f>IF($A89="","",1)</f>
        <v/>
      </c>
    </row>
    <row r="90">
      <c r="A90" s="13" t="n"/>
      <c r="B90" s="68" t="n"/>
      <c r="C90" s="15" t="n"/>
      <c r="D90" s="69" t="n"/>
      <c r="E90" s="13" t="n"/>
      <c r="F90" s="13" t="n"/>
      <c r="G90" s="13" t="n"/>
      <c r="H90" s="13" t="n"/>
      <c r="I90" s="17">
        <f>IF($A90="","",1)</f>
        <v/>
      </c>
    </row>
    <row r="91">
      <c r="A91" s="13" t="n"/>
      <c r="B91" s="68" t="n"/>
      <c r="C91" s="15" t="n"/>
      <c r="D91" s="69" t="n"/>
      <c r="E91" s="13" t="n"/>
      <c r="F91" s="13" t="n"/>
      <c r="G91" s="13" t="n"/>
      <c r="H91" s="13" t="n"/>
      <c r="I91" s="17">
        <f>IF($A91="","",1)</f>
        <v/>
      </c>
    </row>
    <row r="92">
      <c r="A92" s="13" t="n"/>
      <c r="B92" s="68" t="n"/>
      <c r="C92" s="15" t="n"/>
      <c r="D92" s="69" t="n"/>
      <c r="E92" s="13" t="n"/>
      <c r="F92" s="13" t="n"/>
      <c r="G92" s="13" t="n"/>
      <c r="H92" s="13" t="n"/>
      <c r="I92" s="17">
        <f>IF($A92="","",1)</f>
        <v/>
      </c>
    </row>
    <row r="93">
      <c r="A93" s="13" t="n"/>
      <c r="B93" s="68" t="n"/>
      <c r="C93" s="15" t="n"/>
      <c r="D93" s="69" t="n"/>
      <c r="E93" s="13" t="n"/>
      <c r="F93" s="13" t="n"/>
      <c r="G93" s="13" t="n"/>
      <c r="H93" s="13" t="n"/>
      <c r="I93" s="17">
        <f>IF($A93="","",1)</f>
        <v/>
      </c>
    </row>
    <row r="94">
      <c r="A94" s="13" t="n"/>
      <c r="B94" s="68" t="n"/>
      <c r="C94" s="15" t="n"/>
      <c r="D94" s="69" t="n"/>
      <c r="E94" s="13" t="n"/>
      <c r="F94" s="13" t="n"/>
      <c r="G94" s="13" t="n"/>
      <c r="H94" s="13" t="n"/>
      <c r="I94" s="17">
        <f>IF($A94="","",1)</f>
        <v/>
      </c>
    </row>
    <row r="95">
      <c r="A95" s="13" t="n"/>
      <c r="B95" s="68" t="n"/>
      <c r="C95" s="15" t="n"/>
      <c r="D95" s="69" t="n"/>
      <c r="E95" s="13" t="n"/>
      <c r="F95" s="13" t="n"/>
      <c r="G95" s="13" t="n"/>
      <c r="H95" s="13" t="n"/>
      <c r="I95" s="17">
        <f>IF($A95="","",1)</f>
        <v/>
      </c>
    </row>
    <row r="96">
      <c r="A96" s="13" t="n"/>
      <c r="B96" s="68" t="n"/>
      <c r="C96" s="15" t="n"/>
      <c r="D96" s="69" t="n"/>
      <c r="E96" s="13" t="n"/>
      <c r="F96" s="13" t="n"/>
      <c r="G96" s="13" t="n"/>
      <c r="H96" s="13" t="n"/>
      <c r="I96" s="17">
        <f>IF($A96="","",1)</f>
        <v/>
      </c>
    </row>
    <row r="97">
      <c r="A97" s="13" t="n"/>
      <c r="B97" s="68" t="n"/>
      <c r="C97" s="15" t="n"/>
      <c r="D97" s="69" t="n"/>
      <c r="E97" s="13" t="n"/>
      <c r="F97" s="13" t="n"/>
      <c r="G97" s="13" t="n"/>
      <c r="H97" s="13" t="n"/>
      <c r="I97" s="17">
        <f>IF($A97="","",1)</f>
        <v/>
      </c>
    </row>
    <row r="98">
      <c r="A98" s="13" t="n"/>
      <c r="B98" s="68" t="n"/>
      <c r="C98" s="15" t="n"/>
      <c r="D98" s="69" t="n"/>
      <c r="E98" s="13" t="n"/>
      <c r="F98" s="13" t="n"/>
      <c r="G98" s="13" t="n"/>
      <c r="H98" s="13" t="n"/>
      <c r="I98" s="17">
        <f>IF($A98="","",1)</f>
        <v/>
      </c>
    </row>
    <row r="99">
      <c r="A99" s="13" t="n"/>
      <c r="B99" s="68" t="n"/>
      <c r="C99" s="15" t="n"/>
      <c r="D99" s="69" t="n"/>
      <c r="E99" s="13" t="n"/>
      <c r="F99" s="13" t="n"/>
      <c r="G99" s="13" t="n"/>
      <c r="H99" s="13" t="n"/>
      <c r="I99" s="17">
        <f>IF($A99="","",1)</f>
        <v/>
      </c>
    </row>
    <row r="100">
      <c r="A100" s="13" t="n"/>
      <c r="B100" s="68" t="n"/>
      <c r="C100" s="15" t="n"/>
      <c r="D100" s="69" t="n"/>
      <c r="E100" s="13" t="n"/>
      <c r="F100" s="13" t="n"/>
      <c r="G100" s="13" t="n"/>
      <c r="H100" s="13" t="n"/>
      <c r="I100" s="17">
        <f>IF($A100="","",1)</f>
        <v/>
      </c>
    </row>
    <row r="101">
      <c r="A101" s="13" t="n"/>
      <c r="B101" s="68" t="n"/>
      <c r="C101" s="15" t="n"/>
      <c r="D101" s="69" t="n"/>
      <c r="E101" s="13" t="n"/>
      <c r="F101" s="13" t="n"/>
      <c r="G101" s="13" t="n"/>
      <c r="H101" s="13" t="n"/>
      <c r="I101" s="17">
        <f>IF($A101="","",1)</f>
        <v/>
      </c>
    </row>
    <row r="102">
      <c r="A102" s="13" t="n"/>
      <c r="B102" s="68" t="n"/>
      <c r="C102" s="15" t="n"/>
      <c r="D102" s="69" t="n"/>
      <c r="E102" s="13" t="n"/>
      <c r="F102" s="13" t="n"/>
      <c r="G102" s="13" t="n"/>
      <c r="H102" s="13" t="n"/>
      <c r="I102" s="17">
        <f>IF($A102="","",1)</f>
        <v/>
      </c>
    </row>
    <row r="103">
      <c r="A103" s="13" t="n"/>
      <c r="B103" s="68" t="n"/>
      <c r="C103" s="15" t="n"/>
      <c r="D103" s="69" t="n"/>
      <c r="E103" s="13" t="n"/>
      <c r="F103" s="13" t="n"/>
      <c r="G103" s="13" t="n"/>
      <c r="H103" s="13" t="n"/>
      <c r="I103" s="17">
        <f>IF($A103="","",1)</f>
        <v/>
      </c>
    </row>
    <row r="104">
      <c r="A104" s="13" t="n"/>
      <c r="B104" s="68" t="n"/>
      <c r="C104" s="15" t="n"/>
      <c r="D104" s="69" t="n"/>
      <c r="E104" s="13" t="n"/>
      <c r="F104" s="13" t="n"/>
      <c r="G104" s="13" t="n"/>
      <c r="H104" s="13" t="n"/>
      <c r="I104" s="17">
        <f>IF($A104="","",1)</f>
        <v/>
      </c>
    </row>
    <row r="105">
      <c r="A105" s="13" t="n"/>
      <c r="B105" s="68" t="n"/>
      <c r="C105" s="15" t="n"/>
      <c r="D105" s="69" t="n"/>
      <c r="E105" s="13" t="n"/>
      <c r="F105" s="13" t="n"/>
      <c r="G105" s="13" t="n"/>
      <c r="H105" s="13" t="n"/>
      <c r="I105" s="17">
        <f>IF($A105="","",1)</f>
        <v/>
      </c>
    </row>
    <row r="106">
      <c r="A106" s="13" t="n"/>
      <c r="B106" s="68" t="n"/>
      <c r="C106" s="15" t="n"/>
      <c r="D106" s="69" t="n"/>
      <c r="E106" s="13" t="n"/>
      <c r="F106" s="13" t="n"/>
      <c r="G106" s="13" t="n"/>
      <c r="H106" s="13" t="n"/>
      <c r="I106" s="17">
        <f>IF($A106="","",1)</f>
        <v/>
      </c>
    </row>
    <row r="107">
      <c r="A107" s="13" t="n"/>
      <c r="B107" s="68" t="n"/>
      <c r="C107" s="15" t="n"/>
      <c r="D107" s="69" t="n"/>
      <c r="E107" s="13" t="n"/>
      <c r="F107" s="13" t="n"/>
      <c r="G107" s="13" t="n"/>
      <c r="H107" s="13" t="n"/>
      <c r="I107" s="17">
        <f>IF($A107="","",1)</f>
        <v/>
      </c>
    </row>
    <row r="108">
      <c r="A108" s="13" t="n"/>
      <c r="B108" s="68" t="n"/>
      <c r="C108" s="15" t="n"/>
      <c r="D108" s="69" t="n"/>
      <c r="E108" s="13" t="n"/>
      <c r="F108" s="13" t="n"/>
      <c r="G108" s="13" t="n"/>
      <c r="H108" s="13" t="n"/>
      <c r="I108" s="17">
        <f>IF($A108="","",1)</f>
        <v/>
      </c>
    </row>
    <row r="109">
      <c r="A109" s="13" t="n"/>
      <c r="B109" s="68" t="n"/>
      <c r="C109" s="15" t="n"/>
      <c r="D109" s="69" t="n"/>
      <c r="E109" s="13" t="n"/>
      <c r="F109" s="13" t="n"/>
      <c r="G109" s="13" t="n"/>
      <c r="H109" s="13" t="n"/>
      <c r="I109" s="17">
        <f>IF($A109="","",1)</f>
        <v/>
      </c>
    </row>
    <row r="110">
      <c r="A110" s="13" t="n"/>
      <c r="B110" s="68" t="n"/>
      <c r="C110" s="15" t="n"/>
      <c r="D110" s="69" t="n"/>
      <c r="E110" s="13" t="n"/>
      <c r="F110" s="13" t="n"/>
      <c r="G110" s="13" t="n"/>
      <c r="H110" s="13" t="n"/>
      <c r="I110" s="17">
        <f>IF($A110="","",1)</f>
        <v/>
      </c>
    </row>
    <row r="111">
      <c r="A111" s="13" t="n"/>
      <c r="B111" s="68" t="n"/>
      <c r="C111" s="15" t="n"/>
      <c r="D111" s="69" t="n"/>
      <c r="E111" s="13" t="n"/>
      <c r="F111" s="13" t="n"/>
      <c r="G111" s="13" t="n"/>
      <c r="H111" s="13" t="n"/>
      <c r="I111" s="17">
        <f>IF($A111="","",1)</f>
        <v/>
      </c>
    </row>
    <row r="112">
      <c r="A112" s="13" t="n"/>
      <c r="B112" s="68" t="n"/>
      <c r="C112" s="15" t="n"/>
      <c r="D112" s="69" t="n"/>
      <c r="E112" s="13" t="n"/>
      <c r="F112" s="13" t="n"/>
      <c r="G112" s="13" t="n"/>
      <c r="H112" s="13" t="n"/>
      <c r="I112" s="17">
        <f>IF($A112="","",1)</f>
        <v/>
      </c>
    </row>
    <row r="113">
      <c r="A113" s="13" t="n"/>
      <c r="B113" s="68" t="n"/>
      <c r="C113" s="15" t="n"/>
      <c r="D113" s="69" t="n"/>
      <c r="E113" s="13" t="n"/>
      <c r="F113" s="13" t="n"/>
      <c r="G113" s="13" t="n"/>
      <c r="H113" s="13" t="n"/>
      <c r="I113" s="17">
        <f>IF($A113="","",1)</f>
        <v/>
      </c>
    </row>
    <row r="114">
      <c r="A114" s="13" t="n"/>
      <c r="B114" s="68" t="n"/>
      <c r="C114" s="15" t="n"/>
      <c r="D114" s="69" t="n"/>
      <c r="E114" s="13" t="n"/>
      <c r="F114" s="13" t="n"/>
      <c r="G114" s="13" t="n"/>
      <c r="H114" s="13" t="n"/>
      <c r="I114" s="17">
        <f>IF($A114="","",1)</f>
        <v/>
      </c>
    </row>
    <row r="115">
      <c r="A115" s="13" t="n"/>
      <c r="B115" s="68" t="n"/>
      <c r="C115" s="15" t="n"/>
      <c r="D115" s="69" t="n"/>
      <c r="E115" s="13" t="n"/>
      <c r="F115" s="13" t="n"/>
      <c r="G115" s="13" t="n"/>
      <c r="H115" s="13" t="n"/>
      <c r="I115" s="17">
        <f>IF($A115="","",1)</f>
        <v/>
      </c>
    </row>
    <row r="116">
      <c r="A116" s="13" t="n"/>
      <c r="B116" s="68" t="n"/>
      <c r="C116" s="15" t="n"/>
      <c r="D116" s="69" t="n"/>
      <c r="E116" s="13" t="n"/>
      <c r="F116" s="13" t="n"/>
      <c r="G116" s="13" t="n"/>
      <c r="H116" s="13" t="n"/>
      <c r="I116" s="17">
        <f>IF($A116="","",1)</f>
        <v/>
      </c>
    </row>
    <row r="117">
      <c r="A117" s="13" t="n"/>
      <c r="B117" s="68" t="n"/>
      <c r="C117" s="15" t="n"/>
      <c r="D117" s="69" t="n"/>
      <c r="E117" s="13" t="n"/>
      <c r="F117" s="13" t="n"/>
      <c r="G117" s="13" t="n"/>
      <c r="H117" s="13" t="n"/>
      <c r="I117" s="17">
        <f>IF($A117="","",1)</f>
        <v/>
      </c>
    </row>
    <row r="118">
      <c r="A118" s="13" t="n"/>
      <c r="B118" s="68" t="n"/>
      <c r="C118" s="15" t="n"/>
      <c r="D118" s="69" t="n"/>
      <c r="E118" s="13" t="n"/>
      <c r="F118" s="13" t="n"/>
      <c r="G118" s="13" t="n"/>
      <c r="H118" s="13" t="n"/>
      <c r="I118" s="17">
        <f>IF($A118="","",1)</f>
        <v/>
      </c>
    </row>
    <row r="119">
      <c r="A119" s="13" t="n"/>
      <c r="B119" s="68" t="n"/>
      <c r="C119" s="15" t="n"/>
      <c r="D119" s="69" t="n"/>
      <c r="E119" s="13" t="n"/>
      <c r="F119" s="13" t="n"/>
      <c r="G119" s="13" t="n"/>
      <c r="H119" s="13" t="n"/>
      <c r="I119" s="17">
        <f>IF($A119="","",1)</f>
        <v/>
      </c>
    </row>
    <row r="120">
      <c r="A120" s="13" t="n"/>
      <c r="B120" s="68" t="n"/>
      <c r="C120" s="15" t="n"/>
      <c r="D120" s="69" t="n"/>
      <c r="E120" s="13" t="n"/>
      <c r="F120" s="13" t="n"/>
      <c r="G120" s="13" t="n"/>
      <c r="H120" s="13" t="n"/>
      <c r="I120" s="17">
        <f>IF($A120="","",1)</f>
        <v/>
      </c>
    </row>
    <row r="121">
      <c r="A121" s="13" t="n"/>
      <c r="B121" s="68" t="n"/>
      <c r="C121" s="15" t="n"/>
      <c r="D121" s="69" t="n"/>
      <c r="E121" s="13" t="n"/>
      <c r="F121" s="13" t="n"/>
      <c r="G121" s="13" t="n"/>
      <c r="H121" s="13" t="n"/>
      <c r="I121" s="17">
        <f>IF($A121="","",1)</f>
        <v/>
      </c>
    </row>
    <row r="122">
      <c r="A122" s="13" t="n"/>
      <c r="B122" s="68" t="n"/>
      <c r="C122" s="15" t="n"/>
      <c r="D122" s="69" t="n"/>
      <c r="E122" s="13" t="n"/>
      <c r="F122" s="13" t="n"/>
      <c r="G122" s="13" t="n"/>
      <c r="H122" s="13" t="n"/>
      <c r="I122" s="17">
        <f>IF($A122="","",1)</f>
        <v/>
      </c>
    </row>
    <row r="123">
      <c r="A123" s="13" t="n"/>
      <c r="B123" s="68" t="n"/>
      <c r="C123" s="15" t="n"/>
      <c r="D123" s="69" t="n"/>
      <c r="E123" s="13" t="n"/>
      <c r="F123" s="13" t="n"/>
      <c r="G123" s="13" t="n"/>
      <c r="H123" s="13" t="n"/>
      <c r="I123" s="17">
        <f>IF($A123="","",1)</f>
        <v/>
      </c>
    </row>
    <row r="124">
      <c r="A124" s="13" t="n"/>
      <c r="B124" s="68" t="n"/>
      <c r="C124" s="15" t="n"/>
      <c r="D124" s="69" t="n"/>
      <c r="E124" s="13" t="n"/>
      <c r="F124" s="13" t="n"/>
      <c r="G124" s="13" t="n"/>
      <c r="H124" s="13" t="n"/>
      <c r="I124" s="17">
        <f>IF($A124="","",1)</f>
        <v/>
      </c>
    </row>
    <row r="125">
      <c r="A125" s="13" t="n"/>
      <c r="B125" s="68" t="n"/>
      <c r="C125" s="15" t="n"/>
      <c r="D125" s="69" t="n"/>
      <c r="E125" s="13" t="n"/>
      <c r="F125" s="13" t="n"/>
      <c r="G125" s="13" t="n"/>
      <c r="H125" s="13" t="n"/>
      <c r="I125" s="17">
        <f>IF($A125="","",1)</f>
        <v/>
      </c>
    </row>
    <row r="126">
      <c r="A126" s="13" t="n"/>
      <c r="B126" s="68" t="n"/>
      <c r="C126" s="15" t="n"/>
      <c r="D126" s="69" t="n"/>
      <c r="E126" s="13" t="n"/>
      <c r="F126" s="13" t="n"/>
      <c r="G126" s="13" t="n"/>
      <c r="H126" s="13" t="n"/>
      <c r="I126" s="17">
        <f>IF($A126="","",1)</f>
        <v/>
      </c>
    </row>
    <row r="127">
      <c r="A127" s="13" t="n"/>
      <c r="B127" s="68" t="n"/>
      <c r="C127" s="15" t="n"/>
      <c r="D127" s="69" t="n"/>
      <c r="E127" s="13" t="n"/>
      <c r="F127" s="13" t="n"/>
      <c r="G127" s="13" t="n"/>
      <c r="H127" s="13" t="n"/>
      <c r="I127" s="17">
        <f>IF($A127="","",1)</f>
        <v/>
      </c>
    </row>
    <row r="128">
      <c r="A128" s="13" t="n"/>
      <c r="B128" s="68" t="n"/>
      <c r="C128" s="15" t="n"/>
      <c r="D128" s="69" t="n"/>
      <c r="E128" s="13" t="n"/>
      <c r="F128" s="13" t="n"/>
      <c r="G128" s="13" t="n"/>
      <c r="H128" s="13" t="n"/>
      <c r="I128" s="17">
        <f>IF($A128="","",1)</f>
        <v/>
      </c>
    </row>
    <row r="129">
      <c r="A129" s="13" t="n"/>
      <c r="B129" s="68" t="n"/>
      <c r="C129" s="15" t="n"/>
      <c r="D129" s="69" t="n"/>
      <c r="E129" s="13" t="n"/>
      <c r="F129" s="13" t="n"/>
      <c r="G129" s="13" t="n"/>
      <c r="H129" s="13" t="n"/>
      <c r="I129" s="17">
        <f>IF($A129="","",1)</f>
        <v/>
      </c>
    </row>
    <row r="130">
      <c r="A130" s="13" t="n"/>
      <c r="B130" s="68" t="n"/>
      <c r="C130" s="15" t="n"/>
      <c r="D130" s="69" t="n"/>
      <c r="E130" s="13" t="n"/>
      <c r="F130" s="13" t="n"/>
      <c r="G130" s="13" t="n"/>
      <c r="H130" s="13" t="n"/>
      <c r="I130" s="17">
        <f>IF($A130="","",1)</f>
        <v/>
      </c>
    </row>
    <row r="131">
      <c r="A131" s="13" t="n"/>
      <c r="B131" s="68" t="n"/>
      <c r="C131" s="15" t="n"/>
      <c r="D131" s="69" t="n"/>
      <c r="E131" s="13" t="n"/>
      <c r="F131" s="13" t="n"/>
      <c r="G131" s="13" t="n"/>
      <c r="H131" s="13" t="n"/>
      <c r="I131" s="17">
        <f>IF($A131="","",1)</f>
        <v/>
      </c>
    </row>
    <row r="132">
      <c r="A132" s="13" t="n"/>
      <c r="B132" s="68" t="n"/>
      <c r="C132" s="15" t="n"/>
      <c r="D132" s="69" t="n"/>
      <c r="E132" s="13" t="n"/>
      <c r="F132" s="13" t="n"/>
      <c r="G132" s="13" t="n"/>
      <c r="H132" s="13" t="n"/>
      <c r="I132" s="17">
        <f>IF($A132="","",1)</f>
        <v/>
      </c>
    </row>
    <row r="133">
      <c r="A133" s="13" t="n"/>
      <c r="B133" s="68" t="n"/>
      <c r="C133" s="15" t="n"/>
      <c r="D133" s="69" t="n"/>
      <c r="E133" s="13" t="n"/>
      <c r="F133" s="13" t="n"/>
      <c r="G133" s="13" t="n"/>
      <c r="H133" s="13" t="n"/>
      <c r="I133" s="17">
        <f>IF($A133="","",1)</f>
        <v/>
      </c>
    </row>
    <row r="134">
      <c r="A134" s="13" t="n"/>
      <c r="B134" s="68" t="n"/>
      <c r="C134" s="15" t="n"/>
      <c r="D134" s="69" t="n"/>
      <c r="E134" s="13" t="n"/>
      <c r="F134" s="13" t="n"/>
      <c r="G134" s="13" t="n"/>
      <c r="H134" s="13" t="n"/>
      <c r="I134" s="17">
        <f>IF($A134="","",1)</f>
        <v/>
      </c>
    </row>
    <row r="135">
      <c r="A135" s="13" t="n"/>
      <c r="B135" s="68" t="n"/>
      <c r="C135" s="15" t="n"/>
      <c r="D135" s="69" t="n"/>
      <c r="E135" s="13" t="n"/>
      <c r="F135" s="13" t="n"/>
      <c r="G135" s="13" t="n"/>
      <c r="H135" s="13" t="n"/>
      <c r="I135" s="17">
        <f>IF($A135="","",1)</f>
        <v/>
      </c>
    </row>
    <row r="136">
      <c r="A136" s="13" t="n"/>
      <c r="B136" s="68" t="n"/>
      <c r="C136" s="15" t="n"/>
      <c r="D136" s="69" t="n"/>
      <c r="E136" s="13" t="n"/>
      <c r="F136" s="13" t="n"/>
      <c r="G136" s="13" t="n"/>
      <c r="H136" s="13" t="n"/>
      <c r="I136" s="17">
        <f>IF($A136="","",1)</f>
        <v/>
      </c>
    </row>
    <row r="137">
      <c r="A137" s="13" t="n"/>
      <c r="B137" s="68" t="n"/>
      <c r="C137" s="15" t="n"/>
      <c r="D137" s="69" t="n"/>
      <c r="E137" s="13" t="n"/>
      <c r="F137" s="13" t="n"/>
      <c r="G137" s="13" t="n"/>
      <c r="H137" s="13" t="n"/>
      <c r="I137" s="17">
        <f>IF($A137="","",1)</f>
        <v/>
      </c>
    </row>
    <row r="138">
      <c r="A138" s="13" t="n"/>
      <c r="B138" s="68" t="n"/>
      <c r="C138" s="15" t="n"/>
      <c r="D138" s="69" t="n"/>
      <c r="E138" s="13" t="n"/>
      <c r="F138" s="13" t="n"/>
      <c r="G138" s="13" t="n"/>
      <c r="H138" s="13" t="n"/>
      <c r="I138" s="17">
        <f>IF($A138="","",1)</f>
        <v/>
      </c>
    </row>
    <row r="139">
      <c r="A139" s="13" t="n"/>
      <c r="B139" s="68" t="n"/>
      <c r="C139" s="15" t="n"/>
      <c r="D139" s="69" t="n"/>
      <c r="E139" s="13" t="n"/>
      <c r="F139" s="13" t="n"/>
      <c r="G139" s="13" t="n"/>
      <c r="H139" s="13" t="n"/>
      <c r="I139" s="17">
        <f>IF($A139="","",1)</f>
        <v/>
      </c>
    </row>
    <row r="140">
      <c r="A140" s="13" t="n"/>
      <c r="B140" s="68" t="n"/>
      <c r="C140" s="15" t="n"/>
      <c r="D140" s="69" t="n"/>
      <c r="E140" s="13" t="n"/>
      <c r="F140" s="13" t="n"/>
      <c r="G140" s="13" t="n"/>
      <c r="H140" s="13" t="n"/>
      <c r="I140" s="17">
        <f>IF($A140="","",1)</f>
        <v/>
      </c>
    </row>
    <row r="141">
      <c r="A141" s="13" t="n"/>
      <c r="B141" s="68" t="n"/>
      <c r="C141" s="15" t="n"/>
      <c r="D141" s="69" t="n"/>
      <c r="E141" s="13" t="n"/>
      <c r="F141" s="13" t="n"/>
      <c r="G141" s="13" t="n"/>
      <c r="H141" s="13" t="n"/>
      <c r="I141" s="17">
        <f>IF($A141="","",1)</f>
        <v/>
      </c>
    </row>
    <row r="142">
      <c r="A142" s="13" t="n"/>
      <c r="B142" s="68" t="n"/>
      <c r="C142" s="15" t="n"/>
      <c r="D142" s="69" t="n"/>
      <c r="E142" s="13" t="n"/>
      <c r="F142" s="13" t="n"/>
      <c r="G142" s="13" t="n"/>
      <c r="H142" s="13" t="n"/>
      <c r="I142" s="17">
        <f>IF($A142="","",1)</f>
        <v/>
      </c>
    </row>
    <row r="143">
      <c r="A143" s="13" t="n"/>
      <c r="B143" s="68" t="n"/>
      <c r="C143" s="15" t="n"/>
      <c r="D143" s="69" t="n"/>
      <c r="E143" s="13" t="n"/>
      <c r="F143" s="13" t="n"/>
      <c r="G143" s="13" t="n"/>
      <c r="H143" s="13" t="n"/>
      <c r="I143" s="17">
        <f>IF($A143="","",1)</f>
        <v/>
      </c>
    </row>
    <row r="144">
      <c r="A144" s="13" t="n"/>
      <c r="B144" s="68" t="n"/>
      <c r="C144" s="15" t="n"/>
      <c r="D144" s="69" t="n"/>
      <c r="E144" s="13" t="n"/>
      <c r="F144" s="13" t="n"/>
      <c r="G144" s="13" t="n"/>
      <c r="H144" s="13" t="n"/>
      <c r="I144" s="17">
        <f>IF($A144="","",1)</f>
        <v/>
      </c>
    </row>
    <row r="145">
      <c r="A145" s="13" t="n"/>
      <c r="B145" s="68" t="n"/>
      <c r="C145" s="15" t="n"/>
      <c r="D145" s="69" t="n"/>
      <c r="E145" s="13" t="n"/>
      <c r="F145" s="13" t="n"/>
      <c r="G145" s="13" t="n"/>
      <c r="H145" s="13" t="n"/>
      <c r="I145" s="17">
        <f>IF($A145="","",1)</f>
        <v/>
      </c>
    </row>
    <row r="146">
      <c r="A146" s="13" t="n"/>
      <c r="B146" s="68" t="n"/>
      <c r="C146" s="15" t="n"/>
      <c r="D146" s="69" t="n"/>
      <c r="E146" s="13" t="n"/>
      <c r="F146" s="13" t="n"/>
      <c r="G146" s="13" t="n"/>
      <c r="H146" s="13" t="n"/>
      <c r="I146" s="17">
        <f>IF($A146="","",1)</f>
        <v/>
      </c>
    </row>
    <row r="147">
      <c r="A147" s="13" t="n"/>
      <c r="B147" s="68" t="n"/>
      <c r="C147" s="15" t="n"/>
      <c r="D147" s="69" t="n"/>
      <c r="E147" s="13" t="n"/>
      <c r="F147" s="13" t="n"/>
      <c r="G147" s="13" t="n"/>
      <c r="H147" s="13" t="n"/>
      <c r="I147" s="17">
        <f>IF($A147="","",1)</f>
        <v/>
      </c>
    </row>
    <row r="148">
      <c r="A148" s="13" t="n"/>
      <c r="B148" s="68" t="n"/>
      <c r="C148" s="15" t="n"/>
      <c r="D148" s="69" t="n"/>
      <c r="E148" s="13" t="n"/>
      <c r="F148" s="13" t="n"/>
      <c r="G148" s="13" t="n"/>
      <c r="H148" s="13" t="n"/>
      <c r="I148" s="17">
        <f>IF($A148="","",1)</f>
        <v/>
      </c>
    </row>
    <row r="149">
      <c r="A149" s="13" t="n"/>
      <c r="B149" s="68" t="n"/>
      <c r="C149" s="15" t="n"/>
      <c r="D149" s="69" t="n"/>
      <c r="E149" s="13" t="n"/>
      <c r="F149" s="13" t="n"/>
      <c r="G149" s="13" t="n"/>
      <c r="H149" s="13" t="n"/>
      <c r="I149" s="17">
        <f>IF($A149="","",1)</f>
        <v/>
      </c>
    </row>
    <row r="150">
      <c r="A150" s="13" t="n"/>
      <c r="B150" s="68" t="n"/>
      <c r="C150" s="15" t="n"/>
      <c r="D150" s="69" t="n"/>
      <c r="E150" s="13" t="n"/>
      <c r="F150" s="13" t="n"/>
      <c r="G150" s="13" t="n"/>
      <c r="H150" s="13" t="n"/>
      <c r="I150" s="17">
        <f>IF($A150="","",1)</f>
        <v/>
      </c>
    </row>
    <row r="151">
      <c r="A151" s="13" t="n"/>
      <c r="B151" s="68" t="n"/>
      <c r="C151" s="15" t="n"/>
      <c r="D151" s="69" t="n"/>
      <c r="E151" s="13" t="n"/>
      <c r="F151" s="13" t="n"/>
      <c r="G151" s="13" t="n"/>
      <c r="H151" s="13" t="n"/>
      <c r="I151" s="17">
        <f>IF($A151="","",1)</f>
        <v/>
      </c>
    </row>
    <row r="152">
      <c r="A152" s="13" t="n"/>
      <c r="B152" s="68" t="n"/>
      <c r="C152" s="15" t="n"/>
      <c r="D152" s="69" t="n"/>
      <c r="E152" s="13" t="n"/>
      <c r="F152" s="13" t="n"/>
      <c r="G152" s="13" t="n"/>
      <c r="H152" s="13" t="n"/>
      <c r="I152" s="17">
        <f>IF($A152="","",1)</f>
        <v/>
      </c>
    </row>
    <row r="153">
      <c r="A153" s="13" t="n"/>
      <c r="B153" s="68" t="n"/>
      <c r="C153" s="15" t="n"/>
      <c r="D153" s="69" t="n"/>
      <c r="E153" s="13" t="n"/>
      <c r="F153" s="13" t="n"/>
      <c r="G153" s="13" t="n"/>
      <c r="H153" s="13" t="n"/>
      <c r="I153" s="17">
        <f>IF($A153="","",1)</f>
        <v/>
      </c>
    </row>
    <row r="154">
      <c r="A154" s="13" t="n"/>
      <c r="B154" s="68" t="n"/>
      <c r="C154" s="15" t="n"/>
      <c r="D154" s="69" t="n"/>
      <c r="E154" s="13" t="n"/>
      <c r="F154" s="13" t="n"/>
      <c r="G154" s="13" t="n"/>
      <c r="H154" s="13" t="n"/>
      <c r="I154" s="17">
        <f>IF($A154="","",1)</f>
        <v/>
      </c>
    </row>
    <row r="155">
      <c r="A155" s="13" t="n"/>
      <c r="B155" s="68" t="n"/>
      <c r="C155" s="15" t="n"/>
      <c r="D155" s="69" t="n"/>
      <c r="E155" s="13" t="n"/>
      <c r="F155" s="13" t="n"/>
      <c r="G155" s="13" t="n"/>
      <c r="H155" s="13" t="n"/>
      <c r="I155" s="17">
        <f>IF($A155="","",1)</f>
        <v/>
      </c>
    </row>
    <row r="156">
      <c r="A156" s="13" t="n"/>
      <c r="B156" s="68" t="n"/>
      <c r="C156" s="15" t="n"/>
      <c r="D156" s="69" t="n"/>
      <c r="E156" s="13" t="n"/>
      <c r="F156" s="13" t="n"/>
      <c r="G156" s="13" t="n"/>
      <c r="H156" s="13" t="n"/>
      <c r="I156" s="17">
        <f>IF($A156="","",1)</f>
        <v/>
      </c>
    </row>
    <row r="157">
      <c r="A157" s="13" t="n"/>
      <c r="B157" s="68" t="n"/>
      <c r="C157" s="15" t="n"/>
      <c r="D157" s="69" t="n"/>
      <c r="E157" s="13" t="n"/>
      <c r="F157" s="13" t="n"/>
      <c r="G157" s="13" t="n"/>
      <c r="H157" s="13" t="n"/>
      <c r="I157" s="17">
        <f>IF($A157="","",1)</f>
        <v/>
      </c>
    </row>
    <row r="158">
      <c r="A158" s="13" t="n"/>
      <c r="B158" s="68" t="n"/>
      <c r="C158" s="15" t="n"/>
      <c r="D158" s="69" t="n"/>
      <c r="E158" s="13" t="n"/>
      <c r="F158" s="13" t="n"/>
      <c r="G158" s="13" t="n"/>
      <c r="H158" s="13" t="n"/>
      <c r="I158" s="17">
        <f>IF($A158="","",1)</f>
        <v/>
      </c>
    </row>
    <row r="159">
      <c r="A159" s="13" t="n"/>
      <c r="B159" s="68" t="n"/>
      <c r="C159" s="15" t="n"/>
      <c r="D159" s="69" t="n"/>
      <c r="E159" s="13" t="n"/>
      <c r="F159" s="13" t="n"/>
      <c r="G159" s="13" t="n"/>
      <c r="H159" s="13" t="n"/>
      <c r="I159" s="17">
        <f>IF($A159="","",1)</f>
        <v/>
      </c>
    </row>
    <row r="160">
      <c r="A160" s="13" t="n"/>
      <c r="B160" s="68" t="n"/>
      <c r="C160" s="15" t="n"/>
      <c r="D160" s="69" t="n"/>
      <c r="E160" s="13" t="n"/>
      <c r="F160" s="13" t="n"/>
      <c r="G160" s="13" t="n"/>
      <c r="H160" s="13" t="n"/>
      <c r="I160" s="17">
        <f>IF($A160="","",1)</f>
        <v/>
      </c>
    </row>
    <row r="161">
      <c r="A161" s="13" t="n"/>
      <c r="B161" s="68" t="n"/>
      <c r="C161" s="15" t="n"/>
      <c r="D161" s="69" t="n"/>
      <c r="E161" s="13" t="n"/>
      <c r="F161" s="13" t="n"/>
      <c r="G161" s="13" t="n"/>
      <c r="H161" s="13" t="n"/>
      <c r="I161" s="17">
        <f>IF($A161="","",1)</f>
        <v/>
      </c>
    </row>
    <row r="162">
      <c r="A162" s="13" t="n"/>
      <c r="B162" s="68" t="n"/>
      <c r="C162" s="15" t="n"/>
      <c r="D162" s="69" t="n"/>
      <c r="E162" s="13" t="n"/>
      <c r="F162" s="13" t="n"/>
      <c r="G162" s="13" t="n"/>
      <c r="H162" s="13" t="n"/>
      <c r="I162" s="17">
        <f>IF($A162="","",1)</f>
        <v/>
      </c>
    </row>
    <row r="163">
      <c r="A163" s="13" t="n"/>
      <c r="B163" s="68" t="n"/>
      <c r="C163" s="15" t="n"/>
      <c r="D163" s="69" t="n"/>
      <c r="E163" s="13" t="n"/>
      <c r="F163" s="13" t="n"/>
      <c r="G163" s="13" t="n"/>
      <c r="H163" s="13" t="n"/>
      <c r="I163" s="17">
        <f>IF($A163="","",1)</f>
        <v/>
      </c>
    </row>
    <row r="164">
      <c r="A164" s="13" t="n"/>
      <c r="B164" s="68" t="n"/>
      <c r="C164" s="15" t="n"/>
      <c r="D164" s="69" t="n"/>
      <c r="E164" s="13" t="n"/>
      <c r="F164" s="13" t="n"/>
      <c r="G164" s="13" t="n"/>
      <c r="H164" s="13" t="n"/>
      <c r="I164" s="17">
        <f>IF($A164="","",1)</f>
        <v/>
      </c>
    </row>
    <row r="165">
      <c r="A165" s="13" t="n"/>
      <c r="B165" s="68" t="n"/>
      <c r="C165" s="15" t="n"/>
      <c r="D165" s="69" t="n"/>
      <c r="E165" s="13" t="n"/>
      <c r="F165" s="13" t="n"/>
      <c r="G165" s="13" t="n"/>
      <c r="H165" s="13" t="n"/>
      <c r="I165" s="17">
        <f>IF($A165="","",1)</f>
        <v/>
      </c>
    </row>
    <row r="166">
      <c r="A166" s="13" t="n"/>
      <c r="B166" s="68" t="n"/>
      <c r="C166" s="15" t="n"/>
      <c r="D166" s="69" t="n"/>
      <c r="E166" s="13" t="n"/>
      <c r="F166" s="13" t="n"/>
      <c r="G166" s="13" t="n"/>
      <c r="H166" s="13" t="n"/>
      <c r="I166" s="17">
        <f>IF($A166="","",1)</f>
        <v/>
      </c>
    </row>
    <row r="167">
      <c r="A167" s="13" t="n"/>
      <c r="B167" s="68" t="n"/>
      <c r="C167" s="15" t="n"/>
      <c r="D167" s="69" t="n"/>
      <c r="E167" s="13" t="n"/>
      <c r="F167" s="13" t="n"/>
      <c r="G167" s="13" t="n"/>
      <c r="H167" s="13" t="n"/>
      <c r="I167" s="17">
        <f>IF($A167="","",1)</f>
        <v/>
      </c>
    </row>
    <row r="168">
      <c r="A168" s="13" t="n"/>
      <c r="B168" s="68" t="n"/>
      <c r="C168" s="15" t="n"/>
      <c r="D168" s="69" t="n"/>
      <c r="E168" s="13" t="n"/>
      <c r="F168" s="13" t="n"/>
      <c r="G168" s="13" t="n"/>
      <c r="H168" s="13" t="n"/>
      <c r="I168" s="17">
        <f>IF($A168="","",1)</f>
        <v/>
      </c>
    </row>
    <row r="169">
      <c r="A169" s="13" t="n"/>
      <c r="B169" s="68" t="n"/>
      <c r="C169" s="15" t="n"/>
      <c r="D169" s="69" t="n"/>
      <c r="E169" s="13" t="n"/>
      <c r="F169" s="13" t="n"/>
      <c r="G169" s="13" t="n"/>
      <c r="H169" s="13" t="n"/>
      <c r="I169" s="17">
        <f>IF($A169="","",1)</f>
        <v/>
      </c>
    </row>
    <row r="170">
      <c r="A170" s="13" t="n"/>
      <c r="B170" s="68" t="n"/>
      <c r="C170" s="15" t="n"/>
      <c r="D170" s="69" t="n"/>
      <c r="E170" s="13" t="n"/>
      <c r="F170" s="13" t="n"/>
      <c r="G170" s="13" t="n"/>
      <c r="H170" s="13" t="n"/>
      <c r="I170" s="17">
        <f>IF($A170="","",1)</f>
        <v/>
      </c>
    </row>
    <row r="171">
      <c r="A171" s="13" t="n"/>
      <c r="B171" s="68" t="n"/>
      <c r="C171" s="15" t="n"/>
      <c r="D171" s="69" t="n"/>
      <c r="E171" s="13" t="n"/>
      <c r="F171" s="13" t="n"/>
      <c r="G171" s="13" t="n"/>
      <c r="H171" s="13" t="n"/>
      <c r="I171" s="17">
        <f>IF($A171="","",1)</f>
        <v/>
      </c>
    </row>
    <row r="172">
      <c r="A172" s="13" t="n"/>
      <c r="B172" s="68" t="n"/>
      <c r="C172" s="15" t="n"/>
      <c r="D172" s="69" t="n"/>
      <c r="E172" s="13" t="n"/>
      <c r="F172" s="13" t="n"/>
      <c r="G172" s="13" t="n"/>
      <c r="H172" s="13" t="n"/>
      <c r="I172" s="17">
        <f>IF($A172="","",1)</f>
        <v/>
      </c>
    </row>
    <row r="173">
      <c r="A173" s="13" t="n"/>
      <c r="B173" s="68" t="n"/>
      <c r="C173" s="15" t="n"/>
      <c r="D173" s="69" t="n"/>
      <c r="E173" s="13" t="n"/>
      <c r="F173" s="13" t="n"/>
      <c r="G173" s="13" t="n"/>
      <c r="H173" s="13" t="n"/>
      <c r="I173" s="17">
        <f>IF($A173="","",1)</f>
        <v/>
      </c>
    </row>
    <row r="174">
      <c r="A174" s="13" t="n"/>
      <c r="B174" s="68" t="n"/>
      <c r="C174" s="15" t="n"/>
      <c r="D174" s="69" t="n"/>
      <c r="E174" s="13" t="n"/>
      <c r="F174" s="13" t="n"/>
      <c r="G174" s="13" t="n"/>
      <c r="H174" s="13" t="n"/>
      <c r="I174" s="17">
        <f>IF($A174="","",1)</f>
        <v/>
      </c>
    </row>
    <row r="175">
      <c r="A175" s="13" t="n"/>
      <c r="B175" s="68" t="n"/>
      <c r="C175" s="15" t="n"/>
      <c r="D175" s="69" t="n"/>
      <c r="E175" s="13" t="n"/>
      <c r="F175" s="13" t="n"/>
      <c r="G175" s="13" t="n"/>
      <c r="H175" s="13" t="n"/>
      <c r="I175" s="17">
        <f>IF($A175="","",1)</f>
        <v/>
      </c>
    </row>
    <row r="176">
      <c r="A176" s="13" t="n"/>
      <c r="B176" s="68" t="n"/>
      <c r="C176" s="15" t="n"/>
      <c r="D176" s="69" t="n"/>
      <c r="E176" s="13" t="n"/>
      <c r="F176" s="13" t="n"/>
      <c r="G176" s="13" t="n"/>
      <c r="H176" s="13" t="n"/>
      <c r="I176" s="17">
        <f>IF($A176="","",1)</f>
        <v/>
      </c>
    </row>
    <row r="177">
      <c r="A177" s="13" t="n"/>
      <c r="B177" s="68" t="n"/>
      <c r="C177" s="15" t="n"/>
      <c r="D177" s="69" t="n"/>
      <c r="E177" s="13" t="n"/>
      <c r="F177" s="13" t="n"/>
      <c r="G177" s="13" t="n"/>
      <c r="H177" s="13" t="n"/>
      <c r="I177" s="17">
        <f>IF($A177="","",1)</f>
        <v/>
      </c>
    </row>
    <row r="178">
      <c r="A178" s="13" t="n"/>
      <c r="B178" s="68" t="n"/>
      <c r="C178" s="15" t="n"/>
      <c r="D178" s="69" t="n"/>
      <c r="E178" s="13" t="n"/>
      <c r="F178" s="13" t="n"/>
      <c r="G178" s="13" t="n"/>
      <c r="H178" s="13" t="n"/>
      <c r="I178" s="17">
        <f>IF($A178="","",1)</f>
        <v/>
      </c>
    </row>
    <row r="179">
      <c r="A179" s="13" t="n"/>
      <c r="B179" s="68" t="n"/>
      <c r="C179" s="15" t="n"/>
      <c r="D179" s="69" t="n"/>
      <c r="E179" s="13" t="n"/>
      <c r="F179" s="13" t="n"/>
      <c r="G179" s="13" t="n"/>
      <c r="H179" s="13" t="n"/>
      <c r="I179" s="17">
        <f>IF($A179="","",1)</f>
        <v/>
      </c>
    </row>
    <row r="180">
      <c r="A180" s="13" t="n"/>
      <c r="B180" s="68" t="n"/>
      <c r="C180" s="15" t="n"/>
      <c r="D180" s="69" t="n"/>
      <c r="E180" s="13" t="n"/>
      <c r="F180" s="13" t="n"/>
      <c r="G180" s="13" t="n"/>
      <c r="H180" s="13" t="n"/>
      <c r="I180" s="17">
        <f>IF($A180="","",1)</f>
        <v/>
      </c>
    </row>
    <row r="181">
      <c r="A181" s="13" t="n"/>
      <c r="B181" s="68" t="n"/>
      <c r="C181" s="15" t="n"/>
      <c r="D181" s="69" t="n"/>
      <c r="E181" s="13" t="n"/>
      <c r="F181" s="13" t="n"/>
      <c r="G181" s="13" t="n"/>
      <c r="H181" s="13" t="n"/>
      <c r="I181" s="17">
        <f>IF($A181="","",1)</f>
        <v/>
      </c>
    </row>
    <row r="182">
      <c r="A182" s="13" t="n"/>
      <c r="B182" s="68" t="n"/>
      <c r="C182" s="15" t="n"/>
      <c r="D182" s="69" t="n"/>
      <c r="E182" s="13" t="n"/>
      <c r="F182" s="13" t="n"/>
      <c r="G182" s="13" t="n"/>
      <c r="H182" s="13" t="n"/>
      <c r="I182" s="17">
        <f>IF($A182="","",1)</f>
        <v/>
      </c>
    </row>
    <row r="183">
      <c r="A183" s="13" t="n"/>
      <c r="B183" s="68" t="n"/>
      <c r="C183" s="15" t="n"/>
      <c r="D183" s="69" t="n"/>
      <c r="E183" s="13" t="n"/>
      <c r="F183" s="13" t="n"/>
      <c r="G183" s="13" t="n"/>
      <c r="H183" s="13" t="n"/>
      <c r="I183" s="17">
        <f>IF($A183="","",1)</f>
        <v/>
      </c>
    </row>
    <row r="184">
      <c r="A184" s="13" t="n"/>
      <c r="B184" s="68" t="n"/>
      <c r="C184" s="15" t="n"/>
      <c r="D184" s="69" t="n"/>
      <c r="E184" s="13" t="n"/>
      <c r="F184" s="13" t="n"/>
      <c r="G184" s="13" t="n"/>
      <c r="H184" s="13" t="n"/>
      <c r="I184" s="17">
        <f>IF($A184="","",1)</f>
        <v/>
      </c>
    </row>
    <row r="185">
      <c r="A185" s="13" t="n"/>
      <c r="B185" s="68" t="n"/>
      <c r="C185" s="15" t="n"/>
      <c r="D185" s="69" t="n"/>
      <c r="E185" s="13" t="n"/>
      <c r="F185" s="13" t="n"/>
      <c r="G185" s="13" t="n"/>
      <c r="H185" s="13" t="n"/>
      <c r="I185" s="17">
        <f>IF($A185="","",1)</f>
        <v/>
      </c>
    </row>
    <row r="186">
      <c r="A186" s="13" t="n"/>
      <c r="B186" s="68" t="n"/>
      <c r="C186" s="15" t="n"/>
      <c r="D186" s="69" t="n"/>
      <c r="E186" s="13" t="n"/>
      <c r="F186" s="13" t="n"/>
      <c r="G186" s="13" t="n"/>
      <c r="H186" s="13" t="n"/>
      <c r="I186" s="17">
        <f>IF($A186="","",1)</f>
        <v/>
      </c>
    </row>
    <row r="187">
      <c r="A187" s="13" t="n"/>
      <c r="B187" s="68" t="n"/>
      <c r="C187" s="15" t="n"/>
      <c r="D187" s="69" t="n"/>
      <c r="E187" s="13" t="n"/>
      <c r="F187" s="13" t="n"/>
      <c r="G187" s="13" t="n"/>
      <c r="H187" s="13" t="n"/>
      <c r="I187" s="17">
        <f>IF($A187="","",1)</f>
        <v/>
      </c>
    </row>
    <row r="188">
      <c r="A188" s="13" t="n"/>
      <c r="B188" s="68" t="n"/>
      <c r="C188" s="15" t="n"/>
      <c r="D188" s="69" t="n"/>
      <c r="E188" s="13" t="n"/>
      <c r="F188" s="13" t="n"/>
      <c r="G188" s="13" t="n"/>
      <c r="H188" s="13" t="n"/>
      <c r="I188" s="17">
        <f>IF($A188="","",1)</f>
        <v/>
      </c>
    </row>
    <row r="189">
      <c r="A189" s="13" t="n"/>
      <c r="B189" s="68" t="n"/>
      <c r="C189" s="15" t="n"/>
      <c r="D189" s="69" t="n"/>
      <c r="E189" s="13" t="n"/>
      <c r="F189" s="13" t="n"/>
      <c r="G189" s="13" t="n"/>
      <c r="H189" s="13" t="n"/>
      <c r="I189" s="17">
        <f>IF($A189="","",1)</f>
        <v/>
      </c>
    </row>
    <row r="190">
      <c r="A190" s="13" t="n"/>
      <c r="B190" s="68" t="n"/>
      <c r="C190" s="15" t="n"/>
      <c r="D190" s="69" t="n"/>
      <c r="E190" s="13" t="n"/>
      <c r="F190" s="13" t="n"/>
      <c r="G190" s="13" t="n"/>
      <c r="H190" s="13" t="n"/>
      <c r="I190" s="17">
        <f>IF($A190="","",1)</f>
        <v/>
      </c>
    </row>
    <row r="191">
      <c r="A191" s="13" t="n"/>
      <c r="B191" s="68" t="n"/>
      <c r="C191" s="15" t="n"/>
      <c r="D191" s="69" t="n"/>
      <c r="E191" s="13" t="n"/>
      <c r="F191" s="13" t="n"/>
      <c r="G191" s="13" t="n"/>
      <c r="H191" s="13" t="n"/>
      <c r="I191" s="17">
        <f>IF($A191="","",1)</f>
        <v/>
      </c>
    </row>
    <row r="192">
      <c r="A192" s="13" t="n"/>
      <c r="B192" s="68" t="n"/>
      <c r="C192" s="15" t="n"/>
      <c r="D192" s="69" t="n"/>
      <c r="E192" s="13" t="n"/>
      <c r="F192" s="13" t="n"/>
      <c r="G192" s="13" t="n"/>
      <c r="H192" s="13" t="n"/>
      <c r="I192" s="17">
        <f>IF($A192="","",1)</f>
        <v/>
      </c>
    </row>
    <row r="193">
      <c r="A193" s="13" t="n"/>
      <c r="B193" s="68" t="n"/>
      <c r="C193" s="15" t="n"/>
      <c r="D193" s="69" t="n"/>
      <c r="E193" s="13" t="n"/>
      <c r="F193" s="13" t="n"/>
      <c r="G193" s="13" t="n"/>
      <c r="H193" s="13" t="n"/>
      <c r="I193" s="17">
        <f>IF($A193="","",1)</f>
        <v/>
      </c>
    </row>
    <row r="194">
      <c r="A194" s="13" t="n"/>
      <c r="B194" s="68" t="n"/>
      <c r="C194" s="15" t="n"/>
      <c r="D194" s="69" t="n"/>
      <c r="E194" s="13" t="n"/>
      <c r="F194" s="13" t="n"/>
      <c r="G194" s="13" t="n"/>
      <c r="H194" s="13" t="n"/>
      <c r="I194" s="17">
        <f>IF($A194="","",1)</f>
        <v/>
      </c>
    </row>
    <row r="195">
      <c r="A195" s="13" t="n"/>
      <c r="B195" s="68" t="n"/>
      <c r="C195" s="15" t="n"/>
      <c r="D195" s="69" t="n"/>
      <c r="E195" s="13" t="n"/>
      <c r="F195" s="13" t="n"/>
      <c r="G195" s="13" t="n"/>
      <c r="H195" s="13" t="n"/>
      <c r="I195" s="17">
        <f>IF($A195="","",1)</f>
        <v/>
      </c>
    </row>
    <row r="196">
      <c r="A196" s="13" t="n"/>
      <c r="B196" s="68" t="n"/>
      <c r="C196" s="15" t="n"/>
      <c r="D196" s="69" t="n"/>
      <c r="E196" s="13" t="n"/>
      <c r="F196" s="13" t="n"/>
      <c r="G196" s="13" t="n"/>
      <c r="H196" s="13" t="n"/>
      <c r="I196" s="17">
        <f>IF($A196="","",1)</f>
        <v/>
      </c>
    </row>
    <row r="197">
      <c r="A197" s="13" t="n"/>
      <c r="B197" s="68" t="n"/>
      <c r="C197" s="15" t="n"/>
      <c r="D197" s="69" t="n"/>
      <c r="E197" s="13" t="n"/>
      <c r="F197" s="13" t="n"/>
      <c r="G197" s="13" t="n"/>
      <c r="H197" s="13" t="n"/>
      <c r="I197" s="17">
        <f>IF($A197="","",1)</f>
        <v/>
      </c>
    </row>
    <row r="198">
      <c r="A198" s="13" t="n"/>
      <c r="B198" s="68" t="n"/>
      <c r="C198" s="15" t="n"/>
      <c r="D198" s="69" t="n"/>
      <c r="E198" s="13" t="n"/>
      <c r="F198" s="13" t="n"/>
      <c r="G198" s="13" t="n"/>
      <c r="H198" s="13" t="n"/>
      <c r="I198" s="17">
        <f>IF($A198="","",1)</f>
        <v/>
      </c>
    </row>
    <row r="199">
      <c r="A199" s="13" t="n"/>
      <c r="B199" s="68" t="n"/>
      <c r="C199" s="15" t="n"/>
      <c r="D199" s="69" t="n"/>
      <c r="E199" s="13" t="n"/>
      <c r="F199" s="13" t="n"/>
      <c r="G199" s="13" t="n"/>
      <c r="H199" s="13" t="n"/>
      <c r="I199" s="17">
        <f>IF($A199="","",1)</f>
        <v/>
      </c>
    </row>
    <row r="200">
      <c r="A200" s="13" t="n"/>
      <c r="B200" s="68" t="n"/>
      <c r="C200" s="15" t="n"/>
      <c r="D200" s="69" t="n"/>
      <c r="E200" s="13" t="n"/>
      <c r="F200" s="13" t="n"/>
      <c r="G200" s="13" t="n"/>
      <c r="H200" s="13" t="n"/>
      <c r="I200" s="17">
        <f>IF($A200="","",1)</f>
        <v/>
      </c>
    </row>
    <row r="201">
      <c r="A201" s="13" t="n"/>
      <c r="B201" s="68" t="n"/>
      <c r="C201" s="15" t="n"/>
      <c r="D201" s="69" t="n"/>
      <c r="E201" s="13" t="n"/>
      <c r="F201" s="13" t="n"/>
      <c r="G201" s="13" t="n"/>
      <c r="H201" s="13" t="n"/>
      <c r="I201" s="17">
        <f>IF($A201="","",1)</f>
        <v/>
      </c>
    </row>
    <row r="202">
      <c r="A202" s="13" t="n"/>
      <c r="B202" s="68" t="n"/>
      <c r="C202" s="15" t="n"/>
      <c r="D202" s="69" t="n"/>
      <c r="E202" s="13" t="n"/>
      <c r="F202" s="13" t="n"/>
      <c r="G202" s="13" t="n"/>
      <c r="H202" s="13" t="n"/>
      <c r="I202" s="17">
        <f>IF($A202="","",1)</f>
        <v/>
      </c>
    </row>
    <row r="203">
      <c r="A203" s="13" t="n"/>
      <c r="B203" s="68" t="n"/>
      <c r="C203" s="15" t="n"/>
      <c r="D203" s="69" t="n"/>
      <c r="E203" s="13" t="n"/>
      <c r="F203" s="13" t="n"/>
      <c r="G203" s="13" t="n"/>
      <c r="H203" s="13" t="n"/>
      <c r="I203" s="17">
        <f>IF($A203="","",1)</f>
        <v/>
      </c>
    </row>
    <row r="204">
      <c r="A204" s="13" t="n"/>
      <c r="B204" s="68" t="n"/>
      <c r="C204" s="15" t="n"/>
      <c r="D204" s="69" t="n"/>
      <c r="E204" s="13" t="n"/>
      <c r="F204" s="13" t="n"/>
      <c r="G204" s="13" t="n"/>
      <c r="H204" s="13" t="n"/>
      <c r="I204" s="17">
        <f>IF($A204="","",1)</f>
        <v/>
      </c>
    </row>
    <row r="205">
      <c r="A205" s="13" t="n"/>
      <c r="B205" s="68" t="n"/>
      <c r="C205" s="15" t="n"/>
      <c r="D205" s="69" t="n"/>
      <c r="E205" s="13" t="n"/>
      <c r="F205" s="13" t="n"/>
      <c r="G205" s="13" t="n"/>
      <c r="H205" s="13" t="n"/>
      <c r="I205" s="17">
        <f>IF($A205="","",1)</f>
        <v/>
      </c>
    </row>
    <row r="206">
      <c r="A206" s="13" t="n"/>
      <c r="B206" s="68" t="n"/>
      <c r="C206" s="15" t="n"/>
      <c r="D206" s="69" t="n"/>
      <c r="E206" s="13" t="n"/>
      <c r="F206" s="13" t="n"/>
      <c r="G206" s="13" t="n"/>
      <c r="H206" s="13" t="n"/>
      <c r="I206" s="17">
        <f>IF($A206="","",1)</f>
        <v/>
      </c>
    </row>
    <row r="207">
      <c r="A207" s="13" t="n"/>
      <c r="B207" s="68" t="n"/>
      <c r="C207" s="15" t="n"/>
      <c r="D207" s="69" t="n"/>
      <c r="E207" s="13" t="n"/>
      <c r="F207" s="13" t="n"/>
      <c r="G207" s="13" t="n"/>
      <c r="H207" s="13" t="n"/>
      <c r="I207" s="17">
        <f>IF($A207="","",1)</f>
        <v/>
      </c>
    </row>
    <row r="208">
      <c r="A208" s="13" t="n"/>
      <c r="B208" s="68" t="n"/>
      <c r="C208" s="15" t="n"/>
      <c r="D208" s="69" t="n"/>
      <c r="E208" s="13" t="n"/>
      <c r="F208" s="13" t="n"/>
      <c r="G208" s="13" t="n"/>
      <c r="H208" s="13" t="n"/>
      <c r="I208" s="17">
        <f>IF($A208="","",1)</f>
        <v/>
      </c>
    </row>
    <row r="209">
      <c r="A209" s="13" t="n"/>
      <c r="B209" s="68" t="n"/>
      <c r="C209" s="15" t="n"/>
      <c r="D209" s="69" t="n"/>
      <c r="E209" s="13" t="n"/>
      <c r="F209" s="13" t="n"/>
      <c r="G209" s="13" t="n"/>
      <c r="H209" s="13" t="n"/>
      <c r="I209" s="17">
        <f>IF($A209="","",1)</f>
        <v/>
      </c>
    </row>
    <row r="210">
      <c r="A210" s="13" t="n"/>
      <c r="B210" s="68" t="n"/>
      <c r="C210" s="15" t="n"/>
      <c r="D210" s="69" t="n"/>
      <c r="E210" s="13" t="n"/>
      <c r="F210" s="13" t="n"/>
      <c r="G210" s="13" t="n"/>
      <c r="H210" s="13" t="n"/>
      <c r="I210" s="17">
        <f>IF($A210="","",1)</f>
        <v/>
      </c>
    </row>
    <row r="211">
      <c r="A211" s="13" t="n"/>
      <c r="B211" s="68" t="n"/>
      <c r="C211" s="15" t="n"/>
      <c r="D211" s="69" t="n"/>
      <c r="E211" s="13" t="n"/>
      <c r="F211" s="13" t="n"/>
      <c r="G211" s="13" t="n"/>
      <c r="H211" s="13" t="n"/>
      <c r="I211" s="17">
        <f>IF($A211="","",1)</f>
        <v/>
      </c>
    </row>
    <row r="212">
      <c r="A212" s="13" t="n"/>
      <c r="B212" s="68" t="n"/>
      <c r="C212" s="15" t="n"/>
      <c r="D212" s="69" t="n"/>
      <c r="E212" s="13" t="n"/>
      <c r="F212" s="13" t="n"/>
      <c r="G212" s="13" t="n"/>
      <c r="H212" s="13" t="n"/>
      <c r="I212" s="17">
        <f>IF($A212="","",1)</f>
        <v/>
      </c>
    </row>
    <row r="213">
      <c r="A213" s="13" t="n"/>
      <c r="B213" s="68" t="n"/>
      <c r="C213" s="15" t="n"/>
      <c r="D213" s="69" t="n"/>
      <c r="E213" s="13" t="n"/>
      <c r="F213" s="13" t="n"/>
      <c r="G213" s="13" t="n"/>
      <c r="H213" s="13" t="n"/>
      <c r="I213" s="17">
        <f>IF($A213="","",1)</f>
        <v/>
      </c>
    </row>
    <row r="214">
      <c r="A214" s="13" t="n"/>
      <c r="B214" s="68" t="n"/>
      <c r="C214" s="15" t="n"/>
      <c r="D214" s="69" t="n"/>
      <c r="E214" s="13" t="n"/>
      <c r="F214" s="13" t="n"/>
      <c r="G214" s="13" t="n"/>
      <c r="H214" s="13" t="n"/>
      <c r="I214" s="17">
        <f>IF($A214="","",1)</f>
        <v/>
      </c>
    </row>
    <row r="215">
      <c r="A215" s="13" t="n"/>
      <c r="B215" s="68" t="n"/>
      <c r="C215" s="15" t="n"/>
      <c r="D215" s="69" t="n"/>
      <c r="E215" s="13" t="n"/>
      <c r="F215" s="13" t="n"/>
      <c r="G215" s="13" t="n"/>
      <c r="H215" s="13" t="n"/>
      <c r="I215" s="17">
        <f>IF($A215="","",1)</f>
        <v/>
      </c>
    </row>
    <row r="216">
      <c r="A216" s="13" t="n"/>
      <c r="B216" s="68" t="n"/>
      <c r="C216" s="15" t="n"/>
      <c r="D216" s="69" t="n"/>
      <c r="E216" s="13" t="n"/>
      <c r="F216" s="13" t="n"/>
      <c r="G216" s="13" t="n"/>
      <c r="H216" s="13" t="n"/>
      <c r="I216" s="17">
        <f>IF($A216="","",1)</f>
        <v/>
      </c>
    </row>
    <row r="217">
      <c r="A217" s="13" t="n"/>
      <c r="B217" s="68" t="n"/>
      <c r="C217" s="15" t="n"/>
      <c r="D217" s="69" t="n"/>
      <c r="E217" s="13" t="n"/>
      <c r="F217" s="13" t="n"/>
      <c r="G217" s="13" t="n"/>
      <c r="H217" s="13" t="n"/>
      <c r="I217" s="17">
        <f>IF($A217="","",1)</f>
        <v/>
      </c>
    </row>
    <row r="218">
      <c r="A218" s="13" t="n"/>
      <c r="B218" s="68" t="n"/>
      <c r="C218" s="15" t="n"/>
      <c r="D218" s="69" t="n"/>
      <c r="E218" s="13" t="n"/>
      <c r="F218" s="13" t="n"/>
      <c r="G218" s="13" t="n"/>
      <c r="H218" s="13" t="n"/>
      <c r="I218" s="17">
        <f>IF($A218="","",1)</f>
        <v/>
      </c>
    </row>
    <row r="219">
      <c r="A219" s="13" t="n"/>
      <c r="B219" s="68" t="n"/>
      <c r="C219" s="15" t="n"/>
      <c r="D219" s="69" t="n"/>
      <c r="E219" s="13" t="n"/>
      <c r="F219" s="13" t="n"/>
      <c r="G219" s="13" t="n"/>
      <c r="H219" s="13" t="n"/>
      <c r="I219" s="17">
        <f>IF($A219="","",1)</f>
        <v/>
      </c>
    </row>
    <row r="220">
      <c r="A220" s="13" t="n"/>
      <c r="B220" s="68" t="n"/>
      <c r="C220" s="15" t="n"/>
      <c r="D220" s="69" t="n"/>
      <c r="E220" s="13" t="n"/>
      <c r="F220" s="13" t="n"/>
      <c r="G220" s="13" t="n"/>
      <c r="H220" s="13" t="n"/>
      <c r="I220" s="17">
        <f>IF($A220="","",1)</f>
        <v/>
      </c>
    </row>
    <row r="221">
      <c r="A221" s="13" t="n"/>
      <c r="B221" s="68" t="n"/>
      <c r="C221" s="15" t="n"/>
      <c r="D221" s="69" t="n"/>
      <c r="E221" s="13" t="n"/>
      <c r="F221" s="13" t="n"/>
      <c r="G221" s="13" t="n"/>
      <c r="H221" s="13" t="n"/>
      <c r="I221" s="17">
        <f>IF($A221="","",1)</f>
        <v/>
      </c>
    </row>
    <row r="222">
      <c r="A222" s="13" t="n"/>
      <c r="B222" s="68" t="n"/>
      <c r="C222" s="15" t="n"/>
      <c r="D222" s="69" t="n"/>
      <c r="E222" s="13" t="n"/>
      <c r="F222" s="13" t="n"/>
      <c r="G222" s="13" t="n"/>
      <c r="H222" s="13" t="n"/>
      <c r="I222" s="17">
        <f>IF($A222="","",1)</f>
        <v/>
      </c>
    </row>
    <row r="223">
      <c r="A223" s="13" t="n"/>
      <c r="B223" s="68" t="n"/>
      <c r="C223" s="15" t="n"/>
      <c r="D223" s="69" t="n"/>
      <c r="E223" s="13" t="n"/>
      <c r="F223" s="13" t="n"/>
      <c r="G223" s="13" t="n"/>
      <c r="H223" s="13" t="n"/>
      <c r="I223" s="17">
        <f>IF($A223="","",1)</f>
        <v/>
      </c>
    </row>
    <row r="224">
      <c r="A224" s="13" t="n"/>
      <c r="B224" s="68" t="n"/>
      <c r="C224" s="15" t="n"/>
      <c r="D224" s="69" t="n"/>
      <c r="E224" s="13" t="n"/>
      <c r="F224" s="13" t="n"/>
      <c r="G224" s="13" t="n"/>
      <c r="H224" s="13" t="n"/>
      <c r="I224" s="17">
        <f>IF($A224="","",1)</f>
        <v/>
      </c>
    </row>
    <row r="225">
      <c r="A225" s="13" t="n"/>
      <c r="B225" s="68" t="n"/>
      <c r="C225" s="15" t="n"/>
      <c r="D225" s="69" t="n"/>
      <c r="E225" s="13" t="n"/>
      <c r="F225" s="13" t="n"/>
      <c r="G225" s="13" t="n"/>
      <c r="H225" s="13" t="n"/>
      <c r="I225" s="17">
        <f>IF($A225="","",1)</f>
        <v/>
      </c>
    </row>
    <row r="226">
      <c r="A226" s="13" t="n"/>
      <c r="B226" s="68" t="n"/>
      <c r="C226" s="15" t="n"/>
      <c r="D226" s="69" t="n"/>
      <c r="E226" s="13" t="n"/>
      <c r="F226" s="13" t="n"/>
      <c r="G226" s="13" t="n"/>
      <c r="H226" s="13" t="n"/>
      <c r="I226" s="17">
        <f>IF($A226="","",1)</f>
        <v/>
      </c>
    </row>
    <row r="227">
      <c r="A227" s="13" t="n"/>
      <c r="B227" s="68" t="n"/>
      <c r="C227" s="15" t="n"/>
      <c r="D227" s="69" t="n"/>
      <c r="E227" s="13" t="n"/>
      <c r="F227" s="13" t="n"/>
      <c r="G227" s="13" t="n"/>
      <c r="H227" s="13" t="n"/>
      <c r="I227" s="17">
        <f>IF($A227="","",1)</f>
        <v/>
      </c>
    </row>
    <row r="228">
      <c r="A228" s="13" t="n"/>
      <c r="B228" s="68" t="n"/>
      <c r="C228" s="15" t="n"/>
      <c r="D228" s="69" t="n"/>
      <c r="E228" s="13" t="n"/>
      <c r="F228" s="13" t="n"/>
      <c r="G228" s="13" t="n"/>
      <c r="H228" s="13" t="n"/>
      <c r="I228" s="17">
        <f>IF($A228="","",1)</f>
        <v/>
      </c>
    </row>
    <row r="229">
      <c r="A229" s="13" t="n"/>
      <c r="B229" s="68" t="n"/>
      <c r="C229" s="15" t="n"/>
      <c r="D229" s="69" t="n"/>
      <c r="E229" s="13" t="n"/>
      <c r="F229" s="13" t="n"/>
      <c r="G229" s="13" t="n"/>
      <c r="H229" s="13" t="n"/>
      <c r="I229" s="17">
        <f>IF($A229="","",1)</f>
        <v/>
      </c>
    </row>
    <row r="230">
      <c r="A230" s="13" t="n"/>
      <c r="B230" s="68" t="n"/>
      <c r="C230" s="15" t="n"/>
      <c r="D230" s="69" t="n"/>
      <c r="E230" s="13" t="n"/>
      <c r="F230" s="13" t="n"/>
      <c r="G230" s="13" t="n"/>
      <c r="H230" s="13" t="n"/>
      <c r="I230" s="17">
        <f>IF($A230="","",1)</f>
        <v/>
      </c>
    </row>
    <row r="231">
      <c r="A231" s="13" t="n"/>
      <c r="B231" s="68" t="n"/>
      <c r="C231" s="15" t="n"/>
      <c r="D231" s="69" t="n"/>
      <c r="E231" s="13" t="n"/>
      <c r="F231" s="13" t="n"/>
      <c r="G231" s="13" t="n"/>
      <c r="H231" s="13" t="n"/>
      <c r="I231" s="17">
        <f>IF($A231="","",1)</f>
        <v/>
      </c>
    </row>
    <row r="232">
      <c r="A232" s="13" t="n"/>
      <c r="B232" s="68" t="n"/>
      <c r="C232" s="15" t="n"/>
      <c r="D232" s="69" t="n"/>
      <c r="E232" s="13" t="n"/>
      <c r="F232" s="13" t="n"/>
      <c r="G232" s="13" t="n"/>
      <c r="H232" s="13" t="n"/>
      <c r="I232" s="17">
        <f>IF($A232="","",1)</f>
        <v/>
      </c>
    </row>
    <row r="233">
      <c r="A233" s="13" t="n"/>
      <c r="B233" s="68" t="n"/>
      <c r="C233" s="15" t="n"/>
      <c r="D233" s="69" t="n"/>
      <c r="E233" s="13" t="n"/>
      <c r="F233" s="13" t="n"/>
      <c r="G233" s="13" t="n"/>
      <c r="H233" s="13" t="n"/>
      <c r="I233" s="17">
        <f>IF($A233="","",1)</f>
        <v/>
      </c>
    </row>
    <row r="234">
      <c r="A234" s="13" t="n"/>
      <c r="B234" s="68" t="n"/>
      <c r="C234" s="15" t="n"/>
      <c r="D234" s="69" t="n"/>
      <c r="E234" s="13" t="n"/>
      <c r="F234" s="13" t="n"/>
      <c r="G234" s="13" t="n"/>
      <c r="H234" s="13" t="n"/>
      <c r="I234" s="17">
        <f>IF($A234="","",1)</f>
        <v/>
      </c>
    </row>
    <row r="235">
      <c r="A235" s="13" t="n"/>
      <c r="B235" s="68" t="n"/>
      <c r="C235" s="15" t="n"/>
      <c r="D235" s="69" t="n"/>
      <c r="E235" s="13" t="n"/>
      <c r="F235" s="13" t="n"/>
      <c r="G235" s="13" t="n"/>
      <c r="H235" s="13" t="n"/>
      <c r="I235" s="17">
        <f>IF($A235="","",1)</f>
        <v/>
      </c>
    </row>
    <row r="236">
      <c r="A236" s="13" t="n"/>
      <c r="B236" s="68" t="n"/>
      <c r="C236" s="15" t="n"/>
      <c r="D236" s="69" t="n"/>
      <c r="E236" s="13" t="n"/>
      <c r="F236" s="13" t="n"/>
      <c r="G236" s="13" t="n"/>
      <c r="H236" s="13" t="n"/>
      <c r="I236" s="17">
        <f>IF($A236="","",1)</f>
        <v/>
      </c>
    </row>
    <row r="237">
      <c r="A237" s="13" t="n"/>
      <c r="B237" s="68" t="n"/>
      <c r="C237" s="15" t="n"/>
      <c r="D237" s="69" t="n"/>
      <c r="E237" s="13" t="n"/>
      <c r="F237" s="13" t="n"/>
      <c r="G237" s="13" t="n"/>
      <c r="H237" s="13" t="n"/>
      <c r="I237" s="17">
        <f>IF($A237="","",1)</f>
        <v/>
      </c>
    </row>
    <row r="238">
      <c r="A238" s="13" t="n"/>
      <c r="B238" s="68" t="n"/>
      <c r="C238" s="15" t="n"/>
      <c r="D238" s="69" t="n"/>
      <c r="E238" s="13" t="n"/>
      <c r="F238" s="13" t="n"/>
      <c r="G238" s="13" t="n"/>
      <c r="H238" s="13" t="n"/>
      <c r="I238" s="17">
        <f>IF($A238="","",1)</f>
        <v/>
      </c>
    </row>
    <row r="239">
      <c r="A239" s="13" t="n"/>
      <c r="B239" s="68" t="n"/>
      <c r="C239" s="15" t="n"/>
      <c r="D239" s="69" t="n"/>
      <c r="E239" s="13" t="n"/>
      <c r="F239" s="13" t="n"/>
      <c r="G239" s="13" t="n"/>
      <c r="H239" s="13" t="n"/>
      <c r="I239" s="17">
        <f>IF($A239="","",1)</f>
        <v/>
      </c>
    </row>
    <row r="240">
      <c r="A240" s="13" t="n"/>
      <c r="B240" s="68" t="n"/>
      <c r="C240" s="15" t="n"/>
      <c r="D240" s="69" t="n"/>
      <c r="E240" s="13" t="n"/>
      <c r="F240" s="13" t="n"/>
      <c r="G240" s="13" t="n"/>
      <c r="H240" s="13" t="n"/>
      <c r="I240" s="17">
        <f>IF($A240="","",1)</f>
        <v/>
      </c>
    </row>
    <row r="241">
      <c r="A241" s="13" t="n"/>
      <c r="B241" s="68" t="n"/>
      <c r="C241" s="15" t="n"/>
      <c r="D241" s="69" t="n"/>
      <c r="E241" s="13" t="n"/>
      <c r="F241" s="13" t="n"/>
      <c r="G241" s="13" t="n"/>
      <c r="H241" s="13" t="n"/>
      <c r="I241" s="17">
        <f>IF($A241="","",1)</f>
        <v/>
      </c>
    </row>
    <row r="242">
      <c r="A242" s="13" t="n"/>
      <c r="B242" s="68" t="n"/>
      <c r="C242" s="15" t="n"/>
      <c r="D242" s="69" t="n"/>
      <c r="E242" s="13" t="n"/>
      <c r="F242" s="13" t="n"/>
      <c r="G242" s="13" t="n"/>
      <c r="H242" s="13" t="n"/>
      <c r="I242" s="17">
        <f>IF($A242="","",1)</f>
        <v/>
      </c>
    </row>
    <row r="243">
      <c r="A243" s="13" t="n"/>
      <c r="B243" s="68" t="n"/>
      <c r="C243" s="15" t="n"/>
      <c r="D243" s="69" t="n"/>
      <c r="E243" s="13" t="n"/>
      <c r="F243" s="13" t="n"/>
      <c r="G243" s="13" t="n"/>
      <c r="H243" s="13" t="n"/>
      <c r="I243" s="17">
        <f>IF($A243="","",1)</f>
        <v/>
      </c>
    </row>
    <row r="244">
      <c r="A244" s="13" t="n"/>
      <c r="B244" s="68" t="n"/>
      <c r="C244" s="15" t="n"/>
      <c r="D244" s="69" t="n"/>
      <c r="E244" s="13" t="n"/>
      <c r="F244" s="13" t="n"/>
      <c r="G244" s="13" t="n"/>
      <c r="H244" s="13" t="n"/>
      <c r="I244" s="17">
        <f>IF($A244="","",1)</f>
        <v/>
      </c>
    </row>
    <row r="245">
      <c r="A245" s="13" t="n"/>
      <c r="B245" s="68" t="n"/>
      <c r="C245" s="15" t="n"/>
      <c r="D245" s="69" t="n"/>
      <c r="E245" s="13" t="n"/>
      <c r="F245" s="13" t="n"/>
      <c r="G245" s="13" t="n"/>
      <c r="H245" s="13" t="n"/>
      <c r="I245" s="17">
        <f>IF($A245="","",1)</f>
        <v/>
      </c>
    </row>
    <row r="246">
      <c r="A246" s="13" t="n"/>
      <c r="B246" s="68" t="n"/>
      <c r="C246" s="15" t="n"/>
      <c r="D246" s="69" t="n"/>
      <c r="E246" s="13" t="n"/>
      <c r="F246" s="13" t="n"/>
      <c r="G246" s="13" t="n"/>
      <c r="H246" s="13" t="n"/>
      <c r="I246" s="17">
        <f>IF($A246="","",1)</f>
        <v/>
      </c>
    </row>
    <row r="247">
      <c r="A247" s="13" t="n"/>
      <c r="B247" s="68" t="n"/>
      <c r="C247" s="15" t="n"/>
      <c r="D247" s="69" t="n"/>
      <c r="E247" s="13" t="n"/>
      <c r="F247" s="13" t="n"/>
      <c r="G247" s="13" t="n"/>
      <c r="H247" s="13" t="n"/>
      <c r="I247" s="17">
        <f>IF($A247="","",1)</f>
        <v/>
      </c>
    </row>
    <row r="248">
      <c r="A248" s="13" t="n"/>
      <c r="B248" s="68" t="n"/>
      <c r="C248" s="15" t="n"/>
      <c r="D248" s="69" t="n"/>
      <c r="E248" s="13" t="n"/>
      <c r="F248" s="13" t="n"/>
      <c r="G248" s="13" t="n"/>
      <c r="H248" s="13" t="n"/>
      <c r="I248" s="17">
        <f>IF($A248="","",1)</f>
        <v/>
      </c>
    </row>
    <row r="249">
      <c r="A249" s="13" t="n"/>
      <c r="B249" s="68" t="n"/>
      <c r="C249" s="15" t="n"/>
      <c r="D249" s="69" t="n"/>
      <c r="E249" s="13" t="n"/>
      <c r="F249" s="13" t="n"/>
      <c r="G249" s="13" t="n"/>
      <c r="H249" s="13" t="n"/>
      <c r="I249" s="17">
        <f>IF($A249="","",1)</f>
        <v/>
      </c>
    </row>
    <row r="250">
      <c r="A250" s="13" t="n"/>
      <c r="B250" s="68" t="n"/>
      <c r="C250" s="15" t="n"/>
      <c r="D250" s="69" t="n"/>
      <c r="E250" s="13" t="n"/>
      <c r="F250" s="13" t="n"/>
      <c r="G250" s="13" t="n"/>
      <c r="H250" s="13" t="n"/>
      <c r="I250" s="17">
        <f>IF($A250="","",1)</f>
        <v/>
      </c>
    </row>
    <row r="251">
      <c r="A251" s="13" t="n"/>
      <c r="B251" s="68" t="n"/>
      <c r="C251" s="15" t="n"/>
      <c r="D251" s="69" t="n"/>
      <c r="E251" s="13" t="n"/>
      <c r="F251" s="13" t="n"/>
      <c r="G251" s="13" t="n"/>
      <c r="H251" s="13" t="n"/>
      <c r="I251" s="17">
        <f>IF($A251="","",1)</f>
        <v/>
      </c>
    </row>
    <row r="252">
      <c r="A252" s="13" t="n"/>
      <c r="B252" s="68" t="n"/>
      <c r="C252" s="15" t="n"/>
      <c r="D252" s="69" t="n"/>
      <c r="E252" s="13" t="n"/>
      <c r="F252" s="13" t="n"/>
      <c r="G252" s="13" t="n"/>
      <c r="H252" s="13" t="n"/>
      <c r="I252" s="17">
        <f>IF($A252="","",1)</f>
        <v/>
      </c>
    </row>
    <row r="253">
      <c r="A253" s="13" t="n"/>
      <c r="B253" s="68" t="n"/>
      <c r="C253" s="15" t="n"/>
      <c r="D253" s="69" t="n"/>
      <c r="E253" s="13" t="n"/>
      <c r="F253" s="13" t="n"/>
      <c r="G253" s="13" t="n"/>
      <c r="H253" s="13" t="n"/>
      <c r="I253" s="17">
        <f>IF($A253="","",1)</f>
        <v/>
      </c>
    </row>
    <row r="254">
      <c r="A254" s="13" t="n"/>
      <c r="B254" s="68" t="n"/>
      <c r="C254" s="15" t="n"/>
      <c r="D254" s="69" t="n"/>
      <c r="E254" s="13" t="n"/>
      <c r="F254" s="13" t="n"/>
      <c r="G254" s="13" t="n"/>
      <c r="H254" s="13" t="n"/>
      <c r="I254" s="17">
        <f>IF($A254="","",1)</f>
        <v/>
      </c>
    </row>
    <row r="255">
      <c r="A255" s="13" t="n"/>
      <c r="B255" s="68" t="n"/>
      <c r="C255" s="15" t="n"/>
      <c r="D255" s="69" t="n"/>
      <c r="E255" s="13" t="n"/>
      <c r="F255" s="13" t="n"/>
      <c r="G255" s="13" t="n"/>
      <c r="H255" s="13" t="n"/>
      <c r="I255" s="17">
        <f>IF($A255="","",1)</f>
        <v/>
      </c>
    </row>
    <row r="256">
      <c r="A256" s="13" t="n"/>
      <c r="B256" s="68" t="n"/>
      <c r="C256" s="15" t="n"/>
      <c r="D256" s="69" t="n"/>
      <c r="E256" s="13" t="n"/>
      <c r="F256" s="13" t="n"/>
      <c r="G256" s="13" t="n"/>
      <c r="H256" s="13" t="n"/>
      <c r="I256" s="17">
        <f>IF($A256="","",1)</f>
        <v/>
      </c>
    </row>
    <row r="257">
      <c r="A257" s="13" t="n"/>
      <c r="B257" s="68" t="n"/>
      <c r="C257" s="15" t="n"/>
      <c r="D257" s="69" t="n"/>
      <c r="E257" s="13" t="n"/>
      <c r="F257" s="13" t="n"/>
      <c r="G257" s="13" t="n"/>
      <c r="H257" s="13" t="n"/>
      <c r="I257" s="17">
        <f>IF($A257="","",1)</f>
        <v/>
      </c>
    </row>
    <row r="258">
      <c r="A258" s="13" t="n"/>
      <c r="B258" s="68" t="n"/>
      <c r="C258" s="15" t="n"/>
      <c r="D258" s="69" t="n"/>
      <c r="E258" s="13" t="n"/>
      <c r="F258" s="13" t="n"/>
      <c r="G258" s="13" t="n"/>
      <c r="H258" s="13" t="n"/>
      <c r="I258" s="17">
        <f>IF($A258="","",1)</f>
        <v/>
      </c>
    </row>
    <row r="259">
      <c r="A259" s="13" t="n"/>
      <c r="B259" s="68" t="n"/>
      <c r="C259" s="15" t="n"/>
      <c r="D259" s="69" t="n"/>
      <c r="E259" s="13" t="n"/>
      <c r="F259" s="13" t="n"/>
      <c r="G259" s="13" t="n"/>
      <c r="H259" s="13" t="n"/>
      <c r="I259" s="17">
        <f>IF($A259="","",1)</f>
        <v/>
      </c>
    </row>
    <row r="260">
      <c r="A260" s="13" t="n"/>
      <c r="B260" s="68" t="n"/>
      <c r="C260" s="15" t="n"/>
      <c r="D260" s="69" t="n"/>
      <c r="E260" s="13" t="n"/>
      <c r="F260" s="13" t="n"/>
      <c r="G260" s="13" t="n"/>
      <c r="H260" s="13" t="n"/>
      <c r="I260" s="17">
        <f>IF($A260="","",1)</f>
        <v/>
      </c>
    </row>
    <row r="261">
      <c r="A261" s="13" t="n"/>
      <c r="B261" s="68" t="n"/>
      <c r="C261" s="15" t="n"/>
      <c r="D261" s="69" t="n"/>
      <c r="E261" s="13" t="n"/>
      <c r="F261" s="13" t="n"/>
      <c r="G261" s="13" t="n"/>
      <c r="H261" s="13" t="n"/>
      <c r="I261" s="17">
        <f>IF($A261="","",1)</f>
        <v/>
      </c>
    </row>
    <row r="262">
      <c r="A262" s="13" t="n"/>
      <c r="B262" s="68" t="n"/>
      <c r="C262" s="15" t="n"/>
      <c r="D262" s="69" t="n"/>
      <c r="E262" s="13" t="n"/>
      <c r="F262" s="13" t="n"/>
      <c r="G262" s="13" t="n"/>
      <c r="H262" s="13" t="n"/>
      <c r="I262" s="17">
        <f>IF($A262="","",1)</f>
        <v/>
      </c>
    </row>
    <row r="263">
      <c r="A263" s="13" t="n"/>
      <c r="B263" s="68" t="n"/>
      <c r="C263" s="15" t="n"/>
      <c r="D263" s="69" t="n"/>
      <c r="E263" s="13" t="n"/>
      <c r="F263" s="13" t="n"/>
      <c r="G263" s="13" t="n"/>
      <c r="H263" s="13" t="n"/>
      <c r="I263" s="17">
        <f>IF($A263="","",1)</f>
        <v/>
      </c>
    </row>
    <row r="264">
      <c r="A264" s="13" t="n"/>
      <c r="B264" s="68" t="n"/>
      <c r="C264" s="15" t="n"/>
      <c r="D264" s="69" t="n"/>
      <c r="E264" s="13" t="n"/>
      <c r="F264" s="13" t="n"/>
      <c r="G264" s="13" t="n"/>
      <c r="H264" s="13" t="n"/>
      <c r="I264" s="17">
        <f>IF($A264="","",1)</f>
        <v/>
      </c>
    </row>
    <row r="265">
      <c r="A265" s="13" t="n"/>
      <c r="B265" s="68" t="n"/>
      <c r="C265" s="15" t="n"/>
      <c r="D265" s="69" t="n"/>
      <c r="E265" s="13" t="n"/>
      <c r="F265" s="13" t="n"/>
      <c r="G265" s="13" t="n"/>
      <c r="H265" s="13" t="n"/>
      <c r="I265" s="17">
        <f>IF($A265="","",1)</f>
        <v/>
      </c>
    </row>
    <row r="266">
      <c r="A266" s="13" t="n"/>
      <c r="B266" s="68" t="n"/>
      <c r="C266" s="15" t="n"/>
      <c r="D266" s="69" t="n"/>
      <c r="E266" s="13" t="n"/>
      <c r="F266" s="13" t="n"/>
      <c r="G266" s="13" t="n"/>
      <c r="H266" s="13" t="n"/>
      <c r="I266" s="17">
        <f>IF($A266="","",1)</f>
        <v/>
      </c>
    </row>
    <row r="267">
      <c r="A267" s="13" t="n"/>
      <c r="B267" s="68" t="n"/>
      <c r="C267" s="15" t="n"/>
      <c r="D267" s="69" t="n"/>
      <c r="E267" s="13" t="n"/>
      <c r="F267" s="13" t="n"/>
      <c r="G267" s="13" t="n"/>
      <c r="H267" s="13" t="n"/>
      <c r="I267" s="17">
        <f>IF($A267="","",1)</f>
        <v/>
      </c>
    </row>
    <row r="268">
      <c r="A268" s="13" t="n"/>
      <c r="B268" s="68" t="n"/>
      <c r="C268" s="15" t="n"/>
      <c r="D268" s="69" t="n"/>
      <c r="E268" s="13" t="n"/>
      <c r="F268" s="13" t="n"/>
      <c r="G268" s="13" t="n"/>
      <c r="H268" s="13" t="n"/>
      <c r="I268" s="17">
        <f>IF($A268="","",1)</f>
        <v/>
      </c>
    </row>
    <row r="269">
      <c r="A269" s="13" t="n"/>
      <c r="B269" s="68" t="n"/>
      <c r="C269" s="15" t="n"/>
      <c r="D269" s="69" t="n"/>
      <c r="E269" s="13" t="n"/>
      <c r="F269" s="13" t="n"/>
      <c r="G269" s="13" t="n"/>
      <c r="H269" s="13" t="n"/>
      <c r="I269" s="17">
        <f>IF($A269="","",1)</f>
        <v/>
      </c>
    </row>
    <row r="270">
      <c r="A270" s="13" t="n"/>
      <c r="B270" s="68" t="n"/>
      <c r="C270" s="15" t="n"/>
      <c r="D270" s="69" t="n"/>
      <c r="E270" s="13" t="n"/>
      <c r="F270" s="13" t="n"/>
      <c r="G270" s="13" t="n"/>
      <c r="H270" s="13" t="n"/>
      <c r="I270" s="17">
        <f>IF($A270="","",1)</f>
        <v/>
      </c>
    </row>
    <row r="271">
      <c r="A271" s="13" t="n"/>
      <c r="B271" s="68" t="n"/>
      <c r="C271" s="15" t="n"/>
      <c r="D271" s="69" t="n"/>
      <c r="E271" s="13" t="n"/>
      <c r="F271" s="13" t="n"/>
      <c r="G271" s="13" t="n"/>
      <c r="H271" s="13" t="n"/>
      <c r="I271" s="17">
        <f>IF($A271="","",1)</f>
        <v/>
      </c>
    </row>
    <row r="272">
      <c r="A272" s="13" t="n"/>
      <c r="B272" s="68" t="n"/>
      <c r="C272" s="15" t="n"/>
      <c r="D272" s="69" t="n"/>
      <c r="E272" s="13" t="n"/>
      <c r="F272" s="13" t="n"/>
      <c r="G272" s="13" t="n"/>
      <c r="H272" s="13" t="n"/>
      <c r="I272" s="17">
        <f>IF($A272="","",1)</f>
        <v/>
      </c>
    </row>
    <row r="273">
      <c r="A273" s="13" t="n"/>
      <c r="B273" s="68" t="n"/>
      <c r="C273" s="15" t="n"/>
      <c r="D273" s="69" t="n"/>
      <c r="E273" s="13" t="n"/>
      <c r="F273" s="13" t="n"/>
      <c r="G273" s="13" t="n"/>
      <c r="H273" s="13" t="n"/>
      <c r="I273" s="17">
        <f>IF($A273="","",1)</f>
        <v/>
      </c>
    </row>
    <row r="274">
      <c r="A274" s="13" t="n"/>
      <c r="B274" s="68" t="n"/>
      <c r="C274" s="15" t="n"/>
      <c r="D274" s="69" t="n"/>
      <c r="E274" s="13" t="n"/>
      <c r="F274" s="13" t="n"/>
      <c r="G274" s="13" t="n"/>
      <c r="H274" s="13" t="n"/>
      <c r="I274" s="17">
        <f>IF($A274="","",1)</f>
        <v/>
      </c>
    </row>
    <row r="275">
      <c r="A275" s="13" t="n"/>
      <c r="B275" s="68" t="n"/>
      <c r="C275" s="15" t="n"/>
      <c r="D275" s="69" t="n"/>
      <c r="E275" s="13" t="n"/>
      <c r="F275" s="13" t="n"/>
      <c r="G275" s="13" t="n"/>
      <c r="H275" s="13" t="n"/>
      <c r="I275" s="17">
        <f>IF($A275="","",1)</f>
        <v/>
      </c>
    </row>
    <row r="276">
      <c r="A276" s="13" t="n"/>
      <c r="B276" s="68" t="n"/>
      <c r="C276" s="15" t="n"/>
      <c r="D276" s="69" t="n"/>
      <c r="E276" s="13" t="n"/>
      <c r="F276" s="13" t="n"/>
      <c r="G276" s="13" t="n"/>
      <c r="H276" s="13" t="n"/>
      <c r="I276" s="17">
        <f>IF($A276="","",1)</f>
        <v/>
      </c>
    </row>
    <row r="277">
      <c r="A277" s="13" t="n"/>
      <c r="B277" s="68" t="n"/>
      <c r="C277" s="15" t="n"/>
      <c r="D277" s="69" t="n"/>
      <c r="E277" s="13" t="n"/>
      <c r="F277" s="13" t="n"/>
      <c r="G277" s="13" t="n"/>
      <c r="H277" s="13" t="n"/>
      <c r="I277" s="17">
        <f>IF($A277="","",1)</f>
        <v/>
      </c>
    </row>
    <row r="278">
      <c r="A278" s="13" t="n"/>
      <c r="B278" s="68" t="n"/>
      <c r="C278" s="15" t="n"/>
      <c r="D278" s="69" t="n"/>
      <c r="E278" s="13" t="n"/>
      <c r="F278" s="13" t="n"/>
      <c r="G278" s="13" t="n"/>
      <c r="H278" s="13" t="n"/>
      <c r="I278" s="17">
        <f>IF($A278="","",1)</f>
        <v/>
      </c>
    </row>
    <row r="279">
      <c r="A279" s="13" t="n"/>
      <c r="B279" s="68" t="n"/>
      <c r="C279" s="15" t="n"/>
      <c r="D279" s="69" t="n"/>
      <c r="E279" s="13" t="n"/>
      <c r="F279" s="13" t="n"/>
      <c r="G279" s="13" t="n"/>
      <c r="H279" s="13" t="n"/>
      <c r="I279" s="17">
        <f>IF($A279="","",1)</f>
        <v/>
      </c>
    </row>
    <row r="280">
      <c r="A280" s="13" t="n"/>
      <c r="B280" s="68" t="n"/>
      <c r="C280" s="15" t="n"/>
      <c r="D280" s="69" t="n"/>
      <c r="E280" s="13" t="n"/>
      <c r="F280" s="13" t="n"/>
      <c r="G280" s="13" t="n"/>
      <c r="H280" s="13" t="n"/>
      <c r="I280" s="17">
        <f>IF($A280="","",1)</f>
        <v/>
      </c>
    </row>
    <row r="281">
      <c r="A281" s="13" t="n"/>
      <c r="B281" s="68" t="n"/>
      <c r="C281" s="15" t="n"/>
      <c r="D281" s="69" t="n"/>
      <c r="E281" s="13" t="n"/>
      <c r="F281" s="13" t="n"/>
      <c r="G281" s="13" t="n"/>
      <c r="H281" s="13" t="n"/>
      <c r="I281" s="17">
        <f>IF($A281="","",1)</f>
        <v/>
      </c>
    </row>
    <row r="282">
      <c r="A282" s="13" t="n"/>
      <c r="B282" s="68" t="n"/>
      <c r="C282" s="15" t="n"/>
      <c r="D282" s="69" t="n"/>
      <c r="E282" s="13" t="n"/>
      <c r="F282" s="13" t="n"/>
      <c r="G282" s="13" t="n"/>
      <c r="H282" s="13" t="n"/>
      <c r="I282" s="17">
        <f>IF($A282="","",1)</f>
        <v/>
      </c>
    </row>
    <row r="283">
      <c r="A283" s="13" t="n"/>
      <c r="B283" s="68" t="n"/>
      <c r="C283" s="15" t="n"/>
      <c r="D283" s="69" t="n"/>
      <c r="E283" s="13" t="n"/>
      <c r="F283" s="13" t="n"/>
      <c r="G283" s="13" t="n"/>
      <c r="H283" s="13" t="n"/>
      <c r="I283" s="17">
        <f>IF($A283="","",1)</f>
        <v/>
      </c>
    </row>
    <row r="284">
      <c r="A284" s="13" t="n"/>
      <c r="B284" s="68" t="n"/>
      <c r="C284" s="15" t="n"/>
      <c r="D284" s="69" t="n"/>
      <c r="E284" s="13" t="n"/>
      <c r="F284" s="13" t="n"/>
      <c r="G284" s="13" t="n"/>
      <c r="H284" s="13" t="n"/>
      <c r="I284" s="17">
        <f>IF($A284="","",1)</f>
        <v/>
      </c>
    </row>
    <row r="285">
      <c r="A285" s="13" t="n"/>
      <c r="B285" s="68" t="n"/>
      <c r="C285" s="15" t="n"/>
      <c r="D285" s="69" t="n"/>
      <c r="E285" s="13" t="n"/>
      <c r="F285" s="13" t="n"/>
      <c r="G285" s="13" t="n"/>
      <c r="H285" s="13" t="n"/>
      <c r="I285" s="17">
        <f>IF($A285="","",1)</f>
        <v/>
      </c>
    </row>
    <row r="286">
      <c r="A286" s="13" t="n"/>
      <c r="B286" s="68" t="n"/>
      <c r="C286" s="15" t="n"/>
      <c r="D286" s="69" t="n"/>
      <c r="E286" s="13" t="n"/>
      <c r="F286" s="13" t="n"/>
      <c r="G286" s="13" t="n"/>
      <c r="H286" s="13" t="n"/>
      <c r="I286" s="17">
        <f>IF($A286="","",1)</f>
        <v/>
      </c>
    </row>
    <row r="287">
      <c r="A287" s="13" t="n"/>
      <c r="B287" s="68" t="n"/>
      <c r="C287" s="15" t="n"/>
      <c r="D287" s="69" t="n"/>
      <c r="E287" s="13" t="n"/>
      <c r="F287" s="13" t="n"/>
      <c r="G287" s="13" t="n"/>
      <c r="H287" s="13" t="n"/>
      <c r="I287" s="17">
        <f>IF($A287="","",1)</f>
        <v/>
      </c>
    </row>
    <row r="288">
      <c r="A288" s="13" t="n"/>
      <c r="B288" s="68" t="n"/>
      <c r="C288" s="15" t="n"/>
      <c r="D288" s="69" t="n"/>
      <c r="E288" s="13" t="n"/>
      <c r="F288" s="13" t="n"/>
      <c r="G288" s="13" t="n"/>
      <c r="H288" s="13" t="n"/>
      <c r="I288" s="17">
        <f>IF($A288="","",1)</f>
        <v/>
      </c>
    </row>
    <row r="289">
      <c r="A289" s="13" t="n"/>
      <c r="B289" s="68" t="n"/>
      <c r="C289" s="15" t="n"/>
      <c r="D289" s="69" t="n"/>
      <c r="E289" s="13" t="n"/>
      <c r="F289" s="13" t="n"/>
      <c r="G289" s="13" t="n"/>
      <c r="H289" s="13" t="n"/>
      <c r="I289" s="17">
        <f>IF($A289="","",1)</f>
        <v/>
      </c>
    </row>
    <row r="290">
      <c r="A290" s="13" t="n"/>
      <c r="B290" s="68" t="n"/>
      <c r="C290" s="15" t="n"/>
      <c r="D290" s="69" t="n"/>
      <c r="E290" s="13" t="n"/>
      <c r="F290" s="13" t="n"/>
      <c r="G290" s="13" t="n"/>
      <c r="H290" s="13" t="n"/>
      <c r="I290" s="17">
        <f>IF($A290="","",1)</f>
        <v/>
      </c>
    </row>
    <row r="291">
      <c r="A291" s="13" t="n"/>
      <c r="B291" s="68" t="n"/>
      <c r="C291" s="15" t="n"/>
      <c r="D291" s="69" t="n"/>
      <c r="E291" s="13" t="n"/>
      <c r="F291" s="13" t="n"/>
      <c r="G291" s="13" t="n"/>
      <c r="H291" s="13" t="n"/>
      <c r="I291" s="17">
        <f>IF($A291="","",1)</f>
        <v/>
      </c>
    </row>
    <row r="292">
      <c r="A292" s="13" t="n"/>
      <c r="B292" s="68" t="n"/>
      <c r="C292" s="15" t="n"/>
      <c r="D292" s="69" t="n"/>
      <c r="E292" s="13" t="n"/>
      <c r="F292" s="13" t="n"/>
      <c r="G292" s="13" t="n"/>
      <c r="H292" s="13" t="n"/>
      <c r="I292" s="17">
        <f>IF($A292="","",1)</f>
        <v/>
      </c>
    </row>
    <row r="293">
      <c r="A293" s="13" t="n"/>
      <c r="B293" s="68" t="n"/>
      <c r="C293" s="15" t="n"/>
      <c r="D293" s="69" t="n"/>
      <c r="E293" s="13" t="n"/>
      <c r="F293" s="13" t="n"/>
      <c r="G293" s="13" t="n"/>
      <c r="H293" s="13" t="n"/>
      <c r="I293" s="17">
        <f>IF($A293="","",1)</f>
        <v/>
      </c>
    </row>
    <row r="294">
      <c r="A294" s="13" t="n"/>
      <c r="B294" s="68" t="n"/>
      <c r="C294" s="15" t="n"/>
      <c r="D294" s="69" t="n"/>
      <c r="E294" s="13" t="n"/>
      <c r="F294" s="13" t="n"/>
      <c r="G294" s="13" t="n"/>
      <c r="H294" s="13" t="n"/>
      <c r="I294" s="17">
        <f>IF($A294="","",1)</f>
        <v/>
      </c>
    </row>
    <row r="295">
      <c r="A295" s="13" t="n"/>
      <c r="B295" s="68" t="n"/>
      <c r="C295" s="15" t="n"/>
      <c r="D295" s="69" t="n"/>
      <c r="E295" s="13" t="n"/>
      <c r="F295" s="13" t="n"/>
      <c r="G295" s="13" t="n"/>
      <c r="H295" s="13" t="n"/>
      <c r="I295" s="17">
        <f>IF($A295="","",1)</f>
        <v/>
      </c>
    </row>
    <row r="296">
      <c r="A296" s="13" t="n"/>
      <c r="B296" s="68" t="n"/>
      <c r="C296" s="15" t="n"/>
      <c r="D296" s="69" t="n"/>
      <c r="E296" s="13" t="n"/>
      <c r="F296" s="13" t="n"/>
      <c r="G296" s="13" t="n"/>
      <c r="H296" s="13" t="n"/>
      <c r="I296" s="17">
        <f>IF($A296="","",1)</f>
        <v/>
      </c>
    </row>
    <row r="297">
      <c r="A297" s="13" t="n"/>
      <c r="B297" s="68" t="n"/>
      <c r="C297" s="15" t="n"/>
      <c r="D297" s="69" t="n"/>
      <c r="E297" s="13" t="n"/>
      <c r="F297" s="13" t="n"/>
      <c r="G297" s="13" t="n"/>
      <c r="H297" s="13" t="n"/>
      <c r="I297" s="17">
        <f>IF($A297="","",1)</f>
        <v/>
      </c>
    </row>
    <row r="298">
      <c r="A298" s="13" t="n"/>
      <c r="B298" s="68" t="n"/>
      <c r="C298" s="15" t="n"/>
      <c r="D298" s="69" t="n"/>
      <c r="E298" s="13" t="n"/>
      <c r="F298" s="13" t="n"/>
      <c r="G298" s="13" t="n"/>
      <c r="H298" s="13" t="n"/>
      <c r="I298" s="17">
        <f>IF($A298="","",1)</f>
        <v/>
      </c>
    </row>
    <row r="299">
      <c r="A299" s="13" t="n"/>
      <c r="B299" s="68" t="n"/>
      <c r="C299" s="15" t="n"/>
      <c r="D299" s="69" t="n"/>
      <c r="E299" s="13" t="n"/>
      <c r="F299" s="13" t="n"/>
      <c r="G299" s="13" t="n"/>
      <c r="H299" s="13" t="n"/>
      <c r="I299" s="17">
        <f>IF($A299="","",1)</f>
        <v/>
      </c>
    </row>
    <row r="300">
      <c r="A300" s="13" t="n"/>
      <c r="B300" s="68" t="n"/>
      <c r="C300" s="15" t="n"/>
      <c r="D300" s="69" t="n"/>
      <c r="E300" s="13" t="n"/>
      <c r="F300" s="13" t="n"/>
      <c r="G300" s="13" t="n"/>
      <c r="H300" s="13" t="n"/>
      <c r="I300" s="17">
        <f>IF($A300="","",1)</f>
        <v/>
      </c>
    </row>
    <row r="301">
      <c r="A301" s="13" t="n"/>
      <c r="B301" s="68" t="n"/>
      <c r="C301" s="15" t="n"/>
      <c r="D301" s="69" t="n"/>
      <c r="E301" s="13" t="n"/>
      <c r="F301" s="13" t="n"/>
      <c r="G301" s="13" t="n"/>
      <c r="H301" s="13" t="n"/>
      <c r="I301" s="17">
        <f>IF($A301="","",1)</f>
        <v/>
      </c>
    </row>
    <row r="302">
      <c r="A302" s="13" t="n"/>
      <c r="B302" s="68" t="n"/>
      <c r="C302" s="15" t="n"/>
      <c r="D302" s="69" t="n"/>
      <c r="E302" s="13" t="n"/>
      <c r="F302" s="13" t="n"/>
      <c r="G302" s="13" t="n"/>
      <c r="H302" s="13" t="n"/>
      <c r="I302" s="17">
        <f>IF($A302="","",1)</f>
        <v/>
      </c>
    </row>
    <row r="303">
      <c r="A303" s="13" t="n"/>
      <c r="B303" s="68" t="n"/>
      <c r="C303" s="15" t="n"/>
      <c r="D303" s="69" t="n"/>
      <c r="E303" s="13" t="n"/>
      <c r="F303" s="13" t="n"/>
      <c r="G303" s="13" t="n"/>
      <c r="H303" s="13" t="n"/>
      <c r="I303" s="17">
        <f>IF($A303="","",1)</f>
        <v/>
      </c>
    </row>
    <row r="304">
      <c r="A304" s="13" t="n"/>
      <c r="B304" s="68" t="n"/>
      <c r="C304" s="15" t="n"/>
      <c r="D304" s="69" t="n"/>
      <c r="E304" s="13" t="n"/>
      <c r="F304" s="13" t="n"/>
      <c r="G304" s="13" t="n"/>
      <c r="H304" s="13" t="n"/>
      <c r="I304" s="17">
        <f>IF($A304="","",1)</f>
        <v/>
      </c>
    </row>
    <row r="305">
      <c r="A305" s="13" t="n"/>
      <c r="B305" s="68" t="n"/>
      <c r="C305" s="15" t="n"/>
      <c r="D305" s="69" t="n"/>
      <c r="E305" s="13" t="n"/>
      <c r="F305" s="13" t="n"/>
      <c r="G305" s="13" t="n"/>
      <c r="H305" s="13" t="n"/>
      <c r="I305" s="17">
        <f>IF($A305="","",1)</f>
        <v/>
      </c>
    </row>
    <row r="306">
      <c r="A306" s="13" t="n"/>
      <c r="B306" s="68" t="n"/>
      <c r="C306" s="15" t="n"/>
      <c r="D306" s="69" t="n"/>
      <c r="E306" s="13" t="n"/>
      <c r="F306" s="13" t="n"/>
      <c r="G306" s="13" t="n"/>
      <c r="H306" s="13" t="n"/>
      <c r="I306" s="17">
        <f>IF($A306="","",1)</f>
        <v/>
      </c>
    </row>
    <row r="307">
      <c r="A307" s="13" t="n"/>
      <c r="B307" s="68" t="n"/>
      <c r="C307" s="15" t="n"/>
      <c r="D307" s="69" t="n"/>
      <c r="E307" s="13" t="n"/>
      <c r="F307" s="13" t="n"/>
      <c r="G307" s="13" t="n"/>
      <c r="H307" s="13" t="n"/>
      <c r="I307" s="17">
        <f>IF($A307="","",1)</f>
        <v/>
      </c>
    </row>
    <row r="308">
      <c r="A308" s="13" t="n"/>
      <c r="B308" s="68" t="n"/>
      <c r="C308" s="15" t="n"/>
      <c r="D308" s="69" t="n"/>
      <c r="E308" s="13" t="n"/>
      <c r="F308" s="13" t="n"/>
      <c r="G308" s="13" t="n"/>
      <c r="H308" s="13" t="n"/>
      <c r="I308" s="17">
        <f>IF($A308="","",1)</f>
        <v/>
      </c>
    </row>
    <row r="309">
      <c r="A309" s="13" t="n"/>
      <c r="B309" s="68" t="n"/>
      <c r="C309" s="15" t="n"/>
      <c r="D309" s="69" t="n"/>
      <c r="E309" s="13" t="n"/>
      <c r="F309" s="13" t="n"/>
      <c r="G309" s="13" t="n"/>
      <c r="H309" s="13" t="n"/>
      <c r="I309" s="17">
        <f>IF($A309="","",1)</f>
        <v/>
      </c>
    </row>
    <row r="310">
      <c r="A310" s="13" t="n"/>
      <c r="B310" s="68" t="n"/>
      <c r="C310" s="15" t="n"/>
      <c r="D310" s="69" t="n"/>
      <c r="E310" s="13" t="n"/>
      <c r="F310" s="13" t="n"/>
      <c r="G310" s="13" t="n"/>
      <c r="H310" s="13" t="n"/>
      <c r="I310" s="17">
        <f>IF($A310="","",1)</f>
        <v/>
      </c>
    </row>
    <row r="311">
      <c r="A311" s="13" t="n"/>
      <c r="B311" s="68" t="n"/>
      <c r="C311" s="15" t="n"/>
      <c r="D311" s="69" t="n"/>
      <c r="E311" s="13" t="n"/>
      <c r="F311" s="13" t="n"/>
      <c r="G311" s="13" t="n"/>
      <c r="H311" s="13" t="n"/>
      <c r="I311" s="17">
        <f>IF($A311="","",1)</f>
        <v/>
      </c>
    </row>
    <row r="312">
      <c r="A312" s="13" t="n"/>
      <c r="B312" s="68" t="n"/>
      <c r="C312" s="15" t="n"/>
      <c r="D312" s="69" t="n"/>
      <c r="E312" s="13" t="n"/>
      <c r="F312" s="13" t="n"/>
      <c r="G312" s="13" t="n"/>
      <c r="H312" s="13" t="n"/>
      <c r="I312" s="17">
        <f>IF($A312="","",1)</f>
        <v/>
      </c>
    </row>
    <row r="313">
      <c r="A313" s="13" t="n"/>
      <c r="B313" s="68" t="n"/>
      <c r="C313" s="15" t="n"/>
      <c r="D313" s="69" t="n"/>
      <c r="E313" s="13" t="n"/>
      <c r="F313" s="13" t="n"/>
      <c r="G313" s="13" t="n"/>
      <c r="H313" s="13" t="n"/>
      <c r="I313" s="17">
        <f>IF($A313="","",1)</f>
        <v/>
      </c>
    </row>
    <row r="314">
      <c r="A314" s="13" t="n"/>
      <c r="B314" s="68" t="n"/>
      <c r="C314" s="15" t="n"/>
      <c r="D314" s="69" t="n"/>
      <c r="E314" s="13" t="n"/>
      <c r="F314" s="13" t="n"/>
      <c r="G314" s="13" t="n"/>
      <c r="H314" s="13" t="n"/>
      <c r="I314" s="17">
        <f>IF($A314="","",1)</f>
        <v/>
      </c>
    </row>
    <row r="315">
      <c r="A315" s="13" t="n"/>
      <c r="B315" s="68" t="n"/>
      <c r="C315" s="15" t="n"/>
      <c r="D315" s="69" t="n"/>
      <c r="E315" s="13" t="n"/>
      <c r="F315" s="13" t="n"/>
      <c r="G315" s="13" t="n"/>
      <c r="H315" s="13" t="n"/>
      <c r="I315" s="17">
        <f>IF($A315="","",1)</f>
        <v/>
      </c>
    </row>
    <row r="316">
      <c r="A316" s="13" t="n"/>
      <c r="B316" s="68" t="n"/>
      <c r="C316" s="15" t="n"/>
      <c r="D316" s="69" t="n"/>
      <c r="E316" s="13" t="n"/>
      <c r="F316" s="13" t="n"/>
      <c r="G316" s="13" t="n"/>
      <c r="H316" s="13" t="n"/>
      <c r="I316" s="17">
        <f>IF($A316="","",1)</f>
        <v/>
      </c>
    </row>
    <row r="317">
      <c r="A317" s="13" t="n"/>
      <c r="B317" s="68" t="n"/>
      <c r="C317" s="15" t="n"/>
      <c r="D317" s="69" t="n"/>
      <c r="E317" s="13" t="n"/>
      <c r="F317" s="13" t="n"/>
      <c r="G317" s="13" t="n"/>
      <c r="H317" s="13" t="n"/>
      <c r="I317" s="17">
        <f>IF($A317="","",1)</f>
        <v/>
      </c>
    </row>
    <row r="318">
      <c r="A318" s="13" t="n"/>
      <c r="B318" s="68" t="n"/>
      <c r="C318" s="15" t="n"/>
      <c r="D318" s="69" t="n"/>
      <c r="E318" s="13" t="n"/>
      <c r="F318" s="13" t="n"/>
      <c r="G318" s="13" t="n"/>
      <c r="H318" s="13" t="n"/>
      <c r="I318" s="17">
        <f>IF($A318="","",1)</f>
        <v/>
      </c>
    </row>
    <row r="319">
      <c r="A319" s="13" t="n"/>
      <c r="B319" s="68" t="n"/>
      <c r="C319" s="15" t="n"/>
      <c r="D319" s="69" t="n"/>
      <c r="E319" s="13" t="n"/>
      <c r="F319" s="13" t="n"/>
      <c r="G319" s="13" t="n"/>
      <c r="H319" s="13" t="n"/>
      <c r="I319" s="17">
        <f>IF($A319="","",1)</f>
        <v/>
      </c>
    </row>
    <row r="320">
      <c r="A320" s="13" t="n"/>
      <c r="B320" s="68" t="n"/>
      <c r="C320" s="15" t="n"/>
      <c r="D320" s="69" t="n"/>
      <c r="E320" s="13" t="n"/>
      <c r="F320" s="13" t="n"/>
      <c r="G320" s="13" t="n"/>
      <c r="H320" s="13" t="n"/>
      <c r="I320" s="17">
        <f>IF($A320="","",1)</f>
        <v/>
      </c>
    </row>
    <row r="321">
      <c r="A321" s="13" t="n"/>
      <c r="B321" s="68" t="n"/>
      <c r="C321" s="15" t="n"/>
      <c r="D321" s="69" t="n"/>
      <c r="E321" s="13" t="n"/>
      <c r="F321" s="13" t="n"/>
      <c r="G321" s="13" t="n"/>
      <c r="H321" s="13" t="n"/>
      <c r="I321" s="17">
        <f>IF($A321="","",1)</f>
        <v/>
      </c>
    </row>
    <row r="322">
      <c r="A322" s="13" t="n"/>
      <c r="B322" s="68" t="n"/>
      <c r="C322" s="15" t="n"/>
      <c r="D322" s="69" t="n"/>
      <c r="E322" s="13" t="n"/>
      <c r="F322" s="13" t="n"/>
      <c r="G322" s="13" t="n"/>
      <c r="H322" s="13" t="n"/>
      <c r="I322" s="17">
        <f>IF($A322="","",1)</f>
        <v/>
      </c>
    </row>
    <row r="323">
      <c r="A323" s="13" t="n"/>
      <c r="B323" s="68" t="n"/>
      <c r="C323" s="15" t="n"/>
      <c r="D323" s="69" t="n"/>
      <c r="E323" s="13" t="n"/>
      <c r="F323" s="13" t="n"/>
      <c r="G323" s="13" t="n"/>
      <c r="H323" s="13" t="n"/>
      <c r="I323" s="17">
        <f>IF($A323="","",1)</f>
        <v/>
      </c>
    </row>
    <row r="324">
      <c r="A324" s="13" t="n"/>
      <c r="B324" s="68" t="n"/>
      <c r="C324" s="15" t="n"/>
      <c r="D324" s="69" t="n"/>
      <c r="E324" s="13" t="n"/>
      <c r="F324" s="13" t="n"/>
      <c r="G324" s="13" t="n"/>
      <c r="H324" s="13" t="n"/>
      <c r="I324" s="17">
        <f>IF($A324="","",1)</f>
        <v/>
      </c>
    </row>
    <row r="325">
      <c r="A325" s="13" t="n"/>
      <c r="B325" s="68" t="n"/>
      <c r="C325" s="15" t="n"/>
      <c r="D325" s="69" t="n"/>
      <c r="E325" s="13" t="n"/>
      <c r="F325" s="13" t="n"/>
      <c r="G325" s="13" t="n"/>
      <c r="H325" s="13" t="n"/>
      <c r="I325" s="17">
        <f>IF($A325="","",1)</f>
        <v/>
      </c>
    </row>
    <row r="326">
      <c r="A326" s="13" t="n"/>
      <c r="B326" s="68" t="n"/>
      <c r="C326" s="15" t="n"/>
      <c r="D326" s="69" t="n"/>
      <c r="E326" s="13" t="n"/>
      <c r="F326" s="13" t="n"/>
      <c r="G326" s="13" t="n"/>
      <c r="H326" s="13" t="n"/>
      <c r="I326" s="17">
        <f>IF($A326="","",1)</f>
        <v/>
      </c>
    </row>
    <row r="327">
      <c r="A327" s="13" t="n"/>
      <c r="B327" s="68" t="n"/>
      <c r="C327" s="15" t="n"/>
      <c r="D327" s="69" t="n"/>
      <c r="E327" s="13" t="n"/>
      <c r="F327" s="13" t="n"/>
      <c r="G327" s="13" t="n"/>
      <c r="H327" s="13" t="n"/>
      <c r="I327" s="17">
        <f>IF($A327="","",1)</f>
        <v/>
      </c>
    </row>
    <row r="328">
      <c r="A328" s="13" t="n"/>
      <c r="B328" s="68" t="n"/>
      <c r="C328" s="15" t="n"/>
      <c r="D328" s="69" t="n"/>
      <c r="E328" s="13" t="n"/>
      <c r="F328" s="13" t="n"/>
      <c r="G328" s="13" t="n"/>
      <c r="H328" s="13" t="n"/>
      <c r="I328" s="17">
        <f>IF($A328="","",1)</f>
        <v/>
      </c>
    </row>
    <row r="329">
      <c r="A329" s="13" t="n"/>
      <c r="B329" s="68" t="n"/>
      <c r="C329" s="15" t="n"/>
      <c r="D329" s="69" t="n"/>
      <c r="E329" s="13" t="n"/>
      <c r="F329" s="13" t="n"/>
      <c r="G329" s="13" t="n"/>
      <c r="H329" s="13" t="n"/>
      <c r="I329" s="17">
        <f>IF($A329="","",1)</f>
        <v/>
      </c>
    </row>
    <row r="330">
      <c r="A330" s="13" t="n"/>
      <c r="B330" s="68" t="n"/>
      <c r="C330" s="15" t="n"/>
      <c r="D330" s="69" t="n"/>
      <c r="E330" s="13" t="n"/>
      <c r="F330" s="13" t="n"/>
      <c r="G330" s="13" t="n"/>
      <c r="H330" s="13" t="n"/>
      <c r="I330" s="17">
        <f>IF($A330="","",1)</f>
        <v/>
      </c>
    </row>
    <row r="331">
      <c r="A331" s="13" t="n"/>
      <c r="B331" s="68" t="n"/>
      <c r="C331" s="15" t="n"/>
      <c r="D331" s="69" t="n"/>
      <c r="E331" s="13" t="n"/>
      <c r="F331" s="13" t="n"/>
      <c r="G331" s="13" t="n"/>
      <c r="H331" s="13" t="n"/>
      <c r="I331" s="17">
        <f>IF($A331="","",1)</f>
        <v/>
      </c>
    </row>
    <row r="332">
      <c r="A332" s="13" t="n"/>
      <c r="B332" s="68" t="n"/>
      <c r="C332" s="15" t="n"/>
      <c r="D332" s="69" t="n"/>
      <c r="E332" s="13" t="n"/>
      <c r="F332" s="13" t="n"/>
      <c r="G332" s="13" t="n"/>
      <c r="H332" s="13" t="n"/>
      <c r="I332" s="17">
        <f>IF($A332="","",1)</f>
        <v/>
      </c>
    </row>
    <row r="333">
      <c r="A333" s="13" t="n"/>
      <c r="B333" s="68" t="n"/>
      <c r="C333" s="15" t="n"/>
      <c r="D333" s="69" t="n"/>
      <c r="E333" s="13" t="n"/>
      <c r="F333" s="13" t="n"/>
      <c r="G333" s="13" t="n"/>
      <c r="H333" s="13" t="n"/>
      <c r="I333" s="17">
        <f>IF($A333="","",1)</f>
        <v/>
      </c>
    </row>
    <row r="334">
      <c r="A334" s="13" t="n"/>
      <c r="B334" s="68" t="n"/>
      <c r="C334" s="15" t="n"/>
      <c r="D334" s="69" t="n"/>
      <c r="E334" s="13" t="n"/>
      <c r="F334" s="13" t="n"/>
      <c r="G334" s="13" t="n"/>
      <c r="H334" s="13" t="n"/>
      <c r="I334" s="17">
        <f>IF($A334="","",1)</f>
        <v/>
      </c>
    </row>
    <row r="335">
      <c r="A335" s="13" t="n"/>
      <c r="B335" s="68" t="n"/>
      <c r="C335" s="15" t="n"/>
      <c r="D335" s="69" t="n"/>
      <c r="E335" s="13" t="n"/>
      <c r="F335" s="13" t="n"/>
      <c r="G335" s="13" t="n"/>
      <c r="H335" s="13" t="n"/>
      <c r="I335" s="17">
        <f>IF($A335="","",1)</f>
        <v/>
      </c>
    </row>
    <row r="336">
      <c r="A336" s="13" t="n"/>
      <c r="B336" s="68" t="n"/>
      <c r="C336" s="15" t="n"/>
      <c r="D336" s="69" t="n"/>
      <c r="E336" s="13" t="n"/>
      <c r="F336" s="13" t="n"/>
      <c r="G336" s="13" t="n"/>
      <c r="H336" s="13" t="n"/>
      <c r="I336" s="17">
        <f>IF($A336="","",1)</f>
        <v/>
      </c>
    </row>
    <row r="337">
      <c r="A337" s="13" t="n"/>
      <c r="B337" s="68" t="n"/>
      <c r="C337" s="15" t="n"/>
      <c r="D337" s="69" t="n"/>
      <c r="E337" s="13" t="n"/>
      <c r="F337" s="13" t="n"/>
      <c r="G337" s="13" t="n"/>
      <c r="H337" s="13" t="n"/>
      <c r="I337" s="17">
        <f>IF($A337="","",1)</f>
        <v/>
      </c>
    </row>
    <row r="338">
      <c r="A338" s="13" t="n"/>
      <c r="B338" s="68" t="n"/>
      <c r="C338" s="15" t="n"/>
      <c r="D338" s="69" t="n"/>
      <c r="E338" s="13" t="n"/>
      <c r="F338" s="13" t="n"/>
      <c r="G338" s="13" t="n"/>
      <c r="H338" s="13" t="n"/>
      <c r="I338" s="17">
        <f>IF($A338="","",1)</f>
        <v/>
      </c>
    </row>
    <row r="339">
      <c r="A339" s="13" t="n"/>
      <c r="B339" s="68" t="n"/>
      <c r="C339" s="15" t="n"/>
      <c r="D339" s="69" t="n"/>
      <c r="E339" s="13" t="n"/>
      <c r="F339" s="13" t="n"/>
      <c r="G339" s="13" t="n"/>
      <c r="H339" s="13" t="n"/>
      <c r="I339" s="17">
        <f>IF($A339="","",1)</f>
        <v/>
      </c>
    </row>
    <row r="340">
      <c r="A340" s="13" t="n"/>
      <c r="B340" s="68" t="n"/>
      <c r="C340" s="15" t="n"/>
      <c r="D340" s="69" t="n"/>
      <c r="E340" s="13" t="n"/>
      <c r="F340" s="13" t="n"/>
      <c r="G340" s="13" t="n"/>
      <c r="H340" s="13" t="n"/>
      <c r="I340" s="17">
        <f>IF($A340="","",1)</f>
        <v/>
      </c>
    </row>
    <row r="341">
      <c r="A341" s="13" t="n"/>
      <c r="B341" s="68" t="n"/>
      <c r="C341" s="15" t="n"/>
      <c r="D341" s="69" t="n"/>
      <c r="E341" s="13" t="n"/>
      <c r="F341" s="13" t="n"/>
      <c r="G341" s="13" t="n"/>
      <c r="H341" s="13" t="n"/>
      <c r="I341" s="17">
        <f>IF($A341="","",1)</f>
        <v/>
      </c>
    </row>
    <row r="342">
      <c r="A342" s="13" t="n"/>
      <c r="B342" s="68" t="n"/>
      <c r="C342" s="15" t="n"/>
      <c r="D342" s="69" t="n"/>
      <c r="E342" s="13" t="n"/>
      <c r="F342" s="13" t="n"/>
      <c r="G342" s="13" t="n"/>
      <c r="H342" s="13" t="n"/>
      <c r="I342" s="17">
        <f>IF($A342="","",1)</f>
        <v/>
      </c>
    </row>
    <row r="343">
      <c r="A343" s="13" t="n"/>
      <c r="B343" s="68" t="n"/>
      <c r="C343" s="15" t="n"/>
      <c r="D343" s="69" t="n"/>
      <c r="E343" s="13" t="n"/>
      <c r="F343" s="13" t="n"/>
      <c r="G343" s="13" t="n"/>
      <c r="H343" s="13" t="n"/>
      <c r="I343" s="17">
        <f>IF($A343="","",1)</f>
        <v/>
      </c>
    </row>
    <row r="344">
      <c r="A344" s="13" t="n"/>
      <c r="B344" s="68" t="n"/>
      <c r="C344" s="15" t="n"/>
      <c r="D344" s="69" t="n"/>
      <c r="E344" s="13" t="n"/>
      <c r="F344" s="13" t="n"/>
      <c r="G344" s="13" t="n"/>
      <c r="H344" s="13" t="n"/>
      <c r="I344" s="17">
        <f>IF($A344="","",1)</f>
        <v/>
      </c>
    </row>
    <row r="345">
      <c r="A345" s="13" t="n"/>
      <c r="B345" s="68" t="n"/>
      <c r="C345" s="15" t="n"/>
      <c r="D345" s="69" t="n"/>
      <c r="E345" s="13" t="n"/>
      <c r="F345" s="13" t="n"/>
      <c r="G345" s="13" t="n"/>
      <c r="H345" s="13" t="n"/>
      <c r="I345" s="17">
        <f>IF($A345="","",1)</f>
        <v/>
      </c>
    </row>
    <row r="346">
      <c r="A346" s="13" t="n"/>
      <c r="B346" s="68" t="n"/>
      <c r="C346" s="15" t="n"/>
      <c r="D346" s="69" t="n"/>
      <c r="E346" s="13" t="n"/>
      <c r="F346" s="13" t="n"/>
      <c r="G346" s="13" t="n"/>
      <c r="H346" s="13" t="n"/>
      <c r="I346" s="17">
        <f>IF($A346="","",1)</f>
        <v/>
      </c>
    </row>
    <row r="347">
      <c r="A347" s="13" t="n"/>
      <c r="B347" s="68" t="n"/>
      <c r="C347" s="15" t="n"/>
      <c r="D347" s="69" t="n"/>
      <c r="E347" s="13" t="n"/>
      <c r="F347" s="13" t="n"/>
      <c r="G347" s="13" t="n"/>
      <c r="H347" s="13" t="n"/>
      <c r="I347" s="17">
        <f>IF($A347="","",1)</f>
        <v/>
      </c>
    </row>
    <row r="348">
      <c r="A348" s="13" t="n"/>
      <c r="B348" s="68" t="n"/>
      <c r="C348" s="15" t="n"/>
      <c r="D348" s="69" t="n"/>
      <c r="E348" s="13" t="n"/>
      <c r="F348" s="13" t="n"/>
      <c r="G348" s="13" t="n"/>
      <c r="H348" s="13" t="n"/>
      <c r="I348" s="17">
        <f>IF($A348="","",1)</f>
        <v/>
      </c>
    </row>
    <row r="349">
      <c r="A349" s="13" t="n"/>
      <c r="B349" s="68" t="n"/>
      <c r="C349" s="15" t="n"/>
      <c r="D349" s="69" t="n"/>
      <c r="E349" s="13" t="n"/>
      <c r="F349" s="13" t="n"/>
      <c r="G349" s="13" t="n"/>
      <c r="H349" s="13" t="n"/>
      <c r="I349" s="17">
        <f>IF($A349="","",1)</f>
        <v/>
      </c>
    </row>
    <row r="350">
      <c r="A350" s="13" t="n"/>
      <c r="B350" s="68" t="n"/>
      <c r="C350" s="15" t="n"/>
      <c r="D350" s="69" t="n"/>
      <c r="E350" s="13" t="n"/>
      <c r="F350" s="13" t="n"/>
      <c r="G350" s="13" t="n"/>
      <c r="H350" s="13" t="n"/>
      <c r="I350" s="17">
        <f>IF($A350="","",1)</f>
        <v/>
      </c>
    </row>
    <row r="351">
      <c r="A351" s="13" t="n"/>
      <c r="B351" s="68" t="n"/>
      <c r="C351" s="15" t="n"/>
      <c r="D351" s="69" t="n"/>
      <c r="E351" s="13" t="n"/>
      <c r="F351" s="13" t="n"/>
      <c r="G351" s="13" t="n"/>
      <c r="H351" s="13" t="n"/>
      <c r="I351" s="17">
        <f>IF($A351="","",1)</f>
        <v/>
      </c>
    </row>
    <row r="352">
      <c r="A352" s="13" t="n"/>
      <c r="B352" s="68" t="n"/>
      <c r="C352" s="15" t="n"/>
      <c r="D352" s="69" t="n"/>
      <c r="E352" s="13" t="n"/>
      <c r="F352" s="13" t="n"/>
      <c r="G352" s="13" t="n"/>
      <c r="H352" s="13" t="n"/>
      <c r="I352" s="17">
        <f>IF($A352="","",1)</f>
        <v/>
      </c>
    </row>
    <row r="353">
      <c r="A353" s="13" t="n"/>
      <c r="B353" s="68" t="n"/>
      <c r="C353" s="15" t="n"/>
      <c r="D353" s="69" t="n"/>
      <c r="E353" s="13" t="n"/>
      <c r="F353" s="13" t="n"/>
      <c r="G353" s="13" t="n"/>
      <c r="H353" s="13" t="n"/>
      <c r="I353" s="17">
        <f>IF($A353="","",1)</f>
        <v/>
      </c>
    </row>
    <row r="354">
      <c r="A354" s="13" t="n"/>
      <c r="B354" s="68" t="n"/>
      <c r="C354" s="15" t="n"/>
      <c r="D354" s="69" t="n"/>
      <c r="E354" s="13" t="n"/>
      <c r="F354" s="13" t="n"/>
      <c r="G354" s="13" t="n"/>
      <c r="H354" s="13" t="n"/>
      <c r="I354" s="17">
        <f>IF($A354="","",1)</f>
        <v/>
      </c>
    </row>
    <row r="355">
      <c r="A355" s="13" t="n"/>
      <c r="B355" s="68" t="n"/>
      <c r="C355" s="15" t="n"/>
      <c r="D355" s="69" t="n"/>
      <c r="E355" s="13" t="n"/>
      <c r="F355" s="13" t="n"/>
      <c r="G355" s="13" t="n"/>
      <c r="H355" s="13" t="n"/>
      <c r="I355" s="17">
        <f>IF($A355="","",1)</f>
        <v/>
      </c>
    </row>
    <row r="356">
      <c r="A356" s="13" t="n"/>
      <c r="B356" s="68" t="n"/>
      <c r="C356" s="15" t="n"/>
      <c r="D356" s="69" t="n"/>
      <c r="E356" s="13" t="n"/>
      <c r="F356" s="13" t="n"/>
      <c r="G356" s="13" t="n"/>
      <c r="H356" s="13" t="n"/>
      <c r="I356" s="17">
        <f>IF($A356="","",1)</f>
        <v/>
      </c>
    </row>
    <row r="357">
      <c r="A357" s="13" t="n"/>
      <c r="B357" s="68" t="n"/>
      <c r="C357" s="15" t="n"/>
      <c r="D357" s="69" t="n"/>
      <c r="E357" s="13" t="n"/>
      <c r="F357" s="13" t="n"/>
      <c r="G357" s="13" t="n"/>
      <c r="H357" s="13" t="n"/>
      <c r="I357" s="17">
        <f>IF($A357="","",1)</f>
        <v/>
      </c>
    </row>
    <row r="358">
      <c r="A358" s="13" t="n"/>
      <c r="B358" s="68" t="n"/>
      <c r="C358" s="15" t="n"/>
      <c r="D358" s="69" t="n"/>
      <c r="E358" s="13" t="n"/>
      <c r="F358" s="13" t="n"/>
      <c r="G358" s="13" t="n"/>
      <c r="H358" s="13" t="n"/>
      <c r="I358" s="17">
        <f>IF($A358="","",1)</f>
        <v/>
      </c>
    </row>
    <row r="359">
      <c r="A359" s="13" t="n"/>
      <c r="B359" s="68" t="n"/>
      <c r="C359" s="15" t="n"/>
      <c r="D359" s="69" t="n"/>
      <c r="E359" s="13" t="n"/>
      <c r="F359" s="13" t="n"/>
      <c r="G359" s="13" t="n"/>
      <c r="H359" s="13" t="n"/>
      <c r="I359" s="17">
        <f>IF($A359="","",1)</f>
        <v/>
      </c>
    </row>
    <row r="360">
      <c r="A360" s="13" t="n"/>
      <c r="B360" s="68" t="n"/>
      <c r="C360" s="15" t="n"/>
      <c r="D360" s="69" t="n"/>
      <c r="E360" s="13" t="n"/>
      <c r="F360" s="13" t="n"/>
      <c r="G360" s="13" t="n"/>
      <c r="H360" s="13" t="n"/>
      <c r="I360" s="17">
        <f>IF($A360="","",1)</f>
        <v/>
      </c>
    </row>
    <row r="361">
      <c r="A361" s="13" t="n"/>
      <c r="B361" s="68" t="n"/>
      <c r="C361" s="15" t="n"/>
      <c r="D361" s="69" t="n"/>
      <c r="E361" s="13" t="n"/>
      <c r="F361" s="13" t="n"/>
      <c r="G361" s="13" t="n"/>
      <c r="H361" s="13" t="n"/>
      <c r="I361" s="17">
        <f>IF($A361="","",1)</f>
        <v/>
      </c>
    </row>
    <row r="362">
      <c r="A362" s="13" t="n"/>
      <c r="B362" s="68" t="n"/>
      <c r="C362" s="15" t="n"/>
      <c r="D362" s="69" t="n"/>
      <c r="E362" s="13" t="n"/>
      <c r="F362" s="13" t="n"/>
      <c r="G362" s="13" t="n"/>
      <c r="H362" s="13" t="n"/>
      <c r="I362" s="17">
        <f>IF($A362="","",1)</f>
        <v/>
      </c>
    </row>
    <row r="363">
      <c r="A363" s="13" t="n"/>
      <c r="B363" s="68" t="n"/>
      <c r="C363" s="15" t="n"/>
      <c r="D363" s="69" t="n"/>
      <c r="E363" s="13" t="n"/>
      <c r="F363" s="13" t="n"/>
      <c r="G363" s="13" t="n"/>
      <c r="H363" s="13" t="n"/>
      <c r="I363" s="17">
        <f>IF($A363="","",1)</f>
        <v/>
      </c>
    </row>
    <row r="364">
      <c r="A364" s="13" t="n"/>
      <c r="B364" s="68" t="n"/>
      <c r="C364" s="15" t="n"/>
      <c r="D364" s="69" t="n"/>
      <c r="E364" s="13" t="n"/>
      <c r="F364" s="13" t="n"/>
      <c r="G364" s="13" t="n"/>
      <c r="H364" s="13" t="n"/>
      <c r="I364" s="17">
        <f>IF($A364="","",1)</f>
        <v/>
      </c>
    </row>
    <row r="365">
      <c r="A365" s="13" t="n"/>
      <c r="B365" s="68" t="n"/>
      <c r="C365" s="15" t="n"/>
      <c r="D365" s="69" t="n"/>
      <c r="E365" s="13" t="n"/>
      <c r="F365" s="13" t="n"/>
      <c r="G365" s="13" t="n"/>
      <c r="H365" s="13" t="n"/>
      <c r="I365" s="17">
        <f>IF($A365="","",1)</f>
        <v/>
      </c>
    </row>
    <row r="366">
      <c r="A366" s="13" t="n"/>
      <c r="B366" s="68" t="n"/>
      <c r="C366" s="15" t="n"/>
      <c r="D366" s="69" t="n"/>
      <c r="E366" s="13" t="n"/>
      <c r="F366" s="13" t="n"/>
      <c r="G366" s="13" t="n"/>
      <c r="H366" s="13" t="n"/>
      <c r="I366" s="17">
        <f>IF($A366="","",1)</f>
        <v/>
      </c>
    </row>
    <row r="367">
      <c r="A367" s="13" t="n"/>
      <c r="B367" s="68" t="n"/>
      <c r="C367" s="15" t="n"/>
      <c r="D367" s="69" t="n"/>
      <c r="E367" s="13" t="n"/>
      <c r="F367" s="13" t="n"/>
      <c r="G367" s="13" t="n"/>
      <c r="H367" s="13" t="n"/>
      <c r="I367" s="17">
        <f>IF($A367="","",1)</f>
        <v/>
      </c>
    </row>
    <row r="368">
      <c r="A368" s="13" t="n"/>
      <c r="B368" s="68" t="n"/>
      <c r="C368" s="15" t="n"/>
      <c r="D368" s="69" t="n"/>
      <c r="E368" s="13" t="n"/>
      <c r="F368" s="13" t="n"/>
      <c r="G368" s="13" t="n"/>
      <c r="H368" s="13" t="n"/>
      <c r="I368" s="17">
        <f>IF($A368="","",1)</f>
        <v/>
      </c>
    </row>
    <row r="369">
      <c r="A369" s="13" t="n"/>
      <c r="B369" s="68" t="n"/>
      <c r="C369" s="15" t="n"/>
      <c r="D369" s="69" t="n"/>
      <c r="E369" s="13" t="n"/>
      <c r="F369" s="13" t="n"/>
      <c r="G369" s="13" t="n"/>
      <c r="H369" s="13" t="n"/>
      <c r="I369" s="17">
        <f>IF($A369="","",1)</f>
        <v/>
      </c>
    </row>
    <row r="370">
      <c r="A370" s="13" t="n"/>
      <c r="B370" s="68" t="n"/>
      <c r="C370" s="15" t="n"/>
      <c r="D370" s="69" t="n"/>
      <c r="E370" s="13" t="n"/>
      <c r="F370" s="13" t="n"/>
      <c r="G370" s="13" t="n"/>
      <c r="H370" s="13" t="n"/>
      <c r="I370" s="17">
        <f>IF($A370="","",1)</f>
        <v/>
      </c>
    </row>
    <row r="371">
      <c r="A371" s="13" t="n"/>
      <c r="B371" s="68" t="n"/>
      <c r="C371" s="15" t="n"/>
      <c r="D371" s="69" t="n"/>
      <c r="E371" s="13" t="n"/>
      <c r="F371" s="13" t="n"/>
      <c r="G371" s="13" t="n"/>
      <c r="H371" s="13" t="n"/>
      <c r="I371" s="17">
        <f>IF($A371="","",1)</f>
        <v/>
      </c>
    </row>
    <row r="372">
      <c r="A372" s="13" t="n"/>
      <c r="B372" s="68" t="n"/>
      <c r="C372" s="15" t="n"/>
      <c r="D372" s="69" t="n"/>
      <c r="E372" s="13" t="n"/>
      <c r="F372" s="13" t="n"/>
      <c r="G372" s="13" t="n"/>
      <c r="H372" s="13" t="n"/>
      <c r="I372" s="17">
        <f>IF($A372="","",1)</f>
        <v/>
      </c>
    </row>
    <row r="373">
      <c r="A373" s="13" t="n"/>
      <c r="B373" s="68" t="n"/>
      <c r="C373" s="15" t="n"/>
      <c r="D373" s="69" t="n"/>
      <c r="E373" s="13" t="n"/>
      <c r="F373" s="13" t="n"/>
      <c r="G373" s="13" t="n"/>
      <c r="H373" s="13" t="n"/>
      <c r="I373" s="17">
        <f>IF($A373="","",1)</f>
        <v/>
      </c>
    </row>
    <row r="374">
      <c r="A374" s="13" t="n"/>
      <c r="B374" s="68" t="n"/>
      <c r="C374" s="15" t="n"/>
      <c r="D374" s="69" t="n"/>
      <c r="E374" s="13" t="n"/>
      <c r="F374" s="13" t="n"/>
      <c r="G374" s="13" t="n"/>
      <c r="H374" s="13" t="n"/>
      <c r="I374" s="17">
        <f>IF($A374="","",1)</f>
        <v/>
      </c>
    </row>
    <row r="375">
      <c r="A375" s="13" t="n"/>
      <c r="B375" s="68" t="n"/>
      <c r="C375" s="15" t="n"/>
      <c r="D375" s="69" t="n"/>
      <c r="E375" s="13" t="n"/>
      <c r="F375" s="13" t="n"/>
      <c r="G375" s="13" t="n"/>
      <c r="H375" s="13" t="n"/>
      <c r="I375" s="17">
        <f>IF($A375="","",1)</f>
        <v/>
      </c>
    </row>
    <row r="376">
      <c r="A376" s="13" t="n"/>
      <c r="B376" s="68" t="n"/>
      <c r="C376" s="15" t="n"/>
      <c r="D376" s="69" t="n"/>
      <c r="E376" s="13" t="n"/>
      <c r="F376" s="13" t="n"/>
      <c r="G376" s="13" t="n"/>
      <c r="H376" s="13" t="n"/>
      <c r="I376" s="17">
        <f>IF($A376="","",1)</f>
        <v/>
      </c>
    </row>
    <row r="377">
      <c r="A377" s="13" t="n"/>
      <c r="B377" s="68" t="n"/>
      <c r="C377" s="15" t="n"/>
      <c r="D377" s="69" t="n"/>
      <c r="E377" s="13" t="n"/>
      <c r="F377" s="13" t="n"/>
      <c r="G377" s="13" t="n"/>
      <c r="H377" s="13" t="n"/>
      <c r="I377" s="17">
        <f>IF($A377="","",1)</f>
        <v/>
      </c>
    </row>
    <row r="378">
      <c r="A378" s="13" t="n"/>
      <c r="B378" s="68" t="n"/>
      <c r="C378" s="15" t="n"/>
      <c r="D378" s="69" t="n"/>
      <c r="E378" s="13" t="n"/>
      <c r="F378" s="13" t="n"/>
      <c r="G378" s="13" t="n"/>
      <c r="H378" s="13" t="n"/>
      <c r="I378" s="17">
        <f>IF($A378="","",1)</f>
        <v/>
      </c>
    </row>
    <row r="379">
      <c r="A379" s="13" t="n"/>
      <c r="B379" s="68" t="n"/>
      <c r="C379" s="15" t="n"/>
      <c r="D379" s="69" t="n"/>
      <c r="E379" s="13" t="n"/>
      <c r="F379" s="13" t="n"/>
      <c r="G379" s="13" t="n"/>
      <c r="H379" s="13" t="n"/>
      <c r="I379" s="17">
        <f>IF($A379="","",1)</f>
        <v/>
      </c>
    </row>
    <row r="380">
      <c r="A380" s="13" t="n"/>
      <c r="B380" s="68" t="n"/>
      <c r="C380" s="15" t="n"/>
      <c r="D380" s="69" t="n"/>
      <c r="E380" s="13" t="n"/>
      <c r="F380" s="13" t="n"/>
      <c r="G380" s="13" t="n"/>
      <c r="H380" s="13" t="n"/>
      <c r="I380" s="17">
        <f>IF($A380="","",1)</f>
        <v/>
      </c>
    </row>
    <row r="381">
      <c r="A381" s="13" t="n"/>
      <c r="B381" s="68" t="n"/>
      <c r="C381" s="15" t="n"/>
      <c r="D381" s="69" t="n"/>
      <c r="E381" s="13" t="n"/>
      <c r="F381" s="13" t="n"/>
      <c r="G381" s="13" t="n"/>
      <c r="H381" s="13" t="n"/>
      <c r="I381" s="17">
        <f>IF($A381="","",1)</f>
        <v/>
      </c>
    </row>
    <row r="382">
      <c r="A382" s="13" t="n"/>
      <c r="B382" s="68" t="n"/>
      <c r="C382" s="15" t="n"/>
      <c r="D382" s="69" t="n"/>
      <c r="E382" s="13" t="n"/>
      <c r="F382" s="13" t="n"/>
      <c r="G382" s="13" t="n"/>
      <c r="H382" s="13" t="n"/>
      <c r="I382" s="17">
        <f>IF($A382="","",1)</f>
        <v/>
      </c>
    </row>
    <row r="383">
      <c r="A383" s="13" t="n"/>
      <c r="B383" s="68" t="n"/>
      <c r="C383" s="15" t="n"/>
      <c r="D383" s="69" t="n"/>
      <c r="E383" s="13" t="n"/>
      <c r="F383" s="13" t="n"/>
      <c r="G383" s="13" t="n"/>
      <c r="H383" s="13" t="n"/>
      <c r="I383" s="17">
        <f>IF($A383="","",1)</f>
        <v/>
      </c>
    </row>
    <row r="384">
      <c r="A384" s="13" t="n"/>
      <c r="B384" s="68" t="n"/>
      <c r="C384" s="15" t="n"/>
      <c r="D384" s="69" t="n"/>
      <c r="E384" s="13" t="n"/>
      <c r="F384" s="13" t="n"/>
      <c r="G384" s="13" t="n"/>
      <c r="H384" s="13" t="n"/>
      <c r="I384" s="17">
        <f>IF($A384="","",1)</f>
        <v/>
      </c>
    </row>
    <row r="385">
      <c r="A385" s="13" t="n"/>
      <c r="B385" s="68" t="n"/>
      <c r="C385" s="15" t="n"/>
      <c r="D385" s="69" t="n"/>
      <c r="E385" s="13" t="n"/>
      <c r="F385" s="13" t="n"/>
      <c r="G385" s="13" t="n"/>
      <c r="H385" s="13" t="n"/>
      <c r="I385" s="17">
        <f>IF($A385="","",1)</f>
        <v/>
      </c>
    </row>
    <row r="386">
      <c r="A386" s="13" t="n"/>
      <c r="B386" s="68" t="n"/>
      <c r="C386" s="15" t="n"/>
      <c r="D386" s="69" t="n"/>
      <c r="E386" s="13" t="n"/>
      <c r="F386" s="13" t="n"/>
      <c r="G386" s="13" t="n"/>
      <c r="H386" s="13" t="n"/>
      <c r="I386" s="17">
        <f>IF($A386="","",1)</f>
        <v/>
      </c>
    </row>
    <row r="387">
      <c r="A387" s="13" t="n"/>
      <c r="B387" s="68" t="n"/>
      <c r="C387" s="15" t="n"/>
      <c r="D387" s="69" t="n"/>
      <c r="E387" s="13" t="n"/>
      <c r="F387" s="13" t="n"/>
      <c r="G387" s="13" t="n"/>
      <c r="H387" s="13" t="n"/>
      <c r="I387" s="17">
        <f>IF($A387="","",1)</f>
        <v/>
      </c>
    </row>
    <row r="388">
      <c r="A388" s="13" t="n"/>
      <c r="B388" s="68" t="n"/>
      <c r="C388" s="15" t="n"/>
      <c r="D388" s="69" t="n"/>
      <c r="E388" s="13" t="n"/>
      <c r="F388" s="13" t="n"/>
      <c r="G388" s="13" t="n"/>
      <c r="H388" s="13" t="n"/>
      <c r="I388" s="17">
        <f>IF($A388="","",1)</f>
        <v/>
      </c>
    </row>
    <row r="389">
      <c r="A389" s="13" t="n"/>
      <c r="B389" s="68" t="n"/>
      <c r="C389" s="15" t="n"/>
      <c r="D389" s="69" t="n"/>
      <c r="E389" s="13" t="n"/>
      <c r="F389" s="13" t="n"/>
      <c r="G389" s="13" t="n"/>
      <c r="H389" s="13" t="n"/>
      <c r="I389" s="17">
        <f>IF($A389="","",1)</f>
        <v/>
      </c>
    </row>
    <row r="390">
      <c r="A390" s="13" t="n"/>
      <c r="B390" s="68" t="n"/>
      <c r="C390" s="15" t="n"/>
      <c r="D390" s="69" t="n"/>
      <c r="E390" s="13" t="n"/>
      <c r="F390" s="13" t="n"/>
      <c r="G390" s="13" t="n"/>
      <c r="H390" s="13" t="n"/>
      <c r="I390" s="17">
        <f>IF($A390="","",1)</f>
        <v/>
      </c>
    </row>
    <row r="391">
      <c r="A391" s="13" t="n"/>
      <c r="B391" s="68" t="n"/>
      <c r="C391" s="15" t="n"/>
      <c r="D391" s="69" t="n"/>
      <c r="E391" s="13" t="n"/>
      <c r="F391" s="13" t="n"/>
      <c r="G391" s="13" t="n"/>
      <c r="H391" s="13" t="n"/>
      <c r="I391" s="17">
        <f>IF($A391="","",1)</f>
        <v/>
      </c>
    </row>
    <row r="392">
      <c r="A392" s="13" t="n"/>
      <c r="B392" s="68" t="n"/>
      <c r="C392" s="15" t="n"/>
      <c r="D392" s="69" t="n"/>
      <c r="E392" s="13" t="n"/>
      <c r="F392" s="13" t="n"/>
      <c r="G392" s="13" t="n"/>
      <c r="H392" s="13" t="n"/>
      <c r="I392" s="17">
        <f>IF($A392="","",1)</f>
        <v/>
      </c>
    </row>
    <row r="393">
      <c r="A393" s="13" t="n"/>
      <c r="B393" s="68" t="n"/>
      <c r="C393" s="15" t="n"/>
      <c r="D393" s="69" t="n"/>
      <c r="E393" s="13" t="n"/>
      <c r="F393" s="13" t="n"/>
      <c r="G393" s="13" t="n"/>
      <c r="H393" s="13" t="n"/>
      <c r="I393" s="17">
        <f>IF($A393="","",1)</f>
        <v/>
      </c>
    </row>
    <row r="394">
      <c r="A394" s="13" t="n"/>
      <c r="B394" s="68" t="n"/>
      <c r="C394" s="15" t="n"/>
      <c r="D394" s="69" t="n"/>
      <c r="E394" s="13" t="n"/>
      <c r="F394" s="13" t="n"/>
      <c r="G394" s="13" t="n"/>
      <c r="H394" s="13" t="n"/>
      <c r="I394" s="17">
        <f>IF($A394="","",1)</f>
        <v/>
      </c>
    </row>
    <row r="395">
      <c r="A395" s="13" t="n"/>
      <c r="B395" s="68" t="n"/>
      <c r="C395" s="15" t="n"/>
      <c r="D395" s="69" t="n"/>
      <c r="E395" s="13" t="n"/>
      <c r="F395" s="13" t="n"/>
      <c r="G395" s="13" t="n"/>
      <c r="H395" s="13" t="n"/>
      <c r="I395" s="17">
        <f>IF($A395="","",1)</f>
        <v/>
      </c>
    </row>
    <row r="396">
      <c r="A396" s="13" t="n"/>
      <c r="B396" s="68" t="n"/>
      <c r="C396" s="15" t="n"/>
      <c r="D396" s="69" t="n"/>
      <c r="E396" s="13" t="n"/>
      <c r="F396" s="13" t="n"/>
      <c r="G396" s="13" t="n"/>
      <c r="H396" s="13" t="n"/>
      <c r="I396" s="17">
        <f>IF($A396="","",1)</f>
        <v/>
      </c>
    </row>
    <row r="397">
      <c r="A397" s="13" t="n"/>
      <c r="B397" s="68" t="n"/>
      <c r="C397" s="15" t="n"/>
      <c r="D397" s="69" t="n"/>
      <c r="E397" s="13" t="n"/>
      <c r="F397" s="13" t="n"/>
      <c r="G397" s="13" t="n"/>
      <c r="H397" s="13" t="n"/>
      <c r="I397" s="17">
        <f>IF($A397="","",1)</f>
        <v/>
      </c>
    </row>
    <row r="398">
      <c r="A398" s="13" t="n"/>
      <c r="B398" s="68" t="n"/>
      <c r="C398" s="15" t="n"/>
      <c r="D398" s="69" t="n"/>
      <c r="E398" s="13" t="n"/>
      <c r="F398" s="13" t="n"/>
      <c r="G398" s="13" t="n"/>
      <c r="H398" s="13" t="n"/>
      <c r="I398" s="17">
        <f>IF($A398="","",1)</f>
        <v/>
      </c>
    </row>
    <row r="399">
      <c r="A399" s="13" t="n"/>
      <c r="B399" s="68" t="n"/>
      <c r="C399" s="15" t="n"/>
      <c r="D399" s="69" t="n"/>
      <c r="E399" s="13" t="n"/>
      <c r="F399" s="13" t="n"/>
      <c r="G399" s="13" t="n"/>
      <c r="H399" s="13" t="n"/>
      <c r="I399" s="17">
        <f>IF($A399="","",1)</f>
        <v/>
      </c>
    </row>
    <row r="400">
      <c r="A400" s="13" t="n"/>
      <c r="B400" s="68" t="n"/>
      <c r="C400" s="15" t="n"/>
      <c r="D400" s="69" t="n"/>
      <c r="E400" s="13" t="n"/>
      <c r="F400" s="13" t="n"/>
      <c r="G400" s="13" t="n"/>
      <c r="H400" s="13" t="n"/>
      <c r="I400" s="17">
        <f>IF($A400="","",1)</f>
        <v/>
      </c>
    </row>
    <row r="401">
      <c r="A401" s="13" t="n"/>
      <c r="B401" s="68" t="n"/>
      <c r="C401" s="15" t="n"/>
      <c r="D401" s="69" t="n"/>
      <c r="E401" s="13" t="n"/>
      <c r="F401" s="13" t="n"/>
      <c r="G401" s="13" t="n"/>
      <c r="H401" s="13" t="n"/>
      <c r="I401" s="17">
        <f>IF($A401="","",1)</f>
        <v/>
      </c>
    </row>
    <row r="402">
      <c r="A402" s="13" t="n"/>
      <c r="B402" s="68" t="n"/>
      <c r="C402" s="15" t="n"/>
      <c r="D402" s="69" t="n"/>
      <c r="E402" s="13" t="n"/>
      <c r="F402" s="13" t="n"/>
      <c r="G402" s="13" t="n"/>
      <c r="H402" s="13" t="n"/>
      <c r="I402" s="17">
        <f>IF($A402="","",1)</f>
        <v/>
      </c>
    </row>
    <row r="403">
      <c r="A403" s="13" t="n"/>
      <c r="B403" s="68" t="n"/>
      <c r="C403" s="15" t="n"/>
      <c r="D403" s="69" t="n"/>
      <c r="E403" s="13" t="n"/>
      <c r="F403" s="13" t="n"/>
      <c r="G403" s="13" t="n"/>
      <c r="H403" s="13" t="n"/>
      <c r="I403" s="17">
        <f>IF($A403="","",1)</f>
        <v/>
      </c>
    </row>
    <row r="404">
      <c r="A404" s="13" t="n"/>
      <c r="B404" s="68" t="n"/>
      <c r="C404" s="15" t="n"/>
      <c r="D404" s="69" t="n"/>
      <c r="E404" s="13" t="n"/>
      <c r="F404" s="13" t="n"/>
      <c r="G404" s="13" t="n"/>
      <c r="H404" s="13" t="n"/>
      <c r="I404" s="17">
        <f>IF($A404="","",1)</f>
        <v/>
      </c>
    </row>
    <row r="405">
      <c r="A405" s="13" t="n"/>
      <c r="B405" s="68" t="n"/>
      <c r="C405" s="15" t="n"/>
      <c r="D405" s="69" t="n"/>
      <c r="E405" s="13" t="n"/>
      <c r="F405" s="13" t="n"/>
      <c r="G405" s="13" t="n"/>
      <c r="H405" s="13" t="n"/>
      <c r="I405" s="17">
        <f>IF($A405="","",1)</f>
        <v/>
      </c>
    </row>
    <row r="406">
      <c r="A406" s="13" t="n"/>
      <c r="B406" s="68" t="n"/>
      <c r="C406" s="15" t="n"/>
      <c r="D406" s="69" t="n"/>
      <c r="E406" s="13" t="n"/>
      <c r="F406" s="13" t="n"/>
      <c r="G406" s="13" t="n"/>
      <c r="H406" s="13" t="n"/>
      <c r="I406" s="17">
        <f>IF($A406="","",1)</f>
        <v/>
      </c>
    </row>
    <row r="407">
      <c r="A407" s="13" t="n"/>
      <c r="B407" s="68" t="n"/>
      <c r="C407" s="15" t="n"/>
      <c r="D407" s="69" t="n"/>
      <c r="E407" s="13" t="n"/>
      <c r="F407" s="13" t="n"/>
      <c r="G407" s="13" t="n"/>
      <c r="H407" s="13" t="n"/>
      <c r="I407" s="17">
        <f>IF($A407="","",1)</f>
        <v/>
      </c>
    </row>
    <row r="408">
      <c r="A408" s="13" t="n"/>
      <c r="B408" s="68" t="n"/>
      <c r="C408" s="15" t="n"/>
      <c r="D408" s="69" t="n"/>
      <c r="E408" s="13" t="n"/>
      <c r="F408" s="13" t="n"/>
      <c r="G408" s="13" t="n"/>
      <c r="H408" s="13" t="n"/>
      <c r="I408" s="17">
        <f>IF($A408="","",1)</f>
        <v/>
      </c>
    </row>
    <row r="409">
      <c r="A409" s="13" t="n"/>
      <c r="B409" s="68" t="n"/>
      <c r="C409" s="15" t="n"/>
      <c r="D409" s="69" t="n"/>
      <c r="E409" s="13" t="n"/>
      <c r="F409" s="13" t="n"/>
      <c r="G409" s="13" t="n"/>
      <c r="H409" s="13" t="n"/>
      <c r="I409" s="17">
        <f>IF($A409="","",1)</f>
        <v/>
      </c>
    </row>
    <row r="410">
      <c r="A410" s="13" t="n"/>
      <c r="B410" s="68" t="n"/>
      <c r="C410" s="15" t="n"/>
      <c r="D410" s="69" t="n"/>
      <c r="E410" s="13" t="n"/>
      <c r="F410" s="13" t="n"/>
      <c r="G410" s="13" t="n"/>
      <c r="H410" s="13" t="n"/>
      <c r="I410" s="17">
        <f>IF($A410="","",1)</f>
        <v/>
      </c>
    </row>
    <row r="411">
      <c r="A411" s="13" t="n"/>
      <c r="B411" s="68" t="n"/>
      <c r="C411" s="15" t="n"/>
      <c r="D411" s="69" t="n"/>
      <c r="E411" s="13" t="n"/>
      <c r="F411" s="13" t="n"/>
      <c r="G411" s="13" t="n"/>
      <c r="H411" s="13" t="n"/>
      <c r="I411" s="17">
        <f>IF($A411="","",1)</f>
        <v/>
      </c>
    </row>
    <row r="412">
      <c r="A412" s="13" t="n"/>
      <c r="B412" s="68" t="n"/>
      <c r="C412" s="15" t="n"/>
      <c r="D412" s="69" t="n"/>
      <c r="E412" s="13" t="n"/>
      <c r="F412" s="13" t="n"/>
      <c r="G412" s="13" t="n"/>
      <c r="H412" s="13" t="n"/>
      <c r="I412" s="17">
        <f>IF($A412="","",1)</f>
        <v/>
      </c>
    </row>
    <row r="413">
      <c r="A413" s="13" t="n"/>
      <c r="B413" s="68" t="n"/>
      <c r="C413" s="15" t="n"/>
      <c r="D413" s="69" t="n"/>
      <c r="E413" s="13" t="n"/>
      <c r="F413" s="13" t="n"/>
      <c r="G413" s="13" t="n"/>
      <c r="H413" s="13" t="n"/>
      <c r="I413" s="17">
        <f>IF($A413="","",1)</f>
        <v/>
      </c>
    </row>
    <row r="414">
      <c r="A414" s="13" t="n"/>
      <c r="B414" s="68" t="n"/>
      <c r="C414" s="15" t="n"/>
      <c r="D414" s="69" t="n"/>
      <c r="E414" s="13" t="n"/>
      <c r="F414" s="13" t="n"/>
      <c r="G414" s="13" t="n"/>
      <c r="H414" s="13" t="n"/>
      <c r="I414" s="17">
        <f>IF($A414="","",1)</f>
        <v/>
      </c>
    </row>
    <row r="415">
      <c r="A415" s="13" t="n"/>
      <c r="B415" s="68" t="n"/>
      <c r="C415" s="15" t="n"/>
      <c r="D415" s="69" t="n"/>
      <c r="E415" s="13" t="n"/>
      <c r="F415" s="13" t="n"/>
      <c r="G415" s="13" t="n"/>
      <c r="H415" s="13" t="n"/>
      <c r="I415" s="17">
        <f>IF($A415="","",1)</f>
        <v/>
      </c>
    </row>
    <row r="416">
      <c r="A416" s="13" t="n"/>
      <c r="B416" s="68" t="n"/>
      <c r="C416" s="15" t="n"/>
      <c r="D416" s="69" t="n"/>
      <c r="E416" s="13" t="n"/>
      <c r="F416" s="13" t="n"/>
      <c r="G416" s="13" t="n"/>
      <c r="H416" s="13" t="n"/>
      <c r="I416" s="17">
        <f>IF($A416="","",1)</f>
        <v/>
      </c>
    </row>
    <row r="417">
      <c r="A417" s="13" t="n"/>
      <c r="B417" s="68" t="n"/>
      <c r="C417" s="15" t="n"/>
      <c r="D417" s="69" t="n"/>
      <c r="E417" s="13" t="n"/>
      <c r="F417" s="13" t="n"/>
      <c r="G417" s="13" t="n"/>
      <c r="H417" s="13" t="n"/>
      <c r="I417" s="17">
        <f>IF($A417="","",1)</f>
        <v/>
      </c>
    </row>
    <row r="418">
      <c r="A418" s="13" t="n"/>
      <c r="B418" s="68" t="n"/>
      <c r="C418" s="15" t="n"/>
      <c r="D418" s="69" t="n"/>
      <c r="E418" s="13" t="n"/>
      <c r="F418" s="13" t="n"/>
      <c r="G418" s="13" t="n"/>
      <c r="H418" s="13" t="n"/>
      <c r="I418" s="17">
        <f>IF($A418="","",1)</f>
        <v/>
      </c>
    </row>
    <row r="419">
      <c r="A419" s="13" t="n"/>
      <c r="B419" s="68" t="n"/>
      <c r="C419" s="15" t="n"/>
      <c r="D419" s="69" t="n"/>
      <c r="E419" s="13" t="n"/>
      <c r="F419" s="13" t="n"/>
      <c r="G419" s="13" t="n"/>
      <c r="H419" s="13" t="n"/>
      <c r="I419" s="17">
        <f>IF($A419="","",1)</f>
        <v/>
      </c>
    </row>
    <row r="420">
      <c r="A420" s="13" t="n"/>
      <c r="B420" s="68" t="n"/>
      <c r="C420" s="15" t="n"/>
      <c r="D420" s="69" t="n"/>
      <c r="E420" s="13" t="n"/>
      <c r="F420" s="13" t="n"/>
      <c r="G420" s="13" t="n"/>
      <c r="H420" s="13" t="n"/>
      <c r="I420" s="17">
        <f>IF($A420="","",1)</f>
        <v/>
      </c>
    </row>
    <row r="421">
      <c r="A421" s="13" t="n"/>
      <c r="B421" s="68" t="n"/>
      <c r="C421" s="15" t="n"/>
      <c r="D421" s="69" t="n"/>
      <c r="E421" s="13" t="n"/>
      <c r="F421" s="13" t="n"/>
      <c r="G421" s="13" t="n"/>
      <c r="H421" s="13" t="n"/>
      <c r="I421" s="17">
        <f>IF($A421="","",1)</f>
        <v/>
      </c>
    </row>
    <row r="422">
      <c r="A422" s="13" t="n"/>
      <c r="B422" s="68" t="n"/>
      <c r="C422" s="15" t="n"/>
      <c r="D422" s="69" t="n"/>
      <c r="E422" s="13" t="n"/>
      <c r="F422" s="13" t="n"/>
      <c r="G422" s="13" t="n"/>
      <c r="H422" s="13" t="n"/>
      <c r="I422" s="17">
        <f>IF($A422="","",1)</f>
        <v/>
      </c>
    </row>
    <row r="423">
      <c r="A423" s="13" t="n"/>
      <c r="B423" s="68" t="n"/>
      <c r="C423" s="15" t="n"/>
      <c r="D423" s="69" t="n"/>
      <c r="E423" s="13" t="n"/>
      <c r="F423" s="13" t="n"/>
      <c r="G423" s="13" t="n"/>
      <c r="H423" s="13" t="n"/>
      <c r="I423" s="17">
        <f>IF($A423="","",1)</f>
        <v/>
      </c>
    </row>
    <row r="424">
      <c r="A424" s="13" t="n"/>
      <c r="B424" s="68" t="n"/>
      <c r="C424" s="15" t="n"/>
      <c r="D424" s="69" t="n"/>
      <c r="E424" s="13" t="n"/>
      <c r="F424" s="13" t="n"/>
      <c r="G424" s="13" t="n"/>
      <c r="H424" s="13" t="n"/>
      <c r="I424" s="17">
        <f>IF($A424="","",1)</f>
        <v/>
      </c>
    </row>
    <row r="425">
      <c r="A425" s="13" t="n"/>
      <c r="B425" s="68" t="n"/>
      <c r="C425" s="15" t="n"/>
      <c r="D425" s="69" t="n"/>
      <c r="E425" s="13" t="n"/>
      <c r="F425" s="13" t="n"/>
      <c r="G425" s="13" t="n"/>
      <c r="H425" s="13" t="n"/>
      <c r="I425" s="17">
        <f>IF($A425="","",1)</f>
        <v/>
      </c>
    </row>
    <row r="426">
      <c r="A426" s="13" t="n"/>
      <c r="B426" s="68" t="n"/>
      <c r="C426" s="15" t="n"/>
      <c r="D426" s="69" t="n"/>
      <c r="E426" s="13" t="n"/>
      <c r="F426" s="13" t="n"/>
      <c r="G426" s="13" t="n"/>
      <c r="H426" s="13" t="n"/>
      <c r="I426" s="17">
        <f>IF($A426="","",1)</f>
        <v/>
      </c>
    </row>
    <row r="427">
      <c r="A427" s="13" t="n"/>
      <c r="B427" s="68" t="n"/>
      <c r="C427" s="15" t="n"/>
      <c r="D427" s="69" t="n"/>
      <c r="E427" s="13" t="n"/>
      <c r="F427" s="13" t="n"/>
      <c r="G427" s="13" t="n"/>
      <c r="H427" s="13" t="n"/>
      <c r="I427" s="17">
        <f>IF($A427="","",1)</f>
        <v/>
      </c>
    </row>
    <row r="428">
      <c r="A428" s="13" t="n"/>
      <c r="B428" s="68" t="n"/>
      <c r="C428" s="15" t="n"/>
      <c r="D428" s="69" t="n"/>
      <c r="E428" s="13" t="n"/>
      <c r="F428" s="13" t="n"/>
      <c r="G428" s="13" t="n"/>
      <c r="H428" s="13" t="n"/>
      <c r="I428" s="17">
        <f>IF($A428="","",1)</f>
        <v/>
      </c>
    </row>
    <row r="429">
      <c r="A429" s="13" t="n"/>
      <c r="B429" s="68" t="n"/>
      <c r="C429" s="15" t="n"/>
      <c r="D429" s="69" t="n"/>
      <c r="E429" s="13" t="n"/>
      <c r="F429" s="13" t="n"/>
      <c r="G429" s="13" t="n"/>
      <c r="H429" s="13" t="n"/>
      <c r="I429" s="17">
        <f>IF($A429="","",1)</f>
        <v/>
      </c>
    </row>
    <row r="430">
      <c r="A430" s="13" t="n"/>
      <c r="B430" s="68" t="n"/>
      <c r="C430" s="15" t="n"/>
      <c r="D430" s="69" t="n"/>
      <c r="E430" s="13" t="n"/>
      <c r="F430" s="13" t="n"/>
      <c r="G430" s="13" t="n"/>
      <c r="H430" s="13" t="n"/>
      <c r="I430" s="17">
        <f>IF($A430="","",1)</f>
        <v/>
      </c>
    </row>
    <row r="431">
      <c r="A431" s="13" t="n"/>
      <c r="B431" s="68" t="n"/>
      <c r="C431" s="15" t="n"/>
      <c r="D431" s="69" t="n"/>
      <c r="E431" s="13" t="n"/>
      <c r="F431" s="13" t="n"/>
      <c r="G431" s="13" t="n"/>
      <c r="H431" s="13" t="n"/>
      <c r="I431" s="17">
        <f>IF($A431="","",1)</f>
        <v/>
      </c>
    </row>
    <row r="432">
      <c r="A432" s="13" t="n"/>
      <c r="B432" s="68" t="n"/>
      <c r="C432" s="15" t="n"/>
      <c r="D432" s="69" t="n"/>
      <c r="E432" s="13" t="n"/>
      <c r="F432" s="13" t="n"/>
      <c r="G432" s="13" t="n"/>
      <c r="H432" s="13" t="n"/>
      <c r="I432" s="17">
        <f>IF($A432="","",1)</f>
        <v/>
      </c>
    </row>
    <row r="433">
      <c r="A433" s="13" t="n"/>
      <c r="B433" s="68" t="n"/>
      <c r="C433" s="15" t="n"/>
      <c r="D433" s="69" t="n"/>
      <c r="E433" s="13" t="n"/>
      <c r="F433" s="13" t="n"/>
      <c r="G433" s="13" t="n"/>
      <c r="H433" s="13" t="n"/>
      <c r="I433" s="17">
        <f>IF($A433="","",1)</f>
        <v/>
      </c>
    </row>
    <row r="434">
      <c r="A434" s="13" t="n"/>
      <c r="B434" s="68" t="n"/>
      <c r="C434" s="15" t="n"/>
      <c r="D434" s="69" t="n"/>
      <c r="E434" s="13" t="n"/>
      <c r="F434" s="13" t="n"/>
      <c r="G434" s="13" t="n"/>
      <c r="H434" s="13" t="n"/>
      <c r="I434" s="17">
        <f>IF($A434="","",1)</f>
        <v/>
      </c>
    </row>
    <row r="435">
      <c r="A435" s="13" t="n"/>
      <c r="B435" s="68" t="n"/>
      <c r="C435" s="15" t="n"/>
      <c r="D435" s="69" t="n"/>
      <c r="E435" s="13" t="n"/>
      <c r="F435" s="13" t="n"/>
      <c r="G435" s="13" t="n"/>
      <c r="H435" s="13" t="n"/>
      <c r="I435" s="17">
        <f>IF($A435="","",1)</f>
        <v/>
      </c>
    </row>
    <row r="436">
      <c r="A436" s="13" t="n"/>
      <c r="B436" s="68" t="n"/>
      <c r="C436" s="15" t="n"/>
      <c r="D436" s="69" t="n"/>
      <c r="E436" s="13" t="n"/>
      <c r="F436" s="13" t="n"/>
      <c r="G436" s="13" t="n"/>
      <c r="H436" s="13" t="n"/>
      <c r="I436" s="17">
        <f>IF($A436="","",1)</f>
        <v/>
      </c>
    </row>
    <row r="437">
      <c r="A437" s="13" t="n"/>
      <c r="B437" s="68" t="n"/>
      <c r="C437" s="15" t="n"/>
      <c r="D437" s="69" t="n"/>
      <c r="E437" s="13" t="n"/>
      <c r="F437" s="13" t="n"/>
      <c r="G437" s="13" t="n"/>
      <c r="H437" s="13" t="n"/>
      <c r="I437" s="17">
        <f>IF($A437="","",1)</f>
        <v/>
      </c>
    </row>
    <row r="438">
      <c r="A438" s="13" t="n"/>
      <c r="B438" s="68" t="n"/>
      <c r="C438" s="15" t="n"/>
      <c r="D438" s="69" t="n"/>
      <c r="E438" s="13" t="n"/>
      <c r="F438" s="13" t="n"/>
      <c r="G438" s="13" t="n"/>
      <c r="H438" s="13" t="n"/>
      <c r="I438" s="17">
        <f>IF($A438="","",1)</f>
        <v/>
      </c>
    </row>
    <row r="439">
      <c r="A439" s="13" t="n"/>
      <c r="B439" s="68" t="n"/>
      <c r="C439" s="15" t="n"/>
      <c r="D439" s="69" t="n"/>
      <c r="E439" s="13" t="n"/>
      <c r="F439" s="13" t="n"/>
      <c r="G439" s="13" t="n"/>
      <c r="H439" s="13" t="n"/>
      <c r="I439" s="17">
        <f>IF($A439="","",1)</f>
        <v/>
      </c>
    </row>
    <row r="440">
      <c r="A440" s="13" t="n"/>
      <c r="B440" s="68" t="n"/>
      <c r="C440" s="15" t="n"/>
      <c r="D440" s="69" t="n"/>
      <c r="E440" s="13" t="n"/>
      <c r="F440" s="13" t="n"/>
      <c r="G440" s="13" t="n"/>
      <c r="H440" s="13" t="n"/>
      <c r="I440" s="17">
        <f>IF($A440="","",1)</f>
        <v/>
      </c>
    </row>
    <row r="441">
      <c r="A441" s="13" t="n"/>
      <c r="B441" s="68" t="n"/>
      <c r="C441" s="15" t="n"/>
      <c r="D441" s="69" t="n"/>
      <c r="E441" s="13" t="n"/>
      <c r="F441" s="13" t="n"/>
      <c r="G441" s="13" t="n"/>
      <c r="H441" s="13" t="n"/>
      <c r="I441" s="17">
        <f>IF($A441="","",1)</f>
        <v/>
      </c>
    </row>
    <row r="442">
      <c r="A442" s="13" t="n"/>
      <c r="B442" s="68" t="n"/>
      <c r="C442" s="15" t="n"/>
      <c r="D442" s="69" t="n"/>
      <c r="E442" s="13" t="n"/>
      <c r="F442" s="13" t="n"/>
      <c r="G442" s="13" t="n"/>
      <c r="H442" s="13" t="n"/>
      <c r="I442" s="17">
        <f>IF($A442="","",1)</f>
        <v/>
      </c>
    </row>
    <row r="443">
      <c r="A443" s="13" t="n"/>
      <c r="B443" s="68" t="n"/>
      <c r="C443" s="15" t="n"/>
      <c r="D443" s="69" t="n"/>
      <c r="E443" s="13" t="n"/>
      <c r="F443" s="13" t="n"/>
      <c r="G443" s="13" t="n"/>
      <c r="H443" s="13" t="n"/>
      <c r="I443" s="17">
        <f>IF($A443="","",1)</f>
        <v/>
      </c>
    </row>
    <row r="444">
      <c r="A444" s="13" t="n"/>
      <c r="B444" s="68" t="n"/>
      <c r="C444" s="15" t="n"/>
      <c r="D444" s="69" t="n"/>
      <c r="E444" s="13" t="n"/>
      <c r="F444" s="13" t="n"/>
      <c r="G444" s="13" t="n"/>
      <c r="H444" s="13" t="n"/>
      <c r="I444" s="17">
        <f>IF($A444="","",1)</f>
        <v/>
      </c>
    </row>
    <row r="445">
      <c r="A445" s="13" t="n"/>
      <c r="B445" s="68" t="n"/>
      <c r="C445" s="15" t="n"/>
      <c r="D445" s="69" t="n"/>
      <c r="E445" s="13" t="n"/>
      <c r="F445" s="13" t="n"/>
      <c r="G445" s="13" t="n"/>
      <c r="H445" s="13" t="n"/>
      <c r="I445" s="17">
        <f>IF($A445="","",1)</f>
        <v/>
      </c>
    </row>
    <row r="446">
      <c r="A446" s="13" t="n"/>
      <c r="B446" s="68" t="n"/>
      <c r="C446" s="15" t="n"/>
      <c r="D446" s="69" t="n"/>
      <c r="E446" s="13" t="n"/>
      <c r="F446" s="13" t="n"/>
      <c r="G446" s="13" t="n"/>
      <c r="H446" s="13" t="n"/>
      <c r="I446" s="17">
        <f>IF($A446="","",1)</f>
        <v/>
      </c>
    </row>
    <row r="447">
      <c r="A447" s="13" t="n"/>
      <c r="B447" s="68" t="n"/>
      <c r="C447" s="15" t="n"/>
      <c r="D447" s="69" t="n"/>
      <c r="E447" s="13" t="n"/>
      <c r="F447" s="13" t="n"/>
      <c r="G447" s="13" t="n"/>
      <c r="H447" s="13" t="n"/>
      <c r="I447" s="17">
        <f>IF($A447="","",1)</f>
        <v/>
      </c>
    </row>
    <row r="448">
      <c r="A448" s="13" t="n"/>
      <c r="B448" s="68" t="n"/>
      <c r="C448" s="15" t="n"/>
      <c r="D448" s="69" t="n"/>
      <c r="E448" s="13" t="n"/>
      <c r="F448" s="13" t="n"/>
      <c r="G448" s="13" t="n"/>
      <c r="H448" s="13" t="n"/>
      <c r="I448" s="17">
        <f>IF($A448="","",1)</f>
        <v/>
      </c>
    </row>
    <row r="449">
      <c r="A449" s="13" t="n"/>
      <c r="B449" s="68" t="n"/>
      <c r="C449" s="15" t="n"/>
      <c r="D449" s="69" t="n"/>
      <c r="E449" s="13" t="n"/>
      <c r="F449" s="13" t="n"/>
      <c r="G449" s="13" t="n"/>
      <c r="H449" s="13" t="n"/>
      <c r="I449" s="17">
        <f>IF($A449="","",1)</f>
        <v/>
      </c>
    </row>
    <row r="450">
      <c r="A450" s="13" t="n"/>
      <c r="B450" s="68" t="n"/>
      <c r="C450" s="15" t="n"/>
      <c r="D450" s="69" t="n"/>
      <c r="E450" s="13" t="n"/>
      <c r="F450" s="13" t="n"/>
      <c r="G450" s="13" t="n"/>
      <c r="H450" s="13" t="n"/>
      <c r="I450" s="17">
        <f>IF($A450="","",1)</f>
        <v/>
      </c>
    </row>
    <row r="451">
      <c r="A451" s="13" t="n"/>
      <c r="B451" s="68" t="n"/>
      <c r="C451" s="15" t="n"/>
      <c r="D451" s="69" t="n"/>
      <c r="E451" s="13" t="n"/>
      <c r="F451" s="13" t="n"/>
      <c r="G451" s="13" t="n"/>
      <c r="H451" s="13" t="n"/>
      <c r="I451" s="17">
        <f>IF($A451="","",1)</f>
        <v/>
      </c>
    </row>
    <row r="452">
      <c r="A452" s="13" t="n"/>
      <c r="B452" s="68" t="n"/>
      <c r="C452" s="15" t="n"/>
      <c r="D452" s="69" t="n"/>
      <c r="E452" s="13" t="n"/>
      <c r="F452" s="13" t="n"/>
      <c r="G452" s="13" t="n"/>
      <c r="H452" s="13" t="n"/>
      <c r="I452" s="17">
        <f>IF($A452="","",1)</f>
        <v/>
      </c>
    </row>
    <row r="453">
      <c r="A453" s="13" t="n"/>
      <c r="B453" s="68" t="n"/>
      <c r="C453" s="15" t="n"/>
      <c r="D453" s="69" t="n"/>
      <c r="E453" s="13" t="n"/>
      <c r="F453" s="13" t="n"/>
      <c r="G453" s="13" t="n"/>
      <c r="H453" s="13" t="n"/>
      <c r="I453" s="17">
        <f>IF($A453="","",1)</f>
        <v/>
      </c>
    </row>
    <row r="454">
      <c r="A454" s="13" t="n"/>
      <c r="B454" s="68" t="n"/>
      <c r="C454" s="15" t="n"/>
      <c r="D454" s="69" t="n"/>
      <c r="E454" s="13" t="n"/>
      <c r="F454" s="13" t="n"/>
      <c r="G454" s="13" t="n"/>
      <c r="H454" s="13" t="n"/>
      <c r="I454" s="17">
        <f>IF($A454="","",1)</f>
        <v/>
      </c>
    </row>
    <row r="455">
      <c r="A455" s="13" t="n"/>
      <c r="B455" s="68" t="n"/>
      <c r="C455" s="15" t="n"/>
      <c r="D455" s="69" t="n"/>
      <c r="E455" s="13" t="n"/>
      <c r="F455" s="13" t="n"/>
      <c r="G455" s="13" t="n"/>
      <c r="H455" s="13" t="n"/>
      <c r="I455" s="17">
        <f>IF($A455="","",1)</f>
        <v/>
      </c>
    </row>
    <row r="456">
      <c r="A456" s="13" t="n"/>
      <c r="B456" s="68" t="n"/>
      <c r="C456" s="15" t="n"/>
      <c r="D456" s="69" t="n"/>
      <c r="E456" s="13" t="n"/>
      <c r="F456" s="13" t="n"/>
      <c r="G456" s="13" t="n"/>
      <c r="H456" s="13" t="n"/>
      <c r="I456" s="17">
        <f>IF($A456="","",1)</f>
        <v/>
      </c>
    </row>
    <row r="457">
      <c r="A457" s="13" t="n"/>
      <c r="B457" s="68" t="n"/>
      <c r="C457" s="15" t="n"/>
      <c r="D457" s="69" t="n"/>
      <c r="E457" s="13" t="n"/>
      <c r="F457" s="13" t="n"/>
      <c r="G457" s="13" t="n"/>
      <c r="H457" s="13" t="n"/>
      <c r="I457" s="17">
        <f>IF($A457="","",1)</f>
        <v/>
      </c>
    </row>
    <row r="458">
      <c r="A458" s="13" t="n"/>
      <c r="B458" s="68" t="n"/>
      <c r="C458" s="15" t="n"/>
      <c r="D458" s="69" t="n"/>
      <c r="E458" s="13" t="n"/>
      <c r="F458" s="13" t="n"/>
      <c r="G458" s="13" t="n"/>
      <c r="H458" s="13" t="n"/>
      <c r="I458" s="17">
        <f>IF($A458="","",1)</f>
        <v/>
      </c>
    </row>
    <row r="459">
      <c r="A459" s="13" t="n"/>
      <c r="B459" s="68" t="n"/>
      <c r="C459" s="15" t="n"/>
      <c r="D459" s="69" t="n"/>
      <c r="E459" s="13" t="n"/>
      <c r="F459" s="13" t="n"/>
      <c r="G459" s="13" t="n"/>
      <c r="H459" s="13" t="n"/>
      <c r="I459" s="17">
        <f>IF($A459="","",1)</f>
        <v/>
      </c>
    </row>
    <row r="460">
      <c r="A460" s="13" t="n"/>
      <c r="B460" s="68" t="n"/>
      <c r="C460" s="15" t="n"/>
      <c r="D460" s="69" t="n"/>
      <c r="E460" s="13" t="n"/>
      <c r="F460" s="13" t="n"/>
      <c r="G460" s="13" t="n"/>
      <c r="H460" s="13" t="n"/>
      <c r="I460" s="17">
        <f>IF($A460="","",1)</f>
        <v/>
      </c>
    </row>
    <row r="461">
      <c r="A461" s="13" t="n"/>
      <c r="B461" s="68" t="n"/>
      <c r="C461" s="15" t="n"/>
      <c r="D461" s="69" t="n"/>
      <c r="E461" s="13" t="n"/>
      <c r="F461" s="13" t="n"/>
      <c r="G461" s="13" t="n"/>
      <c r="H461" s="13" t="n"/>
      <c r="I461" s="17">
        <f>IF($A461="","",1)</f>
        <v/>
      </c>
    </row>
    <row r="462">
      <c r="A462" s="13" t="n"/>
      <c r="B462" s="68" t="n"/>
      <c r="C462" s="15" t="n"/>
      <c r="D462" s="69" t="n"/>
      <c r="E462" s="13" t="n"/>
      <c r="F462" s="13" t="n"/>
      <c r="G462" s="13" t="n"/>
      <c r="H462" s="13" t="n"/>
      <c r="I462" s="17">
        <f>IF($A462="","",1)</f>
        <v/>
      </c>
    </row>
    <row r="463">
      <c r="A463" s="13" t="n"/>
      <c r="B463" s="68" t="n"/>
      <c r="C463" s="15" t="n"/>
      <c r="D463" s="69" t="n"/>
      <c r="E463" s="13" t="n"/>
      <c r="F463" s="13" t="n"/>
      <c r="G463" s="13" t="n"/>
      <c r="H463" s="13" t="n"/>
      <c r="I463" s="17">
        <f>IF($A463="","",1)</f>
        <v/>
      </c>
    </row>
    <row r="464">
      <c r="A464" s="13" t="n"/>
      <c r="B464" s="68" t="n"/>
      <c r="C464" s="15" t="n"/>
      <c r="D464" s="69" t="n"/>
      <c r="E464" s="13" t="n"/>
      <c r="F464" s="13" t="n"/>
      <c r="G464" s="13" t="n"/>
      <c r="H464" s="13" t="n"/>
      <c r="I464" s="17">
        <f>IF($A464="","",1)</f>
        <v/>
      </c>
    </row>
    <row r="465">
      <c r="A465" s="13" t="n"/>
      <c r="B465" s="68" t="n"/>
      <c r="C465" s="15" t="n"/>
      <c r="D465" s="69" t="n"/>
      <c r="E465" s="13" t="n"/>
      <c r="F465" s="13" t="n"/>
      <c r="G465" s="13" t="n"/>
      <c r="H465" s="13" t="n"/>
      <c r="I465" s="17">
        <f>IF($A465="","",1)</f>
        <v/>
      </c>
    </row>
    <row r="466">
      <c r="A466" s="13" t="n"/>
      <c r="B466" s="68" t="n"/>
      <c r="C466" s="15" t="n"/>
      <c r="D466" s="69" t="n"/>
      <c r="E466" s="13" t="n"/>
      <c r="F466" s="13" t="n"/>
      <c r="G466" s="13" t="n"/>
      <c r="H466" s="13" t="n"/>
      <c r="I466" s="17">
        <f>IF($A466="","",1)</f>
        <v/>
      </c>
    </row>
    <row r="467">
      <c r="A467" s="13" t="n"/>
      <c r="B467" s="68" t="n"/>
      <c r="C467" s="15" t="n"/>
      <c r="D467" s="69" t="n"/>
      <c r="E467" s="13" t="n"/>
      <c r="F467" s="13" t="n"/>
      <c r="G467" s="13" t="n"/>
      <c r="H467" s="13" t="n"/>
      <c r="I467" s="17">
        <f>IF($A467="","",1)</f>
        <v/>
      </c>
    </row>
    <row r="468">
      <c r="A468" s="13" t="n"/>
      <c r="B468" s="68" t="n"/>
      <c r="C468" s="15" t="n"/>
      <c r="D468" s="69" t="n"/>
      <c r="E468" s="13" t="n"/>
      <c r="F468" s="13" t="n"/>
      <c r="G468" s="13" t="n"/>
      <c r="H468" s="13" t="n"/>
      <c r="I468" s="17">
        <f>IF($A468="","",1)</f>
        <v/>
      </c>
    </row>
    <row r="469">
      <c r="A469" s="13" t="n"/>
      <c r="B469" s="68" t="n"/>
      <c r="C469" s="15" t="n"/>
      <c r="D469" s="69" t="n"/>
      <c r="E469" s="13" t="n"/>
      <c r="F469" s="13" t="n"/>
      <c r="G469" s="13" t="n"/>
      <c r="H469" s="13" t="n"/>
      <c r="I469" s="17">
        <f>IF($A469="","",1)</f>
        <v/>
      </c>
    </row>
    <row r="470">
      <c r="A470" s="13" t="n"/>
      <c r="B470" s="68" t="n"/>
      <c r="C470" s="15" t="n"/>
      <c r="D470" s="69" t="n"/>
      <c r="E470" s="13" t="n"/>
      <c r="F470" s="13" t="n"/>
      <c r="G470" s="13" t="n"/>
      <c r="H470" s="13" t="n"/>
      <c r="I470" s="17">
        <f>IF($A470="","",1)</f>
        <v/>
      </c>
    </row>
    <row r="471">
      <c r="A471" s="13" t="n"/>
      <c r="B471" s="68" t="n"/>
      <c r="C471" s="15" t="n"/>
      <c r="D471" s="69" t="n"/>
      <c r="E471" s="13" t="n"/>
      <c r="F471" s="13" t="n"/>
      <c r="G471" s="13" t="n"/>
      <c r="H471" s="13" t="n"/>
      <c r="I471" s="17">
        <f>IF($A471="","",1)</f>
        <v/>
      </c>
    </row>
    <row r="472">
      <c r="A472" s="13" t="n"/>
      <c r="B472" s="68" t="n"/>
      <c r="C472" s="15" t="n"/>
      <c r="D472" s="69" t="n"/>
      <c r="E472" s="13" t="n"/>
      <c r="F472" s="13" t="n"/>
      <c r="G472" s="13" t="n"/>
      <c r="H472" s="13" t="n"/>
      <c r="I472" s="17">
        <f>IF($A472="","",1)</f>
        <v/>
      </c>
    </row>
    <row r="473">
      <c r="A473" s="13" t="n"/>
      <c r="B473" s="68" t="n"/>
      <c r="C473" s="15" t="n"/>
      <c r="D473" s="69" t="n"/>
      <c r="E473" s="13" t="n"/>
      <c r="F473" s="13" t="n"/>
      <c r="G473" s="13" t="n"/>
      <c r="H473" s="13" t="n"/>
      <c r="I473" s="17">
        <f>IF($A473="","",1)</f>
        <v/>
      </c>
    </row>
    <row r="474">
      <c r="A474" s="13" t="n"/>
      <c r="B474" s="68" t="n"/>
      <c r="C474" s="15" t="n"/>
      <c r="D474" s="69" t="n"/>
      <c r="E474" s="13" t="n"/>
      <c r="F474" s="13" t="n"/>
      <c r="G474" s="13" t="n"/>
      <c r="H474" s="13" t="n"/>
      <c r="I474" s="17">
        <f>IF($A474="","",1)</f>
        <v/>
      </c>
    </row>
    <row r="475">
      <c r="A475" s="13" t="n"/>
      <c r="B475" s="68" t="n"/>
      <c r="C475" s="15" t="n"/>
      <c r="D475" s="69" t="n"/>
      <c r="E475" s="13" t="n"/>
      <c r="F475" s="13" t="n"/>
      <c r="G475" s="13" t="n"/>
      <c r="H475" s="13" t="n"/>
      <c r="I475" s="17">
        <f>IF($A475="","",1)</f>
        <v/>
      </c>
    </row>
    <row r="476">
      <c r="A476" s="13" t="n"/>
      <c r="B476" s="68" t="n"/>
      <c r="C476" s="15" t="n"/>
      <c r="D476" s="69" t="n"/>
      <c r="E476" s="13" t="n"/>
      <c r="F476" s="13" t="n"/>
      <c r="G476" s="13" t="n"/>
      <c r="H476" s="13" t="n"/>
      <c r="I476" s="17">
        <f>IF($A476="","",1)</f>
        <v/>
      </c>
    </row>
    <row r="477">
      <c r="A477" s="13" t="n"/>
      <c r="B477" s="68" t="n"/>
      <c r="C477" s="15" t="n"/>
      <c r="D477" s="69" t="n"/>
      <c r="E477" s="13" t="n"/>
      <c r="F477" s="13" t="n"/>
      <c r="G477" s="13" t="n"/>
      <c r="H477" s="13" t="n"/>
      <c r="I477" s="17">
        <f>IF($A477="","",1)</f>
        <v/>
      </c>
    </row>
    <row r="478">
      <c r="A478" s="13" t="n"/>
      <c r="B478" s="68" t="n"/>
      <c r="C478" s="15" t="n"/>
      <c r="D478" s="69" t="n"/>
      <c r="E478" s="13" t="n"/>
      <c r="F478" s="13" t="n"/>
      <c r="G478" s="13" t="n"/>
      <c r="H478" s="13" t="n"/>
      <c r="I478" s="17">
        <f>IF($A478="","",1)</f>
        <v/>
      </c>
    </row>
    <row r="479">
      <c r="A479" s="13" t="n"/>
      <c r="B479" s="68" t="n"/>
      <c r="C479" s="15" t="n"/>
      <c r="D479" s="69" t="n"/>
      <c r="E479" s="13" t="n"/>
      <c r="F479" s="13" t="n"/>
      <c r="G479" s="13" t="n"/>
      <c r="H479" s="13" t="n"/>
      <c r="I479" s="17">
        <f>IF($A479="","",1)</f>
        <v/>
      </c>
    </row>
    <row r="480">
      <c r="A480" s="13" t="n"/>
      <c r="B480" s="68" t="n"/>
      <c r="C480" s="15" t="n"/>
      <c r="D480" s="69" t="n"/>
      <c r="E480" s="13" t="n"/>
      <c r="F480" s="13" t="n"/>
      <c r="G480" s="13" t="n"/>
      <c r="H480" s="13" t="n"/>
      <c r="I480" s="17">
        <f>IF($A480="","",1)</f>
        <v/>
      </c>
    </row>
    <row r="481">
      <c r="A481" s="13" t="n"/>
      <c r="B481" s="68" t="n"/>
      <c r="C481" s="15" t="n"/>
      <c r="D481" s="69" t="n"/>
      <c r="E481" s="13" t="n"/>
      <c r="F481" s="13" t="n"/>
      <c r="G481" s="13" t="n"/>
      <c r="H481" s="13" t="n"/>
      <c r="I481" s="17">
        <f>IF($A481="","",1)</f>
        <v/>
      </c>
    </row>
    <row r="482">
      <c r="A482" s="13" t="n"/>
      <c r="B482" s="68" t="n"/>
      <c r="C482" s="15" t="n"/>
      <c r="D482" s="69" t="n"/>
      <c r="E482" s="13" t="n"/>
      <c r="F482" s="13" t="n"/>
      <c r="G482" s="13" t="n"/>
      <c r="H482" s="13" t="n"/>
      <c r="I482" s="17">
        <f>IF($A482="","",1)</f>
        <v/>
      </c>
    </row>
    <row r="483">
      <c r="A483" s="13" t="n"/>
      <c r="B483" s="68" t="n"/>
      <c r="C483" s="15" t="n"/>
      <c r="D483" s="69" t="n"/>
      <c r="E483" s="13" t="n"/>
      <c r="F483" s="13" t="n"/>
      <c r="G483" s="13" t="n"/>
      <c r="H483" s="13" t="n"/>
      <c r="I483" s="17">
        <f>IF($A483="","",1)</f>
        <v/>
      </c>
    </row>
    <row r="484">
      <c r="A484" s="13" t="n"/>
      <c r="B484" s="68" t="n"/>
      <c r="C484" s="15" t="n"/>
      <c r="D484" s="69" t="n"/>
      <c r="E484" s="13" t="n"/>
      <c r="F484" s="13" t="n"/>
      <c r="G484" s="13" t="n"/>
      <c r="H484" s="13" t="n"/>
      <c r="I484" s="17">
        <f>IF($A484="","",1)</f>
        <v/>
      </c>
    </row>
    <row r="485">
      <c r="A485" s="13" t="n"/>
      <c r="B485" s="68" t="n"/>
      <c r="C485" s="15" t="n"/>
      <c r="D485" s="69" t="n"/>
      <c r="E485" s="13" t="n"/>
      <c r="F485" s="13" t="n"/>
      <c r="G485" s="13" t="n"/>
      <c r="H485" s="13" t="n"/>
      <c r="I485" s="17">
        <f>IF($A485="","",1)</f>
        <v/>
      </c>
    </row>
    <row r="486">
      <c r="A486" s="13" t="n"/>
      <c r="B486" s="68" t="n"/>
      <c r="C486" s="15" t="n"/>
      <c r="D486" s="69" t="n"/>
      <c r="E486" s="13" t="n"/>
      <c r="F486" s="13" t="n"/>
      <c r="G486" s="13" t="n"/>
      <c r="H486" s="13" t="n"/>
      <c r="I486" s="17">
        <f>IF($A486="","",1)</f>
        <v/>
      </c>
    </row>
    <row r="487">
      <c r="A487" s="13" t="n"/>
      <c r="B487" s="68" t="n"/>
      <c r="C487" s="15" t="n"/>
      <c r="D487" s="69" t="n"/>
      <c r="E487" s="13" t="n"/>
      <c r="F487" s="13" t="n"/>
      <c r="G487" s="13" t="n"/>
      <c r="H487" s="13" t="n"/>
      <c r="I487" s="17">
        <f>IF($A487="","",1)</f>
        <v/>
      </c>
    </row>
    <row r="488">
      <c r="A488" s="13" t="n"/>
      <c r="B488" s="68" t="n"/>
      <c r="C488" s="15" t="n"/>
      <c r="D488" s="69" t="n"/>
      <c r="E488" s="13" t="n"/>
      <c r="F488" s="13" t="n"/>
      <c r="G488" s="13" t="n"/>
      <c r="H488" s="13" t="n"/>
      <c r="I488" s="17">
        <f>IF($A488="","",1)</f>
        <v/>
      </c>
    </row>
    <row r="489">
      <c r="A489" s="13" t="n"/>
      <c r="B489" s="68" t="n"/>
      <c r="C489" s="15" t="n"/>
      <c r="D489" s="69" t="n"/>
      <c r="E489" s="13" t="n"/>
      <c r="F489" s="13" t="n"/>
      <c r="G489" s="13" t="n"/>
      <c r="H489" s="13" t="n"/>
      <c r="I489" s="17">
        <f>IF($A489="","",1)</f>
        <v/>
      </c>
    </row>
    <row r="490">
      <c r="A490" s="13" t="n"/>
      <c r="B490" s="68" t="n"/>
      <c r="C490" s="15" t="n"/>
      <c r="D490" s="69" t="n"/>
      <c r="E490" s="13" t="n"/>
      <c r="F490" s="13" t="n"/>
      <c r="G490" s="13" t="n"/>
      <c r="H490" s="13" t="n"/>
      <c r="I490" s="17">
        <f>IF($A490="","",1)</f>
        <v/>
      </c>
    </row>
    <row r="491">
      <c r="A491" s="13" t="n"/>
      <c r="B491" s="68" t="n"/>
      <c r="C491" s="15" t="n"/>
      <c r="D491" s="69" t="n"/>
      <c r="E491" s="13" t="n"/>
      <c r="F491" s="13" t="n"/>
      <c r="G491" s="13" t="n"/>
      <c r="H491" s="13" t="n"/>
      <c r="I491" s="17">
        <f>IF($A491="","",1)</f>
        <v/>
      </c>
    </row>
    <row r="492">
      <c r="A492" s="13" t="n"/>
      <c r="B492" s="68" t="n"/>
      <c r="C492" s="15" t="n"/>
      <c r="D492" s="69" t="n"/>
      <c r="E492" s="13" t="n"/>
      <c r="F492" s="13" t="n"/>
      <c r="G492" s="13" t="n"/>
      <c r="H492" s="13" t="n"/>
      <c r="I492" s="17">
        <f>IF($A492="","",1)</f>
        <v/>
      </c>
    </row>
    <row r="493">
      <c r="A493" s="13" t="n"/>
      <c r="B493" s="68" t="n"/>
      <c r="C493" s="15" t="n"/>
      <c r="D493" s="69" t="n"/>
      <c r="E493" s="13" t="n"/>
      <c r="F493" s="13" t="n"/>
      <c r="G493" s="13" t="n"/>
      <c r="H493" s="13" t="n"/>
      <c r="I493" s="17">
        <f>IF($A493="","",1)</f>
        <v/>
      </c>
    </row>
    <row r="494">
      <c r="A494" s="13" t="n"/>
      <c r="B494" s="68" t="n"/>
      <c r="C494" s="15" t="n"/>
      <c r="D494" s="69" t="n"/>
      <c r="E494" s="13" t="n"/>
      <c r="F494" s="13" t="n"/>
      <c r="G494" s="13" t="n"/>
      <c r="H494" s="13" t="n"/>
      <c r="I494" s="17">
        <f>IF($A494="","",1)</f>
        <v/>
      </c>
    </row>
    <row r="495">
      <c r="A495" s="13" t="n"/>
      <c r="B495" s="68" t="n"/>
      <c r="C495" s="15" t="n"/>
      <c r="D495" s="69" t="n"/>
      <c r="E495" s="13" t="n"/>
      <c r="F495" s="13" t="n"/>
      <c r="G495" s="13" t="n"/>
      <c r="H495" s="13" t="n"/>
      <c r="I495" s="17">
        <f>IF($A495="","",1)</f>
        <v/>
      </c>
    </row>
    <row r="496">
      <c r="A496" s="13" t="n"/>
      <c r="B496" s="68" t="n"/>
      <c r="C496" s="15" t="n"/>
      <c r="D496" s="69" t="n"/>
      <c r="E496" s="13" t="n"/>
      <c r="F496" s="13" t="n"/>
      <c r="G496" s="13" t="n"/>
      <c r="H496" s="13" t="n"/>
      <c r="I496" s="17">
        <f>IF($A496="","",1)</f>
        <v/>
      </c>
    </row>
    <row r="497">
      <c r="A497" s="13" t="n"/>
      <c r="B497" s="68" t="n"/>
      <c r="C497" s="15" t="n"/>
      <c r="D497" s="69" t="n"/>
      <c r="E497" s="13" t="n"/>
      <c r="F497" s="13" t="n"/>
      <c r="G497" s="13" t="n"/>
      <c r="H497" s="13" t="n"/>
      <c r="I497" s="17">
        <f>IF($A497="","",1)</f>
        <v/>
      </c>
    </row>
    <row r="498">
      <c r="A498" s="13" t="n"/>
      <c r="B498" s="68" t="n"/>
      <c r="C498" s="15" t="n"/>
      <c r="D498" s="69" t="n"/>
      <c r="E498" s="13" t="n"/>
      <c r="F498" s="13" t="n"/>
      <c r="G498" s="13" t="n"/>
      <c r="H498" s="13" t="n"/>
      <c r="I498" s="17">
        <f>IF($A498="","",1)</f>
        <v/>
      </c>
    </row>
    <row r="499">
      <c r="A499" s="13" t="n"/>
      <c r="B499" s="68" t="n"/>
      <c r="C499" s="15" t="n"/>
      <c r="D499" s="69" t="n"/>
      <c r="E499" s="13" t="n"/>
      <c r="F499" s="13" t="n"/>
      <c r="G499" s="13" t="n"/>
      <c r="H499" s="13" t="n"/>
      <c r="I499" s="17">
        <f>IF($A499="","",1)</f>
        <v/>
      </c>
    </row>
    <row r="500">
      <c r="A500" s="13" t="n"/>
      <c r="B500" s="68" t="n"/>
      <c r="C500" s="15" t="n"/>
      <c r="D500" s="69" t="n"/>
      <c r="E500" s="13" t="n"/>
      <c r="F500" s="13" t="n"/>
      <c r="G500" s="13" t="n"/>
      <c r="H500" s="13" t="n"/>
      <c r="I500" s="17">
        <f>IF($A500="","",1)</f>
        <v/>
      </c>
    </row>
    <row r="501">
      <c r="A501" s="13" t="n"/>
      <c r="B501" s="68" t="n"/>
      <c r="C501" s="15" t="n"/>
      <c r="D501" s="69" t="n"/>
      <c r="E501" s="13" t="n"/>
      <c r="F501" s="13" t="n"/>
      <c r="G501" s="13" t="n"/>
      <c r="H501" s="13" t="n"/>
      <c r="I501" s="17">
        <f>IF($A501="","",1)</f>
        <v/>
      </c>
    </row>
    <row r="502">
      <c r="A502" s="13" t="n"/>
      <c r="B502" s="68" t="n"/>
      <c r="C502" s="15" t="n"/>
      <c r="D502" s="69" t="n"/>
      <c r="E502" s="13" t="n"/>
      <c r="F502" s="13" t="n"/>
      <c r="G502" s="13" t="n"/>
      <c r="H502" s="13" t="n"/>
      <c r="I502" s="17">
        <f>IF($A502="","",1)</f>
        <v/>
      </c>
    </row>
    <row r="503">
      <c r="A503" s="13" t="n"/>
      <c r="B503" s="68" t="n"/>
      <c r="C503" s="15" t="n"/>
      <c r="D503" s="69" t="n"/>
      <c r="E503" s="13" t="n"/>
      <c r="F503" s="13" t="n"/>
      <c r="G503" s="13" t="n"/>
      <c r="H503" s="13" t="n"/>
      <c r="I503" s="17">
        <f>IF($A503="","",1)</f>
        <v/>
      </c>
    </row>
    <row r="504">
      <c r="A504" s="13" t="n"/>
      <c r="B504" s="68" t="n"/>
      <c r="C504" s="15" t="n"/>
      <c r="D504" s="69" t="n"/>
      <c r="E504" s="13" t="n"/>
      <c r="F504" s="13" t="n"/>
      <c r="G504" s="13" t="n"/>
      <c r="H504" s="13" t="n"/>
      <c r="I504" s="17">
        <f>IF($A504="","",1)</f>
        <v/>
      </c>
    </row>
    <row r="505">
      <c r="A505" s="13" t="n"/>
      <c r="B505" s="68" t="n"/>
      <c r="C505" s="15" t="n"/>
      <c r="D505" s="69" t="n"/>
      <c r="E505" s="13" t="n"/>
      <c r="F505" s="13" t="n"/>
      <c r="G505" s="13" t="n"/>
      <c r="H505" s="13" t="n"/>
      <c r="I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505">
    <cfRule type="cellIs" priority="1" operator="lessThan" dxfId="0">
      <formula>0</formula>
    </cfRule>
    <cfRule type="cellIs" priority="2" operator="greaterThan" dxfId="1">
      <formula>50000</formula>
    </cfRule>
  </conditionalFormatting>
  <dataValidations count="8">
    <dataValidation sqref="A6:A505" showDropDown="0" showInputMessage="1" showErrorMessage="1" allowBlank="1" errorTitle="Eksik" error="Boş olamaz" promptTitle="Fatura No" prompt="Fatura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kWh" error="0 veya üzeri" promptTitle="kWh" prompt="kWh ≥ 0" type="decimal" errorStyle="stop" operator="greaterThanOrEqual">
      <formula1>0</formula1>
    </dataValidation>
    <dataValidation sqref="D6:D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505" showDropDown="0" showInputMessage="1" showErrorMessage="1" allowBlank="1" errorTitle="Sayaç" error="Geçersiz" promptTitle="Sayaç" prompt="Sayaç girin" type="textLength" errorStyle="stop" operator="greaterThanOrEqual">
      <formula1>0</formula1>
      <formula2>80</formula2>
    </dataValidation>
    <dataValidation sqref="F6:F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G6:G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Elektrik Faturası Doğrulama Motoru</t>
        </is>
      </c>
    </row>
    <row r="2"/>
    <row r="3" ht="22" customHeight="1">
      <c r="A3" s="208" t="inlineStr">
        <is>
          <t>Normalize fatura anahtarı + uzunluk + ikincil + duplike (Ç7 / E01 / E05)</t>
        </is>
      </c>
    </row>
    <row r="4">
      <c r="A4" s="18" t="inlineStr">
        <is>
          <t>A Tarafı (Fatura)</t>
        </is>
      </c>
      <c r="I4" s="18" t="inlineStr">
        <is>
          <t>B Tarafı (Sayaç)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7">
        <f>UPPER(TRIM(SUBSTITUTE($A6," ","")))</f>
        <v/>
      </c>
      <c r="C6" s="17">
        <f>IF($B6="",0,LEN($B6))</f>
        <v/>
      </c>
      <c r="D6" s="17">
        <f>IF($B6="","",LEFT($B6,efd_ikincilUzunluk))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IF(VERI_B!A6="","",VERI_B!A6)</f>
        <v/>
      </c>
      <c r="J6" s="17">
        <f>UPPER(TRIM(SUBSTITUTE($I6," ","")))</f>
        <v/>
      </c>
      <c r="K6" s="17">
        <f>IF($J6="",0,LEN($J6))</f>
        <v/>
      </c>
      <c r="L6" s="17">
        <f>IF($J6="","",LEFT($J6,efd_ikincilUzunluk))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IF(VERI_A!A7="","",VERI_A!A7)</f>
        <v/>
      </c>
      <c r="B7" s="17">
        <f>UPPER(TRIM(SUBSTITUTE($A7," ","")))</f>
        <v/>
      </c>
      <c r="C7" s="17">
        <f>IF($B7="",0,LEN($B7))</f>
        <v/>
      </c>
      <c r="D7" s="17">
        <f>IF($B7="","",LEFT($B7,efd_ikincilUzunluk))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IF(VERI_B!A7="","",VERI_B!A7)</f>
        <v/>
      </c>
      <c r="J7" s="17">
        <f>UPPER(TRIM(SUBSTITUTE($I7," ","")))</f>
        <v/>
      </c>
      <c r="K7" s="17">
        <f>IF($J7="",0,LEN($J7))</f>
        <v/>
      </c>
      <c r="L7" s="17">
        <f>IF($J7="","",LEFT($J7,efd_ikincilUzunluk))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IF(VERI_A!A8="","",VERI_A!A8)</f>
        <v/>
      </c>
      <c r="B8" s="17">
        <f>UPPER(TRIM(SUBSTITUTE($A8," ","")))</f>
        <v/>
      </c>
      <c r="C8" s="17">
        <f>IF($B8="",0,LEN($B8))</f>
        <v/>
      </c>
      <c r="D8" s="17">
        <f>IF($B8="","",LEFT($B8,efd_ikincilUzunluk))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IF(VERI_B!A8="","",VERI_B!A8)</f>
        <v/>
      </c>
      <c r="J8" s="17">
        <f>UPPER(TRIM(SUBSTITUTE($I8," ","")))</f>
        <v/>
      </c>
      <c r="K8" s="17">
        <f>IF($J8="",0,LEN($J8))</f>
        <v/>
      </c>
      <c r="L8" s="17">
        <f>IF($J8="","",LEFT($J8,efd_ikincilUzunluk))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IF(VERI_A!A9="","",VERI_A!A9)</f>
        <v/>
      </c>
      <c r="B9" s="17">
        <f>UPPER(TRIM(SUBSTITUTE($A9," ","")))</f>
        <v/>
      </c>
      <c r="C9" s="17">
        <f>IF($B9="",0,LEN($B9))</f>
        <v/>
      </c>
      <c r="D9" s="17">
        <f>IF($B9="","",LEFT($B9,efd_ikincilUzunluk))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IF(VERI_B!A9="","",VERI_B!A9)</f>
        <v/>
      </c>
      <c r="J9" s="17">
        <f>UPPER(TRIM(SUBSTITUTE($I9," ","")))</f>
        <v/>
      </c>
      <c r="K9" s="17">
        <f>IF($J9="",0,LEN($J9))</f>
        <v/>
      </c>
      <c r="L9" s="17">
        <f>IF($J9="","",LEFT($J9,efd_ikincilUzunluk))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IF(VERI_A!A10="","",VERI_A!A10)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IF($B10="","",LEFT($B10,efd_ikincilUzunluk))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IF(VERI_B!A10="","",VERI_B!A10)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IF($J10="","",LEFT($J10,efd_ikincilUzunluk))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IF(VERI_A!A11="","",VERI_A!A11)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IF($B11="","",LEFT($B11,efd_ikincilUzunluk))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IF(VERI_B!A11="","",VERI_B!A11)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IF($J11="","",LEFT($J11,efd_ikincilUzunluk))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IF(VERI_A!A12="","",VERI_A!A12)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IF($B12="","",LEFT($B12,efd_ikincilUzunluk))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IF(VERI_B!A12="","",VERI_B!A12)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IF($J12="","",LEFT($J12,efd_ikincilUzunluk))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IF(VERI_A!A13="","",VERI_A!A13)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IF($B13="","",LEFT($B13,efd_ikincilUzunluk))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IF(VERI_B!A13="","",VERI_B!A13)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IF($J13="","",LEFT($J13,efd_ikincilUzunluk))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IF(VERI_A!A14="","",VERI_A!A14)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IF($B14="","",LEFT($B14,efd_ikincilUzunluk))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IF(VERI_B!A14="","",VERI_B!A14)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IF($J14="","",LEFT($J14,efd_ikincilUzunluk))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IF(VERI_A!A15="","",VERI_A!A15)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IF($B15="","",LEFT($B15,efd_ikincilUzunluk))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IF(VERI_B!A15="","",VERI_B!A15)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IF($J15="","",LEFT($J15,efd_ikincilUzunluk))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IF(VERI_A!A16="","",VERI_A!A16)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IF($B16="","",LEFT($B16,efd_ikincilUzunluk))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IF(VERI_B!A16="","",VERI_B!A16)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IF($J16="","",LEFT($J16,efd_ikincilUzunluk))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IF(VERI_A!A17="","",VERI_A!A17)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IF($B17="","",LEFT($B17,efd_ikincilUzunluk))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IF(VERI_B!A17="","",VERI_B!A17)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IF($J17="","",LEFT($J17,efd_ikincilUzunluk))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IF(VERI_A!A18="","",VERI_A!A18)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IF($B18="","",LEFT($B18,efd_ikincilUzunluk))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IF(VERI_B!A18="","",VERI_B!A18)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IF($J18="","",LEFT($J18,efd_ikincilUzunluk))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IF(VERI_A!A19="","",VERI_A!A19)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IF($B19="","",LEFT($B19,efd_ikincilUzunluk))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IF(VERI_B!A19="","",VERI_B!A19)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IF($J19="","",LEFT($J19,efd_ikincilUzunluk))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IF(VERI_A!A20="","",VERI_A!A20)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IF($B20="","",LEFT($B20,efd_ikincilUzunluk))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IF(VERI_B!A20="","",VERI_B!A20)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IF($J20="","",LEFT($J20,efd_ikincilUzunluk))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IF(VERI_A!A21="","",VERI_A!A21)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IF($B21="","",LEFT($B21,efd_ikincilUzunluk))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IF(VERI_B!A21="","",VERI_B!A21)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IF($J21="","",LEFT($J21,efd_ikincilUzunluk))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IF(VERI_A!A22="","",VERI_A!A22)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IF($B22="","",LEFT($B22,efd_ikincilUzunluk))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IF(VERI_B!A22="","",VERI_B!A22)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IF($J22="","",LEFT($J22,efd_ikincilUzunluk))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IF(VERI_A!A23="","",VERI_A!A23)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IF($B23="","",LEFT($B23,efd_ikincilUzunluk))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IF(VERI_B!A23="","",VERI_B!A23)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IF($J23="","",LEFT($J23,efd_ikincilUzunluk))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IF(VERI_A!A24="","",VERI_A!A24)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IF($B24="","",LEFT($B24,efd_ikincilUzunluk))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IF(VERI_B!A24="","",VERI_B!A24)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IF($J24="","",LEFT($J24,efd_ikincilUzunluk))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IF(VERI_A!A25="","",VERI_A!A25)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IF($B25="","",LEFT($B25,efd_ikincilUzunluk))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IF(VERI_B!A25="","",VERI_B!A25)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IF($J25="","",LEFT($J25,efd_ikincilUzunluk))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IF(VERI_A!A26="","",VERI_A!A26)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IF($B26="","",LEFT($B26,efd_ikincilUzunluk))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IF(VERI_B!A26="","",VERI_B!A26)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IF($J26="","",LEFT($J26,efd_ikincilUzunluk))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IF(VERI_A!A27="","",VERI_A!A27)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IF($B27="","",LEFT($B27,efd_ikincilUzunluk))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IF(VERI_B!A27="","",VERI_B!A27)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IF($J27="","",LEFT($J27,efd_ikincilUzunluk))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IF(VERI_A!A28="","",VERI_A!A28)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IF($B28="","",LEFT($B28,efd_ikincilUzunluk))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IF(VERI_B!A28="","",VERI_B!A28)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IF($J28="","",LEFT($J28,efd_ikincilUzunluk))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IF(VERI_A!A29="","",VERI_A!A29)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IF($B29="","",LEFT($B29,efd_ikincilUzunluk))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IF(VERI_B!A29="","",VERI_B!A29)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IF($J29="","",LEFT($J29,efd_ikincilUzunluk))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IF(VERI_A!A30="","",VERI_A!A30)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IF($B30="","",LEFT($B30,efd_ikincilUzunluk))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IF(VERI_B!A30="","",VERI_B!A30)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IF($J30="","",LEFT($J30,efd_ikincilUzunluk))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IF(VERI_A!A31="","",VERI_A!A31)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IF($B31="","",LEFT($B31,efd_ikincilUzunluk))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IF(VERI_B!A31="","",VERI_B!A31)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IF($J31="","",LEFT($J31,efd_ikincilUzunluk))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IF(VERI_A!A32="","",VERI_A!A32)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IF($B32="","",LEFT($B32,efd_ikincilUzunluk))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IF(VERI_B!A32="","",VERI_B!A32)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IF($J32="","",LEFT($J32,efd_ikincilUzunluk))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IF(VERI_A!A33="","",VERI_A!A33)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IF($B33="","",LEFT($B33,efd_ikincilUzunluk))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IF(VERI_B!A33="","",VERI_B!A33)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IF($J33="","",LEFT($J33,efd_ikincilUzunluk))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IF(VERI_A!A34="","",VERI_A!A34)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IF($B34="","",LEFT($B34,efd_ikincilUzunluk))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IF(VERI_B!A34="","",VERI_B!A34)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IF($J34="","",LEFT($J34,efd_ikincilUzunluk))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IF(VERI_A!A35="","",VERI_A!A35)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IF($B35="","",LEFT($B35,efd_ikincilUzunluk))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IF(VERI_B!A35="","",VERI_B!A35)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IF($J35="","",LEFT($J35,efd_ikincilUzunluk))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IF(VERI_A!A36="","",VERI_A!A36)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IF($B36="","",LEFT($B36,efd_ikincilUzunluk))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IF(VERI_B!A36="","",VERI_B!A36)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IF($J36="","",LEFT($J36,efd_ikincilUzunluk))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IF(VERI_A!A37="","",VERI_A!A37)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IF($B37="","",LEFT($B37,efd_ikincilUzunluk))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IF(VERI_B!A37="","",VERI_B!A37)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IF($J37="","",LEFT($J37,efd_ikincilUzunluk))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IF(VERI_A!A38="","",VERI_A!A38)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IF($B38="","",LEFT($B38,efd_ikincilUzunluk))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IF(VERI_B!A38="","",VERI_B!A38)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IF($J38="","",LEFT($J38,efd_ikincilUzunluk))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IF(VERI_A!A39="","",VERI_A!A39)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IF($B39="","",LEFT($B39,efd_ikincilUzunluk))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IF(VERI_B!A39="","",VERI_B!A39)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IF($J39="","",LEFT($J39,efd_ikincilUzunluk))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IF(VERI_A!A40="","",VERI_A!A40)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IF($B40="","",LEFT($B40,efd_ikincilUzunluk))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IF(VERI_B!A40="","",VERI_B!A40)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IF($J40="","",LEFT($J40,efd_ikincilUzunluk))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IF(VERI_A!A41="","",VERI_A!A41)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IF($B41="","",LEFT($B41,efd_ikincilUzunluk))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IF(VERI_B!A41="","",VERI_B!A41)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IF($J41="","",LEFT($J41,efd_ikincilUzunluk))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IF(VERI_A!A42="","",VERI_A!A42)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IF($B42="","",LEFT($B42,efd_ikincilUzunluk))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IF(VERI_B!A42="","",VERI_B!A42)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IF($J42="","",LEFT($J42,efd_ikincilUzunluk))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IF(VERI_A!A43="","",VERI_A!A43)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IF($B43="","",LEFT($B43,efd_ikincilUzunluk))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IF(VERI_B!A43="","",VERI_B!A43)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IF($J43="","",LEFT($J43,efd_ikincilUzunluk))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IF(VERI_A!A44="","",VERI_A!A44)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IF($B44="","",LEFT($B44,efd_ikincilUzunluk))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IF(VERI_B!A44="","",VERI_B!A44)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IF($J44="","",LEFT($J44,efd_ikincilUzunluk))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IF(VERI_A!A45="","",VERI_A!A45)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IF($B45="","",LEFT($B45,efd_ikincilUzunluk))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IF(VERI_B!A45="","",VERI_B!A45)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IF($J45="","",LEFT($J45,efd_ikincilUzunluk))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IF(VERI_A!A46="","",VERI_A!A46)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IF($B46="","",LEFT($B46,efd_ikincilUzunluk))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IF(VERI_B!A46="","",VERI_B!A46)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IF($J46="","",LEFT($J46,efd_ikincilUzunluk))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IF(VERI_A!A47="","",VERI_A!A47)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IF($B47="","",LEFT($B47,efd_ikincilUzunluk))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IF(VERI_B!A47="","",VERI_B!A47)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IF($J47="","",LEFT($J47,efd_ikincilUzunluk))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IF(VERI_A!A48="","",VERI_A!A48)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IF($B48="","",LEFT($B48,efd_ikincilUzunluk))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IF(VERI_B!A48="","",VERI_B!A48)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IF($J48="","",LEFT($J48,efd_ikincilUzunluk))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IF(VERI_A!A49="","",VERI_A!A49)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IF($B49="","",LEFT($B49,efd_ikincilUzunluk))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IF(VERI_B!A49="","",VERI_B!A49)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IF($J49="","",LEFT($J49,efd_ikincilUzunluk))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IF(VERI_A!A50="","",VERI_A!A50)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IF($B50="","",LEFT($B50,efd_ikincilUzunluk))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IF(VERI_B!A50="","",VERI_B!A50)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IF($J50="","",LEFT($J50,efd_ikincilUzunluk))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IF(VERI_A!A51="","",VERI_A!A51)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IF($B51="","",LEFT($B51,efd_ikincilUzunluk))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IF(VERI_B!A51="","",VERI_B!A51)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IF($J51="","",LEFT($J51,efd_ikincilUzunluk))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IF(VERI_A!A52="","",VERI_A!A52)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IF($B52="","",LEFT($B52,efd_ikincilUzunluk))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IF(VERI_B!A52="","",VERI_B!A52)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IF($J52="","",LEFT($J52,efd_ikincilUzunluk))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IF(VERI_A!A53="","",VERI_A!A53)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IF($B53="","",LEFT($B53,efd_ikincilUzunluk))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IF(VERI_B!A53="","",VERI_B!A53)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IF($J53="","",LEFT($J53,efd_ikincilUzunluk))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IF(VERI_A!A54="","",VERI_A!A54)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IF($B54="","",LEFT($B54,efd_ikincilUzunluk))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IF(VERI_B!A54="","",VERI_B!A54)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IF($J54="","",LEFT($J54,efd_ikincilUzunluk))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IF(VERI_A!A55="","",VERI_A!A55)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IF($B55="","",LEFT($B55,efd_ikincilUzunluk))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IF(VERI_B!A55="","",VERI_B!A55)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IF($J55="","",LEFT($J55,efd_ikincilUzunluk))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IF(VERI_A!A56="","",VERI_A!A56)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IF($B56="","",LEFT($B56,efd_ikincilUzunluk))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IF(VERI_B!A56="","",VERI_B!A56)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IF($J56="","",LEFT($J56,efd_ikincilUzunluk))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IF(VERI_A!A57="","",VERI_A!A57)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IF($B57="","",LEFT($B57,efd_ikincilUzunluk))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IF(VERI_B!A57="","",VERI_B!A57)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IF($J57="","",LEFT($J57,efd_ikincilUzunluk))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IF(VERI_A!A58="","",VERI_A!A58)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IF($B58="","",LEFT($B58,efd_ikincilUzunluk))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IF(VERI_B!A58="","",VERI_B!A58)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IF($J58="","",LEFT($J58,efd_ikincilUzunluk))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IF(VERI_A!A59="","",VERI_A!A59)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IF($B59="","",LEFT($B59,efd_ikincilUzunluk))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IF(VERI_B!A59="","",VERI_B!A59)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IF($J59="","",LEFT($J59,efd_ikincilUzunluk))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IF(VERI_A!A60="","",VERI_A!A60)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IF($B60="","",LEFT($B60,efd_ikincilUzunluk))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IF(VERI_B!A60="","",VERI_B!A60)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IF($J60="","",LEFT($J60,efd_ikincilUzunluk))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IF(VERI_A!A61="","",VERI_A!A61)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IF($B61="","",LEFT($B61,efd_ikincilUzunluk))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IF(VERI_B!A61="","",VERI_B!A61)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IF($J61="","",LEFT($J61,efd_ikincilUzunluk))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IF(VERI_A!A62="","",VERI_A!A62)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IF($B62="","",LEFT($B62,efd_ikincilUzunluk))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IF(VERI_B!A62="","",VERI_B!A62)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IF($J62="","",LEFT($J62,efd_ikincilUzunluk))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IF(VERI_A!A63="","",VERI_A!A63)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IF($B63="","",LEFT($B63,efd_ikincilUzunluk))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IF(VERI_B!A63="","",VERI_B!A63)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IF($J63="","",LEFT($J63,efd_ikincilUzunluk))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IF(VERI_A!A64="","",VERI_A!A64)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IF($B64="","",LEFT($B64,efd_ikincilUzunluk))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IF(VERI_B!A64="","",VERI_B!A64)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IF($J64="","",LEFT($J64,efd_ikincilUzunluk))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IF(VERI_A!A65="","",VERI_A!A65)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IF($B65="","",LEFT($B65,efd_ikincilUzunluk))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IF(VERI_B!A65="","",VERI_B!A65)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IF($J65="","",LEFT($J65,efd_ikincilUzunluk))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IF(VERI_A!A66="","",VERI_A!A66)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IF($B66="","",LEFT($B66,efd_ikincilUzunluk))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IF(VERI_B!A66="","",VERI_B!A66)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IF($J66="","",LEFT($J66,efd_ikincilUzunluk))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IF(VERI_A!A67="","",VERI_A!A67)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IF($B67="","",LEFT($B67,efd_ikincilUzunluk))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IF(VERI_B!A67="","",VERI_B!A67)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IF($J67="","",LEFT($J67,efd_ikincilUzunluk))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IF(VERI_A!A68="","",VERI_A!A68)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IF($B68="","",LEFT($B68,efd_ikincilUzunluk))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IF(VERI_B!A68="","",VERI_B!A68)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IF($J68="","",LEFT($J68,efd_ikincilUzunluk))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IF(VERI_A!A69="","",VERI_A!A69)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IF($B69="","",LEFT($B69,efd_ikincilUzunluk))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IF(VERI_B!A69="","",VERI_B!A69)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IF($J69="","",LEFT($J69,efd_ikincilUzunluk))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IF(VERI_A!A70="","",VERI_A!A70)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IF($B70="","",LEFT($B70,efd_ikincilUzunluk))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IF(VERI_B!A70="","",VERI_B!A70)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IF($J70="","",LEFT($J70,efd_ikincilUzunluk))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IF(VERI_A!A71="","",VERI_A!A71)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IF($B71="","",LEFT($B71,efd_ikincilUzunluk))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IF(VERI_B!A71="","",VERI_B!A71)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IF($J71="","",LEFT($J71,efd_ikincilUzunluk))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IF(VERI_A!A72="","",VERI_A!A72)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IF($B72="","",LEFT($B72,efd_ikincilUzunluk))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IF(VERI_B!A72="","",VERI_B!A72)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IF($J72="","",LEFT($J72,efd_ikincilUzunluk))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IF(VERI_A!A73="","",VERI_A!A73)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IF($B73="","",LEFT($B73,efd_ikincilUzunluk))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IF(VERI_B!A73="","",VERI_B!A73)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IF($J73="","",LEFT($J73,efd_ikincilUzunluk))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IF(VERI_A!A74="","",VERI_A!A74)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IF($B74="","",LEFT($B74,efd_ikincilUzunluk))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IF(VERI_B!A74="","",VERI_B!A74)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IF($J74="","",LEFT($J74,efd_ikincilUzunluk))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IF(VERI_A!A75="","",VERI_A!A75)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IF($B75="","",LEFT($B75,efd_ikincilUzunluk))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IF(VERI_B!A75="","",VERI_B!A75)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IF($J75="","",LEFT($J75,efd_ikincilUzunluk))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IF(VERI_A!A76="","",VERI_A!A76)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IF($B76="","",LEFT($B76,efd_ikincilUzunluk))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IF(VERI_B!A76="","",VERI_B!A76)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IF($J76="","",LEFT($J76,efd_ikincilUzunluk))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IF(VERI_A!A77="","",VERI_A!A77)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IF($B77="","",LEFT($B77,efd_ikincilUzunluk))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IF(VERI_B!A77="","",VERI_B!A77)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IF($J77="","",LEFT($J77,efd_ikincilUzunluk))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IF(VERI_A!A78="","",VERI_A!A78)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IF($B78="","",LEFT($B78,efd_ikincilUzunluk))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IF(VERI_B!A78="","",VERI_B!A78)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IF($J78="","",LEFT($J78,efd_ikincilUzunluk))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IF(VERI_A!A79="","",VERI_A!A79)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IF($B79="","",LEFT($B79,efd_ikincilUzunluk))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IF(VERI_B!A79="","",VERI_B!A79)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IF($J79="","",LEFT($J79,efd_ikincilUzunluk))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IF(VERI_A!A80="","",VERI_A!A80)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IF($B80="","",LEFT($B80,efd_ikincilUzunluk))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IF(VERI_B!A80="","",VERI_B!A80)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IF($J80="","",LEFT($J80,efd_ikincilUzunluk))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IF(VERI_A!A81="","",VERI_A!A81)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IF($B81="","",LEFT($B81,efd_ikincilUzunluk))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IF(VERI_B!A81="","",VERI_B!A81)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IF($J81="","",LEFT($J81,efd_ikincilUzunluk))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IF(VERI_A!A82="","",VERI_A!A82)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IF($B82="","",LEFT($B82,efd_ikincilUzunluk))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IF(VERI_B!A82="","",VERI_B!A82)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IF($J82="","",LEFT($J82,efd_ikincilUzunluk))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IF(VERI_A!A83="","",VERI_A!A83)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IF($B83="","",LEFT($B83,efd_ikincilUzunluk))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IF(VERI_B!A83="","",VERI_B!A83)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IF($J83="","",LEFT($J83,efd_ikincilUzunluk))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IF(VERI_A!A84="","",VERI_A!A84)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IF($B84="","",LEFT($B84,efd_ikincilUzunluk))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IF(VERI_B!A84="","",VERI_B!A84)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IF($J84="","",LEFT($J84,efd_ikincilUzunluk))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IF(VERI_A!A85="","",VERI_A!A85)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IF($B85="","",LEFT($B85,efd_ikincilUzunluk))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IF(VERI_B!A85="","",VERI_B!A85)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IF($J85="","",LEFT($J85,efd_ikincilUzunluk))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IF(VERI_A!A86="","",VERI_A!A86)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IF($B86="","",LEFT($B86,efd_ikincilUzunluk))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IF(VERI_B!A86="","",VERI_B!A86)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IF($J86="","",LEFT($J86,efd_ikincilUzunluk))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IF(VERI_A!A87="","",VERI_A!A87)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IF($B87="","",LEFT($B87,efd_ikincilUzunluk))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IF(VERI_B!A87="","",VERI_B!A87)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IF($J87="","",LEFT($J87,efd_ikincilUzunluk))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IF(VERI_A!A88="","",VERI_A!A88)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IF($B88="","",LEFT($B88,efd_ikincilUzunluk))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IF(VERI_B!A88="","",VERI_B!A88)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IF($J88="","",LEFT($J88,efd_ikincilUzunluk))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IF(VERI_A!A89="","",VERI_A!A89)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IF($B89="","",LEFT($B89,efd_ikincilUzunluk))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IF(VERI_B!A89="","",VERI_B!A89)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IF($J89="","",LEFT($J89,efd_ikincilUzunluk))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IF(VERI_A!A90="","",VERI_A!A90)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IF($B90="","",LEFT($B90,efd_ikincilUzunluk))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IF(VERI_B!A90="","",VERI_B!A90)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IF($J90="","",LEFT($J90,efd_ikincilUzunluk))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IF(VERI_A!A91="","",VERI_A!A91)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IF($B91="","",LEFT($B91,efd_ikincilUzunluk))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IF(VERI_B!A91="","",VERI_B!A91)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IF($J91="","",LEFT($J91,efd_ikincilUzunluk))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IF(VERI_A!A92="","",VERI_A!A92)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IF($B92="","",LEFT($B92,efd_ikincilUzunluk))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IF(VERI_B!A92="","",VERI_B!A92)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IF($J92="","",LEFT($J92,efd_ikincilUzunluk))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IF(VERI_A!A93="","",VERI_A!A93)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IF($B93="","",LEFT($B93,efd_ikincilUzunluk))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IF(VERI_B!A93="","",VERI_B!A93)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IF($J93="","",LEFT($J93,efd_ikincilUzunluk))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IF(VERI_A!A94="","",VERI_A!A94)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IF($B94="","",LEFT($B94,efd_ikincilUzunluk))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IF(VERI_B!A94="","",VERI_B!A94)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IF($J94="","",LEFT($J94,efd_ikincilUzunluk))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IF(VERI_A!A95="","",VERI_A!A95)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IF($B95="","",LEFT($B95,efd_ikincilUzunluk))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IF(VERI_B!A95="","",VERI_B!A95)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IF($J95="","",LEFT($J95,efd_ikincilUzunluk))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IF(VERI_A!A96="","",VERI_A!A96)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IF($B96="","",LEFT($B96,efd_ikincilUzunluk))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IF(VERI_B!A96="","",VERI_B!A96)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IF($J96="","",LEFT($J96,efd_ikincilUzunluk))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IF(VERI_A!A97="","",VERI_A!A97)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IF($B97="","",LEFT($B97,efd_ikincilUzunluk))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IF(VERI_B!A97="","",VERI_B!A97)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IF($J97="","",LEFT($J97,efd_ikincilUzunluk))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IF(VERI_A!A98="","",VERI_A!A98)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IF($B98="","",LEFT($B98,efd_ikincilUzunluk))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IF(VERI_B!A98="","",VERI_B!A98)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IF($J98="","",LEFT($J98,efd_ikincilUzunluk))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IF(VERI_A!A99="","",VERI_A!A99)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IF($B99="","",LEFT($B99,efd_ikincilUzunluk))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IF(VERI_B!A99="","",VERI_B!A99)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IF($J99="","",LEFT($J99,efd_ikincilUzunluk))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IF(VERI_A!A100="","",VERI_A!A100)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IF($B100="","",LEFT($B100,efd_ikincilUzunluk))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IF(VERI_B!A100="","",VERI_B!A100)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IF($J100="","",LEFT($J100,efd_ikincilUzunluk))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IF(VERI_A!A101="","",VERI_A!A101)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IF($B101="","",LEFT($B101,efd_ikincilUzunluk))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IF(VERI_B!A101="","",VERI_B!A101)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IF($J101="","",LEFT($J101,efd_ikincilUzunluk))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IF(VERI_A!A102="","",VERI_A!A102)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IF($B102="","",LEFT($B102,efd_ikincilUzunluk))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IF(VERI_B!A102="","",VERI_B!A102)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IF($J102="","",LEFT($J102,efd_ikincilUzunluk))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IF(VERI_A!A103="","",VERI_A!A103)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IF($B103="","",LEFT($B103,efd_ikincilUzunluk))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IF(VERI_B!A103="","",VERI_B!A103)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IF($J103="","",LEFT($J103,efd_ikincilUzunluk))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IF(VERI_A!A104="","",VERI_A!A104)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IF($B104="","",LEFT($B104,efd_ikincilUzunluk))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IF(VERI_B!A104="","",VERI_B!A104)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IF($J104="","",LEFT($J104,efd_ikincilUzunluk))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IF(VERI_A!A105="","",VERI_A!A105)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IF($B105="","",LEFT($B105,efd_ikincilUzunluk))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IF(VERI_B!A105="","",VERI_B!A105)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IF($J105="","",LEFT($J105,efd_ikincilUzunluk))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IF(VERI_A!A106="","",VERI_A!A106)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IF($B106="","",LEFT($B106,efd_ikincilUzunluk))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IF(VERI_B!A106="","",VERI_B!A106)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IF($J106="","",LEFT($J106,efd_ikincilUzunluk))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IF(VERI_A!A107="","",VERI_A!A107)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IF($B107="","",LEFT($B107,efd_ikincilUzunluk))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IF(VERI_B!A107="","",VERI_B!A107)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IF($J107="","",LEFT($J107,efd_ikincilUzunluk))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IF(VERI_A!A108="","",VERI_A!A108)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IF($B108="","",LEFT($B108,efd_ikincilUzunluk))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IF(VERI_B!A108="","",VERI_B!A108)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IF($J108="","",LEFT($J108,efd_ikincilUzunluk))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IF(VERI_A!A109="","",VERI_A!A109)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IF($B109="","",LEFT($B109,efd_ikincilUzunluk))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IF(VERI_B!A109="","",VERI_B!A109)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IF($J109="","",LEFT($J109,efd_ikincilUzunluk))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IF(VERI_A!A110="","",VERI_A!A110)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IF($B110="","",LEFT($B110,efd_ikincilUzunluk))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IF(VERI_B!A110="","",VERI_B!A110)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IF($J110="","",LEFT($J110,efd_ikincilUzunluk))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IF(VERI_A!A111="","",VERI_A!A111)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IF($B111="","",LEFT($B111,efd_ikincilUzunluk))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IF(VERI_B!A111="","",VERI_B!A111)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IF($J111="","",LEFT($J111,efd_ikincilUzunluk))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IF(VERI_A!A112="","",VERI_A!A112)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IF($B112="","",LEFT($B112,efd_ikincilUzunluk))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IF(VERI_B!A112="","",VERI_B!A112)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IF($J112="","",LEFT($J112,efd_ikincilUzunluk))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IF(VERI_A!A113="","",VERI_A!A113)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IF($B113="","",LEFT($B113,efd_ikincilUzunluk))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IF(VERI_B!A113="","",VERI_B!A113)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IF($J113="","",LEFT($J113,efd_ikincilUzunluk))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IF(VERI_A!A114="","",VERI_A!A114)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IF($B114="","",LEFT($B114,efd_ikincilUzunluk))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IF(VERI_B!A114="","",VERI_B!A114)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IF($J114="","",LEFT($J114,efd_ikincilUzunluk))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IF(VERI_A!A115="","",VERI_A!A115)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IF($B115="","",LEFT($B115,efd_ikincilUzunluk))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IF(VERI_B!A115="","",VERI_B!A115)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IF($J115="","",LEFT($J115,efd_ikincilUzunluk))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IF(VERI_A!A116="","",VERI_A!A116)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IF($B116="","",LEFT($B116,efd_ikincilUzunluk))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IF(VERI_B!A116="","",VERI_B!A116)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IF($J116="","",LEFT($J116,efd_ikincilUzunluk))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IF(VERI_A!A117="","",VERI_A!A117)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IF($B117="","",LEFT($B117,efd_ikincilUzunluk))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IF(VERI_B!A117="","",VERI_B!A117)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IF($J117="","",LEFT($J117,efd_ikincilUzunluk))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IF(VERI_A!A118="","",VERI_A!A118)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IF($B118="","",LEFT($B118,efd_ikincilUzunluk))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IF(VERI_B!A118="","",VERI_B!A118)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IF($J118="","",LEFT($J118,efd_ikincilUzunluk))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IF(VERI_A!A119="","",VERI_A!A119)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IF($B119="","",LEFT($B119,efd_ikincilUzunluk))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IF(VERI_B!A119="","",VERI_B!A119)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IF($J119="","",LEFT($J119,efd_ikincilUzunluk))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IF(VERI_A!A120="","",VERI_A!A120)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IF($B120="","",LEFT($B120,efd_ikincilUzunluk))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IF(VERI_B!A120="","",VERI_B!A120)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IF($J120="","",LEFT($J120,efd_ikincilUzunluk))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IF(VERI_A!A121="","",VERI_A!A121)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IF($B121="","",LEFT($B121,efd_ikincilUzunluk))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IF(VERI_B!A121="","",VERI_B!A121)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IF($J121="","",LEFT($J121,efd_ikincilUzunluk))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IF(VERI_A!A122="","",VERI_A!A122)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IF($B122="","",LEFT($B122,efd_ikincilUzunluk))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IF(VERI_B!A122="","",VERI_B!A122)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IF($J122="","",LEFT($J122,efd_ikincilUzunluk))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IF(VERI_A!A123="","",VERI_A!A123)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IF($B123="","",LEFT($B123,efd_ikincilUzunluk))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IF(VERI_B!A123="","",VERI_B!A123)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IF($J123="","",LEFT($J123,efd_ikincilUzunluk))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IF(VERI_A!A124="","",VERI_A!A124)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IF($B124="","",LEFT($B124,efd_ikincilUzunluk))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IF(VERI_B!A124="","",VERI_B!A124)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IF($J124="","",LEFT($J124,efd_ikincilUzunluk))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IF(VERI_A!A125="","",VERI_A!A125)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IF($B125="","",LEFT($B125,efd_ikincilUzunluk))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IF(VERI_B!A125="","",VERI_B!A125)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IF($J125="","",LEFT($J125,efd_ikincilUzunluk))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IF(VERI_A!A126="","",VERI_A!A126)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IF($B126="","",LEFT($B126,efd_ikincilUzunluk))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IF(VERI_B!A126="","",VERI_B!A126)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IF($J126="","",LEFT($J126,efd_ikincilUzunluk))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IF(VERI_A!A127="","",VERI_A!A127)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IF($B127="","",LEFT($B127,efd_ikincilUzunluk))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IF(VERI_B!A127="","",VERI_B!A127)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IF($J127="","",LEFT($J127,efd_ikincilUzunluk))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IF(VERI_A!A128="","",VERI_A!A128)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IF($B128="","",LEFT($B128,efd_ikincilUzunluk))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IF(VERI_B!A128="","",VERI_B!A128)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IF($J128="","",LEFT($J128,efd_ikincilUzunluk))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IF(VERI_A!A129="","",VERI_A!A129)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IF($B129="","",LEFT($B129,efd_ikincilUzunluk))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IF(VERI_B!A129="","",VERI_B!A129)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IF($J129="","",LEFT($J129,efd_ikincilUzunluk))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IF(VERI_A!A130="","",VERI_A!A130)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IF($B130="","",LEFT($B130,efd_ikincilUzunluk))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IF(VERI_B!A130="","",VERI_B!A130)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IF($J130="","",LEFT($J130,efd_ikincilUzunluk))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IF(VERI_A!A131="","",VERI_A!A131)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IF($B131="","",LEFT($B131,efd_ikincilUzunluk))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IF(VERI_B!A131="","",VERI_B!A131)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IF($J131="","",LEFT($J131,efd_ikincilUzunluk))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IF(VERI_A!A132="","",VERI_A!A132)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IF($B132="","",LEFT($B132,efd_ikincilUzunluk))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IF(VERI_B!A132="","",VERI_B!A132)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IF($J132="","",LEFT($J132,efd_ikincilUzunluk))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IF(VERI_A!A133="","",VERI_A!A133)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IF($B133="","",LEFT($B133,efd_ikincilUzunluk))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IF(VERI_B!A133="","",VERI_B!A133)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IF($J133="","",LEFT($J133,efd_ikincilUzunluk))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IF(VERI_A!A134="","",VERI_A!A134)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IF($B134="","",LEFT($B134,efd_ikincilUzunluk))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IF(VERI_B!A134="","",VERI_B!A134)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IF($J134="","",LEFT($J134,efd_ikincilUzunluk))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IF(VERI_A!A135="","",VERI_A!A135)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IF($B135="","",LEFT($B135,efd_ikincilUzunluk))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IF(VERI_B!A135="","",VERI_B!A135)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IF($J135="","",LEFT($J135,efd_ikincilUzunluk))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IF(VERI_A!A136="","",VERI_A!A136)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IF($B136="","",LEFT($B136,efd_ikincilUzunluk))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IF(VERI_B!A136="","",VERI_B!A136)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IF($J136="","",LEFT($J136,efd_ikincilUzunluk))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IF(VERI_A!A137="","",VERI_A!A137)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IF($B137="","",LEFT($B137,efd_ikincilUzunluk))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IF(VERI_B!A137="","",VERI_B!A137)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IF($J137="","",LEFT($J137,efd_ikincilUzunluk))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IF(VERI_A!A138="","",VERI_A!A138)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IF($B138="","",LEFT($B138,efd_ikincilUzunluk))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IF(VERI_B!A138="","",VERI_B!A138)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IF($J138="","",LEFT($J138,efd_ikincilUzunluk))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IF(VERI_A!A139="","",VERI_A!A139)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IF($B139="","",LEFT($B139,efd_ikincilUzunluk))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IF(VERI_B!A139="","",VERI_B!A139)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IF($J139="","",LEFT($J139,efd_ikincilUzunluk))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IF(VERI_A!A140="","",VERI_A!A140)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IF($B140="","",LEFT($B140,efd_ikincilUzunluk))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IF(VERI_B!A140="","",VERI_B!A140)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IF($J140="","",LEFT($J140,efd_ikincilUzunluk))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IF(VERI_A!A141="","",VERI_A!A141)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IF($B141="","",LEFT($B141,efd_ikincilUzunluk))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IF(VERI_B!A141="","",VERI_B!A141)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IF($J141="","",LEFT($J141,efd_ikincilUzunluk))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IF(VERI_A!A142="","",VERI_A!A142)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IF($B142="","",LEFT($B142,efd_ikincilUzunluk))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IF(VERI_B!A142="","",VERI_B!A142)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IF($J142="","",LEFT($J142,efd_ikincilUzunluk))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IF(VERI_A!A143="","",VERI_A!A143)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IF($B143="","",LEFT($B143,efd_ikincilUzunluk))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IF(VERI_B!A143="","",VERI_B!A143)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IF($J143="","",LEFT($J143,efd_ikincilUzunluk))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IF(VERI_A!A144="","",VERI_A!A144)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IF($B144="","",LEFT($B144,efd_ikincilUzunluk))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IF(VERI_B!A144="","",VERI_B!A144)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IF($J144="","",LEFT($J144,efd_ikincilUzunluk))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IF(VERI_A!A145="","",VERI_A!A145)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IF($B145="","",LEFT($B145,efd_ikincilUzunluk))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IF(VERI_B!A145="","",VERI_B!A145)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IF($J145="","",LEFT($J145,efd_ikincilUzunluk))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IF(VERI_A!A146="","",VERI_A!A146)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IF($B146="","",LEFT($B146,efd_ikincilUzunluk))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IF(VERI_B!A146="","",VERI_B!A146)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IF($J146="","",LEFT($J146,efd_ikincilUzunluk))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IF(VERI_A!A147="","",VERI_A!A147)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IF($B147="","",LEFT($B147,efd_ikincilUzunluk))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IF(VERI_B!A147="","",VERI_B!A147)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IF($J147="","",LEFT($J147,efd_ikincilUzunluk))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IF(VERI_A!A148="","",VERI_A!A148)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IF($B148="","",LEFT($B148,efd_ikincilUzunluk))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IF(VERI_B!A148="","",VERI_B!A148)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IF($J148="","",LEFT($J148,efd_ikincilUzunluk))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IF(VERI_A!A149="","",VERI_A!A149)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IF($B149="","",LEFT($B149,efd_ikincilUzunluk))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IF(VERI_B!A149="","",VERI_B!A149)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IF($J149="","",LEFT($J149,efd_ikincilUzunluk))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IF(VERI_A!A150="","",VERI_A!A150)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IF($B150="","",LEFT($B150,efd_ikincilUzunluk))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IF(VERI_B!A150="","",VERI_B!A150)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IF($J150="","",LEFT($J150,efd_ikincilUzunluk))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IF(VERI_A!A151="","",VERI_A!A151)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IF($B151="","",LEFT($B151,efd_ikincilUzunluk))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IF(VERI_B!A151="","",VERI_B!A151)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IF($J151="","",LEFT($J151,efd_ikincilUzunluk))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IF(VERI_A!A152="","",VERI_A!A152)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IF($B152="","",LEFT($B152,efd_ikincilUzunluk))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IF(VERI_B!A152="","",VERI_B!A152)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IF($J152="","",LEFT($J152,efd_ikincilUzunluk))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IF(VERI_A!A153="","",VERI_A!A153)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IF($B153="","",LEFT($B153,efd_ikincilUzunluk))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IF(VERI_B!A153="","",VERI_B!A153)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IF($J153="","",LEFT($J153,efd_ikincilUzunluk))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IF(VERI_A!A154="","",VERI_A!A154)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IF($B154="","",LEFT($B154,efd_ikincilUzunluk))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IF(VERI_B!A154="","",VERI_B!A154)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IF($J154="","",LEFT($J154,efd_ikincilUzunluk))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IF(VERI_A!A155="","",VERI_A!A155)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IF($B155="","",LEFT($B155,efd_ikincilUzunluk))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IF(VERI_B!A155="","",VERI_B!A155)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IF($J155="","",LEFT($J155,efd_ikincilUzunluk))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IF(VERI_A!A156="","",VERI_A!A156)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IF($B156="","",LEFT($B156,efd_ikincilUzunluk))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IF(VERI_B!A156="","",VERI_B!A156)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IF($J156="","",LEFT($J156,efd_ikincilUzunluk))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IF(VERI_A!A157="","",VERI_A!A157)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IF($B157="","",LEFT($B157,efd_ikincilUzunluk))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IF(VERI_B!A157="","",VERI_B!A157)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IF($J157="","",LEFT($J157,efd_ikincilUzunluk))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IF(VERI_A!A158="","",VERI_A!A158)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IF($B158="","",LEFT($B158,efd_ikincilUzunluk))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IF(VERI_B!A158="","",VERI_B!A158)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IF($J158="","",LEFT($J158,efd_ikincilUzunluk))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IF(VERI_A!A159="","",VERI_A!A159)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IF($B159="","",LEFT($B159,efd_ikincilUzunluk))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IF(VERI_B!A159="","",VERI_B!A159)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IF($J159="","",LEFT($J159,efd_ikincilUzunluk))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IF(VERI_A!A160="","",VERI_A!A160)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IF($B160="","",LEFT($B160,efd_ikincilUzunluk))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IF(VERI_B!A160="","",VERI_B!A160)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IF($J160="","",LEFT($J160,efd_ikincilUzunluk))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IF(VERI_A!A161="","",VERI_A!A161)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IF($B161="","",LEFT($B161,efd_ikincilUzunluk))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IF(VERI_B!A161="","",VERI_B!A161)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IF($J161="","",LEFT($J161,efd_ikincilUzunluk))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IF(VERI_A!A162="","",VERI_A!A162)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IF($B162="","",LEFT($B162,efd_ikincilUzunluk))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IF(VERI_B!A162="","",VERI_B!A162)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IF($J162="","",LEFT($J162,efd_ikincilUzunluk))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IF(VERI_A!A163="","",VERI_A!A163)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IF($B163="","",LEFT($B163,efd_ikincilUzunluk))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IF(VERI_B!A163="","",VERI_B!A163)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IF($J163="","",LEFT($J163,efd_ikincilUzunluk))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IF(VERI_A!A164="","",VERI_A!A164)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IF($B164="","",LEFT($B164,efd_ikincilUzunluk))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IF(VERI_B!A164="","",VERI_B!A164)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IF($J164="","",LEFT($J164,efd_ikincilUzunluk))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IF(VERI_A!A165="","",VERI_A!A165)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IF($B165="","",LEFT($B165,efd_ikincilUzunluk))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IF(VERI_B!A165="","",VERI_B!A165)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IF($J165="","",LEFT($J165,efd_ikincilUzunluk))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IF(VERI_A!A166="","",VERI_A!A166)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IF($B166="","",LEFT($B166,efd_ikincilUzunluk))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IF(VERI_B!A166="","",VERI_B!A166)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IF($J166="","",LEFT($J166,efd_ikincilUzunluk))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IF(VERI_A!A167="","",VERI_A!A167)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IF($B167="","",LEFT($B167,efd_ikincilUzunluk))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IF(VERI_B!A167="","",VERI_B!A167)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IF($J167="","",LEFT($J167,efd_ikincilUzunluk))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IF(VERI_A!A168="","",VERI_A!A168)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IF($B168="","",LEFT($B168,efd_ikincilUzunluk))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IF(VERI_B!A168="","",VERI_B!A168)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IF($J168="","",LEFT($J168,efd_ikincilUzunluk))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IF(VERI_A!A169="","",VERI_A!A169)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IF($B169="","",LEFT($B169,efd_ikincilUzunluk))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IF(VERI_B!A169="","",VERI_B!A169)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IF($J169="","",LEFT($J169,efd_ikincilUzunluk))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IF(VERI_A!A170="","",VERI_A!A170)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IF($B170="","",LEFT($B170,efd_ikincilUzunluk))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IF(VERI_B!A170="","",VERI_B!A170)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IF($J170="","",LEFT($J170,efd_ikincilUzunluk))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IF(VERI_A!A171="","",VERI_A!A171)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IF($B171="","",LEFT($B171,efd_ikincilUzunluk))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IF(VERI_B!A171="","",VERI_B!A171)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IF($J171="","",LEFT($J171,efd_ikincilUzunluk))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IF(VERI_A!A172="","",VERI_A!A172)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IF($B172="","",LEFT($B172,efd_ikincilUzunluk))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IF(VERI_B!A172="","",VERI_B!A172)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IF($J172="","",LEFT($J172,efd_ikincilUzunluk))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IF(VERI_A!A173="","",VERI_A!A173)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IF($B173="","",LEFT($B173,efd_ikincilUzunluk))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IF(VERI_B!A173="","",VERI_B!A173)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IF($J173="","",LEFT($J173,efd_ikincilUzunluk))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IF(VERI_A!A174="","",VERI_A!A174)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IF($B174="","",LEFT($B174,efd_ikincilUzunluk))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IF(VERI_B!A174="","",VERI_B!A174)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IF($J174="","",LEFT($J174,efd_ikincilUzunluk))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IF(VERI_A!A175="","",VERI_A!A175)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IF($B175="","",LEFT($B175,efd_ikincilUzunluk))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IF(VERI_B!A175="","",VERI_B!A175)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IF($J175="","",LEFT($J175,efd_ikincilUzunluk))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IF(VERI_A!A176="","",VERI_A!A176)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IF($B176="","",LEFT($B176,efd_ikincilUzunluk))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IF(VERI_B!A176="","",VERI_B!A176)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IF($J176="","",LEFT($J176,efd_ikincilUzunluk))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IF(VERI_A!A177="","",VERI_A!A177)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IF($B177="","",LEFT($B177,efd_ikincilUzunluk))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IF(VERI_B!A177="","",VERI_B!A177)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IF($J177="","",LEFT($J177,efd_ikincilUzunluk))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IF(VERI_A!A178="","",VERI_A!A178)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IF($B178="","",LEFT($B178,efd_ikincilUzunluk))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IF(VERI_B!A178="","",VERI_B!A178)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IF($J178="","",LEFT($J178,efd_ikincilUzunluk))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IF(VERI_A!A179="","",VERI_A!A179)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IF($B179="","",LEFT($B179,efd_ikincilUzunluk))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IF(VERI_B!A179="","",VERI_B!A179)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IF($J179="","",LEFT($J179,efd_ikincilUzunluk))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IF(VERI_A!A180="","",VERI_A!A180)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IF($B180="","",LEFT($B180,efd_ikincilUzunluk))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IF(VERI_B!A180="","",VERI_B!A180)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IF($J180="","",LEFT($J180,efd_ikincilUzunluk))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IF(VERI_A!A181="","",VERI_A!A181)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IF($B181="","",LEFT($B181,efd_ikincilUzunluk))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IF(VERI_B!A181="","",VERI_B!A181)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IF($J181="","",LEFT($J181,efd_ikincilUzunluk))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IF(VERI_A!A182="","",VERI_A!A182)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IF($B182="","",LEFT($B182,efd_ikincilUzunluk))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IF(VERI_B!A182="","",VERI_B!A182)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IF($J182="","",LEFT($J182,efd_ikincilUzunluk))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IF(VERI_A!A183="","",VERI_A!A183)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IF($B183="","",LEFT($B183,efd_ikincilUzunluk))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IF(VERI_B!A183="","",VERI_B!A183)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IF($J183="","",LEFT($J183,efd_ikincilUzunluk))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IF(VERI_A!A184="","",VERI_A!A184)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IF($B184="","",LEFT($B184,efd_ikincilUzunluk))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IF(VERI_B!A184="","",VERI_B!A184)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IF($J184="","",LEFT($J184,efd_ikincilUzunluk))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IF(VERI_A!A185="","",VERI_A!A185)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IF($B185="","",LEFT($B185,efd_ikincilUzunluk))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IF(VERI_B!A185="","",VERI_B!A185)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IF($J185="","",LEFT($J185,efd_ikincilUzunluk))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IF(VERI_A!A186="","",VERI_A!A186)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IF($B186="","",LEFT($B186,efd_ikincilUzunluk))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IF(VERI_B!A186="","",VERI_B!A186)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IF($J186="","",LEFT($J186,efd_ikincilUzunluk))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IF(VERI_A!A187="","",VERI_A!A187)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IF($B187="","",LEFT($B187,efd_ikincilUzunluk))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IF(VERI_B!A187="","",VERI_B!A187)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IF($J187="","",LEFT($J187,efd_ikincilUzunluk))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IF(VERI_A!A188="","",VERI_A!A188)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IF($B188="","",LEFT($B188,efd_ikincilUzunluk))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IF(VERI_B!A188="","",VERI_B!A188)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IF($J188="","",LEFT($J188,efd_ikincilUzunluk))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IF(VERI_A!A189="","",VERI_A!A189)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IF($B189="","",LEFT($B189,efd_ikincilUzunluk))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IF(VERI_B!A189="","",VERI_B!A189)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IF($J189="","",LEFT($J189,efd_ikincilUzunluk))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IF(VERI_A!A190="","",VERI_A!A190)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IF($B190="","",LEFT($B190,efd_ikincilUzunluk))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IF(VERI_B!A190="","",VERI_B!A190)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IF($J190="","",LEFT($J190,efd_ikincilUzunluk))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IF(VERI_A!A191="","",VERI_A!A191)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IF($B191="","",LEFT($B191,efd_ikincilUzunluk))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IF(VERI_B!A191="","",VERI_B!A191)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IF($J191="","",LEFT($J191,efd_ikincilUzunluk))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IF(VERI_A!A192="","",VERI_A!A192)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IF($B192="","",LEFT($B192,efd_ikincilUzunluk))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IF(VERI_B!A192="","",VERI_B!A192)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IF($J192="","",LEFT($J192,efd_ikincilUzunluk))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IF(VERI_A!A193="","",VERI_A!A193)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IF($B193="","",LEFT($B193,efd_ikincilUzunluk))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IF(VERI_B!A193="","",VERI_B!A193)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IF($J193="","",LEFT($J193,efd_ikincilUzunluk))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IF(VERI_A!A194="","",VERI_A!A194)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IF($B194="","",LEFT($B194,efd_ikincilUzunluk))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IF(VERI_B!A194="","",VERI_B!A194)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IF($J194="","",LEFT($J194,efd_ikincilUzunluk))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IF(VERI_A!A195="","",VERI_A!A195)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IF($B195="","",LEFT($B195,efd_ikincilUzunluk))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IF(VERI_B!A195="","",VERI_B!A195)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IF($J195="","",LEFT($J195,efd_ikincilUzunluk))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IF(VERI_A!A196="","",VERI_A!A196)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IF($B196="","",LEFT($B196,efd_ikincilUzunluk))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IF(VERI_B!A196="","",VERI_B!A196)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IF($J196="","",LEFT($J196,efd_ikincilUzunluk))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IF(VERI_A!A197="","",VERI_A!A197)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IF($B197="","",LEFT($B197,efd_ikincilUzunluk))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IF(VERI_B!A197="","",VERI_B!A197)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IF($J197="","",LEFT($J197,efd_ikincilUzunluk))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IF(VERI_A!A198="","",VERI_A!A198)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IF($B198="","",LEFT($B198,efd_ikincilUzunluk))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IF(VERI_B!A198="","",VERI_B!A198)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IF($J198="","",LEFT($J198,efd_ikincilUzunluk))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IF(VERI_A!A199="","",VERI_A!A199)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IF($B199="","",LEFT($B199,efd_ikincilUzunluk))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IF(VERI_B!A199="","",VERI_B!A199)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IF($J199="","",LEFT($J199,efd_ikincilUzunluk))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IF(VERI_A!A200="","",VERI_A!A200)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IF($B200="","",LEFT($B200,efd_ikincilUzunluk))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IF(VERI_B!A200="","",VERI_B!A200)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IF($J200="","",LEFT($J200,efd_ikincilUzunluk))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IF(VERI_A!A201="","",VERI_A!A201)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IF($B201="","",LEFT($B201,efd_ikincilUzunluk))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IF(VERI_B!A201="","",VERI_B!A201)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IF($J201="","",LEFT($J201,efd_ikincilUzunluk))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IF(VERI_A!A202="","",VERI_A!A202)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IF($B202="","",LEFT($B202,efd_ikincilUzunluk))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IF(VERI_B!A202="","",VERI_B!A202)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IF($J202="","",LEFT($J202,efd_ikincilUzunluk))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IF(VERI_A!A203="","",VERI_A!A203)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IF($B203="","",LEFT($B203,efd_ikincilUzunluk))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IF(VERI_B!A203="","",VERI_B!A203)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IF($J203="","",LEFT($J203,efd_ikincilUzunluk))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IF(VERI_A!A204="","",VERI_A!A204)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IF($B204="","",LEFT($B204,efd_ikincilUzunluk))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IF(VERI_B!A204="","",VERI_B!A204)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IF($J204="","",LEFT($J204,efd_ikincilUzunluk))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IF(VERI_A!A205="","",VERI_A!A205)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IF($B205="","",LEFT($B205,efd_ikincilUzunluk))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IF(VERI_B!A205="","",VERI_B!A205)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IF($J205="","",LEFT($J205,efd_ikincilUzunluk))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IF(VERI_A!A206="","",VERI_A!A206)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IF($B206="","",LEFT($B206,efd_ikincilUzunluk))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IF(VERI_B!A206="","",VERI_B!A206)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IF($J206="","",LEFT($J206,efd_ikincilUzunluk))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IF(VERI_A!A207="","",VERI_A!A207)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IF($B207="","",LEFT($B207,efd_ikincilUzunluk))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IF(VERI_B!A207="","",VERI_B!A207)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IF($J207="","",LEFT($J207,efd_ikincilUzunluk))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IF(VERI_A!A208="","",VERI_A!A208)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IF($B208="","",LEFT($B208,efd_ikincilUzunluk))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IF(VERI_B!A208="","",VERI_B!A208)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IF($J208="","",LEFT($J208,efd_ikincilUzunluk))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IF(VERI_A!A209="","",VERI_A!A209)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IF($B209="","",LEFT($B209,efd_ikincilUzunluk))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IF(VERI_B!A209="","",VERI_B!A209)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IF($J209="","",LEFT($J209,efd_ikincilUzunluk))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IF(VERI_A!A210="","",VERI_A!A210)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IF($B210="","",LEFT($B210,efd_ikincilUzunluk))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IF(VERI_B!A210="","",VERI_B!A210)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IF($J210="","",LEFT($J210,efd_ikincilUzunluk))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IF(VERI_A!A211="","",VERI_A!A211)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IF($B211="","",LEFT($B211,efd_ikincilUzunluk))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IF(VERI_B!A211="","",VERI_B!A211)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IF($J211="","",LEFT($J211,efd_ikincilUzunluk))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IF(VERI_A!A212="","",VERI_A!A212)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IF($B212="","",LEFT($B212,efd_ikincilUzunluk))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IF(VERI_B!A212="","",VERI_B!A212)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IF($J212="","",LEFT($J212,efd_ikincilUzunluk))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IF(VERI_A!A213="","",VERI_A!A213)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IF($B213="","",LEFT($B213,efd_ikincilUzunluk))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IF(VERI_B!A213="","",VERI_B!A213)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IF($J213="","",LEFT($J213,efd_ikincilUzunluk))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IF(VERI_A!A214="","",VERI_A!A214)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IF($B214="","",LEFT($B214,efd_ikincilUzunluk))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IF(VERI_B!A214="","",VERI_B!A214)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IF($J214="","",LEFT($J214,efd_ikincilUzunluk))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IF(VERI_A!A215="","",VERI_A!A215)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IF($B215="","",LEFT($B215,efd_ikincilUzunluk))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IF(VERI_B!A215="","",VERI_B!A215)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IF($J215="","",LEFT($J215,efd_ikincilUzunluk))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IF(VERI_A!A216="","",VERI_A!A216)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IF($B216="","",LEFT($B216,efd_ikincilUzunluk))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IF(VERI_B!A216="","",VERI_B!A216)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IF($J216="","",LEFT($J216,efd_ikincilUzunluk))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IF(VERI_A!A217="","",VERI_A!A217)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IF($B217="","",LEFT($B217,efd_ikincilUzunluk))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IF(VERI_B!A217="","",VERI_B!A217)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IF($J217="","",LEFT($J217,efd_ikincilUzunluk))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IF(VERI_A!A218="","",VERI_A!A218)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IF($B218="","",LEFT($B218,efd_ikincilUzunluk))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IF(VERI_B!A218="","",VERI_B!A218)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IF($J218="","",LEFT($J218,efd_ikincilUzunluk))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IF(VERI_A!A219="","",VERI_A!A219)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IF($B219="","",LEFT($B219,efd_ikincilUzunluk))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IF(VERI_B!A219="","",VERI_B!A219)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IF($J219="","",LEFT($J219,efd_ikincilUzunluk))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IF(VERI_A!A220="","",VERI_A!A220)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IF($B220="","",LEFT($B220,efd_ikincilUzunluk))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IF(VERI_B!A220="","",VERI_B!A220)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IF($J220="","",LEFT($J220,efd_ikincilUzunluk))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IF(VERI_A!A221="","",VERI_A!A221)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IF($B221="","",LEFT($B221,efd_ikincilUzunluk))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IF(VERI_B!A221="","",VERI_B!A221)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IF($J221="","",LEFT($J221,efd_ikincilUzunluk))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IF(VERI_A!A222="","",VERI_A!A222)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IF($B222="","",LEFT($B222,efd_ikincilUzunluk))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IF(VERI_B!A222="","",VERI_B!A222)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IF($J222="","",LEFT($J222,efd_ikincilUzunluk))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IF(VERI_A!A223="","",VERI_A!A223)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IF($B223="","",LEFT($B223,efd_ikincilUzunluk))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IF(VERI_B!A223="","",VERI_B!A223)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IF($J223="","",LEFT($J223,efd_ikincilUzunluk))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IF(VERI_A!A224="","",VERI_A!A224)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IF($B224="","",LEFT($B224,efd_ikincilUzunluk))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IF(VERI_B!A224="","",VERI_B!A224)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IF($J224="","",LEFT($J224,efd_ikincilUzunluk))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IF(VERI_A!A225="","",VERI_A!A225)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IF($B225="","",LEFT($B225,efd_ikincilUzunluk))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IF(VERI_B!A225="","",VERI_B!A225)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IF($J225="","",LEFT($J225,efd_ikincilUzunluk))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IF(VERI_A!A226="","",VERI_A!A226)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IF($B226="","",LEFT($B226,efd_ikincilUzunluk))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IF(VERI_B!A226="","",VERI_B!A226)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IF($J226="","",LEFT($J226,efd_ikincilUzunluk))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IF(VERI_A!A227="","",VERI_A!A227)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IF($B227="","",LEFT($B227,efd_ikincilUzunluk))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IF(VERI_B!A227="","",VERI_B!A227)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IF($J227="","",LEFT($J227,efd_ikincilUzunluk))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IF(VERI_A!A228="","",VERI_A!A228)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IF($B228="","",LEFT($B228,efd_ikincilUzunluk))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IF(VERI_B!A228="","",VERI_B!A228)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IF($J228="","",LEFT($J228,efd_ikincilUzunluk))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IF(VERI_A!A229="","",VERI_A!A229)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IF($B229="","",LEFT($B229,efd_ikincilUzunluk))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IF(VERI_B!A229="","",VERI_B!A229)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IF($J229="","",LEFT($J229,efd_ikincilUzunluk))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IF(VERI_A!A230="","",VERI_A!A230)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IF($B230="","",LEFT($B230,efd_ikincilUzunluk))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IF(VERI_B!A230="","",VERI_B!A230)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IF($J230="","",LEFT($J230,efd_ikincilUzunluk))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IF(VERI_A!A231="","",VERI_A!A231)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IF($B231="","",LEFT($B231,efd_ikincilUzunluk))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IF(VERI_B!A231="","",VERI_B!A231)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IF($J231="","",LEFT($J231,efd_ikincilUzunluk))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IF(VERI_A!A232="","",VERI_A!A232)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IF($B232="","",LEFT($B232,efd_ikincilUzunluk))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IF(VERI_B!A232="","",VERI_B!A232)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IF($J232="","",LEFT($J232,efd_ikincilUzunluk))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IF(VERI_A!A233="","",VERI_A!A233)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IF($B233="","",LEFT($B233,efd_ikincilUzunluk))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IF(VERI_B!A233="","",VERI_B!A233)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IF($J233="","",LEFT($J233,efd_ikincilUzunluk))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IF(VERI_A!A234="","",VERI_A!A234)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IF($B234="","",LEFT($B234,efd_ikincilUzunluk))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IF(VERI_B!A234="","",VERI_B!A234)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IF($J234="","",LEFT($J234,efd_ikincilUzunluk))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IF(VERI_A!A235="","",VERI_A!A235)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IF($B235="","",LEFT($B235,efd_ikincilUzunluk))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IF(VERI_B!A235="","",VERI_B!A235)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IF($J235="","",LEFT($J235,efd_ikincilUzunluk))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IF(VERI_A!A236="","",VERI_A!A236)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IF($B236="","",LEFT($B236,efd_ikincilUzunluk))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IF(VERI_B!A236="","",VERI_B!A236)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IF($J236="","",LEFT($J236,efd_ikincilUzunluk))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IF(VERI_A!A237="","",VERI_A!A237)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IF($B237="","",LEFT($B237,efd_ikincilUzunluk))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IF(VERI_B!A237="","",VERI_B!A237)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IF($J237="","",LEFT($J237,efd_ikincilUzunluk))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IF(VERI_A!A238="","",VERI_A!A238)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IF($B238="","",LEFT($B238,efd_ikincilUzunluk))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IF(VERI_B!A238="","",VERI_B!A238)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IF($J238="","",LEFT($J238,efd_ikincilUzunluk))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IF(VERI_A!A239="","",VERI_A!A239)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IF($B239="","",LEFT($B239,efd_ikincilUzunluk))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IF(VERI_B!A239="","",VERI_B!A239)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IF($J239="","",LEFT($J239,efd_ikincilUzunluk))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IF(VERI_A!A240="","",VERI_A!A240)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IF($B240="","",LEFT($B240,efd_ikincilUzunluk))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IF(VERI_B!A240="","",VERI_B!A240)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IF($J240="","",LEFT($J240,efd_ikincilUzunluk))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IF(VERI_A!A241="","",VERI_A!A241)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IF($B241="","",LEFT($B241,efd_ikincilUzunluk))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IF(VERI_B!A241="","",VERI_B!A241)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IF($J241="","",LEFT($J241,efd_ikincilUzunluk))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IF(VERI_A!A242="","",VERI_A!A242)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IF($B242="","",LEFT($B242,efd_ikincilUzunluk))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IF(VERI_B!A242="","",VERI_B!A242)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IF($J242="","",LEFT($J242,efd_ikincilUzunluk))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IF(VERI_A!A243="","",VERI_A!A243)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IF($B243="","",LEFT($B243,efd_ikincilUzunluk))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IF(VERI_B!A243="","",VERI_B!A243)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IF($J243="","",LEFT($J243,efd_ikincilUzunluk))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IF(VERI_A!A244="","",VERI_A!A244)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IF($B244="","",LEFT($B244,efd_ikincilUzunluk))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IF(VERI_B!A244="","",VERI_B!A244)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IF($J244="","",LEFT($J244,efd_ikincilUzunluk))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IF(VERI_A!A245="","",VERI_A!A245)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IF($B245="","",LEFT($B245,efd_ikincilUzunluk))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IF(VERI_B!A245="","",VERI_B!A245)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IF($J245="","",LEFT($J245,efd_ikincilUzunluk))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IF(VERI_A!A246="","",VERI_A!A246)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IF($B246="","",LEFT($B246,efd_ikincilUzunluk))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IF(VERI_B!A246="","",VERI_B!A246)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IF($J246="","",LEFT($J246,efd_ikincilUzunluk))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IF(VERI_A!A247="","",VERI_A!A247)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IF($B247="","",LEFT($B247,efd_ikincilUzunluk))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IF(VERI_B!A247="","",VERI_B!A247)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IF($J247="","",LEFT($J247,efd_ikincilUzunluk))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IF(VERI_A!A248="","",VERI_A!A248)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IF($B248="","",LEFT($B248,efd_ikincilUzunluk))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IF(VERI_B!A248="","",VERI_B!A248)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IF($J248="","",LEFT($J248,efd_ikincilUzunluk))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IF(VERI_A!A249="","",VERI_A!A249)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IF($B249="","",LEFT($B249,efd_ikincilUzunluk))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IF(VERI_B!A249="","",VERI_B!A249)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IF($J249="","",LEFT($J249,efd_ikincilUzunluk))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IF(VERI_A!A250="","",VERI_A!A250)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IF($B250="","",LEFT($B250,efd_ikincilUzunluk))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IF(VERI_B!A250="","",VERI_B!A250)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IF($J250="","",LEFT($J250,efd_ikincilUzunluk))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IF(VERI_A!A251="","",VERI_A!A251)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IF($B251="","",LEFT($B251,efd_ikincilUzunluk))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IF(VERI_B!A251="","",VERI_B!A251)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IF($J251="","",LEFT($J251,efd_ikincilUzunluk))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IF(VERI_A!A252="","",VERI_A!A252)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IF($B252="","",LEFT($B252,efd_ikincilUzunluk))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IF(VERI_B!A252="","",VERI_B!A252)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IF($J252="","",LEFT($J252,efd_ikincilUzunluk))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IF(VERI_A!A253="","",VERI_A!A253)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IF($B253="","",LEFT($B253,efd_ikincilUzunluk))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IF(VERI_B!A253="","",VERI_B!A253)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IF($J253="","",LEFT($J253,efd_ikincilUzunluk))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IF(VERI_A!A254="","",VERI_A!A254)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IF($B254="","",LEFT($B254,efd_ikincilUzunluk))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IF(VERI_B!A254="","",VERI_B!A254)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IF($J254="","",LEFT($J254,efd_ikincilUzunluk))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IF(VERI_A!A255="","",VERI_A!A255)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IF($B255="","",LEFT($B255,efd_ikincilUzunluk))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IF(VERI_B!A255="","",VERI_B!A255)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IF($J255="","",LEFT($J255,efd_ikincilUzunluk))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IF(VERI_A!A256="","",VERI_A!A256)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IF($B256="","",LEFT($B256,efd_ikincilUzunluk))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IF(VERI_B!A256="","",VERI_B!A256)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IF($J256="","",LEFT($J256,efd_ikincilUzunluk))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IF(VERI_A!A257="","",VERI_A!A257)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IF($B257="","",LEFT($B257,efd_ikincilUzunluk))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IF(VERI_B!A257="","",VERI_B!A257)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IF($J257="","",LEFT($J257,efd_ikincilUzunluk))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IF(VERI_A!A258="","",VERI_A!A258)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IF($B258="","",LEFT($B258,efd_ikincilUzunluk))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IF(VERI_B!A258="","",VERI_B!A258)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IF($J258="","",LEFT($J258,efd_ikincilUzunluk))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IF(VERI_A!A259="","",VERI_A!A259)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IF($B259="","",LEFT($B259,efd_ikincilUzunluk))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IF(VERI_B!A259="","",VERI_B!A259)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IF($J259="","",LEFT($J259,efd_ikincilUzunluk))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IF(VERI_A!A260="","",VERI_A!A260)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IF($B260="","",LEFT($B260,efd_ikincilUzunluk))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IF(VERI_B!A260="","",VERI_B!A260)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IF($J260="","",LEFT($J260,efd_ikincilUzunluk))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IF(VERI_A!A261="","",VERI_A!A261)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IF($B261="","",LEFT($B261,efd_ikincilUzunluk))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IF(VERI_B!A261="","",VERI_B!A261)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IF($J261="","",LEFT($J261,efd_ikincilUzunluk))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IF(VERI_A!A262="","",VERI_A!A262)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IF($B262="","",LEFT($B262,efd_ikincilUzunluk))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IF(VERI_B!A262="","",VERI_B!A262)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IF($J262="","",LEFT($J262,efd_ikincilUzunluk))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IF(VERI_A!A263="","",VERI_A!A263)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IF($B263="","",LEFT($B263,efd_ikincilUzunluk))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IF(VERI_B!A263="","",VERI_B!A263)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IF($J263="","",LEFT($J263,efd_ikincilUzunluk))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IF(VERI_A!A264="","",VERI_A!A264)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IF($B264="","",LEFT($B264,efd_ikincilUzunluk))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IF(VERI_B!A264="","",VERI_B!A264)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IF($J264="","",LEFT($J264,efd_ikincilUzunluk))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IF(VERI_A!A265="","",VERI_A!A265)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IF($B265="","",LEFT($B265,efd_ikincilUzunluk))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IF(VERI_B!A265="","",VERI_B!A265)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IF($J265="","",LEFT($J265,efd_ikincilUzunluk))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IF(VERI_A!A266="","",VERI_A!A266)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IF($B266="","",LEFT($B266,efd_ikincilUzunluk))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IF(VERI_B!A266="","",VERI_B!A266)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IF($J266="","",LEFT($J266,efd_ikincilUzunluk))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IF(VERI_A!A267="","",VERI_A!A267)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IF($B267="","",LEFT($B267,efd_ikincilUzunluk))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IF(VERI_B!A267="","",VERI_B!A267)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IF($J267="","",LEFT($J267,efd_ikincilUzunluk))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IF(VERI_A!A268="","",VERI_A!A268)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IF($B268="","",LEFT($B268,efd_ikincilUzunluk))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IF(VERI_B!A268="","",VERI_B!A268)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IF($J268="","",LEFT($J268,efd_ikincilUzunluk))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IF(VERI_A!A269="","",VERI_A!A269)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IF($B269="","",LEFT($B269,efd_ikincilUzunluk))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IF(VERI_B!A269="","",VERI_B!A269)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IF($J269="","",LEFT($J269,efd_ikincilUzunluk))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IF(VERI_A!A270="","",VERI_A!A270)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IF($B270="","",LEFT($B270,efd_ikincilUzunluk))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IF(VERI_B!A270="","",VERI_B!A270)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IF($J270="","",LEFT($J270,efd_ikincilUzunluk))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IF(VERI_A!A271="","",VERI_A!A271)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IF($B271="","",LEFT($B271,efd_ikincilUzunluk))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IF(VERI_B!A271="","",VERI_B!A271)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IF($J271="","",LEFT($J271,efd_ikincilUzunluk))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IF(VERI_A!A272="","",VERI_A!A272)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IF($B272="","",LEFT($B272,efd_ikincilUzunluk))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IF(VERI_B!A272="","",VERI_B!A272)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IF($J272="","",LEFT($J272,efd_ikincilUzunluk))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IF(VERI_A!A273="","",VERI_A!A273)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IF($B273="","",LEFT($B273,efd_ikincilUzunluk))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IF(VERI_B!A273="","",VERI_B!A273)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IF($J273="","",LEFT($J273,efd_ikincilUzunluk))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IF(VERI_A!A274="","",VERI_A!A274)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IF($B274="","",LEFT($B274,efd_ikincilUzunluk))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IF(VERI_B!A274="","",VERI_B!A274)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IF($J274="","",LEFT($J274,efd_ikincilUzunluk))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IF(VERI_A!A275="","",VERI_A!A275)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IF($B275="","",LEFT($B275,efd_ikincilUzunluk))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IF(VERI_B!A275="","",VERI_B!A275)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IF($J275="","",LEFT($J275,efd_ikincilUzunluk))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IF(VERI_A!A276="","",VERI_A!A276)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IF($B276="","",LEFT($B276,efd_ikincilUzunluk))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IF(VERI_B!A276="","",VERI_B!A276)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IF($J276="","",LEFT($J276,efd_ikincilUzunluk))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IF(VERI_A!A277="","",VERI_A!A277)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IF($B277="","",LEFT($B277,efd_ikincilUzunluk))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IF(VERI_B!A277="","",VERI_B!A277)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IF($J277="","",LEFT($J277,efd_ikincilUzunluk))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IF(VERI_A!A278="","",VERI_A!A278)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IF($B278="","",LEFT($B278,efd_ikincilUzunluk))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IF(VERI_B!A278="","",VERI_B!A278)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IF($J278="","",LEFT($J278,efd_ikincilUzunluk))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IF(VERI_A!A279="","",VERI_A!A279)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IF($B279="","",LEFT($B279,efd_ikincilUzunluk))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IF(VERI_B!A279="","",VERI_B!A279)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IF($J279="","",LEFT($J279,efd_ikincilUzunluk))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IF(VERI_A!A280="","",VERI_A!A280)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IF($B280="","",LEFT($B280,efd_ikincilUzunluk))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IF(VERI_B!A280="","",VERI_B!A280)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IF($J280="","",LEFT($J280,efd_ikincilUzunluk))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IF(VERI_A!A281="","",VERI_A!A281)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IF($B281="","",LEFT($B281,efd_ikincilUzunluk))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IF(VERI_B!A281="","",VERI_B!A281)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IF($J281="","",LEFT($J281,efd_ikincilUzunluk))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IF(VERI_A!A282="","",VERI_A!A282)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IF($B282="","",LEFT($B282,efd_ikincilUzunluk))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IF(VERI_B!A282="","",VERI_B!A282)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IF($J282="","",LEFT($J282,efd_ikincilUzunluk))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IF(VERI_A!A283="","",VERI_A!A283)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IF($B283="","",LEFT($B283,efd_ikincilUzunluk))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IF(VERI_B!A283="","",VERI_B!A283)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IF($J283="","",LEFT($J283,efd_ikincilUzunluk))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IF(VERI_A!A284="","",VERI_A!A284)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IF($B284="","",LEFT($B284,efd_ikincilUzunluk))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IF(VERI_B!A284="","",VERI_B!A284)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IF($J284="","",LEFT($J284,efd_ikincilUzunluk))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IF(VERI_A!A285="","",VERI_A!A285)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IF($B285="","",LEFT($B285,efd_ikincilUzunluk))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IF(VERI_B!A285="","",VERI_B!A285)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IF($J285="","",LEFT($J285,efd_ikincilUzunluk))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IF(VERI_A!A286="","",VERI_A!A286)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IF($B286="","",LEFT($B286,efd_ikincilUzunluk))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IF(VERI_B!A286="","",VERI_B!A286)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IF($J286="","",LEFT($J286,efd_ikincilUzunluk))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IF(VERI_A!A287="","",VERI_A!A287)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IF($B287="","",LEFT($B287,efd_ikincilUzunluk))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IF(VERI_B!A287="","",VERI_B!A287)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IF($J287="","",LEFT($J287,efd_ikincilUzunluk))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IF(VERI_A!A288="","",VERI_A!A288)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IF($B288="","",LEFT($B288,efd_ikincilUzunluk))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IF(VERI_B!A288="","",VERI_B!A288)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IF($J288="","",LEFT($J288,efd_ikincilUzunluk))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IF(VERI_A!A289="","",VERI_A!A289)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IF($B289="","",LEFT($B289,efd_ikincilUzunluk))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IF(VERI_B!A289="","",VERI_B!A289)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IF($J289="","",LEFT($J289,efd_ikincilUzunluk))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IF(VERI_A!A290="","",VERI_A!A290)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IF($B290="","",LEFT($B290,efd_ikincilUzunluk))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IF(VERI_B!A290="","",VERI_B!A290)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IF($J290="","",LEFT($J290,efd_ikincilUzunluk))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IF(VERI_A!A291="","",VERI_A!A291)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IF($B291="","",LEFT($B291,efd_ikincilUzunluk))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IF(VERI_B!A291="","",VERI_B!A291)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IF($J291="","",LEFT($J291,efd_ikincilUzunluk))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IF(VERI_A!A292="","",VERI_A!A292)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IF($B292="","",LEFT($B292,efd_ikincilUzunluk))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IF(VERI_B!A292="","",VERI_B!A292)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IF($J292="","",LEFT($J292,efd_ikincilUzunluk))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IF(VERI_A!A293="","",VERI_A!A293)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IF($B293="","",LEFT($B293,efd_ikincilUzunluk))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IF(VERI_B!A293="","",VERI_B!A293)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IF($J293="","",LEFT($J293,efd_ikincilUzunluk))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IF(VERI_A!A294="","",VERI_A!A294)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IF($B294="","",LEFT($B294,efd_ikincilUzunluk))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IF(VERI_B!A294="","",VERI_B!A294)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IF($J294="","",LEFT($J294,efd_ikincilUzunluk))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IF(VERI_A!A295="","",VERI_A!A295)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IF($B295="","",LEFT($B295,efd_ikincilUzunluk))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IF(VERI_B!A295="","",VERI_B!A295)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IF($J295="","",LEFT($J295,efd_ikincilUzunluk))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IF(VERI_A!A296="","",VERI_A!A296)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IF($B296="","",LEFT($B296,efd_ikincilUzunluk))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IF(VERI_B!A296="","",VERI_B!A296)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IF($J296="","",LEFT($J296,efd_ikincilUzunluk))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IF(VERI_A!A297="","",VERI_A!A297)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IF($B297="","",LEFT($B297,efd_ikincilUzunluk))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IF(VERI_B!A297="","",VERI_B!A297)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IF($J297="","",LEFT($J297,efd_ikincilUzunluk))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IF(VERI_A!A298="","",VERI_A!A298)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IF($B298="","",LEFT($B298,efd_ikincilUzunluk))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IF(VERI_B!A298="","",VERI_B!A298)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IF($J298="","",LEFT($J298,efd_ikincilUzunluk))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IF(VERI_A!A299="","",VERI_A!A299)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IF($B299="","",LEFT($B299,efd_ikincilUzunluk))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IF(VERI_B!A299="","",VERI_B!A299)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IF($J299="","",LEFT($J299,efd_ikincilUzunluk))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IF(VERI_A!A300="","",VERI_A!A300)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IF($B300="","",LEFT($B300,efd_ikincilUzunluk))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IF(VERI_B!A300="","",VERI_B!A300)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IF($J300="","",LEFT($J300,efd_ikincilUzunluk))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IF(VERI_A!A301="","",VERI_A!A301)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IF($B301="","",LEFT($B301,efd_ikincilUzunluk))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IF(VERI_B!A301="","",VERI_B!A301)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IF($J301="","",LEFT($J301,efd_ikincilUzunluk))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IF(VERI_A!A302="","",VERI_A!A302)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IF($B302="","",LEFT($B302,efd_ikincilUzunluk))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IF(VERI_B!A302="","",VERI_B!A302)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IF($J302="","",LEFT($J302,efd_ikincilUzunluk))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IF(VERI_A!A303="","",VERI_A!A303)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IF($B303="","",LEFT($B303,efd_ikincilUzunluk))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IF(VERI_B!A303="","",VERI_B!A303)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IF($J303="","",LEFT($J303,efd_ikincilUzunluk))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IF(VERI_A!A304="","",VERI_A!A304)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IF($B304="","",LEFT($B304,efd_ikincilUzunluk))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IF(VERI_B!A304="","",VERI_B!A304)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IF($J304="","",LEFT($J304,efd_ikincilUzunluk))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IF(VERI_A!A305="","",VERI_A!A305)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IF($B305="","",LEFT($B305,efd_ikincilUzunluk))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IF(VERI_B!A305="","",VERI_B!A305)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IF($J305="","",LEFT($J305,efd_ikincilUzunluk))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IF(VERI_A!A306="","",VERI_A!A306)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IF($B306="","",LEFT($B306,efd_ikincilUzunluk))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IF(VERI_B!A306="","",VERI_B!A306)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IF($J306="","",LEFT($J306,efd_ikincilUzunluk))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IF(VERI_A!A307="","",VERI_A!A307)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IF($B307="","",LEFT($B307,efd_ikincilUzunluk))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IF(VERI_B!A307="","",VERI_B!A307)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IF($J307="","",LEFT($J307,efd_ikincilUzunluk))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IF(VERI_A!A308="","",VERI_A!A308)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IF($B308="","",LEFT($B308,efd_ikincilUzunluk))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IF(VERI_B!A308="","",VERI_B!A308)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IF($J308="","",LEFT($J308,efd_ikincilUzunluk))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IF(VERI_A!A309="","",VERI_A!A309)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IF($B309="","",LEFT($B309,efd_ikincilUzunluk))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IF(VERI_B!A309="","",VERI_B!A309)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IF($J309="","",LEFT($J309,efd_ikincilUzunluk))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IF(VERI_A!A310="","",VERI_A!A310)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IF($B310="","",LEFT($B310,efd_ikincilUzunluk))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IF(VERI_B!A310="","",VERI_B!A310)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IF($J310="","",LEFT($J310,efd_ikincilUzunluk))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IF(VERI_A!A311="","",VERI_A!A311)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IF($B311="","",LEFT($B311,efd_ikincilUzunluk))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IF(VERI_B!A311="","",VERI_B!A311)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IF($J311="","",LEFT($J311,efd_ikincilUzunluk))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IF(VERI_A!A312="","",VERI_A!A312)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IF($B312="","",LEFT($B312,efd_ikincilUzunluk))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IF(VERI_B!A312="","",VERI_B!A312)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IF($J312="","",LEFT($J312,efd_ikincilUzunluk))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IF(VERI_A!A313="","",VERI_A!A313)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IF($B313="","",LEFT($B313,efd_ikincilUzunluk))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IF(VERI_B!A313="","",VERI_B!A313)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IF($J313="","",LEFT($J313,efd_ikincilUzunluk))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IF(VERI_A!A314="","",VERI_A!A314)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IF($B314="","",LEFT($B314,efd_ikincilUzunluk))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IF(VERI_B!A314="","",VERI_B!A314)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IF($J314="","",LEFT($J314,efd_ikincilUzunluk))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IF(VERI_A!A315="","",VERI_A!A315)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IF($B315="","",LEFT($B315,efd_ikincilUzunluk))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IF(VERI_B!A315="","",VERI_B!A315)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IF($J315="","",LEFT($J315,efd_ikincilUzunluk))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IF(VERI_A!A316="","",VERI_A!A316)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IF($B316="","",LEFT($B316,efd_ikincilUzunluk))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IF(VERI_B!A316="","",VERI_B!A316)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IF($J316="","",LEFT($J316,efd_ikincilUzunluk))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IF(VERI_A!A317="","",VERI_A!A317)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IF($B317="","",LEFT($B317,efd_ikincilUzunluk))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IF(VERI_B!A317="","",VERI_B!A317)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IF($J317="","",LEFT($J317,efd_ikincilUzunluk))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IF(VERI_A!A318="","",VERI_A!A318)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IF($B318="","",LEFT($B318,efd_ikincilUzunluk))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IF(VERI_B!A318="","",VERI_B!A318)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IF($J318="","",LEFT($J318,efd_ikincilUzunluk))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IF(VERI_A!A319="","",VERI_A!A319)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IF($B319="","",LEFT($B319,efd_ikincilUzunluk))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IF(VERI_B!A319="","",VERI_B!A319)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IF($J319="","",LEFT($J319,efd_ikincilUzunluk))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IF(VERI_A!A320="","",VERI_A!A320)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IF($B320="","",LEFT($B320,efd_ikincilUzunluk))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IF(VERI_B!A320="","",VERI_B!A320)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IF($J320="","",LEFT($J320,efd_ikincilUzunluk))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IF(VERI_A!A321="","",VERI_A!A321)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IF($B321="","",LEFT($B321,efd_ikincilUzunluk))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IF(VERI_B!A321="","",VERI_B!A321)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IF($J321="","",LEFT($J321,efd_ikincilUzunluk))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IF(VERI_A!A322="","",VERI_A!A322)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IF($B322="","",LEFT($B322,efd_ikincilUzunluk))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IF(VERI_B!A322="","",VERI_B!A322)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IF($J322="","",LEFT($J322,efd_ikincilUzunluk))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IF(VERI_A!A323="","",VERI_A!A323)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IF($B323="","",LEFT($B323,efd_ikincilUzunluk))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IF(VERI_B!A323="","",VERI_B!A323)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IF($J323="","",LEFT($J323,efd_ikincilUzunluk))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IF(VERI_A!A324="","",VERI_A!A324)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IF($B324="","",LEFT($B324,efd_ikincilUzunluk))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IF(VERI_B!A324="","",VERI_B!A324)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IF($J324="","",LEFT($J324,efd_ikincilUzunluk))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IF(VERI_A!A325="","",VERI_A!A325)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IF($B325="","",LEFT($B325,efd_ikincilUzunluk))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IF(VERI_B!A325="","",VERI_B!A325)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IF($J325="","",LEFT($J325,efd_ikincilUzunluk))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IF(VERI_A!A326="","",VERI_A!A326)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IF($B326="","",LEFT($B326,efd_ikincilUzunluk))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IF(VERI_B!A326="","",VERI_B!A326)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IF($J326="","",LEFT($J326,efd_ikincilUzunluk))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IF(VERI_A!A327="","",VERI_A!A327)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IF($B327="","",LEFT($B327,efd_ikincilUzunluk))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IF(VERI_B!A327="","",VERI_B!A327)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IF($J327="","",LEFT($J327,efd_ikincilUzunluk))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IF(VERI_A!A328="","",VERI_A!A328)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IF($B328="","",LEFT($B328,efd_ikincilUzunluk))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IF(VERI_B!A328="","",VERI_B!A328)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IF($J328="","",LEFT($J328,efd_ikincilUzunluk))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IF(VERI_A!A329="","",VERI_A!A329)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IF($B329="","",LEFT($B329,efd_ikincilUzunluk))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IF(VERI_B!A329="","",VERI_B!A329)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IF($J329="","",LEFT($J329,efd_ikincilUzunluk))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IF(VERI_A!A330="","",VERI_A!A330)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IF($B330="","",LEFT($B330,efd_ikincilUzunluk))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IF(VERI_B!A330="","",VERI_B!A330)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IF($J330="","",LEFT($J330,efd_ikincilUzunluk))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IF(VERI_A!A331="","",VERI_A!A331)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IF($B331="","",LEFT($B331,efd_ikincilUzunluk))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IF(VERI_B!A331="","",VERI_B!A331)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IF($J331="","",LEFT($J331,efd_ikincilUzunluk))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IF(VERI_A!A332="","",VERI_A!A332)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IF($B332="","",LEFT($B332,efd_ikincilUzunluk))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IF(VERI_B!A332="","",VERI_B!A332)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IF($J332="","",LEFT($J332,efd_ikincilUzunluk))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IF(VERI_A!A333="","",VERI_A!A333)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IF($B333="","",LEFT($B333,efd_ikincilUzunluk))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IF(VERI_B!A333="","",VERI_B!A333)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IF($J333="","",LEFT($J333,efd_ikincilUzunluk))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IF(VERI_A!A334="","",VERI_A!A334)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IF($B334="","",LEFT($B334,efd_ikincilUzunluk))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IF(VERI_B!A334="","",VERI_B!A334)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IF($J334="","",LEFT($J334,efd_ikincilUzunluk))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IF(VERI_A!A335="","",VERI_A!A335)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IF($B335="","",LEFT($B335,efd_ikincilUzunluk))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IF(VERI_B!A335="","",VERI_B!A335)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IF($J335="","",LEFT($J335,efd_ikincilUzunluk))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IF(VERI_A!A336="","",VERI_A!A336)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IF($B336="","",LEFT($B336,efd_ikincilUzunluk))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IF(VERI_B!A336="","",VERI_B!A336)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IF($J336="","",LEFT($J336,efd_ikincilUzunluk))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IF(VERI_A!A337="","",VERI_A!A337)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IF($B337="","",LEFT($B337,efd_ikincilUzunluk))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IF(VERI_B!A337="","",VERI_B!A337)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IF($J337="","",LEFT($J337,efd_ikincilUzunluk))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IF(VERI_A!A338="","",VERI_A!A338)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IF($B338="","",LEFT($B338,efd_ikincilUzunluk))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IF(VERI_B!A338="","",VERI_B!A338)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IF($J338="","",LEFT($J338,efd_ikincilUzunluk))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IF(VERI_A!A339="","",VERI_A!A339)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IF($B339="","",LEFT($B339,efd_ikincilUzunluk))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IF(VERI_B!A339="","",VERI_B!A339)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IF($J339="","",LEFT($J339,efd_ikincilUzunluk))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IF(VERI_A!A340="","",VERI_A!A340)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IF($B340="","",LEFT($B340,efd_ikincilUzunluk))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IF(VERI_B!A340="","",VERI_B!A340)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IF($J340="","",LEFT($J340,efd_ikincilUzunluk))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IF(VERI_A!A341="","",VERI_A!A341)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IF($B341="","",LEFT($B341,efd_ikincilUzunluk))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IF(VERI_B!A341="","",VERI_B!A341)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IF($J341="","",LEFT($J341,efd_ikincilUzunluk))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IF(VERI_A!A342="","",VERI_A!A342)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IF($B342="","",LEFT($B342,efd_ikincilUzunluk))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IF(VERI_B!A342="","",VERI_B!A342)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IF($J342="","",LEFT($J342,efd_ikincilUzunluk))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IF(VERI_A!A343="","",VERI_A!A343)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IF($B343="","",LEFT($B343,efd_ikincilUzunluk))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IF(VERI_B!A343="","",VERI_B!A343)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IF($J343="","",LEFT($J343,efd_ikincilUzunluk))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IF(VERI_A!A344="","",VERI_A!A344)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IF($B344="","",LEFT($B344,efd_ikincilUzunluk))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IF(VERI_B!A344="","",VERI_B!A344)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IF($J344="","",LEFT($J344,efd_ikincilUzunluk))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IF(VERI_A!A345="","",VERI_A!A345)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IF($B345="","",LEFT($B345,efd_ikincilUzunluk))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IF(VERI_B!A345="","",VERI_B!A345)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IF($J345="","",LEFT($J345,efd_ikincilUzunluk))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IF(VERI_A!A346="","",VERI_A!A346)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IF($B346="","",LEFT($B346,efd_ikincilUzunluk))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IF(VERI_B!A346="","",VERI_B!A346)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IF($J346="","",LEFT($J346,efd_ikincilUzunluk))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IF(VERI_A!A347="","",VERI_A!A347)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IF($B347="","",LEFT($B347,efd_ikincilUzunluk))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IF(VERI_B!A347="","",VERI_B!A347)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IF($J347="","",LEFT($J347,efd_ikincilUzunluk))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IF(VERI_A!A348="","",VERI_A!A348)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IF($B348="","",LEFT($B348,efd_ikincilUzunluk))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IF(VERI_B!A348="","",VERI_B!A348)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IF($J348="","",LEFT($J348,efd_ikincilUzunluk))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IF(VERI_A!A349="","",VERI_A!A349)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IF($B349="","",LEFT($B349,efd_ikincilUzunluk))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IF(VERI_B!A349="","",VERI_B!A349)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IF($J349="","",LEFT($J349,efd_ikincilUzunluk))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IF(VERI_A!A350="","",VERI_A!A350)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IF($B350="","",LEFT($B350,efd_ikincilUzunluk))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IF(VERI_B!A350="","",VERI_B!A350)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IF($J350="","",LEFT($J350,efd_ikincilUzunluk))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IF(VERI_A!A351="","",VERI_A!A351)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IF($B351="","",LEFT($B351,efd_ikincilUzunluk))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IF(VERI_B!A351="","",VERI_B!A351)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IF($J351="","",LEFT($J351,efd_ikincilUzunluk))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IF(VERI_A!A352="","",VERI_A!A352)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IF($B352="","",LEFT($B352,efd_ikincilUzunluk))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IF(VERI_B!A352="","",VERI_B!A352)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IF($J352="","",LEFT($J352,efd_ikincilUzunluk))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IF(VERI_A!A353="","",VERI_A!A353)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IF($B353="","",LEFT($B353,efd_ikincilUzunluk))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IF(VERI_B!A353="","",VERI_B!A353)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IF($J353="","",LEFT($J353,efd_ikincilUzunluk))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IF(VERI_A!A354="","",VERI_A!A354)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IF($B354="","",LEFT($B354,efd_ikincilUzunluk))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IF(VERI_B!A354="","",VERI_B!A354)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IF($J354="","",LEFT($J354,efd_ikincilUzunluk))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IF(VERI_A!A355="","",VERI_A!A355)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IF($B355="","",LEFT($B355,efd_ikincilUzunluk))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IF(VERI_B!A355="","",VERI_B!A355)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IF($J355="","",LEFT($J355,efd_ikincilUzunluk))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IF(VERI_A!A356="","",VERI_A!A356)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IF($B356="","",LEFT($B356,efd_ikincilUzunluk))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IF(VERI_B!A356="","",VERI_B!A356)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IF($J356="","",LEFT($J356,efd_ikincilUzunluk))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IF(VERI_A!A357="","",VERI_A!A357)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IF($B357="","",LEFT($B357,efd_ikincilUzunluk))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IF(VERI_B!A357="","",VERI_B!A357)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IF($J357="","",LEFT($J357,efd_ikincilUzunluk))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IF(VERI_A!A358="","",VERI_A!A358)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IF($B358="","",LEFT($B358,efd_ikincilUzunluk))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IF(VERI_B!A358="","",VERI_B!A358)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IF($J358="","",LEFT($J358,efd_ikincilUzunluk))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IF(VERI_A!A359="","",VERI_A!A359)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IF($B359="","",LEFT($B359,efd_ikincilUzunluk))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IF(VERI_B!A359="","",VERI_B!A359)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IF($J359="","",LEFT($J359,efd_ikincilUzunluk))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IF(VERI_A!A360="","",VERI_A!A360)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IF($B360="","",LEFT($B360,efd_ikincilUzunluk))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IF(VERI_B!A360="","",VERI_B!A360)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IF($J360="","",LEFT($J360,efd_ikincilUzunluk))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IF(VERI_A!A361="","",VERI_A!A361)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IF($B361="","",LEFT($B361,efd_ikincilUzunluk))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IF(VERI_B!A361="","",VERI_B!A361)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IF($J361="","",LEFT($J361,efd_ikincilUzunluk))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IF(VERI_A!A362="","",VERI_A!A362)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IF($B362="","",LEFT($B362,efd_ikincilUzunluk))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IF(VERI_B!A362="","",VERI_B!A362)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IF($J362="","",LEFT($J362,efd_ikincilUzunluk))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IF(VERI_A!A363="","",VERI_A!A363)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IF($B363="","",LEFT($B363,efd_ikincilUzunluk))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IF(VERI_B!A363="","",VERI_B!A363)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IF($J363="","",LEFT($J363,efd_ikincilUzunluk))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IF(VERI_A!A364="","",VERI_A!A364)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IF($B364="","",LEFT($B364,efd_ikincilUzunluk))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IF(VERI_B!A364="","",VERI_B!A364)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IF($J364="","",LEFT($J364,efd_ikincilUzunluk))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IF(VERI_A!A365="","",VERI_A!A365)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IF($B365="","",LEFT($B365,efd_ikincilUzunluk))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IF(VERI_B!A365="","",VERI_B!A365)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IF($J365="","",LEFT($J365,efd_ikincilUzunluk))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IF(VERI_A!A366="","",VERI_A!A366)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IF($B366="","",LEFT($B366,efd_ikincilUzunluk))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IF(VERI_B!A366="","",VERI_B!A366)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IF($J366="","",LEFT($J366,efd_ikincilUzunluk))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IF(VERI_A!A367="","",VERI_A!A367)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IF($B367="","",LEFT($B367,efd_ikincilUzunluk))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IF(VERI_B!A367="","",VERI_B!A367)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IF($J367="","",LEFT($J367,efd_ikincilUzunluk))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IF(VERI_A!A368="","",VERI_A!A368)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IF($B368="","",LEFT($B368,efd_ikincilUzunluk))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IF(VERI_B!A368="","",VERI_B!A368)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IF($J368="","",LEFT($J368,efd_ikincilUzunluk))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IF(VERI_A!A369="","",VERI_A!A369)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IF($B369="","",LEFT($B369,efd_ikincilUzunluk))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IF(VERI_B!A369="","",VERI_B!A369)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IF($J369="","",LEFT($J369,efd_ikincilUzunluk))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IF(VERI_A!A370="","",VERI_A!A370)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IF($B370="","",LEFT($B370,efd_ikincilUzunluk))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IF(VERI_B!A370="","",VERI_B!A370)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IF($J370="","",LEFT($J370,efd_ikincilUzunluk))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IF(VERI_A!A371="","",VERI_A!A371)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IF($B371="","",LEFT($B371,efd_ikincilUzunluk))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IF(VERI_B!A371="","",VERI_B!A371)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IF($J371="","",LEFT($J371,efd_ikincilUzunluk))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IF(VERI_A!A372="","",VERI_A!A372)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IF($B372="","",LEFT($B372,efd_ikincilUzunluk))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IF(VERI_B!A372="","",VERI_B!A372)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IF($J372="","",LEFT($J372,efd_ikincilUzunluk))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IF(VERI_A!A373="","",VERI_A!A373)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IF($B373="","",LEFT($B373,efd_ikincilUzunluk))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IF(VERI_B!A373="","",VERI_B!A373)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IF($J373="","",LEFT($J373,efd_ikincilUzunluk))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IF(VERI_A!A374="","",VERI_A!A374)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IF($B374="","",LEFT($B374,efd_ikincilUzunluk))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IF(VERI_B!A374="","",VERI_B!A374)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IF($J374="","",LEFT($J374,efd_ikincilUzunluk))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IF(VERI_A!A375="","",VERI_A!A375)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IF($B375="","",LEFT($B375,efd_ikincilUzunluk))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IF(VERI_B!A375="","",VERI_B!A375)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IF($J375="","",LEFT($J375,efd_ikincilUzunluk))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IF(VERI_A!A376="","",VERI_A!A376)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IF($B376="","",LEFT($B376,efd_ikincilUzunluk))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IF(VERI_B!A376="","",VERI_B!A376)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IF($J376="","",LEFT($J376,efd_ikincilUzunluk))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IF(VERI_A!A377="","",VERI_A!A377)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IF($B377="","",LEFT($B377,efd_ikincilUzunluk))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IF(VERI_B!A377="","",VERI_B!A377)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IF($J377="","",LEFT($J377,efd_ikincilUzunluk))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IF(VERI_A!A378="","",VERI_A!A378)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IF($B378="","",LEFT($B378,efd_ikincilUzunluk))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IF(VERI_B!A378="","",VERI_B!A378)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IF($J378="","",LEFT($J378,efd_ikincilUzunluk))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IF(VERI_A!A379="","",VERI_A!A379)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IF($B379="","",LEFT($B379,efd_ikincilUzunluk))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IF(VERI_B!A379="","",VERI_B!A379)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IF($J379="","",LEFT($J379,efd_ikincilUzunluk))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IF(VERI_A!A380="","",VERI_A!A380)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IF($B380="","",LEFT($B380,efd_ikincilUzunluk))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IF(VERI_B!A380="","",VERI_B!A380)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IF($J380="","",LEFT($J380,efd_ikincilUzunluk))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IF(VERI_A!A381="","",VERI_A!A381)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IF($B381="","",LEFT($B381,efd_ikincilUzunluk))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IF(VERI_B!A381="","",VERI_B!A381)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IF($J381="","",LEFT($J381,efd_ikincilUzunluk))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IF(VERI_A!A382="","",VERI_A!A382)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IF($B382="","",LEFT($B382,efd_ikincilUzunluk))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IF(VERI_B!A382="","",VERI_B!A382)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IF($J382="","",LEFT($J382,efd_ikincilUzunluk))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IF(VERI_A!A383="","",VERI_A!A383)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IF($B383="","",LEFT($B383,efd_ikincilUzunluk))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IF(VERI_B!A383="","",VERI_B!A383)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IF($J383="","",LEFT($J383,efd_ikincilUzunluk))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IF(VERI_A!A384="","",VERI_A!A384)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IF($B384="","",LEFT($B384,efd_ikincilUzunluk))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IF(VERI_B!A384="","",VERI_B!A384)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IF($J384="","",LEFT($J384,efd_ikincilUzunluk))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IF(VERI_A!A385="","",VERI_A!A385)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IF($B385="","",LEFT($B385,efd_ikincilUzunluk))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IF(VERI_B!A385="","",VERI_B!A385)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IF($J385="","",LEFT($J385,efd_ikincilUzunluk))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IF(VERI_A!A386="","",VERI_A!A386)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IF($B386="","",LEFT($B386,efd_ikincilUzunluk))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IF(VERI_B!A386="","",VERI_B!A386)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IF($J386="","",LEFT($J386,efd_ikincilUzunluk))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IF(VERI_A!A387="","",VERI_A!A387)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IF($B387="","",LEFT($B387,efd_ikincilUzunluk))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IF(VERI_B!A387="","",VERI_B!A387)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IF($J387="","",LEFT($J387,efd_ikincilUzunluk))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IF(VERI_A!A388="","",VERI_A!A388)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IF($B388="","",LEFT($B388,efd_ikincilUzunluk))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IF(VERI_B!A388="","",VERI_B!A388)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IF($J388="","",LEFT($J388,efd_ikincilUzunluk))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IF(VERI_A!A389="","",VERI_A!A389)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IF($B389="","",LEFT($B389,efd_ikincilUzunluk))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IF(VERI_B!A389="","",VERI_B!A389)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IF($J389="","",LEFT($J389,efd_ikincilUzunluk))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IF(VERI_A!A390="","",VERI_A!A390)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IF($B390="","",LEFT($B390,efd_ikincilUzunluk))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IF(VERI_B!A390="","",VERI_B!A390)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IF($J390="","",LEFT($J390,efd_ikincilUzunluk))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IF(VERI_A!A391="","",VERI_A!A391)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IF($B391="","",LEFT($B391,efd_ikincilUzunluk))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IF(VERI_B!A391="","",VERI_B!A391)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IF($J391="","",LEFT($J391,efd_ikincilUzunluk))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IF(VERI_A!A392="","",VERI_A!A392)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IF($B392="","",LEFT($B392,efd_ikincilUzunluk))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IF(VERI_B!A392="","",VERI_B!A392)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IF($J392="","",LEFT($J392,efd_ikincilUzunluk))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IF(VERI_A!A393="","",VERI_A!A393)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IF($B393="","",LEFT($B393,efd_ikincilUzunluk))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IF(VERI_B!A393="","",VERI_B!A393)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IF($J393="","",LEFT($J393,efd_ikincilUzunluk))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IF(VERI_A!A394="","",VERI_A!A394)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IF($B394="","",LEFT($B394,efd_ikincilUzunluk))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IF(VERI_B!A394="","",VERI_B!A394)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IF($J394="","",LEFT($J394,efd_ikincilUzunluk))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IF(VERI_A!A395="","",VERI_A!A395)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IF($B395="","",LEFT($B395,efd_ikincilUzunluk))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IF(VERI_B!A395="","",VERI_B!A395)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IF($J395="","",LEFT($J395,efd_ikincilUzunluk))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IF(VERI_A!A396="","",VERI_A!A396)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IF($B396="","",LEFT($B396,efd_ikincilUzunluk))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IF(VERI_B!A396="","",VERI_B!A396)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IF($J396="","",LEFT($J396,efd_ikincilUzunluk))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IF(VERI_A!A397="","",VERI_A!A397)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IF($B397="","",LEFT($B397,efd_ikincilUzunluk))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IF(VERI_B!A397="","",VERI_B!A397)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IF($J397="","",LEFT($J397,efd_ikincilUzunluk))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IF(VERI_A!A398="","",VERI_A!A398)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IF($B398="","",LEFT($B398,efd_ikincilUzunluk))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IF(VERI_B!A398="","",VERI_B!A398)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IF($J398="","",LEFT($J398,efd_ikincilUzunluk))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IF(VERI_A!A399="","",VERI_A!A399)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IF($B399="","",LEFT($B399,efd_ikincilUzunluk))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IF(VERI_B!A399="","",VERI_B!A399)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IF($J399="","",LEFT($J399,efd_ikincilUzunluk))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IF(VERI_A!A400="","",VERI_A!A400)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IF($B400="","",LEFT($B400,efd_ikincilUzunluk))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IF(VERI_B!A400="","",VERI_B!A400)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IF($J400="","",LEFT($J400,efd_ikincilUzunluk))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IF(VERI_A!A401="","",VERI_A!A401)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IF($B401="","",LEFT($B401,efd_ikincilUzunluk))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IF(VERI_B!A401="","",VERI_B!A401)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IF($J401="","",LEFT($J401,efd_ikincilUzunluk))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IF(VERI_A!A402="","",VERI_A!A402)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IF($B402="","",LEFT($B402,efd_ikincilUzunluk))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IF(VERI_B!A402="","",VERI_B!A402)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IF($J402="","",LEFT($J402,efd_ikincilUzunluk))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IF(VERI_A!A403="","",VERI_A!A403)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IF($B403="","",LEFT($B403,efd_ikincilUzunluk))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IF(VERI_B!A403="","",VERI_B!A403)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IF($J403="","",LEFT($J403,efd_ikincilUzunluk))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IF(VERI_A!A404="","",VERI_A!A404)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IF($B404="","",LEFT($B404,efd_ikincilUzunluk))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IF(VERI_B!A404="","",VERI_B!A404)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IF($J404="","",LEFT($J404,efd_ikincilUzunluk))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IF(VERI_A!A405="","",VERI_A!A405)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IF($B405="","",LEFT($B405,efd_ikincilUzunluk))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IF(VERI_B!A405="","",VERI_B!A405)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IF($J405="","",LEFT($J405,efd_ikincilUzunluk))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IF(VERI_A!A406="","",VERI_A!A406)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IF($B406="","",LEFT($B406,efd_ikincilUzunluk))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IF(VERI_B!A406="","",VERI_B!A406)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IF($J406="","",LEFT($J406,efd_ikincilUzunluk))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IF(VERI_A!A407="","",VERI_A!A407)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IF($B407="","",LEFT($B407,efd_ikincilUzunluk))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IF(VERI_B!A407="","",VERI_B!A407)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IF($J407="","",LEFT($J407,efd_ikincilUzunluk))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IF(VERI_A!A408="","",VERI_A!A408)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IF($B408="","",LEFT($B408,efd_ikincilUzunluk))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IF(VERI_B!A408="","",VERI_B!A408)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IF($J408="","",LEFT($J408,efd_ikincilUzunluk))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IF(VERI_A!A409="","",VERI_A!A409)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IF($B409="","",LEFT($B409,efd_ikincilUzunluk))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IF(VERI_B!A409="","",VERI_B!A409)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IF($J409="","",LEFT($J409,efd_ikincilUzunluk))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IF(VERI_A!A410="","",VERI_A!A410)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IF($B410="","",LEFT($B410,efd_ikincilUzunluk))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IF(VERI_B!A410="","",VERI_B!A410)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IF($J410="","",LEFT($J410,efd_ikincilUzunluk))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IF(VERI_A!A411="","",VERI_A!A411)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IF($B411="","",LEFT($B411,efd_ikincilUzunluk))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IF(VERI_B!A411="","",VERI_B!A411)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IF($J411="","",LEFT($J411,efd_ikincilUzunluk))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IF(VERI_A!A412="","",VERI_A!A412)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IF($B412="","",LEFT($B412,efd_ikincilUzunluk))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IF(VERI_B!A412="","",VERI_B!A412)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IF($J412="","",LEFT($J412,efd_ikincilUzunluk))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IF(VERI_A!A413="","",VERI_A!A413)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IF($B413="","",LEFT($B413,efd_ikincilUzunluk))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IF(VERI_B!A413="","",VERI_B!A413)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IF($J413="","",LEFT($J413,efd_ikincilUzunluk))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IF(VERI_A!A414="","",VERI_A!A414)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IF($B414="","",LEFT($B414,efd_ikincilUzunluk))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IF(VERI_B!A414="","",VERI_B!A414)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IF($J414="","",LEFT($J414,efd_ikincilUzunluk))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IF(VERI_A!A415="","",VERI_A!A415)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IF($B415="","",LEFT($B415,efd_ikincilUzunluk))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IF(VERI_B!A415="","",VERI_B!A415)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IF($J415="","",LEFT($J415,efd_ikincilUzunluk))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IF(VERI_A!A416="","",VERI_A!A416)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IF($B416="","",LEFT($B416,efd_ikincilUzunluk))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IF(VERI_B!A416="","",VERI_B!A416)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IF($J416="","",LEFT($J416,efd_ikincilUzunluk))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IF(VERI_A!A417="","",VERI_A!A417)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IF($B417="","",LEFT($B417,efd_ikincilUzunluk))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IF(VERI_B!A417="","",VERI_B!A417)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IF($J417="","",LEFT($J417,efd_ikincilUzunluk))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IF(VERI_A!A418="","",VERI_A!A418)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IF($B418="","",LEFT($B418,efd_ikincilUzunluk))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IF(VERI_B!A418="","",VERI_B!A418)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IF($J418="","",LEFT($J418,efd_ikincilUzunluk))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IF(VERI_A!A419="","",VERI_A!A419)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IF($B419="","",LEFT($B419,efd_ikincilUzunluk))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IF(VERI_B!A419="","",VERI_B!A419)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IF($J419="","",LEFT($J419,efd_ikincilUzunluk))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IF(VERI_A!A420="","",VERI_A!A420)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IF($B420="","",LEFT($B420,efd_ikincilUzunluk))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IF(VERI_B!A420="","",VERI_B!A420)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IF($J420="","",LEFT($J420,efd_ikincilUzunluk))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IF(VERI_A!A421="","",VERI_A!A421)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IF($B421="","",LEFT($B421,efd_ikincilUzunluk))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IF(VERI_B!A421="","",VERI_B!A421)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IF($J421="","",LEFT($J421,efd_ikincilUzunluk))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IF(VERI_A!A422="","",VERI_A!A422)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IF($B422="","",LEFT($B422,efd_ikincilUzunluk))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IF(VERI_B!A422="","",VERI_B!A422)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IF($J422="","",LEFT($J422,efd_ikincilUzunluk))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IF(VERI_A!A423="","",VERI_A!A423)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IF($B423="","",LEFT($B423,efd_ikincilUzunluk))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IF(VERI_B!A423="","",VERI_B!A423)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IF($J423="","",LEFT($J423,efd_ikincilUzunluk))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IF(VERI_A!A424="","",VERI_A!A424)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IF($B424="","",LEFT($B424,efd_ikincilUzunluk))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IF(VERI_B!A424="","",VERI_B!A424)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IF($J424="","",LEFT($J424,efd_ikincilUzunluk))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IF(VERI_A!A425="","",VERI_A!A425)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IF($B425="","",LEFT($B425,efd_ikincilUzunluk))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IF(VERI_B!A425="","",VERI_B!A425)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IF($J425="","",LEFT($J425,efd_ikincilUzunluk))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IF(VERI_A!A426="","",VERI_A!A426)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IF($B426="","",LEFT($B426,efd_ikincilUzunluk))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IF(VERI_B!A426="","",VERI_B!A426)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IF($J426="","",LEFT($J426,efd_ikincilUzunluk))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IF(VERI_A!A427="","",VERI_A!A427)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IF($B427="","",LEFT($B427,efd_ikincilUzunluk))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IF(VERI_B!A427="","",VERI_B!A427)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IF($J427="","",LEFT($J427,efd_ikincilUzunluk))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IF(VERI_A!A428="","",VERI_A!A428)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IF($B428="","",LEFT($B428,efd_ikincilUzunluk))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IF(VERI_B!A428="","",VERI_B!A428)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IF($J428="","",LEFT($J428,efd_ikincilUzunluk))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IF(VERI_A!A429="","",VERI_A!A429)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IF($B429="","",LEFT($B429,efd_ikincilUzunluk))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IF(VERI_B!A429="","",VERI_B!A429)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IF($J429="","",LEFT($J429,efd_ikincilUzunluk))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IF(VERI_A!A430="","",VERI_A!A430)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IF($B430="","",LEFT($B430,efd_ikincilUzunluk))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IF(VERI_B!A430="","",VERI_B!A430)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IF($J430="","",LEFT($J430,efd_ikincilUzunluk))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IF(VERI_A!A431="","",VERI_A!A431)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IF($B431="","",LEFT($B431,efd_ikincilUzunluk))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IF(VERI_B!A431="","",VERI_B!A431)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IF($J431="","",LEFT($J431,efd_ikincilUzunluk))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IF(VERI_A!A432="","",VERI_A!A432)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IF($B432="","",LEFT($B432,efd_ikincilUzunluk))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IF(VERI_B!A432="","",VERI_B!A432)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IF($J432="","",LEFT($J432,efd_ikincilUzunluk))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IF(VERI_A!A433="","",VERI_A!A433)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IF($B433="","",LEFT($B433,efd_ikincilUzunluk))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IF(VERI_B!A433="","",VERI_B!A433)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IF($J433="","",LEFT($J433,efd_ikincilUzunluk))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IF(VERI_A!A434="","",VERI_A!A434)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IF($B434="","",LEFT($B434,efd_ikincilUzunluk))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IF(VERI_B!A434="","",VERI_B!A434)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IF($J434="","",LEFT($J434,efd_ikincilUzunluk))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IF(VERI_A!A435="","",VERI_A!A435)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IF($B435="","",LEFT($B435,efd_ikincilUzunluk))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IF(VERI_B!A435="","",VERI_B!A435)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IF($J435="","",LEFT($J435,efd_ikincilUzunluk))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IF(VERI_A!A436="","",VERI_A!A436)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IF($B436="","",LEFT($B436,efd_ikincilUzunluk))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IF(VERI_B!A436="","",VERI_B!A436)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IF($J436="","",LEFT($J436,efd_ikincilUzunluk))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IF(VERI_A!A437="","",VERI_A!A437)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IF($B437="","",LEFT($B437,efd_ikincilUzunluk))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IF(VERI_B!A437="","",VERI_B!A437)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IF($J437="","",LEFT($J437,efd_ikincilUzunluk))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IF(VERI_A!A438="","",VERI_A!A438)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IF($B438="","",LEFT($B438,efd_ikincilUzunluk))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IF(VERI_B!A438="","",VERI_B!A438)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IF($J438="","",LEFT($J438,efd_ikincilUzunluk))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IF(VERI_A!A439="","",VERI_A!A439)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IF($B439="","",LEFT($B439,efd_ikincilUzunluk))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IF(VERI_B!A439="","",VERI_B!A439)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IF($J439="","",LEFT($J439,efd_ikincilUzunluk))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IF(VERI_A!A440="","",VERI_A!A440)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IF($B440="","",LEFT($B440,efd_ikincilUzunluk))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IF(VERI_B!A440="","",VERI_B!A440)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IF($J440="","",LEFT($J440,efd_ikincilUzunluk))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IF(VERI_A!A441="","",VERI_A!A441)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IF($B441="","",LEFT($B441,efd_ikincilUzunluk))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IF(VERI_B!A441="","",VERI_B!A441)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IF($J441="","",LEFT($J441,efd_ikincilUzunluk))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IF(VERI_A!A442="","",VERI_A!A442)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IF($B442="","",LEFT($B442,efd_ikincilUzunluk))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IF(VERI_B!A442="","",VERI_B!A442)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IF($J442="","",LEFT($J442,efd_ikincilUzunluk))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IF(VERI_A!A443="","",VERI_A!A443)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IF($B443="","",LEFT($B443,efd_ikincilUzunluk))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IF(VERI_B!A443="","",VERI_B!A443)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IF($J443="","",LEFT($J443,efd_ikincilUzunluk))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IF(VERI_A!A444="","",VERI_A!A444)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IF($B444="","",LEFT($B444,efd_ikincilUzunluk))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IF(VERI_B!A444="","",VERI_B!A444)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IF($J444="","",LEFT($J444,efd_ikincilUzunluk))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IF(VERI_A!A445="","",VERI_A!A445)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IF($B445="","",LEFT($B445,efd_ikincilUzunluk))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IF(VERI_B!A445="","",VERI_B!A445)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IF($J445="","",LEFT($J445,efd_ikincilUzunluk))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IF(VERI_A!A446="","",VERI_A!A446)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IF($B446="","",LEFT($B446,efd_ikincilUzunluk))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IF(VERI_B!A446="","",VERI_B!A446)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IF($J446="","",LEFT($J446,efd_ikincilUzunluk))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IF(VERI_A!A447="","",VERI_A!A447)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IF($B447="","",LEFT($B447,efd_ikincilUzunluk))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IF(VERI_B!A447="","",VERI_B!A447)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IF($J447="","",LEFT($J447,efd_ikincilUzunluk))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IF(VERI_A!A448="","",VERI_A!A448)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IF($B448="","",LEFT($B448,efd_ikincilUzunluk))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IF(VERI_B!A448="","",VERI_B!A448)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IF($J448="","",LEFT($J448,efd_ikincilUzunluk))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IF(VERI_A!A449="","",VERI_A!A449)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IF($B449="","",LEFT($B449,efd_ikincilUzunluk))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IF(VERI_B!A449="","",VERI_B!A449)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IF($J449="","",LEFT($J449,efd_ikincilUzunluk))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IF(VERI_A!A450="","",VERI_A!A450)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IF($B450="","",LEFT($B450,efd_ikincilUzunluk))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IF(VERI_B!A450="","",VERI_B!A450)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IF($J450="","",LEFT($J450,efd_ikincilUzunluk))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IF(VERI_A!A451="","",VERI_A!A451)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IF($B451="","",LEFT($B451,efd_ikincilUzunluk))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IF(VERI_B!A451="","",VERI_B!A451)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IF($J451="","",LEFT($J451,efd_ikincilUzunluk))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IF(VERI_A!A452="","",VERI_A!A452)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IF($B452="","",LEFT($B452,efd_ikincilUzunluk))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IF(VERI_B!A452="","",VERI_B!A452)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IF($J452="","",LEFT($J452,efd_ikincilUzunluk))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IF(VERI_A!A453="","",VERI_A!A453)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IF($B453="","",LEFT($B453,efd_ikincilUzunluk))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IF(VERI_B!A453="","",VERI_B!A453)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IF($J453="","",LEFT($J453,efd_ikincilUzunluk))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IF(VERI_A!A454="","",VERI_A!A454)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IF($B454="","",LEFT($B454,efd_ikincilUzunluk))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IF(VERI_B!A454="","",VERI_B!A454)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IF($J454="","",LEFT($J454,efd_ikincilUzunluk))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IF(VERI_A!A455="","",VERI_A!A455)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IF($B455="","",LEFT($B455,efd_ikincilUzunluk))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IF(VERI_B!A455="","",VERI_B!A455)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IF($J455="","",LEFT($J455,efd_ikincilUzunluk))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IF(VERI_A!A456="","",VERI_A!A456)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IF($B456="","",LEFT($B456,efd_ikincilUzunluk))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IF(VERI_B!A456="","",VERI_B!A456)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IF($J456="","",LEFT($J456,efd_ikincilUzunluk))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IF(VERI_A!A457="","",VERI_A!A457)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IF($B457="","",LEFT($B457,efd_ikincilUzunluk))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IF(VERI_B!A457="","",VERI_B!A457)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IF($J457="","",LEFT($J457,efd_ikincilUzunluk))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IF(VERI_A!A458="","",VERI_A!A458)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IF($B458="","",LEFT($B458,efd_ikincilUzunluk))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IF(VERI_B!A458="","",VERI_B!A458)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IF($J458="","",LEFT($J458,efd_ikincilUzunluk))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IF(VERI_A!A459="","",VERI_A!A459)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IF($B459="","",LEFT($B459,efd_ikincilUzunluk))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IF(VERI_B!A459="","",VERI_B!A459)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IF($J459="","",LEFT($J459,efd_ikincilUzunluk))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IF(VERI_A!A460="","",VERI_A!A460)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IF($B460="","",LEFT($B460,efd_ikincilUzunluk))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IF(VERI_B!A460="","",VERI_B!A460)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IF($J460="","",LEFT($J460,efd_ikincilUzunluk))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IF(VERI_A!A461="","",VERI_A!A461)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IF($B461="","",LEFT($B461,efd_ikincilUzunluk))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IF(VERI_B!A461="","",VERI_B!A461)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IF($J461="","",LEFT($J461,efd_ikincilUzunluk))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IF(VERI_A!A462="","",VERI_A!A462)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IF($B462="","",LEFT($B462,efd_ikincilUzunluk))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IF(VERI_B!A462="","",VERI_B!A462)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IF($J462="","",LEFT($J462,efd_ikincilUzunluk))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IF(VERI_A!A463="","",VERI_A!A463)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IF($B463="","",LEFT($B463,efd_ikincilUzunluk))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IF(VERI_B!A463="","",VERI_B!A463)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IF($J463="","",LEFT($J463,efd_ikincilUzunluk))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IF(VERI_A!A464="","",VERI_A!A464)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IF($B464="","",LEFT($B464,efd_ikincilUzunluk))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IF(VERI_B!A464="","",VERI_B!A464)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IF($J464="","",LEFT($J464,efd_ikincilUzunluk))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IF(VERI_A!A465="","",VERI_A!A465)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IF($B465="","",LEFT($B465,efd_ikincilUzunluk))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IF(VERI_B!A465="","",VERI_B!A465)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IF($J465="","",LEFT($J465,efd_ikincilUzunluk))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IF(VERI_A!A466="","",VERI_A!A466)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IF($B466="","",LEFT($B466,efd_ikincilUzunluk))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IF(VERI_B!A466="","",VERI_B!A466)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IF($J466="","",LEFT($J466,efd_ikincilUzunluk))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IF(VERI_A!A467="","",VERI_A!A467)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IF($B467="","",LEFT($B467,efd_ikincilUzunluk))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IF(VERI_B!A467="","",VERI_B!A467)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IF($J467="","",LEFT($J467,efd_ikincilUzunluk))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IF(VERI_A!A468="","",VERI_A!A468)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IF($B468="","",LEFT($B468,efd_ikincilUzunluk))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IF(VERI_B!A468="","",VERI_B!A468)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IF($J468="","",LEFT($J468,efd_ikincilUzunluk))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IF(VERI_A!A469="","",VERI_A!A469)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IF($B469="","",LEFT($B469,efd_ikincilUzunluk))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IF(VERI_B!A469="","",VERI_B!A469)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IF($J469="","",LEFT($J469,efd_ikincilUzunluk))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IF(VERI_A!A470="","",VERI_A!A470)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IF($B470="","",LEFT($B470,efd_ikincilUzunluk))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IF(VERI_B!A470="","",VERI_B!A470)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IF($J470="","",LEFT($J470,efd_ikincilUzunluk))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IF(VERI_A!A471="","",VERI_A!A471)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IF($B471="","",LEFT($B471,efd_ikincilUzunluk))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IF(VERI_B!A471="","",VERI_B!A471)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IF($J471="","",LEFT($J471,efd_ikincilUzunluk))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IF(VERI_A!A472="","",VERI_A!A472)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IF($B472="","",LEFT($B472,efd_ikincilUzunluk))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IF(VERI_B!A472="","",VERI_B!A472)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IF($J472="","",LEFT($J472,efd_ikincilUzunluk))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IF(VERI_A!A473="","",VERI_A!A473)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IF($B473="","",LEFT($B473,efd_ikincilUzunluk))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IF(VERI_B!A473="","",VERI_B!A473)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IF($J473="","",LEFT($J473,efd_ikincilUzunluk))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IF(VERI_A!A474="","",VERI_A!A474)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IF($B474="","",LEFT($B474,efd_ikincilUzunluk))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IF(VERI_B!A474="","",VERI_B!A474)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IF($J474="","",LEFT($J474,efd_ikincilUzunluk))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IF(VERI_A!A475="","",VERI_A!A475)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IF($B475="","",LEFT($B475,efd_ikincilUzunluk))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IF(VERI_B!A475="","",VERI_B!A475)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IF($J475="","",LEFT($J475,efd_ikincilUzunluk))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IF(VERI_A!A476="","",VERI_A!A476)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IF($B476="","",LEFT($B476,efd_ikincilUzunluk))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IF(VERI_B!A476="","",VERI_B!A476)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IF($J476="","",LEFT($J476,efd_ikincilUzunluk))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IF(VERI_A!A477="","",VERI_A!A477)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IF($B477="","",LEFT($B477,efd_ikincilUzunluk))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IF(VERI_B!A477="","",VERI_B!A477)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IF($J477="","",LEFT($J477,efd_ikincilUzunluk))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IF(VERI_A!A478="","",VERI_A!A478)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IF($B478="","",LEFT($B478,efd_ikincilUzunluk))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IF(VERI_B!A478="","",VERI_B!A478)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IF($J478="","",LEFT($J478,efd_ikincilUzunluk))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IF(VERI_A!A479="","",VERI_A!A479)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IF($B479="","",LEFT($B479,efd_ikincilUzunluk))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IF(VERI_B!A479="","",VERI_B!A479)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IF($J479="","",LEFT($J479,efd_ikincilUzunluk))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IF(VERI_A!A480="","",VERI_A!A480)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IF($B480="","",LEFT($B480,efd_ikincilUzunluk))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IF(VERI_B!A480="","",VERI_B!A480)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IF($J480="","",LEFT($J480,efd_ikincilUzunluk))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IF(VERI_A!A481="","",VERI_A!A481)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IF($B481="","",LEFT($B481,efd_ikincilUzunluk))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IF(VERI_B!A481="","",VERI_B!A481)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IF($J481="","",LEFT($J481,efd_ikincilUzunluk))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IF(VERI_A!A482="","",VERI_A!A482)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IF($B482="","",LEFT($B482,efd_ikincilUzunluk))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IF(VERI_B!A482="","",VERI_B!A482)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IF($J482="","",LEFT($J482,efd_ikincilUzunluk))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IF(VERI_A!A483="","",VERI_A!A483)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IF($B483="","",LEFT($B483,efd_ikincilUzunluk))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IF(VERI_B!A483="","",VERI_B!A483)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IF($J483="","",LEFT($J483,efd_ikincilUzunluk))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IF(VERI_A!A484="","",VERI_A!A484)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IF($B484="","",LEFT($B484,efd_ikincilUzunluk))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IF(VERI_B!A484="","",VERI_B!A484)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IF($J484="","",LEFT($J484,efd_ikincilUzunluk))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IF(VERI_A!A485="","",VERI_A!A485)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IF($B485="","",LEFT($B485,efd_ikincilUzunluk))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IF(VERI_B!A485="","",VERI_B!A485)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IF($J485="","",LEFT($J485,efd_ikincilUzunluk))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IF(VERI_A!A486="","",VERI_A!A486)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IF($B486="","",LEFT($B486,efd_ikincilUzunluk))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IF(VERI_B!A486="","",VERI_B!A486)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IF($J486="","",LEFT($J486,efd_ikincilUzunluk))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IF(VERI_A!A487="","",VERI_A!A487)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IF($B487="","",LEFT($B487,efd_ikincilUzunluk))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IF(VERI_B!A487="","",VERI_B!A487)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IF($J487="","",LEFT($J487,efd_ikincilUzunluk))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IF(VERI_A!A488="","",VERI_A!A488)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IF($B488="","",LEFT($B488,efd_ikincilUzunluk))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IF(VERI_B!A488="","",VERI_B!A488)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IF($J488="","",LEFT($J488,efd_ikincilUzunluk))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IF(VERI_A!A489="","",VERI_A!A489)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IF($B489="","",LEFT($B489,efd_ikincilUzunluk))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IF(VERI_B!A489="","",VERI_B!A489)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IF($J489="","",LEFT($J489,efd_ikincilUzunluk))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IF(VERI_A!A490="","",VERI_A!A490)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IF($B490="","",LEFT($B490,efd_ikincilUzunluk))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IF(VERI_B!A490="","",VERI_B!A490)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IF($J490="","",LEFT($J490,efd_ikincilUzunluk))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IF(VERI_A!A491="","",VERI_A!A491)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IF($B491="","",LEFT($B491,efd_ikincilUzunluk))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IF(VERI_B!A491="","",VERI_B!A491)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IF($J491="","",LEFT($J491,efd_ikincilUzunluk))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IF(VERI_A!A492="","",VERI_A!A492)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IF($B492="","",LEFT($B492,efd_ikincilUzunluk))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IF(VERI_B!A492="","",VERI_B!A492)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IF($J492="","",LEFT($J492,efd_ikincilUzunluk))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IF(VERI_A!A493="","",VERI_A!A493)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IF($B493="","",LEFT($B493,efd_ikincilUzunluk))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IF(VERI_B!A493="","",VERI_B!A493)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IF($J493="","",LEFT($J493,efd_ikincilUzunluk))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IF(VERI_A!A494="","",VERI_A!A494)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IF($B494="","",LEFT($B494,efd_ikincilUzunluk))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IF(VERI_B!A494="","",VERI_B!A494)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IF($J494="","",LEFT($J494,efd_ikincilUzunluk))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IF(VERI_A!A495="","",VERI_A!A495)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IF($B495="","",LEFT($B495,efd_ikincilUzunluk))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IF(VERI_B!A495="","",VERI_B!A495)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IF($J495="","",LEFT($J495,efd_ikincilUzunluk))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IF(VERI_A!A496="","",VERI_A!A496)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IF($B496="","",LEFT($B496,efd_ikincilUzunluk))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IF(VERI_B!A496="","",VERI_B!A496)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IF($J496="","",LEFT($J496,efd_ikincilUzunluk))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IF(VERI_A!A497="","",VERI_A!A497)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IF($B497="","",LEFT($B497,efd_ikincilUzunluk))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IF(VERI_B!A497="","",VERI_B!A497)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IF($J497="","",LEFT($J497,efd_ikincilUzunluk))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IF(VERI_A!A498="","",VERI_A!A498)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IF($B498="","",LEFT($B498,efd_ikincilUzunluk))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IF(VERI_B!A498="","",VERI_B!A498)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IF($J498="","",LEFT($J498,efd_ikincilUzunluk))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IF(VERI_A!A499="","",VERI_A!A499)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IF($B499="","",LEFT($B499,efd_ikincilUzunluk))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IF(VERI_B!A499="","",VERI_B!A499)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IF($J499="","",LEFT($J499,efd_ikincilUzunluk))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IF(VERI_A!A500="","",VERI_A!A500)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IF($B500="","",LEFT($B500,efd_ikincilUzunluk))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IF(VERI_B!A500="","",VERI_B!A500)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IF($J500="","",LEFT($J500,efd_ikincilUzunluk))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IF(VERI_A!A501="","",VERI_A!A501)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IF($B501="","",LEFT($B501,efd_ikincilUzunluk))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IF(VERI_B!A501="","",VERI_B!A501)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IF($J501="","",LEFT($J501,efd_ikincilUzunluk))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IF(VERI_A!A502="","",VERI_A!A502)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IF($B502="","",LEFT($B502,efd_ikincilUzunluk))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IF(VERI_B!A502="","",VERI_B!A502)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IF($J502="","",LEFT($J502,efd_ikincilUzunluk))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IF(VERI_A!A503="","",VERI_A!A503)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IF($B503="","",LEFT($B503,efd_ikincilUzunluk))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IF(VERI_B!A503="","",VERI_B!A503)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IF($J503="","",LEFT($J503,efd_ikincilUzunluk))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IF(VERI_A!A504="","",VERI_A!A504)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IF($B504="","",LEFT($B504,efd_ikincilUzunluk))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IF(VERI_B!A504="","",VERI_B!A504)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IF($J504="","",LEFT($J504,efd_ikincilUzunluk))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IF(VERI_A!A505="","",VERI_A!A505)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IF($B505="","",LEFT($B505,efd_ikincilUzunluk))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IF(VERI_B!A505="","",VERI_B!A505)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IF($J505="","",LEFT($J505,efd_ikincilUzunluk))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Elektrik Faturası Doğrulama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fatura↔sayaç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IF($A6="","",SUMIF(tblAnahtarB[NormB],$A6,tblVeriB[BeklenenTutar]))</f>
        <v/>
      </c>
      <c r="D6" s="17">
        <f>IF($A6="","",SUMIF(tblAnahtarA[Norm],$A6,tblVeriA[ToplamTutar]))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IF($A6="","",IF($F6&gt;efd_esikFark,1,0))</f>
        <v/>
      </c>
      <c r="O6" s="17">
        <f>IF($A6="","",IF($G6="eslesti",$D6,0))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IF($A7="","",SUMIF(tblAnahtarB[NormB],$A7,tblVeriB[BeklenenTutar]))</f>
        <v/>
      </c>
      <c r="D7" s="17">
        <f>IF($A7="","",SUMIF(tblAnahtarA[Norm],$A7,tblVeriA[ToplamTutar]))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IF($A7="","",IF($F7&gt;efd_esikFark,1,0))</f>
        <v/>
      </c>
      <c r="O7" s="17">
        <f>IF($A7="","",IF($G7="eslesti",$D7,0))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IF($A8="","",SUMIF(tblAnahtarB[NormB],$A8,tblVeriB[BeklenenTutar]))</f>
        <v/>
      </c>
      <c r="D8" s="17">
        <f>IF($A8="","",SUMIF(tblAnahtarA[Norm],$A8,tblVeriA[ToplamTutar]))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IF($A8="","",IF($F8&gt;efd_esikFark,1,0))</f>
        <v/>
      </c>
      <c r="O8" s="17">
        <f>IF($A8="","",IF($G8="eslesti",$D8,0))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IF($A9="","",SUMIF(tblAnahtarB[NormB],$A9,tblVeriB[BeklenenTutar]))</f>
        <v/>
      </c>
      <c r="D9" s="17">
        <f>IF($A9="","",SUMIF(tblAnahtarA[Norm],$A9,tblVeriA[ToplamTutar]))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IF($A9="","",IF($F9&gt;efd_esikFark,1,0))</f>
        <v/>
      </c>
      <c r="O9" s="17">
        <f>IF($A9="","",IF($G9="eslesti",$D9,0))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IF($A10="","",SUMIF(tblAnahtarB[NormB],$A10,tblVeriB[BeklenenTutar]))</f>
        <v/>
      </c>
      <c r="D10" s="17">
        <f>IF($A10="","",SUMIF(tblAnahtarA[Norm],$A10,tblVeriA[ToplamTutar]))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IF($A10="","",IF($F10&gt;efd_esikFark,1,0))</f>
        <v/>
      </c>
      <c r="O10" s="17">
        <f>IF($A10="","",IF($G10="eslesti",$D10,0))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IF($A11="","",SUMIF(tblAnahtarB[NormB],$A11,tblVeriB[BeklenenTutar]))</f>
        <v/>
      </c>
      <c r="D11" s="17">
        <f>IF($A11="","",SUMIF(tblAnahtarA[Norm],$A11,tblVeriA[ToplamTutar]))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IF($A11="","",IF($F11&gt;efd_esikFark,1,0))</f>
        <v/>
      </c>
      <c r="O11" s="17">
        <f>IF($A11="","",IF($G11="eslesti",$D11,0))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IF($A12="","",SUMIF(tblAnahtarB[NormB],$A12,tblVeriB[BeklenenTutar]))</f>
        <v/>
      </c>
      <c r="D12" s="17">
        <f>IF($A12="","",SUMIF(tblAnahtarA[Norm],$A12,tblVeriA[ToplamTutar]))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IF($A12="","",IF($F12&gt;efd_esikFark,1,0))</f>
        <v/>
      </c>
      <c r="O12" s="17">
        <f>IF($A12="","",IF($G12="eslesti",$D12,0))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IF($A13="","",SUMIF(tblAnahtarB[NormB],$A13,tblVeriB[BeklenenTutar]))</f>
        <v/>
      </c>
      <c r="D13" s="17">
        <f>IF($A13="","",SUMIF(tblAnahtarA[Norm],$A13,tblVeriA[ToplamTutar]))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IF($A13="","",IF($F13&gt;efd_esikFark,1,0))</f>
        <v/>
      </c>
      <c r="O13" s="17">
        <f>IF($A13="","",IF($G13="eslesti",$D13,0))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IF($A14="","",SUMIF(tblAnahtarB[NormB],$A14,tblVeriB[BeklenenTutar]))</f>
        <v/>
      </c>
      <c r="D14" s="17">
        <f>IF($A14="","",SUMIF(tblAnahtarA[Norm],$A14,tblVeriA[ToplamTutar]))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IF($A14="","",IF($F14&gt;efd_esikFark,1,0))</f>
        <v/>
      </c>
      <c r="O14" s="17">
        <f>IF($A14="","",IF($G14="eslesti",$D14,0))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IF($A15="","",SUMIF(tblAnahtarB[NormB],$A15,tblVeriB[BeklenenTutar]))</f>
        <v/>
      </c>
      <c r="D15" s="17">
        <f>IF($A15="","",SUMIF(tblAnahtarA[Norm],$A15,tblVeriA[ToplamTutar]))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IF($A15="","",IF($F15&gt;efd_esikFark,1,0))</f>
        <v/>
      </c>
      <c r="O15" s="17">
        <f>IF($A15="","",IF($G15="eslesti",$D15,0))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IF($A16="","",SUMIF(tblAnahtarB[NormB],$A16,tblVeriB[BeklenenTutar]))</f>
        <v/>
      </c>
      <c r="D16" s="17">
        <f>IF($A16="","",SUMIF(tblAnahtarA[Norm],$A16,tblVeriA[ToplamTutar]))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IF($A16="","",IF($F16&gt;efd_esikFark,1,0))</f>
        <v/>
      </c>
      <c r="O16" s="17">
        <f>IF($A16="","",IF($G16="eslesti",$D16,0))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IF($A17="","",SUMIF(tblAnahtarB[NormB],$A17,tblVeriB[BeklenenTutar]))</f>
        <v/>
      </c>
      <c r="D17" s="17">
        <f>IF($A17="","",SUMIF(tblAnahtarA[Norm],$A17,tblVeriA[ToplamTutar]))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IF($A17="","",IF($F17&gt;efd_esikFark,1,0))</f>
        <v/>
      </c>
      <c r="O17" s="17">
        <f>IF($A17="","",IF($G17="eslesti",$D17,0))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IF($A18="","",SUMIF(tblAnahtarB[NormB],$A18,tblVeriB[BeklenenTutar]))</f>
        <v/>
      </c>
      <c r="D18" s="17">
        <f>IF($A18="","",SUMIF(tblAnahtarA[Norm],$A18,tblVeriA[ToplamTutar]))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IF($A18="","",IF($F18&gt;efd_esikFark,1,0))</f>
        <v/>
      </c>
      <c r="O18" s="17">
        <f>IF($A18="","",IF($G18="eslesti",$D18,0))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IF($A19="","",SUMIF(tblAnahtarB[NormB],$A19,tblVeriB[BeklenenTutar]))</f>
        <v/>
      </c>
      <c r="D19" s="17">
        <f>IF($A19="","",SUMIF(tblAnahtarA[Norm],$A19,tblVeriA[ToplamTutar]))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IF($A19="","",IF($F19&gt;efd_esikFark,1,0))</f>
        <v/>
      </c>
      <c r="O19" s="17">
        <f>IF($A19="","",IF($G19="eslesti",$D19,0))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IF($A20="","",SUMIF(tblAnahtarB[NormB],$A20,tblVeriB[BeklenenTutar]))</f>
        <v/>
      </c>
      <c r="D20" s="17">
        <f>IF($A20="","",SUMIF(tblAnahtarA[Norm],$A20,tblVeriA[ToplamTutar]))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IF($A20="","",IF($F20&gt;efd_esikFark,1,0))</f>
        <v/>
      </c>
      <c r="O20" s="17">
        <f>IF($A20="","",IF($G20="eslesti",$D20,0))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IF($A21="","",SUMIF(tblAnahtarB[NormB],$A21,tblVeriB[BeklenenTutar]))</f>
        <v/>
      </c>
      <c r="D21" s="17">
        <f>IF($A21="","",SUMIF(tblAnahtarA[Norm],$A21,tblVeriA[ToplamTutar]))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IF($A21="","",IF($F21&gt;efd_esikFark,1,0))</f>
        <v/>
      </c>
      <c r="O21" s="17">
        <f>IF($A21="","",IF($G21="eslesti",$D21,0))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IF($A22="","",SUMIF(tblAnahtarB[NormB],$A22,tblVeriB[BeklenenTutar]))</f>
        <v/>
      </c>
      <c r="D22" s="17">
        <f>IF($A22="","",SUMIF(tblAnahtarA[Norm],$A22,tblVeriA[ToplamTutar]))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IF($A22="","",IF($F22&gt;efd_esikFark,1,0))</f>
        <v/>
      </c>
      <c r="O22" s="17">
        <f>IF($A22="","",IF($G22="eslesti",$D22,0))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IF($A23="","",SUMIF(tblAnahtarB[NormB],$A23,tblVeriB[BeklenenTutar]))</f>
        <v/>
      </c>
      <c r="D23" s="17">
        <f>IF($A23="","",SUMIF(tblAnahtarA[Norm],$A23,tblVeriA[ToplamTutar]))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IF($A23="","",IF($F23&gt;efd_esikFark,1,0))</f>
        <v/>
      </c>
      <c r="O23" s="17">
        <f>IF($A23="","",IF($G23="eslesti",$D23,0))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IF($A24="","",SUMIF(tblAnahtarB[NormB],$A24,tblVeriB[BeklenenTutar]))</f>
        <v/>
      </c>
      <c r="D24" s="17">
        <f>IF($A24="","",SUMIF(tblAnahtarA[Norm],$A24,tblVeriA[ToplamTutar]))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IF($A24="","",IF($F24&gt;efd_esikFark,1,0))</f>
        <v/>
      </c>
      <c r="O24" s="17">
        <f>IF($A24="","",IF($G24="eslesti",$D24,0))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IF($A25="","",SUMIF(tblAnahtarB[NormB],$A25,tblVeriB[BeklenenTutar]))</f>
        <v/>
      </c>
      <c r="D25" s="17">
        <f>IF($A25="","",SUMIF(tblAnahtarA[Norm],$A25,tblVeriA[ToplamTutar]))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IF($A25="","",IF($F25&gt;efd_esikFark,1,0))</f>
        <v/>
      </c>
      <c r="O25" s="17">
        <f>IF($A25="","",IF($G25="eslesti",$D25,0))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IF($A26="","",SUMIF(tblAnahtarB[NormB],$A26,tblVeriB[BeklenenTutar]))</f>
        <v/>
      </c>
      <c r="D26" s="17">
        <f>IF($A26="","",SUMIF(tblAnahtarA[Norm],$A26,tblVeriA[ToplamTutar]))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IF($A26="","",IF($F26&gt;efd_esikFark,1,0))</f>
        <v/>
      </c>
      <c r="O26" s="17">
        <f>IF($A26="","",IF($G26="eslesti",$D26,0))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IF($A27="","",SUMIF(tblAnahtarB[NormB],$A27,tblVeriB[BeklenenTutar]))</f>
        <v/>
      </c>
      <c r="D27" s="17">
        <f>IF($A27="","",SUMIF(tblAnahtarA[Norm],$A27,tblVeriA[ToplamTutar]))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IF($A27="","",IF($F27&gt;efd_esikFark,1,0))</f>
        <v/>
      </c>
      <c r="O27" s="17">
        <f>IF($A27="","",IF($G27="eslesti",$D27,0))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IF($A28="","",SUMIF(tblAnahtarB[NormB],$A28,tblVeriB[BeklenenTutar]))</f>
        <v/>
      </c>
      <c r="D28" s="17">
        <f>IF($A28="","",SUMIF(tblAnahtarA[Norm],$A28,tblVeriA[ToplamTutar]))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IF($A28="","",IF($F28&gt;efd_esikFark,1,0))</f>
        <v/>
      </c>
      <c r="O28" s="17">
        <f>IF($A28="","",IF($G28="eslesti",$D28,0))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IF($A29="","",SUMIF(tblAnahtarB[NormB],$A29,tblVeriB[BeklenenTutar]))</f>
        <v/>
      </c>
      <c r="D29" s="17">
        <f>IF($A29="","",SUMIF(tblAnahtarA[Norm],$A29,tblVeriA[ToplamTutar]))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IF($A29="","",IF($F29&gt;efd_esikFark,1,0))</f>
        <v/>
      </c>
      <c r="O29" s="17">
        <f>IF($A29="","",IF($G29="eslesti",$D29,0))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IF($A30="","",SUMIF(tblAnahtarB[NormB],$A30,tblVeriB[BeklenenTutar]))</f>
        <v/>
      </c>
      <c r="D30" s="17">
        <f>IF($A30="","",SUMIF(tblAnahtarA[Norm],$A30,tblVeriA[ToplamTutar]))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IF($A30="","",IF($F30&gt;efd_esikFark,1,0))</f>
        <v/>
      </c>
      <c r="O30" s="17">
        <f>IF($A30="","",IF($G30="eslesti",$D30,0))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IF($A31="","",SUMIF(tblAnahtarB[NormB],$A31,tblVeriB[BeklenenTutar]))</f>
        <v/>
      </c>
      <c r="D31" s="17">
        <f>IF($A31="","",SUMIF(tblAnahtarA[Norm],$A31,tblVeriA[ToplamTutar]))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IF($A31="","",IF($F31&gt;efd_esikFark,1,0))</f>
        <v/>
      </c>
      <c r="O31" s="17">
        <f>IF($A31="","",IF($G31="eslesti",$D31,0))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IF($A32="","",SUMIF(tblAnahtarB[NormB],$A32,tblVeriB[BeklenenTutar]))</f>
        <v/>
      </c>
      <c r="D32" s="17">
        <f>IF($A32="","",SUMIF(tblAnahtarA[Norm],$A32,tblVeriA[ToplamTutar]))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IF($A32="","",IF($F32&gt;efd_esikFark,1,0))</f>
        <v/>
      </c>
      <c r="O32" s="17">
        <f>IF($A32="","",IF($G32="eslesti",$D32,0))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IF($A33="","",SUMIF(tblAnahtarB[NormB],$A33,tblVeriB[BeklenenTutar]))</f>
        <v/>
      </c>
      <c r="D33" s="17">
        <f>IF($A33="","",SUMIF(tblAnahtarA[Norm],$A33,tblVeriA[ToplamTutar]))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IF($A33="","",IF($F33&gt;efd_esikFark,1,0))</f>
        <v/>
      </c>
      <c r="O33" s="17">
        <f>IF($A33="","",IF($G33="eslesti",$D33,0))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IF($A34="","",SUMIF(tblAnahtarB[NormB],$A34,tblVeriB[BeklenenTutar]))</f>
        <v/>
      </c>
      <c r="D34" s="17">
        <f>IF($A34="","",SUMIF(tblAnahtarA[Norm],$A34,tblVeriA[ToplamTutar]))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IF($A34="","",IF($F34&gt;efd_esikFark,1,0))</f>
        <v/>
      </c>
      <c r="O34" s="17">
        <f>IF($A34="","",IF($G34="eslesti",$D34,0))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IF($A35="","",SUMIF(tblAnahtarB[NormB],$A35,tblVeriB[BeklenenTutar]))</f>
        <v/>
      </c>
      <c r="D35" s="17">
        <f>IF($A35="","",SUMIF(tblAnahtarA[Norm],$A35,tblVeriA[ToplamTutar]))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IF($A35="","",IF($F35&gt;efd_esikFark,1,0))</f>
        <v/>
      </c>
      <c r="O35" s="17">
        <f>IF($A35="","",IF($G35="eslesti",$D35,0))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IF($A36="","",SUMIF(tblAnahtarB[NormB],$A36,tblVeriB[BeklenenTutar]))</f>
        <v/>
      </c>
      <c r="D36" s="17">
        <f>IF($A36="","",SUMIF(tblAnahtarA[Norm],$A36,tblVeriA[ToplamTutar]))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IF($A36="","",IF($F36&gt;efd_esikFark,1,0))</f>
        <v/>
      </c>
      <c r="O36" s="17">
        <f>IF($A36="","",IF($G36="eslesti",$D36,0))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IF($A37="","",SUMIF(tblAnahtarB[NormB],$A37,tblVeriB[BeklenenTutar]))</f>
        <v/>
      </c>
      <c r="D37" s="17">
        <f>IF($A37="","",SUMIF(tblAnahtarA[Norm],$A37,tblVeriA[ToplamTutar]))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IF($A37="","",IF($F37&gt;efd_esikFark,1,0))</f>
        <v/>
      </c>
      <c r="O37" s="17">
        <f>IF($A37="","",IF($G37="eslesti",$D37,0))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IF($A38="","",SUMIF(tblAnahtarB[NormB],$A38,tblVeriB[BeklenenTutar]))</f>
        <v/>
      </c>
      <c r="D38" s="17">
        <f>IF($A38="","",SUMIF(tblAnahtarA[Norm],$A38,tblVeriA[ToplamTutar]))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IF($A38="","",IF($F38&gt;efd_esikFark,1,0))</f>
        <v/>
      </c>
      <c r="O38" s="17">
        <f>IF($A38="","",IF($G38="eslesti",$D38,0))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IF($A39="","",SUMIF(tblAnahtarB[NormB],$A39,tblVeriB[BeklenenTutar]))</f>
        <v/>
      </c>
      <c r="D39" s="17">
        <f>IF($A39="","",SUMIF(tblAnahtarA[Norm],$A39,tblVeriA[ToplamTutar]))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IF($A39="","",IF($F39&gt;efd_esikFark,1,0))</f>
        <v/>
      </c>
      <c r="O39" s="17">
        <f>IF($A39="","",IF($G39="eslesti",$D39,0))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IF($A40="","",SUMIF(tblAnahtarB[NormB],$A40,tblVeriB[BeklenenTutar]))</f>
        <v/>
      </c>
      <c r="D40" s="17">
        <f>IF($A40="","",SUMIF(tblAnahtarA[Norm],$A40,tblVeriA[ToplamTutar]))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IF($A40="","",IF($F40&gt;efd_esikFark,1,0))</f>
        <v/>
      </c>
      <c r="O40" s="17">
        <f>IF($A40="","",IF($G40="eslesti",$D40,0))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IF($A41="","",SUMIF(tblAnahtarB[NormB],$A41,tblVeriB[BeklenenTutar]))</f>
        <v/>
      </c>
      <c r="D41" s="17">
        <f>IF($A41="","",SUMIF(tblAnahtarA[Norm],$A41,tblVeriA[ToplamTutar]))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IF($A41="","",IF($F41&gt;efd_esikFark,1,0))</f>
        <v/>
      </c>
      <c r="O41" s="17">
        <f>IF($A41="","",IF($G41="eslesti",$D41,0))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IF($A42="","",SUMIF(tblAnahtarB[NormB],$A42,tblVeriB[BeklenenTutar]))</f>
        <v/>
      </c>
      <c r="D42" s="17">
        <f>IF($A42="","",SUMIF(tblAnahtarA[Norm],$A42,tblVeriA[ToplamTutar]))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IF($A42="","",IF($F42&gt;efd_esikFark,1,0))</f>
        <v/>
      </c>
      <c r="O42" s="17">
        <f>IF($A42="","",IF($G42="eslesti",$D42,0))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IF($A43="","",SUMIF(tblAnahtarB[NormB],$A43,tblVeriB[BeklenenTutar]))</f>
        <v/>
      </c>
      <c r="D43" s="17">
        <f>IF($A43="","",SUMIF(tblAnahtarA[Norm],$A43,tblVeriA[ToplamTutar]))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IF($A43="","",IF($F43&gt;efd_esikFark,1,0))</f>
        <v/>
      </c>
      <c r="O43" s="17">
        <f>IF($A43="","",IF($G43="eslesti",$D43,0))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IF($A44="","",SUMIF(tblAnahtarB[NormB],$A44,tblVeriB[BeklenenTutar]))</f>
        <v/>
      </c>
      <c r="D44" s="17">
        <f>IF($A44="","",SUMIF(tblAnahtarA[Norm],$A44,tblVeriA[ToplamTutar]))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IF($A44="","",IF($F44&gt;efd_esikFark,1,0))</f>
        <v/>
      </c>
      <c r="O44" s="17">
        <f>IF($A44="","",IF($G44="eslesti",$D44,0))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IF($A45="","",SUMIF(tblAnahtarB[NormB],$A45,tblVeriB[BeklenenTutar]))</f>
        <v/>
      </c>
      <c r="D45" s="17">
        <f>IF($A45="","",SUMIF(tblAnahtarA[Norm],$A45,tblVeriA[ToplamTutar]))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IF($A45="","",IF($F45&gt;efd_esikFark,1,0))</f>
        <v/>
      </c>
      <c r="O45" s="17">
        <f>IF($A45="","",IF($G45="eslesti",$D45,0))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IF($A46="","",SUMIF(tblAnahtarB[NormB],$A46,tblVeriB[BeklenenTutar]))</f>
        <v/>
      </c>
      <c r="D46" s="17">
        <f>IF($A46="","",SUMIF(tblAnahtarA[Norm],$A46,tblVeriA[ToplamTutar]))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IF($A46="","",IF($F46&gt;efd_esikFark,1,0))</f>
        <v/>
      </c>
      <c r="O46" s="17">
        <f>IF($A46="","",IF($G46="eslesti",$D46,0))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IF($A47="","",SUMIF(tblAnahtarB[NormB],$A47,tblVeriB[BeklenenTutar]))</f>
        <v/>
      </c>
      <c r="D47" s="17">
        <f>IF($A47="","",SUMIF(tblAnahtarA[Norm],$A47,tblVeriA[ToplamTutar]))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IF($A47="","",IF($F47&gt;efd_esikFark,1,0))</f>
        <v/>
      </c>
      <c r="O47" s="17">
        <f>IF($A47="","",IF($G47="eslesti",$D47,0))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IF($A48="","",SUMIF(tblAnahtarB[NormB],$A48,tblVeriB[BeklenenTutar]))</f>
        <v/>
      </c>
      <c r="D48" s="17">
        <f>IF($A48="","",SUMIF(tblAnahtarA[Norm],$A48,tblVeriA[ToplamTutar]))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IF($A48="","",IF($F48&gt;efd_esikFark,1,0))</f>
        <v/>
      </c>
      <c r="O48" s="17">
        <f>IF($A48="","",IF($G48="eslesti",$D48,0))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IF($A49="","",SUMIF(tblAnahtarB[NormB],$A49,tblVeriB[BeklenenTutar]))</f>
        <v/>
      </c>
      <c r="D49" s="17">
        <f>IF($A49="","",SUMIF(tblAnahtarA[Norm],$A49,tblVeriA[ToplamTutar]))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IF($A49="","",IF($F49&gt;efd_esikFark,1,0))</f>
        <v/>
      </c>
      <c r="O49" s="17">
        <f>IF($A49="","",IF($G49="eslesti",$D49,0))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IF($A50="","",SUMIF(tblAnahtarB[NormB],$A50,tblVeriB[BeklenenTutar]))</f>
        <v/>
      </c>
      <c r="D50" s="17">
        <f>IF($A50="","",SUMIF(tblAnahtarA[Norm],$A50,tblVeriA[ToplamTutar]))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IF($A50="","",IF($F50&gt;efd_esikFark,1,0))</f>
        <v/>
      </c>
      <c r="O50" s="17">
        <f>IF($A50="","",IF($G50="eslesti",$D50,0))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IF($A51="","",SUMIF(tblAnahtarB[NormB],$A51,tblVeriB[BeklenenTutar]))</f>
        <v/>
      </c>
      <c r="D51" s="17">
        <f>IF($A51="","",SUMIF(tblAnahtarA[Norm],$A51,tblVeriA[ToplamTutar]))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IF($A51="","",IF($F51&gt;efd_esikFark,1,0))</f>
        <v/>
      </c>
      <c r="O51" s="17">
        <f>IF($A51="","",IF($G51="eslesti",$D51,0))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IF($A52="","",SUMIF(tblAnahtarB[NormB],$A52,tblVeriB[BeklenenTutar]))</f>
        <v/>
      </c>
      <c r="D52" s="17">
        <f>IF($A52="","",SUMIF(tblAnahtarA[Norm],$A52,tblVeriA[ToplamTutar]))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IF($A52="","",IF($F52&gt;efd_esikFark,1,0))</f>
        <v/>
      </c>
      <c r="O52" s="17">
        <f>IF($A52="","",IF($G52="eslesti",$D52,0))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IF($A53="","",SUMIF(tblAnahtarB[NormB],$A53,tblVeriB[BeklenenTutar]))</f>
        <v/>
      </c>
      <c r="D53" s="17">
        <f>IF($A53="","",SUMIF(tblAnahtarA[Norm],$A53,tblVeriA[ToplamTutar]))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IF($A53="","",IF($F53&gt;efd_esikFark,1,0))</f>
        <v/>
      </c>
      <c r="O53" s="17">
        <f>IF($A53="","",IF($G53="eslesti",$D53,0))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IF($A54="","",SUMIF(tblAnahtarB[NormB],$A54,tblVeriB[BeklenenTutar]))</f>
        <v/>
      </c>
      <c r="D54" s="17">
        <f>IF($A54="","",SUMIF(tblAnahtarA[Norm],$A54,tblVeriA[ToplamTutar]))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IF($A54="","",IF($F54&gt;efd_esikFark,1,0))</f>
        <v/>
      </c>
      <c r="O54" s="17">
        <f>IF($A54="","",IF($G54="eslesti",$D54,0))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IF($A55="","",SUMIF(tblAnahtarB[NormB],$A55,tblVeriB[BeklenenTutar]))</f>
        <v/>
      </c>
      <c r="D55" s="17">
        <f>IF($A55="","",SUMIF(tblAnahtarA[Norm],$A55,tblVeriA[ToplamTutar]))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IF($A55="","",IF($F55&gt;efd_esikFark,1,0))</f>
        <v/>
      </c>
      <c r="O55" s="17">
        <f>IF($A55="","",IF($G55="eslesti",$D55,0))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IF($A56="","",SUMIF(tblAnahtarB[NormB],$A56,tblVeriB[BeklenenTutar]))</f>
        <v/>
      </c>
      <c r="D56" s="17">
        <f>IF($A56="","",SUMIF(tblAnahtarA[Norm],$A56,tblVeriA[ToplamTutar]))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IF($A56="","",IF($F56&gt;efd_esikFark,1,0))</f>
        <v/>
      </c>
      <c r="O56" s="17">
        <f>IF($A56="","",IF($G56="eslesti",$D56,0))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IF($A57="","",SUMIF(tblAnahtarB[NormB],$A57,tblVeriB[BeklenenTutar]))</f>
        <v/>
      </c>
      <c r="D57" s="17">
        <f>IF($A57="","",SUMIF(tblAnahtarA[Norm],$A57,tblVeriA[ToplamTutar]))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IF($A57="","",IF($F57&gt;efd_esikFark,1,0))</f>
        <v/>
      </c>
      <c r="O57" s="17">
        <f>IF($A57="","",IF($G57="eslesti",$D57,0))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IF($A58="","",SUMIF(tblAnahtarB[NormB],$A58,tblVeriB[BeklenenTutar]))</f>
        <v/>
      </c>
      <c r="D58" s="17">
        <f>IF($A58="","",SUMIF(tblAnahtarA[Norm],$A58,tblVeriA[ToplamTutar]))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IF($A58="","",IF($F58&gt;efd_esikFark,1,0))</f>
        <v/>
      </c>
      <c r="O58" s="17">
        <f>IF($A58="","",IF($G58="eslesti",$D58,0))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IF($A59="","",SUMIF(tblAnahtarB[NormB],$A59,tblVeriB[BeklenenTutar]))</f>
        <v/>
      </c>
      <c r="D59" s="17">
        <f>IF($A59="","",SUMIF(tblAnahtarA[Norm],$A59,tblVeriA[ToplamTutar]))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IF($A59="","",IF($F59&gt;efd_esikFark,1,0))</f>
        <v/>
      </c>
      <c r="O59" s="17">
        <f>IF($A59="","",IF($G59="eslesti",$D59,0))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IF($A60="","",SUMIF(tblAnahtarB[NormB],$A60,tblVeriB[BeklenenTutar]))</f>
        <v/>
      </c>
      <c r="D60" s="17">
        <f>IF($A60="","",SUMIF(tblAnahtarA[Norm],$A60,tblVeriA[ToplamTutar]))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IF($A60="","",IF($F60&gt;efd_esikFark,1,0))</f>
        <v/>
      </c>
      <c r="O60" s="17">
        <f>IF($A60="","",IF($G60="eslesti",$D60,0))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IF($A61="","",SUMIF(tblAnahtarB[NormB],$A61,tblVeriB[BeklenenTutar]))</f>
        <v/>
      </c>
      <c r="D61" s="17">
        <f>IF($A61="","",SUMIF(tblAnahtarA[Norm],$A61,tblVeriA[ToplamTutar]))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IF($A61="","",IF($F61&gt;efd_esikFark,1,0))</f>
        <v/>
      </c>
      <c r="O61" s="17">
        <f>IF($A61="","",IF($G61="eslesti",$D61,0))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IF($A62="","",SUMIF(tblAnahtarB[NormB],$A62,tblVeriB[BeklenenTutar]))</f>
        <v/>
      </c>
      <c r="D62" s="17">
        <f>IF($A62="","",SUMIF(tblAnahtarA[Norm],$A62,tblVeriA[ToplamTutar]))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IF($A62="","",IF($F62&gt;efd_esikFark,1,0))</f>
        <v/>
      </c>
      <c r="O62" s="17">
        <f>IF($A62="","",IF($G62="eslesti",$D62,0))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IF($A63="","",SUMIF(tblAnahtarB[NormB],$A63,tblVeriB[BeklenenTutar]))</f>
        <v/>
      </c>
      <c r="D63" s="17">
        <f>IF($A63="","",SUMIF(tblAnahtarA[Norm],$A63,tblVeriA[ToplamTutar]))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IF($A63="","",IF($F63&gt;efd_esikFark,1,0))</f>
        <v/>
      </c>
      <c r="O63" s="17">
        <f>IF($A63="","",IF($G63="eslesti",$D63,0))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IF($A64="","",SUMIF(tblAnahtarB[NormB],$A64,tblVeriB[BeklenenTutar]))</f>
        <v/>
      </c>
      <c r="D64" s="17">
        <f>IF($A64="","",SUMIF(tblAnahtarA[Norm],$A64,tblVeriA[ToplamTutar]))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IF($A64="","",IF($F64&gt;efd_esikFark,1,0))</f>
        <v/>
      </c>
      <c r="O64" s="17">
        <f>IF($A64="","",IF($G64="eslesti",$D64,0))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IF($A65="","",SUMIF(tblAnahtarB[NormB],$A65,tblVeriB[BeklenenTutar]))</f>
        <v/>
      </c>
      <c r="D65" s="17">
        <f>IF($A65="","",SUMIF(tblAnahtarA[Norm],$A65,tblVeriA[ToplamTutar]))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IF($A65="","",IF($F65&gt;efd_esikFark,1,0))</f>
        <v/>
      </c>
      <c r="O65" s="17">
        <f>IF($A65="","",IF($G65="eslesti",$D65,0))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IF($A66="","",SUMIF(tblAnahtarB[NormB],$A66,tblVeriB[BeklenenTutar]))</f>
        <v/>
      </c>
      <c r="D66" s="17">
        <f>IF($A66="","",SUMIF(tblAnahtarA[Norm],$A66,tblVeriA[ToplamTutar]))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IF($A66="","",IF($F66&gt;efd_esikFark,1,0))</f>
        <v/>
      </c>
      <c r="O66" s="17">
        <f>IF($A66="","",IF($G66="eslesti",$D66,0))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IF($A67="","",SUMIF(tblAnahtarB[NormB],$A67,tblVeriB[BeklenenTutar]))</f>
        <v/>
      </c>
      <c r="D67" s="17">
        <f>IF($A67="","",SUMIF(tblAnahtarA[Norm],$A67,tblVeriA[ToplamTutar]))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IF($A67="","",IF($F67&gt;efd_esikFark,1,0))</f>
        <v/>
      </c>
      <c r="O67" s="17">
        <f>IF($A67="","",IF($G67="eslesti",$D67,0))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IF($A68="","",SUMIF(tblAnahtarB[NormB],$A68,tblVeriB[BeklenenTutar]))</f>
        <v/>
      </c>
      <c r="D68" s="17">
        <f>IF($A68="","",SUMIF(tblAnahtarA[Norm],$A68,tblVeriA[ToplamTutar]))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IF($A68="","",IF($F68&gt;efd_esikFark,1,0))</f>
        <v/>
      </c>
      <c r="O68" s="17">
        <f>IF($A68="","",IF($G68="eslesti",$D68,0))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IF($A69="","",SUMIF(tblAnahtarB[NormB],$A69,tblVeriB[BeklenenTutar]))</f>
        <v/>
      </c>
      <c r="D69" s="17">
        <f>IF($A69="","",SUMIF(tblAnahtarA[Norm],$A69,tblVeriA[ToplamTutar]))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IF($A69="","",IF($F69&gt;efd_esikFark,1,0))</f>
        <v/>
      </c>
      <c r="O69" s="17">
        <f>IF($A69="","",IF($G69="eslesti",$D69,0))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IF($A70="","",SUMIF(tblAnahtarB[NormB],$A70,tblVeriB[BeklenenTutar]))</f>
        <v/>
      </c>
      <c r="D70" s="17">
        <f>IF($A70="","",SUMIF(tblAnahtarA[Norm],$A70,tblVeriA[ToplamTutar]))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IF($A70="","",IF($F70&gt;efd_esikFark,1,0))</f>
        <v/>
      </c>
      <c r="O70" s="17">
        <f>IF($A70="","",IF($G70="eslesti",$D70,0))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IF($A71="","",SUMIF(tblAnahtarB[NormB],$A71,tblVeriB[BeklenenTutar]))</f>
        <v/>
      </c>
      <c r="D71" s="17">
        <f>IF($A71="","",SUMIF(tblAnahtarA[Norm],$A71,tblVeriA[ToplamTutar]))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IF($A71="","",IF($F71&gt;efd_esikFark,1,0))</f>
        <v/>
      </c>
      <c r="O71" s="17">
        <f>IF($A71="","",IF($G71="eslesti",$D71,0))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IF($A72="","",SUMIF(tblAnahtarB[NormB],$A72,tblVeriB[BeklenenTutar]))</f>
        <v/>
      </c>
      <c r="D72" s="17">
        <f>IF($A72="","",SUMIF(tblAnahtarA[Norm],$A72,tblVeriA[ToplamTutar]))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IF($A72="","",IF($F72&gt;efd_esikFark,1,0))</f>
        <v/>
      </c>
      <c r="O72" s="17">
        <f>IF($A72="","",IF($G72="eslesti",$D72,0))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IF($A73="","",SUMIF(tblAnahtarB[NormB],$A73,tblVeriB[BeklenenTutar]))</f>
        <v/>
      </c>
      <c r="D73" s="17">
        <f>IF($A73="","",SUMIF(tblAnahtarA[Norm],$A73,tblVeriA[ToplamTutar]))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IF($A73="","",IF($F73&gt;efd_esikFark,1,0))</f>
        <v/>
      </c>
      <c r="O73" s="17">
        <f>IF($A73="","",IF($G73="eslesti",$D73,0))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IF($A74="","",SUMIF(tblAnahtarB[NormB],$A74,tblVeriB[BeklenenTutar]))</f>
        <v/>
      </c>
      <c r="D74" s="17">
        <f>IF($A74="","",SUMIF(tblAnahtarA[Norm],$A74,tblVeriA[ToplamTutar]))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IF($A74="","",IF($F74&gt;efd_esikFark,1,0))</f>
        <v/>
      </c>
      <c r="O74" s="17">
        <f>IF($A74="","",IF($G74="eslesti",$D74,0))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IF($A75="","",SUMIF(tblAnahtarB[NormB],$A75,tblVeriB[BeklenenTutar]))</f>
        <v/>
      </c>
      <c r="D75" s="17">
        <f>IF($A75="","",SUMIF(tblAnahtarA[Norm],$A75,tblVeriA[ToplamTutar]))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IF($A75="","",IF($F75&gt;efd_esikFark,1,0))</f>
        <v/>
      </c>
      <c r="O75" s="17">
        <f>IF($A75="","",IF($G75="eslesti",$D75,0))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IF($A76="","",SUMIF(tblAnahtarB[NormB],$A76,tblVeriB[BeklenenTutar]))</f>
        <v/>
      </c>
      <c r="D76" s="17">
        <f>IF($A76="","",SUMIF(tblAnahtarA[Norm],$A76,tblVeriA[ToplamTutar]))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IF($A76="","",IF($F76&gt;efd_esikFark,1,0))</f>
        <v/>
      </c>
      <c r="O76" s="17">
        <f>IF($A76="","",IF($G76="eslesti",$D76,0))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IF($A77="","",SUMIF(tblAnahtarB[NormB],$A77,tblVeriB[BeklenenTutar]))</f>
        <v/>
      </c>
      <c r="D77" s="17">
        <f>IF($A77="","",SUMIF(tblAnahtarA[Norm],$A77,tblVeriA[ToplamTutar]))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IF($A77="","",IF($F77&gt;efd_esikFark,1,0))</f>
        <v/>
      </c>
      <c r="O77" s="17">
        <f>IF($A77="","",IF($G77="eslesti",$D77,0))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IF($A78="","",SUMIF(tblAnahtarB[NormB],$A78,tblVeriB[BeklenenTutar]))</f>
        <v/>
      </c>
      <c r="D78" s="17">
        <f>IF($A78="","",SUMIF(tblAnahtarA[Norm],$A78,tblVeriA[ToplamTutar]))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IF($A78="","",IF($F78&gt;efd_esikFark,1,0))</f>
        <v/>
      </c>
      <c r="O78" s="17">
        <f>IF($A78="","",IF($G78="eslesti",$D78,0))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IF($A79="","",SUMIF(tblAnahtarB[NormB],$A79,tblVeriB[BeklenenTutar]))</f>
        <v/>
      </c>
      <c r="D79" s="17">
        <f>IF($A79="","",SUMIF(tblAnahtarA[Norm],$A79,tblVeriA[ToplamTutar]))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IF($A79="","",IF($F79&gt;efd_esikFark,1,0))</f>
        <v/>
      </c>
      <c r="O79" s="17">
        <f>IF($A79="","",IF($G79="eslesti",$D79,0))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IF($A80="","",SUMIF(tblAnahtarB[NormB],$A80,tblVeriB[BeklenenTutar]))</f>
        <v/>
      </c>
      <c r="D80" s="17">
        <f>IF($A80="","",SUMIF(tblAnahtarA[Norm],$A80,tblVeriA[ToplamTutar]))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IF($A80="","",IF($F80&gt;efd_esikFark,1,0))</f>
        <v/>
      </c>
      <c r="O80" s="17">
        <f>IF($A80="","",IF($G80="eslesti",$D80,0))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IF($A81="","",SUMIF(tblAnahtarB[NormB],$A81,tblVeriB[BeklenenTutar]))</f>
        <v/>
      </c>
      <c r="D81" s="17">
        <f>IF($A81="","",SUMIF(tblAnahtarA[Norm],$A81,tblVeriA[ToplamTutar]))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IF($A81="","",IF($F81&gt;efd_esikFark,1,0))</f>
        <v/>
      </c>
      <c r="O81" s="17">
        <f>IF($A81="","",IF($G81="eslesti",$D81,0))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IF($A82="","",SUMIF(tblAnahtarB[NormB],$A82,tblVeriB[BeklenenTutar]))</f>
        <v/>
      </c>
      <c r="D82" s="17">
        <f>IF($A82="","",SUMIF(tblAnahtarA[Norm],$A82,tblVeriA[ToplamTutar]))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IF($A82="","",IF($F82&gt;efd_esikFark,1,0))</f>
        <v/>
      </c>
      <c r="O82" s="17">
        <f>IF($A82="","",IF($G82="eslesti",$D82,0))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IF($A83="","",SUMIF(tblAnahtarB[NormB],$A83,tblVeriB[BeklenenTutar]))</f>
        <v/>
      </c>
      <c r="D83" s="17">
        <f>IF($A83="","",SUMIF(tblAnahtarA[Norm],$A83,tblVeriA[ToplamTutar]))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IF($A83="","",IF($F83&gt;efd_esikFark,1,0))</f>
        <v/>
      </c>
      <c r="O83" s="17">
        <f>IF($A83="","",IF($G83="eslesti",$D83,0))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IF($A84="","",SUMIF(tblAnahtarB[NormB],$A84,tblVeriB[BeklenenTutar]))</f>
        <v/>
      </c>
      <c r="D84" s="17">
        <f>IF($A84="","",SUMIF(tblAnahtarA[Norm],$A84,tblVeriA[ToplamTutar]))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IF($A84="","",IF($F84&gt;efd_esikFark,1,0))</f>
        <v/>
      </c>
      <c r="O84" s="17">
        <f>IF($A84="","",IF($G84="eslesti",$D84,0))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IF($A85="","",SUMIF(tblAnahtarB[NormB],$A85,tblVeriB[BeklenenTutar]))</f>
        <v/>
      </c>
      <c r="D85" s="17">
        <f>IF($A85="","",SUMIF(tblAnahtarA[Norm],$A85,tblVeriA[ToplamTutar]))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IF($A85="","",IF($F85&gt;efd_esikFark,1,0))</f>
        <v/>
      </c>
      <c r="O85" s="17">
        <f>IF($A85="","",IF($G85="eslesti",$D85,0))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IF($A86="","",SUMIF(tblAnahtarB[NormB],$A86,tblVeriB[BeklenenTutar]))</f>
        <v/>
      </c>
      <c r="D86" s="17">
        <f>IF($A86="","",SUMIF(tblAnahtarA[Norm],$A86,tblVeriA[ToplamTutar]))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IF($A86="","",IF($F86&gt;efd_esikFark,1,0))</f>
        <v/>
      </c>
      <c r="O86" s="17">
        <f>IF($A86="","",IF($G86="eslesti",$D86,0))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IF($A87="","",SUMIF(tblAnahtarB[NormB],$A87,tblVeriB[BeklenenTutar]))</f>
        <v/>
      </c>
      <c r="D87" s="17">
        <f>IF($A87="","",SUMIF(tblAnahtarA[Norm],$A87,tblVeriA[ToplamTutar]))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IF($A87="","",IF($F87&gt;efd_esikFark,1,0))</f>
        <v/>
      </c>
      <c r="O87" s="17">
        <f>IF($A87="","",IF($G87="eslesti",$D87,0))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IF($A88="","",SUMIF(tblAnahtarB[NormB],$A88,tblVeriB[BeklenenTutar]))</f>
        <v/>
      </c>
      <c r="D88" s="17">
        <f>IF($A88="","",SUMIF(tblAnahtarA[Norm],$A88,tblVeriA[ToplamTutar]))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IF($A88="","",IF($F88&gt;efd_esikFark,1,0))</f>
        <v/>
      </c>
      <c r="O88" s="17">
        <f>IF($A88="","",IF($G88="eslesti",$D88,0))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IF($A89="","",SUMIF(tblAnahtarB[NormB],$A89,tblVeriB[BeklenenTutar]))</f>
        <v/>
      </c>
      <c r="D89" s="17">
        <f>IF($A89="","",SUMIF(tblAnahtarA[Norm],$A89,tblVeriA[ToplamTutar]))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IF($A89="","",IF($F89&gt;efd_esikFark,1,0))</f>
        <v/>
      </c>
      <c r="O89" s="17">
        <f>IF($A89="","",IF($G89="eslesti",$D89,0))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IF($A90="","",SUMIF(tblAnahtarB[NormB],$A90,tblVeriB[BeklenenTutar]))</f>
        <v/>
      </c>
      <c r="D90" s="17">
        <f>IF($A90="","",SUMIF(tblAnahtarA[Norm],$A90,tblVeriA[ToplamTutar]))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IF($A90="","",IF($F90&gt;efd_esikFark,1,0))</f>
        <v/>
      </c>
      <c r="O90" s="17">
        <f>IF($A90="","",IF($G90="eslesti",$D90,0))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IF($A91="","",SUMIF(tblAnahtarB[NormB],$A91,tblVeriB[BeklenenTutar]))</f>
        <v/>
      </c>
      <c r="D91" s="17">
        <f>IF($A91="","",SUMIF(tblAnahtarA[Norm],$A91,tblVeriA[ToplamTutar]))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IF($A91="","",IF($F91&gt;efd_esikFark,1,0))</f>
        <v/>
      </c>
      <c r="O91" s="17">
        <f>IF($A91="","",IF($G91="eslesti",$D91,0))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IF($A92="","",SUMIF(tblAnahtarB[NormB],$A92,tblVeriB[BeklenenTutar]))</f>
        <v/>
      </c>
      <c r="D92" s="17">
        <f>IF($A92="","",SUMIF(tblAnahtarA[Norm],$A92,tblVeriA[ToplamTutar]))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IF($A92="","",IF($F92&gt;efd_esikFark,1,0))</f>
        <v/>
      </c>
      <c r="O92" s="17">
        <f>IF($A92="","",IF($G92="eslesti",$D92,0))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IF($A93="","",SUMIF(tblAnahtarB[NormB],$A93,tblVeriB[BeklenenTutar]))</f>
        <v/>
      </c>
      <c r="D93" s="17">
        <f>IF($A93="","",SUMIF(tblAnahtarA[Norm],$A93,tblVeriA[ToplamTutar]))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IF($A93="","",IF($F93&gt;efd_esikFark,1,0))</f>
        <v/>
      </c>
      <c r="O93" s="17">
        <f>IF($A93="","",IF($G93="eslesti",$D93,0))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IF($A94="","",SUMIF(tblAnahtarB[NormB],$A94,tblVeriB[BeklenenTutar]))</f>
        <v/>
      </c>
      <c r="D94" s="17">
        <f>IF($A94="","",SUMIF(tblAnahtarA[Norm],$A94,tblVeriA[ToplamTutar]))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IF($A94="","",IF($F94&gt;efd_esikFark,1,0))</f>
        <v/>
      </c>
      <c r="O94" s="17">
        <f>IF($A94="","",IF($G94="eslesti",$D94,0))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IF($A95="","",SUMIF(tblAnahtarB[NormB],$A95,tblVeriB[BeklenenTutar]))</f>
        <v/>
      </c>
      <c r="D95" s="17">
        <f>IF($A95="","",SUMIF(tblAnahtarA[Norm],$A95,tblVeriA[ToplamTutar]))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IF($A95="","",IF($F95&gt;efd_esikFark,1,0))</f>
        <v/>
      </c>
      <c r="O95" s="17">
        <f>IF($A95="","",IF($G95="eslesti",$D95,0))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IF($A96="","",SUMIF(tblAnahtarB[NormB],$A96,tblVeriB[BeklenenTutar]))</f>
        <v/>
      </c>
      <c r="D96" s="17">
        <f>IF($A96="","",SUMIF(tblAnahtarA[Norm],$A96,tblVeriA[ToplamTutar]))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IF($A96="","",IF($F96&gt;efd_esikFark,1,0))</f>
        <v/>
      </c>
      <c r="O96" s="17">
        <f>IF($A96="","",IF($G96="eslesti",$D96,0))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IF($A97="","",SUMIF(tblAnahtarB[NormB],$A97,tblVeriB[BeklenenTutar]))</f>
        <v/>
      </c>
      <c r="D97" s="17">
        <f>IF($A97="","",SUMIF(tblAnahtarA[Norm],$A97,tblVeriA[ToplamTutar]))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IF($A97="","",IF($F97&gt;efd_esikFark,1,0))</f>
        <v/>
      </c>
      <c r="O97" s="17">
        <f>IF($A97="","",IF($G97="eslesti",$D97,0))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IF($A98="","",SUMIF(tblAnahtarB[NormB],$A98,tblVeriB[BeklenenTutar]))</f>
        <v/>
      </c>
      <c r="D98" s="17">
        <f>IF($A98="","",SUMIF(tblAnahtarA[Norm],$A98,tblVeriA[ToplamTutar]))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IF($A98="","",IF($F98&gt;efd_esikFark,1,0))</f>
        <v/>
      </c>
      <c r="O98" s="17">
        <f>IF($A98="","",IF($G98="eslesti",$D98,0))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IF($A99="","",SUMIF(tblAnahtarB[NormB],$A99,tblVeriB[BeklenenTutar]))</f>
        <v/>
      </c>
      <c r="D99" s="17">
        <f>IF($A99="","",SUMIF(tblAnahtarA[Norm],$A99,tblVeriA[ToplamTutar]))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IF($A99="","",IF($F99&gt;efd_esikFark,1,0))</f>
        <v/>
      </c>
      <c r="O99" s="17">
        <f>IF($A99="","",IF($G99="eslesti",$D99,0))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IF($A100="","",SUMIF(tblAnahtarB[NormB],$A100,tblVeriB[BeklenenTutar]))</f>
        <v/>
      </c>
      <c r="D100" s="17">
        <f>IF($A100="","",SUMIF(tblAnahtarA[Norm],$A100,tblVeriA[ToplamTutar]))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IF($A100="","",IF($F100&gt;efd_esikFark,1,0))</f>
        <v/>
      </c>
      <c r="O100" s="17">
        <f>IF($A100="","",IF($G100="eslesti",$D100,0))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IF($A101="","",SUMIF(tblAnahtarB[NormB],$A101,tblVeriB[BeklenenTutar]))</f>
        <v/>
      </c>
      <c r="D101" s="17">
        <f>IF($A101="","",SUMIF(tblAnahtarA[Norm],$A101,tblVeriA[ToplamTutar]))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IF($A101="","",IF($F101&gt;efd_esikFark,1,0))</f>
        <v/>
      </c>
      <c r="O101" s="17">
        <f>IF($A101="","",IF($G101="eslesti",$D101,0))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IF($A102="","",SUMIF(tblAnahtarB[NormB],$A102,tblVeriB[BeklenenTutar]))</f>
        <v/>
      </c>
      <c r="D102" s="17">
        <f>IF($A102="","",SUMIF(tblAnahtarA[Norm],$A102,tblVeriA[ToplamTutar]))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IF($A102="","",IF($F102&gt;efd_esikFark,1,0))</f>
        <v/>
      </c>
      <c r="O102" s="17">
        <f>IF($A102="","",IF($G102="eslesti",$D102,0))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IF($A103="","",SUMIF(tblAnahtarB[NormB],$A103,tblVeriB[BeklenenTutar]))</f>
        <v/>
      </c>
      <c r="D103" s="17">
        <f>IF($A103="","",SUMIF(tblAnahtarA[Norm],$A103,tblVeriA[ToplamTutar]))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IF($A103="","",IF($F103&gt;efd_esikFark,1,0))</f>
        <v/>
      </c>
      <c r="O103" s="17">
        <f>IF($A103="","",IF($G103="eslesti",$D103,0))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IF($A104="","",SUMIF(tblAnahtarB[NormB],$A104,tblVeriB[BeklenenTutar]))</f>
        <v/>
      </c>
      <c r="D104" s="17">
        <f>IF($A104="","",SUMIF(tblAnahtarA[Norm],$A104,tblVeriA[ToplamTutar]))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IF($A104="","",IF($F104&gt;efd_esikFark,1,0))</f>
        <v/>
      </c>
      <c r="O104" s="17">
        <f>IF($A104="","",IF($G104="eslesti",$D104,0))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IF($A105="","",SUMIF(tblAnahtarB[NormB],$A105,tblVeriB[BeklenenTutar]))</f>
        <v/>
      </c>
      <c r="D105" s="17">
        <f>IF($A105="","",SUMIF(tblAnahtarA[Norm],$A105,tblVeriA[ToplamTutar]))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IF($A105="","",IF($F105&gt;efd_esikFark,1,0))</f>
        <v/>
      </c>
      <c r="O105" s="17">
        <f>IF($A105="","",IF($G105="eslesti",$D105,0))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IF($A106="","",SUMIF(tblAnahtarB[NormB],$A106,tblVeriB[BeklenenTutar]))</f>
        <v/>
      </c>
      <c r="D106" s="17">
        <f>IF($A106="","",SUMIF(tblAnahtarA[Norm],$A106,tblVeriA[ToplamTutar]))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IF($A106="","",IF($F106&gt;efd_esikFark,1,0))</f>
        <v/>
      </c>
      <c r="O106" s="17">
        <f>IF($A106="","",IF($G106="eslesti",$D106,0))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IF($A107="","",SUMIF(tblAnahtarB[NormB],$A107,tblVeriB[BeklenenTutar]))</f>
        <v/>
      </c>
      <c r="D107" s="17">
        <f>IF($A107="","",SUMIF(tblAnahtarA[Norm],$A107,tblVeriA[ToplamTutar]))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IF($A107="","",IF($F107&gt;efd_esikFark,1,0))</f>
        <v/>
      </c>
      <c r="O107" s="17">
        <f>IF($A107="","",IF($G107="eslesti",$D107,0))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IF($A108="","",SUMIF(tblAnahtarB[NormB],$A108,tblVeriB[BeklenenTutar]))</f>
        <v/>
      </c>
      <c r="D108" s="17">
        <f>IF($A108="","",SUMIF(tblAnahtarA[Norm],$A108,tblVeriA[ToplamTutar]))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IF($A108="","",IF($F108&gt;efd_esikFark,1,0))</f>
        <v/>
      </c>
      <c r="O108" s="17">
        <f>IF($A108="","",IF($G108="eslesti",$D108,0))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IF($A109="","",SUMIF(tblAnahtarB[NormB],$A109,tblVeriB[BeklenenTutar]))</f>
        <v/>
      </c>
      <c r="D109" s="17">
        <f>IF($A109="","",SUMIF(tblAnahtarA[Norm],$A109,tblVeriA[ToplamTutar]))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IF($A109="","",IF($F109&gt;efd_esikFark,1,0))</f>
        <v/>
      </c>
      <c r="O109" s="17">
        <f>IF($A109="","",IF($G109="eslesti",$D109,0))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IF($A110="","",SUMIF(tblAnahtarB[NormB],$A110,tblVeriB[BeklenenTutar]))</f>
        <v/>
      </c>
      <c r="D110" s="17">
        <f>IF($A110="","",SUMIF(tblAnahtarA[Norm],$A110,tblVeriA[ToplamTutar]))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IF($A110="","",IF($F110&gt;efd_esikFark,1,0))</f>
        <v/>
      </c>
      <c r="O110" s="17">
        <f>IF($A110="","",IF($G110="eslesti",$D110,0))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IF($A111="","",SUMIF(tblAnahtarB[NormB],$A111,tblVeriB[BeklenenTutar]))</f>
        <v/>
      </c>
      <c r="D111" s="17">
        <f>IF($A111="","",SUMIF(tblAnahtarA[Norm],$A111,tblVeriA[ToplamTutar]))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IF($A111="","",IF($F111&gt;efd_esikFark,1,0))</f>
        <v/>
      </c>
      <c r="O111" s="17">
        <f>IF($A111="","",IF($G111="eslesti",$D111,0))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IF($A112="","",SUMIF(tblAnahtarB[NormB],$A112,tblVeriB[BeklenenTutar]))</f>
        <v/>
      </c>
      <c r="D112" s="17">
        <f>IF($A112="","",SUMIF(tblAnahtarA[Norm],$A112,tblVeriA[ToplamTutar]))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IF($A112="","",IF($F112&gt;efd_esikFark,1,0))</f>
        <v/>
      </c>
      <c r="O112" s="17">
        <f>IF($A112="","",IF($G112="eslesti",$D112,0))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IF($A113="","",SUMIF(tblAnahtarB[NormB],$A113,tblVeriB[BeklenenTutar]))</f>
        <v/>
      </c>
      <c r="D113" s="17">
        <f>IF($A113="","",SUMIF(tblAnahtarA[Norm],$A113,tblVeriA[ToplamTutar]))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IF($A113="","",IF($F113&gt;efd_esikFark,1,0))</f>
        <v/>
      </c>
      <c r="O113" s="17">
        <f>IF($A113="","",IF($G113="eslesti",$D113,0))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IF($A114="","",SUMIF(tblAnahtarB[NormB],$A114,tblVeriB[BeklenenTutar]))</f>
        <v/>
      </c>
      <c r="D114" s="17">
        <f>IF($A114="","",SUMIF(tblAnahtarA[Norm],$A114,tblVeriA[ToplamTutar]))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IF($A114="","",IF($F114&gt;efd_esikFark,1,0))</f>
        <v/>
      </c>
      <c r="O114" s="17">
        <f>IF($A114="","",IF($G114="eslesti",$D114,0))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IF($A115="","",SUMIF(tblAnahtarB[NormB],$A115,tblVeriB[BeklenenTutar]))</f>
        <v/>
      </c>
      <c r="D115" s="17">
        <f>IF($A115="","",SUMIF(tblAnahtarA[Norm],$A115,tblVeriA[ToplamTutar]))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IF($A115="","",IF($F115&gt;efd_esikFark,1,0))</f>
        <v/>
      </c>
      <c r="O115" s="17">
        <f>IF($A115="","",IF($G115="eslesti",$D115,0))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IF($A116="","",SUMIF(tblAnahtarB[NormB],$A116,tblVeriB[BeklenenTutar]))</f>
        <v/>
      </c>
      <c r="D116" s="17">
        <f>IF($A116="","",SUMIF(tblAnahtarA[Norm],$A116,tblVeriA[ToplamTutar]))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IF($A116="","",IF($F116&gt;efd_esikFark,1,0))</f>
        <v/>
      </c>
      <c r="O116" s="17">
        <f>IF($A116="","",IF($G116="eslesti",$D116,0))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IF($A117="","",SUMIF(tblAnahtarB[NormB],$A117,tblVeriB[BeklenenTutar]))</f>
        <v/>
      </c>
      <c r="D117" s="17">
        <f>IF($A117="","",SUMIF(tblAnahtarA[Norm],$A117,tblVeriA[ToplamTutar]))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IF($A117="","",IF($F117&gt;efd_esikFark,1,0))</f>
        <v/>
      </c>
      <c r="O117" s="17">
        <f>IF($A117="","",IF($G117="eslesti",$D117,0))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IF($A118="","",SUMIF(tblAnahtarB[NormB],$A118,tblVeriB[BeklenenTutar]))</f>
        <v/>
      </c>
      <c r="D118" s="17">
        <f>IF($A118="","",SUMIF(tblAnahtarA[Norm],$A118,tblVeriA[ToplamTutar]))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IF($A118="","",IF($F118&gt;efd_esikFark,1,0))</f>
        <v/>
      </c>
      <c r="O118" s="17">
        <f>IF($A118="","",IF($G118="eslesti",$D118,0))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IF($A119="","",SUMIF(tblAnahtarB[NormB],$A119,tblVeriB[BeklenenTutar]))</f>
        <v/>
      </c>
      <c r="D119" s="17">
        <f>IF($A119="","",SUMIF(tblAnahtarA[Norm],$A119,tblVeriA[ToplamTutar]))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IF($A119="","",IF($F119&gt;efd_esikFark,1,0))</f>
        <v/>
      </c>
      <c r="O119" s="17">
        <f>IF($A119="","",IF($G119="eslesti",$D119,0))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IF($A120="","",SUMIF(tblAnahtarB[NormB],$A120,tblVeriB[BeklenenTutar]))</f>
        <v/>
      </c>
      <c r="D120" s="17">
        <f>IF($A120="","",SUMIF(tblAnahtarA[Norm],$A120,tblVeriA[ToplamTutar]))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IF($A120="","",IF($F120&gt;efd_esikFark,1,0))</f>
        <v/>
      </c>
      <c r="O120" s="17">
        <f>IF($A120="","",IF($G120="eslesti",$D120,0))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IF($A121="","",SUMIF(tblAnahtarB[NormB],$A121,tblVeriB[BeklenenTutar]))</f>
        <v/>
      </c>
      <c r="D121" s="17">
        <f>IF($A121="","",SUMIF(tblAnahtarA[Norm],$A121,tblVeriA[ToplamTutar]))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IF($A121="","",IF($F121&gt;efd_esikFark,1,0))</f>
        <v/>
      </c>
      <c r="O121" s="17">
        <f>IF($A121="","",IF($G121="eslesti",$D121,0))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IF($A122="","",SUMIF(tblAnahtarB[NormB],$A122,tblVeriB[BeklenenTutar]))</f>
        <v/>
      </c>
      <c r="D122" s="17">
        <f>IF($A122="","",SUMIF(tblAnahtarA[Norm],$A122,tblVeriA[ToplamTutar]))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IF($A122="","",IF($F122&gt;efd_esikFark,1,0))</f>
        <v/>
      </c>
      <c r="O122" s="17">
        <f>IF($A122="","",IF($G122="eslesti",$D122,0))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IF($A123="","",SUMIF(tblAnahtarB[NormB],$A123,tblVeriB[BeklenenTutar]))</f>
        <v/>
      </c>
      <c r="D123" s="17">
        <f>IF($A123="","",SUMIF(tblAnahtarA[Norm],$A123,tblVeriA[ToplamTutar]))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IF($A123="","",IF($F123&gt;efd_esikFark,1,0))</f>
        <v/>
      </c>
      <c r="O123" s="17">
        <f>IF($A123="","",IF($G123="eslesti",$D123,0))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IF($A124="","",SUMIF(tblAnahtarB[NormB],$A124,tblVeriB[BeklenenTutar]))</f>
        <v/>
      </c>
      <c r="D124" s="17">
        <f>IF($A124="","",SUMIF(tblAnahtarA[Norm],$A124,tblVeriA[ToplamTutar]))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IF($A124="","",IF($F124&gt;efd_esikFark,1,0))</f>
        <v/>
      </c>
      <c r="O124" s="17">
        <f>IF($A124="","",IF($G124="eslesti",$D124,0))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IF($A125="","",SUMIF(tblAnahtarB[NormB],$A125,tblVeriB[BeklenenTutar]))</f>
        <v/>
      </c>
      <c r="D125" s="17">
        <f>IF($A125="","",SUMIF(tblAnahtarA[Norm],$A125,tblVeriA[ToplamTutar]))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IF($A125="","",IF($F125&gt;efd_esikFark,1,0))</f>
        <v/>
      </c>
      <c r="O125" s="17">
        <f>IF($A125="","",IF($G125="eslesti",$D125,0))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IF($A126="","",SUMIF(tblAnahtarB[NormB],$A126,tblVeriB[BeklenenTutar]))</f>
        <v/>
      </c>
      <c r="D126" s="17">
        <f>IF($A126="","",SUMIF(tblAnahtarA[Norm],$A126,tblVeriA[ToplamTutar]))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IF($A126="","",IF($F126&gt;efd_esikFark,1,0))</f>
        <v/>
      </c>
      <c r="O126" s="17">
        <f>IF($A126="","",IF($G126="eslesti",$D126,0))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IF($A127="","",SUMIF(tblAnahtarB[NormB],$A127,tblVeriB[BeklenenTutar]))</f>
        <v/>
      </c>
      <c r="D127" s="17">
        <f>IF($A127="","",SUMIF(tblAnahtarA[Norm],$A127,tblVeriA[ToplamTutar]))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IF($A127="","",IF($F127&gt;efd_esikFark,1,0))</f>
        <v/>
      </c>
      <c r="O127" s="17">
        <f>IF($A127="","",IF($G127="eslesti",$D127,0))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IF($A128="","",SUMIF(tblAnahtarB[NormB],$A128,tblVeriB[BeklenenTutar]))</f>
        <v/>
      </c>
      <c r="D128" s="17">
        <f>IF($A128="","",SUMIF(tblAnahtarA[Norm],$A128,tblVeriA[ToplamTutar]))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IF($A128="","",IF($F128&gt;efd_esikFark,1,0))</f>
        <v/>
      </c>
      <c r="O128" s="17">
        <f>IF($A128="","",IF($G128="eslesti",$D128,0))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IF($A129="","",SUMIF(tblAnahtarB[NormB],$A129,tblVeriB[BeklenenTutar]))</f>
        <v/>
      </c>
      <c r="D129" s="17">
        <f>IF($A129="","",SUMIF(tblAnahtarA[Norm],$A129,tblVeriA[ToplamTutar]))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IF($A129="","",IF($F129&gt;efd_esikFark,1,0))</f>
        <v/>
      </c>
      <c r="O129" s="17">
        <f>IF($A129="","",IF($G129="eslesti",$D129,0))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IF($A130="","",SUMIF(tblAnahtarB[NormB],$A130,tblVeriB[BeklenenTutar]))</f>
        <v/>
      </c>
      <c r="D130" s="17">
        <f>IF($A130="","",SUMIF(tblAnahtarA[Norm],$A130,tblVeriA[ToplamTutar]))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IF($A130="","",IF($F130&gt;efd_esikFark,1,0))</f>
        <v/>
      </c>
      <c r="O130" s="17">
        <f>IF($A130="","",IF($G130="eslesti",$D130,0))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IF($A131="","",SUMIF(tblAnahtarB[NormB],$A131,tblVeriB[BeklenenTutar]))</f>
        <v/>
      </c>
      <c r="D131" s="17">
        <f>IF($A131="","",SUMIF(tblAnahtarA[Norm],$A131,tblVeriA[ToplamTutar]))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IF($A131="","",IF($F131&gt;efd_esikFark,1,0))</f>
        <v/>
      </c>
      <c r="O131" s="17">
        <f>IF($A131="","",IF($G131="eslesti",$D131,0))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IF($A132="","",SUMIF(tblAnahtarB[NormB],$A132,tblVeriB[BeklenenTutar]))</f>
        <v/>
      </c>
      <c r="D132" s="17">
        <f>IF($A132="","",SUMIF(tblAnahtarA[Norm],$A132,tblVeriA[ToplamTutar]))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IF($A132="","",IF($F132&gt;efd_esikFark,1,0))</f>
        <v/>
      </c>
      <c r="O132" s="17">
        <f>IF($A132="","",IF($G132="eslesti",$D132,0))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IF($A133="","",SUMIF(tblAnahtarB[NormB],$A133,tblVeriB[BeklenenTutar]))</f>
        <v/>
      </c>
      <c r="D133" s="17">
        <f>IF($A133="","",SUMIF(tblAnahtarA[Norm],$A133,tblVeriA[ToplamTutar]))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IF($A133="","",IF($F133&gt;efd_esikFark,1,0))</f>
        <v/>
      </c>
      <c r="O133" s="17">
        <f>IF($A133="","",IF($G133="eslesti",$D133,0))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IF($A134="","",SUMIF(tblAnahtarB[NormB],$A134,tblVeriB[BeklenenTutar]))</f>
        <v/>
      </c>
      <c r="D134" s="17">
        <f>IF($A134="","",SUMIF(tblAnahtarA[Norm],$A134,tblVeriA[ToplamTutar]))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IF($A134="","",IF($F134&gt;efd_esikFark,1,0))</f>
        <v/>
      </c>
      <c r="O134" s="17">
        <f>IF($A134="","",IF($G134="eslesti",$D134,0))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IF($A135="","",SUMIF(tblAnahtarB[NormB],$A135,tblVeriB[BeklenenTutar]))</f>
        <v/>
      </c>
      <c r="D135" s="17">
        <f>IF($A135="","",SUMIF(tblAnahtarA[Norm],$A135,tblVeriA[ToplamTutar]))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IF($A135="","",IF($F135&gt;efd_esikFark,1,0))</f>
        <v/>
      </c>
      <c r="O135" s="17">
        <f>IF($A135="","",IF($G135="eslesti",$D135,0))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IF($A136="","",SUMIF(tblAnahtarB[NormB],$A136,tblVeriB[BeklenenTutar]))</f>
        <v/>
      </c>
      <c r="D136" s="17">
        <f>IF($A136="","",SUMIF(tblAnahtarA[Norm],$A136,tblVeriA[ToplamTutar]))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IF($A136="","",IF($F136&gt;efd_esikFark,1,0))</f>
        <v/>
      </c>
      <c r="O136" s="17">
        <f>IF($A136="","",IF($G136="eslesti",$D136,0))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IF($A137="","",SUMIF(tblAnahtarB[NormB],$A137,tblVeriB[BeklenenTutar]))</f>
        <v/>
      </c>
      <c r="D137" s="17">
        <f>IF($A137="","",SUMIF(tblAnahtarA[Norm],$A137,tblVeriA[ToplamTutar]))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IF($A137="","",IF($F137&gt;efd_esikFark,1,0))</f>
        <v/>
      </c>
      <c r="O137" s="17">
        <f>IF($A137="","",IF($G137="eslesti",$D137,0))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IF($A138="","",SUMIF(tblAnahtarB[NormB],$A138,tblVeriB[BeklenenTutar]))</f>
        <v/>
      </c>
      <c r="D138" s="17">
        <f>IF($A138="","",SUMIF(tblAnahtarA[Norm],$A138,tblVeriA[ToplamTutar]))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IF($A138="","",IF($F138&gt;efd_esikFark,1,0))</f>
        <v/>
      </c>
      <c r="O138" s="17">
        <f>IF($A138="","",IF($G138="eslesti",$D138,0))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IF($A139="","",SUMIF(tblAnahtarB[NormB],$A139,tblVeriB[BeklenenTutar]))</f>
        <v/>
      </c>
      <c r="D139" s="17">
        <f>IF($A139="","",SUMIF(tblAnahtarA[Norm],$A139,tblVeriA[ToplamTutar]))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IF($A139="","",IF($F139&gt;efd_esikFark,1,0))</f>
        <v/>
      </c>
      <c r="O139" s="17">
        <f>IF($A139="","",IF($G139="eslesti",$D139,0))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IF($A140="","",SUMIF(tblAnahtarB[NormB],$A140,tblVeriB[BeklenenTutar]))</f>
        <v/>
      </c>
      <c r="D140" s="17">
        <f>IF($A140="","",SUMIF(tblAnahtarA[Norm],$A140,tblVeriA[ToplamTutar]))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IF($A140="","",IF($F140&gt;efd_esikFark,1,0))</f>
        <v/>
      </c>
      <c r="O140" s="17">
        <f>IF($A140="","",IF($G140="eslesti",$D140,0))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IF($A141="","",SUMIF(tblAnahtarB[NormB],$A141,tblVeriB[BeklenenTutar]))</f>
        <v/>
      </c>
      <c r="D141" s="17">
        <f>IF($A141="","",SUMIF(tblAnahtarA[Norm],$A141,tblVeriA[ToplamTutar]))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IF($A141="","",IF($F141&gt;efd_esikFark,1,0))</f>
        <v/>
      </c>
      <c r="O141" s="17">
        <f>IF($A141="","",IF($G141="eslesti",$D141,0))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IF($A142="","",SUMIF(tblAnahtarB[NormB],$A142,tblVeriB[BeklenenTutar]))</f>
        <v/>
      </c>
      <c r="D142" s="17">
        <f>IF($A142="","",SUMIF(tblAnahtarA[Norm],$A142,tblVeriA[ToplamTutar]))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IF($A142="","",IF($F142&gt;efd_esikFark,1,0))</f>
        <v/>
      </c>
      <c r="O142" s="17">
        <f>IF($A142="","",IF($G142="eslesti",$D142,0))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IF($A143="","",SUMIF(tblAnahtarB[NormB],$A143,tblVeriB[BeklenenTutar]))</f>
        <v/>
      </c>
      <c r="D143" s="17">
        <f>IF($A143="","",SUMIF(tblAnahtarA[Norm],$A143,tblVeriA[ToplamTutar]))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IF($A143="","",IF($F143&gt;efd_esikFark,1,0))</f>
        <v/>
      </c>
      <c r="O143" s="17">
        <f>IF($A143="","",IF($G143="eslesti",$D143,0))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IF($A144="","",SUMIF(tblAnahtarB[NormB],$A144,tblVeriB[BeklenenTutar]))</f>
        <v/>
      </c>
      <c r="D144" s="17">
        <f>IF($A144="","",SUMIF(tblAnahtarA[Norm],$A144,tblVeriA[ToplamTutar]))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IF($A144="","",IF($F144&gt;efd_esikFark,1,0))</f>
        <v/>
      </c>
      <c r="O144" s="17">
        <f>IF($A144="","",IF($G144="eslesti",$D144,0))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IF($A145="","",SUMIF(tblAnahtarB[NormB],$A145,tblVeriB[BeklenenTutar]))</f>
        <v/>
      </c>
      <c r="D145" s="17">
        <f>IF($A145="","",SUMIF(tblAnahtarA[Norm],$A145,tblVeriA[ToplamTutar]))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IF($A145="","",IF($F145&gt;efd_esikFark,1,0))</f>
        <v/>
      </c>
      <c r="O145" s="17">
        <f>IF($A145="","",IF($G145="eslesti",$D145,0))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IF($A146="","",SUMIF(tblAnahtarB[NormB],$A146,tblVeriB[BeklenenTutar]))</f>
        <v/>
      </c>
      <c r="D146" s="17">
        <f>IF($A146="","",SUMIF(tblAnahtarA[Norm],$A146,tblVeriA[ToplamTutar]))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IF($A146="","",IF($F146&gt;efd_esikFark,1,0))</f>
        <v/>
      </c>
      <c r="O146" s="17">
        <f>IF($A146="","",IF($G146="eslesti",$D146,0))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IF($A147="","",SUMIF(tblAnahtarB[NormB],$A147,tblVeriB[BeklenenTutar]))</f>
        <v/>
      </c>
      <c r="D147" s="17">
        <f>IF($A147="","",SUMIF(tblAnahtarA[Norm],$A147,tblVeriA[ToplamTutar]))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IF($A147="","",IF($F147&gt;efd_esikFark,1,0))</f>
        <v/>
      </c>
      <c r="O147" s="17">
        <f>IF($A147="","",IF($G147="eslesti",$D147,0))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IF($A148="","",SUMIF(tblAnahtarB[NormB],$A148,tblVeriB[BeklenenTutar]))</f>
        <v/>
      </c>
      <c r="D148" s="17">
        <f>IF($A148="","",SUMIF(tblAnahtarA[Norm],$A148,tblVeriA[ToplamTutar]))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IF($A148="","",IF($F148&gt;efd_esikFark,1,0))</f>
        <v/>
      </c>
      <c r="O148" s="17">
        <f>IF($A148="","",IF($G148="eslesti",$D148,0))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IF($A149="","",SUMIF(tblAnahtarB[NormB],$A149,tblVeriB[BeklenenTutar]))</f>
        <v/>
      </c>
      <c r="D149" s="17">
        <f>IF($A149="","",SUMIF(tblAnahtarA[Norm],$A149,tblVeriA[ToplamTutar]))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IF($A149="","",IF($F149&gt;efd_esikFark,1,0))</f>
        <v/>
      </c>
      <c r="O149" s="17">
        <f>IF($A149="","",IF($G149="eslesti",$D149,0))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IF($A150="","",SUMIF(tblAnahtarB[NormB],$A150,tblVeriB[BeklenenTutar]))</f>
        <v/>
      </c>
      <c r="D150" s="17">
        <f>IF($A150="","",SUMIF(tblAnahtarA[Norm],$A150,tblVeriA[ToplamTutar]))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IF($A150="","",IF($F150&gt;efd_esikFark,1,0))</f>
        <v/>
      </c>
      <c r="O150" s="17">
        <f>IF($A150="","",IF($G150="eslesti",$D150,0))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IF($A151="","",SUMIF(tblAnahtarB[NormB],$A151,tblVeriB[BeklenenTutar]))</f>
        <v/>
      </c>
      <c r="D151" s="17">
        <f>IF($A151="","",SUMIF(tblAnahtarA[Norm],$A151,tblVeriA[ToplamTutar]))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IF($A151="","",IF($F151&gt;efd_esikFark,1,0))</f>
        <v/>
      </c>
      <c r="O151" s="17">
        <f>IF($A151="","",IF($G151="eslesti",$D151,0))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IF($A152="","",SUMIF(tblAnahtarB[NormB],$A152,tblVeriB[BeklenenTutar]))</f>
        <v/>
      </c>
      <c r="D152" s="17">
        <f>IF($A152="","",SUMIF(tblAnahtarA[Norm],$A152,tblVeriA[ToplamTutar]))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IF($A152="","",IF($F152&gt;efd_esikFark,1,0))</f>
        <v/>
      </c>
      <c r="O152" s="17">
        <f>IF($A152="","",IF($G152="eslesti",$D152,0))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IF($A153="","",SUMIF(tblAnahtarB[NormB],$A153,tblVeriB[BeklenenTutar]))</f>
        <v/>
      </c>
      <c r="D153" s="17">
        <f>IF($A153="","",SUMIF(tblAnahtarA[Norm],$A153,tblVeriA[ToplamTutar]))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IF($A153="","",IF($F153&gt;efd_esikFark,1,0))</f>
        <v/>
      </c>
      <c r="O153" s="17">
        <f>IF($A153="","",IF($G153="eslesti",$D153,0))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IF($A154="","",SUMIF(tblAnahtarB[NormB],$A154,tblVeriB[BeklenenTutar]))</f>
        <v/>
      </c>
      <c r="D154" s="17">
        <f>IF($A154="","",SUMIF(tblAnahtarA[Norm],$A154,tblVeriA[ToplamTutar]))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IF($A154="","",IF($F154&gt;efd_esikFark,1,0))</f>
        <v/>
      </c>
      <c r="O154" s="17">
        <f>IF($A154="","",IF($G154="eslesti",$D154,0))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IF($A155="","",SUMIF(tblAnahtarB[NormB],$A155,tblVeriB[BeklenenTutar]))</f>
        <v/>
      </c>
      <c r="D155" s="17">
        <f>IF($A155="","",SUMIF(tblAnahtarA[Norm],$A155,tblVeriA[ToplamTutar]))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IF($A155="","",IF($F155&gt;efd_esikFark,1,0))</f>
        <v/>
      </c>
      <c r="O155" s="17">
        <f>IF($A155="","",IF($G155="eslesti",$D155,0))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IF($A156="","",SUMIF(tblAnahtarB[NormB],$A156,tblVeriB[BeklenenTutar]))</f>
        <v/>
      </c>
      <c r="D156" s="17">
        <f>IF($A156="","",SUMIF(tblAnahtarA[Norm],$A156,tblVeriA[ToplamTutar]))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IF($A156="","",IF($F156&gt;efd_esikFark,1,0))</f>
        <v/>
      </c>
      <c r="O156" s="17">
        <f>IF($A156="","",IF($G156="eslesti",$D156,0))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IF($A157="","",SUMIF(tblAnahtarB[NormB],$A157,tblVeriB[BeklenenTutar]))</f>
        <v/>
      </c>
      <c r="D157" s="17">
        <f>IF($A157="","",SUMIF(tblAnahtarA[Norm],$A157,tblVeriA[ToplamTutar]))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IF($A157="","",IF($F157&gt;efd_esikFark,1,0))</f>
        <v/>
      </c>
      <c r="O157" s="17">
        <f>IF($A157="","",IF($G157="eslesti",$D157,0))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IF($A158="","",SUMIF(tblAnahtarB[NormB],$A158,tblVeriB[BeklenenTutar]))</f>
        <v/>
      </c>
      <c r="D158" s="17">
        <f>IF($A158="","",SUMIF(tblAnahtarA[Norm],$A158,tblVeriA[ToplamTutar]))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IF($A158="","",IF($F158&gt;efd_esikFark,1,0))</f>
        <v/>
      </c>
      <c r="O158" s="17">
        <f>IF($A158="","",IF($G158="eslesti",$D158,0))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IF($A159="","",SUMIF(tblAnahtarB[NormB],$A159,tblVeriB[BeklenenTutar]))</f>
        <v/>
      </c>
      <c r="D159" s="17">
        <f>IF($A159="","",SUMIF(tblAnahtarA[Norm],$A159,tblVeriA[ToplamTutar]))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IF($A159="","",IF($F159&gt;efd_esikFark,1,0))</f>
        <v/>
      </c>
      <c r="O159" s="17">
        <f>IF($A159="","",IF($G159="eslesti",$D159,0))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IF($A160="","",SUMIF(tblAnahtarB[NormB],$A160,tblVeriB[BeklenenTutar]))</f>
        <v/>
      </c>
      <c r="D160" s="17">
        <f>IF($A160="","",SUMIF(tblAnahtarA[Norm],$A160,tblVeriA[ToplamTutar]))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IF($A160="","",IF($F160&gt;efd_esikFark,1,0))</f>
        <v/>
      </c>
      <c r="O160" s="17">
        <f>IF($A160="","",IF($G160="eslesti",$D160,0))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IF($A161="","",SUMIF(tblAnahtarB[NormB],$A161,tblVeriB[BeklenenTutar]))</f>
        <v/>
      </c>
      <c r="D161" s="17">
        <f>IF($A161="","",SUMIF(tblAnahtarA[Norm],$A161,tblVeriA[ToplamTutar]))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IF($A161="","",IF($F161&gt;efd_esikFark,1,0))</f>
        <v/>
      </c>
      <c r="O161" s="17">
        <f>IF($A161="","",IF($G161="eslesti",$D161,0))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IF($A162="","",SUMIF(tblAnahtarB[NormB],$A162,tblVeriB[BeklenenTutar]))</f>
        <v/>
      </c>
      <c r="D162" s="17">
        <f>IF($A162="","",SUMIF(tblAnahtarA[Norm],$A162,tblVeriA[ToplamTutar]))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IF($A162="","",IF($F162&gt;efd_esikFark,1,0))</f>
        <v/>
      </c>
      <c r="O162" s="17">
        <f>IF($A162="","",IF($G162="eslesti",$D162,0))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IF($A163="","",SUMIF(tblAnahtarB[NormB],$A163,tblVeriB[BeklenenTutar]))</f>
        <v/>
      </c>
      <c r="D163" s="17">
        <f>IF($A163="","",SUMIF(tblAnahtarA[Norm],$A163,tblVeriA[ToplamTutar]))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IF($A163="","",IF($F163&gt;efd_esikFark,1,0))</f>
        <v/>
      </c>
      <c r="O163" s="17">
        <f>IF($A163="","",IF($G163="eslesti",$D163,0))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IF($A164="","",SUMIF(tblAnahtarB[NormB],$A164,tblVeriB[BeklenenTutar]))</f>
        <v/>
      </c>
      <c r="D164" s="17">
        <f>IF($A164="","",SUMIF(tblAnahtarA[Norm],$A164,tblVeriA[ToplamTutar]))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IF($A164="","",IF($F164&gt;efd_esikFark,1,0))</f>
        <v/>
      </c>
      <c r="O164" s="17">
        <f>IF($A164="","",IF($G164="eslesti",$D164,0))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IF($A165="","",SUMIF(tblAnahtarB[NormB],$A165,tblVeriB[BeklenenTutar]))</f>
        <v/>
      </c>
      <c r="D165" s="17">
        <f>IF($A165="","",SUMIF(tblAnahtarA[Norm],$A165,tblVeriA[ToplamTutar]))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IF($A165="","",IF($F165&gt;efd_esikFark,1,0))</f>
        <v/>
      </c>
      <c r="O165" s="17">
        <f>IF($A165="","",IF($G165="eslesti",$D165,0))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IF($A166="","",SUMIF(tblAnahtarB[NormB],$A166,tblVeriB[BeklenenTutar]))</f>
        <v/>
      </c>
      <c r="D166" s="17">
        <f>IF($A166="","",SUMIF(tblAnahtarA[Norm],$A166,tblVeriA[ToplamTutar]))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IF($A166="","",IF($F166&gt;efd_esikFark,1,0))</f>
        <v/>
      </c>
      <c r="O166" s="17">
        <f>IF($A166="","",IF($G166="eslesti",$D166,0))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IF($A167="","",SUMIF(tblAnahtarB[NormB],$A167,tblVeriB[BeklenenTutar]))</f>
        <v/>
      </c>
      <c r="D167" s="17">
        <f>IF($A167="","",SUMIF(tblAnahtarA[Norm],$A167,tblVeriA[ToplamTutar]))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IF($A167="","",IF($F167&gt;efd_esikFark,1,0))</f>
        <v/>
      </c>
      <c r="O167" s="17">
        <f>IF($A167="","",IF($G167="eslesti",$D167,0))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IF($A168="","",SUMIF(tblAnahtarB[NormB],$A168,tblVeriB[BeklenenTutar]))</f>
        <v/>
      </c>
      <c r="D168" s="17">
        <f>IF($A168="","",SUMIF(tblAnahtarA[Norm],$A168,tblVeriA[ToplamTutar]))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IF($A168="","",IF($F168&gt;efd_esikFark,1,0))</f>
        <v/>
      </c>
      <c r="O168" s="17">
        <f>IF($A168="","",IF($G168="eslesti",$D168,0))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IF($A169="","",SUMIF(tblAnahtarB[NormB],$A169,tblVeriB[BeklenenTutar]))</f>
        <v/>
      </c>
      <c r="D169" s="17">
        <f>IF($A169="","",SUMIF(tblAnahtarA[Norm],$A169,tblVeriA[ToplamTutar]))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IF($A169="","",IF($F169&gt;efd_esikFark,1,0))</f>
        <v/>
      </c>
      <c r="O169" s="17">
        <f>IF($A169="","",IF($G169="eslesti",$D169,0))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IF($A170="","",SUMIF(tblAnahtarB[NormB],$A170,tblVeriB[BeklenenTutar]))</f>
        <v/>
      </c>
      <c r="D170" s="17">
        <f>IF($A170="","",SUMIF(tblAnahtarA[Norm],$A170,tblVeriA[ToplamTutar]))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IF($A170="","",IF($F170&gt;efd_esikFark,1,0))</f>
        <v/>
      </c>
      <c r="O170" s="17">
        <f>IF($A170="","",IF($G170="eslesti",$D170,0))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IF($A171="","",SUMIF(tblAnahtarB[NormB],$A171,tblVeriB[BeklenenTutar]))</f>
        <v/>
      </c>
      <c r="D171" s="17">
        <f>IF($A171="","",SUMIF(tblAnahtarA[Norm],$A171,tblVeriA[ToplamTutar]))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IF($A171="","",IF($F171&gt;efd_esikFark,1,0))</f>
        <v/>
      </c>
      <c r="O171" s="17">
        <f>IF($A171="","",IF($G171="eslesti",$D171,0))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IF($A172="","",SUMIF(tblAnahtarB[NormB],$A172,tblVeriB[BeklenenTutar]))</f>
        <v/>
      </c>
      <c r="D172" s="17">
        <f>IF($A172="","",SUMIF(tblAnahtarA[Norm],$A172,tblVeriA[ToplamTutar]))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IF($A172="","",IF($F172&gt;efd_esikFark,1,0))</f>
        <v/>
      </c>
      <c r="O172" s="17">
        <f>IF($A172="","",IF($G172="eslesti",$D172,0))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IF($A173="","",SUMIF(tblAnahtarB[NormB],$A173,tblVeriB[BeklenenTutar]))</f>
        <v/>
      </c>
      <c r="D173" s="17">
        <f>IF($A173="","",SUMIF(tblAnahtarA[Norm],$A173,tblVeriA[ToplamTutar]))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IF($A173="","",IF($F173&gt;efd_esikFark,1,0))</f>
        <v/>
      </c>
      <c r="O173" s="17">
        <f>IF($A173="","",IF($G173="eslesti",$D173,0))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IF($A174="","",SUMIF(tblAnahtarB[NormB],$A174,tblVeriB[BeklenenTutar]))</f>
        <v/>
      </c>
      <c r="D174" s="17">
        <f>IF($A174="","",SUMIF(tblAnahtarA[Norm],$A174,tblVeriA[ToplamTutar]))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IF($A174="","",IF($F174&gt;efd_esikFark,1,0))</f>
        <v/>
      </c>
      <c r="O174" s="17">
        <f>IF($A174="","",IF($G174="eslesti",$D174,0))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IF($A175="","",SUMIF(tblAnahtarB[NormB],$A175,tblVeriB[BeklenenTutar]))</f>
        <v/>
      </c>
      <c r="D175" s="17">
        <f>IF($A175="","",SUMIF(tblAnahtarA[Norm],$A175,tblVeriA[ToplamTutar]))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IF($A175="","",IF($F175&gt;efd_esikFark,1,0))</f>
        <v/>
      </c>
      <c r="O175" s="17">
        <f>IF($A175="","",IF($G175="eslesti",$D175,0))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IF($A176="","",SUMIF(tblAnahtarB[NormB],$A176,tblVeriB[BeklenenTutar]))</f>
        <v/>
      </c>
      <c r="D176" s="17">
        <f>IF($A176="","",SUMIF(tblAnahtarA[Norm],$A176,tblVeriA[ToplamTutar]))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IF($A176="","",IF($F176&gt;efd_esikFark,1,0))</f>
        <v/>
      </c>
      <c r="O176" s="17">
        <f>IF($A176="","",IF($G176="eslesti",$D176,0))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IF($A177="","",SUMIF(tblAnahtarB[NormB],$A177,tblVeriB[BeklenenTutar]))</f>
        <v/>
      </c>
      <c r="D177" s="17">
        <f>IF($A177="","",SUMIF(tblAnahtarA[Norm],$A177,tblVeriA[ToplamTutar]))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IF($A177="","",IF($F177&gt;efd_esikFark,1,0))</f>
        <v/>
      </c>
      <c r="O177" s="17">
        <f>IF($A177="","",IF($G177="eslesti",$D177,0))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IF($A178="","",SUMIF(tblAnahtarB[NormB],$A178,tblVeriB[BeklenenTutar]))</f>
        <v/>
      </c>
      <c r="D178" s="17">
        <f>IF($A178="","",SUMIF(tblAnahtarA[Norm],$A178,tblVeriA[ToplamTutar]))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IF($A178="","",IF($F178&gt;efd_esikFark,1,0))</f>
        <v/>
      </c>
      <c r="O178" s="17">
        <f>IF($A178="","",IF($G178="eslesti",$D178,0))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IF($A179="","",SUMIF(tblAnahtarB[NormB],$A179,tblVeriB[BeklenenTutar]))</f>
        <v/>
      </c>
      <c r="D179" s="17">
        <f>IF($A179="","",SUMIF(tblAnahtarA[Norm],$A179,tblVeriA[ToplamTutar]))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IF($A179="","",IF($F179&gt;efd_esikFark,1,0))</f>
        <v/>
      </c>
      <c r="O179" s="17">
        <f>IF($A179="","",IF($G179="eslesti",$D179,0))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IF($A180="","",SUMIF(tblAnahtarB[NormB],$A180,tblVeriB[BeklenenTutar]))</f>
        <v/>
      </c>
      <c r="D180" s="17">
        <f>IF($A180="","",SUMIF(tblAnahtarA[Norm],$A180,tblVeriA[ToplamTutar]))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IF($A180="","",IF($F180&gt;efd_esikFark,1,0))</f>
        <v/>
      </c>
      <c r="O180" s="17">
        <f>IF($A180="","",IF($G180="eslesti",$D180,0))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IF($A181="","",SUMIF(tblAnahtarB[NormB],$A181,tblVeriB[BeklenenTutar]))</f>
        <v/>
      </c>
      <c r="D181" s="17">
        <f>IF($A181="","",SUMIF(tblAnahtarA[Norm],$A181,tblVeriA[ToplamTutar]))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IF($A181="","",IF($F181&gt;efd_esikFark,1,0))</f>
        <v/>
      </c>
      <c r="O181" s="17">
        <f>IF($A181="","",IF($G181="eslesti",$D181,0))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IF($A182="","",SUMIF(tblAnahtarB[NormB],$A182,tblVeriB[BeklenenTutar]))</f>
        <v/>
      </c>
      <c r="D182" s="17">
        <f>IF($A182="","",SUMIF(tblAnahtarA[Norm],$A182,tblVeriA[ToplamTutar]))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IF($A182="","",IF($F182&gt;efd_esikFark,1,0))</f>
        <v/>
      </c>
      <c r="O182" s="17">
        <f>IF($A182="","",IF($G182="eslesti",$D182,0))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IF($A183="","",SUMIF(tblAnahtarB[NormB],$A183,tblVeriB[BeklenenTutar]))</f>
        <v/>
      </c>
      <c r="D183" s="17">
        <f>IF($A183="","",SUMIF(tblAnahtarA[Norm],$A183,tblVeriA[ToplamTutar]))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IF($A183="","",IF($F183&gt;efd_esikFark,1,0))</f>
        <v/>
      </c>
      <c r="O183" s="17">
        <f>IF($A183="","",IF($G183="eslesti",$D183,0))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IF($A184="","",SUMIF(tblAnahtarB[NormB],$A184,tblVeriB[BeklenenTutar]))</f>
        <v/>
      </c>
      <c r="D184" s="17">
        <f>IF($A184="","",SUMIF(tblAnahtarA[Norm],$A184,tblVeriA[ToplamTutar]))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IF($A184="","",IF($F184&gt;efd_esikFark,1,0))</f>
        <v/>
      </c>
      <c r="O184" s="17">
        <f>IF($A184="","",IF($G184="eslesti",$D184,0))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IF($A185="","",SUMIF(tblAnahtarB[NormB],$A185,tblVeriB[BeklenenTutar]))</f>
        <v/>
      </c>
      <c r="D185" s="17">
        <f>IF($A185="","",SUMIF(tblAnahtarA[Norm],$A185,tblVeriA[ToplamTutar]))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IF($A185="","",IF($F185&gt;efd_esikFark,1,0))</f>
        <v/>
      </c>
      <c r="O185" s="17">
        <f>IF($A185="","",IF($G185="eslesti",$D185,0))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IF($A186="","",SUMIF(tblAnahtarB[NormB],$A186,tblVeriB[BeklenenTutar]))</f>
        <v/>
      </c>
      <c r="D186" s="17">
        <f>IF($A186="","",SUMIF(tblAnahtarA[Norm],$A186,tblVeriA[ToplamTutar]))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IF($A186="","",IF($F186&gt;efd_esikFark,1,0))</f>
        <v/>
      </c>
      <c r="O186" s="17">
        <f>IF($A186="","",IF($G186="eslesti",$D186,0))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IF($A187="","",SUMIF(tblAnahtarB[NormB],$A187,tblVeriB[BeklenenTutar]))</f>
        <v/>
      </c>
      <c r="D187" s="17">
        <f>IF($A187="","",SUMIF(tblAnahtarA[Norm],$A187,tblVeriA[ToplamTutar]))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IF($A187="","",IF($F187&gt;efd_esikFark,1,0))</f>
        <v/>
      </c>
      <c r="O187" s="17">
        <f>IF($A187="","",IF($G187="eslesti",$D187,0))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IF($A188="","",SUMIF(tblAnahtarB[NormB],$A188,tblVeriB[BeklenenTutar]))</f>
        <v/>
      </c>
      <c r="D188" s="17">
        <f>IF($A188="","",SUMIF(tblAnahtarA[Norm],$A188,tblVeriA[ToplamTutar]))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IF($A188="","",IF($F188&gt;efd_esikFark,1,0))</f>
        <v/>
      </c>
      <c r="O188" s="17">
        <f>IF($A188="","",IF($G188="eslesti",$D188,0))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IF($A189="","",SUMIF(tblAnahtarB[NormB],$A189,tblVeriB[BeklenenTutar]))</f>
        <v/>
      </c>
      <c r="D189" s="17">
        <f>IF($A189="","",SUMIF(tblAnahtarA[Norm],$A189,tblVeriA[ToplamTutar]))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IF($A189="","",IF($F189&gt;efd_esikFark,1,0))</f>
        <v/>
      </c>
      <c r="O189" s="17">
        <f>IF($A189="","",IF($G189="eslesti",$D189,0))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IF($A190="","",SUMIF(tblAnahtarB[NormB],$A190,tblVeriB[BeklenenTutar]))</f>
        <v/>
      </c>
      <c r="D190" s="17">
        <f>IF($A190="","",SUMIF(tblAnahtarA[Norm],$A190,tblVeriA[ToplamTutar]))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IF($A190="","",IF($F190&gt;efd_esikFark,1,0))</f>
        <v/>
      </c>
      <c r="O190" s="17">
        <f>IF($A190="","",IF($G190="eslesti",$D190,0))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IF($A191="","",SUMIF(tblAnahtarB[NormB],$A191,tblVeriB[BeklenenTutar]))</f>
        <v/>
      </c>
      <c r="D191" s="17">
        <f>IF($A191="","",SUMIF(tblAnahtarA[Norm],$A191,tblVeriA[ToplamTutar]))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IF($A191="","",IF($F191&gt;efd_esikFark,1,0))</f>
        <v/>
      </c>
      <c r="O191" s="17">
        <f>IF($A191="","",IF($G191="eslesti",$D191,0))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IF($A192="","",SUMIF(tblAnahtarB[NormB],$A192,tblVeriB[BeklenenTutar]))</f>
        <v/>
      </c>
      <c r="D192" s="17">
        <f>IF($A192="","",SUMIF(tblAnahtarA[Norm],$A192,tblVeriA[ToplamTutar]))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IF($A192="","",IF($F192&gt;efd_esikFark,1,0))</f>
        <v/>
      </c>
      <c r="O192" s="17">
        <f>IF($A192="","",IF($G192="eslesti",$D192,0))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IF($A193="","",SUMIF(tblAnahtarB[NormB],$A193,tblVeriB[BeklenenTutar]))</f>
        <v/>
      </c>
      <c r="D193" s="17">
        <f>IF($A193="","",SUMIF(tblAnahtarA[Norm],$A193,tblVeriA[ToplamTutar]))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IF($A193="","",IF($F193&gt;efd_esikFark,1,0))</f>
        <v/>
      </c>
      <c r="O193" s="17">
        <f>IF($A193="","",IF($G193="eslesti",$D193,0))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IF($A194="","",SUMIF(tblAnahtarB[NormB],$A194,tblVeriB[BeklenenTutar]))</f>
        <v/>
      </c>
      <c r="D194" s="17">
        <f>IF($A194="","",SUMIF(tblAnahtarA[Norm],$A194,tblVeriA[ToplamTutar]))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IF($A194="","",IF($F194&gt;efd_esikFark,1,0))</f>
        <v/>
      </c>
      <c r="O194" s="17">
        <f>IF($A194="","",IF($G194="eslesti",$D194,0))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IF($A195="","",SUMIF(tblAnahtarB[NormB],$A195,tblVeriB[BeklenenTutar]))</f>
        <v/>
      </c>
      <c r="D195" s="17">
        <f>IF($A195="","",SUMIF(tblAnahtarA[Norm],$A195,tblVeriA[ToplamTutar]))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IF($A195="","",IF($F195&gt;efd_esikFark,1,0))</f>
        <v/>
      </c>
      <c r="O195" s="17">
        <f>IF($A195="","",IF($G195="eslesti",$D195,0))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IF($A196="","",SUMIF(tblAnahtarB[NormB],$A196,tblVeriB[BeklenenTutar]))</f>
        <v/>
      </c>
      <c r="D196" s="17">
        <f>IF($A196="","",SUMIF(tblAnahtarA[Norm],$A196,tblVeriA[ToplamTutar]))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IF($A196="","",IF($F196&gt;efd_esikFark,1,0))</f>
        <v/>
      </c>
      <c r="O196" s="17">
        <f>IF($A196="","",IF($G196="eslesti",$D196,0))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IF($A197="","",SUMIF(tblAnahtarB[NormB],$A197,tblVeriB[BeklenenTutar]))</f>
        <v/>
      </c>
      <c r="D197" s="17">
        <f>IF($A197="","",SUMIF(tblAnahtarA[Norm],$A197,tblVeriA[ToplamTutar]))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IF($A197="","",IF($F197&gt;efd_esikFark,1,0))</f>
        <v/>
      </c>
      <c r="O197" s="17">
        <f>IF($A197="","",IF($G197="eslesti",$D197,0))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IF($A198="","",SUMIF(tblAnahtarB[NormB],$A198,tblVeriB[BeklenenTutar]))</f>
        <v/>
      </c>
      <c r="D198" s="17">
        <f>IF($A198="","",SUMIF(tblAnahtarA[Norm],$A198,tblVeriA[ToplamTutar]))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IF($A198="","",IF($F198&gt;efd_esikFark,1,0))</f>
        <v/>
      </c>
      <c r="O198" s="17">
        <f>IF($A198="","",IF($G198="eslesti",$D198,0))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IF($A199="","",SUMIF(tblAnahtarB[NormB],$A199,tblVeriB[BeklenenTutar]))</f>
        <v/>
      </c>
      <c r="D199" s="17">
        <f>IF($A199="","",SUMIF(tblAnahtarA[Norm],$A199,tblVeriA[ToplamTutar]))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IF($A199="","",IF($F199&gt;efd_esikFark,1,0))</f>
        <v/>
      </c>
      <c r="O199" s="17">
        <f>IF($A199="","",IF($G199="eslesti",$D199,0))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IF($A200="","",SUMIF(tblAnahtarB[NormB],$A200,tblVeriB[BeklenenTutar]))</f>
        <v/>
      </c>
      <c r="D200" s="17">
        <f>IF($A200="","",SUMIF(tblAnahtarA[Norm],$A200,tblVeriA[ToplamTutar]))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IF($A200="","",IF($F200&gt;efd_esikFark,1,0))</f>
        <v/>
      </c>
      <c r="O200" s="17">
        <f>IF($A200="","",IF($G200="eslesti",$D200,0))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IF($A201="","",SUMIF(tblAnahtarB[NormB],$A201,tblVeriB[BeklenenTutar]))</f>
        <v/>
      </c>
      <c r="D201" s="17">
        <f>IF($A201="","",SUMIF(tblAnahtarA[Norm],$A201,tblVeriA[ToplamTutar]))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IF($A201="","",IF($F201&gt;efd_esikFark,1,0))</f>
        <v/>
      </c>
      <c r="O201" s="17">
        <f>IF($A201="","",IF($G201="eslesti",$D201,0))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IF($A202="","",SUMIF(tblAnahtarB[NormB],$A202,tblVeriB[BeklenenTutar]))</f>
        <v/>
      </c>
      <c r="D202" s="17">
        <f>IF($A202="","",SUMIF(tblAnahtarA[Norm],$A202,tblVeriA[ToplamTutar]))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IF($A202="","",IF($F202&gt;efd_esikFark,1,0))</f>
        <v/>
      </c>
      <c r="O202" s="17">
        <f>IF($A202="","",IF($G202="eslesti",$D202,0))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IF($A203="","",SUMIF(tblAnahtarB[NormB],$A203,tblVeriB[BeklenenTutar]))</f>
        <v/>
      </c>
      <c r="D203" s="17">
        <f>IF($A203="","",SUMIF(tblAnahtarA[Norm],$A203,tblVeriA[ToplamTutar]))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IF($A203="","",IF($F203&gt;efd_esikFark,1,0))</f>
        <v/>
      </c>
      <c r="O203" s="17">
        <f>IF($A203="","",IF($G203="eslesti",$D203,0))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IF($A204="","",SUMIF(tblAnahtarB[NormB],$A204,tblVeriB[BeklenenTutar]))</f>
        <v/>
      </c>
      <c r="D204" s="17">
        <f>IF($A204="","",SUMIF(tblAnahtarA[Norm],$A204,tblVeriA[ToplamTutar]))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IF($A204="","",IF($F204&gt;efd_esikFark,1,0))</f>
        <v/>
      </c>
      <c r="O204" s="17">
        <f>IF($A204="","",IF($G204="eslesti",$D204,0))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IF($A205="","",SUMIF(tblAnahtarB[NormB],$A205,tblVeriB[BeklenenTutar]))</f>
        <v/>
      </c>
      <c r="D205" s="17">
        <f>IF($A205="","",SUMIF(tblAnahtarA[Norm],$A205,tblVeriA[ToplamTutar]))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IF($A205="","",IF($F205&gt;efd_esikFark,1,0))</f>
        <v/>
      </c>
      <c r="O205" s="17">
        <f>IF($A205="","",IF($G205="eslesti",$D205,0))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IF($A206="","",SUMIF(tblAnahtarB[NormB],$A206,tblVeriB[BeklenenTutar]))</f>
        <v/>
      </c>
      <c r="D206" s="17">
        <f>IF($A206="","",SUMIF(tblAnahtarA[Norm],$A206,tblVeriA[ToplamTutar]))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IF($A206="","",IF($F206&gt;efd_esikFark,1,0))</f>
        <v/>
      </c>
      <c r="O206" s="17">
        <f>IF($A206="","",IF($G206="eslesti",$D206,0))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IF($A207="","",SUMIF(tblAnahtarB[NormB],$A207,tblVeriB[BeklenenTutar]))</f>
        <v/>
      </c>
      <c r="D207" s="17">
        <f>IF($A207="","",SUMIF(tblAnahtarA[Norm],$A207,tblVeriA[ToplamTutar]))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IF($A207="","",IF($F207&gt;efd_esikFark,1,0))</f>
        <v/>
      </c>
      <c r="O207" s="17">
        <f>IF($A207="","",IF($G207="eslesti",$D207,0))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IF($A208="","",SUMIF(tblAnahtarB[NormB],$A208,tblVeriB[BeklenenTutar]))</f>
        <v/>
      </c>
      <c r="D208" s="17">
        <f>IF($A208="","",SUMIF(tblAnahtarA[Norm],$A208,tblVeriA[ToplamTutar]))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IF($A208="","",IF($F208&gt;efd_esikFark,1,0))</f>
        <v/>
      </c>
      <c r="O208" s="17">
        <f>IF($A208="","",IF($G208="eslesti",$D208,0))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IF($A209="","",SUMIF(tblAnahtarB[NormB],$A209,tblVeriB[BeklenenTutar]))</f>
        <v/>
      </c>
      <c r="D209" s="17">
        <f>IF($A209="","",SUMIF(tblAnahtarA[Norm],$A209,tblVeriA[ToplamTutar]))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IF($A209="","",IF($F209&gt;efd_esikFark,1,0))</f>
        <v/>
      </c>
      <c r="O209" s="17">
        <f>IF($A209="","",IF($G209="eslesti",$D209,0))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IF($A210="","",SUMIF(tblAnahtarB[NormB],$A210,tblVeriB[BeklenenTutar]))</f>
        <v/>
      </c>
      <c r="D210" s="17">
        <f>IF($A210="","",SUMIF(tblAnahtarA[Norm],$A210,tblVeriA[ToplamTutar]))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IF($A210="","",IF($F210&gt;efd_esikFark,1,0))</f>
        <v/>
      </c>
      <c r="O210" s="17">
        <f>IF($A210="","",IF($G210="eslesti",$D210,0))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IF($A211="","",SUMIF(tblAnahtarB[NormB],$A211,tblVeriB[BeklenenTutar]))</f>
        <v/>
      </c>
      <c r="D211" s="17">
        <f>IF($A211="","",SUMIF(tblAnahtarA[Norm],$A211,tblVeriA[ToplamTutar]))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IF($A211="","",IF($F211&gt;efd_esikFark,1,0))</f>
        <v/>
      </c>
      <c r="O211" s="17">
        <f>IF($A211="","",IF($G211="eslesti",$D211,0))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IF($A212="","",SUMIF(tblAnahtarB[NormB],$A212,tblVeriB[BeklenenTutar]))</f>
        <v/>
      </c>
      <c r="D212" s="17">
        <f>IF($A212="","",SUMIF(tblAnahtarA[Norm],$A212,tblVeriA[ToplamTutar]))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IF($A212="","",IF($F212&gt;efd_esikFark,1,0))</f>
        <v/>
      </c>
      <c r="O212" s="17">
        <f>IF($A212="","",IF($G212="eslesti",$D212,0))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IF($A213="","",SUMIF(tblAnahtarB[NormB],$A213,tblVeriB[BeklenenTutar]))</f>
        <v/>
      </c>
      <c r="D213" s="17">
        <f>IF($A213="","",SUMIF(tblAnahtarA[Norm],$A213,tblVeriA[ToplamTutar]))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IF($A213="","",IF($F213&gt;efd_esikFark,1,0))</f>
        <v/>
      </c>
      <c r="O213" s="17">
        <f>IF($A213="","",IF($G213="eslesti",$D213,0))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IF($A214="","",SUMIF(tblAnahtarB[NormB],$A214,tblVeriB[BeklenenTutar]))</f>
        <v/>
      </c>
      <c r="D214" s="17">
        <f>IF($A214="","",SUMIF(tblAnahtarA[Norm],$A214,tblVeriA[ToplamTutar]))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IF($A214="","",IF($F214&gt;efd_esikFark,1,0))</f>
        <v/>
      </c>
      <c r="O214" s="17">
        <f>IF($A214="","",IF($G214="eslesti",$D214,0))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IF($A215="","",SUMIF(tblAnahtarB[NormB],$A215,tblVeriB[BeklenenTutar]))</f>
        <v/>
      </c>
      <c r="D215" s="17">
        <f>IF($A215="","",SUMIF(tblAnahtarA[Norm],$A215,tblVeriA[ToplamTutar]))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IF($A215="","",IF($F215&gt;efd_esikFark,1,0))</f>
        <v/>
      </c>
      <c r="O215" s="17">
        <f>IF($A215="","",IF($G215="eslesti",$D215,0))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IF($A216="","",SUMIF(tblAnahtarB[NormB],$A216,tblVeriB[BeklenenTutar]))</f>
        <v/>
      </c>
      <c r="D216" s="17">
        <f>IF($A216="","",SUMIF(tblAnahtarA[Norm],$A216,tblVeriA[ToplamTutar]))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IF($A216="","",IF($F216&gt;efd_esikFark,1,0))</f>
        <v/>
      </c>
      <c r="O216" s="17">
        <f>IF($A216="","",IF($G216="eslesti",$D216,0))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IF($A217="","",SUMIF(tblAnahtarB[NormB],$A217,tblVeriB[BeklenenTutar]))</f>
        <v/>
      </c>
      <c r="D217" s="17">
        <f>IF($A217="","",SUMIF(tblAnahtarA[Norm],$A217,tblVeriA[ToplamTutar]))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IF($A217="","",IF($F217&gt;efd_esikFark,1,0))</f>
        <v/>
      </c>
      <c r="O217" s="17">
        <f>IF($A217="","",IF($G217="eslesti",$D217,0))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IF($A218="","",SUMIF(tblAnahtarB[NormB],$A218,tblVeriB[BeklenenTutar]))</f>
        <v/>
      </c>
      <c r="D218" s="17">
        <f>IF($A218="","",SUMIF(tblAnahtarA[Norm],$A218,tblVeriA[ToplamTutar]))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IF($A218="","",IF($F218&gt;efd_esikFark,1,0))</f>
        <v/>
      </c>
      <c r="O218" s="17">
        <f>IF($A218="","",IF($G218="eslesti",$D218,0))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IF($A219="","",SUMIF(tblAnahtarB[NormB],$A219,tblVeriB[BeklenenTutar]))</f>
        <v/>
      </c>
      <c r="D219" s="17">
        <f>IF($A219="","",SUMIF(tblAnahtarA[Norm],$A219,tblVeriA[ToplamTutar]))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IF($A219="","",IF($F219&gt;efd_esikFark,1,0))</f>
        <v/>
      </c>
      <c r="O219" s="17">
        <f>IF($A219="","",IF($G219="eslesti",$D219,0))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IF($A220="","",SUMIF(tblAnahtarB[NormB],$A220,tblVeriB[BeklenenTutar]))</f>
        <v/>
      </c>
      <c r="D220" s="17">
        <f>IF($A220="","",SUMIF(tblAnahtarA[Norm],$A220,tblVeriA[ToplamTutar]))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IF($A220="","",IF($F220&gt;efd_esikFark,1,0))</f>
        <v/>
      </c>
      <c r="O220" s="17">
        <f>IF($A220="","",IF($G220="eslesti",$D220,0))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IF($A221="","",SUMIF(tblAnahtarB[NormB],$A221,tblVeriB[BeklenenTutar]))</f>
        <v/>
      </c>
      <c r="D221" s="17">
        <f>IF($A221="","",SUMIF(tblAnahtarA[Norm],$A221,tblVeriA[ToplamTutar]))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IF($A221="","",IF($F221&gt;efd_esikFark,1,0))</f>
        <v/>
      </c>
      <c r="O221" s="17">
        <f>IF($A221="","",IF($G221="eslesti",$D221,0))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IF($A222="","",SUMIF(tblAnahtarB[NormB],$A222,tblVeriB[BeklenenTutar]))</f>
        <v/>
      </c>
      <c r="D222" s="17">
        <f>IF($A222="","",SUMIF(tblAnahtarA[Norm],$A222,tblVeriA[ToplamTutar]))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IF($A222="","",IF($F222&gt;efd_esikFark,1,0))</f>
        <v/>
      </c>
      <c r="O222" s="17">
        <f>IF($A222="","",IF($G222="eslesti",$D222,0))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IF($A223="","",SUMIF(tblAnahtarB[NormB],$A223,tblVeriB[BeklenenTutar]))</f>
        <v/>
      </c>
      <c r="D223" s="17">
        <f>IF($A223="","",SUMIF(tblAnahtarA[Norm],$A223,tblVeriA[ToplamTutar]))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IF($A223="","",IF($F223&gt;efd_esikFark,1,0))</f>
        <v/>
      </c>
      <c r="O223" s="17">
        <f>IF($A223="","",IF($G223="eslesti",$D223,0))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IF($A224="","",SUMIF(tblAnahtarB[NormB],$A224,tblVeriB[BeklenenTutar]))</f>
        <v/>
      </c>
      <c r="D224" s="17">
        <f>IF($A224="","",SUMIF(tblAnahtarA[Norm],$A224,tblVeriA[ToplamTutar]))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IF($A224="","",IF($F224&gt;efd_esikFark,1,0))</f>
        <v/>
      </c>
      <c r="O224" s="17">
        <f>IF($A224="","",IF($G224="eslesti",$D224,0))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IF($A225="","",SUMIF(tblAnahtarB[NormB],$A225,tblVeriB[BeklenenTutar]))</f>
        <v/>
      </c>
      <c r="D225" s="17">
        <f>IF($A225="","",SUMIF(tblAnahtarA[Norm],$A225,tblVeriA[ToplamTutar]))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IF($A225="","",IF($F225&gt;efd_esikFark,1,0))</f>
        <v/>
      </c>
      <c r="O225" s="17">
        <f>IF($A225="","",IF($G225="eslesti",$D225,0))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IF($A226="","",SUMIF(tblAnahtarB[NormB],$A226,tblVeriB[BeklenenTutar]))</f>
        <v/>
      </c>
      <c r="D226" s="17">
        <f>IF($A226="","",SUMIF(tblAnahtarA[Norm],$A226,tblVeriA[ToplamTutar]))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IF($A226="","",IF($F226&gt;efd_esikFark,1,0))</f>
        <v/>
      </c>
      <c r="O226" s="17">
        <f>IF($A226="","",IF($G226="eslesti",$D226,0))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IF($A227="","",SUMIF(tblAnahtarB[NormB],$A227,tblVeriB[BeklenenTutar]))</f>
        <v/>
      </c>
      <c r="D227" s="17">
        <f>IF($A227="","",SUMIF(tblAnahtarA[Norm],$A227,tblVeriA[ToplamTutar]))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IF($A227="","",IF($F227&gt;efd_esikFark,1,0))</f>
        <v/>
      </c>
      <c r="O227" s="17">
        <f>IF($A227="","",IF($G227="eslesti",$D227,0))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IF($A228="","",SUMIF(tblAnahtarB[NormB],$A228,tblVeriB[BeklenenTutar]))</f>
        <v/>
      </c>
      <c r="D228" s="17">
        <f>IF($A228="","",SUMIF(tblAnahtarA[Norm],$A228,tblVeriA[ToplamTutar]))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IF($A228="","",IF($F228&gt;efd_esikFark,1,0))</f>
        <v/>
      </c>
      <c r="O228" s="17">
        <f>IF($A228="","",IF($G228="eslesti",$D228,0))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IF($A229="","",SUMIF(tblAnahtarB[NormB],$A229,tblVeriB[BeklenenTutar]))</f>
        <v/>
      </c>
      <c r="D229" s="17">
        <f>IF($A229="","",SUMIF(tblAnahtarA[Norm],$A229,tblVeriA[ToplamTutar]))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IF($A229="","",IF($F229&gt;efd_esikFark,1,0))</f>
        <v/>
      </c>
      <c r="O229" s="17">
        <f>IF($A229="","",IF($G229="eslesti",$D229,0))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IF($A230="","",SUMIF(tblAnahtarB[NormB],$A230,tblVeriB[BeklenenTutar]))</f>
        <v/>
      </c>
      <c r="D230" s="17">
        <f>IF($A230="","",SUMIF(tblAnahtarA[Norm],$A230,tblVeriA[ToplamTutar]))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IF($A230="","",IF($F230&gt;efd_esikFark,1,0))</f>
        <v/>
      </c>
      <c r="O230" s="17">
        <f>IF($A230="","",IF($G230="eslesti",$D230,0))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IF($A231="","",SUMIF(tblAnahtarB[NormB],$A231,tblVeriB[BeklenenTutar]))</f>
        <v/>
      </c>
      <c r="D231" s="17">
        <f>IF($A231="","",SUMIF(tblAnahtarA[Norm],$A231,tblVeriA[ToplamTutar]))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IF($A231="","",IF($F231&gt;efd_esikFark,1,0))</f>
        <v/>
      </c>
      <c r="O231" s="17">
        <f>IF($A231="","",IF($G231="eslesti",$D231,0))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IF($A232="","",SUMIF(tblAnahtarB[NormB],$A232,tblVeriB[BeklenenTutar]))</f>
        <v/>
      </c>
      <c r="D232" s="17">
        <f>IF($A232="","",SUMIF(tblAnahtarA[Norm],$A232,tblVeriA[ToplamTutar]))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IF($A232="","",IF($F232&gt;efd_esikFark,1,0))</f>
        <v/>
      </c>
      <c r="O232" s="17">
        <f>IF($A232="","",IF($G232="eslesti",$D232,0))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IF($A233="","",SUMIF(tblAnahtarB[NormB],$A233,tblVeriB[BeklenenTutar]))</f>
        <v/>
      </c>
      <c r="D233" s="17">
        <f>IF($A233="","",SUMIF(tblAnahtarA[Norm],$A233,tblVeriA[ToplamTutar]))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IF($A233="","",IF($F233&gt;efd_esikFark,1,0))</f>
        <v/>
      </c>
      <c r="O233" s="17">
        <f>IF($A233="","",IF($G233="eslesti",$D233,0))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IF($A234="","",SUMIF(tblAnahtarB[NormB],$A234,tblVeriB[BeklenenTutar]))</f>
        <v/>
      </c>
      <c r="D234" s="17">
        <f>IF($A234="","",SUMIF(tblAnahtarA[Norm],$A234,tblVeriA[ToplamTutar]))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IF($A234="","",IF($F234&gt;efd_esikFark,1,0))</f>
        <v/>
      </c>
      <c r="O234" s="17">
        <f>IF($A234="","",IF($G234="eslesti",$D234,0))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IF($A235="","",SUMIF(tblAnahtarB[NormB],$A235,tblVeriB[BeklenenTutar]))</f>
        <v/>
      </c>
      <c r="D235" s="17">
        <f>IF($A235="","",SUMIF(tblAnahtarA[Norm],$A235,tblVeriA[ToplamTutar]))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IF($A235="","",IF($F235&gt;efd_esikFark,1,0))</f>
        <v/>
      </c>
      <c r="O235" s="17">
        <f>IF($A235="","",IF($G235="eslesti",$D235,0))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IF($A236="","",SUMIF(tblAnahtarB[NormB],$A236,tblVeriB[BeklenenTutar]))</f>
        <v/>
      </c>
      <c r="D236" s="17">
        <f>IF($A236="","",SUMIF(tblAnahtarA[Norm],$A236,tblVeriA[ToplamTutar]))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IF($A236="","",IF($F236&gt;efd_esikFark,1,0))</f>
        <v/>
      </c>
      <c r="O236" s="17">
        <f>IF($A236="","",IF($G236="eslesti",$D236,0))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IF($A237="","",SUMIF(tblAnahtarB[NormB],$A237,tblVeriB[BeklenenTutar]))</f>
        <v/>
      </c>
      <c r="D237" s="17">
        <f>IF($A237="","",SUMIF(tblAnahtarA[Norm],$A237,tblVeriA[ToplamTutar]))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IF($A237="","",IF($F237&gt;efd_esikFark,1,0))</f>
        <v/>
      </c>
      <c r="O237" s="17">
        <f>IF($A237="","",IF($G237="eslesti",$D237,0))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IF($A238="","",SUMIF(tblAnahtarB[NormB],$A238,tblVeriB[BeklenenTutar]))</f>
        <v/>
      </c>
      <c r="D238" s="17">
        <f>IF($A238="","",SUMIF(tblAnahtarA[Norm],$A238,tblVeriA[ToplamTutar]))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IF($A238="","",IF($F238&gt;efd_esikFark,1,0))</f>
        <v/>
      </c>
      <c r="O238" s="17">
        <f>IF($A238="","",IF($G238="eslesti",$D238,0))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IF($A239="","",SUMIF(tblAnahtarB[NormB],$A239,tblVeriB[BeklenenTutar]))</f>
        <v/>
      </c>
      <c r="D239" s="17">
        <f>IF($A239="","",SUMIF(tblAnahtarA[Norm],$A239,tblVeriA[ToplamTutar]))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IF($A239="","",IF($F239&gt;efd_esikFark,1,0))</f>
        <v/>
      </c>
      <c r="O239" s="17">
        <f>IF($A239="","",IF($G239="eslesti",$D239,0))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IF($A240="","",SUMIF(tblAnahtarB[NormB],$A240,tblVeriB[BeklenenTutar]))</f>
        <v/>
      </c>
      <c r="D240" s="17">
        <f>IF($A240="","",SUMIF(tblAnahtarA[Norm],$A240,tblVeriA[ToplamTutar]))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IF($A240="","",IF($F240&gt;efd_esikFark,1,0))</f>
        <v/>
      </c>
      <c r="O240" s="17">
        <f>IF($A240="","",IF($G240="eslesti",$D240,0))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IF($A241="","",SUMIF(tblAnahtarB[NormB],$A241,tblVeriB[BeklenenTutar]))</f>
        <v/>
      </c>
      <c r="D241" s="17">
        <f>IF($A241="","",SUMIF(tblAnahtarA[Norm],$A241,tblVeriA[ToplamTutar]))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IF($A241="","",IF($F241&gt;efd_esikFark,1,0))</f>
        <v/>
      </c>
      <c r="O241" s="17">
        <f>IF($A241="","",IF($G241="eslesti",$D241,0))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IF($A242="","",SUMIF(tblAnahtarB[NormB],$A242,tblVeriB[BeklenenTutar]))</f>
        <v/>
      </c>
      <c r="D242" s="17">
        <f>IF($A242="","",SUMIF(tblAnahtarA[Norm],$A242,tblVeriA[ToplamTutar]))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IF($A242="","",IF($F242&gt;efd_esikFark,1,0))</f>
        <v/>
      </c>
      <c r="O242" s="17">
        <f>IF($A242="","",IF($G242="eslesti",$D242,0))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IF($A243="","",SUMIF(tblAnahtarB[NormB],$A243,tblVeriB[BeklenenTutar]))</f>
        <v/>
      </c>
      <c r="D243" s="17">
        <f>IF($A243="","",SUMIF(tblAnahtarA[Norm],$A243,tblVeriA[ToplamTutar]))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IF($A243="","",IF($F243&gt;efd_esikFark,1,0))</f>
        <v/>
      </c>
      <c r="O243" s="17">
        <f>IF($A243="","",IF($G243="eslesti",$D243,0))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IF($A244="","",SUMIF(tblAnahtarB[NormB],$A244,tblVeriB[BeklenenTutar]))</f>
        <v/>
      </c>
      <c r="D244" s="17">
        <f>IF($A244="","",SUMIF(tblAnahtarA[Norm],$A244,tblVeriA[ToplamTutar]))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IF($A244="","",IF($F244&gt;efd_esikFark,1,0))</f>
        <v/>
      </c>
      <c r="O244" s="17">
        <f>IF($A244="","",IF($G244="eslesti",$D244,0))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IF($A245="","",SUMIF(tblAnahtarB[NormB],$A245,tblVeriB[BeklenenTutar]))</f>
        <v/>
      </c>
      <c r="D245" s="17">
        <f>IF($A245="","",SUMIF(tblAnahtarA[Norm],$A245,tblVeriA[ToplamTutar]))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IF($A245="","",IF($F245&gt;efd_esikFark,1,0))</f>
        <v/>
      </c>
      <c r="O245" s="17">
        <f>IF($A245="","",IF($G245="eslesti",$D245,0))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IF($A246="","",SUMIF(tblAnahtarB[NormB],$A246,tblVeriB[BeklenenTutar]))</f>
        <v/>
      </c>
      <c r="D246" s="17">
        <f>IF($A246="","",SUMIF(tblAnahtarA[Norm],$A246,tblVeriA[ToplamTutar]))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IF($A246="","",IF($F246&gt;efd_esikFark,1,0))</f>
        <v/>
      </c>
      <c r="O246" s="17">
        <f>IF($A246="","",IF($G246="eslesti",$D246,0))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IF($A247="","",SUMIF(tblAnahtarB[NormB],$A247,tblVeriB[BeklenenTutar]))</f>
        <v/>
      </c>
      <c r="D247" s="17">
        <f>IF($A247="","",SUMIF(tblAnahtarA[Norm],$A247,tblVeriA[ToplamTutar]))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IF($A247="","",IF($F247&gt;efd_esikFark,1,0))</f>
        <v/>
      </c>
      <c r="O247" s="17">
        <f>IF($A247="","",IF($G247="eslesti",$D247,0))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IF($A248="","",SUMIF(tblAnahtarB[NormB],$A248,tblVeriB[BeklenenTutar]))</f>
        <v/>
      </c>
      <c r="D248" s="17">
        <f>IF($A248="","",SUMIF(tblAnahtarA[Norm],$A248,tblVeriA[ToplamTutar]))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IF($A248="","",IF($F248&gt;efd_esikFark,1,0))</f>
        <v/>
      </c>
      <c r="O248" s="17">
        <f>IF($A248="","",IF($G248="eslesti",$D248,0))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IF($A249="","",SUMIF(tblAnahtarB[NormB],$A249,tblVeriB[BeklenenTutar]))</f>
        <v/>
      </c>
      <c r="D249" s="17">
        <f>IF($A249="","",SUMIF(tblAnahtarA[Norm],$A249,tblVeriA[ToplamTutar]))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IF($A249="","",IF($F249&gt;efd_esikFark,1,0))</f>
        <v/>
      </c>
      <c r="O249" s="17">
        <f>IF($A249="","",IF($G249="eslesti",$D249,0))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IF($A250="","",SUMIF(tblAnahtarB[NormB],$A250,tblVeriB[BeklenenTutar]))</f>
        <v/>
      </c>
      <c r="D250" s="17">
        <f>IF($A250="","",SUMIF(tblAnahtarA[Norm],$A250,tblVeriA[ToplamTutar]))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IF($A250="","",IF($F250&gt;efd_esikFark,1,0))</f>
        <v/>
      </c>
      <c r="O250" s="17">
        <f>IF($A250="","",IF($G250="eslesti",$D250,0))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IF($A251="","",SUMIF(tblAnahtarB[NormB],$A251,tblVeriB[BeklenenTutar]))</f>
        <v/>
      </c>
      <c r="D251" s="17">
        <f>IF($A251="","",SUMIF(tblAnahtarA[Norm],$A251,tblVeriA[ToplamTutar]))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IF($A251="","",IF($F251&gt;efd_esikFark,1,0))</f>
        <v/>
      </c>
      <c r="O251" s="17">
        <f>IF($A251="","",IF($G251="eslesti",$D251,0))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IF($A252="","",SUMIF(tblAnahtarB[NormB],$A252,tblVeriB[BeklenenTutar]))</f>
        <v/>
      </c>
      <c r="D252" s="17">
        <f>IF($A252="","",SUMIF(tblAnahtarA[Norm],$A252,tblVeriA[ToplamTutar]))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IF($A252="","",IF($F252&gt;efd_esikFark,1,0))</f>
        <v/>
      </c>
      <c r="O252" s="17">
        <f>IF($A252="","",IF($G252="eslesti",$D252,0))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IF($A253="","",SUMIF(tblAnahtarB[NormB],$A253,tblVeriB[BeklenenTutar]))</f>
        <v/>
      </c>
      <c r="D253" s="17">
        <f>IF($A253="","",SUMIF(tblAnahtarA[Norm],$A253,tblVeriA[ToplamTutar]))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IF($A253="","",IF($F253&gt;efd_esikFark,1,0))</f>
        <v/>
      </c>
      <c r="O253" s="17">
        <f>IF($A253="","",IF($G253="eslesti",$D253,0))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IF($A254="","",SUMIF(tblAnahtarB[NormB],$A254,tblVeriB[BeklenenTutar]))</f>
        <v/>
      </c>
      <c r="D254" s="17">
        <f>IF($A254="","",SUMIF(tblAnahtarA[Norm],$A254,tblVeriA[ToplamTutar]))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IF($A254="","",IF($F254&gt;efd_esikFark,1,0))</f>
        <v/>
      </c>
      <c r="O254" s="17">
        <f>IF($A254="","",IF($G254="eslesti",$D254,0))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IF($A255="","",SUMIF(tblAnahtarB[NormB],$A255,tblVeriB[BeklenenTutar]))</f>
        <v/>
      </c>
      <c r="D255" s="17">
        <f>IF($A255="","",SUMIF(tblAnahtarA[Norm],$A255,tblVeriA[ToplamTutar]))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IF($A255="","",IF($F255&gt;efd_esikFark,1,0))</f>
        <v/>
      </c>
      <c r="O255" s="17">
        <f>IF($A255="","",IF($G255="eslesti",$D255,0))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IF($A256="","",SUMIF(tblAnahtarB[NormB],$A256,tblVeriB[BeklenenTutar]))</f>
        <v/>
      </c>
      <c r="D256" s="17">
        <f>IF($A256="","",SUMIF(tblAnahtarA[Norm],$A256,tblVeriA[ToplamTutar]))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IF($A256="","",IF($F256&gt;efd_esikFark,1,0))</f>
        <v/>
      </c>
      <c r="O256" s="17">
        <f>IF($A256="","",IF($G256="eslesti",$D256,0))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IF($A257="","",SUMIF(tblAnahtarB[NormB],$A257,tblVeriB[BeklenenTutar]))</f>
        <v/>
      </c>
      <c r="D257" s="17">
        <f>IF($A257="","",SUMIF(tblAnahtarA[Norm],$A257,tblVeriA[ToplamTutar]))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IF($A257="","",IF($F257&gt;efd_esikFark,1,0))</f>
        <v/>
      </c>
      <c r="O257" s="17">
        <f>IF($A257="","",IF($G257="eslesti",$D257,0))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IF($A258="","",SUMIF(tblAnahtarB[NormB],$A258,tblVeriB[BeklenenTutar]))</f>
        <v/>
      </c>
      <c r="D258" s="17">
        <f>IF($A258="","",SUMIF(tblAnahtarA[Norm],$A258,tblVeriA[ToplamTutar]))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IF($A258="","",IF($F258&gt;efd_esikFark,1,0))</f>
        <v/>
      </c>
      <c r="O258" s="17">
        <f>IF($A258="","",IF($G258="eslesti",$D258,0))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IF($A259="","",SUMIF(tblAnahtarB[NormB],$A259,tblVeriB[BeklenenTutar]))</f>
        <v/>
      </c>
      <c r="D259" s="17">
        <f>IF($A259="","",SUMIF(tblAnahtarA[Norm],$A259,tblVeriA[ToplamTutar]))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IF($A259="","",IF($F259&gt;efd_esikFark,1,0))</f>
        <v/>
      </c>
      <c r="O259" s="17">
        <f>IF($A259="","",IF($G259="eslesti",$D259,0))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IF($A260="","",SUMIF(tblAnahtarB[NormB],$A260,tblVeriB[BeklenenTutar]))</f>
        <v/>
      </c>
      <c r="D260" s="17">
        <f>IF($A260="","",SUMIF(tblAnahtarA[Norm],$A260,tblVeriA[ToplamTutar]))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IF($A260="","",IF($F260&gt;efd_esikFark,1,0))</f>
        <v/>
      </c>
      <c r="O260" s="17">
        <f>IF($A260="","",IF($G260="eslesti",$D260,0))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IF($A261="","",SUMIF(tblAnahtarB[NormB],$A261,tblVeriB[BeklenenTutar]))</f>
        <v/>
      </c>
      <c r="D261" s="17">
        <f>IF($A261="","",SUMIF(tblAnahtarA[Norm],$A261,tblVeriA[ToplamTutar]))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IF($A261="","",IF($F261&gt;efd_esikFark,1,0))</f>
        <v/>
      </c>
      <c r="O261" s="17">
        <f>IF($A261="","",IF($G261="eslesti",$D261,0))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IF($A262="","",SUMIF(tblAnahtarB[NormB],$A262,tblVeriB[BeklenenTutar]))</f>
        <v/>
      </c>
      <c r="D262" s="17">
        <f>IF($A262="","",SUMIF(tblAnahtarA[Norm],$A262,tblVeriA[ToplamTutar]))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IF($A262="","",IF($F262&gt;efd_esikFark,1,0))</f>
        <v/>
      </c>
      <c r="O262" s="17">
        <f>IF($A262="","",IF($G262="eslesti",$D262,0))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IF($A263="","",SUMIF(tblAnahtarB[NormB],$A263,tblVeriB[BeklenenTutar]))</f>
        <v/>
      </c>
      <c r="D263" s="17">
        <f>IF($A263="","",SUMIF(tblAnahtarA[Norm],$A263,tblVeriA[ToplamTutar]))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IF($A263="","",IF($F263&gt;efd_esikFark,1,0))</f>
        <v/>
      </c>
      <c r="O263" s="17">
        <f>IF($A263="","",IF($G263="eslesti",$D263,0))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IF($A264="","",SUMIF(tblAnahtarB[NormB],$A264,tblVeriB[BeklenenTutar]))</f>
        <v/>
      </c>
      <c r="D264" s="17">
        <f>IF($A264="","",SUMIF(tblAnahtarA[Norm],$A264,tblVeriA[ToplamTutar]))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IF($A264="","",IF($F264&gt;efd_esikFark,1,0))</f>
        <v/>
      </c>
      <c r="O264" s="17">
        <f>IF($A264="","",IF($G264="eslesti",$D264,0))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IF($A265="","",SUMIF(tblAnahtarB[NormB],$A265,tblVeriB[BeklenenTutar]))</f>
        <v/>
      </c>
      <c r="D265" s="17">
        <f>IF($A265="","",SUMIF(tblAnahtarA[Norm],$A265,tblVeriA[ToplamTutar]))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IF($A265="","",IF($F265&gt;efd_esikFark,1,0))</f>
        <v/>
      </c>
      <c r="O265" s="17">
        <f>IF($A265="","",IF($G265="eslesti",$D265,0))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IF($A266="","",SUMIF(tblAnahtarB[NormB],$A266,tblVeriB[BeklenenTutar]))</f>
        <v/>
      </c>
      <c r="D266" s="17">
        <f>IF($A266="","",SUMIF(tblAnahtarA[Norm],$A266,tblVeriA[ToplamTutar]))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IF($A266="","",IF($F266&gt;efd_esikFark,1,0))</f>
        <v/>
      </c>
      <c r="O266" s="17">
        <f>IF($A266="","",IF($G266="eslesti",$D266,0))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IF($A267="","",SUMIF(tblAnahtarB[NormB],$A267,tblVeriB[BeklenenTutar]))</f>
        <v/>
      </c>
      <c r="D267" s="17">
        <f>IF($A267="","",SUMIF(tblAnahtarA[Norm],$A267,tblVeriA[ToplamTutar]))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IF($A267="","",IF($F267&gt;efd_esikFark,1,0))</f>
        <v/>
      </c>
      <c r="O267" s="17">
        <f>IF($A267="","",IF($G267="eslesti",$D267,0))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IF($A268="","",SUMIF(tblAnahtarB[NormB],$A268,tblVeriB[BeklenenTutar]))</f>
        <v/>
      </c>
      <c r="D268" s="17">
        <f>IF($A268="","",SUMIF(tblAnahtarA[Norm],$A268,tblVeriA[ToplamTutar]))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IF($A268="","",IF($F268&gt;efd_esikFark,1,0))</f>
        <v/>
      </c>
      <c r="O268" s="17">
        <f>IF($A268="","",IF($G268="eslesti",$D268,0))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IF($A269="","",SUMIF(tblAnahtarB[NormB],$A269,tblVeriB[BeklenenTutar]))</f>
        <v/>
      </c>
      <c r="D269" s="17">
        <f>IF($A269="","",SUMIF(tblAnahtarA[Norm],$A269,tblVeriA[ToplamTutar]))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IF($A269="","",IF($F269&gt;efd_esikFark,1,0))</f>
        <v/>
      </c>
      <c r="O269" s="17">
        <f>IF($A269="","",IF($G269="eslesti",$D269,0))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IF($A270="","",SUMIF(tblAnahtarB[NormB],$A270,tblVeriB[BeklenenTutar]))</f>
        <v/>
      </c>
      <c r="D270" s="17">
        <f>IF($A270="","",SUMIF(tblAnahtarA[Norm],$A270,tblVeriA[ToplamTutar]))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IF($A270="","",IF($F270&gt;efd_esikFark,1,0))</f>
        <v/>
      </c>
      <c r="O270" s="17">
        <f>IF($A270="","",IF($G270="eslesti",$D270,0))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IF($A271="","",SUMIF(tblAnahtarB[NormB],$A271,tblVeriB[BeklenenTutar]))</f>
        <v/>
      </c>
      <c r="D271" s="17">
        <f>IF($A271="","",SUMIF(tblAnahtarA[Norm],$A271,tblVeriA[ToplamTutar]))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IF($A271="","",IF($F271&gt;efd_esikFark,1,0))</f>
        <v/>
      </c>
      <c r="O271" s="17">
        <f>IF($A271="","",IF($G271="eslesti",$D271,0))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IF($A272="","",SUMIF(tblAnahtarB[NormB],$A272,tblVeriB[BeklenenTutar]))</f>
        <v/>
      </c>
      <c r="D272" s="17">
        <f>IF($A272="","",SUMIF(tblAnahtarA[Norm],$A272,tblVeriA[ToplamTutar]))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IF($A272="","",IF($F272&gt;efd_esikFark,1,0))</f>
        <v/>
      </c>
      <c r="O272" s="17">
        <f>IF($A272="","",IF($G272="eslesti",$D272,0))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IF($A273="","",SUMIF(tblAnahtarB[NormB],$A273,tblVeriB[BeklenenTutar]))</f>
        <v/>
      </c>
      <c r="D273" s="17">
        <f>IF($A273="","",SUMIF(tblAnahtarA[Norm],$A273,tblVeriA[ToplamTutar]))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IF($A273="","",IF($F273&gt;efd_esikFark,1,0))</f>
        <v/>
      </c>
      <c r="O273" s="17">
        <f>IF($A273="","",IF($G273="eslesti",$D273,0))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IF($A274="","",SUMIF(tblAnahtarB[NormB],$A274,tblVeriB[BeklenenTutar]))</f>
        <v/>
      </c>
      <c r="D274" s="17">
        <f>IF($A274="","",SUMIF(tblAnahtarA[Norm],$A274,tblVeriA[ToplamTutar]))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IF($A274="","",IF($F274&gt;efd_esikFark,1,0))</f>
        <v/>
      </c>
      <c r="O274" s="17">
        <f>IF($A274="","",IF($G274="eslesti",$D274,0))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IF($A275="","",SUMIF(tblAnahtarB[NormB],$A275,tblVeriB[BeklenenTutar]))</f>
        <v/>
      </c>
      <c r="D275" s="17">
        <f>IF($A275="","",SUMIF(tblAnahtarA[Norm],$A275,tblVeriA[ToplamTutar]))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IF($A275="","",IF($F275&gt;efd_esikFark,1,0))</f>
        <v/>
      </c>
      <c r="O275" s="17">
        <f>IF($A275="","",IF($G275="eslesti",$D275,0))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IF($A276="","",SUMIF(tblAnahtarB[NormB],$A276,tblVeriB[BeklenenTutar]))</f>
        <v/>
      </c>
      <c r="D276" s="17">
        <f>IF($A276="","",SUMIF(tblAnahtarA[Norm],$A276,tblVeriA[ToplamTutar]))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IF($A276="","",IF($F276&gt;efd_esikFark,1,0))</f>
        <v/>
      </c>
      <c r="O276" s="17">
        <f>IF($A276="","",IF($G276="eslesti",$D276,0))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IF($A277="","",SUMIF(tblAnahtarB[NormB],$A277,tblVeriB[BeklenenTutar]))</f>
        <v/>
      </c>
      <c r="D277" s="17">
        <f>IF($A277="","",SUMIF(tblAnahtarA[Norm],$A277,tblVeriA[ToplamTutar]))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IF($A277="","",IF($F277&gt;efd_esikFark,1,0))</f>
        <v/>
      </c>
      <c r="O277" s="17">
        <f>IF($A277="","",IF($G277="eslesti",$D277,0))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IF($A278="","",SUMIF(tblAnahtarB[NormB],$A278,tblVeriB[BeklenenTutar]))</f>
        <v/>
      </c>
      <c r="D278" s="17">
        <f>IF($A278="","",SUMIF(tblAnahtarA[Norm],$A278,tblVeriA[ToplamTutar]))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IF($A278="","",IF($F278&gt;efd_esikFark,1,0))</f>
        <v/>
      </c>
      <c r="O278" s="17">
        <f>IF($A278="","",IF($G278="eslesti",$D278,0))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IF($A279="","",SUMIF(tblAnahtarB[NormB],$A279,tblVeriB[BeklenenTutar]))</f>
        <v/>
      </c>
      <c r="D279" s="17">
        <f>IF($A279="","",SUMIF(tblAnahtarA[Norm],$A279,tblVeriA[ToplamTutar]))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IF($A279="","",IF($F279&gt;efd_esikFark,1,0))</f>
        <v/>
      </c>
      <c r="O279" s="17">
        <f>IF($A279="","",IF($G279="eslesti",$D279,0))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IF($A280="","",SUMIF(tblAnahtarB[NormB],$A280,tblVeriB[BeklenenTutar]))</f>
        <v/>
      </c>
      <c r="D280" s="17">
        <f>IF($A280="","",SUMIF(tblAnahtarA[Norm],$A280,tblVeriA[ToplamTutar]))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IF($A280="","",IF($F280&gt;efd_esikFark,1,0))</f>
        <v/>
      </c>
      <c r="O280" s="17">
        <f>IF($A280="","",IF($G280="eslesti",$D280,0))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IF($A281="","",SUMIF(tblAnahtarB[NormB],$A281,tblVeriB[BeklenenTutar]))</f>
        <v/>
      </c>
      <c r="D281" s="17">
        <f>IF($A281="","",SUMIF(tblAnahtarA[Norm],$A281,tblVeriA[ToplamTutar]))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IF($A281="","",IF($F281&gt;efd_esikFark,1,0))</f>
        <v/>
      </c>
      <c r="O281" s="17">
        <f>IF($A281="","",IF($G281="eslesti",$D281,0))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IF($A282="","",SUMIF(tblAnahtarB[NormB],$A282,tblVeriB[BeklenenTutar]))</f>
        <v/>
      </c>
      <c r="D282" s="17">
        <f>IF($A282="","",SUMIF(tblAnahtarA[Norm],$A282,tblVeriA[ToplamTutar]))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IF($A282="","",IF($F282&gt;efd_esikFark,1,0))</f>
        <v/>
      </c>
      <c r="O282" s="17">
        <f>IF($A282="","",IF($G282="eslesti",$D282,0))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IF($A283="","",SUMIF(tblAnahtarB[NormB],$A283,tblVeriB[BeklenenTutar]))</f>
        <v/>
      </c>
      <c r="D283" s="17">
        <f>IF($A283="","",SUMIF(tblAnahtarA[Norm],$A283,tblVeriA[ToplamTutar]))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IF($A283="","",IF($F283&gt;efd_esikFark,1,0))</f>
        <v/>
      </c>
      <c r="O283" s="17">
        <f>IF($A283="","",IF($G283="eslesti",$D283,0))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IF($A284="","",SUMIF(tblAnahtarB[NormB],$A284,tblVeriB[BeklenenTutar]))</f>
        <v/>
      </c>
      <c r="D284" s="17">
        <f>IF($A284="","",SUMIF(tblAnahtarA[Norm],$A284,tblVeriA[ToplamTutar]))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IF($A284="","",IF($F284&gt;efd_esikFark,1,0))</f>
        <v/>
      </c>
      <c r="O284" s="17">
        <f>IF($A284="","",IF($G284="eslesti",$D284,0))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IF($A285="","",SUMIF(tblAnahtarB[NormB],$A285,tblVeriB[BeklenenTutar]))</f>
        <v/>
      </c>
      <c r="D285" s="17">
        <f>IF($A285="","",SUMIF(tblAnahtarA[Norm],$A285,tblVeriA[ToplamTutar]))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IF($A285="","",IF($F285&gt;efd_esikFark,1,0))</f>
        <v/>
      </c>
      <c r="O285" s="17">
        <f>IF($A285="","",IF($G285="eslesti",$D285,0))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IF($A286="","",SUMIF(tblAnahtarB[NormB],$A286,tblVeriB[BeklenenTutar]))</f>
        <v/>
      </c>
      <c r="D286" s="17">
        <f>IF($A286="","",SUMIF(tblAnahtarA[Norm],$A286,tblVeriA[ToplamTutar]))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IF($A286="","",IF($F286&gt;efd_esikFark,1,0))</f>
        <v/>
      </c>
      <c r="O286" s="17">
        <f>IF($A286="","",IF($G286="eslesti",$D286,0))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IF($A287="","",SUMIF(tblAnahtarB[NormB],$A287,tblVeriB[BeklenenTutar]))</f>
        <v/>
      </c>
      <c r="D287" s="17">
        <f>IF($A287="","",SUMIF(tblAnahtarA[Norm],$A287,tblVeriA[ToplamTutar]))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IF($A287="","",IF($F287&gt;efd_esikFark,1,0))</f>
        <v/>
      </c>
      <c r="O287" s="17">
        <f>IF($A287="","",IF($G287="eslesti",$D287,0))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IF($A288="","",SUMIF(tblAnahtarB[NormB],$A288,tblVeriB[BeklenenTutar]))</f>
        <v/>
      </c>
      <c r="D288" s="17">
        <f>IF($A288="","",SUMIF(tblAnahtarA[Norm],$A288,tblVeriA[ToplamTutar]))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IF($A288="","",IF($F288&gt;efd_esikFark,1,0))</f>
        <v/>
      </c>
      <c r="O288" s="17">
        <f>IF($A288="","",IF($G288="eslesti",$D288,0))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IF($A289="","",SUMIF(tblAnahtarB[NormB],$A289,tblVeriB[BeklenenTutar]))</f>
        <v/>
      </c>
      <c r="D289" s="17">
        <f>IF($A289="","",SUMIF(tblAnahtarA[Norm],$A289,tblVeriA[ToplamTutar]))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IF($A289="","",IF($F289&gt;efd_esikFark,1,0))</f>
        <v/>
      </c>
      <c r="O289" s="17">
        <f>IF($A289="","",IF($G289="eslesti",$D289,0))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IF($A290="","",SUMIF(tblAnahtarB[NormB],$A290,tblVeriB[BeklenenTutar]))</f>
        <v/>
      </c>
      <c r="D290" s="17">
        <f>IF($A290="","",SUMIF(tblAnahtarA[Norm],$A290,tblVeriA[ToplamTutar]))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IF($A290="","",IF($F290&gt;efd_esikFark,1,0))</f>
        <v/>
      </c>
      <c r="O290" s="17">
        <f>IF($A290="","",IF($G290="eslesti",$D290,0))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IF($A291="","",SUMIF(tblAnahtarB[NormB],$A291,tblVeriB[BeklenenTutar]))</f>
        <v/>
      </c>
      <c r="D291" s="17">
        <f>IF($A291="","",SUMIF(tblAnahtarA[Norm],$A291,tblVeriA[ToplamTutar]))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IF($A291="","",IF($F291&gt;efd_esikFark,1,0))</f>
        <v/>
      </c>
      <c r="O291" s="17">
        <f>IF($A291="","",IF($G291="eslesti",$D291,0))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IF($A292="","",SUMIF(tblAnahtarB[NormB],$A292,tblVeriB[BeklenenTutar]))</f>
        <v/>
      </c>
      <c r="D292" s="17">
        <f>IF($A292="","",SUMIF(tblAnahtarA[Norm],$A292,tblVeriA[ToplamTutar]))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IF($A292="","",IF($F292&gt;efd_esikFark,1,0))</f>
        <v/>
      </c>
      <c r="O292" s="17">
        <f>IF($A292="","",IF($G292="eslesti",$D292,0))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IF($A293="","",SUMIF(tblAnahtarB[NormB],$A293,tblVeriB[BeklenenTutar]))</f>
        <v/>
      </c>
      <c r="D293" s="17">
        <f>IF($A293="","",SUMIF(tblAnahtarA[Norm],$A293,tblVeriA[ToplamTutar]))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IF($A293="","",IF($F293&gt;efd_esikFark,1,0))</f>
        <v/>
      </c>
      <c r="O293" s="17">
        <f>IF($A293="","",IF($G293="eslesti",$D293,0))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IF($A294="","",SUMIF(tblAnahtarB[NormB],$A294,tblVeriB[BeklenenTutar]))</f>
        <v/>
      </c>
      <c r="D294" s="17">
        <f>IF($A294="","",SUMIF(tblAnahtarA[Norm],$A294,tblVeriA[ToplamTutar]))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IF($A294="","",IF($F294&gt;efd_esikFark,1,0))</f>
        <v/>
      </c>
      <c r="O294" s="17">
        <f>IF($A294="","",IF($G294="eslesti",$D294,0))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IF($A295="","",SUMIF(tblAnahtarB[NormB],$A295,tblVeriB[BeklenenTutar]))</f>
        <v/>
      </c>
      <c r="D295" s="17">
        <f>IF($A295="","",SUMIF(tblAnahtarA[Norm],$A295,tblVeriA[ToplamTutar]))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IF($A295="","",IF($F295&gt;efd_esikFark,1,0))</f>
        <v/>
      </c>
      <c r="O295" s="17">
        <f>IF($A295="","",IF($G295="eslesti",$D295,0))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IF($A296="","",SUMIF(tblAnahtarB[NormB],$A296,tblVeriB[BeklenenTutar]))</f>
        <v/>
      </c>
      <c r="D296" s="17">
        <f>IF($A296="","",SUMIF(tblAnahtarA[Norm],$A296,tblVeriA[ToplamTutar]))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IF($A296="","",IF($F296&gt;efd_esikFark,1,0))</f>
        <v/>
      </c>
      <c r="O296" s="17">
        <f>IF($A296="","",IF($G296="eslesti",$D296,0))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IF($A297="","",SUMIF(tblAnahtarB[NormB],$A297,tblVeriB[BeklenenTutar]))</f>
        <v/>
      </c>
      <c r="D297" s="17">
        <f>IF($A297="","",SUMIF(tblAnahtarA[Norm],$A297,tblVeriA[ToplamTutar]))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IF($A297="","",IF($F297&gt;efd_esikFark,1,0))</f>
        <v/>
      </c>
      <c r="O297" s="17">
        <f>IF($A297="","",IF($G297="eslesti",$D297,0))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IF($A298="","",SUMIF(tblAnahtarB[NormB],$A298,tblVeriB[BeklenenTutar]))</f>
        <v/>
      </c>
      <c r="D298" s="17">
        <f>IF($A298="","",SUMIF(tblAnahtarA[Norm],$A298,tblVeriA[ToplamTutar]))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IF($A298="","",IF($F298&gt;efd_esikFark,1,0))</f>
        <v/>
      </c>
      <c r="O298" s="17">
        <f>IF($A298="","",IF($G298="eslesti",$D298,0))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IF($A299="","",SUMIF(tblAnahtarB[NormB],$A299,tblVeriB[BeklenenTutar]))</f>
        <v/>
      </c>
      <c r="D299" s="17">
        <f>IF($A299="","",SUMIF(tblAnahtarA[Norm],$A299,tblVeriA[ToplamTutar]))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IF($A299="","",IF($F299&gt;efd_esikFark,1,0))</f>
        <v/>
      </c>
      <c r="O299" s="17">
        <f>IF($A299="","",IF($G299="eslesti",$D299,0))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IF($A300="","",SUMIF(tblAnahtarB[NormB],$A300,tblVeriB[BeklenenTutar]))</f>
        <v/>
      </c>
      <c r="D300" s="17">
        <f>IF($A300="","",SUMIF(tblAnahtarA[Norm],$A300,tblVeriA[ToplamTutar]))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IF($A300="","",IF($F300&gt;efd_esikFark,1,0))</f>
        <v/>
      </c>
      <c r="O300" s="17">
        <f>IF($A300="","",IF($G300="eslesti",$D300,0))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IF($A301="","",SUMIF(tblAnahtarB[NormB],$A301,tblVeriB[BeklenenTutar]))</f>
        <v/>
      </c>
      <c r="D301" s="17">
        <f>IF($A301="","",SUMIF(tblAnahtarA[Norm],$A301,tblVeriA[ToplamTutar]))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IF($A301="","",IF($F301&gt;efd_esikFark,1,0))</f>
        <v/>
      </c>
      <c r="O301" s="17">
        <f>IF($A301="","",IF($G301="eslesti",$D301,0))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IF($A302="","",SUMIF(tblAnahtarB[NormB],$A302,tblVeriB[BeklenenTutar]))</f>
        <v/>
      </c>
      <c r="D302" s="17">
        <f>IF($A302="","",SUMIF(tblAnahtarA[Norm],$A302,tblVeriA[ToplamTutar]))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IF($A302="","",IF($F302&gt;efd_esikFark,1,0))</f>
        <v/>
      </c>
      <c r="O302" s="17">
        <f>IF($A302="","",IF($G302="eslesti",$D302,0))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IF($A303="","",SUMIF(tblAnahtarB[NormB],$A303,tblVeriB[BeklenenTutar]))</f>
        <v/>
      </c>
      <c r="D303" s="17">
        <f>IF($A303="","",SUMIF(tblAnahtarA[Norm],$A303,tblVeriA[ToplamTutar]))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IF($A303="","",IF($F303&gt;efd_esikFark,1,0))</f>
        <v/>
      </c>
      <c r="O303" s="17">
        <f>IF($A303="","",IF($G303="eslesti",$D303,0))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IF($A304="","",SUMIF(tblAnahtarB[NormB],$A304,tblVeriB[BeklenenTutar]))</f>
        <v/>
      </c>
      <c r="D304" s="17">
        <f>IF($A304="","",SUMIF(tblAnahtarA[Norm],$A304,tblVeriA[ToplamTutar]))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IF($A304="","",IF($F304&gt;efd_esikFark,1,0))</f>
        <v/>
      </c>
      <c r="O304" s="17">
        <f>IF($A304="","",IF($G304="eslesti",$D304,0))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IF($A305="","",SUMIF(tblAnahtarB[NormB],$A305,tblVeriB[BeklenenTutar]))</f>
        <v/>
      </c>
      <c r="D305" s="17">
        <f>IF($A305="","",SUMIF(tblAnahtarA[Norm],$A305,tblVeriA[ToplamTutar]))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IF($A305="","",IF($F305&gt;efd_esikFark,1,0))</f>
        <v/>
      </c>
      <c r="O305" s="17">
        <f>IF($A305="","",IF($G305="eslesti",$D305,0))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IF($A306="","",SUMIF(tblAnahtarB[NormB],$A306,tblVeriB[BeklenenTutar]))</f>
        <v/>
      </c>
      <c r="D306" s="17">
        <f>IF($A306="","",SUMIF(tblAnahtarA[Norm],$A306,tblVeriA[ToplamTutar]))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IF($A306="","",IF($F306&gt;efd_esikFark,1,0))</f>
        <v/>
      </c>
      <c r="O306" s="17">
        <f>IF($A306="","",IF($G306="eslesti",$D306,0))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IF($A307="","",SUMIF(tblAnahtarB[NormB],$A307,tblVeriB[BeklenenTutar]))</f>
        <v/>
      </c>
      <c r="D307" s="17">
        <f>IF($A307="","",SUMIF(tblAnahtarA[Norm],$A307,tblVeriA[ToplamTutar]))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IF($A307="","",IF($F307&gt;efd_esikFark,1,0))</f>
        <v/>
      </c>
      <c r="O307" s="17">
        <f>IF($A307="","",IF($G307="eslesti",$D307,0))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IF($A308="","",SUMIF(tblAnahtarB[NormB],$A308,tblVeriB[BeklenenTutar]))</f>
        <v/>
      </c>
      <c r="D308" s="17">
        <f>IF($A308="","",SUMIF(tblAnahtarA[Norm],$A308,tblVeriA[ToplamTutar]))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IF($A308="","",IF($F308&gt;efd_esikFark,1,0))</f>
        <v/>
      </c>
      <c r="O308" s="17">
        <f>IF($A308="","",IF($G308="eslesti",$D308,0))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IF($A309="","",SUMIF(tblAnahtarB[NormB],$A309,tblVeriB[BeklenenTutar]))</f>
        <v/>
      </c>
      <c r="D309" s="17">
        <f>IF($A309="","",SUMIF(tblAnahtarA[Norm],$A309,tblVeriA[ToplamTutar]))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IF($A309="","",IF($F309&gt;efd_esikFark,1,0))</f>
        <v/>
      </c>
      <c r="O309" s="17">
        <f>IF($A309="","",IF($G309="eslesti",$D309,0))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IF($A310="","",SUMIF(tblAnahtarB[NormB],$A310,tblVeriB[BeklenenTutar]))</f>
        <v/>
      </c>
      <c r="D310" s="17">
        <f>IF($A310="","",SUMIF(tblAnahtarA[Norm],$A310,tblVeriA[ToplamTutar]))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IF($A310="","",IF($F310&gt;efd_esikFark,1,0))</f>
        <v/>
      </c>
      <c r="O310" s="17">
        <f>IF($A310="","",IF($G310="eslesti",$D310,0))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IF($A311="","",SUMIF(tblAnahtarB[NormB],$A311,tblVeriB[BeklenenTutar]))</f>
        <v/>
      </c>
      <c r="D311" s="17">
        <f>IF($A311="","",SUMIF(tblAnahtarA[Norm],$A311,tblVeriA[ToplamTutar]))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IF($A311="","",IF($F311&gt;efd_esikFark,1,0))</f>
        <v/>
      </c>
      <c r="O311" s="17">
        <f>IF($A311="","",IF($G311="eslesti",$D311,0))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IF($A312="","",SUMIF(tblAnahtarB[NormB],$A312,tblVeriB[BeklenenTutar]))</f>
        <v/>
      </c>
      <c r="D312" s="17">
        <f>IF($A312="","",SUMIF(tblAnahtarA[Norm],$A312,tblVeriA[ToplamTutar]))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IF($A312="","",IF($F312&gt;efd_esikFark,1,0))</f>
        <v/>
      </c>
      <c r="O312" s="17">
        <f>IF($A312="","",IF($G312="eslesti",$D312,0))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IF($A313="","",SUMIF(tblAnahtarB[NormB],$A313,tblVeriB[BeklenenTutar]))</f>
        <v/>
      </c>
      <c r="D313" s="17">
        <f>IF($A313="","",SUMIF(tblAnahtarA[Norm],$A313,tblVeriA[ToplamTutar]))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IF($A313="","",IF($F313&gt;efd_esikFark,1,0))</f>
        <v/>
      </c>
      <c r="O313" s="17">
        <f>IF($A313="","",IF($G313="eslesti",$D313,0))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IF($A314="","",SUMIF(tblAnahtarB[NormB],$A314,tblVeriB[BeklenenTutar]))</f>
        <v/>
      </c>
      <c r="D314" s="17">
        <f>IF($A314="","",SUMIF(tblAnahtarA[Norm],$A314,tblVeriA[ToplamTutar]))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IF($A314="","",IF($F314&gt;efd_esikFark,1,0))</f>
        <v/>
      </c>
      <c r="O314" s="17">
        <f>IF($A314="","",IF($G314="eslesti",$D314,0))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IF($A315="","",SUMIF(tblAnahtarB[NormB],$A315,tblVeriB[BeklenenTutar]))</f>
        <v/>
      </c>
      <c r="D315" s="17">
        <f>IF($A315="","",SUMIF(tblAnahtarA[Norm],$A315,tblVeriA[ToplamTutar]))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IF($A315="","",IF($F315&gt;efd_esikFark,1,0))</f>
        <v/>
      </c>
      <c r="O315" s="17">
        <f>IF($A315="","",IF($G315="eslesti",$D315,0))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IF($A316="","",SUMIF(tblAnahtarB[NormB],$A316,tblVeriB[BeklenenTutar]))</f>
        <v/>
      </c>
      <c r="D316" s="17">
        <f>IF($A316="","",SUMIF(tblAnahtarA[Norm],$A316,tblVeriA[ToplamTutar]))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IF($A316="","",IF($F316&gt;efd_esikFark,1,0))</f>
        <v/>
      </c>
      <c r="O316" s="17">
        <f>IF($A316="","",IF($G316="eslesti",$D316,0))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IF($A317="","",SUMIF(tblAnahtarB[NormB],$A317,tblVeriB[BeklenenTutar]))</f>
        <v/>
      </c>
      <c r="D317" s="17">
        <f>IF($A317="","",SUMIF(tblAnahtarA[Norm],$A317,tblVeriA[ToplamTutar]))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IF($A317="","",IF($F317&gt;efd_esikFark,1,0))</f>
        <v/>
      </c>
      <c r="O317" s="17">
        <f>IF($A317="","",IF($G317="eslesti",$D317,0))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IF($A318="","",SUMIF(tblAnahtarB[NormB],$A318,tblVeriB[BeklenenTutar]))</f>
        <v/>
      </c>
      <c r="D318" s="17">
        <f>IF($A318="","",SUMIF(tblAnahtarA[Norm],$A318,tblVeriA[ToplamTutar]))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IF($A318="","",IF($F318&gt;efd_esikFark,1,0))</f>
        <v/>
      </c>
      <c r="O318" s="17">
        <f>IF($A318="","",IF($G318="eslesti",$D318,0))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IF($A319="","",SUMIF(tblAnahtarB[NormB],$A319,tblVeriB[BeklenenTutar]))</f>
        <v/>
      </c>
      <c r="D319" s="17">
        <f>IF($A319="","",SUMIF(tblAnahtarA[Norm],$A319,tblVeriA[ToplamTutar]))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IF($A319="","",IF($F319&gt;efd_esikFark,1,0))</f>
        <v/>
      </c>
      <c r="O319" s="17">
        <f>IF($A319="","",IF($G319="eslesti",$D319,0))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IF($A320="","",SUMIF(tblAnahtarB[NormB],$A320,tblVeriB[BeklenenTutar]))</f>
        <v/>
      </c>
      <c r="D320" s="17">
        <f>IF($A320="","",SUMIF(tblAnahtarA[Norm],$A320,tblVeriA[ToplamTutar]))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IF($A320="","",IF($F320&gt;efd_esikFark,1,0))</f>
        <v/>
      </c>
      <c r="O320" s="17">
        <f>IF($A320="","",IF($G320="eslesti",$D320,0))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IF($A321="","",SUMIF(tblAnahtarB[NormB],$A321,tblVeriB[BeklenenTutar]))</f>
        <v/>
      </c>
      <c r="D321" s="17">
        <f>IF($A321="","",SUMIF(tblAnahtarA[Norm],$A321,tblVeriA[ToplamTutar]))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IF($A321="","",IF($F321&gt;efd_esikFark,1,0))</f>
        <v/>
      </c>
      <c r="O321" s="17">
        <f>IF($A321="","",IF($G321="eslesti",$D321,0))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IF($A322="","",SUMIF(tblAnahtarB[NormB],$A322,tblVeriB[BeklenenTutar]))</f>
        <v/>
      </c>
      <c r="D322" s="17">
        <f>IF($A322="","",SUMIF(tblAnahtarA[Norm],$A322,tblVeriA[ToplamTutar]))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IF($A322="","",IF($F322&gt;efd_esikFark,1,0))</f>
        <v/>
      </c>
      <c r="O322" s="17">
        <f>IF($A322="","",IF($G322="eslesti",$D322,0))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IF($A323="","",SUMIF(tblAnahtarB[NormB],$A323,tblVeriB[BeklenenTutar]))</f>
        <v/>
      </c>
      <c r="D323" s="17">
        <f>IF($A323="","",SUMIF(tblAnahtarA[Norm],$A323,tblVeriA[ToplamTutar]))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IF($A323="","",IF($F323&gt;efd_esikFark,1,0))</f>
        <v/>
      </c>
      <c r="O323" s="17">
        <f>IF($A323="","",IF($G323="eslesti",$D323,0))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IF($A324="","",SUMIF(tblAnahtarB[NormB],$A324,tblVeriB[BeklenenTutar]))</f>
        <v/>
      </c>
      <c r="D324" s="17">
        <f>IF($A324="","",SUMIF(tblAnahtarA[Norm],$A324,tblVeriA[ToplamTutar]))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IF($A324="","",IF($F324&gt;efd_esikFark,1,0))</f>
        <v/>
      </c>
      <c r="O324" s="17">
        <f>IF($A324="","",IF($G324="eslesti",$D324,0))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IF($A325="","",SUMIF(tblAnahtarB[NormB],$A325,tblVeriB[BeklenenTutar]))</f>
        <v/>
      </c>
      <c r="D325" s="17">
        <f>IF($A325="","",SUMIF(tblAnahtarA[Norm],$A325,tblVeriA[ToplamTutar]))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IF($A325="","",IF($F325&gt;efd_esikFark,1,0))</f>
        <v/>
      </c>
      <c r="O325" s="17">
        <f>IF($A325="","",IF($G325="eslesti",$D325,0))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IF($A326="","",SUMIF(tblAnahtarB[NormB],$A326,tblVeriB[BeklenenTutar]))</f>
        <v/>
      </c>
      <c r="D326" s="17">
        <f>IF($A326="","",SUMIF(tblAnahtarA[Norm],$A326,tblVeriA[ToplamTutar]))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IF($A326="","",IF($F326&gt;efd_esikFark,1,0))</f>
        <v/>
      </c>
      <c r="O326" s="17">
        <f>IF($A326="","",IF($G326="eslesti",$D326,0))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IF($A327="","",SUMIF(tblAnahtarB[NormB],$A327,tblVeriB[BeklenenTutar]))</f>
        <v/>
      </c>
      <c r="D327" s="17">
        <f>IF($A327="","",SUMIF(tblAnahtarA[Norm],$A327,tblVeriA[ToplamTutar]))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IF($A327="","",IF($F327&gt;efd_esikFark,1,0))</f>
        <v/>
      </c>
      <c r="O327" s="17">
        <f>IF($A327="","",IF($G327="eslesti",$D327,0))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IF($A328="","",SUMIF(tblAnahtarB[NormB],$A328,tblVeriB[BeklenenTutar]))</f>
        <v/>
      </c>
      <c r="D328" s="17">
        <f>IF($A328="","",SUMIF(tblAnahtarA[Norm],$A328,tblVeriA[ToplamTutar]))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IF($A328="","",IF($F328&gt;efd_esikFark,1,0))</f>
        <v/>
      </c>
      <c r="O328" s="17">
        <f>IF($A328="","",IF($G328="eslesti",$D328,0))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IF($A329="","",SUMIF(tblAnahtarB[NormB],$A329,tblVeriB[BeklenenTutar]))</f>
        <v/>
      </c>
      <c r="D329" s="17">
        <f>IF($A329="","",SUMIF(tblAnahtarA[Norm],$A329,tblVeriA[ToplamTutar]))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IF($A329="","",IF($F329&gt;efd_esikFark,1,0))</f>
        <v/>
      </c>
      <c r="O329" s="17">
        <f>IF($A329="","",IF($G329="eslesti",$D329,0))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IF($A330="","",SUMIF(tblAnahtarB[NormB],$A330,tblVeriB[BeklenenTutar]))</f>
        <v/>
      </c>
      <c r="D330" s="17">
        <f>IF($A330="","",SUMIF(tblAnahtarA[Norm],$A330,tblVeriA[ToplamTutar]))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IF($A330="","",IF($F330&gt;efd_esikFark,1,0))</f>
        <v/>
      </c>
      <c r="O330" s="17">
        <f>IF($A330="","",IF($G330="eslesti",$D330,0))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IF($A331="","",SUMIF(tblAnahtarB[NormB],$A331,tblVeriB[BeklenenTutar]))</f>
        <v/>
      </c>
      <c r="D331" s="17">
        <f>IF($A331="","",SUMIF(tblAnahtarA[Norm],$A331,tblVeriA[ToplamTutar]))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IF($A331="","",IF($F331&gt;efd_esikFark,1,0))</f>
        <v/>
      </c>
      <c r="O331" s="17">
        <f>IF($A331="","",IF($G331="eslesti",$D331,0))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IF($A332="","",SUMIF(tblAnahtarB[NormB],$A332,tblVeriB[BeklenenTutar]))</f>
        <v/>
      </c>
      <c r="D332" s="17">
        <f>IF($A332="","",SUMIF(tblAnahtarA[Norm],$A332,tblVeriA[ToplamTutar]))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IF($A332="","",IF($F332&gt;efd_esikFark,1,0))</f>
        <v/>
      </c>
      <c r="O332" s="17">
        <f>IF($A332="","",IF($G332="eslesti",$D332,0))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IF($A333="","",SUMIF(tblAnahtarB[NormB],$A333,tblVeriB[BeklenenTutar]))</f>
        <v/>
      </c>
      <c r="D333" s="17">
        <f>IF($A333="","",SUMIF(tblAnahtarA[Norm],$A333,tblVeriA[ToplamTutar]))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IF($A333="","",IF($F333&gt;efd_esikFark,1,0))</f>
        <v/>
      </c>
      <c r="O333" s="17">
        <f>IF($A333="","",IF($G333="eslesti",$D333,0))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IF($A334="","",SUMIF(tblAnahtarB[NormB],$A334,tblVeriB[BeklenenTutar]))</f>
        <v/>
      </c>
      <c r="D334" s="17">
        <f>IF($A334="","",SUMIF(tblAnahtarA[Norm],$A334,tblVeriA[ToplamTutar]))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IF($A334="","",IF($F334&gt;efd_esikFark,1,0))</f>
        <v/>
      </c>
      <c r="O334" s="17">
        <f>IF($A334="","",IF($G334="eslesti",$D334,0))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IF($A335="","",SUMIF(tblAnahtarB[NormB],$A335,tblVeriB[BeklenenTutar]))</f>
        <v/>
      </c>
      <c r="D335" s="17">
        <f>IF($A335="","",SUMIF(tblAnahtarA[Norm],$A335,tblVeriA[ToplamTutar]))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IF($A335="","",IF($F335&gt;efd_esikFark,1,0))</f>
        <v/>
      </c>
      <c r="O335" s="17">
        <f>IF($A335="","",IF($G335="eslesti",$D335,0))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IF($A336="","",SUMIF(tblAnahtarB[NormB],$A336,tblVeriB[BeklenenTutar]))</f>
        <v/>
      </c>
      <c r="D336" s="17">
        <f>IF($A336="","",SUMIF(tblAnahtarA[Norm],$A336,tblVeriA[ToplamTutar]))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IF($A336="","",IF($F336&gt;efd_esikFark,1,0))</f>
        <v/>
      </c>
      <c r="O336" s="17">
        <f>IF($A336="","",IF($G336="eslesti",$D336,0))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IF($A337="","",SUMIF(tblAnahtarB[NormB],$A337,tblVeriB[BeklenenTutar]))</f>
        <v/>
      </c>
      <c r="D337" s="17">
        <f>IF($A337="","",SUMIF(tblAnahtarA[Norm],$A337,tblVeriA[ToplamTutar]))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IF($A337="","",IF($F337&gt;efd_esikFark,1,0))</f>
        <v/>
      </c>
      <c r="O337" s="17">
        <f>IF($A337="","",IF($G337="eslesti",$D337,0))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IF($A338="","",SUMIF(tblAnahtarB[NormB],$A338,tblVeriB[BeklenenTutar]))</f>
        <v/>
      </c>
      <c r="D338" s="17">
        <f>IF($A338="","",SUMIF(tblAnahtarA[Norm],$A338,tblVeriA[ToplamTutar]))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IF($A338="","",IF($F338&gt;efd_esikFark,1,0))</f>
        <v/>
      </c>
      <c r="O338" s="17">
        <f>IF($A338="","",IF($G338="eslesti",$D338,0))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IF($A339="","",SUMIF(tblAnahtarB[NormB],$A339,tblVeriB[BeklenenTutar]))</f>
        <v/>
      </c>
      <c r="D339" s="17">
        <f>IF($A339="","",SUMIF(tblAnahtarA[Norm],$A339,tblVeriA[ToplamTutar]))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IF($A339="","",IF($F339&gt;efd_esikFark,1,0))</f>
        <v/>
      </c>
      <c r="O339" s="17">
        <f>IF($A339="","",IF($G339="eslesti",$D339,0))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IF($A340="","",SUMIF(tblAnahtarB[NormB],$A340,tblVeriB[BeklenenTutar]))</f>
        <v/>
      </c>
      <c r="D340" s="17">
        <f>IF($A340="","",SUMIF(tblAnahtarA[Norm],$A340,tblVeriA[ToplamTutar]))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IF($A340="","",IF($F340&gt;efd_esikFark,1,0))</f>
        <v/>
      </c>
      <c r="O340" s="17">
        <f>IF($A340="","",IF($G340="eslesti",$D340,0))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IF($A341="","",SUMIF(tblAnahtarB[NormB],$A341,tblVeriB[BeklenenTutar]))</f>
        <v/>
      </c>
      <c r="D341" s="17">
        <f>IF($A341="","",SUMIF(tblAnahtarA[Norm],$A341,tblVeriA[ToplamTutar]))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IF($A341="","",IF($F341&gt;efd_esikFark,1,0))</f>
        <v/>
      </c>
      <c r="O341" s="17">
        <f>IF($A341="","",IF($G341="eslesti",$D341,0))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IF($A342="","",SUMIF(tblAnahtarB[NormB],$A342,tblVeriB[BeklenenTutar]))</f>
        <v/>
      </c>
      <c r="D342" s="17">
        <f>IF($A342="","",SUMIF(tblAnahtarA[Norm],$A342,tblVeriA[ToplamTutar]))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IF($A342="","",IF($F342&gt;efd_esikFark,1,0))</f>
        <v/>
      </c>
      <c r="O342" s="17">
        <f>IF($A342="","",IF($G342="eslesti",$D342,0))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IF($A343="","",SUMIF(tblAnahtarB[NormB],$A343,tblVeriB[BeklenenTutar]))</f>
        <v/>
      </c>
      <c r="D343" s="17">
        <f>IF($A343="","",SUMIF(tblAnahtarA[Norm],$A343,tblVeriA[ToplamTutar]))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IF($A343="","",IF($F343&gt;efd_esikFark,1,0))</f>
        <v/>
      </c>
      <c r="O343" s="17">
        <f>IF($A343="","",IF($G343="eslesti",$D343,0))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IF($A344="","",SUMIF(tblAnahtarB[NormB],$A344,tblVeriB[BeklenenTutar]))</f>
        <v/>
      </c>
      <c r="D344" s="17">
        <f>IF($A344="","",SUMIF(tblAnahtarA[Norm],$A344,tblVeriA[ToplamTutar]))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IF($A344="","",IF($F344&gt;efd_esikFark,1,0))</f>
        <v/>
      </c>
      <c r="O344" s="17">
        <f>IF($A344="","",IF($G344="eslesti",$D344,0))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IF($A345="","",SUMIF(tblAnahtarB[NormB],$A345,tblVeriB[BeklenenTutar]))</f>
        <v/>
      </c>
      <c r="D345" s="17">
        <f>IF($A345="","",SUMIF(tblAnahtarA[Norm],$A345,tblVeriA[ToplamTutar]))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IF($A345="","",IF($F345&gt;efd_esikFark,1,0))</f>
        <v/>
      </c>
      <c r="O345" s="17">
        <f>IF($A345="","",IF($G345="eslesti",$D345,0))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IF($A346="","",SUMIF(tblAnahtarB[NormB],$A346,tblVeriB[BeklenenTutar]))</f>
        <v/>
      </c>
      <c r="D346" s="17">
        <f>IF($A346="","",SUMIF(tblAnahtarA[Norm],$A346,tblVeriA[ToplamTutar]))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IF($A346="","",IF($F346&gt;efd_esikFark,1,0))</f>
        <v/>
      </c>
      <c r="O346" s="17">
        <f>IF($A346="","",IF($G346="eslesti",$D346,0))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IF($A347="","",SUMIF(tblAnahtarB[NormB],$A347,tblVeriB[BeklenenTutar]))</f>
        <v/>
      </c>
      <c r="D347" s="17">
        <f>IF($A347="","",SUMIF(tblAnahtarA[Norm],$A347,tblVeriA[ToplamTutar]))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IF($A347="","",IF($F347&gt;efd_esikFark,1,0))</f>
        <v/>
      </c>
      <c r="O347" s="17">
        <f>IF($A347="","",IF($G347="eslesti",$D347,0))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IF($A348="","",SUMIF(tblAnahtarB[NormB],$A348,tblVeriB[BeklenenTutar]))</f>
        <v/>
      </c>
      <c r="D348" s="17">
        <f>IF($A348="","",SUMIF(tblAnahtarA[Norm],$A348,tblVeriA[ToplamTutar]))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IF($A348="","",IF($F348&gt;efd_esikFark,1,0))</f>
        <v/>
      </c>
      <c r="O348" s="17">
        <f>IF($A348="","",IF($G348="eslesti",$D348,0))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IF($A349="","",SUMIF(tblAnahtarB[NormB],$A349,tblVeriB[BeklenenTutar]))</f>
        <v/>
      </c>
      <c r="D349" s="17">
        <f>IF($A349="","",SUMIF(tblAnahtarA[Norm],$A349,tblVeriA[ToplamTutar]))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IF($A349="","",IF($F349&gt;efd_esikFark,1,0))</f>
        <v/>
      </c>
      <c r="O349" s="17">
        <f>IF($A349="","",IF($G349="eslesti",$D349,0))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IF($A350="","",SUMIF(tblAnahtarB[NormB],$A350,tblVeriB[BeklenenTutar]))</f>
        <v/>
      </c>
      <c r="D350" s="17">
        <f>IF($A350="","",SUMIF(tblAnahtarA[Norm],$A350,tblVeriA[ToplamTutar]))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IF($A350="","",IF($F350&gt;efd_esikFark,1,0))</f>
        <v/>
      </c>
      <c r="O350" s="17">
        <f>IF($A350="","",IF($G350="eslesti",$D350,0))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IF($A351="","",SUMIF(tblAnahtarB[NormB],$A351,tblVeriB[BeklenenTutar]))</f>
        <v/>
      </c>
      <c r="D351" s="17">
        <f>IF($A351="","",SUMIF(tblAnahtarA[Norm],$A351,tblVeriA[ToplamTutar]))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IF($A351="","",IF($F351&gt;efd_esikFark,1,0))</f>
        <v/>
      </c>
      <c r="O351" s="17">
        <f>IF($A351="","",IF($G351="eslesti",$D351,0))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IF($A352="","",SUMIF(tblAnahtarB[NormB],$A352,tblVeriB[BeklenenTutar]))</f>
        <v/>
      </c>
      <c r="D352" s="17">
        <f>IF($A352="","",SUMIF(tblAnahtarA[Norm],$A352,tblVeriA[ToplamTutar]))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IF($A352="","",IF($F352&gt;efd_esikFark,1,0))</f>
        <v/>
      </c>
      <c r="O352" s="17">
        <f>IF($A352="","",IF($G352="eslesti",$D352,0))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IF($A353="","",SUMIF(tblAnahtarB[NormB],$A353,tblVeriB[BeklenenTutar]))</f>
        <v/>
      </c>
      <c r="D353" s="17">
        <f>IF($A353="","",SUMIF(tblAnahtarA[Norm],$A353,tblVeriA[ToplamTutar]))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IF($A353="","",IF($F353&gt;efd_esikFark,1,0))</f>
        <v/>
      </c>
      <c r="O353" s="17">
        <f>IF($A353="","",IF($G353="eslesti",$D353,0))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IF($A354="","",SUMIF(tblAnahtarB[NormB],$A354,tblVeriB[BeklenenTutar]))</f>
        <v/>
      </c>
      <c r="D354" s="17">
        <f>IF($A354="","",SUMIF(tblAnahtarA[Norm],$A354,tblVeriA[ToplamTutar]))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IF($A354="","",IF($F354&gt;efd_esikFark,1,0))</f>
        <v/>
      </c>
      <c r="O354" s="17">
        <f>IF($A354="","",IF($G354="eslesti",$D354,0))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IF($A355="","",SUMIF(tblAnahtarB[NormB],$A355,tblVeriB[BeklenenTutar]))</f>
        <v/>
      </c>
      <c r="D355" s="17">
        <f>IF($A355="","",SUMIF(tblAnahtarA[Norm],$A355,tblVeriA[ToplamTutar]))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IF($A355="","",IF($F355&gt;efd_esikFark,1,0))</f>
        <v/>
      </c>
      <c r="O355" s="17">
        <f>IF($A355="","",IF($G355="eslesti",$D355,0))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IF($A356="","",SUMIF(tblAnahtarB[NormB],$A356,tblVeriB[BeklenenTutar]))</f>
        <v/>
      </c>
      <c r="D356" s="17">
        <f>IF($A356="","",SUMIF(tblAnahtarA[Norm],$A356,tblVeriA[ToplamTutar]))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IF($A356="","",IF($F356&gt;efd_esikFark,1,0))</f>
        <v/>
      </c>
      <c r="O356" s="17">
        <f>IF($A356="","",IF($G356="eslesti",$D356,0))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IF($A357="","",SUMIF(tblAnahtarB[NormB],$A357,tblVeriB[BeklenenTutar]))</f>
        <v/>
      </c>
      <c r="D357" s="17">
        <f>IF($A357="","",SUMIF(tblAnahtarA[Norm],$A357,tblVeriA[ToplamTutar]))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IF($A357="","",IF($F357&gt;efd_esikFark,1,0))</f>
        <v/>
      </c>
      <c r="O357" s="17">
        <f>IF($A357="","",IF($G357="eslesti",$D357,0))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IF($A358="","",SUMIF(tblAnahtarB[NormB],$A358,tblVeriB[BeklenenTutar]))</f>
        <v/>
      </c>
      <c r="D358" s="17">
        <f>IF($A358="","",SUMIF(tblAnahtarA[Norm],$A358,tblVeriA[ToplamTutar]))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IF($A358="","",IF($F358&gt;efd_esikFark,1,0))</f>
        <v/>
      </c>
      <c r="O358" s="17">
        <f>IF($A358="","",IF($G358="eslesti",$D358,0))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IF($A359="","",SUMIF(tblAnahtarB[NormB],$A359,tblVeriB[BeklenenTutar]))</f>
        <v/>
      </c>
      <c r="D359" s="17">
        <f>IF($A359="","",SUMIF(tblAnahtarA[Norm],$A359,tblVeriA[ToplamTutar]))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IF($A359="","",IF($F359&gt;efd_esikFark,1,0))</f>
        <v/>
      </c>
      <c r="O359" s="17">
        <f>IF($A359="","",IF($G359="eslesti",$D359,0))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IF($A360="","",SUMIF(tblAnahtarB[NormB],$A360,tblVeriB[BeklenenTutar]))</f>
        <v/>
      </c>
      <c r="D360" s="17">
        <f>IF($A360="","",SUMIF(tblAnahtarA[Norm],$A360,tblVeriA[ToplamTutar]))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IF($A360="","",IF($F360&gt;efd_esikFark,1,0))</f>
        <v/>
      </c>
      <c r="O360" s="17">
        <f>IF($A360="","",IF($G360="eslesti",$D360,0))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IF($A361="","",SUMIF(tblAnahtarB[NormB],$A361,tblVeriB[BeklenenTutar]))</f>
        <v/>
      </c>
      <c r="D361" s="17">
        <f>IF($A361="","",SUMIF(tblAnahtarA[Norm],$A361,tblVeriA[ToplamTutar]))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IF($A361="","",IF($F361&gt;efd_esikFark,1,0))</f>
        <v/>
      </c>
      <c r="O361" s="17">
        <f>IF($A361="","",IF($G361="eslesti",$D361,0))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IF($A362="","",SUMIF(tblAnahtarB[NormB],$A362,tblVeriB[BeklenenTutar]))</f>
        <v/>
      </c>
      <c r="D362" s="17">
        <f>IF($A362="","",SUMIF(tblAnahtarA[Norm],$A362,tblVeriA[ToplamTutar]))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IF($A362="","",IF($F362&gt;efd_esikFark,1,0))</f>
        <v/>
      </c>
      <c r="O362" s="17">
        <f>IF($A362="","",IF($G362="eslesti",$D362,0))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IF($A363="","",SUMIF(tblAnahtarB[NormB],$A363,tblVeriB[BeklenenTutar]))</f>
        <v/>
      </c>
      <c r="D363" s="17">
        <f>IF($A363="","",SUMIF(tblAnahtarA[Norm],$A363,tblVeriA[ToplamTutar]))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IF($A363="","",IF($F363&gt;efd_esikFark,1,0))</f>
        <v/>
      </c>
      <c r="O363" s="17">
        <f>IF($A363="","",IF($G363="eslesti",$D363,0))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IF($A364="","",SUMIF(tblAnahtarB[NormB],$A364,tblVeriB[BeklenenTutar]))</f>
        <v/>
      </c>
      <c r="D364" s="17">
        <f>IF($A364="","",SUMIF(tblAnahtarA[Norm],$A364,tblVeriA[ToplamTutar]))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IF($A364="","",IF($F364&gt;efd_esikFark,1,0))</f>
        <v/>
      </c>
      <c r="O364" s="17">
        <f>IF($A364="","",IF($G364="eslesti",$D364,0))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IF($A365="","",SUMIF(tblAnahtarB[NormB],$A365,tblVeriB[BeklenenTutar]))</f>
        <v/>
      </c>
      <c r="D365" s="17">
        <f>IF($A365="","",SUMIF(tblAnahtarA[Norm],$A365,tblVeriA[ToplamTutar]))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IF($A365="","",IF($F365&gt;efd_esikFark,1,0))</f>
        <v/>
      </c>
      <c r="O365" s="17">
        <f>IF($A365="","",IF($G365="eslesti",$D365,0))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IF($A366="","",SUMIF(tblAnahtarB[NormB],$A366,tblVeriB[BeklenenTutar]))</f>
        <v/>
      </c>
      <c r="D366" s="17">
        <f>IF($A366="","",SUMIF(tblAnahtarA[Norm],$A366,tblVeriA[ToplamTutar]))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IF($A366="","",IF($F366&gt;efd_esikFark,1,0))</f>
        <v/>
      </c>
      <c r="O366" s="17">
        <f>IF($A366="","",IF($G366="eslesti",$D366,0))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IF($A367="","",SUMIF(tblAnahtarB[NormB],$A367,tblVeriB[BeklenenTutar]))</f>
        <v/>
      </c>
      <c r="D367" s="17">
        <f>IF($A367="","",SUMIF(tblAnahtarA[Norm],$A367,tblVeriA[ToplamTutar]))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IF($A367="","",IF($F367&gt;efd_esikFark,1,0))</f>
        <v/>
      </c>
      <c r="O367" s="17">
        <f>IF($A367="","",IF($G367="eslesti",$D367,0))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IF($A368="","",SUMIF(tblAnahtarB[NormB],$A368,tblVeriB[BeklenenTutar]))</f>
        <v/>
      </c>
      <c r="D368" s="17">
        <f>IF($A368="","",SUMIF(tblAnahtarA[Norm],$A368,tblVeriA[ToplamTutar]))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IF($A368="","",IF($F368&gt;efd_esikFark,1,0))</f>
        <v/>
      </c>
      <c r="O368" s="17">
        <f>IF($A368="","",IF($G368="eslesti",$D368,0))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IF($A369="","",SUMIF(tblAnahtarB[NormB],$A369,tblVeriB[BeklenenTutar]))</f>
        <v/>
      </c>
      <c r="D369" s="17">
        <f>IF($A369="","",SUMIF(tblAnahtarA[Norm],$A369,tblVeriA[ToplamTutar]))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IF($A369="","",IF($F369&gt;efd_esikFark,1,0))</f>
        <v/>
      </c>
      <c r="O369" s="17">
        <f>IF($A369="","",IF($G369="eslesti",$D369,0))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IF($A370="","",SUMIF(tblAnahtarB[NormB],$A370,tblVeriB[BeklenenTutar]))</f>
        <v/>
      </c>
      <c r="D370" s="17">
        <f>IF($A370="","",SUMIF(tblAnahtarA[Norm],$A370,tblVeriA[ToplamTutar]))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IF($A370="","",IF($F370&gt;efd_esikFark,1,0))</f>
        <v/>
      </c>
      <c r="O370" s="17">
        <f>IF($A370="","",IF($G370="eslesti",$D370,0))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IF($A371="","",SUMIF(tblAnahtarB[NormB],$A371,tblVeriB[BeklenenTutar]))</f>
        <v/>
      </c>
      <c r="D371" s="17">
        <f>IF($A371="","",SUMIF(tblAnahtarA[Norm],$A371,tblVeriA[ToplamTutar]))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IF($A371="","",IF($F371&gt;efd_esikFark,1,0))</f>
        <v/>
      </c>
      <c r="O371" s="17">
        <f>IF($A371="","",IF($G371="eslesti",$D371,0))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IF($A372="","",SUMIF(tblAnahtarB[NormB],$A372,tblVeriB[BeklenenTutar]))</f>
        <v/>
      </c>
      <c r="D372" s="17">
        <f>IF($A372="","",SUMIF(tblAnahtarA[Norm],$A372,tblVeriA[ToplamTutar]))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IF($A372="","",IF($F372&gt;efd_esikFark,1,0))</f>
        <v/>
      </c>
      <c r="O372" s="17">
        <f>IF($A372="","",IF($G372="eslesti",$D372,0))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IF($A373="","",SUMIF(tblAnahtarB[NormB],$A373,tblVeriB[BeklenenTutar]))</f>
        <v/>
      </c>
      <c r="D373" s="17">
        <f>IF($A373="","",SUMIF(tblAnahtarA[Norm],$A373,tblVeriA[ToplamTutar]))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IF($A373="","",IF($F373&gt;efd_esikFark,1,0))</f>
        <v/>
      </c>
      <c r="O373" s="17">
        <f>IF($A373="","",IF($G373="eslesti",$D373,0))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IF($A374="","",SUMIF(tblAnahtarB[NormB],$A374,tblVeriB[BeklenenTutar]))</f>
        <v/>
      </c>
      <c r="D374" s="17">
        <f>IF($A374="","",SUMIF(tblAnahtarA[Norm],$A374,tblVeriA[ToplamTutar]))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IF($A374="","",IF($F374&gt;efd_esikFark,1,0))</f>
        <v/>
      </c>
      <c r="O374" s="17">
        <f>IF($A374="","",IF($G374="eslesti",$D374,0))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IF($A375="","",SUMIF(tblAnahtarB[NormB],$A375,tblVeriB[BeklenenTutar]))</f>
        <v/>
      </c>
      <c r="D375" s="17">
        <f>IF($A375="","",SUMIF(tblAnahtarA[Norm],$A375,tblVeriA[ToplamTutar]))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IF($A375="","",IF($F375&gt;efd_esikFark,1,0))</f>
        <v/>
      </c>
      <c r="O375" s="17">
        <f>IF($A375="","",IF($G375="eslesti",$D375,0))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IF($A376="","",SUMIF(tblAnahtarB[NormB],$A376,tblVeriB[BeklenenTutar]))</f>
        <v/>
      </c>
      <c r="D376" s="17">
        <f>IF($A376="","",SUMIF(tblAnahtarA[Norm],$A376,tblVeriA[ToplamTutar]))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IF($A376="","",IF($F376&gt;efd_esikFark,1,0))</f>
        <v/>
      </c>
      <c r="O376" s="17">
        <f>IF($A376="","",IF($G376="eslesti",$D376,0))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IF($A377="","",SUMIF(tblAnahtarB[NormB],$A377,tblVeriB[BeklenenTutar]))</f>
        <v/>
      </c>
      <c r="D377" s="17">
        <f>IF($A377="","",SUMIF(tblAnahtarA[Norm],$A377,tblVeriA[ToplamTutar]))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IF($A377="","",IF($F377&gt;efd_esikFark,1,0))</f>
        <v/>
      </c>
      <c r="O377" s="17">
        <f>IF($A377="","",IF($G377="eslesti",$D377,0))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IF($A378="","",SUMIF(tblAnahtarB[NormB],$A378,tblVeriB[BeklenenTutar]))</f>
        <v/>
      </c>
      <c r="D378" s="17">
        <f>IF($A378="","",SUMIF(tblAnahtarA[Norm],$A378,tblVeriA[ToplamTutar]))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IF($A378="","",IF($F378&gt;efd_esikFark,1,0))</f>
        <v/>
      </c>
      <c r="O378" s="17">
        <f>IF($A378="","",IF($G378="eslesti",$D378,0))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IF($A379="","",SUMIF(tblAnahtarB[NormB],$A379,tblVeriB[BeklenenTutar]))</f>
        <v/>
      </c>
      <c r="D379" s="17">
        <f>IF($A379="","",SUMIF(tblAnahtarA[Norm],$A379,tblVeriA[ToplamTutar]))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IF($A379="","",IF($F379&gt;efd_esikFark,1,0))</f>
        <v/>
      </c>
      <c r="O379" s="17">
        <f>IF($A379="","",IF($G379="eslesti",$D379,0))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IF($A380="","",SUMIF(tblAnahtarB[NormB],$A380,tblVeriB[BeklenenTutar]))</f>
        <v/>
      </c>
      <c r="D380" s="17">
        <f>IF($A380="","",SUMIF(tblAnahtarA[Norm],$A380,tblVeriA[ToplamTutar]))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IF($A380="","",IF($F380&gt;efd_esikFark,1,0))</f>
        <v/>
      </c>
      <c r="O380" s="17">
        <f>IF($A380="","",IF($G380="eslesti",$D380,0))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IF($A381="","",SUMIF(tblAnahtarB[NormB],$A381,tblVeriB[BeklenenTutar]))</f>
        <v/>
      </c>
      <c r="D381" s="17">
        <f>IF($A381="","",SUMIF(tblAnahtarA[Norm],$A381,tblVeriA[ToplamTutar]))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IF($A381="","",IF($F381&gt;efd_esikFark,1,0))</f>
        <v/>
      </c>
      <c r="O381" s="17">
        <f>IF($A381="","",IF($G381="eslesti",$D381,0))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IF($A382="","",SUMIF(tblAnahtarB[NormB],$A382,tblVeriB[BeklenenTutar]))</f>
        <v/>
      </c>
      <c r="D382" s="17">
        <f>IF($A382="","",SUMIF(tblAnahtarA[Norm],$A382,tblVeriA[ToplamTutar]))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IF($A382="","",IF($F382&gt;efd_esikFark,1,0))</f>
        <v/>
      </c>
      <c r="O382" s="17">
        <f>IF($A382="","",IF($G382="eslesti",$D382,0))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IF($A383="","",SUMIF(tblAnahtarB[NormB],$A383,tblVeriB[BeklenenTutar]))</f>
        <v/>
      </c>
      <c r="D383" s="17">
        <f>IF($A383="","",SUMIF(tblAnahtarA[Norm],$A383,tblVeriA[ToplamTutar]))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IF($A383="","",IF($F383&gt;efd_esikFark,1,0))</f>
        <v/>
      </c>
      <c r="O383" s="17">
        <f>IF($A383="","",IF($G383="eslesti",$D383,0))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IF($A384="","",SUMIF(tblAnahtarB[NormB],$A384,tblVeriB[BeklenenTutar]))</f>
        <v/>
      </c>
      <c r="D384" s="17">
        <f>IF($A384="","",SUMIF(tblAnahtarA[Norm],$A384,tblVeriA[ToplamTutar]))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IF($A384="","",IF($F384&gt;efd_esikFark,1,0))</f>
        <v/>
      </c>
      <c r="O384" s="17">
        <f>IF($A384="","",IF($G384="eslesti",$D384,0))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IF($A385="","",SUMIF(tblAnahtarB[NormB],$A385,tblVeriB[BeklenenTutar]))</f>
        <v/>
      </c>
      <c r="D385" s="17">
        <f>IF($A385="","",SUMIF(tblAnahtarA[Norm],$A385,tblVeriA[ToplamTutar]))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IF($A385="","",IF($F385&gt;efd_esikFark,1,0))</f>
        <v/>
      </c>
      <c r="O385" s="17">
        <f>IF($A385="","",IF($G385="eslesti",$D385,0))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IF($A386="","",SUMIF(tblAnahtarB[NormB],$A386,tblVeriB[BeklenenTutar]))</f>
        <v/>
      </c>
      <c r="D386" s="17">
        <f>IF($A386="","",SUMIF(tblAnahtarA[Norm],$A386,tblVeriA[ToplamTutar]))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IF($A386="","",IF($F386&gt;efd_esikFark,1,0))</f>
        <v/>
      </c>
      <c r="O386" s="17">
        <f>IF($A386="","",IF($G386="eslesti",$D386,0))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IF($A387="","",SUMIF(tblAnahtarB[NormB],$A387,tblVeriB[BeklenenTutar]))</f>
        <v/>
      </c>
      <c r="D387" s="17">
        <f>IF($A387="","",SUMIF(tblAnahtarA[Norm],$A387,tblVeriA[ToplamTutar]))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IF($A387="","",IF($F387&gt;efd_esikFark,1,0))</f>
        <v/>
      </c>
      <c r="O387" s="17">
        <f>IF($A387="","",IF($G387="eslesti",$D387,0))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IF($A388="","",SUMIF(tblAnahtarB[NormB],$A388,tblVeriB[BeklenenTutar]))</f>
        <v/>
      </c>
      <c r="D388" s="17">
        <f>IF($A388="","",SUMIF(tblAnahtarA[Norm],$A388,tblVeriA[ToplamTutar]))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IF($A388="","",IF($F388&gt;efd_esikFark,1,0))</f>
        <v/>
      </c>
      <c r="O388" s="17">
        <f>IF($A388="","",IF($G388="eslesti",$D388,0))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IF($A389="","",SUMIF(tblAnahtarB[NormB],$A389,tblVeriB[BeklenenTutar]))</f>
        <v/>
      </c>
      <c r="D389" s="17">
        <f>IF($A389="","",SUMIF(tblAnahtarA[Norm],$A389,tblVeriA[ToplamTutar]))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IF($A389="","",IF($F389&gt;efd_esikFark,1,0))</f>
        <v/>
      </c>
      <c r="O389" s="17">
        <f>IF($A389="","",IF($G389="eslesti",$D389,0))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IF($A390="","",SUMIF(tblAnahtarB[NormB],$A390,tblVeriB[BeklenenTutar]))</f>
        <v/>
      </c>
      <c r="D390" s="17">
        <f>IF($A390="","",SUMIF(tblAnahtarA[Norm],$A390,tblVeriA[ToplamTutar]))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IF($A390="","",IF($F390&gt;efd_esikFark,1,0))</f>
        <v/>
      </c>
      <c r="O390" s="17">
        <f>IF($A390="","",IF($G390="eslesti",$D390,0))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IF($A391="","",SUMIF(tblAnahtarB[NormB],$A391,tblVeriB[BeklenenTutar]))</f>
        <v/>
      </c>
      <c r="D391" s="17">
        <f>IF($A391="","",SUMIF(tblAnahtarA[Norm],$A391,tblVeriA[ToplamTutar]))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IF($A391="","",IF($F391&gt;efd_esikFark,1,0))</f>
        <v/>
      </c>
      <c r="O391" s="17">
        <f>IF($A391="","",IF($G391="eslesti",$D391,0))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IF($A392="","",SUMIF(tblAnahtarB[NormB],$A392,tblVeriB[BeklenenTutar]))</f>
        <v/>
      </c>
      <c r="D392" s="17">
        <f>IF($A392="","",SUMIF(tblAnahtarA[Norm],$A392,tblVeriA[ToplamTutar]))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IF($A392="","",IF($F392&gt;efd_esikFark,1,0))</f>
        <v/>
      </c>
      <c r="O392" s="17">
        <f>IF($A392="","",IF($G392="eslesti",$D392,0))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IF($A393="","",SUMIF(tblAnahtarB[NormB],$A393,tblVeriB[BeklenenTutar]))</f>
        <v/>
      </c>
      <c r="D393" s="17">
        <f>IF($A393="","",SUMIF(tblAnahtarA[Norm],$A393,tblVeriA[ToplamTutar]))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IF($A393="","",IF($F393&gt;efd_esikFark,1,0))</f>
        <v/>
      </c>
      <c r="O393" s="17">
        <f>IF($A393="","",IF($G393="eslesti",$D393,0))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IF($A394="","",SUMIF(tblAnahtarB[NormB],$A394,tblVeriB[BeklenenTutar]))</f>
        <v/>
      </c>
      <c r="D394" s="17">
        <f>IF($A394="","",SUMIF(tblAnahtarA[Norm],$A394,tblVeriA[ToplamTutar]))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IF($A394="","",IF($F394&gt;efd_esikFark,1,0))</f>
        <v/>
      </c>
      <c r="O394" s="17">
        <f>IF($A394="","",IF($G394="eslesti",$D394,0))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IF($A395="","",SUMIF(tblAnahtarB[NormB],$A395,tblVeriB[BeklenenTutar]))</f>
        <v/>
      </c>
      <c r="D395" s="17">
        <f>IF($A395="","",SUMIF(tblAnahtarA[Norm],$A395,tblVeriA[ToplamTutar]))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IF($A395="","",IF($F395&gt;efd_esikFark,1,0))</f>
        <v/>
      </c>
      <c r="O395" s="17">
        <f>IF($A395="","",IF($G395="eslesti",$D395,0))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IF($A396="","",SUMIF(tblAnahtarB[NormB],$A396,tblVeriB[BeklenenTutar]))</f>
        <v/>
      </c>
      <c r="D396" s="17">
        <f>IF($A396="","",SUMIF(tblAnahtarA[Norm],$A396,tblVeriA[ToplamTutar]))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IF($A396="","",IF($F396&gt;efd_esikFark,1,0))</f>
        <v/>
      </c>
      <c r="O396" s="17">
        <f>IF($A396="","",IF($G396="eslesti",$D396,0))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IF($A397="","",SUMIF(tblAnahtarB[NormB],$A397,tblVeriB[BeklenenTutar]))</f>
        <v/>
      </c>
      <c r="D397" s="17">
        <f>IF($A397="","",SUMIF(tblAnahtarA[Norm],$A397,tblVeriA[ToplamTutar]))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IF($A397="","",IF($F397&gt;efd_esikFark,1,0))</f>
        <v/>
      </c>
      <c r="O397" s="17">
        <f>IF($A397="","",IF($G397="eslesti",$D397,0))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IF($A398="","",SUMIF(tblAnahtarB[NormB],$A398,tblVeriB[BeklenenTutar]))</f>
        <v/>
      </c>
      <c r="D398" s="17">
        <f>IF($A398="","",SUMIF(tblAnahtarA[Norm],$A398,tblVeriA[ToplamTutar]))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IF($A398="","",IF($F398&gt;efd_esikFark,1,0))</f>
        <v/>
      </c>
      <c r="O398" s="17">
        <f>IF($A398="","",IF($G398="eslesti",$D398,0))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IF($A399="","",SUMIF(tblAnahtarB[NormB],$A399,tblVeriB[BeklenenTutar]))</f>
        <v/>
      </c>
      <c r="D399" s="17">
        <f>IF($A399="","",SUMIF(tblAnahtarA[Norm],$A399,tblVeriA[ToplamTutar]))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IF($A399="","",IF($F399&gt;efd_esikFark,1,0))</f>
        <v/>
      </c>
      <c r="O399" s="17">
        <f>IF($A399="","",IF($G399="eslesti",$D399,0))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IF($A400="","",SUMIF(tblAnahtarB[NormB],$A400,tblVeriB[BeklenenTutar]))</f>
        <v/>
      </c>
      <c r="D400" s="17">
        <f>IF($A400="","",SUMIF(tblAnahtarA[Norm],$A400,tblVeriA[ToplamTutar]))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IF($A400="","",IF($F400&gt;efd_esikFark,1,0))</f>
        <v/>
      </c>
      <c r="O400" s="17">
        <f>IF($A400="","",IF($G400="eslesti",$D400,0))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IF($A401="","",SUMIF(tblAnahtarB[NormB],$A401,tblVeriB[BeklenenTutar]))</f>
        <v/>
      </c>
      <c r="D401" s="17">
        <f>IF($A401="","",SUMIF(tblAnahtarA[Norm],$A401,tblVeriA[ToplamTutar]))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IF($A401="","",IF($F401&gt;efd_esikFark,1,0))</f>
        <v/>
      </c>
      <c r="O401" s="17">
        <f>IF($A401="","",IF($G401="eslesti",$D401,0))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IF($A402="","",SUMIF(tblAnahtarB[NormB],$A402,tblVeriB[BeklenenTutar]))</f>
        <v/>
      </c>
      <c r="D402" s="17">
        <f>IF($A402="","",SUMIF(tblAnahtarA[Norm],$A402,tblVeriA[ToplamTutar]))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IF($A402="","",IF($F402&gt;efd_esikFark,1,0))</f>
        <v/>
      </c>
      <c r="O402" s="17">
        <f>IF($A402="","",IF($G402="eslesti",$D402,0))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IF($A403="","",SUMIF(tblAnahtarB[NormB],$A403,tblVeriB[BeklenenTutar]))</f>
        <v/>
      </c>
      <c r="D403" s="17">
        <f>IF($A403="","",SUMIF(tblAnahtarA[Norm],$A403,tblVeriA[ToplamTutar]))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IF($A403="","",IF($F403&gt;efd_esikFark,1,0))</f>
        <v/>
      </c>
      <c r="O403" s="17">
        <f>IF($A403="","",IF($G403="eslesti",$D403,0))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IF($A404="","",SUMIF(tblAnahtarB[NormB],$A404,tblVeriB[BeklenenTutar]))</f>
        <v/>
      </c>
      <c r="D404" s="17">
        <f>IF($A404="","",SUMIF(tblAnahtarA[Norm],$A404,tblVeriA[ToplamTutar]))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IF($A404="","",IF($F404&gt;efd_esikFark,1,0))</f>
        <v/>
      </c>
      <c r="O404" s="17">
        <f>IF($A404="","",IF($G404="eslesti",$D404,0))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IF($A405="","",SUMIF(tblAnahtarB[NormB],$A405,tblVeriB[BeklenenTutar]))</f>
        <v/>
      </c>
      <c r="D405" s="17">
        <f>IF($A405="","",SUMIF(tblAnahtarA[Norm],$A405,tblVeriA[ToplamTutar]))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IF($A405="","",IF($F405&gt;efd_esikFark,1,0))</f>
        <v/>
      </c>
      <c r="O405" s="17">
        <f>IF($A405="","",IF($G405="eslesti",$D405,0))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IF($A406="","",SUMIF(tblAnahtarB[NormB],$A406,tblVeriB[BeklenenTutar]))</f>
        <v/>
      </c>
      <c r="D406" s="17">
        <f>IF($A406="","",SUMIF(tblAnahtarA[Norm],$A406,tblVeriA[ToplamTutar]))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IF($A406="","",IF($F406&gt;efd_esikFark,1,0))</f>
        <v/>
      </c>
      <c r="O406" s="17">
        <f>IF($A406="","",IF($G406="eslesti",$D406,0))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IF($A407="","",SUMIF(tblAnahtarB[NormB],$A407,tblVeriB[BeklenenTutar]))</f>
        <v/>
      </c>
      <c r="D407" s="17">
        <f>IF($A407="","",SUMIF(tblAnahtarA[Norm],$A407,tblVeriA[ToplamTutar]))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IF($A407="","",IF($F407&gt;efd_esikFark,1,0))</f>
        <v/>
      </c>
      <c r="O407" s="17">
        <f>IF($A407="","",IF($G407="eslesti",$D407,0))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IF($A408="","",SUMIF(tblAnahtarB[NormB],$A408,tblVeriB[BeklenenTutar]))</f>
        <v/>
      </c>
      <c r="D408" s="17">
        <f>IF($A408="","",SUMIF(tblAnahtarA[Norm],$A408,tblVeriA[ToplamTutar]))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IF($A408="","",IF($F408&gt;efd_esikFark,1,0))</f>
        <v/>
      </c>
      <c r="O408" s="17">
        <f>IF($A408="","",IF($G408="eslesti",$D408,0))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IF($A409="","",SUMIF(tblAnahtarB[NormB],$A409,tblVeriB[BeklenenTutar]))</f>
        <v/>
      </c>
      <c r="D409" s="17">
        <f>IF($A409="","",SUMIF(tblAnahtarA[Norm],$A409,tblVeriA[ToplamTutar]))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IF($A409="","",IF($F409&gt;efd_esikFark,1,0))</f>
        <v/>
      </c>
      <c r="O409" s="17">
        <f>IF($A409="","",IF($G409="eslesti",$D409,0))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IF($A410="","",SUMIF(tblAnahtarB[NormB],$A410,tblVeriB[BeklenenTutar]))</f>
        <v/>
      </c>
      <c r="D410" s="17">
        <f>IF($A410="","",SUMIF(tblAnahtarA[Norm],$A410,tblVeriA[ToplamTutar]))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IF($A410="","",IF($F410&gt;efd_esikFark,1,0))</f>
        <v/>
      </c>
      <c r="O410" s="17">
        <f>IF($A410="","",IF($G410="eslesti",$D410,0))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IF($A411="","",SUMIF(tblAnahtarB[NormB],$A411,tblVeriB[BeklenenTutar]))</f>
        <v/>
      </c>
      <c r="D411" s="17">
        <f>IF($A411="","",SUMIF(tblAnahtarA[Norm],$A411,tblVeriA[ToplamTutar]))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IF($A411="","",IF($F411&gt;efd_esikFark,1,0))</f>
        <v/>
      </c>
      <c r="O411" s="17">
        <f>IF($A411="","",IF($G411="eslesti",$D411,0))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IF($A412="","",SUMIF(tblAnahtarB[NormB],$A412,tblVeriB[BeklenenTutar]))</f>
        <v/>
      </c>
      <c r="D412" s="17">
        <f>IF($A412="","",SUMIF(tblAnahtarA[Norm],$A412,tblVeriA[ToplamTutar]))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IF($A412="","",IF($F412&gt;efd_esikFark,1,0))</f>
        <v/>
      </c>
      <c r="O412" s="17">
        <f>IF($A412="","",IF($G412="eslesti",$D412,0))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IF($A413="","",SUMIF(tblAnahtarB[NormB],$A413,tblVeriB[BeklenenTutar]))</f>
        <v/>
      </c>
      <c r="D413" s="17">
        <f>IF($A413="","",SUMIF(tblAnahtarA[Norm],$A413,tblVeriA[ToplamTutar]))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IF($A413="","",IF($F413&gt;efd_esikFark,1,0))</f>
        <v/>
      </c>
      <c r="O413" s="17">
        <f>IF($A413="","",IF($G413="eslesti",$D413,0))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IF($A414="","",SUMIF(tblAnahtarB[NormB],$A414,tblVeriB[BeklenenTutar]))</f>
        <v/>
      </c>
      <c r="D414" s="17">
        <f>IF($A414="","",SUMIF(tblAnahtarA[Norm],$A414,tblVeriA[ToplamTutar]))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IF($A414="","",IF($F414&gt;efd_esikFark,1,0))</f>
        <v/>
      </c>
      <c r="O414" s="17">
        <f>IF($A414="","",IF($G414="eslesti",$D414,0))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IF($A415="","",SUMIF(tblAnahtarB[NormB],$A415,tblVeriB[BeklenenTutar]))</f>
        <v/>
      </c>
      <c r="D415" s="17">
        <f>IF($A415="","",SUMIF(tblAnahtarA[Norm],$A415,tblVeriA[ToplamTutar]))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IF($A415="","",IF($F415&gt;efd_esikFark,1,0))</f>
        <v/>
      </c>
      <c r="O415" s="17">
        <f>IF($A415="","",IF($G415="eslesti",$D415,0))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IF($A416="","",SUMIF(tblAnahtarB[NormB],$A416,tblVeriB[BeklenenTutar]))</f>
        <v/>
      </c>
      <c r="D416" s="17">
        <f>IF($A416="","",SUMIF(tblAnahtarA[Norm],$A416,tblVeriA[ToplamTutar]))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IF($A416="","",IF($F416&gt;efd_esikFark,1,0))</f>
        <v/>
      </c>
      <c r="O416" s="17">
        <f>IF($A416="","",IF($G416="eslesti",$D416,0))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IF($A417="","",SUMIF(tblAnahtarB[NormB],$A417,tblVeriB[BeklenenTutar]))</f>
        <v/>
      </c>
      <c r="D417" s="17">
        <f>IF($A417="","",SUMIF(tblAnahtarA[Norm],$A417,tblVeriA[ToplamTutar]))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IF($A417="","",IF($F417&gt;efd_esikFark,1,0))</f>
        <v/>
      </c>
      <c r="O417" s="17">
        <f>IF($A417="","",IF($G417="eslesti",$D417,0))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IF($A418="","",SUMIF(tblAnahtarB[NormB],$A418,tblVeriB[BeklenenTutar]))</f>
        <v/>
      </c>
      <c r="D418" s="17">
        <f>IF($A418="","",SUMIF(tblAnahtarA[Norm],$A418,tblVeriA[ToplamTutar]))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IF($A418="","",IF($F418&gt;efd_esikFark,1,0))</f>
        <v/>
      </c>
      <c r="O418" s="17">
        <f>IF($A418="","",IF($G418="eslesti",$D418,0))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IF($A419="","",SUMIF(tblAnahtarB[NormB],$A419,tblVeriB[BeklenenTutar]))</f>
        <v/>
      </c>
      <c r="D419" s="17">
        <f>IF($A419="","",SUMIF(tblAnahtarA[Norm],$A419,tblVeriA[ToplamTutar]))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IF($A419="","",IF($F419&gt;efd_esikFark,1,0))</f>
        <v/>
      </c>
      <c r="O419" s="17">
        <f>IF($A419="","",IF($G419="eslesti",$D419,0))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IF($A420="","",SUMIF(tblAnahtarB[NormB],$A420,tblVeriB[BeklenenTutar]))</f>
        <v/>
      </c>
      <c r="D420" s="17">
        <f>IF($A420="","",SUMIF(tblAnahtarA[Norm],$A420,tblVeriA[ToplamTutar]))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IF($A420="","",IF($F420&gt;efd_esikFark,1,0))</f>
        <v/>
      </c>
      <c r="O420" s="17">
        <f>IF($A420="","",IF($G420="eslesti",$D420,0))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IF($A421="","",SUMIF(tblAnahtarB[NormB],$A421,tblVeriB[BeklenenTutar]))</f>
        <v/>
      </c>
      <c r="D421" s="17">
        <f>IF($A421="","",SUMIF(tblAnahtarA[Norm],$A421,tblVeriA[ToplamTutar]))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IF($A421="","",IF($F421&gt;efd_esikFark,1,0))</f>
        <v/>
      </c>
      <c r="O421" s="17">
        <f>IF($A421="","",IF($G421="eslesti",$D421,0))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IF($A422="","",SUMIF(tblAnahtarB[NormB],$A422,tblVeriB[BeklenenTutar]))</f>
        <v/>
      </c>
      <c r="D422" s="17">
        <f>IF($A422="","",SUMIF(tblAnahtarA[Norm],$A422,tblVeriA[ToplamTutar]))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IF($A422="","",IF($F422&gt;efd_esikFark,1,0))</f>
        <v/>
      </c>
      <c r="O422" s="17">
        <f>IF($A422="","",IF($G422="eslesti",$D422,0))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IF($A423="","",SUMIF(tblAnahtarB[NormB],$A423,tblVeriB[BeklenenTutar]))</f>
        <v/>
      </c>
      <c r="D423" s="17">
        <f>IF($A423="","",SUMIF(tblAnahtarA[Norm],$A423,tblVeriA[ToplamTutar]))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IF($A423="","",IF($F423&gt;efd_esikFark,1,0))</f>
        <v/>
      </c>
      <c r="O423" s="17">
        <f>IF($A423="","",IF($G423="eslesti",$D423,0))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IF($A424="","",SUMIF(tblAnahtarB[NormB],$A424,tblVeriB[BeklenenTutar]))</f>
        <v/>
      </c>
      <c r="D424" s="17">
        <f>IF($A424="","",SUMIF(tblAnahtarA[Norm],$A424,tblVeriA[ToplamTutar]))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IF($A424="","",IF($F424&gt;efd_esikFark,1,0))</f>
        <v/>
      </c>
      <c r="O424" s="17">
        <f>IF($A424="","",IF($G424="eslesti",$D424,0))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IF($A425="","",SUMIF(tblAnahtarB[NormB],$A425,tblVeriB[BeklenenTutar]))</f>
        <v/>
      </c>
      <c r="D425" s="17">
        <f>IF($A425="","",SUMIF(tblAnahtarA[Norm],$A425,tblVeriA[ToplamTutar]))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IF($A425="","",IF($F425&gt;efd_esikFark,1,0))</f>
        <v/>
      </c>
      <c r="O425" s="17">
        <f>IF($A425="","",IF($G425="eslesti",$D425,0))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IF($A426="","",SUMIF(tblAnahtarB[NormB],$A426,tblVeriB[BeklenenTutar]))</f>
        <v/>
      </c>
      <c r="D426" s="17">
        <f>IF($A426="","",SUMIF(tblAnahtarA[Norm],$A426,tblVeriA[ToplamTutar]))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IF($A426="","",IF($F426&gt;efd_esikFark,1,0))</f>
        <v/>
      </c>
      <c r="O426" s="17">
        <f>IF($A426="","",IF($G426="eslesti",$D426,0))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IF($A427="","",SUMIF(tblAnahtarB[NormB],$A427,tblVeriB[BeklenenTutar]))</f>
        <v/>
      </c>
      <c r="D427" s="17">
        <f>IF($A427="","",SUMIF(tblAnahtarA[Norm],$A427,tblVeriA[ToplamTutar]))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IF($A427="","",IF($F427&gt;efd_esikFark,1,0))</f>
        <v/>
      </c>
      <c r="O427" s="17">
        <f>IF($A427="","",IF($G427="eslesti",$D427,0))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IF($A428="","",SUMIF(tblAnahtarB[NormB],$A428,tblVeriB[BeklenenTutar]))</f>
        <v/>
      </c>
      <c r="D428" s="17">
        <f>IF($A428="","",SUMIF(tblAnahtarA[Norm],$A428,tblVeriA[ToplamTutar]))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IF($A428="","",IF($F428&gt;efd_esikFark,1,0))</f>
        <v/>
      </c>
      <c r="O428" s="17">
        <f>IF($A428="","",IF($G428="eslesti",$D428,0))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IF($A429="","",SUMIF(tblAnahtarB[NormB],$A429,tblVeriB[BeklenenTutar]))</f>
        <v/>
      </c>
      <c r="D429" s="17">
        <f>IF($A429="","",SUMIF(tblAnahtarA[Norm],$A429,tblVeriA[ToplamTutar]))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IF($A429="","",IF($F429&gt;efd_esikFark,1,0))</f>
        <v/>
      </c>
      <c r="O429" s="17">
        <f>IF($A429="","",IF($G429="eslesti",$D429,0))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IF($A430="","",SUMIF(tblAnahtarB[NormB],$A430,tblVeriB[BeklenenTutar]))</f>
        <v/>
      </c>
      <c r="D430" s="17">
        <f>IF($A430="","",SUMIF(tblAnahtarA[Norm],$A430,tblVeriA[ToplamTutar]))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IF($A430="","",IF($F430&gt;efd_esikFark,1,0))</f>
        <v/>
      </c>
      <c r="O430" s="17">
        <f>IF($A430="","",IF($G430="eslesti",$D430,0))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IF($A431="","",SUMIF(tblAnahtarB[NormB],$A431,tblVeriB[BeklenenTutar]))</f>
        <v/>
      </c>
      <c r="D431" s="17">
        <f>IF($A431="","",SUMIF(tblAnahtarA[Norm],$A431,tblVeriA[ToplamTutar]))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IF($A431="","",IF($F431&gt;efd_esikFark,1,0))</f>
        <v/>
      </c>
      <c r="O431" s="17">
        <f>IF($A431="","",IF($G431="eslesti",$D431,0))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IF($A432="","",SUMIF(tblAnahtarB[NormB],$A432,tblVeriB[BeklenenTutar]))</f>
        <v/>
      </c>
      <c r="D432" s="17">
        <f>IF($A432="","",SUMIF(tblAnahtarA[Norm],$A432,tblVeriA[ToplamTutar]))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IF($A432="","",IF($F432&gt;efd_esikFark,1,0))</f>
        <v/>
      </c>
      <c r="O432" s="17">
        <f>IF($A432="","",IF($G432="eslesti",$D432,0))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IF($A433="","",SUMIF(tblAnahtarB[NormB],$A433,tblVeriB[BeklenenTutar]))</f>
        <v/>
      </c>
      <c r="D433" s="17">
        <f>IF($A433="","",SUMIF(tblAnahtarA[Norm],$A433,tblVeriA[ToplamTutar]))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IF($A433="","",IF($F433&gt;efd_esikFark,1,0))</f>
        <v/>
      </c>
      <c r="O433" s="17">
        <f>IF($A433="","",IF($G433="eslesti",$D433,0))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IF($A434="","",SUMIF(tblAnahtarB[NormB],$A434,tblVeriB[BeklenenTutar]))</f>
        <v/>
      </c>
      <c r="D434" s="17">
        <f>IF($A434="","",SUMIF(tblAnahtarA[Norm],$A434,tblVeriA[ToplamTutar]))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IF($A434="","",IF($F434&gt;efd_esikFark,1,0))</f>
        <v/>
      </c>
      <c r="O434" s="17">
        <f>IF($A434="","",IF($G434="eslesti",$D434,0))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IF($A435="","",SUMIF(tblAnahtarB[NormB],$A435,tblVeriB[BeklenenTutar]))</f>
        <v/>
      </c>
      <c r="D435" s="17">
        <f>IF($A435="","",SUMIF(tblAnahtarA[Norm],$A435,tblVeriA[ToplamTutar]))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IF($A435="","",IF($F435&gt;efd_esikFark,1,0))</f>
        <v/>
      </c>
      <c r="O435" s="17">
        <f>IF($A435="","",IF($G435="eslesti",$D435,0))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IF($A436="","",SUMIF(tblAnahtarB[NormB],$A436,tblVeriB[BeklenenTutar]))</f>
        <v/>
      </c>
      <c r="D436" s="17">
        <f>IF($A436="","",SUMIF(tblAnahtarA[Norm],$A436,tblVeriA[ToplamTutar]))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IF($A436="","",IF($F436&gt;efd_esikFark,1,0))</f>
        <v/>
      </c>
      <c r="O436" s="17">
        <f>IF($A436="","",IF($G436="eslesti",$D436,0))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IF($A437="","",SUMIF(tblAnahtarB[NormB],$A437,tblVeriB[BeklenenTutar]))</f>
        <v/>
      </c>
      <c r="D437" s="17">
        <f>IF($A437="","",SUMIF(tblAnahtarA[Norm],$A437,tblVeriA[ToplamTutar]))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IF($A437="","",IF($F437&gt;efd_esikFark,1,0))</f>
        <v/>
      </c>
      <c r="O437" s="17">
        <f>IF($A437="","",IF($G437="eslesti",$D437,0))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IF($A438="","",SUMIF(tblAnahtarB[NormB],$A438,tblVeriB[BeklenenTutar]))</f>
        <v/>
      </c>
      <c r="D438" s="17">
        <f>IF($A438="","",SUMIF(tblAnahtarA[Norm],$A438,tblVeriA[ToplamTutar]))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IF($A438="","",IF($F438&gt;efd_esikFark,1,0))</f>
        <v/>
      </c>
      <c r="O438" s="17">
        <f>IF($A438="","",IF($G438="eslesti",$D438,0))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IF($A439="","",SUMIF(tblAnahtarB[NormB],$A439,tblVeriB[BeklenenTutar]))</f>
        <v/>
      </c>
      <c r="D439" s="17">
        <f>IF($A439="","",SUMIF(tblAnahtarA[Norm],$A439,tblVeriA[ToplamTutar]))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IF($A439="","",IF($F439&gt;efd_esikFark,1,0))</f>
        <v/>
      </c>
      <c r="O439" s="17">
        <f>IF($A439="","",IF($G439="eslesti",$D439,0))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IF($A440="","",SUMIF(tblAnahtarB[NormB],$A440,tblVeriB[BeklenenTutar]))</f>
        <v/>
      </c>
      <c r="D440" s="17">
        <f>IF($A440="","",SUMIF(tblAnahtarA[Norm],$A440,tblVeriA[ToplamTutar]))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IF($A440="","",IF($F440&gt;efd_esikFark,1,0))</f>
        <v/>
      </c>
      <c r="O440" s="17">
        <f>IF($A440="","",IF($G440="eslesti",$D440,0))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IF($A441="","",SUMIF(tblAnahtarB[NormB],$A441,tblVeriB[BeklenenTutar]))</f>
        <v/>
      </c>
      <c r="D441" s="17">
        <f>IF($A441="","",SUMIF(tblAnahtarA[Norm],$A441,tblVeriA[ToplamTutar]))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IF($A441="","",IF($F441&gt;efd_esikFark,1,0))</f>
        <v/>
      </c>
      <c r="O441" s="17">
        <f>IF($A441="","",IF($G441="eslesti",$D441,0))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IF($A442="","",SUMIF(tblAnahtarB[NormB],$A442,tblVeriB[BeklenenTutar]))</f>
        <v/>
      </c>
      <c r="D442" s="17">
        <f>IF($A442="","",SUMIF(tblAnahtarA[Norm],$A442,tblVeriA[ToplamTutar]))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IF($A442="","",IF($F442&gt;efd_esikFark,1,0))</f>
        <v/>
      </c>
      <c r="O442" s="17">
        <f>IF($A442="","",IF($G442="eslesti",$D442,0))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IF($A443="","",SUMIF(tblAnahtarB[NormB],$A443,tblVeriB[BeklenenTutar]))</f>
        <v/>
      </c>
      <c r="D443" s="17">
        <f>IF($A443="","",SUMIF(tblAnahtarA[Norm],$A443,tblVeriA[ToplamTutar]))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IF($A443="","",IF($F443&gt;efd_esikFark,1,0))</f>
        <v/>
      </c>
      <c r="O443" s="17">
        <f>IF($A443="","",IF($G443="eslesti",$D443,0))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IF($A444="","",SUMIF(tblAnahtarB[NormB],$A444,tblVeriB[BeklenenTutar]))</f>
        <v/>
      </c>
      <c r="D444" s="17">
        <f>IF($A444="","",SUMIF(tblAnahtarA[Norm],$A444,tblVeriA[ToplamTutar]))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IF($A444="","",IF($F444&gt;efd_esikFark,1,0))</f>
        <v/>
      </c>
      <c r="O444" s="17">
        <f>IF($A444="","",IF($G444="eslesti",$D444,0))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IF($A445="","",SUMIF(tblAnahtarB[NormB],$A445,tblVeriB[BeklenenTutar]))</f>
        <v/>
      </c>
      <c r="D445" s="17">
        <f>IF($A445="","",SUMIF(tblAnahtarA[Norm],$A445,tblVeriA[ToplamTutar]))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IF($A445="","",IF($F445&gt;efd_esikFark,1,0))</f>
        <v/>
      </c>
      <c r="O445" s="17">
        <f>IF($A445="","",IF($G445="eslesti",$D445,0))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IF($A446="","",SUMIF(tblAnahtarB[NormB],$A446,tblVeriB[BeklenenTutar]))</f>
        <v/>
      </c>
      <c r="D446" s="17">
        <f>IF($A446="","",SUMIF(tblAnahtarA[Norm],$A446,tblVeriA[ToplamTutar]))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IF($A446="","",IF($F446&gt;efd_esikFark,1,0))</f>
        <v/>
      </c>
      <c r="O446" s="17">
        <f>IF($A446="","",IF($G446="eslesti",$D446,0))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IF($A447="","",SUMIF(tblAnahtarB[NormB],$A447,tblVeriB[BeklenenTutar]))</f>
        <v/>
      </c>
      <c r="D447" s="17">
        <f>IF($A447="","",SUMIF(tblAnahtarA[Norm],$A447,tblVeriA[ToplamTutar]))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IF($A447="","",IF($F447&gt;efd_esikFark,1,0))</f>
        <v/>
      </c>
      <c r="O447" s="17">
        <f>IF($A447="","",IF($G447="eslesti",$D447,0))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IF($A448="","",SUMIF(tblAnahtarB[NormB],$A448,tblVeriB[BeklenenTutar]))</f>
        <v/>
      </c>
      <c r="D448" s="17">
        <f>IF($A448="","",SUMIF(tblAnahtarA[Norm],$A448,tblVeriA[ToplamTutar]))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IF($A448="","",IF($F448&gt;efd_esikFark,1,0))</f>
        <v/>
      </c>
      <c r="O448" s="17">
        <f>IF($A448="","",IF($G448="eslesti",$D448,0))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IF($A449="","",SUMIF(tblAnahtarB[NormB],$A449,tblVeriB[BeklenenTutar]))</f>
        <v/>
      </c>
      <c r="D449" s="17">
        <f>IF($A449="","",SUMIF(tblAnahtarA[Norm],$A449,tblVeriA[ToplamTutar]))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IF($A449="","",IF($F449&gt;efd_esikFark,1,0))</f>
        <v/>
      </c>
      <c r="O449" s="17">
        <f>IF($A449="","",IF($G449="eslesti",$D449,0))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IF($A450="","",SUMIF(tblAnahtarB[NormB],$A450,tblVeriB[BeklenenTutar]))</f>
        <v/>
      </c>
      <c r="D450" s="17">
        <f>IF($A450="","",SUMIF(tblAnahtarA[Norm],$A450,tblVeriA[ToplamTutar]))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IF($A450="","",IF($F450&gt;efd_esikFark,1,0))</f>
        <v/>
      </c>
      <c r="O450" s="17">
        <f>IF($A450="","",IF($G450="eslesti",$D450,0))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IF($A451="","",SUMIF(tblAnahtarB[NormB],$A451,tblVeriB[BeklenenTutar]))</f>
        <v/>
      </c>
      <c r="D451" s="17">
        <f>IF($A451="","",SUMIF(tblAnahtarA[Norm],$A451,tblVeriA[ToplamTutar]))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IF($A451="","",IF($F451&gt;efd_esikFark,1,0))</f>
        <v/>
      </c>
      <c r="O451" s="17">
        <f>IF($A451="","",IF($G451="eslesti",$D451,0))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IF($A452="","",SUMIF(tblAnahtarB[NormB],$A452,tblVeriB[BeklenenTutar]))</f>
        <v/>
      </c>
      <c r="D452" s="17">
        <f>IF($A452="","",SUMIF(tblAnahtarA[Norm],$A452,tblVeriA[ToplamTutar]))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IF($A452="","",IF($F452&gt;efd_esikFark,1,0))</f>
        <v/>
      </c>
      <c r="O452" s="17">
        <f>IF($A452="","",IF($G452="eslesti",$D452,0))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IF($A453="","",SUMIF(tblAnahtarB[NormB],$A453,tblVeriB[BeklenenTutar]))</f>
        <v/>
      </c>
      <c r="D453" s="17">
        <f>IF($A453="","",SUMIF(tblAnahtarA[Norm],$A453,tblVeriA[ToplamTutar]))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IF($A453="","",IF($F453&gt;efd_esikFark,1,0))</f>
        <v/>
      </c>
      <c r="O453" s="17">
        <f>IF($A453="","",IF($G453="eslesti",$D453,0))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IF($A454="","",SUMIF(tblAnahtarB[NormB],$A454,tblVeriB[BeklenenTutar]))</f>
        <v/>
      </c>
      <c r="D454" s="17">
        <f>IF($A454="","",SUMIF(tblAnahtarA[Norm],$A454,tblVeriA[ToplamTutar]))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IF($A454="","",IF($F454&gt;efd_esikFark,1,0))</f>
        <v/>
      </c>
      <c r="O454" s="17">
        <f>IF($A454="","",IF($G454="eslesti",$D454,0))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IF($A455="","",SUMIF(tblAnahtarB[NormB],$A455,tblVeriB[BeklenenTutar]))</f>
        <v/>
      </c>
      <c r="D455" s="17">
        <f>IF($A455="","",SUMIF(tblAnahtarA[Norm],$A455,tblVeriA[ToplamTutar]))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IF($A455="","",IF($F455&gt;efd_esikFark,1,0))</f>
        <v/>
      </c>
      <c r="O455" s="17">
        <f>IF($A455="","",IF($G455="eslesti",$D455,0))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IF($A456="","",SUMIF(tblAnahtarB[NormB],$A456,tblVeriB[BeklenenTutar]))</f>
        <v/>
      </c>
      <c r="D456" s="17">
        <f>IF($A456="","",SUMIF(tblAnahtarA[Norm],$A456,tblVeriA[ToplamTutar]))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IF($A456="","",IF($F456&gt;efd_esikFark,1,0))</f>
        <v/>
      </c>
      <c r="O456" s="17">
        <f>IF($A456="","",IF($G456="eslesti",$D456,0))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IF($A457="","",SUMIF(tblAnahtarB[NormB],$A457,tblVeriB[BeklenenTutar]))</f>
        <v/>
      </c>
      <c r="D457" s="17">
        <f>IF($A457="","",SUMIF(tblAnahtarA[Norm],$A457,tblVeriA[ToplamTutar]))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IF($A457="","",IF($F457&gt;efd_esikFark,1,0))</f>
        <v/>
      </c>
      <c r="O457" s="17">
        <f>IF($A457="","",IF($G457="eslesti",$D457,0))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IF($A458="","",SUMIF(tblAnahtarB[NormB],$A458,tblVeriB[BeklenenTutar]))</f>
        <v/>
      </c>
      <c r="D458" s="17">
        <f>IF($A458="","",SUMIF(tblAnahtarA[Norm],$A458,tblVeriA[ToplamTutar]))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IF($A458="","",IF($F458&gt;efd_esikFark,1,0))</f>
        <v/>
      </c>
      <c r="O458" s="17">
        <f>IF($A458="","",IF($G458="eslesti",$D458,0))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IF($A459="","",SUMIF(tblAnahtarB[NormB],$A459,tblVeriB[BeklenenTutar]))</f>
        <v/>
      </c>
      <c r="D459" s="17">
        <f>IF($A459="","",SUMIF(tblAnahtarA[Norm],$A459,tblVeriA[ToplamTutar]))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IF($A459="","",IF($F459&gt;efd_esikFark,1,0))</f>
        <v/>
      </c>
      <c r="O459" s="17">
        <f>IF($A459="","",IF($G459="eslesti",$D459,0))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IF($A460="","",SUMIF(tblAnahtarB[NormB],$A460,tblVeriB[BeklenenTutar]))</f>
        <v/>
      </c>
      <c r="D460" s="17">
        <f>IF($A460="","",SUMIF(tblAnahtarA[Norm],$A460,tblVeriA[ToplamTutar]))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IF($A460="","",IF($F460&gt;efd_esikFark,1,0))</f>
        <v/>
      </c>
      <c r="O460" s="17">
        <f>IF($A460="","",IF($G460="eslesti",$D460,0))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IF($A461="","",SUMIF(tblAnahtarB[NormB],$A461,tblVeriB[BeklenenTutar]))</f>
        <v/>
      </c>
      <c r="D461" s="17">
        <f>IF($A461="","",SUMIF(tblAnahtarA[Norm],$A461,tblVeriA[ToplamTutar]))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IF($A461="","",IF($F461&gt;efd_esikFark,1,0))</f>
        <v/>
      </c>
      <c r="O461" s="17">
        <f>IF($A461="","",IF($G461="eslesti",$D461,0))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IF($A462="","",SUMIF(tblAnahtarB[NormB],$A462,tblVeriB[BeklenenTutar]))</f>
        <v/>
      </c>
      <c r="D462" s="17">
        <f>IF($A462="","",SUMIF(tblAnahtarA[Norm],$A462,tblVeriA[ToplamTutar]))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IF($A462="","",IF($F462&gt;efd_esikFark,1,0))</f>
        <v/>
      </c>
      <c r="O462" s="17">
        <f>IF($A462="","",IF($G462="eslesti",$D462,0))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IF($A463="","",SUMIF(tblAnahtarB[NormB],$A463,tblVeriB[BeklenenTutar]))</f>
        <v/>
      </c>
      <c r="D463" s="17">
        <f>IF($A463="","",SUMIF(tblAnahtarA[Norm],$A463,tblVeriA[ToplamTutar]))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IF($A463="","",IF($F463&gt;efd_esikFark,1,0))</f>
        <v/>
      </c>
      <c r="O463" s="17">
        <f>IF($A463="","",IF($G463="eslesti",$D463,0))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IF($A464="","",SUMIF(tblAnahtarB[NormB],$A464,tblVeriB[BeklenenTutar]))</f>
        <v/>
      </c>
      <c r="D464" s="17">
        <f>IF($A464="","",SUMIF(tblAnahtarA[Norm],$A464,tblVeriA[ToplamTutar]))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IF($A464="","",IF($F464&gt;efd_esikFark,1,0))</f>
        <v/>
      </c>
      <c r="O464" s="17">
        <f>IF($A464="","",IF($G464="eslesti",$D464,0))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IF($A465="","",SUMIF(tblAnahtarB[NormB],$A465,tblVeriB[BeklenenTutar]))</f>
        <v/>
      </c>
      <c r="D465" s="17">
        <f>IF($A465="","",SUMIF(tblAnahtarA[Norm],$A465,tblVeriA[ToplamTutar]))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IF($A465="","",IF($F465&gt;efd_esikFark,1,0))</f>
        <v/>
      </c>
      <c r="O465" s="17">
        <f>IF($A465="","",IF($G465="eslesti",$D465,0))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IF($A466="","",SUMIF(tblAnahtarB[NormB],$A466,tblVeriB[BeklenenTutar]))</f>
        <v/>
      </c>
      <c r="D466" s="17">
        <f>IF($A466="","",SUMIF(tblAnahtarA[Norm],$A466,tblVeriA[ToplamTutar]))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IF($A466="","",IF($F466&gt;efd_esikFark,1,0))</f>
        <v/>
      </c>
      <c r="O466" s="17">
        <f>IF($A466="","",IF($G466="eslesti",$D466,0))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IF($A467="","",SUMIF(tblAnahtarB[NormB],$A467,tblVeriB[BeklenenTutar]))</f>
        <v/>
      </c>
      <c r="D467" s="17">
        <f>IF($A467="","",SUMIF(tblAnahtarA[Norm],$A467,tblVeriA[ToplamTutar]))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IF($A467="","",IF($F467&gt;efd_esikFark,1,0))</f>
        <v/>
      </c>
      <c r="O467" s="17">
        <f>IF($A467="","",IF($G467="eslesti",$D467,0))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IF($A468="","",SUMIF(tblAnahtarB[NormB],$A468,tblVeriB[BeklenenTutar]))</f>
        <v/>
      </c>
      <c r="D468" s="17">
        <f>IF($A468="","",SUMIF(tblAnahtarA[Norm],$A468,tblVeriA[ToplamTutar]))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IF($A468="","",IF($F468&gt;efd_esikFark,1,0))</f>
        <v/>
      </c>
      <c r="O468" s="17">
        <f>IF($A468="","",IF($G468="eslesti",$D468,0))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IF($A469="","",SUMIF(tblAnahtarB[NormB],$A469,tblVeriB[BeklenenTutar]))</f>
        <v/>
      </c>
      <c r="D469" s="17">
        <f>IF($A469="","",SUMIF(tblAnahtarA[Norm],$A469,tblVeriA[ToplamTutar]))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IF($A469="","",IF($F469&gt;efd_esikFark,1,0))</f>
        <v/>
      </c>
      <c r="O469" s="17">
        <f>IF($A469="","",IF($G469="eslesti",$D469,0))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IF($A470="","",SUMIF(tblAnahtarB[NormB],$A470,tblVeriB[BeklenenTutar]))</f>
        <v/>
      </c>
      <c r="D470" s="17">
        <f>IF($A470="","",SUMIF(tblAnahtarA[Norm],$A470,tblVeriA[ToplamTutar]))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IF($A470="","",IF($F470&gt;efd_esikFark,1,0))</f>
        <v/>
      </c>
      <c r="O470" s="17">
        <f>IF($A470="","",IF($G470="eslesti",$D470,0))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IF($A471="","",SUMIF(tblAnahtarB[NormB],$A471,tblVeriB[BeklenenTutar]))</f>
        <v/>
      </c>
      <c r="D471" s="17">
        <f>IF($A471="","",SUMIF(tblAnahtarA[Norm],$A471,tblVeriA[ToplamTutar]))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IF($A471="","",IF($F471&gt;efd_esikFark,1,0))</f>
        <v/>
      </c>
      <c r="O471" s="17">
        <f>IF($A471="","",IF($G471="eslesti",$D471,0))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IF($A472="","",SUMIF(tblAnahtarB[NormB],$A472,tblVeriB[BeklenenTutar]))</f>
        <v/>
      </c>
      <c r="D472" s="17">
        <f>IF($A472="","",SUMIF(tblAnahtarA[Norm],$A472,tblVeriA[ToplamTutar]))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IF($A472="","",IF($F472&gt;efd_esikFark,1,0))</f>
        <v/>
      </c>
      <c r="O472" s="17">
        <f>IF($A472="","",IF($G472="eslesti",$D472,0))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IF($A473="","",SUMIF(tblAnahtarB[NormB],$A473,tblVeriB[BeklenenTutar]))</f>
        <v/>
      </c>
      <c r="D473" s="17">
        <f>IF($A473="","",SUMIF(tblAnahtarA[Norm],$A473,tblVeriA[ToplamTutar]))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IF($A473="","",IF($F473&gt;efd_esikFark,1,0))</f>
        <v/>
      </c>
      <c r="O473" s="17">
        <f>IF($A473="","",IF($G473="eslesti",$D473,0))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IF($A474="","",SUMIF(tblAnahtarB[NormB],$A474,tblVeriB[BeklenenTutar]))</f>
        <v/>
      </c>
      <c r="D474" s="17">
        <f>IF($A474="","",SUMIF(tblAnahtarA[Norm],$A474,tblVeriA[ToplamTutar]))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IF($A474="","",IF($F474&gt;efd_esikFark,1,0))</f>
        <v/>
      </c>
      <c r="O474" s="17">
        <f>IF($A474="","",IF($G474="eslesti",$D474,0))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IF($A475="","",SUMIF(tblAnahtarB[NormB],$A475,tblVeriB[BeklenenTutar]))</f>
        <v/>
      </c>
      <c r="D475" s="17">
        <f>IF($A475="","",SUMIF(tblAnahtarA[Norm],$A475,tblVeriA[ToplamTutar]))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IF($A475="","",IF($F475&gt;efd_esikFark,1,0))</f>
        <v/>
      </c>
      <c r="O475" s="17">
        <f>IF($A475="","",IF($G475="eslesti",$D475,0))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IF($A476="","",SUMIF(tblAnahtarB[NormB],$A476,tblVeriB[BeklenenTutar]))</f>
        <v/>
      </c>
      <c r="D476" s="17">
        <f>IF($A476="","",SUMIF(tblAnahtarA[Norm],$A476,tblVeriA[ToplamTutar]))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IF($A476="","",IF($F476&gt;efd_esikFark,1,0))</f>
        <v/>
      </c>
      <c r="O476" s="17">
        <f>IF($A476="","",IF($G476="eslesti",$D476,0))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IF($A477="","",SUMIF(tblAnahtarB[NormB],$A477,tblVeriB[BeklenenTutar]))</f>
        <v/>
      </c>
      <c r="D477" s="17">
        <f>IF($A477="","",SUMIF(tblAnahtarA[Norm],$A477,tblVeriA[ToplamTutar]))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IF($A477="","",IF($F477&gt;efd_esikFark,1,0))</f>
        <v/>
      </c>
      <c r="O477" s="17">
        <f>IF($A477="","",IF($G477="eslesti",$D477,0))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IF($A478="","",SUMIF(tblAnahtarB[NormB],$A478,tblVeriB[BeklenenTutar]))</f>
        <v/>
      </c>
      <c r="D478" s="17">
        <f>IF($A478="","",SUMIF(tblAnahtarA[Norm],$A478,tblVeriA[ToplamTutar]))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IF($A478="","",IF($F478&gt;efd_esikFark,1,0))</f>
        <v/>
      </c>
      <c r="O478" s="17">
        <f>IF($A478="","",IF($G478="eslesti",$D478,0))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IF($A479="","",SUMIF(tblAnahtarB[NormB],$A479,tblVeriB[BeklenenTutar]))</f>
        <v/>
      </c>
      <c r="D479" s="17">
        <f>IF($A479="","",SUMIF(tblAnahtarA[Norm],$A479,tblVeriA[ToplamTutar]))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IF($A479="","",IF($F479&gt;efd_esikFark,1,0))</f>
        <v/>
      </c>
      <c r="O479" s="17">
        <f>IF($A479="","",IF($G479="eslesti",$D479,0))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IF($A480="","",SUMIF(tblAnahtarB[NormB],$A480,tblVeriB[BeklenenTutar]))</f>
        <v/>
      </c>
      <c r="D480" s="17">
        <f>IF($A480="","",SUMIF(tblAnahtarA[Norm],$A480,tblVeriA[ToplamTutar]))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IF($A480="","",IF($F480&gt;efd_esikFark,1,0))</f>
        <v/>
      </c>
      <c r="O480" s="17">
        <f>IF($A480="","",IF($G480="eslesti",$D480,0))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IF($A481="","",SUMIF(tblAnahtarB[NormB],$A481,tblVeriB[BeklenenTutar]))</f>
        <v/>
      </c>
      <c r="D481" s="17">
        <f>IF($A481="","",SUMIF(tblAnahtarA[Norm],$A481,tblVeriA[ToplamTutar]))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IF($A481="","",IF($F481&gt;efd_esikFark,1,0))</f>
        <v/>
      </c>
      <c r="O481" s="17">
        <f>IF($A481="","",IF($G481="eslesti",$D481,0))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IF($A482="","",SUMIF(tblAnahtarB[NormB],$A482,tblVeriB[BeklenenTutar]))</f>
        <v/>
      </c>
      <c r="D482" s="17">
        <f>IF($A482="","",SUMIF(tblAnahtarA[Norm],$A482,tblVeriA[ToplamTutar]))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IF($A482="","",IF($F482&gt;efd_esikFark,1,0))</f>
        <v/>
      </c>
      <c r="O482" s="17">
        <f>IF($A482="","",IF($G482="eslesti",$D482,0))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IF($A483="","",SUMIF(tblAnahtarB[NormB],$A483,tblVeriB[BeklenenTutar]))</f>
        <v/>
      </c>
      <c r="D483" s="17">
        <f>IF($A483="","",SUMIF(tblAnahtarA[Norm],$A483,tblVeriA[ToplamTutar]))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IF($A483="","",IF($F483&gt;efd_esikFark,1,0))</f>
        <v/>
      </c>
      <c r="O483" s="17">
        <f>IF($A483="","",IF($G483="eslesti",$D483,0))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IF($A484="","",SUMIF(tblAnahtarB[NormB],$A484,tblVeriB[BeklenenTutar]))</f>
        <v/>
      </c>
      <c r="D484" s="17">
        <f>IF($A484="","",SUMIF(tblAnahtarA[Norm],$A484,tblVeriA[ToplamTutar]))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IF($A484="","",IF($F484&gt;efd_esikFark,1,0))</f>
        <v/>
      </c>
      <c r="O484" s="17">
        <f>IF($A484="","",IF($G484="eslesti",$D484,0))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IF($A485="","",SUMIF(tblAnahtarB[NormB],$A485,tblVeriB[BeklenenTutar]))</f>
        <v/>
      </c>
      <c r="D485" s="17">
        <f>IF($A485="","",SUMIF(tblAnahtarA[Norm],$A485,tblVeriA[ToplamTutar]))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IF($A485="","",IF($F485&gt;efd_esikFark,1,0))</f>
        <v/>
      </c>
      <c r="O485" s="17">
        <f>IF($A485="","",IF($G485="eslesti",$D485,0))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IF($A486="","",SUMIF(tblAnahtarB[NormB],$A486,tblVeriB[BeklenenTutar]))</f>
        <v/>
      </c>
      <c r="D486" s="17">
        <f>IF($A486="","",SUMIF(tblAnahtarA[Norm],$A486,tblVeriA[ToplamTutar]))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IF($A486="","",IF($F486&gt;efd_esikFark,1,0))</f>
        <v/>
      </c>
      <c r="O486" s="17">
        <f>IF($A486="","",IF($G486="eslesti",$D486,0))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IF($A487="","",SUMIF(tblAnahtarB[NormB],$A487,tblVeriB[BeklenenTutar]))</f>
        <v/>
      </c>
      <c r="D487" s="17">
        <f>IF($A487="","",SUMIF(tblAnahtarA[Norm],$A487,tblVeriA[ToplamTutar]))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IF($A487="","",IF($F487&gt;efd_esikFark,1,0))</f>
        <v/>
      </c>
      <c r="O487" s="17">
        <f>IF($A487="","",IF($G487="eslesti",$D487,0))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IF($A488="","",SUMIF(tblAnahtarB[NormB],$A488,tblVeriB[BeklenenTutar]))</f>
        <v/>
      </c>
      <c r="D488" s="17">
        <f>IF($A488="","",SUMIF(tblAnahtarA[Norm],$A488,tblVeriA[ToplamTutar]))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IF($A488="","",IF($F488&gt;efd_esikFark,1,0))</f>
        <v/>
      </c>
      <c r="O488" s="17">
        <f>IF($A488="","",IF($G488="eslesti",$D488,0))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IF($A489="","",SUMIF(tblAnahtarB[NormB],$A489,tblVeriB[BeklenenTutar]))</f>
        <v/>
      </c>
      <c r="D489" s="17">
        <f>IF($A489="","",SUMIF(tblAnahtarA[Norm],$A489,tblVeriA[ToplamTutar]))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IF($A489="","",IF($F489&gt;efd_esikFark,1,0))</f>
        <v/>
      </c>
      <c r="O489" s="17">
        <f>IF($A489="","",IF($G489="eslesti",$D489,0))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IF($A490="","",SUMIF(tblAnahtarB[NormB],$A490,tblVeriB[BeklenenTutar]))</f>
        <v/>
      </c>
      <c r="D490" s="17">
        <f>IF($A490="","",SUMIF(tblAnahtarA[Norm],$A490,tblVeriA[ToplamTutar]))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IF($A490="","",IF($F490&gt;efd_esikFark,1,0))</f>
        <v/>
      </c>
      <c r="O490" s="17">
        <f>IF($A490="","",IF($G490="eslesti",$D490,0))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IF($A491="","",SUMIF(tblAnahtarB[NormB],$A491,tblVeriB[BeklenenTutar]))</f>
        <v/>
      </c>
      <c r="D491" s="17">
        <f>IF($A491="","",SUMIF(tblAnahtarA[Norm],$A491,tblVeriA[ToplamTutar]))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IF($A491="","",IF($F491&gt;efd_esikFark,1,0))</f>
        <v/>
      </c>
      <c r="O491" s="17">
        <f>IF($A491="","",IF($G491="eslesti",$D491,0))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IF($A492="","",SUMIF(tblAnahtarB[NormB],$A492,tblVeriB[BeklenenTutar]))</f>
        <v/>
      </c>
      <c r="D492" s="17">
        <f>IF($A492="","",SUMIF(tblAnahtarA[Norm],$A492,tblVeriA[ToplamTutar]))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IF($A492="","",IF($F492&gt;efd_esikFark,1,0))</f>
        <v/>
      </c>
      <c r="O492" s="17">
        <f>IF($A492="","",IF($G492="eslesti",$D492,0))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IF($A493="","",SUMIF(tblAnahtarB[NormB],$A493,tblVeriB[BeklenenTutar]))</f>
        <v/>
      </c>
      <c r="D493" s="17">
        <f>IF($A493="","",SUMIF(tblAnahtarA[Norm],$A493,tblVeriA[ToplamTutar]))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IF($A493="","",IF($F493&gt;efd_esikFark,1,0))</f>
        <v/>
      </c>
      <c r="O493" s="17">
        <f>IF($A493="","",IF($G493="eslesti",$D493,0))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IF($A494="","",SUMIF(tblAnahtarB[NormB],$A494,tblVeriB[BeklenenTutar]))</f>
        <v/>
      </c>
      <c r="D494" s="17">
        <f>IF($A494="","",SUMIF(tblAnahtarA[Norm],$A494,tblVeriA[ToplamTutar]))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IF($A494="","",IF($F494&gt;efd_esikFark,1,0))</f>
        <v/>
      </c>
      <c r="O494" s="17">
        <f>IF($A494="","",IF($G494="eslesti",$D494,0))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IF($A495="","",SUMIF(tblAnahtarB[NormB],$A495,tblVeriB[BeklenenTutar]))</f>
        <v/>
      </c>
      <c r="D495" s="17">
        <f>IF($A495="","",SUMIF(tblAnahtarA[Norm],$A495,tblVeriA[ToplamTutar]))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IF($A495="","",IF($F495&gt;efd_esikFark,1,0))</f>
        <v/>
      </c>
      <c r="O495" s="17">
        <f>IF($A495="","",IF($G495="eslesti",$D495,0))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IF($A496="","",SUMIF(tblAnahtarB[NormB],$A496,tblVeriB[BeklenenTutar]))</f>
        <v/>
      </c>
      <c r="D496" s="17">
        <f>IF($A496="","",SUMIF(tblAnahtarA[Norm],$A496,tblVeriA[ToplamTutar]))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IF($A496="","",IF($F496&gt;efd_esikFark,1,0))</f>
        <v/>
      </c>
      <c r="O496" s="17">
        <f>IF($A496="","",IF($G496="eslesti",$D496,0))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IF($A497="","",SUMIF(tblAnahtarB[NormB],$A497,tblVeriB[BeklenenTutar]))</f>
        <v/>
      </c>
      <c r="D497" s="17">
        <f>IF($A497="","",SUMIF(tblAnahtarA[Norm],$A497,tblVeriA[ToplamTutar]))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IF($A497="","",IF($F497&gt;efd_esikFark,1,0))</f>
        <v/>
      </c>
      <c r="O497" s="17">
        <f>IF($A497="","",IF($G497="eslesti",$D497,0))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IF($A498="","",SUMIF(tblAnahtarB[NormB],$A498,tblVeriB[BeklenenTutar]))</f>
        <v/>
      </c>
      <c r="D498" s="17">
        <f>IF($A498="","",SUMIF(tblAnahtarA[Norm],$A498,tblVeriA[ToplamTutar]))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IF($A498="","",IF($F498&gt;efd_esikFark,1,0))</f>
        <v/>
      </c>
      <c r="O498" s="17">
        <f>IF($A498="","",IF($G498="eslesti",$D498,0))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IF($A499="","",SUMIF(tblAnahtarB[NormB],$A499,tblVeriB[BeklenenTutar]))</f>
        <v/>
      </c>
      <c r="D499" s="17">
        <f>IF($A499="","",SUMIF(tblAnahtarA[Norm],$A499,tblVeriA[ToplamTutar]))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IF($A499="","",IF($F499&gt;efd_esikFark,1,0))</f>
        <v/>
      </c>
      <c r="O499" s="17">
        <f>IF($A499="","",IF($G499="eslesti",$D499,0))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IF($A500="","",SUMIF(tblAnahtarB[NormB],$A500,tblVeriB[BeklenenTutar]))</f>
        <v/>
      </c>
      <c r="D500" s="17">
        <f>IF($A500="","",SUMIF(tblAnahtarA[Norm],$A500,tblVeriA[ToplamTutar]))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IF($A500="","",IF($F500&gt;efd_esikFark,1,0))</f>
        <v/>
      </c>
      <c r="O500" s="17">
        <f>IF($A500="","",IF($G500="eslesti",$D500,0))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IF($A501="","",SUMIF(tblAnahtarB[NormB],$A501,tblVeriB[BeklenenTutar]))</f>
        <v/>
      </c>
      <c r="D501" s="17">
        <f>IF($A501="","",SUMIF(tblAnahtarA[Norm],$A501,tblVeriA[ToplamTutar]))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IF($A501="","",IF($F501&gt;efd_esikFark,1,0))</f>
        <v/>
      </c>
      <c r="O501" s="17">
        <f>IF($A501="","",IF($G501="eslesti",$D501,0))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IF($A502="","",SUMIF(tblAnahtarB[NormB],$A502,tblVeriB[BeklenenTutar]))</f>
        <v/>
      </c>
      <c r="D502" s="17">
        <f>IF($A502="","",SUMIF(tblAnahtarA[Norm],$A502,tblVeriA[ToplamTutar]))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IF($A502="","",IF($F502&gt;efd_esikFark,1,0))</f>
        <v/>
      </c>
      <c r="O502" s="17">
        <f>IF($A502="","",IF($G502="eslesti",$D502,0))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IF($A503="","",SUMIF(tblAnahtarB[NormB],$A503,tblVeriB[BeklenenTutar]))</f>
        <v/>
      </c>
      <c r="D503" s="17">
        <f>IF($A503="","",SUMIF(tblAnahtarA[Norm],$A503,tblVeriA[ToplamTutar]))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IF($A503="","",IF($F503&gt;efd_esikFark,1,0))</f>
        <v/>
      </c>
      <c r="O503" s="17">
        <f>IF($A503="","",IF($G503="eslesti",$D503,0))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IF($A504="","",SUMIF(tblAnahtarB[NormB],$A504,tblVeriB[BeklenenTutar]))</f>
        <v/>
      </c>
      <c r="D504" s="17">
        <f>IF($A504="","",SUMIF(tblAnahtarA[Norm],$A504,tblVeriA[ToplamTutar]))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IF($A504="","",IF($F504&gt;efd_esikFark,1,0))</f>
        <v/>
      </c>
      <c r="O504" s="17">
        <f>IF($A504="","",IF($G504="eslesti",$D504,0))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IF($A505="","",SUMIF(tblAnahtarB[NormB],$A505,tblVeriB[BeklenenTutar]))</f>
        <v/>
      </c>
      <c r="D505" s="17">
        <f>IF($A505="","",SUMIF(tblAnahtarA[Norm],$A505,tblVeriA[ToplamTutar]))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IF($A505="","",IF($F505&gt;efd_esikFark,1,0))</f>
        <v/>
      </c>
      <c r="O505" s="17">
        <f>IF($A505="","",IF($G505="eslesti",$D505,0))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6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Elektrik Faturası Doğrulama Motoru</t>
        </is>
      </c>
    </row>
    <row r="2"/>
    <row r="3" ht="22" customHeight="1">
      <c r="A3" s="208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TARIFE</t>
        </is>
      </c>
      <c r="C6" s="8" t="inlineStr">
        <is>
          <t>ABS(fark-enerji)&lt;=toleransKurus</t>
        </is>
      </c>
      <c r="D6" s="8" t="inlineStr">
        <is>
          <t>Fark enerji/tarife bedeline yakın</t>
        </is>
      </c>
    </row>
    <row r="7">
      <c r="A7" s="19" t="n">
        <v>2</v>
      </c>
      <c r="B7" s="18" t="inlineStr">
        <is>
          <t>DAGITIM</t>
        </is>
      </c>
      <c r="C7" s="8" t="inlineStr">
        <is>
          <t>ABS(fark-dagitim)&lt;=toleransKurus</t>
        </is>
      </c>
      <c r="D7" s="8" t="inlineStr">
        <is>
          <t>Fark dağıtım bedeline yakın</t>
        </is>
      </c>
    </row>
    <row r="8">
      <c r="A8" s="19" t="n">
        <v>3</v>
      </c>
      <c r="B8" s="18" t="inlineStr">
        <is>
          <t>KDV</t>
        </is>
      </c>
      <c r="C8" s="8" t="inlineStr">
        <is>
          <t>ABS(fark-kdv)&lt;=toleransKurus</t>
        </is>
      </c>
      <c r="D8" s="8" t="inlineStr">
        <is>
          <t>Fark KDV tutarına yakın</t>
        </is>
      </c>
    </row>
    <row r="9">
      <c r="A9" s="19" t="n">
        <v>4</v>
      </c>
      <c r="B9" s="18" t="inlineStr">
        <is>
          <t>TUKETIM</t>
        </is>
      </c>
      <c r="C9" s="8" t="inlineStr">
        <is>
          <t>ABS(kwh_a-kwh_b)&gt;0</t>
        </is>
      </c>
      <c r="D9" s="8" t="inlineStr">
        <is>
          <t>Sayaç tüketim uyuşmazlığı</t>
        </is>
      </c>
    </row>
    <row r="10">
      <c r="A10" s="19" t="n">
        <v>5</v>
      </c>
      <c r="B10" s="18" t="inlineStr">
        <is>
          <t>SAYAC</t>
        </is>
      </c>
      <c r="C10" s="8" t="inlineStr">
        <is>
          <t>sayac_anahtar_farki&gt;0</t>
        </is>
      </c>
      <c r="D10" s="8" t="inlineStr">
        <is>
          <t>Sayaç kimliği / dönem şüphesi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Enerji</t>
        </is>
      </c>
      <c r="E15" s="12" t="inlineStr">
        <is>
          <t>Dagitim</t>
        </is>
      </c>
      <c r="F15" s="12" t="inlineStr">
        <is>
          <t>Kdv</t>
        </is>
      </c>
      <c r="G15" s="12" t="inlineStr">
        <is>
          <t>Tuketim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IF($A16="","",IFERROR(SUMIF(tblAnahtarA[Norm],$A16,tblVeriA[EnerjiBedeli]),0))</f>
        <v/>
      </c>
      <c r="E16" s="17">
        <f>IF($A16="","",IFERROR(SUMIF(tblAnahtarA[Norm],$A16,tblVeriA[DagitimBedeli]),0))</f>
        <v/>
      </c>
      <c r="F16" s="17">
        <f>IF($A16="","",IFERROR(SUMIF(tblAnahtarA[Norm],$A16,tblVeriA[VergiKdv]),0))</f>
        <v/>
      </c>
      <c r="G16" s="17">
        <f>IF($A16="","",IFERROR(SUMIF(tblAnahtarA[Norm],$A16,tblVeriA[TuketimKwh]),0))</f>
        <v/>
      </c>
      <c r="H16" s="17">
        <f>IF(OR($A16="",$B16&lt;&gt;"tutar_farki"),"",IF(ABS($C16-$D16)&lt;=toleransKurus,"TARIFE",IF(ABS($C16-$E16)&lt;=toleransKurus,"DAGITIM",IF(ABS($C16-$F16)&lt;=toleransKurus,"KDV",IF($G16&gt;0,"TUKETIM","TANIMSIZ")))))</f>
        <v/>
      </c>
    </row>
    <row r="17">
      <c r="A17" s="22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IF($A17="","",IFERROR(SUMIF(tblAnahtarA[Norm],$A17,tblVeriA[EnerjiBedeli]),0))</f>
        <v/>
      </c>
      <c r="E17" s="17">
        <f>IF($A17="","",IFERROR(SUMIF(tblAnahtarA[Norm],$A17,tblVeriA[DagitimBedeli]),0))</f>
        <v/>
      </c>
      <c r="F17" s="17">
        <f>IF($A17="","",IFERROR(SUMIF(tblAnahtarA[Norm],$A17,tblVeriA[VergiKdv]),0))</f>
        <v/>
      </c>
      <c r="G17" s="17">
        <f>IF($A17="","",IFERROR(SUMIF(tblAnahtarA[Norm],$A17,tblVeriA[TuketimKwh]),0))</f>
        <v/>
      </c>
      <c r="H17" s="17">
        <f>IF(OR($A17="",$B17&lt;&gt;"tutar_farki"),"",IF(ABS($C17-$D17)&lt;=toleransKurus,"TARIFE",IF(ABS($C17-$E17)&lt;=toleransKurus,"DAGITIM",IF(ABS($C17-$F17)&lt;=toleransKurus,"KDV",IF($G17&gt;0,"TUKETIM","TANIMSIZ")))))</f>
        <v/>
      </c>
    </row>
    <row r="18">
      <c r="A18" s="22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IF($A18="","",IFERROR(SUMIF(tblAnahtarA[Norm],$A18,tblVeriA[EnerjiBedeli]),0))</f>
        <v/>
      </c>
      <c r="E18" s="17">
        <f>IF($A18="","",IFERROR(SUMIF(tblAnahtarA[Norm],$A18,tblVeriA[DagitimBedeli]),0))</f>
        <v/>
      </c>
      <c r="F18" s="17">
        <f>IF($A18="","",IFERROR(SUMIF(tblAnahtarA[Norm],$A18,tblVeriA[VergiKdv]),0))</f>
        <v/>
      </c>
      <c r="G18" s="17">
        <f>IF($A18="","",IFERROR(SUMIF(tblAnahtarA[Norm],$A18,tblVeriA[TuketimKwh]),0))</f>
        <v/>
      </c>
      <c r="H18" s="17">
        <f>IF(OR($A18="",$B18&lt;&gt;"tutar_farki"),"",IF(ABS($C18-$D18)&lt;=toleransKurus,"TARIFE",IF(ABS($C18-$E18)&lt;=toleransKurus,"DAGITIM",IF(ABS($C18-$F18)&lt;=toleransKurus,"KDV",IF($G18&gt;0,"TUKETIM","TANIMSIZ")))))</f>
        <v/>
      </c>
    </row>
    <row r="19">
      <c r="A19" s="22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IF($A19="","",IFERROR(SUMIF(tblAnahtarA[Norm],$A19,tblVeriA[EnerjiBedeli]),0))</f>
        <v/>
      </c>
      <c r="E19" s="17">
        <f>IF($A19="","",IFERROR(SUMIF(tblAnahtarA[Norm],$A19,tblVeriA[DagitimBedeli]),0))</f>
        <v/>
      </c>
      <c r="F19" s="17">
        <f>IF($A19="","",IFERROR(SUMIF(tblAnahtarA[Norm],$A19,tblVeriA[VergiKdv]),0))</f>
        <v/>
      </c>
      <c r="G19" s="17">
        <f>IF($A19="","",IFERROR(SUMIF(tblAnahtarA[Norm],$A19,tblVeriA[TuketimKwh]),0))</f>
        <v/>
      </c>
      <c r="H19" s="17">
        <f>IF(OR($A19="",$B19&lt;&gt;"tutar_farki"),"",IF(ABS($C19-$D19)&lt;=toleransKurus,"TARIFE",IF(ABS($C19-$E19)&lt;=toleransKurus,"DAGITIM",IF(ABS($C19-$F19)&lt;=toleransKurus,"KDV",IF($G19&gt;0,"TUKETIM","TANIMSIZ")))))</f>
        <v/>
      </c>
    </row>
    <row r="20">
      <c r="A20" s="22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IF($A20="","",IFERROR(SUMIF(tblAnahtarA[Norm],$A20,tblVeriA[EnerjiBedeli]),0))</f>
        <v/>
      </c>
      <c r="E20" s="17">
        <f>IF($A20="","",IFERROR(SUMIF(tblAnahtarA[Norm],$A20,tblVeriA[DagitimBedeli]),0))</f>
        <v/>
      </c>
      <c r="F20" s="17">
        <f>IF($A20="","",IFERROR(SUMIF(tblAnahtarA[Norm],$A20,tblVeriA[VergiKdv]),0))</f>
        <v/>
      </c>
      <c r="G20" s="17">
        <f>IF($A20="","",IFERROR(SUMIF(tblAnahtarA[Norm],$A20,tblVeriA[TuketimKwh]),0))</f>
        <v/>
      </c>
      <c r="H20" s="17">
        <f>IF(OR($A20="",$B20&lt;&gt;"tutar_farki"),"",IF(ABS($C20-$D20)&lt;=toleransKurus,"TARIFE",IF(ABS($C20-$E20)&lt;=toleransKurus,"DAGITIM",IF(ABS($C20-$F20)&lt;=toleransKurus,"KDV",IF($G20&gt;0,"TUKETIM","TANIMSIZ")))))</f>
        <v/>
      </c>
    </row>
    <row r="21">
      <c r="A21" s="22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IF($A21="","",IFERROR(SUMIF(tblAnahtarA[Norm],$A21,tblVeriA[EnerjiBedeli]),0))</f>
        <v/>
      </c>
      <c r="E21" s="17">
        <f>IF($A21="","",IFERROR(SUMIF(tblAnahtarA[Norm],$A21,tblVeriA[DagitimBedeli]),0))</f>
        <v/>
      </c>
      <c r="F21" s="17">
        <f>IF($A21="","",IFERROR(SUMIF(tblAnahtarA[Norm],$A21,tblVeriA[VergiKdv]),0))</f>
        <v/>
      </c>
      <c r="G21" s="17">
        <f>IF($A21="","",IFERROR(SUMIF(tblAnahtarA[Norm],$A21,tblVeriA[TuketimKwh]),0))</f>
        <v/>
      </c>
      <c r="H21" s="17">
        <f>IF(OR($A21="",$B21&lt;&gt;"tutar_farki"),"",IF(ABS($C21-$D21)&lt;=toleransKurus,"TARIFE",IF(ABS($C21-$E21)&lt;=toleransKurus,"DAGITIM",IF(ABS($C21-$F21)&lt;=toleransKurus,"KDV",IF($G21&gt;0,"TUKETIM","TANIMSIZ")))))</f>
        <v/>
      </c>
    </row>
    <row r="22">
      <c r="A22" s="22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IF($A22="","",IFERROR(SUMIF(tblAnahtarA[Norm],$A22,tblVeriA[EnerjiBedeli]),0))</f>
        <v/>
      </c>
      <c r="E22" s="17">
        <f>IF($A22="","",IFERROR(SUMIF(tblAnahtarA[Norm],$A22,tblVeriA[DagitimBedeli]),0))</f>
        <v/>
      </c>
      <c r="F22" s="17">
        <f>IF($A22="","",IFERROR(SUMIF(tblAnahtarA[Norm],$A22,tblVeriA[VergiKdv]),0))</f>
        <v/>
      </c>
      <c r="G22" s="17">
        <f>IF($A22="","",IFERROR(SUMIF(tblAnahtarA[Norm],$A22,tblVeriA[TuketimKwh]),0))</f>
        <v/>
      </c>
      <c r="H22" s="17">
        <f>IF(OR($A22="",$B22&lt;&gt;"tutar_farki"),"",IF(ABS($C22-$D22)&lt;=toleransKurus,"TARIFE",IF(ABS($C22-$E22)&lt;=toleransKurus,"DAGITIM",IF(ABS($C22-$F22)&lt;=toleransKurus,"KDV",IF($G22&gt;0,"TUKETIM","TANIMSIZ")))))</f>
        <v/>
      </c>
    </row>
    <row r="23">
      <c r="A23" s="22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IF($A23="","",IFERROR(SUMIF(tblAnahtarA[Norm],$A23,tblVeriA[EnerjiBedeli]),0))</f>
        <v/>
      </c>
      <c r="E23" s="17">
        <f>IF($A23="","",IFERROR(SUMIF(tblAnahtarA[Norm],$A23,tblVeriA[DagitimBedeli]),0))</f>
        <v/>
      </c>
      <c r="F23" s="17">
        <f>IF($A23="","",IFERROR(SUMIF(tblAnahtarA[Norm],$A23,tblVeriA[VergiKdv]),0))</f>
        <v/>
      </c>
      <c r="G23" s="17">
        <f>IF($A23="","",IFERROR(SUMIF(tblAnahtarA[Norm],$A23,tblVeriA[TuketimKwh]),0))</f>
        <v/>
      </c>
      <c r="H23" s="17">
        <f>IF(OR($A23="",$B23&lt;&gt;"tutar_farki"),"",IF(ABS($C23-$D23)&lt;=toleransKurus,"TARIFE",IF(ABS($C23-$E23)&lt;=toleransKurus,"DAGITIM",IF(ABS($C23-$F23)&lt;=toleransKurus,"KDV",IF($G23&gt;0,"TUKETIM","TANIMSIZ")))))</f>
        <v/>
      </c>
    </row>
    <row r="24">
      <c r="A24" s="22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IF($A24="","",IFERROR(SUMIF(tblAnahtarA[Norm],$A24,tblVeriA[EnerjiBedeli]),0))</f>
        <v/>
      </c>
      <c r="E24" s="17">
        <f>IF($A24="","",IFERROR(SUMIF(tblAnahtarA[Norm],$A24,tblVeriA[DagitimBedeli]),0))</f>
        <v/>
      </c>
      <c r="F24" s="17">
        <f>IF($A24="","",IFERROR(SUMIF(tblAnahtarA[Norm],$A24,tblVeriA[VergiKdv]),0))</f>
        <v/>
      </c>
      <c r="G24" s="17">
        <f>IF($A24="","",IFERROR(SUMIF(tblAnahtarA[Norm],$A24,tblVeriA[TuketimKwh]),0))</f>
        <v/>
      </c>
      <c r="H24" s="17">
        <f>IF(OR($A24="",$B24&lt;&gt;"tutar_farki"),"",IF(ABS($C24-$D24)&lt;=toleransKurus,"TARIFE",IF(ABS($C24-$E24)&lt;=toleransKurus,"DAGITIM",IF(ABS($C24-$F24)&lt;=toleransKurus,"KDV",IF($G24&gt;0,"TUKETIM","TANIMSIZ")))))</f>
        <v/>
      </c>
    </row>
    <row r="25">
      <c r="A25" s="22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IF($A25="","",IFERROR(SUMIF(tblAnahtarA[Norm],$A25,tblVeriA[EnerjiBedeli]),0))</f>
        <v/>
      </c>
      <c r="E25" s="17">
        <f>IF($A25="","",IFERROR(SUMIF(tblAnahtarA[Norm],$A25,tblVeriA[DagitimBedeli]),0))</f>
        <v/>
      </c>
      <c r="F25" s="17">
        <f>IF($A25="","",IFERROR(SUMIF(tblAnahtarA[Norm],$A25,tblVeriA[VergiKdv]),0))</f>
        <v/>
      </c>
      <c r="G25" s="17">
        <f>IF($A25="","",IFERROR(SUMIF(tblAnahtarA[Norm],$A25,tblVeriA[TuketimKwh]),0))</f>
        <v/>
      </c>
      <c r="H25" s="17">
        <f>IF(OR($A25="",$B25&lt;&gt;"tutar_farki"),"",IF(ABS($C25-$D25)&lt;=toleransKurus,"TARIFE",IF(ABS($C25-$E25)&lt;=toleransKurus,"DAGITIM",IF(ABS($C25-$F25)&lt;=toleransKurus,"KDV",IF($G25&gt;0,"TUKETIM","TANIMSIZ")))))</f>
        <v/>
      </c>
    </row>
    <row r="26">
      <c r="A26" s="22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IF($A26="","",IFERROR(SUMIF(tblAnahtarA[Norm],$A26,tblVeriA[EnerjiBedeli]),0))</f>
        <v/>
      </c>
      <c r="E26" s="17">
        <f>IF($A26="","",IFERROR(SUMIF(tblAnahtarA[Norm],$A26,tblVeriA[DagitimBedeli]),0))</f>
        <v/>
      </c>
      <c r="F26" s="17">
        <f>IF($A26="","",IFERROR(SUMIF(tblAnahtarA[Norm],$A26,tblVeriA[VergiKdv]),0))</f>
        <v/>
      </c>
      <c r="G26" s="17">
        <f>IF($A26="","",IFERROR(SUMIF(tblAnahtarA[Norm],$A26,tblVeriA[TuketimKwh]),0))</f>
        <v/>
      </c>
      <c r="H26" s="17">
        <f>IF(OR($A26="",$B26&lt;&gt;"tutar_farki"),"",IF(ABS($C26-$D26)&lt;=toleransKurus,"TARIFE",IF(ABS($C26-$E26)&lt;=toleransKurus,"DAGITIM",IF(ABS($C26-$F26)&lt;=toleransKurus,"KDV",IF($G26&gt;0,"TUKETIM","TANIMSIZ")))))</f>
        <v/>
      </c>
    </row>
    <row r="27">
      <c r="A27" s="22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IF($A27="","",IFERROR(SUMIF(tblAnahtarA[Norm],$A27,tblVeriA[EnerjiBedeli]),0))</f>
        <v/>
      </c>
      <c r="E27" s="17">
        <f>IF($A27="","",IFERROR(SUMIF(tblAnahtarA[Norm],$A27,tblVeriA[DagitimBedeli]),0))</f>
        <v/>
      </c>
      <c r="F27" s="17">
        <f>IF($A27="","",IFERROR(SUMIF(tblAnahtarA[Norm],$A27,tblVeriA[VergiKdv]),0))</f>
        <v/>
      </c>
      <c r="G27" s="17">
        <f>IF($A27="","",IFERROR(SUMIF(tblAnahtarA[Norm],$A27,tblVeriA[TuketimKwh]),0))</f>
        <v/>
      </c>
      <c r="H27" s="17">
        <f>IF(OR($A27="",$B27&lt;&gt;"tutar_farki"),"",IF(ABS($C27-$D27)&lt;=toleransKurus,"TARIFE",IF(ABS($C27-$E27)&lt;=toleransKurus,"DAGITIM",IF(ABS($C27-$F27)&lt;=toleransKurus,"KDV",IF($G27&gt;0,"TUKETIM","TANIMSIZ")))))</f>
        <v/>
      </c>
    </row>
    <row r="28">
      <c r="A28" s="22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IF($A28="","",IFERROR(SUMIF(tblAnahtarA[Norm],$A28,tblVeriA[EnerjiBedeli]),0))</f>
        <v/>
      </c>
      <c r="E28" s="17">
        <f>IF($A28="","",IFERROR(SUMIF(tblAnahtarA[Norm],$A28,tblVeriA[DagitimBedeli]),0))</f>
        <v/>
      </c>
      <c r="F28" s="17">
        <f>IF($A28="","",IFERROR(SUMIF(tblAnahtarA[Norm],$A28,tblVeriA[VergiKdv]),0))</f>
        <v/>
      </c>
      <c r="G28" s="17">
        <f>IF($A28="","",IFERROR(SUMIF(tblAnahtarA[Norm],$A28,tblVeriA[TuketimKwh]),0))</f>
        <v/>
      </c>
      <c r="H28" s="17">
        <f>IF(OR($A28="",$B28&lt;&gt;"tutar_farki"),"",IF(ABS($C28-$D28)&lt;=toleransKurus,"TARIFE",IF(ABS($C28-$E28)&lt;=toleransKurus,"DAGITIM",IF(ABS($C28-$F28)&lt;=toleransKurus,"KDV",IF($G28&gt;0,"TUKETIM","TANIMSIZ")))))</f>
        <v/>
      </c>
    </row>
    <row r="29">
      <c r="A29" s="22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IF($A29="","",IFERROR(SUMIF(tblAnahtarA[Norm],$A29,tblVeriA[EnerjiBedeli]),0))</f>
        <v/>
      </c>
      <c r="E29" s="17">
        <f>IF($A29="","",IFERROR(SUMIF(tblAnahtarA[Norm],$A29,tblVeriA[DagitimBedeli]),0))</f>
        <v/>
      </c>
      <c r="F29" s="17">
        <f>IF($A29="","",IFERROR(SUMIF(tblAnahtarA[Norm],$A29,tblVeriA[VergiKdv]),0))</f>
        <v/>
      </c>
      <c r="G29" s="17">
        <f>IF($A29="","",IFERROR(SUMIF(tblAnahtarA[Norm],$A29,tblVeriA[TuketimKwh]),0))</f>
        <v/>
      </c>
      <c r="H29" s="17">
        <f>IF(OR($A29="",$B29&lt;&gt;"tutar_farki"),"",IF(ABS($C29-$D29)&lt;=toleransKurus,"TARIFE",IF(ABS($C29-$E29)&lt;=toleransKurus,"DAGITIM",IF(ABS($C29-$F29)&lt;=toleransKurus,"KDV",IF($G29&gt;0,"TUKETIM","TANIMSIZ")))))</f>
        <v/>
      </c>
    </row>
    <row r="30">
      <c r="A30" s="22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IF($A30="","",IFERROR(SUMIF(tblAnahtarA[Norm],$A30,tblVeriA[EnerjiBedeli]),0))</f>
        <v/>
      </c>
      <c r="E30" s="17">
        <f>IF($A30="","",IFERROR(SUMIF(tblAnahtarA[Norm],$A30,tblVeriA[DagitimBedeli]),0))</f>
        <v/>
      </c>
      <c r="F30" s="17">
        <f>IF($A30="","",IFERROR(SUMIF(tblAnahtarA[Norm],$A30,tblVeriA[VergiKdv]),0))</f>
        <v/>
      </c>
      <c r="G30" s="17">
        <f>IF($A30="","",IFERROR(SUMIF(tblAnahtarA[Norm],$A30,tblVeriA[TuketimKwh]),0))</f>
        <v/>
      </c>
      <c r="H30" s="17">
        <f>IF(OR($A30="",$B30&lt;&gt;"tutar_farki"),"",IF(ABS($C30-$D30)&lt;=toleransKurus,"TARIFE",IF(ABS($C30-$E30)&lt;=toleransKurus,"DAGITIM",IF(ABS($C30-$F30)&lt;=toleransKurus,"KDV",IF($G30&gt;0,"TUKETIM","TANIMSIZ")))))</f>
        <v/>
      </c>
    </row>
    <row r="31">
      <c r="A31" s="22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IF($A31="","",IFERROR(SUMIF(tblAnahtarA[Norm],$A31,tblVeriA[EnerjiBedeli]),0))</f>
        <v/>
      </c>
      <c r="E31" s="17">
        <f>IF($A31="","",IFERROR(SUMIF(tblAnahtarA[Norm],$A31,tblVeriA[DagitimBedeli]),0))</f>
        <v/>
      </c>
      <c r="F31" s="17">
        <f>IF($A31="","",IFERROR(SUMIF(tblAnahtarA[Norm],$A31,tblVeriA[VergiKdv]),0))</f>
        <v/>
      </c>
      <c r="G31" s="17">
        <f>IF($A31="","",IFERROR(SUMIF(tblAnahtarA[Norm],$A31,tblVeriA[TuketimKwh]),0))</f>
        <v/>
      </c>
      <c r="H31" s="17">
        <f>IF(OR($A31="",$B31&lt;&gt;"tutar_farki"),"",IF(ABS($C31-$D31)&lt;=toleransKurus,"TARIFE",IF(ABS($C31-$E31)&lt;=toleransKurus,"DAGITIM",IF(ABS($C31-$F31)&lt;=toleransKurus,"KDV",IF($G31&gt;0,"TUKETIM","TANIMSIZ")))))</f>
        <v/>
      </c>
    </row>
    <row r="32">
      <c r="A32" s="22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IF($A32="","",IFERROR(SUMIF(tblAnahtarA[Norm],$A32,tblVeriA[EnerjiBedeli]),0))</f>
        <v/>
      </c>
      <c r="E32" s="17">
        <f>IF($A32="","",IFERROR(SUMIF(tblAnahtarA[Norm],$A32,tblVeriA[DagitimBedeli]),0))</f>
        <v/>
      </c>
      <c r="F32" s="17">
        <f>IF($A32="","",IFERROR(SUMIF(tblAnahtarA[Norm],$A32,tblVeriA[VergiKdv]),0))</f>
        <v/>
      </c>
      <c r="G32" s="17">
        <f>IF($A32="","",IFERROR(SUMIF(tblAnahtarA[Norm],$A32,tblVeriA[TuketimKwh]),0))</f>
        <v/>
      </c>
      <c r="H32" s="17">
        <f>IF(OR($A32="",$B32&lt;&gt;"tutar_farki"),"",IF(ABS($C32-$D32)&lt;=toleransKurus,"TARIFE",IF(ABS($C32-$E32)&lt;=toleransKurus,"DAGITIM",IF(ABS($C32-$F32)&lt;=toleransKurus,"KDV",IF($G32&gt;0,"TUKETIM","TANIMSIZ")))))</f>
        <v/>
      </c>
    </row>
    <row r="33">
      <c r="A33" s="22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IF($A33="","",IFERROR(SUMIF(tblAnahtarA[Norm],$A33,tblVeriA[EnerjiBedeli]),0))</f>
        <v/>
      </c>
      <c r="E33" s="17">
        <f>IF($A33="","",IFERROR(SUMIF(tblAnahtarA[Norm],$A33,tblVeriA[DagitimBedeli]),0))</f>
        <v/>
      </c>
      <c r="F33" s="17">
        <f>IF($A33="","",IFERROR(SUMIF(tblAnahtarA[Norm],$A33,tblVeriA[VergiKdv]),0))</f>
        <v/>
      </c>
      <c r="G33" s="17">
        <f>IF($A33="","",IFERROR(SUMIF(tblAnahtarA[Norm],$A33,tblVeriA[TuketimKwh]),0))</f>
        <v/>
      </c>
      <c r="H33" s="17">
        <f>IF(OR($A33="",$B33&lt;&gt;"tutar_farki"),"",IF(ABS($C33-$D33)&lt;=toleransKurus,"TARIFE",IF(ABS($C33-$E33)&lt;=toleransKurus,"DAGITIM",IF(ABS($C33-$F33)&lt;=toleransKurus,"KDV",IF($G33&gt;0,"TUKETIM","TANIMSIZ")))))</f>
        <v/>
      </c>
    </row>
    <row r="34">
      <c r="A34" s="22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IF($A34="","",IFERROR(SUMIF(tblAnahtarA[Norm],$A34,tblVeriA[EnerjiBedeli]),0))</f>
        <v/>
      </c>
      <c r="E34" s="17">
        <f>IF($A34="","",IFERROR(SUMIF(tblAnahtarA[Norm],$A34,tblVeriA[DagitimBedeli]),0))</f>
        <v/>
      </c>
      <c r="F34" s="17">
        <f>IF($A34="","",IFERROR(SUMIF(tblAnahtarA[Norm],$A34,tblVeriA[VergiKdv]),0))</f>
        <v/>
      </c>
      <c r="G34" s="17">
        <f>IF($A34="","",IFERROR(SUMIF(tblAnahtarA[Norm],$A34,tblVeriA[TuketimKwh]),0))</f>
        <v/>
      </c>
      <c r="H34" s="17">
        <f>IF(OR($A34="",$B34&lt;&gt;"tutar_farki"),"",IF(ABS($C34-$D34)&lt;=toleransKurus,"TARIFE",IF(ABS($C34-$E34)&lt;=toleransKurus,"DAGITIM",IF(ABS($C34-$F34)&lt;=toleransKurus,"KDV",IF($G34&gt;0,"TUKETIM","TANIMSIZ")))))</f>
        <v/>
      </c>
    </row>
    <row r="35">
      <c r="A35" s="22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IF($A35="","",IFERROR(SUMIF(tblAnahtarA[Norm],$A35,tblVeriA[EnerjiBedeli]),0))</f>
        <v/>
      </c>
      <c r="E35" s="17">
        <f>IF($A35="","",IFERROR(SUMIF(tblAnahtarA[Norm],$A35,tblVeriA[DagitimBedeli]),0))</f>
        <v/>
      </c>
      <c r="F35" s="17">
        <f>IF($A35="","",IFERROR(SUMIF(tblAnahtarA[Norm],$A35,tblVeriA[VergiKdv]),0))</f>
        <v/>
      </c>
      <c r="G35" s="17">
        <f>IF($A35="","",IFERROR(SUMIF(tblAnahtarA[Norm],$A35,tblVeriA[TuketimKwh]),0))</f>
        <v/>
      </c>
      <c r="H35" s="17">
        <f>IF(OR($A35="",$B35&lt;&gt;"tutar_farki"),"",IF(ABS($C35-$D35)&lt;=toleransKurus,"TARIFE",IF(ABS($C35-$E35)&lt;=toleransKurus,"DAGITIM",IF(ABS($C35-$F35)&lt;=toleransKurus,"KDV",IF($G35&gt;0,"TUKETIM","TANIMSIZ")))))</f>
        <v/>
      </c>
    </row>
    <row r="36">
      <c r="A36" s="22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IF($A36="","",IFERROR(SUMIF(tblAnahtarA[Norm],$A36,tblVeriA[EnerjiBedeli]),0))</f>
        <v/>
      </c>
      <c r="E36" s="17">
        <f>IF($A36="","",IFERROR(SUMIF(tblAnahtarA[Norm],$A36,tblVeriA[DagitimBedeli]),0))</f>
        <v/>
      </c>
      <c r="F36" s="17">
        <f>IF($A36="","",IFERROR(SUMIF(tblAnahtarA[Norm],$A36,tblVeriA[VergiKdv]),0))</f>
        <v/>
      </c>
      <c r="G36" s="17">
        <f>IF($A36="","",IFERROR(SUMIF(tblAnahtarA[Norm],$A36,tblVeriA[TuketimKwh]),0))</f>
        <v/>
      </c>
      <c r="H36" s="17">
        <f>IF(OR($A36="",$B36&lt;&gt;"tutar_farki"),"",IF(ABS($C36-$D36)&lt;=toleransKurus,"TARIFE",IF(ABS($C36-$E36)&lt;=toleransKurus,"DAGITIM",IF(ABS($C36-$F36)&lt;=toleransKurus,"KDV",IF($G36&gt;0,"TUKETIM","TANIMSIZ")))))</f>
        <v/>
      </c>
    </row>
    <row r="37">
      <c r="A37" s="22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IF($A37="","",IFERROR(SUMIF(tblAnahtarA[Norm],$A37,tblVeriA[EnerjiBedeli]),0))</f>
        <v/>
      </c>
      <c r="E37" s="17">
        <f>IF($A37="","",IFERROR(SUMIF(tblAnahtarA[Norm],$A37,tblVeriA[DagitimBedeli]),0))</f>
        <v/>
      </c>
      <c r="F37" s="17">
        <f>IF($A37="","",IFERROR(SUMIF(tblAnahtarA[Norm],$A37,tblVeriA[VergiKdv]),0))</f>
        <v/>
      </c>
      <c r="G37" s="17">
        <f>IF($A37="","",IFERROR(SUMIF(tblAnahtarA[Norm],$A37,tblVeriA[TuketimKwh]),0))</f>
        <v/>
      </c>
      <c r="H37" s="17">
        <f>IF(OR($A37="",$B37&lt;&gt;"tutar_farki"),"",IF(ABS($C37-$D37)&lt;=toleransKurus,"TARIFE",IF(ABS($C37-$E37)&lt;=toleransKurus,"DAGITIM",IF(ABS($C37-$F37)&lt;=toleransKurus,"KDV",IF($G37&gt;0,"TUKETIM","TANIMSIZ")))))</f>
        <v/>
      </c>
    </row>
    <row r="38">
      <c r="A38" s="22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IF($A38="","",IFERROR(SUMIF(tblAnahtarA[Norm],$A38,tblVeriA[EnerjiBedeli]),0))</f>
        <v/>
      </c>
      <c r="E38" s="17">
        <f>IF($A38="","",IFERROR(SUMIF(tblAnahtarA[Norm],$A38,tblVeriA[DagitimBedeli]),0))</f>
        <v/>
      </c>
      <c r="F38" s="17">
        <f>IF($A38="","",IFERROR(SUMIF(tblAnahtarA[Norm],$A38,tblVeriA[VergiKdv]),0))</f>
        <v/>
      </c>
      <c r="G38" s="17">
        <f>IF($A38="","",IFERROR(SUMIF(tblAnahtarA[Norm],$A38,tblVeriA[TuketimKwh]),0))</f>
        <v/>
      </c>
      <c r="H38" s="17">
        <f>IF(OR($A38="",$B38&lt;&gt;"tutar_farki"),"",IF(ABS($C38-$D38)&lt;=toleransKurus,"TARIFE",IF(ABS($C38-$E38)&lt;=toleransKurus,"DAGITIM",IF(ABS($C38-$F38)&lt;=toleransKurus,"KDV",IF($G38&gt;0,"TUKETIM","TANIMSIZ")))))</f>
        <v/>
      </c>
    </row>
    <row r="39">
      <c r="A39" s="22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IF($A39="","",IFERROR(SUMIF(tblAnahtarA[Norm],$A39,tblVeriA[EnerjiBedeli]),0))</f>
        <v/>
      </c>
      <c r="E39" s="17">
        <f>IF($A39="","",IFERROR(SUMIF(tblAnahtarA[Norm],$A39,tblVeriA[DagitimBedeli]),0))</f>
        <v/>
      </c>
      <c r="F39" s="17">
        <f>IF($A39="","",IFERROR(SUMIF(tblAnahtarA[Norm],$A39,tblVeriA[VergiKdv]),0))</f>
        <v/>
      </c>
      <c r="G39" s="17">
        <f>IF($A39="","",IFERROR(SUMIF(tblAnahtarA[Norm],$A39,tblVeriA[TuketimKwh]),0))</f>
        <v/>
      </c>
      <c r="H39" s="17">
        <f>IF(OR($A39="",$B39&lt;&gt;"tutar_farki"),"",IF(ABS($C39-$D39)&lt;=toleransKurus,"TARIFE",IF(ABS($C39-$E39)&lt;=toleransKurus,"DAGITIM",IF(ABS($C39-$F39)&lt;=toleransKurus,"KDV",IF($G39&gt;0,"TUKETIM","TANIMSIZ")))))</f>
        <v/>
      </c>
    </row>
    <row r="40">
      <c r="A40" s="22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IF($A40="","",IFERROR(SUMIF(tblAnahtarA[Norm],$A40,tblVeriA[EnerjiBedeli]),0))</f>
        <v/>
      </c>
      <c r="E40" s="17">
        <f>IF($A40="","",IFERROR(SUMIF(tblAnahtarA[Norm],$A40,tblVeriA[DagitimBedeli]),0))</f>
        <v/>
      </c>
      <c r="F40" s="17">
        <f>IF($A40="","",IFERROR(SUMIF(tblAnahtarA[Norm],$A40,tblVeriA[VergiKdv]),0))</f>
        <v/>
      </c>
      <c r="G40" s="17">
        <f>IF($A40="","",IFERROR(SUMIF(tblAnahtarA[Norm],$A40,tblVeriA[TuketimKwh]),0))</f>
        <v/>
      </c>
      <c r="H40" s="17">
        <f>IF(OR($A40="",$B40&lt;&gt;"tutar_farki"),"",IF(ABS($C40-$D40)&lt;=toleransKurus,"TARIFE",IF(ABS($C40-$E40)&lt;=toleransKurus,"DAGITIM",IF(ABS($C40-$F40)&lt;=toleransKurus,"KDV",IF($G40&gt;0,"TUKETIM","TANIMSIZ")))))</f>
        <v/>
      </c>
    </row>
    <row r="41">
      <c r="A41" s="22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IF($A41="","",IFERROR(SUMIF(tblAnahtarA[Norm],$A41,tblVeriA[EnerjiBedeli]),0))</f>
        <v/>
      </c>
      <c r="E41" s="17">
        <f>IF($A41="","",IFERROR(SUMIF(tblAnahtarA[Norm],$A41,tblVeriA[DagitimBedeli]),0))</f>
        <v/>
      </c>
      <c r="F41" s="17">
        <f>IF($A41="","",IFERROR(SUMIF(tblAnahtarA[Norm],$A41,tblVeriA[VergiKdv]),0))</f>
        <v/>
      </c>
      <c r="G41" s="17">
        <f>IF($A41="","",IFERROR(SUMIF(tblAnahtarA[Norm],$A41,tblVeriA[TuketimKwh]),0))</f>
        <v/>
      </c>
      <c r="H41" s="17">
        <f>IF(OR($A41="",$B41&lt;&gt;"tutar_farki"),"",IF(ABS($C41-$D41)&lt;=toleransKurus,"TARIFE",IF(ABS($C41-$E41)&lt;=toleransKurus,"DAGITIM",IF(ABS($C41-$F41)&lt;=toleransKurus,"KDV",IF($G41&gt;0,"TUKETIM","TANIMSIZ")))))</f>
        <v/>
      </c>
    </row>
    <row r="42">
      <c r="A42" s="22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IF($A42="","",IFERROR(SUMIF(tblAnahtarA[Norm],$A42,tblVeriA[EnerjiBedeli]),0))</f>
        <v/>
      </c>
      <c r="E42" s="17">
        <f>IF($A42="","",IFERROR(SUMIF(tblAnahtarA[Norm],$A42,tblVeriA[DagitimBedeli]),0))</f>
        <v/>
      </c>
      <c r="F42" s="17">
        <f>IF($A42="","",IFERROR(SUMIF(tblAnahtarA[Norm],$A42,tblVeriA[VergiKdv]),0))</f>
        <v/>
      </c>
      <c r="G42" s="17">
        <f>IF($A42="","",IFERROR(SUMIF(tblAnahtarA[Norm],$A42,tblVeriA[TuketimKwh]),0))</f>
        <v/>
      </c>
      <c r="H42" s="17">
        <f>IF(OR($A42="",$B42&lt;&gt;"tutar_farki"),"",IF(ABS($C42-$D42)&lt;=toleransKurus,"TARIFE",IF(ABS($C42-$E42)&lt;=toleransKurus,"DAGITIM",IF(ABS($C42-$F42)&lt;=toleransKurus,"KDV",IF($G42&gt;0,"TUKETIM","TANIMSIZ")))))</f>
        <v/>
      </c>
    </row>
    <row r="43">
      <c r="A43" s="22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IF($A43="","",IFERROR(SUMIF(tblAnahtarA[Norm],$A43,tblVeriA[EnerjiBedeli]),0))</f>
        <v/>
      </c>
      <c r="E43" s="17">
        <f>IF($A43="","",IFERROR(SUMIF(tblAnahtarA[Norm],$A43,tblVeriA[DagitimBedeli]),0))</f>
        <v/>
      </c>
      <c r="F43" s="17">
        <f>IF($A43="","",IFERROR(SUMIF(tblAnahtarA[Norm],$A43,tblVeriA[VergiKdv]),0))</f>
        <v/>
      </c>
      <c r="G43" s="17">
        <f>IF($A43="","",IFERROR(SUMIF(tblAnahtarA[Norm],$A43,tblVeriA[TuketimKwh]),0))</f>
        <v/>
      </c>
      <c r="H43" s="17">
        <f>IF(OR($A43="",$B43&lt;&gt;"tutar_farki"),"",IF(ABS($C43-$D43)&lt;=toleransKurus,"TARIFE",IF(ABS($C43-$E43)&lt;=toleransKurus,"DAGITIM",IF(ABS($C43-$F43)&lt;=toleransKurus,"KDV",IF($G43&gt;0,"TUKETIM","TANIMSIZ")))))</f>
        <v/>
      </c>
    </row>
    <row r="44">
      <c r="A44" s="22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IF($A44="","",IFERROR(SUMIF(tblAnahtarA[Norm],$A44,tblVeriA[EnerjiBedeli]),0))</f>
        <v/>
      </c>
      <c r="E44" s="17">
        <f>IF($A44="","",IFERROR(SUMIF(tblAnahtarA[Norm],$A44,tblVeriA[DagitimBedeli]),0))</f>
        <v/>
      </c>
      <c r="F44" s="17">
        <f>IF($A44="","",IFERROR(SUMIF(tblAnahtarA[Norm],$A44,tblVeriA[VergiKdv]),0))</f>
        <v/>
      </c>
      <c r="G44" s="17">
        <f>IF($A44="","",IFERROR(SUMIF(tblAnahtarA[Norm],$A44,tblVeriA[TuketimKwh]),0))</f>
        <v/>
      </c>
      <c r="H44" s="17">
        <f>IF(OR($A44="",$B44&lt;&gt;"tutar_farki"),"",IF(ABS($C44-$D44)&lt;=toleransKurus,"TARIFE",IF(ABS($C44-$E44)&lt;=toleransKurus,"DAGITIM",IF(ABS($C44-$F44)&lt;=toleransKurus,"KDV",IF($G44&gt;0,"TUKETIM","TANIMSIZ")))))</f>
        <v/>
      </c>
    </row>
    <row r="45">
      <c r="A45" s="22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IF($A45="","",IFERROR(SUMIF(tblAnahtarA[Norm],$A45,tblVeriA[EnerjiBedeli]),0))</f>
        <v/>
      </c>
      <c r="E45" s="17">
        <f>IF($A45="","",IFERROR(SUMIF(tblAnahtarA[Norm],$A45,tblVeriA[DagitimBedeli]),0))</f>
        <v/>
      </c>
      <c r="F45" s="17">
        <f>IF($A45="","",IFERROR(SUMIF(tblAnahtarA[Norm],$A45,tblVeriA[VergiKdv]),0))</f>
        <v/>
      </c>
      <c r="G45" s="17">
        <f>IF($A45="","",IFERROR(SUMIF(tblAnahtarA[Norm],$A45,tblVeriA[TuketimKwh]),0))</f>
        <v/>
      </c>
      <c r="H45" s="17">
        <f>IF(OR($A45="",$B45&lt;&gt;"tutar_farki"),"",IF(ABS($C45-$D45)&lt;=toleransKurus,"TARIFE",IF(ABS($C45-$E45)&lt;=toleransKurus,"DAGITIM",IF(ABS($C45-$F45)&lt;=toleransKurus,"KDV",IF($G45&gt;0,"TUKETIM","TANIMSIZ")))))</f>
        <v/>
      </c>
    </row>
    <row r="46">
      <c r="A46" s="22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IF($A46="","",IFERROR(SUMIF(tblAnahtarA[Norm],$A46,tblVeriA[EnerjiBedeli]),0))</f>
        <v/>
      </c>
      <c r="E46" s="17">
        <f>IF($A46="","",IFERROR(SUMIF(tblAnahtarA[Norm],$A46,tblVeriA[DagitimBedeli]),0))</f>
        <v/>
      </c>
      <c r="F46" s="17">
        <f>IF($A46="","",IFERROR(SUMIF(tblAnahtarA[Norm],$A46,tblVeriA[VergiKdv]),0))</f>
        <v/>
      </c>
      <c r="G46" s="17">
        <f>IF($A46="","",IFERROR(SUMIF(tblAnahtarA[Norm],$A46,tblVeriA[TuketimKwh]),0))</f>
        <v/>
      </c>
      <c r="H46" s="17">
        <f>IF(OR($A46="",$B46&lt;&gt;"tutar_farki"),"",IF(ABS($C46-$D46)&lt;=toleransKurus,"TARIFE",IF(ABS($C46-$E46)&lt;=toleransKurus,"DAGITIM",IF(ABS($C46-$F46)&lt;=toleransKurus,"KDV",IF($G46&gt;0,"TUKETIM","TANIMSIZ")))))</f>
        <v/>
      </c>
    </row>
    <row r="47">
      <c r="A47" s="22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IF($A47="","",IFERROR(SUMIF(tblAnahtarA[Norm],$A47,tblVeriA[EnerjiBedeli]),0))</f>
        <v/>
      </c>
      <c r="E47" s="17">
        <f>IF($A47="","",IFERROR(SUMIF(tblAnahtarA[Norm],$A47,tblVeriA[DagitimBedeli]),0))</f>
        <v/>
      </c>
      <c r="F47" s="17">
        <f>IF($A47="","",IFERROR(SUMIF(tblAnahtarA[Norm],$A47,tblVeriA[VergiKdv]),0))</f>
        <v/>
      </c>
      <c r="G47" s="17">
        <f>IF($A47="","",IFERROR(SUMIF(tblAnahtarA[Norm],$A47,tblVeriA[TuketimKwh]),0))</f>
        <v/>
      </c>
      <c r="H47" s="17">
        <f>IF(OR($A47="",$B47&lt;&gt;"tutar_farki"),"",IF(ABS($C47-$D47)&lt;=toleransKurus,"TARIFE",IF(ABS($C47-$E47)&lt;=toleransKurus,"DAGITIM",IF(ABS($C47-$F47)&lt;=toleransKurus,"KDV",IF($G47&gt;0,"TUKETIM","TANIMSIZ")))))</f>
        <v/>
      </c>
    </row>
    <row r="48">
      <c r="A48" s="22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IF($A48="","",IFERROR(SUMIF(tblAnahtarA[Norm],$A48,tblVeriA[EnerjiBedeli]),0))</f>
        <v/>
      </c>
      <c r="E48" s="17">
        <f>IF($A48="","",IFERROR(SUMIF(tblAnahtarA[Norm],$A48,tblVeriA[DagitimBedeli]),0))</f>
        <v/>
      </c>
      <c r="F48" s="17">
        <f>IF($A48="","",IFERROR(SUMIF(tblAnahtarA[Norm],$A48,tblVeriA[VergiKdv]),0))</f>
        <v/>
      </c>
      <c r="G48" s="17">
        <f>IF($A48="","",IFERROR(SUMIF(tblAnahtarA[Norm],$A48,tblVeriA[TuketimKwh]),0))</f>
        <v/>
      </c>
      <c r="H48" s="17">
        <f>IF(OR($A48="",$B48&lt;&gt;"tutar_farki"),"",IF(ABS($C48-$D48)&lt;=toleransKurus,"TARIFE",IF(ABS($C48-$E48)&lt;=toleransKurus,"DAGITIM",IF(ABS($C48-$F48)&lt;=toleransKurus,"KDV",IF($G48&gt;0,"TUKETIM","TANIMSIZ")))))</f>
        <v/>
      </c>
    </row>
    <row r="49">
      <c r="A49" s="22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IF($A49="","",IFERROR(SUMIF(tblAnahtarA[Norm],$A49,tblVeriA[EnerjiBedeli]),0))</f>
        <v/>
      </c>
      <c r="E49" s="17">
        <f>IF($A49="","",IFERROR(SUMIF(tblAnahtarA[Norm],$A49,tblVeriA[DagitimBedeli]),0))</f>
        <v/>
      </c>
      <c r="F49" s="17">
        <f>IF($A49="","",IFERROR(SUMIF(tblAnahtarA[Norm],$A49,tblVeriA[VergiKdv]),0))</f>
        <v/>
      </c>
      <c r="G49" s="17">
        <f>IF($A49="","",IFERROR(SUMIF(tblAnahtarA[Norm],$A49,tblVeriA[TuketimKwh]),0))</f>
        <v/>
      </c>
      <c r="H49" s="17">
        <f>IF(OR($A49="",$B49&lt;&gt;"tutar_farki"),"",IF(ABS($C49-$D49)&lt;=toleransKurus,"TARIFE",IF(ABS($C49-$E49)&lt;=toleransKurus,"DAGITIM",IF(ABS($C49-$F49)&lt;=toleransKurus,"KDV",IF($G49&gt;0,"TUKETIM","TANIMSIZ")))))</f>
        <v/>
      </c>
    </row>
    <row r="50">
      <c r="A50" s="22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IF($A50="","",IFERROR(SUMIF(tblAnahtarA[Norm],$A50,tblVeriA[EnerjiBedeli]),0))</f>
        <v/>
      </c>
      <c r="E50" s="17">
        <f>IF($A50="","",IFERROR(SUMIF(tblAnahtarA[Norm],$A50,tblVeriA[DagitimBedeli]),0))</f>
        <v/>
      </c>
      <c r="F50" s="17">
        <f>IF($A50="","",IFERROR(SUMIF(tblAnahtarA[Norm],$A50,tblVeriA[VergiKdv]),0))</f>
        <v/>
      </c>
      <c r="G50" s="17">
        <f>IF($A50="","",IFERROR(SUMIF(tblAnahtarA[Norm],$A50,tblVeriA[TuketimKwh]),0))</f>
        <v/>
      </c>
      <c r="H50" s="17">
        <f>IF(OR($A50="",$B50&lt;&gt;"tutar_farki"),"",IF(ABS($C50-$D50)&lt;=toleransKurus,"TARIFE",IF(ABS($C50-$E50)&lt;=toleransKurus,"DAGITIM",IF(ABS($C50-$F50)&lt;=toleransKurus,"KDV",IF($G50&gt;0,"TUKETIM","TANIMSIZ")))))</f>
        <v/>
      </c>
    </row>
    <row r="51">
      <c r="A51" s="22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IF($A51="","",IFERROR(SUMIF(tblAnahtarA[Norm],$A51,tblVeriA[EnerjiBedeli]),0))</f>
        <v/>
      </c>
      <c r="E51" s="17">
        <f>IF($A51="","",IFERROR(SUMIF(tblAnahtarA[Norm],$A51,tblVeriA[DagitimBedeli]),0))</f>
        <v/>
      </c>
      <c r="F51" s="17">
        <f>IF($A51="","",IFERROR(SUMIF(tblAnahtarA[Norm],$A51,tblVeriA[VergiKdv]),0))</f>
        <v/>
      </c>
      <c r="G51" s="17">
        <f>IF($A51="","",IFERROR(SUMIF(tblAnahtarA[Norm],$A51,tblVeriA[TuketimKwh]),0))</f>
        <v/>
      </c>
      <c r="H51" s="17">
        <f>IF(OR($A51="",$B51&lt;&gt;"tutar_farki"),"",IF(ABS($C51-$D51)&lt;=toleransKurus,"TARIFE",IF(ABS($C51-$E51)&lt;=toleransKurus,"DAGITIM",IF(ABS($C51-$F51)&lt;=toleransKurus,"KDV",IF($G51&gt;0,"TUKETIM","TANIMSIZ")))))</f>
        <v/>
      </c>
    </row>
    <row r="52">
      <c r="A52" s="22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IF($A52="","",IFERROR(SUMIF(tblAnahtarA[Norm],$A52,tblVeriA[EnerjiBedeli]),0))</f>
        <v/>
      </c>
      <c r="E52" s="17">
        <f>IF($A52="","",IFERROR(SUMIF(tblAnahtarA[Norm],$A52,tblVeriA[DagitimBedeli]),0))</f>
        <v/>
      </c>
      <c r="F52" s="17">
        <f>IF($A52="","",IFERROR(SUMIF(tblAnahtarA[Norm],$A52,tblVeriA[VergiKdv]),0))</f>
        <v/>
      </c>
      <c r="G52" s="17">
        <f>IF($A52="","",IFERROR(SUMIF(tblAnahtarA[Norm],$A52,tblVeriA[TuketimKwh]),0))</f>
        <v/>
      </c>
      <c r="H52" s="17">
        <f>IF(OR($A52="",$B52&lt;&gt;"tutar_farki"),"",IF(ABS($C52-$D52)&lt;=toleransKurus,"TARIFE",IF(ABS($C52-$E52)&lt;=toleransKurus,"DAGITIM",IF(ABS($C52-$F52)&lt;=toleransKurus,"KDV",IF($G52&gt;0,"TUKETIM","TANIMSIZ")))))</f>
        <v/>
      </c>
    </row>
    <row r="53">
      <c r="A53" s="22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IF($A53="","",IFERROR(SUMIF(tblAnahtarA[Norm],$A53,tblVeriA[EnerjiBedeli]),0))</f>
        <v/>
      </c>
      <c r="E53" s="17">
        <f>IF($A53="","",IFERROR(SUMIF(tblAnahtarA[Norm],$A53,tblVeriA[DagitimBedeli]),0))</f>
        <v/>
      </c>
      <c r="F53" s="17">
        <f>IF($A53="","",IFERROR(SUMIF(tblAnahtarA[Norm],$A53,tblVeriA[VergiKdv]),0))</f>
        <v/>
      </c>
      <c r="G53" s="17">
        <f>IF($A53="","",IFERROR(SUMIF(tblAnahtarA[Norm],$A53,tblVeriA[TuketimKwh]),0))</f>
        <v/>
      </c>
      <c r="H53" s="17">
        <f>IF(OR($A53="",$B53&lt;&gt;"tutar_farki"),"",IF(ABS($C53-$D53)&lt;=toleransKurus,"TARIFE",IF(ABS($C53-$E53)&lt;=toleransKurus,"DAGITIM",IF(ABS($C53-$F53)&lt;=toleransKurus,"KDV",IF($G53&gt;0,"TUKETIM","TANIMSIZ")))))</f>
        <v/>
      </c>
    </row>
    <row r="54">
      <c r="A54" s="22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IF($A54="","",IFERROR(SUMIF(tblAnahtarA[Norm],$A54,tblVeriA[EnerjiBedeli]),0))</f>
        <v/>
      </c>
      <c r="E54" s="17">
        <f>IF($A54="","",IFERROR(SUMIF(tblAnahtarA[Norm],$A54,tblVeriA[DagitimBedeli]),0))</f>
        <v/>
      </c>
      <c r="F54" s="17">
        <f>IF($A54="","",IFERROR(SUMIF(tblAnahtarA[Norm],$A54,tblVeriA[VergiKdv]),0))</f>
        <v/>
      </c>
      <c r="G54" s="17">
        <f>IF($A54="","",IFERROR(SUMIF(tblAnahtarA[Norm],$A54,tblVeriA[TuketimKwh]),0))</f>
        <v/>
      </c>
      <c r="H54" s="17">
        <f>IF(OR($A54="",$B54&lt;&gt;"tutar_farki"),"",IF(ABS($C54-$D54)&lt;=toleransKurus,"TARIFE",IF(ABS($C54-$E54)&lt;=toleransKurus,"DAGITIM",IF(ABS($C54-$F54)&lt;=toleransKurus,"KDV",IF($G54&gt;0,"TUKETIM","TANIMSIZ")))))</f>
        <v/>
      </c>
    </row>
    <row r="55">
      <c r="A55" s="22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IF($A55="","",IFERROR(SUMIF(tblAnahtarA[Norm],$A55,tblVeriA[EnerjiBedeli]),0))</f>
        <v/>
      </c>
      <c r="E55" s="17">
        <f>IF($A55="","",IFERROR(SUMIF(tblAnahtarA[Norm],$A55,tblVeriA[DagitimBedeli]),0))</f>
        <v/>
      </c>
      <c r="F55" s="17">
        <f>IF($A55="","",IFERROR(SUMIF(tblAnahtarA[Norm],$A55,tblVeriA[VergiKdv]),0))</f>
        <v/>
      </c>
      <c r="G55" s="17">
        <f>IF($A55="","",IFERROR(SUMIF(tblAnahtarA[Norm],$A55,tblVeriA[TuketimKwh]),0))</f>
        <v/>
      </c>
      <c r="H55" s="17">
        <f>IF(OR($A55="",$B55&lt;&gt;"tutar_farki"),"",IF(ABS($C55-$D55)&lt;=toleransKurus,"TARIFE",IF(ABS($C55-$E55)&lt;=toleransKurus,"DAGITIM",IF(ABS($C55-$F55)&lt;=toleransKurus,"KDV",IF($G55&gt;0,"TUKETIM","TANIMSIZ")))))</f>
        <v/>
      </c>
    </row>
    <row r="56">
      <c r="A56" s="22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IF($A56="","",IFERROR(SUMIF(tblAnahtarA[Norm],$A56,tblVeriA[EnerjiBedeli]),0))</f>
        <v/>
      </c>
      <c r="E56" s="17">
        <f>IF($A56="","",IFERROR(SUMIF(tblAnahtarA[Norm],$A56,tblVeriA[DagitimBedeli]),0))</f>
        <v/>
      </c>
      <c r="F56" s="17">
        <f>IF($A56="","",IFERROR(SUMIF(tblAnahtarA[Norm],$A56,tblVeriA[VergiKdv]),0))</f>
        <v/>
      </c>
      <c r="G56" s="17">
        <f>IF($A56="","",IFERROR(SUMIF(tblAnahtarA[Norm],$A56,tblVeriA[TuketimKwh]),0))</f>
        <v/>
      </c>
      <c r="H56" s="17">
        <f>IF(OR($A56="",$B56&lt;&gt;"tutar_farki"),"",IF(ABS($C56-$D56)&lt;=toleransKurus,"TARIFE",IF(ABS($C56-$E56)&lt;=toleransKurus,"DAGITIM",IF(ABS($C56-$F56)&lt;=toleransKurus,"KDV",IF($G56&gt;0,"TUKETIM","TANIMSIZ")))))</f>
        <v/>
      </c>
    </row>
    <row r="57">
      <c r="A57" s="22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IF($A57="","",IFERROR(SUMIF(tblAnahtarA[Norm],$A57,tblVeriA[EnerjiBedeli]),0))</f>
        <v/>
      </c>
      <c r="E57" s="17">
        <f>IF($A57="","",IFERROR(SUMIF(tblAnahtarA[Norm],$A57,tblVeriA[DagitimBedeli]),0))</f>
        <v/>
      </c>
      <c r="F57" s="17">
        <f>IF($A57="","",IFERROR(SUMIF(tblAnahtarA[Norm],$A57,tblVeriA[VergiKdv]),0))</f>
        <v/>
      </c>
      <c r="G57" s="17">
        <f>IF($A57="","",IFERROR(SUMIF(tblAnahtarA[Norm],$A57,tblVeriA[TuketimKwh]),0))</f>
        <v/>
      </c>
      <c r="H57" s="17">
        <f>IF(OR($A57="",$B57&lt;&gt;"tutar_farki"),"",IF(ABS($C57-$D57)&lt;=toleransKurus,"TARIFE",IF(ABS($C57-$E57)&lt;=toleransKurus,"DAGITIM",IF(ABS($C57-$F57)&lt;=toleransKurus,"KDV",IF($G57&gt;0,"TUKETIM","TANIMSIZ")))))</f>
        <v/>
      </c>
    </row>
    <row r="58">
      <c r="A58" s="22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IF($A58="","",IFERROR(SUMIF(tblAnahtarA[Norm],$A58,tblVeriA[EnerjiBedeli]),0))</f>
        <v/>
      </c>
      <c r="E58" s="17">
        <f>IF($A58="","",IFERROR(SUMIF(tblAnahtarA[Norm],$A58,tblVeriA[DagitimBedeli]),0))</f>
        <v/>
      </c>
      <c r="F58" s="17">
        <f>IF($A58="","",IFERROR(SUMIF(tblAnahtarA[Norm],$A58,tblVeriA[VergiKdv]),0))</f>
        <v/>
      </c>
      <c r="G58" s="17">
        <f>IF($A58="","",IFERROR(SUMIF(tblAnahtarA[Norm],$A58,tblVeriA[TuketimKwh]),0))</f>
        <v/>
      </c>
      <c r="H58" s="17">
        <f>IF(OR($A58="",$B58&lt;&gt;"tutar_farki"),"",IF(ABS($C58-$D58)&lt;=toleransKurus,"TARIFE",IF(ABS($C58-$E58)&lt;=toleransKurus,"DAGITIM",IF(ABS($C58-$F58)&lt;=toleransKurus,"KDV",IF($G58&gt;0,"TUKETIM","TANIMSIZ")))))</f>
        <v/>
      </c>
    </row>
    <row r="59">
      <c r="A59" s="22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IF($A59="","",IFERROR(SUMIF(tblAnahtarA[Norm],$A59,tblVeriA[EnerjiBedeli]),0))</f>
        <v/>
      </c>
      <c r="E59" s="17">
        <f>IF($A59="","",IFERROR(SUMIF(tblAnahtarA[Norm],$A59,tblVeriA[DagitimBedeli]),0))</f>
        <v/>
      </c>
      <c r="F59" s="17">
        <f>IF($A59="","",IFERROR(SUMIF(tblAnahtarA[Norm],$A59,tblVeriA[VergiKdv]),0))</f>
        <v/>
      </c>
      <c r="G59" s="17">
        <f>IF($A59="","",IFERROR(SUMIF(tblAnahtarA[Norm],$A59,tblVeriA[TuketimKwh]),0))</f>
        <v/>
      </c>
      <c r="H59" s="17">
        <f>IF(OR($A59="",$B59&lt;&gt;"tutar_farki"),"",IF(ABS($C59-$D59)&lt;=toleransKurus,"TARIFE",IF(ABS($C59-$E59)&lt;=toleransKurus,"DAGITIM",IF(ABS($C59-$F59)&lt;=toleransKurus,"KDV",IF($G59&gt;0,"TUKETIM","TANIMSIZ")))))</f>
        <v/>
      </c>
    </row>
    <row r="60">
      <c r="A60" s="22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IF($A60="","",IFERROR(SUMIF(tblAnahtarA[Norm],$A60,tblVeriA[EnerjiBedeli]),0))</f>
        <v/>
      </c>
      <c r="E60" s="17">
        <f>IF($A60="","",IFERROR(SUMIF(tblAnahtarA[Norm],$A60,tblVeriA[DagitimBedeli]),0))</f>
        <v/>
      </c>
      <c r="F60" s="17">
        <f>IF($A60="","",IFERROR(SUMIF(tblAnahtarA[Norm],$A60,tblVeriA[VergiKdv]),0))</f>
        <v/>
      </c>
      <c r="G60" s="17">
        <f>IF($A60="","",IFERROR(SUMIF(tblAnahtarA[Norm],$A60,tblVeriA[TuketimKwh]),0))</f>
        <v/>
      </c>
      <c r="H60" s="17">
        <f>IF(OR($A60="",$B60&lt;&gt;"tutar_farki"),"",IF(ABS($C60-$D60)&lt;=toleransKurus,"TARIFE",IF(ABS($C60-$E60)&lt;=toleransKurus,"DAGITIM",IF(ABS($C60-$F60)&lt;=toleransKurus,"KDV",IF($G60&gt;0,"TUKETIM","TANIMSIZ")))))</f>
        <v/>
      </c>
    </row>
    <row r="61">
      <c r="A61" s="22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IF($A61="","",IFERROR(SUMIF(tblAnahtarA[Norm],$A61,tblVeriA[EnerjiBedeli]),0))</f>
        <v/>
      </c>
      <c r="E61" s="17">
        <f>IF($A61="","",IFERROR(SUMIF(tblAnahtarA[Norm],$A61,tblVeriA[DagitimBedeli]),0))</f>
        <v/>
      </c>
      <c r="F61" s="17">
        <f>IF($A61="","",IFERROR(SUMIF(tblAnahtarA[Norm],$A61,tblVeriA[VergiKdv]),0))</f>
        <v/>
      </c>
      <c r="G61" s="17">
        <f>IF($A61="","",IFERROR(SUMIF(tblAnahtarA[Norm],$A61,tblVeriA[TuketimKwh]),0))</f>
        <v/>
      </c>
      <c r="H61" s="17">
        <f>IF(OR($A61="",$B61&lt;&gt;"tutar_farki"),"",IF(ABS($C61-$D61)&lt;=toleransKurus,"TARIFE",IF(ABS($C61-$E61)&lt;=toleransKurus,"DAGITIM",IF(ABS($C61-$F61)&lt;=toleransKurus,"KDV",IF($G61&gt;0,"TUKETIM","TANIMSIZ")))))</f>
        <v/>
      </c>
    </row>
    <row r="62">
      <c r="A62" s="22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IF($A62="","",IFERROR(SUMIF(tblAnahtarA[Norm],$A62,tblVeriA[EnerjiBedeli]),0))</f>
        <v/>
      </c>
      <c r="E62" s="17">
        <f>IF($A62="","",IFERROR(SUMIF(tblAnahtarA[Norm],$A62,tblVeriA[DagitimBedeli]),0))</f>
        <v/>
      </c>
      <c r="F62" s="17">
        <f>IF($A62="","",IFERROR(SUMIF(tblAnahtarA[Norm],$A62,tblVeriA[VergiKdv]),0))</f>
        <v/>
      </c>
      <c r="G62" s="17">
        <f>IF($A62="","",IFERROR(SUMIF(tblAnahtarA[Norm],$A62,tblVeriA[TuketimKwh]),0))</f>
        <v/>
      </c>
      <c r="H62" s="17">
        <f>IF(OR($A62="",$B62&lt;&gt;"tutar_farki"),"",IF(ABS($C62-$D62)&lt;=toleransKurus,"TARIFE",IF(ABS($C62-$E62)&lt;=toleransKurus,"DAGITIM",IF(ABS($C62-$F62)&lt;=toleransKurus,"KDV",IF($G62&gt;0,"TUKETIM","TANIMSIZ")))))</f>
        <v/>
      </c>
    </row>
    <row r="63">
      <c r="A63" s="22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IF($A63="","",IFERROR(SUMIF(tblAnahtarA[Norm],$A63,tblVeriA[EnerjiBedeli]),0))</f>
        <v/>
      </c>
      <c r="E63" s="17">
        <f>IF($A63="","",IFERROR(SUMIF(tblAnahtarA[Norm],$A63,tblVeriA[DagitimBedeli]),0))</f>
        <v/>
      </c>
      <c r="F63" s="17">
        <f>IF($A63="","",IFERROR(SUMIF(tblAnahtarA[Norm],$A63,tblVeriA[VergiKdv]),0))</f>
        <v/>
      </c>
      <c r="G63" s="17">
        <f>IF($A63="","",IFERROR(SUMIF(tblAnahtarA[Norm],$A63,tblVeriA[TuketimKwh]),0))</f>
        <v/>
      </c>
      <c r="H63" s="17">
        <f>IF(OR($A63="",$B63&lt;&gt;"tutar_farki"),"",IF(ABS($C63-$D63)&lt;=toleransKurus,"TARIFE",IF(ABS($C63-$E63)&lt;=toleransKurus,"DAGITIM",IF(ABS($C63-$F63)&lt;=toleransKurus,"KDV",IF($G63&gt;0,"TUKETIM","TANIMSIZ")))))</f>
        <v/>
      </c>
    </row>
    <row r="64">
      <c r="A64" s="22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IF($A64="","",IFERROR(SUMIF(tblAnahtarA[Norm],$A64,tblVeriA[EnerjiBedeli]),0))</f>
        <v/>
      </c>
      <c r="E64" s="17">
        <f>IF($A64="","",IFERROR(SUMIF(tblAnahtarA[Norm],$A64,tblVeriA[DagitimBedeli]),0))</f>
        <v/>
      </c>
      <c r="F64" s="17">
        <f>IF($A64="","",IFERROR(SUMIF(tblAnahtarA[Norm],$A64,tblVeriA[VergiKdv]),0))</f>
        <v/>
      </c>
      <c r="G64" s="17">
        <f>IF($A64="","",IFERROR(SUMIF(tblAnahtarA[Norm],$A64,tblVeriA[TuketimKwh]),0))</f>
        <v/>
      </c>
      <c r="H64" s="17">
        <f>IF(OR($A64="",$B64&lt;&gt;"tutar_farki"),"",IF(ABS($C64-$D64)&lt;=toleransKurus,"TARIFE",IF(ABS($C64-$E64)&lt;=toleransKurus,"DAGITIM",IF(ABS($C64-$F64)&lt;=toleransKurus,"KDV",IF($G64&gt;0,"TUKETIM","TANIMSIZ")))))</f>
        <v/>
      </c>
    </row>
    <row r="65">
      <c r="A65" s="22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IF($A65="","",IFERROR(SUMIF(tblAnahtarA[Norm],$A65,tblVeriA[EnerjiBedeli]),0))</f>
        <v/>
      </c>
      <c r="E65" s="17">
        <f>IF($A65="","",IFERROR(SUMIF(tblAnahtarA[Norm],$A65,tblVeriA[DagitimBedeli]),0))</f>
        <v/>
      </c>
      <c r="F65" s="17">
        <f>IF($A65="","",IFERROR(SUMIF(tblAnahtarA[Norm],$A65,tblVeriA[VergiKdv]),0))</f>
        <v/>
      </c>
      <c r="G65" s="17">
        <f>IF($A65="","",IFERROR(SUMIF(tblAnahtarA[Norm],$A65,tblVeriA[TuketimKwh]),0))</f>
        <v/>
      </c>
      <c r="H65" s="17">
        <f>IF(OR($A65="",$B65&lt;&gt;"tutar_farki"),"",IF(ABS($C65-$D65)&lt;=toleransKurus,"TARIFE",IF(ABS($C65-$E65)&lt;=toleransKurus,"DAGITIM",IF(ABS($C65-$F65)&lt;=toleransKurus,"KDV",IF($G65&gt;0,"TUKETIM","TANIMSIZ")))))</f>
        <v/>
      </c>
    </row>
    <row r="66">
      <c r="A66" s="22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IF($A66="","",IFERROR(SUMIF(tblAnahtarA[Norm],$A66,tblVeriA[EnerjiBedeli]),0))</f>
        <v/>
      </c>
      <c r="E66" s="17">
        <f>IF($A66="","",IFERROR(SUMIF(tblAnahtarA[Norm],$A66,tblVeriA[DagitimBedeli]),0))</f>
        <v/>
      </c>
      <c r="F66" s="17">
        <f>IF($A66="","",IFERROR(SUMIF(tblAnahtarA[Norm],$A66,tblVeriA[VergiKdv]),0))</f>
        <v/>
      </c>
      <c r="G66" s="17">
        <f>IF($A66="","",IFERROR(SUMIF(tblAnahtarA[Norm],$A66,tblVeriA[TuketimKwh]),0))</f>
        <v/>
      </c>
      <c r="H66" s="17">
        <f>IF(OR($A66="",$B66&lt;&gt;"tutar_farki"),"",IF(ABS($C66-$D66)&lt;=toleransKurus,"TARIFE",IF(ABS($C66-$E66)&lt;=toleransKurus,"DAGITIM",IF(ABS($C66-$F66)&lt;=toleransKurus,"KDV",IF($G66&gt;0,"TUKETIM","TANIMSIZ")))))</f>
        <v/>
      </c>
    </row>
    <row r="67">
      <c r="A67" s="22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IF($A67="","",IFERROR(SUMIF(tblAnahtarA[Norm],$A67,tblVeriA[EnerjiBedeli]),0))</f>
        <v/>
      </c>
      <c r="E67" s="17">
        <f>IF($A67="","",IFERROR(SUMIF(tblAnahtarA[Norm],$A67,tblVeriA[DagitimBedeli]),0))</f>
        <v/>
      </c>
      <c r="F67" s="17">
        <f>IF($A67="","",IFERROR(SUMIF(tblAnahtarA[Norm],$A67,tblVeriA[VergiKdv]),0))</f>
        <v/>
      </c>
      <c r="G67" s="17">
        <f>IF($A67="","",IFERROR(SUMIF(tblAnahtarA[Norm],$A67,tblVeriA[TuketimKwh]),0))</f>
        <v/>
      </c>
      <c r="H67" s="17">
        <f>IF(OR($A67="",$B67&lt;&gt;"tutar_farki"),"",IF(ABS($C67-$D67)&lt;=toleransKurus,"TARIFE",IF(ABS($C67-$E67)&lt;=toleransKurus,"DAGITIM",IF(ABS($C67-$F67)&lt;=toleransKurus,"KDV",IF($G67&gt;0,"TUKETIM","TANIMSIZ")))))</f>
        <v/>
      </c>
    </row>
    <row r="68">
      <c r="A68" s="22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IF($A68="","",IFERROR(SUMIF(tblAnahtarA[Norm],$A68,tblVeriA[EnerjiBedeli]),0))</f>
        <v/>
      </c>
      <c r="E68" s="17">
        <f>IF($A68="","",IFERROR(SUMIF(tblAnahtarA[Norm],$A68,tblVeriA[DagitimBedeli]),0))</f>
        <v/>
      </c>
      <c r="F68" s="17">
        <f>IF($A68="","",IFERROR(SUMIF(tblAnahtarA[Norm],$A68,tblVeriA[VergiKdv]),0))</f>
        <v/>
      </c>
      <c r="G68" s="17">
        <f>IF($A68="","",IFERROR(SUMIF(tblAnahtarA[Norm],$A68,tblVeriA[TuketimKwh]),0))</f>
        <v/>
      </c>
      <c r="H68" s="17">
        <f>IF(OR($A68="",$B68&lt;&gt;"tutar_farki"),"",IF(ABS($C68-$D68)&lt;=toleransKurus,"TARIFE",IF(ABS($C68-$E68)&lt;=toleransKurus,"DAGITIM",IF(ABS($C68-$F68)&lt;=toleransKurus,"KDV",IF($G68&gt;0,"TUKETIM","TANIMSIZ")))))</f>
        <v/>
      </c>
    </row>
    <row r="69">
      <c r="A69" s="22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IF($A69="","",IFERROR(SUMIF(tblAnahtarA[Norm],$A69,tblVeriA[EnerjiBedeli]),0))</f>
        <v/>
      </c>
      <c r="E69" s="17">
        <f>IF($A69="","",IFERROR(SUMIF(tblAnahtarA[Norm],$A69,tblVeriA[DagitimBedeli]),0))</f>
        <v/>
      </c>
      <c r="F69" s="17">
        <f>IF($A69="","",IFERROR(SUMIF(tblAnahtarA[Norm],$A69,tblVeriA[VergiKdv]),0))</f>
        <v/>
      </c>
      <c r="G69" s="17">
        <f>IF($A69="","",IFERROR(SUMIF(tblAnahtarA[Norm],$A69,tblVeriA[TuketimKwh]),0))</f>
        <v/>
      </c>
      <c r="H69" s="17">
        <f>IF(OR($A69="",$B69&lt;&gt;"tutar_farki"),"",IF(ABS($C69-$D69)&lt;=toleransKurus,"TARIFE",IF(ABS($C69-$E69)&lt;=toleransKurus,"DAGITIM",IF(ABS($C69-$F69)&lt;=toleransKurus,"KDV",IF($G69&gt;0,"TUKETIM","TANIMSIZ")))))</f>
        <v/>
      </c>
    </row>
    <row r="70">
      <c r="A70" s="22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IF($A70="","",IFERROR(SUMIF(tblAnahtarA[Norm],$A70,tblVeriA[EnerjiBedeli]),0))</f>
        <v/>
      </c>
      <c r="E70" s="17">
        <f>IF($A70="","",IFERROR(SUMIF(tblAnahtarA[Norm],$A70,tblVeriA[DagitimBedeli]),0))</f>
        <v/>
      </c>
      <c r="F70" s="17">
        <f>IF($A70="","",IFERROR(SUMIF(tblAnahtarA[Norm],$A70,tblVeriA[VergiKdv]),0))</f>
        <v/>
      </c>
      <c r="G70" s="17">
        <f>IF($A70="","",IFERROR(SUMIF(tblAnahtarA[Norm],$A70,tblVeriA[TuketimKwh]),0))</f>
        <v/>
      </c>
      <c r="H70" s="17">
        <f>IF(OR($A70="",$B70&lt;&gt;"tutar_farki"),"",IF(ABS($C70-$D70)&lt;=toleransKurus,"TARIFE",IF(ABS($C70-$E70)&lt;=toleransKurus,"DAGITIM",IF(ABS($C70-$F70)&lt;=toleransKurus,"KDV",IF($G70&gt;0,"TUKETIM","TANIMSIZ")))))</f>
        <v/>
      </c>
    </row>
    <row r="71">
      <c r="A71" s="22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IF($A71="","",IFERROR(SUMIF(tblAnahtarA[Norm],$A71,tblVeriA[EnerjiBedeli]),0))</f>
        <v/>
      </c>
      <c r="E71" s="17">
        <f>IF($A71="","",IFERROR(SUMIF(tblAnahtarA[Norm],$A71,tblVeriA[DagitimBedeli]),0))</f>
        <v/>
      </c>
      <c r="F71" s="17">
        <f>IF($A71="","",IFERROR(SUMIF(tblAnahtarA[Norm],$A71,tblVeriA[VergiKdv]),0))</f>
        <v/>
      </c>
      <c r="G71" s="17">
        <f>IF($A71="","",IFERROR(SUMIF(tblAnahtarA[Norm],$A71,tblVeriA[TuketimKwh]),0))</f>
        <v/>
      </c>
      <c r="H71" s="17">
        <f>IF(OR($A71="",$B71&lt;&gt;"tutar_farki"),"",IF(ABS($C71-$D71)&lt;=toleransKurus,"TARIFE",IF(ABS($C71-$E71)&lt;=toleransKurus,"DAGITIM",IF(ABS($C71-$F71)&lt;=toleransKurus,"KDV",IF($G71&gt;0,"TUKETIM","TANIMSIZ")))))</f>
        <v/>
      </c>
    </row>
    <row r="72">
      <c r="A72" s="22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IF($A72="","",IFERROR(SUMIF(tblAnahtarA[Norm],$A72,tblVeriA[EnerjiBedeli]),0))</f>
        <v/>
      </c>
      <c r="E72" s="17">
        <f>IF($A72="","",IFERROR(SUMIF(tblAnahtarA[Norm],$A72,tblVeriA[DagitimBedeli]),0))</f>
        <v/>
      </c>
      <c r="F72" s="17">
        <f>IF($A72="","",IFERROR(SUMIF(tblAnahtarA[Norm],$A72,tblVeriA[VergiKdv]),0))</f>
        <v/>
      </c>
      <c r="G72" s="17">
        <f>IF($A72="","",IFERROR(SUMIF(tblAnahtarA[Norm],$A72,tblVeriA[TuketimKwh]),0))</f>
        <v/>
      </c>
      <c r="H72" s="17">
        <f>IF(OR($A72="",$B72&lt;&gt;"tutar_farki"),"",IF(ABS($C72-$D72)&lt;=toleransKurus,"TARIFE",IF(ABS($C72-$E72)&lt;=toleransKurus,"DAGITIM",IF(ABS($C72-$F72)&lt;=toleransKurus,"KDV",IF($G72&gt;0,"TUKETIM","TANIMSIZ")))))</f>
        <v/>
      </c>
    </row>
    <row r="73">
      <c r="A73" s="22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IF($A73="","",IFERROR(SUMIF(tblAnahtarA[Norm],$A73,tblVeriA[EnerjiBedeli]),0))</f>
        <v/>
      </c>
      <c r="E73" s="17">
        <f>IF($A73="","",IFERROR(SUMIF(tblAnahtarA[Norm],$A73,tblVeriA[DagitimBedeli]),0))</f>
        <v/>
      </c>
      <c r="F73" s="17">
        <f>IF($A73="","",IFERROR(SUMIF(tblAnahtarA[Norm],$A73,tblVeriA[VergiKdv]),0))</f>
        <v/>
      </c>
      <c r="G73" s="17">
        <f>IF($A73="","",IFERROR(SUMIF(tblAnahtarA[Norm],$A73,tblVeriA[TuketimKwh]),0))</f>
        <v/>
      </c>
      <c r="H73" s="17">
        <f>IF(OR($A73="",$B73&lt;&gt;"tutar_farki"),"",IF(ABS($C73-$D73)&lt;=toleransKurus,"TARIFE",IF(ABS($C73-$E73)&lt;=toleransKurus,"DAGITIM",IF(ABS($C73-$F73)&lt;=toleransKurus,"KDV",IF($G73&gt;0,"TUKETIM","TANIMSIZ")))))</f>
        <v/>
      </c>
    </row>
    <row r="74">
      <c r="A74" s="22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IF($A74="","",IFERROR(SUMIF(tblAnahtarA[Norm],$A74,tblVeriA[EnerjiBedeli]),0))</f>
        <v/>
      </c>
      <c r="E74" s="17">
        <f>IF($A74="","",IFERROR(SUMIF(tblAnahtarA[Norm],$A74,tblVeriA[DagitimBedeli]),0))</f>
        <v/>
      </c>
      <c r="F74" s="17">
        <f>IF($A74="","",IFERROR(SUMIF(tblAnahtarA[Norm],$A74,tblVeriA[VergiKdv]),0))</f>
        <v/>
      </c>
      <c r="G74" s="17">
        <f>IF($A74="","",IFERROR(SUMIF(tblAnahtarA[Norm],$A74,tblVeriA[TuketimKwh]),0))</f>
        <v/>
      </c>
      <c r="H74" s="17">
        <f>IF(OR($A74="",$B74&lt;&gt;"tutar_farki"),"",IF(ABS($C74-$D74)&lt;=toleransKurus,"TARIFE",IF(ABS($C74-$E74)&lt;=toleransKurus,"DAGITIM",IF(ABS($C74-$F74)&lt;=toleransKurus,"KDV",IF($G74&gt;0,"TUKETIM","TANIMSIZ")))))</f>
        <v/>
      </c>
    </row>
    <row r="75">
      <c r="A75" s="22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IF($A75="","",IFERROR(SUMIF(tblAnahtarA[Norm],$A75,tblVeriA[EnerjiBedeli]),0))</f>
        <v/>
      </c>
      <c r="E75" s="17">
        <f>IF($A75="","",IFERROR(SUMIF(tblAnahtarA[Norm],$A75,tblVeriA[DagitimBedeli]),0))</f>
        <v/>
      </c>
      <c r="F75" s="17">
        <f>IF($A75="","",IFERROR(SUMIF(tblAnahtarA[Norm],$A75,tblVeriA[VergiKdv]),0))</f>
        <v/>
      </c>
      <c r="G75" s="17">
        <f>IF($A75="","",IFERROR(SUMIF(tblAnahtarA[Norm],$A75,tblVeriA[TuketimKwh]),0))</f>
        <v/>
      </c>
      <c r="H75" s="17">
        <f>IF(OR($A75="",$B75&lt;&gt;"tutar_farki"),"",IF(ABS($C75-$D75)&lt;=toleransKurus,"TARIFE",IF(ABS($C75-$E75)&lt;=toleransKurus,"DAGITIM",IF(ABS($C75-$F75)&lt;=toleransKurus,"KDV",IF($G75&gt;0,"TUKETIM","TANIMSIZ")))))</f>
        <v/>
      </c>
    </row>
    <row r="76">
      <c r="A76" s="22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IF($A76="","",IFERROR(SUMIF(tblAnahtarA[Norm],$A76,tblVeriA[EnerjiBedeli]),0))</f>
        <v/>
      </c>
      <c r="E76" s="17">
        <f>IF($A76="","",IFERROR(SUMIF(tblAnahtarA[Norm],$A76,tblVeriA[DagitimBedeli]),0))</f>
        <v/>
      </c>
      <c r="F76" s="17">
        <f>IF($A76="","",IFERROR(SUMIF(tblAnahtarA[Norm],$A76,tblVeriA[VergiKdv]),0))</f>
        <v/>
      </c>
      <c r="G76" s="17">
        <f>IF($A76="","",IFERROR(SUMIF(tblAnahtarA[Norm],$A76,tblVeriA[TuketimKwh]),0))</f>
        <v/>
      </c>
      <c r="H76" s="17">
        <f>IF(OR($A76="",$B76&lt;&gt;"tutar_farki"),"",IF(ABS($C76-$D76)&lt;=toleransKurus,"TARIFE",IF(ABS($C76-$E76)&lt;=toleransKurus,"DAGITIM",IF(ABS($C76-$F76)&lt;=toleransKurus,"KDV",IF($G76&gt;0,"TUKETIM","TANIMSIZ")))))</f>
        <v/>
      </c>
    </row>
    <row r="77">
      <c r="A77" s="22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IF($A77="","",IFERROR(SUMIF(tblAnahtarA[Norm],$A77,tblVeriA[EnerjiBedeli]),0))</f>
        <v/>
      </c>
      <c r="E77" s="17">
        <f>IF($A77="","",IFERROR(SUMIF(tblAnahtarA[Norm],$A77,tblVeriA[DagitimBedeli]),0))</f>
        <v/>
      </c>
      <c r="F77" s="17">
        <f>IF($A77="","",IFERROR(SUMIF(tblAnahtarA[Norm],$A77,tblVeriA[VergiKdv]),0))</f>
        <v/>
      </c>
      <c r="G77" s="17">
        <f>IF($A77="","",IFERROR(SUMIF(tblAnahtarA[Norm],$A77,tblVeriA[TuketimKwh]),0))</f>
        <v/>
      </c>
      <c r="H77" s="17">
        <f>IF(OR($A77="",$B77&lt;&gt;"tutar_farki"),"",IF(ABS($C77-$D77)&lt;=toleransKurus,"TARIFE",IF(ABS($C77-$E77)&lt;=toleransKurus,"DAGITIM",IF(ABS($C77-$F77)&lt;=toleransKurus,"KDV",IF($G77&gt;0,"TUKETIM","TANIMSIZ")))))</f>
        <v/>
      </c>
    </row>
    <row r="78">
      <c r="A78" s="22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IF($A78="","",IFERROR(SUMIF(tblAnahtarA[Norm],$A78,tblVeriA[EnerjiBedeli]),0))</f>
        <v/>
      </c>
      <c r="E78" s="17">
        <f>IF($A78="","",IFERROR(SUMIF(tblAnahtarA[Norm],$A78,tblVeriA[DagitimBedeli]),0))</f>
        <v/>
      </c>
      <c r="F78" s="17">
        <f>IF($A78="","",IFERROR(SUMIF(tblAnahtarA[Norm],$A78,tblVeriA[VergiKdv]),0))</f>
        <v/>
      </c>
      <c r="G78" s="17">
        <f>IF($A78="","",IFERROR(SUMIF(tblAnahtarA[Norm],$A78,tblVeriA[TuketimKwh]),0))</f>
        <v/>
      </c>
      <c r="H78" s="17">
        <f>IF(OR($A78="",$B78&lt;&gt;"tutar_farki"),"",IF(ABS($C78-$D78)&lt;=toleransKurus,"TARIFE",IF(ABS($C78-$E78)&lt;=toleransKurus,"DAGITIM",IF(ABS($C78-$F78)&lt;=toleransKurus,"KDV",IF($G78&gt;0,"TUKETIM","TANIMSIZ")))))</f>
        <v/>
      </c>
    </row>
    <row r="79">
      <c r="A79" s="22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IF($A79="","",IFERROR(SUMIF(tblAnahtarA[Norm],$A79,tblVeriA[EnerjiBedeli]),0))</f>
        <v/>
      </c>
      <c r="E79" s="17">
        <f>IF($A79="","",IFERROR(SUMIF(tblAnahtarA[Norm],$A79,tblVeriA[DagitimBedeli]),0))</f>
        <v/>
      </c>
      <c r="F79" s="17">
        <f>IF($A79="","",IFERROR(SUMIF(tblAnahtarA[Norm],$A79,tblVeriA[VergiKdv]),0))</f>
        <v/>
      </c>
      <c r="G79" s="17">
        <f>IF($A79="","",IFERROR(SUMIF(tblAnahtarA[Norm],$A79,tblVeriA[TuketimKwh]),0))</f>
        <v/>
      </c>
      <c r="H79" s="17">
        <f>IF(OR($A79="",$B79&lt;&gt;"tutar_farki"),"",IF(ABS($C79-$D79)&lt;=toleransKurus,"TARIFE",IF(ABS($C79-$E79)&lt;=toleransKurus,"DAGITIM",IF(ABS($C79-$F79)&lt;=toleransKurus,"KDV",IF($G79&gt;0,"TUKETIM","TANIMSIZ")))))</f>
        <v/>
      </c>
    </row>
    <row r="80">
      <c r="A80" s="22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IF($A80="","",IFERROR(SUMIF(tblAnahtarA[Norm],$A80,tblVeriA[EnerjiBedeli]),0))</f>
        <v/>
      </c>
      <c r="E80" s="17">
        <f>IF($A80="","",IFERROR(SUMIF(tblAnahtarA[Norm],$A80,tblVeriA[DagitimBedeli]),0))</f>
        <v/>
      </c>
      <c r="F80" s="17">
        <f>IF($A80="","",IFERROR(SUMIF(tblAnahtarA[Norm],$A80,tblVeriA[VergiKdv]),0))</f>
        <v/>
      </c>
      <c r="G80" s="17">
        <f>IF($A80="","",IFERROR(SUMIF(tblAnahtarA[Norm],$A80,tblVeriA[TuketimKwh]),0))</f>
        <v/>
      </c>
      <c r="H80" s="17">
        <f>IF(OR($A80="",$B80&lt;&gt;"tutar_farki"),"",IF(ABS($C80-$D80)&lt;=toleransKurus,"TARIFE",IF(ABS($C80-$E80)&lt;=toleransKurus,"DAGITIM",IF(ABS($C80-$F80)&lt;=toleransKurus,"KDV",IF($G80&gt;0,"TUKETIM","TANIMSIZ")))))</f>
        <v/>
      </c>
    </row>
    <row r="81">
      <c r="A81" s="22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IF($A81="","",IFERROR(SUMIF(tblAnahtarA[Norm],$A81,tblVeriA[EnerjiBedeli]),0))</f>
        <v/>
      </c>
      <c r="E81" s="17">
        <f>IF($A81="","",IFERROR(SUMIF(tblAnahtarA[Norm],$A81,tblVeriA[DagitimBedeli]),0))</f>
        <v/>
      </c>
      <c r="F81" s="17">
        <f>IF($A81="","",IFERROR(SUMIF(tblAnahtarA[Norm],$A81,tblVeriA[VergiKdv]),0))</f>
        <v/>
      </c>
      <c r="G81" s="17">
        <f>IF($A81="","",IFERROR(SUMIF(tblAnahtarA[Norm],$A81,tblVeriA[TuketimKwh]),0))</f>
        <v/>
      </c>
      <c r="H81" s="17">
        <f>IF(OR($A81="",$B81&lt;&gt;"tutar_farki"),"",IF(ABS($C81-$D81)&lt;=toleransKurus,"TARIFE",IF(ABS($C81-$E81)&lt;=toleransKurus,"DAGITIM",IF(ABS($C81-$F81)&lt;=toleransKurus,"KDV",IF($G81&gt;0,"TUKETIM","TANIMSIZ")))))</f>
        <v/>
      </c>
    </row>
    <row r="82">
      <c r="A82" s="22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IF($A82="","",IFERROR(SUMIF(tblAnahtarA[Norm],$A82,tblVeriA[EnerjiBedeli]),0))</f>
        <v/>
      </c>
      <c r="E82" s="17">
        <f>IF($A82="","",IFERROR(SUMIF(tblAnahtarA[Norm],$A82,tblVeriA[DagitimBedeli]),0))</f>
        <v/>
      </c>
      <c r="F82" s="17">
        <f>IF($A82="","",IFERROR(SUMIF(tblAnahtarA[Norm],$A82,tblVeriA[VergiKdv]),0))</f>
        <v/>
      </c>
      <c r="G82" s="17">
        <f>IF($A82="","",IFERROR(SUMIF(tblAnahtarA[Norm],$A82,tblVeriA[TuketimKwh]),0))</f>
        <v/>
      </c>
      <c r="H82" s="17">
        <f>IF(OR($A82="",$B82&lt;&gt;"tutar_farki"),"",IF(ABS($C82-$D82)&lt;=toleransKurus,"TARIFE",IF(ABS($C82-$E82)&lt;=toleransKurus,"DAGITIM",IF(ABS($C82-$F82)&lt;=toleransKurus,"KDV",IF($G82&gt;0,"TUKETIM","TANIMSIZ")))))</f>
        <v/>
      </c>
    </row>
    <row r="83">
      <c r="A83" s="22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IF($A83="","",IFERROR(SUMIF(tblAnahtarA[Norm],$A83,tblVeriA[EnerjiBedeli]),0))</f>
        <v/>
      </c>
      <c r="E83" s="17">
        <f>IF($A83="","",IFERROR(SUMIF(tblAnahtarA[Norm],$A83,tblVeriA[DagitimBedeli]),0))</f>
        <v/>
      </c>
      <c r="F83" s="17">
        <f>IF($A83="","",IFERROR(SUMIF(tblAnahtarA[Norm],$A83,tblVeriA[VergiKdv]),0))</f>
        <v/>
      </c>
      <c r="G83" s="17">
        <f>IF($A83="","",IFERROR(SUMIF(tblAnahtarA[Norm],$A83,tblVeriA[TuketimKwh]),0))</f>
        <v/>
      </c>
      <c r="H83" s="17">
        <f>IF(OR($A83="",$B83&lt;&gt;"tutar_farki"),"",IF(ABS($C83-$D83)&lt;=toleransKurus,"TARIFE",IF(ABS($C83-$E83)&lt;=toleransKurus,"DAGITIM",IF(ABS($C83-$F83)&lt;=toleransKurus,"KDV",IF($G83&gt;0,"TUKETIM","TANIMSIZ")))))</f>
        <v/>
      </c>
    </row>
    <row r="84">
      <c r="A84" s="22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IF($A84="","",IFERROR(SUMIF(tblAnahtarA[Norm],$A84,tblVeriA[EnerjiBedeli]),0))</f>
        <v/>
      </c>
      <c r="E84" s="17">
        <f>IF($A84="","",IFERROR(SUMIF(tblAnahtarA[Norm],$A84,tblVeriA[DagitimBedeli]),0))</f>
        <v/>
      </c>
      <c r="F84" s="17">
        <f>IF($A84="","",IFERROR(SUMIF(tblAnahtarA[Norm],$A84,tblVeriA[VergiKdv]),0))</f>
        <v/>
      </c>
      <c r="G84" s="17">
        <f>IF($A84="","",IFERROR(SUMIF(tblAnahtarA[Norm],$A84,tblVeriA[TuketimKwh]),0))</f>
        <v/>
      </c>
      <c r="H84" s="17">
        <f>IF(OR($A84="",$B84&lt;&gt;"tutar_farki"),"",IF(ABS($C84-$D84)&lt;=toleransKurus,"TARIFE",IF(ABS($C84-$E84)&lt;=toleransKurus,"DAGITIM",IF(ABS($C84-$F84)&lt;=toleransKurus,"KDV",IF($G84&gt;0,"TUKETIM","TANIMSIZ")))))</f>
        <v/>
      </c>
    </row>
    <row r="85">
      <c r="A85" s="22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IF($A85="","",IFERROR(SUMIF(tblAnahtarA[Norm],$A85,tblVeriA[EnerjiBedeli]),0))</f>
        <v/>
      </c>
      <c r="E85" s="17">
        <f>IF($A85="","",IFERROR(SUMIF(tblAnahtarA[Norm],$A85,tblVeriA[DagitimBedeli]),0))</f>
        <v/>
      </c>
      <c r="F85" s="17">
        <f>IF($A85="","",IFERROR(SUMIF(tblAnahtarA[Norm],$A85,tblVeriA[VergiKdv]),0))</f>
        <v/>
      </c>
      <c r="G85" s="17">
        <f>IF($A85="","",IFERROR(SUMIF(tblAnahtarA[Norm],$A85,tblVeriA[TuketimKwh]),0))</f>
        <v/>
      </c>
      <c r="H85" s="17">
        <f>IF(OR($A85="",$B85&lt;&gt;"tutar_farki"),"",IF(ABS($C85-$D85)&lt;=toleransKurus,"TARIFE",IF(ABS($C85-$E85)&lt;=toleransKurus,"DAGITIM",IF(ABS($C85-$F85)&lt;=toleransKurus,"KDV",IF($G85&gt;0,"TUKETIM","TANIMSIZ")))))</f>
        <v/>
      </c>
    </row>
    <row r="86">
      <c r="A86" s="22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IF($A86="","",IFERROR(SUMIF(tblAnahtarA[Norm],$A86,tblVeriA[EnerjiBedeli]),0))</f>
        <v/>
      </c>
      <c r="E86" s="17">
        <f>IF($A86="","",IFERROR(SUMIF(tblAnahtarA[Norm],$A86,tblVeriA[DagitimBedeli]),0))</f>
        <v/>
      </c>
      <c r="F86" s="17">
        <f>IF($A86="","",IFERROR(SUMIF(tblAnahtarA[Norm],$A86,tblVeriA[VergiKdv]),0))</f>
        <v/>
      </c>
      <c r="G86" s="17">
        <f>IF($A86="","",IFERROR(SUMIF(tblAnahtarA[Norm],$A86,tblVeriA[TuketimKwh]),0))</f>
        <v/>
      </c>
      <c r="H86" s="17">
        <f>IF(OR($A86="",$B86&lt;&gt;"tutar_farki"),"",IF(ABS($C86-$D86)&lt;=toleransKurus,"TARIFE",IF(ABS($C86-$E86)&lt;=toleransKurus,"DAGITIM",IF(ABS($C86-$F86)&lt;=toleransKurus,"KDV",IF($G86&gt;0,"TUKETIM","TANIMSIZ")))))</f>
        <v/>
      </c>
    </row>
    <row r="87">
      <c r="A87" s="22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IF($A87="","",IFERROR(SUMIF(tblAnahtarA[Norm],$A87,tblVeriA[EnerjiBedeli]),0))</f>
        <v/>
      </c>
      <c r="E87" s="17">
        <f>IF($A87="","",IFERROR(SUMIF(tblAnahtarA[Norm],$A87,tblVeriA[DagitimBedeli]),0))</f>
        <v/>
      </c>
      <c r="F87" s="17">
        <f>IF($A87="","",IFERROR(SUMIF(tblAnahtarA[Norm],$A87,tblVeriA[VergiKdv]),0))</f>
        <v/>
      </c>
      <c r="G87" s="17">
        <f>IF($A87="","",IFERROR(SUMIF(tblAnahtarA[Norm],$A87,tblVeriA[TuketimKwh]),0))</f>
        <v/>
      </c>
      <c r="H87" s="17">
        <f>IF(OR($A87="",$B87&lt;&gt;"tutar_farki"),"",IF(ABS($C87-$D87)&lt;=toleransKurus,"TARIFE",IF(ABS($C87-$E87)&lt;=toleransKurus,"DAGITIM",IF(ABS($C87-$F87)&lt;=toleransKurus,"KDV",IF($G87&gt;0,"TUKETIM","TANIMSIZ")))))</f>
        <v/>
      </c>
    </row>
    <row r="88">
      <c r="A88" s="22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IF($A88="","",IFERROR(SUMIF(tblAnahtarA[Norm],$A88,tblVeriA[EnerjiBedeli]),0))</f>
        <v/>
      </c>
      <c r="E88" s="17">
        <f>IF($A88="","",IFERROR(SUMIF(tblAnahtarA[Norm],$A88,tblVeriA[DagitimBedeli]),0))</f>
        <v/>
      </c>
      <c r="F88" s="17">
        <f>IF($A88="","",IFERROR(SUMIF(tblAnahtarA[Norm],$A88,tblVeriA[VergiKdv]),0))</f>
        <v/>
      </c>
      <c r="G88" s="17">
        <f>IF($A88="","",IFERROR(SUMIF(tblAnahtarA[Norm],$A88,tblVeriA[TuketimKwh]),0))</f>
        <v/>
      </c>
      <c r="H88" s="17">
        <f>IF(OR($A88="",$B88&lt;&gt;"tutar_farki"),"",IF(ABS($C88-$D88)&lt;=toleransKurus,"TARIFE",IF(ABS($C88-$E88)&lt;=toleransKurus,"DAGITIM",IF(ABS($C88-$F88)&lt;=toleransKurus,"KDV",IF($G88&gt;0,"TUKETIM","TANIMSIZ")))))</f>
        <v/>
      </c>
    </row>
    <row r="89">
      <c r="A89" s="22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IF($A89="","",IFERROR(SUMIF(tblAnahtarA[Norm],$A89,tblVeriA[EnerjiBedeli]),0))</f>
        <v/>
      </c>
      <c r="E89" s="17">
        <f>IF($A89="","",IFERROR(SUMIF(tblAnahtarA[Norm],$A89,tblVeriA[DagitimBedeli]),0))</f>
        <v/>
      </c>
      <c r="F89" s="17">
        <f>IF($A89="","",IFERROR(SUMIF(tblAnahtarA[Norm],$A89,tblVeriA[VergiKdv]),0))</f>
        <v/>
      </c>
      <c r="G89" s="17">
        <f>IF($A89="","",IFERROR(SUMIF(tblAnahtarA[Norm],$A89,tblVeriA[TuketimKwh]),0))</f>
        <v/>
      </c>
      <c r="H89" s="17">
        <f>IF(OR($A89="",$B89&lt;&gt;"tutar_farki"),"",IF(ABS($C89-$D89)&lt;=toleransKurus,"TARIFE",IF(ABS($C89-$E89)&lt;=toleransKurus,"DAGITIM",IF(ABS($C89-$F89)&lt;=toleransKurus,"KDV",IF($G89&gt;0,"TUKETIM","TANIMSIZ")))))</f>
        <v/>
      </c>
    </row>
    <row r="90">
      <c r="A90" s="22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IF($A90="","",IFERROR(SUMIF(tblAnahtarA[Norm],$A90,tblVeriA[EnerjiBedeli]),0))</f>
        <v/>
      </c>
      <c r="E90" s="17">
        <f>IF($A90="","",IFERROR(SUMIF(tblAnahtarA[Norm],$A90,tblVeriA[DagitimBedeli]),0))</f>
        <v/>
      </c>
      <c r="F90" s="17">
        <f>IF($A90="","",IFERROR(SUMIF(tblAnahtarA[Norm],$A90,tblVeriA[VergiKdv]),0))</f>
        <v/>
      </c>
      <c r="G90" s="17">
        <f>IF($A90="","",IFERROR(SUMIF(tblAnahtarA[Norm],$A90,tblVeriA[TuketimKwh]),0))</f>
        <v/>
      </c>
      <c r="H90" s="17">
        <f>IF(OR($A90="",$B90&lt;&gt;"tutar_farki"),"",IF(ABS($C90-$D90)&lt;=toleransKurus,"TARIFE",IF(ABS($C90-$E90)&lt;=toleransKurus,"DAGITIM",IF(ABS($C90-$F90)&lt;=toleransKurus,"KDV",IF($G90&gt;0,"TUKETIM","TANIMSIZ")))))</f>
        <v/>
      </c>
    </row>
    <row r="91">
      <c r="A91" s="22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IF($A91="","",IFERROR(SUMIF(tblAnahtarA[Norm],$A91,tblVeriA[EnerjiBedeli]),0))</f>
        <v/>
      </c>
      <c r="E91" s="17">
        <f>IF($A91="","",IFERROR(SUMIF(tblAnahtarA[Norm],$A91,tblVeriA[DagitimBedeli]),0))</f>
        <v/>
      </c>
      <c r="F91" s="17">
        <f>IF($A91="","",IFERROR(SUMIF(tblAnahtarA[Norm],$A91,tblVeriA[VergiKdv]),0))</f>
        <v/>
      </c>
      <c r="G91" s="17">
        <f>IF($A91="","",IFERROR(SUMIF(tblAnahtarA[Norm],$A91,tblVeriA[TuketimKwh]),0))</f>
        <v/>
      </c>
      <c r="H91" s="17">
        <f>IF(OR($A91="",$B91&lt;&gt;"tutar_farki"),"",IF(ABS($C91-$D91)&lt;=toleransKurus,"TARIFE",IF(ABS($C91-$E91)&lt;=toleransKurus,"DAGITIM",IF(ABS($C91-$F91)&lt;=toleransKurus,"KDV",IF($G91&gt;0,"TUKETIM","TANIMSIZ")))))</f>
        <v/>
      </c>
    </row>
    <row r="92">
      <c r="A92" s="22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IF($A92="","",IFERROR(SUMIF(tblAnahtarA[Norm],$A92,tblVeriA[EnerjiBedeli]),0))</f>
        <v/>
      </c>
      <c r="E92" s="17">
        <f>IF($A92="","",IFERROR(SUMIF(tblAnahtarA[Norm],$A92,tblVeriA[DagitimBedeli]),0))</f>
        <v/>
      </c>
      <c r="F92" s="17">
        <f>IF($A92="","",IFERROR(SUMIF(tblAnahtarA[Norm],$A92,tblVeriA[VergiKdv]),0))</f>
        <v/>
      </c>
      <c r="G92" s="17">
        <f>IF($A92="","",IFERROR(SUMIF(tblAnahtarA[Norm],$A92,tblVeriA[TuketimKwh]),0))</f>
        <v/>
      </c>
      <c r="H92" s="17">
        <f>IF(OR($A92="",$B92&lt;&gt;"tutar_farki"),"",IF(ABS($C92-$D92)&lt;=toleransKurus,"TARIFE",IF(ABS($C92-$E92)&lt;=toleransKurus,"DAGITIM",IF(ABS($C92-$F92)&lt;=toleransKurus,"KDV",IF($G92&gt;0,"TUKETIM","TANIMSIZ")))))</f>
        <v/>
      </c>
    </row>
    <row r="93">
      <c r="A93" s="22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IF($A93="","",IFERROR(SUMIF(tblAnahtarA[Norm],$A93,tblVeriA[EnerjiBedeli]),0))</f>
        <v/>
      </c>
      <c r="E93" s="17">
        <f>IF($A93="","",IFERROR(SUMIF(tblAnahtarA[Norm],$A93,tblVeriA[DagitimBedeli]),0))</f>
        <v/>
      </c>
      <c r="F93" s="17">
        <f>IF($A93="","",IFERROR(SUMIF(tblAnahtarA[Norm],$A93,tblVeriA[VergiKdv]),0))</f>
        <v/>
      </c>
      <c r="G93" s="17">
        <f>IF($A93="","",IFERROR(SUMIF(tblAnahtarA[Norm],$A93,tblVeriA[TuketimKwh]),0))</f>
        <v/>
      </c>
      <c r="H93" s="17">
        <f>IF(OR($A93="",$B93&lt;&gt;"tutar_farki"),"",IF(ABS($C93-$D93)&lt;=toleransKurus,"TARIFE",IF(ABS($C93-$E93)&lt;=toleransKurus,"DAGITIM",IF(ABS($C93-$F93)&lt;=toleransKurus,"KDV",IF($G93&gt;0,"TUKETIM","TANIMSIZ")))))</f>
        <v/>
      </c>
    </row>
    <row r="94">
      <c r="A94" s="22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IF($A94="","",IFERROR(SUMIF(tblAnahtarA[Norm],$A94,tblVeriA[EnerjiBedeli]),0))</f>
        <v/>
      </c>
      <c r="E94" s="17">
        <f>IF($A94="","",IFERROR(SUMIF(tblAnahtarA[Norm],$A94,tblVeriA[DagitimBedeli]),0))</f>
        <v/>
      </c>
      <c r="F94" s="17">
        <f>IF($A94="","",IFERROR(SUMIF(tblAnahtarA[Norm],$A94,tblVeriA[VergiKdv]),0))</f>
        <v/>
      </c>
      <c r="G94" s="17">
        <f>IF($A94="","",IFERROR(SUMIF(tblAnahtarA[Norm],$A94,tblVeriA[TuketimKwh]),0))</f>
        <v/>
      </c>
      <c r="H94" s="17">
        <f>IF(OR($A94="",$B94&lt;&gt;"tutar_farki"),"",IF(ABS($C94-$D94)&lt;=toleransKurus,"TARIFE",IF(ABS($C94-$E94)&lt;=toleransKurus,"DAGITIM",IF(ABS($C94-$F94)&lt;=toleransKurus,"KDV",IF($G94&gt;0,"TUKETIM","TANIMSIZ")))))</f>
        <v/>
      </c>
    </row>
    <row r="95">
      <c r="A95" s="22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IF($A95="","",IFERROR(SUMIF(tblAnahtarA[Norm],$A95,tblVeriA[EnerjiBedeli]),0))</f>
        <v/>
      </c>
      <c r="E95" s="17">
        <f>IF($A95="","",IFERROR(SUMIF(tblAnahtarA[Norm],$A95,tblVeriA[DagitimBedeli]),0))</f>
        <v/>
      </c>
      <c r="F95" s="17">
        <f>IF($A95="","",IFERROR(SUMIF(tblAnahtarA[Norm],$A95,tblVeriA[VergiKdv]),0))</f>
        <v/>
      </c>
      <c r="G95" s="17">
        <f>IF($A95="","",IFERROR(SUMIF(tblAnahtarA[Norm],$A95,tblVeriA[TuketimKwh]),0))</f>
        <v/>
      </c>
      <c r="H95" s="17">
        <f>IF(OR($A95="",$B95&lt;&gt;"tutar_farki"),"",IF(ABS($C95-$D95)&lt;=toleransKurus,"TARIFE",IF(ABS($C95-$E95)&lt;=toleransKurus,"DAGITIM",IF(ABS($C95-$F95)&lt;=toleransKurus,"KDV",IF($G95&gt;0,"TUKETIM","TANIMSIZ")))))</f>
        <v/>
      </c>
    </row>
    <row r="96">
      <c r="A96" s="22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IF($A96="","",IFERROR(SUMIF(tblAnahtarA[Norm],$A96,tblVeriA[EnerjiBedeli]),0))</f>
        <v/>
      </c>
      <c r="E96" s="17">
        <f>IF($A96="","",IFERROR(SUMIF(tblAnahtarA[Norm],$A96,tblVeriA[DagitimBedeli]),0))</f>
        <v/>
      </c>
      <c r="F96" s="17">
        <f>IF($A96="","",IFERROR(SUMIF(tblAnahtarA[Norm],$A96,tblVeriA[VergiKdv]),0))</f>
        <v/>
      </c>
      <c r="G96" s="17">
        <f>IF($A96="","",IFERROR(SUMIF(tblAnahtarA[Norm],$A96,tblVeriA[TuketimKwh]),0))</f>
        <v/>
      </c>
      <c r="H96" s="17">
        <f>IF(OR($A96="",$B96&lt;&gt;"tutar_farki"),"",IF(ABS($C96-$D96)&lt;=toleransKurus,"TARIFE",IF(ABS($C96-$E96)&lt;=toleransKurus,"DAGITIM",IF(ABS($C96-$F96)&lt;=toleransKurus,"KDV",IF($G96&gt;0,"TUKETIM","TANIMSIZ")))))</f>
        <v/>
      </c>
    </row>
    <row r="97">
      <c r="A97" s="22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IF($A97="","",IFERROR(SUMIF(tblAnahtarA[Norm],$A97,tblVeriA[EnerjiBedeli]),0))</f>
        <v/>
      </c>
      <c r="E97" s="17">
        <f>IF($A97="","",IFERROR(SUMIF(tblAnahtarA[Norm],$A97,tblVeriA[DagitimBedeli]),0))</f>
        <v/>
      </c>
      <c r="F97" s="17">
        <f>IF($A97="","",IFERROR(SUMIF(tblAnahtarA[Norm],$A97,tblVeriA[VergiKdv]),0))</f>
        <v/>
      </c>
      <c r="G97" s="17">
        <f>IF($A97="","",IFERROR(SUMIF(tblAnahtarA[Norm],$A97,tblVeriA[TuketimKwh]),0))</f>
        <v/>
      </c>
      <c r="H97" s="17">
        <f>IF(OR($A97="",$B97&lt;&gt;"tutar_farki"),"",IF(ABS($C97-$D97)&lt;=toleransKurus,"TARIFE",IF(ABS($C97-$E97)&lt;=toleransKurus,"DAGITIM",IF(ABS($C97-$F97)&lt;=toleransKurus,"KDV",IF($G97&gt;0,"TUKETIM","TANIMSIZ")))))</f>
        <v/>
      </c>
    </row>
    <row r="98">
      <c r="A98" s="22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IF($A98="","",IFERROR(SUMIF(tblAnahtarA[Norm],$A98,tblVeriA[EnerjiBedeli]),0))</f>
        <v/>
      </c>
      <c r="E98" s="17">
        <f>IF($A98="","",IFERROR(SUMIF(tblAnahtarA[Norm],$A98,tblVeriA[DagitimBedeli]),0))</f>
        <v/>
      </c>
      <c r="F98" s="17">
        <f>IF($A98="","",IFERROR(SUMIF(tblAnahtarA[Norm],$A98,tblVeriA[VergiKdv]),0))</f>
        <v/>
      </c>
      <c r="G98" s="17">
        <f>IF($A98="","",IFERROR(SUMIF(tblAnahtarA[Norm],$A98,tblVeriA[TuketimKwh]),0))</f>
        <v/>
      </c>
      <c r="H98" s="17">
        <f>IF(OR($A98="",$B98&lt;&gt;"tutar_farki"),"",IF(ABS($C98-$D98)&lt;=toleransKurus,"TARIFE",IF(ABS($C98-$E98)&lt;=toleransKurus,"DAGITIM",IF(ABS($C98-$F98)&lt;=toleransKurus,"KDV",IF($G98&gt;0,"TUKETIM","TANIMSIZ")))))</f>
        <v/>
      </c>
    </row>
    <row r="99">
      <c r="A99" s="22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IF($A99="","",IFERROR(SUMIF(tblAnahtarA[Norm],$A99,tblVeriA[EnerjiBedeli]),0))</f>
        <v/>
      </c>
      <c r="E99" s="17">
        <f>IF($A99="","",IFERROR(SUMIF(tblAnahtarA[Norm],$A99,tblVeriA[DagitimBedeli]),0))</f>
        <v/>
      </c>
      <c r="F99" s="17">
        <f>IF($A99="","",IFERROR(SUMIF(tblAnahtarA[Norm],$A99,tblVeriA[VergiKdv]),0))</f>
        <v/>
      </c>
      <c r="G99" s="17">
        <f>IF($A99="","",IFERROR(SUMIF(tblAnahtarA[Norm],$A99,tblVeriA[TuketimKwh]),0))</f>
        <v/>
      </c>
      <c r="H99" s="17">
        <f>IF(OR($A99="",$B99&lt;&gt;"tutar_farki"),"",IF(ABS($C99-$D99)&lt;=toleransKurus,"TARIFE",IF(ABS($C99-$E99)&lt;=toleransKurus,"DAGITIM",IF(ABS($C99-$F99)&lt;=toleransKurus,"KDV",IF($G99&gt;0,"TUKETIM","TANIMSIZ")))))</f>
        <v/>
      </c>
    </row>
    <row r="100">
      <c r="A100" s="22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IF($A100="","",IFERROR(SUMIF(tblAnahtarA[Norm],$A100,tblVeriA[EnerjiBedeli]),0))</f>
        <v/>
      </c>
      <c r="E100" s="17">
        <f>IF($A100="","",IFERROR(SUMIF(tblAnahtarA[Norm],$A100,tblVeriA[DagitimBedeli]),0))</f>
        <v/>
      </c>
      <c r="F100" s="17">
        <f>IF($A100="","",IFERROR(SUMIF(tblAnahtarA[Norm],$A100,tblVeriA[VergiKdv]),0))</f>
        <v/>
      </c>
      <c r="G100" s="17">
        <f>IF($A100="","",IFERROR(SUMIF(tblAnahtarA[Norm],$A100,tblVeriA[TuketimKwh]),0))</f>
        <v/>
      </c>
      <c r="H100" s="17">
        <f>IF(OR($A100="",$B100&lt;&gt;"tutar_farki"),"",IF(ABS($C100-$D100)&lt;=toleransKurus,"TARIFE",IF(ABS($C100-$E100)&lt;=toleransKurus,"DAGITIM",IF(ABS($C100-$F100)&lt;=toleransKurus,"KDV",IF($G100&gt;0,"TUKETIM","TANIMSIZ")))))</f>
        <v/>
      </c>
    </row>
    <row r="101">
      <c r="A101" s="22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IF($A101="","",IFERROR(SUMIF(tblAnahtarA[Norm],$A101,tblVeriA[EnerjiBedeli]),0))</f>
        <v/>
      </c>
      <c r="E101" s="17">
        <f>IF($A101="","",IFERROR(SUMIF(tblAnahtarA[Norm],$A101,tblVeriA[DagitimBedeli]),0))</f>
        <v/>
      </c>
      <c r="F101" s="17">
        <f>IF($A101="","",IFERROR(SUMIF(tblAnahtarA[Norm],$A101,tblVeriA[VergiKdv]),0))</f>
        <v/>
      </c>
      <c r="G101" s="17">
        <f>IF($A101="","",IFERROR(SUMIF(tblAnahtarA[Norm],$A101,tblVeriA[TuketimKwh]),0))</f>
        <v/>
      </c>
      <c r="H101" s="17">
        <f>IF(OR($A101="",$B101&lt;&gt;"tutar_farki"),"",IF(ABS($C101-$D101)&lt;=toleransKurus,"TARIFE",IF(ABS($C101-$E101)&lt;=toleransKurus,"DAGITIM",IF(ABS($C101-$F101)&lt;=toleransKurus,"KDV",IF($G101&gt;0,"TUKETIM","TANIMSIZ")))))</f>
        <v/>
      </c>
    </row>
    <row r="102">
      <c r="A102" s="22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IF($A102="","",IFERROR(SUMIF(tblAnahtarA[Norm],$A102,tblVeriA[EnerjiBedeli]),0))</f>
        <v/>
      </c>
      <c r="E102" s="17">
        <f>IF($A102="","",IFERROR(SUMIF(tblAnahtarA[Norm],$A102,tblVeriA[DagitimBedeli]),0))</f>
        <v/>
      </c>
      <c r="F102" s="17">
        <f>IF($A102="","",IFERROR(SUMIF(tblAnahtarA[Norm],$A102,tblVeriA[VergiKdv]),0))</f>
        <v/>
      </c>
      <c r="G102" s="17">
        <f>IF($A102="","",IFERROR(SUMIF(tblAnahtarA[Norm],$A102,tblVeriA[TuketimKwh]),0))</f>
        <v/>
      </c>
      <c r="H102" s="17">
        <f>IF(OR($A102="",$B102&lt;&gt;"tutar_farki"),"",IF(ABS($C102-$D102)&lt;=toleransKurus,"TARIFE",IF(ABS($C102-$E102)&lt;=toleransKurus,"DAGITIM",IF(ABS($C102-$F102)&lt;=toleransKurus,"KDV",IF($G102&gt;0,"TUKETIM","TANIMSIZ")))))</f>
        <v/>
      </c>
    </row>
    <row r="103">
      <c r="A103" s="22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IF($A103="","",IFERROR(SUMIF(tblAnahtarA[Norm],$A103,tblVeriA[EnerjiBedeli]),0))</f>
        <v/>
      </c>
      <c r="E103" s="17">
        <f>IF($A103="","",IFERROR(SUMIF(tblAnahtarA[Norm],$A103,tblVeriA[DagitimBedeli]),0))</f>
        <v/>
      </c>
      <c r="F103" s="17">
        <f>IF($A103="","",IFERROR(SUMIF(tblAnahtarA[Norm],$A103,tblVeriA[VergiKdv]),0))</f>
        <v/>
      </c>
      <c r="G103" s="17">
        <f>IF($A103="","",IFERROR(SUMIF(tblAnahtarA[Norm],$A103,tblVeriA[TuketimKwh]),0))</f>
        <v/>
      </c>
      <c r="H103" s="17">
        <f>IF(OR($A103="",$B103&lt;&gt;"tutar_farki"),"",IF(ABS($C103-$D103)&lt;=toleransKurus,"TARIFE",IF(ABS($C103-$E103)&lt;=toleransKurus,"DAGITIM",IF(ABS($C103-$F103)&lt;=toleransKurus,"KDV",IF($G103&gt;0,"TUKETIM","TANIMSIZ")))))</f>
        <v/>
      </c>
    </row>
    <row r="104">
      <c r="A104" s="22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IF($A104="","",IFERROR(SUMIF(tblAnahtarA[Norm],$A104,tblVeriA[EnerjiBedeli]),0))</f>
        <v/>
      </c>
      <c r="E104" s="17">
        <f>IF($A104="","",IFERROR(SUMIF(tblAnahtarA[Norm],$A104,tblVeriA[DagitimBedeli]),0))</f>
        <v/>
      </c>
      <c r="F104" s="17">
        <f>IF($A104="","",IFERROR(SUMIF(tblAnahtarA[Norm],$A104,tblVeriA[VergiKdv]),0))</f>
        <v/>
      </c>
      <c r="G104" s="17">
        <f>IF($A104="","",IFERROR(SUMIF(tblAnahtarA[Norm],$A104,tblVeriA[TuketimKwh]),0))</f>
        <v/>
      </c>
      <c r="H104" s="17">
        <f>IF(OR($A104="",$B104&lt;&gt;"tutar_farki"),"",IF(ABS($C104-$D104)&lt;=toleransKurus,"TARIFE",IF(ABS($C104-$E104)&lt;=toleransKurus,"DAGITIM",IF(ABS($C104-$F104)&lt;=toleransKurus,"KDV",IF($G104&gt;0,"TUKETIM","TANIMSIZ")))))</f>
        <v/>
      </c>
    </row>
    <row r="105">
      <c r="A105" s="22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IF($A105="","",IFERROR(SUMIF(tblAnahtarA[Norm],$A105,tblVeriA[EnerjiBedeli]),0))</f>
        <v/>
      </c>
      <c r="E105" s="17">
        <f>IF($A105="","",IFERROR(SUMIF(tblAnahtarA[Norm],$A105,tblVeriA[DagitimBedeli]),0))</f>
        <v/>
      </c>
      <c r="F105" s="17">
        <f>IF($A105="","",IFERROR(SUMIF(tblAnahtarA[Norm],$A105,tblVeriA[VergiKdv]),0))</f>
        <v/>
      </c>
      <c r="G105" s="17">
        <f>IF($A105="","",IFERROR(SUMIF(tblAnahtarA[Norm],$A105,tblVeriA[TuketimKwh]),0))</f>
        <v/>
      </c>
      <c r="H105" s="17">
        <f>IF(OR($A105="",$B105&lt;&gt;"tutar_farki"),"",IF(ABS($C105-$D105)&lt;=toleransKurus,"TARIFE",IF(ABS($C105-$E105)&lt;=toleransKurus,"DAGITIM",IF(ABS($C105-$F105)&lt;=toleransKurus,"KDV",IF($G105&gt;0,"TUKETIM","TANIMSIZ")))))</f>
        <v/>
      </c>
    </row>
    <row r="106">
      <c r="A106" s="22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IF($A106="","",IFERROR(SUMIF(tblAnahtarA[Norm],$A106,tblVeriA[EnerjiBedeli]),0))</f>
        <v/>
      </c>
      <c r="E106" s="17">
        <f>IF($A106="","",IFERROR(SUMIF(tblAnahtarA[Norm],$A106,tblVeriA[DagitimBedeli]),0))</f>
        <v/>
      </c>
      <c r="F106" s="17">
        <f>IF($A106="","",IFERROR(SUMIF(tblAnahtarA[Norm],$A106,tblVeriA[VergiKdv]),0))</f>
        <v/>
      </c>
      <c r="G106" s="17">
        <f>IF($A106="","",IFERROR(SUMIF(tblAnahtarA[Norm],$A106,tblVeriA[TuketimKwh]),0))</f>
        <v/>
      </c>
      <c r="H106" s="17">
        <f>IF(OR($A106="",$B106&lt;&gt;"tutar_farki"),"",IF(ABS($C106-$D106)&lt;=toleransKurus,"TARIFE",IF(ABS($C106-$E106)&lt;=toleransKurus,"DAGITIM",IF(ABS($C106-$F106)&lt;=toleransKurus,"KDV",IF($G106&gt;0,"TUKETIM","TANIMSIZ")))))</f>
        <v/>
      </c>
    </row>
    <row r="107">
      <c r="A107" s="22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IF($A107="","",IFERROR(SUMIF(tblAnahtarA[Norm],$A107,tblVeriA[EnerjiBedeli]),0))</f>
        <v/>
      </c>
      <c r="E107" s="17">
        <f>IF($A107="","",IFERROR(SUMIF(tblAnahtarA[Norm],$A107,tblVeriA[DagitimBedeli]),0))</f>
        <v/>
      </c>
      <c r="F107" s="17">
        <f>IF($A107="","",IFERROR(SUMIF(tblAnahtarA[Norm],$A107,tblVeriA[VergiKdv]),0))</f>
        <v/>
      </c>
      <c r="G107" s="17">
        <f>IF($A107="","",IFERROR(SUMIF(tblAnahtarA[Norm],$A107,tblVeriA[TuketimKwh]),0))</f>
        <v/>
      </c>
      <c r="H107" s="17">
        <f>IF(OR($A107="",$B107&lt;&gt;"tutar_farki"),"",IF(ABS($C107-$D107)&lt;=toleransKurus,"TARIFE",IF(ABS($C107-$E107)&lt;=toleransKurus,"DAGITIM",IF(ABS($C107-$F107)&lt;=toleransKurus,"KDV",IF($G107&gt;0,"TUKETIM","TANIMSIZ")))))</f>
        <v/>
      </c>
    </row>
    <row r="108">
      <c r="A108" s="22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IF($A108="","",IFERROR(SUMIF(tblAnahtarA[Norm],$A108,tblVeriA[EnerjiBedeli]),0))</f>
        <v/>
      </c>
      <c r="E108" s="17">
        <f>IF($A108="","",IFERROR(SUMIF(tblAnahtarA[Norm],$A108,tblVeriA[DagitimBedeli]),0))</f>
        <v/>
      </c>
      <c r="F108" s="17">
        <f>IF($A108="","",IFERROR(SUMIF(tblAnahtarA[Norm],$A108,tblVeriA[VergiKdv]),0))</f>
        <v/>
      </c>
      <c r="G108" s="17">
        <f>IF($A108="","",IFERROR(SUMIF(tblAnahtarA[Norm],$A108,tblVeriA[TuketimKwh]),0))</f>
        <v/>
      </c>
      <c r="H108" s="17">
        <f>IF(OR($A108="",$B108&lt;&gt;"tutar_farki"),"",IF(ABS($C108-$D108)&lt;=toleransKurus,"TARIFE",IF(ABS($C108-$E108)&lt;=toleransKurus,"DAGITIM",IF(ABS($C108-$F108)&lt;=toleransKurus,"KDV",IF($G108&gt;0,"TUKETIM","TANIMSIZ")))))</f>
        <v/>
      </c>
    </row>
    <row r="109">
      <c r="A109" s="22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IF($A109="","",IFERROR(SUMIF(tblAnahtarA[Norm],$A109,tblVeriA[EnerjiBedeli]),0))</f>
        <v/>
      </c>
      <c r="E109" s="17">
        <f>IF($A109="","",IFERROR(SUMIF(tblAnahtarA[Norm],$A109,tblVeriA[DagitimBedeli]),0))</f>
        <v/>
      </c>
      <c r="F109" s="17">
        <f>IF($A109="","",IFERROR(SUMIF(tblAnahtarA[Norm],$A109,tblVeriA[VergiKdv]),0))</f>
        <v/>
      </c>
      <c r="G109" s="17">
        <f>IF($A109="","",IFERROR(SUMIF(tblAnahtarA[Norm],$A109,tblVeriA[TuketimKwh]),0))</f>
        <v/>
      </c>
      <c r="H109" s="17">
        <f>IF(OR($A109="",$B109&lt;&gt;"tutar_farki"),"",IF(ABS($C109-$D109)&lt;=toleransKurus,"TARIFE",IF(ABS($C109-$E109)&lt;=toleransKurus,"DAGITIM",IF(ABS($C109-$F109)&lt;=toleransKurus,"KDV",IF($G109&gt;0,"TUKETIM","TANIMSIZ")))))</f>
        <v/>
      </c>
    </row>
    <row r="110">
      <c r="A110" s="22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IF($A110="","",IFERROR(SUMIF(tblAnahtarA[Norm],$A110,tblVeriA[EnerjiBedeli]),0))</f>
        <v/>
      </c>
      <c r="E110" s="17">
        <f>IF($A110="","",IFERROR(SUMIF(tblAnahtarA[Norm],$A110,tblVeriA[DagitimBedeli]),0))</f>
        <v/>
      </c>
      <c r="F110" s="17">
        <f>IF($A110="","",IFERROR(SUMIF(tblAnahtarA[Norm],$A110,tblVeriA[VergiKdv]),0))</f>
        <v/>
      </c>
      <c r="G110" s="17">
        <f>IF($A110="","",IFERROR(SUMIF(tblAnahtarA[Norm],$A110,tblVeriA[TuketimKwh]),0))</f>
        <v/>
      </c>
      <c r="H110" s="17">
        <f>IF(OR($A110="",$B110&lt;&gt;"tutar_farki"),"",IF(ABS($C110-$D110)&lt;=toleransKurus,"TARIFE",IF(ABS($C110-$E110)&lt;=toleransKurus,"DAGITIM",IF(ABS($C110-$F110)&lt;=toleransKurus,"KDV",IF($G110&gt;0,"TUKETIM","TANIMSIZ")))))</f>
        <v/>
      </c>
    </row>
    <row r="111">
      <c r="A111" s="22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IF($A111="","",IFERROR(SUMIF(tblAnahtarA[Norm],$A111,tblVeriA[EnerjiBedeli]),0))</f>
        <v/>
      </c>
      <c r="E111" s="17">
        <f>IF($A111="","",IFERROR(SUMIF(tblAnahtarA[Norm],$A111,tblVeriA[DagitimBedeli]),0))</f>
        <v/>
      </c>
      <c r="F111" s="17">
        <f>IF($A111="","",IFERROR(SUMIF(tblAnahtarA[Norm],$A111,tblVeriA[VergiKdv]),0))</f>
        <v/>
      </c>
      <c r="G111" s="17">
        <f>IF($A111="","",IFERROR(SUMIF(tblAnahtarA[Norm],$A111,tblVeriA[TuketimKwh]),0))</f>
        <v/>
      </c>
      <c r="H111" s="17">
        <f>IF(OR($A111="",$B111&lt;&gt;"tutar_farki"),"",IF(ABS($C111-$D111)&lt;=toleransKurus,"TARIFE",IF(ABS($C111-$E111)&lt;=toleransKurus,"DAGITIM",IF(ABS($C111-$F111)&lt;=toleransKurus,"KDV",IF($G111&gt;0,"TUKETIM","TANIMSIZ")))))</f>
        <v/>
      </c>
    </row>
    <row r="112">
      <c r="A112" s="22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IF($A112="","",IFERROR(SUMIF(tblAnahtarA[Norm],$A112,tblVeriA[EnerjiBedeli]),0))</f>
        <v/>
      </c>
      <c r="E112" s="17">
        <f>IF($A112="","",IFERROR(SUMIF(tblAnahtarA[Norm],$A112,tblVeriA[DagitimBedeli]),0))</f>
        <v/>
      </c>
      <c r="F112" s="17">
        <f>IF($A112="","",IFERROR(SUMIF(tblAnahtarA[Norm],$A112,tblVeriA[VergiKdv]),0))</f>
        <v/>
      </c>
      <c r="G112" s="17">
        <f>IF($A112="","",IFERROR(SUMIF(tblAnahtarA[Norm],$A112,tblVeriA[TuketimKwh]),0))</f>
        <v/>
      </c>
      <c r="H112" s="17">
        <f>IF(OR($A112="",$B112&lt;&gt;"tutar_farki"),"",IF(ABS($C112-$D112)&lt;=toleransKurus,"TARIFE",IF(ABS($C112-$E112)&lt;=toleransKurus,"DAGITIM",IF(ABS($C112-$F112)&lt;=toleransKurus,"KDV",IF($G112&gt;0,"TUKETIM","TANIMSIZ")))))</f>
        <v/>
      </c>
    </row>
    <row r="113">
      <c r="A113" s="22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IF($A113="","",IFERROR(SUMIF(tblAnahtarA[Norm],$A113,tblVeriA[EnerjiBedeli]),0))</f>
        <v/>
      </c>
      <c r="E113" s="17">
        <f>IF($A113="","",IFERROR(SUMIF(tblAnahtarA[Norm],$A113,tblVeriA[DagitimBedeli]),0))</f>
        <v/>
      </c>
      <c r="F113" s="17">
        <f>IF($A113="","",IFERROR(SUMIF(tblAnahtarA[Norm],$A113,tblVeriA[VergiKdv]),0))</f>
        <v/>
      </c>
      <c r="G113" s="17">
        <f>IF($A113="","",IFERROR(SUMIF(tblAnahtarA[Norm],$A113,tblVeriA[TuketimKwh]),0))</f>
        <v/>
      </c>
      <c r="H113" s="17">
        <f>IF(OR($A113="",$B113&lt;&gt;"tutar_farki"),"",IF(ABS($C113-$D113)&lt;=toleransKurus,"TARIFE",IF(ABS($C113-$E113)&lt;=toleransKurus,"DAGITIM",IF(ABS($C113-$F113)&lt;=toleransKurus,"KDV",IF($G113&gt;0,"TUKETIM","TANIMSIZ")))))</f>
        <v/>
      </c>
    </row>
    <row r="114">
      <c r="A114" s="22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IF($A114="","",IFERROR(SUMIF(tblAnahtarA[Norm],$A114,tblVeriA[EnerjiBedeli]),0))</f>
        <v/>
      </c>
      <c r="E114" s="17">
        <f>IF($A114="","",IFERROR(SUMIF(tblAnahtarA[Norm],$A114,tblVeriA[DagitimBedeli]),0))</f>
        <v/>
      </c>
      <c r="F114" s="17">
        <f>IF($A114="","",IFERROR(SUMIF(tblAnahtarA[Norm],$A114,tblVeriA[VergiKdv]),0))</f>
        <v/>
      </c>
      <c r="G114" s="17">
        <f>IF($A114="","",IFERROR(SUMIF(tblAnahtarA[Norm],$A114,tblVeriA[TuketimKwh]),0))</f>
        <v/>
      </c>
      <c r="H114" s="17">
        <f>IF(OR($A114="",$B114&lt;&gt;"tutar_farki"),"",IF(ABS($C114-$D114)&lt;=toleransKurus,"TARIFE",IF(ABS($C114-$E114)&lt;=toleransKurus,"DAGITIM",IF(ABS($C114-$F114)&lt;=toleransKurus,"KDV",IF($G114&gt;0,"TUKETIM","TANIMSIZ")))))</f>
        <v/>
      </c>
    </row>
    <row r="115">
      <c r="A115" s="22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IF($A115="","",IFERROR(SUMIF(tblAnahtarA[Norm],$A115,tblVeriA[EnerjiBedeli]),0))</f>
        <v/>
      </c>
      <c r="E115" s="17">
        <f>IF($A115="","",IFERROR(SUMIF(tblAnahtarA[Norm],$A115,tblVeriA[DagitimBedeli]),0))</f>
        <v/>
      </c>
      <c r="F115" s="17">
        <f>IF($A115="","",IFERROR(SUMIF(tblAnahtarA[Norm],$A115,tblVeriA[VergiKdv]),0))</f>
        <v/>
      </c>
      <c r="G115" s="17">
        <f>IF($A115="","",IFERROR(SUMIF(tblAnahtarA[Norm],$A115,tblVeriA[TuketimKwh]),0))</f>
        <v/>
      </c>
      <c r="H115" s="17">
        <f>IF(OR($A115="",$B115&lt;&gt;"tutar_farki"),"",IF(ABS($C115-$D115)&lt;=toleransKurus,"TARIFE",IF(ABS($C115-$E115)&lt;=toleransKurus,"DAGITIM",IF(ABS($C115-$F115)&lt;=toleransKurus,"KDV",IF($G115&gt;0,"TUKETIM","TANIMSIZ")))))</f>
        <v/>
      </c>
    </row>
    <row r="116">
      <c r="A116" s="22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IF($A116="","",IFERROR(SUMIF(tblAnahtarA[Norm],$A116,tblVeriA[EnerjiBedeli]),0))</f>
        <v/>
      </c>
      <c r="E116" s="17">
        <f>IF($A116="","",IFERROR(SUMIF(tblAnahtarA[Norm],$A116,tblVeriA[DagitimBedeli]),0))</f>
        <v/>
      </c>
      <c r="F116" s="17">
        <f>IF($A116="","",IFERROR(SUMIF(tblAnahtarA[Norm],$A116,tblVeriA[VergiKdv]),0))</f>
        <v/>
      </c>
      <c r="G116" s="17">
        <f>IF($A116="","",IFERROR(SUMIF(tblAnahtarA[Norm],$A116,tblVeriA[TuketimKwh]),0))</f>
        <v/>
      </c>
      <c r="H116" s="17">
        <f>IF(OR($A116="",$B116&lt;&gt;"tutar_farki"),"",IF(ABS($C116-$D116)&lt;=toleransKurus,"TARIFE",IF(ABS($C116-$E116)&lt;=toleransKurus,"DAGITIM",IF(ABS($C116-$F116)&lt;=toleransKurus,"KDV",IF($G116&gt;0,"TUKETIM","TANIMSIZ")))))</f>
        <v/>
      </c>
    </row>
    <row r="117">
      <c r="A117" s="22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IF($A117="","",IFERROR(SUMIF(tblAnahtarA[Norm],$A117,tblVeriA[EnerjiBedeli]),0))</f>
        <v/>
      </c>
      <c r="E117" s="17">
        <f>IF($A117="","",IFERROR(SUMIF(tblAnahtarA[Norm],$A117,tblVeriA[DagitimBedeli]),0))</f>
        <v/>
      </c>
      <c r="F117" s="17">
        <f>IF($A117="","",IFERROR(SUMIF(tblAnahtarA[Norm],$A117,tblVeriA[VergiKdv]),0))</f>
        <v/>
      </c>
      <c r="G117" s="17">
        <f>IF($A117="","",IFERROR(SUMIF(tblAnahtarA[Norm],$A117,tblVeriA[TuketimKwh]),0))</f>
        <v/>
      </c>
      <c r="H117" s="17">
        <f>IF(OR($A117="",$B117&lt;&gt;"tutar_farki"),"",IF(ABS($C117-$D117)&lt;=toleransKurus,"TARIFE",IF(ABS($C117-$E117)&lt;=toleransKurus,"DAGITIM",IF(ABS($C117-$F117)&lt;=toleransKurus,"KDV",IF($G117&gt;0,"TUKETIM","TANIMSIZ")))))</f>
        <v/>
      </c>
    </row>
    <row r="118">
      <c r="A118" s="22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IF($A118="","",IFERROR(SUMIF(tblAnahtarA[Norm],$A118,tblVeriA[EnerjiBedeli]),0))</f>
        <v/>
      </c>
      <c r="E118" s="17">
        <f>IF($A118="","",IFERROR(SUMIF(tblAnahtarA[Norm],$A118,tblVeriA[DagitimBedeli]),0))</f>
        <v/>
      </c>
      <c r="F118" s="17">
        <f>IF($A118="","",IFERROR(SUMIF(tblAnahtarA[Norm],$A118,tblVeriA[VergiKdv]),0))</f>
        <v/>
      </c>
      <c r="G118" s="17">
        <f>IF($A118="","",IFERROR(SUMIF(tblAnahtarA[Norm],$A118,tblVeriA[TuketimKwh]),0))</f>
        <v/>
      </c>
      <c r="H118" s="17">
        <f>IF(OR($A118="",$B118&lt;&gt;"tutar_farki"),"",IF(ABS($C118-$D118)&lt;=toleransKurus,"TARIFE",IF(ABS($C118-$E118)&lt;=toleransKurus,"DAGITIM",IF(ABS($C118-$F118)&lt;=toleransKurus,"KDV",IF($G118&gt;0,"TUKETIM","TANIMSIZ")))))</f>
        <v/>
      </c>
    </row>
    <row r="119">
      <c r="A119" s="22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IF($A119="","",IFERROR(SUMIF(tblAnahtarA[Norm],$A119,tblVeriA[EnerjiBedeli]),0))</f>
        <v/>
      </c>
      <c r="E119" s="17">
        <f>IF($A119="","",IFERROR(SUMIF(tblAnahtarA[Norm],$A119,tblVeriA[DagitimBedeli]),0))</f>
        <v/>
      </c>
      <c r="F119" s="17">
        <f>IF($A119="","",IFERROR(SUMIF(tblAnahtarA[Norm],$A119,tblVeriA[VergiKdv]),0))</f>
        <v/>
      </c>
      <c r="G119" s="17">
        <f>IF($A119="","",IFERROR(SUMIF(tblAnahtarA[Norm],$A119,tblVeriA[TuketimKwh]),0))</f>
        <v/>
      </c>
      <c r="H119" s="17">
        <f>IF(OR($A119="",$B119&lt;&gt;"tutar_farki"),"",IF(ABS($C119-$D119)&lt;=toleransKurus,"TARIFE",IF(ABS($C119-$E119)&lt;=toleransKurus,"DAGITIM",IF(ABS($C119-$F119)&lt;=toleransKurus,"KDV",IF($G119&gt;0,"TUKETIM","TANIMSIZ")))))</f>
        <v/>
      </c>
    </row>
    <row r="120">
      <c r="A120" s="22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IF($A120="","",IFERROR(SUMIF(tblAnahtarA[Norm],$A120,tblVeriA[EnerjiBedeli]),0))</f>
        <v/>
      </c>
      <c r="E120" s="17">
        <f>IF($A120="","",IFERROR(SUMIF(tblAnahtarA[Norm],$A120,tblVeriA[DagitimBedeli]),0))</f>
        <v/>
      </c>
      <c r="F120" s="17">
        <f>IF($A120="","",IFERROR(SUMIF(tblAnahtarA[Norm],$A120,tblVeriA[VergiKdv]),0))</f>
        <v/>
      </c>
      <c r="G120" s="17">
        <f>IF($A120="","",IFERROR(SUMIF(tblAnahtarA[Norm],$A120,tblVeriA[TuketimKwh]),0))</f>
        <v/>
      </c>
      <c r="H120" s="17">
        <f>IF(OR($A120="",$B120&lt;&gt;"tutar_farki"),"",IF(ABS($C120-$D120)&lt;=toleransKurus,"TARIFE",IF(ABS($C120-$E120)&lt;=toleransKurus,"DAGITIM",IF(ABS($C120-$F120)&lt;=toleransKurus,"KDV",IF($G120&gt;0,"TUKETIM","TANIMSIZ")))))</f>
        <v/>
      </c>
    </row>
    <row r="121">
      <c r="A121" s="22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IF($A121="","",IFERROR(SUMIF(tblAnahtarA[Norm],$A121,tblVeriA[EnerjiBedeli]),0))</f>
        <v/>
      </c>
      <c r="E121" s="17">
        <f>IF($A121="","",IFERROR(SUMIF(tblAnahtarA[Norm],$A121,tblVeriA[DagitimBedeli]),0))</f>
        <v/>
      </c>
      <c r="F121" s="17">
        <f>IF($A121="","",IFERROR(SUMIF(tblAnahtarA[Norm],$A121,tblVeriA[VergiKdv]),0))</f>
        <v/>
      </c>
      <c r="G121" s="17">
        <f>IF($A121="","",IFERROR(SUMIF(tblAnahtarA[Norm],$A121,tblVeriA[TuketimKwh]),0))</f>
        <v/>
      </c>
      <c r="H121" s="17">
        <f>IF(OR($A121="",$B121&lt;&gt;"tutar_farki"),"",IF(ABS($C121-$D121)&lt;=toleransKurus,"TARIFE",IF(ABS($C121-$E121)&lt;=toleransKurus,"DAGITIM",IF(ABS($C121-$F121)&lt;=toleransKurus,"KDV",IF($G121&gt;0,"TUKETIM","TANIMSIZ")))))</f>
        <v/>
      </c>
    </row>
    <row r="122">
      <c r="A122" s="22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IF($A122="","",IFERROR(SUMIF(tblAnahtarA[Norm],$A122,tblVeriA[EnerjiBedeli]),0))</f>
        <v/>
      </c>
      <c r="E122" s="17">
        <f>IF($A122="","",IFERROR(SUMIF(tblAnahtarA[Norm],$A122,tblVeriA[DagitimBedeli]),0))</f>
        <v/>
      </c>
      <c r="F122" s="17">
        <f>IF($A122="","",IFERROR(SUMIF(tblAnahtarA[Norm],$A122,tblVeriA[VergiKdv]),0))</f>
        <v/>
      </c>
      <c r="G122" s="17">
        <f>IF($A122="","",IFERROR(SUMIF(tblAnahtarA[Norm],$A122,tblVeriA[TuketimKwh]),0))</f>
        <v/>
      </c>
      <c r="H122" s="17">
        <f>IF(OR($A122="",$B122&lt;&gt;"tutar_farki"),"",IF(ABS($C122-$D122)&lt;=toleransKurus,"TARIFE",IF(ABS($C122-$E122)&lt;=toleransKurus,"DAGITIM",IF(ABS($C122-$F122)&lt;=toleransKurus,"KDV",IF($G122&gt;0,"TUKETIM","TANIMSIZ")))))</f>
        <v/>
      </c>
    </row>
    <row r="123">
      <c r="A123" s="22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IF($A123="","",IFERROR(SUMIF(tblAnahtarA[Norm],$A123,tblVeriA[EnerjiBedeli]),0))</f>
        <v/>
      </c>
      <c r="E123" s="17">
        <f>IF($A123="","",IFERROR(SUMIF(tblAnahtarA[Norm],$A123,tblVeriA[DagitimBedeli]),0))</f>
        <v/>
      </c>
      <c r="F123" s="17">
        <f>IF($A123="","",IFERROR(SUMIF(tblAnahtarA[Norm],$A123,tblVeriA[VergiKdv]),0))</f>
        <v/>
      </c>
      <c r="G123" s="17">
        <f>IF($A123="","",IFERROR(SUMIF(tblAnahtarA[Norm],$A123,tblVeriA[TuketimKwh]),0))</f>
        <v/>
      </c>
      <c r="H123" s="17">
        <f>IF(OR($A123="",$B123&lt;&gt;"tutar_farki"),"",IF(ABS($C123-$D123)&lt;=toleransKurus,"TARIFE",IF(ABS($C123-$E123)&lt;=toleransKurus,"DAGITIM",IF(ABS($C123-$F123)&lt;=toleransKurus,"KDV",IF($G123&gt;0,"TUKETIM","TANIMSIZ")))))</f>
        <v/>
      </c>
    </row>
    <row r="124">
      <c r="A124" s="22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IF($A124="","",IFERROR(SUMIF(tblAnahtarA[Norm],$A124,tblVeriA[EnerjiBedeli]),0))</f>
        <v/>
      </c>
      <c r="E124" s="17">
        <f>IF($A124="","",IFERROR(SUMIF(tblAnahtarA[Norm],$A124,tblVeriA[DagitimBedeli]),0))</f>
        <v/>
      </c>
      <c r="F124" s="17">
        <f>IF($A124="","",IFERROR(SUMIF(tblAnahtarA[Norm],$A124,tblVeriA[VergiKdv]),0))</f>
        <v/>
      </c>
      <c r="G124" s="17">
        <f>IF($A124="","",IFERROR(SUMIF(tblAnahtarA[Norm],$A124,tblVeriA[TuketimKwh]),0))</f>
        <v/>
      </c>
      <c r="H124" s="17">
        <f>IF(OR($A124="",$B124&lt;&gt;"tutar_farki"),"",IF(ABS($C124-$D124)&lt;=toleransKurus,"TARIFE",IF(ABS($C124-$E124)&lt;=toleransKurus,"DAGITIM",IF(ABS($C124-$F124)&lt;=toleransKurus,"KDV",IF($G124&gt;0,"TUKETIM","TANIMSIZ")))))</f>
        <v/>
      </c>
    </row>
    <row r="125">
      <c r="A125" s="22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IF($A125="","",IFERROR(SUMIF(tblAnahtarA[Norm],$A125,tblVeriA[EnerjiBedeli]),0))</f>
        <v/>
      </c>
      <c r="E125" s="17">
        <f>IF($A125="","",IFERROR(SUMIF(tblAnahtarA[Norm],$A125,tblVeriA[DagitimBedeli]),0))</f>
        <v/>
      </c>
      <c r="F125" s="17">
        <f>IF($A125="","",IFERROR(SUMIF(tblAnahtarA[Norm],$A125,tblVeriA[VergiKdv]),0))</f>
        <v/>
      </c>
      <c r="G125" s="17">
        <f>IF($A125="","",IFERROR(SUMIF(tblAnahtarA[Norm],$A125,tblVeriA[TuketimKwh]),0))</f>
        <v/>
      </c>
      <c r="H125" s="17">
        <f>IF(OR($A125="",$B125&lt;&gt;"tutar_farki"),"",IF(ABS($C125-$D125)&lt;=toleransKurus,"TARIFE",IF(ABS($C125-$E125)&lt;=toleransKurus,"DAGITIM",IF(ABS($C125-$F125)&lt;=toleransKurus,"KDV",IF($G125&gt;0,"TUKETIM","TANIMSIZ")))))</f>
        <v/>
      </c>
    </row>
    <row r="126">
      <c r="A126" s="22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IF($A126="","",IFERROR(SUMIF(tblAnahtarA[Norm],$A126,tblVeriA[EnerjiBedeli]),0))</f>
        <v/>
      </c>
      <c r="E126" s="17">
        <f>IF($A126="","",IFERROR(SUMIF(tblAnahtarA[Norm],$A126,tblVeriA[DagitimBedeli]),0))</f>
        <v/>
      </c>
      <c r="F126" s="17">
        <f>IF($A126="","",IFERROR(SUMIF(tblAnahtarA[Norm],$A126,tblVeriA[VergiKdv]),0))</f>
        <v/>
      </c>
      <c r="G126" s="17">
        <f>IF($A126="","",IFERROR(SUMIF(tblAnahtarA[Norm],$A126,tblVeriA[TuketimKwh]),0))</f>
        <v/>
      </c>
      <c r="H126" s="17">
        <f>IF(OR($A126="",$B126&lt;&gt;"tutar_farki"),"",IF(ABS($C126-$D126)&lt;=toleransKurus,"TARIFE",IF(ABS($C126-$E126)&lt;=toleransKurus,"DAGITIM",IF(ABS($C126-$F126)&lt;=toleransKurus,"KDV",IF($G126&gt;0,"TUKETIM","TANIMSIZ")))))</f>
        <v/>
      </c>
    </row>
    <row r="127">
      <c r="A127" s="22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IF($A127="","",IFERROR(SUMIF(tblAnahtarA[Norm],$A127,tblVeriA[EnerjiBedeli]),0))</f>
        <v/>
      </c>
      <c r="E127" s="17">
        <f>IF($A127="","",IFERROR(SUMIF(tblAnahtarA[Norm],$A127,tblVeriA[DagitimBedeli]),0))</f>
        <v/>
      </c>
      <c r="F127" s="17">
        <f>IF($A127="","",IFERROR(SUMIF(tblAnahtarA[Norm],$A127,tblVeriA[VergiKdv]),0))</f>
        <v/>
      </c>
      <c r="G127" s="17">
        <f>IF($A127="","",IFERROR(SUMIF(tblAnahtarA[Norm],$A127,tblVeriA[TuketimKwh]),0))</f>
        <v/>
      </c>
      <c r="H127" s="17">
        <f>IF(OR($A127="",$B127&lt;&gt;"tutar_farki"),"",IF(ABS($C127-$D127)&lt;=toleransKurus,"TARIFE",IF(ABS($C127-$E127)&lt;=toleransKurus,"DAGITIM",IF(ABS($C127-$F127)&lt;=toleransKurus,"KDV",IF($G127&gt;0,"TUKETIM","TANIMSIZ")))))</f>
        <v/>
      </c>
    </row>
    <row r="128">
      <c r="A128" s="22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IF($A128="","",IFERROR(SUMIF(tblAnahtarA[Norm],$A128,tblVeriA[EnerjiBedeli]),0))</f>
        <v/>
      </c>
      <c r="E128" s="17">
        <f>IF($A128="","",IFERROR(SUMIF(tblAnahtarA[Norm],$A128,tblVeriA[DagitimBedeli]),0))</f>
        <v/>
      </c>
      <c r="F128" s="17">
        <f>IF($A128="","",IFERROR(SUMIF(tblAnahtarA[Norm],$A128,tblVeriA[VergiKdv]),0))</f>
        <v/>
      </c>
      <c r="G128" s="17">
        <f>IF($A128="","",IFERROR(SUMIF(tblAnahtarA[Norm],$A128,tblVeriA[TuketimKwh]),0))</f>
        <v/>
      </c>
      <c r="H128" s="17">
        <f>IF(OR($A128="",$B128&lt;&gt;"tutar_farki"),"",IF(ABS($C128-$D128)&lt;=toleransKurus,"TARIFE",IF(ABS($C128-$E128)&lt;=toleransKurus,"DAGITIM",IF(ABS($C128-$F128)&lt;=toleransKurus,"KDV",IF($G128&gt;0,"TUKETIM","TANIMSIZ")))))</f>
        <v/>
      </c>
    </row>
    <row r="129">
      <c r="A129" s="22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IF($A129="","",IFERROR(SUMIF(tblAnahtarA[Norm],$A129,tblVeriA[EnerjiBedeli]),0))</f>
        <v/>
      </c>
      <c r="E129" s="17">
        <f>IF($A129="","",IFERROR(SUMIF(tblAnahtarA[Norm],$A129,tblVeriA[DagitimBedeli]),0))</f>
        <v/>
      </c>
      <c r="F129" s="17">
        <f>IF($A129="","",IFERROR(SUMIF(tblAnahtarA[Norm],$A129,tblVeriA[VergiKdv]),0))</f>
        <v/>
      </c>
      <c r="G129" s="17">
        <f>IF($A129="","",IFERROR(SUMIF(tblAnahtarA[Norm],$A129,tblVeriA[TuketimKwh]),0))</f>
        <v/>
      </c>
      <c r="H129" s="17">
        <f>IF(OR($A129="",$B129&lt;&gt;"tutar_farki"),"",IF(ABS($C129-$D129)&lt;=toleransKurus,"TARIFE",IF(ABS($C129-$E129)&lt;=toleransKurus,"DAGITIM",IF(ABS($C129-$F129)&lt;=toleransKurus,"KDV",IF($G129&gt;0,"TUKETIM","TANIMSIZ")))))</f>
        <v/>
      </c>
    </row>
    <row r="130">
      <c r="A130" s="22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IF($A130="","",IFERROR(SUMIF(tblAnahtarA[Norm],$A130,tblVeriA[EnerjiBedeli]),0))</f>
        <v/>
      </c>
      <c r="E130" s="17">
        <f>IF($A130="","",IFERROR(SUMIF(tblAnahtarA[Norm],$A130,tblVeriA[DagitimBedeli]),0))</f>
        <v/>
      </c>
      <c r="F130" s="17">
        <f>IF($A130="","",IFERROR(SUMIF(tblAnahtarA[Norm],$A130,tblVeriA[VergiKdv]),0))</f>
        <v/>
      </c>
      <c r="G130" s="17">
        <f>IF($A130="","",IFERROR(SUMIF(tblAnahtarA[Norm],$A130,tblVeriA[TuketimKwh]),0))</f>
        <v/>
      </c>
      <c r="H130" s="17">
        <f>IF(OR($A130="",$B130&lt;&gt;"tutar_farki"),"",IF(ABS($C130-$D130)&lt;=toleransKurus,"TARIFE",IF(ABS($C130-$E130)&lt;=toleransKurus,"DAGITIM",IF(ABS($C130-$F130)&lt;=toleransKurus,"KDV",IF($G130&gt;0,"TUKETIM","TANIMSIZ")))))</f>
        <v/>
      </c>
    </row>
    <row r="131">
      <c r="A131" s="22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IF($A131="","",IFERROR(SUMIF(tblAnahtarA[Norm],$A131,tblVeriA[EnerjiBedeli]),0))</f>
        <v/>
      </c>
      <c r="E131" s="17">
        <f>IF($A131="","",IFERROR(SUMIF(tblAnahtarA[Norm],$A131,tblVeriA[DagitimBedeli]),0))</f>
        <v/>
      </c>
      <c r="F131" s="17">
        <f>IF($A131="","",IFERROR(SUMIF(tblAnahtarA[Norm],$A131,tblVeriA[VergiKdv]),0))</f>
        <v/>
      </c>
      <c r="G131" s="17">
        <f>IF($A131="","",IFERROR(SUMIF(tblAnahtarA[Norm],$A131,tblVeriA[TuketimKwh]),0))</f>
        <v/>
      </c>
      <c r="H131" s="17">
        <f>IF(OR($A131="",$B131&lt;&gt;"tutar_farki"),"",IF(ABS($C131-$D131)&lt;=toleransKurus,"TARIFE",IF(ABS($C131-$E131)&lt;=toleransKurus,"DAGITIM",IF(ABS($C131-$F131)&lt;=toleransKurus,"KDV",IF($G131&gt;0,"TUKETIM","TANIMSIZ")))))</f>
        <v/>
      </c>
    </row>
    <row r="132">
      <c r="A132" s="22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IF($A132="","",IFERROR(SUMIF(tblAnahtarA[Norm],$A132,tblVeriA[EnerjiBedeli]),0))</f>
        <v/>
      </c>
      <c r="E132" s="17">
        <f>IF($A132="","",IFERROR(SUMIF(tblAnahtarA[Norm],$A132,tblVeriA[DagitimBedeli]),0))</f>
        <v/>
      </c>
      <c r="F132" s="17">
        <f>IF($A132="","",IFERROR(SUMIF(tblAnahtarA[Norm],$A132,tblVeriA[VergiKdv]),0))</f>
        <v/>
      </c>
      <c r="G132" s="17">
        <f>IF($A132="","",IFERROR(SUMIF(tblAnahtarA[Norm],$A132,tblVeriA[TuketimKwh]),0))</f>
        <v/>
      </c>
      <c r="H132" s="17">
        <f>IF(OR($A132="",$B132&lt;&gt;"tutar_farki"),"",IF(ABS($C132-$D132)&lt;=toleransKurus,"TARIFE",IF(ABS($C132-$E132)&lt;=toleransKurus,"DAGITIM",IF(ABS($C132-$F132)&lt;=toleransKurus,"KDV",IF($G132&gt;0,"TUKETIM","TANIMSIZ")))))</f>
        <v/>
      </c>
    </row>
    <row r="133">
      <c r="A133" s="22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IF($A133="","",IFERROR(SUMIF(tblAnahtarA[Norm],$A133,tblVeriA[EnerjiBedeli]),0))</f>
        <v/>
      </c>
      <c r="E133" s="17">
        <f>IF($A133="","",IFERROR(SUMIF(tblAnahtarA[Norm],$A133,tblVeriA[DagitimBedeli]),0))</f>
        <v/>
      </c>
      <c r="F133" s="17">
        <f>IF($A133="","",IFERROR(SUMIF(tblAnahtarA[Norm],$A133,tblVeriA[VergiKdv]),0))</f>
        <v/>
      </c>
      <c r="G133" s="17">
        <f>IF($A133="","",IFERROR(SUMIF(tblAnahtarA[Norm],$A133,tblVeriA[TuketimKwh]),0))</f>
        <v/>
      </c>
      <c r="H133" s="17">
        <f>IF(OR($A133="",$B133&lt;&gt;"tutar_farki"),"",IF(ABS($C133-$D133)&lt;=toleransKurus,"TARIFE",IF(ABS($C133-$E133)&lt;=toleransKurus,"DAGITIM",IF(ABS($C133-$F133)&lt;=toleransKurus,"KDV",IF($G133&gt;0,"TUKETIM","TANIMSIZ")))))</f>
        <v/>
      </c>
    </row>
    <row r="134">
      <c r="A134" s="22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IF($A134="","",IFERROR(SUMIF(tblAnahtarA[Norm],$A134,tblVeriA[EnerjiBedeli]),0))</f>
        <v/>
      </c>
      <c r="E134" s="17">
        <f>IF($A134="","",IFERROR(SUMIF(tblAnahtarA[Norm],$A134,tblVeriA[DagitimBedeli]),0))</f>
        <v/>
      </c>
      <c r="F134" s="17">
        <f>IF($A134="","",IFERROR(SUMIF(tblAnahtarA[Norm],$A134,tblVeriA[VergiKdv]),0))</f>
        <v/>
      </c>
      <c r="G134" s="17">
        <f>IF($A134="","",IFERROR(SUMIF(tblAnahtarA[Norm],$A134,tblVeriA[TuketimKwh]),0))</f>
        <v/>
      </c>
      <c r="H134" s="17">
        <f>IF(OR($A134="",$B134&lt;&gt;"tutar_farki"),"",IF(ABS($C134-$D134)&lt;=toleransKurus,"TARIFE",IF(ABS($C134-$E134)&lt;=toleransKurus,"DAGITIM",IF(ABS($C134-$F134)&lt;=toleransKurus,"KDV",IF($G134&gt;0,"TUKETIM","TANIMSIZ")))))</f>
        <v/>
      </c>
    </row>
    <row r="135">
      <c r="A135" s="22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IF($A135="","",IFERROR(SUMIF(tblAnahtarA[Norm],$A135,tblVeriA[EnerjiBedeli]),0))</f>
        <v/>
      </c>
      <c r="E135" s="17">
        <f>IF($A135="","",IFERROR(SUMIF(tblAnahtarA[Norm],$A135,tblVeriA[DagitimBedeli]),0))</f>
        <v/>
      </c>
      <c r="F135" s="17">
        <f>IF($A135="","",IFERROR(SUMIF(tblAnahtarA[Norm],$A135,tblVeriA[VergiKdv]),0))</f>
        <v/>
      </c>
      <c r="G135" s="17">
        <f>IF($A135="","",IFERROR(SUMIF(tblAnahtarA[Norm],$A135,tblVeriA[TuketimKwh]),0))</f>
        <v/>
      </c>
      <c r="H135" s="17">
        <f>IF(OR($A135="",$B135&lt;&gt;"tutar_farki"),"",IF(ABS($C135-$D135)&lt;=toleransKurus,"TARIFE",IF(ABS($C135-$E135)&lt;=toleransKurus,"DAGITIM",IF(ABS($C135-$F135)&lt;=toleransKurus,"KDV",IF($G135&gt;0,"TUKETIM","TANIMSIZ")))))</f>
        <v/>
      </c>
    </row>
    <row r="136">
      <c r="A136" s="22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IF($A136="","",IFERROR(SUMIF(tblAnahtarA[Norm],$A136,tblVeriA[EnerjiBedeli]),0))</f>
        <v/>
      </c>
      <c r="E136" s="17">
        <f>IF($A136="","",IFERROR(SUMIF(tblAnahtarA[Norm],$A136,tblVeriA[DagitimBedeli]),0))</f>
        <v/>
      </c>
      <c r="F136" s="17">
        <f>IF($A136="","",IFERROR(SUMIF(tblAnahtarA[Norm],$A136,tblVeriA[VergiKdv]),0))</f>
        <v/>
      </c>
      <c r="G136" s="17">
        <f>IF($A136="","",IFERROR(SUMIF(tblAnahtarA[Norm],$A136,tblVeriA[TuketimKwh]),0))</f>
        <v/>
      </c>
      <c r="H136" s="17">
        <f>IF(OR($A136="",$B136&lt;&gt;"tutar_farki"),"",IF(ABS($C136-$D136)&lt;=toleransKurus,"TARIFE",IF(ABS($C136-$E136)&lt;=toleransKurus,"DAGITIM",IF(ABS($C136-$F136)&lt;=toleransKurus,"KDV",IF($G136&gt;0,"TUKETIM","TANIMSIZ")))))</f>
        <v/>
      </c>
    </row>
    <row r="137">
      <c r="A137" s="22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IF($A137="","",IFERROR(SUMIF(tblAnahtarA[Norm],$A137,tblVeriA[EnerjiBedeli]),0))</f>
        <v/>
      </c>
      <c r="E137" s="17">
        <f>IF($A137="","",IFERROR(SUMIF(tblAnahtarA[Norm],$A137,tblVeriA[DagitimBedeli]),0))</f>
        <v/>
      </c>
      <c r="F137" s="17">
        <f>IF($A137="","",IFERROR(SUMIF(tblAnahtarA[Norm],$A137,tblVeriA[VergiKdv]),0))</f>
        <v/>
      </c>
      <c r="G137" s="17">
        <f>IF($A137="","",IFERROR(SUMIF(tblAnahtarA[Norm],$A137,tblVeriA[TuketimKwh]),0))</f>
        <v/>
      </c>
      <c r="H137" s="17">
        <f>IF(OR($A137="",$B137&lt;&gt;"tutar_farki"),"",IF(ABS($C137-$D137)&lt;=toleransKurus,"TARIFE",IF(ABS($C137-$E137)&lt;=toleransKurus,"DAGITIM",IF(ABS($C137-$F137)&lt;=toleransKurus,"KDV",IF($G137&gt;0,"TUKETIM","TANIMSIZ")))))</f>
        <v/>
      </c>
    </row>
    <row r="138">
      <c r="A138" s="22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IF($A138="","",IFERROR(SUMIF(tblAnahtarA[Norm],$A138,tblVeriA[EnerjiBedeli]),0))</f>
        <v/>
      </c>
      <c r="E138" s="17">
        <f>IF($A138="","",IFERROR(SUMIF(tblAnahtarA[Norm],$A138,tblVeriA[DagitimBedeli]),0))</f>
        <v/>
      </c>
      <c r="F138" s="17">
        <f>IF($A138="","",IFERROR(SUMIF(tblAnahtarA[Norm],$A138,tblVeriA[VergiKdv]),0))</f>
        <v/>
      </c>
      <c r="G138" s="17">
        <f>IF($A138="","",IFERROR(SUMIF(tblAnahtarA[Norm],$A138,tblVeriA[TuketimKwh]),0))</f>
        <v/>
      </c>
      <c r="H138" s="17">
        <f>IF(OR($A138="",$B138&lt;&gt;"tutar_farki"),"",IF(ABS($C138-$D138)&lt;=toleransKurus,"TARIFE",IF(ABS($C138-$E138)&lt;=toleransKurus,"DAGITIM",IF(ABS($C138-$F138)&lt;=toleransKurus,"KDV",IF($G138&gt;0,"TUKETIM","TANIMSIZ")))))</f>
        <v/>
      </c>
    </row>
    <row r="139">
      <c r="A139" s="22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IF($A139="","",IFERROR(SUMIF(tblAnahtarA[Norm],$A139,tblVeriA[EnerjiBedeli]),0))</f>
        <v/>
      </c>
      <c r="E139" s="17">
        <f>IF($A139="","",IFERROR(SUMIF(tblAnahtarA[Norm],$A139,tblVeriA[DagitimBedeli]),0))</f>
        <v/>
      </c>
      <c r="F139" s="17">
        <f>IF($A139="","",IFERROR(SUMIF(tblAnahtarA[Norm],$A139,tblVeriA[VergiKdv]),0))</f>
        <v/>
      </c>
      <c r="G139" s="17">
        <f>IF($A139="","",IFERROR(SUMIF(tblAnahtarA[Norm],$A139,tblVeriA[TuketimKwh]),0))</f>
        <v/>
      </c>
      <c r="H139" s="17">
        <f>IF(OR($A139="",$B139&lt;&gt;"tutar_farki"),"",IF(ABS($C139-$D139)&lt;=toleransKurus,"TARIFE",IF(ABS($C139-$E139)&lt;=toleransKurus,"DAGITIM",IF(ABS($C139-$F139)&lt;=toleransKurus,"KDV",IF($G139&gt;0,"TUKETIM","TANIMSIZ")))))</f>
        <v/>
      </c>
    </row>
    <row r="140">
      <c r="A140" s="22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IF($A140="","",IFERROR(SUMIF(tblAnahtarA[Norm],$A140,tblVeriA[EnerjiBedeli]),0))</f>
        <v/>
      </c>
      <c r="E140" s="17">
        <f>IF($A140="","",IFERROR(SUMIF(tblAnahtarA[Norm],$A140,tblVeriA[DagitimBedeli]),0))</f>
        <v/>
      </c>
      <c r="F140" s="17">
        <f>IF($A140="","",IFERROR(SUMIF(tblAnahtarA[Norm],$A140,tblVeriA[VergiKdv]),0))</f>
        <v/>
      </c>
      <c r="G140" s="17">
        <f>IF($A140="","",IFERROR(SUMIF(tblAnahtarA[Norm],$A140,tblVeriA[TuketimKwh]),0))</f>
        <v/>
      </c>
      <c r="H140" s="17">
        <f>IF(OR($A140="",$B140&lt;&gt;"tutar_farki"),"",IF(ABS($C140-$D140)&lt;=toleransKurus,"TARIFE",IF(ABS($C140-$E140)&lt;=toleransKurus,"DAGITIM",IF(ABS($C140-$F140)&lt;=toleransKurus,"KDV",IF($G140&gt;0,"TUKETIM","TANIMSIZ")))))</f>
        <v/>
      </c>
    </row>
    <row r="141">
      <c r="A141" s="22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IF($A141="","",IFERROR(SUMIF(tblAnahtarA[Norm],$A141,tblVeriA[EnerjiBedeli]),0))</f>
        <v/>
      </c>
      <c r="E141" s="17">
        <f>IF($A141="","",IFERROR(SUMIF(tblAnahtarA[Norm],$A141,tblVeriA[DagitimBedeli]),0))</f>
        <v/>
      </c>
      <c r="F141" s="17">
        <f>IF($A141="","",IFERROR(SUMIF(tblAnahtarA[Norm],$A141,tblVeriA[VergiKdv]),0))</f>
        <v/>
      </c>
      <c r="G141" s="17">
        <f>IF($A141="","",IFERROR(SUMIF(tblAnahtarA[Norm],$A141,tblVeriA[TuketimKwh]),0))</f>
        <v/>
      </c>
      <c r="H141" s="17">
        <f>IF(OR($A141="",$B141&lt;&gt;"tutar_farki"),"",IF(ABS($C141-$D141)&lt;=toleransKurus,"TARIFE",IF(ABS($C141-$E141)&lt;=toleransKurus,"DAGITIM",IF(ABS($C141-$F141)&lt;=toleransKurus,"KDV",IF($G141&gt;0,"TUKETIM","TANIMSIZ")))))</f>
        <v/>
      </c>
    </row>
    <row r="142">
      <c r="A142" s="22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IF($A142="","",IFERROR(SUMIF(tblAnahtarA[Norm],$A142,tblVeriA[EnerjiBedeli]),0))</f>
        <v/>
      </c>
      <c r="E142" s="17">
        <f>IF($A142="","",IFERROR(SUMIF(tblAnahtarA[Norm],$A142,tblVeriA[DagitimBedeli]),0))</f>
        <v/>
      </c>
      <c r="F142" s="17">
        <f>IF($A142="","",IFERROR(SUMIF(tblAnahtarA[Norm],$A142,tblVeriA[VergiKdv]),0))</f>
        <v/>
      </c>
      <c r="G142" s="17">
        <f>IF($A142="","",IFERROR(SUMIF(tblAnahtarA[Norm],$A142,tblVeriA[TuketimKwh]),0))</f>
        <v/>
      </c>
      <c r="H142" s="17">
        <f>IF(OR($A142="",$B142&lt;&gt;"tutar_farki"),"",IF(ABS($C142-$D142)&lt;=toleransKurus,"TARIFE",IF(ABS($C142-$E142)&lt;=toleransKurus,"DAGITIM",IF(ABS($C142-$F142)&lt;=toleransKurus,"KDV",IF($G142&gt;0,"TUKETIM","TANIMSIZ")))))</f>
        <v/>
      </c>
    </row>
    <row r="143">
      <c r="A143" s="22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IF($A143="","",IFERROR(SUMIF(tblAnahtarA[Norm],$A143,tblVeriA[EnerjiBedeli]),0))</f>
        <v/>
      </c>
      <c r="E143" s="17">
        <f>IF($A143="","",IFERROR(SUMIF(tblAnahtarA[Norm],$A143,tblVeriA[DagitimBedeli]),0))</f>
        <v/>
      </c>
      <c r="F143" s="17">
        <f>IF($A143="","",IFERROR(SUMIF(tblAnahtarA[Norm],$A143,tblVeriA[VergiKdv]),0))</f>
        <v/>
      </c>
      <c r="G143" s="17">
        <f>IF($A143="","",IFERROR(SUMIF(tblAnahtarA[Norm],$A143,tblVeriA[TuketimKwh]),0))</f>
        <v/>
      </c>
      <c r="H143" s="17">
        <f>IF(OR($A143="",$B143&lt;&gt;"tutar_farki"),"",IF(ABS($C143-$D143)&lt;=toleransKurus,"TARIFE",IF(ABS($C143-$E143)&lt;=toleransKurus,"DAGITIM",IF(ABS($C143-$F143)&lt;=toleransKurus,"KDV",IF($G143&gt;0,"TUKETIM","TANIMSIZ")))))</f>
        <v/>
      </c>
    </row>
    <row r="144">
      <c r="A144" s="22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IF($A144="","",IFERROR(SUMIF(tblAnahtarA[Norm],$A144,tblVeriA[EnerjiBedeli]),0))</f>
        <v/>
      </c>
      <c r="E144" s="17">
        <f>IF($A144="","",IFERROR(SUMIF(tblAnahtarA[Norm],$A144,tblVeriA[DagitimBedeli]),0))</f>
        <v/>
      </c>
      <c r="F144" s="17">
        <f>IF($A144="","",IFERROR(SUMIF(tblAnahtarA[Norm],$A144,tblVeriA[VergiKdv]),0))</f>
        <v/>
      </c>
      <c r="G144" s="17">
        <f>IF($A144="","",IFERROR(SUMIF(tblAnahtarA[Norm],$A144,tblVeriA[TuketimKwh]),0))</f>
        <v/>
      </c>
      <c r="H144" s="17">
        <f>IF(OR($A144="",$B144&lt;&gt;"tutar_farki"),"",IF(ABS($C144-$D144)&lt;=toleransKurus,"TARIFE",IF(ABS($C144-$E144)&lt;=toleransKurus,"DAGITIM",IF(ABS($C144-$F144)&lt;=toleransKurus,"KDV",IF($G144&gt;0,"TUKETIM","TANIMSIZ")))))</f>
        <v/>
      </c>
    </row>
    <row r="145">
      <c r="A145" s="22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IF($A145="","",IFERROR(SUMIF(tblAnahtarA[Norm],$A145,tblVeriA[EnerjiBedeli]),0))</f>
        <v/>
      </c>
      <c r="E145" s="17">
        <f>IF($A145="","",IFERROR(SUMIF(tblAnahtarA[Norm],$A145,tblVeriA[DagitimBedeli]),0))</f>
        <v/>
      </c>
      <c r="F145" s="17">
        <f>IF($A145="","",IFERROR(SUMIF(tblAnahtarA[Norm],$A145,tblVeriA[VergiKdv]),0))</f>
        <v/>
      </c>
      <c r="G145" s="17">
        <f>IF($A145="","",IFERROR(SUMIF(tblAnahtarA[Norm],$A145,tblVeriA[TuketimKwh]),0))</f>
        <v/>
      </c>
      <c r="H145" s="17">
        <f>IF(OR($A145="",$B145&lt;&gt;"tutar_farki"),"",IF(ABS($C145-$D145)&lt;=toleransKurus,"TARIFE",IF(ABS($C145-$E145)&lt;=toleransKurus,"DAGITIM",IF(ABS($C145-$F145)&lt;=toleransKurus,"KDV",IF($G145&gt;0,"TUKETIM","TANIMSIZ")))))</f>
        <v/>
      </c>
    </row>
    <row r="146">
      <c r="A146" s="22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IF($A146="","",IFERROR(SUMIF(tblAnahtarA[Norm],$A146,tblVeriA[EnerjiBedeli]),0))</f>
        <v/>
      </c>
      <c r="E146" s="17">
        <f>IF($A146="","",IFERROR(SUMIF(tblAnahtarA[Norm],$A146,tblVeriA[DagitimBedeli]),0))</f>
        <v/>
      </c>
      <c r="F146" s="17">
        <f>IF($A146="","",IFERROR(SUMIF(tblAnahtarA[Norm],$A146,tblVeriA[VergiKdv]),0))</f>
        <v/>
      </c>
      <c r="G146" s="17">
        <f>IF($A146="","",IFERROR(SUMIF(tblAnahtarA[Norm],$A146,tblVeriA[TuketimKwh]),0))</f>
        <v/>
      </c>
      <c r="H146" s="17">
        <f>IF(OR($A146="",$B146&lt;&gt;"tutar_farki"),"",IF(ABS($C146-$D146)&lt;=toleransKurus,"TARIFE",IF(ABS($C146-$E146)&lt;=toleransKurus,"DAGITIM",IF(ABS($C146-$F146)&lt;=toleransKurus,"KDV",IF($G146&gt;0,"TUKETIM","TANIMSIZ")))))</f>
        <v/>
      </c>
    </row>
    <row r="147">
      <c r="A147" s="22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IF($A147="","",IFERROR(SUMIF(tblAnahtarA[Norm],$A147,tblVeriA[EnerjiBedeli]),0))</f>
        <v/>
      </c>
      <c r="E147" s="17">
        <f>IF($A147="","",IFERROR(SUMIF(tblAnahtarA[Norm],$A147,tblVeriA[DagitimBedeli]),0))</f>
        <v/>
      </c>
      <c r="F147" s="17">
        <f>IF($A147="","",IFERROR(SUMIF(tblAnahtarA[Norm],$A147,tblVeriA[VergiKdv]),0))</f>
        <v/>
      </c>
      <c r="G147" s="17">
        <f>IF($A147="","",IFERROR(SUMIF(tblAnahtarA[Norm],$A147,tblVeriA[TuketimKwh]),0))</f>
        <v/>
      </c>
      <c r="H147" s="17">
        <f>IF(OR($A147="",$B147&lt;&gt;"tutar_farki"),"",IF(ABS($C147-$D147)&lt;=toleransKurus,"TARIFE",IF(ABS($C147-$E147)&lt;=toleransKurus,"DAGITIM",IF(ABS($C147-$F147)&lt;=toleransKurus,"KDV",IF($G147&gt;0,"TUKETIM","TANIMSIZ")))))</f>
        <v/>
      </c>
    </row>
    <row r="148">
      <c r="A148" s="22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IF($A148="","",IFERROR(SUMIF(tblAnahtarA[Norm],$A148,tblVeriA[EnerjiBedeli]),0))</f>
        <v/>
      </c>
      <c r="E148" s="17">
        <f>IF($A148="","",IFERROR(SUMIF(tblAnahtarA[Norm],$A148,tblVeriA[DagitimBedeli]),0))</f>
        <v/>
      </c>
      <c r="F148" s="17">
        <f>IF($A148="","",IFERROR(SUMIF(tblAnahtarA[Norm],$A148,tblVeriA[VergiKdv]),0))</f>
        <v/>
      </c>
      <c r="G148" s="17">
        <f>IF($A148="","",IFERROR(SUMIF(tblAnahtarA[Norm],$A148,tblVeriA[TuketimKwh]),0))</f>
        <v/>
      </c>
      <c r="H148" s="17">
        <f>IF(OR($A148="",$B148&lt;&gt;"tutar_farki"),"",IF(ABS($C148-$D148)&lt;=toleransKurus,"TARIFE",IF(ABS($C148-$E148)&lt;=toleransKurus,"DAGITIM",IF(ABS($C148-$F148)&lt;=toleransKurus,"KDV",IF($G148&gt;0,"TUKETIM","TANIMSIZ")))))</f>
        <v/>
      </c>
    </row>
    <row r="149">
      <c r="A149" s="22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IF($A149="","",IFERROR(SUMIF(tblAnahtarA[Norm],$A149,tblVeriA[EnerjiBedeli]),0))</f>
        <v/>
      </c>
      <c r="E149" s="17">
        <f>IF($A149="","",IFERROR(SUMIF(tblAnahtarA[Norm],$A149,tblVeriA[DagitimBedeli]),0))</f>
        <v/>
      </c>
      <c r="F149" s="17">
        <f>IF($A149="","",IFERROR(SUMIF(tblAnahtarA[Norm],$A149,tblVeriA[VergiKdv]),0))</f>
        <v/>
      </c>
      <c r="G149" s="17">
        <f>IF($A149="","",IFERROR(SUMIF(tblAnahtarA[Norm],$A149,tblVeriA[TuketimKwh]),0))</f>
        <v/>
      </c>
      <c r="H149" s="17">
        <f>IF(OR($A149="",$B149&lt;&gt;"tutar_farki"),"",IF(ABS($C149-$D149)&lt;=toleransKurus,"TARIFE",IF(ABS($C149-$E149)&lt;=toleransKurus,"DAGITIM",IF(ABS($C149-$F149)&lt;=toleransKurus,"KDV",IF($G149&gt;0,"TUKETIM","TANIMSIZ")))))</f>
        <v/>
      </c>
    </row>
    <row r="150">
      <c r="A150" s="22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IF($A150="","",IFERROR(SUMIF(tblAnahtarA[Norm],$A150,tblVeriA[EnerjiBedeli]),0))</f>
        <v/>
      </c>
      <c r="E150" s="17">
        <f>IF($A150="","",IFERROR(SUMIF(tblAnahtarA[Norm],$A150,tblVeriA[DagitimBedeli]),0))</f>
        <v/>
      </c>
      <c r="F150" s="17">
        <f>IF($A150="","",IFERROR(SUMIF(tblAnahtarA[Norm],$A150,tblVeriA[VergiKdv]),0))</f>
        <v/>
      </c>
      <c r="G150" s="17">
        <f>IF($A150="","",IFERROR(SUMIF(tblAnahtarA[Norm],$A150,tblVeriA[TuketimKwh]),0))</f>
        <v/>
      </c>
      <c r="H150" s="17">
        <f>IF(OR($A150="",$B150&lt;&gt;"tutar_farki"),"",IF(ABS($C150-$D150)&lt;=toleransKurus,"TARIFE",IF(ABS($C150-$E150)&lt;=toleransKurus,"DAGITIM",IF(ABS($C150-$F150)&lt;=toleransKurus,"KDV",IF($G150&gt;0,"TUKETIM","TANIMSIZ")))))</f>
        <v/>
      </c>
    </row>
    <row r="151">
      <c r="A151" s="22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IF($A151="","",IFERROR(SUMIF(tblAnahtarA[Norm],$A151,tblVeriA[EnerjiBedeli]),0))</f>
        <v/>
      </c>
      <c r="E151" s="17">
        <f>IF($A151="","",IFERROR(SUMIF(tblAnahtarA[Norm],$A151,tblVeriA[DagitimBedeli]),0))</f>
        <v/>
      </c>
      <c r="F151" s="17">
        <f>IF($A151="","",IFERROR(SUMIF(tblAnahtarA[Norm],$A151,tblVeriA[VergiKdv]),0))</f>
        <v/>
      </c>
      <c r="G151" s="17">
        <f>IF($A151="","",IFERROR(SUMIF(tblAnahtarA[Norm],$A151,tblVeriA[TuketimKwh]),0))</f>
        <v/>
      </c>
      <c r="H151" s="17">
        <f>IF(OR($A151="",$B151&lt;&gt;"tutar_farki"),"",IF(ABS($C151-$D151)&lt;=toleransKurus,"TARIFE",IF(ABS($C151-$E151)&lt;=toleransKurus,"DAGITIM",IF(ABS($C151-$F151)&lt;=toleransKurus,"KDV",IF($G151&gt;0,"TUKETIM","TANIMSIZ")))))</f>
        <v/>
      </c>
    </row>
    <row r="152">
      <c r="A152" s="22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IF($A152="","",IFERROR(SUMIF(tblAnahtarA[Norm],$A152,tblVeriA[EnerjiBedeli]),0))</f>
        <v/>
      </c>
      <c r="E152" s="17">
        <f>IF($A152="","",IFERROR(SUMIF(tblAnahtarA[Norm],$A152,tblVeriA[DagitimBedeli]),0))</f>
        <v/>
      </c>
      <c r="F152" s="17">
        <f>IF($A152="","",IFERROR(SUMIF(tblAnahtarA[Norm],$A152,tblVeriA[VergiKdv]),0))</f>
        <v/>
      </c>
      <c r="G152" s="17">
        <f>IF($A152="","",IFERROR(SUMIF(tblAnahtarA[Norm],$A152,tblVeriA[TuketimKwh]),0))</f>
        <v/>
      </c>
      <c r="H152" s="17">
        <f>IF(OR($A152="",$B152&lt;&gt;"tutar_farki"),"",IF(ABS($C152-$D152)&lt;=toleransKurus,"TARIFE",IF(ABS($C152-$E152)&lt;=toleransKurus,"DAGITIM",IF(ABS($C152-$F152)&lt;=toleransKurus,"KDV",IF($G152&gt;0,"TUKETIM","TANIMSIZ")))))</f>
        <v/>
      </c>
    </row>
    <row r="153">
      <c r="A153" s="22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IF($A153="","",IFERROR(SUMIF(tblAnahtarA[Norm],$A153,tblVeriA[EnerjiBedeli]),0))</f>
        <v/>
      </c>
      <c r="E153" s="17">
        <f>IF($A153="","",IFERROR(SUMIF(tblAnahtarA[Norm],$A153,tblVeriA[DagitimBedeli]),0))</f>
        <v/>
      </c>
      <c r="F153" s="17">
        <f>IF($A153="","",IFERROR(SUMIF(tblAnahtarA[Norm],$A153,tblVeriA[VergiKdv]),0))</f>
        <v/>
      </c>
      <c r="G153" s="17">
        <f>IF($A153="","",IFERROR(SUMIF(tblAnahtarA[Norm],$A153,tblVeriA[TuketimKwh]),0))</f>
        <v/>
      </c>
      <c r="H153" s="17">
        <f>IF(OR($A153="",$B153&lt;&gt;"tutar_farki"),"",IF(ABS($C153-$D153)&lt;=toleransKurus,"TARIFE",IF(ABS($C153-$E153)&lt;=toleransKurus,"DAGITIM",IF(ABS($C153-$F153)&lt;=toleransKurus,"KDV",IF($G153&gt;0,"TUKETIM","TANIMSIZ")))))</f>
        <v/>
      </c>
    </row>
    <row r="154">
      <c r="A154" s="22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IF($A154="","",IFERROR(SUMIF(tblAnahtarA[Norm],$A154,tblVeriA[EnerjiBedeli]),0))</f>
        <v/>
      </c>
      <c r="E154" s="17">
        <f>IF($A154="","",IFERROR(SUMIF(tblAnahtarA[Norm],$A154,tblVeriA[DagitimBedeli]),0))</f>
        <v/>
      </c>
      <c r="F154" s="17">
        <f>IF($A154="","",IFERROR(SUMIF(tblAnahtarA[Norm],$A154,tblVeriA[VergiKdv]),0))</f>
        <v/>
      </c>
      <c r="G154" s="17">
        <f>IF($A154="","",IFERROR(SUMIF(tblAnahtarA[Norm],$A154,tblVeriA[TuketimKwh]),0))</f>
        <v/>
      </c>
      <c r="H154" s="17">
        <f>IF(OR($A154="",$B154&lt;&gt;"tutar_farki"),"",IF(ABS($C154-$D154)&lt;=toleransKurus,"TARIFE",IF(ABS($C154-$E154)&lt;=toleransKurus,"DAGITIM",IF(ABS($C154-$F154)&lt;=toleransKurus,"KDV",IF($G154&gt;0,"TUKETIM","TANIMSIZ")))))</f>
        <v/>
      </c>
    </row>
    <row r="155">
      <c r="A155" s="22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IF($A155="","",IFERROR(SUMIF(tblAnahtarA[Norm],$A155,tblVeriA[EnerjiBedeli]),0))</f>
        <v/>
      </c>
      <c r="E155" s="17">
        <f>IF($A155="","",IFERROR(SUMIF(tblAnahtarA[Norm],$A155,tblVeriA[DagitimBedeli]),0))</f>
        <v/>
      </c>
      <c r="F155" s="17">
        <f>IF($A155="","",IFERROR(SUMIF(tblAnahtarA[Norm],$A155,tblVeriA[VergiKdv]),0))</f>
        <v/>
      </c>
      <c r="G155" s="17">
        <f>IF($A155="","",IFERROR(SUMIF(tblAnahtarA[Norm],$A155,tblVeriA[TuketimKwh]),0))</f>
        <v/>
      </c>
      <c r="H155" s="17">
        <f>IF(OR($A155="",$B155&lt;&gt;"tutar_farki"),"",IF(ABS($C155-$D155)&lt;=toleransKurus,"TARIFE",IF(ABS($C155-$E155)&lt;=toleransKurus,"DAGITIM",IF(ABS($C155-$F155)&lt;=toleransKurus,"KDV",IF($G155&gt;0,"TUKETIM","TANIMSIZ")))))</f>
        <v/>
      </c>
    </row>
    <row r="156">
      <c r="A156" s="22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IF($A156="","",IFERROR(SUMIF(tblAnahtarA[Norm],$A156,tblVeriA[EnerjiBedeli]),0))</f>
        <v/>
      </c>
      <c r="E156" s="17">
        <f>IF($A156="","",IFERROR(SUMIF(tblAnahtarA[Norm],$A156,tblVeriA[DagitimBedeli]),0))</f>
        <v/>
      </c>
      <c r="F156" s="17">
        <f>IF($A156="","",IFERROR(SUMIF(tblAnahtarA[Norm],$A156,tblVeriA[VergiKdv]),0))</f>
        <v/>
      </c>
      <c r="G156" s="17">
        <f>IF($A156="","",IFERROR(SUMIF(tblAnahtarA[Norm],$A156,tblVeriA[TuketimKwh]),0))</f>
        <v/>
      </c>
      <c r="H156" s="17">
        <f>IF(OR($A156="",$B156&lt;&gt;"tutar_farki"),"",IF(ABS($C156-$D156)&lt;=toleransKurus,"TARIFE",IF(ABS($C156-$E156)&lt;=toleransKurus,"DAGITIM",IF(ABS($C156-$F156)&lt;=toleransKurus,"KDV",IF($G156&gt;0,"TUKETIM","TANIMSIZ")))))</f>
        <v/>
      </c>
    </row>
    <row r="157">
      <c r="A157" s="22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IF($A157="","",IFERROR(SUMIF(tblAnahtarA[Norm],$A157,tblVeriA[EnerjiBedeli]),0))</f>
        <v/>
      </c>
      <c r="E157" s="17">
        <f>IF($A157="","",IFERROR(SUMIF(tblAnahtarA[Norm],$A157,tblVeriA[DagitimBedeli]),0))</f>
        <v/>
      </c>
      <c r="F157" s="17">
        <f>IF($A157="","",IFERROR(SUMIF(tblAnahtarA[Norm],$A157,tblVeriA[VergiKdv]),0))</f>
        <v/>
      </c>
      <c r="G157" s="17">
        <f>IF($A157="","",IFERROR(SUMIF(tblAnahtarA[Norm],$A157,tblVeriA[TuketimKwh]),0))</f>
        <v/>
      </c>
      <c r="H157" s="17">
        <f>IF(OR($A157="",$B157&lt;&gt;"tutar_farki"),"",IF(ABS($C157-$D157)&lt;=toleransKurus,"TARIFE",IF(ABS($C157-$E157)&lt;=toleransKurus,"DAGITIM",IF(ABS($C157-$F157)&lt;=toleransKurus,"KDV",IF($G157&gt;0,"TUKETIM","TANIMSIZ")))))</f>
        <v/>
      </c>
    </row>
    <row r="158">
      <c r="A158" s="22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IF($A158="","",IFERROR(SUMIF(tblAnahtarA[Norm],$A158,tblVeriA[EnerjiBedeli]),0))</f>
        <v/>
      </c>
      <c r="E158" s="17">
        <f>IF($A158="","",IFERROR(SUMIF(tblAnahtarA[Norm],$A158,tblVeriA[DagitimBedeli]),0))</f>
        <v/>
      </c>
      <c r="F158" s="17">
        <f>IF($A158="","",IFERROR(SUMIF(tblAnahtarA[Norm],$A158,tblVeriA[VergiKdv]),0))</f>
        <v/>
      </c>
      <c r="G158" s="17">
        <f>IF($A158="","",IFERROR(SUMIF(tblAnahtarA[Norm],$A158,tblVeriA[TuketimKwh]),0))</f>
        <v/>
      </c>
      <c r="H158" s="17">
        <f>IF(OR($A158="",$B158&lt;&gt;"tutar_farki"),"",IF(ABS($C158-$D158)&lt;=toleransKurus,"TARIFE",IF(ABS($C158-$E158)&lt;=toleransKurus,"DAGITIM",IF(ABS($C158-$F158)&lt;=toleransKurus,"KDV",IF($G158&gt;0,"TUKETIM","TANIMSIZ")))))</f>
        <v/>
      </c>
    </row>
    <row r="159">
      <c r="A159" s="22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IF($A159="","",IFERROR(SUMIF(tblAnahtarA[Norm],$A159,tblVeriA[EnerjiBedeli]),0))</f>
        <v/>
      </c>
      <c r="E159" s="17">
        <f>IF($A159="","",IFERROR(SUMIF(tblAnahtarA[Norm],$A159,tblVeriA[DagitimBedeli]),0))</f>
        <v/>
      </c>
      <c r="F159" s="17">
        <f>IF($A159="","",IFERROR(SUMIF(tblAnahtarA[Norm],$A159,tblVeriA[VergiKdv]),0))</f>
        <v/>
      </c>
      <c r="G159" s="17">
        <f>IF($A159="","",IFERROR(SUMIF(tblAnahtarA[Norm],$A159,tblVeriA[TuketimKwh]),0))</f>
        <v/>
      </c>
      <c r="H159" s="17">
        <f>IF(OR($A159="",$B159&lt;&gt;"tutar_farki"),"",IF(ABS($C159-$D159)&lt;=toleransKurus,"TARIFE",IF(ABS($C159-$E159)&lt;=toleransKurus,"DAGITIM",IF(ABS($C159-$F159)&lt;=toleransKurus,"KDV",IF($G159&gt;0,"TUKETIM","TANIMSIZ")))))</f>
        <v/>
      </c>
    </row>
    <row r="160">
      <c r="A160" s="22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IF($A160="","",IFERROR(SUMIF(tblAnahtarA[Norm],$A160,tblVeriA[EnerjiBedeli]),0))</f>
        <v/>
      </c>
      <c r="E160" s="17">
        <f>IF($A160="","",IFERROR(SUMIF(tblAnahtarA[Norm],$A160,tblVeriA[DagitimBedeli]),0))</f>
        <v/>
      </c>
      <c r="F160" s="17">
        <f>IF($A160="","",IFERROR(SUMIF(tblAnahtarA[Norm],$A160,tblVeriA[VergiKdv]),0))</f>
        <v/>
      </c>
      <c r="G160" s="17">
        <f>IF($A160="","",IFERROR(SUMIF(tblAnahtarA[Norm],$A160,tblVeriA[TuketimKwh]),0))</f>
        <v/>
      </c>
      <c r="H160" s="17">
        <f>IF(OR($A160="",$B160&lt;&gt;"tutar_farki"),"",IF(ABS($C160-$D160)&lt;=toleransKurus,"TARIFE",IF(ABS($C160-$E160)&lt;=toleransKurus,"DAGITIM",IF(ABS($C160-$F160)&lt;=toleransKurus,"KDV",IF($G160&gt;0,"TUKETIM","TANIMSIZ")))))</f>
        <v/>
      </c>
    </row>
    <row r="161">
      <c r="A161" s="22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IF($A161="","",IFERROR(SUMIF(tblAnahtarA[Norm],$A161,tblVeriA[EnerjiBedeli]),0))</f>
        <v/>
      </c>
      <c r="E161" s="17">
        <f>IF($A161="","",IFERROR(SUMIF(tblAnahtarA[Norm],$A161,tblVeriA[DagitimBedeli]),0))</f>
        <v/>
      </c>
      <c r="F161" s="17">
        <f>IF($A161="","",IFERROR(SUMIF(tblAnahtarA[Norm],$A161,tblVeriA[VergiKdv]),0))</f>
        <v/>
      </c>
      <c r="G161" s="17">
        <f>IF($A161="","",IFERROR(SUMIF(tblAnahtarA[Norm],$A161,tblVeriA[TuketimKwh]),0))</f>
        <v/>
      </c>
      <c r="H161" s="17">
        <f>IF(OR($A161="",$B161&lt;&gt;"tutar_farki"),"",IF(ABS($C161-$D161)&lt;=toleransKurus,"TARIFE",IF(ABS($C161-$E161)&lt;=toleransKurus,"DAGITIM",IF(ABS($C161-$F161)&lt;=toleransKurus,"KDV",IF($G161&gt;0,"TUKETIM","TANIMSIZ")))))</f>
        <v/>
      </c>
    </row>
    <row r="162">
      <c r="A162" s="22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IF($A162="","",IFERROR(SUMIF(tblAnahtarA[Norm],$A162,tblVeriA[EnerjiBedeli]),0))</f>
        <v/>
      </c>
      <c r="E162" s="17">
        <f>IF($A162="","",IFERROR(SUMIF(tblAnahtarA[Norm],$A162,tblVeriA[DagitimBedeli]),0))</f>
        <v/>
      </c>
      <c r="F162" s="17">
        <f>IF($A162="","",IFERROR(SUMIF(tblAnahtarA[Norm],$A162,tblVeriA[VergiKdv]),0))</f>
        <v/>
      </c>
      <c r="G162" s="17">
        <f>IF($A162="","",IFERROR(SUMIF(tblAnahtarA[Norm],$A162,tblVeriA[TuketimKwh]),0))</f>
        <v/>
      </c>
      <c r="H162" s="17">
        <f>IF(OR($A162="",$B162&lt;&gt;"tutar_farki"),"",IF(ABS($C162-$D162)&lt;=toleransKurus,"TARIFE",IF(ABS($C162-$E162)&lt;=toleransKurus,"DAGITIM",IF(ABS($C162-$F162)&lt;=toleransKurus,"KDV",IF($G162&gt;0,"TUKETIM","TANIMSIZ")))))</f>
        <v/>
      </c>
    </row>
    <row r="163">
      <c r="A163" s="22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IF($A163="","",IFERROR(SUMIF(tblAnahtarA[Norm],$A163,tblVeriA[EnerjiBedeli]),0))</f>
        <v/>
      </c>
      <c r="E163" s="17">
        <f>IF($A163="","",IFERROR(SUMIF(tblAnahtarA[Norm],$A163,tblVeriA[DagitimBedeli]),0))</f>
        <v/>
      </c>
      <c r="F163" s="17">
        <f>IF($A163="","",IFERROR(SUMIF(tblAnahtarA[Norm],$A163,tblVeriA[VergiKdv]),0))</f>
        <v/>
      </c>
      <c r="G163" s="17">
        <f>IF($A163="","",IFERROR(SUMIF(tblAnahtarA[Norm],$A163,tblVeriA[TuketimKwh]),0))</f>
        <v/>
      </c>
      <c r="H163" s="17">
        <f>IF(OR($A163="",$B163&lt;&gt;"tutar_farki"),"",IF(ABS($C163-$D163)&lt;=toleransKurus,"TARIFE",IF(ABS($C163-$E163)&lt;=toleransKurus,"DAGITIM",IF(ABS($C163-$F163)&lt;=toleransKurus,"KDV",IF($G163&gt;0,"TUKETIM","TANIMSIZ")))))</f>
        <v/>
      </c>
    </row>
    <row r="164">
      <c r="A164" s="22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IF($A164="","",IFERROR(SUMIF(tblAnahtarA[Norm],$A164,tblVeriA[EnerjiBedeli]),0))</f>
        <v/>
      </c>
      <c r="E164" s="17">
        <f>IF($A164="","",IFERROR(SUMIF(tblAnahtarA[Norm],$A164,tblVeriA[DagitimBedeli]),0))</f>
        <v/>
      </c>
      <c r="F164" s="17">
        <f>IF($A164="","",IFERROR(SUMIF(tblAnahtarA[Norm],$A164,tblVeriA[VergiKdv]),0))</f>
        <v/>
      </c>
      <c r="G164" s="17">
        <f>IF($A164="","",IFERROR(SUMIF(tblAnahtarA[Norm],$A164,tblVeriA[TuketimKwh]),0))</f>
        <v/>
      </c>
      <c r="H164" s="17">
        <f>IF(OR($A164="",$B164&lt;&gt;"tutar_farki"),"",IF(ABS($C164-$D164)&lt;=toleransKurus,"TARIFE",IF(ABS($C164-$E164)&lt;=toleransKurus,"DAGITIM",IF(ABS($C164-$F164)&lt;=toleransKurus,"KDV",IF($G164&gt;0,"TUKETIM","TANIMSIZ")))))</f>
        <v/>
      </c>
    </row>
    <row r="165">
      <c r="A165" s="22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IF($A165="","",IFERROR(SUMIF(tblAnahtarA[Norm],$A165,tblVeriA[EnerjiBedeli]),0))</f>
        <v/>
      </c>
      <c r="E165" s="17">
        <f>IF($A165="","",IFERROR(SUMIF(tblAnahtarA[Norm],$A165,tblVeriA[DagitimBedeli]),0))</f>
        <v/>
      </c>
      <c r="F165" s="17">
        <f>IF($A165="","",IFERROR(SUMIF(tblAnahtarA[Norm],$A165,tblVeriA[VergiKdv]),0))</f>
        <v/>
      </c>
      <c r="G165" s="17">
        <f>IF($A165="","",IFERROR(SUMIF(tblAnahtarA[Norm],$A165,tblVeriA[TuketimKwh]),0))</f>
        <v/>
      </c>
      <c r="H165" s="17">
        <f>IF(OR($A165="",$B165&lt;&gt;"tutar_farki"),"",IF(ABS($C165-$D165)&lt;=toleransKurus,"TARIFE",IF(ABS($C165-$E165)&lt;=toleransKurus,"DAGITIM",IF(ABS($C165-$F165)&lt;=toleransKurus,"KDV",IF($G165&gt;0,"TUKETIM","TANIMSIZ")))))</f>
        <v/>
      </c>
    </row>
    <row r="166">
      <c r="A166" s="22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IF($A166="","",IFERROR(SUMIF(tblAnahtarA[Norm],$A166,tblVeriA[EnerjiBedeli]),0))</f>
        <v/>
      </c>
      <c r="E166" s="17">
        <f>IF($A166="","",IFERROR(SUMIF(tblAnahtarA[Norm],$A166,tblVeriA[DagitimBedeli]),0))</f>
        <v/>
      </c>
      <c r="F166" s="17">
        <f>IF($A166="","",IFERROR(SUMIF(tblAnahtarA[Norm],$A166,tblVeriA[VergiKdv]),0))</f>
        <v/>
      </c>
      <c r="G166" s="17">
        <f>IF($A166="","",IFERROR(SUMIF(tblAnahtarA[Norm],$A166,tblVeriA[TuketimKwh]),0))</f>
        <v/>
      </c>
      <c r="H166" s="17">
        <f>IF(OR($A166="",$B166&lt;&gt;"tutar_farki"),"",IF(ABS($C166-$D166)&lt;=toleransKurus,"TARIFE",IF(ABS($C166-$E166)&lt;=toleransKurus,"DAGITIM",IF(ABS($C166-$F166)&lt;=toleransKurus,"KDV",IF($G166&gt;0,"TUKETIM","TANIMSIZ")))))</f>
        <v/>
      </c>
    </row>
    <row r="167">
      <c r="A167" s="22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IF($A167="","",IFERROR(SUMIF(tblAnahtarA[Norm],$A167,tblVeriA[EnerjiBedeli]),0))</f>
        <v/>
      </c>
      <c r="E167" s="17">
        <f>IF($A167="","",IFERROR(SUMIF(tblAnahtarA[Norm],$A167,tblVeriA[DagitimBedeli]),0))</f>
        <v/>
      </c>
      <c r="F167" s="17">
        <f>IF($A167="","",IFERROR(SUMIF(tblAnahtarA[Norm],$A167,tblVeriA[VergiKdv]),0))</f>
        <v/>
      </c>
      <c r="G167" s="17">
        <f>IF($A167="","",IFERROR(SUMIF(tblAnahtarA[Norm],$A167,tblVeriA[TuketimKwh]),0))</f>
        <v/>
      </c>
      <c r="H167" s="17">
        <f>IF(OR($A167="",$B167&lt;&gt;"tutar_farki"),"",IF(ABS($C167-$D167)&lt;=toleransKurus,"TARIFE",IF(ABS($C167-$E167)&lt;=toleransKurus,"DAGITIM",IF(ABS($C167-$F167)&lt;=toleransKurus,"KDV",IF($G167&gt;0,"TUKETIM","TANIMSIZ")))))</f>
        <v/>
      </c>
    </row>
    <row r="168">
      <c r="A168" s="22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IF($A168="","",IFERROR(SUMIF(tblAnahtarA[Norm],$A168,tblVeriA[EnerjiBedeli]),0))</f>
        <v/>
      </c>
      <c r="E168" s="17">
        <f>IF($A168="","",IFERROR(SUMIF(tblAnahtarA[Norm],$A168,tblVeriA[DagitimBedeli]),0))</f>
        <v/>
      </c>
      <c r="F168" s="17">
        <f>IF($A168="","",IFERROR(SUMIF(tblAnahtarA[Norm],$A168,tblVeriA[VergiKdv]),0))</f>
        <v/>
      </c>
      <c r="G168" s="17">
        <f>IF($A168="","",IFERROR(SUMIF(tblAnahtarA[Norm],$A168,tblVeriA[TuketimKwh]),0))</f>
        <v/>
      </c>
      <c r="H168" s="17">
        <f>IF(OR($A168="",$B168&lt;&gt;"tutar_farki"),"",IF(ABS($C168-$D168)&lt;=toleransKurus,"TARIFE",IF(ABS($C168-$E168)&lt;=toleransKurus,"DAGITIM",IF(ABS($C168-$F168)&lt;=toleransKurus,"KDV",IF($G168&gt;0,"TUKETIM","TANIMSIZ")))))</f>
        <v/>
      </c>
    </row>
    <row r="169">
      <c r="A169" s="22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IF($A169="","",IFERROR(SUMIF(tblAnahtarA[Norm],$A169,tblVeriA[EnerjiBedeli]),0))</f>
        <v/>
      </c>
      <c r="E169" s="17">
        <f>IF($A169="","",IFERROR(SUMIF(tblAnahtarA[Norm],$A169,tblVeriA[DagitimBedeli]),0))</f>
        <v/>
      </c>
      <c r="F169" s="17">
        <f>IF($A169="","",IFERROR(SUMIF(tblAnahtarA[Norm],$A169,tblVeriA[VergiKdv]),0))</f>
        <v/>
      </c>
      <c r="G169" s="17">
        <f>IF($A169="","",IFERROR(SUMIF(tblAnahtarA[Norm],$A169,tblVeriA[TuketimKwh]),0))</f>
        <v/>
      </c>
      <c r="H169" s="17">
        <f>IF(OR($A169="",$B169&lt;&gt;"tutar_farki"),"",IF(ABS($C169-$D169)&lt;=toleransKurus,"TARIFE",IF(ABS($C169-$E169)&lt;=toleransKurus,"DAGITIM",IF(ABS($C169-$F169)&lt;=toleransKurus,"KDV",IF($G169&gt;0,"TUKETIM","TANIMSIZ")))))</f>
        <v/>
      </c>
    </row>
    <row r="170">
      <c r="A170" s="22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IF($A170="","",IFERROR(SUMIF(tblAnahtarA[Norm],$A170,tblVeriA[EnerjiBedeli]),0))</f>
        <v/>
      </c>
      <c r="E170" s="17">
        <f>IF($A170="","",IFERROR(SUMIF(tblAnahtarA[Norm],$A170,tblVeriA[DagitimBedeli]),0))</f>
        <v/>
      </c>
      <c r="F170" s="17">
        <f>IF($A170="","",IFERROR(SUMIF(tblAnahtarA[Norm],$A170,tblVeriA[VergiKdv]),0))</f>
        <v/>
      </c>
      <c r="G170" s="17">
        <f>IF($A170="","",IFERROR(SUMIF(tblAnahtarA[Norm],$A170,tblVeriA[TuketimKwh]),0))</f>
        <v/>
      </c>
      <c r="H170" s="17">
        <f>IF(OR($A170="",$B170&lt;&gt;"tutar_farki"),"",IF(ABS($C170-$D170)&lt;=toleransKurus,"TARIFE",IF(ABS($C170-$E170)&lt;=toleransKurus,"DAGITIM",IF(ABS($C170-$F170)&lt;=toleransKurus,"KDV",IF($G170&gt;0,"TUKETIM","TANIMSIZ")))))</f>
        <v/>
      </c>
    </row>
    <row r="171">
      <c r="A171" s="22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IF($A171="","",IFERROR(SUMIF(tblAnahtarA[Norm],$A171,tblVeriA[EnerjiBedeli]),0))</f>
        <v/>
      </c>
      <c r="E171" s="17">
        <f>IF($A171="","",IFERROR(SUMIF(tblAnahtarA[Norm],$A171,tblVeriA[DagitimBedeli]),0))</f>
        <v/>
      </c>
      <c r="F171" s="17">
        <f>IF($A171="","",IFERROR(SUMIF(tblAnahtarA[Norm],$A171,tblVeriA[VergiKdv]),0))</f>
        <v/>
      </c>
      <c r="G171" s="17">
        <f>IF($A171="","",IFERROR(SUMIF(tblAnahtarA[Norm],$A171,tblVeriA[TuketimKwh]),0))</f>
        <v/>
      </c>
      <c r="H171" s="17">
        <f>IF(OR($A171="",$B171&lt;&gt;"tutar_farki"),"",IF(ABS($C171-$D171)&lt;=toleransKurus,"TARIFE",IF(ABS($C171-$E171)&lt;=toleransKurus,"DAGITIM",IF(ABS($C171-$F171)&lt;=toleransKurus,"KDV",IF($G171&gt;0,"TUKETIM","TANIMSIZ")))))</f>
        <v/>
      </c>
    </row>
    <row r="172">
      <c r="A172" s="22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IF($A172="","",IFERROR(SUMIF(tblAnahtarA[Norm],$A172,tblVeriA[EnerjiBedeli]),0))</f>
        <v/>
      </c>
      <c r="E172" s="17">
        <f>IF($A172="","",IFERROR(SUMIF(tblAnahtarA[Norm],$A172,tblVeriA[DagitimBedeli]),0))</f>
        <v/>
      </c>
      <c r="F172" s="17">
        <f>IF($A172="","",IFERROR(SUMIF(tblAnahtarA[Norm],$A172,tblVeriA[VergiKdv]),0))</f>
        <v/>
      </c>
      <c r="G172" s="17">
        <f>IF($A172="","",IFERROR(SUMIF(tblAnahtarA[Norm],$A172,tblVeriA[TuketimKwh]),0))</f>
        <v/>
      </c>
      <c r="H172" s="17">
        <f>IF(OR($A172="",$B172&lt;&gt;"tutar_farki"),"",IF(ABS($C172-$D172)&lt;=toleransKurus,"TARIFE",IF(ABS($C172-$E172)&lt;=toleransKurus,"DAGITIM",IF(ABS($C172-$F172)&lt;=toleransKurus,"KDV",IF($G172&gt;0,"TUKETIM","TANIMSIZ")))))</f>
        <v/>
      </c>
    </row>
    <row r="173">
      <c r="A173" s="22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IF($A173="","",IFERROR(SUMIF(tblAnahtarA[Norm],$A173,tblVeriA[EnerjiBedeli]),0))</f>
        <v/>
      </c>
      <c r="E173" s="17">
        <f>IF($A173="","",IFERROR(SUMIF(tblAnahtarA[Norm],$A173,tblVeriA[DagitimBedeli]),0))</f>
        <v/>
      </c>
      <c r="F173" s="17">
        <f>IF($A173="","",IFERROR(SUMIF(tblAnahtarA[Norm],$A173,tblVeriA[VergiKdv]),0))</f>
        <v/>
      </c>
      <c r="G173" s="17">
        <f>IF($A173="","",IFERROR(SUMIF(tblAnahtarA[Norm],$A173,tblVeriA[TuketimKwh]),0))</f>
        <v/>
      </c>
      <c r="H173" s="17">
        <f>IF(OR($A173="",$B173&lt;&gt;"tutar_farki"),"",IF(ABS($C173-$D173)&lt;=toleransKurus,"TARIFE",IF(ABS($C173-$E173)&lt;=toleransKurus,"DAGITIM",IF(ABS($C173-$F173)&lt;=toleransKurus,"KDV",IF($G173&gt;0,"TUKETIM","TANIMSIZ")))))</f>
        <v/>
      </c>
    </row>
    <row r="174">
      <c r="A174" s="22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IF($A174="","",IFERROR(SUMIF(tblAnahtarA[Norm],$A174,tblVeriA[EnerjiBedeli]),0))</f>
        <v/>
      </c>
      <c r="E174" s="17">
        <f>IF($A174="","",IFERROR(SUMIF(tblAnahtarA[Norm],$A174,tblVeriA[DagitimBedeli]),0))</f>
        <v/>
      </c>
      <c r="F174" s="17">
        <f>IF($A174="","",IFERROR(SUMIF(tblAnahtarA[Norm],$A174,tblVeriA[VergiKdv]),0))</f>
        <v/>
      </c>
      <c r="G174" s="17">
        <f>IF($A174="","",IFERROR(SUMIF(tblAnahtarA[Norm],$A174,tblVeriA[TuketimKwh]),0))</f>
        <v/>
      </c>
      <c r="H174" s="17">
        <f>IF(OR($A174="",$B174&lt;&gt;"tutar_farki"),"",IF(ABS($C174-$D174)&lt;=toleransKurus,"TARIFE",IF(ABS($C174-$E174)&lt;=toleransKurus,"DAGITIM",IF(ABS($C174-$F174)&lt;=toleransKurus,"KDV",IF($G174&gt;0,"TUKETIM","TANIMSIZ")))))</f>
        <v/>
      </c>
    </row>
    <row r="175">
      <c r="A175" s="22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IF($A175="","",IFERROR(SUMIF(tblAnahtarA[Norm],$A175,tblVeriA[EnerjiBedeli]),0))</f>
        <v/>
      </c>
      <c r="E175" s="17">
        <f>IF($A175="","",IFERROR(SUMIF(tblAnahtarA[Norm],$A175,tblVeriA[DagitimBedeli]),0))</f>
        <v/>
      </c>
      <c r="F175" s="17">
        <f>IF($A175="","",IFERROR(SUMIF(tblAnahtarA[Norm],$A175,tblVeriA[VergiKdv]),0))</f>
        <v/>
      </c>
      <c r="G175" s="17">
        <f>IF($A175="","",IFERROR(SUMIF(tblAnahtarA[Norm],$A175,tblVeriA[TuketimKwh]),0))</f>
        <v/>
      </c>
      <c r="H175" s="17">
        <f>IF(OR($A175="",$B175&lt;&gt;"tutar_farki"),"",IF(ABS($C175-$D175)&lt;=toleransKurus,"TARIFE",IF(ABS($C175-$E175)&lt;=toleransKurus,"DAGITIM",IF(ABS($C175-$F175)&lt;=toleransKurus,"KDV",IF($G175&gt;0,"TUKETIM","TANIMSIZ")))))</f>
        <v/>
      </c>
    </row>
    <row r="176">
      <c r="A176" s="22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IF($A176="","",IFERROR(SUMIF(tblAnahtarA[Norm],$A176,tblVeriA[EnerjiBedeli]),0))</f>
        <v/>
      </c>
      <c r="E176" s="17">
        <f>IF($A176="","",IFERROR(SUMIF(tblAnahtarA[Norm],$A176,tblVeriA[DagitimBedeli]),0))</f>
        <v/>
      </c>
      <c r="F176" s="17">
        <f>IF($A176="","",IFERROR(SUMIF(tblAnahtarA[Norm],$A176,tblVeriA[VergiKdv]),0))</f>
        <v/>
      </c>
      <c r="G176" s="17">
        <f>IF($A176="","",IFERROR(SUMIF(tblAnahtarA[Norm],$A176,tblVeriA[TuketimKwh]),0))</f>
        <v/>
      </c>
      <c r="H176" s="17">
        <f>IF(OR($A176="",$B176&lt;&gt;"tutar_farki"),"",IF(ABS($C176-$D176)&lt;=toleransKurus,"TARIFE",IF(ABS($C176-$E176)&lt;=toleransKurus,"DAGITIM",IF(ABS($C176-$F176)&lt;=toleransKurus,"KDV",IF($G176&gt;0,"TUKETIM","TANIMSIZ")))))</f>
        <v/>
      </c>
    </row>
    <row r="177">
      <c r="A177" s="22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IF($A177="","",IFERROR(SUMIF(tblAnahtarA[Norm],$A177,tblVeriA[EnerjiBedeli]),0))</f>
        <v/>
      </c>
      <c r="E177" s="17">
        <f>IF($A177="","",IFERROR(SUMIF(tblAnahtarA[Norm],$A177,tblVeriA[DagitimBedeli]),0))</f>
        <v/>
      </c>
      <c r="F177" s="17">
        <f>IF($A177="","",IFERROR(SUMIF(tblAnahtarA[Norm],$A177,tblVeriA[VergiKdv]),0))</f>
        <v/>
      </c>
      <c r="G177" s="17">
        <f>IF($A177="","",IFERROR(SUMIF(tblAnahtarA[Norm],$A177,tblVeriA[TuketimKwh]),0))</f>
        <v/>
      </c>
      <c r="H177" s="17">
        <f>IF(OR($A177="",$B177&lt;&gt;"tutar_farki"),"",IF(ABS($C177-$D177)&lt;=toleransKurus,"TARIFE",IF(ABS($C177-$E177)&lt;=toleransKurus,"DAGITIM",IF(ABS($C177-$F177)&lt;=toleransKurus,"KDV",IF($G177&gt;0,"TUKETIM","TANIMSIZ")))))</f>
        <v/>
      </c>
    </row>
    <row r="178">
      <c r="A178" s="22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IF($A178="","",IFERROR(SUMIF(tblAnahtarA[Norm],$A178,tblVeriA[EnerjiBedeli]),0))</f>
        <v/>
      </c>
      <c r="E178" s="17">
        <f>IF($A178="","",IFERROR(SUMIF(tblAnahtarA[Norm],$A178,tblVeriA[DagitimBedeli]),0))</f>
        <v/>
      </c>
      <c r="F178" s="17">
        <f>IF($A178="","",IFERROR(SUMIF(tblAnahtarA[Norm],$A178,tblVeriA[VergiKdv]),0))</f>
        <v/>
      </c>
      <c r="G178" s="17">
        <f>IF($A178="","",IFERROR(SUMIF(tblAnahtarA[Norm],$A178,tblVeriA[TuketimKwh]),0))</f>
        <v/>
      </c>
      <c r="H178" s="17">
        <f>IF(OR($A178="",$B178&lt;&gt;"tutar_farki"),"",IF(ABS($C178-$D178)&lt;=toleransKurus,"TARIFE",IF(ABS($C178-$E178)&lt;=toleransKurus,"DAGITIM",IF(ABS($C178-$F178)&lt;=toleransKurus,"KDV",IF($G178&gt;0,"TUKETIM","TANIMSIZ")))))</f>
        <v/>
      </c>
    </row>
    <row r="179">
      <c r="A179" s="22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IF($A179="","",IFERROR(SUMIF(tblAnahtarA[Norm],$A179,tblVeriA[EnerjiBedeli]),0))</f>
        <v/>
      </c>
      <c r="E179" s="17">
        <f>IF($A179="","",IFERROR(SUMIF(tblAnahtarA[Norm],$A179,tblVeriA[DagitimBedeli]),0))</f>
        <v/>
      </c>
      <c r="F179" s="17">
        <f>IF($A179="","",IFERROR(SUMIF(tblAnahtarA[Norm],$A179,tblVeriA[VergiKdv]),0))</f>
        <v/>
      </c>
      <c r="G179" s="17">
        <f>IF($A179="","",IFERROR(SUMIF(tblAnahtarA[Norm],$A179,tblVeriA[TuketimKwh]),0))</f>
        <v/>
      </c>
      <c r="H179" s="17">
        <f>IF(OR($A179="",$B179&lt;&gt;"tutar_farki"),"",IF(ABS($C179-$D179)&lt;=toleransKurus,"TARIFE",IF(ABS($C179-$E179)&lt;=toleransKurus,"DAGITIM",IF(ABS($C179-$F179)&lt;=toleransKurus,"KDV",IF($G179&gt;0,"TUKETIM","TANIMSIZ")))))</f>
        <v/>
      </c>
    </row>
    <row r="180">
      <c r="A180" s="22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IF($A180="","",IFERROR(SUMIF(tblAnahtarA[Norm],$A180,tblVeriA[EnerjiBedeli]),0))</f>
        <v/>
      </c>
      <c r="E180" s="17">
        <f>IF($A180="","",IFERROR(SUMIF(tblAnahtarA[Norm],$A180,tblVeriA[DagitimBedeli]),0))</f>
        <v/>
      </c>
      <c r="F180" s="17">
        <f>IF($A180="","",IFERROR(SUMIF(tblAnahtarA[Norm],$A180,tblVeriA[VergiKdv]),0))</f>
        <v/>
      </c>
      <c r="G180" s="17">
        <f>IF($A180="","",IFERROR(SUMIF(tblAnahtarA[Norm],$A180,tblVeriA[TuketimKwh]),0))</f>
        <v/>
      </c>
      <c r="H180" s="17">
        <f>IF(OR($A180="",$B180&lt;&gt;"tutar_farki"),"",IF(ABS($C180-$D180)&lt;=toleransKurus,"TARIFE",IF(ABS($C180-$E180)&lt;=toleransKurus,"DAGITIM",IF(ABS($C180-$F180)&lt;=toleransKurus,"KDV",IF($G180&gt;0,"TUKETIM","TANIMSIZ")))))</f>
        <v/>
      </c>
    </row>
    <row r="181">
      <c r="A181" s="22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IF($A181="","",IFERROR(SUMIF(tblAnahtarA[Norm],$A181,tblVeriA[EnerjiBedeli]),0))</f>
        <v/>
      </c>
      <c r="E181" s="17">
        <f>IF($A181="","",IFERROR(SUMIF(tblAnahtarA[Norm],$A181,tblVeriA[DagitimBedeli]),0))</f>
        <v/>
      </c>
      <c r="F181" s="17">
        <f>IF($A181="","",IFERROR(SUMIF(tblAnahtarA[Norm],$A181,tblVeriA[VergiKdv]),0))</f>
        <v/>
      </c>
      <c r="G181" s="17">
        <f>IF($A181="","",IFERROR(SUMIF(tblAnahtarA[Norm],$A181,tblVeriA[TuketimKwh]),0))</f>
        <v/>
      </c>
      <c r="H181" s="17">
        <f>IF(OR($A181="",$B181&lt;&gt;"tutar_farki"),"",IF(ABS($C181-$D181)&lt;=toleransKurus,"TARIFE",IF(ABS($C181-$E181)&lt;=toleransKurus,"DAGITIM",IF(ABS($C181-$F181)&lt;=toleransKurus,"KDV",IF($G181&gt;0,"TUKETIM","TANIMSIZ")))))</f>
        <v/>
      </c>
    </row>
    <row r="182">
      <c r="A182" s="22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IF($A182="","",IFERROR(SUMIF(tblAnahtarA[Norm],$A182,tblVeriA[EnerjiBedeli]),0))</f>
        <v/>
      </c>
      <c r="E182" s="17">
        <f>IF($A182="","",IFERROR(SUMIF(tblAnahtarA[Norm],$A182,tblVeriA[DagitimBedeli]),0))</f>
        <v/>
      </c>
      <c r="F182" s="17">
        <f>IF($A182="","",IFERROR(SUMIF(tblAnahtarA[Norm],$A182,tblVeriA[VergiKdv]),0))</f>
        <v/>
      </c>
      <c r="G182" s="17">
        <f>IF($A182="","",IFERROR(SUMIF(tblAnahtarA[Norm],$A182,tblVeriA[TuketimKwh]),0))</f>
        <v/>
      </c>
      <c r="H182" s="17">
        <f>IF(OR($A182="",$B182&lt;&gt;"tutar_farki"),"",IF(ABS($C182-$D182)&lt;=toleransKurus,"TARIFE",IF(ABS($C182-$E182)&lt;=toleransKurus,"DAGITIM",IF(ABS($C182-$F182)&lt;=toleransKurus,"KDV",IF($G182&gt;0,"TUKETIM","TANIMSIZ")))))</f>
        <v/>
      </c>
    </row>
    <row r="183">
      <c r="A183" s="22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IF($A183="","",IFERROR(SUMIF(tblAnahtarA[Norm],$A183,tblVeriA[EnerjiBedeli]),0))</f>
        <v/>
      </c>
      <c r="E183" s="17">
        <f>IF($A183="","",IFERROR(SUMIF(tblAnahtarA[Norm],$A183,tblVeriA[DagitimBedeli]),0))</f>
        <v/>
      </c>
      <c r="F183" s="17">
        <f>IF($A183="","",IFERROR(SUMIF(tblAnahtarA[Norm],$A183,tblVeriA[VergiKdv]),0))</f>
        <v/>
      </c>
      <c r="G183" s="17">
        <f>IF($A183="","",IFERROR(SUMIF(tblAnahtarA[Norm],$A183,tblVeriA[TuketimKwh]),0))</f>
        <v/>
      </c>
      <c r="H183" s="17">
        <f>IF(OR($A183="",$B183&lt;&gt;"tutar_farki"),"",IF(ABS($C183-$D183)&lt;=toleransKurus,"TARIFE",IF(ABS($C183-$E183)&lt;=toleransKurus,"DAGITIM",IF(ABS($C183-$F183)&lt;=toleransKurus,"KDV",IF($G183&gt;0,"TUKETIM","TANIMSIZ")))))</f>
        <v/>
      </c>
    </row>
    <row r="184">
      <c r="A184" s="22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IF($A184="","",IFERROR(SUMIF(tblAnahtarA[Norm],$A184,tblVeriA[EnerjiBedeli]),0))</f>
        <v/>
      </c>
      <c r="E184" s="17">
        <f>IF($A184="","",IFERROR(SUMIF(tblAnahtarA[Norm],$A184,tblVeriA[DagitimBedeli]),0))</f>
        <v/>
      </c>
      <c r="F184" s="17">
        <f>IF($A184="","",IFERROR(SUMIF(tblAnahtarA[Norm],$A184,tblVeriA[VergiKdv]),0))</f>
        <v/>
      </c>
      <c r="G184" s="17">
        <f>IF($A184="","",IFERROR(SUMIF(tblAnahtarA[Norm],$A184,tblVeriA[TuketimKwh]),0))</f>
        <v/>
      </c>
      <c r="H184" s="17">
        <f>IF(OR($A184="",$B184&lt;&gt;"tutar_farki"),"",IF(ABS($C184-$D184)&lt;=toleransKurus,"TARIFE",IF(ABS($C184-$E184)&lt;=toleransKurus,"DAGITIM",IF(ABS($C184-$F184)&lt;=toleransKurus,"KDV",IF($G184&gt;0,"TUKETIM","TANIMSIZ")))))</f>
        <v/>
      </c>
    </row>
    <row r="185">
      <c r="A185" s="22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IF($A185="","",IFERROR(SUMIF(tblAnahtarA[Norm],$A185,tblVeriA[EnerjiBedeli]),0))</f>
        <v/>
      </c>
      <c r="E185" s="17">
        <f>IF($A185="","",IFERROR(SUMIF(tblAnahtarA[Norm],$A185,tblVeriA[DagitimBedeli]),0))</f>
        <v/>
      </c>
      <c r="F185" s="17">
        <f>IF($A185="","",IFERROR(SUMIF(tblAnahtarA[Norm],$A185,tblVeriA[VergiKdv]),0))</f>
        <v/>
      </c>
      <c r="G185" s="17">
        <f>IF($A185="","",IFERROR(SUMIF(tblAnahtarA[Norm],$A185,tblVeriA[TuketimKwh]),0))</f>
        <v/>
      </c>
      <c r="H185" s="17">
        <f>IF(OR($A185="",$B185&lt;&gt;"tutar_farki"),"",IF(ABS($C185-$D185)&lt;=toleransKurus,"TARIFE",IF(ABS($C185-$E185)&lt;=toleransKurus,"DAGITIM",IF(ABS($C185-$F185)&lt;=toleransKurus,"KDV",IF($G185&gt;0,"TUKETIM","TANIMSIZ")))))</f>
        <v/>
      </c>
    </row>
    <row r="186">
      <c r="A186" s="22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IF($A186="","",IFERROR(SUMIF(tblAnahtarA[Norm],$A186,tblVeriA[EnerjiBedeli]),0))</f>
        <v/>
      </c>
      <c r="E186" s="17">
        <f>IF($A186="","",IFERROR(SUMIF(tblAnahtarA[Norm],$A186,tblVeriA[DagitimBedeli]),0))</f>
        <v/>
      </c>
      <c r="F186" s="17">
        <f>IF($A186="","",IFERROR(SUMIF(tblAnahtarA[Norm],$A186,tblVeriA[VergiKdv]),0))</f>
        <v/>
      </c>
      <c r="G186" s="17">
        <f>IF($A186="","",IFERROR(SUMIF(tblAnahtarA[Norm],$A186,tblVeriA[TuketimKwh]),0))</f>
        <v/>
      </c>
      <c r="H186" s="17">
        <f>IF(OR($A186="",$B186&lt;&gt;"tutar_farki"),"",IF(ABS($C186-$D186)&lt;=toleransKurus,"TARIFE",IF(ABS($C186-$E186)&lt;=toleransKurus,"DAGITIM",IF(ABS($C186-$F186)&lt;=toleransKurus,"KDV",IF($G186&gt;0,"TUKETIM","TANIMSIZ")))))</f>
        <v/>
      </c>
    </row>
    <row r="187">
      <c r="A187" s="22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IF($A187="","",IFERROR(SUMIF(tblAnahtarA[Norm],$A187,tblVeriA[EnerjiBedeli]),0))</f>
        <v/>
      </c>
      <c r="E187" s="17">
        <f>IF($A187="","",IFERROR(SUMIF(tblAnahtarA[Norm],$A187,tblVeriA[DagitimBedeli]),0))</f>
        <v/>
      </c>
      <c r="F187" s="17">
        <f>IF($A187="","",IFERROR(SUMIF(tblAnahtarA[Norm],$A187,tblVeriA[VergiKdv]),0))</f>
        <v/>
      </c>
      <c r="G187" s="17">
        <f>IF($A187="","",IFERROR(SUMIF(tblAnahtarA[Norm],$A187,tblVeriA[TuketimKwh]),0))</f>
        <v/>
      </c>
      <c r="H187" s="17">
        <f>IF(OR($A187="",$B187&lt;&gt;"tutar_farki"),"",IF(ABS($C187-$D187)&lt;=toleransKurus,"TARIFE",IF(ABS($C187-$E187)&lt;=toleransKurus,"DAGITIM",IF(ABS($C187-$F187)&lt;=toleransKurus,"KDV",IF($G187&gt;0,"TUKETIM","TANIMSIZ")))))</f>
        <v/>
      </c>
    </row>
    <row r="188">
      <c r="A188" s="22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IF($A188="","",IFERROR(SUMIF(tblAnahtarA[Norm],$A188,tblVeriA[EnerjiBedeli]),0))</f>
        <v/>
      </c>
      <c r="E188" s="17">
        <f>IF($A188="","",IFERROR(SUMIF(tblAnahtarA[Norm],$A188,tblVeriA[DagitimBedeli]),0))</f>
        <v/>
      </c>
      <c r="F188" s="17">
        <f>IF($A188="","",IFERROR(SUMIF(tblAnahtarA[Norm],$A188,tblVeriA[VergiKdv]),0))</f>
        <v/>
      </c>
      <c r="G188" s="17">
        <f>IF($A188="","",IFERROR(SUMIF(tblAnahtarA[Norm],$A188,tblVeriA[TuketimKwh]),0))</f>
        <v/>
      </c>
      <c r="H188" s="17">
        <f>IF(OR($A188="",$B188&lt;&gt;"tutar_farki"),"",IF(ABS($C188-$D188)&lt;=toleransKurus,"TARIFE",IF(ABS($C188-$E188)&lt;=toleransKurus,"DAGITIM",IF(ABS($C188-$F188)&lt;=toleransKurus,"KDV",IF($G188&gt;0,"TUKETIM","TANIMSIZ")))))</f>
        <v/>
      </c>
    </row>
    <row r="189">
      <c r="A189" s="22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IF($A189="","",IFERROR(SUMIF(tblAnahtarA[Norm],$A189,tblVeriA[EnerjiBedeli]),0))</f>
        <v/>
      </c>
      <c r="E189" s="17">
        <f>IF($A189="","",IFERROR(SUMIF(tblAnahtarA[Norm],$A189,tblVeriA[DagitimBedeli]),0))</f>
        <v/>
      </c>
      <c r="F189" s="17">
        <f>IF($A189="","",IFERROR(SUMIF(tblAnahtarA[Norm],$A189,tblVeriA[VergiKdv]),0))</f>
        <v/>
      </c>
      <c r="G189" s="17">
        <f>IF($A189="","",IFERROR(SUMIF(tblAnahtarA[Norm],$A189,tblVeriA[TuketimKwh]),0))</f>
        <v/>
      </c>
      <c r="H189" s="17">
        <f>IF(OR($A189="",$B189&lt;&gt;"tutar_farki"),"",IF(ABS($C189-$D189)&lt;=toleransKurus,"TARIFE",IF(ABS($C189-$E189)&lt;=toleransKurus,"DAGITIM",IF(ABS($C189-$F189)&lt;=toleransKurus,"KDV",IF($G189&gt;0,"TUKETIM","TANIMSIZ")))))</f>
        <v/>
      </c>
    </row>
    <row r="190">
      <c r="A190" s="22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IF($A190="","",IFERROR(SUMIF(tblAnahtarA[Norm],$A190,tblVeriA[EnerjiBedeli]),0))</f>
        <v/>
      </c>
      <c r="E190" s="17">
        <f>IF($A190="","",IFERROR(SUMIF(tblAnahtarA[Norm],$A190,tblVeriA[DagitimBedeli]),0))</f>
        <v/>
      </c>
      <c r="F190" s="17">
        <f>IF($A190="","",IFERROR(SUMIF(tblAnahtarA[Norm],$A190,tblVeriA[VergiKdv]),0))</f>
        <v/>
      </c>
      <c r="G190" s="17">
        <f>IF($A190="","",IFERROR(SUMIF(tblAnahtarA[Norm],$A190,tblVeriA[TuketimKwh]),0))</f>
        <v/>
      </c>
      <c r="H190" s="17">
        <f>IF(OR($A190="",$B190&lt;&gt;"tutar_farki"),"",IF(ABS($C190-$D190)&lt;=toleransKurus,"TARIFE",IF(ABS($C190-$E190)&lt;=toleransKurus,"DAGITIM",IF(ABS($C190-$F190)&lt;=toleransKurus,"KDV",IF($G190&gt;0,"TUKETIM","TANIMSIZ")))))</f>
        <v/>
      </c>
    </row>
    <row r="191">
      <c r="A191" s="22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IF($A191="","",IFERROR(SUMIF(tblAnahtarA[Norm],$A191,tblVeriA[EnerjiBedeli]),0))</f>
        <v/>
      </c>
      <c r="E191" s="17">
        <f>IF($A191="","",IFERROR(SUMIF(tblAnahtarA[Norm],$A191,tblVeriA[DagitimBedeli]),0))</f>
        <v/>
      </c>
      <c r="F191" s="17">
        <f>IF($A191="","",IFERROR(SUMIF(tblAnahtarA[Norm],$A191,tblVeriA[VergiKdv]),0))</f>
        <v/>
      </c>
      <c r="G191" s="17">
        <f>IF($A191="","",IFERROR(SUMIF(tblAnahtarA[Norm],$A191,tblVeriA[TuketimKwh]),0))</f>
        <v/>
      </c>
      <c r="H191" s="17">
        <f>IF(OR($A191="",$B191&lt;&gt;"tutar_farki"),"",IF(ABS($C191-$D191)&lt;=toleransKurus,"TARIFE",IF(ABS($C191-$E191)&lt;=toleransKurus,"DAGITIM",IF(ABS($C191-$F191)&lt;=toleransKurus,"KDV",IF($G191&gt;0,"TUKETIM","TANIMSIZ")))))</f>
        <v/>
      </c>
    </row>
    <row r="192">
      <c r="A192" s="22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IF($A192="","",IFERROR(SUMIF(tblAnahtarA[Norm],$A192,tblVeriA[EnerjiBedeli]),0))</f>
        <v/>
      </c>
      <c r="E192" s="17">
        <f>IF($A192="","",IFERROR(SUMIF(tblAnahtarA[Norm],$A192,tblVeriA[DagitimBedeli]),0))</f>
        <v/>
      </c>
      <c r="F192" s="17">
        <f>IF($A192="","",IFERROR(SUMIF(tblAnahtarA[Norm],$A192,tblVeriA[VergiKdv]),0))</f>
        <v/>
      </c>
      <c r="G192" s="17">
        <f>IF($A192="","",IFERROR(SUMIF(tblAnahtarA[Norm],$A192,tblVeriA[TuketimKwh]),0))</f>
        <v/>
      </c>
      <c r="H192" s="17">
        <f>IF(OR($A192="",$B192&lt;&gt;"tutar_farki"),"",IF(ABS($C192-$D192)&lt;=toleransKurus,"TARIFE",IF(ABS($C192-$E192)&lt;=toleransKurus,"DAGITIM",IF(ABS($C192-$F192)&lt;=toleransKurus,"KDV",IF($G192&gt;0,"TUKETIM","TANIMSIZ")))))</f>
        <v/>
      </c>
    </row>
    <row r="193">
      <c r="A193" s="22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IF($A193="","",IFERROR(SUMIF(tblAnahtarA[Norm],$A193,tblVeriA[EnerjiBedeli]),0))</f>
        <v/>
      </c>
      <c r="E193" s="17">
        <f>IF($A193="","",IFERROR(SUMIF(tblAnahtarA[Norm],$A193,tblVeriA[DagitimBedeli]),0))</f>
        <v/>
      </c>
      <c r="F193" s="17">
        <f>IF($A193="","",IFERROR(SUMIF(tblAnahtarA[Norm],$A193,tblVeriA[VergiKdv]),0))</f>
        <v/>
      </c>
      <c r="G193" s="17">
        <f>IF($A193="","",IFERROR(SUMIF(tblAnahtarA[Norm],$A193,tblVeriA[TuketimKwh]),0))</f>
        <v/>
      </c>
      <c r="H193" s="17">
        <f>IF(OR($A193="",$B193&lt;&gt;"tutar_farki"),"",IF(ABS($C193-$D193)&lt;=toleransKurus,"TARIFE",IF(ABS($C193-$E193)&lt;=toleransKurus,"DAGITIM",IF(ABS($C193-$F193)&lt;=toleransKurus,"KDV",IF($G193&gt;0,"TUKETIM","TANIMSIZ")))))</f>
        <v/>
      </c>
    </row>
    <row r="194">
      <c r="A194" s="22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IF($A194="","",IFERROR(SUMIF(tblAnahtarA[Norm],$A194,tblVeriA[EnerjiBedeli]),0))</f>
        <v/>
      </c>
      <c r="E194" s="17">
        <f>IF($A194="","",IFERROR(SUMIF(tblAnahtarA[Norm],$A194,tblVeriA[DagitimBedeli]),0))</f>
        <v/>
      </c>
      <c r="F194" s="17">
        <f>IF($A194="","",IFERROR(SUMIF(tblAnahtarA[Norm],$A194,tblVeriA[VergiKdv]),0))</f>
        <v/>
      </c>
      <c r="G194" s="17">
        <f>IF($A194="","",IFERROR(SUMIF(tblAnahtarA[Norm],$A194,tblVeriA[TuketimKwh]),0))</f>
        <v/>
      </c>
      <c r="H194" s="17">
        <f>IF(OR($A194="",$B194&lt;&gt;"tutar_farki"),"",IF(ABS($C194-$D194)&lt;=toleransKurus,"TARIFE",IF(ABS($C194-$E194)&lt;=toleransKurus,"DAGITIM",IF(ABS($C194-$F194)&lt;=toleransKurus,"KDV",IF($G194&gt;0,"TUKETIM","TANIMSIZ")))))</f>
        <v/>
      </c>
    </row>
    <row r="195">
      <c r="A195" s="22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IF($A195="","",IFERROR(SUMIF(tblAnahtarA[Norm],$A195,tblVeriA[EnerjiBedeli]),0))</f>
        <v/>
      </c>
      <c r="E195" s="17">
        <f>IF($A195="","",IFERROR(SUMIF(tblAnahtarA[Norm],$A195,tblVeriA[DagitimBedeli]),0))</f>
        <v/>
      </c>
      <c r="F195" s="17">
        <f>IF($A195="","",IFERROR(SUMIF(tblAnahtarA[Norm],$A195,tblVeriA[VergiKdv]),0))</f>
        <v/>
      </c>
      <c r="G195" s="17">
        <f>IF($A195="","",IFERROR(SUMIF(tblAnahtarA[Norm],$A195,tblVeriA[TuketimKwh]),0))</f>
        <v/>
      </c>
      <c r="H195" s="17">
        <f>IF(OR($A195="",$B195&lt;&gt;"tutar_farki"),"",IF(ABS($C195-$D195)&lt;=toleransKurus,"TARIFE",IF(ABS($C195-$E195)&lt;=toleransKurus,"DAGITIM",IF(ABS($C195-$F195)&lt;=toleransKurus,"KDV",IF($G195&gt;0,"TUKETIM","TANIMSIZ")))))</f>
        <v/>
      </c>
    </row>
    <row r="196">
      <c r="A196" s="22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IF($A196="","",IFERROR(SUMIF(tblAnahtarA[Norm],$A196,tblVeriA[EnerjiBedeli]),0))</f>
        <v/>
      </c>
      <c r="E196" s="17">
        <f>IF($A196="","",IFERROR(SUMIF(tblAnahtarA[Norm],$A196,tblVeriA[DagitimBedeli]),0))</f>
        <v/>
      </c>
      <c r="F196" s="17">
        <f>IF($A196="","",IFERROR(SUMIF(tblAnahtarA[Norm],$A196,tblVeriA[VergiKdv]),0))</f>
        <v/>
      </c>
      <c r="G196" s="17">
        <f>IF($A196="","",IFERROR(SUMIF(tblAnahtarA[Norm],$A196,tblVeriA[TuketimKwh]),0))</f>
        <v/>
      </c>
      <c r="H196" s="17">
        <f>IF(OR($A196="",$B196&lt;&gt;"tutar_farki"),"",IF(ABS($C196-$D196)&lt;=toleransKurus,"TARIFE",IF(ABS($C196-$E196)&lt;=toleransKurus,"DAGITIM",IF(ABS($C196-$F196)&lt;=toleransKurus,"KDV",IF($G196&gt;0,"TUKETIM","TANIMSIZ")))))</f>
        <v/>
      </c>
    </row>
    <row r="197">
      <c r="A197" s="22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IF($A197="","",IFERROR(SUMIF(tblAnahtarA[Norm],$A197,tblVeriA[EnerjiBedeli]),0))</f>
        <v/>
      </c>
      <c r="E197" s="17">
        <f>IF($A197="","",IFERROR(SUMIF(tblAnahtarA[Norm],$A197,tblVeriA[DagitimBedeli]),0))</f>
        <v/>
      </c>
      <c r="F197" s="17">
        <f>IF($A197="","",IFERROR(SUMIF(tblAnahtarA[Norm],$A197,tblVeriA[VergiKdv]),0))</f>
        <v/>
      </c>
      <c r="G197" s="17">
        <f>IF($A197="","",IFERROR(SUMIF(tblAnahtarA[Norm],$A197,tblVeriA[TuketimKwh]),0))</f>
        <v/>
      </c>
      <c r="H197" s="17">
        <f>IF(OR($A197="",$B197&lt;&gt;"tutar_farki"),"",IF(ABS($C197-$D197)&lt;=toleransKurus,"TARIFE",IF(ABS($C197-$E197)&lt;=toleransKurus,"DAGITIM",IF(ABS($C197-$F197)&lt;=toleransKurus,"KDV",IF($G197&gt;0,"TUKETIM","TANIMSIZ")))))</f>
        <v/>
      </c>
    </row>
    <row r="198">
      <c r="A198" s="22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IF($A198="","",IFERROR(SUMIF(tblAnahtarA[Norm],$A198,tblVeriA[EnerjiBedeli]),0))</f>
        <v/>
      </c>
      <c r="E198" s="17">
        <f>IF($A198="","",IFERROR(SUMIF(tblAnahtarA[Norm],$A198,tblVeriA[DagitimBedeli]),0))</f>
        <v/>
      </c>
      <c r="F198" s="17">
        <f>IF($A198="","",IFERROR(SUMIF(tblAnahtarA[Norm],$A198,tblVeriA[VergiKdv]),0))</f>
        <v/>
      </c>
      <c r="G198" s="17">
        <f>IF($A198="","",IFERROR(SUMIF(tblAnahtarA[Norm],$A198,tblVeriA[TuketimKwh]),0))</f>
        <v/>
      </c>
      <c r="H198" s="17">
        <f>IF(OR($A198="",$B198&lt;&gt;"tutar_farki"),"",IF(ABS($C198-$D198)&lt;=toleransKurus,"TARIFE",IF(ABS($C198-$E198)&lt;=toleransKurus,"DAGITIM",IF(ABS($C198-$F198)&lt;=toleransKurus,"KDV",IF($G198&gt;0,"TUKETIM","TANIMSIZ")))))</f>
        <v/>
      </c>
    </row>
    <row r="199">
      <c r="A199" s="22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IF($A199="","",IFERROR(SUMIF(tblAnahtarA[Norm],$A199,tblVeriA[EnerjiBedeli]),0))</f>
        <v/>
      </c>
      <c r="E199" s="17">
        <f>IF($A199="","",IFERROR(SUMIF(tblAnahtarA[Norm],$A199,tblVeriA[DagitimBedeli]),0))</f>
        <v/>
      </c>
      <c r="F199" s="17">
        <f>IF($A199="","",IFERROR(SUMIF(tblAnahtarA[Norm],$A199,tblVeriA[VergiKdv]),0))</f>
        <v/>
      </c>
      <c r="G199" s="17">
        <f>IF($A199="","",IFERROR(SUMIF(tblAnahtarA[Norm],$A199,tblVeriA[TuketimKwh]),0))</f>
        <v/>
      </c>
      <c r="H199" s="17">
        <f>IF(OR($A199="",$B199&lt;&gt;"tutar_farki"),"",IF(ABS($C199-$D199)&lt;=toleransKurus,"TARIFE",IF(ABS($C199-$E199)&lt;=toleransKurus,"DAGITIM",IF(ABS($C199-$F199)&lt;=toleransKurus,"KDV",IF($G199&gt;0,"TUKETIM","TANIMSIZ")))))</f>
        <v/>
      </c>
    </row>
    <row r="200">
      <c r="A200" s="22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IF($A200="","",IFERROR(SUMIF(tblAnahtarA[Norm],$A200,tblVeriA[EnerjiBedeli]),0))</f>
        <v/>
      </c>
      <c r="E200" s="17">
        <f>IF($A200="","",IFERROR(SUMIF(tblAnahtarA[Norm],$A200,tblVeriA[DagitimBedeli]),0))</f>
        <v/>
      </c>
      <c r="F200" s="17">
        <f>IF($A200="","",IFERROR(SUMIF(tblAnahtarA[Norm],$A200,tblVeriA[VergiKdv]),0))</f>
        <v/>
      </c>
      <c r="G200" s="17">
        <f>IF($A200="","",IFERROR(SUMIF(tblAnahtarA[Norm],$A200,tblVeriA[TuketimKwh]),0))</f>
        <v/>
      </c>
      <c r="H200" s="17">
        <f>IF(OR($A200="",$B200&lt;&gt;"tutar_farki"),"",IF(ABS($C200-$D200)&lt;=toleransKurus,"TARIFE",IF(ABS($C200-$E200)&lt;=toleransKurus,"DAGITIM",IF(ABS($C200-$F200)&lt;=toleransKurus,"KDV",IF($G200&gt;0,"TUKETIM","TANIMSIZ")))))</f>
        <v/>
      </c>
    </row>
    <row r="201">
      <c r="A201" s="22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IF($A201="","",IFERROR(SUMIF(tblAnahtarA[Norm],$A201,tblVeriA[EnerjiBedeli]),0))</f>
        <v/>
      </c>
      <c r="E201" s="17">
        <f>IF($A201="","",IFERROR(SUMIF(tblAnahtarA[Norm],$A201,tblVeriA[DagitimBedeli]),0))</f>
        <v/>
      </c>
      <c r="F201" s="17">
        <f>IF($A201="","",IFERROR(SUMIF(tblAnahtarA[Norm],$A201,tblVeriA[VergiKdv]),0))</f>
        <v/>
      </c>
      <c r="G201" s="17">
        <f>IF($A201="","",IFERROR(SUMIF(tblAnahtarA[Norm],$A201,tblVeriA[TuketimKwh]),0))</f>
        <v/>
      </c>
      <c r="H201" s="17">
        <f>IF(OR($A201="",$B201&lt;&gt;"tutar_farki"),"",IF(ABS($C201-$D201)&lt;=toleransKurus,"TARIFE",IF(ABS($C201-$E201)&lt;=toleransKurus,"DAGITIM",IF(ABS($C201-$F201)&lt;=toleransKurus,"KDV",IF($G201&gt;0,"TUKETIM","TANIMSIZ")))))</f>
        <v/>
      </c>
    </row>
    <row r="202">
      <c r="A202" s="22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IF($A202="","",IFERROR(SUMIF(tblAnahtarA[Norm],$A202,tblVeriA[EnerjiBedeli]),0))</f>
        <v/>
      </c>
      <c r="E202" s="17">
        <f>IF($A202="","",IFERROR(SUMIF(tblAnahtarA[Norm],$A202,tblVeriA[DagitimBedeli]),0))</f>
        <v/>
      </c>
      <c r="F202" s="17">
        <f>IF($A202="","",IFERROR(SUMIF(tblAnahtarA[Norm],$A202,tblVeriA[VergiKdv]),0))</f>
        <v/>
      </c>
      <c r="G202" s="17">
        <f>IF($A202="","",IFERROR(SUMIF(tblAnahtarA[Norm],$A202,tblVeriA[TuketimKwh]),0))</f>
        <v/>
      </c>
      <c r="H202" s="17">
        <f>IF(OR($A202="",$B202&lt;&gt;"tutar_farki"),"",IF(ABS($C202-$D202)&lt;=toleransKurus,"TARIFE",IF(ABS($C202-$E202)&lt;=toleransKurus,"DAGITIM",IF(ABS($C202-$F202)&lt;=toleransKurus,"KDV",IF($G202&gt;0,"TUKETIM","TANIMSIZ")))))</f>
        <v/>
      </c>
    </row>
    <row r="203">
      <c r="A203" s="22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IF($A203="","",IFERROR(SUMIF(tblAnahtarA[Norm],$A203,tblVeriA[EnerjiBedeli]),0))</f>
        <v/>
      </c>
      <c r="E203" s="17">
        <f>IF($A203="","",IFERROR(SUMIF(tblAnahtarA[Norm],$A203,tblVeriA[DagitimBedeli]),0))</f>
        <v/>
      </c>
      <c r="F203" s="17">
        <f>IF($A203="","",IFERROR(SUMIF(tblAnahtarA[Norm],$A203,tblVeriA[VergiKdv]),0))</f>
        <v/>
      </c>
      <c r="G203" s="17">
        <f>IF($A203="","",IFERROR(SUMIF(tblAnahtarA[Norm],$A203,tblVeriA[TuketimKwh]),0))</f>
        <v/>
      </c>
      <c r="H203" s="17">
        <f>IF(OR($A203="",$B203&lt;&gt;"tutar_farki"),"",IF(ABS($C203-$D203)&lt;=toleransKurus,"TARIFE",IF(ABS($C203-$E203)&lt;=toleransKurus,"DAGITIM",IF(ABS($C203-$F203)&lt;=toleransKurus,"KDV",IF($G203&gt;0,"TUKETIM","TANIMSIZ")))))</f>
        <v/>
      </c>
    </row>
    <row r="204">
      <c r="A204" s="22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IF($A204="","",IFERROR(SUMIF(tblAnahtarA[Norm],$A204,tblVeriA[EnerjiBedeli]),0))</f>
        <v/>
      </c>
      <c r="E204" s="17">
        <f>IF($A204="","",IFERROR(SUMIF(tblAnahtarA[Norm],$A204,tblVeriA[DagitimBedeli]),0))</f>
        <v/>
      </c>
      <c r="F204" s="17">
        <f>IF($A204="","",IFERROR(SUMIF(tblAnahtarA[Norm],$A204,tblVeriA[VergiKdv]),0))</f>
        <v/>
      </c>
      <c r="G204" s="17">
        <f>IF($A204="","",IFERROR(SUMIF(tblAnahtarA[Norm],$A204,tblVeriA[TuketimKwh]),0))</f>
        <v/>
      </c>
      <c r="H204" s="17">
        <f>IF(OR($A204="",$B204&lt;&gt;"tutar_farki"),"",IF(ABS($C204-$D204)&lt;=toleransKurus,"TARIFE",IF(ABS($C204-$E204)&lt;=toleransKurus,"DAGITIM",IF(ABS($C204-$F204)&lt;=toleransKurus,"KDV",IF($G204&gt;0,"TUKETIM","TANIMSIZ")))))</f>
        <v/>
      </c>
    </row>
    <row r="205">
      <c r="A205" s="22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IF($A205="","",IFERROR(SUMIF(tblAnahtarA[Norm],$A205,tblVeriA[EnerjiBedeli]),0))</f>
        <v/>
      </c>
      <c r="E205" s="17">
        <f>IF($A205="","",IFERROR(SUMIF(tblAnahtarA[Norm],$A205,tblVeriA[DagitimBedeli]),0))</f>
        <v/>
      </c>
      <c r="F205" s="17">
        <f>IF($A205="","",IFERROR(SUMIF(tblAnahtarA[Norm],$A205,tblVeriA[VergiKdv]),0))</f>
        <v/>
      </c>
      <c r="G205" s="17">
        <f>IF($A205="","",IFERROR(SUMIF(tblAnahtarA[Norm],$A205,tblVeriA[TuketimKwh]),0))</f>
        <v/>
      </c>
      <c r="H205" s="17">
        <f>IF(OR($A205="",$B205&lt;&gt;"tutar_farki"),"",IF(ABS($C205-$D205)&lt;=toleransKurus,"TARIFE",IF(ABS($C205-$E205)&lt;=toleransKurus,"DAGITIM",IF(ABS($C205-$F205)&lt;=toleransKurus,"KDV",IF($G205&gt;0,"TUKETIM","TANIMSIZ")))))</f>
        <v/>
      </c>
    </row>
    <row r="206">
      <c r="A206" s="22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IF($A206="","",IFERROR(SUMIF(tblAnahtarA[Norm],$A206,tblVeriA[EnerjiBedeli]),0))</f>
        <v/>
      </c>
      <c r="E206" s="17">
        <f>IF($A206="","",IFERROR(SUMIF(tblAnahtarA[Norm],$A206,tblVeriA[DagitimBedeli]),0))</f>
        <v/>
      </c>
      <c r="F206" s="17">
        <f>IF($A206="","",IFERROR(SUMIF(tblAnahtarA[Norm],$A206,tblVeriA[VergiKdv]),0))</f>
        <v/>
      </c>
      <c r="G206" s="17">
        <f>IF($A206="","",IFERROR(SUMIF(tblAnahtarA[Norm],$A206,tblVeriA[TuketimKwh]),0))</f>
        <v/>
      </c>
      <c r="H206" s="17">
        <f>IF(OR($A206="",$B206&lt;&gt;"tutar_farki"),"",IF(ABS($C206-$D206)&lt;=toleransKurus,"TARIFE",IF(ABS($C206-$E206)&lt;=toleransKurus,"DAGITIM",IF(ABS($C206-$F206)&lt;=toleransKurus,"KDV",IF($G206&gt;0,"TUKETIM","TANIMSIZ")))))</f>
        <v/>
      </c>
    </row>
    <row r="207">
      <c r="A207" s="22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IF($A207="","",IFERROR(SUMIF(tblAnahtarA[Norm],$A207,tblVeriA[EnerjiBedeli]),0))</f>
        <v/>
      </c>
      <c r="E207" s="17">
        <f>IF($A207="","",IFERROR(SUMIF(tblAnahtarA[Norm],$A207,tblVeriA[DagitimBedeli]),0))</f>
        <v/>
      </c>
      <c r="F207" s="17">
        <f>IF($A207="","",IFERROR(SUMIF(tblAnahtarA[Norm],$A207,tblVeriA[VergiKdv]),0))</f>
        <v/>
      </c>
      <c r="G207" s="17">
        <f>IF($A207="","",IFERROR(SUMIF(tblAnahtarA[Norm],$A207,tblVeriA[TuketimKwh]),0))</f>
        <v/>
      </c>
      <c r="H207" s="17">
        <f>IF(OR($A207="",$B207&lt;&gt;"tutar_farki"),"",IF(ABS($C207-$D207)&lt;=toleransKurus,"TARIFE",IF(ABS($C207-$E207)&lt;=toleransKurus,"DAGITIM",IF(ABS($C207-$F207)&lt;=toleransKurus,"KDV",IF($G207&gt;0,"TUKETIM","TANIMSIZ")))))</f>
        <v/>
      </c>
    </row>
    <row r="208">
      <c r="A208" s="22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IF($A208="","",IFERROR(SUMIF(tblAnahtarA[Norm],$A208,tblVeriA[EnerjiBedeli]),0))</f>
        <v/>
      </c>
      <c r="E208" s="17">
        <f>IF($A208="","",IFERROR(SUMIF(tblAnahtarA[Norm],$A208,tblVeriA[DagitimBedeli]),0))</f>
        <v/>
      </c>
      <c r="F208" s="17">
        <f>IF($A208="","",IFERROR(SUMIF(tblAnahtarA[Norm],$A208,tblVeriA[VergiKdv]),0))</f>
        <v/>
      </c>
      <c r="G208" s="17">
        <f>IF($A208="","",IFERROR(SUMIF(tblAnahtarA[Norm],$A208,tblVeriA[TuketimKwh]),0))</f>
        <v/>
      </c>
      <c r="H208" s="17">
        <f>IF(OR($A208="",$B208&lt;&gt;"tutar_farki"),"",IF(ABS($C208-$D208)&lt;=toleransKurus,"TARIFE",IF(ABS($C208-$E208)&lt;=toleransKurus,"DAGITIM",IF(ABS($C208-$F208)&lt;=toleransKurus,"KDV",IF($G208&gt;0,"TUKETIM","TANIMSIZ")))))</f>
        <v/>
      </c>
    </row>
    <row r="209">
      <c r="A209" s="22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IF($A209="","",IFERROR(SUMIF(tblAnahtarA[Norm],$A209,tblVeriA[EnerjiBedeli]),0))</f>
        <v/>
      </c>
      <c r="E209" s="17">
        <f>IF($A209="","",IFERROR(SUMIF(tblAnahtarA[Norm],$A209,tblVeriA[DagitimBedeli]),0))</f>
        <v/>
      </c>
      <c r="F209" s="17">
        <f>IF($A209="","",IFERROR(SUMIF(tblAnahtarA[Norm],$A209,tblVeriA[VergiKdv]),0))</f>
        <v/>
      </c>
      <c r="G209" s="17">
        <f>IF($A209="","",IFERROR(SUMIF(tblAnahtarA[Norm],$A209,tblVeriA[TuketimKwh]),0))</f>
        <v/>
      </c>
      <c r="H209" s="17">
        <f>IF(OR($A209="",$B209&lt;&gt;"tutar_farki"),"",IF(ABS($C209-$D209)&lt;=toleransKurus,"TARIFE",IF(ABS($C209-$E209)&lt;=toleransKurus,"DAGITIM",IF(ABS($C209-$F209)&lt;=toleransKurus,"KDV",IF($G209&gt;0,"TUKETIM","TANIMSIZ")))))</f>
        <v/>
      </c>
    </row>
    <row r="210">
      <c r="A210" s="22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IF($A210="","",IFERROR(SUMIF(tblAnahtarA[Norm],$A210,tblVeriA[EnerjiBedeli]),0))</f>
        <v/>
      </c>
      <c r="E210" s="17">
        <f>IF($A210="","",IFERROR(SUMIF(tblAnahtarA[Norm],$A210,tblVeriA[DagitimBedeli]),0))</f>
        <v/>
      </c>
      <c r="F210" s="17">
        <f>IF($A210="","",IFERROR(SUMIF(tblAnahtarA[Norm],$A210,tblVeriA[VergiKdv]),0))</f>
        <v/>
      </c>
      <c r="G210" s="17">
        <f>IF($A210="","",IFERROR(SUMIF(tblAnahtarA[Norm],$A210,tblVeriA[TuketimKwh]),0))</f>
        <v/>
      </c>
      <c r="H210" s="17">
        <f>IF(OR($A210="",$B210&lt;&gt;"tutar_farki"),"",IF(ABS($C210-$D210)&lt;=toleransKurus,"TARIFE",IF(ABS($C210-$E210)&lt;=toleransKurus,"DAGITIM",IF(ABS($C210-$F210)&lt;=toleransKurus,"KDV",IF($G210&gt;0,"TUKETIM","TANIMSIZ")))))</f>
        <v/>
      </c>
    </row>
    <row r="211">
      <c r="A211" s="22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IF($A211="","",IFERROR(SUMIF(tblAnahtarA[Norm],$A211,tblVeriA[EnerjiBedeli]),0))</f>
        <v/>
      </c>
      <c r="E211" s="17">
        <f>IF($A211="","",IFERROR(SUMIF(tblAnahtarA[Norm],$A211,tblVeriA[DagitimBedeli]),0))</f>
        <v/>
      </c>
      <c r="F211" s="17">
        <f>IF($A211="","",IFERROR(SUMIF(tblAnahtarA[Norm],$A211,tblVeriA[VergiKdv]),0))</f>
        <v/>
      </c>
      <c r="G211" s="17">
        <f>IF($A211="","",IFERROR(SUMIF(tblAnahtarA[Norm],$A211,tblVeriA[TuketimKwh]),0))</f>
        <v/>
      </c>
      <c r="H211" s="17">
        <f>IF(OR($A211="",$B211&lt;&gt;"tutar_farki"),"",IF(ABS($C211-$D211)&lt;=toleransKurus,"TARIFE",IF(ABS($C211-$E211)&lt;=toleransKurus,"DAGITIM",IF(ABS($C211-$F211)&lt;=toleransKurus,"KDV",IF($G211&gt;0,"TUKETIM","TANIMSIZ")))))</f>
        <v/>
      </c>
    </row>
    <row r="212">
      <c r="A212" s="22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IF($A212="","",IFERROR(SUMIF(tblAnahtarA[Norm],$A212,tblVeriA[EnerjiBedeli]),0))</f>
        <v/>
      </c>
      <c r="E212" s="17">
        <f>IF($A212="","",IFERROR(SUMIF(tblAnahtarA[Norm],$A212,tblVeriA[DagitimBedeli]),0))</f>
        <v/>
      </c>
      <c r="F212" s="17">
        <f>IF($A212="","",IFERROR(SUMIF(tblAnahtarA[Norm],$A212,tblVeriA[VergiKdv]),0))</f>
        <v/>
      </c>
      <c r="G212" s="17">
        <f>IF($A212="","",IFERROR(SUMIF(tblAnahtarA[Norm],$A212,tblVeriA[TuketimKwh]),0))</f>
        <v/>
      </c>
      <c r="H212" s="17">
        <f>IF(OR($A212="",$B212&lt;&gt;"tutar_farki"),"",IF(ABS($C212-$D212)&lt;=toleransKurus,"TARIFE",IF(ABS($C212-$E212)&lt;=toleransKurus,"DAGITIM",IF(ABS($C212-$F212)&lt;=toleransKurus,"KDV",IF($G212&gt;0,"TUKETIM","TANIMSIZ")))))</f>
        <v/>
      </c>
    </row>
    <row r="213">
      <c r="A213" s="22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IF($A213="","",IFERROR(SUMIF(tblAnahtarA[Norm],$A213,tblVeriA[EnerjiBedeli]),0))</f>
        <v/>
      </c>
      <c r="E213" s="17">
        <f>IF($A213="","",IFERROR(SUMIF(tblAnahtarA[Norm],$A213,tblVeriA[DagitimBedeli]),0))</f>
        <v/>
      </c>
      <c r="F213" s="17">
        <f>IF($A213="","",IFERROR(SUMIF(tblAnahtarA[Norm],$A213,tblVeriA[VergiKdv]),0))</f>
        <v/>
      </c>
      <c r="G213" s="17">
        <f>IF($A213="","",IFERROR(SUMIF(tblAnahtarA[Norm],$A213,tblVeriA[TuketimKwh]),0))</f>
        <v/>
      </c>
      <c r="H213" s="17">
        <f>IF(OR($A213="",$B213&lt;&gt;"tutar_farki"),"",IF(ABS($C213-$D213)&lt;=toleransKurus,"TARIFE",IF(ABS($C213-$E213)&lt;=toleransKurus,"DAGITIM",IF(ABS($C213-$F213)&lt;=toleransKurus,"KDV",IF($G213&gt;0,"TUKETIM","TANIMSIZ")))))</f>
        <v/>
      </c>
    </row>
    <row r="214">
      <c r="A214" s="22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IF($A214="","",IFERROR(SUMIF(tblAnahtarA[Norm],$A214,tblVeriA[EnerjiBedeli]),0))</f>
        <v/>
      </c>
      <c r="E214" s="17">
        <f>IF($A214="","",IFERROR(SUMIF(tblAnahtarA[Norm],$A214,tblVeriA[DagitimBedeli]),0))</f>
        <v/>
      </c>
      <c r="F214" s="17">
        <f>IF($A214="","",IFERROR(SUMIF(tblAnahtarA[Norm],$A214,tblVeriA[VergiKdv]),0))</f>
        <v/>
      </c>
      <c r="G214" s="17">
        <f>IF($A214="","",IFERROR(SUMIF(tblAnahtarA[Norm],$A214,tblVeriA[TuketimKwh]),0))</f>
        <v/>
      </c>
      <c r="H214" s="17">
        <f>IF(OR($A214="",$B214&lt;&gt;"tutar_farki"),"",IF(ABS($C214-$D214)&lt;=toleransKurus,"TARIFE",IF(ABS($C214-$E214)&lt;=toleransKurus,"DAGITIM",IF(ABS($C214-$F214)&lt;=toleransKurus,"KDV",IF($G214&gt;0,"TUKETIM","TANIMSIZ")))))</f>
        <v/>
      </c>
    </row>
    <row r="215">
      <c r="A215" s="22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IF($A215="","",IFERROR(SUMIF(tblAnahtarA[Norm],$A215,tblVeriA[EnerjiBedeli]),0))</f>
        <v/>
      </c>
      <c r="E215" s="17">
        <f>IF($A215="","",IFERROR(SUMIF(tblAnahtarA[Norm],$A215,tblVeriA[DagitimBedeli]),0))</f>
        <v/>
      </c>
      <c r="F215" s="17">
        <f>IF($A215="","",IFERROR(SUMIF(tblAnahtarA[Norm],$A215,tblVeriA[VergiKdv]),0))</f>
        <v/>
      </c>
      <c r="G215" s="17">
        <f>IF($A215="","",IFERROR(SUMIF(tblAnahtarA[Norm],$A215,tblVeriA[TuketimKwh]),0))</f>
        <v/>
      </c>
      <c r="H215" s="17">
        <f>IF(OR($A215="",$B215&lt;&gt;"tutar_farki"),"",IF(ABS($C215-$D215)&lt;=toleransKurus,"TARIFE",IF(ABS($C215-$E215)&lt;=toleransKurus,"DAGITIM",IF(ABS($C215-$F215)&lt;=toleransKurus,"KDV",IF($G215&gt;0,"TUKETIM","TANIMSIZ")))))</f>
        <v/>
      </c>
    </row>
    <row r="216">
      <c r="A216" s="22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IF($A216="","",IFERROR(SUMIF(tblAnahtarA[Norm],$A216,tblVeriA[EnerjiBedeli]),0))</f>
        <v/>
      </c>
      <c r="E216" s="17">
        <f>IF($A216="","",IFERROR(SUMIF(tblAnahtarA[Norm],$A216,tblVeriA[DagitimBedeli]),0))</f>
        <v/>
      </c>
      <c r="F216" s="17">
        <f>IF($A216="","",IFERROR(SUMIF(tblAnahtarA[Norm],$A216,tblVeriA[VergiKdv]),0))</f>
        <v/>
      </c>
      <c r="G216" s="17">
        <f>IF($A216="","",IFERROR(SUMIF(tblAnahtarA[Norm],$A216,tblVeriA[TuketimKwh]),0))</f>
        <v/>
      </c>
      <c r="H216" s="17">
        <f>IF(OR($A216="",$B216&lt;&gt;"tutar_farki"),"",IF(ABS($C216-$D216)&lt;=toleransKurus,"TARIFE",IF(ABS($C216-$E216)&lt;=toleransKurus,"DAGITIM",IF(ABS($C216-$F216)&lt;=toleransKurus,"KDV",IF($G216&gt;0,"TUKETIM","TANIMSIZ")))))</f>
        <v/>
      </c>
    </row>
    <row r="217">
      <c r="A217" s="22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IF($A217="","",IFERROR(SUMIF(tblAnahtarA[Norm],$A217,tblVeriA[EnerjiBedeli]),0))</f>
        <v/>
      </c>
      <c r="E217" s="17">
        <f>IF($A217="","",IFERROR(SUMIF(tblAnahtarA[Norm],$A217,tblVeriA[DagitimBedeli]),0))</f>
        <v/>
      </c>
      <c r="F217" s="17">
        <f>IF($A217="","",IFERROR(SUMIF(tblAnahtarA[Norm],$A217,tblVeriA[VergiKdv]),0))</f>
        <v/>
      </c>
      <c r="G217" s="17">
        <f>IF($A217="","",IFERROR(SUMIF(tblAnahtarA[Norm],$A217,tblVeriA[TuketimKwh]),0))</f>
        <v/>
      </c>
      <c r="H217" s="17">
        <f>IF(OR($A217="",$B217&lt;&gt;"tutar_farki"),"",IF(ABS($C217-$D217)&lt;=toleransKurus,"TARIFE",IF(ABS($C217-$E217)&lt;=toleransKurus,"DAGITIM",IF(ABS($C217-$F217)&lt;=toleransKurus,"KDV",IF($G217&gt;0,"TUKETIM","TANIMSIZ")))))</f>
        <v/>
      </c>
    </row>
    <row r="218">
      <c r="A218" s="22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IF($A218="","",IFERROR(SUMIF(tblAnahtarA[Norm],$A218,tblVeriA[EnerjiBedeli]),0))</f>
        <v/>
      </c>
      <c r="E218" s="17">
        <f>IF($A218="","",IFERROR(SUMIF(tblAnahtarA[Norm],$A218,tblVeriA[DagitimBedeli]),0))</f>
        <v/>
      </c>
      <c r="F218" s="17">
        <f>IF($A218="","",IFERROR(SUMIF(tblAnahtarA[Norm],$A218,tblVeriA[VergiKdv]),0))</f>
        <v/>
      </c>
      <c r="G218" s="17">
        <f>IF($A218="","",IFERROR(SUMIF(tblAnahtarA[Norm],$A218,tblVeriA[TuketimKwh]),0))</f>
        <v/>
      </c>
      <c r="H218" s="17">
        <f>IF(OR($A218="",$B218&lt;&gt;"tutar_farki"),"",IF(ABS($C218-$D218)&lt;=toleransKurus,"TARIFE",IF(ABS($C218-$E218)&lt;=toleransKurus,"DAGITIM",IF(ABS($C218-$F218)&lt;=toleransKurus,"KDV",IF($G218&gt;0,"TUKETIM","TANIMSIZ")))))</f>
        <v/>
      </c>
    </row>
    <row r="219">
      <c r="A219" s="22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IF($A219="","",IFERROR(SUMIF(tblAnahtarA[Norm],$A219,tblVeriA[EnerjiBedeli]),0))</f>
        <v/>
      </c>
      <c r="E219" s="17">
        <f>IF($A219="","",IFERROR(SUMIF(tblAnahtarA[Norm],$A219,tblVeriA[DagitimBedeli]),0))</f>
        <v/>
      </c>
      <c r="F219" s="17">
        <f>IF($A219="","",IFERROR(SUMIF(tblAnahtarA[Norm],$A219,tblVeriA[VergiKdv]),0))</f>
        <v/>
      </c>
      <c r="G219" s="17">
        <f>IF($A219="","",IFERROR(SUMIF(tblAnahtarA[Norm],$A219,tblVeriA[TuketimKwh]),0))</f>
        <v/>
      </c>
      <c r="H219" s="17">
        <f>IF(OR($A219="",$B219&lt;&gt;"tutar_farki"),"",IF(ABS($C219-$D219)&lt;=toleransKurus,"TARIFE",IF(ABS($C219-$E219)&lt;=toleransKurus,"DAGITIM",IF(ABS($C219-$F219)&lt;=toleransKurus,"KDV",IF($G219&gt;0,"TUKETIM","TANIMSIZ")))))</f>
        <v/>
      </c>
    </row>
    <row r="220">
      <c r="A220" s="22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IF($A220="","",IFERROR(SUMIF(tblAnahtarA[Norm],$A220,tblVeriA[EnerjiBedeli]),0))</f>
        <v/>
      </c>
      <c r="E220" s="17">
        <f>IF($A220="","",IFERROR(SUMIF(tblAnahtarA[Norm],$A220,tblVeriA[DagitimBedeli]),0))</f>
        <v/>
      </c>
      <c r="F220" s="17">
        <f>IF($A220="","",IFERROR(SUMIF(tblAnahtarA[Norm],$A220,tblVeriA[VergiKdv]),0))</f>
        <v/>
      </c>
      <c r="G220" s="17">
        <f>IF($A220="","",IFERROR(SUMIF(tblAnahtarA[Norm],$A220,tblVeriA[TuketimKwh]),0))</f>
        <v/>
      </c>
      <c r="H220" s="17">
        <f>IF(OR($A220="",$B220&lt;&gt;"tutar_farki"),"",IF(ABS($C220-$D220)&lt;=toleransKurus,"TARIFE",IF(ABS($C220-$E220)&lt;=toleransKurus,"DAGITIM",IF(ABS($C220-$F220)&lt;=toleransKurus,"KDV",IF($G220&gt;0,"TUKETIM","TANIMSIZ")))))</f>
        <v/>
      </c>
    </row>
    <row r="221">
      <c r="A221" s="22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IF($A221="","",IFERROR(SUMIF(tblAnahtarA[Norm],$A221,tblVeriA[EnerjiBedeli]),0))</f>
        <v/>
      </c>
      <c r="E221" s="17">
        <f>IF($A221="","",IFERROR(SUMIF(tblAnahtarA[Norm],$A221,tblVeriA[DagitimBedeli]),0))</f>
        <v/>
      </c>
      <c r="F221" s="17">
        <f>IF($A221="","",IFERROR(SUMIF(tblAnahtarA[Norm],$A221,tblVeriA[VergiKdv]),0))</f>
        <v/>
      </c>
      <c r="G221" s="17">
        <f>IF($A221="","",IFERROR(SUMIF(tblAnahtarA[Norm],$A221,tblVeriA[TuketimKwh]),0))</f>
        <v/>
      </c>
      <c r="H221" s="17">
        <f>IF(OR($A221="",$B221&lt;&gt;"tutar_farki"),"",IF(ABS($C221-$D221)&lt;=toleransKurus,"TARIFE",IF(ABS($C221-$E221)&lt;=toleransKurus,"DAGITIM",IF(ABS($C221-$F221)&lt;=toleransKurus,"KDV",IF($G221&gt;0,"TUKETIM","TANIMSIZ")))))</f>
        <v/>
      </c>
    </row>
    <row r="222">
      <c r="A222" s="22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IF($A222="","",IFERROR(SUMIF(tblAnahtarA[Norm],$A222,tblVeriA[EnerjiBedeli]),0))</f>
        <v/>
      </c>
      <c r="E222" s="17">
        <f>IF($A222="","",IFERROR(SUMIF(tblAnahtarA[Norm],$A222,tblVeriA[DagitimBedeli]),0))</f>
        <v/>
      </c>
      <c r="F222" s="17">
        <f>IF($A222="","",IFERROR(SUMIF(tblAnahtarA[Norm],$A222,tblVeriA[VergiKdv]),0))</f>
        <v/>
      </c>
      <c r="G222" s="17">
        <f>IF($A222="","",IFERROR(SUMIF(tblAnahtarA[Norm],$A222,tblVeriA[TuketimKwh]),0))</f>
        <v/>
      </c>
      <c r="H222" s="17">
        <f>IF(OR($A222="",$B222&lt;&gt;"tutar_farki"),"",IF(ABS($C222-$D222)&lt;=toleransKurus,"TARIFE",IF(ABS($C222-$E222)&lt;=toleransKurus,"DAGITIM",IF(ABS($C222-$F222)&lt;=toleransKurus,"KDV",IF($G222&gt;0,"TUKETIM","TANIMSIZ")))))</f>
        <v/>
      </c>
    </row>
    <row r="223">
      <c r="A223" s="22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IF($A223="","",IFERROR(SUMIF(tblAnahtarA[Norm],$A223,tblVeriA[EnerjiBedeli]),0))</f>
        <v/>
      </c>
      <c r="E223" s="17">
        <f>IF($A223="","",IFERROR(SUMIF(tblAnahtarA[Norm],$A223,tblVeriA[DagitimBedeli]),0))</f>
        <v/>
      </c>
      <c r="F223" s="17">
        <f>IF($A223="","",IFERROR(SUMIF(tblAnahtarA[Norm],$A223,tblVeriA[VergiKdv]),0))</f>
        <v/>
      </c>
      <c r="G223" s="17">
        <f>IF($A223="","",IFERROR(SUMIF(tblAnahtarA[Norm],$A223,tblVeriA[TuketimKwh]),0))</f>
        <v/>
      </c>
      <c r="H223" s="17">
        <f>IF(OR($A223="",$B223&lt;&gt;"tutar_farki"),"",IF(ABS($C223-$D223)&lt;=toleransKurus,"TARIFE",IF(ABS($C223-$E223)&lt;=toleransKurus,"DAGITIM",IF(ABS($C223-$F223)&lt;=toleransKurus,"KDV",IF($G223&gt;0,"TUKETIM","TANIMSIZ")))))</f>
        <v/>
      </c>
    </row>
    <row r="224">
      <c r="A224" s="22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IF($A224="","",IFERROR(SUMIF(tblAnahtarA[Norm],$A224,tblVeriA[EnerjiBedeli]),0))</f>
        <v/>
      </c>
      <c r="E224" s="17">
        <f>IF($A224="","",IFERROR(SUMIF(tblAnahtarA[Norm],$A224,tblVeriA[DagitimBedeli]),0))</f>
        <v/>
      </c>
      <c r="F224" s="17">
        <f>IF($A224="","",IFERROR(SUMIF(tblAnahtarA[Norm],$A224,tblVeriA[VergiKdv]),0))</f>
        <v/>
      </c>
      <c r="G224" s="17">
        <f>IF($A224="","",IFERROR(SUMIF(tblAnahtarA[Norm],$A224,tblVeriA[TuketimKwh]),0))</f>
        <v/>
      </c>
      <c r="H224" s="17">
        <f>IF(OR($A224="",$B224&lt;&gt;"tutar_farki"),"",IF(ABS($C224-$D224)&lt;=toleransKurus,"TARIFE",IF(ABS($C224-$E224)&lt;=toleransKurus,"DAGITIM",IF(ABS($C224-$F224)&lt;=toleransKurus,"KDV",IF($G224&gt;0,"TUKETIM","TANIMSIZ")))))</f>
        <v/>
      </c>
    </row>
    <row r="225">
      <c r="A225" s="22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IF($A225="","",IFERROR(SUMIF(tblAnahtarA[Norm],$A225,tblVeriA[EnerjiBedeli]),0))</f>
        <v/>
      </c>
      <c r="E225" s="17">
        <f>IF($A225="","",IFERROR(SUMIF(tblAnahtarA[Norm],$A225,tblVeriA[DagitimBedeli]),0))</f>
        <v/>
      </c>
      <c r="F225" s="17">
        <f>IF($A225="","",IFERROR(SUMIF(tblAnahtarA[Norm],$A225,tblVeriA[VergiKdv]),0))</f>
        <v/>
      </c>
      <c r="G225" s="17">
        <f>IF($A225="","",IFERROR(SUMIF(tblAnahtarA[Norm],$A225,tblVeriA[TuketimKwh]),0))</f>
        <v/>
      </c>
      <c r="H225" s="17">
        <f>IF(OR($A225="",$B225&lt;&gt;"tutar_farki"),"",IF(ABS($C225-$D225)&lt;=toleransKurus,"TARIFE",IF(ABS($C225-$E225)&lt;=toleransKurus,"DAGITIM",IF(ABS($C225-$F225)&lt;=toleransKurus,"KDV",IF($G225&gt;0,"TUKETIM","TANIMSIZ")))))</f>
        <v/>
      </c>
    </row>
    <row r="226">
      <c r="A226" s="22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IF($A226="","",IFERROR(SUMIF(tblAnahtarA[Norm],$A226,tblVeriA[EnerjiBedeli]),0))</f>
        <v/>
      </c>
      <c r="E226" s="17">
        <f>IF($A226="","",IFERROR(SUMIF(tblAnahtarA[Norm],$A226,tblVeriA[DagitimBedeli]),0))</f>
        <v/>
      </c>
      <c r="F226" s="17">
        <f>IF($A226="","",IFERROR(SUMIF(tblAnahtarA[Norm],$A226,tblVeriA[VergiKdv]),0))</f>
        <v/>
      </c>
      <c r="G226" s="17">
        <f>IF($A226="","",IFERROR(SUMIF(tblAnahtarA[Norm],$A226,tblVeriA[TuketimKwh]),0))</f>
        <v/>
      </c>
      <c r="H226" s="17">
        <f>IF(OR($A226="",$B226&lt;&gt;"tutar_farki"),"",IF(ABS($C226-$D226)&lt;=toleransKurus,"TARIFE",IF(ABS($C226-$E226)&lt;=toleransKurus,"DAGITIM",IF(ABS($C226-$F226)&lt;=toleransKurus,"KDV",IF($G226&gt;0,"TUKETIM","TANIMSIZ")))))</f>
        <v/>
      </c>
    </row>
    <row r="227">
      <c r="A227" s="22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IF($A227="","",IFERROR(SUMIF(tblAnahtarA[Norm],$A227,tblVeriA[EnerjiBedeli]),0))</f>
        <v/>
      </c>
      <c r="E227" s="17">
        <f>IF($A227="","",IFERROR(SUMIF(tblAnahtarA[Norm],$A227,tblVeriA[DagitimBedeli]),0))</f>
        <v/>
      </c>
      <c r="F227" s="17">
        <f>IF($A227="","",IFERROR(SUMIF(tblAnahtarA[Norm],$A227,tblVeriA[VergiKdv]),0))</f>
        <v/>
      </c>
      <c r="G227" s="17">
        <f>IF($A227="","",IFERROR(SUMIF(tblAnahtarA[Norm],$A227,tblVeriA[TuketimKwh]),0))</f>
        <v/>
      </c>
      <c r="H227" s="17">
        <f>IF(OR($A227="",$B227&lt;&gt;"tutar_farki"),"",IF(ABS($C227-$D227)&lt;=toleransKurus,"TARIFE",IF(ABS($C227-$E227)&lt;=toleransKurus,"DAGITIM",IF(ABS($C227-$F227)&lt;=toleransKurus,"KDV",IF($G227&gt;0,"TUKETIM","TANIMSIZ")))))</f>
        <v/>
      </c>
    </row>
    <row r="228">
      <c r="A228" s="22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IF($A228="","",IFERROR(SUMIF(tblAnahtarA[Norm],$A228,tblVeriA[EnerjiBedeli]),0))</f>
        <v/>
      </c>
      <c r="E228" s="17">
        <f>IF($A228="","",IFERROR(SUMIF(tblAnahtarA[Norm],$A228,tblVeriA[DagitimBedeli]),0))</f>
        <v/>
      </c>
      <c r="F228" s="17">
        <f>IF($A228="","",IFERROR(SUMIF(tblAnahtarA[Norm],$A228,tblVeriA[VergiKdv]),0))</f>
        <v/>
      </c>
      <c r="G228" s="17">
        <f>IF($A228="","",IFERROR(SUMIF(tblAnahtarA[Norm],$A228,tblVeriA[TuketimKwh]),0))</f>
        <v/>
      </c>
      <c r="H228" s="17">
        <f>IF(OR($A228="",$B228&lt;&gt;"tutar_farki"),"",IF(ABS($C228-$D228)&lt;=toleransKurus,"TARIFE",IF(ABS($C228-$E228)&lt;=toleransKurus,"DAGITIM",IF(ABS($C228-$F228)&lt;=toleransKurus,"KDV",IF($G228&gt;0,"TUKETIM","TANIMSIZ")))))</f>
        <v/>
      </c>
    </row>
    <row r="229">
      <c r="A229" s="22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IF($A229="","",IFERROR(SUMIF(tblAnahtarA[Norm],$A229,tblVeriA[EnerjiBedeli]),0))</f>
        <v/>
      </c>
      <c r="E229" s="17">
        <f>IF($A229="","",IFERROR(SUMIF(tblAnahtarA[Norm],$A229,tblVeriA[DagitimBedeli]),0))</f>
        <v/>
      </c>
      <c r="F229" s="17">
        <f>IF($A229="","",IFERROR(SUMIF(tblAnahtarA[Norm],$A229,tblVeriA[VergiKdv]),0))</f>
        <v/>
      </c>
      <c r="G229" s="17">
        <f>IF($A229="","",IFERROR(SUMIF(tblAnahtarA[Norm],$A229,tblVeriA[TuketimKwh]),0))</f>
        <v/>
      </c>
      <c r="H229" s="17">
        <f>IF(OR($A229="",$B229&lt;&gt;"tutar_farki"),"",IF(ABS($C229-$D229)&lt;=toleransKurus,"TARIFE",IF(ABS($C229-$E229)&lt;=toleransKurus,"DAGITIM",IF(ABS($C229-$F229)&lt;=toleransKurus,"KDV",IF($G229&gt;0,"TUKETIM","TANIMSIZ")))))</f>
        <v/>
      </c>
    </row>
    <row r="230">
      <c r="A230" s="22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IF($A230="","",IFERROR(SUMIF(tblAnahtarA[Norm],$A230,tblVeriA[EnerjiBedeli]),0))</f>
        <v/>
      </c>
      <c r="E230" s="17">
        <f>IF($A230="","",IFERROR(SUMIF(tblAnahtarA[Norm],$A230,tblVeriA[DagitimBedeli]),0))</f>
        <v/>
      </c>
      <c r="F230" s="17">
        <f>IF($A230="","",IFERROR(SUMIF(tblAnahtarA[Norm],$A230,tblVeriA[VergiKdv]),0))</f>
        <v/>
      </c>
      <c r="G230" s="17">
        <f>IF($A230="","",IFERROR(SUMIF(tblAnahtarA[Norm],$A230,tblVeriA[TuketimKwh]),0))</f>
        <v/>
      </c>
      <c r="H230" s="17">
        <f>IF(OR($A230="",$B230&lt;&gt;"tutar_farki"),"",IF(ABS($C230-$D230)&lt;=toleransKurus,"TARIFE",IF(ABS($C230-$E230)&lt;=toleransKurus,"DAGITIM",IF(ABS($C230-$F230)&lt;=toleransKurus,"KDV",IF($G230&gt;0,"TUKETIM","TANIMSIZ")))))</f>
        <v/>
      </c>
    </row>
    <row r="231">
      <c r="A231" s="22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IF($A231="","",IFERROR(SUMIF(tblAnahtarA[Norm],$A231,tblVeriA[EnerjiBedeli]),0))</f>
        <v/>
      </c>
      <c r="E231" s="17">
        <f>IF($A231="","",IFERROR(SUMIF(tblAnahtarA[Norm],$A231,tblVeriA[DagitimBedeli]),0))</f>
        <v/>
      </c>
      <c r="F231" s="17">
        <f>IF($A231="","",IFERROR(SUMIF(tblAnahtarA[Norm],$A231,tblVeriA[VergiKdv]),0))</f>
        <v/>
      </c>
      <c r="G231" s="17">
        <f>IF($A231="","",IFERROR(SUMIF(tblAnahtarA[Norm],$A231,tblVeriA[TuketimKwh]),0))</f>
        <v/>
      </c>
      <c r="H231" s="17">
        <f>IF(OR($A231="",$B231&lt;&gt;"tutar_farki"),"",IF(ABS($C231-$D231)&lt;=toleransKurus,"TARIFE",IF(ABS($C231-$E231)&lt;=toleransKurus,"DAGITIM",IF(ABS($C231-$F231)&lt;=toleransKurus,"KDV",IF($G231&gt;0,"TUKETIM","TANIMSIZ")))))</f>
        <v/>
      </c>
    </row>
    <row r="232">
      <c r="A232" s="22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IF($A232="","",IFERROR(SUMIF(tblAnahtarA[Norm],$A232,tblVeriA[EnerjiBedeli]),0))</f>
        <v/>
      </c>
      <c r="E232" s="17">
        <f>IF($A232="","",IFERROR(SUMIF(tblAnahtarA[Norm],$A232,tblVeriA[DagitimBedeli]),0))</f>
        <v/>
      </c>
      <c r="F232" s="17">
        <f>IF($A232="","",IFERROR(SUMIF(tblAnahtarA[Norm],$A232,tblVeriA[VergiKdv]),0))</f>
        <v/>
      </c>
      <c r="G232" s="17">
        <f>IF($A232="","",IFERROR(SUMIF(tblAnahtarA[Norm],$A232,tblVeriA[TuketimKwh]),0))</f>
        <v/>
      </c>
      <c r="H232" s="17">
        <f>IF(OR($A232="",$B232&lt;&gt;"tutar_farki"),"",IF(ABS($C232-$D232)&lt;=toleransKurus,"TARIFE",IF(ABS($C232-$E232)&lt;=toleransKurus,"DAGITIM",IF(ABS($C232-$F232)&lt;=toleransKurus,"KDV",IF($G232&gt;0,"TUKETIM","TANIMSIZ")))))</f>
        <v/>
      </c>
    </row>
    <row r="233">
      <c r="A233" s="22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IF($A233="","",IFERROR(SUMIF(tblAnahtarA[Norm],$A233,tblVeriA[EnerjiBedeli]),0))</f>
        <v/>
      </c>
      <c r="E233" s="17">
        <f>IF($A233="","",IFERROR(SUMIF(tblAnahtarA[Norm],$A233,tblVeriA[DagitimBedeli]),0))</f>
        <v/>
      </c>
      <c r="F233" s="17">
        <f>IF($A233="","",IFERROR(SUMIF(tblAnahtarA[Norm],$A233,tblVeriA[VergiKdv]),0))</f>
        <v/>
      </c>
      <c r="G233" s="17">
        <f>IF($A233="","",IFERROR(SUMIF(tblAnahtarA[Norm],$A233,tblVeriA[TuketimKwh]),0))</f>
        <v/>
      </c>
      <c r="H233" s="17">
        <f>IF(OR($A233="",$B233&lt;&gt;"tutar_farki"),"",IF(ABS($C233-$D233)&lt;=toleransKurus,"TARIFE",IF(ABS($C233-$E233)&lt;=toleransKurus,"DAGITIM",IF(ABS($C233-$F233)&lt;=toleransKurus,"KDV",IF($G233&gt;0,"TUKETIM","TANIMSIZ")))))</f>
        <v/>
      </c>
    </row>
    <row r="234">
      <c r="A234" s="22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IF($A234="","",IFERROR(SUMIF(tblAnahtarA[Norm],$A234,tblVeriA[EnerjiBedeli]),0))</f>
        <v/>
      </c>
      <c r="E234" s="17">
        <f>IF($A234="","",IFERROR(SUMIF(tblAnahtarA[Norm],$A234,tblVeriA[DagitimBedeli]),0))</f>
        <v/>
      </c>
      <c r="F234" s="17">
        <f>IF($A234="","",IFERROR(SUMIF(tblAnahtarA[Norm],$A234,tblVeriA[VergiKdv]),0))</f>
        <v/>
      </c>
      <c r="G234" s="17">
        <f>IF($A234="","",IFERROR(SUMIF(tblAnahtarA[Norm],$A234,tblVeriA[TuketimKwh]),0))</f>
        <v/>
      </c>
      <c r="H234" s="17">
        <f>IF(OR($A234="",$B234&lt;&gt;"tutar_farki"),"",IF(ABS($C234-$D234)&lt;=toleransKurus,"TARIFE",IF(ABS($C234-$E234)&lt;=toleransKurus,"DAGITIM",IF(ABS($C234-$F234)&lt;=toleransKurus,"KDV",IF($G234&gt;0,"TUKETIM","TANIMSIZ")))))</f>
        <v/>
      </c>
    </row>
    <row r="235">
      <c r="A235" s="22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IF($A235="","",IFERROR(SUMIF(tblAnahtarA[Norm],$A235,tblVeriA[EnerjiBedeli]),0))</f>
        <v/>
      </c>
      <c r="E235" s="17">
        <f>IF($A235="","",IFERROR(SUMIF(tblAnahtarA[Norm],$A235,tblVeriA[DagitimBedeli]),0))</f>
        <v/>
      </c>
      <c r="F235" s="17">
        <f>IF($A235="","",IFERROR(SUMIF(tblAnahtarA[Norm],$A235,tblVeriA[VergiKdv]),0))</f>
        <v/>
      </c>
      <c r="G235" s="17">
        <f>IF($A235="","",IFERROR(SUMIF(tblAnahtarA[Norm],$A235,tblVeriA[TuketimKwh]),0))</f>
        <v/>
      </c>
      <c r="H235" s="17">
        <f>IF(OR($A235="",$B235&lt;&gt;"tutar_farki"),"",IF(ABS($C235-$D235)&lt;=toleransKurus,"TARIFE",IF(ABS($C235-$E235)&lt;=toleransKurus,"DAGITIM",IF(ABS($C235-$F235)&lt;=toleransKurus,"KDV",IF($G235&gt;0,"TUKETIM","TANIMSIZ")))))</f>
        <v/>
      </c>
    </row>
    <row r="236">
      <c r="A236" s="22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IF($A236="","",IFERROR(SUMIF(tblAnahtarA[Norm],$A236,tblVeriA[EnerjiBedeli]),0))</f>
        <v/>
      </c>
      <c r="E236" s="17">
        <f>IF($A236="","",IFERROR(SUMIF(tblAnahtarA[Norm],$A236,tblVeriA[DagitimBedeli]),0))</f>
        <v/>
      </c>
      <c r="F236" s="17">
        <f>IF($A236="","",IFERROR(SUMIF(tblAnahtarA[Norm],$A236,tblVeriA[VergiKdv]),0))</f>
        <v/>
      </c>
      <c r="G236" s="17">
        <f>IF($A236="","",IFERROR(SUMIF(tblAnahtarA[Norm],$A236,tblVeriA[TuketimKwh]),0))</f>
        <v/>
      </c>
      <c r="H236" s="17">
        <f>IF(OR($A236="",$B236&lt;&gt;"tutar_farki"),"",IF(ABS($C236-$D236)&lt;=toleransKurus,"TARIFE",IF(ABS($C236-$E236)&lt;=toleransKurus,"DAGITIM",IF(ABS($C236-$F236)&lt;=toleransKurus,"KDV",IF($G236&gt;0,"TUKETIM","TANIMSIZ")))))</f>
        <v/>
      </c>
    </row>
    <row r="237">
      <c r="A237" s="22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IF($A237="","",IFERROR(SUMIF(tblAnahtarA[Norm],$A237,tblVeriA[EnerjiBedeli]),0))</f>
        <v/>
      </c>
      <c r="E237" s="17">
        <f>IF($A237="","",IFERROR(SUMIF(tblAnahtarA[Norm],$A237,tblVeriA[DagitimBedeli]),0))</f>
        <v/>
      </c>
      <c r="F237" s="17">
        <f>IF($A237="","",IFERROR(SUMIF(tblAnahtarA[Norm],$A237,tblVeriA[VergiKdv]),0))</f>
        <v/>
      </c>
      <c r="G237" s="17">
        <f>IF($A237="","",IFERROR(SUMIF(tblAnahtarA[Norm],$A237,tblVeriA[TuketimKwh]),0))</f>
        <v/>
      </c>
      <c r="H237" s="17">
        <f>IF(OR($A237="",$B237&lt;&gt;"tutar_farki"),"",IF(ABS($C237-$D237)&lt;=toleransKurus,"TARIFE",IF(ABS($C237-$E237)&lt;=toleransKurus,"DAGITIM",IF(ABS($C237-$F237)&lt;=toleransKurus,"KDV",IF($G237&gt;0,"TUKETIM","TANIMSIZ")))))</f>
        <v/>
      </c>
    </row>
    <row r="238">
      <c r="A238" s="22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IF($A238="","",IFERROR(SUMIF(tblAnahtarA[Norm],$A238,tblVeriA[EnerjiBedeli]),0))</f>
        <v/>
      </c>
      <c r="E238" s="17">
        <f>IF($A238="","",IFERROR(SUMIF(tblAnahtarA[Norm],$A238,tblVeriA[DagitimBedeli]),0))</f>
        <v/>
      </c>
      <c r="F238" s="17">
        <f>IF($A238="","",IFERROR(SUMIF(tblAnahtarA[Norm],$A238,tblVeriA[VergiKdv]),0))</f>
        <v/>
      </c>
      <c r="G238" s="17">
        <f>IF($A238="","",IFERROR(SUMIF(tblAnahtarA[Norm],$A238,tblVeriA[TuketimKwh]),0))</f>
        <v/>
      </c>
      <c r="H238" s="17">
        <f>IF(OR($A238="",$B238&lt;&gt;"tutar_farki"),"",IF(ABS($C238-$D238)&lt;=toleransKurus,"TARIFE",IF(ABS($C238-$E238)&lt;=toleransKurus,"DAGITIM",IF(ABS($C238-$F238)&lt;=toleransKurus,"KDV",IF($G238&gt;0,"TUKETIM","TANIMSIZ")))))</f>
        <v/>
      </c>
    </row>
    <row r="239">
      <c r="A239" s="22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IF($A239="","",IFERROR(SUMIF(tblAnahtarA[Norm],$A239,tblVeriA[EnerjiBedeli]),0))</f>
        <v/>
      </c>
      <c r="E239" s="17">
        <f>IF($A239="","",IFERROR(SUMIF(tblAnahtarA[Norm],$A239,tblVeriA[DagitimBedeli]),0))</f>
        <v/>
      </c>
      <c r="F239" s="17">
        <f>IF($A239="","",IFERROR(SUMIF(tblAnahtarA[Norm],$A239,tblVeriA[VergiKdv]),0))</f>
        <v/>
      </c>
      <c r="G239" s="17">
        <f>IF($A239="","",IFERROR(SUMIF(tblAnahtarA[Norm],$A239,tblVeriA[TuketimKwh]),0))</f>
        <v/>
      </c>
      <c r="H239" s="17">
        <f>IF(OR($A239="",$B239&lt;&gt;"tutar_farki"),"",IF(ABS($C239-$D239)&lt;=toleransKurus,"TARIFE",IF(ABS($C239-$E239)&lt;=toleransKurus,"DAGITIM",IF(ABS($C239-$F239)&lt;=toleransKurus,"KDV",IF($G239&gt;0,"TUKETIM","TANIMSIZ")))))</f>
        <v/>
      </c>
    </row>
    <row r="240">
      <c r="A240" s="22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IF($A240="","",IFERROR(SUMIF(tblAnahtarA[Norm],$A240,tblVeriA[EnerjiBedeli]),0))</f>
        <v/>
      </c>
      <c r="E240" s="17">
        <f>IF($A240="","",IFERROR(SUMIF(tblAnahtarA[Norm],$A240,tblVeriA[DagitimBedeli]),0))</f>
        <v/>
      </c>
      <c r="F240" s="17">
        <f>IF($A240="","",IFERROR(SUMIF(tblAnahtarA[Norm],$A240,tblVeriA[VergiKdv]),0))</f>
        <v/>
      </c>
      <c r="G240" s="17">
        <f>IF($A240="","",IFERROR(SUMIF(tblAnahtarA[Norm],$A240,tblVeriA[TuketimKwh]),0))</f>
        <v/>
      </c>
      <c r="H240" s="17">
        <f>IF(OR($A240="",$B240&lt;&gt;"tutar_farki"),"",IF(ABS($C240-$D240)&lt;=toleransKurus,"TARIFE",IF(ABS($C240-$E240)&lt;=toleransKurus,"DAGITIM",IF(ABS($C240-$F240)&lt;=toleransKurus,"KDV",IF($G240&gt;0,"TUKETIM","TANIMSIZ")))))</f>
        <v/>
      </c>
    </row>
    <row r="241">
      <c r="A241" s="22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IF($A241="","",IFERROR(SUMIF(tblAnahtarA[Norm],$A241,tblVeriA[EnerjiBedeli]),0))</f>
        <v/>
      </c>
      <c r="E241" s="17">
        <f>IF($A241="","",IFERROR(SUMIF(tblAnahtarA[Norm],$A241,tblVeriA[DagitimBedeli]),0))</f>
        <v/>
      </c>
      <c r="F241" s="17">
        <f>IF($A241="","",IFERROR(SUMIF(tblAnahtarA[Norm],$A241,tblVeriA[VergiKdv]),0))</f>
        <v/>
      </c>
      <c r="G241" s="17">
        <f>IF($A241="","",IFERROR(SUMIF(tblAnahtarA[Norm],$A241,tblVeriA[TuketimKwh]),0))</f>
        <v/>
      </c>
      <c r="H241" s="17">
        <f>IF(OR($A241="",$B241&lt;&gt;"tutar_farki"),"",IF(ABS($C241-$D241)&lt;=toleransKurus,"TARIFE",IF(ABS($C241-$E241)&lt;=toleransKurus,"DAGITIM",IF(ABS($C241-$F241)&lt;=toleransKurus,"KDV",IF($G241&gt;0,"TUKETIM","TANIMSIZ")))))</f>
        <v/>
      </c>
    </row>
    <row r="242">
      <c r="A242" s="22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IF($A242="","",IFERROR(SUMIF(tblAnahtarA[Norm],$A242,tblVeriA[EnerjiBedeli]),0))</f>
        <v/>
      </c>
      <c r="E242" s="17">
        <f>IF($A242="","",IFERROR(SUMIF(tblAnahtarA[Norm],$A242,tblVeriA[DagitimBedeli]),0))</f>
        <v/>
      </c>
      <c r="F242" s="17">
        <f>IF($A242="","",IFERROR(SUMIF(tblAnahtarA[Norm],$A242,tblVeriA[VergiKdv]),0))</f>
        <v/>
      </c>
      <c r="G242" s="17">
        <f>IF($A242="","",IFERROR(SUMIF(tblAnahtarA[Norm],$A242,tblVeriA[TuketimKwh]),0))</f>
        <v/>
      </c>
      <c r="H242" s="17">
        <f>IF(OR($A242="",$B242&lt;&gt;"tutar_farki"),"",IF(ABS($C242-$D242)&lt;=toleransKurus,"TARIFE",IF(ABS($C242-$E242)&lt;=toleransKurus,"DAGITIM",IF(ABS($C242-$F242)&lt;=toleransKurus,"KDV",IF($G242&gt;0,"TUKETIM","TANIMSIZ")))))</f>
        <v/>
      </c>
    </row>
    <row r="243">
      <c r="A243" s="22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IF($A243="","",IFERROR(SUMIF(tblAnahtarA[Norm],$A243,tblVeriA[EnerjiBedeli]),0))</f>
        <v/>
      </c>
      <c r="E243" s="17">
        <f>IF($A243="","",IFERROR(SUMIF(tblAnahtarA[Norm],$A243,tblVeriA[DagitimBedeli]),0))</f>
        <v/>
      </c>
      <c r="F243" s="17">
        <f>IF($A243="","",IFERROR(SUMIF(tblAnahtarA[Norm],$A243,tblVeriA[VergiKdv]),0))</f>
        <v/>
      </c>
      <c r="G243" s="17">
        <f>IF($A243="","",IFERROR(SUMIF(tblAnahtarA[Norm],$A243,tblVeriA[TuketimKwh]),0))</f>
        <v/>
      </c>
      <c r="H243" s="17">
        <f>IF(OR($A243="",$B243&lt;&gt;"tutar_farki"),"",IF(ABS($C243-$D243)&lt;=toleransKurus,"TARIFE",IF(ABS($C243-$E243)&lt;=toleransKurus,"DAGITIM",IF(ABS($C243-$F243)&lt;=toleransKurus,"KDV",IF($G243&gt;0,"TUKETIM","TANIMSIZ")))))</f>
        <v/>
      </c>
    </row>
    <row r="244">
      <c r="A244" s="22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IF($A244="","",IFERROR(SUMIF(tblAnahtarA[Norm],$A244,tblVeriA[EnerjiBedeli]),0))</f>
        <v/>
      </c>
      <c r="E244" s="17">
        <f>IF($A244="","",IFERROR(SUMIF(tblAnahtarA[Norm],$A244,tblVeriA[DagitimBedeli]),0))</f>
        <v/>
      </c>
      <c r="F244" s="17">
        <f>IF($A244="","",IFERROR(SUMIF(tblAnahtarA[Norm],$A244,tblVeriA[VergiKdv]),0))</f>
        <v/>
      </c>
      <c r="G244" s="17">
        <f>IF($A244="","",IFERROR(SUMIF(tblAnahtarA[Norm],$A244,tblVeriA[TuketimKwh]),0))</f>
        <v/>
      </c>
      <c r="H244" s="17">
        <f>IF(OR($A244="",$B244&lt;&gt;"tutar_farki"),"",IF(ABS($C244-$D244)&lt;=toleransKurus,"TARIFE",IF(ABS($C244-$E244)&lt;=toleransKurus,"DAGITIM",IF(ABS($C244-$F244)&lt;=toleransKurus,"KDV",IF($G244&gt;0,"TUKETIM","TANIMSIZ")))))</f>
        <v/>
      </c>
    </row>
    <row r="245">
      <c r="A245" s="22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IF($A245="","",IFERROR(SUMIF(tblAnahtarA[Norm],$A245,tblVeriA[EnerjiBedeli]),0))</f>
        <v/>
      </c>
      <c r="E245" s="17">
        <f>IF($A245="","",IFERROR(SUMIF(tblAnahtarA[Norm],$A245,tblVeriA[DagitimBedeli]),0))</f>
        <v/>
      </c>
      <c r="F245" s="17">
        <f>IF($A245="","",IFERROR(SUMIF(tblAnahtarA[Norm],$A245,tblVeriA[VergiKdv]),0))</f>
        <v/>
      </c>
      <c r="G245" s="17">
        <f>IF($A245="","",IFERROR(SUMIF(tblAnahtarA[Norm],$A245,tblVeriA[TuketimKwh]),0))</f>
        <v/>
      </c>
      <c r="H245" s="17">
        <f>IF(OR($A245="",$B245&lt;&gt;"tutar_farki"),"",IF(ABS($C245-$D245)&lt;=toleransKurus,"TARIFE",IF(ABS($C245-$E245)&lt;=toleransKurus,"DAGITIM",IF(ABS($C245-$F245)&lt;=toleransKurus,"KDV",IF($G245&gt;0,"TUKETIM","TANIMSIZ")))))</f>
        <v/>
      </c>
    </row>
    <row r="246">
      <c r="A246" s="22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IF($A246="","",IFERROR(SUMIF(tblAnahtarA[Norm],$A246,tblVeriA[EnerjiBedeli]),0))</f>
        <v/>
      </c>
      <c r="E246" s="17">
        <f>IF($A246="","",IFERROR(SUMIF(tblAnahtarA[Norm],$A246,tblVeriA[DagitimBedeli]),0))</f>
        <v/>
      </c>
      <c r="F246" s="17">
        <f>IF($A246="","",IFERROR(SUMIF(tblAnahtarA[Norm],$A246,tblVeriA[VergiKdv]),0))</f>
        <v/>
      </c>
      <c r="G246" s="17">
        <f>IF($A246="","",IFERROR(SUMIF(tblAnahtarA[Norm],$A246,tblVeriA[TuketimKwh]),0))</f>
        <v/>
      </c>
      <c r="H246" s="17">
        <f>IF(OR($A246="",$B246&lt;&gt;"tutar_farki"),"",IF(ABS($C246-$D246)&lt;=toleransKurus,"TARIFE",IF(ABS($C246-$E246)&lt;=toleransKurus,"DAGITIM",IF(ABS($C246-$F246)&lt;=toleransKurus,"KDV",IF($G246&gt;0,"TUKETIM","TANIMSIZ")))))</f>
        <v/>
      </c>
    </row>
    <row r="247">
      <c r="A247" s="22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IF($A247="","",IFERROR(SUMIF(tblAnahtarA[Norm],$A247,tblVeriA[EnerjiBedeli]),0))</f>
        <v/>
      </c>
      <c r="E247" s="17">
        <f>IF($A247="","",IFERROR(SUMIF(tblAnahtarA[Norm],$A247,tblVeriA[DagitimBedeli]),0))</f>
        <v/>
      </c>
      <c r="F247" s="17">
        <f>IF($A247="","",IFERROR(SUMIF(tblAnahtarA[Norm],$A247,tblVeriA[VergiKdv]),0))</f>
        <v/>
      </c>
      <c r="G247" s="17">
        <f>IF($A247="","",IFERROR(SUMIF(tblAnahtarA[Norm],$A247,tblVeriA[TuketimKwh]),0))</f>
        <v/>
      </c>
      <c r="H247" s="17">
        <f>IF(OR($A247="",$B247&lt;&gt;"tutar_farki"),"",IF(ABS($C247-$D247)&lt;=toleransKurus,"TARIFE",IF(ABS($C247-$E247)&lt;=toleransKurus,"DAGITIM",IF(ABS($C247-$F247)&lt;=toleransKurus,"KDV",IF($G247&gt;0,"TUKETIM","TANIMSIZ")))))</f>
        <v/>
      </c>
    </row>
    <row r="248">
      <c r="A248" s="22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IF($A248="","",IFERROR(SUMIF(tblAnahtarA[Norm],$A248,tblVeriA[EnerjiBedeli]),0))</f>
        <v/>
      </c>
      <c r="E248" s="17">
        <f>IF($A248="","",IFERROR(SUMIF(tblAnahtarA[Norm],$A248,tblVeriA[DagitimBedeli]),0))</f>
        <v/>
      </c>
      <c r="F248" s="17">
        <f>IF($A248="","",IFERROR(SUMIF(tblAnahtarA[Norm],$A248,tblVeriA[VergiKdv]),0))</f>
        <v/>
      </c>
      <c r="G248" s="17">
        <f>IF($A248="","",IFERROR(SUMIF(tblAnahtarA[Norm],$A248,tblVeriA[TuketimKwh]),0))</f>
        <v/>
      </c>
      <c r="H248" s="17">
        <f>IF(OR($A248="",$B248&lt;&gt;"tutar_farki"),"",IF(ABS($C248-$D248)&lt;=toleransKurus,"TARIFE",IF(ABS($C248-$E248)&lt;=toleransKurus,"DAGITIM",IF(ABS($C248-$F248)&lt;=toleransKurus,"KDV",IF($G248&gt;0,"TUKETIM","TANIMSIZ")))))</f>
        <v/>
      </c>
    </row>
    <row r="249">
      <c r="A249" s="22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IF($A249="","",IFERROR(SUMIF(tblAnahtarA[Norm],$A249,tblVeriA[EnerjiBedeli]),0))</f>
        <v/>
      </c>
      <c r="E249" s="17">
        <f>IF($A249="","",IFERROR(SUMIF(tblAnahtarA[Norm],$A249,tblVeriA[DagitimBedeli]),0))</f>
        <v/>
      </c>
      <c r="F249" s="17">
        <f>IF($A249="","",IFERROR(SUMIF(tblAnahtarA[Norm],$A249,tblVeriA[VergiKdv]),0))</f>
        <v/>
      </c>
      <c r="G249" s="17">
        <f>IF($A249="","",IFERROR(SUMIF(tblAnahtarA[Norm],$A249,tblVeriA[TuketimKwh]),0))</f>
        <v/>
      </c>
      <c r="H249" s="17">
        <f>IF(OR($A249="",$B249&lt;&gt;"tutar_farki"),"",IF(ABS($C249-$D249)&lt;=toleransKurus,"TARIFE",IF(ABS($C249-$E249)&lt;=toleransKurus,"DAGITIM",IF(ABS($C249-$F249)&lt;=toleransKurus,"KDV",IF($G249&gt;0,"TUKETIM","TANIMSIZ")))))</f>
        <v/>
      </c>
    </row>
    <row r="250">
      <c r="A250" s="22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IF($A250="","",IFERROR(SUMIF(tblAnahtarA[Norm],$A250,tblVeriA[EnerjiBedeli]),0))</f>
        <v/>
      </c>
      <c r="E250" s="17">
        <f>IF($A250="","",IFERROR(SUMIF(tblAnahtarA[Norm],$A250,tblVeriA[DagitimBedeli]),0))</f>
        <v/>
      </c>
      <c r="F250" s="17">
        <f>IF($A250="","",IFERROR(SUMIF(tblAnahtarA[Norm],$A250,tblVeriA[VergiKdv]),0))</f>
        <v/>
      </c>
      <c r="G250" s="17">
        <f>IF($A250="","",IFERROR(SUMIF(tblAnahtarA[Norm],$A250,tblVeriA[TuketimKwh]),0))</f>
        <v/>
      </c>
      <c r="H250" s="17">
        <f>IF(OR($A250="",$B250&lt;&gt;"tutar_farki"),"",IF(ABS($C250-$D250)&lt;=toleransKurus,"TARIFE",IF(ABS($C250-$E250)&lt;=toleransKurus,"DAGITIM",IF(ABS($C250-$F250)&lt;=toleransKurus,"KDV",IF($G250&gt;0,"TUKETIM","TANIMSIZ")))))</f>
        <v/>
      </c>
    </row>
    <row r="251">
      <c r="A251" s="22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IF($A251="","",IFERROR(SUMIF(tblAnahtarA[Norm],$A251,tblVeriA[EnerjiBedeli]),0))</f>
        <v/>
      </c>
      <c r="E251" s="17">
        <f>IF($A251="","",IFERROR(SUMIF(tblAnahtarA[Norm],$A251,tblVeriA[DagitimBedeli]),0))</f>
        <v/>
      </c>
      <c r="F251" s="17">
        <f>IF($A251="","",IFERROR(SUMIF(tblAnahtarA[Norm],$A251,tblVeriA[VergiKdv]),0))</f>
        <v/>
      </c>
      <c r="G251" s="17">
        <f>IF($A251="","",IFERROR(SUMIF(tblAnahtarA[Norm],$A251,tblVeriA[TuketimKwh]),0))</f>
        <v/>
      </c>
      <c r="H251" s="17">
        <f>IF(OR($A251="",$B251&lt;&gt;"tutar_farki"),"",IF(ABS($C251-$D251)&lt;=toleransKurus,"TARIFE",IF(ABS($C251-$E251)&lt;=toleransKurus,"DAGITIM",IF(ABS($C251-$F251)&lt;=toleransKurus,"KDV",IF($G251&gt;0,"TUKETIM","TANIMSIZ")))))</f>
        <v/>
      </c>
    </row>
    <row r="252">
      <c r="A252" s="22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IF($A252="","",IFERROR(SUMIF(tblAnahtarA[Norm],$A252,tblVeriA[EnerjiBedeli]),0))</f>
        <v/>
      </c>
      <c r="E252" s="17">
        <f>IF($A252="","",IFERROR(SUMIF(tblAnahtarA[Norm],$A252,tblVeriA[DagitimBedeli]),0))</f>
        <v/>
      </c>
      <c r="F252" s="17">
        <f>IF($A252="","",IFERROR(SUMIF(tblAnahtarA[Norm],$A252,tblVeriA[VergiKdv]),0))</f>
        <v/>
      </c>
      <c r="G252" s="17">
        <f>IF($A252="","",IFERROR(SUMIF(tblAnahtarA[Norm],$A252,tblVeriA[TuketimKwh]),0))</f>
        <v/>
      </c>
      <c r="H252" s="17">
        <f>IF(OR($A252="",$B252&lt;&gt;"tutar_farki"),"",IF(ABS($C252-$D252)&lt;=toleransKurus,"TARIFE",IF(ABS($C252-$E252)&lt;=toleransKurus,"DAGITIM",IF(ABS($C252-$F252)&lt;=toleransKurus,"KDV",IF($G252&gt;0,"TUKETIM","TANIMSIZ")))))</f>
        <v/>
      </c>
    </row>
    <row r="253">
      <c r="A253" s="22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IF($A253="","",IFERROR(SUMIF(tblAnahtarA[Norm],$A253,tblVeriA[EnerjiBedeli]),0))</f>
        <v/>
      </c>
      <c r="E253" s="17">
        <f>IF($A253="","",IFERROR(SUMIF(tblAnahtarA[Norm],$A253,tblVeriA[DagitimBedeli]),0))</f>
        <v/>
      </c>
      <c r="F253" s="17">
        <f>IF($A253="","",IFERROR(SUMIF(tblAnahtarA[Norm],$A253,tblVeriA[VergiKdv]),0))</f>
        <v/>
      </c>
      <c r="G253" s="17">
        <f>IF($A253="","",IFERROR(SUMIF(tblAnahtarA[Norm],$A253,tblVeriA[TuketimKwh]),0))</f>
        <v/>
      </c>
      <c r="H253" s="17">
        <f>IF(OR($A253="",$B253&lt;&gt;"tutar_farki"),"",IF(ABS($C253-$D253)&lt;=toleransKurus,"TARIFE",IF(ABS($C253-$E253)&lt;=toleransKurus,"DAGITIM",IF(ABS($C253-$F253)&lt;=toleransKurus,"KDV",IF($G253&gt;0,"TUKETIM","TANIMSIZ")))))</f>
        <v/>
      </c>
    </row>
    <row r="254">
      <c r="A254" s="22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IF($A254="","",IFERROR(SUMIF(tblAnahtarA[Norm],$A254,tblVeriA[EnerjiBedeli]),0))</f>
        <v/>
      </c>
      <c r="E254" s="17">
        <f>IF($A254="","",IFERROR(SUMIF(tblAnahtarA[Norm],$A254,tblVeriA[DagitimBedeli]),0))</f>
        <v/>
      </c>
      <c r="F254" s="17">
        <f>IF($A254="","",IFERROR(SUMIF(tblAnahtarA[Norm],$A254,tblVeriA[VergiKdv]),0))</f>
        <v/>
      </c>
      <c r="G254" s="17">
        <f>IF($A254="","",IFERROR(SUMIF(tblAnahtarA[Norm],$A254,tblVeriA[TuketimKwh]),0))</f>
        <v/>
      </c>
      <c r="H254" s="17">
        <f>IF(OR($A254="",$B254&lt;&gt;"tutar_farki"),"",IF(ABS($C254-$D254)&lt;=toleransKurus,"TARIFE",IF(ABS($C254-$E254)&lt;=toleransKurus,"DAGITIM",IF(ABS($C254-$F254)&lt;=toleransKurus,"KDV",IF($G254&gt;0,"TUKETIM","TANIMSIZ")))))</f>
        <v/>
      </c>
    </row>
    <row r="255">
      <c r="A255" s="22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IF($A255="","",IFERROR(SUMIF(tblAnahtarA[Norm],$A255,tblVeriA[EnerjiBedeli]),0))</f>
        <v/>
      </c>
      <c r="E255" s="17">
        <f>IF($A255="","",IFERROR(SUMIF(tblAnahtarA[Norm],$A255,tblVeriA[DagitimBedeli]),0))</f>
        <v/>
      </c>
      <c r="F255" s="17">
        <f>IF($A255="","",IFERROR(SUMIF(tblAnahtarA[Norm],$A255,tblVeriA[VergiKdv]),0))</f>
        <v/>
      </c>
      <c r="G255" s="17">
        <f>IF($A255="","",IFERROR(SUMIF(tblAnahtarA[Norm],$A255,tblVeriA[TuketimKwh]),0))</f>
        <v/>
      </c>
      <c r="H255" s="17">
        <f>IF(OR($A255="",$B255&lt;&gt;"tutar_farki"),"",IF(ABS($C255-$D255)&lt;=toleransKurus,"TARIFE",IF(ABS($C255-$E255)&lt;=toleransKurus,"DAGITIM",IF(ABS($C255-$F255)&lt;=toleransKurus,"KDV",IF($G255&gt;0,"TUKETIM","TANIMSIZ")))))</f>
        <v/>
      </c>
    </row>
    <row r="256">
      <c r="A256" s="22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IF($A256="","",IFERROR(SUMIF(tblAnahtarA[Norm],$A256,tblVeriA[EnerjiBedeli]),0))</f>
        <v/>
      </c>
      <c r="E256" s="17">
        <f>IF($A256="","",IFERROR(SUMIF(tblAnahtarA[Norm],$A256,tblVeriA[DagitimBedeli]),0))</f>
        <v/>
      </c>
      <c r="F256" s="17">
        <f>IF($A256="","",IFERROR(SUMIF(tblAnahtarA[Norm],$A256,tblVeriA[VergiKdv]),0))</f>
        <v/>
      </c>
      <c r="G256" s="17">
        <f>IF($A256="","",IFERROR(SUMIF(tblAnahtarA[Norm],$A256,tblVeriA[TuketimKwh]),0))</f>
        <v/>
      </c>
      <c r="H256" s="17">
        <f>IF(OR($A256="",$B256&lt;&gt;"tutar_farki"),"",IF(ABS($C256-$D256)&lt;=toleransKurus,"TARIFE",IF(ABS($C256-$E256)&lt;=toleransKurus,"DAGITIM",IF(ABS($C256-$F256)&lt;=toleransKurus,"KDV",IF($G256&gt;0,"TUKETIM","TANIMSIZ")))))</f>
        <v/>
      </c>
    </row>
    <row r="257">
      <c r="A257" s="22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IF($A257="","",IFERROR(SUMIF(tblAnahtarA[Norm],$A257,tblVeriA[EnerjiBedeli]),0))</f>
        <v/>
      </c>
      <c r="E257" s="17">
        <f>IF($A257="","",IFERROR(SUMIF(tblAnahtarA[Norm],$A257,tblVeriA[DagitimBedeli]),0))</f>
        <v/>
      </c>
      <c r="F257" s="17">
        <f>IF($A257="","",IFERROR(SUMIF(tblAnahtarA[Norm],$A257,tblVeriA[VergiKdv]),0))</f>
        <v/>
      </c>
      <c r="G257" s="17">
        <f>IF($A257="","",IFERROR(SUMIF(tblAnahtarA[Norm],$A257,tblVeriA[TuketimKwh]),0))</f>
        <v/>
      </c>
      <c r="H257" s="17">
        <f>IF(OR($A257="",$B257&lt;&gt;"tutar_farki"),"",IF(ABS($C257-$D257)&lt;=toleransKurus,"TARIFE",IF(ABS($C257-$E257)&lt;=toleransKurus,"DAGITIM",IF(ABS($C257-$F257)&lt;=toleransKurus,"KDV",IF($G257&gt;0,"TUKETIM","TANIMSIZ")))))</f>
        <v/>
      </c>
    </row>
    <row r="258">
      <c r="A258" s="22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IF($A258="","",IFERROR(SUMIF(tblAnahtarA[Norm],$A258,tblVeriA[EnerjiBedeli]),0))</f>
        <v/>
      </c>
      <c r="E258" s="17">
        <f>IF($A258="","",IFERROR(SUMIF(tblAnahtarA[Norm],$A258,tblVeriA[DagitimBedeli]),0))</f>
        <v/>
      </c>
      <c r="F258" s="17">
        <f>IF($A258="","",IFERROR(SUMIF(tblAnahtarA[Norm],$A258,tblVeriA[VergiKdv]),0))</f>
        <v/>
      </c>
      <c r="G258" s="17">
        <f>IF($A258="","",IFERROR(SUMIF(tblAnahtarA[Norm],$A258,tblVeriA[TuketimKwh]),0))</f>
        <v/>
      </c>
      <c r="H258" s="17">
        <f>IF(OR($A258="",$B258&lt;&gt;"tutar_farki"),"",IF(ABS($C258-$D258)&lt;=toleransKurus,"TARIFE",IF(ABS($C258-$E258)&lt;=toleransKurus,"DAGITIM",IF(ABS($C258-$F258)&lt;=toleransKurus,"KDV",IF($G258&gt;0,"TUKETIM","TANIMSIZ")))))</f>
        <v/>
      </c>
    </row>
    <row r="259">
      <c r="A259" s="22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IF($A259="","",IFERROR(SUMIF(tblAnahtarA[Norm],$A259,tblVeriA[EnerjiBedeli]),0))</f>
        <v/>
      </c>
      <c r="E259" s="17">
        <f>IF($A259="","",IFERROR(SUMIF(tblAnahtarA[Norm],$A259,tblVeriA[DagitimBedeli]),0))</f>
        <v/>
      </c>
      <c r="F259" s="17">
        <f>IF($A259="","",IFERROR(SUMIF(tblAnahtarA[Norm],$A259,tblVeriA[VergiKdv]),0))</f>
        <v/>
      </c>
      <c r="G259" s="17">
        <f>IF($A259="","",IFERROR(SUMIF(tblAnahtarA[Norm],$A259,tblVeriA[TuketimKwh]),0))</f>
        <v/>
      </c>
      <c r="H259" s="17">
        <f>IF(OR($A259="",$B259&lt;&gt;"tutar_farki"),"",IF(ABS($C259-$D259)&lt;=toleransKurus,"TARIFE",IF(ABS($C259-$E259)&lt;=toleransKurus,"DAGITIM",IF(ABS($C259-$F259)&lt;=toleransKurus,"KDV",IF($G259&gt;0,"TUKETIM","TANIMSIZ")))))</f>
        <v/>
      </c>
    </row>
    <row r="260">
      <c r="A260" s="22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IF($A260="","",IFERROR(SUMIF(tblAnahtarA[Norm],$A260,tblVeriA[EnerjiBedeli]),0))</f>
        <v/>
      </c>
      <c r="E260" s="17">
        <f>IF($A260="","",IFERROR(SUMIF(tblAnahtarA[Norm],$A260,tblVeriA[DagitimBedeli]),0))</f>
        <v/>
      </c>
      <c r="F260" s="17">
        <f>IF($A260="","",IFERROR(SUMIF(tblAnahtarA[Norm],$A260,tblVeriA[VergiKdv]),0))</f>
        <v/>
      </c>
      <c r="G260" s="17">
        <f>IF($A260="","",IFERROR(SUMIF(tblAnahtarA[Norm],$A260,tblVeriA[TuketimKwh]),0))</f>
        <v/>
      </c>
      <c r="H260" s="17">
        <f>IF(OR($A260="",$B260&lt;&gt;"tutar_farki"),"",IF(ABS($C260-$D260)&lt;=toleransKurus,"TARIFE",IF(ABS($C260-$E260)&lt;=toleransKurus,"DAGITIM",IF(ABS($C260-$F260)&lt;=toleransKurus,"KDV",IF($G260&gt;0,"TUKETIM","TANIMSIZ")))))</f>
        <v/>
      </c>
    </row>
    <row r="261">
      <c r="A261" s="22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IF($A261="","",IFERROR(SUMIF(tblAnahtarA[Norm],$A261,tblVeriA[EnerjiBedeli]),0))</f>
        <v/>
      </c>
      <c r="E261" s="17">
        <f>IF($A261="","",IFERROR(SUMIF(tblAnahtarA[Norm],$A261,tblVeriA[DagitimBedeli]),0))</f>
        <v/>
      </c>
      <c r="F261" s="17">
        <f>IF($A261="","",IFERROR(SUMIF(tblAnahtarA[Norm],$A261,tblVeriA[VergiKdv]),0))</f>
        <v/>
      </c>
      <c r="G261" s="17">
        <f>IF($A261="","",IFERROR(SUMIF(tblAnahtarA[Norm],$A261,tblVeriA[TuketimKwh]),0))</f>
        <v/>
      </c>
      <c r="H261" s="17">
        <f>IF(OR($A261="",$B261&lt;&gt;"tutar_farki"),"",IF(ABS($C261-$D261)&lt;=toleransKurus,"TARIFE",IF(ABS($C261-$E261)&lt;=toleransKurus,"DAGITIM",IF(ABS($C261-$F261)&lt;=toleransKurus,"KDV",IF($G261&gt;0,"TUKETIM","TANIMSIZ")))))</f>
        <v/>
      </c>
    </row>
    <row r="262">
      <c r="A262" s="22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IF($A262="","",IFERROR(SUMIF(tblAnahtarA[Norm],$A262,tblVeriA[EnerjiBedeli]),0))</f>
        <v/>
      </c>
      <c r="E262" s="17">
        <f>IF($A262="","",IFERROR(SUMIF(tblAnahtarA[Norm],$A262,tblVeriA[DagitimBedeli]),0))</f>
        <v/>
      </c>
      <c r="F262" s="17">
        <f>IF($A262="","",IFERROR(SUMIF(tblAnahtarA[Norm],$A262,tblVeriA[VergiKdv]),0))</f>
        <v/>
      </c>
      <c r="G262" s="17">
        <f>IF($A262="","",IFERROR(SUMIF(tblAnahtarA[Norm],$A262,tblVeriA[TuketimKwh]),0))</f>
        <v/>
      </c>
      <c r="H262" s="17">
        <f>IF(OR($A262="",$B262&lt;&gt;"tutar_farki"),"",IF(ABS($C262-$D262)&lt;=toleransKurus,"TARIFE",IF(ABS($C262-$E262)&lt;=toleransKurus,"DAGITIM",IF(ABS($C262-$F262)&lt;=toleransKurus,"KDV",IF($G262&gt;0,"TUKETIM","TANIMSIZ")))))</f>
        <v/>
      </c>
    </row>
    <row r="263">
      <c r="A263" s="22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IF($A263="","",IFERROR(SUMIF(tblAnahtarA[Norm],$A263,tblVeriA[EnerjiBedeli]),0))</f>
        <v/>
      </c>
      <c r="E263" s="17">
        <f>IF($A263="","",IFERROR(SUMIF(tblAnahtarA[Norm],$A263,tblVeriA[DagitimBedeli]),0))</f>
        <v/>
      </c>
      <c r="F263" s="17">
        <f>IF($A263="","",IFERROR(SUMIF(tblAnahtarA[Norm],$A263,tblVeriA[VergiKdv]),0))</f>
        <v/>
      </c>
      <c r="G263" s="17">
        <f>IF($A263="","",IFERROR(SUMIF(tblAnahtarA[Norm],$A263,tblVeriA[TuketimKwh]),0))</f>
        <v/>
      </c>
      <c r="H263" s="17">
        <f>IF(OR($A263="",$B263&lt;&gt;"tutar_farki"),"",IF(ABS($C263-$D263)&lt;=toleransKurus,"TARIFE",IF(ABS($C263-$E263)&lt;=toleransKurus,"DAGITIM",IF(ABS($C263-$F263)&lt;=toleransKurus,"KDV",IF($G263&gt;0,"TUKETIM","TANIMSIZ")))))</f>
        <v/>
      </c>
    </row>
    <row r="264">
      <c r="A264" s="22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IF($A264="","",IFERROR(SUMIF(tblAnahtarA[Norm],$A264,tblVeriA[EnerjiBedeli]),0))</f>
        <v/>
      </c>
      <c r="E264" s="17">
        <f>IF($A264="","",IFERROR(SUMIF(tblAnahtarA[Norm],$A264,tblVeriA[DagitimBedeli]),0))</f>
        <v/>
      </c>
      <c r="F264" s="17">
        <f>IF($A264="","",IFERROR(SUMIF(tblAnahtarA[Norm],$A264,tblVeriA[VergiKdv]),0))</f>
        <v/>
      </c>
      <c r="G264" s="17">
        <f>IF($A264="","",IFERROR(SUMIF(tblAnahtarA[Norm],$A264,tblVeriA[TuketimKwh]),0))</f>
        <v/>
      </c>
      <c r="H264" s="17">
        <f>IF(OR($A264="",$B264&lt;&gt;"tutar_farki"),"",IF(ABS($C264-$D264)&lt;=toleransKurus,"TARIFE",IF(ABS($C264-$E264)&lt;=toleransKurus,"DAGITIM",IF(ABS($C264-$F264)&lt;=toleransKurus,"KDV",IF($G264&gt;0,"TUKETIM","TANIMSIZ")))))</f>
        <v/>
      </c>
    </row>
    <row r="265">
      <c r="A265" s="22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IF($A265="","",IFERROR(SUMIF(tblAnahtarA[Norm],$A265,tblVeriA[EnerjiBedeli]),0))</f>
        <v/>
      </c>
      <c r="E265" s="17">
        <f>IF($A265="","",IFERROR(SUMIF(tblAnahtarA[Norm],$A265,tblVeriA[DagitimBedeli]),0))</f>
        <v/>
      </c>
      <c r="F265" s="17">
        <f>IF($A265="","",IFERROR(SUMIF(tblAnahtarA[Norm],$A265,tblVeriA[VergiKdv]),0))</f>
        <v/>
      </c>
      <c r="G265" s="17">
        <f>IF($A265="","",IFERROR(SUMIF(tblAnahtarA[Norm],$A265,tblVeriA[TuketimKwh]),0))</f>
        <v/>
      </c>
      <c r="H265" s="17">
        <f>IF(OR($A265="",$B265&lt;&gt;"tutar_farki"),"",IF(ABS($C265-$D265)&lt;=toleransKurus,"TARIFE",IF(ABS($C265-$E265)&lt;=toleransKurus,"DAGITIM",IF(ABS($C265-$F265)&lt;=toleransKurus,"KDV",IF($G265&gt;0,"TUKETIM","TANIMSIZ")))))</f>
        <v/>
      </c>
    </row>
    <row r="266">
      <c r="A266" s="22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IF($A266="","",IFERROR(SUMIF(tblAnahtarA[Norm],$A266,tblVeriA[EnerjiBedeli]),0))</f>
        <v/>
      </c>
      <c r="E266" s="17">
        <f>IF($A266="","",IFERROR(SUMIF(tblAnahtarA[Norm],$A266,tblVeriA[DagitimBedeli]),0))</f>
        <v/>
      </c>
      <c r="F266" s="17">
        <f>IF($A266="","",IFERROR(SUMIF(tblAnahtarA[Norm],$A266,tblVeriA[VergiKdv]),0))</f>
        <v/>
      </c>
      <c r="G266" s="17">
        <f>IF($A266="","",IFERROR(SUMIF(tblAnahtarA[Norm],$A266,tblVeriA[TuketimKwh]),0))</f>
        <v/>
      </c>
      <c r="H266" s="17">
        <f>IF(OR($A266="",$B266&lt;&gt;"tutar_farki"),"",IF(ABS($C266-$D266)&lt;=toleransKurus,"TARIFE",IF(ABS($C266-$E266)&lt;=toleransKurus,"DAGITIM",IF(ABS($C266-$F266)&lt;=toleransKurus,"KDV",IF($G266&gt;0,"TUKETIM","TANIMSIZ")))))</f>
        <v/>
      </c>
    </row>
    <row r="267">
      <c r="A267" s="22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IF($A267="","",IFERROR(SUMIF(tblAnahtarA[Norm],$A267,tblVeriA[EnerjiBedeli]),0))</f>
        <v/>
      </c>
      <c r="E267" s="17">
        <f>IF($A267="","",IFERROR(SUMIF(tblAnahtarA[Norm],$A267,tblVeriA[DagitimBedeli]),0))</f>
        <v/>
      </c>
      <c r="F267" s="17">
        <f>IF($A267="","",IFERROR(SUMIF(tblAnahtarA[Norm],$A267,tblVeriA[VergiKdv]),0))</f>
        <v/>
      </c>
      <c r="G267" s="17">
        <f>IF($A267="","",IFERROR(SUMIF(tblAnahtarA[Norm],$A267,tblVeriA[TuketimKwh]),0))</f>
        <v/>
      </c>
      <c r="H267" s="17">
        <f>IF(OR($A267="",$B267&lt;&gt;"tutar_farki"),"",IF(ABS($C267-$D267)&lt;=toleransKurus,"TARIFE",IF(ABS($C267-$E267)&lt;=toleransKurus,"DAGITIM",IF(ABS($C267-$F267)&lt;=toleransKurus,"KDV",IF($G267&gt;0,"TUKETIM","TANIMSIZ")))))</f>
        <v/>
      </c>
    </row>
    <row r="268">
      <c r="A268" s="22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IF($A268="","",IFERROR(SUMIF(tblAnahtarA[Norm],$A268,tblVeriA[EnerjiBedeli]),0))</f>
        <v/>
      </c>
      <c r="E268" s="17">
        <f>IF($A268="","",IFERROR(SUMIF(tblAnahtarA[Norm],$A268,tblVeriA[DagitimBedeli]),0))</f>
        <v/>
      </c>
      <c r="F268" s="17">
        <f>IF($A268="","",IFERROR(SUMIF(tblAnahtarA[Norm],$A268,tblVeriA[VergiKdv]),0))</f>
        <v/>
      </c>
      <c r="G268" s="17">
        <f>IF($A268="","",IFERROR(SUMIF(tblAnahtarA[Norm],$A268,tblVeriA[TuketimKwh]),0))</f>
        <v/>
      </c>
      <c r="H268" s="17">
        <f>IF(OR($A268="",$B268&lt;&gt;"tutar_farki"),"",IF(ABS($C268-$D268)&lt;=toleransKurus,"TARIFE",IF(ABS($C268-$E268)&lt;=toleransKurus,"DAGITIM",IF(ABS($C268-$F268)&lt;=toleransKurus,"KDV",IF($G268&gt;0,"TUKETIM","TANIMSIZ")))))</f>
        <v/>
      </c>
    </row>
    <row r="269">
      <c r="A269" s="22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IF($A269="","",IFERROR(SUMIF(tblAnahtarA[Norm],$A269,tblVeriA[EnerjiBedeli]),0))</f>
        <v/>
      </c>
      <c r="E269" s="17">
        <f>IF($A269="","",IFERROR(SUMIF(tblAnahtarA[Norm],$A269,tblVeriA[DagitimBedeli]),0))</f>
        <v/>
      </c>
      <c r="F269" s="17">
        <f>IF($A269="","",IFERROR(SUMIF(tblAnahtarA[Norm],$A269,tblVeriA[VergiKdv]),0))</f>
        <v/>
      </c>
      <c r="G269" s="17">
        <f>IF($A269="","",IFERROR(SUMIF(tblAnahtarA[Norm],$A269,tblVeriA[TuketimKwh]),0))</f>
        <v/>
      </c>
      <c r="H269" s="17">
        <f>IF(OR($A269="",$B269&lt;&gt;"tutar_farki"),"",IF(ABS($C269-$D269)&lt;=toleransKurus,"TARIFE",IF(ABS($C269-$E269)&lt;=toleransKurus,"DAGITIM",IF(ABS($C269-$F269)&lt;=toleransKurus,"KDV",IF($G269&gt;0,"TUKETIM","TANIMSIZ")))))</f>
        <v/>
      </c>
    </row>
    <row r="270">
      <c r="A270" s="22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IF($A270="","",IFERROR(SUMIF(tblAnahtarA[Norm],$A270,tblVeriA[EnerjiBedeli]),0))</f>
        <v/>
      </c>
      <c r="E270" s="17">
        <f>IF($A270="","",IFERROR(SUMIF(tblAnahtarA[Norm],$A270,tblVeriA[DagitimBedeli]),0))</f>
        <v/>
      </c>
      <c r="F270" s="17">
        <f>IF($A270="","",IFERROR(SUMIF(tblAnahtarA[Norm],$A270,tblVeriA[VergiKdv]),0))</f>
        <v/>
      </c>
      <c r="G270" s="17">
        <f>IF($A270="","",IFERROR(SUMIF(tblAnahtarA[Norm],$A270,tblVeriA[TuketimKwh]),0))</f>
        <v/>
      </c>
      <c r="H270" s="17">
        <f>IF(OR($A270="",$B270&lt;&gt;"tutar_farki"),"",IF(ABS($C270-$D270)&lt;=toleransKurus,"TARIFE",IF(ABS($C270-$E270)&lt;=toleransKurus,"DAGITIM",IF(ABS($C270-$F270)&lt;=toleransKurus,"KDV",IF($G270&gt;0,"TUKETIM","TANIMSIZ")))))</f>
        <v/>
      </c>
    </row>
    <row r="271">
      <c r="A271" s="22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IF($A271="","",IFERROR(SUMIF(tblAnahtarA[Norm],$A271,tblVeriA[EnerjiBedeli]),0))</f>
        <v/>
      </c>
      <c r="E271" s="17">
        <f>IF($A271="","",IFERROR(SUMIF(tblAnahtarA[Norm],$A271,tblVeriA[DagitimBedeli]),0))</f>
        <v/>
      </c>
      <c r="F271" s="17">
        <f>IF($A271="","",IFERROR(SUMIF(tblAnahtarA[Norm],$A271,tblVeriA[VergiKdv]),0))</f>
        <v/>
      </c>
      <c r="G271" s="17">
        <f>IF($A271="","",IFERROR(SUMIF(tblAnahtarA[Norm],$A271,tblVeriA[TuketimKwh]),0))</f>
        <v/>
      </c>
      <c r="H271" s="17">
        <f>IF(OR($A271="",$B271&lt;&gt;"tutar_farki"),"",IF(ABS($C271-$D271)&lt;=toleransKurus,"TARIFE",IF(ABS($C271-$E271)&lt;=toleransKurus,"DAGITIM",IF(ABS($C271-$F271)&lt;=toleransKurus,"KDV",IF($G271&gt;0,"TUKETIM","TANIMSIZ")))))</f>
        <v/>
      </c>
    </row>
    <row r="272">
      <c r="A272" s="22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IF($A272="","",IFERROR(SUMIF(tblAnahtarA[Norm],$A272,tblVeriA[EnerjiBedeli]),0))</f>
        <v/>
      </c>
      <c r="E272" s="17">
        <f>IF($A272="","",IFERROR(SUMIF(tblAnahtarA[Norm],$A272,tblVeriA[DagitimBedeli]),0))</f>
        <v/>
      </c>
      <c r="F272" s="17">
        <f>IF($A272="","",IFERROR(SUMIF(tblAnahtarA[Norm],$A272,tblVeriA[VergiKdv]),0))</f>
        <v/>
      </c>
      <c r="G272" s="17">
        <f>IF($A272="","",IFERROR(SUMIF(tblAnahtarA[Norm],$A272,tblVeriA[TuketimKwh]),0))</f>
        <v/>
      </c>
      <c r="H272" s="17">
        <f>IF(OR($A272="",$B272&lt;&gt;"tutar_farki"),"",IF(ABS($C272-$D272)&lt;=toleransKurus,"TARIFE",IF(ABS($C272-$E272)&lt;=toleransKurus,"DAGITIM",IF(ABS($C272-$F272)&lt;=toleransKurus,"KDV",IF($G272&gt;0,"TUKETIM","TANIMSIZ")))))</f>
        <v/>
      </c>
    </row>
    <row r="273">
      <c r="A273" s="22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IF($A273="","",IFERROR(SUMIF(tblAnahtarA[Norm],$A273,tblVeriA[EnerjiBedeli]),0))</f>
        <v/>
      </c>
      <c r="E273" s="17">
        <f>IF($A273="","",IFERROR(SUMIF(tblAnahtarA[Norm],$A273,tblVeriA[DagitimBedeli]),0))</f>
        <v/>
      </c>
      <c r="F273" s="17">
        <f>IF($A273="","",IFERROR(SUMIF(tblAnahtarA[Norm],$A273,tblVeriA[VergiKdv]),0))</f>
        <v/>
      </c>
      <c r="G273" s="17">
        <f>IF($A273="","",IFERROR(SUMIF(tblAnahtarA[Norm],$A273,tblVeriA[TuketimKwh]),0))</f>
        <v/>
      </c>
      <c r="H273" s="17">
        <f>IF(OR($A273="",$B273&lt;&gt;"tutar_farki"),"",IF(ABS($C273-$D273)&lt;=toleransKurus,"TARIFE",IF(ABS($C273-$E273)&lt;=toleransKurus,"DAGITIM",IF(ABS($C273-$F273)&lt;=toleransKurus,"KDV",IF($G273&gt;0,"TUKETIM","TANIMSIZ")))))</f>
        <v/>
      </c>
    </row>
    <row r="274">
      <c r="A274" s="22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IF($A274="","",IFERROR(SUMIF(tblAnahtarA[Norm],$A274,tblVeriA[EnerjiBedeli]),0))</f>
        <v/>
      </c>
      <c r="E274" s="17">
        <f>IF($A274="","",IFERROR(SUMIF(tblAnahtarA[Norm],$A274,tblVeriA[DagitimBedeli]),0))</f>
        <v/>
      </c>
      <c r="F274" s="17">
        <f>IF($A274="","",IFERROR(SUMIF(tblAnahtarA[Norm],$A274,tblVeriA[VergiKdv]),0))</f>
        <v/>
      </c>
      <c r="G274" s="17">
        <f>IF($A274="","",IFERROR(SUMIF(tblAnahtarA[Norm],$A274,tblVeriA[TuketimKwh]),0))</f>
        <v/>
      </c>
      <c r="H274" s="17">
        <f>IF(OR($A274="",$B274&lt;&gt;"tutar_farki"),"",IF(ABS($C274-$D274)&lt;=toleransKurus,"TARIFE",IF(ABS($C274-$E274)&lt;=toleransKurus,"DAGITIM",IF(ABS($C274-$F274)&lt;=toleransKurus,"KDV",IF($G274&gt;0,"TUKETIM","TANIMSIZ")))))</f>
        <v/>
      </c>
    </row>
    <row r="275">
      <c r="A275" s="22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IF($A275="","",IFERROR(SUMIF(tblAnahtarA[Norm],$A275,tblVeriA[EnerjiBedeli]),0))</f>
        <v/>
      </c>
      <c r="E275" s="17">
        <f>IF($A275="","",IFERROR(SUMIF(tblAnahtarA[Norm],$A275,tblVeriA[DagitimBedeli]),0))</f>
        <v/>
      </c>
      <c r="F275" s="17">
        <f>IF($A275="","",IFERROR(SUMIF(tblAnahtarA[Norm],$A275,tblVeriA[VergiKdv]),0))</f>
        <v/>
      </c>
      <c r="G275" s="17">
        <f>IF($A275="","",IFERROR(SUMIF(tblAnahtarA[Norm],$A275,tblVeriA[TuketimKwh]),0))</f>
        <v/>
      </c>
      <c r="H275" s="17">
        <f>IF(OR($A275="",$B275&lt;&gt;"tutar_farki"),"",IF(ABS($C275-$D275)&lt;=toleransKurus,"TARIFE",IF(ABS($C275-$E275)&lt;=toleransKurus,"DAGITIM",IF(ABS($C275-$F275)&lt;=toleransKurus,"KDV",IF($G275&gt;0,"TUKETIM","TANIMSIZ")))))</f>
        <v/>
      </c>
    </row>
    <row r="276">
      <c r="A276" s="22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IF($A276="","",IFERROR(SUMIF(tblAnahtarA[Norm],$A276,tblVeriA[EnerjiBedeli]),0))</f>
        <v/>
      </c>
      <c r="E276" s="17">
        <f>IF($A276="","",IFERROR(SUMIF(tblAnahtarA[Norm],$A276,tblVeriA[DagitimBedeli]),0))</f>
        <v/>
      </c>
      <c r="F276" s="17">
        <f>IF($A276="","",IFERROR(SUMIF(tblAnahtarA[Norm],$A276,tblVeriA[VergiKdv]),0))</f>
        <v/>
      </c>
      <c r="G276" s="17">
        <f>IF($A276="","",IFERROR(SUMIF(tblAnahtarA[Norm],$A276,tblVeriA[TuketimKwh]),0))</f>
        <v/>
      </c>
      <c r="H276" s="17">
        <f>IF(OR($A276="",$B276&lt;&gt;"tutar_farki"),"",IF(ABS($C276-$D276)&lt;=toleransKurus,"TARIFE",IF(ABS($C276-$E276)&lt;=toleransKurus,"DAGITIM",IF(ABS($C276-$F276)&lt;=toleransKurus,"KDV",IF($G276&gt;0,"TUKETIM","TANIMSIZ")))))</f>
        <v/>
      </c>
    </row>
    <row r="277">
      <c r="A277" s="22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IF($A277="","",IFERROR(SUMIF(tblAnahtarA[Norm],$A277,tblVeriA[EnerjiBedeli]),0))</f>
        <v/>
      </c>
      <c r="E277" s="17">
        <f>IF($A277="","",IFERROR(SUMIF(tblAnahtarA[Norm],$A277,tblVeriA[DagitimBedeli]),0))</f>
        <v/>
      </c>
      <c r="F277" s="17">
        <f>IF($A277="","",IFERROR(SUMIF(tblAnahtarA[Norm],$A277,tblVeriA[VergiKdv]),0))</f>
        <v/>
      </c>
      <c r="G277" s="17">
        <f>IF($A277="","",IFERROR(SUMIF(tblAnahtarA[Norm],$A277,tblVeriA[TuketimKwh]),0))</f>
        <v/>
      </c>
      <c r="H277" s="17">
        <f>IF(OR($A277="",$B277&lt;&gt;"tutar_farki"),"",IF(ABS($C277-$D277)&lt;=toleransKurus,"TARIFE",IF(ABS($C277-$E277)&lt;=toleransKurus,"DAGITIM",IF(ABS($C277-$F277)&lt;=toleransKurus,"KDV",IF($G277&gt;0,"TUKETIM","TANIMSIZ")))))</f>
        <v/>
      </c>
    </row>
    <row r="278">
      <c r="A278" s="22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IF($A278="","",IFERROR(SUMIF(tblAnahtarA[Norm],$A278,tblVeriA[EnerjiBedeli]),0))</f>
        <v/>
      </c>
      <c r="E278" s="17">
        <f>IF($A278="","",IFERROR(SUMIF(tblAnahtarA[Norm],$A278,tblVeriA[DagitimBedeli]),0))</f>
        <v/>
      </c>
      <c r="F278" s="17">
        <f>IF($A278="","",IFERROR(SUMIF(tblAnahtarA[Norm],$A278,tblVeriA[VergiKdv]),0))</f>
        <v/>
      </c>
      <c r="G278" s="17">
        <f>IF($A278="","",IFERROR(SUMIF(tblAnahtarA[Norm],$A278,tblVeriA[TuketimKwh]),0))</f>
        <v/>
      </c>
      <c r="H278" s="17">
        <f>IF(OR($A278="",$B278&lt;&gt;"tutar_farki"),"",IF(ABS($C278-$D278)&lt;=toleransKurus,"TARIFE",IF(ABS($C278-$E278)&lt;=toleransKurus,"DAGITIM",IF(ABS($C278-$F278)&lt;=toleransKurus,"KDV",IF($G278&gt;0,"TUKETIM","TANIMSIZ")))))</f>
        <v/>
      </c>
    </row>
    <row r="279">
      <c r="A279" s="22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IF($A279="","",IFERROR(SUMIF(tblAnahtarA[Norm],$A279,tblVeriA[EnerjiBedeli]),0))</f>
        <v/>
      </c>
      <c r="E279" s="17">
        <f>IF($A279="","",IFERROR(SUMIF(tblAnahtarA[Norm],$A279,tblVeriA[DagitimBedeli]),0))</f>
        <v/>
      </c>
      <c r="F279" s="17">
        <f>IF($A279="","",IFERROR(SUMIF(tblAnahtarA[Norm],$A279,tblVeriA[VergiKdv]),0))</f>
        <v/>
      </c>
      <c r="G279" s="17">
        <f>IF($A279="","",IFERROR(SUMIF(tblAnahtarA[Norm],$A279,tblVeriA[TuketimKwh]),0))</f>
        <v/>
      </c>
      <c r="H279" s="17">
        <f>IF(OR($A279="",$B279&lt;&gt;"tutar_farki"),"",IF(ABS($C279-$D279)&lt;=toleransKurus,"TARIFE",IF(ABS($C279-$E279)&lt;=toleransKurus,"DAGITIM",IF(ABS($C279-$F279)&lt;=toleransKurus,"KDV",IF($G279&gt;0,"TUKETIM","TANIMSIZ")))))</f>
        <v/>
      </c>
    </row>
    <row r="280">
      <c r="A280" s="22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IF($A280="","",IFERROR(SUMIF(tblAnahtarA[Norm],$A280,tblVeriA[EnerjiBedeli]),0))</f>
        <v/>
      </c>
      <c r="E280" s="17">
        <f>IF($A280="","",IFERROR(SUMIF(tblAnahtarA[Norm],$A280,tblVeriA[DagitimBedeli]),0))</f>
        <v/>
      </c>
      <c r="F280" s="17">
        <f>IF($A280="","",IFERROR(SUMIF(tblAnahtarA[Norm],$A280,tblVeriA[VergiKdv]),0))</f>
        <v/>
      </c>
      <c r="G280" s="17">
        <f>IF($A280="","",IFERROR(SUMIF(tblAnahtarA[Norm],$A280,tblVeriA[TuketimKwh]),0))</f>
        <v/>
      </c>
      <c r="H280" s="17">
        <f>IF(OR($A280="",$B280&lt;&gt;"tutar_farki"),"",IF(ABS($C280-$D280)&lt;=toleransKurus,"TARIFE",IF(ABS($C280-$E280)&lt;=toleransKurus,"DAGITIM",IF(ABS($C280-$F280)&lt;=toleransKurus,"KDV",IF($G280&gt;0,"TUKETIM","TANIMSIZ")))))</f>
        <v/>
      </c>
    </row>
    <row r="281">
      <c r="A281" s="22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IF($A281="","",IFERROR(SUMIF(tblAnahtarA[Norm],$A281,tblVeriA[EnerjiBedeli]),0))</f>
        <v/>
      </c>
      <c r="E281" s="17">
        <f>IF($A281="","",IFERROR(SUMIF(tblAnahtarA[Norm],$A281,tblVeriA[DagitimBedeli]),0))</f>
        <v/>
      </c>
      <c r="F281" s="17">
        <f>IF($A281="","",IFERROR(SUMIF(tblAnahtarA[Norm],$A281,tblVeriA[VergiKdv]),0))</f>
        <v/>
      </c>
      <c r="G281" s="17">
        <f>IF($A281="","",IFERROR(SUMIF(tblAnahtarA[Norm],$A281,tblVeriA[TuketimKwh]),0))</f>
        <v/>
      </c>
      <c r="H281" s="17">
        <f>IF(OR($A281="",$B281&lt;&gt;"tutar_farki"),"",IF(ABS($C281-$D281)&lt;=toleransKurus,"TARIFE",IF(ABS($C281-$E281)&lt;=toleransKurus,"DAGITIM",IF(ABS($C281-$F281)&lt;=toleransKurus,"KDV",IF($G281&gt;0,"TUKETIM","TANIMSIZ")))))</f>
        <v/>
      </c>
    </row>
    <row r="282">
      <c r="A282" s="22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IF($A282="","",IFERROR(SUMIF(tblAnahtarA[Norm],$A282,tblVeriA[EnerjiBedeli]),0))</f>
        <v/>
      </c>
      <c r="E282" s="17">
        <f>IF($A282="","",IFERROR(SUMIF(tblAnahtarA[Norm],$A282,tblVeriA[DagitimBedeli]),0))</f>
        <v/>
      </c>
      <c r="F282" s="17">
        <f>IF($A282="","",IFERROR(SUMIF(tblAnahtarA[Norm],$A282,tblVeriA[VergiKdv]),0))</f>
        <v/>
      </c>
      <c r="G282" s="17">
        <f>IF($A282="","",IFERROR(SUMIF(tblAnahtarA[Norm],$A282,tblVeriA[TuketimKwh]),0))</f>
        <v/>
      </c>
      <c r="H282" s="17">
        <f>IF(OR($A282="",$B282&lt;&gt;"tutar_farki"),"",IF(ABS($C282-$D282)&lt;=toleransKurus,"TARIFE",IF(ABS($C282-$E282)&lt;=toleransKurus,"DAGITIM",IF(ABS($C282-$F282)&lt;=toleransKurus,"KDV",IF($G282&gt;0,"TUKETIM","TANIMSIZ")))))</f>
        <v/>
      </c>
    </row>
    <row r="283">
      <c r="A283" s="22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IF($A283="","",IFERROR(SUMIF(tblAnahtarA[Norm],$A283,tblVeriA[EnerjiBedeli]),0))</f>
        <v/>
      </c>
      <c r="E283" s="17">
        <f>IF($A283="","",IFERROR(SUMIF(tblAnahtarA[Norm],$A283,tblVeriA[DagitimBedeli]),0))</f>
        <v/>
      </c>
      <c r="F283" s="17">
        <f>IF($A283="","",IFERROR(SUMIF(tblAnahtarA[Norm],$A283,tblVeriA[VergiKdv]),0))</f>
        <v/>
      </c>
      <c r="G283" s="17">
        <f>IF($A283="","",IFERROR(SUMIF(tblAnahtarA[Norm],$A283,tblVeriA[TuketimKwh]),0))</f>
        <v/>
      </c>
      <c r="H283" s="17">
        <f>IF(OR($A283="",$B283&lt;&gt;"tutar_farki"),"",IF(ABS($C283-$D283)&lt;=toleransKurus,"TARIFE",IF(ABS($C283-$E283)&lt;=toleransKurus,"DAGITIM",IF(ABS($C283-$F283)&lt;=toleransKurus,"KDV",IF($G283&gt;0,"TUKETIM","TANIMSIZ")))))</f>
        <v/>
      </c>
    </row>
    <row r="284">
      <c r="A284" s="22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IF($A284="","",IFERROR(SUMIF(tblAnahtarA[Norm],$A284,tblVeriA[EnerjiBedeli]),0))</f>
        <v/>
      </c>
      <c r="E284" s="17">
        <f>IF($A284="","",IFERROR(SUMIF(tblAnahtarA[Norm],$A284,tblVeriA[DagitimBedeli]),0))</f>
        <v/>
      </c>
      <c r="F284" s="17">
        <f>IF($A284="","",IFERROR(SUMIF(tblAnahtarA[Norm],$A284,tblVeriA[VergiKdv]),0))</f>
        <v/>
      </c>
      <c r="G284" s="17">
        <f>IF($A284="","",IFERROR(SUMIF(tblAnahtarA[Norm],$A284,tblVeriA[TuketimKwh]),0))</f>
        <v/>
      </c>
      <c r="H284" s="17">
        <f>IF(OR($A284="",$B284&lt;&gt;"tutar_farki"),"",IF(ABS($C284-$D284)&lt;=toleransKurus,"TARIFE",IF(ABS($C284-$E284)&lt;=toleransKurus,"DAGITIM",IF(ABS($C284-$F284)&lt;=toleransKurus,"KDV",IF($G284&gt;0,"TUKETIM","TANIMSIZ")))))</f>
        <v/>
      </c>
    </row>
    <row r="285">
      <c r="A285" s="22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IF($A285="","",IFERROR(SUMIF(tblAnahtarA[Norm],$A285,tblVeriA[EnerjiBedeli]),0))</f>
        <v/>
      </c>
      <c r="E285" s="17">
        <f>IF($A285="","",IFERROR(SUMIF(tblAnahtarA[Norm],$A285,tblVeriA[DagitimBedeli]),0))</f>
        <v/>
      </c>
      <c r="F285" s="17">
        <f>IF($A285="","",IFERROR(SUMIF(tblAnahtarA[Norm],$A285,tblVeriA[VergiKdv]),0))</f>
        <v/>
      </c>
      <c r="G285" s="17">
        <f>IF($A285="","",IFERROR(SUMIF(tblAnahtarA[Norm],$A285,tblVeriA[TuketimKwh]),0))</f>
        <v/>
      </c>
      <c r="H285" s="17">
        <f>IF(OR($A285="",$B285&lt;&gt;"tutar_farki"),"",IF(ABS($C285-$D285)&lt;=toleransKurus,"TARIFE",IF(ABS($C285-$E285)&lt;=toleransKurus,"DAGITIM",IF(ABS($C285-$F285)&lt;=toleransKurus,"KDV",IF($G285&gt;0,"TUKETIM","TANIMSIZ")))))</f>
        <v/>
      </c>
    </row>
    <row r="286">
      <c r="A286" s="22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IF($A286="","",IFERROR(SUMIF(tblAnahtarA[Norm],$A286,tblVeriA[EnerjiBedeli]),0))</f>
        <v/>
      </c>
      <c r="E286" s="17">
        <f>IF($A286="","",IFERROR(SUMIF(tblAnahtarA[Norm],$A286,tblVeriA[DagitimBedeli]),0))</f>
        <v/>
      </c>
      <c r="F286" s="17">
        <f>IF($A286="","",IFERROR(SUMIF(tblAnahtarA[Norm],$A286,tblVeriA[VergiKdv]),0))</f>
        <v/>
      </c>
      <c r="G286" s="17">
        <f>IF($A286="","",IFERROR(SUMIF(tblAnahtarA[Norm],$A286,tblVeriA[TuketimKwh]),0))</f>
        <v/>
      </c>
      <c r="H286" s="17">
        <f>IF(OR($A286="",$B286&lt;&gt;"tutar_farki"),"",IF(ABS($C286-$D286)&lt;=toleransKurus,"TARIFE",IF(ABS($C286-$E286)&lt;=toleransKurus,"DAGITIM",IF(ABS($C286-$F286)&lt;=toleransKurus,"KDV",IF($G286&gt;0,"TUKETIM","TANIMSIZ")))))</f>
        <v/>
      </c>
    </row>
    <row r="287">
      <c r="A287" s="22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IF($A287="","",IFERROR(SUMIF(tblAnahtarA[Norm],$A287,tblVeriA[EnerjiBedeli]),0))</f>
        <v/>
      </c>
      <c r="E287" s="17">
        <f>IF($A287="","",IFERROR(SUMIF(tblAnahtarA[Norm],$A287,tblVeriA[DagitimBedeli]),0))</f>
        <v/>
      </c>
      <c r="F287" s="17">
        <f>IF($A287="","",IFERROR(SUMIF(tblAnahtarA[Norm],$A287,tblVeriA[VergiKdv]),0))</f>
        <v/>
      </c>
      <c r="G287" s="17">
        <f>IF($A287="","",IFERROR(SUMIF(tblAnahtarA[Norm],$A287,tblVeriA[TuketimKwh]),0))</f>
        <v/>
      </c>
      <c r="H287" s="17">
        <f>IF(OR($A287="",$B287&lt;&gt;"tutar_farki"),"",IF(ABS($C287-$D287)&lt;=toleransKurus,"TARIFE",IF(ABS($C287-$E287)&lt;=toleransKurus,"DAGITIM",IF(ABS($C287-$F287)&lt;=toleransKurus,"KDV",IF($G287&gt;0,"TUKETIM","TANIMSIZ")))))</f>
        <v/>
      </c>
    </row>
    <row r="288">
      <c r="A288" s="22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IF($A288="","",IFERROR(SUMIF(tblAnahtarA[Norm],$A288,tblVeriA[EnerjiBedeli]),0))</f>
        <v/>
      </c>
      <c r="E288" s="17">
        <f>IF($A288="","",IFERROR(SUMIF(tblAnahtarA[Norm],$A288,tblVeriA[DagitimBedeli]),0))</f>
        <v/>
      </c>
      <c r="F288" s="17">
        <f>IF($A288="","",IFERROR(SUMIF(tblAnahtarA[Norm],$A288,tblVeriA[VergiKdv]),0))</f>
        <v/>
      </c>
      <c r="G288" s="17">
        <f>IF($A288="","",IFERROR(SUMIF(tblAnahtarA[Norm],$A288,tblVeriA[TuketimKwh]),0))</f>
        <v/>
      </c>
      <c r="H288" s="17">
        <f>IF(OR($A288="",$B288&lt;&gt;"tutar_farki"),"",IF(ABS($C288-$D288)&lt;=toleransKurus,"TARIFE",IF(ABS($C288-$E288)&lt;=toleransKurus,"DAGITIM",IF(ABS($C288-$F288)&lt;=toleransKurus,"KDV",IF($G288&gt;0,"TUKETIM","TANIMSIZ")))))</f>
        <v/>
      </c>
    </row>
    <row r="289">
      <c r="A289" s="22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IF($A289="","",IFERROR(SUMIF(tblAnahtarA[Norm],$A289,tblVeriA[EnerjiBedeli]),0))</f>
        <v/>
      </c>
      <c r="E289" s="17">
        <f>IF($A289="","",IFERROR(SUMIF(tblAnahtarA[Norm],$A289,tblVeriA[DagitimBedeli]),0))</f>
        <v/>
      </c>
      <c r="F289" s="17">
        <f>IF($A289="","",IFERROR(SUMIF(tblAnahtarA[Norm],$A289,tblVeriA[VergiKdv]),0))</f>
        <v/>
      </c>
      <c r="G289" s="17">
        <f>IF($A289="","",IFERROR(SUMIF(tblAnahtarA[Norm],$A289,tblVeriA[TuketimKwh]),0))</f>
        <v/>
      </c>
      <c r="H289" s="17">
        <f>IF(OR($A289="",$B289&lt;&gt;"tutar_farki"),"",IF(ABS($C289-$D289)&lt;=toleransKurus,"TARIFE",IF(ABS($C289-$E289)&lt;=toleransKurus,"DAGITIM",IF(ABS($C289-$F289)&lt;=toleransKurus,"KDV",IF($G289&gt;0,"TUKETIM","TANIMSIZ")))))</f>
        <v/>
      </c>
    </row>
    <row r="290">
      <c r="A290" s="22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IF($A290="","",IFERROR(SUMIF(tblAnahtarA[Norm],$A290,tblVeriA[EnerjiBedeli]),0))</f>
        <v/>
      </c>
      <c r="E290" s="17">
        <f>IF($A290="","",IFERROR(SUMIF(tblAnahtarA[Norm],$A290,tblVeriA[DagitimBedeli]),0))</f>
        <v/>
      </c>
      <c r="F290" s="17">
        <f>IF($A290="","",IFERROR(SUMIF(tblAnahtarA[Norm],$A290,tblVeriA[VergiKdv]),0))</f>
        <v/>
      </c>
      <c r="G290" s="17">
        <f>IF($A290="","",IFERROR(SUMIF(tblAnahtarA[Norm],$A290,tblVeriA[TuketimKwh]),0))</f>
        <v/>
      </c>
      <c r="H290" s="17">
        <f>IF(OR($A290="",$B290&lt;&gt;"tutar_farki"),"",IF(ABS($C290-$D290)&lt;=toleransKurus,"TARIFE",IF(ABS($C290-$E290)&lt;=toleransKurus,"DAGITIM",IF(ABS($C290-$F290)&lt;=toleransKurus,"KDV",IF($G290&gt;0,"TUKETIM","TANIMSIZ")))))</f>
        <v/>
      </c>
    </row>
    <row r="291">
      <c r="A291" s="22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IF($A291="","",IFERROR(SUMIF(tblAnahtarA[Norm],$A291,tblVeriA[EnerjiBedeli]),0))</f>
        <v/>
      </c>
      <c r="E291" s="17">
        <f>IF($A291="","",IFERROR(SUMIF(tblAnahtarA[Norm],$A291,tblVeriA[DagitimBedeli]),0))</f>
        <v/>
      </c>
      <c r="F291" s="17">
        <f>IF($A291="","",IFERROR(SUMIF(tblAnahtarA[Norm],$A291,tblVeriA[VergiKdv]),0))</f>
        <v/>
      </c>
      <c r="G291" s="17">
        <f>IF($A291="","",IFERROR(SUMIF(tblAnahtarA[Norm],$A291,tblVeriA[TuketimKwh]),0))</f>
        <v/>
      </c>
      <c r="H291" s="17">
        <f>IF(OR($A291="",$B291&lt;&gt;"tutar_farki"),"",IF(ABS($C291-$D291)&lt;=toleransKurus,"TARIFE",IF(ABS($C291-$E291)&lt;=toleransKurus,"DAGITIM",IF(ABS($C291-$F291)&lt;=toleransKurus,"KDV",IF($G291&gt;0,"TUKETIM","TANIMSIZ")))))</f>
        <v/>
      </c>
    </row>
    <row r="292">
      <c r="A292" s="22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IF($A292="","",IFERROR(SUMIF(tblAnahtarA[Norm],$A292,tblVeriA[EnerjiBedeli]),0))</f>
        <v/>
      </c>
      <c r="E292" s="17">
        <f>IF($A292="","",IFERROR(SUMIF(tblAnahtarA[Norm],$A292,tblVeriA[DagitimBedeli]),0))</f>
        <v/>
      </c>
      <c r="F292" s="17">
        <f>IF($A292="","",IFERROR(SUMIF(tblAnahtarA[Norm],$A292,tblVeriA[VergiKdv]),0))</f>
        <v/>
      </c>
      <c r="G292" s="17">
        <f>IF($A292="","",IFERROR(SUMIF(tblAnahtarA[Norm],$A292,tblVeriA[TuketimKwh]),0))</f>
        <v/>
      </c>
      <c r="H292" s="17">
        <f>IF(OR($A292="",$B292&lt;&gt;"tutar_farki"),"",IF(ABS($C292-$D292)&lt;=toleransKurus,"TARIFE",IF(ABS($C292-$E292)&lt;=toleransKurus,"DAGITIM",IF(ABS($C292-$F292)&lt;=toleransKurus,"KDV",IF($G292&gt;0,"TUKETIM","TANIMSIZ")))))</f>
        <v/>
      </c>
    </row>
    <row r="293">
      <c r="A293" s="22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IF($A293="","",IFERROR(SUMIF(tblAnahtarA[Norm],$A293,tblVeriA[EnerjiBedeli]),0))</f>
        <v/>
      </c>
      <c r="E293" s="17">
        <f>IF($A293="","",IFERROR(SUMIF(tblAnahtarA[Norm],$A293,tblVeriA[DagitimBedeli]),0))</f>
        <v/>
      </c>
      <c r="F293" s="17">
        <f>IF($A293="","",IFERROR(SUMIF(tblAnahtarA[Norm],$A293,tblVeriA[VergiKdv]),0))</f>
        <v/>
      </c>
      <c r="G293" s="17">
        <f>IF($A293="","",IFERROR(SUMIF(tblAnahtarA[Norm],$A293,tblVeriA[TuketimKwh]),0))</f>
        <v/>
      </c>
      <c r="H293" s="17">
        <f>IF(OR($A293="",$B293&lt;&gt;"tutar_farki"),"",IF(ABS($C293-$D293)&lt;=toleransKurus,"TARIFE",IF(ABS($C293-$E293)&lt;=toleransKurus,"DAGITIM",IF(ABS($C293-$F293)&lt;=toleransKurus,"KDV",IF($G293&gt;0,"TUKETIM","TANIMSIZ")))))</f>
        <v/>
      </c>
    </row>
    <row r="294">
      <c r="A294" s="22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IF($A294="","",IFERROR(SUMIF(tblAnahtarA[Norm],$A294,tblVeriA[EnerjiBedeli]),0))</f>
        <v/>
      </c>
      <c r="E294" s="17">
        <f>IF($A294="","",IFERROR(SUMIF(tblAnahtarA[Norm],$A294,tblVeriA[DagitimBedeli]),0))</f>
        <v/>
      </c>
      <c r="F294" s="17">
        <f>IF($A294="","",IFERROR(SUMIF(tblAnahtarA[Norm],$A294,tblVeriA[VergiKdv]),0))</f>
        <v/>
      </c>
      <c r="G294" s="17">
        <f>IF($A294="","",IFERROR(SUMIF(tblAnahtarA[Norm],$A294,tblVeriA[TuketimKwh]),0))</f>
        <v/>
      </c>
      <c r="H294" s="17">
        <f>IF(OR($A294="",$B294&lt;&gt;"tutar_farki"),"",IF(ABS($C294-$D294)&lt;=toleransKurus,"TARIFE",IF(ABS($C294-$E294)&lt;=toleransKurus,"DAGITIM",IF(ABS($C294-$F294)&lt;=toleransKurus,"KDV",IF($G294&gt;0,"TUKETIM","TANIMSIZ")))))</f>
        <v/>
      </c>
    </row>
    <row r="295">
      <c r="A295" s="22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IF($A295="","",IFERROR(SUMIF(tblAnahtarA[Norm],$A295,tblVeriA[EnerjiBedeli]),0))</f>
        <v/>
      </c>
      <c r="E295" s="17">
        <f>IF($A295="","",IFERROR(SUMIF(tblAnahtarA[Norm],$A295,tblVeriA[DagitimBedeli]),0))</f>
        <v/>
      </c>
      <c r="F295" s="17">
        <f>IF($A295="","",IFERROR(SUMIF(tblAnahtarA[Norm],$A295,tblVeriA[VergiKdv]),0))</f>
        <v/>
      </c>
      <c r="G295" s="17">
        <f>IF($A295="","",IFERROR(SUMIF(tblAnahtarA[Norm],$A295,tblVeriA[TuketimKwh]),0))</f>
        <v/>
      </c>
      <c r="H295" s="17">
        <f>IF(OR($A295="",$B295&lt;&gt;"tutar_farki"),"",IF(ABS($C295-$D295)&lt;=toleransKurus,"TARIFE",IF(ABS($C295-$E295)&lt;=toleransKurus,"DAGITIM",IF(ABS($C295-$F295)&lt;=toleransKurus,"KDV",IF($G295&gt;0,"TUKETIM","TANIMSIZ")))))</f>
        <v/>
      </c>
    </row>
    <row r="296">
      <c r="A296" s="22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IF($A296="","",IFERROR(SUMIF(tblAnahtarA[Norm],$A296,tblVeriA[EnerjiBedeli]),0))</f>
        <v/>
      </c>
      <c r="E296" s="17">
        <f>IF($A296="","",IFERROR(SUMIF(tblAnahtarA[Norm],$A296,tblVeriA[DagitimBedeli]),0))</f>
        <v/>
      </c>
      <c r="F296" s="17">
        <f>IF($A296="","",IFERROR(SUMIF(tblAnahtarA[Norm],$A296,tblVeriA[VergiKdv]),0))</f>
        <v/>
      </c>
      <c r="G296" s="17">
        <f>IF($A296="","",IFERROR(SUMIF(tblAnahtarA[Norm],$A296,tblVeriA[TuketimKwh]),0))</f>
        <v/>
      </c>
      <c r="H296" s="17">
        <f>IF(OR($A296="",$B296&lt;&gt;"tutar_farki"),"",IF(ABS($C296-$D296)&lt;=toleransKurus,"TARIFE",IF(ABS($C296-$E296)&lt;=toleransKurus,"DAGITIM",IF(ABS($C296-$F296)&lt;=toleransKurus,"KDV",IF($G296&gt;0,"TUKETIM","TANIMSIZ")))))</f>
        <v/>
      </c>
    </row>
    <row r="297">
      <c r="A297" s="22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IF($A297="","",IFERROR(SUMIF(tblAnahtarA[Norm],$A297,tblVeriA[EnerjiBedeli]),0))</f>
        <v/>
      </c>
      <c r="E297" s="17">
        <f>IF($A297="","",IFERROR(SUMIF(tblAnahtarA[Norm],$A297,tblVeriA[DagitimBedeli]),0))</f>
        <v/>
      </c>
      <c r="F297" s="17">
        <f>IF($A297="","",IFERROR(SUMIF(tblAnahtarA[Norm],$A297,tblVeriA[VergiKdv]),0))</f>
        <v/>
      </c>
      <c r="G297" s="17">
        <f>IF($A297="","",IFERROR(SUMIF(tblAnahtarA[Norm],$A297,tblVeriA[TuketimKwh]),0))</f>
        <v/>
      </c>
      <c r="H297" s="17">
        <f>IF(OR($A297="",$B297&lt;&gt;"tutar_farki"),"",IF(ABS($C297-$D297)&lt;=toleransKurus,"TARIFE",IF(ABS($C297-$E297)&lt;=toleransKurus,"DAGITIM",IF(ABS($C297-$F297)&lt;=toleransKurus,"KDV",IF($G297&gt;0,"TUKETIM","TANIMSIZ")))))</f>
        <v/>
      </c>
    </row>
    <row r="298">
      <c r="A298" s="22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IF($A298="","",IFERROR(SUMIF(tblAnahtarA[Norm],$A298,tblVeriA[EnerjiBedeli]),0))</f>
        <v/>
      </c>
      <c r="E298" s="17">
        <f>IF($A298="","",IFERROR(SUMIF(tblAnahtarA[Norm],$A298,tblVeriA[DagitimBedeli]),0))</f>
        <v/>
      </c>
      <c r="F298" s="17">
        <f>IF($A298="","",IFERROR(SUMIF(tblAnahtarA[Norm],$A298,tblVeriA[VergiKdv]),0))</f>
        <v/>
      </c>
      <c r="G298" s="17">
        <f>IF($A298="","",IFERROR(SUMIF(tblAnahtarA[Norm],$A298,tblVeriA[TuketimKwh]),0))</f>
        <v/>
      </c>
      <c r="H298" s="17">
        <f>IF(OR($A298="",$B298&lt;&gt;"tutar_farki"),"",IF(ABS($C298-$D298)&lt;=toleransKurus,"TARIFE",IF(ABS($C298-$E298)&lt;=toleransKurus,"DAGITIM",IF(ABS($C298-$F298)&lt;=toleransKurus,"KDV",IF($G298&gt;0,"TUKETIM","TANIMSIZ")))))</f>
        <v/>
      </c>
    </row>
    <row r="299">
      <c r="A299" s="22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IF($A299="","",IFERROR(SUMIF(tblAnahtarA[Norm],$A299,tblVeriA[EnerjiBedeli]),0))</f>
        <v/>
      </c>
      <c r="E299" s="17">
        <f>IF($A299="","",IFERROR(SUMIF(tblAnahtarA[Norm],$A299,tblVeriA[DagitimBedeli]),0))</f>
        <v/>
      </c>
      <c r="F299" s="17">
        <f>IF($A299="","",IFERROR(SUMIF(tblAnahtarA[Norm],$A299,tblVeriA[VergiKdv]),0))</f>
        <v/>
      </c>
      <c r="G299" s="17">
        <f>IF($A299="","",IFERROR(SUMIF(tblAnahtarA[Norm],$A299,tblVeriA[TuketimKwh]),0))</f>
        <v/>
      </c>
      <c r="H299" s="17">
        <f>IF(OR($A299="",$B299&lt;&gt;"tutar_farki"),"",IF(ABS($C299-$D299)&lt;=toleransKurus,"TARIFE",IF(ABS($C299-$E299)&lt;=toleransKurus,"DAGITIM",IF(ABS($C299-$F299)&lt;=toleransKurus,"KDV",IF($G299&gt;0,"TUKETIM","TANIMSIZ")))))</f>
        <v/>
      </c>
    </row>
    <row r="300">
      <c r="A300" s="22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IF($A300="","",IFERROR(SUMIF(tblAnahtarA[Norm],$A300,tblVeriA[EnerjiBedeli]),0))</f>
        <v/>
      </c>
      <c r="E300" s="17">
        <f>IF($A300="","",IFERROR(SUMIF(tblAnahtarA[Norm],$A300,tblVeriA[DagitimBedeli]),0))</f>
        <v/>
      </c>
      <c r="F300" s="17">
        <f>IF($A300="","",IFERROR(SUMIF(tblAnahtarA[Norm],$A300,tblVeriA[VergiKdv]),0))</f>
        <v/>
      </c>
      <c r="G300" s="17">
        <f>IF($A300="","",IFERROR(SUMIF(tblAnahtarA[Norm],$A300,tblVeriA[TuketimKwh]),0))</f>
        <v/>
      </c>
      <c r="H300" s="17">
        <f>IF(OR($A300="",$B300&lt;&gt;"tutar_farki"),"",IF(ABS($C300-$D300)&lt;=toleransKurus,"TARIFE",IF(ABS($C300-$E300)&lt;=toleransKurus,"DAGITIM",IF(ABS($C300-$F300)&lt;=toleransKurus,"KDV",IF($G300&gt;0,"TUKETIM","TANIMSIZ")))))</f>
        <v/>
      </c>
    </row>
    <row r="301">
      <c r="A301" s="22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IF($A301="","",IFERROR(SUMIF(tblAnahtarA[Norm],$A301,tblVeriA[EnerjiBedeli]),0))</f>
        <v/>
      </c>
      <c r="E301" s="17">
        <f>IF($A301="","",IFERROR(SUMIF(tblAnahtarA[Norm],$A301,tblVeriA[DagitimBedeli]),0))</f>
        <v/>
      </c>
      <c r="F301" s="17">
        <f>IF($A301="","",IFERROR(SUMIF(tblAnahtarA[Norm],$A301,tblVeriA[VergiKdv]),0))</f>
        <v/>
      </c>
      <c r="G301" s="17">
        <f>IF($A301="","",IFERROR(SUMIF(tblAnahtarA[Norm],$A301,tblVeriA[TuketimKwh]),0))</f>
        <v/>
      </c>
      <c r="H301" s="17">
        <f>IF(OR($A301="",$B301&lt;&gt;"tutar_farki"),"",IF(ABS($C301-$D301)&lt;=toleransKurus,"TARIFE",IF(ABS($C301-$E301)&lt;=toleransKurus,"DAGITIM",IF(ABS($C301-$F301)&lt;=toleransKurus,"KDV",IF($G301&gt;0,"TUKETIM","TANIMSIZ")))))</f>
        <v/>
      </c>
    </row>
    <row r="302">
      <c r="A302" s="22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IF($A302="","",IFERROR(SUMIF(tblAnahtarA[Norm],$A302,tblVeriA[EnerjiBedeli]),0))</f>
        <v/>
      </c>
      <c r="E302" s="17">
        <f>IF($A302="","",IFERROR(SUMIF(tblAnahtarA[Norm],$A302,tblVeriA[DagitimBedeli]),0))</f>
        <v/>
      </c>
      <c r="F302" s="17">
        <f>IF($A302="","",IFERROR(SUMIF(tblAnahtarA[Norm],$A302,tblVeriA[VergiKdv]),0))</f>
        <v/>
      </c>
      <c r="G302" s="17">
        <f>IF($A302="","",IFERROR(SUMIF(tblAnahtarA[Norm],$A302,tblVeriA[TuketimKwh]),0))</f>
        <v/>
      </c>
      <c r="H302" s="17">
        <f>IF(OR($A302="",$B302&lt;&gt;"tutar_farki"),"",IF(ABS($C302-$D302)&lt;=toleransKurus,"TARIFE",IF(ABS($C302-$E302)&lt;=toleransKurus,"DAGITIM",IF(ABS($C302-$F302)&lt;=toleransKurus,"KDV",IF($G302&gt;0,"TUKETIM","TANIMSIZ")))))</f>
        <v/>
      </c>
    </row>
    <row r="303">
      <c r="A303" s="22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IF($A303="","",IFERROR(SUMIF(tblAnahtarA[Norm],$A303,tblVeriA[EnerjiBedeli]),0))</f>
        <v/>
      </c>
      <c r="E303" s="17">
        <f>IF($A303="","",IFERROR(SUMIF(tblAnahtarA[Norm],$A303,tblVeriA[DagitimBedeli]),0))</f>
        <v/>
      </c>
      <c r="F303" s="17">
        <f>IF($A303="","",IFERROR(SUMIF(tblAnahtarA[Norm],$A303,tblVeriA[VergiKdv]),0))</f>
        <v/>
      </c>
      <c r="G303" s="17">
        <f>IF($A303="","",IFERROR(SUMIF(tblAnahtarA[Norm],$A303,tblVeriA[TuketimKwh]),0))</f>
        <v/>
      </c>
      <c r="H303" s="17">
        <f>IF(OR($A303="",$B303&lt;&gt;"tutar_farki"),"",IF(ABS($C303-$D303)&lt;=toleransKurus,"TARIFE",IF(ABS($C303-$E303)&lt;=toleransKurus,"DAGITIM",IF(ABS($C303-$F303)&lt;=toleransKurus,"KDV",IF($G303&gt;0,"TUKETIM","TANIMSIZ")))))</f>
        <v/>
      </c>
    </row>
    <row r="304">
      <c r="A304" s="22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IF($A304="","",IFERROR(SUMIF(tblAnahtarA[Norm],$A304,tblVeriA[EnerjiBedeli]),0))</f>
        <v/>
      </c>
      <c r="E304" s="17">
        <f>IF($A304="","",IFERROR(SUMIF(tblAnahtarA[Norm],$A304,tblVeriA[DagitimBedeli]),0))</f>
        <v/>
      </c>
      <c r="F304" s="17">
        <f>IF($A304="","",IFERROR(SUMIF(tblAnahtarA[Norm],$A304,tblVeriA[VergiKdv]),0))</f>
        <v/>
      </c>
      <c r="G304" s="17">
        <f>IF($A304="","",IFERROR(SUMIF(tblAnahtarA[Norm],$A304,tblVeriA[TuketimKwh]),0))</f>
        <v/>
      </c>
      <c r="H304" s="17">
        <f>IF(OR($A304="",$B304&lt;&gt;"tutar_farki"),"",IF(ABS($C304-$D304)&lt;=toleransKurus,"TARIFE",IF(ABS($C304-$E304)&lt;=toleransKurus,"DAGITIM",IF(ABS($C304-$F304)&lt;=toleransKurus,"KDV",IF($G304&gt;0,"TUKETIM","TANIMSIZ")))))</f>
        <v/>
      </c>
    </row>
    <row r="305">
      <c r="A305" s="22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IF($A305="","",IFERROR(SUMIF(tblAnahtarA[Norm],$A305,tblVeriA[EnerjiBedeli]),0))</f>
        <v/>
      </c>
      <c r="E305" s="17">
        <f>IF($A305="","",IFERROR(SUMIF(tblAnahtarA[Norm],$A305,tblVeriA[DagitimBedeli]),0))</f>
        <v/>
      </c>
      <c r="F305" s="17">
        <f>IF($A305="","",IFERROR(SUMIF(tblAnahtarA[Norm],$A305,tblVeriA[VergiKdv]),0))</f>
        <v/>
      </c>
      <c r="G305" s="17">
        <f>IF($A305="","",IFERROR(SUMIF(tblAnahtarA[Norm],$A305,tblVeriA[TuketimKwh]),0))</f>
        <v/>
      </c>
      <c r="H305" s="17">
        <f>IF(OR($A305="",$B305&lt;&gt;"tutar_farki"),"",IF(ABS($C305-$D305)&lt;=toleransKurus,"TARIFE",IF(ABS($C305-$E305)&lt;=toleransKurus,"DAGITIM",IF(ABS($C305-$F305)&lt;=toleransKurus,"KDV",IF($G305&gt;0,"TUKETIM","TANIMSIZ")))))</f>
        <v/>
      </c>
    </row>
    <row r="306">
      <c r="A306" s="22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IF($A306="","",IFERROR(SUMIF(tblAnahtarA[Norm],$A306,tblVeriA[EnerjiBedeli]),0))</f>
        <v/>
      </c>
      <c r="E306" s="17">
        <f>IF($A306="","",IFERROR(SUMIF(tblAnahtarA[Norm],$A306,tblVeriA[DagitimBedeli]),0))</f>
        <v/>
      </c>
      <c r="F306" s="17">
        <f>IF($A306="","",IFERROR(SUMIF(tblAnahtarA[Norm],$A306,tblVeriA[VergiKdv]),0))</f>
        <v/>
      </c>
      <c r="G306" s="17">
        <f>IF($A306="","",IFERROR(SUMIF(tblAnahtarA[Norm],$A306,tblVeriA[TuketimKwh]),0))</f>
        <v/>
      </c>
      <c r="H306" s="17">
        <f>IF(OR($A306="",$B306&lt;&gt;"tutar_farki"),"",IF(ABS($C306-$D306)&lt;=toleransKurus,"TARIFE",IF(ABS($C306-$E306)&lt;=toleransKurus,"DAGITIM",IF(ABS($C306-$F306)&lt;=toleransKurus,"KDV",IF($G306&gt;0,"TUKETIM","TANIMSIZ")))))</f>
        <v/>
      </c>
    </row>
    <row r="307">
      <c r="A307" s="22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IF($A307="","",IFERROR(SUMIF(tblAnahtarA[Norm],$A307,tblVeriA[EnerjiBedeli]),0))</f>
        <v/>
      </c>
      <c r="E307" s="17">
        <f>IF($A307="","",IFERROR(SUMIF(tblAnahtarA[Norm],$A307,tblVeriA[DagitimBedeli]),0))</f>
        <v/>
      </c>
      <c r="F307" s="17">
        <f>IF($A307="","",IFERROR(SUMIF(tblAnahtarA[Norm],$A307,tblVeriA[VergiKdv]),0))</f>
        <v/>
      </c>
      <c r="G307" s="17">
        <f>IF($A307="","",IFERROR(SUMIF(tblAnahtarA[Norm],$A307,tblVeriA[TuketimKwh]),0))</f>
        <v/>
      </c>
      <c r="H307" s="17">
        <f>IF(OR($A307="",$B307&lt;&gt;"tutar_farki"),"",IF(ABS($C307-$D307)&lt;=toleransKurus,"TARIFE",IF(ABS($C307-$E307)&lt;=toleransKurus,"DAGITIM",IF(ABS($C307-$F307)&lt;=toleransKurus,"KDV",IF($G307&gt;0,"TUKETIM","TANIMSIZ")))))</f>
        <v/>
      </c>
    </row>
    <row r="308">
      <c r="A308" s="22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IF($A308="","",IFERROR(SUMIF(tblAnahtarA[Norm],$A308,tblVeriA[EnerjiBedeli]),0))</f>
        <v/>
      </c>
      <c r="E308" s="17">
        <f>IF($A308="","",IFERROR(SUMIF(tblAnahtarA[Norm],$A308,tblVeriA[DagitimBedeli]),0))</f>
        <v/>
      </c>
      <c r="F308" s="17">
        <f>IF($A308="","",IFERROR(SUMIF(tblAnahtarA[Norm],$A308,tblVeriA[VergiKdv]),0))</f>
        <v/>
      </c>
      <c r="G308" s="17">
        <f>IF($A308="","",IFERROR(SUMIF(tblAnahtarA[Norm],$A308,tblVeriA[TuketimKwh]),0))</f>
        <v/>
      </c>
      <c r="H308" s="17">
        <f>IF(OR($A308="",$B308&lt;&gt;"tutar_farki"),"",IF(ABS($C308-$D308)&lt;=toleransKurus,"TARIFE",IF(ABS($C308-$E308)&lt;=toleransKurus,"DAGITIM",IF(ABS($C308-$F308)&lt;=toleransKurus,"KDV",IF($G308&gt;0,"TUKETIM","TANIMSIZ")))))</f>
        <v/>
      </c>
    </row>
    <row r="309">
      <c r="A309" s="22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IF($A309="","",IFERROR(SUMIF(tblAnahtarA[Norm],$A309,tblVeriA[EnerjiBedeli]),0))</f>
        <v/>
      </c>
      <c r="E309" s="17">
        <f>IF($A309="","",IFERROR(SUMIF(tblAnahtarA[Norm],$A309,tblVeriA[DagitimBedeli]),0))</f>
        <v/>
      </c>
      <c r="F309" s="17">
        <f>IF($A309="","",IFERROR(SUMIF(tblAnahtarA[Norm],$A309,tblVeriA[VergiKdv]),0))</f>
        <v/>
      </c>
      <c r="G309" s="17">
        <f>IF($A309="","",IFERROR(SUMIF(tblAnahtarA[Norm],$A309,tblVeriA[TuketimKwh]),0))</f>
        <v/>
      </c>
      <c r="H309" s="17">
        <f>IF(OR($A309="",$B309&lt;&gt;"tutar_farki"),"",IF(ABS($C309-$D309)&lt;=toleransKurus,"TARIFE",IF(ABS($C309-$E309)&lt;=toleransKurus,"DAGITIM",IF(ABS($C309-$F309)&lt;=toleransKurus,"KDV",IF($G309&gt;0,"TUKETIM","TANIMSIZ")))))</f>
        <v/>
      </c>
    </row>
    <row r="310">
      <c r="A310" s="22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IF($A310="","",IFERROR(SUMIF(tblAnahtarA[Norm],$A310,tblVeriA[EnerjiBedeli]),0))</f>
        <v/>
      </c>
      <c r="E310" s="17">
        <f>IF($A310="","",IFERROR(SUMIF(tblAnahtarA[Norm],$A310,tblVeriA[DagitimBedeli]),0))</f>
        <v/>
      </c>
      <c r="F310" s="17">
        <f>IF($A310="","",IFERROR(SUMIF(tblAnahtarA[Norm],$A310,tblVeriA[VergiKdv]),0))</f>
        <v/>
      </c>
      <c r="G310" s="17">
        <f>IF($A310="","",IFERROR(SUMIF(tblAnahtarA[Norm],$A310,tblVeriA[TuketimKwh]),0))</f>
        <v/>
      </c>
      <c r="H310" s="17">
        <f>IF(OR($A310="",$B310&lt;&gt;"tutar_farki"),"",IF(ABS($C310-$D310)&lt;=toleransKurus,"TARIFE",IF(ABS($C310-$E310)&lt;=toleransKurus,"DAGITIM",IF(ABS($C310-$F310)&lt;=toleransKurus,"KDV",IF($G310&gt;0,"TUKETIM","TANIMSIZ")))))</f>
        <v/>
      </c>
    </row>
    <row r="311">
      <c r="A311" s="22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IF($A311="","",IFERROR(SUMIF(tblAnahtarA[Norm],$A311,tblVeriA[EnerjiBedeli]),0))</f>
        <v/>
      </c>
      <c r="E311" s="17">
        <f>IF($A311="","",IFERROR(SUMIF(tblAnahtarA[Norm],$A311,tblVeriA[DagitimBedeli]),0))</f>
        <v/>
      </c>
      <c r="F311" s="17">
        <f>IF($A311="","",IFERROR(SUMIF(tblAnahtarA[Norm],$A311,tblVeriA[VergiKdv]),0))</f>
        <v/>
      </c>
      <c r="G311" s="17">
        <f>IF($A311="","",IFERROR(SUMIF(tblAnahtarA[Norm],$A311,tblVeriA[TuketimKwh]),0))</f>
        <v/>
      </c>
      <c r="H311" s="17">
        <f>IF(OR($A311="",$B311&lt;&gt;"tutar_farki"),"",IF(ABS($C311-$D311)&lt;=toleransKurus,"TARIFE",IF(ABS($C311-$E311)&lt;=toleransKurus,"DAGITIM",IF(ABS($C311-$F311)&lt;=toleransKurus,"KDV",IF($G311&gt;0,"TUKETIM","TANIMSIZ")))))</f>
        <v/>
      </c>
    </row>
    <row r="312">
      <c r="A312" s="22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IF($A312="","",IFERROR(SUMIF(tblAnahtarA[Norm],$A312,tblVeriA[EnerjiBedeli]),0))</f>
        <v/>
      </c>
      <c r="E312" s="17">
        <f>IF($A312="","",IFERROR(SUMIF(tblAnahtarA[Norm],$A312,tblVeriA[DagitimBedeli]),0))</f>
        <v/>
      </c>
      <c r="F312" s="17">
        <f>IF($A312="","",IFERROR(SUMIF(tblAnahtarA[Norm],$A312,tblVeriA[VergiKdv]),0))</f>
        <v/>
      </c>
      <c r="G312" s="17">
        <f>IF($A312="","",IFERROR(SUMIF(tblAnahtarA[Norm],$A312,tblVeriA[TuketimKwh]),0))</f>
        <v/>
      </c>
      <c r="H312" s="17">
        <f>IF(OR($A312="",$B312&lt;&gt;"tutar_farki"),"",IF(ABS($C312-$D312)&lt;=toleransKurus,"TARIFE",IF(ABS($C312-$E312)&lt;=toleransKurus,"DAGITIM",IF(ABS($C312-$F312)&lt;=toleransKurus,"KDV",IF($G312&gt;0,"TUKETIM","TANIMSIZ")))))</f>
        <v/>
      </c>
    </row>
    <row r="313">
      <c r="A313" s="22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IF($A313="","",IFERROR(SUMIF(tblAnahtarA[Norm],$A313,tblVeriA[EnerjiBedeli]),0))</f>
        <v/>
      </c>
      <c r="E313" s="17">
        <f>IF($A313="","",IFERROR(SUMIF(tblAnahtarA[Norm],$A313,tblVeriA[DagitimBedeli]),0))</f>
        <v/>
      </c>
      <c r="F313" s="17">
        <f>IF($A313="","",IFERROR(SUMIF(tblAnahtarA[Norm],$A313,tblVeriA[VergiKdv]),0))</f>
        <v/>
      </c>
      <c r="G313" s="17">
        <f>IF($A313="","",IFERROR(SUMIF(tblAnahtarA[Norm],$A313,tblVeriA[TuketimKwh]),0))</f>
        <v/>
      </c>
      <c r="H313" s="17">
        <f>IF(OR($A313="",$B313&lt;&gt;"tutar_farki"),"",IF(ABS($C313-$D313)&lt;=toleransKurus,"TARIFE",IF(ABS($C313-$E313)&lt;=toleransKurus,"DAGITIM",IF(ABS($C313-$F313)&lt;=toleransKurus,"KDV",IF($G313&gt;0,"TUKETIM","TANIMSIZ")))))</f>
        <v/>
      </c>
    </row>
    <row r="314">
      <c r="A314" s="22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IF($A314="","",IFERROR(SUMIF(tblAnahtarA[Norm],$A314,tblVeriA[EnerjiBedeli]),0))</f>
        <v/>
      </c>
      <c r="E314" s="17">
        <f>IF($A314="","",IFERROR(SUMIF(tblAnahtarA[Norm],$A314,tblVeriA[DagitimBedeli]),0))</f>
        <v/>
      </c>
      <c r="F314" s="17">
        <f>IF($A314="","",IFERROR(SUMIF(tblAnahtarA[Norm],$A314,tblVeriA[VergiKdv]),0))</f>
        <v/>
      </c>
      <c r="G314" s="17">
        <f>IF($A314="","",IFERROR(SUMIF(tblAnahtarA[Norm],$A314,tblVeriA[TuketimKwh]),0))</f>
        <v/>
      </c>
      <c r="H314" s="17">
        <f>IF(OR($A314="",$B314&lt;&gt;"tutar_farki"),"",IF(ABS($C314-$D314)&lt;=toleransKurus,"TARIFE",IF(ABS($C314-$E314)&lt;=toleransKurus,"DAGITIM",IF(ABS($C314-$F314)&lt;=toleransKurus,"KDV",IF($G314&gt;0,"TUKETIM","TANIMSIZ")))))</f>
        <v/>
      </c>
    </row>
    <row r="315">
      <c r="A315" s="22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IF($A315="","",IFERROR(SUMIF(tblAnahtarA[Norm],$A315,tblVeriA[EnerjiBedeli]),0))</f>
        <v/>
      </c>
      <c r="E315" s="17">
        <f>IF($A315="","",IFERROR(SUMIF(tblAnahtarA[Norm],$A315,tblVeriA[DagitimBedeli]),0))</f>
        <v/>
      </c>
      <c r="F315" s="17">
        <f>IF($A315="","",IFERROR(SUMIF(tblAnahtarA[Norm],$A315,tblVeriA[VergiKdv]),0))</f>
        <v/>
      </c>
      <c r="G315" s="17">
        <f>IF($A315="","",IFERROR(SUMIF(tblAnahtarA[Norm],$A315,tblVeriA[TuketimKwh]),0))</f>
        <v/>
      </c>
      <c r="H315" s="17">
        <f>IF(OR($A315="",$B315&lt;&gt;"tutar_farki"),"",IF(ABS($C315-$D315)&lt;=toleransKurus,"TARIFE",IF(ABS($C315-$E315)&lt;=toleransKurus,"DAGITIM",IF(ABS($C315-$F315)&lt;=toleransKurus,"KDV",IF($G315&gt;0,"TUKETIM","TANIMSIZ")))))</f>
        <v/>
      </c>
    </row>
    <row r="316">
      <c r="A316" s="22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IF($A316="","",IFERROR(SUMIF(tblAnahtarA[Norm],$A316,tblVeriA[EnerjiBedeli]),0))</f>
        <v/>
      </c>
      <c r="E316" s="17">
        <f>IF($A316="","",IFERROR(SUMIF(tblAnahtarA[Norm],$A316,tblVeriA[DagitimBedeli]),0))</f>
        <v/>
      </c>
      <c r="F316" s="17">
        <f>IF($A316="","",IFERROR(SUMIF(tblAnahtarA[Norm],$A316,tblVeriA[VergiKdv]),0))</f>
        <v/>
      </c>
      <c r="G316" s="17">
        <f>IF($A316="","",IFERROR(SUMIF(tblAnahtarA[Norm],$A316,tblVeriA[TuketimKwh]),0))</f>
        <v/>
      </c>
      <c r="H316" s="17">
        <f>IF(OR($A316="",$B316&lt;&gt;"tutar_farki"),"",IF(ABS($C316-$D316)&lt;=toleransKurus,"TARIFE",IF(ABS($C316-$E316)&lt;=toleransKurus,"DAGITIM",IF(ABS($C316-$F316)&lt;=toleransKurus,"KDV",IF($G316&gt;0,"TUKETIM","TANIMSIZ")))))</f>
        <v/>
      </c>
    </row>
    <row r="317">
      <c r="A317" s="22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IF($A317="","",IFERROR(SUMIF(tblAnahtarA[Norm],$A317,tblVeriA[EnerjiBedeli]),0))</f>
        <v/>
      </c>
      <c r="E317" s="17">
        <f>IF($A317="","",IFERROR(SUMIF(tblAnahtarA[Norm],$A317,tblVeriA[DagitimBedeli]),0))</f>
        <v/>
      </c>
      <c r="F317" s="17">
        <f>IF($A317="","",IFERROR(SUMIF(tblAnahtarA[Norm],$A317,tblVeriA[VergiKdv]),0))</f>
        <v/>
      </c>
      <c r="G317" s="17">
        <f>IF($A317="","",IFERROR(SUMIF(tblAnahtarA[Norm],$A317,tblVeriA[TuketimKwh]),0))</f>
        <v/>
      </c>
      <c r="H317" s="17">
        <f>IF(OR($A317="",$B317&lt;&gt;"tutar_farki"),"",IF(ABS($C317-$D317)&lt;=toleransKurus,"TARIFE",IF(ABS($C317-$E317)&lt;=toleransKurus,"DAGITIM",IF(ABS($C317-$F317)&lt;=toleransKurus,"KDV",IF($G317&gt;0,"TUKETIM","TANIMSIZ")))))</f>
        <v/>
      </c>
    </row>
    <row r="318">
      <c r="A318" s="22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IF($A318="","",IFERROR(SUMIF(tblAnahtarA[Norm],$A318,tblVeriA[EnerjiBedeli]),0))</f>
        <v/>
      </c>
      <c r="E318" s="17">
        <f>IF($A318="","",IFERROR(SUMIF(tblAnahtarA[Norm],$A318,tblVeriA[DagitimBedeli]),0))</f>
        <v/>
      </c>
      <c r="F318" s="17">
        <f>IF($A318="","",IFERROR(SUMIF(tblAnahtarA[Norm],$A318,tblVeriA[VergiKdv]),0))</f>
        <v/>
      </c>
      <c r="G318" s="17">
        <f>IF($A318="","",IFERROR(SUMIF(tblAnahtarA[Norm],$A318,tblVeriA[TuketimKwh]),0))</f>
        <v/>
      </c>
      <c r="H318" s="17">
        <f>IF(OR($A318="",$B318&lt;&gt;"tutar_farki"),"",IF(ABS($C318-$D318)&lt;=toleransKurus,"TARIFE",IF(ABS($C318-$E318)&lt;=toleransKurus,"DAGITIM",IF(ABS($C318-$F318)&lt;=toleransKurus,"KDV",IF($G318&gt;0,"TUKETIM","TANIMSIZ")))))</f>
        <v/>
      </c>
    </row>
    <row r="319">
      <c r="A319" s="22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IF($A319="","",IFERROR(SUMIF(tblAnahtarA[Norm],$A319,tblVeriA[EnerjiBedeli]),0))</f>
        <v/>
      </c>
      <c r="E319" s="17">
        <f>IF($A319="","",IFERROR(SUMIF(tblAnahtarA[Norm],$A319,tblVeriA[DagitimBedeli]),0))</f>
        <v/>
      </c>
      <c r="F319" s="17">
        <f>IF($A319="","",IFERROR(SUMIF(tblAnahtarA[Norm],$A319,tblVeriA[VergiKdv]),0))</f>
        <v/>
      </c>
      <c r="G319" s="17">
        <f>IF($A319="","",IFERROR(SUMIF(tblAnahtarA[Norm],$A319,tblVeriA[TuketimKwh]),0))</f>
        <v/>
      </c>
      <c r="H319" s="17">
        <f>IF(OR($A319="",$B319&lt;&gt;"tutar_farki"),"",IF(ABS($C319-$D319)&lt;=toleransKurus,"TARIFE",IF(ABS($C319-$E319)&lt;=toleransKurus,"DAGITIM",IF(ABS($C319-$F319)&lt;=toleransKurus,"KDV",IF($G319&gt;0,"TUKETIM","TANIMSIZ")))))</f>
        <v/>
      </c>
    </row>
    <row r="320">
      <c r="A320" s="22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IF($A320="","",IFERROR(SUMIF(tblAnahtarA[Norm],$A320,tblVeriA[EnerjiBedeli]),0))</f>
        <v/>
      </c>
      <c r="E320" s="17">
        <f>IF($A320="","",IFERROR(SUMIF(tblAnahtarA[Norm],$A320,tblVeriA[DagitimBedeli]),0))</f>
        <v/>
      </c>
      <c r="F320" s="17">
        <f>IF($A320="","",IFERROR(SUMIF(tblAnahtarA[Norm],$A320,tblVeriA[VergiKdv]),0))</f>
        <v/>
      </c>
      <c r="G320" s="17">
        <f>IF($A320="","",IFERROR(SUMIF(tblAnahtarA[Norm],$A320,tblVeriA[TuketimKwh]),0))</f>
        <v/>
      </c>
      <c r="H320" s="17">
        <f>IF(OR($A320="",$B320&lt;&gt;"tutar_farki"),"",IF(ABS($C320-$D320)&lt;=toleransKurus,"TARIFE",IF(ABS($C320-$E320)&lt;=toleransKurus,"DAGITIM",IF(ABS($C320-$F320)&lt;=toleransKurus,"KDV",IF($G320&gt;0,"TUKETIM","TANIMSIZ")))))</f>
        <v/>
      </c>
    </row>
    <row r="321">
      <c r="A321" s="22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IF($A321="","",IFERROR(SUMIF(tblAnahtarA[Norm],$A321,tblVeriA[EnerjiBedeli]),0))</f>
        <v/>
      </c>
      <c r="E321" s="17">
        <f>IF($A321="","",IFERROR(SUMIF(tblAnahtarA[Norm],$A321,tblVeriA[DagitimBedeli]),0))</f>
        <v/>
      </c>
      <c r="F321" s="17">
        <f>IF($A321="","",IFERROR(SUMIF(tblAnahtarA[Norm],$A321,tblVeriA[VergiKdv]),0))</f>
        <v/>
      </c>
      <c r="G321" s="17">
        <f>IF($A321="","",IFERROR(SUMIF(tblAnahtarA[Norm],$A321,tblVeriA[TuketimKwh]),0))</f>
        <v/>
      </c>
      <c r="H321" s="17">
        <f>IF(OR($A321="",$B321&lt;&gt;"tutar_farki"),"",IF(ABS($C321-$D321)&lt;=toleransKurus,"TARIFE",IF(ABS($C321-$E321)&lt;=toleransKurus,"DAGITIM",IF(ABS($C321-$F321)&lt;=toleransKurus,"KDV",IF($G321&gt;0,"TUKETIM","TANIMSIZ")))))</f>
        <v/>
      </c>
    </row>
    <row r="322">
      <c r="A322" s="22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IF($A322="","",IFERROR(SUMIF(tblAnahtarA[Norm],$A322,tblVeriA[EnerjiBedeli]),0))</f>
        <v/>
      </c>
      <c r="E322" s="17">
        <f>IF($A322="","",IFERROR(SUMIF(tblAnahtarA[Norm],$A322,tblVeriA[DagitimBedeli]),0))</f>
        <v/>
      </c>
      <c r="F322" s="17">
        <f>IF($A322="","",IFERROR(SUMIF(tblAnahtarA[Norm],$A322,tblVeriA[VergiKdv]),0))</f>
        <v/>
      </c>
      <c r="G322" s="17">
        <f>IF($A322="","",IFERROR(SUMIF(tblAnahtarA[Norm],$A322,tblVeriA[TuketimKwh]),0))</f>
        <v/>
      </c>
      <c r="H322" s="17">
        <f>IF(OR($A322="",$B322&lt;&gt;"tutar_farki"),"",IF(ABS($C322-$D322)&lt;=toleransKurus,"TARIFE",IF(ABS($C322-$E322)&lt;=toleransKurus,"DAGITIM",IF(ABS($C322-$F322)&lt;=toleransKurus,"KDV",IF($G322&gt;0,"TUKETIM","TANIMSIZ")))))</f>
        <v/>
      </c>
    </row>
    <row r="323">
      <c r="A323" s="22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IF($A323="","",IFERROR(SUMIF(tblAnahtarA[Norm],$A323,tblVeriA[EnerjiBedeli]),0))</f>
        <v/>
      </c>
      <c r="E323" s="17">
        <f>IF($A323="","",IFERROR(SUMIF(tblAnahtarA[Norm],$A323,tblVeriA[DagitimBedeli]),0))</f>
        <v/>
      </c>
      <c r="F323" s="17">
        <f>IF($A323="","",IFERROR(SUMIF(tblAnahtarA[Norm],$A323,tblVeriA[VergiKdv]),0))</f>
        <v/>
      </c>
      <c r="G323" s="17">
        <f>IF($A323="","",IFERROR(SUMIF(tblAnahtarA[Norm],$A323,tblVeriA[TuketimKwh]),0))</f>
        <v/>
      </c>
      <c r="H323" s="17">
        <f>IF(OR($A323="",$B323&lt;&gt;"tutar_farki"),"",IF(ABS($C323-$D323)&lt;=toleransKurus,"TARIFE",IF(ABS($C323-$E323)&lt;=toleransKurus,"DAGITIM",IF(ABS($C323-$F323)&lt;=toleransKurus,"KDV",IF($G323&gt;0,"TUKETIM","TANIMSIZ")))))</f>
        <v/>
      </c>
    </row>
    <row r="324">
      <c r="A324" s="22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IF($A324="","",IFERROR(SUMIF(tblAnahtarA[Norm],$A324,tblVeriA[EnerjiBedeli]),0))</f>
        <v/>
      </c>
      <c r="E324" s="17">
        <f>IF($A324="","",IFERROR(SUMIF(tblAnahtarA[Norm],$A324,tblVeriA[DagitimBedeli]),0))</f>
        <v/>
      </c>
      <c r="F324" s="17">
        <f>IF($A324="","",IFERROR(SUMIF(tblAnahtarA[Norm],$A324,tblVeriA[VergiKdv]),0))</f>
        <v/>
      </c>
      <c r="G324" s="17">
        <f>IF($A324="","",IFERROR(SUMIF(tblAnahtarA[Norm],$A324,tblVeriA[TuketimKwh]),0))</f>
        <v/>
      </c>
      <c r="H324" s="17">
        <f>IF(OR($A324="",$B324&lt;&gt;"tutar_farki"),"",IF(ABS($C324-$D324)&lt;=toleransKurus,"TARIFE",IF(ABS($C324-$E324)&lt;=toleransKurus,"DAGITIM",IF(ABS($C324-$F324)&lt;=toleransKurus,"KDV",IF($G324&gt;0,"TUKETIM","TANIMSIZ")))))</f>
        <v/>
      </c>
    </row>
    <row r="325">
      <c r="A325" s="22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IF($A325="","",IFERROR(SUMIF(tblAnahtarA[Norm],$A325,tblVeriA[EnerjiBedeli]),0))</f>
        <v/>
      </c>
      <c r="E325" s="17">
        <f>IF($A325="","",IFERROR(SUMIF(tblAnahtarA[Norm],$A325,tblVeriA[DagitimBedeli]),0))</f>
        <v/>
      </c>
      <c r="F325" s="17">
        <f>IF($A325="","",IFERROR(SUMIF(tblAnahtarA[Norm],$A325,tblVeriA[VergiKdv]),0))</f>
        <v/>
      </c>
      <c r="G325" s="17">
        <f>IF($A325="","",IFERROR(SUMIF(tblAnahtarA[Norm],$A325,tblVeriA[TuketimKwh]),0))</f>
        <v/>
      </c>
      <c r="H325" s="17">
        <f>IF(OR($A325="",$B325&lt;&gt;"tutar_farki"),"",IF(ABS($C325-$D325)&lt;=toleransKurus,"TARIFE",IF(ABS($C325-$E325)&lt;=toleransKurus,"DAGITIM",IF(ABS($C325-$F325)&lt;=toleransKurus,"KDV",IF($G325&gt;0,"TUKETIM","TANIMSIZ")))))</f>
        <v/>
      </c>
    </row>
    <row r="326">
      <c r="A326" s="22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IF($A326="","",IFERROR(SUMIF(tblAnahtarA[Norm],$A326,tblVeriA[EnerjiBedeli]),0))</f>
        <v/>
      </c>
      <c r="E326" s="17">
        <f>IF($A326="","",IFERROR(SUMIF(tblAnahtarA[Norm],$A326,tblVeriA[DagitimBedeli]),0))</f>
        <v/>
      </c>
      <c r="F326" s="17">
        <f>IF($A326="","",IFERROR(SUMIF(tblAnahtarA[Norm],$A326,tblVeriA[VergiKdv]),0))</f>
        <v/>
      </c>
      <c r="G326" s="17">
        <f>IF($A326="","",IFERROR(SUMIF(tblAnahtarA[Norm],$A326,tblVeriA[TuketimKwh]),0))</f>
        <v/>
      </c>
      <c r="H326" s="17">
        <f>IF(OR($A326="",$B326&lt;&gt;"tutar_farki"),"",IF(ABS($C326-$D326)&lt;=toleransKurus,"TARIFE",IF(ABS($C326-$E326)&lt;=toleransKurus,"DAGITIM",IF(ABS($C326-$F326)&lt;=toleransKurus,"KDV",IF($G326&gt;0,"TUKETIM","TANIMSIZ")))))</f>
        <v/>
      </c>
    </row>
    <row r="327">
      <c r="A327" s="22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IF($A327="","",IFERROR(SUMIF(tblAnahtarA[Norm],$A327,tblVeriA[EnerjiBedeli]),0))</f>
        <v/>
      </c>
      <c r="E327" s="17">
        <f>IF($A327="","",IFERROR(SUMIF(tblAnahtarA[Norm],$A327,tblVeriA[DagitimBedeli]),0))</f>
        <v/>
      </c>
      <c r="F327" s="17">
        <f>IF($A327="","",IFERROR(SUMIF(tblAnahtarA[Norm],$A327,tblVeriA[VergiKdv]),0))</f>
        <v/>
      </c>
      <c r="G327" s="17">
        <f>IF($A327="","",IFERROR(SUMIF(tblAnahtarA[Norm],$A327,tblVeriA[TuketimKwh]),0))</f>
        <v/>
      </c>
      <c r="H327" s="17">
        <f>IF(OR($A327="",$B327&lt;&gt;"tutar_farki"),"",IF(ABS($C327-$D327)&lt;=toleransKurus,"TARIFE",IF(ABS($C327-$E327)&lt;=toleransKurus,"DAGITIM",IF(ABS($C327-$F327)&lt;=toleransKurus,"KDV",IF($G327&gt;0,"TUKETIM","TANIMSIZ")))))</f>
        <v/>
      </c>
    </row>
    <row r="328">
      <c r="A328" s="22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IF($A328="","",IFERROR(SUMIF(tblAnahtarA[Norm],$A328,tblVeriA[EnerjiBedeli]),0))</f>
        <v/>
      </c>
      <c r="E328" s="17">
        <f>IF($A328="","",IFERROR(SUMIF(tblAnahtarA[Norm],$A328,tblVeriA[DagitimBedeli]),0))</f>
        <v/>
      </c>
      <c r="F328" s="17">
        <f>IF($A328="","",IFERROR(SUMIF(tblAnahtarA[Norm],$A328,tblVeriA[VergiKdv]),0))</f>
        <v/>
      </c>
      <c r="G328" s="17">
        <f>IF($A328="","",IFERROR(SUMIF(tblAnahtarA[Norm],$A328,tblVeriA[TuketimKwh]),0))</f>
        <v/>
      </c>
      <c r="H328" s="17">
        <f>IF(OR($A328="",$B328&lt;&gt;"tutar_farki"),"",IF(ABS($C328-$D328)&lt;=toleransKurus,"TARIFE",IF(ABS($C328-$E328)&lt;=toleransKurus,"DAGITIM",IF(ABS($C328-$F328)&lt;=toleransKurus,"KDV",IF($G328&gt;0,"TUKETIM","TANIMSIZ")))))</f>
        <v/>
      </c>
    </row>
    <row r="329">
      <c r="A329" s="22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IF($A329="","",IFERROR(SUMIF(tblAnahtarA[Norm],$A329,tblVeriA[EnerjiBedeli]),0))</f>
        <v/>
      </c>
      <c r="E329" s="17">
        <f>IF($A329="","",IFERROR(SUMIF(tblAnahtarA[Norm],$A329,tblVeriA[DagitimBedeli]),0))</f>
        <v/>
      </c>
      <c r="F329" s="17">
        <f>IF($A329="","",IFERROR(SUMIF(tblAnahtarA[Norm],$A329,tblVeriA[VergiKdv]),0))</f>
        <v/>
      </c>
      <c r="G329" s="17">
        <f>IF($A329="","",IFERROR(SUMIF(tblAnahtarA[Norm],$A329,tblVeriA[TuketimKwh]),0))</f>
        <v/>
      </c>
      <c r="H329" s="17">
        <f>IF(OR($A329="",$B329&lt;&gt;"tutar_farki"),"",IF(ABS($C329-$D329)&lt;=toleransKurus,"TARIFE",IF(ABS($C329-$E329)&lt;=toleransKurus,"DAGITIM",IF(ABS($C329-$F329)&lt;=toleransKurus,"KDV",IF($G329&gt;0,"TUKETIM","TANIMSIZ")))))</f>
        <v/>
      </c>
    </row>
    <row r="330">
      <c r="A330" s="22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IF($A330="","",IFERROR(SUMIF(tblAnahtarA[Norm],$A330,tblVeriA[EnerjiBedeli]),0))</f>
        <v/>
      </c>
      <c r="E330" s="17">
        <f>IF($A330="","",IFERROR(SUMIF(tblAnahtarA[Norm],$A330,tblVeriA[DagitimBedeli]),0))</f>
        <v/>
      </c>
      <c r="F330" s="17">
        <f>IF($A330="","",IFERROR(SUMIF(tblAnahtarA[Norm],$A330,tblVeriA[VergiKdv]),0))</f>
        <v/>
      </c>
      <c r="G330" s="17">
        <f>IF($A330="","",IFERROR(SUMIF(tblAnahtarA[Norm],$A330,tblVeriA[TuketimKwh]),0))</f>
        <v/>
      </c>
      <c r="H330" s="17">
        <f>IF(OR($A330="",$B330&lt;&gt;"tutar_farki"),"",IF(ABS($C330-$D330)&lt;=toleransKurus,"TARIFE",IF(ABS($C330-$E330)&lt;=toleransKurus,"DAGITIM",IF(ABS($C330-$F330)&lt;=toleransKurus,"KDV",IF($G330&gt;0,"TUKETIM","TANIMSIZ")))))</f>
        <v/>
      </c>
    </row>
    <row r="331">
      <c r="A331" s="22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IF($A331="","",IFERROR(SUMIF(tblAnahtarA[Norm],$A331,tblVeriA[EnerjiBedeli]),0))</f>
        <v/>
      </c>
      <c r="E331" s="17">
        <f>IF($A331="","",IFERROR(SUMIF(tblAnahtarA[Norm],$A331,tblVeriA[DagitimBedeli]),0))</f>
        <v/>
      </c>
      <c r="F331" s="17">
        <f>IF($A331="","",IFERROR(SUMIF(tblAnahtarA[Norm],$A331,tblVeriA[VergiKdv]),0))</f>
        <v/>
      </c>
      <c r="G331" s="17">
        <f>IF($A331="","",IFERROR(SUMIF(tblAnahtarA[Norm],$A331,tblVeriA[TuketimKwh]),0))</f>
        <v/>
      </c>
      <c r="H331" s="17">
        <f>IF(OR($A331="",$B331&lt;&gt;"tutar_farki"),"",IF(ABS($C331-$D331)&lt;=toleransKurus,"TARIFE",IF(ABS($C331-$E331)&lt;=toleransKurus,"DAGITIM",IF(ABS($C331-$F331)&lt;=toleransKurus,"KDV",IF($G331&gt;0,"TUKETIM","TANIMSIZ")))))</f>
        <v/>
      </c>
    </row>
    <row r="332">
      <c r="A332" s="22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IF($A332="","",IFERROR(SUMIF(tblAnahtarA[Norm],$A332,tblVeriA[EnerjiBedeli]),0))</f>
        <v/>
      </c>
      <c r="E332" s="17">
        <f>IF($A332="","",IFERROR(SUMIF(tblAnahtarA[Norm],$A332,tblVeriA[DagitimBedeli]),0))</f>
        <v/>
      </c>
      <c r="F332" s="17">
        <f>IF($A332="","",IFERROR(SUMIF(tblAnahtarA[Norm],$A332,tblVeriA[VergiKdv]),0))</f>
        <v/>
      </c>
      <c r="G332" s="17">
        <f>IF($A332="","",IFERROR(SUMIF(tblAnahtarA[Norm],$A332,tblVeriA[TuketimKwh]),0))</f>
        <v/>
      </c>
      <c r="H332" s="17">
        <f>IF(OR($A332="",$B332&lt;&gt;"tutar_farki"),"",IF(ABS($C332-$D332)&lt;=toleransKurus,"TARIFE",IF(ABS($C332-$E332)&lt;=toleransKurus,"DAGITIM",IF(ABS($C332-$F332)&lt;=toleransKurus,"KDV",IF($G332&gt;0,"TUKETIM","TANIMSIZ")))))</f>
        <v/>
      </c>
    </row>
    <row r="333">
      <c r="A333" s="22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IF($A333="","",IFERROR(SUMIF(tblAnahtarA[Norm],$A333,tblVeriA[EnerjiBedeli]),0))</f>
        <v/>
      </c>
      <c r="E333" s="17">
        <f>IF($A333="","",IFERROR(SUMIF(tblAnahtarA[Norm],$A333,tblVeriA[DagitimBedeli]),0))</f>
        <v/>
      </c>
      <c r="F333" s="17">
        <f>IF($A333="","",IFERROR(SUMIF(tblAnahtarA[Norm],$A333,tblVeriA[VergiKdv]),0))</f>
        <v/>
      </c>
      <c r="G333" s="17">
        <f>IF($A333="","",IFERROR(SUMIF(tblAnahtarA[Norm],$A333,tblVeriA[TuketimKwh]),0))</f>
        <v/>
      </c>
      <c r="H333" s="17">
        <f>IF(OR($A333="",$B333&lt;&gt;"tutar_farki"),"",IF(ABS($C333-$D333)&lt;=toleransKurus,"TARIFE",IF(ABS($C333-$E333)&lt;=toleransKurus,"DAGITIM",IF(ABS($C333-$F333)&lt;=toleransKurus,"KDV",IF($G333&gt;0,"TUKETIM","TANIMSIZ")))))</f>
        <v/>
      </c>
    </row>
    <row r="334">
      <c r="A334" s="22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IF($A334="","",IFERROR(SUMIF(tblAnahtarA[Norm],$A334,tblVeriA[EnerjiBedeli]),0))</f>
        <v/>
      </c>
      <c r="E334" s="17">
        <f>IF($A334="","",IFERROR(SUMIF(tblAnahtarA[Norm],$A334,tblVeriA[DagitimBedeli]),0))</f>
        <v/>
      </c>
      <c r="F334" s="17">
        <f>IF($A334="","",IFERROR(SUMIF(tblAnahtarA[Norm],$A334,tblVeriA[VergiKdv]),0))</f>
        <v/>
      </c>
      <c r="G334" s="17">
        <f>IF($A334="","",IFERROR(SUMIF(tblAnahtarA[Norm],$A334,tblVeriA[TuketimKwh]),0))</f>
        <v/>
      </c>
      <c r="H334" s="17">
        <f>IF(OR($A334="",$B334&lt;&gt;"tutar_farki"),"",IF(ABS($C334-$D334)&lt;=toleransKurus,"TARIFE",IF(ABS($C334-$E334)&lt;=toleransKurus,"DAGITIM",IF(ABS($C334-$F334)&lt;=toleransKurus,"KDV",IF($G334&gt;0,"TUKETIM","TANIMSIZ")))))</f>
        <v/>
      </c>
    </row>
    <row r="335">
      <c r="A335" s="22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IF($A335="","",IFERROR(SUMIF(tblAnahtarA[Norm],$A335,tblVeriA[EnerjiBedeli]),0))</f>
        <v/>
      </c>
      <c r="E335" s="17">
        <f>IF($A335="","",IFERROR(SUMIF(tblAnahtarA[Norm],$A335,tblVeriA[DagitimBedeli]),0))</f>
        <v/>
      </c>
      <c r="F335" s="17">
        <f>IF($A335="","",IFERROR(SUMIF(tblAnahtarA[Norm],$A335,tblVeriA[VergiKdv]),0))</f>
        <v/>
      </c>
      <c r="G335" s="17">
        <f>IF($A335="","",IFERROR(SUMIF(tblAnahtarA[Norm],$A335,tblVeriA[TuketimKwh]),0))</f>
        <v/>
      </c>
      <c r="H335" s="17">
        <f>IF(OR($A335="",$B335&lt;&gt;"tutar_farki"),"",IF(ABS($C335-$D335)&lt;=toleransKurus,"TARIFE",IF(ABS($C335-$E335)&lt;=toleransKurus,"DAGITIM",IF(ABS($C335-$F335)&lt;=toleransKurus,"KDV",IF($G335&gt;0,"TUKETIM","TANIMSIZ")))))</f>
        <v/>
      </c>
    </row>
    <row r="336">
      <c r="A336" s="22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IF($A336="","",IFERROR(SUMIF(tblAnahtarA[Norm],$A336,tblVeriA[EnerjiBedeli]),0))</f>
        <v/>
      </c>
      <c r="E336" s="17">
        <f>IF($A336="","",IFERROR(SUMIF(tblAnahtarA[Norm],$A336,tblVeriA[DagitimBedeli]),0))</f>
        <v/>
      </c>
      <c r="F336" s="17">
        <f>IF($A336="","",IFERROR(SUMIF(tblAnahtarA[Norm],$A336,tblVeriA[VergiKdv]),0))</f>
        <v/>
      </c>
      <c r="G336" s="17">
        <f>IF($A336="","",IFERROR(SUMIF(tblAnahtarA[Norm],$A336,tblVeriA[TuketimKwh]),0))</f>
        <v/>
      </c>
      <c r="H336" s="17">
        <f>IF(OR($A336="",$B336&lt;&gt;"tutar_farki"),"",IF(ABS($C336-$D336)&lt;=toleransKurus,"TARIFE",IF(ABS($C336-$E336)&lt;=toleransKurus,"DAGITIM",IF(ABS($C336-$F336)&lt;=toleransKurus,"KDV",IF($G336&gt;0,"TUKETIM","TANIMSIZ")))))</f>
        <v/>
      </c>
    </row>
    <row r="337">
      <c r="A337" s="22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IF($A337="","",IFERROR(SUMIF(tblAnahtarA[Norm],$A337,tblVeriA[EnerjiBedeli]),0))</f>
        <v/>
      </c>
      <c r="E337" s="17">
        <f>IF($A337="","",IFERROR(SUMIF(tblAnahtarA[Norm],$A337,tblVeriA[DagitimBedeli]),0))</f>
        <v/>
      </c>
      <c r="F337" s="17">
        <f>IF($A337="","",IFERROR(SUMIF(tblAnahtarA[Norm],$A337,tblVeriA[VergiKdv]),0))</f>
        <v/>
      </c>
      <c r="G337" s="17">
        <f>IF($A337="","",IFERROR(SUMIF(tblAnahtarA[Norm],$A337,tblVeriA[TuketimKwh]),0))</f>
        <v/>
      </c>
      <c r="H337" s="17">
        <f>IF(OR($A337="",$B337&lt;&gt;"tutar_farki"),"",IF(ABS($C337-$D337)&lt;=toleransKurus,"TARIFE",IF(ABS($C337-$E337)&lt;=toleransKurus,"DAGITIM",IF(ABS($C337-$F337)&lt;=toleransKurus,"KDV",IF($G337&gt;0,"TUKETIM","TANIMSIZ")))))</f>
        <v/>
      </c>
    </row>
    <row r="338">
      <c r="A338" s="22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IF($A338="","",IFERROR(SUMIF(tblAnahtarA[Norm],$A338,tblVeriA[EnerjiBedeli]),0))</f>
        <v/>
      </c>
      <c r="E338" s="17">
        <f>IF($A338="","",IFERROR(SUMIF(tblAnahtarA[Norm],$A338,tblVeriA[DagitimBedeli]),0))</f>
        <v/>
      </c>
      <c r="F338" s="17">
        <f>IF($A338="","",IFERROR(SUMIF(tblAnahtarA[Norm],$A338,tblVeriA[VergiKdv]),0))</f>
        <v/>
      </c>
      <c r="G338" s="17">
        <f>IF($A338="","",IFERROR(SUMIF(tblAnahtarA[Norm],$A338,tblVeriA[TuketimKwh]),0))</f>
        <v/>
      </c>
      <c r="H338" s="17">
        <f>IF(OR($A338="",$B338&lt;&gt;"tutar_farki"),"",IF(ABS($C338-$D338)&lt;=toleransKurus,"TARIFE",IF(ABS($C338-$E338)&lt;=toleransKurus,"DAGITIM",IF(ABS($C338-$F338)&lt;=toleransKurus,"KDV",IF($G338&gt;0,"TUKETIM","TANIMSIZ")))))</f>
        <v/>
      </c>
    </row>
    <row r="339">
      <c r="A339" s="22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IF($A339="","",IFERROR(SUMIF(tblAnahtarA[Norm],$A339,tblVeriA[EnerjiBedeli]),0))</f>
        <v/>
      </c>
      <c r="E339" s="17">
        <f>IF($A339="","",IFERROR(SUMIF(tblAnahtarA[Norm],$A339,tblVeriA[DagitimBedeli]),0))</f>
        <v/>
      </c>
      <c r="F339" s="17">
        <f>IF($A339="","",IFERROR(SUMIF(tblAnahtarA[Norm],$A339,tblVeriA[VergiKdv]),0))</f>
        <v/>
      </c>
      <c r="G339" s="17">
        <f>IF($A339="","",IFERROR(SUMIF(tblAnahtarA[Norm],$A339,tblVeriA[TuketimKwh]),0))</f>
        <v/>
      </c>
      <c r="H339" s="17">
        <f>IF(OR($A339="",$B339&lt;&gt;"tutar_farki"),"",IF(ABS($C339-$D339)&lt;=toleransKurus,"TARIFE",IF(ABS($C339-$E339)&lt;=toleransKurus,"DAGITIM",IF(ABS($C339-$F339)&lt;=toleransKurus,"KDV",IF($G339&gt;0,"TUKETIM","TANIMSIZ")))))</f>
        <v/>
      </c>
    </row>
    <row r="340">
      <c r="A340" s="22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IF($A340="","",IFERROR(SUMIF(tblAnahtarA[Norm],$A340,tblVeriA[EnerjiBedeli]),0))</f>
        <v/>
      </c>
      <c r="E340" s="17">
        <f>IF($A340="","",IFERROR(SUMIF(tblAnahtarA[Norm],$A340,tblVeriA[DagitimBedeli]),0))</f>
        <v/>
      </c>
      <c r="F340" s="17">
        <f>IF($A340="","",IFERROR(SUMIF(tblAnahtarA[Norm],$A340,tblVeriA[VergiKdv]),0))</f>
        <v/>
      </c>
      <c r="G340" s="17">
        <f>IF($A340="","",IFERROR(SUMIF(tblAnahtarA[Norm],$A340,tblVeriA[TuketimKwh]),0))</f>
        <v/>
      </c>
      <c r="H340" s="17">
        <f>IF(OR($A340="",$B340&lt;&gt;"tutar_farki"),"",IF(ABS($C340-$D340)&lt;=toleransKurus,"TARIFE",IF(ABS($C340-$E340)&lt;=toleransKurus,"DAGITIM",IF(ABS($C340-$F340)&lt;=toleransKurus,"KDV",IF($G340&gt;0,"TUKETIM","TANIMSIZ")))))</f>
        <v/>
      </c>
    </row>
    <row r="341">
      <c r="A341" s="22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IF($A341="","",IFERROR(SUMIF(tblAnahtarA[Norm],$A341,tblVeriA[EnerjiBedeli]),0))</f>
        <v/>
      </c>
      <c r="E341" s="17">
        <f>IF($A341="","",IFERROR(SUMIF(tblAnahtarA[Norm],$A341,tblVeriA[DagitimBedeli]),0))</f>
        <v/>
      </c>
      <c r="F341" s="17">
        <f>IF($A341="","",IFERROR(SUMIF(tblAnahtarA[Norm],$A341,tblVeriA[VergiKdv]),0))</f>
        <v/>
      </c>
      <c r="G341" s="17">
        <f>IF($A341="","",IFERROR(SUMIF(tblAnahtarA[Norm],$A341,tblVeriA[TuketimKwh]),0))</f>
        <v/>
      </c>
      <c r="H341" s="17">
        <f>IF(OR($A341="",$B341&lt;&gt;"tutar_farki"),"",IF(ABS($C341-$D341)&lt;=toleransKurus,"TARIFE",IF(ABS($C341-$E341)&lt;=toleransKurus,"DAGITIM",IF(ABS($C341-$F341)&lt;=toleransKurus,"KDV",IF($G341&gt;0,"TUKETIM","TANIMSIZ")))))</f>
        <v/>
      </c>
    </row>
    <row r="342">
      <c r="A342" s="22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IF($A342="","",IFERROR(SUMIF(tblAnahtarA[Norm],$A342,tblVeriA[EnerjiBedeli]),0))</f>
        <v/>
      </c>
      <c r="E342" s="17">
        <f>IF($A342="","",IFERROR(SUMIF(tblAnahtarA[Norm],$A342,tblVeriA[DagitimBedeli]),0))</f>
        <v/>
      </c>
      <c r="F342" s="17">
        <f>IF($A342="","",IFERROR(SUMIF(tblAnahtarA[Norm],$A342,tblVeriA[VergiKdv]),0))</f>
        <v/>
      </c>
      <c r="G342" s="17">
        <f>IF($A342="","",IFERROR(SUMIF(tblAnahtarA[Norm],$A342,tblVeriA[TuketimKwh]),0))</f>
        <v/>
      </c>
      <c r="H342" s="17">
        <f>IF(OR($A342="",$B342&lt;&gt;"tutar_farki"),"",IF(ABS($C342-$D342)&lt;=toleransKurus,"TARIFE",IF(ABS($C342-$E342)&lt;=toleransKurus,"DAGITIM",IF(ABS($C342-$F342)&lt;=toleransKurus,"KDV",IF($G342&gt;0,"TUKETIM","TANIMSIZ")))))</f>
        <v/>
      </c>
    </row>
    <row r="343">
      <c r="A343" s="22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IF($A343="","",IFERROR(SUMIF(tblAnahtarA[Norm],$A343,tblVeriA[EnerjiBedeli]),0))</f>
        <v/>
      </c>
      <c r="E343" s="17">
        <f>IF($A343="","",IFERROR(SUMIF(tblAnahtarA[Norm],$A343,tblVeriA[DagitimBedeli]),0))</f>
        <v/>
      </c>
      <c r="F343" s="17">
        <f>IF($A343="","",IFERROR(SUMIF(tblAnahtarA[Norm],$A343,tblVeriA[VergiKdv]),0))</f>
        <v/>
      </c>
      <c r="G343" s="17">
        <f>IF($A343="","",IFERROR(SUMIF(tblAnahtarA[Norm],$A343,tblVeriA[TuketimKwh]),0))</f>
        <v/>
      </c>
      <c r="H343" s="17">
        <f>IF(OR($A343="",$B343&lt;&gt;"tutar_farki"),"",IF(ABS($C343-$D343)&lt;=toleransKurus,"TARIFE",IF(ABS($C343-$E343)&lt;=toleransKurus,"DAGITIM",IF(ABS($C343-$F343)&lt;=toleransKurus,"KDV",IF($G343&gt;0,"TUKETIM","TANIMSIZ")))))</f>
        <v/>
      </c>
    </row>
    <row r="344">
      <c r="A344" s="22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IF($A344="","",IFERROR(SUMIF(tblAnahtarA[Norm],$A344,tblVeriA[EnerjiBedeli]),0))</f>
        <v/>
      </c>
      <c r="E344" s="17">
        <f>IF($A344="","",IFERROR(SUMIF(tblAnahtarA[Norm],$A344,tblVeriA[DagitimBedeli]),0))</f>
        <v/>
      </c>
      <c r="F344" s="17">
        <f>IF($A344="","",IFERROR(SUMIF(tblAnahtarA[Norm],$A344,tblVeriA[VergiKdv]),0))</f>
        <v/>
      </c>
      <c r="G344" s="17">
        <f>IF($A344="","",IFERROR(SUMIF(tblAnahtarA[Norm],$A344,tblVeriA[TuketimKwh]),0))</f>
        <v/>
      </c>
      <c r="H344" s="17">
        <f>IF(OR($A344="",$B344&lt;&gt;"tutar_farki"),"",IF(ABS($C344-$D344)&lt;=toleransKurus,"TARIFE",IF(ABS($C344-$E344)&lt;=toleransKurus,"DAGITIM",IF(ABS($C344-$F344)&lt;=toleransKurus,"KDV",IF($G344&gt;0,"TUKETIM","TANIMSIZ")))))</f>
        <v/>
      </c>
    </row>
    <row r="345">
      <c r="A345" s="22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IF($A345="","",IFERROR(SUMIF(tblAnahtarA[Norm],$A345,tblVeriA[EnerjiBedeli]),0))</f>
        <v/>
      </c>
      <c r="E345" s="17">
        <f>IF($A345="","",IFERROR(SUMIF(tblAnahtarA[Norm],$A345,tblVeriA[DagitimBedeli]),0))</f>
        <v/>
      </c>
      <c r="F345" s="17">
        <f>IF($A345="","",IFERROR(SUMIF(tblAnahtarA[Norm],$A345,tblVeriA[VergiKdv]),0))</f>
        <v/>
      </c>
      <c r="G345" s="17">
        <f>IF($A345="","",IFERROR(SUMIF(tblAnahtarA[Norm],$A345,tblVeriA[TuketimKwh]),0))</f>
        <v/>
      </c>
      <c r="H345" s="17">
        <f>IF(OR($A345="",$B345&lt;&gt;"tutar_farki"),"",IF(ABS($C345-$D345)&lt;=toleransKurus,"TARIFE",IF(ABS($C345-$E345)&lt;=toleransKurus,"DAGITIM",IF(ABS($C345-$F345)&lt;=toleransKurus,"KDV",IF($G345&gt;0,"TUKETIM","TANIMSIZ")))))</f>
        <v/>
      </c>
    </row>
    <row r="346">
      <c r="A346" s="22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IF($A346="","",IFERROR(SUMIF(tblAnahtarA[Norm],$A346,tblVeriA[EnerjiBedeli]),0))</f>
        <v/>
      </c>
      <c r="E346" s="17">
        <f>IF($A346="","",IFERROR(SUMIF(tblAnahtarA[Norm],$A346,tblVeriA[DagitimBedeli]),0))</f>
        <v/>
      </c>
      <c r="F346" s="17">
        <f>IF($A346="","",IFERROR(SUMIF(tblAnahtarA[Norm],$A346,tblVeriA[VergiKdv]),0))</f>
        <v/>
      </c>
      <c r="G346" s="17">
        <f>IF($A346="","",IFERROR(SUMIF(tblAnahtarA[Norm],$A346,tblVeriA[TuketimKwh]),0))</f>
        <v/>
      </c>
      <c r="H346" s="17">
        <f>IF(OR($A346="",$B346&lt;&gt;"tutar_farki"),"",IF(ABS($C346-$D346)&lt;=toleransKurus,"TARIFE",IF(ABS($C346-$E346)&lt;=toleransKurus,"DAGITIM",IF(ABS($C346-$F346)&lt;=toleransKurus,"KDV",IF($G346&gt;0,"TUKETIM","TANIMSIZ")))))</f>
        <v/>
      </c>
    </row>
    <row r="347">
      <c r="A347" s="22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IF($A347="","",IFERROR(SUMIF(tblAnahtarA[Norm],$A347,tblVeriA[EnerjiBedeli]),0))</f>
        <v/>
      </c>
      <c r="E347" s="17">
        <f>IF($A347="","",IFERROR(SUMIF(tblAnahtarA[Norm],$A347,tblVeriA[DagitimBedeli]),0))</f>
        <v/>
      </c>
      <c r="F347" s="17">
        <f>IF($A347="","",IFERROR(SUMIF(tblAnahtarA[Norm],$A347,tblVeriA[VergiKdv]),0))</f>
        <v/>
      </c>
      <c r="G347" s="17">
        <f>IF($A347="","",IFERROR(SUMIF(tblAnahtarA[Norm],$A347,tblVeriA[TuketimKwh]),0))</f>
        <v/>
      </c>
      <c r="H347" s="17">
        <f>IF(OR($A347="",$B347&lt;&gt;"tutar_farki"),"",IF(ABS($C347-$D347)&lt;=toleransKurus,"TARIFE",IF(ABS($C347-$E347)&lt;=toleransKurus,"DAGITIM",IF(ABS($C347-$F347)&lt;=toleransKurus,"KDV",IF($G347&gt;0,"TUKETIM","TANIMSIZ")))))</f>
        <v/>
      </c>
    </row>
    <row r="348">
      <c r="A348" s="22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IF($A348="","",IFERROR(SUMIF(tblAnahtarA[Norm],$A348,tblVeriA[EnerjiBedeli]),0))</f>
        <v/>
      </c>
      <c r="E348" s="17">
        <f>IF($A348="","",IFERROR(SUMIF(tblAnahtarA[Norm],$A348,tblVeriA[DagitimBedeli]),0))</f>
        <v/>
      </c>
      <c r="F348" s="17">
        <f>IF($A348="","",IFERROR(SUMIF(tblAnahtarA[Norm],$A348,tblVeriA[VergiKdv]),0))</f>
        <v/>
      </c>
      <c r="G348" s="17">
        <f>IF($A348="","",IFERROR(SUMIF(tblAnahtarA[Norm],$A348,tblVeriA[TuketimKwh]),0))</f>
        <v/>
      </c>
      <c r="H348" s="17">
        <f>IF(OR($A348="",$B348&lt;&gt;"tutar_farki"),"",IF(ABS($C348-$D348)&lt;=toleransKurus,"TARIFE",IF(ABS($C348-$E348)&lt;=toleransKurus,"DAGITIM",IF(ABS($C348-$F348)&lt;=toleransKurus,"KDV",IF($G348&gt;0,"TUKETIM","TANIMSIZ")))))</f>
        <v/>
      </c>
    </row>
    <row r="349">
      <c r="A349" s="22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IF($A349="","",IFERROR(SUMIF(tblAnahtarA[Norm],$A349,tblVeriA[EnerjiBedeli]),0))</f>
        <v/>
      </c>
      <c r="E349" s="17">
        <f>IF($A349="","",IFERROR(SUMIF(tblAnahtarA[Norm],$A349,tblVeriA[DagitimBedeli]),0))</f>
        <v/>
      </c>
      <c r="F349" s="17">
        <f>IF($A349="","",IFERROR(SUMIF(tblAnahtarA[Norm],$A349,tblVeriA[VergiKdv]),0))</f>
        <v/>
      </c>
      <c r="G349" s="17">
        <f>IF($A349="","",IFERROR(SUMIF(tblAnahtarA[Norm],$A349,tblVeriA[TuketimKwh]),0))</f>
        <v/>
      </c>
      <c r="H349" s="17">
        <f>IF(OR($A349="",$B349&lt;&gt;"tutar_farki"),"",IF(ABS($C349-$D349)&lt;=toleransKurus,"TARIFE",IF(ABS($C349-$E349)&lt;=toleransKurus,"DAGITIM",IF(ABS($C349-$F349)&lt;=toleransKurus,"KDV",IF($G349&gt;0,"TUKETIM","TANIMSIZ")))))</f>
        <v/>
      </c>
    </row>
    <row r="350">
      <c r="A350" s="22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IF($A350="","",IFERROR(SUMIF(tblAnahtarA[Norm],$A350,tblVeriA[EnerjiBedeli]),0))</f>
        <v/>
      </c>
      <c r="E350" s="17">
        <f>IF($A350="","",IFERROR(SUMIF(tblAnahtarA[Norm],$A350,tblVeriA[DagitimBedeli]),0))</f>
        <v/>
      </c>
      <c r="F350" s="17">
        <f>IF($A350="","",IFERROR(SUMIF(tblAnahtarA[Norm],$A350,tblVeriA[VergiKdv]),0))</f>
        <v/>
      </c>
      <c r="G350" s="17">
        <f>IF($A350="","",IFERROR(SUMIF(tblAnahtarA[Norm],$A350,tblVeriA[TuketimKwh]),0))</f>
        <v/>
      </c>
      <c r="H350" s="17">
        <f>IF(OR($A350="",$B350&lt;&gt;"tutar_farki"),"",IF(ABS($C350-$D350)&lt;=toleransKurus,"TARIFE",IF(ABS($C350-$E350)&lt;=toleransKurus,"DAGITIM",IF(ABS($C350-$F350)&lt;=toleransKurus,"KDV",IF($G350&gt;0,"TUKETIM","TANIMSIZ")))))</f>
        <v/>
      </c>
    </row>
    <row r="351">
      <c r="A351" s="22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IF($A351="","",IFERROR(SUMIF(tblAnahtarA[Norm],$A351,tblVeriA[EnerjiBedeli]),0))</f>
        <v/>
      </c>
      <c r="E351" s="17">
        <f>IF($A351="","",IFERROR(SUMIF(tblAnahtarA[Norm],$A351,tblVeriA[DagitimBedeli]),0))</f>
        <v/>
      </c>
      <c r="F351" s="17">
        <f>IF($A351="","",IFERROR(SUMIF(tblAnahtarA[Norm],$A351,tblVeriA[VergiKdv]),0))</f>
        <v/>
      </c>
      <c r="G351" s="17">
        <f>IF($A351="","",IFERROR(SUMIF(tblAnahtarA[Norm],$A351,tblVeriA[TuketimKwh]),0))</f>
        <v/>
      </c>
      <c r="H351" s="17">
        <f>IF(OR($A351="",$B351&lt;&gt;"tutar_farki"),"",IF(ABS($C351-$D351)&lt;=toleransKurus,"TARIFE",IF(ABS($C351-$E351)&lt;=toleransKurus,"DAGITIM",IF(ABS($C351-$F351)&lt;=toleransKurus,"KDV",IF($G351&gt;0,"TUKETIM","TANIMSIZ")))))</f>
        <v/>
      </c>
    </row>
    <row r="352">
      <c r="A352" s="22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IF($A352="","",IFERROR(SUMIF(tblAnahtarA[Norm],$A352,tblVeriA[EnerjiBedeli]),0))</f>
        <v/>
      </c>
      <c r="E352" s="17">
        <f>IF($A352="","",IFERROR(SUMIF(tblAnahtarA[Norm],$A352,tblVeriA[DagitimBedeli]),0))</f>
        <v/>
      </c>
      <c r="F352" s="17">
        <f>IF($A352="","",IFERROR(SUMIF(tblAnahtarA[Norm],$A352,tblVeriA[VergiKdv]),0))</f>
        <v/>
      </c>
      <c r="G352" s="17">
        <f>IF($A352="","",IFERROR(SUMIF(tblAnahtarA[Norm],$A352,tblVeriA[TuketimKwh]),0))</f>
        <v/>
      </c>
      <c r="H352" s="17">
        <f>IF(OR($A352="",$B352&lt;&gt;"tutar_farki"),"",IF(ABS($C352-$D352)&lt;=toleransKurus,"TARIFE",IF(ABS($C352-$E352)&lt;=toleransKurus,"DAGITIM",IF(ABS($C352-$F352)&lt;=toleransKurus,"KDV",IF($G352&gt;0,"TUKETIM","TANIMSIZ")))))</f>
        <v/>
      </c>
    </row>
    <row r="353">
      <c r="A353" s="22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IF($A353="","",IFERROR(SUMIF(tblAnahtarA[Norm],$A353,tblVeriA[EnerjiBedeli]),0))</f>
        <v/>
      </c>
      <c r="E353" s="17">
        <f>IF($A353="","",IFERROR(SUMIF(tblAnahtarA[Norm],$A353,tblVeriA[DagitimBedeli]),0))</f>
        <v/>
      </c>
      <c r="F353" s="17">
        <f>IF($A353="","",IFERROR(SUMIF(tblAnahtarA[Norm],$A353,tblVeriA[VergiKdv]),0))</f>
        <v/>
      </c>
      <c r="G353" s="17">
        <f>IF($A353="","",IFERROR(SUMIF(tblAnahtarA[Norm],$A353,tblVeriA[TuketimKwh]),0))</f>
        <v/>
      </c>
      <c r="H353" s="17">
        <f>IF(OR($A353="",$B353&lt;&gt;"tutar_farki"),"",IF(ABS($C353-$D353)&lt;=toleransKurus,"TARIFE",IF(ABS($C353-$E353)&lt;=toleransKurus,"DAGITIM",IF(ABS($C353-$F353)&lt;=toleransKurus,"KDV",IF($G353&gt;0,"TUKETIM","TANIMSIZ")))))</f>
        <v/>
      </c>
    </row>
    <row r="354">
      <c r="A354" s="22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IF($A354="","",IFERROR(SUMIF(tblAnahtarA[Norm],$A354,tblVeriA[EnerjiBedeli]),0))</f>
        <v/>
      </c>
      <c r="E354" s="17">
        <f>IF($A354="","",IFERROR(SUMIF(tblAnahtarA[Norm],$A354,tblVeriA[DagitimBedeli]),0))</f>
        <v/>
      </c>
      <c r="F354" s="17">
        <f>IF($A354="","",IFERROR(SUMIF(tblAnahtarA[Norm],$A354,tblVeriA[VergiKdv]),0))</f>
        <v/>
      </c>
      <c r="G354" s="17">
        <f>IF($A354="","",IFERROR(SUMIF(tblAnahtarA[Norm],$A354,tblVeriA[TuketimKwh]),0))</f>
        <v/>
      </c>
      <c r="H354" s="17">
        <f>IF(OR($A354="",$B354&lt;&gt;"tutar_farki"),"",IF(ABS($C354-$D354)&lt;=toleransKurus,"TARIFE",IF(ABS($C354-$E354)&lt;=toleransKurus,"DAGITIM",IF(ABS($C354-$F354)&lt;=toleransKurus,"KDV",IF($G354&gt;0,"TUKETIM","TANIMSIZ")))))</f>
        <v/>
      </c>
    </row>
    <row r="355">
      <c r="A355" s="22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IF($A355="","",IFERROR(SUMIF(tblAnahtarA[Norm],$A355,tblVeriA[EnerjiBedeli]),0))</f>
        <v/>
      </c>
      <c r="E355" s="17">
        <f>IF($A355="","",IFERROR(SUMIF(tblAnahtarA[Norm],$A355,tblVeriA[DagitimBedeli]),0))</f>
        <v/>
      </c>
      <c r="F355" s="17">
        <f>IF($A355="","",IFERROR(SUMIF(tblAnahtarA[Norm],$A355,tblVeriA[VergiKdv]),0))</f>
        <v/>
      </c>
      <c r="G355" s="17">
        <f>IF($A355="","",IFERROR(SUMIF(tblAnahtarA[Norm],$A355,tblVeriA[TuketimKwh]),0))</f>
        <v/>
      </c>
      <c r="H355" s="17">
        <f>IF(OR($A355="",$B355&lt;&gt;"tutar_farki"),"",IF(ABS($C355-$D355)&lt;=toleransKurus,"TARIFE",IF(ABS($C355-$E355)&lt;=toleransKurus,"DAGITIM",IF(ABS($C355-$F355)&lt;=toleransKurus,"KDV",IF($G355&gt;0,"TUKETIM","TANIMSIZ")))))</f>
        <v/>
      </c>
    </row>
    <row r="356">
      <c r="A356" s="22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IF($A356="","",IFERROR(SUMIF(tblAnahtarA[Norm],$A356,tblVeriA[EnerjiBedeli]),0))</f>
        <v/>
      </c>
      <c r="E356" s="17">
        <f>IF($A356="","",IFERROR(SUMIF(tblAnahtarA[Norm],$A356,tblVeriA[DagitimBedeli]),0))</f>
        <v/>
      </c>
      <c r="F356" s="17">
        <f>IF($A356="","",IFERROR(SUMIF(tblAnahtarA[Norm],$A356,tblVeriA[VergiKdv]),0))</f>
        <v/>
      </c>
      <c r="G356" s="17">
        <f>IF($A356="","",IFERROR(SUMIF(tblAnahtarA[Norm],$A356,tblVeriA[TuketimKwh]),0))</f>
        <v/>
      </c>
      <c r="H356" s="17">
        <f>IF(OR($A356="",$B356&lt;&gt;"tutar_farki"),"",IF(ABS($C356-$D356)&lt;=toleransKurus,"TARIFE",IF(ABS($C356-$E356)&lt;=toleransKurus,"DAGITIM",IF(ABS($C356-$F356)&lt;=toleransKurus,"KDV",IF($G356&gt;0,"TUKETIM","TANIMSIZ")))))</f>
        <v/>
      </c>
    </row>
    <row r="357">
      <c r="A357" s="22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IF($A357="","",IFERROR(SUMIF(tblAnahtarA[Norm],$A357,tblVeriA[EnerjiBedeli]),0))</f>
        <v/>
      </c>
      <c r="E357" s="17">
        <f>IF($A357="","",IFERROR(SUMIF(tblAnahtarA[Norm],$A357,tblVeriA[DagitimBedeli]),0))</f>
        <v/>
      </c>
      <c r="F357" s="17">
        <f>IF($A357="","",IFERROR(SUMIF(tblAnahtarA[Norm],$A357,tblVeriA[VergiKdv]),0))</f>
        <v/>
      </c>
      <c r="G357" s="17">
        <f>IF($A357="","",IFERROR(SUMIF(tblAnahtarA[Norm],$A357,tblVeriA[TuketimKwh]),0))</f>
        <v/>
      </c>
      <c r="H357" s="17">
        <f>IF(OR($A357="",$B357&lt;&gt;"tutar_farki"),"",IF(ABS($C357-$D357)&lt;=toleransKurus,"TARIFE",IF(ABS($C357-$E357)&lt;=toleransKurus,"DAGITIM",IF(ABS($C357-$F357)&lt;=toleransKurus,"KDV",IF($G357&gt;0,"TUKETIM","TANIMSIZ")))))</f>
        <v/>
      </c>
    </row>
    <row r="358">
      <c r="A358" s="22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IF($A358="","",IFERROR(SUMIF(tblAnahtarA[Norm],$A358,tblVeriA[EnerjiBedeli]),0))</f>
        <v/>
      </c>
      <c r="E358" s="17">
        <f>IF($A358="","",IFERROR(SUMIF(tblAnahtarA[Norm],$A358,tblVeriA[DagitimBedeli]),0))</f>
        <v/>
      </c>
      <c r="F358" s="17">
        <f>IF($A358="","",IFERROR(SUMIF(tblAnahtarA[Norm],$A358,tblVeriA[VergiKdv]),0))</f>
        <v/>
      </c>
      <c r="G358" s="17">
        <f>IF($A358="","",IFERROR(SUMIF(tblAnahtarA[Norm],$A358,tblVeriA[TuketimKwh]),0))</f>
        <v/>
      </c>
      <c r="H358" s="17">
        <f>IF(OR($A358="",$B358&lt;&gt;"tutar_farki"),"",IF(ABS($C358-$D358)&lt;=toleransKurus,"TARIFE",IF(ABS($C358-$E358)&lt;=toleransKurus,"DAGITIM",IF(ABS($C358-$F358)&lt;=toleransKurus,"KDV",IF($G358&gt;0,"TUKETIM","TANIMSIZ")))))</f>
        <v/>
      </c>
    </row>
    <row r="359">
      <c r="A359" s="22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IF($A359="","",IFERROR(SUMIF(tblAnahtarA[Norm],$A359,tblVeriA[EnerjiBedeli]),0))</f>
        <v/>
      </c>
      <c r="E359" s="17">
        <f>IF($A359="","",IFERROR(SUMIF(tblAnahtarA[Norm],$A359,tblVeriA[DagitimBedeli]),0))</f>
        <v/>
      </c>
      <c r="F359" s="17">
        <f>IF($A359="","",IFERROR(SUMIF(tblAnahtarA[Norm],$A359,tblVeriA[VergiKdv]),0))</f>
        <v/>
      </c>
      <c r="G359" s="17">
        <f>IF($A359="","",IFERROR(SUMIF(tblAnahtarA[Norm],$A359,tblVeriA[TuketimKwh]),0))</f>
        <v/>
      </c>
      <c r="H359" s="17">
        <f>IF(OR($A359="",$B359&lt;&gt;"tutar_farki"),"",IF(ABS($C359-$D359)&lt;=toleransKurus,"TARIFE",IF(ABS($C359-$E359)&lt;=toleransKurus,"DAGITIM",IF(ABS($C359-$F359)&lt;=toleransKurus,"KDV",IF($G359&gt;0,"TUKETIM","TANIMSIZ")))))</f>
        <v/>
      </c>
    </row>
    <row r="360">
      <c r="A360" s="22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IF($A360="","",IFERROR(SUMIF(tblAnahtarA[Norm],$A360,tblVeriA[EnerjiBedeli]),0))</f>
        <v/>
      </c>
      <c r="E360" s="17">
        <f>IF($A360="","",IFERROR(SUMIF(tblAnahtarA[Norm],$A360,tblVeriA[DagitimBedeli]),0))</f>
        <v/>
      </c>
      <c r="F360" s="17">
        <f>IF($A360="","",IFERROR(SUMIF(tblAnahtarA[Norm],$A360,tblVeriA[VergiKdv]),0))</f>
        <v/>
      </c>
      <c r="G360" s="17">
        <f>IF($A360="","",IFERROR(SUMIF(tblAnahtarA[Norm],$A360,tblVeriA[TuketimKwh]),0))</f>
        <v/>
      </c>
      <c r="H360" s="17">
        <f>IF(OR($A360="",$B360&lt;&gt;"tutar_farki"),"",IF(ABS($C360-$D360)&lt;=toleransKurus,"TARIFE",IF(ABS($C360-$E360)&lt;=toleransKurus,"DAGITIM",IF(ABS($C360-$F360)&lt;=toleransKurus,"KDV",IF($G360&gt;0,"TUKETIM","TANIMSIZ")))))</f>
        <v/>
      </c>
    </row>
    <row r="361">
      <c r="A361" s="22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IF($A361="","",IFERROR(SUMIF(tblAnahtarA[Norm],$A361,tblVeriA[EnerjiBedeli]),0))</f>
        <v/>
      </c>
      <c r="E361" s="17">
        <f>IF($A361="","",IFERROR(SUMIF(tblAnahtarA[Norm],$A361,tblVeriA[DagitimBedeli]),0))</f>
        <v/>
      </c>
      <c r="F361" s="17">
        <f>IF($A361="","",IFERROR(SUMIF(tblAnahtarA[Norm],$A361,tblVeriA[VergiKdv]),0))</f>
        <v/>
      </c>
      <c r="G361" s="17">
        <f>IF($A361="","",IFERROR(SUMIF(tblAnahtarA[Norm],$A361,tblVeriA[TuketimKwh]),0))</f>
        <v/>
      </c>
      <c r="H361" s="17">
        <f>IF(OR($A361="",$B361&lt;&gt;"tutar_farki"),"",IF(ABS($C361-$D361)&lt;=toleransKurus,"TARIFE",IF(ABS($C361-$E361)&lt;=toleransKurus,"DAGITIM",IF(ABS($C361-$F361)&lt;=toleransKurus,"KDV",IF($G361&gt;0,"TUKETIM","TANIMSIZ")))))</f>
        <v/>
      </c>
    </row>
    <row r="362">
      <c r="A362" s="22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IF($A362="","",IFERROR(SUMIF(tblAnahtarA[Norm],$A362,tblVeriA[EnerjiBedeli]),0))</f>
        <v/>
      </c>
      <c r="E362" s="17">
        <f>IF($A362="","",IFERROR(SUMIF(tblAnahtarA[Norm],$A362,tblVeriA[DagitimBedeli]),0))</f>
        <v/>
      </c>
      <c r="F362" s="17">
        <f>IF($A362="","",IFERROR(SUMIF(tblAnahtarA[Norm],$A362,tblVeriA[VergiKdv]),0))</f>
        <v/>
      </c>
      <c r="G362" s="17">
        <f>IF($A362="","",IFERROR(SUMIF(tblAnahtarA[Norm],$A362,tblVeriA[TuketimKwh]),0))</f>
        <v/>
      </c>
      <c r="H362" s="17">
        <f>IF(OR($A362="",$B362&lt;&gt;"tutar_farki"),"",IF(ABS($C362-$D362)&lt;=toleransKurus,"TARIFE",IF(ABS($C362-$E362)&lt;=toleransKurus,"DAGITIM",IF(ABS($C362-$F362)&lt;=toleransKurus,"KDV",IF($G362&gt;0,"TUKETIM","TANIMSIZ")))))</f>
        <v/>
      </c>
    </row>
    <row r="363">
      <c r="A363" s="22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IF($A363="","",IFERROR(SUMIF(tblAnahtarA[Norm],$A363,tblVeriA[EnerjiBedeli]),0))</f>
        <v/>
      </c>
      <c r="E363" s="17">
        <f>IF($A363="","",IFERROR(SUMIF(tblAnahtarA[Norm],$A363,tblVeriA[DagitimBedeli]),0))</f>
        <v/>
      </c>
      <c r="F363" s="17">
        <f>IF($A363="","",IFERROR(SUMIF(tblAnahtarA[Norm],$A363,tblVeriA[VergiKdv]),0))</f>
        <v/>
      </c>
      <c r="G363" s="17">
        <f>IF($A363="","",IFERROR(SUMIF(tblAnahtarA[Norm],$A363,tblVeriA[TuketimKwh]),0))</f>
        <v/>
      </c>
      <c r="H363" s="17">
        <f>IF(OR($A363="",$B363&lt;&gt;"tutar_farki"),"",IF(ABS($C363-$D363)&lt;=toleransKurus,"TARIFE",IF(ABS($C363-$E363)&lt;=toleransKurus,"DAGITIM",IF(ABS($C363-$F363)&lt;=toleransKurus,"KDV",IF($G363&gt;0,"TUKETIM","TANIMSIZ")))))</f>
        <v/>
      </c>
    </row>
    <row r="364">
      <c r="A364" s="22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IF($A364="","",IFERROR(SUMIF(tblAnahtarA[Norm],$A364,tblVeriA[EnerjiBedeli]),0))</f>
        <v/>
      </c>
      <c r="E364" s="17">
        <f>IF($A364="","",IFERROR(SUMIF(tblAnahtarA[Norm],$A364,tblVeriA[DagitimBedeli]),0))</f>
        <v/>
      </c>
      <c r="F364" s="17">
        <f>IF($A364="","",IFERROR(SUMIF(tblAnahtarA[Norm],$A364,tblVeriA[VergiKdv]),0))</f>
        <v/>
      </c>
      <c r="G364" s="17">
        <f>IF($A364="","",IFERROR(SUMIF(tblAnahtarA[Norm],$A364,tblVeriA[TuketimKwh]),0))</f>
        <v/>
      </c>
      <c r="H364" s="17">
        <f>IF(OR($A364="",$B364&lt;&gt;"tutar_farki"),"",IF(ABS($C364-$D364)&lt;=toleransKurus,"TARIFE",IF(ABS($C364-$E364)&lt;=toleransKurus,"DAGITIM",IF(ABS($C364-$F364)&lt;=toleransKurus,"KDV",IF($G364&gt;0,"TUKETIM","TANIMSIZ")))))</f>
        <v/>
      </c>
    </row>
    <row r="365">
      <c r="A365" s="22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IF($A365="","",IFERROR(SUMIF(tblAnahtarA[Norm],$A365,tblVeriA[EnerjiBedeli]),0))</f>
        <v/>
      </c>
      <c r="E365" s="17">
        <f>IF($A365="","",IFERROR(SUMIF(tblAnahtarA[Norm],$A365,tblVeriA[DagitimBedeli]),0))</f>
        <v/>
      </c>
      <c r="F365" s="17">
        <f>IF($A365="","",IFERROR(SUMIF(tblAnahtarA[Norm],$A365,tblVeriA[VergiKdv]),0))</f>
        <v/>
      </c>
      <c r="G365" s="17">
        <f>IF($A365="","",IFERROR(SUMIF(tblAnahtarA[Norm],$A365,tblVeriA[TuketimKwh]),0))</f>
        <v/>
      </c>
      <c r="H365" s="17">
        <f>IF(OR($A365="",$B365&lt;&gt;"tutar_farki"),"",IF(ABS($C365-$D365)&lt;=toleransKurus,"TARIFE",IF(ABS($C365-$E365)&lt;=toleransKurus,"DAGITIM",IF(ABS($C365-$F365)&lt;=toleransKurus,"KDV",IF($G365&gt;0,"TUKETIM","TANIMSIZ")))))</f>
        <v/>
      </c>
    </row>
    <row r="366">
      <c r="A366" s="22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IF($A366="","",IFERROR(SUMIF(tblAnahtarA[Norm],$A366,tblVeriA[EnerjiBedeli]),0))</f>
        <v/>
      </c>
      <c r="E366" s="17">
        <f>IF($A366="","",IFERROR(SUMIF(tblAnahtarA[Norm],$A366,tblVeriA[DagitimBedeli]),0))</f>
        <v/>
      </c>
      <c r="F366" s="17">
        <f>IF($A366="","",IFERROR(SUMIF(tblAnahtarA[Norm],$A366,tblVeriA[VergiKdv]),0))</f>
        <v/>
      </c>
      <c r="G366" s="17">
        <f>IF($A366="","",IFERROR(SUMIF(tblAnahtarA[Norm],$A366,tblVeriA[TuketimKwh]),0))</f>
        <v/>
      </c>
      <c r="H366" s="17">
        <f>IF(OR($A366="",$B366&lt;&gt;"tutar_farki"),"",IF(ABS($C366-$D366)&lt;=toleransKurus,"TARIFE",IF(ABS($C366-$E366)&lt;=toleransKurus,"DAGITIM",IF(ABS($C366-$F366)&lt;=toleransKurus,"KDV",IF($G366&gt;0,"TUKETIM","TANIMSIZ")))))</f>
        <v/>
      </c>
    </row>
    <row r="367">
      <c r="A367" s="22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IF($A367="","",IFERROR(SUMIF(tblAnahtarA[Norm],$A367,tblVeriA[EnerjiBedeli]),0))</f>
        <v/>
      </c>
      <c r="E367" s="17">
        <f>IF($A367="","",IFERROR(SUMIF(tblAnahtarA[Norm],$A367,tblVeriA[DagitimBedeli]),0))</f>
        <v/>
      </c>
      <c r="F367" s="17">
        <f>IF($A367="","",IFERROR(SUMIF(tblAnahtarA[Norm],$A367,tblVeriA[VergiKdv]),0))</f>
        <v/>
      </c>
      <c r="G367" s="17">
        <f>IF($A367="","",IFERROR(SUMIF(tblAnahtarA[Norm],$A367,tblVeriA[TuketimKwh]),0))</f>
        <v/>
      </c>
      <c r="H367" s="17">
        <f>IF(OR($A367="",$B367&lt;&gt;"tutar_farki"),"",IF(ABS($C367-$D367)&lt;=toleransKurus,"TARIFE",IF(ABS($C367-$E367)&lt;=toleransKurus,"DAGITIM",IF(ABS($C367-$F367)&lt;=toleransKurus,"KDV",IF($G367&gt;0,"TUKETIM","TANIMSIZ")))))</f>
        <v/>
      </c>
    </row>
    <row r="368">
      <c r="A368" s="22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IF($A368="","",IFERROR(SUMIF(tblAnahtarA[Norm],$A368,tblVeriA[EnerjiBedeli]),0))</f>
        <v/>
      </c>
      <c r="E368" s="17">
        <f>IF($A368="","",IFERROR(SUMIF(tblAnahtarA[Norm],$A368,tblVeriA[DagitimBedeli]),0))</f>
        <v/>
      </c>
      <c r="F368" s="17">
        <f>IF($A368="","",IFERROR(SUMIF(tblAnahtarA[Norm],$A368,tblVeriA[VergiKdv]),0))</f>
        <v/>
      </c>
      <c r="G368" s="17">
        <f>IF($A368="","",IFERROR(SUMIF(tblAnahtarA[Norm],$A368,tblVeriA[TuketimKwh]),0))</f>
        <v/>
      </c>
      <c r="H368" s="17">
        <f>IF(OR($A368="",$B368&lt;&gt;"tutar_farki"),"",IF(ABS($C368-$D368)&lt;=toleransKurus,"TARIFE",IF(ABS($C368-$E368)&lt;=toleransKurus,"DAGITIM",IF(ABS($C368-$F368)&lt;=toleransKurus,"KDV",IF($G368&gt;0,"TUKETIM","TANIMSIZ")))))</f>
        <v/>
      </c>
    </row>
    <row r="369">
      <c r="A369" s="22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IF($A369="","",IFERROR(SUMIF(tblAnahtarA[Norm],$A369,tblVeriA[EnerjiBedeli]),0))</f>
        <v/>
      </c>
      <c r="E369" s="17">
        <f>IF($A369="","",IFERROR(SUMIF(tblAnahtarA[Norm],$A369,tblVeriA[DagitimBedeli]),0))</f>
        <v/>
      </c>
      <c r="F369" s="17">
        <f>IF($A369="","",IFERROR(SUMIF(tblAnahtarA[Norm],$A369,tblVeriA[VergiKdv]),0))</f>
        <v/>
      </c>
      <c r="G369" s="17">
        <f>IF($A369="","",IFERROR(SUMIF(tblAnahtarA[Norm],$A369,tblVeriA[TuketimKwh]),0))</f>
        <v/>
      </c>
      <c r="H369" s="17">
        <f>IF(OR($A369="",$B369&lt;&gt;"tutar_farki"),"",IF(ABS($C369-$D369)&lt;=toleransKurus,"TARIFE",IF(ABS($C369-$E369)&lt;=toleransKurus,"DAGITIM",IF(ABS($C369-$F369)&lt;=toleransKurus,"KDV",IF($G369&gt;0,"TUKETIM","TANIMSIZ")))))</f>
        <v/>
      </c>
    </row>
    <row r="370">
      <c r="A370" s="22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IF($A370="","",IFERROR(SUMIF(tblAnahtarA[Norm],$A370,tblVeriA[EnerjiBedeli]),0))</f>
        <v/>
      </c>
      <c r="E370" s="17">
        <f>IF($A370="","",IFERROR(SUMIF(tblAnahtarA[Norm],$A370,tblVeriA[DagitimBedeli]),0))</f>
        <v/>
      </c>
      <c r="F370" s="17">
        <f>IF($A370="","",IFERROR(SUMIF(tblAnahtarA[Norm],$A370,tblVeriA[VergiKdv]),0))</f>
        <v/>
      </c>
      <c r="G370" s="17">
        <f>IF($A370="","",IFERROR(SUMIF(tblAnahtarA[Norm],$A370,tblVeriA[TuketimKwh]),0))</f>
        <v/>
      </c>
      <c r="H370" s="17">
        <f>IF(OR($A370="",$B370&lt;&gt;"tutar_farki"),"",IF(ABS($C370-$D370)&lt;=toleransKurus,"TARIFE",IF(ABS($C370-$E370)&lt;=toleransKurus,"DAGITIM",IF(ABS($C370-$F370)&lt;=toleransKurus,"KDV",IF($G370&gt;0,"TUKETIM","TANIMSIZ")))))</f>
        <v/>
      </c>
    </row>
    <row r="371">
      <c r="A371" s="22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IF($A371="","",IFERROR(SUMIF(tblAnahtarA[Norm],$A371,tblVeriA[EnerjiBedeli]),0))</f>
        <v/>
      </c>
      <c r="E371" s="17">
        <f>IF($A371="","",IFERROR(SUMIF(tblAnahtarA[Norm],$A371,tblVeriA[DagitimBedeli]),0))</f>
        <v/>
      </c>
      <c r="F371" s="17">
        <f>IF($A371="","",IFERROR(SUMIF(tblAnahtarA[Norm],$A371,tblVeriA[VergiKdv]),0))</f>
        <v/>
      </c>
      <c r="G371" s="17">
        <f>IF($A371="","",IFERROR(SUMIF(tblAnahtarA[Norm],$A371,tblVeriA[TuketimKwh]),0))</f>
        <v/>
      </c>
      <c r="H371" s="17">
        <f>IF(OR($A371="",$B371&lt;&gt;"tutar_farki"),"",IF(ABS($C371-$D371)&lt;=toleransKurus,"TARIFE",IF(ABS($C371-$E371)&lt;=toleransKurus,"DAGITIM",IF(ABS($C371-$F371)&lt;=toleransKurus,"KDV",IF($G371&gt;0,"TUKETIM","TANIMSIZ")))))</f>
        <v/>
      </c>
    </row>
    <row r="372">
      <c r="A372" s="22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IF($A372="","",IFERROR(SUMIF(tblAnahtarA[Norm],$A372,tblVeriA[EnerjiBedeli]),0))</f>
        <v/>
      </c>
      <c r="E372" s="17">
        <f>IF($A372="","",IFERROR(SUMIF(tblAnahtarA[Norm],$A372,tblVeriA[DagitimBedeli]),0))</f>
        <v/>
      </c>
      <c r="F372" s="17">
        <f>IF($A372="","",IFERROR(SUMIF(tblAnahtarA[Norm],$A372,tblVeriA[VergiKdv]),0))</f>
        <v/>
      </c>
      <c r="G372" s="17">
        <f>IF($A372="","",IFERROR(SUMIF(tblAnahtarA[Norm],$A372,tblVeriA[TuketimKwh]),0))</f>
        <v/>
      </c>
      <c r="H372" s="17">
        <f>IF(OR($A372="",$B372&lt;&gt;"tutar_farki"),"",IF(ABS($C372-$D372)&lt;=toleransKurus,"TARIFE",IF(ABS($C372-$E372)&lt;=toleransKurus,"DAGITIM",IF(ABS($C372-$F372)&lt;=toleransKurus,"KDV",IF($G372&gt;0,"TUKETIM","TANIMSIZ")))))</f>
        <v/>
      </c>
    </row>
    <row r="373">
      <c r="A373" s="22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IF($A373="","",IFERROR(SUMIF(tblAnahtarA[Norm],$A373,tblVeriA[EnerjiBedeli]),0))</f>
        <v/>
      </c>
      <c r="E373" s="17">
        <f>IF($A373="","",IFERROR(SUMIF(tblAnahtarA[Norm],$A373,tblVeriA[DagitimBedeli]),0))</f>
        <v/>
      </c>
      <c r="F373" s="17">
        <f>IF($A373="","",IFERROR(SUMIF(tblAnahtarA[Norm],$A373,tblVeriA[VergiKdv]),0))</f>
        <v/>
      </c>
      <c r="G373" s="17">
        <f>IF($A373="","",IFERROR(SUMIF(tblAnahtarA[Norm],$A373,tblVeriA[TuketimKwh]),0))</f>
        <v/>
      </c>
      <c r="H373" s="17">
        <f>IF(OR($A373="",$B373&lt;&gt;"tutar_farki"),"",IF(ABS($C373-$D373)&lt;=toleransKurus,"TARIFE",IF(ABS($C373-$E373)&lt;=toleransKurus,"DAGITIM",IF(ABS($C373-$F373)&lt;=toleransKurus,"KDV",IF($G373&gt;0,"TUKETIM","TANIMSIZ")))))</f>
        <v/>
      </c>
    </row>
    <row r="374">
      <c r="A374" s="22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IF($A374="","",IFERROR(SUMIF(tblAnahtarA[Norm],$A374,tblVeriA[EnerjiBedeli]),0))</f>
        <v/>
      </c>
      <c r="E374" s="17">
        <f>IF($A374="","",IFERROR(SUMIF(tblAnahtarA[Norm],$A374,tblVeriA[DagitimBedeli]),0))</f>
        <v/>
      </c>
      <c r="F374" s="17">
        <f>IF($A374="","",IFERROR(SUMIF(tblAnahtarA[Norm],$A374,tblVeriA[VergiKdv]),0))</f>
        <v/>
      </c>
      <c r="G374" s="17">
        <f>IF($A374="","",IFERROR(SUMIF(tblAnahtarA[Norm],$A374,tblVeriA[TuketimKwh]),0))</f>
        <v/>
      </c>
      <c r="H374" s="17">
        <f>IF(OR($A374="",$B374&lt;&gt;"tutar_farki"),"",IF(ABS($C374-$D374)&lt;=toleransKurus,"TARIFE",IF(ABS($C374-$E374)&lt;=toleransKurus,"DAGITIM",IF(ABS($C374-$F374)&lt;=toleransKurus,"KDV",IF($G374&gt;0,"TUKETIM","TANIMSIZ")))))</f>
        <v/>
      </c>
    </row>
    <row r="375">
      <c r="A375" s="22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IF($A375="","",IFERROR(SUMIF(tblAnahtarA[Norm],$A375,tblVeriA[EnerjiBedeli]),0))</f>
        <v/>
      </c>
      <c r="E375" s="17">
        <f>IF($A375="","",IFERROR(SUMIF(tblAnahtarA[Norm],$A375,tblVeriA[DagitimBedeli]),0))</f>
        <v/>
      </c>
      <c r="F375" s="17">
        <f>IF($A375="","",IFERROR(SUMIF(tblAnahtarA[Norm],$A375,tblVeriA[VergiKdv]),0))</f>
        <v/>
      </c>
      <c r="G375" s="17">
        <f>IF($A375="","",IFERROR(SUMIF(tblAnahtarA[Norm],$A375,tblVeriA[TuketimKwh]),0))</f>
        <v/>
      </c>
      <c r="H375" s="17">
        <f>IF(OR($A375="",$B375&lt;&gt;"tutar_farki"),"",IF(ABS($C375-$D375)&lt;=toleransKurus,"TARIFE",IF(ABS($C375-$E375)&lt;=toleransKurus,"DAGITIM",IF(ABS($C375-$F375)&lt;=toleransKurus,"KDV",IF($G375&gt;0,"TUKETIM","TANIMSIZ")))))</f>
        <v/>
      </c>
    </row>
    <row r="376">
      <c r="A376" s="22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IF($A376="","",IFERROR(SUMIF(tblAnahtarA[Norm],$A376,tblVeriA[EnerjiBedeli]),0))</f>
        <v/>
      </c>
      <c r="E376" s="17">
        <f>IF($A376="","",IFERROR(SUMIF(tblAnahtarA[Norm],$A376,tblVeriA[DagitimBedeli]),0))</f>
        <v/>
      </c>
      <c r="F376" s="17">
        <f>IF($A376="","",IFERROR(SUMIF(tblAnahtarA[Norm],$A376,tblVeriA[VergiKdv]),0))</f>
        <v/>
      </c>
      <c r="G376" s="17">
        <f>IF($A376="","",IFERROR(SUMIF(tblAnahtarA[Norm],$A376,tblVeriA[TuketimKwh]),0))</f>
        <v/>
      </c>
      <c r="H376" s="17">
        <f>IF(OR($A376="",$B376&lt;&gt;"tutar_farki"),"",IF(ABS($C376-$D376)&lt;=toleransKurus,"TARIFE",IF(ABS($C376-$E376)&lt;=toleransKurus,"DAGITIM",IF(ABS($C376-$F376)&lt;=toleransKurus,"KDV",IF($G376&gt;0,"TUKETIM","TANIMSIZ")))))</f>
        <v/>
      </c>
    </row>
    <row r="377">
      <c r="A377" s="22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IF($A377="","",IFERROR(SUMIF(tblAnahtarA[Norm],$A377,tblVeriA[EnerjiBedeli]),0))</f>
        <v/>
      </c>
      <c r="E377" s="17">
        <f>IF($A377="","",IFERROR(SUMIF(tblAnahtarA[Norm],$A377,tblVeriA[DagitimBedeli]),0))</f>
        <v/>
      </c>
      <c r="F377" s="17">
        <f>IF($A377="","",IFERROR(SUMIF(tblAnahtarA[Norm],$A377,tblVeriA[VergiKdv]),0))</f>
        <v/>
      </c>
      <c r="G377" s="17">
        <f>IF($A377="","",IFERROR(SUMIF(tblAnahtarA[Norm],$A377,tblVeriA[TuketimKwh]),0))</f>
        <v/>
      </c>
      <c r="H377" s="17">
        <f>IF(OR($A377="",$B377&lt;&gt;"tutar_farki"),"",IF(ABS($C377-$D377)&lt;=toleransKurus,"TARIFE",IF(ABS($C377-$E377)&lt;=toleransKurus,"DAGITIM",IF(ABS($C377-$F377)&lt;=toleransKurus,"KDV",IF($G377&gt;0,"TUKETIM","TANIMSIZ")))))</f>
        <v/>
      </c>
    </row>
    <row r="378">
      <c r="A378" s="22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IF($A378="","",IFERROR(SUMIF(tblAnahtarA[Norm],$A378,tblVeriA[EnerjiBedeli]),0))</f>
        <v/>
      </c>
      <c r="E378" s="17">
        <f>IF($A378="","",IFERROR(SUMIF(tblAnahtarA[Norm],$A378,tblVeriA[DagitimBedeli]),0))</f>
        <v/>
      </c>
      <c r="F378" s="17">
        <f>IF($A378="","",IFERROR(SUMIF(tblAnahtarA[Norm],$A378,tblVeriA[VergiKdv]),0))</f>
        <v/>
      </c>
      <c r="G378" s="17">
        <f>IF($A378="","",IFERROR(SUMIF(tblAnahtarA[Norm],$A378,tblVeriA[TuketimKwh]),0))</f>
        <v/>
      </c>
      <c r="H378" s="17">
        <f>IF(OR($A378="",$B378&lt;&gt;"tutar_farki"),"",IF(ABS($C378-$D378)&lt;=toleransKurus,"TARIFE",IF(ABS($C378-$E378)&lt;=toleransKurus,"DAGITIM",IF(ABS($C378-$F378)&lt;=toleransKurus,"KDV",IF($G378&gt;0,"TUKETIM","TANIMSIZ")))))</f>
        <v/>
      </c>
    </row>
    <row r="379">
      <c r="A379" s="22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IF($A379="","",IFERROR(SUMIF(tblAnahtarA[Norm],$A379,tblVeriA[EnerjiBedeli]),0))</f>
        <v/>
      </c>
      <c r="E379" s="17">
        <f>IF($A379="","",IFERROR(SUMIF(tblAnahtarA[Norm],$A379,tblVeriA[DagitimBedeli]),0))</f>
        <v/>
      </c>
      <c r="F379" s="17">
        <f>IF($A379="","",IFERROR(SUMIF(tblAnahtarA[Norm],$A379,tblVeriA[VergiKdv]),0))</f>
        <v/>
      </c>
      <c r="G379" s="17">
        <f>IF($A379="","",IFERROR(SUMIF(tblAnahtarA[Norm],$A379,tblVeriA[TuketimKwh]),0))</f>
        <v/>
      </c>
      <c r="H379" s="17">
        <f>IF(OR($A379="",$B379&lt;&gt;"tutar_farki"),"",IF(ABS($C379-$D379)&lt;=toleransKurus,"TARIFE",IF(ABS($C379-$E379)&lt;=toleransKurus,"DAGITIM",IF(ABS($C379-$F379)&lt;=toleransKurus,"KDV",IF($G379&gt;0,"TUKETIM","TANIMSIZ")))))</f>
        <v/>
      </c>
    </row>
    <row r="380">
      <c r="A380" s="22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IF($A380="","",IFERROR(SUMIF(tblAnahtarA[Norm],$A380,tblVeriA[EnerjiBedeli]),0))</f>
        <v/>
      </c>
      <c r="E380" s="17">
        <f>IF($A380="","",IFERROR(SUMIF(tblAnahtarA[Norm],$A380,tblVeriA[DagitimBedeli]),0))</f>
        <v/>
      </c>
      <c r="F380" s="17">
        <f>IF($A380="","",IFERROR(SUMIF(tblAnahtarA[Norm],$A380,tblVeriA[VergiKdv]),0))</f>
        <v/>
      </c>
      <c r="G380" s="17">
        <f>IF($A380="","",IFERROR(SUMIF(tblAnahtarA[Norm],$A380,tblVeriA[TuketimKwh]),0))</f>
        <v/>
      </c>
      <c r="H380" s="17">
        <f>IF(OR($A380="",$B380&lt;&gt;"tutar_farki"),"",IF(ABS($C380-$D380)&lt;=toleransKurus,"TARIFE",IF(ABS($C380-$E380)&lt;=toleransKurus,"DAGITIM",IF(ABS($C380-$F380)&lt;=toleransKurus,"KDV",IF($G380&gt;0,"TUKETIM","TANIMSIZ")))))</f>
        <v/>
      </c>
    </row>
    <row r="381">
      <c r="A381" s="22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IF($A381="","",IFERROR(SUMIF(tblAnahtarA[Norm],$A381,tblVeriA[EnerjiBedeli]),0))</f>
        <v/>
      </c>
      <c r="E381" s="17">
        <f>IF($A381="","",IFERROR(SUMIF(tblAnahtarA[Norm],$A381,tblVeriA[DagitimBedeli]),0))</f>
        <v/>
      </c>
      <c r="F381" s="17">
        <f>IF($A381="","",IFERROR(SUMIF(tblAnahtarA[Norm],$A381,tblVeriA[VergiKdv]),0))</f>
        <v/>
      </c>
      <c r="G381" s="17">
        <f>IF($A381="","",IFERROR(SUMIF(tblAnahtarA[Norm],$A381,tblVeriA[TuketimKwh]),0))</f>
        <v/>
      </c>
      <c r="H381" s="17">
        <f>IF(OR($A381="",$B381&lt;&gt;"tutar_farki"),"",IF(ABS($C381-$D381)&lt;=toleransKurus,"TARIFE",IF(ABS($C381-$E381)&lt;=toleransKurus,"DAGITIM",IF(ABS($C381-$F381)&lt;=toleransKurus,"KDV",IF($G381&gt;0,"TUKETIM","TANIMSIZ")))))</f>
        <v/>
      </c>
    </row>
    <row r="382">
      <c r="A382" s="22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IF($A382="","",IFERROR(SUMIF(tblAnahtarA[Norm],$A382,tblVeriA[EnerjiBedeli]),0))</f>
        <v/>
      </c>
      <c r="E382" s="17">
        <f>IF($A382="","",IFERROR(SUMIF(tblAnahtarA[Norm],$A382,tblVeriA[DagitimBedeli]),0))</f>
        <v/>
      </c>
      <c r="F382" s="17">
        <f>IF($A382="","",IFERROR(SUMIF(tblAnahtarA[Norm],$A382,tblVeriA[VergiKdv]),0))</f>
        <v/>
      </c>
      <c r="G382" s="17">
        <f>IF($A382="","",IFERROR(SUMIF(tblAnahtarA[Norm],$A382,tblVeriA[TuketimKwh]),0))</f>
        <v/>
      </c>
      <c r="H382" s="17">
        <f>IF(OR($A382="",$B382&lt;&gt;"tutar_farki"),"",IF(ABS($C382-$D382)&lt;=toleransKurus,"TARIFE",IF(ABS($C382-$E382)&lt;=toleransKurus,"DAGITIM",IF(ABS($C382-$F382)&lt;=toleransKurus,"KDV",IF($G382&gt;0,"TUKETIM","TANIMSIZ")))))</f>
        <v/>
      </c>
    </row>
    <row r="383">
      <c r="A383" s="22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IF($A383="","",IFERROR(SUMIF(tblAnahtarA[Norm],$A383,tblVeriA[EnerjiBedeli]),0))</f>
        <v/>
      </c>
      <c r="E383" s="17">
        <f>IF($A383="","",IFERROR(SUMIF(tblAnahtarA[Norm],$A383,tblVeriA[DagitimBedeli]),0))</f>
        <v/>
      </c>
      <c r="F383" s="17">
        <f>IF($A383="","",IFERROR(SUMIF(tblAnahtarA[Norm],$A383,tblVeriA[VergiKdv]),0))</f>
        <v/>
      </c>
      <c r="G383" s="17">
        <f>IF($A383="","",IFERROR(SUMIF(tblAnahtarA[Norm],$A383,tblVeriA[TuketimKwh]),0))</f>
        <v/>
      </c>
      <c r="H383" s="17">
        <f>IF(OR($A383="",$B383&lt;&gt;"tutar_farki"),"",IF(ABS($C383-$D383)&lt;=toleransKurus,"TARIFE",IF(ABS($C383-$E383)&lt;=toleransKurus,"DAGITIM",IF(ABS($C383-$F383)&lt;=toleransKurus,"KDV",IF($G383&gt;0,"TUKETIM","TANIMSIZ")))))</f>
        <v/>
      </c>
    </row>
    <row r="384">
      <c r="A384" s="22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IF($A384="","",IFERROR(SUMIF(tblAnahtarA[Norm],$A384,tblVeriA[EnerjiBedeli]),0))</f>
        <v/>
      </c>
      <c r="E384" s="17">
        <f>IF($A384="","",IFERROR(SUMIF(tblAnahtarA[Norm],$A384,tblVeriA[DagitimBedeli]),0))</f>
        <v/>
      </c>
      <c r="F384" s="17">
        <f>IF($A384="","",IFERROR(SUMIF(tblAnahtarA[Norm],$A384,tblVeriA[VergiKdv]),0))</f>
        <v/>
      </c>
      <c r="G384" s="17">
        <f>IF($A384="","",IFERROR(SUMIF(tblAnahtarA[Norm],$A384,tblVeriA[TuketimKwh]),0))</f>
        <v/>
      </c>
      <c r="H384" s="17">
        <f>IF(OR($A384="",$B384&lt;&gt;"tutar_farki"),"",IF(ABS($C384-$D384)&lt;=toleransKurus,"TARIFE",IF(ABS($C384-$E384)&lt;=toleransKurus,"DAGITIM",IF(ABS($C384-$F384)&lt;=toleransKurus,"KDV",IF($G384&gt;0,"TUKETIM","TANIMSIZ")))))</f>
        <v/>
      </c>
    </row>
    <row r="385">
      <c r="A385" s="22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IF($A385="","",IFERROR(SUMIF(tblAnahtarA[Norm],$A385,tblVeriA[EnerjiBedeli]),0))</f>
        <v/>
      </c>
      <c r="E385" s="17">
        <f>IF($A385="","",IFERROR(SUMIF(tblAnahtarA[Norm],$A385,tblVeriA[DagitimBedeli]),0))</f>
        <v/>
      </c>
      <c r="F385" s="17">
        <f>IF($A385="","",IFERROR(SUMIF(tblAnahtarA[Norm],$A385,tblVeriA[VergiKdv]),0))</f>
        <v/>
      </c>
      <c r="G385" s="17">
        <f>IF($A385="","",IFERROR(SUMIF(tblAnahtarA[Norm],$A385,tblVeriA[TuketimKwh]),0))</f>
        <v/>
      </c>
      <c r="H385" s="17">
        <f>IF(OR($A385="",$B385&lt;&gt;"tutar_farki"),"",IF(ABS($C385-$D385)&lt;=toleransKurus,"TARIFE",IF(ABS($C385-$E385)&lt;=toleransKurus,"DAGITIM",IF(ABS($C385-$F385)&lt;=toleransKurus,"KDV",IF($G385&gt;0,"TUKETIM","TANIMSIZ")))))</f>
        <v/>
      </c>
    </row>
    <row r="386">
      <c r="A386" s="22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IF($A386="","",IFERROR(SUMIF(tblAnahtarA[Norm],$A386,tblVeriA[EnerjiBedeli]),0))</f>
        <v/>
      </c>
      <c r="E386" s="17">
        <f>IF($A386="","",IFERROR(SUMIF(tblAnahtarA[Norm],$A386,tblVeriA[DagitimBedeli]),0))</f>
        <v/>
      </c>
      <c r="F386" s="17">
        <f>IF($A386="","",IFERROR(SUMIF(tblAnahtarA[Norm],$A386,tblVeriA[VergiKdv]),0))</f>
        <v/>
      </c>
      <c r="G386" s="17">
        <f>IF($A386="","",IFERROR(SUMIF(tblAnahtarA[Norm],$A386,tblVeriA[TuketimKwh]),0))</f>
        <v/>
      </c>
      <c r="H386" s="17">
        <f>IF(OR($A386="",$B386&lt;&gt;"tutar_farki"),"",IF(ABS($C386-$D386)&lt;=toleransKurus,"TARIFE",IF(ABS($C386-$E386)&lt;=toleransKurus,"DAGITIM",IF(ABS($C386-$F386)&lt;=toleransKurus,"KDV",IF($G386&gt;0,"TUKETIM","TANIMSIZ")))))</f>
        <v/>
      </c>
    </row>
    <row r="387">
      <c r="A387" s="22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IF($A387="","",IFERROR(SUMIF(tblAnahtarA[Norm],$A387,tblVeriA[EnerjiBedeli]),0))</f>
        <v/>
      </c>
      <c r="E387" s="17">
        <f>IF($A387="","",IFERROR(SUMIF(tblAnahtarA[Norm],$A387,tblVeriA[DagitimBedeli]),0))</f>
        <v/>
      </c>
      <c r="F387" s="17">
        <f>IF($A387="","",IFERROR(SUMIF(tblAnahtarA[Norm],$A387,tblVeriA[VergiKdv]),0))</f>
        <v/>
      </c>
      <c r="G387" s="17">
        <f>IF($A387="","",IFERROR(SUMIF(tblAnahtarA[Norm],$A387,tblVeriA[TuketimKwh]),0))</f>
        <v/>
      </c>
      <c r="H387" s="17">
        <f>IF(OR($A387="",$B387&lt;&gt;"tutar_farki"),"",IF(ABS($C387-$D387)&lt;=toleransKurus,"TARIFE",IF(ABS($C387-$E387)&lt;=toleransKurus,"DAGITIM",IF(ABS($C387-$F387)&lt;=toleransKurus,"KDV",IF($G387&gt;0,"TUKETIM","TANIMSIZ")))))</f>
        <v/>
      </c>
    </row>
    <row r="388">
      <c r="A388" s="22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IF($A388="","",IFERROR(SUMIF(tblAnahtarA[Norm],$A388,tblVeriA[EnerjiBedeli]),0))</f>
        <v/>
      </c>
      <c r="E388" s="17">
        <f>IF($A388="","",IFERROR(SUMIF(tblAnahtarA[Norm],$A388,tblVeriA[DagitimBedeli]),0))</f>
        <v/>
      </c>
      <c r="F388" s="17">
        <f>IF($A388="","",IFERROR(SUMIF(tblAnahtarA[Norm],$A388,tblVeriA[VergiKdv]),0))</f>
        <v/>
      </c>
      <c r="G388" s="17">
        <f>IF($A388="","",IFERROR(SUMIF(tblAnahtarA[Norm],$A388,tblVeriA[TuketimKwh]),0))</f>
        <v/>
      </c>
      <c r="H388" s="17">
        <f>IF(OR($A388="",$B388&lt;&gt;"tutar_farki"),"",IF(ABS($C388-$D388)&lt;=toleransKurus,"TARIFE",IF(ABS($C388-$E388)&lt;=toleransKurus,"DAGITIM",IF(ABS($C388-$F388)&lt;=toleransKurus,"KDV",IF($G388&gt;0,"TUKETIM","TANIMSIZ")))))</f>
        <v/>
      </c>
    </row>
    <row r="389">
      <c r="A389" s="22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IF($A389="","",IFERROR(SUMIF(tblAnahtarA[Norm],$A389,tblVeriA[EnerjiBedeli]),0))</f>
        <v/>
      </c>
      <c r="E389" s="17">
        <f>IF($A389="","",IFERROR(SUMIF(tblAnahtarA[Norm],$A389,tblVeriA[DagitimBedeli]),0))</f>
        <v/>
      </c>
      <c r="F389" s="17">
        <f>IF($A389="","",IFERROR(SUMIF(tblAnahtarA[Norm],$A389,tblVeriA[VergiKdv]),0))</f>
        <v/>
      </c>
      <c r="G389" s="17">
        <f>IF($A389="","",IFERROR(SUMIF(tblAnahtarA[Norm],$A389,tblVeriA[TuketimKwh]),0))</f>
        <v/>
      </c>
      <c r="H389" s="17">
        <f>IF(OR($A389="",$B389&lt;&gt;"tutar_farki"),"",IF(ABS($C389-$D389)&lt;=toleransKurus,"TARIFE",IF(ABS($C389-$E389)&lt;=toleransKurus,"DAGITIM",IF(ABS($C389-$F389)&lt;=toleransKurus,"KDV",IF($G389&gt;0,"TUKETIM","TANIMSIZ")))))</f>
        <v/>
      </c>
    </row>
    <row r="390">
      <c r="A390" s="22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IF($A390="","",IFERROR(SUMIF(tblAnahtarA[Norm],$A390,tblVeriA[EnerjiBedeli]),0))</f>
        <v/>
      </c>
      <c r="E390" s="17">
        <f>IF($A390="","",IFERROR(SUMIF(tblAnahtarA[Norm],$A390,tblVeriA[DagitimBedeli]),0))</f>
        <v/>
      </c>
      <c r="F390" s="17">
        <f>IF($A390="","",IFERROR(SUMIF(tblAnahtarA[Norm],$A390,tblVeriA[VergiKdv]),0))</f>
        <v/>
      </c>
      <c r="G390" s="17">
        <f>IF($A390="","",IFERROR(SUMIF(tblAnahtarA[Norm],$A390,tblVeriA[TuketimKwh]),0))</f>
        <v/>
      </c>
      <c r="H390" s="17">
        <f>IF(OR($A390="",$B390&lt;&gt;"tutar_farki"),"",IF(ABS($C390-$D390)&lt;=toleransKurus,"TARIFE",IF(ABS($C390-$E390)&lt;=toleransKurus,"DAGITIM",IF(ABS($C390-$F390)&lt;=toleransKurus,"KDV",IF($G390&gt;0,"TUKETIM","TANIMSIZ")))))</f>
        <v/>
      </c>
    </row>
    <row r="391">
      <c r="A391" s="22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IF($A391="","",IFERROR(SUMIF(tblAnahtarA[Norm],$A391,tblVeriA[EnerjiBedeli]),0))</f>
        <v/>
      </c>
      <c r="E391" s="17">
        <f>IF($A391="","",IFERROR(SUMIF(tblAnahtarA[Norm],$A391,tblVeriA[DagitimBedeli]),0))</f>
        <v/>
      </c>
      <c r="F391" s="17">
        <f>IF($A391="","",IFERROR(SUMIF(tblAnahtarA[Norm],$A391,tblVeriA[VergiKdv]),0))</f>
        <v/>
      </c>
      <c r="G391" s="17">
        <f>IF($A391="","",IFERROR(SUMIF(tblAnahtarA[Norm],$A391,tblVeriA[TuketimKwh]),0))</f>
        <v/>
      </c>
      <c r="H391" s="17">
        <f>IF(OR($A391="",$B391&lt;&gt;"tutar_farki"),"",IF(ABS($C391-$D391)&lt;=toleransKurus,"TARIFE",IF(ABS($C391-$E391)&lt;=toleransKurus,"DAGITIM",IF(ABS($C391-$F391)&lt;=toleransKurus,"KDV",IF($G391&gt;0,"TUKETIM","TANIMSIZ")))))</f>
        <v/>
      </c>
    </row>
    <row r="392">
      <c r="A392" s="22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IF($A392="","",IFERROR(SUMIF(tblAnahtarA[Norm],$A392,tblVeriA[EnerjiBedeli]),0))</f>
        <v/>
      </c>
      <c r="E392" s="17">
        <f>IF($A392="","",IFERROR(SUMIF(tblAnahtarA[Norm],$A392,tblVeriA[DagitimBedeli]),0))</f>
        <v/>
      </c>
      <c r="F392" s="17">
        <f>IF($A392="","",IFERROR(SUMIF(tblAnahtarA[Norm],$A392,tblVeriA[VergiKdv]),0))</f>
        <v/>
      </c>
      <c r="G392" s="17">
        <f>IF($A392="","",IFERROR(SUMIF(tblAnahtarA[Norm],$A392,tblVeriA[TuketimKwh]),0))</f>
        <v/>
      </c>
      <c r="H392" s="17">
        <f>IF(OR($A392="",$B392&lt;&gt;"tutar_farki"),"",IF(ABS($C392-$D392)&lt;=toleransKurus,"TARIFE",IF(ABS($C392-$E392)&lt;=toleransKurus,"DAGITIM",IF(ABS($C392-$F392)&lt;=toleransKurus,"KDV",IF($G392&gt;0,"TUKETIM","TANIMSIZ")))))</f>
        <v/>
      </c>
    </row>
    <row r="393">
      <c r="A393" s="22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IF($A393="","",IFERROR(SUMIF(tblAnahtarA[Norm],$A393,tblVeriA[EnerjiBedeli]),0))</f>
        <v/>
      </c>
      <c r="E393" s="17">
        <f>IF($A393="","",IFERROR(SUMIF(tblAnahtarA[Norm],$A393,tblVeriA[DagitimBedeli]),0))</f>
        <v/>
      </c>
      <c r="F393" s="17">
        <f>IF($A393="","",IFERROR(SUMIF(tblAnahtarA[Norm],$A393,tblVeriA[VergiKdv]),0))</f>
        <v/>
      </c>
      <c r="G393" s="17">
        <f>IF($A393="","",IFERROR(SUMIF(tblAnahtarA[Norm],$A393,tblVeriA[TuketimKwh]),0))</f>
        <v/>
      </c>
      <c r="H393" s="17">
        <f>IF(OR($A393="",$B393&lt;&gt;"tutar_farki"),"",IF(ABS($C393-$D393)&lt;=toleransKurus,"TARIFE",IF(ABS($C393-$E393)&lt;=toleransKurus,"DAGITIM",IF(ABS($C393-$F393)&lt;=toleransKurus,"KDV",IF($G393&gt;0,"TUKETIM","TANIMSIZ")))))</f>
        <v/>
      </c>
    </row>
    <row r="394">
      <c r="A394" s="22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IF($A394="","",IFERROR(SUMIF(tblAnahtarA[Norm],$A394,tblVeriA[EnerjiBedeli]),0))</f>
        <v/>
      </c>
      <c r="E394" s="17">
        <f>IF($A394="","",IFERROR(SUMIF(tblAnahtarA[Norm],$A394,tblVeriA[DagitimBedeli]),0))</f>
        <v/>
      </c>
      <c r="F394" s="17">
        <f>IF($A394="","",IFERROR(SUMIF(tblAnahtarA[Norm],$A394,tblVeriA[VergiKdv]),0))</f>
        <v/>
      </c>
      <c r="G394" s="17">
        <f>IF($A394="","",IFERROR(SUMIF(tblAnahtarA[Norm],$A394,tblVeriA[TuketimKwh]),0))</f>
        <v/>
      </c>
      <c r="H394" s="17">
        <f>IF(OR($A394="",$B394&lt;&gt;"tutar_farki"),"",IF(ABS($C394-$D394)&lt;=toleransKurus,"TARIFE",IF(ABS($C394-$E394)&lt;=toleransKurus,"DAGITIM",IF(ABS($C394-$F394)&lt;=toleransKurus,"KDV",IF($G394&gt;0,"TUKETIM","TANIMSIZ")))))</f>
        <v/>
      </c>
    </row>
    <row r="395">
      <c r="A395" s="22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IF($A395="","",IFERROR(SUMIF(tblAnahtarA[Norm],$A395,tblVeriA[EnerjiBedeli]),0))</f>
        <v/>
      </c>
      <c r="E395" s="17">
        <f>IF($A395="","",IFERROR(SUMIF(tblAnahtarA[Norm],$A395,tblVeriA[DagitimBedeli]),0))</f>
        <v/>
      </c>
      <c r="F395" s="17">
        <f>IF($A395="","",IFERROR(SUMIF(tblAnahtarA[Norm],$A395,tblVeriA[VergiKdv]),0))</f>
        <v/>
      </c>
      <c r="G395" s="17">
        <f>IF($A395="","",IFERROR(SUMIF(tblAnahtarA[Norm],$A395,tblVeriA[TuketimKwh]),0))</f>
        <v/>
      </c>
      <c r="H395" s="17">
        <f>IF(OR($A395="",$B395&lt;&gt;"tutar_farki"),"",IF(ABS($C395-$D395)&lt;=toleransKurus,"TARIFE",IF(ABS($C395-$E395)&lt;=toleransKurus,"DAGITIM",IF(ABS($C395-$F395)&lt;=toleransKurus,"KDV",IF($G395&gt;0,"TUKETIM","TANIMSIZ")))))</f>
        <v/>
      </c>
    </row>
    <row r="396">
      <c r="A396" s="22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IF($A396="","",IFERROR(SUMIF(tblAnahtarA[Norm],$A396,tblVeriA[EnerjiBedeli]),0))</f>
        <v/>
      </c>
      <c r="E396" s="17">
        <f>IF($A396="","",IFERROR(SUMIF(tblAnahtarA[Norm],$A396,tblVeriA[DagitimBedeli]),0))</f>
        <v/>
      </c>
      <c r="F396" s="17">
        <f>IF($A396="","",IFERROR(SUMIF(tblAnahtarA[Norm],$A396,tblVeriA[VergiKdv]),0))</f>
        <v/>
      </c>
      <c r="G396" s="17">
        <f>IF($A396="","",IFERROR(SUMIF(tblAnahtarA[Norm],$A396,tblVeriA[TuketimKwh]),0))</f>
        <v/>
      </c>
      <c r="H396" s="17">
        <f>IF(OR($A396="",$B396&lt;&gt;"tutar_farki"),"",IF(ABS($C396-$D396)&lt;=toleransKurus,"TARIFE",IF(ABS($C396-$E396)&lt;=toleransKurus,"DAGITIM",IF(ABS($C396-$F396)&lt;=toleransKurus,"KDV",IF($G396&gt;0,"TUKETIM","TANIMSIZ")))))</f>
        <v/>
      </c>
    </row>
    <row r="397">
      <c r="A397" s="22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IF($A397="","",IFERROR(SUMIF(tblAnahtarA[Norm],$A397,tblVeriA[EnerjiBedeli]),0))</f>
        <v/>
      </c>
      <c r="E397" s="17">
        <f>IF($A397="","",IFERROR(SUMIF(tblAnahtarA[Norm],$A397,tblVeriA[DagitimBedeli]),0))</f>
        <v/>
      </c>
      <c r="F397" s="17">
        <f>IF($A397="","",IFERROR(SUMIF(tblAnahtarA[Norm],$A397,tblVeriA[VergiKdv]),0))</f>
        <v/>
      </c>
      <c r="G397" s="17">
        <f>IF($A397="","",IFERROR(SUMIF(tblAnahtarA[Norm],$A397,tblVeriA[TuketimKwh]),0))</f>
        <v/>
      </c>
      <c r="H397" s="17">
        <f>IF(OR($A397="",$B397&lt;&gt;"tutar_farki"),"",IF(ABS($C397-$D397)&lt;=toleransKurus,"TARIFE",IF(ABS($C397-$E397)&lt;=toleransKurus,"DAGITIM",IF(ABS($C397-$F397)&lt;=toleransKurus,"KDV",IF($G397&gt;0,"TUKETIM","TANIMSIZ")))))</f>
        <v/>
      </c>
    </row>
    <row r="398">
      <c r="A398" s="22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IF($A398="","",IFERROR(SUMIF(tblAnahtarA[Norm],$A398,tblVeriA[EnerjiBedeli]),0))</f>
        <v/>
      </c>
      <c r="E398" s="17">
        <f>IF($A398="","",IFERROR(SUMIF(tblAnahtarA[Norm],$A398,tblVeriA[DagitimBedeli]),0))</f>
        <v/>
      </c>
      <c r="F398" s="17">
        <f>IF($A398="","",IFERROR(SUMIF(tblAnahtarA[Norm],$A398,tblVeriA[VergiKdv]),0))</f>
        <v/>
      </c>
      <c r="G398" s="17">
        <f>IF($A398="","",IFERROR(SUMIF(tblAnahtarA[Norm],$A398,tblVeriA[TuketimKwh]),0))</f>
        <v/>
      </c>
      <c r="H398" s="17">
        <f>IF(OR($A398="",$B398&lt;&gt;"tutar_farki"),"",IF(ABS($C398-$D398)&lt;=toleransKurus,"TARIFE",IF(ABS($C398-$E398)&lt;=toleransKurus,"DAGITIM",IF(ABS($C398-$F398)&lt;=toleransKurus,"KDV",IF($G398&gt;0,"TUKETIM","TANIMSIZ")))))</f>
        <v/>
      </c>
    </row>
    <row r="399">
      <c r="A399" s="22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IF($A399="","",IFERROR(SUMIF(tblAnahtarA[Norm],$A399,tblVeriA[EnerjiBedeli]),0))</f>
        <v/>
      </c>
      <c r="E399" s="17">
        <f>IF($A399="","",IFERROR(SUMIF(tblAnahtarA[Norm],$A399,tblVeriA[DagitimBedeli]),0))</f>
        <v/>
      </c>
      <c r="F399" s="17">
        <f>IF($A399="","",IFERROR(SUMIF(tblAnahtarA[Norm],$A399,tblVeriA[VergiKdv]),0))</f>
        <v/>
      </c>
      <c r="G399" s="17">
        <f>IF($A399="","",IFERROR(SUMIF(tblAnahtarA[Norm],$A399,tblVeriA[TuketimKwh]),0))</f>
        <v/>
      </c>
      <c r="H399" s="17">
        <f>IF(OR($A399="",$B399&lt;&gt;"tutar_farki"),"",IF(ABS($C399-$D399)&lt;=toleransKurus,"TARIFE",IF(ABS($C399-$E399)&lt;=toleransKurus,"DAGITIM",IF(ABS($C399-$F399)&lt;=toleransKurus,"KDV",IF($G399&gt;0,"TUKETIM","TANIMSIZ")))))</f>
        <v/>
      </c>
    </row>
    <row r="400">
      <c r="A400" s="22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IF($A400="","",IFERROR(SUMIF(tblAnahtarA[Norm],$A400,tblVeriA[EnerjiBedeli]),0))</f>
        <v/>
      </c>
      <c r="E400" s="17">
        <f>IF($A400="","",IFERROR(SUMIF(tblAnahtarA[Norm],$A400,tblVeriA[DagitimBedeli]),0))</f>
        <v/>
      </c>
      <c r="F400" s="17">
        <f>IF($A400="","",IFERROR(SUMIF(tblAnahtarA[Norm],$A400,tblVeriA[VergiKdv]),0))</f>
        <v/>
      </c>
      <c r="G400" s="17">
        <f>IF($A400="","",IFERROR(SUMIF(tblAnahtarA[Norm],$A400,tblVeriA[TuketimKwh]),0))</f>
        <v/>
      </c>
      <c r="H400" s="17">
        <f>IF(OR($A400="",$B400&lt;&gt;"tutar_farki"),"",IF(ABS($C400-$D400)&lt;=toleransKurus,"TARIFE",IF(ABS($C400-$E400)&lt;=toleransKurus,"DAGITIM",IF(ABS($C400-$F400)&lt;=toleransKurus,"KDV",IF($G400&gt;0,"TUKETIM","TANIMSIZ")))))</f>
        <v/>
      </c>
    </row>
    <row r="401">
      <c r="A401" s="22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IF($A401="","",IFERROR(SUMIF(tblAnahtarA[Norm],$A401,tblVeriA[EnerjiBedeli]),0))</f>
        <v/>
      </c>
      <c r="E401" s="17">
        <f>IF($A401="","",IFERROR(SUMIF(tblAnahtarA[Norm],$A401,tblVeriA[DagitimBedeli]),0))</f>
        <v/>
      </c>
      <c r="F401" s="17">
        <f>IF($A401="","",IFERROR(SUMIF(tblAnahtarA[Norm],$A401,tblVeriA[VergiKdv]),0))</f>
        <v/>
      </c>
      <c r="G401" s="17">
        <f>IF($A401="","",IFERROR(SUMIF(tblAnahtarA[Norm],$A401,tblVeriA[TuketimKwh]),0))</f>
        <v/>
      </c>
      <c r="H401" s="17">
        <f>IF(OR($A401="",$B401&lt;&gt;"tutar_farki"),"",IF(ABS($C401-$D401)&lt;=toleransKurus,"TARIFE",IF(ABS($C401-$E401)&lt;=toleransKurus,"DAGITIM",IF(ABS($C401-$F401)&lt;=toleransKurus,"KDV",IF($G401&gt;0,"TUKETIM","TANIMSIZ")))))</f>
        <v/>
      </c>
    </row>
    <row r="402">
      <c r="A402" s="22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IF($A402="","",IFERROR(SUMIF(tblAnahtarA[Norm],$A402,tblVeriA[EnerjiBedeli]),0))</f>
        <v/>
      </c>
      <c r="E402" s="17">
        <f>IF($A402="","",IFERROR(SUMIF(tblAnahtarA[Norm],$A402,tblVeriA[DagitimBedeli]),0))</f>
        <v/>
      </c>
      <c r="F402" s="17">
        <f>IF($A402="","",IFERROR(SUMIF(tblAnahtarA[Norm],$A402,tblVeriA[VergiKdv]),0))</f>
        <v/>
      </c>
      <c r="G402" s="17">
        <f>IF($A402="","",IFERROR(SUMIF(tblAnahtarA[Norm],$A402,tblVeriA[TuketimKwh]),0))</f>
        <v/>
      </c>
      <c r="H402" s="17">
        <f>IF(OR($A402="",$B402&lt;&gt;"tutar_farki"),"",IF(ABS($C402-$D402)&lt;=toleransKurus,"TARIFE",IF(ABS($C402-$E402)&lt;=toleransKurus,"DAGITIM",IF(ABS($C402-$F402)&lt;=toleransKurus,"KDV",IF($G402&gt;0,"TUKETIM","TANIMSIZ")))))</f>
        <v/>
      </c>
    </row>
    <row r="403">
      <c r="A403" s="22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IF($A403="","",IFERROR(SUMIF(tblAnahtarA[Norm],$A403,tblVeriA[EnerjiBedeli]),0))</f>
        <v/>
      </c>
      <c r="E403" s="17">
        <f>IF($A403="","",IFERROR(SUMIF(tblAnahtarA[Norm],$A403,tblVeriA[DagitimBedeli]),0))</f>
        <v/>
      </c>
      <c r="F403" s="17">
        <f>IF($A403="","",IFERROR(SUMIF(tblAnahtarA[Norm],$A403,tblVeriA[VergiKdv]),0))</f>
        <v/>
      </c>
      <c r="G403" s="17">
        <f>IF($A403="","",IFERROR(SUMIF(tblAnahtarA[Norm],$A403,tblVeriA[TuketimKwh]),0))</f>
        <v/>
      </c>
      <c r="H403" s="17">
        <f>IF(OR($A403="",$B403&lt;&gt;"tutar_farki"),"",IF(ABS($C403-$D403)&lt;=toleransKurus,"TARIFE",IF(ABS($C403-$E403)&lt;=toleransKurus,"DAGITIM",IF(ABS($C403-$F403)&lt;=toleransKurus,"KDV",IF($G403&gt;0,"TUKETIM","TANIMSIZ")))))</f>
        <v/>
      </c>
    </row>
    <row r="404">
      <c r="A404" s="22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IF($A404="","",IFERROR(SUMIF(tblAnahtarA[Norm],$A404,tblVeriA[EnerjiBedeli]),0))</f>
        <v/>
      </c>
      <c r="E404" s="17">
        <f>IF($A404="","",IFERROR(SUMIF(tblAnahtarA[Norm],$A404,tblVeriA[DagitimBedeli]),0))</f>
        <v/>
      </c>
      <c r="F404" s="17">
        <f>IF($A404="","",IFERROR(SUMIF(tblAnahtarA[Norm],$A404,tblVeriA[VergiKdv]),0))</f>
        <v/>
      </c>
      <c r="G404" s="17">
        <f>IF($A404="","",IFERROR(SUMIF(tblAnahtarA[Norm],$A404,tblVeriA[TuketimKwh]),0))</f>
        <v/>
      </c>
      <c r="H404" s="17">
        <f>IF(OR($A404="",$B404&lt;&gt;"tutar_farki"),"",IF(ABS($C404-$D404)&lt;=toleransKurus,"TARIFE",IF(ABS($C404-$E404)&lt;=toleransKurus,"DAGITIM",IF(ABS($C404-$F404)&lt;=toleransKurus,"KDV",IF($G404&gt;0,"TUKETIM","TANIMSIZ")))))</f>
        <v/>
      </c>
    </row>
    <row r="405">
      <c r="A405" s="22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IF($A405="","",IFERROR(SUMIF(tblAnahtarA[Norm],$A405,tblVeriA[EnerjiBedeli]),0))</f>
        <v/>
      </c>
      <c r="E405" s="17">
        <f>IF($A405="","",IFERROR(SUMIF(tblAnahtarA[Norm],$A405,tblVeriA[DagitimBedeli]),0))</f>
        <v/>
      </c>
      <c r="F405" s="17">
        <f>IF($A405="","",IFERROR(SUMIF(tblAnahtarA[Norm],$A405,tblVeriA[VergiKdv]),0))</f>
        <v/>
      </c>
      <c r="G405" s="17">
        <f>IF($A405="","",IFERROR(SUMIF(tblAnahtarA[Norm],$A405,tblVeriA[TuketimKwh]),0))</f>
        <v/>
      </c>
      <c r="H405" s="17">
        <f>IF(OR($A405="",$B405&lt;&gt;"tutar_farki"),"",IF(ABS($C405-$D405)&lt;=toleransKurus,"TARIFE",IF(ABS($C405-$E405)&lt;=toleransKurus,"DAGITIM",IF(ABS($C405-$F405)&lt;=toleransKurus,"KDV",IF($G405&gt;0,"TUKETIM","TANIMSIZ")))))</f>
        <v/>
      </c>
    </row>
    <row r="406">
      <c r="A406" s="22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IF($A406="","",IFERROR(SUMIF(tblAnahtarA[Norm],$A406,tblVeriA[EnerjiBedeli]),0))</f>
        <v/>
      </c>
      <c r="E406" s="17">
        <f>IF($A406="","",IFERROR(SUMIF(tblAnahtarA[Norm],$A406,tblVeriA[DagitimBedeli]),0))</f>
        <v/>
      </c>
      <c r="F406" s="17">
        <f>IF($A406="","",IFERROR(SUMIF(tblAnahtarA[Norm],$A406,tblVeriA[VergiKdv]),0))</f>
        <v/>
      </c>
      <c r="G406" s="17">
        <f>IF($A406="","",IFERROR(SUMIF(tblAnahtarA[Norm],$A406,tblVeriA[TuketimKwh]),0))</f>
        <v/>
      </c>
      <c r="H406" s="17">
        <f>IF(OR($A406="",$B406&lt;&gt;"tutar_farki"),"",IF(ABS($C406-$D406)&lt;=toleransKurus,"TARIFE",IF(ABS($C406-$E406)&lt;=toleransKurus,"DAGITIM",IF(ABS($C406-$F406)&lt;=toleransKurus,"KDV",IF($G406&gt;0,"TUKETIM","TANIMSIZ")))))</f>
        <v/>
      </c>
    </row>
    <row r="407">
      <c r="A407" s="22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IF($A407="","",IFERROR(SUMIF(tblAnahtarA[Norm],$A407,tblVeriA[EnerjiBedeli]),0))</f>
        <v/>
      </c>
      <c r="E407" s="17">
        <f>IF($A407="","",IFERROR(SUMIF(tblAnahtarA[Norm],$A407,tblVeriA[DagitimBedeli]),0))</f>
        <v/>
      </c>
      <c r="F407" s="17">
        <f>IF($A407="","",IFERROR(SUMIF(tblAnahtarA[Norm],$A407,tblVeriA[VergiKdv]),0))</f>
        <v/>
      </c>
      <c r="G407" s="17">
        <f>IF($A407="","",IFERROR(SUMIF(tblAnahtarA[Norm],$A407,tblVeriA[TuketimKwh]),0))</f>
        <v/>
      </c>
      <c r="H407" s="17">
        <f>IF(OR($A407="",$B407&lt;&gt;"tutar_farki"),"",IF(ABS($C407-$D407)&lt;=toleransKurus,"TARIFE",IF(ABS($C407-$E407)&lt;=toleransKurus,"DAGITIM",IF(ABS($C407-$F407)&lt;=toleransKurus,"KDV",IF($G407&gt;0,"TUKETIM","TANIMSIZ")))))</f>
        <v/>
      </c>
    </row>
    <row r="408">
      <c r="A408" s="22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IF($A408="","",IFERROR(SUMIF(tblAnahtarA[Norm],$A408,tblVeriA[EnerjiBedeli]),0))</f>
        <v/>
      </c>
      <c r="E408" s="17">
        <f>IF($A408="","",IFERROR(SUMIF(tblAnahtarA[Norm],$A408,tblVeriA[DagitimBedeli]),0))</f>
        <v/>
      </c>
      <c r="F408" s="17">
        <f>IF($A408="","",IFERROR(SUMIF(tblAnahtarA[Norm],$A408,tblVeriA[VergiKdv]),0))</f>
        <v/>
      </c>
      <c r="G408" s="17">
        <f>IF($A408="","",IFERROR(SUMIF(tblAnahtarA[Norm],$A408,tblVeriA[TuketimKwh]),0))</f>
        <v/>
      </c>
      <c r="H408" s="17">
        <f>IF(OR($A408="",$B408&lt;&gt;"tutar_farki"),"",IF(ABS($C408-$D408)&lt;=toleransKurus,"TARIFE",IF(ABS($C408-$E408)&lt;=toleransKurus,"DAGITIM",IF(ABS($C408-$F408)&lt;=toleransKurus,"KDV",IF($G408&gt;0,"TUKETIM","TANIMSIZ")))))</f>
        <v/>
      </c>
    </row>
    <row r="409">
      <c r="A409" s="22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IF($A409="","",IFERROR(SUMIF(tblAnahtarA[Norm],$A409,tblVeriA[EnerjiBedeli]),0))</f>
        <v/>
      </c>
      <c r="E409" s="17">
        <f>IF($A409="","",IFERROR(SUMIF(tblAnahtarA[Norm],$A409,tblVeriA[DagitimBedeli]),0))</f>
        <v/>
      </c>
      <c r="F409" s="17">
        <f>IF($A409="","",IFERROR(SUMIF(tblAnahtarA[Norm],$A409,tblVeriA[VergiKdv]),0))</f>
        <v/>
      </c>
      <c r="G409" s="17">
        <f>IF($A409="","",IFERROR(SUMIF(tblAnahtarA[Norm],$A409,tblVeriA[TuketimKwh]),0))</f>
        <v/>
      </c>
      <c r="H409" s="17">
        <f>IF(OR($A409="",$B409&lt;&gt;"tutar_farki"),"",IF(ABS($C409-$D409)&lt;=toleransKurus,"TARIFE",IF(ABS($C409-$E409)&lt;=toleransKurus,"DAGITIM",IF(ABS($C409-$F409)&lt;=toleransKurus,"KDV",IF($G409&gt;0,"TUKETIM","TANIMSIZ")))))</f>
        <v/>
      </c>
    </row>
    <row r="410">
      <c r="A410" s="22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IF($A410="","",IFERROR(SUMIF(tblAnahtarA[Norm],$A410,tblVeriA[EnerjiBedeli]),0))</f>
        <v/>
      </c>
      <c r="E410" s="17">
        <f>IF($A410="","",IFERROR(SUMIF(tblAnahtarA[Norm],$A410,tblVeriA[DagitimBedeli]),0))</f>
        <v/>
      </c>
      <c r="F410" s="17">
        <f>IF($A410="","",IFERROR(SUMIF(tblAnahtarA[Norm],$A410,tblVeriA[VergiKdv]),0))</f>
        <v/>
      </c>
      <c r="G410" s="17">
        <f>IF($A410="","",IFERROR(SUMIF(tblAnahtarA[Norm],$A410,tblVeriA[TuketimKwh]),0))</f>
        <v/>
      </c>
      <c r="H410" s="17">
        <f>IF(OR($A410="",$B410&lt;&gt;"tutar_farki"),"",IF(ABS($C410-$D410)&lt;=toleransKurus,"TARIFE",IF(ABS($C410-$E410)&lt;=toleransKurus,"DAGITIM",IF(ABS($C410-$F410)&lt;=toleransKurus,"KDV",IF($G410&gt;0,"TUKETIM","TANIMSIZ")))))</f>
        <v/>
      </c>
    </row>
    <row r="411">
      <c r="A411" s="22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IF($A411="","",IFERROR(SUMIF(tblAnahtarA[Norm],$A411,tblVeriA[EnerjiBedeli]),0))</f>
        <v/>
      </c>
      <c r="E411" s="17">
        <f>IF($A411="","",IFERROR(SUMIF(tblAnahtarA[Norm],$A411,tblVeriA[DagitimBedeli]),0))</f>
        <v/>
      </c>
      <c r="F411" s="17">
        <f>IF($A411="","",IFERROR(SUMIF(tblAnahtarA[Norm],$A411,tblVeriA[VergiKdv]),0))</f>
        <v/>
      </c>
      <c r="G411" s="17">
        <f>IF($A411="","",IFERROR(SUMIF(tblAnahtarA[Norm],$A411,tblVeriA[TuketimKwh]),0))</f>
        <v/>
      </c>
      <c r="H411" s="17">
        <f>IF(OR($A411="",$B411&lt;&gt;"tutar_farki"),"",IF(ABS($C411-$D411)&lt;=toleransKurus,"TARIFE",IF(ABS($C411-$E411)&lt;=toleransKurus,"DAGITIM",IF(ABS($C411-$F411)&lt;=toleransKurus,"KDV",IF($G411&gt;0,"TUKETIM","TANIMSIZ")))))</f>
        <v/>
      </c>
    </row>
    <row r="412">
      <c r="A412" s="22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IF($A412="","",IFERROR(SUMIF(tblAnahtarA[Norm],$A412,tblVeriA[EnerjiBedeli]),0))</f>
        <v/>
      </c>
      <c r="E412" s="17">
        <f>IF($A412="","",IFERROR(SUMIF(tblAnahtarA[Norm],$A412,tblVeriA[DagitimBedeli]),0))</f>
        <v/>
      </c>
      <c r="F412" s="17">
        <f>IF($A412="","",IFERROR(SUMIF(tblAnahtarA[Norm],$A412,tblVeriA[VergiKdv]),0))</f>
        <v/>
      </c>
      <c r="G412" s="17">
        <f>IF($A412="","",IFERROR(SUMIF(tblAnahtarA[Norm],$A412,tblVeriA[TuketimKwh]),0))</f>
        <v/>
      </c>
      <c r="H412" s="17">
        <f>IF(OR($A412="",$B412&lt;&gt;"tutar_farki"),"",IF(ABS($C412-$D412)&lt;=toleransKurus,"TARIFE",IF(ABS($C412-$E412)&lt;=toleransKurus,"DAGITIM",IF(ABS($C412-$F412)&lt;=toleransKurus,"KDV",IF($G412&gt;0,"TUKETIM","TANIMSIZ")))))</f>
        <v/>
      </c>
    </row>
    <row r="413">
      <c r="A413" s="22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IF($A413="","",IFERROR(SUMIF(tblAnahtarA[Norm],$A413,tblVeriA[EnerjiBedeli]),0))</f>
        <v/>
      </c>
      <c r="E413" s="17">
        <f>IF($A413="","",IFERROR(SUMIF(tblAnahtarA[Norm],$A413,tblVeriA[DagitimBedeli]),0))</f>
        <v/>
      </c>
      <c r="F413" s="17">
        <f>IF($A413="","",IFERROR(SUMIF(tblAnahtarA[Norm],$A413,tblVeriA[VergiKdv]),0))</f>
        <v/>
      </c>
      <c r="G413" s="17">
        <f>IF($A413="","",IFERROR(SUMIF(tblAnahtarA[Norm],$A413,tblVeriA[TuketimKwh]),0))</f>
        <v/>
      </c>
      <c r="H413" s="17">
        <f>IF(OR($A413="",$B413&lt;&gt;"tutar_farki"),"",IF(ABS($C413-$D413)&lt;=toleransKurus,"TARIFE",IF(ABS($C413-$E413)&lt;=toleransKurus,"DAGITIM",IF(ABS($C413-$F413)&lt;=toleransKurus,"KDV",IF($G413&gt;0,"TUKETIM","TANIMSIZ")))))</f>
        <v/>
      </c>
    </row>
    <row r="414">
      <c r="A414" s="22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IF($A414="","",IFERROR(SUMIF(tblAnahtarA[Norm],$A414,tblVeriA[EnerjiBedeli]),0))</f>
        <v/>
      </c>
      <c r="E414" s="17">
        <f>IF($A414="","",IFERROR(SUMIF(tblAnahtarA[Norm],$A414,tblVeriA[DagitimBedeli]),0))</f>
        <v/>
      </c>
      <c r="F414" s="17">
        <f>IF($A414="","",IFERROR(SUMIF(tblAnahtarA[Norm],$A414,tblVeriA[VergiKdv]),0))</f>
        <v/>
      </c>
      <c r="G414" s="17">
        <f>IF($A414="","",IFERROR(SUMIF(tblAnahtarA[Norm],$A414,tblVeriA[TuketimKwh]),0))</f>
        <v/>
      </c>
      <c r="H414" s="17">
        <f>IF(OR($A414="",$B414&lt;&gt;"tutar_farki"),"",IF(ABS($C414-$D414)&lt;=toleransKurus,"TARIFE",IF(ABS($C414-$E414)&lt;=toleransKurus,"DAGITIM",IF(ABS($C414-$F414)&lt;=toleransKurus,"KDV",IF($G414&gt;0,"TUKETIM","TANIMSIZ")))))</f>
        <v/>
      </c>
    </row>
    <row r="415">
      <c r="A415" s="22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IF($A415="","",IFERROR(SUMIF(tblAnahtarA[Norm],$A415,tblVeriA[EnerjiBedeli]),0))</f>
        <v/>
      </c>
      <c r="E415" s="17">
        <f>IF($A415="","",IFERROR(SUMIF(tblAnahtarA[Norm],$A415,tblVeriA[DagitimBedeli]),0))</f>
        <v/>
      </c>
      <c r="F415" s="17">
        <f>IF($A415="","",IFERROR(SUMIF(tblAnahtarA[Norm],$A415,tblVeriA[VergiKdv]),0))</f>
        <v/>
      </c>
      <c r="G415" s="17">
        <f>IF($A415="","",IFERROR(SUMIF(tblAnahtarA[Norm],$A415,tblVeriA[TuketimKwh]),0))</f>
        <v/>
      </c>
      <c r="H415" s="17">
        <f>IF(OR($A415="",$B415&lt;&gt;"tutar_farki"),"",IF(ABS($C415-$D415)&lt;=toleransKurus,"TARIFE",IF(ABS($C415-$E415)&lt;=toleransKurus,"DAGITIM",IF(ABS($C415-$F415)&lt;=toleransKurus,"KDV",IF($G415&gt;0,"TUKETIM","TANIMSIZ")))))</f>
        <v/>
      </c>
    </row>
    <row r="416">
      <c r="A416" s="22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IF($A416="","",IFERROR(SUMIF(tblAnahtarA[Norm],$A416,tblVeriA[EnerjiBedeli]),0))</f>
        <v/>
      </c>
      <c r="E416" s="17">
        <f>IF($A416="","",IFERROR(SUMIF(tblAnahtarA[Norm],$A416,tblVeriA[DagitimBedeli]),0))</f>
        <v/>
      </c>
      <c r="F416" s="17">
        <f>IF($A416="","",IFERROR(SUMIF(tblAnahtarA[Norm],$A416,tblVeriA[VergiKdv]),0))</f>
        <v/>
      </c>
      <c r="G416" s="17">
        <f>IF($A416="","",IFERROR(SUMIF(tblAnahtarA[Norm],$A416,tblVeriA[TuketimKwh]),0))</f>
        <v/>
      </c>
      <c r="H416" s="17">
        <f>IF(OR($A416="",$B416&lt;&gt;"tutar_farki"),"",IF(ABS($C416-$D416)&lt;=toleransKurus,"TARIFE",IF(ABS($C416-$E416)&lt;=toleransKurus,"DAGITIM",IF(ABS($C416-$F416)&lt;=toleransKurus,"KDV",IF($G416&gt;0,"TUKETIM","TANIMSIZ")))))</f>
        <v/>
      </c>
    </row>
    <row r="417">
      <c r="A417" s="22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IF($A417="","",IFERROR(SUMIF(tblAnahtarA[Norm],$A417,tblVeriA[EnerjiBedeli]),0))</f>
        <v/>
      </c>
      <c r="E417" s="17">
        <f>IF($A417="","",IFERROR(SUMIF(tblAnahtarA[Norm],$A417,tblVeriA[DagitimBedeli]),0))</f>
        <v/>
      </c>
      <c r="F417" s="17">
        <f>IF($A417="","",IFERROR(SUMIF(tblAnahtarA[Norm],$A417,tblVeriA[VergiKdv]),0))</f>
        <v/>
      </c>
      <c r="G417" s="17">
        <f>IF($A417="","",IFERROR(SUMIF(tblAnahtarA[Norm],$A417,tblVeriA[TuketimKwh]),0))</f>
        <v/>
      </c>
      <c r="H417" s="17">
        <f>IF(OR($A417="",$B417&lt;&gt;"tutar_farki"),"",IF(ABS($C417-$D417)&lt;=toleransKurus,"TARIFE",IF(ABS($C417-$E417)&lt;=toleransKurus,"DAGITIM",IF(ABS($C417-$F417)&lt;=toleransKurus,"KDV",IF($G417&gt;0,"TUKETIM","TANIMSIZ")))))</f>
        <v/>
      </c>
    </row>
    <row r="418">
      <c r="A418" s="22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IF($A418="","",IFERROR(SUMIF(tblAnahtarA[Norm],$A418,tblVeriA[EnerjiBedeli]),0))</f>
        <v/>
      </c>
      <c r="E418" s="17">
        <f>IF($A418="","",IFERROR(SUMIF(tblAnahtarA[Norm],$A418,tblVeriA[DagitimBedeli]),0))</f>
        <v/>
      </c>
      <c r="F418" s="17">
        <f>IF($A418="","",IFERROR(SUMIF(tblAnahtarA[Norm],$A418,tblVeriA[VergiKdv]),0))</f>
        <v/>
      </c>
      <c r="G418" s="17">
        <f>IF($A418="","",IFERROR(SUMIF(tblAnahtarA[Norm],$A418,tblVeriA[TuketimKwh]),0))</f>
        <v/>
      </c>
      <c r="H418" s="17">
        <f>IF(OR($A418="",$B418&lt;&gt;"tutar_farki"),"",IF(ABS($C418-$D418)&lt;=toleransKurus,"TARIFE",IF(ABS($C418-$E418)&lt;=toleransKurus,"DAGITIM",IF(ABS($C418-$F418)&lt;=toleransKurus,"KDV",IF($G418&gt;0,"TUKETIM","TANIMSIZ")))))</f>
        <v/>
      </c>
    </row>
    <row r="419">
      <c r="A419" s="22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IF($A419="","",IFERROR(SUMIF(tblAnahtarA[Norm],$A419,tblVeriA[EnerjiBedeli]),0))</f>
        <v/>
      </c>
      <c r="E419" s="17">
        <f>IF($A419="","",IFERROR(SUMIF(tblAnahtarA[Norm],$A419,tblVeriA[DagitimBedeli]),0))</f>
        <v/>
      </c>
      <c r="F419" s="17">
        <f>IF($A419="","",IFERROR(SUMIF(tblAnahtarA[Norm],$A419,tblVeriA[VergiKdv]),0))</f>
        <v/>
      </c>
      <c r="G419" s="17">
        <f>IF($A419="","",IFERROR(SUMIF(tblAnahtarA[Norm],$A419,tblVeriA[TuketimKwh]),0))</f>
        <v/>
      </c>
      <c r="H419" s="17">
        <f>IF(OR($A419="",$B419&lt;&gt;"tutar_farki"),"",IF(ABS($C419-$D419)&lt;=toleransKurus,"TARIFE",IF(ABS($C419-$E419)&lt;=toleransKurus,"DAGITIM",IF(ABS($C419-$F419)&lt;=toleransKurus,"KDV",IF($G419&gt;0,"TUKETIM","TANIMSIZ")))))</f>
        <v/>
      </c>
    </row>
    <row r="420">
      <c r="A420" s="22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IF($A420="","",IFERROR(SUMIF(tblAnahtarA[Norm],$A420,tblVeriA[EnerjiBedeli]),0))</f>
        <v/>
      </c>
      <c r="E420" s="17">
        <f>IF($A420="","",IFERROR(SUMIF(tblAnahtarA[Norm],$A420,tblVeriA[DagitimBedeli]),0))</f>
        <v/>
      </c>
      <c r="F420" s="17">
        <f>IF($A420="","",IFERROR(SUMIF(tblAnahtarA[Norm],$A420,tblVeriA[VergiKdv]),0))</f>
        <v/>
      </c>
      <c r="G420" s="17">
        <f>IF($A420="","",IFERROR(SUMIF(tblAnahtarA[Norm],$A420,tblVeriA[TuketimKwh]),0))</f>
        <v/>
      </c>
      <c r="H420" s="17">
        <f>IF(OR($A420="",$B420&lt;&gt;"tutar_farki"),"",IF(ABS($C420-$D420)&lt;=toleransKurus,"TARIFE",IF(ABS($C420-$E420)&lt;=toleransKurus,"DAGITIM",IF(ABS($C420-$F420)&lt;=toleransKurus,"KDV",IF($G420&gt;0,"TUKETIM","TANIMSIZ")))))</f>
        <v/>
      </c>
    </row>
    <row r="421">
      <c r="A421" s="22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IF($A421="","",IFERROR(SUMIF(tblAnahtarA[Norm],$A421,tblVeriA[EnerjiBedeli]),0))</f>
        <v/>
      </c>
      <c r="E421" s="17">
        <f>IF($A421="","",IFERROR(SUMIF(tblAnahtarA[Norm],$A421,tblVeriA[DagitimBedeli]),0))</f>
        <v/>
      </c>
      <c r="F421" s="17">
        <f>IF($A421="","",IFERROR(SUMIF(tblAnahtarA[Norm],$A421,tblVeriA[VergiKdv]),0))</f>
        <v/>
      </c>
      <c r="G421" s="17">
        <f>IF($A421="","",IFERROR(SUMIF(tblAnahtarA[Norm],$A421,tblVeriA[TuketimKwh]),0))</f>
        <v/>
      </c>
      <c r="H421" s="17">
        <f>IF(OR($A421="",$B421&lt;&gt;"tutar_farki"),"",IF(ABS($C421-$D421)&lt;=toleransKurus,"TARIFE",IF(ABS($C421-$E421)&lt;=toleransKurus,"DAGITIM",IF(ABS($C421-$F421)&lt;=toleransKurus,"KDV",IF($G421&gt;0,"TUKETIM","TANIMSIZ")))))</f>
        <v/>
      </c>
    </row>
    <row r="422">
      <c r="A422" s="22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IF($A422="","",IFERROR(SUMIF(tblAnahtarA[Norm],$A422,tblVeriA[EnerjiBedeli]),0))</f>
        <v/>
      </c>
      <c r="E422" s="17">
        <f>IF($A422="","",IFERROR(SUMIF(tblAnahtarA[Norm],$A422,tblVeriA[DagitimBedeli]),0))</f>
        <v/>
      </c>
      <c r="F422" s="17">
        <f>IF($A422="","",IFERROR(SUMIF(tblAnahtarA[Norm],$A422,tblVeriA[VergiKdv]),0))</f>
        <v/>
      </c>
      <c r="G422" s="17">
        <f>IF($A422="","",IFERROR(SUMIF(tblAnahtarA[Norm],$A422,tblVeriA[TuketimKwh]),0))</f>
        <v/>
      </c>
      <c r="H422" s="17">
        <f>IF(OR($A422="",$B422&lt;&gt;"tutar_farki"),"",IF(ABS($C422-$D422)&lt;=toleransKurus,"TARIFE",IF(ABS($C422-$E422)&lt;=toleransKurus,"DAGITIM",IF(ABS($C422-$F422)&lt;=toleransKurus,"KDV",IF($G422&gt;0,"TUKETIM","TANIMSIZ")))))</f>
        <v/>
      </c>
    </row>
    <row r="423">
      <c r="A423" s="22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IF($A423="","",IFERROR(SUMIF(tblAnahtarA[Norm],$A423,tblVeriA[EnerjiBedeli]),0))</f>
        <v/>
      </c>
      <c r="E423" s="17">
        <f>IF($A423="","",IFERROR(SUMIF(tblAnahtarA[Norm],$A423,tblVeriA[DagitimBedeli]),0))</f>
        <v/>
      </c>
      <c r="F423" s="17">
        <f>IF($A423="","",IFERROR(SUMIF(tblAnahtarA[Norm],$A423,tblVeriA[VergiKdv]),0))</f>
        <v/>
      </c>
      <c r="G423" s="17">
        <f>IF($A423="","",IFERROR(SUMIF(tblAnahtarA[Norm],$A423,tblVeriA[TuketimKwh]),0))</f>
        <v/>
      </c>
      <c r="H423" s="17">
        <f>IF(OR($A423="",$B423&lt;&gt;"tutar_farki"),"",IF(ABS($C423-$D423)&lt;=toleransKurus,"TARIFE",IF(ABS($C423-$E423)&lt;=toleransKurus,"DAGITIM",IF(ABS($C423-$F423)&lt;=toleransKurus,"KDV",IF($G423&gt;0,"TUKETIM","TANIMSIZ")))))</f>
        <v/>
      </c>
    </row>
    <row r="424">
      <c r="A424" s="22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IF($A424="","",IFERROR(SUMIF(tblAnahtarA[Norm],$A424,tblVeriA[EnerjiBedeli]),0))</f>
        <v/>
      </c>
      <c r="E424" s="17">
        <f>IF($A424="","",IFERROR(SUMIF(tblAnahtarA[Norm],$A424,tblVeriA[DagitimBedeli]),0))</f>
        <v/>
      </c>
      <c r="F424" s="17">
        <f>IF($A424="","",IFERROR(SUMIF(tblAnahtarA[Norm],$A424,tblVeriA[VergiKdv]),0))</f>
        <v/>
      </c>
      <c r="G424" s="17">
        <f>IF($A424="","",IFERROR(SUMIF(tblAnahtarA[Norm],$A424,tblVeriA[TuketimKwh]),0))</f>
        <v/>
      </c>
      <c r="H424" s="17">
        <f>IF(OR($A424="",$B424&lt;&gt;"tutar_farki"),"",IF(ABS($C424-$D424)&lt;=toleransKurus,"TARIFE",IF(ABS($C424-$E424)&lt;=toleransKurus,"DAGITIM",IF(ABS($C424-$F424)&lt;=toleransKurus,"KDV",IF($G424&gt;0,"TUKETIM","TANIMSIZ")))))</f>
        <v/>
      </c>
    </row>
    <row r="425">
      <c r="A425" s="22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IF($A425="","",IFERROR(SUMIF(tblAnahtarA[Norm],$A425,tblVeriA[EnerjiBedeli]),0))</f>
        <v/>
      </c>
      <c r="E425" s="17">
        <f>IF($A425="","",IFERROR(SUMIF(tblAnahtarA[Norm],$A425,tblVeriA[DagitimBedeli]),0))</f>
        <v/>
      </c>
      <c r="F425" s="17">
        <f>IF($A425="","",IFERROR(SUMIF(tblAnahtarA[Norm],$A425,tblVeriA[VergiKdv]),0))</f>
        <v/>
      </c>
      <c r="G425" s="17">
        <f>IF($A425="","",IFERROR(SUMIF(tblAnahtarA[Norm],$A425,tblVeriA[TuketimKwh]),0))</f>
        <v/>
      </c>
      <c r="H425" s="17">
        <f>IF(OR($A425="",$B425&lt;&gt;"tutar_farki"),"",IF(ABS($C425-$D425)&lt;=toleransKurus,"TARIFE",IF(ABS($C425-$E425)&lt;=toleransKurus,"DAGITIM",IF(ABS($C425-$F425)&lt;=toleransKurus,"KDV",IF($G425&gt;0,"TUKETIM","TANIMSIZ")))))</f>
        <v/>
      </c>
    </row>
    <row r="426">
      <c r="A426" s="22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IF($A426="","",IFERROR(SUMIF(tblAnahtarA[Norm],$A426,tblVeriA[EnerjiBedeli]),0))</f>
        <v/>
      </c>
      <c r="E426" s="17">
        <f>IF($A426="","",IFERROR(SUMIF(tblAnahtarA[Norm],$A426,tblVeriA[DagitimBedeli]),0))</f>
        <v/>
      </c>
      <c r="F426" s="17">
        <f>IF($A426="","",IFERROR(SUMIF(tblAnahtarA[Norm],$A426,tblVeriA[VergiKdv]),0))</f>
        <v/>
      </c>
      <c r="G426" s="17">
        <f>IF($A426="","",IFERROR(SUMIF(tblAnahtarA[Norm],$A426,tblVeriA[TuketimKwh]),0))</f>
        <v/>
      </c>
      <c r="H426" s="17">
        <f>IF(OR($A426="",$B426&lt;&gt;"tutar_farki"),"",IF(ABS($C426-$D426)&lt;=toleransKurus,"TARIFE",IF(ABS($C426-$E426)&lt;=toleransKurus,"DAGITIM",IF(ABS($C426-$F426)&lt;=toleransKurus,"KDV",IF($G426&gt;0,"TUKETIM","TANIMSIZ")))))</f>
        <v/>
      </c>
    </row>
    <row r="427">
      <c r="A427" s="22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IF($A427="","",IFERROR(SUMIF(tblAnahtarA[Norm],$A427,tblVeriA[EnerjiBedeli]),0))</f>
        <v/>
      </c>
      <c r="E427" s="17">
        <f>IF($A427="","",IFERROR(SUMIF(tblAnahtarA[Norm],$A427,tblVeriA[DagitimBedeli]),0))</f>
        <v/>
      </c>
      <c r="F427" s="17">
        <f>IF($A427="","",IFERROR(SUMIF(tblAnahtarA[Norm],$A427,tblVeriA[VergiKdv]),0))</f>
        <v/>
      </c>
      <c r="G427" s="17">
        <f>IF($A427="","",IFERROR(SUMIF(tblAnahtarA[Norm],$A427,tblVeriA[TuketimKwh]),0))</f>
        <v/>
      </c>
      <c r="H427" s="17">
        <f>IF(OR($A427="",$B427&lt;&gt;"tutar_farki"),"",IF(ABS($C427-$D427)&lt;=toleransKurus,"TARIFE",IF(ABS($C427-$E427)&lt;=toleransKurus,"DAGITIM",IF(ABS($C427-$F427)&lt;=toleransKurus,"KDV",IF($G427&gt;0,"TUKETIM","TANIMSIZ")))))</f>
        <v/>
      </c>
    </row>
    <row r="428">
      <c r="A428" s="22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IF($A428="","",IFERROR(SUMIF(tblAnahtarA[Norm],$A428,tblVeriA[EnerjiBedeli]),0))</f>
        <v/>
      </c>
      <c r="E428" s="17">
        <f>IF($A428="","",IFERROR(SUMIF(tblAnahtarA[Norm],$A428,tblVeriA[DagitimBedeli]),0))</f>
        <v/>
      </c>
      <c r="F428" s="17">
        <f>IF($A428="","",IFERROR(SUMIF(tblAnahtarA[Norm],$A428,tblVeriA[VergiKdv]),0))</f>
        <v/>
      </c>
      <c r="G428" s="17">
        <f>IF($A428="","",IFERROR(SUMIF(tblAnahtarA[Norm],$A428,tblVeriA[TuketimKwh]),0))</f>
        <v/>
      </c>
      <c r="H428" s="17">
        <f>IF(OR($A428="",$B428&lt;&gt;"tutar_farki"),"",IF(ABS($C428-$D428)&lt;=toleransKurus,"TARIFE",IF(ABS($C428-$E428)&lt;=toleransKurus,"DAGITIM",IF(ABS($C428-$F428)&lt;=toleransKurus,"KDV",IF($G428&gt;0,"TUKETIM","TANIMSIZ")))))</f>
        <v/>
      </c>
    </row>
    <row r="429">
      <c r="A429" s="22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IF($A429="","",IFERROR(SUMIF(tblAnahtarA[Norm],$A429,tblVeriA[EnerjiBedeli]),0))</f>
        <v/>
      </c>
      <c r="E429" s="17">
        <f>IF($A429="","",IFERROR(SUMIF(tblAnahtarA[Norm],$A429,tblVeriA[DagitimBedeli]),0))</f>
        <v/>
      </c>
      <c r="F429" s="17">
        <f>IF($A429="","",IFERROR(SUMIF(tblAnahtarA[Norm],$A429,tblVeriA[VergiKdv]),0))</f>
        <v/>
      </c>
      <c r="G429" s="17">
        <f>IF($A429="","",IFERROR(SUMIF(tblAnahtarA[Norm],$A429,tblVeriA[TuketimKwh]),0))</f>
        <v/>
      </c>
      <c r="H429" s="17">
        <f>IF(OR($A429="",$B429&lt;&gt;"tutar_farki"),"",IF(ABS($C429-$D429)&lt;=toleransKurus,"TARIFE",IF(ABS($C429-$E429)&lt;=toleransKurus,"DAGITIM",IF(ABS($C429-$F429)&lt;=toleransKurus,"KDV",IF($G429&gt;0,"TUKETIM","TANIMSIZ")))))</f>
        <v/>
      </c>
    </row>
    <row r="430">
      <c r="A430" s="22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IF($A430="","",IFERROR(SUMIF(tblAnahtarA[Norm],$A430,tblVeriA[EnerjiBedeli]),0))</f>
        <v/>
      </c>
      <c r="E430" s="17">
        <f>IF($A430="","",IFERROR(SUMIF(tblAnahtarA[Norm],$A430,tblVeriA[DagitimBedeli]),0))</f>
        <v/>
      </c>
      <c r="F430" s="17">
        <f>IF($A430="","",IFERROR(SUMIF(tblAnahtarA[Norm],$A430,tblVeriA[VergiKdv]),0))</f>
        <v/>
      </c>
      <c r="G430" s="17">
        <f>IF($A430="","",IFERROR(SUMIF(tblAnahtarA[Norm],$A430,tblVeriA[TuketimKwh]),0))</f>
        <v/>
      </c>
      <c r="H430" s="17">
        <f>IF(OR($A430="",$B430&lt;&gt;"tutar_farki"),"",IF(ABS($C430-$D430)&lt;=toleransKurus,"TARIFE",IF(ABS($C430-$E430)&lt;=toleransKurus,"DAGITIM",IF(ABS($C430-$F430)&lt;=toleransKurus,"KDV",IF($G430&gt;0,"TUKETIM","TANIMSIZ")))))</f>
        <v/>
      </c>
    </row>
    <row r="431">
      <c r="A431" s="22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IF($A431="","",IFERROR(SUMIF(tblAnahtarA[Norm],$A431,tblVeriA[EnerjiBedeli]),0))</f>
        <v/>
      </c>
      <c r="E431" s="17">
        <f>IF($A431="","",IFERROR(SUMIF(tblAnahtarA[Norm],$A431,tblVeriA[DagitimBedeli]),0))</f>
        <v/>
      </c>
      <c r="F431" s="17">
        <f>IF($A431="","",IFERROR(SUMIF(tblAnahtarA[Norm],$A431,tblVeriA[VergiKdv]),0))</f>
        <v/>
      </c>
      <c r="G431" s="17">
        <f>IF($A431="","",IFERROR(SUMIF(tblAnahtarA[Norm],$A431,tblVeriA[TuketimKwh]),0))</f>
        <v/>
      </c>
      <c r="H431" s="17">
        <f>IF(OR($A431="",$B431&lt;&gt;"tutar_farki"),"",IF(ABS($C431-$D431)&lt;=toleransKurus,"TARIFE",IF(ABS($C431-$E431)&lt;=toleransKurus,"DAGITIM",IF(ABS($C431-$F431)&lt;=toleransKurus,"KDV",IF($G431&gt;0,"TUKETIM","TANIMSIZ")))))</f>
        <v/>
      </c>
    </row>
    <row r="432">
      <c r="A432" s="22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IF($A432="","",IFERROR(SUMIF(tblAnahtarA[Norm],$A432,tblVeriA[EnerjiBedeli]),0))</f>
        <v/>
      </c>
      <c r="E432" s="17">
        <f>IF($A432="","",IFERROR(SUMIF(tblAnahtarA[Norm],$A432,tblVeriA[DagitimBedeli]),0))</f>
        <v/>
      </c>
      <c r="F432" s="17">
        <f>IF($A432="","",IFERROR(SUMIF(tblAnahtarA[Norm],$A432,tblVeriA[VergiKdv]),0))</f>
        <v/>
      </c>
      <c r="G432" s="17">
        <f>IF($A432="","",IFERROR(SUMIF(tblAnahtarA[Norm],$A432,tblVeriA[TuketimKwh]),0))</f>
        <v/>
      </c>
      <c r="H432" s="17">
        <f>IF(OR($A432="",$B432&lt;&gt;"tutar_farki"),"",IF(ABS($C432-$D432)&lt;=toleransKurus,"TARIFE",IF(ABS($C432-$E432)&lt;=toleransKurus,"DAGITIM",IF(ABS($C432-$F432)&lt;=toleransKurus,"KDV",IF($G432&gt;0,"TUKETIM","TANIMSIZ")))))</f>
        <v/>
      </c>
    </row>
    <row r="433">
      <c r="A433" s="22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IF($A433="","",IFERROR(SUMIF(tblAnahtarA[Norm],$A433,tblVeriA[EnerjiBedeli]),0))</f>
        <v/>
      </c>
      <c r="E433" s="17">
        <f>IF($A433="","",IFERROR(SUMIF(tblAnahtarA[Norm],$A433,tblVeriA[DagitimBedeli]),0))</f>
        <v/>
      </c>
      <c r="F433" s="17">
        <f>IF($A433="","",IFERROR(SUMIF(tblAnahtarA[Norm],$A433,tblVeriA[VergiKdv]),0))</f>
        <v/>
      </c>
      <c r="G433" s="17">
        <f>IF($A433="","",IFERROR(SUMIF(tblAnahtarA[Norm],$A433,tblVeriA[TuketimKwh]),0))</f>
        <v/>
      </c>
      <c r="H433" s="17">
        <f>IF(OR($A433="",$B433&lt;&gt;"tutar_farki"),"",IF(ABS($C433-$D433)&lt;=toleransKurus,"TARIFE",IF(ABS($C433-$E433)&lt;=toleransKurus,"DAGITIM",IF(ABS($C433-$F433)&lt;=toleransKurus,"KDV",IF($G433&gt;0,"TUKETIM","TANIMSIZ")))))</f>
        <v/>
      </c>
    </row>
    <row r="434">
      <c r="A434" s="22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IF($A434="","",IFERROR(SUMIF(tblAnahtarA[Norm],$A434,tblVeriA[EnerjiBedeli]),0))</f>
        <v/>
      </c>
      <c r="E434" s="17">
        <f>IF($A434="","",IFERROR(SUMIF(tblAnahtarA[Norm],$A434,tblVeriA[DagitimBedeli]),0))</f>
        <v/>
      </c>
      <c r="F434" s="17">
        <f>IF($A434="","",IFERROR(SUMIF(tblAnahtarA[Norm],$A434,tblVeriA[VergiKdv]),0))</f>
        <v/>
      </c>
      <c r="G434" s="17">
        <f>IF($A434="","",IFERROR(SUMIF(tblAnahtarA[Norm],$A434,tblVeriA[TuketimKwh]),0))</f>
        <v/>
      </c>
      <c r="H434" s="17">
        <f>IF(OR($A434="",$B434&lt;&gt;"tutar_farki"),"",IF(ABS($C434-$D434)&lt;=toleransKurus,"TARIFE",IF(ABS($C434-$E434)&lt;=toleransKurus,"DAGITIM",IF(ABS($C434-$F434)&lt;=toleransKurus,"KDV",IF($G434&gt;0,"TUKETIM","TANIMSIZ")))))</f>
        <v/>
      </c>
    </row>
    <row r="435">
      <c r="A435" s="22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IF($A435="","",IFERROR(SUMIF(tblAnahtarA[Norm],$A435,tblVeriA[EnerjiBedeli]),0))</f>
        <v/>
      </c>
      <c r="E435" s="17">
        <f>IF($A435="","",IFERROR(SUMIF(tblAnahtarA[Norm],$A435,tblVeriA[DagitimBedeli]),0))</f>
        <v/>
      </c>
      <c r="F435" s="17">
        <f>IF($A435="","",IFERROR(SUMIF(tblAnahtarA[Norm],$A435,tblVeriA[VergiKdv]),0))</f>
        <v/>
      </c>
      <c r="G435" s="17">
        <f>IF($A435="","",IFERROR(SUMIF(tblAnahtarA[Norm],$A435,tblVeriA[TuketimKwh]),0))</f>
        <v/>
      </c>
      <c r="H435" s="17">
        <f>IF(OR($A435="",$B435&lt;&gt;"tutar_farki"),"",IF(ABS($C435-$D435)&lt;=toleransKurus,"TARIFE",IF(ABS($C435-$E435)&lt;=toleransKurus,"DAGITIM",IF(ABS($C435-$F435)&lt;=toleransKurus,"KDV",IF($G435&gt;0,"TUKETIM","TANIMSIZ")))))</f>
        <v/>
      </c>
    </row>
    <row r="436">
      <c r="A436" s="22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IF($A436="","",IFERROR(SUMIF(tblAnahtarA[Norm],$A436,tblVeriA[EnerjiBedeli]),0))</f>
        <v/>
      </c>
      <c r="E436" s="17">
        <f>IF($A436="","",IFERROR(SUMIF(tblAnahtarA[Norm],$A436,tblVeriA[DagitimBedeli]),0))</f>
        <v/>
      </c>
      <c r="F436" s="17">
        <f>IF($A436="","",IFERROR(SUMIF(tblAnahtarA[Norm],$A436,tblVeriA[VergiKdv]),0))</f>
        <v/>
      </c>
      <c r="G436" s="17">
        <f>IF($A436="","",IFERROR(SUMIF(tblAnahtarA[Norm],$A436,tblVeriA[TuketimKwh]),0))</f>
        <v/>
      </c>
      <c r="H436" s="17">
        <f>IF(OR($A436="",$B436&lt;&gt;"tutar_farki"),"",IF(ABS($C436-$D436)&lt;=toleransKurus,"TARIFE",IF(ABS($C436-$E436)&lt;=toleransKurus,"DAGITIM",IF(ABS($C436-$F436)&lt;=toleransKurus,"KDV",IF($G436&gt;0,"TUKETIM","TANIMSIZ")))))</f>
        <v/>
      </c>
    </row>
    <row r="437">
      <c r="A437" s="22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IF($A437="","",IFERROR(SUMIF(tblAnahtarA[Norm],$A437,tblVeriA[EnerjiBedeli]),0))</f>
        <v/>
      </c>
      <c r="E437" s="17">
        <f>IF($A437="","",IFERROR(SUMIF(tblAnahtarA[Norm],$A437,tblVeriA[DagitimBedeli]),0))</f>
        <v/>
      </c>
      <c r="F437" s="17">
        <f>IF($A437="","",IFERROR(SUMIF(tblAnahtarA[Norm],$A437,tblVeriA[VergiKdv]),0))</f>
        <v/>
      </c>
      <c r="G437" s="17">
        <f>IF($A437="","",IFERROR(SUMIF(tblAnahtarA[Norm],$A437,tblVeriA[TuketimKwh]),0))</f>
        <v/>
      </c>
      <c r="H437" s="17">
        <f>IF(OR($A437="",$B437&lt;&gt;"tutar_farki"),"",IF(ABS($C437-$D437)&lt;=toleransKurus,"TARIFE",IF(ABS($C437-$E437)&lt;=toleransKurus,"DAGITIM",IF(ABS($C437-$F437)&lt;=toleransKurus,"KDV",IF($G437&gt;0,"TUKETIM","TANIMSIZ")))))</f>
        <v/>
      </c>
    </row>
    <row r="438">
      <c r="A438" s="22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IF($A438="","",IFERROR(SUMIF(tblAnahtarA[Norm],$A438,tblVeriA[EnerjiBedeli]),0))</f>
        <v/>
      </c>
      <c r="E438" s="17">
        <f>IF($A438="","",IFERROR(SUMIF(tblAnahtarA[Norm],$A438,tblVeriA[DagitimBedeli]),0))</f>
        <v/>
      </c>
      <c r="F438" s="17">
        <f>IF($A438="","",IFERROR(SUMIF(tblAnahtarA[Norm],$A438,tblVeriA[VergiKdv]),0))</f>
        <v/>
      </c>
      <c r="G438" s="17">
        <f>IF($A438="","",IFERROR(SUMIF(tblAnahtarA[Norm],$A438,tblVeriA[TuketimKwh]),0))</f>
        <v/>
      </c>
      <c r="H438" s="17">
        <f>IF(OR($A438="",$B438&lt;&gt;"tutar_farki"),"",IF(ABS($C438-$D438)&lt;=toleransKurus,"TARIFE",IF(ABS($C438-$E438)&lt;=toleransKurus,"DAGITIM",IF(ABS($C438-$F438)&lt;=toleransKurus,"KDV",IF($G438&gt;0,"TUKETIM","TANIMSIZ")))))</f>
        <v/>
      </c>
    </row>
    <row r="439">
      <c r="A439" s="22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IF($A439="","",IFERROR(SUMIF(tblAnahtarA[Norm],$A439,tblVeriA[EnerjiBedeli]),0))</f>
        <v/>
      </c>
      <c r="E439" s="17">
        <f>IF($A439="","",IFERROR(SUMIF(tblAnahtarA[Norm],$A439,tblVeriA[DagitimBedeli]),0))</f>
        <v/>
      </c>
      <c r="F439" s="17">
        <f>IF($A439="","",IFERROR(SUMIF(tblAnahtarA[Norm],$A439,tblVeriA[VergiKdv]),0))</f>
        <v/>
      </c>
      <c r="G439" s="17">
        <f>IF($A439="","",IFERROR(SUMIF(tblAnahtarA[Norm],$A439,tblVeriA[TuketimKwh]),0))</f>
        <v/>
      </c>
      <c r="H439" s="17">
        <f>IF(OR($A439="",$B439&lt;&gt;"tutar_farki"),"",IF(ABS($C439-$D439)&lt;=toleransKurus,"TARIFE",IF(ABS($C439-$E439)&lt;=toleransKurus,"DAGITIM",IF(ABS($C439-$F439)&lt;=toleransKurus,"KDV",IF($G439&gt;0,"TUKETIM","TANIMSIZ")))))</f>
        <v/>
      </c>
    </row>
    <row r="440">
      <c r="A440" s="22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IF($A440="","",IFERROR(SUMIF(tblAnahtarA[Norm],$A440,tblVeriA[EnerjiBedeli]),0))</f>
        <v/>
      </c>
      <c r="E440" s="17">
        <f>IF($A440="","",IFERROR(SUMIF(tblAnahtarA[Norm],$A440,tblVeriA[DagitimBedeli]),0))</f>
        <v/>
      </c>
      <c r="F440" s="17">
        <f>IF($A440="","",IFERROR(SUMIF(tblAnahtarA[Norm],$A440,tblVeriA[VergiKdv]),0))</f>
        <v/>
      </c>
      <c r="G440" s="17">
        <f>IF($A440="","",IFERROR(SUMIF(tblAnahtarA[Norm],$A440,tblVeriA[TuketimKwh]),0))</f>
        <v/>
      </c>
      <c r="H440" s="17">
        <f>IF(OR($A440="",$B440&lt;&gt;"tutar_farki"),"",IF(ABS($C440-$D440)&lt;=toleransKurus,"TARIFE",IF(ABS($C440-$E440)&lt;=toleransKurus,"DAGITIM",IF(ABS($C440-$F440)&lt;=toleransKurus,"KDV",IF($G440&gt;0,"TUKETIM","TANIMSIZ")))))</f>
        <v/>
      </c>
    </row>
    <row r="441">
      <c r="A441" s="22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IF($A441="","",IFERROR(SUMIF(tblAnahtarA[Norm],$A441,tblVeriA[EnerjiBedeli]),0))</f>
        <v/>
      </c>
      <c r="E441" s="17">
        <f>IF($A441="","",IFERROR(SUMIF(tblAnahtarA[Norm],$A441,tblVeriA[DagitimBedeli]),0))</f>
        <v/>
      </c>
      <c r="F441" s="17">
        <f>IF($A441="","",IFERROR(SUMIF(tblAnahtarA[Norm],$A441,tblVeriA[VergiKdv]),0))</f>
        <v/>
      </c>
      <c r="G441" s="17">
        <f>IF($A441="","",IFERROR(SUMIF(tblAnahtarA[Norm],$A441,tblVeriA[TuketimKwh]),0))</f>
        <v/>
      </c>
      <c r="H441" s="17">
        <f>IF(OR($A441="",$B441&lt;&gt;"tutar_farki"),"",IF(ABS($C441-$D441)&lt;=toleransKurus,"TARIFE",IF(ABS($C441-$E441)&lt;=toleransKurus,"DAGITIM",IF(ABS($C441-$F441)&lt;=toleransKurus,"KDV",IF($G441&gt;0,"TUKETIM","TANIMSIZ")))))</f>
        <v/>
      </c>
    </row>
    <row r="442">
      <c r="A442" s="22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IF($A442="","",IFERROR(SUMIF(tblAnahtarA[Norm],$A442,tblVeriA[EnerjiBedeli]),0))</f>
        <v/>
      </c>
      <c r="E442" s="17">
        <f>IF($A442="","",IFERROR(SUMIF(tblAnahtarA[Norm],$A442,tblVeriA[DagitimBedeli]),0))</f>
        <v/>
      </c>
      <c r="F442" s="17">
        <f>IF($A442="","",IFERROR(SUMIF(tblAnahtarA[Norm],$A442,tblVeriA[VergiKdv]),0))</f>
        <v/>
      </c>
      <c r="G442" s="17">
        <f>IF($A442="","",IFERROR(SUMIF(tblAnahtarA[Norm],$A442,tblVeriA[TuketimKwh]),0))</f>
        <v/>
      </c>
      <c r="H442" s="17">
        <f>IF(OR($A442="",$B442&lt;&gt;"tutar_farki"),"",IF(ABS($C442-$D442)&lt;=toleransKurus,"TARIFE",IF(ABS($C442-$E442)&lt;=toleransKurus,"DAGITIM",IF(ABS($C442-$F442)&lt;=toleransKurus,"KDV",IF($G442&gt;0,"TUKETIM","TANIMSIZ")))))</f>
        <v/>
      </c>
    </row>
    <row r="443">
      <c r="A443" s="22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IF($A443="","",IFERROR(SUMIF(tblAnahtarA[Norm],$A443,tblVeriA[EnerjiBedeli]),0))</f>
        <v/>
      </c>
      <c r="E443" s="17">
        <f>IF($A443="","",IFERROR(SUMIF(tblAnahtarA[Norm],$A443,tblVeriA[DagitimBedeli]),0))</f>
        <v/>
      </c>
      <c r="F443" s="17">
        <f>IF($A443="","",IFERROR(SUMIF(tblAnahtarA[Norm],$A443,tblVeriA[VergiKdv]),0))</f>
        <v/>
      </c>
      <c r="G443" s="17">
        <f>IF($A443="","",IFERROR(SUMIF(tblAnahtarA[Norm],$A443,tblVeriA[TuketimKwh]),0))</f>
        <v/>
      </c>
      <c r="H443" s="17">
        <f>IF(OR($A443="",$B443&lt;&gt;"tutar_farki"),"",IF(ABS($C443-$D443)&lt;=toleransKurus,"TARIFE",IF(ABS($C443-$E443)&lt;=toleransKurus,"DAGITIM",IF(ABS($C443-$F443)&lt;=toleransKurus,"KDV",IF($G443&gt;0,"TUKETIM","TANIMSIZ")))))</f>
        <v/>
      </c>
    </row>
    <row r="444">
      <c r="A444" s="22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IF($A444="","",IFERROR(SUMIF(tblAnahtarA[Norm],$A444,tblVeriA[EnerjiBedeli]),0))</f>
        <v/>
      </c>
      <c r="E444" s="17">
        <f>IF($A444="","",IFERROR(SUMIF(tblAnahtarA[Norm],$A444,tblVeriA[DagitimBedeli]),0))</f>
        <v/>
      </c>
      <c r="F444" s="17">
        <f>IF($A444="","",IFERROR(SUMIF(tblAnahtarA[Norm],$A444,tblVeriA[VergiKdv]),0))</f>
        <v/>
      </c>
      <c r="G444" s="17">
        <f>IF($A444="","",IFERROR(SUMIF(tblAnahtarA[Norm],$A444,tblVeriA[TuketimKwh]),0))</f>
        <v/>
      </c>
      <c r="H444" s="17">
        <f>IF(OR($A444="",$B444&lt;&gt;"tutar_farki"),"",IF(ABS($C444-$D444)&lt;=toleransKurus,"TARIFE",IF(ABS($C444-$E444)&lt;=toleransKurus,"DAGITIM",IF(ABS($C444-$F444)&lt;=toleransKurus,"KDV",IF($G444&gt;0,"TUKETIM","TANIMSIZ")))))</f>
        <v/>
      </c>
    </row>
    <row r="445">
      <c r="A445" s="22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IF($A445="","",IFERROR(SUMIF(tblAnahtarA[Norm],$A445,tblVeriA[EnerjiBedeli]),0))</f>
        <v/>
      </c>
      <c r="E445" s="17">
        <f>IF($A445="","",IFERROR(SUMIF(tblAnahtarA[Norm],$A445,tblVeriA[DagitimBedeli]),0))</f>
        <v/>
      </c>
      <c r="F445" s="17">
        <f>IF($A445="","",IFERROR(SUMIF(tblAnahtarA[Norm],$A445,tblVeriA[VergiKdv]),0))</f>
        <v/>
      </c>
      <c r="G445" s="17">
        <f>IF($A445="","",IFERROR(SUMIF(tblAnahtarA[Norm],$A445,tblVeriA[TuketimKwh]),0))</f>
        <v/>
      </c>
      <c r="H445" s="17">
        <f>IF(OR($A445="",$B445&lt;&gt;"tutar_farki"),"",IF(ABS($C445-$D445)&lt;=toleransKurus,"TARIFE",IF(ABS($C445-$E445)&lt;=toleransKurus,"DAGITIM",IF(ABS($C445-$F445)&lt;=toleransKurus,"KDV",IF($G445&gt;0,"TUKETIM","TANIMSIZ")))))</f>
        <v/>
      </c>
    </row>
    <row r="446">
      <c r="A446" s="22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IF($A446="","",IFERROR(SUMIF(tblAnahtarA[Norm],$A446,tblVeriA[EnerjiBedeli]),0))</f>
        <v/>
      </c>
      <c r="E446" s="17">
        <f>IF($A446="","",IFERROR(SUMIF(tblAnahtarA[Norm],$A446,tblVeriA[DagitimBedeli]),0))</f>
        <v/>
      </c>
      <c r="F446" s="17">
        <f>IF($A446="","",IFERROR(SUMIF(tblAnahtarA[Norm],$A446,tblVeriA[VergiKdv]),0))</f>
        <v/>
      </c>
      <c r="G446" s="17">
        <f>IF($A446="","",IFERROR(SUMIF(tblAnahtarA[Norm],$A446,tblVeriA[TuketimKwh]),0))</f>
        <v/>
      </c>
      <c r="H446" s="17">
        <f>IF(OR($A446="",$B446&lt;&gt;"tutar_farki"),"",IF(ABS($C446-$D446)&lt;=toleransKurus,"TARIFE",IF(ABS($C446-$E446)&lt;=toleransKurus,"DAGITIM",IF(ABS($C446-$F446)&lt;=toleransKurus,"KDV",IF($G446&gt;0,"TUKETIM","TANIMSIZ")))))</f>
        <v/>
      </c>
    </row>
    <row r="447">
      <c r="A447" s="22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IF($A447="","",IFERROR(SUMIF(tblAnahtarA[Norm],$A447,tblVeriA[EnerjiBedeli]),0))</f>
        <v/>
      </c>
      <c r="E447" s="17">
        <f>IF($A447="","",IFERROR(SUMIF(tblAnahtarA[Norm],$A447,tblVeriA[DagitimBedeli]),0))</f>
        <v/>
      </c>
      <c r="F447" s="17">
        <f>IF($A447="","",IFERROR(SUMIF(tblAnahtarA[Norm],$A447,tblVeriA[VergiKdv]),0))</f>
        <v/>
      </c>
      <c r="G447" s="17">
        <f>IF($A447="","",IFERROR(SUMIF(tblAnahtarA[Norm],$A447,tblVeriA[TuketimKwh]),0))</f>
        <v/>
      </c>
      <c r="H447" s="17">
        <f>IF(OR($A447="",$B447&lt;&gt;"tutar_farki"),"",IF(ABS($C447-$D447)&lt;=toleransKurus,"TARIFE",IF(ABS($C447-$E447)&lt;=toleransKurus,"DAGITIM",IF(ABS($C447-$F447)&lt;=toleransKurus,"KDV",IF($G447&gt;0,"TUKETIM","TANIMSIZ")))))</f>
        <v/>
      </c>
    </row>
    <row r="448">
      <c r="A448" s="22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IF($A448="","",IFERROR(SUMIF(tblAnahtarA[Norm],$A448,tblVeriA[EnerjiBedeli]),0))</f>
        <v/>
      </c>
      <c r="E448" s="17">
        <f>IF($A448="","",IFERROR(SUMIF(tblAnahtarA[Norm],$A448,tblVeriA[DagitimBedeli]),0))</f>
        <v/>
      </c>
      <c r="F448" s="17">
        <f>IF($A448="","",IFERROR(SUMIF(tblAnahtarA[Norm],$A448,tblVeriA[VergiKdv]),0))</f>
        <v/>
      </c>
      <c r="G448" s="17">
        <f>IF($A448="","",IFERROR(SUMIF(tblAnahtarA[Norm],$A448,tblVeriA[TuketimKwh]),0))</f>
        <v/>
      </c>
      <c r="H448" s="17">
        <f>IF(OR($A448="",$B448&lt;&gt;"tutar_farki"),"",IF(ABS($C448-$D448)&lt;=toleransKurus,"TARIFE",IF(ABS($C448-$E448)&lt;=toleransKurus,"DAGITIM",IF(ABS($C448-$F448)&lt;=toleransKurus,"KDV",IF($G448&gt;0,"TUKETIM","TANIMSIZ")))))</f>
        <v/>
      </c>
    </row>
    <row r="449">
      <c r="A449" s="22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IF($A449="","",IFERROR(SUMIF(tblAnahtarA[Norm],$A449,tblVeriA[EnerjiBedeli]),0))</f>
        <v/>
      </c>
      <c r="E449" s="17">
        <f>IF($A449="","",IFERROR(SUMIF(tblAnahtarA[Norm],$A449,tblVeriA[DagitimBedeli]),0))</f>
        <v/>
      </c>
      <c r="F449" s="17">
        <f>IF($A449="","",IFERROR(SUMIF(tblAnahtarA[Norm],$A449,tblVeriA[VergiKdv]),0))</f>
        <v/>
      </c>
      <c r="G449" s="17">
        <f>IF($A449="","",IFERROR(SUMIF(tblAnahtarA[Norm],$A449,tblVeriA[TuketimKwh]),0))</f>
        <v/>
      </c>
      <c r="H449" s="17">
        <f>IF(OR($A449="",$B449&lt;&gt;"tutar_farki"),"",IF(ABS($C449-$D449)&lt;=toleransKurus,"TARIFE",IF(ABS($C449-$E449)&lt;=toleransKurus,"DAGITIM",IF(ABS($C449-$F449)&lt;=toleransKurus,"KDV",IF($G449&gt;0,"TUKETIM","TANIMSIZ")))))</f>
        <v/>
      </c>
    </row>
    <row r="450">
      <c r="A450" s="22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IF($A450="","",IFERROR(SUMIF(tblAnahtarA[Norm],$A450,tblVeriA[EnerjiBedeli]),0))</f>
        <v/>
      </c>
      <c r="E450" s="17">
        <f>IF($A450="","",IFERROR(SUMIF(tblAnahtarA[Norm],$A450,tblVeriA[DagitimBedeli]),0))</f>
        <v/>
      </c>
      <c r="F450" s="17">
        <f>IF($A450="","",IFERROR(SUMIF(tblAnahtarA[Norm],$A450,tblVeriA[VergiKdv]),0))</f>
        <v/>
      </c>
      <c r="G450" s="17">
        <f>IF($A450="","",IFERROR(SUMIF(tblAnahtarA[Norm],$A450,tblVeriA[TuketimKwh]),0))</f>
        <v/>
      </c>
      <c r="H450" s="17">
        <f>IF(OR($A450="",$B450&lt;&gt;"tutar_farki"),"",IF(ABS($C450-$D450)&lt;=toleransKurus,"TARIFE",IF(ABS($C450-$E450)&lt;=toleransKurus,"DAGITIM",IF(ABS($C450-$F450)&lt;=toleransKurus,"KDV",IF($G450&gt;0,"TUKETIM","TANIMSIZ")))))</f>
        <v/>
      </c>
    </row>
    <row r="451">
      <c r="A451" s="22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IF($A451="","",IFERROR(SUMIF(tblAnahtarA[Norm],$A451,tblVeriA[EnerjiBedeli]),0))</f>
        <v/>
      </c>
      <c r="E451" s="17">
        <f>IF($A451="","",IFERROR(SUMIF(tblAnahtarA[Norm],$A451,tblVeriA[DagitimBedeli]),0))</f>
        <v/>
      </c>
      <c r="F451" s="17">
        <f>IF($A451="","",IFERROR(SUMIF(tblAnahtarA[Norm],$A451,tblVeriA[VergiKdv]),0))</f>
        <v/>
      </c>
      <c r="G451" s="17">
        <f>IF($A451="","",IFERROR(SUMIF(tblAnahtarA[Norm],$A451,tblVeriA[TuketimKwh]),0))</f>
        <v/>
      </c>
      <c r="H451" s="17">
        <f>IF(OR($A451="",$B451&lt;&gt;"tutar_farki"),"",IF(ABS($C451-$D451)&lt;=toleransKurus,"TARIFE",IF(ABS($C451-$E451)&lt;=toleransKurus,"DAGITIM",IF(ABS($C451-$F451)&lt;=toleransKurus,"KDV",IF($G451&gt;0,"TUKETIM","TANIMSIZ")))))</f>
        <v/>
      </c>
    </row>
    <row r="452">
      <c r="A452" s="22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IF($A452="","",IFERROR(SUMIF(tblAnahtarA[Norm],$A452,tblVeriA[EnerjiBedeli]),0))</f>
        <v/>
      </c>
      <c r="E452" s="17">
        <f>IF($A452="","",IFERROR(SUMIF(tblAnahtarA[Norm],$A452,tblVeriA[DagitimBedeli]),0))</f>
        <v/>
      </c>
      <c r="F452" s="17">
        <f>IF($A452="","",IFERROR(SUMIF(tblAnahtarA[Norm],$A452,tblVeriA[VergiKdv]),0))</f>
        <v/>
      </c>
      <c r="G452" s="17">
        <f>IF($A452="","",IFERROR(SUMIF(tblAnahtarA[Norm],$A452,tblVeriA[TuketimKwh]),0))</f>
        <v/>
      </c>
      <c r="H452" s="17">
        <f>IF(OR($A452="",$B452&lt;&gt;"tutar_farki"),"",IF(ABS($C452-$D452)&lt;=toleransKurus,"TARIFE",IF(ABS($C452-$E452)&lt;=toleransKurus,"DAGITIM",IF(ABS($C452-$F452)&lt;=toleransKurus,"KDV",IF($G452&gt;0,"TUKETIM","TANIMSIZ")))))</f>
        <v/>
      </c>
    </row>
    <row r="453">
      <c r="A453" s="22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IF($A453="","",IFERROR(SUMIF(tblAnahtarA[Norm],$A453,tblVeriA[EnerjiBedeli]),0))</f>
        <v/>
      </c>
      <c r="E453" s="17">
        <f>IF($A453="","",IFERROR(SUMIF(tblAnahtarA[Norm],$A453,tblVeriA[DagitimBedeli]),0))</f>
        <v/>
      </c>
      <c r="F453" s="17">
        <f>IF($A453="","",IFERROR(SUMIF(tblAnahtarA[Norm],$A453,tblVeriA[VergiKdv]),0))</f>
        <v/>
      </c>
      <c r="G453" s="17">
        <f>IF($A453="","",IFERROR(SUMIF(tblAnahtarA[Norm],$A453,tblVeriA[TuketimKwh]),0))</f>
        <v/>
      </c>
      <c r="H453" s="17">
        <f>IF(OR($A453="",$B453&lt;&gt;"tutar_farki"),"",IF(ABS($C453-$D453)&lt;=toleransKurus,"TARIFE",IF(ABS($C453-$E453)&lt;=toleransKurus,"DAGITIM",IF(ABS($C453-$F453)&lt;=toleransKurus,"KDV",IF($G453&gt;0,"TUKETIM","TANIMSIZ")))))</f>
        <v/>
      </c>
    </row>
    <row r="454">
      <c r="A454" s="22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IF($A454="","",IFERROR(SUMIF(tblAnahtarA[Norm],$A454,tblVeriA[EnerjiBedeli]),0))</f>
        <v/>
      </c>
      <c r="E454" s="17">
        <f>IF($A454="","",IFERROR(SUMIF(tblAnahtarA[Norm],$A454,tblVeriA[DagitimBedeli]),0))</f>
        <v/>
      </c>
      <c r="F454" s="17">
        <f>IF($A454="","",IFERROR(SUMIF(tblAnahtarA[Norm],$A454,tblVeriA[VergiKdv]),0))</f>
        <v/>
      </c>
      <c r="G454" s="17">
        <f>IF($A454="","",IFERROR(SUMIF(tblAnahtarA[Norm],$A454,tblVeriA[TuketimKwh]),0))</f>
        <v/>
      </c>
      <c r="H454" s="17">
        <f>IF(OR($A454="",$B454&lt;&gt;"tutar_farki"),"",IF(ABS($C454-$D454)&lt;=toleransKurus,"TARIFE",IF(ABS($C454-$E454)&lt;=toleransKurus,"DAGITIM",IF(ABS($C454-$F454)&lt;=toleransKurus,"KDV",IF($G454&gt;0,"TUKETIM","TANIMSIZ")))))</f>
        <v/>
      </c>
    </row>
    <row r="455">
      <c r="A455" s="22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IF($A455="","",IFERROR(SUMIF(tblAnahtarA[Norm],$A455,tblVeriA[EnerjiBedeli]),0))</f>
        <v/>
      </c>
      <c r="E455" s="17">
        <f>IF($A455="","",IFERROR(SUMIF(tblAnahtarA[Norm],$A455,tblVeriA[DagitimBedeli]),0))</f>
        <v/>
      </c>
      <c r="F455" s="17">
        <f>IF($A455="","",IFERROR(SUMIF(tblAnahtarA[Norm],$A455,tblVeriA[VergiKdv]),0))</f>
        <v/>
      </c>
      <c r="G455" s="17">
        <f>IF($A455="","",IFERROR(SUMIF(tblAnahtarA[Norm],$A455,tblVeriA[TuketimKwh]),0))</f>
        <v/>
      </c>
      <c r="H455" s="17">
        <f>IF(OR($A455="",$B455&lt;&gt;"tutar_farki"),"",IF(ABS($C455-$D455)&lt;=toleransKurus,"TARIFE",IF(ABS($C455-$E455)&lt;=toleransKurus,"DAGITIM",IF(ABS($C455-$F455)&lt;=toleransKurus,"KDV",IF($G455&gt;0,"TUKETIM","TANIMSIZ")))))</f>
        <v/>
      </c>
    </row>
    <row r="456">
      <c r="A456" s="22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IF($A456="","",IFERROR(SUMIF(tblAnahtarA[Norm],$A456,tblVeriA[EnerjiBedeli]),0))</f>
        <v/>
      </c>
      <c r="E456" s="17">
        <f>IF($A456="","",IFERROR(SUMIF(tblAnahtarA[Norm],$A456,tblVeriA[DagitimBedeli]),0))</f>
        <v/>
      </c>
      <c r="F456" s="17">
        <f>IF($A456="","",IFERROR(SUMIF(tblAnahtarA[Norm],$A456,tblVeriA[VergiKdv]),0))</f>
        <v/>
      </c>
      <c r="G456" s="17">
        <f>IF($A456="","",IFERROR(SUMIF(tblAnahtarA[Norm],$A456,tblVeriA[TuketimKwh]),0))</f>
        <v/>
      </c>
      <c r="H456" s="17">
        <f>IF(OR($A456="",$B456&lt;&gt;"tutar_farki"),"",IF(ABS($C456-$D456)&lt;=toleransKurus,"TARIFE",IF(ABS($C456-$E456)&lt;=toleransKurus,"DAGITIM",IF(ABS($C456-$F456)&lt;=toleransKurus,"KDV",IF($G456&gt;0,"TUKETIM","TANIMSIZ")))))</f>
        <v/>
      </c>
    </row>
    <row r="457">
      <c r="A457" s="22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IF($A457="","",IFERROR(SUMIF(tblAnahtarA[Norm],$A457,tblVeriA[EnerjiBedeli]),0))</f>
        <v/>
      </c>
      <c r="E457" s="17">
        <f>IF($A457="","",IFERROR(SUMIF(tblAnahtarA[Norm],$A457,tblVeriA[DagitimBedeli]),0))</f>
        <v/>
      </c>
      <c r="F457" s="17">
        <f>IF($A457="","",IFERROR(SUMIF(tblAnahtarA[Norm],$A457,tblVeriA[VergiKdv]),0))</f>
        <v/>
      </c>
      <c r="G457" s="17">
        <f>IF($A457="","",IFERROR(SUMIF(tblAnahtarA[Norm],$A457,tblVeriA[TuketimKwh]),0))</f>
        <v/>
      </c>
      <c r="H457" s="17">
        <f>IF(OR($A457="",$B457&lt;&gt;"tutar_farki"),"",IF(ABS($C457-$D457)&lt;=toleransKurus,"TARIFE",IF(ABS($C457-$E457)&lt;=toleransKurus,"DAGITIM",IF(ABS($C457-$F457)&lt;=toleransKurus,"KDV",IF($G457&gt;0,"TUKETIM","TANIMSIZ")))))</f>
        <v/>
      </c>
    </row>
    <row r="458">
      <c r="A458" s="22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IF($A458="","",IFERROR(SUMIF(tblAnahtarA[Norm],$A458,tblVeriA[EnerjiBedeli]),0))</f>
        <v/>
      </c>
      <c r="E458" s="17">
        <f>IF($A458="","",IFERROR(SUMIF(tblAnahtarA[Norm],$A458,tblVeriA[DagitimBedeli]),0))</f>
        <v/>
      </c>
      <c r="F458" s="17">
        <f>IF($A458="","",IFERROR(SUMIF(tblAnahtarA[Norm],$A458,tblVeriA[VergiKdv]),0))</f>
        <v/>
      </c>
      <c r="G458" s="17">
        <f>IF($A458="","",IFERROR(SUMIF(tblAnahtarA[Norm],$A458,tblVeriA[TuketimKwh]),0))</f>
        <v/>
      </c>
      <c r="H458" s="17">
        <f>IF(OR($A458="",$B458&lt;&gt;"tutar_farki"),"",IF(ABS($C458-$D458)&lt;=toleransKurus,"TARIFE",IF(ABS($C458-$E458)&lt;=toleransKurus,"DAGITIM",IF(ABS($C458-$F458)&lt;=toleransKurus,"KDV",IF($G458&gt;0,"TUKETIM","TANIMSIZ")))))</f>
        <v/>
      </c>
    </row>
    <row r="459">
      <c r="A459" s="22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IF($A459="","",IFERROR(SUMIF(tblAnahtarA[Norm],$A459,tblVeriA[EnerjiBedeli]),0))</f>
        <v/>
      </c>
      <c r="E459" s="17">
        <f>IF($A459="","",IFERROR(SUMIF(tblAnahtarA[Norm],$A459,tblVeriA[DagitimBedeli]),0))</f>
        <v/>
      </c>
      <c r="F459" s="17">
        <f>IF($A459="","",IFERROR(SUMIF(tblAnahtarA[Norm],$A459,tblVeriA[VergiKdv]),0))</f>
        <v/>
      </c>
      <c r="G459" s="17">
        <f>IF($A459="","",IFERROR(SUMIF(tblAnahtarA[Norm],$A459,tblVeriA[TuketimKwh]),0))</f>
        <v/>
      </c>
      <c r="H459" s="17">
        <f>IF(OR($A459="",$B459&lt;&gt;"tutar_farki"),"",IF(ABS($C459-$D459)&lt;=toleransKurus,"TARIFE",IF(ABS($C459-$E459)&lt;=toleransKurus,"DAGITIM",IF(ABS($C459-$F459)&lt;=toleransKurus,"KDV",IF($G459&gt;0,"TUKETIM","TANIMSIZ")))))</f>
        <v/>
      </c>
    </row>
    <row r="460">
      <c r="A460" s="22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IF($A460="","",IFERROR(SUMIF(tblAnahtarA[Norm],$A460,tblVeriA[EnerjiBedeli]),0))</f>
        <v/>
      </c>
      <c r="E460" s="17">
        <f>IF($A460="","",IFERROR(SUMIF(tblAnahtarA[Norm],$A460,tblVeriA[DagitimBedeli]),0))</f>
        <v/>
      </c>
      <c r="F460" s="17">
        <f>IF($A460="","",IFERROR(SUMIF(tblAnahtarA[Norm],$A460,tblVeriA[VergiKdv]),0))</f>
        <v/>
      </c>
      <c r="G460" s="17">
        <f>IF($A460="","",IFERROR(SUMIF(tblAnahtarA[Norm],$A460,tblVeriA[TuketimKwh]),0))</f>
        <v/>
      </c>
      <c r="H460" s="17">
        <f>IF(OR($A460="",$B460&lt;&gt;"tutar_farki"),"",IF(ABS($C460-$D460)&lt;=toleransKurus,"TARIFE",IF(ABS($C460-$E460)&lt;=toleransKurus,"DAGITIM",IF(ABS($C460-$F460)&lt;=toleransKurus,"KDV",IF($G460&gt;0,"TUKETIM","TANIMSIZ")))))</f>
        <v/>
      </c>
    </row>
    <row r="461">
      <c r="A461" s="22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IF($A461="","",IFERROR(SUMIF(tblAnahtarA[Norm],$A461,tblVeriA[EnerjiBedeli]),0))</f>
        <v/>
      </c>
      <c r="E461" s="17">
        <f>IF($A461="","",IFERROR(SUMIF(tblAnahtarA[Norm],$A461,tblVeriA[DagitimBedeli]),0))</f>
        <v/>
      </c>
      <c r="F461" s="17">
        <f>IF($A461="","",IFERROR(SUMIF(tblAnahtarA[Norm],$A461,tblVeriA[VergiKdv]),0))</f>
        <v/>
      </c>
      <c r="G461" s="17">
        <f>IF($A461="","",IFERROR(SUMIF(tblAnahtarA[Norm],$A461,tblVeriA[TuketimKwh]),0))</f>
        <v/>
      </c>
      <c r="H461" s="17">
        <f>IF(OR($A461="",$B461&lt;&gt;"tutar_farki"),"",IF(ABS($C461-$D461)&lt;=toleransKurus,"TARIFE",IF(ABS($C461-$E461)&lt;=toleransKurus,"DAGITIM",IF(ABS($C461-$F461)&lt;=toleransKurus,"KDV",IF($G461&gt;0,"TUKETIM","TANIMSIZ")))))</f>
        <v/>
      </c>
    </row>
    <row r="462">
      <c r="A462" s="22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IF($A462="","",IFERROR(SUMIF(tblAnahtarA[Norm],$A462,tblVeriA[EnerjiBedeli]),0))</f>
        <v/>
      </c>
      <c r="E462" s="17">
        <f>IF($A462="","",IFERROR(SUMIF(tblAnahtarA[Norm],$A462,tblVeriA[DagitimBedeli]),0))</f>
        <v/>
      </c>
      <c r="F462" s="17">
        <f>IF($A462="","",IFERROR(SUMIF(tblAnahtarA[Norm],$A462,tblVeriA[VergiKdv]),0))</f>
        <v/>
      </c>
      <c r="G462" s="17">
        <f>IF($A462="","",IFERROR(SUMIF(tblAnahtarA[Norm],$A462,tblVeriA[TuketimKwh]),0))</f>
        <v/>
      </c>
      <c r="H462" s="17">
        <f>IF(OR($A462="",$B462&lt;&gt;"tutar_farki"),"",IF(ABS($C462-$D462)&lt;=toleransKurus,"TARIFE",IF(ABS($C462-$E462)&lt;=toleransKurus,"DAGITIM",IF(ABS($C462-$F462)&lt;=toleransKurus,"KDV",IF($G462&gt;0,"TUKETIM","TANIMSIZ")))))</f>
        <v/>
      </c>
    </row>
    <row r="463">
      <c r="A463" s="22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IF($A463="","",IFERROR(SUMIF(tblAnahtarA[Norm],$A463,tblVeriA[EnerjiBedeli]),0))</f>
        <v/>
      </c>
      <c r="E463" s="17">
        <f>IF($A463="","",IFERROR(SUMIF(tblAnahtarA[Norm],$A463,tblVeriA[DagitimBedeli]),0))</f>
        <v/>
      </c>
      <c r="F463" s="17">
        <f>IF($A463="","",IFERROR(SUMIF(tblAnahtarA[Norm],$A463,tblVeriA[VergiKdv]),0))</f>
        <v/>
      </c>
      <c r="G463" s="17">
        <f>IF($A463="","",IFERROR(SUMIF(tblAnahtarA[Norm],$A463,tblVeriA[TuketimKwh]),0))</f>
        <v/>
      </c>
      <c r="H463" s="17">
        <f>IF(OR($A463="",$B463&lt;&gt;"tutar_farki"),"",IF(ABS($C463-$D463)&lt;=toleransKurus,"TARIFE",IF(ABS($C463-$E463)&lt;=toleransKurus,"DAGITIM",IF(ABS($C463-$F463)&lt;=toleransKurus,"KDV",IF($G463&gt;0,"TUKETIM","TANIMSIZ")))))</f>
        <v/>
      </c>
    </row>
    <row r="464">
      <c r="A464" s="22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IF($A464="","",IFERROR(SUMIF(tblAnahtarA[Norm],$A464,tblVeriA[EnerjiBedeli]),0))</f>
        <v/>
      </c>
      <c r="E464" s="17">
        <f>IF($A464="","",IFERROR(SUMIF(tblAnahtarA[Norm],$A464,tblVeriA[DagitimBedeli]),0))</f>
        <v/>
      </c>
      <c r="F464" s="17">
        <f>IF($A464="","",IFERROR(SUMIF(tblAnahtarA[Norm],$A464,tblVeriA[VergiKdv]),0))</f>
        <v/>
      </c>
      <c r="G464" s="17">
        <f>IF($A464="","",IFERROR(SUMIF(tblAnahtarA[Norm],$A464,tblVeriA[TuketimKwh]),0))</f>
        <v/>
      </c>
      <c r="H464" s="17">
        <f>IF(OR($A464="",$B464&lt;&gt;"tutar_farki"),"",IF(ABS($C464-$D464)&lt;=toleransKurus,"TARIFE",IF(ABS($C464-$E464)&lt;=toleransKurus,"DAGITIM",IF(ABS($C464-$F464)&lt;=toleransKurus,"KDV",IF($G464&gt;0,"TUKETIM","TANIMSIZ")))))</f>
        <v/>
      </c>
    </row>
    <row r="465">
      <c r="A465" s="22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IF($A465="","",IFERROR(SUMIF(tblAnahtarA[Norm],$A465,tblVeriA[EnerjiBedeli]),0))</f>
        <v/>
      </c>
      <c r="E465" s="17">
        <f>IF($A465="","",IFERROR(SUMIF(tblAnahtarA[Norm],$A465,tblVeriA[DagitimBedeli]),0))</f>
        <v/>
      </c>
      <c r="F465" s="17">
        <f>IF($A465="","",IFERROR(SUMIF(tblAnahtarA[Norm],$A465,tblVeriA[VergiKdv]),0))</f>
        <v/>
      </c>
      <c r="G465" s="17">
        <f>IF($A465="","",IFERROR(SUMIF(tblAnahtarA[Norm],$A465,tblVeriA[TuketimKwh]),0))</f>
        <v/>
      </c>
      <c r="H465" s="17">
        <f>IF(OR($A465="",$B465&lt;&gt;"tutar_farki"),"",IF(ABS($C465-$D465)&lt;=toleransKurus,"TARIFE",IF(ABS($C465-$E465)&lt;=toleransKurus,"DAGITIM",IF(ABS($C465-$F465)&lt;=toleransKurus,"KDV",IF($G465&gt;0,"TUKETIM","TANIMSIZ")))))</f>
        <v/>
      </c>
    </row>
    <row r="466">
      <c r="A466" s="22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IF($A466="","",IFERROR(SUMIF(tblAnahtarA[Norm],$A466,tblVeriA[EnerjiBedeli]),0))</f>
        <v/>
      </c>
      <c r="E466" s="17">
        <f>IF($A466="","",IFERROR(SUMIF(tblAnahtarA[Norm],$A466,tblVeriA[DagitimBedeli]),0))</f>
        <v/>
      </c>
      <c r="F466" s="17">
        <f>IF($A466="","",IFERROR(SUMIF(tblAnahtarA[Norm],$A466,tblVeriA[VergiKdv]),0))</f>
        <v/>
      </c>
      <c r="G466" s="17">
        <f>IF($A466="","",IFERROR(SUMIF(tblAnahtarA[Norm],$A466,tblVeriA[TuketimKwh]),0))</f>
        <v/>
      </c>
      <c r="H466" s="17">
        <f>IF(OR($A466="",$B466&lt;&gt;"tutar_farki"),"",IF(ABS($C466-$D466)&lt;=toleransKurus,"TARIFE",IF(ABS($C466-$E466)&lt;=toleransKurus,"DAGITIM",IF(ABS($C466-$F466)&lt;=toleransKurus,"KDV",IF($G466&gt;0,"TUKETIM","TANIMSIZ")))))</f>
        <v/>
      </c>
    </row>
    <row r="467">
      <c r="A467" s="22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IF($A467="","",IFERROR(SUMIF(tblAnahtarA[Norm],$A467,tblVeriA[EnerjiBedeli]),0))</f>
        <v/>
      </c>
      <c r="E467" s="17">
        <f>IF($A467="","",IFERROR(SUMIF(tblAnahtarA[Norm],$A467,tblVeriA[DagitimBedeli]),0))</f>
        <v/>
      </c>
      <c r="F467" s="17">
        <f>IF($A467="","",IFERROR(SUMIF(tblAnahtarA[Norm],$A467,tblVeriA[VergiKdv]),0))</f>
        <v/>
      </c>
      <c r="G467" s="17">
        <f>IF($A467="","",IFERROR(SUMIF(tblAnahtarA[Norm],$A467,tblVeriA[TuketimKwh]),0))</f>
        <v/>
      </c>
      <c r="H467" s="17">
        <f>IF(OR($A467="",$B467&lt;&gt;"tutar_farki"),"",IF(ABS($C467-$D467)&lt;=toleransKurus,"TARIFE",IF(ABS($C467-$E467)&lt;=toleransKurus,"DAGITIM",IF(ABS($C467-$F467)&lt;=toleransKurus,"KDV",IF($G467&gt;0,"TUKETIM","TANIMSIZ")))))</f>
        <v/>
      </c>
    </row>
    <row r="468">
      <c r="A468" s="22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IF($A468="","",IFERROR(SUMIF(tblAnahtarA[Norm],$A468,tblVeriA[EnerjiBedeli]),0))</f>
        <v/>
      </c>
      <c r="E468" s="17">
        <f>IF($A468="","",IFERROR(SUMIF(tblAnahtarA[Norm],$A468,tblVeriA[DagitimBedeli]),0))</f>
        <v/>
      </c>
      <c r="F468" s="17">
        <f>IF($A468="","",IFERROR(SUMIF(tblAnahtarA[Norm],$A468,tblVeriA[VergiKdv]),0))</f>
        <v/>
      </c>
      <c r="G468" s="17">
        <f>IF($A468="","",IFERROR(SUMIF(tblAnahtarA[Norm],$A468,tblVeriA[TuketimKwh]),0))</f>
        <v/>
      </c>
      <c r="H468" s="17">
        <f>IF(OR($A468="",$B468&lt;&gt;"tutar_farki"),"",IF(ABS($C468-$D468)&lt;=toleransKurus,"TARIFE",IF(ABS($C468-$E468)&lt;=toleransKurus,"DAGITIM",IF(ABS($C468-$F468)&lt;=toleransKurus,"KDV",IF($G468&gt;0,"TUKETIM","TANIMSIZ")))))</f>
        <v/>
      </c>
    </row>
    <row r="469">
      <c r="A469" s="22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IF($A469="","",IFERROR(SUMIF(tblAnahtarA[Norm],$A469,tblVeriA[EnerjiBedeli]),0))</f>
        <v/>
      </c>
      <c r="E469" s="17">
        <f>IF($A469="","",IFERROR(SUMIF(tblAnahtarA[Norm],$A469,tblVeriA[DagitimBedeli]),0))</f>
        <v/>
      </c>
      <c r="F469" s="17">
        <f>IF($A469="","",IFERROR(SUMIF(tblAnahtarA[Norm],$A469,tblVeriA[VergiKdv]),0))</f>
        <v/>
      </c>
      <c r="G469" s="17">
        <f>IF($A469="","",IFERROR(SUMIF(tblAnahtarA[Norm],$A469,tblVeriA[TuketimKwh]),0))</f>
        <v/>
      </c>
      <c r="H469" s="17">
        <f>IF(OR($A469="",$B469&lt;&gt;"tutar_farki"),"",IF(ABS($C469-$D469)&lt;=toleransKurus,"TARIFE",IF(ABS($C469-$E469)&lt;=toleransKurus,"DAGITIM",IF(ABS($C469-$F469)&lt;=toleransKurus,"KDV",IF($G469&gt;0,"TUKETIM","TANIMSIZ")))))</f>
        <v/>
      </c>
    </row>
    <row r="470">
      <c r="A470" s="22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IF($A470="","",IFERROR(SUMIF(tblAnahtarA[Norm],$A470,tblVeriA[EnerjiBedeli]),0))</f>
        <v/>
      </c>
      <c r="E470" s="17">
        <f>IF($A470="","",IFERROR(SUMIF(tblAnahtarA[Norm],$A470,tblVeriA[DagitimBedeli]),0))</f>
        <v/>
      </c>
      <c r="F470" s="17">
        <f>IF($A470="","",IFERROR(SUMIF(tblAnahtarA[Norm],$A470,tblVeriA[VergiKdv]),0))</f>
        <v/>
      </c>
      <c r="G470" s="17">
        <f>IF($A470="","",IFERROR(SUMIF(tblAnahtarA[Norm],$A470,tblVeriA[TuketimKwh]),0))</f>
        <v/>
      </c>
      <c r="H470" s="17">
        <f>IF(OR($A470="",$B470&lt;&gt;"tutar_farki"),"",IF(ABS($C470-$D470)&lt;=toleransKurus,"TARIFE",IF(ABS($C470-$E470)&lt;=toleransKurus,"DAGITIM",IF(ABS($C470-$F470)&lt;=toleransKurus,"KDV",IF($G470&gt;0,"TUKETIM","TANIMSIZ")))))</f>
        <v/>
      </c>
    </row>
    <row r="471">
      <c r="A471" s="22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IF($A471="","",IFERROR(SUMIF(tblAnahtarA[Norm],$A471,tblVeriA[EnerjiBedeli]),0))</f>
        <v/>
      </c>
      <c r="E471" s="17">
        <f>IF($A471="","",IFERROR(SUMIF(tblAnahtarA[Norm],$A471,tblVeriA[DagitimBedeli]),0))</f>
        <v/>
      </c>
      <c r="F471" s="17">
        <f>IF($A471="","",IFERROR(SUMIF(tblAnahtarA[Norm],$A471,tblVeriA[VergiKdv]),0))</f>
        <v/>
      </c>
      <c r="G471" s="17">
        <f>IF($A471="","",IFERROR(SUMIF(tblAnahtarA[Norm],$A471,tblVeriA[TuketimKwh]),0))</f>
        <v/>
      </c>
      <c r="H471" s="17">
        <f>IF(OR($A471="",$B471&lt;&gt;"tutar_farki"),"",IF(ABS($C471-$D471)&lt;=toleransKurus,"TARIFE",IF(ABS($C471-$E471)&lt;=toleransKurus,"DAGITIM",IF(ABS($C471-$F471)&lt;=toleransKurus,"KDV",IF($G471&gt;0,"TUKETIM","TANIMSIZ")))))</f>
        <v/>
      </c>
    </row>
    <row r="472">
      <c r="A472" s="22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IF($A472="","",IFERROR(SUMIF(tblAnahtarA[Norm],$A472,tblVeriA[EnerjiBedeli]),0))</f>
        <v/>
      </c>
      <c r="E472" s="17">
        <f>IF($A472="","",IFERROR(SUMIF(tblAnahtarA[Norm],$A472,tblVeriA[DagitimBedeli]),0))</f>
        <v/>
      </c>
      <c r="F472" s="17">
        <f>IF($A472="","",IFERROR(SUMIF(tblAnahtarA[Norm],$A472,tblVeriA[VergiKdv]),0))</f>
        <v/>
      </c>
      <c r="G472" s="17">
        <f>IF($A472="","",IFERROR(SUMIF(tblAnahtarA[Norm],$A472,tblVeriA[TuketimKwh]),0))</f>
        <v/>
      </c>
      <c r="H472" s="17">
        <f>IF(OR($A472="",$B472&lt;&gt;"tutar_farki"),"",IF(ABS($C472-$D472)&lt;=toleransKurus,"TARIFE",IF(ABS($C472-$E472)&lt;=toleransKurus,"DAGITIM",IF(ABS($C472-$F472)&lt;=toleransKurus,"KDV",IF($G472&gt;0,"TUKETIM","TANIMSIZ")))))</f>
        <v/>
      </c>
    </row>
    <row r="473">
      <c r="A473" s="22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IF($A473="","",IFERROR(SUMIF(tblAnahtarA[Norm],$A473,tblVeriA[EnerjiBedeli]),0))</f>
        <v/>
      </c>
      <c r="E473" s="17">
        <f>IF($A473="","",IFERROR(SUMIF(tblAnahtarA[Norm],$A473,tblVeriA[DagitimBedeli]),0))</f>
        <v/>
      </c>
      <c r="F473" s="17">
        <f>IF($A473="","",IFERROR(SUMIF(tblAnahtarA[Norm],$A473,tblVeriA[VergiKdv]),0))</f>
        <v/>
      </c>
      <c r="G473" s="17">
        <f>IF($A473="","",IFERROR(SUMIF(tblAnahtarA[Norm],$A473,tblVeriA[TuketimKwh]),0))</f>
        <v/>
      </c>
      <c r="H473" s="17">
        <f>IF(OR($A473="",$B473&lt;&gt;"tutar_farki"),"",IF(ABS($C473-$D473)&lt;=toleransKurus,"TARIFE",IF(ABS($C473-$E473)&lt;=toleransKurus,"DAGITIM",IF(ABS($C473-$F473)&lt;=toleransKurus,"KDV",IF($G473&gt;0,"TUKETIM","TANIMSIZ")))))</f>
        <v/>
      </c>
    </row>
    <row r="474">
      <c r="A474" s="22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IF($A474="","",IFERROR(SUMIF(tblAnahtarA[Norm],$A474,tblVeriA[EnerjiBedeli]),0))</f>
        <v/>
      </c>
      <c r="E474" s="17">
        <f>IF($A474="","",IFERROR(SUMIF(tblAnahtarA[Norm],$A474,tblVeriA[DagitimBedeli]),0))</f>
        <v/>
      </c>
      <c r="F474" s="17">
        <f>IF($A474="","",IFERROR(SUMIF(tblAnahtarA[Norm],$A474,tblVeriA[VergiKdv]),0))</f>
        <v/>
      </c>
      <c r="G474" s="17">
        <f>IF($A474="","",IFERROR(SUMIF(tblAnahtarA[Norm],$A474,tblVeriA[TuketimKwh]),0))</f>
        <v/>
      </c>
      <c r="H474" s="17">
        <f>IF(OR($A474="",$B474&lt;&gt;"tutar_farki"),"",IF(ABS($C474-$D474)&lt;=toleransKurus,"TARIFE",IF(ABS($C474-$E474)&lt;=toleransKurus,"DAGITIM",IF(ABS($C474-$F474)&lt;=toleransKurus,"KDV",IF($G474&gt;0,"TUKETIM","TANIMSIZ")))))</f>
        <v/>
      </c>
    </row>
    <row r="475">
      <c r="A475" s="22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IF($A475="","",IFERROR(SUMIF(tblAnahtarA[Norm],$A475,tblVeriA[EnerjiBedeli]),0))</f>
        <v/>
      </c>
      <c r="E475" s="17">
        <f>IF($A475="","",IFERROR(SUMIF(tblAnahtarA[Norm],$A475,tblVeriA[DagitimBedeli]),0))</f>
        <v/>
      </c>
      <c r="F475" s="17">
        <f>IF($A475="","",IFERROR(SUMIF(tblAnahtarA[Norm],$A475,tblVeriA[VergiKdv]),0))</f>
        <v/>
      </c>
      <c r="G475" s="17">
        <f>IF($A475="","",IFERROR(SUMIF(tblAnahtarA[Norm],$A475,tblVeriA[TuketimKwh]),0))</f>
        <v/>
      </c>
      <c r="H475" s="17">
        <f>IF(OR($A475="",$B475&lt;&gt;"tutar_farki"),"",IF(ABS($C475-$D475)&lt;=toleransKurus,"TARIFE",IF(ABS($C475-$E475)&lt;=toleransKurus,"DAGITIM",IF(ABS($C475-$F475)&lt;=toleransKurus,"KDV",IF($G475&gt;0,"TUKETIM","TANIMSIZ")))))</f>
        <v/>
      </c>
    </row>
    <row r="476">
      <c r="A476" s="22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IF($A476="","",IFERROR(SUMIF(tblAnahtarA[Norm],$A476,tblVeriA[EnerjiBedeli]),0))</f>
        <v/>
      </c>
      <c r="E476" s="17">
        <f>IF($A476="","",IFERROR(SUMIF(tblAnahtarA[Norm],$A476,tblVeriA[DagitimBedeli]),0))</f>
        <v/>
      </c>
      <c r="F476" s="17">
        <f>IF($A476="","",IFERROR(SUMIF(tblAnahtarA[Norm],$A476,tblVeriA[VergiKdv]),0))</f>
        <v/>
      </c>
      <c r="G476" s="17">
        <f>IF($A476="","",IFERROR(SUMIF(tblAnahtarA[Norm],$A476,tblVeriA[TuketimKwh]),0))</f>
        <v/>
      </c>
      <c r="H476" s="17">
        <f>IF(OR($A476="",$B476&lt;&gt;"tutar_farki"),"",IF(ABS($C476-$D476)&lt;=toleransKurus,"TARIFE",IF(ABS($C476-$E476)&lt;=toleransKurus,"DAGITIM",IF(ABS($C476-$F476)&lt;=toleransKurus,"KDV",IF($G476&gt;0,"TUKETIM","TANIMSIZ")))))</f>
        <v/>
      </c>
    </row>
    <row r="477">
      <c r="A477" s="22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IF($A477="","",IFERROR(SUMIF(tblAnahtarA[Norm],$A477,tblVeriA[EnerjiBedeli]),0))</f>
        <v/>
      </c>
      <c r="E477" s="17">
        <f>IF($A477="","",IFERROR(SUMIF(tblAnahtarA[Norm],$A477,tblVeriA[DagitimBedeli]),0))</f>
        <v/>
      </c>
      <c r="F477" s="17">
        <f>IF($A477="","",IFERROR(SUMIF(tblAnahtarA[Norm],$A477,tblVeriA[VergiKdv]),0))</f>
        <v/>
      </c>
      <c r="G477" s="17">
        <f>IF($A477="","",IFERROR(SUMIF(tblAnahtarA[Norm],$A477,tblVeriA[TuketimKwh]),0))</f>
        <v/>
      </c>
      <c r="H477" s="17">
        <f>IF(OR($A477="",$B477&lt;&gt;"tutar_farki"),"",IF(ABS($C477-$D477)&lt;=toleransKurus,"TARIFE",IF(ABS($C477-$E477)&lt;=toleransKurus,"DAGITIM",IF(ABS($C477-$F477)&lt;=toleransKurus,"KDV",IF($G477&gt;0,"TUKETIM","TANIMSIZ")))))</f>
        <v/>
      </c>
    </row>
    <row r="478">
      <c r="A478" s="22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IF($A478="","",IFERROR(SUMIF(tblAnahtarA[Norm],$A478,tblVeriA[EnerjiBedeli]),0))</f>
        <v/>
      </c>
      <c r="E478" s="17">
        <f>IF($A478="","",IFERROR(SUMIF(tblAnahtarA[Norm],$A478,tblVeriA[DagitimBedeli]),0))</f>
        <v/>
      </c>
      <c r="F478" s="17">
        <f>IF($A478="","",IFERROR(SUMIF(tblAnahtarA[Norm],$A478,tblVeriA[VergiKdv]),0))</f>
        <v/>
      </c>
      <c r="G478" s="17">
        <f>IF($A478="","",IFERROR(SUMIF(tblAnahtarA[Norm],$A478,tblVeriA[TuketimKwh]),0))</f>
        <v/>
      </c>
      <c r="H478" s="17">
        <f>IF(OR($A478="",$B478&lt;&gt;"tutar_farki"),"",IF(ABS($C478-$D478)&lt;=toleransKurus,"TARIFE",IF(ABS($C478-$E478)&lt;=toleransKurus,"DAGITIM",IF(ABS($C478-$F478)&lt;=toleransKurus,"KDV",IF($G478&gt;0,"TUKETIM","TANIMSIZ")))))</f>
        <v/>
      </c>
    </row>
    <row r="479">
      <c r="A479" s="22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IF($A479="","",IFERROR(SUMIF(tblAnahtarA[Norm],$A479,tblVeriA[EnerjiBedeli]),0))</f>
        <v/>
      </c>
      <c r="E479" s="17">
        <f>IF($A479="","",IFERROR(SUMIF(tblAnahtarA[Norm],$A479,tblVeriA[DagitimBedeli]),0))</f>
        <v/>
      </c>
      <c r="F479" s="17">
        <f>IF($A479="","",IFERROR(SUMIF(tblAnahtarA[Norm],$A479,tblVeriA[VergiKdv]),0))</f>
        <v/>
      </c>
      <c r="G479" s="17">
        <f>IF($A479="","",IFERROR(SUMIF(tblAnahtarA[Norm],$A479,tblVeriA[TuketimKwh]),0))</f>
        <v/>
      </c>
      <c r="H479" s="17">
        <f>IF(OR($A479="",$B479&lt;&gt;"tutar_farki"),"",IF(ABS($C479-$D479)&lt;=toleransKurus,"TARIFE",IF(ABS($C479-$E479)&lt;=toleransKurus,"DAGITIM",IF(ABS($C479-$F479)&lt;=toleransKurus,"KDV",IF($G479&gt;0,"TUKETIM","TANIMSIZ")))))</f>
        <v/>
      </c>
    </row>
    <row r="480">
      <c r="A480" s="22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IF($A480="","",IFERROR(SUMIF(tblAnahtarA[Norm],$A480,tblVeriA[EnerjiBedeli]),0))</f>
        <v/>
      </c>
      <c r="E480" s="17">
        <f>IF($A480="","",IFERROR(SUMIF(tblAnahtarA[Norm],$A480,tblVeriA[DagitimBedeli]),0))</f>
        <v/>
      </c>
      <c r="F480" s="17">
        <f>IF($A480="","",IFERROR(SUMIF(tblAnahtarA[Norm],$A480,tblVeriA[VergiKdv]),0))</f>
        <v/>
      </c>
      <c r="G480" s="17">
        <f>IF($A480="","",IFERROR(SUMIF(tblAnahtarA[Norm],$A480,tblVeriA[TuketimKwh]),0))</f>
        <v/>
      </c>
      <c r="H480" s="17">
        <f>IF(OR($A480="",$B480&lt;&gt;"tutar_farki"),"",IF(ABS($C480-$D480)&lt;=toleransKurus,"TARIFE",IF(ABS($C480-$E480)&lt;=toleransKurus,"DAGITIM",IF(ABS($C480-$F480)&lt;=toleransKurus,"KDV",IF($G480&gt;0,"TUKETIM","TANIMSIZ")))))</f>
        <v/>
      </c>
    </row>
    <row r="481">
      <c r="A481" s="22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IF($A481="","",IFERROR(SUMIF(tblAnahtarA[Norm],$A481,tblVeriA[EnerjiBedeli]),0))</f>
        <v/>
      </c>
      <c r="E481" s="17">
        <f>IF($A481="","",IFERROR(SUMIF(tblAnahtarA[Norm],$A481,tblVeriA[DagitimBedeli]),0))</f>
        <v/>
      </c>
      <c r="F481" s="17">
        <f>IF($A481="","",IFERROR(SUMIF(tblAnahtarA[Norm],$A481,tblVeriA[VergiKdv]),0))</f>
        <v/>
      </c>
      <c r="G481" s="17">
        <f>IF($A481="","",IFERROR(SUMIF(tblAnahtarA[Norm],$A481,tblVeriA[TuketimKwh]),0))</f>
        <v/>
      </c>
      <c r="H481" s="17">
        <f>IF(OR($A481="",$B481&lt;&gt;"tutar_farki"),"",IF(ABS($C481-$D481)&lt;=toleransKurus,"TARIFE",IF(ABS($C481-$E481)&lt;=toleransKurus,"DAGITIM",IF(ABS($C481-$F481)&lt;=toleransKurus,"KDV",IF($G481&gt;0,"TUKETIM","TANIMSIZ")))))</f>
        <v/>
      </c>
    </row>
    <row r="482">
      <c r="A482" s="22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IF($A482="","",IFERROR(SUMIF(tblAnahtarA[Norm],$A482,tblVeriA[EnerjiBedeli]),0))</f>
        <v/>
      </c>
      <c r="E482" s="17">
        <f>IF($A482="","",IFERROR(SUMIF(tblAnahtarA[Norm],$A482,tblVeriA[DagitimBedeli]),0))</f>
        <v/>
      </c>
      <c r="F482" s="17">
        <f>IF($A482="","",IFERROR(SUMIF(tblAnahtarA[Norm],$A482,tblVeriA[VergiKdv]),0))</f>
        <v/>
      </c>
      <c r="G482" s="17">
        <f>IF($A482="","",IFERROR(SUMIF(tblAnahtarA[Norm],$A482,tblVeriA[TuketimKwh]),0))</f>
        <v/>
      </c>
      <c r="H482" s="17">
        <f>IF(OR($A482="",$B482&lt;&gt;"tutar_farki"),"",IF(ABS($C482-$D482)&lt;=toleransKurus,"TARIFE",IF(ABS($C482-$E482)&lt;=toleransKurus,"DAGITIM",IF(ABS($C482-$F482)&lt;=toleransKurus,"KDV",IF($G482&gt;0,"TUKETIM","TANIMSIZ")))))</f>
        <v/>
      </c>
    </row>
    <row r="483">
      <c r="A483" s="22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IF($A483="","",IFERROR(SUMIF(tblAnahtarA[Norm],$A483,tblVeriA[EnerjiBedeli]),0))</f>
        <v/>
      </c>
      <c r="E483" s="17">
        <f>IF($A483="","",IFERROR(SUMIF(tblAnahtarA[Norm],$A483,tblVeriA[DagitimBedeli]),0))</f>
        <v/>
      </c>
      <c r="F483" s="17">
        <f>IF($A483="","",IFERROR(SUMIF(tblAnahtarA[Norm],$A483,tblVeriA[VergiKdv]),0))</f>
        <v/>
      </c>
      <c r="G483" s="17">
        <f>IF($A483="","",IFERROR(SUMIF(tblAnahtarA[Norm],$A483,tblVeriA[TuketimKwh]),0))</f>
        <v/>
      </c>
      <c r="H483" s="17">
        <f>IF(OR($A483="",$B483&lt;&gt;"tutar_farki"),"",IF(ABS($C483-$D483)&lt;=toleransKurus,"TARIFE",IF(ABS($C483-$E483)&lt;=toleransKurus,"DAGITIM",IF(ABS($C483-$F483)&lt;=toleransKurus,"KDV",IF($G483&gt;0,"TUKETIM","TANIMSIZ")))))</f>
        <v/>
      </c>
    </row>
    <row r="484">
      <c r="A484" s="22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IF($A484="","",IFERROR(SUMIF(tblAnahtarA[Norm],$A484,tblVeriA[EnerjiBedeli]),0))</f>
        <v/>
      </c>
      <c r="E484" s="17">
        <f>IF($A484="","",IFERROR(SUMIF(tblAnahtarA[Norm],$A484,tblVeriA[DagitimBedeli]),0))</f>
        <v/>
      </c>
      <c r="F484" s="17">
        <f>IF($A484="","",IFERROR(SUMIF(tblAnahtarA[Norm],$A484,tblVeriA[VergiKdv]),0))</f>
        <v/>
      </c>
      <c r="G484" s="17">
        <f>IF($A484="","",IFERROR(SUMIF(tblAnahtarA[Norm],$A484,tblVeriA[TuketimKwh]),0))</f>
        <v/>
      </c>
      <c r="H484" s="17">
        <f>IF(OR($A484="",$B484&lt;&gt;"tutar_farki"),"",IF(ABS($C484-$D484)&lt;=toleransKurus,"TARIFE",IF(ABS($C484-$E484)&lt;=toleransKurus,"DAGITIM",IF(ABS($C484-$F484)&lt;=toleransKurus,"KDV",IF($G484&gt;0,"TUKETIM","TANIMSIZ")))))</f>
        <v/>
      </c>
    </row>
    <row r="485">
      <c r="A485" s="22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IF($A485="","",IFERROR(SUMIF(tblAnahtarA[Norm],$A485,tblVeriA[EnerjiBedeli]),0))</f>
        <v/>
      </c>
      <c r="E485" s="17">
        <f>IF($A485="","",IFERROR(SUMIF(tblAnahtarA[Norm],$A485,tblVeriA[DagitimBedeli]),0))</f>
        <v/>
      </c>
      <c r="F485" s="17">
        <f>IF($A485="","",IFERROR(SUMIF(tblAnahtarA[Norm],$A485,tblVeriA[VergiKdv]),0))</f>
        <v/>
      </c>
      <c r="G485" s="17">
        <f>IF($A485="","",IFERROR(SUMIF(tblAnahtarA[Norm],$A485,tblVeriA[TuketimKwh]),0))</f>
        <v/>
      </c>
      <c r="H485" s="17">
        <f>IF(OR($A485="",$B485&lt;&gt;"tutar_farki"),"",IF(ABS($C485-$D485)&lt;=toleransKurus,"TARIFE",IF(ABS($C485-$E485)&lt;=toleransKurus,"DAGITIM",IF(ABS($C485-$F485)&lt;=toleransKurus,"KDV",IF($G485&gt;0,"TUKETIM","TANIMSIZ")))))</f>
        <v/>
      </c>
    </row>
    <row r="486">
      <c r="A486" s="22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IF($A486="","",IFERROR(SUMIF(tblAnahtarA[Norm],$A486,tblVeriA[EnerjiBedeli]),0))</f>
        <v/>
      </c>
      <c r="E486" s="17">
        <f>IF($A486="","",IFERROR(SUMIF(tblAnahtarA[Norm],$A486,tblVeriA[DagitimBedeli]),0))</f>
        <v/>
      </c>
      <c r="F486" s="17">
        <f>IF($A486="","",IFERROR(SUMIF(tblAnahtarA[Norm],$A486,tblVeriA[VergiKdv]),0))</f>
        <v/>
      </c>
      <c r="G486" s="17">
        <f>IF($A486="","",IFERROR(SUMIF(tblAnahtarA[Norm],$A486,tblVeriA[TuketimKwh]),0))</f>
        <v/>
      </c>
      <c r="H486" s="17">
        <f>IF(OR($A486="",$B486&lt;&gt;"tutar_farki"),"",IF(ABS($C486-$D486)&lt;=toleransKurus,"TARIFE",IF(ABS($C486-$E486)&lt;=toleransKurus,"DAGITIM",IF(ABS($C486-$F486)&lt;=toleransKurus,"KDV",IF($G486&gt;0,"TUKETIM","TANIMSIZ")))))</f>
        <v/>
      </c>
    </row>
    <row r="487">
      <c r="A487" s="22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IF($A487="","",IFERROR(SUMIF(tblAnahtarA[Norm],$A487,tblVeriA[EnerjiBedeli]),0))</f>
        <v/>
      </c>
      <c r="E487" s="17">
        <f>IF($A487="","",IFERROR(SUMIF(tblAnahtarA[Norm],$A487,tblVeriA[DagitimBedeli]),0))</f>
        <v/>
      </c>
      <c r="F487" s="17">
        <f>IF($A487="","",IFERROR(SUMIF(tblAnahtarA[Norm],$A487,tblVeriA[VergiKdv]),0))</f>
        <v/>
      </c>
      <c r="G487" s="17">
        <f>IF($A487="","",IFERROR(SUMIF(tblAnahtarA[Norm],$A487,tblVeriA[TuketimKwh]),0))</f>
        <v/>
      </c>
      <c r="H487" s="17">
        <f>IF(OR($A487="",$B487&lt;&gt;"tutar_farki"),"",IF(ABS($C487-$D487)&lt;=toleransKurus,"TARIFE",IF(ABS($C487-$E487)&lt;=toleransKurus,"DAGITIM",IF(ABS($C487-$F487)&lt;=toleransKurus,"KDV",IF($G487&gt;0,"TUKETIM","TANIMSIZ")))))</f>
        <v/>
      </c>
    </row>
    <row r="488">
      <c r="A488" s="22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IF($A488="","",IFERROR(SUMIF(tblAnahtarA[Norm],$A488,tblVeriA[EnerjiBedeli]),0))</f>
        <v/>
      </c>
      <c r="E488" s="17">
        <f>IF($A488="","",IFERROR(SUMIF(tblAnahtarA[Norm],$A488,tblVeriA[DagitimBedeli]),0))</f>
        <v/>
      </c>
      <c r="F488" s="17">
        <f>IF($A488="","",IFERROR(SUMIF(tblAnahtarA[Norm],$A488,tblVeriA[VergiKdv]),0))</f>
        <v/>
      </c>
      <c r="G488" s="17">
        <f>IF($A488="","",IFERROR(SUMIF(tblAnahtarA[Norm],$A488,tblVeriA[TuketimKwh]),0))</f>
        <v/>
      </c>
      <c r="H488" s="17">
        <f>IF(OR($A488="",$B488&lt;&gt;"tutar_farki"),"",IF(ABS($C488-$D488)&lt;=toleransKurus,"TARIFE",IF(ABS($C488-$E488)&lt;=toleransKurus,"DAGITIM",IF(ABS($C488-$F488)&lt;=toleransKurus,"KDV",IF($G488&gt;0,"TUKETIM","TANIMSIZ")))))</f>
        <v/>
      </c>
    </row>
    <row r="489">
      <c r="A489" s="22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IF($A489="","",IFERROR(SUMIF(tblAnahtarA[Norm],$A489,tblVeriA[EnerjiBedeli]),0))</f>
        <v/>
      </c>
      <c r="E489" s="17">
        <f>IF($A489="","",IFERROR(SUMIF(tblAnahtarA[Norm],$A489,tblVeriA[DagitimBedeli]),0))</f>
        <v/>
      </c>
      <c r="F489" s="17">
        <f>IF($A489="","",IFERROR(SUMIF(tblAnahtarA[Norm],$A489,tblVeriA[VergiKdv]),0))</f>
        <v/>
      </c>
      <c r="G489" s="17">
        <f>IF($A489="","",IFERROR(SUMIF(tblAnahtarA[Norm],$A489,tblVeriA[TuketimKwh]),0))</f>
        <v/>
      </c>
      <c r="H489" s="17">
        <f>IF(OR($A489="",$B489&lt;&gt;"tutar_farki"),"",IF(ABS($C489-$D489)&lt;=toleransKurus,"TARIFE",IF(ABS($C489-$E489)&lt;=toleransKurus,"DAGITIM",IF(ABS($C489-$F489)&lt;=toleransKurus,"KDV",IF($G489&gt;0,"TUKETIM","TANIMSIZ")))))</f>
        <v/>
      </c>
    </row>
    <row r="490">
      <c r="A490" s="22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IF($A490="","",IFERROR(SUMIF(tblAnahtarA[Norm],$A490,tblVeriA[EnerjiBedeli]),0))</f>
        <v/>
      </c>
      <c r="E490" s="17">
        <f>IF($A490="","",IFERROR(SUMIF(tblAnahtarA[Norm],$A490,tblVeriA[DagitimBedeli]),0))</f>
        <v/>
      </c>
      <c r="F490" s="17">
        <f>IF($A490="","",IFERROR(SUMIF(tblAnahtarA[Norm],$A490,tblVeriA[VergiKdv]),0))</f>
        <v/>
      </c>
      <c r="G490" s="17">
        <f>IF($A490="","",IFERROR(SUMIF(tblAnahtarA[Norm],$A490,tblVeriA[TuketimKwh]),0))</f>
        <v/>
      </c>
      <c r="H490" s="17">
        <f>IF(OR($A490="",$B490&lt;&gt;"tutar_farki"),"",IF(ABS($C490-$D490)&lt;=toleransKurus,"TARIFE",IF(ABS($C490-$E490)&lt;=toleransKurus,"DAGITIM",IF(ABS($C490-$F490)&lt;=toleransKurus,"KDV",IF($G490&gt;0,"TUKETIM","TANIMSIZ")))))</f>
        <v/>
      </c>
    </row>
    <row r="491">
      <c r="A491" s="22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IF($A491="","",IFERROR(SUMIF(tblAnahtarA[Norm],$A491,tblVeriA[EnerjiBedeli]),0))</f>
        <v/>
      </c>
      <c r="E491" s="17">
        <f>IF($A491="","",IFERROR(SUMIF(tblAnahtarA[Norm],$A491,tblVeriA[DagitimBedeli]),0))</f>
        <v/>
      </c>
      <c r="F491" s="17">
        <f>IF($A491="","",IFERROR(SUMIF(tblAnahtarA[Norm],$A491,tblVeriA[VergiKdv]),0))</f>
        <v/>
      </c>
      <c r="G491" s="17">
        <f>IF($A491="","",IFERROR(SUMIF(tblAnahtarA[Norm],$A491,tblVeriA[TuketimKwh]),0))</f>
        <v/>
      </c>
      <c r="H491" s="17">
        <f>IF(OR($A491="",$B491&lt;&gt;"tutar_farki"),"",IF(ABS($C491-$D491)&lt;=toleransKurus,"TARIFE",IF(ABS($C491-$E491)&lt;=toleransKurus,"DAGITIM",IF(ABS($C491-$F491)&lt;=toleransKurus,"KDV",IF($G491&gt;0,"TUKETIM","TANIMSIZ")))))</f>
        <v/>
      </c>
    </row>
    <row r="492">
      <c r="A492" s="22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IF($A492="","",IFERROR(SUMIF(tblAnahtarA[Norm],$A492,tblVeriA[EnerjiBedeli]),0))</f>
        <v/>
      </c>
      <c r="E492" s="17">
        <f>IF($A492="","",IFERROR(SUMIF(tblAnahtarA[Norm],$A492,tblVeriA[DagitimBedeli]),0))</f>
        <v/>
      </c>
      <c r="F492" s="17">
        <f>IF($A492="","",IFERROR(SUMIF(tblAnahtarA[Norm],$A492,tblVeriA[VergiKdv]),0))</f>
        <v/>
      </c>
      <c r="G492" s="17">
        <f>IF($A492="","",IFERROR(SUMIF(tblAnahtarA[Norm],$A492,tblVeriA[TuketimKwh]),0))</f>
        <v/>
      </c>
      <c r="H492" s="17">
        <f>IF(OR($A492="",$B492&lt;&gt;"tutar_farki"),"",IF(ABS($C492-$D492)&lt;=toleransKurus,"TARIFE",IF(ABS($C492-$E492)&lt;=toleransKurus,"DAGITIM",IF(ABS($C492-$F492)&lt;=toleransKurus,"KDV",IF($G492&gt;0,"TUKETIM","TANIMSIZ")))))</f>
        <v/>
      </c>
    </row>
    <row r="493">
      <c r="A493" s="22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IF($A493="","",IFERROR(SUMIF(tblAnahtarA[Norm],$A493,tblVeriA[EnerjiBedeli]),0))</f>
        <v/>
      </c>
      <c r="E493" s="17">
        <f>IF($A493="","",IFERROR(SUMIF(tblAnahtarA[Norm],$A493,tblVeriA[DagitimBedeli]),0))</f>
        <v/>
      </c>
      <c r="F493" s="17">
        <f>IF($A493="","",IFERROR(SUMIF(tblAnahtarA[Norm],$A493,tblVeriA[VergiKdv]),0))</f>
        <v/>
      </c>
      <c r="G493" s="17">
        <f>IF($A493="","",IFERROR(SUMIF(tblAnahtarA[Norm],$A493,tblVeriA[TuketimKwh]),0))</f>
        <v/>
      </c>
      <c r="H493" s="17">
        <f>IF(OR($A493="",$B493&lt;&gt;"tutar_farki"),"",IF(ABS($C493-$D493)&lt;=toleransKurus,"TARIFE",IF(ABS($C493-$E493)&lt;=toleransKurus,"DAGITIM",IF(ABS($C493-$F493)&lt;=toleransKurus,"KDV",IF($G493&gt;0,"TUKETIM","TANIMSIZ")))))</f>
        <v/>
      </c>
    </row>
    <row r="494">
      <c r="A494" s="22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IF($A494="","",IFERROR(SUMIF(tblAnahtarA[Norm],$A494,tblVeriA[EnerjiBedeli]),0))</f>
        <v/>
      </c>
      <c r="E494" s="17">
        <f>IF($A494="","",IFERROR(SUMIF(tblAnahtarA[Norm],$A494,tblVeriA[DagitimBedeli]),0))</f>
        <v/>
      </c>
      <c r="F494" s="17">
        <f>IF($A494="","",IFERROR(SUMIF(tblAnahtarA[Norm],$A494,tblVeriA[VergiKdv]),0))</f>
        <v/>
      </c>
      <c r="G494" s="17">
        <f>IF($A494="","",IFERROR(SUMIF(tblAnahtarA[Norm],$A494,tblVeriA[TuketimKwh]),0))</f>
        <v/>
      </c>
      <c r="H494" s="17">
        <f>IF(OR($A494="",$B494&lt;&gt;"tutar_farki"),"",IF(ABS($C494-$D494)&lt;=toleransKurus,"TARIFE",IF(ABS($C494-$E494)&lt;=toleransKurus,"DAGITIM",IF(ABS($C494-$F494)&lt;=toleransKurus,"KDV",IF($G494&gt;0,"TUKETIM","TANIMSIZ")))))</f>
        <v/>
      </c>
    </row>
    <row r="495">
      <c r="A495" s="22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IF($A495="","",IFERROR(SUMIF(tblAnahtarA[Norm],$A495,tblVeriA[EnerjiBedeli]),0))</f>
        <v/>
      </c>
      <c r="E495" s="17">
        <f>IF($A495="","",IFERROR(SUMIF(tblAnahtarA[Norm],$A495,tblVeriA[DagitimBedeli]),0))</f>
        <v/>
      </c>
      <c r="F495" s="17">
        <f>IF($A495="","",IFERROR(SUMIF(tblAnahtarA[Norm],$A495,tblVeriA[VergiKdv]),0))</f>
        <v/>
      </c>
      <c r="G495" s="17">
        <f>IF($A495="","",IFERROR(SUMIF(tblAnahtarA[Norm],$A495,tblVeriA[TuketimKwh]),0))</f>
        <v/>
      </c>
      <c r="H495" s="17">
        <f>IF(OR($A495="",$B495&lt;&gt;"tutar_farki"),"",IF(ABS($C495-$D495)&lt;=toleransKurus,"TARIFE",IF(ABS($C495-$E495)&lt;=toleransKurus,"DAGITIM",IF(ABS($C495-$F495)&lt;=toleransKurus,"KDV",IF($G495&gt;0,"TUKETIM","TANIMSIZ")))))</f>
        <v/>
      </c>
    </row>
    <row r="496">
      <c r="A496" s="22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IF($A496="","",IFERROR(SUMIF(tblAnahtarA[Norm],$A496,tblVeriA[EnerjiBedeli]),0))</f>
        <v/>
      </c>
      <c r="E496" s="17">
        <f>IF($A496="","",IFERROR(SUMIF(tblAnahtarA[Norm],$A496,tblVeriA[DagitimBedeli]),0))</f>
        <v/>
      </c>
      <c r="F496" s="17">
        <f>IF($A496="","",IFERROR(SUMIF(tblAnahtarA[Norm],$A496,tblVeriA[VergiKdv]),0))</f>
        <v/>
      </c>
      <c r="G496" s="17">
        <f>IF($A496="","",IFERROR(SUMIF(tblAnahtarA[Norm],$A496,tblVeriA[TuketimKwh]),0))</f>
        <v/>
      </c>
      <c r="H496" s="17">
        <f>IF(OR($A496="",$B496&lt;&gt;"tutar_farki"),"",IF(ABS($C496-$D496)&lt;=toleransKurus,"TARIFE",IF(ABS($C496-$E496)&lt;=toleransKurus,"DAGITIM",IF(ABS($C496-$F496)&lt;=toleransKurus,"KDV",IF($G496&gt;0,"TUKETIM","TANIMSIZ")))))</f>
        <v/>
      </c>
    </row>
    <row r="497">
      <c r="A497" s="22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IF($A497="","",IFERROR(SUMIF(tblAnahtarA[Norm],$A497,tblVeriA[EnerjiBedeli]),0))</f>
        <v/>
      </c>
      <c r="E497" s="17">
        <f>IF($A497="","",IFERROR(SUMIF(tblAnahtarA[Norm],$A497,tblVeriA[DagitimBedeli]),0))</f>
        <v/>
      </c>
      <c r="F497" s="17">
        <f>IF($A497="","",IFERROR(SUMIF(tblAnahtarA[Norm],$A497,tblVeriA[VergiKdv]),0))</f>
        <v/>
      </c>
      <c r="G497" s="17">
        <f>IF($A497="","",IFERROR(SUMIF(tblAnahtarA[Norm],$A497,tblVeriA[TuketimKwh]),0))</f>
        <v/>
      </c>
      <c r="H497" s="17">
        <f>IF(OR($A497="",$B497&lt;&gt;"tutar_farki"),"",IF(ABS($C497-$D497)&lt;=toleransKurus,"TARIFE",IF(ABS($C497-$E497)&lt;=toleransKurus,"DAGITIM",IF(ABS($C497-$F497)&lt;=toleransKurus,"KDV",IF($G497&gt;0,"TUKETIM","TANIMSIZ")))))</f>
        <v/>
      </c>
    </row>
    <row r="498">
      <c r="A498" s="22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IF($A498="","",IFERROR(SUMIF(tblAnahtarA[Norm],$A498,tblVeriA[EnerjiBedeli]),0))</f>
        <v/>
      </c>
      <c r="E498" s="17">
        <f>IF($A498="","",IFERROR(SUMIF(tblAnahtarA[Norm],$A498,tblVeriA[DagitimBedeli]),0))</f>
        <v/>
      </c>
      <c r="F498" s="17">
        <f>IF($A498="","",IFERROR(SUMIF(tblAnahtarA[Norm],$A498,tblVeriA[VergiKdv]),0))</f>
        <v/>
      </c>
      <c r="G498" s="17">
        <f>IF($A498="","",IFERROR(SUMIF(tblAnahtarA[Norm],$A498,tblVeriA[TuketimKwh]),0))</f>
        <v/>
      </c>
      <c r="H498" s="17">
        <f>IF(OR($A498="",$B498&lt;&gt;"tutar_farki"),"",IF(ABS($C498-$D498)&lt;=toleransKurus,"TARIFE",IF(ABS($C498-$E498)&lt;=toleransKurus,"DAGITIM",IF(ABS($C498-$F498)&lt;=toleransKurus,"KDV",IF($G498&gt;0,"TUKETIM","TANIMSIZ")))))</f>
        <v/>
      </c>
    </row>
    <row r="499">
      <c r="A499" s="22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IF($A499="","",IFERROR(SUMIF(tblAnahtarA[Norm],$A499,tblVeriA[EnerjiBedeli]),0))</f>
        <v/>
      </c>
      <c r="E499" s="17">
        <f>IF($A499="","",IFERROR(SUMIF(tblAnahtarA[Norm],$A499,tblVeriA[DagitimBedeli]),0))</f>
        <v/>
      </c>
      <c r="F499" s="17">
        <f>IF($A499="","",IFERROR(SUMIF(tblAnahtarA[Norm],$A499,tblVeriA[VergiKdv]),0))</f>
        <v/>
      </c>
      <c r="G499" s="17">
        <f>IF($A499="","",IFERROR(SUMIF(tblAnahtarA[Norm],$A499,tblVeriA[TuketimKwh]),0))</f>
        <v/>
      </c>
      <c r="H499" s="17">
        <f>IF(OR($A499="",$B499&lt;&gt;"tutar_farki"),"",IF(ABS($C499-$D499)&lt;=toleransKurus,"TARIFE",IF(ABS($C499-$E499)&lt;=toleransKurus,"DAGITIM",IF(ABS($C499-$F499)&lt;=toleransKurus,"KDV",IF($G499&gt;0,"TUKETIM","TANIMSIZ")))))</f>
        <v/>
      </c>
    </row>
    <row r="500">
      <c r="A500" s="22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IF($A500="","",IFERROR(SUMIF(tblAnahtarA[Norm],$A500,tblVeriA[EnerjiBedeli]),0))</f>
        <v/>
      </c>
      <c r="E500" s="17">
        <f>IF($A500="","",IFERROR(SUMIF(tblAnahtarA[Norm],$A500,tblVeriA[DagitimBedeli]),0))</f>
        <v/>
      </c>
      <c r="F500" s="17">
        <f>IF($A500="","",IFERROR(SUMIF(tblAnahtarA[Norm],$A500,tblVeriA[VergiKdv]),0))</f>
        <v/>
      </c>
      <c r="G500" s="17">
        <f>IF($A500="","",IFERROR(SUMIF(tblAnahtarA[Norm],$A500,tblVeriA[TuketimKwh]),0))</f>
        <v/>
      </c>
      <c r="H500" s="17">
        <f>IF(OR($A500="",$B500&lt;&gt;"tutar_farki"),"",IF(ABS($C500-$D500)&lt;=toleransKurus,"TARIFE",IF(ABS($C500-$E500)&lt;=toleransKurus,"DAGITIM",IF(ABS($C500-$F500)&lt;=toleransKurus,"KDV",IF($G500&gt;0,"TUKETIM","TANIMSIZ")))))</f>
        <v/>
      </c>
    </row>
    <row r="501">
      <c r="A501" s="22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IF($A501="","",IFERROR(SUMIF(tblAnahtarA[Norm],$A501,tblVeriA[EnerjiBedeli]),0))</f>
        <v/>
      </c>
      <c r="E501" s="17">
        <f>IF($A501="","",IFERROR(SUMIF(tblAnahtarA[Norm],$A501,tblVeriA[DagitimBedeli]),0))</f>
        <v/>
      </c>
      <c r="F501" s="17">
        <f>IF($A501="","",IFERROR(SUMIF(tblAnahtarA[Norm],$A501,tblVeriA[VergiKdv]),0))</f>
        <v/>
      </c>
      <c r="G501" s="17">
        <f>IF($A501="","",IFERROR(SUMIF(tblAnahtarA[Norm],$A501,tblVeriA[TuketimKwh]),0))</f>
        <v/>
      </c>
      <c r="H501" s="17">
        <f>IF(OR($A501="",$B501&lt;&gt;"tutar_farki"),"",IF(ABS($C501-$D501)&lt;=toleransKurus,"TARIFE",IF(ABS($C501-$E501)&lt;=toleransKurus,"DAGITIM",IF(ABS($C501-$F501)&lt;=toleransKurus,"KDV",IF($G501&gt;0,"TUKETIM","TANIMSIZ")))))</f>
        <v/>
      </c>
    </row>
    <row r="502">
      <c r="A502" s="22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IF($A502="","",IFERROR(SUMIF(tblAnahtarA[Norm],$A502,tblVeriA[EnerjiBedeli]),0))</f>
        <v/>
      </c>
      <c r="E502" s="17">
        <f>IF($A502="","",IFERROR(SUMIF(tblAnahtarA[Norm],$A502,tblVeriA[DagitimBedeli]),0))</f>
        <v/>
      </c>
      <c r="F502" s="17">
        <f>IF($A502="","",IFERROR(SUMIF(tblAnahtarA[Norm],$A502,tblVeriA[VergiKdv]),0))</f>
        <v/>
      </c>
      <c r="G502" s="17">
        <f>IF($A502="","",IFERROR(SUMIF(tblAnahtarA[Norm],$A502,tblVeriA[TuketimKwh]),0))</f>
        <v/>
      </c>
      <c r="H502" s="17">
        <f>IF(OR($A502="",$B502&lt;&gt;"tutar_farki"),"",IF(ABS($C502-$D502)&lt;=toleransKurus,"TARIFE",IF(ABS($C502-$E502)&lt;=toleransKurus,"DAGITIM",IF(ABS($C502-$F502)&lt;=toleransKurus,"KDV",IF($G502&gt;0,"TUKETIM","TANIMSIZ")))))</f>
        <v/>
      </c>
    </row>
    <row r="503">
      <c r="A503" s="22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IF($A503="","",IFERROR(SUMIF(tblAnahtarA[Norm],$A503,tblVeriA[EnerjiBedeli]),0))</f>
        <v/>
      </c>
      <c r="E503" s="17">
        <f>IF($A503="","",IFERROR(SUMIF(tblAnahtarA[Norm],$A503,tblVeriA[DagitimBedeli]),0))</f>
        <v/>
      </c>
      <c r="F503" s="17">
        <f>IF($A503="","",IFERROR(SUMIF(tblAnahtarA[Norm],$A503,tblVeriA[VergiKdv]),0))</f>
        <v/>
      </c>
      <c r="G503" s="17">
        <f>IF($A503="","",IFERROR(SUMIF(tblAnahtarA[Norm],$A503,tblVeriA[TuketimKwh]),0))</f>
        <v/>
      </c>
      <c r="H503" s="17">
        <f>IF(OR($A503="",$B503&lt;&gt;"tutar_farki"),"",IF(ABS($C503-$D503)&lt;=toleransKurus,"TARIFE",IF(ABS($C503-$E503)&lt;=toleransKurus,"DAGITIM",IF(ABS($C503-$F503)&lt;=toleransKurus,"KDV",IF($G503&gt;0,"TUKETIM","TANIMSIZ")))))</f>
        <v/>
      </c>
    </row>
    <row r="504">
      <c r="A504" s="22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IF($A504="","",IFERROR(SUMIF(tblAnahtarA[Norm],$A504,tblVeriA[EnerjiBedeli]),0))</f>
        <v/>
      </c>
      <c r="E504" s="17">
        <f>IF($A504="","",IFERROR(SUMIF(tblAnahtarA[Norm],$A504,tblVeriA[DagitimBedeli]),0))</f>
        <v/>
      </c>
      <c r="F504" s="17">
        <f>IF($A504="","",IFERROR(SUMIF(tblAnahtarA[Norm],$A504,tblVeriA[VergiKdv]),0))</f>
        <v/>
      </c>
      <c r="G504" s="17">
        <f>IF($A504="","",IFERROR(SUMIF(tblAnahtarA[Norm],$A504,tblVeriA[TuketimKwh]),0))</f>
        <v/>
      </c>
      <c r="H504" s="17">
        <f>IF(OR($A504="",$B504&lt;&gt;"tutar_farki"),"",IF(ABS($C504-$D504)&lt;=toleransKurus,"TARIFE",IF(ABS($C504-$E504)&lt;=toleransKurus,"DAGITIM",IF(ABS($C504-$F504)&lt;=toleransKurus,"KDV",IF($G504&gt;0,"TUKETIM","TANIMSIZ")))))</f>
        <v/>
      </c>
    </row>
    <row r="505">
      <c r="A505" s="22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IF($A505="","",IFERROR(SUMIF(tblAnahtarA[Norm],$A505,tblVeriA[EnerjiBedeli]),0))</f>
        <v/>
      </c>
      <c r="E505" s="17">
        <f>IF($A505="","",IFERROR(SUMIF(tblAnahtarA[Norm],$A505,tblVeriA[DagitimBedeli]),0))</f>
        <v/>
      </c>
      <c r="F505" s="17">
        <f>IF($A505="","",IFERROR(SUMIF(tblAnahtarA[Norm],$A505,tblVeriA[VergiKdv]),0))</f>
        <v/>
      </c>
      <c r="G505" s="17">
        <f>IF($A505="","",IFERROR(SUMIF(tblAnahtarA[Norm],$A505,tblVeriA[TuketimKwh]),0))</f>
        <v/>
      </c>
      <c r="H505" s="17">
        <f>IF(OR($A505="",$B505&lt;&gt;"tutar_farki"),"",IF(ABS($C505-$D505)&lt;=toleransKurus,"TARIFE",IF(ABS($C505-$E505)&lt;=toleransKurus,"DAGITIM",IF(ABS($C505-$F505)&lt;=toleransKurus,"KDV",IF($G505&gt;0,"TUKETIM","TANIMSIZ")))))</f>
        <v/>
      </c>
    </row>
    <row r="506">
      <c r="A506" s="22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IF($A506="","",IFERROR(SUMIF(tblAnahtarA[Norm],$A506,tblVeriA[EnerjiBedeli]),0))</f>
        <v/>
      </c>
      <c r="E506" s="17">
        <f>IF($A506="","",IFERROR(SUMIF(tblAnahtarA[Norm],$A506,tblVeriA[DagitimBedeli]),0))</f>
        <v/>
      </c>
      <c r="F506" s="17">
        <f>IF($A506="","",IFERROR(SUMIF(tblAnahtarA[Norm],$A506,tblVeriA[VergiKdv]),0))</f>
        <v/>
      </c>
      <c r="G506" s="17">
        <f>IF($A506="","",IFERROR(SUMIF(tblAnahtarA[Norm],$A506,tblVeriA[TuketimKwh]),0))</f>
        <v/>
      </c>
      <c r="H506" s="17">
        <f>IF(OR($A506="",$B506&lt;&gt;"tutar_farki"),"",IF(ABS($C506-$D506)&lt;=toleransKurus,"TARIFE",IF(ABS($C506-$E506)&lt;=toleransKurus,"DAGITIM",IF(ABS($C506-$F506)&lt;=toleransKurus,"KDV",IF($G506&gt;0,"TUKETIM","TANIMSIZ")))))</f>
        <v/>
      </c>
    </row>
    <row r="507">
      <c r="A507" s="22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IF($A507="","",IFERROR(SUMIF(tblAnahtarA[Norm],$A507,tblVeriA[EnerjiBedeli]),0))</f>
        <v/>
      </c>
      <c r="E507" s="17">
        <f>IF($A507="","",IFERROR(SUMIF(tblAnahtarA[Norm],$A507,tblVeriA[DagitimBedeli]),0))</f>
        <v/>
      </c>
      <c r="F507" s="17">
        <f>IF($A507="","",IFERROR(SUMIF(tblAnahtarA[Norm],$A507,tblVeriA[VergiKdv]),0))</f>
        <v/>
      </c>
      <c r="G507" s="17">
        <f>IF($A507="","",IFERROR(SUMIF(tblAnahtarA[Norm],$A507,tblVeriA[TuketimKwh]),0))</f>
        <v/>
      </c>
      <c r="H507" s="17">
        <f>IF(OR($A507="",$B507&lt;&gt;"tutar_farki"),"",IF(ABS($C507-$D507)&lt;=toleransKurus,"TARIFE",IF(ABS($C507-$E507)&lt;=toleransKurus,"DAGITIM",IF(ABS($C507-$F507)&lt;=toleransKurus,"KDV",IF($G507&gt;0,"TUKETIM","TANIMSIZ")))))</f>
        <v/>
      </c>
    </row>
    <row r="508">
      <c r="A508" s="22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IF($A508="","",IFERROR(SUMIF(tblAnahtarA[Norm],$A508,tblVeriA[EnerjiBedeli]),0))</f>
        <v/>
      </c>
      <c r="E508" s="17">
        <f>IF($A508="","",IFERROR(SUMIF(tblAnahtarA[Norm],$A508,tblVeriA[DagitimBedeli]),0))</f>
        <v/>
      </c>
      <c r="F508" s="17">
        <f>IF($A508="","",IFERROR(SUMIF(tblAnahtarA[Norm],$A508,tblVeriA[VergiKdv]),0))</f>
        <v/>
      </c>
      <c r="G508" s="17">
        <f>IF($A508="","",IFERROR(SUMIF(tblAnahtarA[Norm],$A508,tblVeriA[TuketimKwh]),0))</f>
        <v/>
      </c>
      <c r="H508" s="17">
        <f>IF(OR($A508="",$B508&lt;&gt;"tutar_farki"),"",IF(ABS($C508-$D508)&lt;=toleransKurus,"TARIFE",IF(ABS($C508-$E508)&lt;=toleransKurus,"DAGITIM",IF(ABS($C508-$F508)&lt;=toleransKurus,"KDV",IF($G508&gt;0,"TUKETIM","TANIMSIZ")))))</f>
        <v/>
      </c>
    </row>
    <row r="509">
      <c r="A509" s="22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IF($A509="","",IFERROR(SUMIF(tblAnahtarA[Norm],$A509,tblVeriA[EnerjiBedeli]),0))</f>
        <v/>
      </c>
      <c r="E509" s="17">
        <f>IF($A509="","",IFERROR(SUMIF(tblAnahtarA[Norm],$A509,tblVeriA[DagitimBedeli]),0))</f>
        <v/>
      </c>
      <c r="F509" s="17">
        <f>IF($A509="","",IFERROR(SUMIF(tblAnahtarA[Norm],$A509,tblVeriA[VergiKdv]),0))</f>
        <v/>
      </c>
      <c r="G509" s="17">
        <f>IF($A509="","",IFERROR(SUMIF(tblAnahtarA[Norm],$A509,tblVeriA[TuketimKwh]),0))</f>
        <v/>
      </c>
      <c r="H509" s="17">
        <f>IF(OR($A509="",$B509&lt;&gt;"tutar_farki"),"",IF(ABS($C509-$D509)&lt;=toleransKurus,"TARIFE",IF(ABS($C509-$E509)&lt;=toleransKurus,"DAGITIM",IF(ABS($C509-$F509)&lt;=toleransKurus,"KDV",IF($G509&gt;0,"TUKETIM","TANIMSIZ")))))</f>
        <v/>
      </c>
    </row>
    <row r="510">
      <c r="A510" s="22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IF($A510="","",IFERROR(SUMIF(tblAnahtarA[Norm],$A510,tblVeriA[EnerjiBedeli]),0))</f>
        <v/>
      </c>
      <c r="E510" s="17">
        <f>IF($A510="","",IFERROR(SUMIF(tblAnahtarA[Norm],$A510,tblVeriA[DagitimBedeli]),0))</f>
        <v/>
      </c>
      <c r="F510" s="17">
        <f>IF($A510="","",IFERROR(SUMIF(tblAnahtarA[Norm],$A510,tblVeriA[VergiKdv]),0))</f>
        <v/>
      </c>
      <c r="G510" s="17">
        <f>IF($A510="","",IFERROR(SUMIF(tblAnahtarA[Norm],$A510,tblVeriA[TuketimKwh]),0))</f>
        <v/>
      </c>
      <c r="H510" s="17">
        <f>IF(OR($A510="",$B510&lt;&gt;"tutar_farki"),"",IF(ABS($C510-$D510)&lt;=toleransKurus,"TARIFE",IF(ABS($C510-$E510)&lt;=toleransKurus,"DAGITIM",IF(ABS($C510-$F510)&lt;=toleransKurus,"KDV",IF($G510&gt;0,"TUKETIM","TANIMSIZ")))))</f>
        <v/>
      </c>
    </row>
    <row r="511">
      <c r="A511" s="22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IF($A511="","",IFERROR(SUMIF(tblAnahtarA[Norm],$A511,tblVeriA[EnerjiBedeli]),0))</f>
        <v/>
      </c>
      <c r="E511" s="17">
        <f>IF($A511="","",IFERROR(SUMIF(tblAnahtarA[Norm],$A511,tblVeriA[DagitimBedeli]),0))</f>
        <v/>
      </c>
      <c r="F511" s="17">
        <f>IF($A511="","",IFERROR(SUMIF(tblAnahtarA[Norm],$A511,tblVeriA[VergiKdv]),0))</f>
        <v/>
      </c>
      <c r="G511" s="17">
        <f>IF($A511="","",IFERROR(SUMIF(tblAnahtarA[Norm],$A511,tblVeriA[TuketimKwh]),0))</f>
        <v/>
      </c>
      <c r="H511" s="17">
        <f>IF(OR($A511="",$B511&lt;&gt;"tutar_farki"),"",IF(ABS($C511-$D511)&lt;=toleransKurus,"TARIFE",IF(ABS($C511-$E511)&lt;=toleransKurus,"DAGITIM",IF(ABS($C511-$F511)&lt;=toleransKurus,"KDV",IF($G511&gt;0,"TUKETIM","TANIMSIZ")))))</f>
        <v/>
      </c>
    </row>
    <row r="512">
      <c r="A512" s="22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IF($A512="","",IFERROR(SUMIF(tblAnahtarA[Norm],$A512,tblVeriA[EnerjiBedeli]),0))</f>
        <v/>
      </c>
      <c r="E512" s="17">
        <f>IF($A512="","",IFERROR(SUMIF(tblAnahtarA[Norm],$A512,tblVeriA[DagitimBedeli]),0))</f>
        <v/>
      </c>
      <c r="F512" s="17">
        <f>IF($A512="","",IFERROR(SUMIF(tblAnahtarA[Norm],$A512,tblVeriA[VergiKdv]),0))</f>
        <v/>
      </c>
      <c r="G512" s="17">
        <f>IF($A512="","",IFERROR(SUMIF(tblAnahtarA[Norm],$A512,tblVeriA[TuketimKwh]),0))</f>
        <v/>
      </c>
      <c r="H512" s="17">
        <f>IF(OR($A512="",$B512&lt;&gt;"tutar_farki"),"",IF(ABS($C512-$D512)&lt;=toleransKurus,"TARIFE",IF(ABS($C512-$E512)&lt;=toleransKurus,"DAGITIM",IF(ABS($C512-$F512)&lt;=toleransKurus,"KDV",IF($G512&gt;0,"TUKETIM","TANIMSIZ")))))</f>
        <v/>
      </c>
    </row>
    <row r="513">
      <c r="A513" s="22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IF($A513="","",IFERROR(SUMIF(tblAnahtarA[Norm],$A513,tblVeriA[EnerjiBedeli]),0))</f>
        <v/>
      </c>
      <c r="E513" s="17">
        <f>IF($A513="","",IFERROR(SUMIF(tblAnahtarA[Norm],$A513,tblVeriA[DagitimBedeli]),0))</f>
        <v/>
      </c>
      <c r="F513" s="17">
        <f>IF($A513="","",IFERROR(SUMIF(tblAnahtarA[Norm],$A513,tblVeriA[VergiKdv]),0))</f>
        <v/>
      </c>
      <c r="G513" s="17">
        <f>IF($A513="","",IFERROR(SUMIF(tblAnahtarA[Norm],$A513,tblVeriA[TuketimKwh]),0))</f>
        <v/>
      </c>
      <c r="H513" s="17">
        <f>IF(OR($A513="",$B513&lt;&gt;"tutar_farki"),"",IF(ABS($C513-$D513)&lt;=toleransKurus,"TARIFE",IF(ABS($C513-$E513)&lt;=toleransKurus,"DAGITIM",IF(ABS($C513-$F513)&lt;=toleransKurus,"KDV",IF($G513&gt;0,"TUKETIM","TANIMSIZ")))))</f>
        <v/>
      </c>
    </row>
    <row r="514">
      <c r="A514" s="22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IF($A514="","",IFERROR(SUMIF(tblAnahtarA[Norm],$A514,tblVeriA[EnerjiBedeli]),0))</f>
        <v/>
      </c>
      <c r="E514" s="17">
        <f>IF($A514="","",IFERROR(SUMIF(tblAnahtarA[Norm],$A514,tblVeriA[DagitimBedeli]),0))</f>
        <v/>
      </c>
      <c r="F514" s="17">
        <f>IF($A514="","",IFERROR(SUMIF(tblAnahtarA[Norm],$A514,tblVeriA[VergiKdv]),0))</f>
        <v/>
      </c>
      <c r="G514" s="17">
        <f>IF($A514="","",IFERROR(SUMIF(tblAnahtarA[Norm],$A514,tblVeriA[TuketimKwh]),0))</f>
        <v/>
      </c>
      <c r="H514" s="17">
        <f>IF(OR($A514="",$B514&lt;&gt;"tutar_farki"),"",IF(ABS($C514-$D514)&lt;=toleransKurus,"TARIFE",IF(ABS($C514-$E514)&lt;=toleransKurus,"DAGITIM",IF(ABS($C514-$F514)&lt;=toleransKurus,"KDV",IF($G514&gt;0,"TUKETIM","TANIMSIZ")))))</f>
        <v/>
      </c>
    </row>
    <row r="515">
      <c r="A515" s="22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IF($A515="","",IFERROR(SUMIF(tblAnahtarA[Norm],$A515,tblVeriA[EnerjiBedeli]),0))</f>
        <v/>
      </c>
      <c r="E515" s="17">
        <f>IF($A515="","",IFERROR(SUMIF(tblAnahtarA[Norm],$A515,tblVeriA[DagitimBedeli]),0))</f>
        <v/>
      </c>
      <c r="F515" s="17">
        <f>IF($A515="","",IFERROR(SUMIF(tblAnahtarA[Norm],$A515,tblVeriA[VergiKdv]),0))</f>
        <v/>
      </c>
      <c r="G515" s="17">
        <f>IF($A515="","",IFERROR(SUMIF(tblAnahtarA[Norm],$A515,tblVeriA[TuketimKwh]),0))</f>
        <v/>
      </c>
      <c r="H515" s="17">
        <f>IF(OR($A515="",$B515&lt;&gt;"tutar_farki"),"",IF(ABS($C515-$D515)&lt;=toleransKurus,"TARIFE",IF(ABS($C515-$E515)&lt;=toleransKurus,"DAGITIM",IF(ABS($C515-$F515)&lt;=toleransKurus,"KDV",IF($G515&gt;0,"TUKETIM","TANIMSIZ")))))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0">
      <formula>"TANIMSIZ"</formula>
    </cfRule>
    <cfRule type="cellIs" priority="2" operator="equal" dxfId="1">
      <formula>"TARIFE"</formula>
    </cfRule>
    <cfRule type="cellIs" priority="3" operator="equal" dxfId="1">
      <formula>"DAGITIM"</formula>
    </cfRule>
    <cfRule type="cellIs" priority="4" operator="equal" dxfId="1">
      <formula>"KDV"</formula>
    </cfRule>
    <cfRule type="cellIs" priority="5" operator="equal" dxfId="1">
      <formula>"TUKETIM"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Elektrik Faturası Doğrulama Motoru</t>
        </is>
      </c>
    </row>
    <row r="2">
      <c r="I2" s="24" t="inlineStr">
        <is>
          <t>Şablon</t>
        </is>
      </c>
      <c r="J2" s="33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dağıtım şirketi itiraz metni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2">
        <f>IF('KOK_NEDEN'!$A6="","",'KOK_NEDEN'!$A6)</f>
        <v/>
      </c>
      <c r="B6" s="17">
        <f>IF($A6="","",IFERROR(INDEX(tblKok[Kova],MATCH($A6,tblKok[A_Norm],0)),""))</f>
        <v/>
      </c>
      <c r="C6" s="17">
        <f>IF($A6="","",IFERROR(INDEX(tblEslesme[Fark],MATCH($A6,tblEslesme[A_Norm],0)),0))</f>
        <v/>
      </c>
      <c r="D6" s="17">
        <f>IF($A6="","",IFERROR(INDEX(tblKok[KokNeden],MATCH($A6,tblKok[A_Norm],0)),""))</f>
        <v/>
      </c>
      <c r="E6" s="17">
        <f>IF($B6&lt;&gt;"tutar_farki","",IF(ABS($C6)&gt;efd_esikFark,"YUKSEK","NORMAL"))</f>
        <v/>
      </c>
      <c r="F6" s="17">
        <f>IF($B6&lt;&gt;"tutar_farki","","Fatura "&amp;$A6&amp;" için fark "&amp;TEXT($C6,"0.00")&amp;" TL. Dayanak: "&amp;$D6&amp;". İtiraz dosyası üretildi.")</f>
        <v/>
      </c>
      <c r="G6" s="17">
        <f>IF($B6&lt;&gt;"tutar_farki","","Beklemede")</f>
        <v/>
      </c>
    </row>
    <row r="7">
      <c r="A7" s="22">
        <f>IF('KOK_NEDEN'!$A7="","",'KOK_NEDEN'!$A7)</f>
        <v/>
      </c>
      <c r="B7" s="17">
        <f>IF($A7="","",IFERROR(INDEX(tblKok[Kova],MATCH($A7,tblKok[A_Norm],0)),""))</f>
        <v/>
      </c>
      <c r="C7" s="17">
        <f>IF($A7="","",IFERROR(INDEX(tblEslesme[Fark],MATCH($A7,tblEslesme[A_Norm],0)),0))</f>
        <v/>
      </c>
      <c r="D7" s="17">
        <f>IF($A7="","",IFERROR(INDEX(tblKok[KokNeden],MATCH($A7,tblKok[A_Norm],0)),""))</f>
        <v/>
      </c>
      <c r="E7" s="17">
        <f>IF($B7&lt;&gt;"tutar_farki","",IF(ABS($C7)&gt;efd_esikFark,"YUKSEK","NORMAL"))</f>
        <v/>
      </c>
      <c r="F7" s="17">
        <f>IF($B7&lt;&gt;"tutar_farki","","Fatura "&amp;$A7&amp;" için fark "&amp;TEXT($C7,"0.00")&amp;" TL. Dayanak: "&amp;$D7&amp;". İtiraz dosyası üretildi.")</f>
        <v/>
      </c>
      <c r="G7" s="17">
        <f>IF($B7&lt;&gt;"tutar_farki","","Beklemede")</f>
        <v/>
      </c>
    </row>
    <row r="8">
      <c r="A8" s="22">
        <f>IF('KOK_NEDEN'!$A8="","",'KOK_NEDEN'!$A8)</f>
        <v/>
      </c>
      <c r="B8" s="17">
        <f>IF($A8="","",IFERROR(INDEX(tblKok[Kova],MATCH($A8,tblKok[A_Norm],0)),""))</f>
        <v/>
      </c>
      <c r="C8" s="17">
        <f>IF($A8="","",IFERROR(INDEX(tblEslesme[Fark],MATCH($A8,tblEslesme[A_Norm],0)),0))</f>
        <v/>
      </c>
      <c r="D8" s="17">
        <f>IF($A8="","",IFERROR(INDEX(tblKok[KokNeden],MATCH($A8,tblKok[A_Norm],0)),""))</f>
        <v/>
      </c>
      <c r="E8" s="17">
        <f>IF($B8&lt;&gt;"tutar_farki","",IF(ABS($C8)&gt;efd_esikFark,"YUKSEK","NORMAL"))</f>
        <v/>
      </c>
      <c r="F8" s="17">
        <f>IF($B8&lt;&gt;"tutar_farki","","Fatura "&amp;$A8&amp;" için fark "&amp;TEXT($C8,"0.00")&amp;" TL. Dayanak: "&amp;$D8&amp;". İtiraz dosyası üretildi.")</f>
        <v/>
      </c>
      <c r="G8" s="17">
        <f>IF($B8&lt;&gt;"tutar_farki","","Beklemede")</f>
        <v/>
      </c>
    </row>
    <row r="9">
      <c r="A9" s="22">
        <f>IF('KOK_NEDEN'!$A9="","",'KOK_NEDEN'!$A9)</f>
        <v/>
      </c>
      <c r="B9" s="17">
        <f>IF($A9="","",IFERROR(INDEX(tblKok[Kova],MATCH($A9,tblKok[A_Norm],0)),""))</f>
        <v/>
      </c>
      <c r="C9" s="17">
        <f>IF($A9="","",IFERROR(INDEX(tblEslesme[Fark],MATCH($A9,tblEslesme[A_Norm],0)),0))</f>
        <v/>
      </c>
      <c r="D9" s="17">
        <f>IF($A9="","",IFERROR(INDEX(tblKok[KokNeden],MATCH($A9,tblKok[A_Norm],0)),""))</f>
        <v/>
      </c>
      <c r="E9" s="17">
        <f>IF($B9&lt;&gt;"tutar_farki","",IF(ABS($C9)&gt;efd_esikFark,"YUKSEK","NORMAL"))</f>
        <v/>
      </c>
      <c r="F9" s="17">
        <f>IF($B9&lt;&gt;"tutar_farki","","Fatura "&amp;$A9&amp;" için fark "&amp;TEXT($C9,"0.00")&amp;" TL. Dayanak: "&amp;$D9&amp;". İtiraz dosyası üretildi.")</f>
        <v/>
      </c>
      <c r="G9" s="17">
        <f>IF($B9&lt;&gt;"tutar_farki","","Beklemede")</f>
        <v/>
      </c>
    </row>
    <row r="10">
      <c r="A10" s="22">
        <f>IF('KOK_NEDEN'!$A10="","",'KOK_NEDEN'!$A10)</f>
        <v/>
      </c>
      <c r="B10" s="17">
        <f>IF($A10="","",IFERROR(INDEX(tblKok[Kova],MATCH($A10,tblKok[A_Norm],0)),""))</f>
        <v/>
      </c>
      <c r="C10" s="17">
        <f>IF($A10="","",IFERROR(INDEX(tblEslesme[Fark],MATCH($A10,tblEslesme[A_Norm],0)),0))</f>
        <v/>
      </c>
      <c r="D10" s="17">
        <f>IF($A10="","",IFERROR(INDEX(tblKok[KokNeden],MATCH($A10,tblKok[A_Norm],0)),""))</f>
        <v/>
      </c>
      <c r="E10" s="17">
        <f>IF($B10&lt;&gt;"tutar_farki","",IF(ABS($C10)&gt;efd_esikFark,"YUKSEK","NORMAL"))</f>
        <v/>
      </c>
      <c r="F10" s="17">
        <f>IF($B10&lt;&gt;"tutar_farki","","Fatura "&amp;$A10&amp;" için fark "&amp;TEXT($C10,"0.00")&amp;" TL. Dayanak: "&amp;$D10&amp;". İtiraz dosyası üretildi.")</f>
        <v/>
      </c>
      <c r="G10" s="17">
        <f>IF($B10&lt;&gt;"tutar_farki","","Beklemede")</f>
        <v/>
      </c>
    </row>
    <row r="11">
      <c r="A11" s="22">
        <f>IF('KOK_NEDEN'!$A11="","",'KOK_NEDEN'!$A11)</f>
        <v/>
      </c>
      <c r="B11" s="17">
        <f>IF($A11="","",IFERROR(INDEX(tblKok[Kova],MATCH($A11,tblKok[A_Norm],0)),""))</f>
        <v/>
      </c>
      <c r="C11" s="17">
        <f>IF($A11="","",IFERROR(INDEX(tblEslesme[Fark],MATCH($A11,tblEslesme[A_Norm],0)),0))</f>
        <v/>
      </c>
      <c r="D11" s="17">
        <f>IF($A11="","",IFERROR(INDEX(tblKok[KokNeden],MATCH($A11,tblKok[A_Norm],0)),""))</f>
        <v/>
      </c>
      <c r="E11" s="17">
        <f>IF($B11&lt;&gt;"tutar_farki","",IF(ABS($C11)&gt;efd_esikFark,"YUKSEK","NORMAL"))</f>
        <v/>
      </c>
      <c r="F11" s="17">
        <f>IF($B11&lt;&gt;"tutar_farki","","Fatura "&amp;$A11&amp;" için fark "&amp;TEXT($C11,"0.00")&amp;" TL. Dayanak: "&amp;$D11&amp;". İtiraz dosyası üretildi.")</f>
        <v/>
      </c>
      <c r="G11" s="17">
        <f>IF($B11&lt;&gt;"tutar_farki","","Beklemede")</f>
        <v/>
      </c>
    </row>
    <row r="12">
      <c r="A12" s="22">
        <f>IF('KOK_NEDEN'!$A12="","",'KOK_NEDEN'!$A12)</f>
        <v/>
      </c>
      <c r="B12" s="17">
        <f>IF($A12="","",IFERROR(INDEX(tblKok[Kova],MATCH($A12,tblKok[A_Norm],0)),""))</f>
        <v/>
      </c>
      <c r="C12" s="17">
        <f>IF($A12="","",IFERROR(INDEX(tblEslesme[Fark],MATCH($A12,tblEslesme[A_Norm],0)),0))</f>
        <v/>
      </c>
      <c r="D12" s="17">
        <f>IF($A12="","",IFERROR(INDEX(tblKok[KokNeden],MATCH($A12,tblKok[A_Norm],0)),""))</f>
        <v/>
      </c>
      <c r="E12" s="17">
        <f>IF($B12&lt;&gt;"tutar_farki","",IF(ABS($C12)&gt;efd_esikFark,"YUKSEK","NORMAL"))</f>
        <v/>
      </c>
      <c r="F12" s="17">
        <f>IF($B12&lt;&gt;"tutar_farki","","Fatura "&amp;$A12&amp;" için fark "&amp;TEXT($C12,"0.00")&amp;" TL. Dayanak: "&amp;$D12&amp;". İtiraz dosyası üretildi.")</f>
        <v/>
      </c>
      <c r="G12" s="17">
        <f>IF($B12&lt;&gt;"tutar_farki","","Beklemede")</f>
        <v/>
      </c>
    </row>
    <row r="13">
      <c r="A13" s="22">
        <f>IF('KOK_NEDEN'!$A13="","",'KOK_NEDEN'!$A13)</f>
        <v/>
      </c>
      <c r="B13" s="17">
        <f>IF($A13="","",IFERROR(INDEX(tblKok[Kova],MATCH($A13,tblKok[A_Norm],0)),""))</f>
        <v/>
      </c>
      <c r="C13" s="17">
        <f>IF($A13="","",IFERROR(INDEX(tblEslesme[Fark],MATCH($A13,tblEslesme[A_Norm],0)),0))</f>
        <v/>
      </c>
      <c r="D13" s="17">
        <f>IF($A13="","",IFERROR(INDEX(tblKok[KokNeden],MATCH($A13,tblKok[A_Norm],0)),""))</f>
        <v/>
      </c>
      <c r="E13" s="17">
        <f>IF($B13&lt;&gt;"tutar_farki","",IF(ABS($C13)&gt;efd_esikFark,"YUKSEK","NORMAL"))</f>
        <v/>
      </c>
      <c r="F13" s="17">
        <f>IF($B13&lt;&gt;"tutar_farki","","Fatura "&amp;$A13&amp;" için fark "&amp;TEXT($C13,"0.00")&amp;" TL. Dayanak: "&amp;$D13&amp;". İtiraz dosyası üretildi.")</f>
        <v/>
      </c>
      <c r="G13" s="17">
        <f>IF($B13&lt;&gt;"tutar_farki","","Beklemede")</f>
        <v/>
      </c>
    </row>
    <row r="14">
      <c r="A14" s="22">
        <f>IF('KOK_NEDEN'!$A14="","",'KOK_NEDEN'!$A14)</f>
        <v/>
      </c>
      <c r="B14" s="17">
        <f>IF($A14="","",IFERROR(INDEX(tblKok[Kova],MATCH($A14,tblKok[A_Norm],0)),""))</f>
        <v/>
      </c>
      <c r="C14" s="17">
        <f>IF($A14="","",IFERROR(INDEX(tblEslesme[Fark],MATCH($A14,tblEslesme[A_Norm],0)),0))</f>
        <v/>
      </c>
      <c r="D14" s="17">
        <f>IF($A14="","",IFERROR(INDEX(tblKok[KokNeden],MATCH($A14,tblKok[A_Norm],0)),""))</f>
        <v/>
      </c>
      <c r="E14" s="17">
        <f>IF($B14&lt;&gt;"tutar_farki","",IF(ABS($C14)&gt;efd_esikFark,"YUKSEK","NORMAL"))</f>
        <v/>
      </c>
      <c r="F14" s="17">
        <f>IF($B14&lt;&gt;"tutar_farki","","Fatura "&amp;$A14&amp;" için fark "&amp;TEXT($C14,"0.00")&amp;" TL. Dayanak: "&amp;$D14&amp;". İtiraz dosyası üretildi.")</f>
        <v/>
      </c>
      <c r="G14" s="17">
        <f>IF($B14&lt;&gt;"tutar_farki","","Beklemede")</f>
        <v/>
      </c>
    </row>
    <row r="15">
      <c r="A15" s="22">
        <f>IF('KOK_NEDEN'!$A15="","",'KOK_NEDEN'!$A15)</f>
        <v/>
      </c>
      <c r="B15" s="17">
        <f>IF($A15="","",IFERROR(INDEX(tblKok[Kova],MATCH($A15,tblKok[A_Norm],0)),""))</f>
        <v/>
      </c>
      <c r="C15" s="17">
        <f>IF($A15="","",IFERROR(INDEX(tblEslesme[Fark],MATCH($A15,tblEslesme[A_Norm],0)),0))</f>
        <v/>
      </c>
      <c r="D15" s="17">
        <f>IF($A15="","",IFERROR(INDEX(tblKok[KokNeden],MATCH($A15,tblKok[A_Norm],0)),""))</f>
        <v/>
      </c>
      <c r="E15" s="17">
        <f>IF($B15&lt;&gt;"tutar_farki","",IF(ABS($C15)&gt;efd_esikFark,"YUKSEK","NORMAL"))</f>
        <v/>
      </c>
      <c r="F15" s="17">
        <f>IF($B15&lt;&gt;"tutar_farki","","Fatura "&amp;$A15&amp;" için fark "&amp;TEXT($C15,"0.00")&amp;" TL. Dayanak: "&amp;$D15&amp;". İtiraz dosyası üretildi.")</f>
        <v/>
      </c>
      <c r="G15" s="17">
        <f>IF($B15&lt;&gt;"tutar_farki","","Beklemede")</f>
        <v/>
      </c>
    </row>
    <row r="16">
      <c r="A16" s="22">
        <f>IF('KOK_NEDEN'!$A16="","",'KOK_NEDEN'!$A16)</f>
        <v/>
      </c>
      <c r="B16" s="17">
        <f>IF($A16="","",IFERROR(INDEX(tblKok[Kova],MATCH($A16,tblKok[A_Norm],0)),""))</f>
        <v/>
      </c>
      <c r="C16" s="17">
        <f>IF($A16="","",IFERROR(INDEX(tblEslesme[Fark],MATCH($A16,tblEslesme[A_Norm],0)),0))</f>
        <v/>
      </c>
      <c r="D16" s="17">
        <f>IF($A16="","",IFERROR(INDEX(tblKok[KokNeden],MATCH($A16,tblKok[A_Norm],0)),""))</f>
        <v/>
      </c>
      <c r="E16" s="17">
        <f>IF($B16&lt;&gt;"tutar_farki","",IF(ABS($C16)&gt;efd_esikFark,"YUKSEK","NORMAL"))</f>
        <v/>
      </c>
      <c r="F16" s="17">
        <f>IF($B16&lt;&gt;"tutar_farki","","Fatura "&amp;$A16&amp;" için fark "&amp;TEXT($C16,"0.00")&amp;" TL. Dayanak: "&amp;$D16&amp;". İtiraz dosyası üretildi.")</f>
        <v/>
      </c>
      <c r="G16" s="17">
        <f>IF($B16&lt;&gt;"tutar_farki","","Beklemede")</f>
        <v/>
      </c>
    </row>
    <row r="17">
      <c r="A17" s="22">
        <f>IF('KOK_NEDEN'!$A17="","",'KOK_NEDEN'!$A17)</f>
        <v/>
      </c>
      <c r="B17" s="17">
        <f>IF($A17="","",IFERROR(INDEX(tblKok[Kova],MATCH($A17,tblKok[A_Norm],0)),""))</f>
        <v/>
      </c>
      <c r="C17" s="17">
        <f>IF($A17="","",IFERROR(INDEX(tblEslesme[Fark],MATCH($A17,tblEslesme[A_Norm],0)),0))</f>
        <v/>
      </c>
      <c r="D17" s="17">
        <f>IF($A17="","",IFERROR(INDEX(tblKok[KokNeden],MATCH($A17,tblKok[A_Norm],0)),""))</f>
        <v/>
      </c>
      <c r="E17" s="17">
        <f>IF($B17&lt;&gt;"tutar_farki","",IF(ABS($C17)&gt;efd_esikFark,"YUKSEK","NORMAL"))</f>
        <v/>
      </c>
      <c r="F17" s="17">
        <f>IF($B17&lt;&gt;"tutar_farki","","Fatura "&amp;$A17&amp;" için fark "&amp;TEXT($C17,"0.00")&amp;" TL. Dayanak: "&amp;$D17&amp;". İtiraz dosyası üretildi.")</f>
        <v/>
      </c>
      <c r="G17" s="17">
        <f>IF($B17&lt;&gt;"tutar_farki","","Beklemede")</f>
        <v/>
      </c>
    </row>
    <row r="18">
      <c r="A18" s="22">
        <f>IF('KOK_NEDEN'!$A18="","",'KOK_NEDEN'!$A18)</f>
        <v/>
      </c>
      <c r="B18" s="17">
        <f>IF($A18="","",IFERROR(INDEX(tblKok[Kova],MATCH($A18,tblKok[A_Norm],0)),""))</f>
        <v/>
      </c>
      <c r="C18" s="17">
        <f>IF($A18="","",IFERROR(INDEX(tblEslesme[Fark],MATCH($A18,tblEslesme[A_Norm],0)),0))</f>
        <v/>
      </c>
      <c r="D18" s="17">
        <f>IF($A18="","",IFERROR(INDEX(tblKok[KokNeden],MATCH($A18,tblKok[A_Norm],0)),""))</f>
        <v/>
      </c>
      <c r="E18" s="17">
        <f>IF($B18&lt;&gt;"tutar_farki","",IF(ABS($C18)&gt;efd_esikFark,"YUKSEK","NORMAL"))</f>
        <v/>
      </c>
      <c r="F18" s="17">
        <f>IF($B18&lt;&gt;"tutar_farki","","Fatura "&amp;$A18&amp;" için fark "&amp;TEXT($C18,"0.00")&amp;" TL. Dayanak: "&amp;$D18&amp;". İtiraz dosyası üretildi.")</f>
        <v/>
      </c>
      <c r="G18" s="17">
        <f>IF($B18&lt;&gt;"tutar_farki","","Beklemede")</f>
        <v/>
      </c>
    </row>
    <row r="19">
      <c r="A19" s="22">
        <f>IF('KOK_NEDEN'!$A19="","",'KOK_NEDEN'!$A19)</f>
        <v/>
      </c>
      <c r="B19" s="17">
        <f>IF($A19="","",IFERROR(INDEX(tblKok[Kova],MATCH($A19,tblKok[A_Norm],0)),""))</f>
        <v/>
      </c>
      <c r="C19" s="17">
        <f>IF($A19="","",IFERROR(INDEX(tblEslesme[Fark],MATCH($A19,tblEslesme[A_Norm],0)),0))</f>
        <v/>
      </c>
      <c r="D19" s="17">
        <f>IF($A19="","",IFERROR(INDEX(tblKok[KokNeden],MATCH($A19,tblKok[A_Norm],0)),""))</f>
        <v/>
      </c>
      <c r="E19" s="17">
        <f>IF($B19&lt;&gt;"tutar_farki","",IF(ABS($C19)&gt;efd_esikFark,"YUKSEK","NORMAL"))</f>
        <v/>
      </c>
      <c r="F19" s="17">
        <f>IF($B19&lt;&gt;"tutar_farki","","Fatura "&amp;$A19&amp;" için fark "&amp;TEXT($C19,"0.00")&amp;" TL. Dayanak: "&amp;$D19&amp;". İtiraz dosyası üretildi.")</f>
        <v/>
      </c>
      <c r="G19" s="17">
        <f>IF($B19&lt;&gt;"tutar_farki","","Beklemede")</f>
        <v/>
      </c>
    </row>
    <row r="20">
      <c r="A20" s="22">
        <f>IF('KOK_NEDEN'!$A20="","",'KOK_NEDEN'!$A20)</f>
        <v/>
      </c>
      <c r="B20" s="17">
        <f>IF($A20="","",IFERROR(INDEX(tblKok[Kova],MATCH($A20,tblKok[A_Norm],0)),""))</f>
        <v/>
      </c>
      <c r="C20" s="17">
        <f>IF($A20="","",IFERROR(INDEX(tblEslesme[Fark],MATCH($A20,tblEslesme[A_Norm],0)),0))</f>
        <v/>
      </c>
      <c r="D20" s="17">
        <f>IF($A20="","",IFERROR(INDEX(tblKok[KokNeden],MATCH($A20,tblKok[A_Norm],0)),""))</f>
        <v/>
      </c>
      <c r="E20" s="17">
        <f>IF($B20&lt;&gt;"tutar_farki","",IF(ABS($C20)&gt;efd_esikFark,"YUKSEK","NORMAL"))</f>
        <v/>
      </c>
      <c r="F20" s="17">
        <f>IF($B20&lt;&gt;"tutar_farki","","Fatura "&amp;$A20&amp;" için fark "&amp;TEXT($C20,"0.00")&amp;" TL. Dayanak: "&amp;$D20&amp;". İtiraz dosyası üretildi.")</f>
        <v/>
      </c>
      <c r="G20" s="17">
        <f>IF($B20&lt;&gt;"tutar_farki","","Beklemede")</f>
        <v/>
      </c>
    </row>
    <row r="21">
      <c r="A21" s="22">
        <f>IF('KOK_NEDEN'!$A21="","",'KOK_NEDEN'!$A21)</f>
        <v/>
      </c>
      <c r="B21" s="17">
        <f>IF($A21="","",IFERROR(INDEX(tblKok[Kova],MATCH($A21,tblKok[A_Norm],0)),""))</f>
        <v/>
      </c>
      <c r="C21" s="17">
        <f>IF($A21="","",IFERROR(INDEX(tblEslesme[Fark],MATCH($A21,tblEslesme[A_Norm],0)),0))</f>
        <v/>
      </c>
      <c r="D21" s="17">
        <f>IF($A21="","",IFERROR(INDEX(tblKok[KokNeden],MATCH($A21,tblKok[A_Norm],0)),""))</f>
        <v/>
      </c>
      <c r="E21" s="17">
        <f>IF($B21&lt;&gt;"tutar_farki","",IF(ABS($C21)&gt;efd_esikFark,"YUKSEK","NORMAL"))</f>
        <v/>
      </c>
      <c r="F21" s="17">
        <f>IF($B21&lt;&gt;"tutar_farki","","Fatura "&amp;$A21&amp;" için fark "&amp;TEXT($C21,"0.00")&amp;" TL. Dayanak: "&amp;$D21&amp;". İtiraz dosyası üretildi.")</f>
        <v/>
      </c>
      <c r="G21" s="17">
        <f>IF($B21&lt;&gt;"tutar_farki","","Beklemede")</f>
        <v/>
      </c>
    </row>
    <row r="22">
      <c r="A22" s="22">
        <f>IF('KOK_NEDEN'!$A22="","",'KOK_NEDEN'!$A22)</f>
        <v/>
      </c>
      <c r="B22" s="17">
        <f>IF($A22="","",IFERROR(INDEX(tblKok[Kova],MATCH($A22,tblKok[A_Norm],0)),""))</f>
        <v/>
      </c>
      <c r="C22" s="17">
        <f>IF($A22="","",IFERROR(INDEX(tblEslesme[Fark],MATCH($A22,tblEslesme[A_Norm],0)),0))</f>
        <v/>
      </c>
      <c r="D22" s="17">
        <f>IF($A22="","",IFERROR(INDEX(tblKok[KokNeden],MATCH($A22,tblKok[A_Norm],0)),""))</f>
        <v/>
      </c>
      <c r="E22" s="17">
        <f>IF($B22&lt;&gt;"tutar_farki","",IF(ABS($C22)&gt;efd_esikFark,"YUKSEK","NORMAL"))</f>
        <v/>
      </c>
      <c r="F22" s="17">
        <f>IF($B22&lt;&gt;"tutar_farki","","Fatura "&amp;$A22&amp;" için fark "&amp;TEXT($C22,"0.00")&amp;" TL. Dayanak: "&amp;$D22&amp;". İtiraz dosyası üretildi.")</f>
        <v/>
      </c>
      <c r="G22" s="17">
        <f>IF($B22&lt;&gt;"tutar_farki","","Beklemede")</f>
        <v/>
      </c>
    </row>
    <row r="23">
      <c r="A23" s="22">
        <f>IF('KOK_NEDEN'!$A23="","",'KOK_NEDEN'!$A23)</f>
        <v/>
      </c>
      <c r="B23" s="17">
        <f>IF($A23="","",IFERROR(INDEX(tblKok[Kova],MATCH($A23,tblKok[A_Norm],0)),""))</f>
        <v/>
      </c>
      <c r="C23" s="17">
        <f>IF($A23="","",IFERROR(INDEX(tblEslesme[Fark],MATCH($A23,tblEslesme[A_Norm],0)),0))</f>
        <v/>
      </c>
      <c r="D23" s="17">
        <f>IF($A23="","",IFERROR(INDEX(tblKok[KokNeden],MATCH($A23,tblKok[A_Norm],0)),""))</f>
        <v/>
      </c>
      <c r="E23" s="17">
        <f>IF($B23&lt;&gt;"tutar_farki","",IF(ABS($C23)&gt;efd_esikFark,"YUKSEK","NORMAL"))</f>
        <v/>
      </c>
      <c r="F23" s="17">
        <f>IF($B23&lt;&gt;"tutar_farki","","Fatura "&amp;$A23&amp;" için fark "&amp;TEXT($C23,"0.00")&amp;" TL. Dayanak: "&amp;$D23&amp;". İtiraz dosyası üretildi.")</f>
        <v/>
      </c>
      <c r="G23" s="17">
        <f>IF($B23&lt;&gt;"tutar_farki","","Beklemede")</f>
        <v/>
      </c>
    </row>
    <row r="24">
      <c r="A24" s="22">
        <f>IF('KOK_NEDEN'!$A24="","",'KOK_NEDEN'!$A24)</f>
        <v/>
      </c>
      <c r="B24" s="17">
        <f>IF($A24="","",IFERROR(INDEX(tblKok[Kova],MATCH($A24,tblKok[A_Norm],0)),""))</f>
        <v/>
      </c>
      <c r="C24" s="17">
        <f>IF($A24="","",IFERROR(INDEX(tblEslesme[Fark],MATCH($A24,tblEslesme[A_Norm],0)),0))</f>
        <v/>
      </c>
      <c r="D24" s="17">
        <f>IF($A24="","",IFERROR(INDEX(tblKok[KokNeden],MATCH($A24,tblKok[A_Norm],0)),""))</f>
        <v/>
      </c>
      <c r="E24" s="17">
        <f>IF($B24&lt;&gt;"tutar_farki","",IF(ABS($C24)&gt;efd_esikFark,"YUKSEK","NORMAL"))</f>
        <v/>
      </c>
      <c r="F24" s="17">
        <f>IF($B24&lt;&gt;"tutar_farki","","Fatura "&amp;$A24&amp;" için fark "&amp;TEXT($C24,"0.00")&amp;" TL. Dayanak: "&amp;$D24&amp;". İtiraz dosyası üretildi.")</f>
        <v/>
      </c>
      <c r="G24" s="17">
        <f>IF($B24&lt;&gt;"tutar_farki","","Beklemede")</f>
        <v/>
      </c>
    </row>
    <row r="25">
      <c r="A25" s="22">
        <f>IF('KOK_NEDEN'!$A25="","",'KOK_NEDEN'!$A25)</f>
        <v/>
      </c>
      <c r="B25" s="17">
        <f>IF($A25="","",IFERROR(INDEX(tblKok[Kova],MATCH($A25,tblKok[A_Norm],0)),""))</f>
        <v/>
      </c>
      <c r="C25" s="17">
        <f>IF($A25="","",IFERROR(INDEX(tblEslesme[Fark],MATCH($A25,tblEslesme[A_Norm],0)),0))</f>
        <v/>
      </c>
      <c r="D25" s="17">
        <f>IF($A25="","",IFERROR(INDEX(tblKok[KokNeden],MATCH($A25,tblKok[A_Norm],0)),""))</f>
        <v/>
      </c>
      <c r="E25" s="17">
        <f>IF($B25&lt;&gt;"tutar_farki","",IF(ABS($C25)&gt;efd_esikFark,"YUKSEK","NORMAL"))</f>
        <v/>
      </c>
      <c r="F25" s="17">
        <f>IF($B25&lt;&gt;"tutar_farki","","Fatura "&amp;$A25&amp;" için fark "&amp;TEXT($C25,"0.00")&amp;" TL. Dayanak: "&amp;$D25&amp;". İtiraz dosyası üretildi.")</f>
        <v/>
      </c>
      <c r="G25" s="17">
        <f>IF($B25&lt;&gt;"tutar_farki","","Beklemede")</f>
        <v/>
      </c>
    </row>
    <row r="26">
      <c r="A26" s="22">
        <f>IF('KOK_NEDEN'!$A26="","",'KOK_NEDEN'!$A26)</f>
        <v/>
      </c>
      <c r="B26" s="17">
        <f>IF($A26="","",IFERROR(INDEX(tblKok[Kova],MATCH($A26,tblKok[A_Norm],0)),""))</f>
        <v/>
      </c>
      <c r="C26" s="17">
        <f>IF($A26="","",IFERROR(INDEX(tblEslesme[Fark],MATCH($A26,tblEslesme[A_Norm],0)),0))</f>
        <v/>
      </c>
      <c r="D26" s="17">
        <f>IF($A26="","",IFERROR(INDEX(tblKok[KokNeden],MATCH($A26,tblKok[A_Norm],0)),""))</f>
        <v/>
      </c>
      <c r="E26" s="17">
        <f>IF($B26&lt;&gt;"tutar_farki","",IF(ABS($C26)&gt;efd_esikFark,"YUKSEK","NORMAL"))</f>
        <v/>
      </c>
      <c r="F26" s="17">
        <f>IF($B26&lt;&gt;"tutar_farki","","Fatura "&amp;$A26&amp;" için fark "&amp;TEXT($C26,"0.00")&amp;" TL. Dayanak: "&amp;$D26&amp;". İtiraz dosyası üretildi.")</f>
        <v/>
      </c>
      <c r="G26" s="17">
        <f>IF($B26&lt;&gt;"tutar_farki","","Beklemede")</f>
        <v/>
      </c>
    </row>
    <row r="27">
      <c r="A27" s="22">
        <f>IF('KOK_NEDEN'!$A27="","",'KOK_NEDEN'!$A27)</f>
        <v/>
      </c>
      <c r="B27" s="17">
        <f>IF($A27="","",IFERROR(INDEX(tblKok[Kova],MATCH($A27,tblKok[A_Norm],0)),""))</f>
        <v/>
      </c>
      <c r="C27" s="17">
        <f>IF($A27="","",IFERROR(INDEX(tblEslesme[Fark],MATCH($A27,tblEslesme[A_Norm],0)),0))</f>
        <v/>
      </c>
      <c r="D27" s="17">
        <f>IF($A27="","",IFERROR(INDEX(tblKok[KokNeden],MATCH($A27,tblKok[A_Norm],0)),""))</f>
        <v/>
      </c>
      <c r="E27" s="17">
        <f>IF($B27&lt;&gt;"tutar_farki","",IF(ABS($C27)&gt;efd_esikFark,"YUKSEK","NORMAL"))</f>
        <v/>
      </c>
      <c r="F27" s="17">
        <f>IF($B27&lt;&gt;"tutar_farki","","Fatura "&amp;$A27&amp;" için fark "&amp;TEXT($C27,"0.00")&amp;" TL. Dayanak: "&amp;$D27&amp;". İtiraz dosyası üretildi.")</f>
        <v/>
      </c>
      <c r="G27" s="17">
        <f>IF($B27&lt;&gt;"tutar_farki","","Beklemede")</f>
        <v/>
      </c>
    </row>
    <row r="28">
      <c r="A28" s="22">
        <f>IF('KOK_NEDEN'!$A28="","",'KOK_NEDEN'!$A28)</f>
        <v/>
      </c>
      <c r="B28" s="17">
        <f>IF($A28="","",IFERROR(INDEX(tblKok[Kova],MATCH($A28,tblKok[A_Norm],0)),""))</f>
        <v/>
      </c>
      <c r="C28" s="17">
        <f>IF($A28="","",IFERROR(INDEX(tblEslesme[Fark],MATCH($A28,tblEslesme[A_Norm],0)),0))</f>
        <v/>
      </c>
      <c r="D28" s="17">
        <f>IF($A28="","",IFERROR(INDEX(tblKok[KokNeden],MATCH($A28,tblKok[A_Norm],0)),""))</f>
        <v/>
      </c>
      <c r="E28" s="17">
        <f>IF($B28&lt;&gt;"tutar_farki","",IF(ABS($C28)&gt;efd_esikFark,"YUKSEK","NORMAL"))</f>
        <v/>
      </c>
      <c r="F28" s="17">
        <f>IF($B28&lt;&gt;"tutar_farki","","Fatura "&amp;$A28&amp;" için fark "&amp;TEXT($C28,"0.00")&amp;" TL. Dayanak: "&amp;$D28&amp;". İtiraz dosyası üretildi.")</f>
        <v/>
      </c>
      <c r="G28" s="17">
        <f>IF($B28&lt;&gt;"tutar_farki","","Beklemede")</f>
        <v/>
      </c>
    </row>
    <row r="29">
      <c r="A29" s="22">
        <f>IF('KOK_NEDEN'!$A29="","",'KOK_NEDEN'!$A29)</f>
        <v/>
      </c>
      <c r="B29" s="17">
        <f>IF($A29="","",IFERROR(INDEX(tblKok[Kova],MATCH($A29,tblKok[A_Norm],0)),""))</f>
        <v/>
      </c>
      <c r="C29" s="17">
        <f>IF($A29="","",IFERROR(INDEX(tblEslesme[Fark],MATCH($A29,tblEslesme[A_Norm],0)),0))</f>
        <v/>
      </c>
      <c r="D29" s="17">
        <f>IF($A29="","",IFERROR(INDEX(tblKok[KokNeden],MATCH($A29,tblKok[A_Norm],0)),""))</f>
        <v/>
      </c>
      <c r="E29" s="17">
        <f>IF($B29&lt;&gt;"tutar_farki","",IF(ABS($C29)&gt;efd_esikFark,"YUKSEK","NORMAL"))</f>
        <v/>
      </c>
      <c r="F29" s="17">
        <f>IF($B29&lt;&gt;"tutar_farki","","Fatura "&amp;$A29&amp;" için fark "&amp;TEXT($C29,"0.00")&amp;" TL. Dayanak: "&amp;$D29&amp;". İtiraz dosyası üretildi.")</f>
        <v/>
      </c>
      <c r="G29" s="17">
        <f>IF($B29&lt;&gt;"tutar_farki","","Beklemede")</f>
        <v/>
      </c>
    </row>
    <row r="30">
      <c r="A30" s="22">
        <f>IF('KOK_NEDEN'!$A30="","",'KOK_NEDEN'!$A30)</f>
        <v/>
      </c>
      <c r="B30" s="17">
        <f>IF($A30="","",IFERROR(INDEX(tblKok[Kova],MATCH($A30,tblKok[A_Norm],0)),""))</f>
        <v/>
      </c>
      <c r="C30" s="17">
        <f>IF($A30="","",IFERROR(INDEX(tblEslesme[Fark],MATCH($A30,tblEslesme[A_Norm],0)),0))</f>
        <v/>
      </c>
      <c r="D30" s="17">
        <f>IF($A30="","",IFERROR(INDEX(tblKok[KokNeden],MATCH($A30,tblKok[A_Norm],0)),""))</f>
        <v/>
      </c>
      <c r="E30" s="17">
        <f>IF($B30&lt;&gt;"tutar_farki","",IF(ABS($C30)&gt;efd_esikFark,"YUKSEK","NORMAL"))</f>
        <v/>
      </c>
      <c r="F30" s="17">
        <f>IF($B30&lt;&gt;"tutar_farki","","Fatura "&amp;$A30&amp;" için fark "&amp;TEXT($C30,"0.00")&amp;" TL. Dayanak: "&amp;$D30&amp;". İtiraz dosyası üretildi.")</f>
        <v/>
      </c>
      <c r="G30" s="17">
        <f>IF($B30&lt;&gt;"tutar_farki","","Beklemede")</f>
        <v/>
      </c>
    </row>
    <row r="31">
      <c r="A31" s="22">
        <f>IF('KOK_NEDEN'!$A31="","",'KOK_NEDEN'!$A31)</f>
        <v/>
      </c>
      <c r="B31" s="17">
        <f>IF($A31="","",IFERROR(INDEX(tblKok[Kova],MATCH($A31,tblKok[A_Norm],0)),""))</f>
        <v/>
      </c>
      <c r="C31" s="17">
        <f>IF($A31="","",IFERROR(INDEX(tblEslesme[Fark],MATCH($A31,tblEslesme[A_Norm],0)),0))</f>
        <v/>
      </c>
      <c r="D31" s="17">
        <f>IF($A31="","",IFERROR(INDEX(tblKok[KokNeden],MATCH($A31,tblKok[A_Norm],0)),""))</f>
        <v/>
      </c>
      <c r="E31" s="17">
        <f>IF($B31&lt;&gt;"tutar_farki","",IF(ABS($C31)&gt;efd_esikFark,"YUKSEK","NORMAL"))</f>
        <v/>
      </c>
      <c r="F31" s="17">
        <f>IF($B31&lt;&gt;"tutar_farki","","Fatura "&amp;$A31&amp;" için fark "&amp;TEXT($C31,"0.00")&amp;" TL. Dayanak: "&amp;$D31&amp;". İtiraz dosyası üretildi.")</f>
        <v/>
      </c>
      <c r="G31" s="17">
        <f>IF($B31&lt;&gt;"tutar_farki","","Beklemede")</f>
        <v/>
      </c>
    </row>
    <row r="32">
      <c r="A32" s="22">
        <f>IF('KOK_NEDEN'!$A32="","",'KOK_NEDEN'!$A32)</f>
        <v/>
      </c>
      <c r="B32" s="17">
        <f>IF($A32="","",IFERROR(INDEX(tblKok[Kova],MATCH($A32,tblKok[A_Norm],0)),""))</f>
        <v/>
      </c>
      <c r="C32" s="17">
        <f>IF($A32="","",IFERROR(INDEX(tblEslesme[Fark],MATCH($A32,tblEslesme[A_Norm],0)),0))</f>
        <v/>
      </c>
      <c r="D32" s="17">
        <f>IF($A32="","",IFERROR(INDEX(tblKok[KokNeden],MATCH($A32,tblKok[A_Norm],0)),""))</f>
        <v/>
      </c>
      <c r="E32" s="17">
        <f>IF($B32&lt;&gt;"tutar_farki","",IF(ABS($C32)&gt;efd_esikFark,"YUKSEK","NORMAL"))</f>
        <v/>
      </c>
      <c r="F32" s="17">
        <f>IF($B32&lt;&gt;"tutar_farki","","Fatura "&amp;$A32&amp;" için fark "&amp;TEXT($C32,"0.00")&amp;" TL. Dayanak: "&amp;$D32&amp;". İtiraz dosyası üretildi.")</f>
        <v/>
      </c>
      <c r="G32" s="17">
        <f>IF($B32&lt;&gt;"tutar_farki","","Beklemede")</f>
        <v/>
      </c>
    </row>
    <row r="33">
      <c r="A33" s="22">
        <f>IF('KOK_NEDEN'!$A33="","",'KOK_NEDEN'!$A33)</f>
        <v/>
      </c>
      <c r="B33" s="17">
        <f>IF($A33="","",IFERROR(INDEX(tblKok[Kova],MATCH($A33,tblKok[A_Norm],0)),""))</f>
        <v/>
      </c>
      <c r="C33" s="17">
        <f>IF($A33="","",IFERROR(INDEX(tblEslesme[Fark],MATCH($A33,tblEslesme[A_Norm],0)),0))</f>
        <v/>
      </c>
      <c r="D33" s="17">
        <f>IF($A33="","",IFERROR(INDEX(tblKok[KokNeden],MATCH($A33,tblKok[A_Norm],0)),""))</f>
        <v/>
      </c>
      <c r="E33" s="17">
        <f>IF($B33&lt;&gt;"tutar_farki","",IF(ABS($C33)&gt;efd_esikFark,"YUKSEK","NORMAL"))</f>
        <v/>
      </c>
      <c r="F33" s="17">
        <f>IF($B33&lt;&gt;"tutar_farki","","Fatura "&amp;$A33&amp;" için fark "&amp;TEXT($C33,"0.00")&amp;" TL. Dayanak: "&amp;$D33&amp;". İtiraz dosyası üretildi.")</f>
        <v/>
      </c>
      <c r="G33" s="17">
        <f>IF($B33&lt;&gt;"tutar_farki","","Beklemede")</f>
        <v/>
      </c>
    </row>
    <row r="34">
      <c r="A34" s="22">
        <f>IF('KOK_NEDEN'!$A34="","",'KOK_NEDEN'!$A34)</f>
        <v/>
      </c>
      <c r="B34" s="17">
        <f>IF($A34="","",IFERROR(INDEX(tblKok[Kova],MATCH($A34,tblKok[A_Norm],0)),""))</f>
        <v/>
      </c>
      <c r="C34" s="17">
        <f>IF($A34="","",IFERROR(INDEX(tblEslesme[Fark],MATCH($A34,tblEslesme[A_Norm],0)),0))</f>
        <v/>
      </c>
      <c r="D34" s="17">
        <f>IF($A34="","",IFERROR(INDEX(tblKok[KokNeden],MATCH($A34,tblKok[A_Norm],0)),""))</f>
        <v/>
      </c>
      <c r="E34" s="17">
        <f>IF($B34&lt;&gt;"tutar_farki","",IF(ABS($C34)&gt;efd_esikFark,"YUKSEK","NORMAL"))</f>
        <v/>
      </c>
      <c r="F34" s="17">
        <f>IF($B34&lt;&gt;"tutar_farki","","Fatura "&amp;$A34&amp;" için fark "&amp;TEXT($C34,"0.00")&amp;" TL. Dayanak: "&amp;$D34&amp;". İtiraz dosyası üretildi.")</f>
        <v/>
      </c>
      <c r="G34" s="17">
        <f>IF($B34&lt;&gt;"tutar_farki","","Beklemede")</f>
        <v/>
      </c>
    </row>
    <row r="35">
      <c r="A35" s="22">
        <f>IF('KOK_NEDEN'!$A35="","",'KOK_NEDEN'!$A35)</f>
        <v/>
      </c>
      <c r="B35" s="17">
        <f>IF($A35="","",IFERROR(INDEX(tblKok[Kova],MATCH($A35,tblKok[A_Norm],0)),""))</f>
        <v/>
      </c>
      <c r="C35" s="17">
        <f>IF($A35="","",IFERROR(INDEX(tblEslesme[Fark],MATCH($A35,tblEslesme[A_Norm],0)),0))</f>
        <v/>
      </c>
      <c r="D35" s="17">
        <f>IF($A35="","",IFERROR(INDEX(tblKok[KokNeden],MATCH($A35,tblKok[A_Norm],0)),""))</f>
        <v/>
      </c>
      <c r="E35" s="17">
        <f>IF($B35&lt;&gt;"tutar_farki","",IF(ABS($C35)&gt;efd_esikFark,"YUKSEK","NORMAL"))</f>
        <v/>
      </c>
      <c r="F35" s="17">
        <f>IF($B35&lt;&gt;"tutar_farki","","Fatura "&amp;$A35&amp;" için fark "&amp;TEXT($C35,"0.00")&amp;" TL. Dayanak: "&amp;$D35&amp;". İtiraz dosyası üretildi.")</f>
        <v/>
      </c>
      <c r="G35" s="17">
        <f>IF($B35&lt;&gt;"tutar_farki","","Beklemede")</f>
        <v/>
      </c>
    </row>
    <row r="36">
      <c r="A36" s="22">
        <f>IF('KOK_NEDEN'!$A36="","",'KOK_NEDEN'!$A36)</f>
        <v/>
      </c>
      <c r="B36" s="17">
        <f>IF($A36="","",IFERROR(INDEX(tblKok[Kova],MATCH($A36,tblKok[A_Norm],0)),""))</f>
        <v/>
      </c>
      <c r="C36" s="17">
        <f>IF($A36="","",IFERROR(INDEX(tblEslesme[Fark],MATCH($A36,tblEslesme[A_Norm],0)),0))</f>
        <v/>
      </c>
      <c r="D36" s="17">
        <f>IF($A36="","",IFERROR(INDEX(tblKok[KokNeden],MATCH($A36,tblKok[A_Norm],0)),""))</f>
        <v/>
      </c>
      <c r="E36" s="17">
        <f>IF($B36&lt;&gt;"tutar_farki","",IF(ABS($C36)&gt;efd_esikFark,"YUKSEK","NORMAL"))</f>
        <v/>
      </c>
      <c r="F36" s="17">
        <f>IF($B36&lt;&gt;"tutar_farki","","Fatura "&amp;$A36&amp;" için fark "&amp;TEXT($C36,"0.00")&amp;" TL. Dayanak: "&amp;$D36&amp;". İtiraz dosyası üretildi.")</f>
        <v/>
      </c>
      <c r="G36" s="17">
        <f>IF($B36&lt;&gt;"tutar_farki","","Beklemede")</f>
        <v/>
      </c>
    </row>
    <row r="37">
      <c r="A37" s="22">
        <f>IF('KOK_NEDEN'!$A37="","",'KOK_NEDEN'!$A37)</f>
        <v/>
      </c>
      <c r="B37" s="17">
        <f>IF($A37="","",IFERROR(INDEX(tblKok[Kova],MATCH($A37,tblKok[A_Norm],0)),""))</f>
        <v/>
      </c>
      <c r="C37" s="17">
        <f>IF($A37="","",IFERROR(INDEX(tblEslesme[Fark],MATCH($A37,tblEslesme[A_Norm],0)),0))</f>
        <v/>
      </c>
      <c r="D37" s="17">
        <f>IF($A37="","",IFERROR(INDEX(tblKok[KokNeden],MATCH($A37,tblKok[A_Norm],0)),""))</f>
        <v/>
      </c>
      <c r="E37" s="17">
        <f>IF($B37&lt;&gt;"tutar_farki","",IF(ABS($C37)&gt;efd_esikFark,"YUKSEK","NORMAL"))</f>
        <v/>
      </c>
      <c r="F37" s="17">
        <f>IF($B37&lt;&gt;"tutar_farki","","Fatura "&amp;$A37&amp;" için fark "&amp;TEXT($C37,"0.00")&amp;" TL. Dayanak: "&amp;$D37&amp;". İtiraz dosyası üretildi.")</f>
        <v/>
      </c>
      <c r="G37" s="17">
        <f>IF($B37&lt;&gt;"tutar_farki","","Beklemede")</f>
        <v/>
      </c>
    </row>
    <row r="38">
      <c r="A38" s="22">
        <f>IF('KOK_NEDEN'!$A38="","",'KOK_NEDEN'!$A38)</f>
        <v/>
      </c>
      <c r="B38" s="17">
        <f>IF($A38="","",IFERROR(INDEX(tblKok[Kova],MATCH($A38,tblKok[A_Norm],0)),""))</f>
        <v/>
      </c>
      <c r="C38" s="17">
        <f>IF($A38="","",IFERROR(INDEX(tblEslesme[Fark],MATCH($A38,tblEslesme[A_Norm],0)),0))</f>
        <v/>
      </c>
      <c r="D38" s="17">
        <f>IF($A38="","",IFERROR(INDEX(tblKok[KokNeden],MATCH($A38,tblKok[A_Norm],0)),""))</f>
        <v/>
      </c>
      <c r="E38" s="17">
        <f>IF($B38&lt;&gt;"tutar_farki","",IF(ABS($C38)&gt;efd_esikFark,"YUKSEK","NORMAL"))</f>
        <v/>
      </c>
      <c r="F38" s="17">
        <f>IF($B38&lt;&gt;"tutar_farki","","Fatura "&amp;$A38&amp;" için fark "&amp;TEXT($C38,"0.00")&amp;" TL. Dayanak: "&amp;$D38&amp;". İtiraz dosyası üretildi.")</f>
        <v/>
      </c>
      <c r="G38" s="17">
        <f>IF($B38&lt;&gt;"tutar_farki","","Beklemede")</f>
        <v/>
      </c>
    </row>
    <row r="39">
      <c r="A39" s="22">
        <f>IF('KOK_NEDEN'!$A39="","",'KOK_NEDEN'!$A39)</f>
        <v/>
      </c>
      <c r="B39" s="17">
        <f>IF($A39="","",IFERROR(INDEX(tblKok[Kova],MATCH($A39,tblKok[A_Norm],0)),""))</f>
        <v/>
      </c>
      <c r="C39" s="17">
        <f>IF($A39="","",IFERROR(INDEX(tblEslesme[Fark],MATCH($A39,tblEslesme[A_Norm],0)),0))</f>
        <v/>
      </c>
      <c r="D39" s="17">
        <f>IF($A39="","",IFERROR(INDEX(tblKok[KokNeden],MATCH($A39,tblKok[A_Norm],0)),""))</f>
        <v/>
      </c>
      <c r="E39" s="17">
        <f>IF($B39&lt;&gt;"tutar_farki","",IF(ABS($C39)&gt;efd_esikFark,"YUKSEK","NORMAL"))</f>
        <v/>
      </c>
      <c r="F39" s="17">
        <f>IF($B39&lt;&gt;"tutar_farki","","Fatura "&amp;$A39&amp;" için fark "&amp;TEXT($C39,"0.00")&amp;" TL. Dayanak: "&amp;$D39&amp;". İtiraz dosyası üretildi.")</f>
        <v/>
      </c>
      <c r="G39" s="17">
        <f>IF($B39&lt;&gt;"tutar_farki","","Beklemede")</f>
        <v/>
      </c>
    </row>
    <row r="40">
      <c r="A40" s="22">
        <f>IF('KOK_NEDEN'!$A40="","",'KOK_NEDEN'!$A40)</f>
        <v/>
      </c>
      <c r="B40" s="17">
        <f>IF($A40="","",IFERROR(INDEX(tblKok[Kova],MATCH($A40,tblKok[A_Norm],0)),""))</f>
        <v/>
      </c>
      <c r="C40" s="17">
        <f>IF($A40="","",IFERROR(INDEX(tblEslesme[Fark],MATCH($A40,tblEslesme[A_Norm],0)),0))</f>
        <v/>
      </c>
      <c r="D40" s="17">
        <f>IF($A40="","",IFERROR(INDEX(tblKok[KokNeden],MATCH($A40,tblKok[A_Norm],0)),""))</f>
        <v/>
      </c>
      <c r="E40" s="17">
        <f>IF($B40&lt;&gt;"tutar_farki","",IF(ABS($C40)&gt;efd_esikFark,"YUKSEK","NORMAL"))</f>
        <v/>
      </c>
      <c r="F40" s="17">
        <f>IF($B40&lt;&gt;"tutar_farki","","Fatura "&amp;$A40&amp;" için fark "&amp;TEXT($C40,"0.00")&amp;" TL. Dayanak: "&amp;$D40&amp;". İtiraz dosyası üretildi.")</f>
        <v/>
      </c>
      <c r="G40" s="17">
        <f>IF($B40&lt;&gt;"tutar_farki","","Beklemede")</f>
        <v/>
      </c>
    </row>
    <row r="41">
      <c r="A41" s="22">
        <f>IF('KOK_NEDEN'!$A41="","",'KOK_NEDEN'!$A41)</f>
        <v/>
      </c>
      <c r="B41" s="17">
        <f>IF($A41="","",IFERROR(INDEX(tblKok[Kova],MATCH($A41,tblKok[A_Norm],0)),""))</f>
        <v/>
      </c>
      <c r="C41" s="17">
        <f>IF($A41="","",IFERROR(INDEX(tblEslesme[Fark],MATCH($A41,tblEslesme[A_Norm],0)),0))</f>
        <v/>
      </c>
      <c r="D41" s="17">
        <f>IF($A41="","",IFERROR(INDEX(tblKok[KokNeden],MATCH($A41,tblKok[A_Norm],0)),""))</f>
        <v/>
      </c>
      <c r="E41" s="17">
        <f>IF($B41&lt;&gt;"tutar_farki","",IF(ABS($C41)&gt;efd_esikFark,"YUKSEK","NORMAL"))</f>
        <v/>
      </c>
      <c r="F41" s="17">
        <f>IF($B41&lt;&gt;"tutar_farki","","Fatura "&amp;$A41&amp;" için fark "&amp;TEXT($C41,"0.00")&amp;" TL. Dayanak: "&amp;$D41&amp;". İtiraz dosyası üretildi.")</f>
        <v/>
      </c>
      <c r="G41" s="17">
        <f>IF($B41&lt;&gt;"tutar_farki","","Beklemede")</f>
        <v/>
      </c>
    </row>
    <row r="42">
      <c r="A42" s="22">
        <f>IF('KOK_NEDEN'!$A42="","",'KOK_NEDEN'!$A42)</f>
        <v/>
      </c>
      <c r="B42" s="17">
        <f>IF($A42="","",IFERROR(INDEX(tblKok[Kova],MATCH($A42,tblKok[A_Norm],0)),""))</f>
        <v/>
      </c>
      <c r="C42" s="17">
        <f>IF($A42="","",IFERROR(INDEX(tblEslesme[Fark],MATCH($A42,tblEslesme[A_Norm],0)),0))</f>
        <v/>
      </c>
      <c r="D42" s="17">
        <f>IF($A42="","",IFERROR(INDEX(tblKok[KokNeden],MATCH($A42,tblKok[A_Norm],0)),""))</f>
        <v/>
      </c>
      <c r="E42" s="17">
        <f>IF($B42&lt;&gt;"tutar_farki","",IF(ABS($C42)&gt;efd_esikFark,"YUKSEK","NORMAL"))</f>
        <v/>
      </c>
      <c r="F42" s="17">
        <f>IF($B42&lt;&gt;"tutar_farki","","Fatura "&amp;$A42&amp;" için fark "&amp;TEXT($C42,"0.00")&amp;" TL. Dayanak: "&amp;$D42&amp;". İtiraz dosyası üretildi.")</f>
        <v/>
      </c>
      <c r="G42" s="17">
        <f>IF($B42&lt;&gt;"tutar_farki","","Beklemede")</f>
        <v/>
      </c>
    </row>
    <row r="43">
      <c r="A43" s="22">
        <f>IF('KOK_NEDEN'!$A43="","",'KOK_NEDEN'!$A43)</f>
        <v/>
      </c>
      <c r="B43" s="17">
        <f>IF($A43="","",IFERROR(INDEX(tblKok[Kova],MATCH($A43,tblKok[A_Norm],0)),""))</f>
        <v/>
      </c>
      <c r="C43" s="17">
        <f>IF($A43="","",IFERROR(INDEX(tblEslesme[Fark],MATCH($A43,tblEslesme[A_Norm],0)),0))</f>
        <v/>
      </c>
      <c r="D43" s="17">
        <f>IF($A43="","",IFERROR(INDEX(tblKok[KokNeden],MATCH($A43,tblKok[A_Norm],0)),""))</f>
        <v/>
      </c>
      <c r="E43" s="17">
        <f>IF($B43&lt;&gt;"tutar_farki","",IF(ABS($C43)&gt;efd_esikFark,"YUKSEK","NORMAL"))</f>
        <v/>
      </c>
      <c r="F43" s="17">
        <f>IF($B43&lt;&gt;"tutar_farki","","Fatura "&amp;$A43&amp;" için fark "&amp;TEXT($C43,"0.00")&amp;" TL. Dayanak: "&amp;$D43&amp;". İtiraz dosyası üretildi.")</f>
        <v/>
      </c>
      <c r="G43" s="17">
        <f>IF($B43&lt;&gt;"tutar_farki","","Beklemede")</f>
        <v/>
      </c>
    </row>
    <row r="44">
      <c r="A44" s="22">
        <f>IF('KOK_NEDEN'!$A44="","",'KOK_NEDEN'!$A44)</f>
        <v/>
      </c>
      <c r="B44" s="17">
        <f>IF($A44="","",IFERROR(INDEX(tblKok[Kova],MATCH($A44,tblKok[A_Norm],0)),""))</f>
        <v/>
      </c>
      <c r="C44" s="17">
        <f>IF($A44="","",IFERROR(INDEX(tblEslesme[Fark],MATCH($A44,tblEslesme[A_Norm],0)),0))</f>
        <v/>
      </c>
      <c r="D44" s="17">
        <f>IF($A44="","",IFERROR(INDEX(tblKok[KokNeden],MATCH($A44,tblKok[A_Norm],0)),""))</f>
        <v/>
      </c>
      <c r="E44" s="17">
        <f>IF($B44&lt;&gt;"tutar_farki","",IF(ABS($C44)&gt;efd_esikFark,"YUKSEK","NORMAL"))</f>
        <v/>
      </c>
      <c r="F44" s="17">
        <f>IF($B44&lt;&gt;"tutar_farki","","Fatura "&amp;$A44&amp;" için fark "&amp;TEXT($C44,"0.00")&amp;" TL. Dayanak: "&amp;$D44&amp;". İtiraz dosyası üretildi.")</f>
        <v/>
      </c>
      <c r="G44" s="17">
        <f>IF($B44&lt;&gt;"tutar_farki","","Beklemede")</f>
        <v/>
      </c>
    </row>
    <row r="45">
      <c r="A45" s="22">
        <f>IF('KOK_NEDEN'!$A45="","",'KOK_NEDEN'!$A45)</f>
        <v/>
      </c>
      <c r="B45" s="17">
        <f>IF($A45="","",IFERROR(INDEX(tblKok[Kova],MATCH($A45,tblKok[A_Norm],0)),""))</f>
        <v/>
      </c>
      <c r="C45" s="17">
        <f>IF($A45="","",IFERROR(INDEX(tblEslesme[Fark],MATCH($A45,tblEslesme[A_Norm],0)),0))</f>
        <v/>
      </c>
      <c r="D45" s="17">
        <f>IF($A45="","",IFERROR(INDEX(tblKok[KokNeden],MATCH($A45,tblKok[A_Norm],0)),""))</f>
        <v/>
      </c>
      <c r="E45" s="17">
        <f>IF($B45&lt;&gt;"tutar_farki","",IF(ABS($C45)&gt;efd_esikFark,"YUKSEK","NORMAL"))</f>
        <v/>
      </c>
      <c r="F45" s="17">
        <f>IF($B45&lt;&gt;"tutar_farki","","Fatura "&amp;$A45&amp;" için fark "&amp;TEXT($C45,"0.00")&amp;" TL. Dayanak: "&amp;$D45&amp;". İtiraz dosyası üretildi.")</f>
        <v/>
      </c>
      <c r="G45" s="17">
        <f>IF($B45&lt;&gt;"tutar_farki","","Beklemede")</f>
        <v/>
      </c>
    </row>
    <row r="46">
      <c r="A46" s="22">
        <f>IF('KOK_NEDEN'!$A46="","",'KOK_NEDEN'!$A46)</f>
        <v/>
      </c>
      <c r="B46" s="17">
        <f>IF($A46="","",IFERROR(INDEX(tblKok[Kova],MATCH($A46,tblKok[A_Norm],0)),""))</f>
        <v/>
      </c>
      <c r="C46" s="17">
        <f>IF($A46="","",IFERROR(INDEX(tblEslesme[Fark],MATCH($A46,tblEslesme[A_Norm],0)),0))</f>
        <v/>
      </c>
      <c r="D46" s="17">
        <f>IF($A46="","",IFERROR(INDEX(tblKok[KokNeden],MATCH($A46,tblKok[A_Norm],0)),""))</f>
        <v/>
      </c>
      <c r="E46" s="17">
        <f>IF($B46&lt;&gt;"tutar_farki","",IF(ABS($C46)&gt;efd_esikFark,"YUKSEK","NORMAL"))</f>
        <v/>
      </c>
      <c r="F46" s="17">
        <f>IF($B46&lt;&gt;"tutar_farki","","Fatura "&amp;$A46&amp;" için fark "&amp;TEXT($C46,"0.00")&amp;" TL. Dayanak: "&amp;$D46&amp;". İtiraz dosyası üretildi.")</f>
        <v/>
      </c>
      <c r="G46" s="17">
        <f>IF($B46&lt;&gt;"tutar_farki","","Beklemede")</f>
        <v/>
      </c>
    </row>
    <row r="47">
      <c r="A47" s="22">
        <f>IF('KOK_NEDEN'!$A47="","",'KOK_NEDEN'!$A47)</f>
        <v/>
      </c>
      <c r="B47" s="17">
        <f>IF($A47="","",IFERROR(INDEX(tblKok[Kova],MATCH($A47,tblKok[A_Norm],0)),""))</f>
        <v/>
      </c>
      <c r="C47" s="17">
        <f>IF($A47="","",IFERROR(INDEX(tblEslesme[Fark],MATCH($A47,tblEslesme[A_Norm],0)),0))</f>
        <v/>
      </c>
      <c r="D47" s="17">
        <f>IF($A47="","",IFERROR(INDEX(tblKok[KokNeden],MATCH($A47,tblKok[A_Norm],0)),""))</f>
        <v/>
      </c>
      <c r="E47" s="17">
        <f>IF($B47&lt;&gt;"tutar_farki","",IF(ABS($C47)&gt;efd_esikFark,"YUKSEK","NORMAL"))</f>
        <v/>
      </c>
      <c r="F47" s="17">
        <f>IF($B47&lt;&gt;"tutar_farki","","Fatura "&amp;$A47&amp;" için fark "&amp;TEXT($C47,"0.00")&amp;" TL. Dayanak: "&amp;$D47&amp;". İtiraz dosyası üretildi.")</f>
        <v/>
      </c>
      <c r="G47" s="17">
        <f>IF($B47&lt;&gt;"tutar_farki","","Beklemede")</f>
        <v/>
      </c>
    </row>
    <row r="48">
      <c r="A48" s="22">
        <f>IF('KOK_NEDEN'!$A48="","",'KOK_NEDEN'!$A48)</f>
        <v/>
      </c>
      <c r="B48" s="17">
        <f>IF($A48="","",IFERROR(INDEX(tblKok[Kova],MATCH($A48,tblKok[A_Norm],0)),""))</f>
        <v/>
      </c>
      <c r="C48" s="17">
        <f>IF($A48="","",IFERROR(INDEX(tblEslesme[Fark],MATCH($A48,tblEslesme[A_Norm],0)),0))</f>
        <v/>
      </c>
      <c r="D48" s="17">
        <f>IF($A48="","",IFERROR(INDEX(tblKok[KokNeden],MATCH($A48,tblKok[A_Norm],0)),""))</f>
        <v/>
      </c>
      <c r="E48" s="17">
        <f>IF($B48&lt;&gt;"tutar_farki","",IF(ABS($C48)&gt;efd_esikFark,"YUKSEK","NORMAL"))</f>
        <v/>
      </c>
      <c r="F48" s="17">
        <f>IF($B48&lt;&gt;"tutar_farki","","Fatura "&amp;$A48&amp;" için fark "&amp;TEXT($C48,"0.00")&amp;" TL. Dayanak: "&amp;$D48&amp;". İtiraz dosyası üretildi.")</f>
        <v/>
      </c>
      <c r="G48" s="17">
        <f>IF($B48&lt;&gt;"tutar_farki","","Beklemede")</f>
        <v/>
      </c>
    </row>
    <row r="49">
      <c r="A49" s="22">
        <f>IF('KOK_NEDEN'!$A49="","",'KOK_NEDEN'!$A49)</f>
        <v/>
      </c>
      <c r="B49" s="17">
        <f>IF($A49="","",IFERROR(INDEX(tblKok[Kova],MATCH($A49,tblKok[A_Norm],0)),""))</f>
        <v/>
      </c>
      <c r="C49" s="17">
        <f>IF($A49="","",IFERROR(INDEX(tblEslesme[Fark],MATCH($A49,tblEslesme[A_Norm],0)),0))</f>
        <v/>
      </c>
      <c r="D49" s="17">
        <f>IF($A49="","",IFERROR(INDEX(tblKok[KokNeden],MATCH($A49,tblKok[A_Norm],0)),""))</f>
        <v/>
      </c>
      <c r="E49" s="17">
        <f>IF($B49&lt;&gt;"tutar_farki","",IF(ABS($C49)&gt;efd_esikFark,"YUKSEK","NORMAL"))</f>
        <v/>
      </c>
      <c r="F49" s="17">
        <f>IF($B49&lt;&gt;"tutar_farki","","Fatura "&amp;$A49&amp;" için fark "&amp;TEXT($C49,"0.00")&amp;" TL. Dayanak: "&amp;$D49&amp;". İtiraz dosyası üretildi.")</f>
        <v/>
      </c>
      <c r="G49" s="17">
        <f>IF($B49&lt;&gt;"tutar_farki","","Beklemede")</f>
        <v/>
      </c>
    </row>
    <row r="50">
      <c r="A50" s="22">
        <f>IF('KOK_NEDEN'!$A50="","",'KOK_NEDEN'!$A50)</f>
        <v/>
      </c>
      <c r="B50" s="17">
        <f>IF($A50="","",IFERROR(INDEX(tblKok[Kova],MATCH($A50,tblKok[A_Norm],0)),""))</f>
        <v/>
      </c>
      <c r="C50" s="17">
        <f>IF($A50="","",IFERROR(INDEX(tblEslesme[Fark],MATCH($A50,tblEslesme[A_Norm],0)),0))</f>
        <v/>
      </c>
      <c r="D50" s="17">
        <f>IF($A50="","",IFERROR(INDEX(tblKok[KokNeden],MATCH($A50,tblKok[A_Norm],0)),""))</f>
        <v/>
      </c>
      <c r="E50" s="17">
        <f>IF($B50&lt;&gt;"tutar_farki","",IF(ABS($C50)&gt;efd_esikFark,"YUKSEK","NORMAL"))</f>
        <v/>
      </c>
      <c r="F50" s="17">
        <f>IF($B50&lt;&gt;"tutar_farki","","Fatura "&amp;$A50&amp;" için fark "&amp;TEXT($C50,"0.00")&amp;" TL. Dayanak: "&amp;$D50&amp;". İtiraz dosyası üretildi.")</f>
        <v/>
      </c>
      <c r="G50" s="17">
        <f>IF($B50&lt;&gt;"tutar_farki","","Beklemede")</f>
        <v/>
      </c>
    </row>
    <row r="51">
      <c r="A51" s="22">
        <f>IF('KOK_NEDEN'!$A51="","",'KOK_NEDEN'!$A51)</f>
        <v/>
      </c>
      <c r="B51" s="17">
        <f>IF($A51="","",IFERROR(INDEX(tblKok[Kova],MATCH($A51,tblKok[A_Norm],0)),""))</f>
        <v/>
      </c>
      <c r="C51" s="17">
        <f>IF($A51="","",IFERROR(INDEX(tblEslesme[Fark],MATCH($A51,tblEslesme[A_Norm],0)),0))</f>
        <v/>
      </c>
      <c r="D51" s="17">
        <f>IF($A51="","",IFERROR(INDEX(tblKok[KokNeden],MATCH($A51,tblKok[A_Norm],0)),""))</f>
        <v/>
      </c>
      <c r="E51" s="17">
        <f>IF($B51&lt;&gt;"tutar_farki","",IF(ABS($C51)&gt;efd_esikFark,"YUKSEK","NORMAL"))</f>
        <v/>
      </c>
      <c r="F51" s="17">
        <f>IF($B51&lt;&gt;"tutar_farki","","Fatura "&amp;$A51&amp;" için fark "&amp;TEXT($C51,"0.00")&amp;" TL. Dayanak: "&amp;$D51&amp;". İtiraz dosyası üretildi.")</f>
        <v/>
      </c>
      <c r="G51" s="17">
        <f>IF($B51&lt;&gt;"tutar_farki","","Beklemede")</f>
        <v/>
      </c>
    </row>
    <row r="52">
      <c r="A52" s="22">
        <f>IF('KOK_NEDEN'!$A52="","",'KOK_NEDEN'!$A52)</f>
        <v/>
      </c>
      <c r="B52" s="17">
        <f>IF($A52="","",IFERROR(INDEX(tblKok[Kova],MATCH($A52,tblKok[A_Norm],0)),""))</f>
        <v/>
      </c>
      <c r="C52" s="17">
        <f>IF($A52="","",IFERROR(INDEX(tblEslesme[Fark],MATCH($A52,tblEslesme[A_Norm],0)),0))</f>
        <v/>
      </c>
      <c r="D52" s="17">
        <f>IF($A52="","",IFERROR(INDEX(tblKok[KokNeden],MATCH($A52,tblKok[A_Norm],0)),""))</f>
        <v/>
      </c>
      <c r="E52" s="17">
        <f>IF($B52&lt;&gt;"tutar_farki","",IF(ABS($C52)&gt;efd_esikFark,"YUKSEK","NORMAL"))</f>
        <v/>
      </c>
      <c r="F52" s="17">
        <f>IF($B52&lt;&gt;"tutar_farki","","Fatura "&amp;$A52&amp;" için fark "&amp;TEXT($C52,"0.00")&amp;" TL. Dayanak: "&amp;$D52&amp;". İtiraz dosyası üretildi.")</f>
        <v/>
      </c>
      <c r="G52" s="17">
        <f>IF($B52&lt;&gt;"tutar_farki","","Beklemede")</f>
        <v/>
      </c>
    </row>
    <row r="53">
      <c r="A53" s="22">
        <f>IF('KOK_NEDEN'!$A53="","",'KOK_NEDEN'!$A53)</f>
        <v/>
      </c>
      <c r="B53" s="17">
        <f>IF($A53="","",IFERROR(INDEX(tblKok[Kova],MATCH($A53,tblKok[A_Norm],0)),""))</f>
        <v/>
      </c>
      <c r="C53" s="17">
        <f>IF($A53="","",IFERROR(INDEX(tblEslesme[Fark],MATCH($A53,tblEslesme[A_Norm],0)),0))</f>
        <v/>
      </c>
      <c r="D53" s="17">
        <f>IF($A53="","",IFERROR(INDEX(tblKok[KokNeden],MATCH($A53,tblKok[A_Norm],0)),""))</f>
        <v/>
      </c>
      <c r="E53" s="17">
        <f>IF($B53&lt;&gt;"tutar_farki","",IF(ABS($C53)&gt;efd_esikFark,"YUKSEK","NORMAL"))</f>
        <v/>
      </c>
      <c r="F53" s="17">
        <f>IF($B53&lt;&gt;"tutar_farki","","Fatura "&amp;$A53&amp;" için fark "&amp;TEXT($C53,"0.00")&amp;" TL. Dayanak: "&amp;$D53&amp;". İtiraz dosyası üretildi.")</f>
        <v/>
      </c>
      <c r="G53" s="17">
        <f>IF($B53&lt;&gt;"tutar_farki","","Beklemede")</f>
        <v/>
      </c>
    </row>
    <row r="54">
      <c r="A54" s="22">
        <f>IF('KOK_NEDEN'!$A54="","",'KOK_NEDEN'!$A54)</f>
        <v/>
      </c>
      <c r="B54" s="17">
        <f>IF($A54="","",IFERROR(INDEX(tblKok[Kova],MATCH($A54,tblKok[A_Norm],0)),""))</f>
        <v/>
      </c>
      <c r="C54" s="17">
        <f>IF($A54="","",IFERROR(INDEX(tblEslesme[Fark],MATCH($A54,tblEslesme[A_Norm],0)),0))</f>
        <v/>
      </c>
      <c r="D54" s="17">
        <f>IF($A54="","",IFERROR(INDEX(tblKok[KokNeden],MATCH($A54,tblKok[A_Norm],0)),""))</f>
        <v/>
      </c>
      <c r="E54" s="17">
        <f>IF($B54&lt;&gt;"tutar_farki","",IF(ABS($C54)&gt;efd_esikFark,"YUKSEK","NORMAL"))</f>
        <v/>
      </c>
      <c r="F54" s="17">
        <f>IF($B54&lt;&gt;"tutar_farki","","Fatura "&amp;$A54&amp;" için fark "&amp;TEXT($C54,"0.00")&amp;" TL. Dayanak: "&amp;$D54&amp;". İtiraz dosyası üretildi.")</f>
        <v/>
      </c>
      <c r="G54" s="17">
        <f>IF($B54&lt;&gt;"tutar_farki","","Beklemede")</f>
        <v/>
      </c>
    </row>
    <row r="55">
      <c r="A55" s="22">
        <f>IF('KOK_NEDEN'!$A55="","",'KOK_NEDEN'!$A55)</f>
        <v/>
      </c>
      <c r="B55" s="17">
        <f>IF($A55="","",IFERROR(INDEX(tblKok[Kova],MATCH($A55,tblKok[A_Norm],0)),""))</f>
        <v/>
      </c>
      <c r="C55" s="17">
        <f>IF($A55="","",IFERROR(INDEX(tblEslesme[Fark],MATCH($A55,tblEslesme[A_Norm],0)),0))</f>
        <v/>
      </c>
      <c r="D55" s="17">
        <f>IF($A55="","",IFERROR(INDEX(tblKok[KokNeden],MATCH($A55,tblKok[A_Norm],0)),""))</f>
        <v/>
      </c>
      <c r="E55" s="17">
        <f>IF($B55&lt;&gt;"tutar_farki","",IF(ABS($C55)&gt;efd_esikFark,"YUKSEK","NORMAL"))</f>
        <v/>
      </c>
      <c r="F55" s="17">
        <f>IF($B55&lt;&gt;"tutar_farki","","Fatura "&amp;$A55&amp;" için fark "&amp;TEXT($C55,"0.00")&amp;" TL. Dayanak: "&amp;$D55&amp;". İtiraz dosyası üretildi.")</f>
        <v/>
      </c>
      <c r="G55" s="17">
        <f>IF($B55&lt;&gt;"tutar_farki","","Beklemede")</f>
        <v/>
      </c>
    </row>
    <row r="56">
      <c r="A56" s="22">
        <f>IF('KOK_NEDEN'!$A56="","",'KOK_NEDEN'!$A56)</f>
        <v/>
      </c>
      <c r="B56" s="17">
        <f>IF($A56="","",IFERROR(INDEX(tblKok[Kova],MATCH($A56,tblKok[A_Norm],0)),""))</f>
        <v/>
      </c>
      <c r="C56" s="17">
        <f>IF($A56="","",IFERROR(INDEX(tblEslesme[Fark],MATCH($A56,tblEslesme[A_Norm],0)),0))</f>
        <v/>
      </c>
      <c r="D56" s="17">
        <f>IF($A56="","",IFERROR(INDEX(tblKok[KokNeden],MATCH($A56,tblKok[A_Norm],0)),""))</f>
        <v/>
      </c>
      <c r="E56" s="17">
        <f>IF($B56&lt;&gt;"tutar_farki","",IF(ABS($C56)&gt;efd_esikFark,"YUKSEK","NORMAL"))</f>
        <v/>
      </c>
      <c r="F56" s="17">
        <f>IF($B56&lt;&gt;"tutar_farki","","Fatura "&amp;$A56&amp;" için fark "&amp;TEXT($C56,"0.00")&amp;" TL. Dayanak: "&amp;$D56&amp;". İtiraz dosyası üretildi.")</f>
        <v/>
      </c>
      <c r="G56" s="17">
        <f>IF($B56&lt;&gt;"tutar_farki","","Beklemede")</f>
        <v/>
      </c>
    </row>
    <row r="57">
      <c r="A57" s="22">
        <f>IF('KOK_NEDEN'!$A57="","",'KOK_NEDEN'!$A57)</f>
        <v/>
      </c>
      <c r="B57" s="17">
        <f>IF($A57="","",IFERROR(INDEX(tblKok[Kova],MATCH($A57,tblKok[A_Norm],0)),""))</f>
        <v/>
      </c>
      <c r="C57" s="17">
        <f>IF($A57="","",IFERROR(INDEX(tblEslesme[Fark],MATCH($A57,tblEslesme[A_Norm],0)),0))</f>
        <v/>
      </c>
      <c r="D57" s="17">
        <f>IF($A57="","",IFERROR(INDEX(tblKok[KokNeden],MATCH($A57,tblKok[A_Norm],0)),""))</f>
        <v/>
      </c>
      <c r="E57" s="17">
        <f>IF($B57&lt;&gt;"tutar_farki","",IF(ABS($C57)&gt;efd_esikFark,"YUKSEK","NORMAL"))</f>
        <v/>
      </c>
      <c r="F57" s="17">
        <f>IF($B57&lt;&gt;"tutar_farki","","Fatura "&amp;$A57&amp;" için fark "&amp;TEXT($C57,"0.00")&amp;" TL. Dayanak: "&amp;$D57&amp;". İtiraz dosyası üretildi.")</f>
        <v/>
      </c>
      <c r="G57" s="17">
        <f>IF($B57&lt;&gt;"tutar_farki","","Beklemede")</f>
        <v/>
      </c>
    </row>
    <row r="58">
      <c r="A58" s="22">
        <f>IF('KOK_NEDEN'!$A58="","",'KOK_NEDEN'!$A58)</f>
        <v/>
      </c>
      <c r="B58" s="17">
        <f>IF($A58="","",IFERROR(INDEX(tblKok[Kova],MATCH($A58,tblKok[A_Norm],0)),""))</f>
        <v/>
      </c>
      <c r="C58" s="17">
        <f>IF($A58="","",IFERROR(INDEX(tblEslesme[Fark],MATCH($A58,tblEslesme[A_Norm],0)),0))</f>
        <v/>
      </c>
      <c r="D58" s="17">
        <f>IF($A58="","",IFERROR(INDEX(tblKok[KokNeden],MATCH($A58,tblKok[A_Norm],0)),""))</f>
        <v/>
      </c>
      <c r="E58" s="17">
        <f>IF($B58&lt;&gt;"tutar_farki","",IF(ABS($C58)&gt;efd_esikFark,"YUKSEK","NORMAL"))</f>
        <v/>
      </c>
      <c r="F58" s="17">
        <f>IF($B58&lt;&gt;"tutar_farki","","Fatura "&amp;$A58&amp;" için fark "&amp;TEXT($C58,"0.00")&amp;" TL. Dayanak: "&amp;$D58&amp;". İtiraz dosyası üretildi.")</f>
        <v/>
      </c>
      <c r="G58" s="17">
        <f>IF($B58&lt;&gt;"tutar_farki","","Beklemede")</f>
        <v/>
      </c>
    </row>
    <row r="59">
      <c r="A59" s="22">
        <f>IF('KOK_NEDEN'!$A59="","",'KOK_NEDEN'!$A59)</f>
        <v/>
      </c>
      <c r="B59" s="17">
        <f>IF($A59="","",IFERROR(INDEX(tblKok[Kova],MATCH($A59,tblKok[A_Norm],0)),""))</f>
        <v/>
      </c>
      <c r="C59" s="17">
        <f>IF($A59="","",IFERROR(INDEX(tblEslesme[Fark],MATCH($A59,tblEslesme[A_Norm],0)),0))</f>
        <v/>
      </c>
      <c r="D59" s="17">
        <f>IF($A59="","",IFERROR(INDEX(tblKok[KokNeden],MATCH($A59,tblKok[A_Norm],0)),""))</f>
        <v/>
      </c>
      <c r="E59" s="17">
        <f>IF($B59&lt;&gt;"tutar_farki","",IF(ABS($C59)&gt;efd_esikFark,"YUKSEK","NORMAL"))</f>
        <v/>
      </c>
      <c r="F59" s="17">
        <f>IF($B59&lt;&gt;"tutar_farki","","Fatura "&amp;$A59&amp;" için fark "&amp;TEXT($C59,"0.00")&amp;" TL. Dayanak: "&amp;$D59&amp;". İtiraz dosyası üretildi.")</f>
        <v/>
      </c>
      <c r="G59" s="17">
        <f>IF($B59&lt;&gt;"tutar_farki","","Beklemede")</f>
        <v/>
      </c>
    </row>
    <row r="60">
      <c r="A60" s="22">
        <f>IF('KOK_NEDEN'!$A60="","",'KOK_NEDEN'!$A60)</f>
        <v/>
      </c>
      <c r="B60" s="17">
        <f>IF($A60="","",IFERROR(INDEX(tblKok[Kova],MATCH($A60,tblKok[A_Norm],0)),""))</f>
        <v/>
      </c>
      <c r="C60" s="17">
        <f>IF($A60="","",IFERROR(INDEX(tblEslesme[Fark],MATCH($A60,tblEslesme[A_Norm],0)),0))</f>
        <v/>
      </c>
      <c r="D60" s="17">
        <f>IF($A60="","",IFERROR(INDEX(tblKok[KokNeden],MATCH($A60,tblKok[A_Norm],0)),""))</f>
        <v/>
      </c>
      <c r="E60" s="17">
        <f>IF($B60&lt;&gt;"tutar_farki","",IF(ABS($C60)&gt;efd_esikFark,"YUKSEK","NORMAL"))</f>
        <v/>
      </c>
      <c r="F60" s="17">
        <f>IF($B60&lt;&gt;"tutar_farki","","Fatura "&amp;$A60&amp;" için fark "&amp;TEXT($C60,"0.00")&amp;" TL. Dayanak: "&amp;$D60&amp;". İtiraz dosyası üretildi.")</f>
        <v/>
      </c>
      <c r="G60" s="17">
        <f>IF($B60&lt;&gt;"tutar_farki","","Beklemede")</f>
        <v/>
      </c>
    </row>
    <row r="61">
      <c r="A61" s="22">
        <f>IF('KOK_NEDEN'!$A61="","",'KOK_NEDEN'!$A61)</f>
        <v/>
      </c>
      <c r="B61" s="17">
        <f>IF($A61="","",IFERROR(INDEX(tblKok[Kova],MATCH($A61,tblKok[A_Norm],0)),""))</f>
        <v/>
      </c>
      <c r="C61" s="17">
        <f>IF($A61="","",IFERROR(INDEX(tblEslesme[Fark],MATCH($A61,tblEslesme[A_Norm],0)),0))</f>
        <v/>
      </c>
      <c r="D61" s="17">
        <f>IF($A61="","",IFERROR(INDEX(tblKok[KokNeden],MATCH($A61,tblKok[A_Norm],0)),""))</f>
        <v/>
      </c>
      <c r="E61" s="17">
        <f>IF($B61&lt;&gt;"tutar_farki","",IF(ABS($C61)&gt;efd_esikFark,"YUKSEK","NORMAL"))</f>
        <v/>
      </c>
      <c r="F61" s="17">
        <f>IF($B61&lt;&gt;"tutar_farki","","Fatura "&amp;$A61&amp;" için fark "&amp;TEXT($C61,"0.00")&amp;" TL. Dayanak: "&amp;$D61&amp;". İtiraz dosyası üretildi.")</f>
        <v/>
      </c>
      <c r="G61" s="17">
        <f>IF($B61&lt;&gt;"tutar_farki","","Beklemede")</f>
        <v/>
      </c>
    </row>
    <row r="62">
      <c r="A62" s="22">
        <f>IF('KOK_NEDEN'!$A62="","",'KOK_NEDEN'!$A62)</f>
        <v/>
      </c>
      <c r="B62" s="17">
        <f>IF($A62="","",IFERROR(INDEX(tblKok[Kova],MATCH($A62,tblKok[A_Norm],0)),""))</f>
        <v/>
      </c>
      <c r="C62" s="17">
        <f>IF($A62="","",IFERROR(INDEX(tblEslesme[Fark],MATCH($A62,tblEslesme[A_Norm],0)),0))</f>
        <v/>
      </c>
      <c r="D62" s="17">
        <f>IF($A62="","",IFERROR(INDEX(tblKok[KokNeden],MATCH($A62,tblKok[A_Norm],0)),""))</f>
        <v/>
      </c>
      <c r="E62" s="17">
        <f>IF($B62&lt;&gt;"tutar_farki","",IF(ABS($C62)&gt;efd_esikFark,"YUKSEK","NORMAL"))</f>
        <v/>
      </c>
      <c r="F62" s="17">
        <f>IF($B62&lt;&gt;"tutar_farki","","Fatura "&amp;$A62&amp;" için fark "&amp;TEXT($C62,"0.00")&amp;" TL. Dayanak: "&amp;$D62&amp;". İtiraz dosyası üretildi.")</f>
        <v/>
      </c>
      <c r="G62" s="17">
        <f>IF($B62&lt;&gt;"tutar_farki","","Beklemede")</f>
        <v/>
      </c>
    </row>
    <row r="63">
      <c r="A63" s="22">
        <f>IF('KOK_NEDEN'!$A63="","",'KOK_NEDEN'!$A63)</f>
        <v/>
      </c>
      <c r="B63" s="17">
        <f>IF($A63="","",IFERROR(INDEX(tblKok[Kova],MATCH($A63,tblKok[A_Norm],0)),""))</f>
        <v/>
      </c>
      <c r="C63" s="17">
        <f>IF($A63="","",IFERROR(INDEX(tblEslesme[Fark],MATCH($A63,tblEslesme[A_Norm],0)),0))</f>
        <v/>
      </c>
      <c r="D63" s="17">
        <f>IF($A63="","",IFERROR(INDEX(tblKok[KokNeden],MATCH($A63,tblKok[A_Norm],0)),""))</f>
        <v/>
      </c>
      <c r="E63" s="17">
        <f>IF($B63&lt;&gt;"tutar_farki","",IF(ABS($C63)&gt;efd_esikFark,"YUKSEK","NORMAL"))</f>
        <v/>
      </c>
      <c r="F63" s="17">
        <f>IF($B63&lt;&gt;"tutar_farki","","Fatura "&amp;$A63&amp;" için fark "&amp;TEXT($C63,"0.00")&amp;" TL. Dayanak: "&amp;$D63&amp;". İtiraz dosyası üretildi.")</f>
        <v/>
      </c>
      <c r="G63" s="17">
        <f>IF($B63&lt;&gt;"tutar_farki","","Beklemede")</f>
        <v/>
      </c>
    </row>
    <row r="64">
      <c r="A64" s="22">
        <f>IF('KOK_NEDEN'!$A64="","",'KOK_NEDEN'!$A64)</f>
        <v/>
      </c>
      <c r="B64" s="17">
        <f>IF($A64="","",IFERROR(INDEX(tblKok[Kova],MATCH($A64,tblKok[A_Norm],0)),""))</f>
        <v/>
      </c>
      <c r="C64" s="17">
        <f>IF($A64="","",IFERROR(INDEX(tblEslesme[Fark],MATCH($A64,tblEslesme[A_Norm],0)),0))</f>
        <v/>
      </c>
      <c r="D64" s="17">
        <f>IF($A64="","",IFERROR(INDEX(tblKok[KokNeden],MATCH($A64,tblKok[A_Norm],0)),""))</f>
        <v/>
      </c>
      <c r="E64" s="17">
        <f>IF($B64&lt;&gt;"tutar_farki","",IF(ABS($C64)&gt;efd_esikFark,"YUKSEK","NORMAL"))</f>
        <v/>
      </c>
      <c r="F64" s="17">
        <f>IF($B64&lt;&gt;"tutar_farki","","Fatura "&amp;$A64&amp;" için fark "&amp;TEXT($C64,"0.00")&amp;" TL. Dayanak: "&amp;$D64&amp;". İtiraz dosyası üretildi.")</f>
        <v/>
      </c>
      <c r="G64" s="17">
        <f>IF($B64&lt;&gt;"tutar_farki","","Beklemede")</f>
        <v/>
      </c>
    </row>
    <row r="65">
      <c r="A65" s="22">
        <f>IF('KOK_NEDEN'!$A65="","",'KOK_NEDEN'!$A65)</f>
        <v/>
      </c>
      <c r="B65" s="17">
        <f>IF($A65="","",IFERROR(INDEX(tblKok[Kova],MATCH($A65,tblKok[A_Norm],0)),""))</f>
        <v/>
      </c>
      <c r="C65" s="17">
        <f>IF($A65="","",IFERROR(INDEX(tblEslesme[Fark],MATCH($A65,tblEslesme[A_Norm],0)),0))</f>
        <v/>
      </c>
      <c r="D65" s="17">
        <f>IF($A65="","",IFERROR(INDEX(tblKok[KokNeden],MATCH($A65,tblKok[A_Norm],0)),""))</f>
        <v/>
      </c>
      <c r="E65" s="17">
        <f>IF($B65&lt;&gt;"tutar_farki","",IF(ABS($C65)&gt;efd_esikFark,"YUKSEK","NORMAL"))</f>
        <v/>
      </c>
      <c r="F65" s="17">
        <f>IF($B65&lt;&gt;"tutar_farki","","Fatura "&amp;$A65&amp;" için fark "&amp;TEXT($C65,"0.00")&amp;" TL. Dayanak: "&amp;$D65&amp;". İtiraz dosyası üretildi.")</f>
        <v/>
      </c>
      <c r="G65" s="17">
        <f>IF($B65&lt;&gt;"tutar_farki","","Beklemede")</f>
        <v/>
      </c>
    </row>
    <row r="66">
      <c r="A66" s="22">
        <f>IF('KOK_NEDEN'!$A66="","",'KOK_NEDEN'!$A66)</f>
        <v/>
      </c>
      <c r="B66" s="17">
        <f>IF($A66="","",IFERROR(INDEX(tblKok[Kova],MATCH($A66,tblKok[A_Norm],0)),""))</f>
        <v/>
      </c>
      <c r="C66" s="17">
        <f>IF($A66="","",IFERROR(INDEX(tblEslesme[Fark],MATCH($A66,tblEslesme[A_Norm],0)),0))</f>
        <v/>
      </c>
      <c r="D66" s="17">
        <f>IF($A66="","",IFERROR(INDEX(tblKok[KokNeden],MATCH($A66,tblKok[A_Norm],0)),""))</f>
        <v/>
      </c>
      <c r="E66" s="17">
        <f>IF($B66&lt;&gt;"tutar_farki","",IF(ABS($C66)&gt;efd_esikFark,"YUKSEK","NORMAL"))</f>
        <v/>
      </c>
      <c r="F66" s="17">
        <f>IF($B66&lt;&gt;"tutar_farki","","Fatura "&amp;$A66&amp;" için fark "&amp;TEXT($C66,"0.00")&amp;" TL. Dayanak: "&amp;$D66&amp;". İtiraz dosyası üretildi.")</f>
        <v/>
      </c>
      <c r="G66" s="17">
        <f>IF($B66&lt;&gt;"tutar_farki","","Beklemede")</f>
        <v/>
      </c>
    </row>
    <row r="67">
      <c r="A67" s="22">
        <f>IF('KOK_NEDEN'!$A67="","",'KOK_NEDEN'!$A67)</f>
        <v/>
      </c>
      <c r="B67" s="17">
        <f>IF($A67="","",IFERROR(INDEX(tblKok[Kova],MATCH($A67,tblKok[A_Norm],0)),""))</f>
        <v/>
      </c>
      <c r="C67" s="17">
        <f>IF($A67="","",IFERROR(INDEX(tblEslesme[Fark],MATCH($A67,tblEslesme[A_Norm],0)),0))</f>
        <v/>
      </c>
      <c r="D67" s="17">
        <f>IF($A67="","",IFERROR(INDEX(tblKok[KokNeden],MATCH($A67,tblKok[A_Norm],0)),""))</f>
        <v/>
      </c>
      <c r="E67" s="17">
        <f>IF($B67&lt;&gt;"tutar_farki","",IF(ABS($C67)&gt;efd_esikFark,"YUKSEK","NORMAL"))</f>
        <v/>
      </c>
      <c r="F67" s="17">
        <f>IF($B67&lt;&gt;"tutar_farki","","Fatura "&amp;$A67&amp;" için fark "&amp;TEXT($C67,"0.00")&amp;" TL. Dayanak: "&amp;$D67&amp;". İtiraz dosyası üretildi.")</f>
        <v/>
      </c>
      <c r="G67" s="17">
        <f>IF($B67&lt;&gt;"tutar_farki","","Beklemede")</f>
        <v/>
      </c>
    </row>
    <row r="68">
      <c r="A68" s="22">
        <f>IF('KOK_NEDEN'!$A68="","",'KOK_NEDEN'!$A68)</f>
        <v/>
      </c>
      <c r="B68" s="17">
        <f>IF($A68="","",IFERROR(INDEX(tblKok[Kova],MATCH($A68,tblKok[A_Norm],0)),""))</f>
        <v/>
      </c>
      <c r="C68" s="17">
        <f>IF($A68="","",IFERROR(INDEX(tblEslesme[Fark],MATCH($A68,tblEslesme[A_Norm],0)),0))</f>
        <v/>
      </c>
      <c r="D68" s="17">
        <f>IF($A68="","",IFERROR(INDEX(tblKok[KokNeden],MATCH($A68,tblKok[A_Norm],0)),""))</f>
        <v/>
      </c>
      <c r="E68" s="17">
        <f>IF($B68&lt;&gt;"tutar_farki","",IF(ABS($C68)&gt;efd_esikFark,"YUKSEK","NORMAL"))</f>
        <v/>
      </c>
      <c r="F68" s="17">
        <f>IF($B68&lt;&gt;"tutar_farki","","Fatura "&amp;$A68&amp;" için fark "&amp;TEXT($C68,"0.00")&amp;" TL. Dayanak: "&amp;$D68&amp;". İtiraz dosyası üretildi.")</f>
        <v/>
      </c>
      <c r="G68" s="17">
        <f>IF($B68&lt;&gt;"tutar_farki","","Beklemede")</f>
        <v/>
      </c>
    </row>
    <row r="69">
      <c r="A69" s="22">
        <f>IF('KOK_NEDEN'!$A69="","",'KOK_NEDEN'!$A69)</f>
        <v/>
      </c>
      <c r="B69" s="17">
        <f>IF($A69="","",IFERROR(INDEX(tblKok[Kova],MATCH($A69,tblKok[A_Norm],0)),""))</f>
        <v/>
      </c>
      <c r="C69" s="17">
        <f>IF($A69="","",IFERROR(INDEX(tblEslesme[Fark],MATCH($A69,tblEslesme[A_Norm],0)),0))</f>
        <v/>
      </c>
      <c r="D69" s="17">
        <f>IF($A69="","",IFERROR(INDEX(tblKok[KokNeden],MATCH($A69,tblKok[A_Norm],0)),""))</f>
        <v/>
      </c>
      <c r="E69" s="17">
        <f>IF($B69&lt;&gt;"tutar_farki","",IF(ABS($C69)&gt;efd_esikFark,"YUKSEK","NORMAL"))</f>
        <v/>
      </c>
      <c r="F69" s="17">
        <f>IF($B69&lt;&gt;"tutar_farki","","Fatura "&amp;$A69&amp;" için fark "&amp;TEXT($C69,"0.00")&amp;" TL. Dayanak: "&amp;$D69&amp;". İtiraz dosyası üretildi.")</f>
        <v/>
      </c>
      <c r="G69" s="17">
        <f>IF($B69&lt;&gt;"tutar_farki","","Beklemede")</f>
        <v/>
      </c>
    </row>
    <row r="70">
      <c r="A70" s="22">
        <f>IF('KOK_NEDEN'!$A70="","",'KOK_NEDEN'!$A70)</f>
        <v/>
      </c>
      <c r="B70" s="17">
        <f>IF($A70="","",IFERROR(INDEX(tblKok[Kova],MATCH($A70,tblKok[A_Norm],0)),""))</f>
        <v/>
      </c>
      <c r="C70" s="17">
        <f>IF($A70="","",IFERROR(INDEX(tblEslesme[Fark],MATCH($A70,tblEslesme[A_Norm],0)),0))</f>
        <v/>
      </c>
      <c r="D70" s="17">
        <f>IF($A70="","",IFERROR(INDEX(tblKok[KokNeden],MATCH($A70,tblKok[A_Norm],0)),""))</f>
        <v/>
      </c>
      <c r="E70" s="17">
        <f>IF($B70&lt;&gt;"tutar_farki","",IF(ABS($C70)&gt;efd_esikFark,"YUKSEK","NORMAL"))</f>
        <v/>
      </c>
      <c r="F70" s="17">
        <f>IF($B70&lt;&gt;"tutar_farki","","Fatura "&amp;$A70&amp;" için fark "&amp;TEXT($C70,"0.00")&amp;" TL. Dayanak: "&amp;$D70&amp;". İtiraz dosyası üretildi.")</f>
        <v/>
      </c>
      <c r="G70" s="17">
        <f>IF($B70&lt;&gt;"tutar_farki","","Beklemede")</f>
        <v/>
      </c>
    </row>
    <row r="71">
      <c r="A71" s="22">
        <f>IF('KOK_NEDEN'!$A71="","",'KOK_NEDEN'!$A71)</f>
        <v/>
      </c>
      <c r="B71" s="17">
        <f>IF($A71="","",IFERROR(INDEX(tblKok[Kova],MATCH($A71,tblKok[A_Norm],0)),""))</f>
        <v/>
      </c>
      <c r="C71" s="17">
        <f>IF($A71="","",IFERROR(INDEX(tblEslesme[Fark],MATCH($A71,tblEslesme[A_Norm],0)),0))</f>
        <v/>
      </c>
      <c r="D71" s="17">
        <f>IF($A71="","",IFERROR(INDEX(tblKok[KokNeden],MATCH($A71,tblKok[A_Norm],0)),""))</f>
        <v/>
      </c>
      <c r="E71" s="17">
        <f>IF($B71&lt;&gt;"tutar_farki","",IF(ABS($C71)&gt;efd_esikFark,"YUKSEK","NORMAL"))</f>
        <v/>
      </c>
      <c r="F71" s="17">
        <f>IF($B71&lt;&gt;"tutar_farki","","Fatura "&amp;$A71&amp;" için fark "&amp;TEXT($C71,"0.00")&amp;" TL. Dayanak: "&amp;$D71&amp;". İtiraz dosyası üretildi.")</f>
        <v/>
      </c>
      <c r="G71" s="17">
        <f>IF($B71&lt;&gt;"tutar_farki","","Beklemede")</f>
        <v/>
      </c>
    </row>
    <row r="72">
      <c r="A72" s="22">
        <f>IF('KOK_NEDEN'!$A72="","",'KOK_NEDEN'!$A72)</f>
        <v/>
      </c>
      <c r="B72" s="17">
        <f>IF($A72="","",IFERROR(INDEX(tblKok[Kova],MATCH($A72,tblKok[A_Norm],0)),""))</f>
        <v/>
      </c>
      <c r="C72" s="17">
        <f>IF($A72="","",IFERROR(INDEX(tblEslesme[Fark],MATCH($A72,tblEslesme[A_Norm],0)),0))</f>
        <v/>
      </c>
      <c r="D72" s="17">
        <f>IF($A72="","",IFERROR(INDEX(tblKok[KokNeden],MATCH($A72,tblKok[A_Norm],0)),""))</f>
        <v/>
      </c>
      <c r="E72" s="17">
        <f>IF($B72&lt;&gt;"tutar_farki","",IF(ABS($C72)&gt;efd_esikFark,"YUKSEK","NORMAL"))</f>
        <v/>
      </c>
      <c r="F72" s="17">
        <f>IF($B72&lt;&gt;"tutar_farki","","Fatura "&amp;$A72&amp;" için fark "&amp;TEXT($C72,"0.00")&amp;" TL. Dayanak: "&amp;$D72&amp;". İtiraz dosyası üretildi.")</f>
        <v/>
      </c>
      <c r="G72" s="17">
        <f>IF($B72&lt;&gt;"tutar_farki","","Beklemede")</f>
        <v/>
      </c>
    </row>
    <row r="73">
      <c r="A73" s="22">
        <f>IF('KOK_NEDEN'!$A73="","",'KOK_NEDEN'!$A73)</f>
        <v/>
      </c>
      <c r="B73" s="17">
        <f>IF($A73="","",IFERROR(INDEX(tblKok[Kova],MATCH($A73,tblKok[A_Norm],0)),""))</f>
        <v/>
      </c>
      <c r="C73" s="17">
        <f>IF($A73="","",IFERROR(INDEX(tblEslesme[Fark],MATCH($A73,tblEslesme[A_Norm],0)),0))</f>
        <v/>
      </c>
      <c r="D73" s="17">
        <f>IF($A73="","",IFERROR(INDEX(tblKok[KokNeden],MATCH($A73,tblKok[A_Norm],0)),""))</f>
        <v/>
      </c>
      <c r="E73" s="17">
        <f>IF($B73&lt;&gt;"tutar_farki","",IF(ABS($C73)&gt;efd_esikFark,"YUKSEK","NORMAL"))</f>
        <v/>
      </c>
      <c r="F73" s="17">
        <f>IF($B73&lt;&gt;"tutar_farki","","Fatura "&amp;$A73&amp;" için fark "&amp;TEXT($C73,"0.00")&amp;" TL. Dayanak: "&amp;$D73&amp;". İtiraz dosyası üretildi.")</f>
        <v/>
      </c>
      <c r="G73" s="17">
        <f>IF($B73&lt;&gt;"tutar_farki","","Beklemede")</f>
        <v/>
      </c>
    </row>
    <row r="74">
      <c r="A74" s="22">
        <f>IF('KOK_NEDEN'!$A74="","",'KOK_NEDEN'!$A74)</f>
        <v/>
      </c>
      <c r="B74" s="17">
        <f>IF($A74="","",IFERROR(INDEX(tblKok[Kova],MATCH($A74,tblKok[A_Norm],0)),""))</f>
        <v/>
      </c>
      <c r="C74" s="17">
        <f>IF($A74="","",IFERROR(INDEX(tblEslesme[Fark],MATCH($A74,tblEslesme[A_Norm],0)),0))</f>
        <v/>
      </c>
      <c r="D74" s="17">
        <f>IF($A74="","",IFERROR(INDEX(tblKok[KokNeden],MATCH($A74,tblKok[A_Norm],0)),""))</f>
        <v/>
      </c>
      <c r="E74" s="17">
        <f>IF($B74&lt;&gt;"tutar_farki","",IF(ABS($C74)&gt;efd_esikFark,"YUKSEK","NORMAL"))</f>
        <v/>
      </c>
      <c r="F74" s="17">
        <f>IF($B74&lt;&gt;"tutar_farki","","Fatura "&amp;$A74&amp;" için fark "&amp;TEXT($C74,"0.00")&amp;" TL. Dayanak: "&amp;$D74&amp;". İtiraz dosyası üretildi.")</f>
        <v/>
      </c>
      <c r="G74" s="17">
        <f>IF($B74&lt;&gt;"tutar_farki","","Beklemede")</f>
        <v/>
      </c>
    </row>
    <row r="75">
      <c r="A75" s="22">
        <f>IF('KOK_NEDEN'!$A75="","",'KOK_NEDEN'!$A75)</f>
        <v/>
      </c>
      <c r="B75" s="17">
        <f>IF($A75="","",IFERROR(INDEX(tblKok[Kova],MATCH($A75,tblKok[A_Norm],0)),""))</f>
        <v/>
      </c>
      <c r="C75" s="17">
        <f>IF($A75="","",IFERROR(INDEX(tblEslesme[Fark],MATCH($A75,tblEslesme[A_Norm],0)),0))</f>
        <v/>
      </c>
      <c r="D75" s="17">
        <f>IF($A75="","",IFERROR(INDEX(tblKok[KokNeden],MATCH($A75,tblKok[A_Norm],0)),""))</f>
        <v/>
      </c>
      <c r="E75" s="17">
        <f>IF($B75&lt;&gt;"tutar_farki","",IF(ABS($C75)&gt;efd_esikFark,"YUKSEK","NORMAL"))</f>
        <v/>
      </c>
      <c r="F75" s="17">
        <f>IF($B75&lt;&gt;"tutar_farki","","Fatura "&amp;$A75&amp;" için fark "&amp;TEXT($C75,"0.00")&amp;" TL. Dayanak: "&amp;$D75&amp;". İtiraz dosyası üretildi.")</f>
        <v/>
      </c>
      <c r="G75" s="17">
        <f>IF($B75&lt;&gt;"tutar_farki","","Beklemede")</f>
        <v/>
      </c>
    </row>
    <row r="76">
      <c r="A76" s="22">
        <f>IF('KOK_NEDEN'!$A76="","",'KOK_NEDEN'!$A76)</f>
        <v/>
      </c>
      <c r="B76" s="17">
        <f>IF($A76="","",IFERROR(INDEX(tblKok[Kova],MATCH($A76,tblKok[A_Norm],0)),""))</f>
        <v/>
      </c>
      <c r="C76" s="17">
        <f>IF($A76="","",IFERROR(INDEX(tblEslesme[Fark],MATCH($A76,tblEslesme[A_Norm],0)),0))</f>
        <v/>
      </c>
      <c r="D76" s="17">
        <f>IF($A76="","",IFERROR(INDEX(tblKok[KokNeden],MATCH($A76,tblKok[A_Norm],0)),""))</f>
        <v/>
      </c>
      <c r="E76" s="17">
        <f>IF($B76&lt;&gt;"tutar_farki","",IF(ABS($C76)&gt;efd_esikFark,"YUKSEK","NORMAL"))</f>
        <v/>
      </c>
      <c r="F76" s="17">
        <f>IF($B76&lt;&gt;"tutar_farki","","Fatura "&amp;$A76&amp;" için fark "&amp;TEXT($C76,"0.00")&amp;" TL. Dayanak: "&amp;$D76&amp;". İtiraz dosyası üretildi.")</f>
        <v/>
      </c>
      <c r="G76" s="17">
        <f>IF($B76&lt;&gt;"tutar_farki","","Beklemede")</f>
        <v/>
      </c>
    </row>
    <row r="77">
      <c r="A77" s="22">
        <f>IF('KOK_NEDEN'!$A77="","",'KOK_NEDEN'!$A77)</f>
        <v/>
      </c>
      <c r="B77" s="17">
        <f>IF($A77="","",IFERROR(INDEX(tblKok[Kova],MATCH($A77,tblKok[A_Norm],0)),""))</f>
        <v/>
      </c>
      <c r="C77" s="17">
        <f>IF($A77="","",IFERROR(INDEX(tblEslesme[Fark],MATCH($A77,tblEslesme[A_Norm],0)),0))</f>
        <v/>
      </c>
      <c r="D77" s="17">
        <f>IF($A77="","",IFERROR(INDEX(tblKok[KokNeden],MATCH($A77,tblKok[A_Norm],0)),""))</f>
        <v/>
      </c>
      <c r="E77" s="17">
        <f>IF($B77&lt;&gt;"tutar_farki","",IF(ABS($C77)&gt;efd_esikFark,"YUKSEK","NORMAL"))</f>
        <v/>
      </c>
      <c r="F77" s="17">
        <f>IF($B77&lt;&gt;"tutar_farki","","Fatura "&amp;$A77&amp;" için fark "&amp;TEXT($C77,"0.00")&amp;" TL. Dayanak: "&amp;$D77&amp;". İtiraz dosyası üretildi.")</f>
        <v/>
      </c>
      <c r="G77" s="17">
        <f>IF($B77&lt;&gt;"tutar_farki","","Beklemede")</f>
        <v/>
      </c>
    </row>
    <row r="78">
      <c r="A78" s="22">
        <f>IF('KOK_NEDEN'!$A78="","",'KOK_NEDEN'!$A78)</f>
        <v/>
      </c>
      <c r="B78" s="17">
        <f>IF($A78="","",IFERROR(INDEX(tblKok[Kova],MATCH($A78,tblKok[A_Norm],0)),""))</f>
        <v/>
      </c>
      <c r="C78" s="17">
        <f>IF($A78="","",IFERROR(INDEX(tblEslesme[Fark],MATCH($A78,tblEslesme[A_Norm],0)),0))</f>
        <v/>
      </c>
      <c r="D78" s="17">
        <f>IF($A78="","",IFERROR(INDEX(tblKok[KokNeden],MATCH($A78,tblKok[A_Norm],0)),""))</f>
        <v/>
      </c>
      <c r="E78" s="17">
        <f>IF($B78&lt;&gt;"tutar_farki","",IF(ABS($C78)&gt;efd_esikFark,"YUKSEK","NORMAL"))</f>
        <v/>
      </c>
      <c r="F78" s="17">
        <f>IF($B78&lt;&gt;"tutar_farki","","Fatura "&amp;$A78&amp;" için fark "&amp;TEXT($C78,"0.00")&amp;" TL. Dayanak: "&amp;$D78&amp;". İtiraz dosyası üretildi.")</f>
        <v/>
      </c>
      <c r="G78" s="17">
        <f>IF($B78&lt;&gt;"tutar_farki","","Beklemede")</f>
        <v/>
      </c>
    </row>
    <row r="79">
      <c r="A79" s="22">
        <f>IF('KOK_NEDEN'!$A79="","",'KOK_NEDEN'!$A79)</f>
        <v/>
      </c>
      <c r="B79" s="17">
        <f>IF($A79="","",IFERROR(INDEX(tblKok[Kova],MATCH($A79,tblKok[A_Norm],0)),""))</f>
        <v/>
      </c>
      <c r="C79" s="17">
        <f>IF($A79="","",IFERROR(INDEX(tblEslesme[Fark],MATCH($A79,tblEslesme[A_Norm],0)),0))</f>
        <v/>
      </c>
      <c r="D79" s="17">
        <f>IF($A79="","",IFERROR(INDEX(tblKok[KokNeden],MATCH($A79,tblKok[A_Norm],0)),""))</f>
        <v/>
      </c>
      <c r="E79" s="17">
        <f>IF($B79&lt;&gt;"tutar_farki","",IF(ABS($C79)&gt;efd_esikFark,"YUKSEK","NORMAL"))</f>
        <v/>
      </c>
      <c r="F79" s="17">
        <f>IF($B79&lt;&gt;"tutar_farki","","Fatura "&amp;$A79&amp;" için fark "&amp;TEXT($C79,"0.00")&amp;" TL. Dayanak: "&amp;$D79&amp;". İtiraz dosyası üretildi.")</f>
        <v/>
      </c>
      <c r="G79" s="17">
        <f>IF($B79&lt;&gt;"tutar_farki","","Beklemede")</f>
        <v/>
      </c>
    </row>
    <row r="80">
      <c r="A80" s="22">
        <f>IF('KOK_NEDEN'!$A80="","",'KOK_NEDEN'!$A80)</f>
        <v/>
      </c>
      <c r="B80" s="17">
        <f>IF($A80="","",IFERROR(INDEX(tblKok[Kova],MATCH($A80,tblKok[A_Norm],0)),""))</f>
        <v/>
      </c>
      <c r="C80" s="17">
        <f>IF($A80="","",IFERROR(INDEX(tblEslesme[Fark],MATCH($A80,tblEslesme[A_Norm],0)),0))</f>
        <v/>
      </c>
      <c r="D80" s="17">
        <f>IF($A80="","",IFERROR(INDEX(tblKok[KokNeden],MATCH($A80,tblKok[A_Norm],0)),""))</f>
        <v/>
      </c>
      <c r="E80" s="17">
        <f>IF($B80&lt;&gt;"tutar_farki","",IF(ABS($C80)&gt;efd_esikFark,"YUKSEK","NORMAL"))</f>
        <v/>
      </c>
      <c r="F80" s="17">
        <f>IF($B80&lt;&gt;"tutar_farki","","Fatura "&amp;$A80&amp;" için fark "&amp;TEXT($C80,"0.00")&amp;" TL. Dayanak: "&amp;$D80&amp;". İtiraz dosyası üretildi.")</f>
        <v/>
      </c>
      <c r="G80" s="17">
        <f>IF($B80&lt;&gt;"tutar_farki","","Beklemede")</f>
        <v/>
      </c>
    </row>
    <row r="81">
      <c r="A81" s="22">
        <f>IF('KOK_NEDEN'!$A81="","",'KOK_NEDEN'!$A81)</f>
        <v/>
      </c>
      <c r="B81" s="17">
        <f>IF($A81="","",IFERROR(INDEX(tblKok[Kova],MATCH($A81,tblKok[A_Norm],0)),""))</f>
        <v/>
      </c>
      <c r="C81" s="17">
        <f>IF($A81="","",IFERROR(INDEX(tblEslesme[Fark],MATCH($A81,tblEslesme[A_Norm],0)),0))</f>
        <v/>
      </c>
      <c r="D81" s="17">
        <f>IF($A81="","",IFERROR(INDEX(tblKok[KokNeden],MATCH($A81,tblKok[A_Norm],0)),""))</f>
        <v/>
      </c>
      <c r="E81" s="17">
        <f>IF($B81&lt;&gt;"tutar_farki","",IF(ABS($C81)&gt;efd_esikFark,"YUKSEK","NORMAL"))</f>
        <v/>
      </c>
      <c r="F81" s="17">
        <f>IF($B81&lt;&gt;"tutar_farki","","Fatura "&amp;$A81&amp;" için fark "&amp;TEXT($C81,"0.00")&amp;" TL. Dayanak: "&amp;$D81&amp;". İtiraz dosyası üretildi.")</f>
        <v/>
      </c>
      <c r="G81" s="17">
        <f>IF($B81&lt;&gt;"tutar_farki","","Beklemede")</f>
        <v/>
      </c>
    </row>
    <row r="82">
      <c r="A82" s="22">
        <f>IF('KOK_NEDEN'!$A82="","",'KOK_NEDEN'!$A82)</f>
        <v/>
      </c>
      <c r="B82" s="17">
        <f>IF($A82="","",IFERROR(INDEX(tblKok[Kova],MATCH($A82,tblKok[A_Norm],0)),""))</f>
        <v/>
      </c>
      <c r="C82" s="17">
        <f>IF($A82="","",IFERROR(INDEX(tblEslesme[Fark],MATCH($A82,tblEslesme[A_Norm],0)),0))</f>
        <v/>
      </c>
      <c r="D82" s="17">
        <f>IF($A82="","",IFERROR(INDEX(tblKok[KokNeden],MATCH($A82,tblKok[A_Norm],0)),""))</f>
        <v/>
      </c>
      <c r="E82" s="17">
        <f>IF($B82&lt;&gt;"tutar_farki","",IF(ABS($C82)&gt;efd_esikFark,"YUKSEK","NORMAL"))</f>
        <v/>
      </c>
      <c r="F82" s="17">
        <f>IF($B82&lt;&gt;"tutar_farki","","Fatura "&amp;$A82&amp;" için fark "&amp;TEXT($C82,"0.00")&amp;" TL. Dayanak: "&amp;$D82&amp;". İtiraz dosyası üretildi.")</f>
        <v/>
      </c>
      <c r="G82" s="17">
        <f>IF($B82&lt;&gt;"tutar_farki","","Beklemede")</f>
        <v/>
      </c>
    </row>
    <row r="83">
      <c r="A83" s="22">
        <f>IF('KOK_NEDEN'!$A83="","",'KOK_NEDEN'!$A83)</f>
        <v/>
      </c>
      <c r="B83" s="17">
        <f>IF($A83="","",IFERROR(INDEX(tblKok[Kova],MATCH($A83,tblKok[A_Norm],0)),""))</f>
        <v/>
      </c>
      <c r="C83" s="17">
        <f>IF($A83="","",IFERROR(INDEX(tblEslesme[Fark],MATCH($A83,tblEslesme[A_Norm],0)),0))</f>
        <v/>
      </c>
      <c r="D83" s="17">
        <f>IF($A83="","",IFERROR(INDEX(tblKok[KokNeden],MATCH($A83,tblKok[A_Norm],0)),""))</f>
        <v/>
      </c>
      <c r="E83" s="17">
        <f>IF($B83&lt;&gt;"tutar_farki","",IF(ABS($C83)&gt;efd_esikFark,"YUKSEK","NORMAL"))</f>
        <v/>
      </c>
      <c r="F83" s="17">
        <f>IF($B83&lt;&gt;"tutar_farki","","Fatura "&amp;$A83&amp;" için fark "&amp;TEXT($C83,"0.00")&amp;" TL. Dayanak: "&amp;$D83&amp;". İtiraz dosyası üretildi.")</f>
        <v/>
      </c>
      <c r="G83" s="17">
        <f>IF($B83&lt;&gt;"tutar_farki","","Beklemede")</f>
        <v/>
      </c>
    </row>
    <row r="84">
      <c r="A84" s="22">
        <f>IF('KOK_NEDEN'!$A84="","",'KOK_NEDEN'!$A84)</f>
        <v/>
      </c>
      <c r="B84" s="17">
        <f>IF($A84="","",IFERROR(INDEX(tblKok[Kova],MATCH($A84,tblKok[A_Norm],0)),""))</f>
        <v/>
      </c>
      <c r="C84" s="17">
        <f>IF($A84="","",IFERROR(INDEX(tblEslesme[Fark],MATCH($A84,tblEslesme[A_Norm],0)),0))</f>
        <v/>
      </c>
      <c r="D84" s="17">
        <f>IF($A84="","",IFERROR(INDEX(tblKok[KokNeden],MATCH($A84,tblKok[A_Norm],0)),""))</f>
        <v/>
      </c>
      <c r="E84" s="17">
        <f>IF($B84&lt;&gt;"tutar_farki","",IF(ABS($C84)&gt;efd_esikFark,"YUKSEK","NORMAL"))</f>
        <v/>
      </c>
      <c r="F84" s="17">
        <f>IF($B84&lt;&gt;"tutar_farki","","Fatura "&amp;$A84&amp;" için fark "&amp;TEXT($C84,"0.00")&amp;" TL. Dayanak: "&amp;$D84&amp;". İtiraz dosyası üretildi.")</f>
        <v/>
      </c>
      <c r="G84" s="17">
        <f>IF($B84&lt;&gt;"tutar_farki","","Beklemede")</f>
        <v/>
      </c>
    </row>
    <row r="85">
      <c r="A85" s="22">
        <f>IF('KOK_NEDEN'!$A85="","",'KOK_NEDEN'!$A85)</f>
        <v/>
      </c>
      <c r="B85" s="17">
        <f>IF($A85="","",IFERROR(INDEX(tblKok[Kova],MATCH($A85,tblKok[A_Norm],0)),""))</f>
        <v/>
      </c>
      <c r="C85" s="17">
        <f>IF($A85="","",IFERROR(INDEX(tblEslesme[Fark],MATCH($A85,tblEslesme[A_Norm],0)),0))</f>
        <v/>
      </c>
      <c r="D85" s="17">
        <f>IF($A85="","",IFERROR(INDEX(tblKok[KokNeden],MATCH($A85,tblKok[A_Norm],0)),""))</f>
        <v/>
      </c>
      <c r="E85" s="17">
        <f>IF($B85&lt;&gt;"tutar_farki","",IF(ABS($C85)&gt;efd_esikFark,"YUKSEK","NORMAL"))</f>
        <v/>
      </c>
      <c r="F85" s="17">
        <f>IF($B85&lt;&gt;"tutar_farki","","Fatura "&amp;$A85&amp;" için fark "&amp;TEXT($C85,"0.00")&amp;" TL. Dayanak: "&amp;$D85&amp;". İtiraz dosyası üretildi.")</f>
        <v/>
      </c>
      <c r="G85" s="17">
        <f>IF($B85&lt;&gt;"tutar_farki","","Beklemede")</f>
        <v/>
      </c>
    </row>
    <row r="86">
      <c r="A86" s="22">
        <f>IF('KOK_NEDEN'!$A86="","",'KOK_NEDEN'!$A86)</f>
        <v/>
      </c>
      <c r="B86" s="17">
        <f>IF($A86="","",IFERROR(INDEX(tblKok[Kova],MATCH($A86,tblKok[A_Norm],0)),""))</f>
        <v/>
      </c>
      <c r="C86" s="17">
        <f>IF($A86="","",IFERROR(INDEX(tblEslesme[Fark],MATCH($A86,tblEslesme[A_Norm],0)),0))</f>
        <v/>
      </c>
      <c r="D86" s="17">
        <f>IF($A86="","",IFERROR(INDEX(tblKok[KokNeden],MATCH($A86,tblKok[A_Norm],0)),""))</f>
        <v/>
      </c>
      <c r="E86" s="17">
        <f>IF($B86&lt;&gt;"tutar_farki","",IF(ABS($C86)&gt;efd_esikFark,"YUKSEK","NORMAL"))</f>
        <v/>
      </c>
      <c r="F86" s="17">
        <f>IF($B86&lt;&gt;"tutar_farki","","Fatura "&amp;$A86&amp;" için fark "&amp;TEXT($C86,"0.00")&amp;" TL. Dayanak: "&amp;$D86&amp;". İtiraz dosyası üretildi.")</f>
        <v/>
      </c>
      <c r="G86" s="17">
        <f>IF($B86&lt;&gt;"tutar_farki","","Beklemede")</f>
        <v/>
      </c>
    </row>
    <row r="87">
      <c r="A87" s="22">
        <f>IF('KOK_NEDEN'!$A87="","",'KOK_NEDEN'!$A87)</f>
        <v/>
      </c>
      <c r="B87" s="17">
        <f>IF($A87="","",IFERROR(INDEX(tblKok[Kova],MATCH($A87,tblKok[A_Norm],0)),""))</f>
        <v/>
      </c>
      <c r="C87" s="17">
        <f>IF($A87="","",IFERROR(INDEX(tblEslesme[Fark],MATCH($A87,tblEslesme[A_Norm],0)),0))</f>
        <v/>
      </c>
      <c r="D87" s="17">
        <f>IF($A87="","",IFERROR(INDEX(tblKok[KokNeden],MATCH($A87,tblKok[A_Norm],0)),""))</f>
        <v/>
      </c>
      <c r="E87" s="17">
        <f>IF($B87&lt;&gt;"tutar_farki","",IF(ABS($C87)&gt;efd_esikFark,"YUKSEK","NORMAL"))</f>
        <v/>
      </c>
      <c r="F87" s="17">
        <f>IF($B87&lt;&gt;"tutar_farki","","Fatura "&amp;$A87&amp;" için fark "&amp;TEXT($C87,"0.00")&amp;" TL. Dayanak: "&amp;$D87&amp;". İtiraz dosyası üretildi.")</f>
        <v/>
      </c>
      <c r="G87" s="17">
        <f>IF($B87&lt;&gt;"tutar_farki","","Beklemede")</f>
        <v/>
      </c>
    </row>
    <row r="88">
      <c r="A88" s="22">
        <f>IF('KOK_NEDEN'!$A88="","",'KOK_NEDEN'!$A88)</f>
        <v/>
      </c>
      <c r="B88" s="17">
        <f>IF($A88="","",IFERROR(INDEX(tblKok[Kova],MATCH($A88,tblKok[A_Norm],0)),""))</f>
        <v/>
      </c>
      <c r="C88" s="17">
        <f>IF($A88="","",IFERROR(INDEX(tblEslesme[Fark],MATCH($A88,tblEslesme[A_Norm],0)),0))</f>
        <v/>
      </c>
      <c r="D88" s="17">
        <f>IF($A88="","",IFERROR(INDEX(tblKok[KokNeden],MATCH($A88,tblKok[A_Norm],0)),""))</f>
        <v/>
      </c>
      <c r="E88" s="17">
        <f>IF($B88&lt;&gt;"tutar_farki","",IF(ABS($C88)&gt;efd_esikFark,"YUKSEK","NORMAL"))</f>
        <v/>
      </c>
      <c r="F88" s="17">
        <f>IF($B88&lt;&gt;"tutar_farki","","Fatura "&amp;$A88&amp;" için fark "&amp;TEXT($C88,"0.00")&amp;" TL. Dayanak: "&amp;$D88&amp;". İtiraz dosyası üretildi.")</f>
        <v/>
      </c>
      <c r="G88" s="17">
        <f>IF($B88&lt;&gt;"tutar_farki","","Beklemede")</f>
        <v/>
      </c>
    </row>
    <row r="89">
      <c r="A89" s="22">
        <f>IF('KOK_NEDEN'!$A89="","",'KOK_NEDEN'!$A89)</f>
        <v/>
      </c>
      <c r="B89" s="17">
        <f>IF($A89="","",IFERROR(INDEX(tblKok[Kova],MATCH($A89,tblKok[A_Norm],0)),""))</f>
        <v/>
      </c>
      <c r="C89" s="17">
        <f>IF($A89="","",IFERROR(INDEX(tblEslesme[Fark],MATCH($A89,tblEslesme[A_Norm],0)),0))</f>
        <v/>
      </c>
      <c r="D89" s="17">
        <f>IF($A89="","",IFERROR(INDEX(tblKok[KokNeden],MATCH($A89,tblKok[A_Norm],0)),""))</f>
        <v/>
      </c>
      <c r="E89" s="17">
        <f>IF($B89&lt;&gt;"tutar_farki","",IF(ABS($C89)&gt;efd_esikFark,"YUKSEK","NORMAL"))</f>
        <v/>
      </c>
      <c r="F89" s="17">
        <f>IF($B89&lt;&gt;"tutar_farki","","Fatura "&amp;$A89&amp;" için fark "&amp;TEXT($C89,"0.00")&amp;" TL. Dayanak: "&amp;$D89&amp;". İtiraz dosyası üretildi.")</f>
        <v/>
      </c>
      <c r="G89" s="17">
        <f>IF($B89&lt;&gt;"tutar_farki","","Beklemede")</f>
        <v/>
      </c>
    </row>
    <row r="90">
      <c r="A90" s="22">
        <f>IF('KOK_NEDEN'!$A90="","",'KOK_NEDEN'!$A90)</f>
        <v/>
      </c>
      <c r="B90" s="17">
        <f>IF($A90="","",IFERROR(INDEX(tblKok[Kova],MATCH($A90,tblKok[A_Norm],0)),""))</f>
        <v/>
      </c>
      <c r="C90" s="17">
        <f>IF($A90="","",IFERROR(INDEX(tblEslesme[Fark],MATCH($A90,tblEslesme[A_Norm],0)),0))</f>
        <v/>
      </c>
      <c r="D90" s="17">
        <f>IF($A90="","",IFERROR(INDEX(tblKok[KokNeden],MATCH($A90,tblKok[A_Norm],0)),""))</f>
        <v/>
      </c>
      <c r="E90" s="17">
        <f>IF($B90&lt;&gt;"tutar_farki","",IF(ABS($C90)&gt;efd_esikFark,"YUKSEK","NORMAL"))</f>
        <v/>
      </c>
      <c r="F90" s="17">
        <f>IF($B90&lt;&gt;"tutar_farki","","Fatura "&amp;$A90&amp;" için fark "&amp;TEXT($C90,"0.00")&amp;" TL. Dayanak: "&amp;$D90&amp;". İtiraz dosyası üretildi.")</f>
        <v/>
      </c>
      <c r="G90" s="17">
        <f>IF($B90&lt;&gt;"tutar_farki","","Beklemede")</f>
        <v/>
      </c>
    </row>
    <row r="91">
      <c r="A91" s="22">
        <f>IF('KOK_NEDEN'!$A91="","",'KOK_NEDEN'!$A91)</f>
        <v/>
      </c>
      <c r="B91" s="17">
        <f>IF($A91="","",IFERROR(INDEX(tblKok[Kova],MATCH($A91,tblKok[A_Norm],0)),""))</f>
        <v/>
      </c>
      <c r="C91" s="17">
        <f>IF($A91="","",IFERROR(INDEX(tblEslesme[Fark],MATCH($A91,tblEslesme[A_Norm],0)),0))</f>
        <v/>
      </c>
      <c r="D91" s="17">
        <f>IF($A91="","",IFERROR(INDEX(tblKok[KokNeden],MATCH($A91,tblKok[A_Norm],0)),""))</f>
        <v/>
      </c>
      <c r="E91" s="17">
        <f>IF($B91&lt;&gt;"tutar_farki","",IF(ABS($C91)&gt;efd_esikFark,"YUKSEK","NORMAL"))</f>
        <v/>
      </c>
      <c r="F91" s="17">
        <f>IF($B91&lt;&gt;"tutar_farki","","Fatura "&amp;$A91&amp;" için fark "&amp;TEXT($C91,"0.00")&amp;" TL. Dayanak: "&amp;$D91&amp;". İtiraz dosyası üretildi.")</f>
        <v/>
      </c>
      <c r="G91" s="17">
        <f>IF($B91&lt;&gt;"tutar_farki","","Beklemede")</f>
        <v/>
      </c>
    </row>
    <row r="92">
      <c r="A92" s="22">
        <f>IF('KOK_NEDEN'!$A92="","",'KOK_NEDEN'!$A92)</f>
        <v/>
      </c>
      <c r="B92" s="17">
        <f>IF($A92="","",IFERROR(INDEX(tblKok[Kova],MATCH($A92,tblKok[A_Norm],0)),""))</f>
        <v/>
      </c>
      <c r="C92" s="17">
        <f>IF($A92="","",IFERROR(INDEX(tblEslesme[Fark],MATCH($A92,tblEslesme[A_Norm],0)),0))</f>
        <v/>
      </c>
      <c r="D92" s="17">
        <f>IF($A92="","",IFERROR(INDEX(tblKok[KokNeden],MATCH($A92,tblKok[A_Norm],0)),""))</f>
        <v/>
      </c>
      <c r="E92" s="17">
        <f>IF($B92&lt;&gt;"tutar_farki","",IF(ABS($C92)&gt;efd_esikFark,"YUKSEK","NORMAL"))</f>
        <v/>
      </c>
      <c r="F92" s="17">
        <f>IF($B92&lt;&gt;"tutar_farki","","Fatura "&amp;$A92&amp;" için fark "&amp;TEXT($C92,"0.00")&amp;" TL. Dayanak: "&amp;$D92&amp;". İtiraz dosyası üretildi.")</f>
        <v/>
      </c>
      <c r="G92" s="17">
        <f>IF($B92&lt;&gt;"tutar_farki","","Beklemede")</f>
        <v/>
      </c>
    </row>
    <row r="93">
      <c r="A93" s="22">
        <f>IF('KOK_NEDEN'!$A93="","",'KOK_NEDEN'!$A93)</f>
        <v/>
      </c>
      <c r="B93" s="17">
        <f>IF($A93="","",IFERROR(INDEX(tblKok[Kova],MATCH($A93,tblKok[A_Norm],0)),""))</f>
        <v/>
      </c>
      <c r="C93" s="17">
        <f>IF($A93="","",IFERROR(INDEX(tblEslesme[Fark],MATCH($A93,tblEslesme[A_Norm],0)),0))</f>
        <v/>
      </c>
      <c r="D93" s="17">
        <f>IF($A93="","",IFERROR(INDEX(tblKok[KokNeden],MATCH($A93,tblKok[A_Norm],0)),""))</f>
        <v/>
      </c>
      <c r="E93" s="17">
        <f>IF($B93&lt;&gt;"tutar_farki","",IF(ABS($C93)&gt;efd_esikFark,"YUKSEK","NORMAL"))</f>
        <v/>
      </c>
      <c r="F93" s="17">
        <f>IF($B93&lt;&gt;"tutar_farki","","Fatura "&amp;$A93&amp;" için fark "&amp;TEXT($C93,"0.00")&amp;" TL. Dayanak: "&amp;$D93&amp;". İtiraz dosyası üretildi.")</f>
        <v/>
      </c>
      <c r="G93" s="17">
        <f>IF($B93&lt;&gt;"tutar_farki","","Beklemede")</f>
        <v/>
      </c>
    </row>
    <row r="94">
      <c r="A94" s="22">
        <f>IF('KOK_NEDEN'!$A94="","",'KOK_NEDEN'!$A94)</f>
        <v/>
      </c>
      <c r="B94" s="17">
        <f>IF($A94="","",IFERROR(INDEX(tblKok[Kova],MATCH($A94,tblKok[A_Norm],0)),""))</f>
        <v/>
      </c>
      <c r="C94" s="17">
        <f>IF($A94="","",IFERROR(INDEX(tblEslesme[Fark],MATCH($A94,tblEslesme[A_Norm],0)),0))</f>
        <v/>
      </c>
      <c r="D94" s="17">
        <f>IF($A94="","",IFERROR(INDEX(tblKok[KokNeden],MATCH($A94,tblKok[A_Norm],0)),""))</f>
        <v/>
      </c>
      <c r="E94" s="17">
        <f>IF($B94&lt;&gt;"tutar_farki","",IF(ABS($C94)&gt;efd_esikFark,"YUKSEK","NORMAL"))</f>
        <v/>
      </c>
      <c r="F94" s="17">
        <f>IF($B94&lt;&gt;"tutar_farki","","Fatura "&amp;$A94&amp;" için fark "&amp;TEXT($C94,"0.00")&amp;" TL. Dayanak: "&amp;$D94&amp;". İtiraz dosyası üretildi.")</f>
        <v/>
      </c>
      <c r="G94" s="17">
        <f>IF($B94&lt;&gt;"tutar_farki","","Beklemede")</f>
        <v/>
      </c>
    </row>
    <row r="95">
      <c r="A95" s="22">
        <f>IF('KOK_NEDEN'!$A95="","",'KOK_NEDEN'!$A95)</f>
        <v/>
      </c>
      <c r="B95" s="17">
        <f>IF($A95="","",IFERROR(INDEX(tblKok[Kova],MATCH($A95,tblKok[A_Norm],0)),""))</f>
        <v/>
      </c>
      <c r="C95" s="17">
        <f>IF($A95="","",IFERROR(INDEX(tblEslesme[Fark],MATCH($A95,tblEslesme[A_Norm],0)),0))</f>
        <v/>
      </c>
      <c r="D95" s="17">
        <f>IF($A95="","",IFERROR(INDEX(tblKok[KokNeden],MATCH($A95,tblKok[A_Norm],0)),""))</f>
        <v/>
      </c>
      <c r="E95" s="17">
        <f>IF($B95&lt;&gt;"tutar_farki","",IF(ABS($C95)&gt;efd_esikFark,"YUKSEK","NORMAL"))</f>
        <v/>
      </c>
      <c r="F95" s="17">
        <f>IF($B95&lt;&gt;"tutar_farki","","Fatura "&amp;$A95&amp;" için fark "&amp;TEXT($C95,"0.00")&amp;" TL. Dayanak: "&amp;$D95&amp;". İtiraz dosyası üretildi.")</f>
        <v/>
      </c>
      <c r="G95" s="17">
        <f>IF($B95&lt;&gt;"tutar_farki","","Beklemede")</f>
        <v/>
      </c>
    </row>
    <row r="96">
      <c r="A96" s="22">
        <f>IF('KOK_NEDEN'!$A96="","",'KOK_NEDEN'!$A96)</f>
        <v/>
      </c>
      <c r="B96" s="17">
        <f>IF($A96="","",IFERROR(INDEX(tblKok[Kova],MATCH($A96,tblKok[A_Norm],0)),""))</f>
        <v/>
      </c>
      <c r="C96" s="17">
        <f>IF($A96="","",IFERROR(INDEX(tblEslesme[Fark],MATCH($A96,tblEslesme[A_Norm],0)),0))</f>
        <v/>
      </c>
      <c r="D96" s="17">
        <f>IF($A96="","",IFERROR(INDEX(tblKok[KokNeden],MATCH($A96,tblKok[A_Norm],0)),""))</f>
        <v/>
      </c>
      <c r="E96" s="17">
        <f>IF($B96&lt;&gt;"tutar_farki","",IF(ABS($C96)&gt;efd_esikFark,"YUKSEK","NORMAL"))</f>
        <v/>
      </c>
      <c r="F96" s="17">
        <f>IF($B96&lt;&gt;"tutar_farki","","Fatura "&amp;$A96&amp;" için fark "&amp;TEXT($C96,"0.00")&amp;" TL. Dayanak: "&amp;$D96&amp;". İtiraz dosyası üretildi.")</f>
        <v/>
      </c>
      <c r="G96" s="17">
        <f>IF($B96&lt;&gt;"tutar_farki","","Beklemede")</f>
        <v/>
      </c>
    </row>
    <row r="97">
      <c r="A97" s="22">
        <f>IF('KOK_NEDEN'!$A97="","",'KOK_NEDEN'!$A97)</f>
        <v/>
      </c>
      <c r="B97" s="17">
        <f>IF($A97="","",IFERROR(INDEX(tblKok[Kova],MATCH($A97,tblKok[A_Norm],0)),""))</f>
        <v/>
      </c>
      <c r="C97" s="17">
        <f>IF($A97="","",IFERROR(INDEX(tblEslesme[Fark],MATCH($A97,tblEslesme[A_Norm],0)),0))</f>
        <v/>
      </c>
      <c r="D97" s="17">
        <f>IF($A97="","",IFERROR(INDEX(tblKok[KokNeden],MATCH($A97,tblKok[A_Norm],0)),""))</f>
        <v/>
      </c>
      <c r="E97" s="17">
        <f>IF($B97&lt;&gt;"tutar_farki","",IF(ABS($C97)&gt;efd_esikFark,"YUKSEK","NORMAL"))</f>
        <v/>
      </c>
      <c r="F97" s="17">
        <f>IF($B97&lt;&gt;"tutar_farki","","Fatura "&amp;$A97&amp;" için fark "&amp;TEXT($C97,"0.00")&amp;" TL. Dayanak: "&amp;$D97&amp;". İtiraz dosyası üretildi.")</f>
        <v/>
      </c>
      <c r="G97" s="17">
        <f>IF($B97&lt;&gt;"tutar_farki","","Beklemede")</f>
        <v/>
      </c>
    </row>
    <row r="98">
      <c r="A98" s="22">
        <f>IF('KOK_NEDEN'!$A98="","",'KOK_NEDEN'!$A98)</f>
        <v/>
      </c>
      <c r="B98" s="17">
        <f>IF($A98="","",IFERROR(INDEX(tblKok[Kova],MATCH($A98,tblKok[A_Norm],0)),""))</f>
        <v/>
      </c>
      <c r="C98" s="17">
        <f>IF($A98="","",IFERROR(INDEX(tblEslesme[Fark],MATCH($A98,tblEslesme[A_Norm],0)),0))</f>
        <v/>
      </c>
      <c r="D98" s="17">
        <f>IF($A98="","",IFERROR(INDEX(tblKok[KokNeden],MATCH($A98,tblKok[A_Norm],0)),""))</f>
        <v/>
      </c>
      <c r="E98" s="17">
        <f>IF($B98&lt;&gt;"tutar_farki","",IF(ABS($C98)&gt;efd_esikFark,"YUKSEK","NORMAL"))</f>
        <v/>
      </c>
      <c r="F98" s="17">
        <f>IF($B98&lt;&gt;"tutar_farki","","Fatura "&amp;$A98&amp;" için fark "&amp;TEXT($C98,"0.00")&amp;" TL. Dayanak: "&amp;$D98&amp;". İtiraz dosyası üretildi.")</f>
        <v/>
      </c>
      <c r="G98" s="17">
        <f>IF($B98&lt;&gt;"tutar_farki","","Beklemede")</f>
        <v/>
      </c>
    </row>
    <row r="99">
      <c r="A99" s="22">
        <f>IF('KOK_NEDEN'!$A99="","",'KOK_NEDEN'!$A99)</f>
        <v/>
      </c>
      <c r="B99" s="17">
        <f>IF($A99="","",IFERROR(INDEX(tblKok[Kova],MATCH($A99,tblKok[A_Norm],0)),""))</f>
        <v/>
      </c>
      <c r="C99" s="17">
        <f>IF($A99="","",IFERROR(INDEX(tblEslesme[Fark],MATCH($A99,tblEslesme[A_Norm],0)),0))</f>
        <v/>
      </c>
      <c r="D99" s="17">
        <f>IF($A99="","",IFERROR(INDEX(tblKok[KokNeden],MATCH($A99,tblKok[A_Norm],0)),""))</f>
        <v/>
      </c>
      <c r="E99" s="17">
        <f>IF($B99&lt;&gt;"tutar_farki","",IF(ABS($C99)&gt;efd_esikFark,"YUKSEK","NORMAL"))</f>
        <v/>
      </c>
      <c r="F99" s="17">
        <f>IF($B99&lt;&gt;"tutar_farki","","Fatura "&amp;$A99&amp;" için fark "&amp;TEXT($C99,"0.00")&amp;" TL. Dayanak: "&amp;$D99&amp;". İtiraz dosyası üretildi.")</f>
        <v/>
      </c>
      <c r="G99" s="17">
        <f>IF($B99&lt;&gt;"tutar_farki","","Beklemede")</f>
        <v/>
      </c>
    </row>
    <row r="100">
      <c r="A100" s="22">
        <f>IF('KOK_NEDEN'!$A100="","",'KOK_NEDEN'!$A100)</f>
        <v/>
      </c>
      <c r="B100" s="17">
        <f>IF($A100="","",IFERROR(INDEX(tblKok[Kova],MATCH($A100,tblKok[A_Norm],0)),""))</f>
        <v/>
      </c>
      <c r="C100" s="17">
        <f>IF($A100="","",IFERROR(INDEX(tblEslesme[Fark],MATCH($A100,tblEslesme[A_Norm],0)),0))</f>
        <v/>
      </c>
      <c r="D100" s="17">
        <f>IF($A100="","",IFERROR(INDEX(tblKok[KokNeden],MATCH($A100,tblKok[A_Norm],0)),""))</f>
        <v/>
      </c>
      <c r="E100" s="17">
        <f>IF($B100&lt;&gt;"tutar_farki","",IF(ABS($C100)&gt;efd_esikFark,"YUKSEK","NORMAL"))</f>
        <v/>
      </c>
      <c r="F100" s="17">
        <f>IF($B100&lt;&gt;"tutar_farki","","Fatura "&amp;$A100&amp;" için fark "&amp;TEXT($C100,"0.00")&amp;" TL. Dayanak: "&amp;$D100&amp;". İtiraz dosyası üretildi.")</f>
        <v/>
      </c>
      <c r="G100" s="17">
        <f>IF($B100&lt;&gt;"tutar_farki","","Beklemede")</f>
        <v/>
      </c>
    </row>
    <row r="101">
      <c r="A101" s="22">
        <f>IF('KOK_NEDEN'!$A101="","",'KOK_NEDEN'!$A101)</f>
        <v/>
      </c>
      <c r="B101" s="17">
        <f>IF($A101="","",IFERROR(INDEX(tblKok[Kova],MATCH($A101,tblKok[A_Norm],0)),""))</f>
        <v/>
      </c>
      <c r="C101" s="17">
        <f>IF($A101="","",IFERROR(INDEX(tblEslesme[Fark],MATCH($A101,tblEslesme[A_Norm],0)),0))</f>
        <v/>
      </c>
      <c r="D101" s="17">
        <f>IF($A101="","",IFERROR(INDEX(tblKok[KokNeden],MATCH($A101,tblKok[A_Norm],0)),""))</f>
        <v/>
      </c>
      <c r="E101" s="17">
        <f>IF($B101&lt;&gt;"tutar_farki","",IF(ABS($C101)&gt;efd_esikFark,"YUKSEK","NORMAL"))</f>
        <v/>
      </c>
      <c r="F101" s="17">
        <f>IF($B101&lt;&gt;"tutar_farki","","Fatura "&amp;$A101&amp;" için fark "&amp;TEXT($C101,"0.00")&amp;" TL. Dayanak: "&amp;$D101&amp;". İtiraz dosyası üretildi.")</f>
        <v/>
      </c>
      <c r="G101" s="17">
        <f>IF($B101&lt;&gt;"tutar_farki","","Beklemede")</f>
        <v/>
      </c>
    </row>
    <row r="102">
      <c r="A102" s="22">
        <f>IF('KOK_NEDEN'!$A102="","",'KOK_NEDEN'!$A102)</f>
        <v/>
      </c>
      <c r="B102" s="17">
        <f>IF($A102="","",IFERROR(INDEX(tblKok[Kova],MATCH($A102,tblKok[A_Norm],0)),""))</f>
        <v/>
      </c>
      <c r="C102" s="17">
        <f>IF($A102="","",IFERROR(INDEX(tblEslesme[Fark],MATCH($A102,tblEslesme[A_Norm],0)),0))</f>
        <v/>
      </c>
      <c r="D102" s="17">
        <f>IF($A102="","",IFERROR(INDEX(tblKok[KokNeden],MATCH($A102,tblKok[A_Norm],0)),""))</f>
        <v/>
      </c>
      <c r="E102" s="17">
        <f>IF($B102&lt;&gt;"tutar_farki","",IF(ABS($C102)&gt;efd_esikFark,"YUKSEK","NORMAL"))</f>
        <v/>
      </c>
      <c r="F102" s="17">
        <f>IF($B102&lt;&gt;"tutar_farki","","Fatura "&amp;$A102&amp;" için fark "&amp;TEXT($C102,"0.00")&amp;" TL. Dayanak: "&amp;$D102&amp;". İtiraz dosyası üretildi.")</f>
        <v/>
      </c>
      <c r="G102" s="17">
        <f>IF($B102&lt;&gt;"tutar_farki","","Beklemede")</f>
        <v/>
      </c>
    </row>
    <row r="103">
      <c r="A103" s="22">
        <f>IF('KOK_NEDEN'!$A103="","",'KOK_NEDEN'!$A103)</f>
        <v/>
      </c>
      <c r="B103" s="17">
        <f>IF($A103="","",IFERROR(INDEX(tblKok[Kova],MATCH($A103,tblKok[A_Norm],0)),""))</f>
        <v/>
      </c>
      <c r="C103" s="17">
        <f>IF($A103="","",IFERROR(INDEX(tblEslesme[Fark],MATCH($A103,tblEslesme[A_Norm],0)),0))</f>
        <v/>
      </c>
      <c r="D103" s="17">
        <f>IF($A103="","",IFERROR(INDEX(tblKok[KokNeden],MATCH($A103,tblKok[A_Norm],0)),""))</f>
        <v/>
      </c>
      <c r="E103" s="17">
        <f>IF($B103&lt;&gt;"tutar_farki","",IF(ABS($C103)&gt;efd_esikFark,"YUKSEK","NORMAL"))</f>
        <v/>
      </c>
      <c r="F103" s="17">
        <f>IF($B103&lt;&gt;"tutar_farki","","Fatura "&amp;$A103&amp;" için fark "&amp;TEXT($C103,"0.00")&amp;" TL. Dayanak: "&amp;$D103&amp;". İtiraz dosyası üretildi.")</f>
        <v/>
      </c>
      <c r="G103" s="17">
        <f>IF($B103&lt;&gt;"tutar_farki","","Beklemede")</f>
        <v/>
      </c>
    </row>
    <row r="104">
      <c r="A104" s="22">
        <f>IF('KOK_NEDEN'!$A104="","",'KOK_NEDEN'!$A104)</f>
        <v/>
      </c>
      <c r="B104" s="17">
        <f>IF($A104="","",IFERROR(INDEX(tblKok[Kova],MATCH($A104,tblKok[A_Norm],0)),""))</f>
        <v/>
      </c>
      <c r="C104" s="17">
        <f>IF($A104="","",IFERROR(INDEX(tblEslesme[Fark],MATCH($A104,tblEslesme[A_Norm],0)),0))</f>
        <v/>
      </c>
      <c r="D104" s="17">
        <f>IF($A104="","",IFERROR(INDEX(tblKok[KokNeden],MATCH($A104,tblKok[A_Norm],0)),""))</f>
        <v/>
      </c>
      <c r="E104" s="17">
        <f>IF($B104&lt;&gt;"tutar_farki","",IF(ABS($C104)&gt;efd_esikFark,"YUKSEK","NORMAL"))</f>
        <v/>
      </c>
      <c r="F104" s="17">
        <f>IF($B104&lt;&gt;"tutar_farki","","Fatura "&amp;$A104&amp;" için fark "&amp;TEXT($C104,"0.00")&amp;" TL. Dayanak: "&amp;$D104&amp;". İtiraz dosyası üretildi.")</f>
        <v/>
      </c>
      <c r="G104" s="17">
        <f>IF($B104&lt;&gt;"tutar_farki","","Beklemede")</f>
        <v/>
      </c>
    </row>
    <row r="105">
      <c r="A105" s="22">
        <f>IF('KOK_NEDEN'!$A105="","",'KOK_NEDEN'!$A105)</f>
        <v/>
      </c>
      <c r="B105" s="17">
        <f>IF($A105="","",IFERROR(INDEX(tblKok[Kova],MATCH($A105,tblKok[A_Norm],0)),""))</f>
        <v/>
      </c>
      <c r="C105" s="17">
        <f>IF($A105="","",IFERROR(INDEX(tblEslesme[Fark],MATCH($A105,tblEslesme[A_Norm],0)),0))</f>
        <v/>
      </c>
      <c r="D105" s="17">
        <f>IF($A105="","",IFERROR(INDEX(tblKok[KokNeden],MATCH($A105,tblKok[A_Norm],0)),""))</f>
        <v/>
      </c>
      <c r="E105" s="17">
        <f>IF($B105&lt;&gt;"tutar_farki","",IF(ABS($C105)&gt;efd_esikFark,"YUKSEK","NORMAL"))</f>
        <v/>
      </c>
      <c r="F105" s="17">
        <f>IF($B105&lt;&gt;"tutar_farki","","Fatura "&amp;$A105&amp;" için fark "&amp;TEXT($C105,"0.00")&amp;" TL. Dayanak: "&amp;$D105&amp;". İtiraz dosyası üretildi.")</f>
        <v/>
      </c>
      <c r="G105" s="17">
        <f>IF($B105&lt;&gt;"tutar_farki","","Beklemede")</f>
        <v/>
      </c>
    </row>
    <row r="106">
      <c r="A106" s="22">
        <f>IF('KOK_NEDEN'!$A106="","",'KOK_NEDEN'!$A106)</f>
        <v/>
      </c>
      <c r="B106" s="17">
        <f>IF($A106="","",IFERROR(INDEX(tblKok[Kova],MATCH($A106,tblKok[A_Norm],0)),""))</f>
        <v/>
      </c>
      <c r="C106" s="17">
        <f>IF($A106="","",IFERROR(INDEX(tblEslesme[Fark],MATCH($A106,tblEslesme[A_Norm],0)),0))</f>
        <v/>
      </c>
      <c r="D106" s="17">
        <f>IF($A106="","",IFERROR(INDEX(tblKok[KokNeden],MATCH($A106,tblKok[A_Norm],0)),""))</f>
        <v/>
      </c>
      <c r="E106" s="17">
        <f>IF($B106&lt;&gt;"tutar_farki","",IF(ABS($C106)&gt;efd_esikFark,"YUKSEK","NORMAL"))</f>
        <v/>
      </c>
      <c r="F106" s="17">
        <f>IF($B106&lt;&gt;"tutar_farki","","Fatura "&amp;$A106&amp;" için fark "&amp;TEXT($C106,"0.00")&amp;" TL. Dayanak: "&amp;$D106&amp;". İtiraz dosyası üretildi.")</f>
        <v/>
      </c>
      <c r="G106" s="17">
        <f>IF($B106&lt;&gt;"tutar_farki","","Beklemede")</f>
        <v/>
      </c>
    </row>
    <row r="107">
      <c r="A107" s="22">
        <f>IF('KOK_NEDEN'!$A107="","",'KOK_NEDEN'!$A107)</f>
        <v/>
      </c>
      <c r="B107" s="17">
        <f>IF($A107="","",IFERROR(INDEX(tblKok[Kova],MATCH($A107,tblKok[A_Norm],0)),""))</f>
        <v/>
      </c>
      <c r="C107" s="17">
        <f>IF($A107="","",IFERROR(INDEX(tblEslesme[Fark],MATCH($A107,tblEslesme[A_Norm],0)),0))</f>
        <v/>
      </c>
      <c r="D107" s="17">
        <f>IF($A107="","",IFERROR(INDEX(tblKok[KokNeden],MATCH($A107,tblKok[A_Norm],0)),""))</f>
        <v/>
      </c>
      <c r="E107" s="17">
        <f>IF($B107&lt;&gt;"tutar_farki","",IF(ABS($C107)&gt;efd_esikFark,"YUKSEK","NORMAL"))</f>
        <v/>
      </c>
      <c r="F107" s="17">
        <f>IF($B107&lt;&gt;"tutar_farki","","Fatura "&amp;$A107&amp;" için fark "&amp;TEXT($C107,"0.00")&amp;" TL. Dayanak: "&amp;$D107&amp;". İtiraz dosyası üretildi.")</f>
        <v/>
      </c>
      <c r="G107" s="17">
        <f>IF($B107&lt;&gt;"tutar_farki","","Beklemede")</f>
        <v/>
      </c>
    </row>
    <row r="108">
      <c r="A108" s="22">
        <f>IF('KOK_NEDEN'!$A108="","",'KOK_NEDEN'!$A108)</f>
        <v/>
      </c>
      <c r="B108" s="17">
        <f>IF($A108="","",IFERROR(INDEX(tblKok[Kova],MATCH($A108,tblKok[A_Norm],0)),""))</f>
        <v/>
      </c>
      <c r="C108" s="17">
        <f>IF($A108="","",IFERROR(INDEX(tblEslesme[Fark],MATCH($A108,tblEslesme[A_Norm],0)),0))</f>
        <v/>
      </c>
      <c r="D108" s="17">
        <f>IF($A108="","",IFERROR(INDEX(tblKok[KokNeden],MATCH($A108,tblKok[A_Norm],0)),""))</f>
        <v/>
      </c>
      <c r="E108" s="17">
        <f>IF($B108&lt;&gt;"tutar_farki","",IF(ABS($C108)&gt;efd_esikFark,"YUKSEK","NORMAL"))</f>
        <v/>
      </c>
      <c r="F108" s="17">
        <f>IF($B108&lt;&gt;"tutar_farki","","Fatura "&amp;$A108&amp;" için fark "&amp;TEXT($C108,"0.00")&amp;" TL. Dayanak: "&amp;$D108&amp;". İtiraz dosyası üretildi.")</f>
        <v/>
      </c>
      <c r="G108" s="17">
        <f>IF($B108&lt;&gt;"tutar_farki","","Beklemede")</f>
        <v/>
      </c>
    </row>
    <row r="109">
      <c r="A109" s="22">
        <f>IF('KOK_NEDEN'!$A109="","",'KOK_NEDEN'!$A109)</f>
        <v/>
      </c>
      <c r="B109" s="17">
        <f>IF($A109="","",IFERROR(INDEX(tblKok[Kova],MATCH($A109,tblKok[A_Norm],0)),""))</f>
        <v/>
      </c>
      <c r="C109" s="17">
        <f>IF($A109="","",IFERROR(INDEX(tblEslesme[Fark],MATCH($A109,tblEslesme[A_Norm],0)),0))</f>
        <v/>
      </c>
      <c r="D109" s="17">
        <f>IF($A109="","",IFERROR(INDEX(tblKok[KokNeden],MATCH($A109,tblKok[A_Norm],0)),""))</f>
        <v/>
      </c>
      <c r="E109" s="17">
        <f>IF($B109&lt;&gt;"tutar_farki","",IF(ABS($C109)&gt;efd_esikFark,"YUKSEK","NORMAL"))</f>
        <v/>
      </c>
      <c r="F109" s="17">
        <f>IF($B109&lt;&gt;"tutar_farki","","Fatura "&amp;$A109&amp;" için fark "&amp;TEXT($C109,"0.00")&amp;" TL. Dayanak: "&amp;$D109&amp;". İtiraz dosyası üretildi.")</f>
        <v/>
      </c>
      <c r="G109" s="17">
        <f>IF($B109&lt;&gt;"tutar_farki","","Beklemede")</f>
        <v/>
      </c>
    </row>
    <row r="110">
      <c r="A110" s="22">
        <f>IF('KOK_NEDEN'!$A110="","",'KOK_NEDEN'!$A110)</f>
        <v/>
      </c>
      <c r="B110" s="17">
        <f>IF($A110="","",IFERROR(INDEX(tblKok[Kova],MATCH($A110,tblKok[A_Norm],0)),""))</f>
        <v/>
      </c>
      <c r="C110" s="17">
        <f>IF($A110="","",IFERROR(INDEX(tblEslesme[Fark],MATCH($A110,tblEslesme[A_Norm],0)),0))</f>
        <v/>
      </c>
      <c r="D110" s="17">
        <f>IF($A110="","",IFERROR(INDEX(tblKok[KokNeden],MATCH($A110,tblKok[A_Norm],0)),""))</f>
        <v/>
      </c>
      <c r="E110" s="17">
        <f>IF($B110&lt;&gt;"tutar_farki","",IF(ABS($C110)&gt;efd_esikFark,"YUKSEK","NORMAL"))</f>
        <v/>
      </c>
      <c r="F110" s="17">
        <f>IF($B110&lt;&gt;"tutar_farki","","Fatura "&amp;$A110&amp;" için fark "&amp;TEXT($C110,"0.00")&amp;" TL. Dayanak: "&amp;$D110&amp;". İtiraz dosyası üretildi.")</f>
        <v/>
      </c>
      <c r="G110" s="17">
        <f>IF($B110&lt;&gt;"tutar_farki","","Beklemede")</f>
        <v/>
      </c>
    </row>
    <row r="111">
      <c r="A111" s="22">
        <f>IF('KOK_NEDEN'!$A111="","",'KOK_NEDEN'!$A111)</f>
        <v/>
      </c>
      <c r="B111" s="17">
        <f>IF($A111="","",IFERROR(INDEX(tblKok[Kova],MATCH($A111,tblKok[A_Norm],0)),""))</f>
        <v/>
      </c>
      <c r="C111" s="17">
        <f>IF($A111="","",IFERROR(INDEX(tblEslesme[Fark],MATCH($A111,tblEslesme[A_Norm],0)),0))</f>
        <v/>
      </c>
      <c r="D111" s="17">
        <f>IF($A111="","",IFERROR(INDEX(tblKok[KokNeden],MATCH($A111,tblKok[A_Norm],0)),""))</f>
        <v/>
      </c>
      <c r="E111" s="17">
        <f>IF($B111&lt;&gt;"tutar_farki","",IF(ABS($C111)&gt;efd_esikFark,"YUKSEK","NORMAL"))</f>
        <v/>
      </c>
      <c r="F111" s="17">
        <f>IF($B111&lt;&gt;"tutar_farki","","Fatura "&amp;$A111&amp;" için fark "&amp;TEXT($C111,"0.00")&amp;" TL. Dayanak: "&amp;$D111&amp;". İtiraz dosyası üretildi.")</f>
        <v/>
      </c>
      <c r="G111" s="17">
        <f>IF($B111&lt;&gt;"tutar_farki","","Beklemede")</f>
        <v/>
      </c>
    </row>
    <row r="112">
      <c r="A112" s="22">
        <f>IF('KOK_NEDEN'!$A112="","",'KOK_NEDEN'!$A112)</f>
        <v/>
      </c>
      <c r="B112" s="17">
        <f>IF($A112="","",IFERROR(INDEX(tblKok[Kova],MATCH($A112,tblKok[A_Norm],0)),""))</f>
        <v/>
      </c>
      <c r="C112" s="17">
        <f>IF($A112="","",IFERROR(INDEX(tblEslesme[Fark],MATCH($A112,tblEslesme[A_Norm],0)),0))</f>
        <v/>
      </c>
      <c r="D112" s="17">
        <f>IF($A112="","",IFERROR(INDEX(tblKok[KokNeden],MATCH($A112,tblKok[A_Norm],0)),""))</f>
        <v/>
      </c>
      <c r="E112" s="17">
        <f>IF($B112&lt;&gt;"tutar_farki","",IF(ABS($C112)&gt;efd_esikFark,"YUKSEK","NORMAL"))</f>
        <v/>
      </c>
      <c r="F112" s="17">
        <f>IF($B112&lt;&gt;"tutar_farki","","Fatura "&amp;$A112&amp;" için fark "&amp;TEXT($C112,"0.00")&amp;" TL. Dayanak: "&amp;$D112&amp;". İtiraz dosyası üretildi.")</f>
        <v/>
      </c>
      <c r="G112" s="17">
        <f>IF($B112&lt;&gt;"tutar_farki","","Beklemede")</f>
        <v/>
      </c>
    </row>
    <row r="113">
      <c r="A113" s="22">
        <f>IF('KOK_NEDEN'!$A113="","",'KOK_NEDEN'!$A113)</f>
        <v/>
      </c>
      <c r="B113" s="17">
        <f>IF($A113="","",IFERROR(INDEX(tblKok[Kova],MATCH($A113,tblKok[A_Norm],0)),""))</f>
        <v/>
      </c>
      <c r="C113" s="17">
        <f>IF($A113="","",IFERROR(INDEX(tblEslesme[Fark],MATCH($A113,tblEslesme[A_Norm],0)),0))</f>
        <v/>
      </c>
      <c r="D113" s="17">
        <f>IF($A113="","",IFERROR(INDEX(tblKok[KokNeden],MATCH($A113,tblKok[A_Norm],0)),""))</f>
        <v/>
      </c>
      <c r="E113" s="17">
        <f>IF($B113&lt;&gt;"tutar_farki","",IF(ABS($C113)&gt;efd_esikFark,"YUKSEK","NORMAL"))</f>
        <v/>
      </c>
      <c r="F113" s="17">
        <f>IF($B113&lt;&gt;"tutar_farki","","Fatura "&amp;$A113&amp;" için fark "&amp;TEXT($C113,"0.00")&amp;" TL. Dayanak: "&amp;$D113&amp;". İtiraz dosyası üretildi.")</f>
        <v/>
      </c>
      <c r="G113" s="17">
        <f>IF($B113&lt;&gt;"tutar_farki","","Beklemede")</f>
        <v/>
      </c>
    </row>
    <row r="114">
      <c r="A114" s="22">
        <f>IF('KOK_NEDEN'!$A114="","",'KOK_NEDEN'!$A114)</f>
        <v/>
      </c>
      <c r="B114" s="17">
        <f>IF($A114="","",IFERROR(INDEX(tblKok[Kova],MATCH($A114,tblKok[A_Norm],0)),""))</f>
        <v/>
      </c>
      <c r="C114" s="17">
        <f>IF($A114="","",IFERROR(INDEX(tblEslesme[Fark],MATCH($A114,tblEslesme[A_Norm],0)),0))</f>
        <v/>
      </c>
      <c r="D114" s="17">
        <f>IF($A114="","",IFERROR(INDEX(tblKok[KokNeden],MATCH($A114,tblKok[A_Norm],0)),""))</f>
        <v/>
      </c>
      <c r="E114" s="17">
        <f>IF($B114&lt;&gt;"tutar_farki","",IF(ABS($C114)&gt;efd_esikFark,"YUKSEK","NORMAL"))</f>
        <v/>
      </c>
      <c r="F114" s="17">
        <f>IF($B114&lt;&gt;"tutar_farki","","Fatura "&amp;$A114&amp;" için fark "&amp;TEXT($C114,"0.00")&amp;" TL. Dayanak: "&amp;$D114&amp;". İtiraz dosyası üretildi.")</f>
        <v/>
      </c>
      <c r="G114" s="17">
        <f>IF($B114&lt;&gt;"tutar_farki","","Beklemede")</f>
        <v/>
      </c>
    </row>
    <row r="115">
      <c r="A115" s="22">
        <f>IF('KOK_NEDEN'!$A115="","",'KOK_NEDEN'!$A115)</f>
        <v/>
      </c>
      <c r="B115" s="17">
        <f>IF($A115="","",IFERROR(INDEX(tblKok[Kova],MATCH($A115,tblKok[A_Norm],0)),""))</f>
        <v/>
      </c>
      <c r="C115" s="17">
        <f>IF($A115="","",IFERROR(INDEX(tblEslesme[Fark],MATCH($A115,tblEslesme[A_Norm],0)),0))</f>
        <v/>
      </c>
      <c r="D115" s="17">
        <f>IF($A115="","",IFERROR(INDEX(tblKok[KokNeden],MATCH($A115,tblKok[A_Norm],0)),""))</f>
        <v/>
      </c>
      <c r="E115" s="17">
        <f>IF($B115&lt;&gt;"tutar_farki","",IF(ABS($C115)&gt;efd_esikFark,"YUKSEK","NORMAL"))</f>
        <v/>
      </c>
      <c r="F115" s="17">
        <f>IF($B115&lt;&gt;"tutar_farki","","Fatura "&amp;$A115&amp;" için fark "&amp;TEXT($C115,"0.00")&amp;" TL. Dayanak: "&amp;$D115&amp;". İtiraz dosyası üretildi.")</f>
        <v/>
      </c>
      <c r="G115" s="17">
        <f>IF($B115&lt;&gt;"tutar_farki","","Beklemede")</f>
        <v/>
      </c>
    </row>
    <row r="116">
      <c r="A116" s="22">
        <f>IF('KOK_NEDEN'!$A116="","",'KOK_NEDEN'!$A116)</f>
        <v/>
      </c>
      <c r="B116" s="17">
        <f>IF($A116="","",IFERROR(INDEX(tblKok[Kova],MATCH($A116,tblKok[A_Norm],0)),""))</f>
        <v/>
      </c>
      <c r="C116" s="17">
        <f>IF($A116="","",IFERROR(INDEX(tblEslesme[Fark],MATCH($A116,tblEslesme[A_Norm],0)),0))</f>
        <v/>
      </c>
      <c r="D116" s="17">
        <f>IF($A116="","",IFERROR(INDEX(tblKok[KokNeden],MATCH($A116,tblKok[A_Norm],0)),""))</f>
        <v/>
      </c>
      <c r="E116" s="17">
        <f>IF($B116&lt;&gt;"tutar_farki","",IF(ABS($C116)&gt;efd_esikFark,"YUKSEK","NORMAL"))</f>
        <v/>
      </c>
      <c r="F116" s="17">
        <f>IF($B116&lt;&gt;"tutar_farki","","Fatura "&amp;$A116&amp;" için fark "&amp;TEXT($C116,"0.00")&amp;" TL. Dayanak: "&amp;$D116&amp;". İtiraz dosyası üretildi.")</f>
        <v/>
      </c>
      <c r="G116" s="17">
        <f>IF($B116&lt;&gt;"tutar_farki","","Beklemede")</f>
        <v/>
      </c>
    </row>
    <row r="117">
      <c r="A117" s="22">
        <f>IF('KOK_NEDEN'!$A117="","",'KOK_NEDEN'!$A117)</f>
        <v/>
      </c>
      <c r="B117" s="17">
        <f>IF($A117="","",IFERROR(INDEX(tblKok[Kova],MATCH($A117,tblKok[A_Norm],0)),""))</f>
        <v/>
      </c>
      <c r="C117" s="17">
        <f>IF($A117="","",IFERROR(INDEX(tblEslesme[Fark],MATCH($A117,tblEslesme[A_Norm],0)),0))</f>
        <v/>
      </c>
      <c r="D117" s="17">
        <f>IF($A117="","",IFERROR(INDEX(tblKok[KokNeden],MATCH($A117,tblKok[A_Norm],0)),""))</f>
        <v/>
      </c>
      <c r="E117" s="17">
        <f>IF($B117&lt;&gt;"tutar_farki","",IF(ABS($C117)&gt;efd_esikFark,"YUKSEK","NORMAL"))</f>
        <v/>
      </c>
      <c r="F117" s="17">
        <f>IF($B117&lt;&gt;"tutar_farki","","Fatura "&amp;$A117&amp;" için fark "&amp;TEXT($C117,"0.00")&amp;" TL. Dayanak: "&amp;$D117&amp;". İtiraz dosyası üretildi.")</f>
        <v/>
      </c>
      <c r="G117" s="17">
        <f>IF($B117&lt;&gt;"tutar_farki","","Beklemede")</f>
        <v/>
      </c>
    </row>
    <row r="118">
      <c r="A118" s="22">
        <f>IF('KOK_NEDEN'!$A118="","",'KOK_NEDEN'!$A118)</f>
        <v/>
      </c>
      <c r="B118" s="17">
        <f>IF($A118="","",IFERROR(INDEX(tblKok[Kova],MATCH($A118,tblKok[A_Norm],0)),""))</f>
        <v/>
      </c>
      <c r="C118" s="17">
        <f>IF($A118="","",IFERROR(INDEX(tblEslesme[Fark],MATCH($A118,tblEslesme[A_Norm],0)),0))</f>
        <v/>
      </c>
      <c r="D118" s="17">
        <f>IF($A118="","",IFERROR(INDEX(tblKok[KokNeden],MATCH($A118,tblKok[A_Norm],0)),""))</f>
        <v/>
      </c>
      <c r="E118" s="17">
        <f>IF($B118&lt;&gt;"tutar_farki","",IF(ABS($C118)&gt;efd_esikFark,"YUKSEK","NORMAL"))</f>
        <v/>
      </c>
      <c r="F118" s="17">
        <f>IF($B118&lt;&gt;"tutar_farki","","Fatura "&amp;$A118&amp;" için fark "&amp;TEXT($C118,"0.00")&amp;" TL. Dayanak: "&amp;$D118&amp;". İtiraz dosyası üretildi.")</f>
        <v/>
      </c>
      <c r="G118" s="17">
        <f>IF($B118&lt;&gt;"tutar_farki","","Beklemede")</f>
        <v/>
      </c>
    </row>
    <row r="119">
      <c r="A119" s="22">
        <f>IF('KOK_NEDEN'!$A119="","",'KOK_NEDEN'!$A119)</f>
        <v/>
      </c>
      <c r="B119" s="17">
        <f>IF($A119="","",IFERROR(INDEX(tblKok[Kova],MATCH($A119,tblKok[A_Norm],0)),""))</f>
        <v/>
      </c>
      <c r="C119" s="17">
        <f>IF($A119="","",IFERROR(INDEX(tblEslesme[Fark],MATCH($A119,tblEslesme[A_Norm],0)),0))</f>
        <v/>
      </c>
      <c r="D119" s="17">
        <f>IF($A119="","",IFERROR(INDEX(tblKok[KokNeden],MATCH($A119,tblKok[A_Norm],0)),""))</f>
        <v/>
      </c>
      <c r="E119" s="17">
        <f>IF($B119&lt;&gt;"tutar_farki","",IF(ABS($C119)&gt;efd_esikFark,"YUKSEK","NORMAL"))</f>
        <v/>
      </c>
      <c r="F119" s="17">
        <f>IF($B119&lt;&gt;"tutar_farki","","Fatura "&amp;$A119&amp;" için fark "&amp;TEXT($C119,"0.00")&amp;" TL. Dayanak: "&amp;$D119&amp;". İtiraz dosyası üretildi.")</f>
        <v/>
      </c>
      <c r="G119" s="17">
        <f>IF($B119&lt;&gt;"tutar_farki","","Beklemede")</f>
        <v/>
      </c>
    </row>
    <row r="120">
      <c r="A120" s="22">
        <f>IF('KOK_NEDEN'!$A120="","",'KOK_NEDEN'!$A120)</f>
        <v/>
      </c>
      <c r="B120" s="17">
        <f>IF($A120="","",IFERROR(INDEX(tblKok[Kova],MATCH($A120,tblKok[A_Norm],0)),""))</f>
        <v/>
      </c>
      <c r="C120" s="17">
        <f>IF($A120="","",IFERROR(INDEX(tblEslesme[Fark],MATCH($A120,tblEslesme[A_Norm],0)),0))</f>
        <v/>
      </c>
      <c r="D120" s="17">
        <f>IF($A120="","",IFERROR(INDEX(tblKok[KokNeden],MATCH($A120,tblKok[A_Norm],0)),""))</f>
        <v/>
      </c>
      <c r="E120" s="17">
        <f>IF($B120&lt;&gt;"tutar_farki","",IF(ABS($C120)&gt;efd_esikFark,"YUKSEK","NORMAL"))</f>
        <v/>
      </c>
      <c r="F120" s="17">
        <f>IF($B120&lt;&gt;"tutar_farki","","Fatura "&amp;$A120&amp;" için fark "&amp;TEXT($C120,"0.00")&amp;" TL. Dayanak: "&amp;$D120&amp;". İtiraz dosyası üretildi.")</f>
        <v/>
      </c>
      <c r="G120" s="17">
        <f>IF($B120&lt;&gt;"tutar_farki","","Beklemede")</f>
        <v/>
      </c>
    </row>
    <row r="121">
      <c r="A121" s="22">
        <f>IF('KOK_NEDEN'!$A121="","",'KOK_NEDEN'!$A121)</f>
        <v/>
      </c>
      <c r="B121" s="17">
        <f>IF($A121="","",IFERROR(INDEX(tblKok[Kova],MATCH($A121,tblKok[A_Norm],0)),""))</f>
        <v/>
      </c>
      <c r="C121" s="17">
        <f>IF($A121="","",IFERROR(INDEX(tblEslesme[Fark],MATCH($A121,tblEslesme[A_Norm],0)),0))</f>
        <v/>
      </c>
      <c r="D121" s="17">
        <f>IF($A121="","",IFERROR(INDEX(tblKok[KokNeden],MATCH($A121,tblKok[A_Norm],0)),""))</f>
        <v/>
      </c>
      <c r="E121" s="17">
        <f>IF($B121&lt;&gt;"tutar_farki","",IF(ABS($C121)&gt;efd_esikFark,"YUKSEK","NORMAL"))</f>
        <v/>
      </c>
      <c r="F121" s="17">
        <f>IF($B121&lt;&gt;"tutar_farki","","Fatura "&amp;$A121&amp;" için fark "&amp;TEXT($C121,"0.00")&amp;" TL. Dayanak: "&amp;$D121&amp;". İtiraz dosyası üretildi.")</f>
        <v/>
      </c>
      <c r="G121" s="17">
        <f>IF($B121&lt;&gt;"tutar_farki","","Beklemede")</f>
        <v/>
      </c>
    </row>
    <row r="122">
      <c r="A122" s="22">
        <f>IF('KOK_NEDEN'!$A122="","",'KOK_NEDEN'!$A122)</f>
        <v/>
      </c>
      <c r="B122" s="17">
        <f>IF($A122="","",IFERROR(INDEX(tblKok[Kova],MATCH($A122,tblKok[A_Norm],0)),""))</f>
        <v/>
      </c>
      <c r="C122" s="17">
        <f>IF($A122="","",IFERROR(INDEX(tblEslesme[Fark],MATCH($A122,tblEslesme[A_Norm],0)),0))</f>
        <v/>
      </c>
      <c r="D122" s="17">
        <f>IF($A122="","",IFERROR(INDEX(tblKok[KokNeden],MATCH($A122,tblKok[A_Norm],0)),""))</f>
        <v/>
      </c>
      <c r="E122" s="17">
        <f>IF($B122&lt;&gt;"tutar_farki","",IF(ABS($C122)&gt;efd_esikFark,"YUKSEK","NORMAL"))</f>
        <v/>
      </c>
      <c r="F122" s="17">
        <f>IF($B122&lt;&gt;"tutar_farki","","Fatura "&amp;$A122&amp;" için fark "&amp;TEXT($C122,"0.00")&amp;" TL. Dayanak: "&amp;$D122&amp;". İtiraz dosyası üretildi.")</f>
        <v/>
      </c>
      <c r="G122" s="17">
        <f>IF($B122&lt;&gt;"tutar_farki","","Beklemede")</f>
        <v/>
      </c>
    </row>
    <row r="123">
      <c r="A123" s="22">
        <f>IF('KOK_NEDEN'!$A123="","",'KOK_NEDEN'!$A123)</f>
        <v/>
      </c>
      <c r="B123" s="17">
        <f>IF($A123="","",IFERROR(INDEX(tblKok[Kova],MATCH($A123,tblKok[A_Norm],0)),""))</f>
        <v/>
      </c>
      <c r="C123" s="17">
        <f>IF($A123="","",IFERROR(INDEX(tblEslesme[Fark],MATCH($A123,tblEslesme[A_Norm],0)),0))</f>
        <v/>
      </c>
      <c r="D123" s="17">
        <f>IF($A123="","",IFERROR(INDEX(tblKok[KokNeden],MATCH($A123,tblKok[A_Norm],0)),""))</f>
        <v/>
      </c>
      <c r="E123" s="17">
        <f>IF($B123&lt;&gt;"tutar_farki","",IF(ABS($C123)&gt;efd_esikFark,"YUKSEK","NORMAL"))</f>
        <v/>
      </c>
      <c r="F123" s="17">
        <f>IF($B123&lt;&gt;"tutar_farki","","Fatura "&amp;$A123&amp;" için fark "&amp;TEXT($C123,"0.00")&amp;" TL. Dayanak: "&amp;$D123&amp;". İtiraz dosyası üretildi.")</f>
        <v/>
      </c>
      <c r="G123" s="17">
        <f>IF($B123&lt;&gt;"tutar_farki","","Beklemede")</f>
        <v/>
      </c>
    </row>
    <row r="124">
      <c r="A124" s="22">
        <f>IF('KOK_NEDEN'!$A124="","",'KOK_NEDEN'!$A124)</f>
        <v/>
      </c>
      <c r="B124" s="17">
        <f>IF($A124="","",IFERROR(INDEX(tblKok[Kova],MATCH($A124,tblKok[A_Norm],0)),""))</f>
        <v/>
      </c>
      <c r="C124" s="17">
        <f>IF($A124="","",IFERROR(INDEX(tblEslesme[Fark],MATCH($A124,tblEslesme[A_Norm],0)),0))</f>
        <v/>
      </c>
      <c r="D124" s="17">
        <f>IF($A124="","",IFERROR(INDEX(tblKok[KokNeden],MATCH($A124,tblKok[A_Norm],0)),""))</f>
        <v/>
      </c>
      <c r="E124" s="17">
        <f>IF($B124&lt;&gt;"tutar_farki","",IF(ABS($C124)&gt;efd_esikFark,"YUKSEK","NORMAL"))</f>
        <v/>
      </c>
      <c r="F124" s="17">
        <f>IF($B124&lt;&gt;"tutar_farki","","Fatura "&amp;$A124&amp;" için fark "&amp;TEXT($C124,"0.00")&amp;" TL. Dayanak: "&amp;$D124&amp;". İtiraz dosyası üretildi.")</f>
        <v/>
      </c>
      <c r="G124" s="17">
        <f>IF($B124&lt;&gt;"tutar_farki","","Beklemede")</f>
        <v/>
      </c>
    </row>
    <row r="125">
      <c r="A125" s="22">
        <f>IF('KOK_NEDEN'!$A125="","",'KOK_NEDEN'!$A125)</f>
        <v/>
      </c>
      <c r="B125" s="17">
        <f>IF($A125="","",IFERROR(INDEX(tblKok[Kova],MATCH($A125,tblKok[A_Norm],0)),""))</f>
        <v/>
      </c>
      <c r="C125" s="17">
        <f>IF($A125="","",IFERROR(INDEX(tblEslesme[Fark],MATCH($A125,tblEslesme[A_Norm],0)),0))</f>
        <v/>
      </c>
      <c r="D125" s="17">
        <f>IF($A125="","",IFERROR(INDEX(tblKok[KokNeden],MATCH($A125,tblKok[A_Norm],0)),""))</f>
        <v/>
      </c>
      <c r="E125" s="17">
        <f>IF($B125&lt;&gt;"tutar_farki","",IF(ABS($C125)&gt;efd_esikFark,"YUKSEK","NORMAL"))</f>
        <v/>
      </c>
      <c r="F125" s="17">
        <f>IF($B125&lt;&gt;"tutar_farki","","Fatura "&amp;$A125&amp;" için fark "&amp;TEXT($C125,"0.00")&amp;" TL. Dayanak: "&amp;$D125&amp;". İtiraz dosyası üretildi.")</f>
        <v/>
      </c>
      <c r="G125" s="17">
        <f>IF($B125&lt;&gt;"tutar_farki","","Beklemede")</f>
        <v/>
      </c>
    </row>
    <row r="126">
      <c r="A126" s="22">
        <f>IF('KOK_NEDEN'!$A126="","",'KOK_NEDEN'!$A126)</f>
        <v/>
      </c>
      <c r="B126" s="17">
        <f>IF($A126="","",IFERROR(INDEX(tblKok[Kova],MATCH($A126,tblKok[A_Norm],0)),""))</f>
        <v/>
      </c>
      <c r="C126" s="17">
        <f>IF($A126="","",IFERROR(INDEX(tblEslesme[Fark],MATCH($A126,tblEslesme[A_Norm],0)),0))</f>
        <v/>
      </c>
      <c r="D126" s="17">
        <f>IF($A126="","",IFERROR(INDEX(tblKok[KokNeden],MATCH($A126,tblKok[A_Norm],0)),""))</f>
        <v/>
      </c>
      <c r="E126" s="17">
        <f>IF($B126&lt;&gt;"tutar_farki","",IF(ABS($C126)&gt;efd_esikFark,"YUKSEK","NORMAL"))</f>
        <v/>
      </c>
      <c r="F126" s="17">
        <f>IF($B126&lt;&gt;"tutar_farki","","Fatura "&amp;$A126&amp;" için fark "&amp;TEXT($C126,"0.00")&amp;" TL. Dayanak: "&amp;$D126&amp;". İtiraz dosyası üretildi.")</f>
        <v/>
      </c>
      <c r="G126" s="17">
        <f>IF($B126&lt;&gt;"tutar_farki","","Beklemede")</f>
        <v/>
      </c>
    </row>
    <row r="127">
      <c r="A127" s="22">
        <f>IF('KOK_NEDEN'!$A127="","",'KOK_NEDEN'!$A127)</f>
        <v/>
      </c>
      <c r="B127" s="17">
        <f>IF($A127="","",IFERROR(INDEX(tblKok[Kova],MATCH($A127,tblKok[A_Norm],0)),""))</f>
        <v/>
      </c>
      <c r="C127" s="17">
        <f>IF($A127="","",IFERROR(INDEX(tblEslesme[Fark],MATCH($A127,tblEslesme[A_Norm],0)),0))</f>
        <v/>
      </c>
      <c r="D127" s="17">
        <f>IF($A127="","",IFERROR(INDEX(tblKok[KokNeden],MATCH($A127,tblKok[A_Norm],0)),""))</f>
        <v/>
      </c>
      <c r="E127" s="17">
        <f>IF($B127&lt;&gt;"tutar_farki","",IF(ABS($C127)&gt;efd_esikFark,"YUKSEK","NORMAL"))</f>
        <v/>
      </c>
      <c r="F127" s="17">
        <f>IF($B127&lt;&gt;"tutar_farki","","Fatura "&amp;$A127&amp;" için fark "&amp;TEXT($C127,"0.00")&amp;" TL. Dayanak: "&amp;$D127&amp;". İtiraz dosyası üretildi.")</f>
        <v/>
      </c>
      <c r="G127" s="17">
        <f>IF($B127&lt;&gt;"tutar_farki","","Beklemede")</f>
        <v/>
      </c>
    </row>
    <row r="128">
      <c r="A128" s="22">
        <f>IF('KOK_NEDEN'!$A128="","",'KOK_NEDEN'!$A128)</f>
        <v/>
      </c>
      <c r="B128" s="17">
        <f>IF($A128="","",IFERROR(INDEX(tblKok[Kova],MATCH($A128,tblKok[A_Norm],0)),""))</f>
        <v/>
      </c>
      <c r="C128" s="17">
        <f>IF($A128="","",IFERROR(INDEX(tblEslesme[Fark],MATCH($A128,tblEslesme[A_Norm],0)),0))</f>
        <v/>
      </c>
      <c r="D128" s="17">
        <f>IF($A128="","",IFERROR(INDEX(tblKok[KokNeden],MATCH($A128,tblKok[A_Norm],0)),""))</f>
        <v/>
      </c>
      <c r="E128" s="17">
        <f>IF($B128&lt;&gt;"tutar_farki","",IF(ABS($C128)&gt;efd_esikFark,"YUKSEK","NORMAL"))</f>
        <v/>
      </c>
      <c r="F128" s="17">
        <f>IF($B128&lt;&gt;"tutar_farki","","Fatura "&amp;$A128&amp;" için fark "&amp;TEXT($C128,"0.00")&amp;" TL. Dayanak: "&amp;$D128&amp;". İtiraz dosyası üretildi.")</f>
        <v/>
      </c>
      <c r="G128" s="17">
        <f>IF($B128&lt;&gt;"tutar_farki","","Beklemede")</f>
        <v/>
      </c>
    </row>
    <row r="129">
      <c r="A129" s="22">
        <f>IF('KOK_NEDEN'!$A129="","",'KOK_NEDEN'!$A129)</f>
        <v/>
      </c>
      <c r="B129" s="17">
        <f>IF($A129="","",IFERROR(INDEX(tblKok[Kova],MATCH($A129,tblKok[A_Norm],0)),""))</f>
        <v/>
      </c>
      <c r="C129" s="17">
        <f>IF($A129="","",IFERROR(INDEX(tblEslesme[Fark],MATCH($A129,tblEslesme[A_Norm],0)),0))</f>
        <v/>
      </c>
      <c r="D129" s="17">
        <f>IF($A129="","",IFERROR(INDEX(tblKok[KokNeden],MATCH($A129,tblKok[A_Norm],0)),""))</f>
        <v/>
      </c>
      <c r="E129" s="17">
        <f>IF($B129&lt;&gt;"tutar_farki","",IF(ABS($C129)&gt;efd_esikFark,"YUKSEK","NORMAL"))</f>
        <v/>
      </c>
      <c r="F129" s="17">
        <f>IF($B129&lt;&gt;"tutar_farki","","Fatura "&amp;$A129&amp;" için fark "&amp;TEXT($C129,"0.00")&amp;" TL. Dayanak: "&amp;$D129&amp;". İtiraz dosyası üretildi.")</f>
        <v/>
      </c>
      <c r="G129" s="17">
        <f>IF($B129&lt;&gt;"tutar_farki","","Beklemede")</f>
        <v/>
      </c>
    </row>
    <row r="130">
      <c r="A130" s="22">
        <f>IF('KOK_NEDEN'!$A130="","",'KOK_NEDEN'!$A130)</f>
        <v/>
      </c>
      <c r="B130" s="17">
        <f>IF($A130="","",IFERROR(INDEX(tblKok[Kova],MATCH($A130,tblKok[A_Norm],0)),""))</f>
        <v/>
      </c>
      <c r="C130" s="17">
        <f>IF($A130="","",IFERROR(INDEX(tblEslesme[Fark],MATCH($A130,tblEslesme[A_Norm],0)),0))</f>
        <v/>
      </c>
      <c r="D130" s="17">
        <f>IF($A130="","",IFERROR(INDEX(tblKok[KokNeden],MATCH($A130,tblKok[A_Norm],0)),""))</f>
        <v/>
      </c>
      <c r="E130" s="17">
        <f>IF($B130&lt;&gt;"tutar_farki","",IF(ABS($C130)&gt;efd_esikFark,"YUKSEK","NORMAL"))</f>
        <v/>
      </c>
      <c r="F130" s="17">
        <f>IF($B130&lt;&gt;"tutar_farki","","Fatura "&amp;$A130&amp;" için fark "&amp;TEXT($C130,"0.00")&amp;" TL. Dayanak: "&amp;$D130&amp;". İtiraz dosyası üretildi.")</f>
        <v/>
      </c>
      <c r="G130" s="17">
        <f>IF($B130&lt;&gt;"tutar_farki","","Beklemede")</f>
        <v/>
      </c>
    </row>
    <row r="131">
      <c r="A131" s="22">
        <f>IF('KOK_NEDEN'!$A131="","",'KOK_NEDEN'!$A131)</f>
        <v/>
      </c>
      <c r="B131" s="17">
        <f>IF($A131="","",IFERROR(INDEX(tblKok[Kova],MATCH($A131,tblKok[A_Norm],0)),""))</f>
        <v/>
      </c>
      <c r="C131" s="17">
        <f>IF($A131="","",IFERROR(INDEX(tblEslesme[Fark],MATCH($A131,tblEslesme[A_Norm],0)),0))</f>
        <v/>
      </c>
      <c r="D131" s="17">
        <f>IF($A131="","",IFERROR(INDEX(tblKok[KokNeden],MATCH($A131,tblKok[A_Norm],0)),""))</f>
        <v/>
      </c>
      <c r="E131" s="17">
        <f>IF($B131&lt;&gt;"tutar_farki","",IF(ABS($C131)&gt;efd_esikFark,"YUKSEK","NORMAL"))</f>
        <v/>
      </c>
      <c r="F131" s="17">
        <f>IF($B131&lt;&gt;"tutar_farki","","Fatura "&amp;$A131&amp;" için fark "&amp;TEXT($C131,"0.00")&amp;" TL. Dayanak: "&amp;$D131&amp;". İtiraz dosyası üretildi.")</f>
        <v/>
      </c>
      <c r="G131" s="17">
        <f>IF($B131&lt;&gt;"tutar_farki","","Beklemede")</f>
        <v/>
      </c>
    </row>
    <row r="132">
      <c r="A132" s="22">
        <f>IF('KOK_NEDEN'!$A132="","",'KOK_NEDEN'!$A132)</f>
        <v/>
      </c>
      <c r="B132" s="17">
        <f>IF($A132="","",IFERROR(INDEX(tblKok[Kova],MATCH($A132,tblKok[A_Norm],0)),""))</f>
        <v/>
      </c>
      <c r="C132" s="17">
        <f>IF($A132="","",IFERROR(INDEX(tblEslesme[Fark],MATCH($A132,tblEslesme[A_Norm],0)),0))</f>
        <v/>
      </c>
      <c r="D132" s="17">
        <f>IF($A132="","",IFERROR(INDEX(tblKok[KokNeden],MATCH($A132,tblKok[A_Norm],0)),""))</f>
        <v/>
      </c>
      <c r="E132" s="17">
        <f>IF($B132&lt;&gt;"tutar_farki","",IF(ABS($C132)&gt;efd_esikFark,"YUKSEK","NORMAL"))</f>
        <v/>
      </c>
      <c r="F132" s="17">
        <f>IF($B132&lt;&gt;"tutar_farki","","Fatura "&amp;$A132&amp;" için fark "&amp;TEXT($C132,"0.00")&amp;" TL. Dayanak: "&amp;$D132&amp;". İtiraz dosyası üretildi.")</f>
        <v/>
      </c>
      <c r="G132" s="17">
        <f>IF($B132&lt;&gt;"tutar_farki","","Beklemede")</f>
        <v/>
      </c>
    </row>
    <row r="133">
      <c r="A133" s="22">
        <f>IF('KOK_NEDEN'!$A133="","",'KOK_NEDEN'!$A133)</f>
        <v/>
      </c>
      <c r="B133" s="17">
        <f>IF($A133="","",IFERROR(INDEX(tblKok[Kova],MATCH($A133,tblKok[A_Norm],0)),""))</f>
        <v/>
      </c>
      <c r="C133" s="17">
        <f>IF($A133="","",IFERROR(INDEX(tblEslesme[Fark],MATCH($A133,tblEslesme[A_Norm],0)),0))</f>
        <v/>
      </c>
      <c r="D133" s="17">
        <f>IF($A133="","",IFERROR(INDEX(tblKok[KokNeden],MATCH($A133,tblKok[A_Norm],0)),""))</f>
        <v/>
      </c>
      <c r="E133" s="17">
        <f>IF($B133&lt;&gt;"tutar_farki","",IF(ABS($C133)&gt;efd_esikFark,"YUKSEK","NORMAL"))</f>
        <v/>
      </c>
      <c r="F133" s="17">
        <f>IF($B133&lt;&gt;"tutar_farki","","Fatura "&amp;$A133&amp;" için fark "&amp;TEXT($C133,"0.00")&amp;" TL. Dayanak: "&amp;$D133&amp;". İtiraz dosyası üretildi.")</f>
        <v/>
      </c>
      <c r="G133" s="17">
        <f>IF($B133&lt;&gt;"tutar_farki","","Beklemede")</f>
        <v/>
      </c>
    </row>
    <row r="134">
      <c r="A134" s="22">
        <f>IF('KOK_NEDEN'!$A134="","",'KOK_NEDEN'!$A134)</f>
        <v/>
      </c>
      <c r="B134" s="17">
        <f>IF($A134="","",IFERROR(INDEX(tblKok[Kova],MATCH($A134,tblKok[A_Norm],0)),""))</f>
        <v/>
      </c>
      <c r="C134" s="17">
        <f>IF($A134="","",IFERROR(INDEX(tblEslesme[Fark],MATCH($A134,tblEslesme[A_Norm],0)),0))</f>
        <v/>
      </c>
      <c r="D134" s="17">
        <f>IF($A134="","",IFERROR(INDEX(tblKok[KokNeden],MATCH($A134,tblKok[A_Norm],0)),""))</f>
        <v/>
      </c>
      <c r="E134" s="17">
        <f>IF($B134&lt;&gt;"tutar_farki","",IF(ABS($C134)&gt;efd_esikFark,"YUKSEK","NORMAL"))</f>
        <v/>
      </c>
      <c r="F134" s="17">
        <f>IF($B134&lt;&gt;"tutar_farki","","Fatura "&amp;$A134&amp;" için fark "&amp;TEXT($C134,"0.00")&amp;" TL. Dayanak: "&amp;$D134&amp;". İtiraz dosyası üretildi.")</f>
        <v/>
      </c>
      <c r="G134" s="17">
        <f>IF($B134&lt;&gt;"tutar_farki","","Beklemede")</f>
        <v/>
      </c>
    </row>
    <row r="135">
      <c r="A135" s="22">
        <f>IF('KOK_NEDEN'!$A135="","",'KOK_NEDEN'!$A135)</f>
        <v/>
      </c>
      <c r="B135" s="17">
        <f>IF($A135="","",IFERROR(INDEX(tblKok[Kova],MATCH($A135,tblKok[A_Norm],0)),""))</f>
        <v/>
      </c>
      <c r="C135" s="17">
        <f>IF($A135="","",IFERROR(INDEX(tblEslesme[Fark],MATCH($A135,tblEslesme[A_Norm],0)),0))</f>
        <v/>
      </c>
      <c r="D135" s="17">
        <f>IF($A135="","",IFERROR(INDEX(tblKok[KokNeden],MATCH($A135,tblKok[A_Norm],0)),""))</f>
        <v/>
      </c>
      <c r="E135" s="17">
        <f>IF($B135&lt;&gt;"tutar_farki","",IF(ABS($C135)&gt;efd_esikFark,"YUKSEK","NORMAL"))</f>
        <v/>
      </c>
      <c r="F135" s="17">
        <f>IF($B135&lt;&gt;"tutar_farki","","Fatura "&amp;$A135&amp;" için fark "&amp;TEXT($C135,"0.00")&amp;" TL. Dayanak: "&amp;$D135&amp;". İtiraz dosyası üretildi.")</f>
        <v/>
      </c>
      <c r="G135" s="17">
        <f>IF($B135&lt;&gt;"tutar_farki","","Beklemede")</f>
        <v/>
      </c>
    </row>
    <row r="136">
      <c r="A136" s="22">
        <f>IF('KOK_NEDEN'!$A136="","",'KOK_NEDEN'!$A136)</f>
        <v/>
      </c>
      <c r="B136" s="17">
        <f>IF($A136="","",IFERROR(INDEX(tblKok[Kova],MATCH($A136,tblKok[A_Norm],0)),""))</f>
        <v/>
      </c>
      <c r="C136" s="17">
        <f>IF($A136="","",IFERROR(INDEX(tblEslesme[Fark],MATCH($A136,tblEslesme[A_Norm],0)),0))</f>
        <v/>
      </c>
      <c r="D136" s="17">
        <f>IF($A136="","",IFERROR(INDEX(tblKok[KokNeden],MATCH($A136,tblKok[A_Norm],0)),""))</f>
        <v/>
      </c>
      <c r="E136" s="17">
        <f>IF($B136&lt;&gt;"tutar_farki","",IF(ABS($C136)&gt;efd_esikFark,"YUKSEK","NORMAL"))</f>
        <v/>
      </c>
      <c r="F136" s="17">
        <f>IF($B136&lt;&gt;"tutar_farki","","Fatura "&amp;$A136&amp;" için fark "&amp;TEXT($C136,"0.00")&amp;" TL. Dayanak: "&amp;$D136&amp;". İtiraz dosyası üretildi.")</f>
        <v/>
      </c>
      <c r="G136" s="17">
        <f>IF($B136&lt;&gt;"tutar_farki","","Beklemede")</f>
        <v/>
      </c>
    </row>
    <row r="137">
      <c r="A137" s="22">
        <f>IF('KOK_NEDEN'!$A137="","",'KOK_NEDEN'!$A137)</f>
        <v/>
      </c>
      <c r="B137" s="17">
        <f>IF($A137="","",IFERROR(INDEX(tblKok[Kova],MATCH($A137,tblKok[A_Norm],0)),""))</f>
        <v/>
      </c>
      <c r="C137" s="17">
        <f>IF($A137="","",IFERROR(INDEX(tblEslesme[Fark],MATCH($A137,tblEslesme[A_Norm],0)),0))</f>
        <v/>
      </c>
      <c r="D137" s="17">
        <f>IF($A137="","",IFERROR(INDEX(tblKok[KokNeden],MATCH($A137,tblKok[A_Norm],0)),""))</f>
        <v/>
      </c>
      <c r="E137" s="17">
        <f>IF($B137&lt;&gt;"tutar_farki","",IF(ABS($C137)&gt;efd_esikFark,"YUKSEK","NORMAL"))</f>
        <v/>
      </c>
      <c r="F137" s="17">
        <f>IF($B137&lt;&gt;"tutar_farki","","Fatura "&amp;$A137&amp;" için fark "&amp;TEXT($C137,"0.00")&amp;" TL. Dayanak: "&amp;$D137&amp;". İtiraz dosyası üretildi.")</f>
        <v/>
      </c>
      <c r="G137" s="17">
        <f>IF($B137&lt;&gt;"tutar_farki","","Beklemede")</f>
        <v/>
      </c>
    </row>
    <row r="138">
      <c r="A138" s="22">
        <f>IF('KOK_NEDEN'!$A138="","",'KOK_NEDEN'!$A138)</f>
        <v/>
      </c>
      <c r="B138" s="17">
        <f>IF($A138="","",IFERROR(INDEX(tblKok[Kova],MATCH($A138,tblKok[A_Norm],0)),""))</f>
        <v/>
      </c>
      <c r="C138" s="17">
        <f>IF($A138="","",IFERROR(INDEX(tblEslesme[Fark],MATCH($A138,tblEslesme[A_Norm],0)),0))</f>
        <v/>
      </c>
      <c r="D138" s="17">
        <f>IF($A138="","",IFERROR(INDEX(tblKok[KokNeden],MATCH($A138,tblKok[A_Norm],0)),""))</f>
        <v/>
      </c>
      <c r="E138" s="17">
        <f>IF($B138&lt;&gt;"tutar_farki","",IF(ABS($C138)&gt;efd_esikFark,"YUKSEK","NORMAL"))</f>
        <v/>
      </c>
      <c r="F138" s="17">
        <f>IF($B138&lt;&gt;"tutar_farki","","Fatura "&amp;$A138&amp;" için fark "&amp;TEXT($C138,"0.00")&amp;" TL. Dayanak: "&amp;$D138&amp;". İtiraz dosyası üretildi.")</f>
        <v/>
      </c>
      <c r="G138" s="17">
        <f>IF($B138&lt;&gt;"tutar_farki","","Beklemede")</f>
        <v/>
      </c>
    </row>
    <row r="139">
      <c r="A139" s="22">
        <f>IF('KOK_NEDEN'!$A139="","",'KOK_NEDEN'!$A139)</f>
        <v/>
      </c>
      <c r="B139" s="17">
        <f>IF($A139="","",IFERROR(INDEX(tblKok[Kova],MATCH($A139,tblKok[A_Norm],0)),""))</f>
        <v/>
      </c>
      <c r="C139" s="17">
        <f>IF($A139="","",IFERROR(INDEX(tblEslesme[Fark],MATCH($A139,tblEslesme[A_Norm],0)),0))</f>
        <v/>
      </c>
      <c r="D139" s="17">
        <f>IF($A139="","",IFERROR(INDEX(tblKok[KokNeden],MATCH($A139,tblKok[A_Norm],0)),""))</f>
        <v/>
      </c>
      <c r="E139" s="17">
        <f>IF($B139&lt;&gt;"tutar_farki","",IF(ABS($C139)&gt;efd_esikFark,"YUKSEK","NORMAL"))</f>
        <v/>
      </c>
      <c r="F139" s="17">
        <f>IF($B139&lt;&gt;"tutar_farki","","Fatura "&amp;$A139&amp;" için fark "&amp;TEXT($C139,"0.00")&amp;" TL. Dayanak: "&amp;$D139&amp;". İtiraz dosyası üretildi.")</f>
        <v/>
      </c>
      <c r="G139" s="17">
        <f>IF($B139&lt;&gt;"tutar_farki","","Beklemede")</f>
        <v/>
      </c>
    </row>
    <row r="140">
      <c r="A140" s="22">
        <f>IF('KOK_NEDEN'!$A140="","",'KOK_NEDEN'!$A140)</f>
        <v/>
      </c>
      <c r="B140" s="17">
        <f>IF($A140="","",IFERROR(INDEX(tblKok[Kova],MATCH($A140,tblKok[A_Norm],0)),""))</f>
        <v/>
      </c>
      <c r="C140" s="17">
        <f>IF($A140="","",IFERROR(INDEX(tblEslesme[Fark],MATCH($A140,tblEslesme[A_Norm],0)),0))</f>
        <v/>
      </c>
      <c r="D140" s="17">
        <f>IF($A140="","",IFERROR(INDEX(tblKok[KokNeden],MATCH($A140,tblKok[A_Norm],0)),""))</f>
        <v/>
      </c>
      <c r="E140" s="17">
        <f>IF($B140&lt;&gt;"tutar_farki","",IF(ABS($C140)&gt;efd_esikFark,"YUKSEK","NORMAL"))</f>
        <v/>
      </c>
      <c r="F140" s="17">
        <f>IF($B140&lt;&gt;"tutar_farki","","Fatura "&amp;$A140&amp;" için fark "&amp;TEXT($C140,"0.00")&amp;" TL. Dayanak: "&amp;$D140&amp;". İtiraz dosyası üretildi.")</f>
        <v/>
      </c>
      <c r="G140" s="17">
        <f>IF($B140&lt;&gt;"tutar_farki","","Beklemede")</f>
        <v/>
      </c>
    </row>
    <row r="141">
      <c r="A141" s="22">
        <f>IF('KOK_NEDEN'!$A141="","",'KOK_NEDEN'!$A141)</f>
        <v/>
      </c>
      <c r="B141" s="17">
        <f>IF($A141="","",IFERROR(INDEX(tblKok[Kova],MATCH($A141,tblKok[A_Norm],0)),""))</f>
        <v/>
      </c>
      <c r="C141" s="17">
        <f>IF($A141="","",IFERROR(INDEX(tblEslesme[Fark],MATCH($A141,tblEslesme[A_Norm],0)),0))</f>
        <v/>
      </c>
      <c r="D141" s="17">
        <f>IF($A141="","",IFERROR(INDEX(tblKok[KokNeden],MATCH($A141,tblKok[A_Norm],0)),""))</f>
        <v/>
      </c>
      <c r="E141" s="17">
        <f>IF($B141&lt;&gt;"tutar_farki","",IF(ABS($C141)&gt;efd_esikFark,"YUKSEK","NORMAL"))</f>
        <v/>
      </c>
      <c r="F141" s="17">
        <f>IF($B141&lt;&gt;"tutar_farki","","Fatura "&amp;$A141&amp;" için fark "&amp;TEXT($C141,"0.00")&amp;" TL. Dayanak: "&amp;$D141&amp;". İtiraz dosyası üretildi.")</f>
        <v/>
      </c>
      <c r="G141" s="17">
        <f>IF($B141&lt;&gt;"tutar_farki","","Beklemede")</f>
        <v/>
      </c>
    </row>
    <row r="142">
      <c r="A142" s="22">
        <f>IF('KOK_NEDEN'!$A142="","",'KOK_NEDEN'!$A142)</f>
        <v/>
      </c>
      <c r="B142" s="17">
        <f>IF($A142="","",IFERROR(INDEX(tblKok[Kova],MATCH($A142,tblKok[A_Norm],0)),""))</f>
        <v/>
      </c>
      <c r="C142" s="17">
        <f>IF($A142="","",IFERROR(INDEX(tblEslesme[Fark],MATCH($A142,tblEslesme[A_Norm],0)),0))</f>
        <v/>
      </c>
      <c r="D142" s="17">
        <f>IF($A142="","",IFERROR(INDEX(tblKok[KokNeden],MATCH($A142,tblKok[A_Norm],0)),""))</f>
        <v/>
      </c>
      <c r="E142" s="17">
        <f>IF($B142&lt;&gt;"tutar_farki","",IF(ABS($C142)&gt;efd_esikFark,"YUKSEK","NORMAL"))</f>
        <v/>
      </c>
      <c r="F142" s="17">
        <f>IF($B142&lt;&gt;"tutar_farki","","Fatura "&amp;$A142&amp;" için fark "&amp;TEXT($C142,"0.00")&amp;" TL. Dayanak: "&amp;$D142&amp;". İtiraz dosyası üretildi.")</f>
        <v/>
      </c>
      <c r="G142" s="17">
        <f>IF($B142&lt;&gt;"tutar_farki","","Beklemede")</f>
        <v/>
      </c>
    </row>
    <row r="143">
      <c r="A143" s="22">
        <f>IF('KOK_NEDEN'!$A143="","",'KOK_NEDEN'!$A143)</f>
        <v/>
      </c>
      <c r="B143" s="17">
        <f>IF($A143="","",IFERROR(INDEX(tblKok[Kova],MATCH($A143,tblKok[A_Norm],0)),""))</f>
        <v/>
      </c>
      <c r="C143" s="17">
        <f>IF($A143="","",IFERROR(INDEX(tblEslesme[Fark],MATCH($A143,tblEslesme[A_Norm],0)),0))</f>
        <v/>
      </c>
      <c r="D143" s="17">
        <f>IF($A143="","",IFERROR(INDEX(tblKok[KokNeden],MATCH($A143,tblKok[A_Norm],0)),""))</f>
        <v/>
      </c>
      <c r="E143" s="17">
        <f>IF($B143&lt;&gt;"tutar_farki","",IF(ABS($C143)&gt;efd_esikFark,"YUKSEK","NORMAL"))</f>
        <v/>
      </c>
      <c r="F143" s="17">
        <f>IF($B143&lt;&gt;"tutar_farki","","Fatura "&amp;$A143&amp;" için fark "&amp;TEXT($C143,"0.00")&amp;" TL. Dayanak: "&amp;$D143&amp;". İtiraz dosyası üretildi.")</f>
        <v/>
      </c>
      <c r="G143" s="17">
        <f>IF($B143&lt;&gt;"tutar_farki","","Beklemede")</f>
        <v/>
      </c>
    </row>
    <row r="144">
      <c r="A144" s="22">
        <f>IF('KOK_NEDEN'!$A144="","",'KOK_NEDEN'!$A144)</f>
        <v/>
      </c>
      <c r="B144" s="17">
        <f>IF($A144="","",IFERROR(INDEX(tblKok[Kova],MATCH($A144,tblKok[A_Norm],0)),""))</f>
        <v/>
      </c>
      <c r="C144" s="17">
        <f>IF($A144="","",IFERROR(INDEX(tblEslesme[Fark],MATCH($A144,tblEslesme[A_Norm],0)),0))</f>
        <v/>
      </c>
      <c r="D144" s="17">
        <f>IF($A144="","",IFERROR(INDEX(tblKok[KokNeden],MATCH($A144,tblKok[A_Norm],0)),""))</f>
        <v/>
      </c>
      <c r="E144" s="17">
        <f>IF($B144&lt;&gt;"tutar_farki","",IF(ABS($C144)&gt;efd_esikFark,"YUKSEK","NORMAL"))</f>
        <v/>
      </c>
      <c r="F144" s="17">
        <f>IF($B144&lt;&gt;"tutar_farki","","Fatura "&amp;$A144&amp;" için fark "&amp;TEXT($C144,"0.00")&amp;" TL. Dayanak: "&amp;$D144&amp;". İtiraz dosyası üretildi.")</f>
        <v/>
      </c>
      <c r="G144" s="17">
        <f>IF($B144&lt;&gt;"tutar_farki","","Beklemede")</f>
        <v/>
      </c>
    </row>
    <row r="145">
      <c r="A145" s="22">
        <f>IF('KOK_NEDEN'!$A145="","",'KOK_NEDEN'!$A145)</f>
        <v/>
      </c>
      <c r="B145" s="17">
        <f>IF($A145="","",IFERROR(INDEX(tblKok[Kova],MATCH($A145,tblKok[A_Norm],0)),""))</f>
        <v/>
      </c>
      <c r="C145" s="17">
        <f>IF($A145="","",IFERROR(INDEX(tblEslesme[Fark],MATCH($A145,tblEslesme[A_Norm],0)),0))</f>
        <v/>
      </c>
      <c r="D145" s="17">
        <f>IF($A145="","",IFERROR(INDEX(tblKok[KokNeden],MATCH($A145,tblKok[A_Norm],0)),""))</f>
        <v/>
      </c>
      <c r="E145" s="17">
        <f>IF($B145&lt;&gt;"tutar_farki","",IF(ABS($C145)&gt;efd_esikFark,"YUKSEK","NORMAL"))</f>
        <v/>
      </c>
      <c r="F145" s="17">
        <f>IF($B145&lt;&gt;"tutar_farki","","Fatura "&amp;$A145&amp;" için fark "&amp;TEXT($C145,"0.00")&amp;" TL. Dayanak: "&amp;$D145&amp;". İtiraz dosyası üretildi.")</f>
        <v/>
      </c>
      <c r="G145" s="17">
        <f>IF($B145&lt;&gt;"tutar_farki","","Beklemede")</f>
        <v/>
      </c>
    </row>
    <row r="146">
      <c r="A146" s="22">
        <f>IF('KOK_NEDEN'!$A146="","",'KOK_NEDEN'!$A146)</f>
        <v/>
      </c>
      <c r="B146" s="17">
        <f>IF($A146="","",IFERROR(INDEX(tblKok[Kova],MATCH($A146,tblKok[A_Norm],0)),""))</f>
        <v/>
      </c>
      <c r="C146" s="17">
        <f>IF($A146="","",IFERROR(INDEX(tblEslesme[Fark],MATCH($A146,tblEslesme[A_Norm],0)),0))</f>
        <v/>
      </c>
      <c r="D146" s="17">
        <f>IF($A146="","",IFERROR(INDEX(tblKok[KokNeden],MATCH($A146,tblKok[A_Norm],0)),""))</f>
        <v/>
      </c>
      <c r="E146" s="17">
        <f>IF($B146&lt;&gt;"tutar_farki","",IF(ABS($C146)&gt;efd_esikFark,"YUKSEK","NORMAL"))</f>
        <v/>
      </c>
      <c r="F146" s="17">
        <f>IF($B146&lt;&gt;"tutar_farki","","Fatura "&amp;$A146&amp;" için fark "&amp;TEXT($C146,"0.00")&amp;" TL. Dayanak: "&amp;$D146&amp;". İtiraz dosyası üretildi.")</f>
        <v/>
      </c>
      <c r="G146" s="17">
        <f>IF($B146&lt;&gt;"tutar_farki","","Beklemede")</f>
        <v/>
      </c>
    </row>
    <row r="147">
      <c r="A147" s="22">
        <f>IF('KOK_NEDEN'!$A147="","",'KOK_NEDEN'!$A147)</f>
        <v/>
      </c>
      <c r="B147" s="17">
        <f>IF($A147="","",IFERROR(INDEX(tblKok[Kova],MATCH($A147,tblKok[A_Norm],0)),""))</f>
        <v/>
      </c>
      <c r="C147" s="17">
        <f>IF($A147="","",IFERROR(INDEX(tblEslesme[Fark],MATCH($A147,tblEslesme[A_Norm],0)),0))</f>
        <v/>
      </c>
      <c r="D147" s="17">
        <f>IF($A147="","",IFERROR(INDEX(tblKok[KokNeden],MATCH($A147,tblKok[A_Norm],0)),""))</f>
        <v/>
      </c>
      <c r="E147" s="17">
        <f>IF($B147&lt;&gt;"tutar_farki","",IF(ABS($C147)&gt;efd_esikFark,"YUKSEK","NORMAL"))</f>
        <v/>
      </c>
      <c r="F147" s="17">
        <f>IF($B147&lt;&gt;"tutar_farki","","Fatura "&amp;$A147&amp;" için fark "&amp;TEXT($C147,"0.00")&amp;" TL. Dayanak: "&amp;$D147&amp;". İtiraz dosyası üretildi.")</f>
        <v/>
      </c>
      <c r="G147" s="17">
        <f>IF($B147&lt;&gt;"tutar_farki","","Beklemede")</f>
        <v/>
      </c>
    </row>
    <row r="148">
      <c r="A148" s="22">
        <f>IF('KOK_NEDEN'!$A148="","",'KOK_NEDEN'!$A148)</f>
        <v/>
      </c>
      <c r="B148" s="17">
        <f>IF($A148="","",IFERROR(INDEX(tblKok[Kova],MATCH($A148,tblKok[A_Norm],0)),""))</f>
        <v/>
      </c>
      <c r="C148" s="17">
        <f>IF($A148="","",IFERROR(INDEX(tblEslesme[Fark],MATCH($A148,tblEslesme[A_Norm],0)),0))</f>
        <v/>
      </c>
      <c r="D148" s="17">
        <f>IF($A148="","",IFERROR(INDEX(tblKok[KokNeden],MATCH($A148,tblKok[A_Norm],0)),""))</f>
        <v/>
      </c>
      <c r="E148" s="17">
        <f>IF($B148&lt;&gt;"tutar_farki","",IF(ABS($C148)&gt;efd_esikFark,"YUKSEK","NORMAL"))</f>
        <v/>
      </c>
      <c r="F148" s="17">
        <f>IF($B148&lt;&gt;"tutar_farki","","Fatura "&amp;$A148&amp;" için fark "&amp;TEXT($C148,"0.00")&amp;" TL. Dayanak: "&amp;$D148&amp;". İtiraz dosyası üretildi.")</f>
        <v/>
      </c>
      <c r="G148" s="17">
        <f>IF($B148&lt;&gt;"tutar_farki","","Beklemede")</f>
        <v/>
      </c>
    </row>
    <row r="149">
      <c r="A149" s="22">
        <f>IF('KOK_NEDEN'!$A149="","",'KOK_NEDEN'!$A149)</f>
        <v/>
      </c>
      <c r="B149" s="17">
        <f>IF($A149="","",IFERROR(INDEX(tblKok[Kova],MATCH($A149,tblKok[A_Norm],0)),""))</f>
        <v/>
      </c>
      <c r="C149" s="17">
        <f>IF($A149="","",IFERROR(INDEX(tblEslesme[Fark],MATCH($A149,tblEslesme[A_Norm],0)),0))</f>
        <v/>
      </c>
      <c r="D149" s="17">
        <f>IF($A149="","",IFERROR(INDEX(tblKok[KokNeden],MATCH($A149,tblKok[A_Norm],0)),""))</f>
        <v/>
      </c>
      <c r="E149" s="17">
        <f>IF($B149&lt;&gt;"tutar_farki","",IF(ABS($C149)&gt;efd_esikFark,"YUKSEK","NORMAL"))</f>
        <v/>
      </c>
      <c r="F149" s="17">
        <f>IF($B149&lt;&gt;"tutar_farki","","Fatura "&amp;$A149&amp;" için fark "&amp;TEXT($C149,"0.00")&amp;" TL. Dayanak: "&amp;$D149&amp;". İtiraz dosyası üretildi.")</f>
        <v/>
      </c>
      <c r="G149" s="17">
        <f>IF($B149&lt;&gt;"tutar_farki","","Beklemede")</f>
        <v/>
      </c>
    </row>
    <row r="150">
      <c r="A150" s="22">
        <f>IF('KOK_NEDEN'!$A150="","",'KOK_NEDEN'!$A150)</f>
        <v/>
      </c>
      <c r="B150" s="17">
        <f>IF($A150="","",IFERROR(INDEX(tblKok[Kova],MATCH($A150,tblKok[A_Norm],0)),""))</f>
        <v/>
      </c>
      <c r="C150" s="17">
        <f>IF($A150="","",IFERROR(INDEX(tblEslesme[Fark],MATCH($A150,tblEslesme[A_Norm],0)),0))</f>
        <v/>
      </c>
      <c r="D150" s="17">
        <f>IF($A150="","",IFERROR(INDEX(tblKok[KokNeden],MATCH($A150,tblKok[A_Norm],0)),""))</f>
        <v/>
      </c>
      <c r="E150" s="17">
        <f>IF($B150&lt;&gt;"tutar_farki","",IF(ABS($C150)&gt;efd_esikFark,"YUKSEK","NORMAL"))</f>
        <v/>
      </c>
      <c r="F150" s="17">
        <f>IF($B150&lt;&gt;"tutar_farki","","Fatura "&amp;$A150&amp;" için fark "&amp;TEXT($C150,"0.00")&amp;" TL. Dayanak: "&amp;$D150&amp;". İtiraz dosyası üretildi.")</f>
        <v/>
      </c>
      <c r="G150" s="17">
        <f>IF($B150&lt;&gt;"tutar_farki","","Beklemede")</f>
        <v/>
      </c>
    </row>
    <row r="151">
      <c r="A151" s="22">
        <f>IF('KOK_NEDEN'!$A151="","",'KOK_NEDEN'!$A151)</f>
        <v/>
      </c>
      <c r="B151" s="17">
        <f>IF($A151="","",IFERROR(INDEX(tblKok[Kova],MATCH($A151,tblKok[A_Norm],0)),""))</f>
        <v/>
      </c>
      <c r="C151" s="17">
        <f>IF($A151="","",IFERROR(INDEX(tblEslesme[Fark],MATCH($A151,tblEslesme[A_Norm],0)),0))</f>
        <v/>
      </c>
      <c r="D151" s="17">
        <f>IF($A151="","",IFERROR(INDEX(tblKok[KokNeden],MATCH($A151,tblKok[A_Norm],0)),""))</f>
        <v/>
      </c>
      <c r="E151" s="17">
        <f>IF($B151&lt;&gt;"tutar_farki","",IF(ABS($C151)&gt;efd_esikFark,"YUKSEK","NORMAL"))</f>
        <v/>
      </c>
      <c r="F151" s="17">
        <f>IF($B151&lt;&gt;"tutar_farki","","Fatura "&amp;$A151&amp;" için fark "&amp;TEXT($C151,"0.00")&amp;" TL. Dayanak: "&amp;$D151&amp;". İtiraz dosyası üretildi.")</f>
        <v/>
      </c>
      <c r="G151" s="17">
        <f>IF($B151&lt;&gt;"tutar_farki","","Beklemede")</f>
        <v/>
      </c>
    </row>
    <row r="152">
      <c r="A152" s="22">
        <f>IF('KOK_NEDEN'!$A152="","",'KOK_NEDEN'!$A152)</f>
        <v/>
      </c>
      <c r="B152" s="17">
        <f>IF($A152="","",IFERROR(INDEX(tblKok[Kova],MATCH($A152,tblKok[A_Norm],0)),""))</f>
        <v/>
      </c>
      <c r="C152" s="17">
        <f>IF($A152="","",IFERROR(INDEX(tblEslesme[Fark],MATCH($A152,tblEslesme[A_Norm],0)),0))</f>
        <v/>
      </c>
      <c r="D152" s="17">
        <f>IF($A152="","",IFERROR(INDEX(tblKok[KokNeden],MATCH($A152,tblKok[A_Norm],0)),""))</f>
        <v/>
      </c>
      <c r="E152" s="17">
        <f>IF($B152&lt;&gt;"tutar_farki","",IF(ABS($C152)&gt;efd_esikFark,"YUKSEK","NORMAL"))</f>
        <v/>
      </c>
      <c r="F152" s="17">
        <f>IF($B152&lt;&gt;"tutar_farki","","Fatura "&amp;$A152&amp;" için fark "&amp;TEXT($C152,"0.00")&amp;" TL. Dayanak: "&amp;$D152&amp;". İtiraz dosyası üretildi.")</f>
        <v/>
      </c>
      <c r="G152" s="17">
        <f>IF($B152&lt;&gt;"tutar_farki","","Beklemede")</f>
        <v/>
      </c>
    </row>
    <row r="153">
      <c r="A153" s="22">
        <f>IF('KOK_NEDEN'!$A153="","",'KOK_NEDEN'!$A153)</f>
        <v/>
      </c>
      <c r="B153" s="17">
        <f>IF($A153="","",IFERROR(INDEX(tblKok[Kova],MATCH($A153,tblKok[A_Norm],0)),""))</f>
        <v/>
      </c>
      <c r="C153" s="17">
        <f>IF($A153="","",IFERROR(INDEX(tblEslesme[Fark],MATCH($A153,tblEslesme[A_Norm],0)),0))</f>
        <v/>
      </c>
      <c r="D153" s="17">
        <f>IF($A153="","",IFERROR(INDEX(tblKok[KokNeden],MATCH($A153,tblKok[A_Norm],0)),""))</f>
        <v/>
      </c>
      <c r="E153" s="17">
        <f>IF($B153&lt;&gt;"tutar_farki","",IF(ABS($C153)&gt;efd_esikFark,"YUKSEK","NORMAL"))</f>
        <v/>
      </c>
      <c r="F153" s="17">
        <f>IF($B153&lt;&gt;"tutar_farki","","Fatura "&amp;$A153&amp;" için fark "&amp;TEXT($C153,"0.00")&amp;" TL. Dayanak: "&amp;$D153&amp;". İtiraz dosyası üretildi.")</f>
        <v/>
      </c>
      <c r="G153" s="17">
        <f>IF($B153&lt;&gt;"tutar_farki","","Beklemede")</f>
        <v/>
      </c>
    </row>
    <row r="154">
      <c r="A154" s="22">
        <f>IF('KOK_NEDEN'!$A154="","",'KOK_NEDEN'!$A154)</f>
        <v/>
      </c>
      <c r="B154" s="17">
        <f>IF($A154="","",IFERROR(INDEX(tblKok[Kova],MATCH($A154,tblKok[A_Norm],0)),""))</f>
        <v/>
      </c>
      <c r="C154" s="17">
        <f>IF($A154="","",IFERROR(INDEX(tblEslesme[Fark],MATCH($A154,tblEslesme[A_Norm],0)),0))</f>
        <v/>
      </c>
      <c r="D154" s="17">
        <f>IF($A154="","",IFERROR(INDEX(tblKok[KokNeden],MATCH($A154,tblKok[A_Norm],0)),""))</f>
        <v/>
      </c>
      <c r="E154" s="17">
        <f>IF($B154&lt;&gt;"tutar_farki","",IF(ABS($C154)&gt;efd_esikFark,"YUKSEK","NORMAL"))</f>
        <v/>
      </c>
      <c r="F154" s="17">
        <f>IF($B154&lt;&gt;"tutar_farki","","Fatura "&amp;$A154&amp;" için fark "&amp;TEXT($C154,"0.00")&amp;" TL. Dayanak: "&amp;$D154&amp;". İtiraz dosyası üretildi.")</f>
        <v/>
      </c>
      <c r="G154" s="17">
        <f>IF($B154&lt;&gt;"tutar_farki","","Beklemede")</f>
        <v/>
      </c>
    </row>
    <row r="155">
      <c r="A155" s="22">
        <f>IF('KOK_NEDEN'!$A155="","",'KOK_NEDEN'!$A155)</f>
        <v/>
      </c>
      <c r="B155" s="17">
        <f>IF($A155="","",IFERROR(INDEX(tblKok[Kova],MATCH($A155,tblKok[A_Norm],0)),""))</f>
        <v/>
      </c>
      <c r="C155" s="17">
        <f>IF($A155="","",IFERROR(INDEX(tblEslesme[Fark],MATCH($A155,tblEslesme[A_Norm],0)),0))</f>
        <v/>
      </c>
      <c r="D155" s="17">
        <f>IF($A155="","",IFERROR(INDEX(tblKok[KokNeden],MATCH($A155,tblKok[A_Norm],0)),""))</f>
        <v/>
      </c>
      <c r="E155" s="17">
        <f>IF($B155&lt;&gt;"tutar_farki","",IF(ABS($C155)&gt;efd_esikFark,"YUKSEK","NORMAL"))</f>
        <v/>
      </c>
      <c r="F155" s="17">
        <f>IF($B155&lt;&gt;"tutar_farki","","Fatura "&amp;$A155&amp;" için fark "&amp;TEXT($C155,"0.00")&amp;" TL. Dayanak: "&amp;$D155&amp;". İtiraz dosyası üretildi.")</f>
        <v/>
      </c>
      <c r="G155" s="17">
        <f>IF($B155&lt;&gt;"tutar_farki","","Beklemede")</f>
        <v/>
      </c>
    </row>
    <row r="156">
      <c r="A156" s="22">
        <f>IF('KOK_NEDEN'!$A156="","",'KOK_NEDEN'!$A156)</f>
        <v/>
      </c>
      <c r="B156" s="17">
        <f>IF($A156="","",IFERROR(INDEX(tblKok[Kova],MATCH($A156,tblKok[A_Norm],0)),""))</f>
        <v/>
      </c>
      <c r="C156" s="17">
        <f>IF($A156="","",IFERROR(INDEX(tblEslesme[Fark],MATCH($A156,tblEslesme[A_Norm],0)),0))</f>
        <v/>
      </c>
      <c r="D156" s="17">
        <f>IF($A156="","",IFERROR(INDEX(tblKok[KokNeden],MATCH($A156,tblKok[A_Norm],0)),""))</f>
        <v/>
      </c>
      <c r="E156" s="17">
        <f>IF($B156&lt;&gt;"tutar_farki","",IF(ABS($C156)&gt;efd_esikFark,"YUKSEK","NORMAL"))</f>
        <v/>
      </c>
      <c r="F156" s="17">
        <f>IF($B156&lt;&gt;"tutar_farki","","Fatura "&amp;$A156&amp;" için fark "&amp;TEXT($C156,"0.00")&amp;" TL. Dayanak: "&amp;$D156&amp;". İtiraz dosyası üretildi.")</f>
        <v/>
      </c>
      <c r="G156" s="17">
        <f>IF($B156&lt;&gt;"tutar_farki","","Beklemede")</f>
        <v/>
      </c>
    </row>
    <row r="157">
      <c r="A157" s="22">
        <f>IF('KOK_NEDEN'!$A157="","",'KOK_NEDEN'!$A157)</f>
        <v/>
      </c>
      <c r="B157" s="17">
        <f>IF($A157="","",IFERROR(INDEX(tblKok[Kova],MATCH($A157,tblKok[A_Norm],0)),""))</f>
        <v/>
      </c>
      <c r="C157" s="17">
        <f>IF($A157="","",IFERROR(INDEX(tblEslesme[Fark],MATCH($A157,tblEslesme[A_Norm],0)),0))</f>
        <v/>
      </c>
      <c r="D157" s="17">
        <f>IF($A157="","",IFERROR(INDEX(tblKok[KokNeden],MATCH($A157,tblKok[A_Norm],0)),""))</f>
        <v/>
      </c>
      <c r="E157" s="17">
        <f>IF($B157&lt;&gt;"tutar_farki","",IF(ABS($C157)&gt;efd_esikFark,"YUKSEK","NORMAL"))</f>
        <v/>
      </c>
      <c r="F157" s="17">
        <f>IF($B157&lt;&gt;"tutar_farki","","Fatura "&amp;$A157&amp;" için fark "&amp;TEXT($C157,"0.00")&amp;" TL. Dayanak: "&amp;$D157&amp;". İtiraz dosyası üretildi.")</f>
        <v/>
      </c>
      <c r="G157" s="17">
        <f>IF($B157&lt;&gt;"tutar_farki","","Beklemede")</f>
        <v/>
      </c>
    </row>
    <row r="158">
      <c r="A158" s="22">
        <f>IF('KOK_NEDEN'!$A158="","",'KOK_NEDEN'!$A158)</f>
        <v/>
      </c>
      <c r="B158" s="17">
        <f>IF($A158="","",IFERROR(INDEX(tblKok[Kova],MATCH($A158,tblKok[A_Norm],0)),""))</f>
        <v/>
      </c>
      <c r="C158" s="17">
        <f>IF($A158="","",IFERROR(INDEX(tblEslesme[Fark],MATCH($A158,tblEslesme[A_Norm],0)),0))</f>
        <v/>
      </c>
      <c r="D158" s="17">
        <f>IF($A158="","",IFERROR(INDEX(tblKok[KokNeden],MATCH($A158,tblKok[A_Norm],0)),""))</f>
        <v/>
      </c>
      <c r="E158" s="17">
        <f>IF($B158&lt;&gt;"tutar_farki","",IF(ABS($C158)&gt;efd_esikFark,"YUKSEK","NORMAL"))</f>
        <v/>
      </c>
      <c r="F158" s="17">
        <f>IF($B158&lt;&gt;"tutar_farki","","Fatura "&amp;$A158&amp;" için fark "&amp;TEXT($C158,"0.00")&amp;" TL. Dayanak: "&amp;$D158&amp;". İtiraz dosyası üretildi.")</f>
        <v/>
      </c>
      <c r="G158" s="17">
        <f>IF($B158&lt;&gt;"tutar_farki","","Beklemede")</f>
        <v/>
      </c>
    </row>
    <row r="159">
      <c r="A159" s="22">
        <f>IF('KOK_NEDEN'!$A159="","",'KOK_NEDEN'!$A159)</f>
        <v/>
      </c>
      <c r="B159" s="17">
        <f>IF($A159="","",IFERROR(INDEX(tblKok[Kova],MATCH($A159,tblKok[A_Norm],0)),""))</f>
        <v/>
      </c>
      <c r="C159" s="17">
        <f>IF($A159="","",IFERROR(INDEX(tblEslesme[Fark],MATCH($A159,tblEslesme[A_Norm],0)),0))</f>
        <v/>
      </c>
      <c r="D159" s="17">
        <f>IF($A159="","",IFERROR(INDEX(tblKok[KokNeden],MATCH($A159,tblKok[A_Norm],0)),""))</f>
        <v/>
      </c>
      <c r="E159" s="17">
        <f>IF($B159&lt;&gt;"tutar_farki","",IF(ABS($C159)&gt;efd_esikFark,"YUKSEK","NORMAL"))</f>
        <v/>
      </c>
      <c r="F159" s="17">
        <f>IF($B159&lt;&gt;"tutar_farki","","Fatura "&amp;$A159&amp;" için fark "&amp;TEXT($C159,"0.00")&amp;" TL. Dayanak: "&amp;$D159&amp;". İtiraz dosyası üretildi.")</f>
        <v/>
      </c>
      <c r="G159" s="17">
        <f>IF($B159&lt;&gt;"tutar_farki","","Beklemede")</f>
        <v/>
      </c>
    </row>
    <row r="160">
      <c r="A160" s="22">
        <f>IF('KOK_NEDEN'!$A160="","",'KOK_NEDEN'!$A160)</f>
        <v/>
      </c>
      <c r="B160" s="17">
        <f>IF($A160="","",IFERROR(INDEX(tblKok[Kova],MATCH($A160,tblKok[A_Norm],0)),""))</f>
        <v/>
      </c>
      <c r="C160" s="17">
        <f>IF($A160="","",IFERROR(INDEX(tblEslesme[Fark],MATCH($A160,tblEslesme[A_Norm],0)),0))</f>
        <v/>
      </c>
      <c r="D160" s="17">
        <f>IF($A160="","",IFERROR(INDEX(tblKok[KokNeden],MATCH($A160,tblKok[A_Norm],0)),""))</f>
        <v/>
      </c>
      <c r="E160" s="17">
        <f>IF($B160&lt;&gt;"tutar_farki","",IF(ABS($C160)&gt;efd_esikFark,"YUKSEK","NORMAL"))</f>
        <v/>
      </c>
      <c r="F160" s="17">
        <f>IF($B160&lt;&gt;"tutar_farki","","Fatura "&amp;$A160&amp;" için fark "&amp;TEXT($C160,"0.00")&amp;" TL. Dayanak: "&amp;$D160&amp;". İtiraz dosyası üretildi.")</f>
        <v/>
      </c>
      <c r="G160" s="17">
        <f>IF($B160&lt;&gt;"tutar_farki","","Beklemede")</f>
        <v/>
      </c>
    </row>
    <row r="161">
      <c r="A161" s="22">
        <f>IF('KOK_NEDEN'!$A161="","",'KOK_NEDEN'!$A161)</f>
        <v/>
      </c>
      <c r="B161" s="17">
        <f>IF($A161="","",IFERROR(INDEX(tblKok[Kova],MATCH($A161,tblKok[A_Norm],0)),""))</f>
        <v/>
      </c>
      <c r="C161" s="17">
        <f>IF($A161="","",IFERROR(INDEX(tblEslesme[Fark],MATCH($A161,tblEslesme[A_Norm],0)),0))</f>
        <v/>
      </c>
      <c r="D161" s="17">
        <f>IF($A161="","",IFERROR(INDEX(tblKok[KokNeden],MATCH($A161,tblKok[A_Norm],0)),""))</f>
        <v/>
      </c>
      <c r="E161" s="17">
        <f>IF($B161&lt;&gt;"tutar_farki","",IF(ABS($C161)&gt;efd_esikFark,"YUKSEK","NORMAL"))</f>
        <v/>
      </c>
      <c r="F161" s="17">
        <f>IF($B161&lt;&gt;"tutar_farki","","Fatura "&amp;$A161&amp;" için fark "&amp;TEXT($C161,"0.00")&amp;" TL. Dayanak: "&amp;$D161&amp;". İtiraz dosyası üretildi.")</f>
        <v/>
      </c>
      <c r="G161" s="17">
        <f>IF($B161&lt;&gt;"tutar_farki","","Beklemede")</f>
        <v/>
      </c>
    </row>
    <row r="162">
      <c r="A162" s="22">
        <f>IF('KOK_NEDEN'!$A162="","",'KOK_NEDEN'!$A162)</f>
        <v/>
      </c>
      <c r="B162" s="17">
        <f>IF($A162="","",IFERROR(INDEX(tblKok[Kova],MATCH($A162,tblKok[A_Norm],0)),""))</f>
        <v/>
      </c>
      <c r="C162" s="17">
        <f>IF($A162="","",IFERROR(INDEX(tblEslesme[Fark],MATCH($A162,tblEslesme[A_Norm],0)),0))</f>
        <v/>
      </c>
      <c r="D162" s="17">
        <f>IF($A162="","",IFERROR(INDEX(tblKok[KokNeden],MATCH($A162,tblKok[A_Norm],0)),""))</f>
        <v/>
      </c>
      <c r="E162" s="17">
        <f>IF($B162&lt;&gt;"tutar_farki","",IF(ABS($C162)&gt;efd_esikFark,"YUKSEK","NORMAL"))</f>
        <v/>
      </c>
      <c r="F162" s="17">
        <f>IF($B162&lt;&gt;"tutar_farki","","Fatura "&amp;$A162&amp;" için fark "&amp;TEXT($C162,"0.00")&amp;" TL. Dayanak: "&amp;$D162&amp;". İtiraz dosyası üretildi.")</f>
        <v/>
      </c>
      <c r="G162" s="17">
        <f>IF($B162&lt;&gt;"tutar_farki","","Beklemede")</f>
        <v/>
      </c>
    </row>
    <row r="163">
      <c r="A163" s="22">
        <f>IF('KOK_NEDEN'!$A163="","",'KOK_NEDEN'!$A163)</f>
        <v/>
      </c>
      <c r="B163" s="17">
        <f>IF($A163="","",IFERROR(INDEX(tblKok[Kova],MATCH($A163,tblKok[A_Norm],0)),""))</f>
        <v/>
      </c>
      <c r="C163" s="17">
        <f>IF($A163="","",IFERROR(INDEX(tblEslesme[Fark],MATCH($A163,tblEslesme[A_Norm],0)),0))</f>
        <v/>
      </c>
      <c r="D163" s="17">
        <f>IF($A163="","",IFERROR(INDEX(tblKok[KokNeden],MATCH($A163,tblKok[A_Norm],0)),""))</f>
        <v/>
      </c>
      <c r="E163" s="17">
        <f>IF($B163&lt;&gt;"tutar_farki","",IF(ABS($C163)&gt;efd_esikFark,"YUKSEK","NORMAL"))</f>
        <v/>
      </c>
      <c r="F163" s="17">
        <f>IF($B163&lt;&gt;"tutar_farki","","Fatura "&amp;$A163&amp;" için fark "&amp;TEXT($C163,"0.00")&amp;" TL. Dayanak: "&amp;$D163&amp;". İtiraz dosyası üretildi.")</f>
        <v/>
      </c>
      <c r="G163" s="17">
        <f>IF($B163&lt;&gt;"tutar_farki","","Beklemede")</f>
        <v/>
      </c>
    </row>
    <row r="164">
      <c r="A164" s="22">
        <f>IF('KOK_NEDEN'!$A164="","",'KOK_NEDEN'!$A164)</f>
        <v/>
      </c>
      <c r="B164" s="17">
        <f>IF($A164="","",IFERROR(INDEX(tblKok[Kova],MATCH($A164,tblKok[A_Norm],0)),""))</f>
        <v/>
      </c>
      <c r="C164" s="17">
        <f>IF($A164="","",IFERROR(INDEX(tblEslesme[Fark],MATCH($A164,tblEslesme[A_Norm],0)),0))</f>
        <v/>
      </c>
      <c r="D164" s="17">
        <f>IF($A164="","",IFERROR(INDEX(tblKok[KokNeden],MATCH($A164,tblKok[A_Norm],0)),""))</f>
        <v/>
      </c>
      <c r="E164" s="17">
        <f>IF($B164&lt;&gt;"tutar_farki","",IF(ABS($C164)&gt;efd_esikFark,"YUKSEK","NORMAL"))</f>
        <v/>
      </c>
      <c r="F164" s="17">
        <f>IF($B164&lt;&gt;"tutar_farki","","Fatura "&amp;$A164&amp;" için fark "&amp;TEXT($C164,"0.00")&amp;" TL. Dayanak: "&amp;$D164&amp;". İtiraz dosyası üretildi.")</f>
        <v/>
      </c>
      <c r="G164" s="17">
        <f>IF($B164&lt;&gt;"tutar_farki","","Beklemede")</f>
        <v/>
      </c>
    </row>
    <row r="165">
      <c r="A165" s="22">
        <f>IF('KOK_NEDEN'!$A165="","",'KOK_NEDEN'!$A165)</f>
        <v/>
      </c>
      <c r="B165" s="17">
        <f>IF($A165="","",IFERROR(INDEX(tblKok[Kova],MATCH($A165,tblKok[A_Norm],0)),""))</f>
        <v/>
      </c>
      <c r="C165" s="17">
        <f>IF($A165="","",IFERROR(INDEX(tblEslesme[Fark],MATCH($A165,tblEslesme[A_Norm],0)),0))</f>
        <v/>
      </c>
      <c r="D165" s="17">
        <f>IF($A165="","",IFERROR(INDEX(tblKok[KokNeden],MATCH($A165,tblKok[A_Norm],0)),""))</f>
        <v/>
      </c>
      <c r="E165" s="17">
        <f>IF($B165&lt;&gt;"tutar_farki","",IF(ABS($C165)&gt;efd_esikFark,"YUKSEK","NORMAL"))</f>
        <v/>
      </c>
      <c r="F165" s="17">
        <f>IF($B165&lt;&gt;"tutar_farki","","Fatura "&amp;$A165&amp;" için fark "&amp;TEXT($C165,"0.00")&amp;" TL. Dayanak: "&amp;$D165&amp;". İtiraz dosyası üretildi.")</f>
        <v/>
      </c>
      <c r="G165" s="17">
        <f>IF($B165&lt;&gt;"tutar_farki","","Beklemede")</f>
        <v/>
      </c>
    </row>
    <row r="166">
      <c r="A166" s="22">
        <f>IF('KOK_NEDEN'!$A166="","",'KOK_NEDEN'!$A166)</f>
        <v/>
      </c>
      <c r="B166" s="17">
        <f>IF($A166="","",IFERROR(INDEX(tblKok[Kova],MATCH($A166,tblKok[A_Norm],0)),""))</f>
        <v/>
      </c>
      <c r="C166" s="17">
        <f>IF($A166="","",IFERROR(INDEX(tblEslesme[Fark],MATCH($A166,tblEslesme[A_Norm],0)),0))</f>
        <v/>
      </c>
      <c r="D166" s="17">
        <f>IF($A166="","",IFERROR(INDEX(tblKok[KokNeden],MATCH($A166,tblKok[A_Norm],0)),""))</f>
        <v/>
      </c>
      <c r="E166" s="17">
        <f>IF($B166&lt;&gt;"tutar_farki","",IF(ABS($C166)&gt;efd_esikFark,"YUKSEK","NORMAL"))</f>
        <v/>
      </c>
      <c r="F166" s="17">
        <f>IF($B166&lt;&gt;"tutar_farki","","Fatura "&amp;$A166&amp;" için fark "&amp;TEXT($C166,"0.00")&amp;" TL. Dayanak: "&amp;$D166&amp;". İtiraz dosyası üretildi.")</f>
        <v/>
      </c>
      <c r="G166" s="17">
        <f>IF($B166&lt;&gt;"tutar_farki","","Beklemede")</f>
        <v/>
      </c>
    </row>
    <row r="167">
      <c r="A167" s="22">
        <f>IF('KOK_NEDEN'!$A167="","",'KOK_NEDEN'!$A167)</f>
        <v/>
      </c>
      <c r="B167" s="17">
        <f>IF($A167="","",IFERROR(INDEX(tblKok[Kova],MATCH($A167,tblKok[A_Norm],0)),""))</f>
        <v/>
      </c>
      <c r="C167" s="17">
        <f>IF($A167="","",IFERROR(INDEX(tblEslesme[Fark],MATCH($A167,tblEslesme[A_Norm],0)),0))</f>
        <v/>
      </c>
      <c r="D167" s="17">
        <f>IF($A167="","",IFERROR(INDEX(tblKok[KokNeden],MATCH($A167,tblKok[A_Norm],0)),""))</f>
        <v/>
      </c>
      <c r="E167" s="17">
        <f>IF($B167&lt;&gt;"tutar_farki","",IF(ABS($C167)&gt;efd_esikFark,"YUKSEK","NORMAL"))</f>
        <v/>
      </c>
      <c r="F167" s="17">
        <f>IF($B167&lt;&gt;"tutar_farki","","Fatura "&amp;$A167&amp;" için fark "&amp;TEXT($C167,"0.00")&amp;" TL. Dayanak: "&amp;$D167&amp;". İtiraz dosyası üretildi.")</f>
        <v/>
      </c>
      <c r="G167" s="17">
        <f>IF($B167&lt;&gt;"tutar_farki","","Beklemede")</f>
        <v/>
      </c>
    </row>
    <row r="168">
      <c r="A168" s="22">
        <f>IF('KOK_NEDEN'!$A168="","",'KOK_NEDEN'!$A168)</f>
        <v/>
      </c>
      <c r="B168" s="17">
        <f>IF($A168="","",IFERROR(INDEX(tblKok[Kova],MATCH($A168,tblKok[A_Norm],0)),""))</f>
        <v/>
      </c>
      <c r="C168" s="17">
        <f>IF($A168="","",IFERROR(INDEX(tblEslesme[Fark],MATCH($A168,tblEslesme[A_Norm],0)),0))</f>
        <v/>
      </c>
      <c r="D168" s="17">
        <f>IF($A168="","",IFERROR(INDEX(tblKok[KokNeden],MATCH($A168,tblKok[A_Norm],0)),""))</f>
        <v/>
      </c>
      <c r="E168" s="17">
        <f>IF($B168&lt;&gt;"tutar_farki","",IF(ABS($C168)&gt;efd_esikFark,"YUKSEK","NORMAL"))</f>
        <v/>
      </c>
      <c r="F168" s="17">
        <f>IF($B168&lt;&gt;"tutar_farki","","Fatura "&amp;$A168&amp;" için fark "&amp;TEXT($C168,"0.00")&amp;" TL. Dayanak: "&amp;$D168&amp;". İtiraz dosyası üretildi.")</f>
        <v/>
      </c>
      <c r="G168" s="17">
        <f>IF($B168&lt;&gt;"tutar_farki","","Beklemede")</f>
        <v/>
      </c>
    </row>
    <row r="169">
      <c r="A169" s="22">
        <f>IF('KOK_NEDEN'!$A169="","",'KOK_NEDEN'!$A169)</f>
        <v/>
      </c>
      <c r="B169" s="17">
        <f>IF($A169="","",IFERROR(INDEX(tblKok[Kova],MATCH($A169,tblKok[A_Norm],0)),""))</f>
        <v/>
      </c>
      <c r="C169" s="17">
        <f>IF($A169="","",IFERROR(INDEX(tblEslesme[Fark],MATCH($A169,tblEslesme[A_Norm],0)),0))</f>
        <v/>
      </c>
      <c r="D169" s="17">
        <f>IF($A169="","",IFERROR(INDEX(tblKok[KokNeden],MATCH($A169,tblKok[A_Norm],0)),""))</f>
        <v/>
      </c>
      <c r="E169" s="17">
        <f>IF($B169&lt;&gt;"tutar_farki","",IF(ABS($C169)&gt;efd_esikFark,"YUKSEK","NORMAL"))</f>
        <v/>
      </c>
      <c r="F169" s="17">
        <f>IF($B169&lt;&gt;"tutar_farki","","Fatura "&amp;$A169&amp;" için fark "&amp;TEXT($C169,"0.00")&amp;" TL. Dayanak: "&amp;$D169&amp;". İtiraz dosyası üretildi.")</f>
        <v/>
      </c>
      <c r="G169" s="17">
        <f>IF($B169&lt;&gt;"tutar_farki","","Beklemede")</f>
        <v/>
      </c>
    </row>
    <row r="170">
      <c r="A170" s="22">
        <f>IF('KOK_NEDEN'!$A170="","",'KOK_NEDEN'!$A170)</f>
        <v/>
      </c>
      <c r="B170" s="17">
        <f>IF($A170="","",IFERROR(INDEX(tblKok[Kova],MATCH($A170,tblKok[A_Norm],0)),""))</f>
        <v/>
      </c>
      <c r="C170" s="17">
        <f>IF($A170="","",IFERROR(INDEX(tblEslesme[Fark],MATCH($A170,tblEslesme[A_Norm],0)),0))</f>
        <v/>
      </c>
      <c r="D170" s="17">
        <f>IF($A170="","",IFERROR(INDEX(tblKok[KokNeden],MATCH($A170,tblKok[A_Norm],0)),""))</f>
        <v/>
      </c>
      <c r="E170" s="17">
        <f>IF($B170&lt;&gt;"tutar_farki","",IF(ABS($C170)&gt;efd_esikFark,"YUKSEK","NORMAL"))</f>
        <v/>
      </c>
      <c r="F170" s="17">
        <f>IF($B170&lt;&gt;"tutar_farki","","Fatura "&amp;$A170&amp;" için fark "&amp;TEXT($C170,"0.00")&amp;" TL. Dayanak: "&amp;$D170&amp;". İtiraz dosyası üretildi.")</f>
        <v/>
      </c>
      <c r="G170" s="17">
        <f>IF($B170&lt;&gt;"tutar_farki","","Beklemede")</f>
        <v/>
      </c>
    </row>
    <row r="171">
      <c r="A171" s="22">
        <f>IF('KOK_NEDEN'!$A171="","",'KOK_NEDEN'!$A171)</f>
        <v/>
      </c>
      <c r="B171" s="17">
        <f>IF($A171="","",IFERROR(INDEX(tblKok[Kova],MATCH($A171,tblKok[A_Norm],0)),""))</f>
        <v/>
      </c>
      <c r="C171" s="17">
        <f>IF($A171="","",IFERROR(INDEX(tblEslesme[Fark],MATCH($A171,tblEslesme[A_Norm],0)),0))</f>
        <v/>
      </c>
      <c r="D171" s="17">
        <f>IF($A171="","",IFERROR(INDEX(tblKok[KokNeden],MATCH($A171,tblKok[A_Norm],0)),""))</f>
        <v/>
      </c>
      <c r="E171" s="17">
        <f>IF($B171&lt;&gt;"tutar_farki","",IF(ABS($C171)&gt;efd_esikFark,"YUKSEK","NORMAL"))</f>
        <v/>
      </c>
      <c r="F171" s="17">
        <f>IF($B171&lt;&gt;"tutar_farki","","Fatura "&amp;$A171&amp;" için fark "&amp;TEXT($C171,"0.00")&amp;" TL. Dayanak: "&amp;$D171&amp;". İtiraz dosyası üretildi.")</f>
        <v/>
      </c>
      <c r="G171" s="17">
        <f>IF($B171&lt;&gt;"tutar_farki","","Beklemede")</f>
        <v/>
      </c>
    </row>
    <row r="172">
      <c r="A172" s="22">
        <f>IF('KOK_NEDEN'!$A172="","",'KOK_NEDEN'!$A172)</f>
        <v/>
      </c>
      <c r="B172" s="17">
        <f>IF($A172="","",IFERROR(INDEX(tblKok[Kova],MATCH($A172,tblKok[A_Norm],0)),""))</f>
        <v/>
      </c>
      <c r="C172" s="17">
        <f>IF($A172="","",IFERROR(INDEX(tblEslesme[Fark],MATCH($A172,tblEslesme[A_Norm],0)),0))</f>
        <v/>
      </c>
      <c r="D172" s="17">
        <f>IF($A172="","",IFERROR(INDEX(tblKok[KokNeden],MATCH($A172,tblKok[A_Norm],0)),""))</f>
        <v/>
      </c>
      <c r="E172" s="17">
        <f>IF($B172&lt;&gt;"tutar_farki","",IF(ABS($C172)&gt;efd_esikFark,"YUKSEK","NORMAL"))</f>
        <v/>
      </c>
      <c r="F172" s="17">
        <f>IF($B172&lt;&gt;"tutar_farki","","Fatura "&amp;$A172&amp;" için fark "&amp;TEXT($C172,"0.00")&amp;" TL. Dayanak: "&amp;$D172&amp;". İtiraz dosyası üretildi.")</f>
        <v/>
      </c>
      <c r="G172" s="17">
        <f>IF($B172&lt;&gt;"tutar_farki","","Beklemede")</f>
        <v/>
      </c>
    </row>
    <row r="173">
      <c r="A173" s="22">
        <f>IF('KOK_NEDEN'!$A173="","",'KOK_NEDEN'!$A173)</f>
        <v/>
      </c>
      <c r="B173" s="17">
        <f>IF($A173="","",IFERROR(INDEX(tblKok[Kova],MATCH($A173,tblKok[A_Norm],0)),""))</f>
        <v/>
      </c>
      <c r="C173" s="17">
        <f>IF($A173="","",IFERROR(INDEX(tblEslesme[Fark],MATCH($A173,tblEslesme[A_Norm],0)),0))</f>
        <v/>
      </c>
      <c r="D173" s="17">
        <f>IF($A173="","",IFERROR(INDEX(tblKok[KokNeden],MATCH($A173,tblKok[A_Norm],0)),""))</f>
        <v/>
      </c>
      <c r="E173" s="17">
        <f>IF($B173&lt;&gt;"tutar_farki","",IF(ABS($C173)&gt;efd_esikFark,"YUKSEK","NORMAL"))</f>
        <v/>
      </c>
      <c r="F173" s="17">
        <f>IF($B173&lt;&gt;"tutar_farki","","Fatura "&amp;$A173&amp;" için fark "&amp;TEXT($C173,"0.00")&amp;" TL. Dayanak: "&amp;$D173&amp;". İtiraz dosyası üretildi.")</f>
        <v/>
      </c>
      <c r="G173" s="17">
        <f>IF($B173&lt;&gt;"tutar_farki","","Beklemede")</f>
        <v/>
      </c>
    </row>
    <row r="174">
      <c r="A174" s="22">
        <f>IF('KOK_NEDEN'!$A174="","",'KOK_NEDEN'!$A174)</f>
        <v/>
      </c>
      <c r="B174" s="17">
        <f>IF($A174="","",IFERROR(INDEX(tblKok[Kova],MATCH($A174,tblKok[A_Norm],0)),""))</f>
        <v/>
      </c>
      <c r="C174" s="17">
        <f>IF($A174="","",IFERROR(INDEX(tblEslesme[Fark],MATCH($A174,tblEslesme[A_Norm],0)),0))</f>
        <v/>
      </c>
      <c r="D174" s="17">
        <f>IF($A174="","",IFERROR(INDEX(tblKok[KokNeden],MATCH($A174,tblKok[A_Norm],0)),""))</f>
        <v/>
      </c>
      <c r="E174" s="17">
        <f>IF($B174&lt;&gt;"tutar_farki","",IF(ABS($C174)&gt;efd_esikFark,"YUKSEK","NORMAL"))</f>
        <v/>
      </c>
      <c r="F174" s="17">
        <f>IF($B174&lt;&gt;"tutar_farki","","Fatura "&amp;$A174&amp;" için fark "&amp;TEXT($C174,"0.00")&amp;" TL. Dayanak: "&amp;$D174&amp;". İtiraz dosyası üretildi.")</f>
        <v/>
      </c>
      <c r="G174" s="17">
        <f>IF($B174&lt;&gt;"tutar_farki","","Beklemede")</f>
        <v/>
      </c>
    </row>
    <row r="175">
      <c r="A175" s="22">
        <f>IF('KOK_NEDEN'!$A175="","",'KOK_NEDEN'!$A175)</f>
        <v/>
      </c>
      <c r="B175" s="17">
        <f>IF($A175="","",IFERROR(INDEX(tblKok[Kova],MATCH($A175,tblKok[A_Norm],0)),""))</f>
        <v/>
      </c>
      <c r="C175" s="17">
        <f>IF($A175="","",IFERROR(INDEX(tblEslesme[Fark],MATCH($A175,tblEslesme[A_Norm],0)),0))</f>
        <v/>
      </c>
      <c r="D175" s="17">
        <f>IF($A175="","",IFERROR(INDEX(tblKok[KokNeden],MATCH($A175,tblKok[A_Norm],0)),""))</f>
        <v/>
      </c>
      <c r="E175" s="17">
        <f>IF($B175&lt;&gt;"tutar_farki","",IF(ABS($C175)&gt;efd_esikFark,"YUKSEK","NORMAL"))</f>
        <v/>
      </c>
      <c r="F175" s="17">
        <f>IF($B175&lt;&gt;"tutar_farki","","Fatura "&amp;$A175&amp;" için fark "&amp;TEXT($C175,"0.00")&amp;" TL. Dayanak: "&amp;$D175&amp;". İtiraz dosyası üretildi.")</f>
        <v/>
      </c>
      <c r="G175" s="17">
        <f>IF($B175&lt;&gt;"tutar_farki","","Beklemede")</f>
        <v/>
      </c>
    </row>
    <row r="176">
      <c r="A176" s="22">
        <f>IF('KOK_NEDEN'!$A176="","",'KOK_NEDEN'!$A176)</f>
        <v/>
      </c>
      <c r="B176" s="17">
        <f>IF($A176="","",IFERROR(INDEX(tblKok[Kova],MATCH($A176,tblKok[A_Norm],0)),""))</f>
        <v/>
      </c>
      <c r="C176" s="17">
        <f>IF($A176="","",IFERROR(INDEX(tblEslesme[Fark],MATCH($A176,tblEslesme[A_Norm],0)),0))</f>
        <v/>
      </c>
      <c r="D176" s="17">
        <f>IF($A176="","",IFERROR(INDEX(tblKok[KokNeden],MATCH($A176,tblKok[A_Norm],0)),""))</f>
        <v/>
      </c>
      <c r="E176" s="17">
        <f>IF($B176&lt;&gt;"tutar_farki","",IF(ABS($C176)&gt;efd_esikFark,"YUKSEK","NORMAL"))</f>
        <v/>
      </c>
      <c r="F176" s="17">
        <f>IF($B176&lt;&gt;"tutar_farki","","Fatura "&amp;$A176&amp;" için fark "&amp;TEXT($C176,"0.00")&amp;" TL. Dayanak: "&amp;$D176&amp;". İtiraz dosyası üretildi.")</f>
        <v/>
      </c>
      <c r="G176" s="17">
        <f>IF($B176&lt;&gt;"tutar_farki","","Beklemede")</f>
        <v/>
      </c>
    </row>
    <row r="177">
      <c r="A177" s="22">
        <f>IF('KOK_NEDEN'!$A177="","",'KOK_NEDEN'!$A177)</f>
        <v/>
      </c>
      <c r="B177" s="17">
        <f>IF($A177="","",IFERROR(INDEX(tblKok[Kova],MATCH($A177,tblKok[A_Norm],0)),""))</f>
        <v/>
      </c>
      <c r="C177" s="17">
        <f>IF($A177="","",IFERROR(INDEX(tblEslesme[Fark],MATCH($A177,tblEslesme[A_Norm],0)),0))</f>
        <v/>
      </c>
      <c r="D177" s="17">
        <f>IF($A177="","",IFERROR(INDEX(tblKok[KokNeden],MATCH($A177,tblKok[A_Norm],0)),""))</f>
        <v/>
      </c>
      <c r="E177" s="17">
        <f>IF($B177&lt;&gt;"tutar_farki","",IF(ABS($C177)&gt;efd_esikFark,"YUKSEK","NORMAL"))</f>
        <v/>
      </c>
      <c r="F177" s="17">
        <f>IF($B177&lt;&gt;"tutar_farki","","Fatura "&amp;$A177&amp;" için fark "&amp;TEXT($C177,"0.00")&amp;" TL. Dayanak: "&amp;$D177&amp;". İtiraz dosyası üretildi.")</f>
        <v/>
      </c>
      <c r="G177" s="17">
        <f>IF($B177&lt;&gt;"tutar_farki","","Beklemede")</f>
        <v/>
      </c>
    </row>
    <row r="178">
      <c r="A178" s="22">
        <f>IF('KOK_NEDEN'!$A178="","",'KOK_NEDEN'!$A178)</f>
        <v/>
      </c>
      <c r="B178" s="17">
        <f>IF($A178="","",IFERROR(INDEX(tblKok[Kova],MATCH($A178,tblKok[A_Norm],0)),""))</f>
        <v/>
      </c>
      <c r="C178" s="17">
        <f>IF($A178="","",IFERROR(INDEX(tblEslesme[Fark],MATCH($A178,tblEslesme[A_Norm],0)),0))</f>
        <v/>
      </c>
      <c r="D178" s="17">
        <f>IF($A178="","",IFERROR(INDEX(tblKok[KokNeden],MATCH($A178,tblKok[A_Norm],0)),""))</f>
        <v/>
      </c>
      <c r="E178" s="17">
        <f>IF($B178&lt;&gt;"tutar_farki","",IF(ABS($C178)&gt;efd_esikFark,"YUKSEK","NORMAL"))</f>
        <v/>
      </c>
      <c r="F178" s="17">
        <f>IF($B178&lt;&gt;"tutar_farki","","Fatura "&amp;$A178&amp;" için fark "&amp;TEXT($C178,"0.00")&amp;" TL. Dayanak: "&amp;$D178&amp;". İtiraz dosyası üretildi.")</f>
        <v/>
      </c>
      <c r="G178" s="17">
        <f>IF($B178&lt;&gt;"tutar_farki","","Beklemede")</f>
        <v/>
      </c>
    </row>
    <row r="179">
      <c r="A179" s="22">
        <f>IF('KOK_NEDEN'!$A179="","",'KOK_NEDEN'!$A179)</f>
        <v/>
      </c>
      <c r="B179" s="17">
        <f>IF($A179="","",IFERROR(INDEX(tblKok[Kova],MATCH($A179,tblKok[A_Norm],0)),""))</f>
        <v/>
      </c>
      <c r="C179" s="17">
        <f>IF($A179="","",IFERROR(INDEX(tblEslesme[Fark],MATCH($A179,tblEslesme[A_Norm],0)),0))</f>
        <v/>
      </c>
      <c r="D179" s="17">
        <f>IF($A179="","",IFERROR(INDEX(tblKok[KokNeden],MATCH($A179,tblKok[A_Norm],0)),""))</f>
        <v/>
      </c>
      <c r="E179" s="17">
        <f>IF($B179&lt;&gt;"tutar_farki","",IF(ABS($C179)&gt;efd_esikFark,"YUKSEK","NORMAL"))</f>
        <v/>
      </c>
      <c r="F179" s="17">
        <f>IF($B179&lt;&gt;"tutar_farki","","Fatura "&amp;$A179&amp;" için fark "&amp;TEXT($C179,"0.00")&amp;" TL. Dayanak: "&amp;$D179&amp;". İtiraz dosyası üretildi.")</f>
        <v/>
      </c>
      <c r="G179" s="17">
        <f>IF($B179&lt;&gt;"tutar_farki","","Beklemede")</f>
        <v/>
      </c>
    </row>
    <row r="180">
      <c r="A180" s="22">
        <f>IF('KOK_NEDEN'!$A180="","",'KOK_NEDEN'!$A180)</f>
        <v/>
      </c>
      <c r="B180" s="17">
        <f>IF($A180="","",IFERROR(INDEX(tblKok[Kova],MATCH($A180,tblKok[A_Norm],0)),""))</f>
        <v/>
      </c>
      <c r="C180" s="17">
        <f>IF($A180="","",IFERROR(INDEX(tblEslesme[Fark],MATCH($A180,tblEslesme[A_Norm],0)),0))</f>
        <v/>
      </c>
      <c r="D180" s="17">
        <f>IF($A180="","",IFERROR(INDEX(tblKok[KokNeden],MATCH($A180,tblKok[A_Norm],0)),""))</f>
        <v/>
      </c>
      <c r="E180" s="17">
        <f>IF($B180&lt;&gt;"tutar_farki","",IF(ABS($C180)&gt;efd_esikFark,"YUKSEK","NORMAL"))</f>
        <v/>
      </c>
      <c r="F180" s="17">
        <f>IF($B180&lt;&gt;"tutar_farki","","Fatura "&amp;$A180&amp;" için fark "&amp;TEXT($C180,"0.00")&amp;" TL. Dayanak: "&amp;$D180&amp;". İtiraz dosyası üretildi.")</f>
        <v/>
      </c>
      <c r="G180" s="17">
        <f>IF($B180&lt;&gt;"tutar_farki","","Beklemede")</f>
        <v/>
      </c>
    </row>
    <row r="181">
      <c r="A181" s="22">
        <f>IF('KOK_NEDEN'!$A181="","",'KOK_NEDEN'!$A181)</f>
        <v/>
      </c>
      <c r="B181" s="17">
        <f>IF($A181="","",IFERROR(INDEX(tblKok[Kova],MATCH($A181,tblKok[A_Norm],0)),""))</f>
        <v/>
      </c>
      <c r="C181" s="17">
        <f>IF($A181="","",IFERROR(INDEX(tblEslesme[Fark],MATCH($A181,tblEslesme[A_Norm],0)),0))</f>
        <v/>
      </c>
      <c r="D181" s="17">
        <f>IF($A181="","",IFERROR(INDEX(tblKok[KokNeden],MATCH($A181,tblKok[A_Norm],0)),""))</f>
        <v/>
      </c>
      <c r="E181" s="17">
        <f>IF($B181&lt;&gt;"tutar_farki","",IF(ABS($C181)&gt;efd_esikFark,"YUKSEK","NORMAL"))</f>
        <v/>
      </c>
      <c r="F181" s="17">
        <f>IF($B181&lt;&gt;"tutar_farki","","Fatura "&amp;$A181&amp;" için fark "&amp;TEXT($C181,"0.00")&amp;" TL. Dayanak: "&amp;$D181&amp;". İtiraz dosyası üretildi.")</f>
        <v/>
      </c>
      <c r="G181" s="17">
        <f>IF($B181&lt;&gt;"tutar_farki","","Beklemede")</f>
        <v/>
      </c>
    </row>
    <row r="182">
      <c r="A182" s="22">
        <f>IF('KOK_NEDEN'!$A182="","",'KOK_NEDEN'!$A182)</f>
        <v/>
      </c>
      <c r="B182" s="17">
        <f>IF($A182="","",IFERROR(INDEX(tblKok[Kova],MATCH($A182,tblKok[A_Norm],0)),""))</f>
        <v/>
      </c>
      <c r="C182" s="17">
        <f>IF($A182="","",IFERROR(INDEX(tblEslesme[Fark],MATCH($A182,tblEslesme[A_Norm],0)),0))</f>
        <v/>
      </c>
      <c r="D182" s="17">
        <f>IF($A182="","",IFERROR(INDEX(tblKok[KokNeden],MATCH($A182,tblKok[A_Norm],0)),""))</f>
        <v/>
      </c>
      <c r="E182" s="17">
        <f>IF($B182&lt;&gt;"tutar_farki","",IF(ABS($C182)&gt;efd_esikFark,"YUKSEK","NORMAL"))</f>
        <v/>
      </c>
      <c r="F182" s="17">
        <f>IF($B182&lt;&gt;"tutar_farki","","Fatura "&amp;$A182&amp;" için fark "&amp;TEXT($C182,"0.00")&amp;" TL. Dayanak: "&amp;$D182&amp;". İtiraz dosyası üretildi.")</f>
        <v/>
      </c>
      <c r="G182" s="17">
        <f>IF($B182&lt;&gt;"tutar_farki","","Beklemede")</f>
        <v/>
      </c>
    </row>
    <row r="183">
      <c r="A183" s="22">
        <f>IF('KOK_NEDEN'!$A183="","",'KOK_NEDEN'!$A183)</f>
        <v/>
      </c>
      <c r="B183" s="17">
        <f>IF($A183="","",IFERROR(INDEX(tblKok[Kova],MATCH($A183,tblKok[A_Norm],0)),""))</f>
        <v/>
      </c>
      <c r="C183" s="17">
        <f>IF($A183="","",IFERROR(INDEX(tblEslesme[Fark],MATCH($A183,tblEslesme[A_Norm],0)),0))</f>
        <v/>
      </c>
      <c r="D183" s="17">
        <f>IF($A183="","",IFERROR(INDEX(tblKok[KokNeden],MATCH($A183,tblKok[A_Norm],0)),""))</f>
        <v/>
      </c>
      <c r="E183" s="17">
        <f>IF($B183&lt;&gt;"tutar_farki","",IF(ABS($C183)&gt;efd_esikFark,"YUKSEK","NORMAL"))</f>
        <v/>
      </c>
      <c r="F183" s="17">
        <f>IF($B183&lt;&gt;"tutar_farki","","Fatura "&amp;$A183&amp;" için fark "&amp;TEXT($C183,"0.00")&amp;" TL. Dayanak: "&amp;$D183&amp;". İtiraz dosyası üretildi.")</f>
        <v/>
      </c>
      <c r="G183" s="17">
        <f>IF($B183&lt;&gt;"tutar_farki","","Beklemede")</f>
        <v/>
      </c>
    </row>
    <row r="184">
      <c r="A184" s="22">
        <f>IF('KOK_NEDEN'!$A184="","",'KOK_NEDEN'!$A184)</f>
        <v/>
      </c>
      <c r="B184" s="17">
        <f>IF($A184="","",IFERROR(INDEX(tblKok[Kova],MATCH($A184,tblKok[A_Norm],0)),""))</f>
        <v/>
      </c>
      <c r="C184" s="17">
        <f>IF($A184="","",IFERROR(INDEX(tblEslesme[Fark],MATCH($A184,tblEslesme[A_Norm],0)),0))</f>
        <v/>
      </c>
      <c r="D184" s="17">
        <f>IF($A184="","",IFERROR(INDEX(tblKok[KokNeden],MATCH($A184,tblKok[A_Norm],0)),""))</f>
        <v/>
      </c>
      <c r="E184" s="17">
        <f>IF($B184&lt;&gt;"tutar_farki","",IF(ABS($C184)&gt;efd_esikFark,"YUKSEK","NORMAL"))</f>
        <v/>
      </c>
      <c r="F184" s="17">
        <f>IF($B184&lt;&gt;"tutar_farki","","Fatura "&amp;$A184&amp;" için fark "&amp;TEXT($C184,"0.00")&amp;" TL. Dayanak: "&amp;$D184&amp;". İtiraz dosyası üretildi.")</f>
        <v/>
      </c>
      <c r="G184" s="17">
        <f>IF($B184&lt;&gt;"tutar_farki","","Beklemede")</f>
        <v/>
      </c>
    </row>
    <row r="185">
      <c r="A185" s="22">
        <f>IF('KOK_NEDEN'!$A185="","",'KOK_NEDEN'!$A185)</f>
        <v/>
      </c>
      <c r="B185" s="17">
        <f>IF($A185="","",IFERROR(INDEX(tblKok[Kova],MATCH($A185,tblKok[A_Norm],0)),""))</f>
        <v/>
      </c>
      <c r="C185" s="17">
        <f>IF($A185="","",IFERROR(INDEX(tblEslesme[Fark],MATCH($A185,tblEslesme[A_Norm],0)),0))</f>
        <v/>
      </c>
      <c r="D185" s="17">
        <f>IF($A185="","",IFERROR(INDEX(tblKok[KokNeden],MATCH($A185,tblKok[A_Norm],0)),""))</f>
        <v/>
      </c>
      <c r="E185" s="17">
        <f>IF($B185&lt;&gt;"tutar_farki","",IF(ABS($C185)&gt;efd_esikFark,"YUKSEK","NORMAL"))</f>
        <v/>
      </c>
      <c r="F185" s="17">
        <f>IF($B185&lt;&gt;"tutar_farki","","Fatura "&amp;$A185&amp;" için fark "&amp;TEXT($C185,"0.00")&amp;" TL. Dayanak: "&amp;$D185&amp;". İtiraz dosyası üretildi.")</f>
        <v/>
      </c>
      <c r="G185" s="17">
        <f>IF($B185&lt;&gt;"tutar_farki","","Beklemede")</f>
        <v/>
      </c>
    </row>
    <row r="186">
      <c r="A186" s="22">
        <f>IF('KOK_NEDEN'!$A186="","",'KOK_NEDEN'!$A186)</f>
        <v/>
      </c>
      <c r="B186" s="17">
        <f>IF($A186="","",IFERROR(INDEX(tblKok[Kova],MATCH($A186,tblKok[A_Norm],0)),""))</f>
        <v/>
      </c>
      <c r="C186" s="17">
        <f>IF($A186="","",IFERROR(INDEX(tblEslesme[Fark],MATCH($A186,tblEslesme[A_Norm],0)),0))</f>
        <v/>
      </c>
      <c r="D186" s="17">
        <f>IF($A186="","",IFERROR(INDEX(tblKok[KokNeden],MATCH($A186,tblKok[A_Norm],0)),""))</f>
        <v/>
      </c>
      <c r="E186" s="17">
        <f>IF($B186&lt;&gt;"tutar_farki","",IF(ABS($C186)&gt;efd_esikFark,"YUKSEK","NORMAL"))</f>
        <v/>
      </c>
      <c r="F186" s="17">
        <f>IF($B186&lt;&gt;"tutar_farki","","Fatura "&amp;$A186&amp;" için fark "&amp;TEXT($C186,"0.00")&amp;" TL. Dayanak: "&amp;$D186&amp;". İtiraz dosyası üretildi.")</f>
        <v/>
      </c>
      <c r="G186" s="17">
        <f>IF($B186&lt;&gt;"tutar_farki","","Beklemede")</f>
        <v/>
      </c>
    </row>
    <row r="187">
      <c r="A187" s="22">
        <f>IF('KOK_NEDEN'!$A187="","",'KOK_NEDEN'!$A187)</f>
        <v/>
      </c>
      <c r="B187" s="17">
        <f>IF($A187="","",IFERROR(INDEX(tblKok[Kova],MATCH($A187,tblKok[A_Norm],0)),""))</f>
        <v/>
      </c>
      <c r="C187" s="17">
        <f>IF($A187="","",IFERROR(INDEX(tblEslesme[Fark],MATCH($A187,tblEslesme[A_Norm],0)),0))</f>
        <v/>
      </c>
      <c r="D187" s="17">
        <f>IF($A187="","",IFERROR(INDEX(tblKok[KokNeden],MATCH($A187,tblKok[A_Norm],0)),""))</f>
        <v/>
      </c>
      <c r="E187" s="17">
        <f>IF($B187&lt;&gt;"tutar_farki","",IF(ABS($C187)&gt;efd_esikFark,"YUKSEK","NORMAL"))</f>
        <v/>
      </c>
      <c r="F187" s="17">
        <f>IF($B187&lt;&gt;"tutar_farki","","Fatura "&amp;$A187&amp;" için fark "&amp;TEXT($C187,"0.00")&amp;" TL. Dayanak: "&amp;$D187&amp;". İtiraz dosyası üretildi.")</f>
        <v/>
      </c>
      <c r="G187" s="17">
        <f>IF($B187&lt;&gt;"tutar_farki","","Beklemede")</f>
        <v/>
      </c>
    </row>
    <row r="188">
      <c r="A188" s="22">
        <f>IF('KOK_NEDEN'!$A188="","",'KOK_NEDEN'!$A188)</f>
        <v/>
      </c>
      <c r="B188" s="17">
        <f>IF($A188="","",IFERROR(INDEX(tblKok[Kova],MATCH($A188,tblKok[A_Norm],0)),""))</f>
        <v/>
      </c>
      <c r="C188" s="17">
        <f>IF($A188="","",IFERROR(INDEX(tblEslesme[Fark],MATCH($A188,tblEslesme[A_Norm],0)),0))</f>
        <v/>
      </c>
      <c r="D188" s="17">
        <f>IF($A188="","",IFERROR(INDEX(tblKok[KokNeden],MATCH($A188,tblKok[A_Norm],0)),""))</f>
        <v/>
      </c>
      <c r="E188" s="17">
        <f>IF($B188&lt;&gt;"tutar_farki","",IF(ABS($C188)&gt;efd_esikFark,"YUKSEK","NORMAL"))</f>
        <v/>
      </c>
      <c r="F188" s="17">
        <f>IF($B188&lt;&gt;"tutar_farki","","Fatura "&amp;$A188&amp;" için fark "&amp;TEXT($C188,"0.00")&amp;" TL. Dayanak: "&amp;$D188&amp;". İtiraz dosyası üretildi.")</f>
        <v/>
      </c>
      <c r="G188" s="17">
        <f>IF($B188&lt;&gt;"tutar_farki","","Beklemede")</f>
        <v/>
      </c>
    </row>
    <row r="189">
      <c r="A189" s="22">
        <f>IF('KOK_NEDEN'!$A189="","",'KOK_NEDEN'!$A189)</f>
        <v/>
      </c>
      <c r="B189" s="17">
        <f>IF($A189="","",IFERROR(INDEX(tblKok[Kova],MATCH($A189,tblKok[A_Norm],0)),""))</f>
        <v/>
      </c>
      <c r="C189" s="17">
        <f>IF($A189="","",IFERROR(INDEX(tblEslesme[Fark],MATCH($A189,tblEslesme[A_Norm],0)),0))</f>
        <v/>
      </c>
      <c r="D189" s="17">
        <f>IF($A189="","",IFERROR(INDEX(tblKok[KokNeden],MATCH($A189,tblKok[A_Norm],0)),""))</f>
        <v/>
      </c>
      <c r="E189" s="17">
        <f>IF($B189&lt;&gt;"tutar_farki","",IF(ABS($C189)&gt;efd_esikFark,"YUKSEK","NORMAL"))</f>
        <v/>
      </c>
      <c r="F189" s="17">
        <f>IF($B189&lt;&gt;"tutar_farki","","Fatura "&amp;$A189&amp;" için fark "&amp;TEXT($C189,"0.00")&amp;" TL. Dayanak: "&amp;$D189&amp;". İtiraz dosyası üretildi.")</f>
        <v/>
      </c>
      <c r="G189" s="17">
        <f>IF($B189&lt;&gt;"tutar_farki","","Beklemede")</f>
        <v/>
      </c>
    </row>
    <row r="190">
      <c r="A190" s="22">
        <f>IF('KOK_NEDEN'!$A190="","",'KOK_NEDEN'!$A190)</f>
        <v/>
      </c>
      <c r="B190" s="17">
        <f>IF($A190="","",IFERROR(INDEX(tblKok[Kova],MATCH($A190,tblKok[A_Norm],0)),""))</f>
        <v/>
      </c>
      <c r="C190" s="17">
        <f>IF($A190="","",IFERROR(INDEX(tblEslesme[Fark],MATCH($A190,tblEslesme[A_Norm],0)),0))</f>
        <v/>
      </c>
      <c r="D190" s="17">
        <f>IF($A190="","",IFERROR(INDEX(tblKok[KokNeden],MATCH($A190,tblKok[A_Norm],0)),""))</f>
        <v/>
      </c>
      <c r="E190" s="17">
        <f>IF($B190&lt;&gt;"tutar_farki","",IF(ABS($C190)&gt;efd_esikFark,"YUKSEK","NORMAL"))</f>
        <v/>
      </c>
      <c r="F190" s="17">
        <f>IF($B190&lt;&gt;"tutar_farki","","Fatura "&amp;$A190&amp;" için fark "&amp;TEXT($C190,"0.00")&amp;" TL. Dayanak: "&amp;$D190&amp;". İtiraz dosyası üretildi.")</f>
        <v/>
      </c>
      <c r="G190" s="17">
        <f>IF($B190&lt;&gt;"tutar_farki","","Beklemede")</f>
        <v/>
      </c>
    </row>
    <row r="191">
      <c r="A191" s="22">
        <f>IF('KOK_NEDEN'!$A191="","",'KOK_NEDEN'!$A191)</f>
        <v/>
      </c>
      <c r="B191" s="17">
        <f>IF($A191="","",IFERROR(INDEX(tblKok[Kova],MATCH($A191,tblKok[A_Norm],0)),""))</f>
        <v/>
      </c>
      <c r="C191" s="17">
        <f>IF($A191="","",IFERROR(INDEX(tblEslesme[Fark],MATCH($A191,tblEslesme[A_Norm],0)),0))</f>
        <v/>
      </c>
      <c r="D191" s="17">
        <f>IF($A191="","",IFERROR(INDEX(tblKok[KokNeden],MATCH($A191,tblKok[A_Norm],0)),""))</f>
        <v/>
      </c>
      <c r="E191" s="17">
        <f>IF($B191&lt;&gt;"tutar_farki","",IF(ABS($C191)&gt;efd_esikFark,"YUKSEK","NORMAL"))</f>
        <v/>
      </c>
      <c r="F191" s="17">
        <f>IF($B191&lt;&gt;"tutar_farki","","Fatura "&amp;$A191&amp;" için fark "&amp;TEXT($C191,"0.00")&amp;" TL. Dayanak: "&amp;$D191&amp;". İtiraz dosyası üretildi.")</f>
        <v/>
      </c>
      <c r="G191" s="17">
        <f>IF($B191&lt;&gt;"tutar_farki","","Beklemede")</f>
        <v/>
      </c>
    </row>
    <row r="192">
      <c r="A192" s="22">
        <f>IF('KOK_NEDEN'!$A192="","",'KOK_NEDEN'!$A192)</f>
        <v/>
      </c>
      <c r="B192" s="17">
        <f>IF($A192="","",IFERROR(INDEX(tblKok[Kova],MATCH($A192,tblKok[A_Norm],0)),""))</f>
        <v/>
      </c>
      <c r="C192" s="17">
        <f>IF($A192="","",IFERROR(INDEX(tblEslesme[Fark],MATCH($A192,tblEslesme[A_Norm],0)),0))</f>
        <v/>
      </c>
      <c r="D192" s="17">
        <f>IF($A192="","",IFERROR(INDEX(tblKok[KokNeden],MATCH($A192,tblKok[A_Norm],0)),""))</f>
        <v/>
      </c>
      <c r="E192" s="17">
        <f>IF($B192&lt;&gt;"tutar_farki","",IF(ABS($C192)&gt;efd_esikFark,"YUKSEK","NORMAL"))</f>
        <v/>
      </c>
      <c r="F192" s="17">
        <f>IF($B192&lt;&gt;"tutar_farki","","Fatura "&amp;$A192&amp;" için fark "&amp;TEXT($C192,"0.00")&amp;" TL. Dayanak: "&amp;$D192&amp;". İtiraz dosyası üretildi.")</f>
        <v/>
      </c>
      <c r="G192" s="17">
        <f>IF($B192&lt;&gt;"tutar_farki","","Beklemede")</f>
        <v/>
      </c>
    </row>
    <row r="193">
      <c r="A193" s="22">
        <f>IF('KOK_NEDEN'!$A193="","",'KOK_NEDEN'!$A193)</f>
        <v/>
      </c>
      <c r="B193" s="17">
        <f>IF($A193="","",IFERROR(INDEX(tblKok[Kova],MATCH($A193,tblKok[A_Norm],0)),""))</f>
        <v/>
      </c>
      <c r="C193" s="17">
        <f>IF($A193="","",IFERROR(INDEX(tblEslesme[Fark],MATCH($A193,tblEslesme[A_Norm],0)),0))</f>
        <v/>
      </c>
      <c r="D193" s="17">
        <f>IF($A193="","",IFERROR(INDEX(tblKok[KokNeden],MATCH($A193,tblKok[A_Norm],0)),""))</f>
        <v/>
      </c>
      <c r="E193" s="17">
        <f>IF($B193&lt;&gt;"tutar_farki","",IF(ABS($C193)&gt;efd_esikFark,"YUKSEK","NORMAL"))</f>
        <v/>
      </c>
      <c r="F193" s="17">
        <f>IF($B193&lt;&gt;"tutar_farki","","Fatura "&amp;$A193&amp;" için fark "&amp;TEXT($C193,"0.00")&amp;" TL. Dayanak: "&amp;$D193&amp;". İtiraz dosyası üretildi.")</f>
        <v/>
      </c>
      <c r="G193" s="17">
        <f>IF($B193&lt;&gt;"tutar_farki","","Beklemede")</f>
        <v/>
      </c>
    </row>
    <row r="194">
      <c r="A194" s="22">
        <f>IF('KOK_NEDEN'!$A194="","",'KOK_NEDEN'!$A194)</f>
        <v/>
      </c>
      <c r="B194" s="17">
        <f>IF($A194="","",IFERROR(INDEX(tblKok[Kova],MATCH($A194,tblKok[A_Norm],0)),""))</f>
        <v/>
      </c>
      <c r="C194" s="17">
        <f>IF($A194="","",IFERROR(INDEX(tblEslesme[Fark],MATCH($A194,tblEslesme[A_Norm],0)),0))</f>
        <v/>
      </c>
      <c r="D194" s="17">
        <f>IF($A194="","",IFERROR(INDEX(tblKok[KokNeden],MATCH($A194,tblKok[A_Norm],0)),""))</f>
        <v/>
      </c>
      <c r="E194" s="17">
        <f>IF($B194&lt;&gt;"tutar_farki","",IF(ABS($C194)&gt;efd_esikFark,"YUKSEK","NORMAL"))</f>
        <v/>
      </c>
      <c r="F194" s="17">
        <f>IF($B194&lt;&gt;"tutar_farki","","Fatura "&amp;$A194&amp;" için fark "&amp;TEXT($C194,"0.00")&amp;" TL. Dayanak: "&amp;$D194&amp;". İtiraz dosyası üretildi.")</f>
        <v/>
      </c>
      <c r="G194" s="17">
        <f>IF($B194&lt;&gt;"tutar_farki","","Beklemede")</f>
        <v/>
      </c>
    </row>
    <row r="195">
      <c r="A195" s="22">
        <f>IF('KOK_NEDEN'!$A195="","",'KOK_NEDEN'!$A195)</f>
        <v/>
      </c>
      <c r="B195" s="17">
        <f>IF($A195="","",IFERROR(INDEX(tblKok[Kova],MATCH($A195,tblKok[A_Norm],0)),""))</f>
        <v/>
      </c>
      <c r="C195" s="17">
        <f>IF($A195="","",IFERROR(INDEX(tblEslesme[Fark],MATCH($A195,tblEslesme[A_Norm],0)),0))</f>
        <v/>
      </c>
      <c r="D195" s="17">
        <f>IF($A195="","",IFERROR(INDEX(tblKok[KokNeden],MATCH($A195,tblKok[A_Norm],0)),""))</f>
        <v/>
      </c>
      <c r="E195" s="17">
        <f>IF($B195&lt;&gt;"tutar_farki","",IF(ABS($C195)&gt;efd_esikFark,"YUKSEK","NORMAL"))</f>
        <v/>
      </c>
      <c r="F195" s="17">
        <f>IF($B195&lt;&gt;"tutar_farki","","Fatura "&amp;$A195&amp;" için fark "&amp;TEXT($C195,"0.00")&amp;" TL. Dayanak: "&amp;$D195&amp;". İtiraz dosyası üretildi.")</f>
        <v/>
      </c>
      <c r="G195" s="17">
        <f>IF($B195&lt;&gt;"tutar_farki","","Beklemede")</f>
        <v/>
      </c>
    </row>
    <row r="196">
      <c r="A196" s="22">
        <f>IF('KOK_NEDEN'!$A196="","",'KOK_NEDEN'!$A196)</f>
        <v/>
      </c>
      <c r="B196" s="17">
        <f>IF($A196="","",IFERROR(INDEX(tblKok[Kova],MATCH($A196,tblKok[A_Norm],0)),""))</f>
        <v/>
      </c>
      <c r="C196" s="17">
        <f>IF($A196="","",IFERROR(INDEX(tblEslesme[Fark],MATCH($A196,tblEslesme[A_Norm],0)),0))</f>
        <v/>
      </c>
      <c r="D196" s="17">
        <f>IF($A196="","",IFERROR(INDEX(tblKok[KokNeden],MATCH($A196,tblKok[A_Norm],0)),""))</f>
        <v/>
      </c>
      <c r="E196" s="17">
        <f>IF($B196&lt;&gt;"tutar_farki","",IF(ABS($C196)&gt;efd_esikFark,"YUKSEK","NORMAL"))</f>
        <v/>
      </c>
      <c r="F196" s="17">
        <f>IF($B196&lt;&gt;"tutar_farki","","Fatura "&amp;$A196&amp;" için fark "&amp;TEXT($C196,"0.00")&amp;" TL. Dayanak: "&amp;$D196&amp;". İtiraz dosyası üretildi.")</f>
        <v/>
      </c>
      <c r="G196" s="17">
        <f>IF($B196&lt;&gt;"tutar_farki","","Beklemede")</f>
        <v/>
      </c>
    </row>
    <row r="197">
      <c r="A197" s="22">
        <f>IF('KOK_NEDEN'!$A197="","",'KOK_NEDEN'!$A197)</f>
        <v/>
      </c>
      <c r="B197" s="17">
        <f>IF($A197="","",IFERROR(INDEX(tblKok[Kova],MATCH($A197,tblKok[A_Norm],0)),""))</f>
        <v/>
      </c>
      <c r="C197" s="17">
        <f>IF($A197="","",IFERROR(INDEX(tblEslesme[Fark],MATCH($A197,tblEslesme[A_Norm],0)),0))</f>
        <v/>
      </c>
      <c r="D197" s="17">
        <f>IF($A197="","",IFERROR(INDEX(tblKok[KokNeden],MATCH($A197,tblKok[A_Norm],0)),""))</f>
        <v/>
      </c>
      <c r="E197" s="17">
        <f>IF($B197&lt;&gt;"tutar_farki","",IF(ABS($C197)&gt;efd_esikFark,"YUKSEK","NORMAL"))</f>
        <v/>
      </c>
      <c r="F197" s="17">
        <f>IF($B197&lt;&gt;"tutar_farki","","Fatura "&amp;$A197&amp;" için fark "&amp;TEXT($C197,"0.00")&amp;" TL. Dayanak: "&amp;$D197&amp;". İtiraz dosyası üretildi.")</f>
        <v/>
      </c>
      <c r="G197" s="17">
        <f>IF($B197&lt;&gt;"tutar_farki","","Beklemede")</f>
        <v/>
      </c>
    </row>
    <row r="198">
      <c r="A198" s="22">
        <f>IF('KOK_NEDEN'!$A198="","",'KOK_NEDEN'!$A198)</f>
        <v/>
      </c>
      <c r="B198" s="17">
        <f>IF($A198="","",IFERROR(INDEX(tblKok[Kova],MATCH($A198,tblKok[A_Norm],0)),""))</f>
        <v/>
      </c>
      <c r="C198" s="17">
        <f>IF($A198="","",IFERROR(INDEX(tblEslesme[Fark],MATCH($A198,tblEslesme[A_Norm],0)),0))</f>
        <v/>
      </c>
      <c r="D198" s="17">
        <f>IF($A198="","",IFERROR(INDEX(tblKok[KokNeden],MATCH($A198,tblKok[A_Norm],0)),""))</f>
        <v/>
      </c>
      <c r="E198" s="17">
        <f>IF($B198&lt;&gt;"tutar_farki","",IF(ABS($C198)&gt;efd_esikFark,"YUKSEK","NORMAL"))</f>
        <v/>
      </c>
      <c r="F198" s="17">
        <f>IF($B198&lt;&gt;"tutar_farki","","Fatura "&amp;$A198&amp;" için fark "&amp;TEXT($C198,"0.00")&amp;" TL. Dayanak: "&amp;$D198&amp;". İtiraz dosyası üretildi.")</f>
        <v/>
      </c>
      <c r="G198" s="17">
        <f>IF($B198&lt;&gt;"tutar_farki","","Beklemede")</f>
        <v/>
      </c>
    </row>
    <row r="199">
      <c r="A199" s="22">
        <f>IF('KOK_NEDEN'!$A199="","",'KOK_NEDEN'!$A199)</f>
        <v/>
      </c>
      <c r="B199" s="17">
        <f>IF($A199="","",IFERROR(INDEX(tblKok[Kova],MATCH($A199,tblKok[A_Norm],0)),""))</f>
        <v/>
      </c>
      <c r="C199" s="17">
        <f>IF($A199="","",IFERROR(INDEX(tblEslesme[Fark],MATCH($A199,tblEslesme[A_Norm],0)),0))</f>
        <v/>
      </c>
      <c r="D199" s="17">
        <f>IF($A199="","",IFERROR(INDEX(tblKok[KokNeden],MATCH($A199,tblKok[A_Norm],0)),""))</f>
        <v/>
      </c>
      <c r="E199" s="17">
        <f>IF($B199&lt;&gt;"tutar_farki","",IF(ABS($C199)&gt;efd_esikFark,"YUKSEK","NORMAL"))</f>
        <v/>
      </c>
      <c r="F199" s="17">
        <f>IF($B199&lt;&gt;"tutar_farki","","Fatura "&amp;$A199&amp;" için fark "&amp;TEXT($C199,"0.00")&amp;" TL. Dayanak: "&amp;$D199&amp;". İtiraz dosyası üretildi.")</f>
        <v/>
      </c>
      <c r="G199" s="17">
        <f>IF($B199&lt;&gt;"tutar_farki","","Beklemede")</f>
        <v/>
      </c>
    </row>
    <row r="200">
      <c r="A200" s="22">
        <f>IF('KOK_NEDEN'!$A200="","",'KOK_NEDEN'!$A200)</f>
        <v/>
      </c>
      <c r="B200" s="17">
        <f>IF($A200="","",IFERROR(INDEX(tblKok[Kova],MATCH($A200,tblKok[A_Norm],0)),""))</f>
        <v/>
      </c>
      <c r="C200" s="17">
        <f>IF($A200="","",IFERROR(INDEX(tblEslesme[Fark],MATCH($A200,tblEslesme[A_Norm],0)),0))</f>
        <v/>
      </c>
      <c r="D200" s="17">
        <f>IF($A200="","",IFERROR(INDEX(tblKok[KokNeden],MATCH($A200,tblKok[A_Norm],0)),""))</f>
        <v/>
      </c>
      <c r="E200" s="17">
        <f>IF($B200&lt;&gt;"tutar_farki","",IF(ABS($C200)&gt;efd_esikFark,"YUKSEK","NORMAL"))</f>
        <v/>
      </c>
      <c r="F200" s="17">
        <f>IF($B200&lt;&gt;"tutar_farki","","Fatura "&amp;$A200&amp;" için fark "&amp;TEXT($C200,"0.00")&amp;" TL. Dayanak: "&amp;$D200&amp;". İtiraz dosyası üretildi.")</f>
        <v/>
      </c>
      <c r="G200" s="17">
        <f>IF($B200&lt;&gt;"tutar_farki","","Beklemede")</f>
        <v/>
      </c>
    </row>
    <row r="201">
      <c r="A201" s="22">
        <f>IF('KOK_NEDEN'!$A201="","",'KOK_NEDEN'!$A201)</f>
        <v/>
      </c>
      <c r="B201" s="17">
        <f>IF($A201="","",IFERROR(INDEX(tblKok[Kova],MATCH($A201,tblKok[A_Norm],0)),""))</f>
        <v/>
      </c>
      <c r="C201" s="17">
        <f>IF($A201="","",IFERROR(INDEX(tblEslesme[Fark],MATCH($A201,tblEslesme[A_Norm],0)),0))</f>
        <v/>
      </c>
      <c r="D201" s="17">
        <f>IF($A201="","",IFERROR(INDEX(tblKok[KokNeden],MATCH($A201,tblKok[A_Norm],0)),""))</f>
        <v/>
      </c>
      <c r="E201" s="17">
        <f>IF($B201&lt;&gt;"tutar_farki","",IF(ABS($C201)&gt;efd_esikFark,"YUKSEK","NORMAL"))</f>
        <v/>
      </c>
      <c r="F201" s="17">
        <f>IF($B201&lt;&gt;"tutar_farki","","Fatura "&amp;$A201&amp;" için fark "&amp;TEXT($C201,"0.00")&amp;" TL. Dayanak: "&amp;$D201&amp;". İtiraz dosyası üretildi.")</f>
        <v/>
      </c>
      <c r="G201" s="17">
        <f>IF($B201&lt;&gt;"tutar_farki","","Beklemede")</f>
        <v/>
      </c>
    </row>
    <row r="202">
      <c r="A202" s="22">
        <f>IF('KOK_NEDEN'!$A202="","",'KOK_NEDEN'!$A202)</f>
        <v/>
      </c>
      <c r="B202" s="17">
        <f>IF($A202="","",IFERROR(INDEX(tblKok[Kova],MATCH($A202,tblKok[A_Norm],0)),""))</f>
        <v/>
      </c>
      <c r="C202" s="17">
        <f>IF($A202="","",IFERROR(INDEX(tblEslesme[Fark],MATCH($A202,tblEslesme[A_Norm],0)),0))</f>
        <v/>
      </c>
      <c r="D202" s="17">
        <f>IF($A202="","",IFERROR(INDEX(tblKok[KokNeden],MATCH($A202,tblKok[A_Norm],0)),""))</f>
        <v/>
      </c>
      <c r="E202" s="17">
        <f>IF($B202&lt;&gt;"tutar_farki","",IF(ABS($C202)&gt;efd_esikFark,"YUKSEK","NORMAL"))</f>
        <v/>
      </c>
      <c r="F202" s="17">
        <f>IF($B202&lt;&gt;"tutar_farki","","Fatura "&amp;$A202&amp;" için fark "&amp;TEXT($C202,"0.00")&amp;" TL. Dayanak: "&amp;$D202&amp;". İtiraz dosyası üretildi.")</f>
        <v/>
      </c>
      <c r="G202" s="17">
        <f>IF($B202&lt;&gt;"tutar_farki","","Beklemede")</f>
        <v/>
      </c>
    </row>
    <row r="203">
      <c r="A203" s="22">
        <f>IF('KOK_NEDEN'!$A203="","",'KOK_NEDEN'!$A203)</f>
        <v/>
      </c>
      <c r="B203" s="17">
        <f>IF($A203="","",IFERROR(INDEX(tblKok[Kova],MATCH($A203,tblKok[A_Norm],0)),""))</f>
        <v/>
      </c>
      <c r="C203" s="17">
        <f>IF($A203="","",IFERROR(INDEX(tblEslesme[Fark],MATCH($A203,tblEslesme[A_Norm],0)),0))</f>
        <v/>
      </c>
      <c r="D203" s="17">
        <f>IF($A203="","",IFERROR(INDEX(tblKok[KokNeden],MATCH($A203,tblKok[A_Norm],0)),""))</f>
        <v/>
      </c>
      <c r="E203" s="17">
        <f>IF($B203&lt;&gt;"tutar_farki","",IF(ABS($C203)&gt;efd_esikFark,"YUKSEK","NORMAL"))</f>
        <v/>
      </c>
      <c r="F203" s="17">
        <f>IF($B203&lt;&gt;"tutar_farki","","Fatura "&amp;$A203&amp;" için fark "&amp;TEXT($C203,"0.00")&amp;" TL. Dayanak: "&amp;$D203&amp;". İtiraz dosyası üretildi.")</f>
        <v/>
      </c>
      <c r="G203" s="17">
        <f>IF($B203&lt;&gt;"tutar_farki","","Beklemede")</f>
        <v/>
      </c>
    </row>
    <row r="204">
      <c r="A204" s="22">
        <f>IF('KOK_NEDEN'!$A204="","",'KOK_NEDEN'!$A204)</f>
        <v/>
      </c>
      <c r="B204" s="17">
        <f>IF($A204="","",IFERROR(INDEX(tblKok[Kova],MATCH($A204,tblKok[A_Norm],0)),""))</f>
        <v/>
      </c>
      <c r="C204" s="17">
        <f>IF($A204="","",IFERROR(INDEX(tblEslesme[Fark],MATCH($A204,tblEslesme[A_Norm],0)),0))</f>
        <v/>
      </c>
      <c r="D204" s="17">
        <f>IF($A204="","",IFERROR(INDEX(tblKok[KokNeden],MATCH($A204,tblKok[A_Norm],0)),""))</f>
        <v/>
      </c>
      <c r="E204" s="17">
        <f>IF($B204&lt;&gt;"tutar_farki","",IF(ABS($C204)&gt;efd_esikFark,"YUKSEK","NORMAL"))</f>
        <v/>
      </c>
      <c r="F204" s="17">
        <f>IF($B204&lt;&gt;"tutar_farki","","Fatura "&amp;$A204&amp;" için fark "&amp;TEXT($C204,"0.00")&amp;" TL. Dayanak: "&amp;$D204&amp;". İtiraz dosyası üretildi.")</f>
        <v/>
      </c>
      <c r="G204" s="17">
        <f>IF($B204&lt;&gt;"tutar_farki","","Beklemede")</f>
        <v/>
      </c>
    </row>
    <row r="205">
      <c r="A205" s="22">
        <f>IF('KOK_NEDEN'!$A205="","",'KOK_NEDEN'!$A205)</f>
        <v/>
      </c>
      <c r="B205" s="17">
        <f>IF($A205="","",IFERROR(INDEX(tblKok[Kova],MATCH($A205,tblKok[A_Norm],0)),""))</f>
        <v/>
      </c>
      <c r="C205" s="17">
        <f>IF($A205="","",IFERROR(INDEX(tblEslesme[Fark],MATCH($A205,tblEslesme[A_Norm],0)),0))</f>
        <v/>
      </c>
      <c r="D205" s="17">
        <f>IF($A205="","",IFERROR(INDEX(tblKok[KokNeden],MATCH($A205,tblKok[A_Norm],0)),""))</f>
        <v/>
      </c>
      <c r="E205" s="17">
        <f>IF($B205&lt;&gt;"tutar_farki","",IF(ABS($C205)&gt;efd_esikFark,"YUKSEK","NORMAL"))</f>
        <v/>
      </c>
      <c r="F205" s="17">
        <f>IF($B205&lt;&gt;"tutar_farki","","Fatura "&amp;$A205&amp;" için fark "&amp;TEXT($C205,"0.00")&amp;" TL. Dayanak: "&amp;$D205&amp;". İtiraz dosyası üretildi.")</f>
        <v/>
      </c>
      <c r="G205" s="17">
        <f>IF($B205&lt;&gt;"tutar_farki","","Beklemede")</f>
        <v/>
      </c>
    </row>
    <row r="206">
      <c r="A206" s="22">
        <f>IF('KOK_NEDEN'!$A206="","",'KOK_NEDEN'!$A206)</f>
        <v/>
      </c>
      <c r="B206" s="17">
        <f>IF($A206="","",IFERROR(INDEX(tblKok[Kova],MATCH($A206,tblKok[A_Norm],0)),""))</f>
        <v/>
      </c>
      <c r="C206" s="17">
        <f>IF($A206="","",IFERROR(INDEX(tblEslesme[Fark],MATCH($A206,tblEslesme[A_Norm],0)),0))</f>
        <v/>
      </c>
      <c r="D206" s="17">
        <f>IF($A206="","",IFERROR(INDEX(tblKok[KokNeden],MATCH($A206,tblKok[A_Norm],0)),""))</f>
        <v/>
      </c>
      <c r="E206" s="17">
        <f>IF($B206&lt;&gt;"tutar_farki","",IF(ABS($C206)&gt;efd_esikFark,"YUKSEK","NORMAL"))</f>
        <v/>
      </c>
      <c r="F206" s="17">
        <f>IF($B206&lt;&gt;"tutar_farki","","Fatura "&amp;$A206&amp;" için fark "&amp;TEXT($C206,"0.00")&amp;" TL. Dayanak: "&amp;$D206&amp;". İtiraz dosyası üretildi.")</f>
        <v/>
      </c>
      <c r="G206" s="17">
        <f>IF($B206&lt;&gt;"tutar_farki","","Beklemede")</f>
        <v/>
      </c>
    </row>
    <row r="207">
      <c r="A207" s="22">
        <f>IF('KOK_NEDEN'!$A207="","",'KOK_NEDEN'!$A207)</f>
        <v/>
      </c>
      <c r="B207" s="17">
        <f>IF($A207="","",IFERROR(INDEX(tblKok[Kova],MATCH($A207,tblKok[A_Norm],0)),""))</f>
        <v/>
      </c>
      <c r="C207" s="17">
        <f>IF($A207="","",IFERROR(INDEX(tblEslesme[Fark],MATCH($A207,tblEslesme[A_Norm],0)),0))</f>
        <v/>
      </c>
      <c r="D207" s="17">
        <f>IF($A207="","",IFERROR(INDEX(tblKok[KokNeden],MATCH($A207,tblKok[A_Norm],0)),""))</f>
        <v/>
      </c>
      <c r="E207" s="17">
        <f>IF($B207&lt;&gt;"tutar_farki","",IF(ABS($C207)&gt;efd_esikFark,"YUKSEK","NORMAL"))</f>
        <v/>
      </c>
      <c r="F207" s="17">
        <f>IF($B207&lt;&gt;"tutar_farki","","Fatura "&amp;$A207&amp;" için fark "&amp;TEXT($C207,"0.00")&amp;" TL. Dayanak: "&amp;$D207&amp;". İtiraz dosyası üretildi.")</f>
        <v/>
      </c>
      <c r="G207" s="17">
        <f>IF($B207&lt;&gt;"tutar_farki","","Beklemede")</f>
        <v/>
      </c>
    </row>
    <row r="208">
      <c r="A208" s="22">
        <f>IF('KOK_NEDEN'!$A208="","",'KOK_NEDEN'!$A208)</f>
        <v/>
      </c>
      <c r="B208" s="17">
        <f>IF($A208="","",IFERROR(INDEX(tblKok[Kova],MATCH($A208,tblKok[A_Norm],0)),""))</f>
        <v/>
      </c>
      <c r="C208" s="17">
        <f>IF($A208="","",IFERROR(INDEX(tblEslesme[Fark],MATCH($A208,tblEslesme[A_Norm],0)),0))</f>
        <v/>
      </c>
      <c r="D208" s="17">
        <f>IF($A208="","",IFERROR(INDEX(tblKok[KokNeden],MATCH($A208,tblKok[A_Norm],0)),""))</f>
        <v/>
      </c>
      <c r="E208" s="17">
        <f>IF($B208&lt;&gt;"tutar_farki","",IF(ABS($C208)&gt;efd_esikFark,"YUKSEK","NORMAL"))</f>
        <v/>
      </c>
      <c r="F208" s="17">
        <f>IF($B208&lt;&gt;"tutar_farki","","Fatura "&amp;$A208&amp;" için fark "&amp;TEXT($C208,"0.00")&amp;" TL. Dayanak: "&amp;$D208&amp;". İtiraz dosyası üretildi.")</f>
        <v/>
      </c>
      <c r="G208" s="17">
        <f>IF($B208&lt;&gt;"tutar_farki","","Beklemede")</f>
        <v/>
      </c>
    </row>
    <row r="209">
      <c r="A209" s="22">
        <f>IF('KOK_NEDEN'!$A209="","",'KOK_NEDEN'!$A209)</f>
        <v/>
      </c>
      <c r="B209" s="17">
        <f>IF($A209="","",IFERROR(INDEX(tblKok[Kova],MATCH($A209,tblKok[A_Norm],0)),""))</f>
        <v/>
      </c>
      <c r="C209" s="17">
        <f>IF($A209="","",IFERROR(INDEX(tblEslesme[Fark],MATCH($A209,tblEslesme[A_Norm],0)),0))</f>
        <v/>
      </c>
      <c r="D209" s="17">
        <f>IF($A209="","",IFERROR(INDEX(tblKok[KokNeden],MATCH($A209,tblKok[A_Norm],0)),""))</f>
        <v/>
      </c>
      <c r="E209" s="17">
        <f>IF($B209&lt;&gt;"tutar_farki","",IF(ABS($C209)&gt;efd_esikFark,"YUKSEK","NORMAL"))</f>
        <v/>
      </c>
      <c r="F209" s="17">
        <f>IF($B209&lt;&gt;"tutar_farki","","Fatura "&amp;$A209&amp;" için fark "&amp;TEXT($C209,"0.00")&amp;" TL. Dayanak: "&amp;$D209&amp;". İtiraz dosyası üretildi.")</f>
        <v/>
      </c>
      <c r="G209" s="17">
        <f>IF($B209&lt;&gt;"tutar_farki","","Beklemede")</f>
        <v/>
      </c>
    </row>
    <row r="210">
      <c r="A210" s="22">
        <f>IF('KOK_NEDEN'!$A210="","",'KOK_NEDEN'!$A210)</f>
        <v/>
      </c>
      <c r="B210" s="17">
        <f>IF($A210="","",IFERROR(INDEX(tblKok[Kova],MATCH($A210,tblKok[A_Norm],0)),""))</f>
        <v/>
      </c>
      <c r="C210" s="17">
        <f>IF($A210="","",IFERROR(INDEX(tblEslesme[Fark],MATCH($A210,tblEslesme[A_Norm],0)),0))</f>
        <v/>
      </c>
      <c r="D210" s="17">
        <f>IF($A210="","",IFERROR(INDEX(tblKok[KokNeden],MATCH($A210,tblKok[A_Norm],0)),""))</f>
        <v/>
      </c>
      <c r="E210" s="17">
        <f>IF($B210&lt;&gt;"tutar_farki","",IF(ABS($C210)&gt;efd_esikFark,"YUKSEK","NORMAL"))</f>
        <v/>
      </c>
      <c r="F210" s="17">
        <f>IF($B210&lt;&gt;"tutar_farki","","Fatura "&amp;$A210&amp;" için fark "&amp;TEXT($C210,"0.00")&amp;" TL. Dayanak: "&amp;$D210&amp;". İtiraz dosyası üretildi.")</f>
        <v/>
      </c>
      <c r="G210" s="17">
        <f>IF($B210&lt;&gt;"tutar_farki","","Beklemede")</f>
        <v/>
      </c>
    </row>
    <row r="211">
      <c r="A211" s="22">
        <f>IF('KOK_NEDEN'!$A211="","",'KOK_NEDEN'!$A211)</f>
        <v/>
      </c>
      <c r="B211" s="17">
        <f>IF($A211="","",IFERROR(INDEX(tblKok[Kova],MATCH($A211,tblKok[A_Norm],0)),""))</f>
        <v/>
      </c>
      <c r="C211" s="17">
        <f>IF($A211="","",IFERROR(INDEX(tblEslesme[Fark],MATCH($A211,tblEslesme[A_Norm],0)),0))</f>
        <v/>
      </c>
      <c r="D211" s="17">
        <f>IF($A211="","",IFERROR(INDEX(tblKok[KokNeden],MATCH($A211,tblKok[A_Norm],0)),""))</f>
        <v/>
      </c>
      <c r="E211" s="17">
        <f>IF($B211&lt;&gt;"tutar_farki","",IF(ABS($C211)&gt;efd_esikFark,"YUKSEK","NORMAL"))</f>
        <v/>
      </c>
      <c r="F211" s="17">
        <f>IF($B211&lt;&gt;"tutar_farki","","Fatura "&amp;$A211&amp;" için fark "&amp;TEXT($C211,"0.00")&amp;" TL. Dayanak: "&amp;$D211&amp;". İtiraz dosyası üretildi.")</f>
        <v/>
      </c>
      <c r="G211" s="17">
        <f>IF($B211&lt;&gt;"tutar_farki","","Beklemede")</f>
        <v/>
      </c>
    </row>
    <row r="212">
      <c r="A212" s="22">
        <f>IF('KOK_NEDEN'!$A212="","",'KOK_NEDEN'!$A212)</f>
        <v/>
      </c>
      <c r="B212" s="17">
        <f>IF($A212="","",IFERROR(INDEX(tblKok[Kova],MATCH($A212,tblKok[A_Norm],0)),""))</f>
        <v/>
      </c>
      <c r="C212" s="17">
        <f>IF($A212="","",IFERROR(INDEX(tblEslesme[Fark],MATCH($A212,tblEslesme[A_Norm],0)),0))</f>
        <v/>
      </c>
      <c r="D212" s="17">
        <f>IF($A212="","",IFERROR(INDEX(tblKok[KokNeden],MATCH($A212,tblKok[A_Norm],0)),""))</f>
        <v/>
      </c>
      <c r="E212" s="17">
        <f>IF($B212&lt;&gt;"tutar_farki","",IF(ABS($C212)&gt;efd_esikFark,"YUKSEK","NORMAL"))</f>
        <v/>
      </c>
      <c r="F212" s="17">
        <f>IF($B212&lt;&gt;"tutar_farki","","Fatura "&amp;$A212&amp;" için fark "&amp;TEXT($C212,"0.00")&amp;" TL. Dayanak: "&amp;$D212&amp;". İtiraz dosyası üretildi.")</f>
        <v/>
      </c>
      <c r="G212" s="17">
        <f>IF($B212&lt;&gt;"tutar_farki","","Beklemede")</f>
        <v/>
      </c>
    </row>
    <row r="213">
      <c r="A213" s="22">
        <f>IF('KOK_NEDEN'!$A213="","",'KOK_NEDEN'!$A213)</f>
        <v/>
      </c>
      <c r="B213" s="17">
        <f>IF($A213="","",IFERROR(INDEX(tblKok[Kova],MATCH($A213,tblKok[A_Norm],0)),""))</f>
        <v/>
      </c>
      <c r="C213" s="17">
        <f>IF($A213="","",IFERROR(INDEX(tblEslesme[Fark],MATCH($A213,tblEslesme[A_Norm],0)),0))</f>
        <v/>
      </c>
      <c r="D213" s="17">
        <f>IF($A213="","",IFERROR(INDEX(tblKok[KokNeden],MATCH($A213,tblKok[A_Norm],0)),""))</f>
        <v/>
      </c>
      <c r="E213" s="17">
        <f>IF($B213&lt;&gt;"tutar_farki","",IF(ABS($C213)&gt;efd_esikFark,"YUKSEK","NORMAL"))</f>
        <v/>
      </c>
      <c r="F213" s="17">
        <f>IF($B213&lt;&gt;"tutar_farki","","Fatura "&amp;$A213&amp;" için fark "&amp;TEXT($C213,"0.00")&amp;" TL. Dayanak: "&amp;$D213&amp;". İtiraz dosyası üretildi.")</f>
        <v/>
      </c>
      <c r="G213" s="17">
        <f>IF($B213&lt;&gt;"tutar_farki","","Beklemede")</f>
        <v/>
      </c>
    </row>
    <row r="214">
      <c r="A214" s="22">
        <f>IF('KOK_NEDEN'!$A214="","",'KOK_NEDEN'!$A214)</f>
        <v/>
      </c>
      <c r="B214" s="17">
        <f>IF($A214="","",IFERROR(INDEX(tblKok[Kova],MATCH($A214,tblKok[A_Norm],0)),""))</f>
        <v/>
      </c>
      <c r="C214" s="17">
        <f>IF($A214="","",IFERROR(INDEX(tblEslesme[Fark],MATCH($A214,tblEslesme[A_Norm],0)),0))</f>
        <v/>
      </c>
      <c r="D214" s="17">
        <f>IF($A214="","",IFERROR(INDEX(tblKok[KokNeden],MATCH($A214,tblKok[A_Norm],0)),""))</f>
        <v/>
      </c>
      <c r="E214" s="17">
        <f>IF($B214&lt;&gt;"tutar_farki","",IF(ABS($C214)&gt;efd_esikFark,"YUKSEK","NORMAL"))</f>
        <v/>
      </c>
      <c r="F214" s="17">
        <f>IF($B214&lt;&gt;"tutar_farki","","Fatura "&amp;$A214&amp;" için fark "&amp;TEXT($C214,"0.00")&amp;" TL. Dayanak: "&amp;$D214&amp;". İtiraz dosyası üretildi.")</f>
        <v/>
      </c>
      <c r="G214" s="17">
        <f>IF($B214&lt;&gt;"tutar_farki","","Beklemede")</f>
        <v/>
      </c>
    </row>
    <row r="215">
      <c r="A215" s="22">
        <f>IF('KOK_NEDEN'!$A215="","",'KOK_NEDEN'!$A215)</f>
        <v/>
      </c>
      <c r="B215" s="17">
        <f>IF($A215="","",IFERROR(INDEX(tblKok[Kova],MATCH($A215,tblKok[A_Norm],0)),""))</f>
        <v/>
      </c>
      <c r="C215" s="17">
        <f>IF($A215="","",IFERROR(INDEX(tblEslesme[Fark],MATCH($A215,tblEslesme[A_Norm],0)),0))</f>
        <v/>
      </c>
      <c r="D215" s="17">
        <f>IF($A215="","",IFERROR(INDEX(tblKok[KokNeden],MATCH($A215,tblKok[A_Norm],0)),""))</f>
        <v/>
      </c>
      <c r="E215" s="17">
        <f>IF($B215&lt;&gt;"tutar_farki","",IF(ABS($C215)&gt;efd_esikFark,"YUKSEK","NORMAL"))</f>
        <v/>
      </c>
      <c r="F215" s="17">
        <f>IF($B215&lt;&gt;"tutar_farki","","Fatura "&amp;$A215&amp;" için fark "&amp;TEXT($C215,"0.00")&amp;" TL. Dayanak: "&amp;$D215&amp;". İtiraz dosyası üretildi.")</f>
        <v/>
      </c>
      <c r="G215" s="17">
        <f>IF($B215&lt;&gt;"tutar_farki","","Beklemede")</f>
        <v/>
      </c>
    </row>
    <row r="216">
      <c r="A216" s="22">
        <f>IF('KOK_NEDEN'!$A216="","",'KOK_NEDEN'!$A216)</f>
        <v/>
      </c>
      <c r="B216" s="17">
        <f>IF($A216="","",IFERROR(INDEX(tblKok[Kova],MATCH($A216,tblKok[A_Norm],0)),""))</f>
        <v/>
      </c>
      <c r="C216" s="17">
        <f>IF($A216="","",IFERROR(INDEX(tblEslesme[Fark],MATCH($A216,tblEslesme[A_Norm],0)),0))</f>
        <v/>
      </c>
      <c r="D216" s="17">
        <f>IF($A216="","",IFERROR(INDEX(tblKok[KokNeden],MATCH($A216,tblKok[A_Norm],0)),""))</f>
        <v/>
      </c>
      <c r="E216" s="17">
        <f>IF($B216&lt;&gt;"tutar_farki","",IF(ABS($C216)&gt;efd_esikFark,"YUKSEK","NORMAL"))</f>
        <v/>
      </c>
      <c r="F216" s="17">
        <f>IF($B216&lt;&gt;"tutar_farki","","Fatura "&amp;$A216&amp;" için fark "&amp;TEXT($C216,"0.00")&amp;" TL. Dayanak: "&amp;$D216&amp;". İtiraz dosyası üretildi.")</f>
        <v/>
      </c>
      <c r="G216" s="17">
        <f>IF($B216&lt;&gt;"tutar_farki","","Beklemede")</f>
        <v/>
      </c>
    </row>
    <row r="217">
      <c r="A217" s="22">
        <f>IF('KOK_NEDEN'!$A217="","",'KOK_NEDEN'!$A217)</f>
        <v/>
      </c>
      <c r="B217" s="17">
        <f>IF($A217="","",IFERROR(INDEX(tblKok[Kova],MATCH($A217,tblKok[A_Norm],0)),""))</f>
        <v/>
      </c>
      <c r="C217" s="17">
        <f>IF($A217="","",IFERROR(INDEX(tblEslesme[Fark],MATCH($A217,tblEslesme[A_Norm],0)),0))</f>
        <v/>
      </c>
      <c r="D217" s="17">
        <f>IF($A217="","",IFERROR(INDEX(tblKok[KokNeden],MATCH($A217,tblKok[A_Norm],0)),""))</f>
        <v/>
      </c>
      <c r="E217" s="17">
        <f>IF($B217&lt;&gt;"tutar_farki","",IF(ABS($C217)&gt;efd_esikFark,"YUKSEK","NORMAL"))</f>
        <v/>
      </c>
      <c r="F217" s="17">
        <f>IF($B217&lt;&gt;"tutar_farki","","Fatura "&amp;$A217&amp;" için fark "&amp;TEXT($C217,"0.00")&amp;" TL. Dayanak: "&amp;$D217&amp;". İtiraz dosyası üretildi.")</f>
        <v/>
      </c>
      <c r="G217" s="17">
        <f>IF($B217&lt;&gt;"tutar_farki","","Beklemede")</f>
        <v/>
      </c>
    </row>
    <row r="218">
      <c r="A218" s="22">
        <f>IF('KOK_NEDEN'!$A218="","",'KOK_NEDEN'!$A218)</f>
        <v/>
      </c>
      <c r="B218" s="17">
        <f>IF($A218="","",IFERROR(INDEX(tblKok[Kova],MATCH($A218,tblKok[A_Norm],0)),""))</f>
        <v/>
      </c>
      <c r="C218" s="17">
        <f>IF($A218="","",IFERROR(INDEX(tblEslesme[Fark],MATCH($A218,tblEslesme[A_Norm],0)),0))</f>
        <v/>
      </c>
      <c r="D218" s="17">
        <f>IF($A218="","",IFERROR(INDEX(tblKok[KokNeden],MATCH($A218,tblKok[A_Norm],0)),""))</f>
        <v/>
      </c>
      <c r="E218" s="17">
        <f>IF($B218&lt;&gt;"tutar_farki","",IF(ABS($C218)&gt;efd_esikFark,"YUKSEK","NORMAL"))</f>
        <v/>
      </c>
      <c r="F218" s="17">
        <f>IF($B218&lt;&gt;"tutar_farki","","Fatura "&amp;$A218&amp;" için fark "&amp;TEXT($C218,"0.00")&amp;" TL. Dayanak: "&amp;$D218&amp;". İtiraz dosyası üretildi.")</f>
        <v/>
      </c>
      <c r="G218" s="17">
        <f>IF($B218&lt;&gt;"tutar_farki","","Beklemede")</f>
        <v/>
      </c>
    </row>
    <row r="219">
      <c r="A219" s="22">
        <f>IF('KOK_NEDEN'!$A219="","",'KOK_NEDEN'!$A219)</f>
        <v/>
      </c>
      <c r="B219" s="17">
        <f>IF($A219="","",IFERROR(INDEX(tblKok[Kova],MATCH($A219,tblKok[A_Norm],0)),""))</f>
        <v/>
      </c>
      <c r="C219" s="17">
        <f>IF($A219="","",IFERROR(INDEX(tblEslesme[Fark],MATCH($A219,tblEslesme[A_Norm],0)),0))</f>
        <v/>
      </c>
      <c r="D219" s="17">
        <f>IF($A219="","",IFERROR(INDEX(tblKok[KokNeden],MATCH($A219,tblKok[A_Norm],0)),""))</f>
        <v/>
      </c>
      <c r="E219" s="17">
        <f>IF($B219&lt;&gt;"tutar_farki","",IF(ABS($C219)&gt;efd_esikFark,"YUKSEK","NORMAL"))</f>
        <v/>
      </c>
      <c r="F219" s="17">
        <f>IF($B219&lt;&gt;"tutar_farki","","Fatura "&amp;$A219&amp;" için fark "&amp;TEXT($C219,"0.00")&amp;" TL. Dayanak: "&amp;$D219&amp;". İtiraz dosyası üretildi.")</f>
        <v/>
      </c>
      <c r="G219" s="17">
        <f>IF($B219&lt;&gt;"tutar_farki","","Beklemede")</f>
        <v/>
      </c>
    </row>
    <row r="220">
      <c r="A220" s="22">
        <f>IF('KOK_NEDEN'!$A220="","",'KOK_NEDEN'!$A220)</f>
        <v/>
      </c>
      <c r="B220" s="17">
        <f>IF($A220="","",IFERROR(INDEX(tblKok[Kova],MATCH($A220,tblKok[A_Norm],0)),""))</f>
        <v/>
      </c>
      <c r="C220" s="17">
        <f>IF($A220="","",IFERROR(INDEX(tblEslesme[Fark],MATCH($A220,tblEslesme[A_Norm],0)),0))</f>
        <v/>
      </c>
      <c r="D220" s="17">
        <f>IF($A220="","",IFERROR(INDEX(tblKok[KokNeden],MATCH($A220,tblKok[A_Norm],0)),""))</f>
        <v/>
      </c>
      <c r="E220" s="17">
        <f>IF($B220&lt;&gt;"tutar_farki","",IF(ABS($C220)&gt;efd_esikFark,"YUKSEK","NORMAL"))</f>
        <v/>
      </c>
      <c r="F220" s="17">
        <f>IF($B220&lt;&gt;"tutar_farki","","Fatura "&amp;$A220&amp;" için fark "&amp;TEXT($C220,"0.00")&amp;" TL. Dayanak: "&amp;$D220&amp;". İtiraz dosyası üretildi.")</f>
        <v/>
      </c>
      <c r="G220" s="17">
        <f>IF($B220&lt;&gt;"tutar_farki","","Beklemede")</f>
        <v/>
      </c>
    </row>
    <row r="221">
      <c r="A221" s="22">
        <f>IF('KOK_NEDEN'!$A221="","",'KOK_NEDEN'!$A221)</f>
        <v/>
      </c>
      <c r="B221" s="17">
        <f>IF($A221="","",IFERROR(INDEX(tblKok[Kova],MATCH($A221,tblKok[A_Norm],0)),""))</f>
        <v/>
      </c>
      <c r="C221" s="17">
        <f>IF($A221="","",IFERROR(INDEX(tblEslesme[Fark],MATCH($A221,tblEslesme[A_Norm],0)),0))</f>
        <v/>
      </c>
      <c r="D221" s="17">
        <f>IF($A221="","",IFERROR(INDEX(tblKok[KokNeden],MATCH($A221,tblKok[A_Norm],0)),""))</f>
        <v/>
      </c>
      <c r="E221" s="17">
        <f>IF($B221&lt;&gt;"tutar_farki","",IF(ABS($C221)&gt;efd_esikFark,"YUKSEK","NORMAL"))</f>
        <v/>
      </c>
      <c r="F221" s="17">
        <f>IF($B221&lt;&gt;"tutar_farki","","Fatura "&amp;$A221&amp;" için fark "&amp;TEXT($C221,"0.00")&amp;" TL. Dayanak: "&amp;$D221&amp;". İtiraz dosyası üretildi.")</f>
        <v/>
      </c>
      <c r="G221" s="17">
        <f>IF($B221&lt;&gt;"tutar_farki","","Beklemede")</f>
        <v/>
      </c>
    </row>
    <row r="222">
      <c r="A222" s="22">
        <f>IF('KOK_NEDEN'!$A222="","",'KOK_NEDEN'!$A222)</f>
        <v/>
      </c>
      <c r="B222" s="17">
        <f>IF($A222="","",IFERROR(INDEX(tblKok[Kova],MATCH($A222,tblKok[A_Norm],0)),""))</f>
        <v/>
      </c>
      <c r="C222" s="17">
        <f>IF($A222="","",IFERROR(INDEX(tblEslesme[Fark],MATCH($A222,tblEslesme[A_Norm],0)),0))</f>
        <v/>
      </c>
      <c r="D222" s="17">
        <f>IF($A222="","",IFERROR(INDEX(tblKok[KokNeden],MATCH($A222,tblKok[A_Norm],0)),""))</f>
        <v/>
      </c>
      <c r="E222" s="17">
        <f>IF($B222&lt;&gt;"tutar_farki","",IF(ABS($C222)&gt;efd_esikFark,"YUKSEK","NORMAL"))</f>
        <v/>
      </c>
      <c r="F222" s="17">
        <f>IF($B222&lt;&gt;"tutar_farki","","Fatura "&amp;$A222&amp;" için fark "&amp;TEXT($C222,"0.00")&amp;" TL. Dayanak: "&amp;$D222&amp;". İtiraz dosyası üretildi.")</f>
        <v/>
      </c>
      <c r="G222" s="17">
        <f>IF($B222&lt;&gt;"tutar_farki","","Beklemede")</f>
        <v/>
      </c>
    </row>
    <row r="223">
      <c r="A223" s="22">
        <f>IF('KOK_NEDEN'!$A223="","",'KOK_NEDEN'!$A223)</f>
        <v/>
      </c>
      <c r="B223" s="17">
        <f>IF($A223="","",IFERROR(INDEX(tblKok[Kova],MATCH($A223,tblKok[A_Norm],0)),""))</f>
        <v/>
      </c>
      <c r="C223" s="17">
        <f>IF($A223="","",IFERROR(INDEX(tblEslesme[Fark],MATCH($A223,tblEslesme[A_Norm],0)),0))</f>
        <v/>
      </c>
      <c r="D223" s="17">
        <f>IF($A223="","",IFERROR(INDEX(tblKok[KokNeden],MATCH($A223,tblKok[A_Norm],0)),""))</f>
        <v/>
      </c>
      <c r="E223" s="17">
        <f>IF($B223&lt;&gt;"tutar_farki","",IF(ABS($C223)&gt;efd_esikFark,"YUKSEK","NORMAL"))</f>
        <v/>
      </c>
      <c r="F223" s="17">
        <f>IF($B223&lt;&gt;"tutar_farki","","Fatura "&amp;$A223&amp;" için fark "&amp;TEXT($C223,"0.00")&amp;" TL. Dayanak: "&amp;$D223&amp;". İtiraz dosyası üretildi.")</f>
        <v/>
      </c>
      <c r="G223" s="17">
        <f>IF($B223&lt;&gt;"tutar_farki","","Beklemede")</f>
        <v/>
      </c>
    </row>
    <row r="224">
      <c r="A224" s="22">
        <f>IF('KOK_NEDEN'!$A224="","",'KOK_NEDEN'!$A224)</f>
        <v/>
      </c>
      <c r="B224" s="17">
        <f>IF($A224="","",IFERROR(INDEX(tblKok[Kova],MATCH($A224,tblKok[A_Norm],0)),""))</f>
        <v/>
      </c>
      <c r="C224" s="17">
        <f>IF($A224="","",IFERROR(INDEX(tblEslesme[Fark],MATCH($A224,tblEslesme[A_Norm],0)),0))</f>
        <v/>
      </c>
      <c r="D224" s="17">
        <f>IF($A224="","",IFERROR(INDEX(tblKok[KokNeden],MATCH($A224,tblKok[A_Norm],0)),""))</f>
        <v/>
      </c>
      <c r="E224" s="17">
        <f>IF($B224&lt;&gt;"tutar_farki","",IF(ABS($C224)&gt;efd_esikFark,"YUKSEK","NORMAL"))</f>
        <v/>
      </c>
      <c r="F224" s="17">
        <f>IF($B224&lt;&gt;"tutar_farki","","Fatura "&amp;$A224&amp;" için fark "&amp;TEXT($C224,"0.00")&amp;" TL. Dayanak: "&amp;$D224&amp;". İtiraz dosyası üretildi.")</f>
        <v/>
      </c>
      <c r="G224" s="17">
        <f>IF($B224&lt;&gt;"tutar_farki","","Beklemede")</f>
        <v/>
      </c>
    </row>
    <row r="225">
      <c r="A225" s="22">
        <f>IF('KOK_NEDEN'!$A225="","",'KOK_NEDEN'!$A225)</f>
        <v/>
      </c>
      <c r="B225" s="17">
        <f>IF($A225="","",IFERROR(INDEX(tblKok[Kova],MATCH($A225,tblKok[A_Norm],0)),""))</f>
        <v/>
      </c>
      <c r="C225" s="17">
        <f>IF($A225="","",IFERROR(INDEX(tblEslesme[Fark],MATCH($A225,tblEslesme[A_Norm],0)),0))</f>
        <v/>
      </c>
      <c r="D225" s="17">
        <f>IF($A225="","",IFERROR(INDEX(tblKok[KokNeden],MATCH($A225,tblKok[A_Norm],0)),""))</f>
        <v/>
      </c>
      <c r="E225" s="17">
        <f>IF($B225&lt;&gt;"tutar_farki","",IF(ABS($C225)&gt;efd_esikFark,"YUKSEK","NORMAL"))</f>
        <v/>
      </c>
      <c r="F225" s="17">
        <f>IF($B225&lt;&gt;"tutar_farki","","Fatura "&amp;$A225&amp;" için fark "&amp;TEXT($C225,"0.00")&amp;" TL. Dayanak: "&amp;$D225&amp;". İtiraz dosyası üretildi.")</f>
        <v/>
      </c>
      <c r="G225" s="17">
        <f>IF($B225&lt;&gt;"tutar_farki","","Beklemede")</f>
        <v/>
      </c>
    </row>
    <row r="226">
      <c r="A226" s="22">
        <f>IF('KOK_NEDEN'!$A226="","",'KOK_NEDEN'!$A226)</f>
        <v/>
      </c>
      <c r="B226" s="17">
        <f>IF($A226="","",IFERROR(INDEX(tblKok[Kova],MATCH($A226,tblKok[A_Norm],0)),""))</f>
        <v/>
      </c>
      <c r="C226" s="17">
        <f>IF($A226="","",IFERROR(INDEX(tblEslesme[Fark],MATCH($A226,tblEslesme[A_Norm],0)),0))</f>
        <v/>
      </c>
      <c r="D226" s="17">
        <f>IF($A226="","",IFERROR(INDEX(tblKok[KokNeden],MATCH($A226,tblKok[A_Norm],0)),""))</f>
        <v/>
      </c>
      <c r="E226" s="17">
        <f>IF($B226&lt;&gt;"tutar_farki","",IF(ABS($C226)&gt;efd_esikFark,"YUKSEK","NORMAL"))</f>
        <v/>
      </c>
      <c r="F226" s="17">
        <f>IF($B226&lt;&gt;"tutar_farki","","Fatura "&amp;$A226&amp;" için fark "&amp;TEXT($C226,"0.00")&amp;" TL. Dayanak: "&amp;$D226&amp;". İtiraz dosyası üretildi.")</f>
        <v/>
      </c>
      <c r="G226" s="17">
        <f>IF($B226&lt;&gt;"tutar_farki","","Beklemede")</f>
        <v/>
      </c>
    </row>
    <row r="227">
      <c r="A227" s="22">
        <f>IF('KOK_NEDEN'!$A227="","",'KOK_NEDEN'!$A227)</f>
        <v/>
      </c>
      <c r="B227" s="17">
        <f>IF($A227="","",IFERROR(INDEX(tblKok[Kova],MATCH($A227,tblKok[A_Norm],0)),""))</f>
        <v/>
      </c>
      <c r="C227" s="17">
        <f>IF($A227="","",IFERROR(INDEX(tblEslesme[Fark],MATCH($A227,tblEslesme[A_Norm],0)),0))</f>
        <v/>
      </c>
      <c r="D227" s="17">
        <f>IF($A227="","",IFERROR(INDEX(tblKok[KokNeden],MATCH($A227,tblKok[A_Norm],0)),""))</f>
        <v/>
      </c>
      <c r="E227" s="17">
        <f>IF($B227&lt;&gt;"tutar_farki","",IF(ABS($C227)&gt;efd_esikFark,"YUKSEK","NORMAL"))</f>
        <v/>
      </c>
      <c r="F227" s="17">
        <f>IF($B227&lt;&gt;"tutar_farki","","Fatura "&amp;$A227&amp;" için fark "&amp;TEXT($C227,"0.00")&amp;" TL. Dayanak: "&amp;$D227&amp;". İtiraz dosyası üretildi.")</f>
        <v/>
      </c>
      <c r="G227" s="17">
        <f>IF($B227&lt;&gt;"tutar_farki","","Beklemede")</f>
        <v/>
      </c>
    </row>
    <row r="228">
      <c r="A228" s="22">
        <f>IF('KOK_NEDEN'!$A228="","",'KOK_NEDEN'!$A228)</f>
        <v/>
      </c>
      <c r="B228" s="17">
        <f>IF($A228="","",IFERROR(INDEX(tblKok[Kova],MATCH($A228,tblKok[A_Norm],0)),""))</f>
        <v/>
      </c>
      <c r="C228" s="17">
        <f>IF($A228="","",IFERROR(INDEX(tblEslesme[Fark],MATCH($A228,tblEslesme[A_Norm],0)),0))</f>
        <v/>
      </c>
      <c r="D228" s="17">
        <f>IF($A228="","",IFERROR(INDEX(tblKok[KokNeden],MATCH($A228,tblKok[A_Norm],0)),""))</f>
        <v/>
      </c>
      <c r="E228" s="17">
        <f>IF($B228&lt;&gt;"tutar_farki","",IF(ABS($C228)&gt;efd_esikFark,"YUKSEK","NORMAL"))</f>
        <v/>
      </c>
      <c r="F228" s="17">
        <f>IF($B228&lt;&gt;"tutar_farki","","Fatura "&amp;$A228&amp;" için fark "&amp;TEXT($C228,"0.00")&amp;" TL. Dayanak: "&amp;$D228&amp;". İtiraz dosyası üretildi.")</f>
        <v/>
      </c>
      <c r="G228" s="17">
        <f>IF($B228&lt;&gt;"tutar_farki","","Beklemede")</f>
        <v/>
      </c>
    </row>
    <row r="229">
      <c r="A229" s="22">
        <f>IF('KOK_NEDEN'!$A229="","",'KOK_NEDEN'!$A229)</f>
        <v/>
      </c>
      <c r="B229" s="17">
        <f>IF($A229="","",IFERROR(INDEX(tblKok[Kova],MATCH($A229,tblKok[A_Norm],0)),""))</f>
        <v/>
      </c>
      <c r="C229" s="17">
        <f>IF($A229="","",IFERROR(INDEX(tblEslesme[Fark],MATCH($A229,tblEslesme[A_Norm],0)),0))</f>
        <v/>
      </c>
      <c r="D229" s="17">
        <f>IF($A229="","",IFERROR(INDEX(tblKok[KokNeden],MATCH($A229,tblKok[A_Norm],0)),""))</f>
        <v/>
      </c>
      <c r="E229" s="17">
        <f>IF($B229&lt;&gt;"tutar_farki","",IF(ABS($C229)&gt;efd_esikFark,"YUKSEK","NORMAL"))</f>
        <v/>
      </c>
      <c r="F229" s="17">
        <f>IF($B229&lt;&gt;"tutar_farki","","Fatura "&amp;$A229&amp;" için fark "&amp;TEXT($C229,"0.00")&amp;" TL. Dayanak: "&amp;$D229&amp;". İtiraz dosyası üretildi.")</f>
        <v/>
      </c>
      <c r="G229" s="17">
        <f>IF($B229&lt;&gt;"tutar_farki","","Beklemede")</f>
        <v/>
      </c>
    </row>
    <row r="230">
      <c r="A230" s="22">
        <f>IF('KOK_NEDEN'!$A230="","",'KOK_NEDEN'!$A230)</f>
        <v/>
      </c>
      <c r="B230" s="17">
        <f>IF($A230="","",IFERROR(INDEX(tblKok[Kova],MATCH($A230,tblKok[A_Norm],0)),""))</f>
        <v/>
      </c>
      <c r="C230" s="17">
        <f>IF($A230="","",IFERROR(INDEX(tblEslesme[Fark],MATCH($A230,tblEslesme[A_Norm],0)),0))</f>
        <v/>
      </c>
      <c r="D230" s="17">
        <f>IF($A230="","",IFERROR(INDEX(tblKok[KokNeden],MATCH($A230,tblKok[A_Norm],0)),""))</f>
        <v/>
      </c>
      <c r="E230" s="17">
        <f>IF($B230&lt;&gt;"tutar_farki","",IF(ABS($C230)&gt;efd_esikFark,"YUKSEK","NORMAL"))</f>
        <v/>
      </c>
      <c r="F230" s="17">
        <f>IF($B230&lt;&gt;"tutar_farki","","Fatura "&amp;$A230&amp;" için fark "&amp;TEXT($C230,"0.00")&amp;" TL. Dayanak: "&amp;$D230&amp;". İtiraz dosyası üretildi.")</f>
        <v/>
      </c>
      <c r="G230" s="17">
        <f>IF($B230&lt;&gt;"tutar_farki","","Beklemede")</f>
        <v/>
      </c>
    </row>
    <row r="231">
      <c r="A231" s="22">
        <f>IF('KOK_NEDEN'!$A231="","",'KOK_NEDEN'!$A231)</f>
        <v/>
      </c>
      <c r="B231" s="17">
        <f>IF($A231="","",IFERROR(INDEX(tblKok[Kova],MATCH($A231,tblKok[A_Norm],0)),""))</f>
        <v/>
      </c>
      <c r="C231" s="17">
        <f>IF($A231="","",IFERROR(INDEX(tblEslesme[Fark],MATCH($A231,tblEslesme[A_Norm],0)),0))</f>
        <v/>
      </c>
      <c r="D231" s="17">
        <f>IF($A231="","",IFERROR(INDEX(tblKok[KokNeden],MATCH($A231,tblKok[A_Norm],0)),""))</f>
        <v/>
      </c>
      <c r="E231" s="17">
        <f>IF($B231&lt;&gt;"tutar_farki","",IF(ABS($C231)&gt;efd_esikFark,"YUKSEK","NORMAL"))</f>
        <v/>
      </c>
      <c r="F231" s="17">
        <f>IF($B231&lt;&gt;"tutar_farki","","Fatura "&amp;$A231&amp;" için fark "&amp;TEXT($C231,"0.00")&amp;" TL. Dayanak: "&amp;$D231&amp;". İtiraz dosyası üretildi.")</f>
        <v/>
      </c>
      <c r="G231" s="17">
        <f>IF($B231&lt;&gt;"tutar_farki","","Beklemede")</f>
        <v/>
      </c>
    </row>
    <row r="232">
      <c r="A232" s="22">
        <f>IF('KOK_NEDEN'!$A232="","",'KOK_NEDEN'!$A232)</f>
        <v/>
      </c>
      <c r="B232" s="17">
        <f>IF($A232="","",IFERROR(INDEX(tblKok[Kova],MATCH($A232,tblKok[A_Norm],0)),""))</f>
        <v/>
      </c>
      <c r="C232" s="17">
        <f>IF($A232="","",IFERROR(INDEX(tblEslesme[Fark],MATCH($A232,tblEslesme[A_Norm],0)),0))</f>
        <v/>
      </c>
      <c r="D232" s="17">
        <f>IF($A232="","",IFERROR(INDEX(tblKok[KokNeden],MATCH($A232,tblKok[A_Norm],0)),""))</f>
        <v/>
      </c>
      <c r="E232" s="17">
        <f>IF($B232&lt;&gt;"tutar_farki","",IF(ABS($C232)&gt;efd_esikFark,"YUKSEK","NORMAL"))</f>
        <v/>
      </c>
      <c r="F232" s="17">
        <f>IF($B232&lt;&gt;"tutar_farki","","Fatura "&amp;$A232&amp;" için fark "&amp;TEXT($C232,"0.00")&amp;" TL. Dayanak: "&amp;$D232&amp;". İtiraz dosyası üretildi.")</f>
        <v/>
      </c>
      <c r="G232" s="17">
        <f>IF($B232&lt;&gt;"tutar_farki","","Beklemede")</f>
        <v/>
      </c>
    </row>
    <row r="233">
      <c r="A233" s="22">
        <f>IF('KOK_NEDEN'!$A233="","",'KOK_NEDEN'!$A233)</f>
        <v/>
      </c>
      <c r="B233" s="17">
        <f>IF($A233="","",IFERROR(INDEX(tblKok[Kova],MATCH($A233,tblKok[A_Norm],0)),""))</f>
        <v/>
      </c>
      <c r="C233" s="17">
        <f>IF($A233="","",IFERROR(INDEX(tblEslesme[Fark],MATCH($A233,tblEslesme[A_Norm],0)),0))</f>
        <v/>
      </c>
      <c r="D233" s="17">
        <f>IF($A233="","",IFERROR(INDEX(tblKok[KokNeden],MATCH($A233,tblKok[A_Norm],0)),""))</f>
        <v/>
      </c>
      <c r="E233" s="17">
        <f>IF($B233&lt;&gt;"tutar_farki","",IF(ABS($C233)&gt;efd_esikFark,"YUKSEK","NORMAL"))</f>
        <v/>
      </c>
      <c r="F233" s="17">
        <f>IF($B233&lt;&gt;"tutar_farki","","Fatura "&amp;$A233&amp;" için fark "&amp;TEXT($C233,"0.00")&amp;" TL. Dayanak: "&amp;$D233&amp;". İtiraz dosyası üretildi.")</f>
        <v/>
      </c>
      <c r="G233" s="17">
        <f>IF($B233&lt;&gt;"tutar_farki","","Beklemede")</f>
        <v/>
      </c>
    </row>
    <row r="234">
      <c r="A234" s="22">
        <f>IF('KOK_NEDEN'!$A234="","",'KOK_NEDEN'!$A234)</f>
        <v/>
      </c>
      <c r="B234" s="17">
        <f>IF($A234="","",IFERROR(INDEX(tblKok[Kova],MATCH($A234,tblKok[A_Norm],0)),""))</f>
        <v/>
      </c>
      <c r="C234" s="17">
        <f>IF($A234="","",IFERROR(INDEX(tblEslesme[Fark],MATCH($A234,tblEslesme[A_Norm],0)),0))</f>
        <v/>
      </c>
      <c r="D234" s="17">
        <f>IF($A234="","",IFERROR(INDEX(tblKok[KokNeden],MATCH($A234,tblKok[A_Norm],0)),""))</f>
        <v/>
      </c>
      <c r="E234" s="17">
        <f>IF($B234&lt;&gt;"tutar_farki","",IF(ABS($C234)&gt;efd_esikFark,"YUKSEK","NORMAL"))</f>
        <v/>
      </c>
      <c r="F234" s="17">
        <f>IF($B234&lt;&gt;"tutar_farki","","Fatura "&amp;$A234&amp;" için fark "&amp;TEXT($C234,"0.00")&amp;" TL. Dayanak: "&amp;$D234&amp;". İtiraz dosyası üretildi.")</f>
        <v/>
      </c>
      <c r="G234" s="17">
        <f>IF($B234&lt;&gt;"tutar_farki","","Beklemede")</f>
        <v/>
      </c>
    </row>
    <row r="235">
      <c r="A235" s="22">
        <f>IF('KOK_NEDEN'!$A235="","",'KOK_NEDEN'!$A235)</f>
        <v/>
      </c>
      <c r="B235" s="17">
        <f>IF($A235="","",IFERROR(INDEX(tblKok[Kova],MATCH($A235,tblKok[A_Norm],0)),""))</f>
        <v/>
      </c>
      <c r="C235" s="17">
        <f>IF($A235="","",IFERROR(INDEX(tblEslesme[Fark],MATCH($A235,tblEslesme[A_Norm],0)),0))</f>
        <v/>
      </c>
      <c r="D235" s="17">
        <f>IF($A235="","",IFERROR(INDEX(tblKok[KokNeden],MATCH($A235,tblKok[A_Norm],0)),""))</f>
        <v/>
      </c>
      <c r="E235" s="17">
        <f>IF($B235&lt;&gt;"tutar_farki","",IF(ABS($C235)&gt;efd_esikFark,"YUKSEK","NORMAL"))</f>
        <v/>
      </c>
      <c r="F235" s="17">
        <f>IF($B235&lt;&gt;"tutar_farki","","Fatura "&amp;$A235&amp;" için fark "&amp;TEXT($C235,"0.00")&amp;" TL. Dayanak: "&amp;$D235&amp;". İtiraz dosyası üretildi.")</f>
        <v/>
      </c>
      <c r="G235" s="17">
        <f>IF($B235&lt;&gt;"tutar_farki","","Beklemede")</f>
        <v/>
      </c>
    </row>
    <row r="236">
      <c r="A236" s="22">
        <f>IF('KOK_NEDEN'!$A236="","",'KOK_NEDEN'!$A236)</f>
        <v/>
      </c>
      <c r="B236" s="17">
        <f>IF($A236="","",IFERROR(INDEX(tblKok[Kova],MATCH($A236,tblKok[A_Norm],0)),""))</f>
        <v/>
      </c>
      <c r="C236" s="17">
        <f>IF($A236="","",IFERROR(INDEX(tblEslesme[Fark],MATCH($A236,tblEslesme[A_Norm],0)),0))</f>
        <v/>
      </c>
      <c r="D236" s="17">
        <f>IF($A236="","",IFERROR(INDEX(tblKok[KokNeden],MATCH($A236,tblKok[A_Norm],0)),""))</f>
        <v/>
      </c>
      <c r="E236" s="17">
        <f>IF($B236&lt;&gt;"tutar_farki","",IF(ABS($C236)&gt;efd_esikFark,"YUKSEK","NORMAL"))</f>
        <v/>
      </c>
      <c r="F236" s="17">
        <f>IF($B236&lt;&gt;"tutar_farki","","Fatura "&amp;$A236&amp;" için fark "&amp;TEXT($C236,"0.00")&amp;" TL. Dayanak: "&amp;$D236&amp;". İtiraz dosyası üretildi.")</f>
        <v/>
      </c>
      <c r="G236" s="17">
        <f>IF($B236&lt;&gt;"tutar_farki","","Beklemede")</f>
        <v/>
      </c>
    </row>
    <row r="237">
      <c r="A237" s="22">
        <f>IF('KOK_NEDEN'!$A237="","",'KOK_NEDEN'!$A237)</f>
        <v/>
      </c>
      <c r="B237" s="17">
        <f>IF($A237="","",IFERROR(INDEX(tblKok[Kova],MATCH($A237,tblKok[A_Norm],0)),""))</f>
        <v/>
      </c>
      <c r="C237" s="17">
        <f>IF($A237="","",IFERROR(INDEX(tblEslesme[Fark],MATCH($A237,tblEslesme[A_Norm],0)),0))</f>
        <v/>
      </c>
      <c r="D237" s="17">
        <f>IF($A237="","",IFERROR(INDEX(tblKok[KokNeden],MATCH($A237,tblKok[A_Norm],0)),""))</f>
        <v/>
      </c>
      <c r="E237" s="17">
        <f>IF($B237&lt;&gt;"tutar_farki","",IF(ABS($C237)&gt;efd_esikFark,"YUKSEK","NORMAL"))</f>
        <v/>
      </c>
      <c r="F237" s="17">
        <f>IF($B237&lt;&gt;"tutar_farki","","Fatura "&amp;$A237&amp;" için fark "&amp;TEXT($C237,"0.00")&amp;" TL. Dayanak: "&amp;$D237&amp;". İtiraz dosyası üretildi.")</f>
        <v/>
      </c>
      <c r="G237" s="17">
        <f>IF($B237&lt;&gt;"tutar_farki","","Beklemede")</f>
        <v/>
      </c>
    </row>
    <row r="238">
      <c r="A238" s="22">
        <f>IF('KOK_NEDEN'!$A238="","",'KOK_NEDEN'!$A238)</f>
        <v/>
      </c>
      <c r="B238" s="17">
        <f>IF($A238="","",IFERROR(INDEX(tblKok[Kova],MATCH($A238,tblKok[A_Norm],0)),""))</f>
        <v/>
      </c>
      <c r="C238" s="17">
        <f>IF($A238="","",IFERROR(INDEX(tblEslesme[Fark],MATCH($A238,tblEslesme[A_Norm],0)),0))</f>
        <v/>
      </c>
      <c r="D238" s="17">
        <f>IF($A238="","",IFERROR(INDEX(tblKok[KokNeden],MATCH($A238,tblKok[A_Norm],0)),""))</f>
        <v/>
      </c>
      <c r="E238" s="17">
        <f>IF($B238&lt;&gt;"tutar_farki","",IF(ABS($C238)&gt;efd_esikFark,"YUKSEK","NORMAL"))</f>
        <v/>
      </c>
      <c r="F238" s="17">
        <f>IF($B238&lt;&gt;"tutar_farki","","Fatura "&amp;$A238&amp;" için fark "&amp;TEXT($C238,"0.00")&amp;" TL. Dayanak: "&amp;$D238&amp;". İtiraz dosyası üretildi.")</f>
        <v/>
      </c>
      <c r="G238" s="17">
        <f>IF($B238&lt;&gt;"tutar_farki","","Beklemede")</f>
        <v/>
      </c>
    </row>
    <row r="239">
      <c r="A239" s="22">
        <f>IF('KOK_NEDEN'!$A239="","",'KOK_NEDEN'!$A239)</f>
        <v/>
      </c>
      <c r="B239" s="17">
        <f>IF($A239="","",IFERROR(INDEX(tblKok[Kova],MATCH($A239,tblKok[A_Norm],0)),""))</f>
        <v/>
      </c>
      <c r="C239" s="17">
        <f>IF($A239="","",IFERROR(INDEX(tblEslesme[Fark],MATCH($A239,tblEslesme[A_Norm],0)),0))</f>
        <v/>
      </c>
      <c r="D239" s="17">
        <f>IF($A239="","",IFERROR(INDEX(tblKok[KokNeden],MATCH($A239,tblKok[A_Norm],0)),""))</f>
        <v/>
      </c>
      <c r="E239" s="17">
        <f>IF($B239&lt;&gt;"tutar_farki","",IF(ABS($C239)&gt;efd_esikFark,"YUKSEK","NORMAL"))</f>
        <v/>
      </c>
      <c r="F239" s="17">
        <f>IF($B239&lt;&gt;"tutar_farki","","Fatura "&amp;$A239&amp;" için fark "&amp;TEXT($C239,"0.00")&amp;" TL. Dayanak: "&amp;$D239&amp;". İtiraz dosyası üretildi.")</f>
        <v/>
      </c>
      <c r="G239" s="17">
        <f>IF($B239&lt;&gt;"tutar_farki","","Beklemede")</f>
        <v/>
      </c>
    </row>
    <row r="240">
      <c r="A240" s="22">
        <f>IF('KOK_NEDEN'!$A240="","",'KOK_NEDEN'!$A240)</f>
        <v/>
      </c>
      <c r="B240" s="17">
        <f>IF($A240="","",IFERROR(INDEX(tblKok[Kova],MATCH($A240,tblKok[A_Norm],0)),""))</f>
        <v/>
      </c>
      <c r="C240" s="17">
        <f>IF($A240="","",IFERROR(INDEX(tblEslesme[Fark],MATCH($A240,tblEslesme[A_Norm],0)),0))</f>
        <v/>
      </c>
      <c r="D240" s="17">
        <f>IF($A240="","",IFERROR(INDEX(tblKok[KokNeden],MATCH($A240,tblKok[A_Norm],0)),""))</f>
        <v/>
      </c>
      <c r="E240" s="17">
        <f>IF($B240&lt;&gt;"tutar_farki","",IF(ABS($C240)&gt;efd_esikFark,"YUKSEK","NORMAL"))</f>
        <v/>
      </c>
      <c r="F240" s="17">
        <f>IF($B240&lt;&gt;"tutar_farki","","Fatura "&amp;$A240&amp;" için fark "&amp;TEXT($C240,"0.00")&amp;" TL. Dayanak: "&amp;$D240&amp;". İtiraz dosyası üretildi.")</f>
        <v/>
      </c>
      <c r="G240" s="17">
        <f>IF($B240&lt;&gt;"tutar_farki","","Beklemede")</f>
        <v/>
      </c>
    </row>
    <row r="241">
      <c r="A241" s="22">
        <f>IF('KOK_NEDEN'!$A241="","",'KOK_NEDEN'!$A241)</f>
        <v/>
      </c>
      <c r="B241" s="17">
        <f>IF($A241="","",IFERROR(INDEX(tblKok[Kova],MATCH($A241,tblKok[A_Norm],0)),""))</f>
        <v/>
      </c>
      <c r="C241" s="17">
        <f>IF($A241="","",IFERROR(INDEX(tblEslesme[Fark],MATCH($A241,tblEslesme[A_Norm],0)),0))</f>
        <v/>
      </c>
      <c r="D241" s="17">
        <f>IF($A241="","",IFERROR(INDEX(tblKok[KokNeden],MATCH($A241,tblKok[A_Norm],0)),""))</f>
        <v/>
      </c>
      <c r="E241" s="17">
        <f>IF($B241&lt;&gt;"tutar_farki","",IF(ABS($C241)&gt;efd_esikFark,"YUKSEK","NORMAL"))</f>
        <v/>
      </c>
      <c r="F241" s="17">
        <f>IF($B241&lt;&gt;"tutar_farki","","Fatura "&amp;$A241&amp;" için fark "&amp;TEXT($C241,"0.00")&amp;" TL. Dayanak: "&amp;$D241&amp;". İtiraz dosyası üretildi.")</f>
        <v/>
      </c>
      <c r="G241" s="17">
        <f>IF($B241&lt;&gt;"tutar_farki","","Beklemede")</f>
        <v/>
      </c>
    </row>
    <row r="242">
      <c r="A242" s="22">
        <f>IF('KOK_NEDEN'!$A242="","",'KOK_NEDEN'!$A242)</f>
        <v/>
      </c>
      <c r="B242" s="17">
        <f>IF($A242="","",IFERROR(INDEX(tblKok[Kova],MATCH($A242,tblKok[A_Norm],0)),""))</f>
        <v/>
      </c>
      <c r="C242" s="17">
        <f>IF($A242="","",IFERROR(INDEX(tblEslesme[Fark],MATCH($A242,tblEslesme[A_Norm],0)),0))</f>
        <v/>
      </c>
      <c r="D242" s="17">
        <f>IF($A242="","",IFERROR(INDEX(tblKok[KokNeden],MATCH($A242,tblKok[A_Norm],0)),""))</f>
        <v/>
      </c>
      <c r="E242" s="17">
        <f>IF($B242&lt;&gt;"tutar_farki","",IF(ABS($C242)&gt;efd_esikFark,"YUKSEK","NORMAL"))</f>
        <v/>
      </c>
      <c r="F242" s="17">
        <f>IF($B242&lt;&gt;"tutar_farki","","Fatura "&amp;$A242&amp;" için fark "&amp;TEXT($C242,"0.00")&amp;" TL. Dayanak: "&amp;$D242&amp;". İtiraz dosyası üretildi.")</f>
        <v/>
      </c>
      <c r="G242" s="17">
        <f>IF($B242&lt;&gt;"tutar_farki","","Beklemede")</f>
        <v/>
      </c>
    </row>
    <row r="243">
      <c r="A243" s="22">
        <f>IF('KOK_NEDEN'!$A243="","",'KOK_NEDEN'!$A243)</f>
        <v/>
      </c>
      <c r="B243" s="17">
        <f>IF($A243="","",IFERROR(INDEX(tblKok[Kova],MATCH($A243,tblKok[A_Norm],0)),""))</f>
        <v/>
      </c>
      <c r="C243" s="17">
        <f>IF($A243="","",IFERROR(INDEX(tblEslesme[Fark],MATCH($A243,tblEslesme[A_Norm],0)),0))</f>
        <v/>
      </c>
      <c r="D243" s="17">
        <f>IF($A243="","",IFERROR(INDEX(tblKok[KokNeden],MATCH($A243,tblKok[A_Norm],0)),""))</f>
        <v/>
      </c>
      <c r="E243" s="17">
        <f>IF($B243&lt;&gt;"tutar_farki","",IF(ABS($C243)&gt;efd_esikFark,"YUKSEK","NORMAL"))</f>
        <v/>
      </c>
      <c r="F243" s="17">
        <f>IF($B243&lt;&gt;"tutar_farki","","Fatura "&amp;$A243&amp;" için fark "&amp;TEXT($C243,"0.00")&amp;" TL. Dayanak: "&amp;$D243&amp;". İtiraz dosyası üretildi.")</f>
        <v/>
      </c>
      <c r="G243" s="17">
        <f>IF($B243&lt;&gt;"tutar_farki","","Beklemede")</f>
        <v/>
      </c>
    </row>
    <row r="244">
      <c r="A244" s="22">
        <f>IF('KOK_NEDEN'!$A244="","",'KOK_NEDEN'!$A244)</f>
        <v/>
      </c>
      <c r="B244" s="17">
        <f>IF($A244="","",IFERROR(INDEX(tblKok[Kova],MATCH($A244,tblKok[A_Norm],0)),""))</f>
        <v/>
      </c>
      <c r="C244" s="17">
        <f>IF($A244="","",IFERROR(INDEX(tblEslesme[Fark],MATCH($A244,tblEslesme[A_Norm],0)),0))</f>
        <v/>
      </c>
      <c r="D244" s="17">
        <f>IF($A244="","",IFERROR(INDEX(tblKok[KokNeden],MATCH($A244,tblKok[A_Norm],0)),""))</f>
        <v/>
      </c>
      <c r="E244" s="17">
        <f>IF($B244&lt;&gt;"tutar_farki","",IF(ABS($C244)&gt;efd_esikFark,"YUKSEK","NORMAL"))</f>
        <v/>
      </c>
      <c r="F244" s="17">
        <f>IF($B244&lt;&gt;"tutar_farki","","Fatura "&amp;$A244&amp;" için fark "&amp;TEXT($C244,"0.00")&amp;" TL. Dayanak: "&amp;$D244&amp;". İtiraz dosyası üretildi.")</f>
        <v/>
      </c>
      <c r="G244" s="17">
        <f>IF($B244&lt;&gt;"tutar_farki","","Beklemede")</f>
        <v/>
      </c>
    </row>
    <row r="245">
      <c r="A245" s="22">
        <f>IF('KOK_NEDEN'!$A245="","",'KOK_NEDEN'!$A245)</f>
        <v/>
      </c>
      <c r="B245" s="17">
        <f>IF($A245="","",IFERROR(INDEX(tblKok[Kova],MATCH($A245,tblKok[A_Norm],0)),""))</f>
        <v/>
      </c>
      <c r="C245" s="17">
        <f>IF($A245="","",IFERROR(INDEX(tblEslesme[Fark],MATCH($A245,tblEslesme[A_Norm],0)),0))</f>
        <v/>
      </c>
      <c r="D245" s="17">
        <f>IF($A245="","",IFERROR(INDEX(tblKok[KokNeden],MATCH($A245,tblKok[A_Norm],0)),""))</f>
        <v/>
      </c>
      <c r="E245" s="17">
        <f>IF($B245&lt;&gt;"tutar_farki","",IF(ABS($C245)&gt;efd_esikFark,"YUKSEK","NORMAL"))</f>
        <v/>
      </c>
      <c r="F245" s="17">
        <f>IF($B245&lt;&gt;"tutar_farki","","Fatura "&amp;$A245&amp;" için fark "&amp;TEXT($C245,"0.00")&amp;" TL. Dayanak: "&amp;$D245&amp;". İtiraz dosyası üretildi.")</f>
        <v/>
      </c>
      <c r="G245" s="17">
        <f>IF($B245&lt;&gt;"tutar_farki","","Beklemede")</f>
        <v/>
      </c>
    </row>
    <row r="246">
      <c r="A246" s="22">
        <f>IF('KOK_NEDEN'!$A246="","",'KOK_NEDEN'!$A246)</f>
        <v/>
      </c>
      <c r="B246" s="17">
        <f>IF($A246="","",IFERROR(INDEX(tblKok[Kova],MATCH($A246,tblKok[A_Norm],0)),""))</f>
        <v/>
      </c>
      <c r="C246" s="17">
        <f>IF($A246="","",IFERROR(INDEX(tblEslesme[Fark],MATCH($A246,tblEslesme[A_Norm],0)),0))</f>
        <v/>
      </c>
      <c r="D246" s="17">
        <f>IF($A246="","",IFERROR(INDEX(tblKok[KokNeden],MATCH($A246,tblKok[A_Norm],0)),""))</f>
        <v/>
      </c>
      <c r="E246" s="17">
        <f>IF($B246&lt;&gt;"tutar_farki","",IF(ABS($C246)&gt;efd_esikFark,"YUKSEK","NORMAL"))</f>
        <v/>
      </c>
      <c r="F246" s="17">
        <f>IF($B246&lt;&gt;"tutar_farki","","Fatura "&amp;$A246&amp;" için fark "&amp;TEXT($C246,"0.00")&amp;" TL. Dayanak: "&amp;$D246&amp;". İtiraz dosyası üretildi.")</f>
        <v/>
      </c>
      <c r="G246" s="17">
        <f>IF($B246&lt;&gt;"tutar_farki","","Beklemede")</f>
        <v/>
      </c>
    </row>
    <row r="247">
      <c r="A247" s="22">
        <f>IF('KOK_NEDEN'!$A247="","",'KOK_NEDEN'!$A247)</f>
        <v/>
      </c>
      <c r="B247" s="17">
        <f>IF($A247="","",IFERROR(INDEX(tblKok[Kova],MATCH($A247,tblKok[A_Norm],0)),""))</f>
        <v/>
      </c>
      <c r="C247" s="17">
        <f>IF($A247="","",IFERROR(INDEX(tblEslesme[Fark],MATCH($A247,tblEslesme[A_Norm],0)),0))</f>
        <v/>
      </c>
      <c r="D247" s="17">
        <f>IF($A247="","",IFERROR(INDEX(tblKok[KokNeden],MATCH($A247,tblKok[A_Norm],0)),""))</f>
        <v/>
      </c>
      <c r="E247" s="17">
        <f>IF($B247&lt;&gt;"tutar_farki","",IF(ABS($C247)&gt;efd_esikFark,"YUKSEK","NORMAL"))</f>
        <v/>
      </c>
      <c r="F247" s="17">
        <f>IF($B247&lt;&gt;"tutar_farki","","Fatura "&amp;$A247&amp;" için fark "&amp;TEXT($C247,"0.00")&amp;" TL. Dayanak: "&amp;$D247&amp;". İtiraz dosyası üretildi.")</f>
        <v/>
      </c>
      <c r="G247" s="17">
        <f>IF($B247&lt;&gt;"tutar_farki","","Beklemede")</f>
        <v/>
      </c>
    </row>
    <row r="248">
      <c r="A248" s="22">
        <f>IF('KOK_NEDEN'!$A248="","",'KOK_NEDEN'!$A248)</f>
        <v/>
      </c>
      <c r="B248" s="17">
        <f>IF($A248="","",IFERROR(INDEX(tblKok[Kova],MATCH($A248,tblKok[A_Norm],0)),""))</f>
        <v/>
      </c>
      <c r="C248" s="17">
        <f>IF($A248="","",IFERROR(INDEX(tblEslesme[Fark],MATCH($A248,tblEslesme[A_Norm],0)),0))</f>
        <v/>
      </c>
      <c r="D248" s="17">
        <f>IF($A248="","",IFERROR(INDEX(tblKok[KokNeden],MATCH($A248,tblKok[A_Norm],0)),""))</f>
        <v/>
      </c>
      <c r="E248" s="17">
        <f>IF($B248&lt;&gt;"tutar_farki","",IF(ABS($C248)&gt;efd_esikFark,"YUKSEK","NORMAL"))</f>
        <v/>
      </c>
      <c r="F248" s="17">
        <f>IF($B248&lt;&gt;"tutar_farki","","Fatura "&amp;$A248&amp;" için fark "&amp;TEXT($C248,"0.00")&amp;" TL. Dayanak: "&amp;$D248&amp;". İtiraz dosyası üretildi.")</f>
        <v/>
      </c>
      <c r="G248" s="17">
        <f>IF($B248&lt;&gt;"tutar_farki","","Beklemede")</f>
        <v/>
      </c>
    </row>
    <row r="249">
      <c r="A249" s="22">
        <f>IF('KOK_NEDEN'!$A249="","",'KOK_NEDEN'!$A249)</f>
        <v/>
      </c>
      <c r="B249" s="17">
        <f>IF($A249="","",IFERROR(INDEX(tblKok[Kova],MATCH($A249,tblKok[A_Norm],0)),""))</f>
        <v/>
      </c>
      <c r="C249" s="17">
        <f>IF($A249="","",IFERROR(INDEX(tblEslesme[Fark],MATCH($A249,tblEslesme[A_Norm],0)),0))</f>
        <v/>
      </c>
      <c r="D249" s="17">
        <f>IF($A249="","",IFERROR(INDEX(tblKok[KokNeden],MATCH($A249,tblKok[A_Norm],0)),""))</f>
        <v/>
      </c>
      <c r="E249" s="17">
        <f>IF($B249&lt;&gt;"tutar_farki","",IF(ABS($C249)&gt;efd_esikFark,"YUKSEK","NORMAL"))</f>
        <v/>
      </c>
      <c r="F249" s="17">
        <f>IF($B249&lt;&gt;"tutar_farki","","Fatura "&amp;$A249&amp;" için fark "&amp;TEXT($C249,"0.00")&amp;" TL. Dayanak: "&amp;$D249&amp;". İtiraz dosyası üretildi.")</f>
        <v/>
      </c>
      <c r="G249" s="17">
        <f>IF($B249&lt;&gt;"tutar_farki","","Beklemede")</f>
        <v/>
      </c>
    </row>
    <row r="250">
      <c r="A250" s="22">
        <f>IF('KOK_NEDEN'!$A250="","",'KOK_NEDEN'!$A250)</f>
        <v/>
      </c>
      <c r="B250" s="17">
        <f>IF($A250="","",IFERROR(INDEX(tblKok[Kova],MATCH($A250,tblKok[A_Norm],0)),""))</f>
        <v/>
      </c>
      <c r="C250" s="17">
        <f>IF($A250="","",IFERROR(INDEX(tblEslesme[Fark],MATCH($A250,tblEslesme[A_Norm],0)),0))</f>
        <v/>
      </c>
      <c r="D250" s="17">
        <f>IF($A250="","",IFERROR(INDEX(tblKok[KokNeden],MATCH($A250,tblKok[A_Norm],0)),""))</f>
        <v/>
      </c>
      <c r="E250" s="17">
        <f>IF($B250&lt;&gt;"tutar_farki","",IF(ABS($C250)&gt;efd_esikFark,"YUKSEK","NORMAL"))</f>
        <v/>
      </c>
      <c r="F250" s="17">
        <f>IF($B250&lt;&gt;"tutar_farki","","Fatura "&amp;$A250&amp;" için fark "&amp;TEXT($C250,"0.00")&amp;" TL. Dayanak: "&amp;$D250&amp;". İtiraz dosyası üretildi.")</f>
        <v/>
      </c>
      <c r="G250" s="17">
        <f>IF($B250&lt;&gt;"tutar_farki","","Beklemede")</f>
        <v/>
      </c>
    </row>
    <row r="251">
      <c r="A251" s="22">
        <f>IF('KOK_NEDEN'!$A251="","",'KOK_NEDEN'!$A251)</f>
        <v/>
      </c>
      <c r="B251" s="17">
        <f>IF($A251="","",IFERROR(INDEX(tblKok[Kova],MATCH($A251,tblKok[A_Norm],0)),""))</f>
        <v/>
      </c>
      <c r="C251" s="17">
        <f>IF($A251="","",IFERROR(INDEX(tblEslesme[Fark],MATCH($A251,tblEslesme[A_Norm],0)),0))</f>
        <v/>
      </c>
      <c r="D251" s="17">
        <f>IF($A251="","",IFERROR(INDEX(tblKok[KokNeden],MATCH($A251,tblKok[A_Norm],0)),""))</f>
        <v/>
      </c>
      <c r="E251" s="17">
        <f>IF($B251&lt;&gt;"tutar_farki","",IF(ABS($C251)&gt;efd_esikFark,"YUKSEK","NORMAL"))</f>
        <v/>
      </c>
      <c r="F251" s="17">
        <f>IF($B251&lt;&gt;"tutar_farki","","Fatura "&amp;$A251&amp;" için fark "&amp;TEXT($C251,"0.00")&amp;" TL. Dayanak: "&amp;$D251&amp;". İtiraz dosyası üretildi.")</f>
        <v/>
      </c>
      <c r="G251" s="17">
        <f>IF($B251&lt;&gt;"tutar_farki","","Beklemede")</f>
        <v/>
      </c>
    </row>
    <row r="252">
      <c r="A252" s="22">
        <f>IF('KOK_NEDEN'!$A252="","",'KOK_NEDEN'!$A252)</f>
        <v/>
      </c>
      <c r="B252" s="17">
        <f>IF($A252="","",IFERROR(INDEX(tblKok[Kova],MATCH($A252,tblKok[A_Norm],0)),""))</f>
        <v/>
      </c>
      <c r="C252" s="17">
        <f>IF($A252="","",IFERROR(INDEX(tblEslesme[Fark],MATCH($A252,tblEslesme[A_Norm],0)),0))</f>
        <v/>
      </c>
      <c r="D252" s="17">
        <f>IF($A252="","",IFERROR(INDEX(tblKok[KokNeden],MATCH($A252,tblKok[A_Norm],0)),""))</f>
        <v/>
      </c>
      <c r="E252" s="17">
        <f>IF($B252&lt;&gt;"tutar_farki","",IF(ABS($C252)&gt;efd_esikFark,"YUKSEK","NORMAL"))</f>
        <v/>
      </c>
      <c r="F252" s="17">
        <f>IF($B252&lt;&gt;"tutar_farki","","Fatura "&amp;$A252&amp;" için fark "&amp;TEXT($C252,"0.00")&amp;" TL. Dayanak: "&amp;$D252&amp;". İtiraz dosyası üretildi.")</f>
        <v/>
      </c>
      <c r="G252" s="17">
        <f>IF($B252&lt;&gt;"tutar_farki","","Beklemede")</f>
        <v/>
      </c>
    </row>
    <row r="253">
      <c r="A253" s="22">
        <f>IF('KOK_NEDEN'!$A253="","",'KOK_NEDEN'!$A253)</f>
        <v/>
      </c>
      <c r="B253" s="17">
        <f>IF($A253="","",IFERROR(INDEX(tblKok[Kova],MATCH($A253,tblKok[A_Norm],0)),""))</f>
        <v/>
      </c>
      <c r="C253" s="17">
        <f>IF($A253="","",IFERROR(INDEX(tblEslesme[Fark],MATCH($A253,tblEslesme[A_Norm],0)),0))</f>
        <v/>
      </c>
      <c r="D253" s="17">
        <f>IF($A253="","",IFERROR(INDEX(tblKok[KokNeden],MATCH($A253,tblKok[A_Norm],0)),""))</f>
        <v/>
      </c>
      <c r="E253" s="17">
        <f>IF($B253&lt;&gt;"tutar_farki","",IF(ABS($C253)&gt;efd_esikFark,"YUKSEK","NORMAL"))</f>
        <v/>
      </c>
      <c r="F253" s="17">
        <f>IF($B253&lt;&gt;"tutar_farki","","Fatura "&amp;$A253&amp;" için fark "&amp;TEXT($C253,"0.00")&amp;" TL. Dayanak: "&amp;$D253&amp;". İtiraz dosyası üretildi.")</f>
        <v/>
      </c>
      <c r="G253" s="17">
        <f>IF($B253&lt;&gt;"tutar_farki","","Beklemede")</f>
        <v/>
      </c>
    </row>
    <row r="254">
      <c r="A254" s="22">
        <f>IF('KOK_NEDEN'!$A254="","",'KOK_NEDEN'!$A254)</f>
        <v/>
      </c>
      <c r="B254" s="17">
        <f>IF($A254="","",IFERROR(INDEX(tblKok[Kova],MATCH($A254,tblKok[A_Norm],0)),""))</f>
        <v/>
      </c>
      <c r="C254" s="17">
        <f>IF($A254="","",IFERROR(INDEX(tblEslesme[Fark],MATCH($A254,tblEslesme[A_Norm],0)),0))</f>
        <v/>
      </c>
      <c r="D254" s="17">
        <f>IF($A254="","",IFERROR(INDEX(tblKok[KokNeden],MATCH($A254,tblKok[A_Norm],0)),""))</f>
        <v/>
      </c>
      <c r="E254" s="17">
        <f>IF($B254&lt;&gt;"tutar_farki","",IF(ABS($C254)&gt;efd_esikFark,"YUKSEK","NORMAL"))</f>
        <v/>
      </c>
      <c r="F254" s="17">
        <f>IF($B254&lt;&gt;"tutar_farki","","Fatura "&amp;$A254&amp;" için fark "&amp;TEXT($C254,"0.00")&amp;" TL. Dayanak: "&amp;$D254&amp;". İtiraz dosyası üretildi.")</f>
        <v/>
      </c>
      <c r="G254" s="17">
        <f>IF($B254&lt;&gt;"tutar_farki","","Beklemede")</f>
        <v/>
      </c>
    </row>
    <row r="255">
      <c r="A255" s="22">
        <f>IF('KOK_NEDEN'!$A255="","",'KOK_NEDEN'!$A255)</f>
        <v/>
      </c>
      <c r="B255" s="17">
        <f>IF($A255="","",IFERROR(INDEX(tblKok[Kova],MATCH($A255,tblKok[A_Norm],0)),""))</f>
        <v/>
      </c>
      <c r="C255" s="17">
        <f>IF($A255="","",IFERROR(INDEX(tblEslesme[Fark],MATCH($A255,tblEslesme[A_Norm],0)),0))</f>
        <v/>
      </c>
      <c r="D255" s="17">
        <f>IF($A255="","",IFERROR(INDEX(tblKok[KokNeden],MATCH($A255,tblKok[A_Norm],0)),""))</f>
        <v/>
      </c>
      <c r="E255" s="17">
        <f>IF($B255&lt;&gt;"tutar_farki","",IF(ABS($C255)&gt;efd_esikFark,"YUKSEK","NORMAL"))</f>
        <v/>
      </c>
      <c r="F255" s="17">
        <f>IF($B255&lt;&gt;"tutar_farki","","Fatura "&amp;$A255&amp;" için fark "&amp;TEXT($C255,"0.00")&amp;" TL. Dayanak: "&amp;$D255&amp;". İtiraz dosyası üretildi.")</f>
        <v/>
      </c>
      <c r="G255" s="17">
        <f>IF($B255&lt;&gt;"tutar_farki","","Beklemede")</f>
        <v/>
      </c>
    </row>
    <row r="256">
      <c r="A256" s="22">
        <f>IF('KOK_NEDEN'!$A256="","",'KOK_NEDEN'!$A256)</f>
        <v/>
      </c>
      <c r="B256" s="17">
        <f>IF($A256="","",IFERROR(INDEX(tblKok[Kova],MATCH($A256,tblKok[A_Norm],0)),""))</f>
        <v/>
      </c>
      <c r="C256" s="17">
        <f>IF($A256="","",IFERROR(INDEX(tblEslesme[Fark],MATCH($A256,tblEslesme[A_Norm],0)),0))</f>
        <v/>
      </c>
      <c r="D256" s="17">
        <f>IF($A256="","",IFERROR(INDEX(tblKok[KokNeden],MATCH($A256,tblKok[A_Norm],0)),""))</f>
        <v/>
      </c>
      <c r="E256" s="17">
        <f>IF($B256&lt;&gt;"tutar_farki","",IF(ABS($C256)&gt;efd_esikFark,"YUKSEK","NORMAL"))</f>
        <v/>
      </c>
      <c r="F256" s="17">
        <f>IF($B256&lt;&gt;"tutar_farki","","Fatura "&amp;$A256&amp;" için fark "&amp;TEXT($C256,"0.00")&amp;" TL. Dayanak: "&amp;$D256&amp;". İtiraz dosyası üretildi.")</f>
        <v/>
      </c>
      <c r="G256" s="17">
        <f>IF($B256&lt;&gt;"tutar_farki","","Beklemede")</f>
        <v/>
      </c>
    </row>
    <row r="257">
      <c r="A257" s="22">
        <f>IF('KOK_NEDEN'!$A257="","",'KOK_NEDEN'!$A257)</f>
        <v/>
      </c>
      <c r="B257" s="17">
        <f>IF($A257="","",IFERROR(INDEX(tblKok[Kova],MATCH($A257,tblKok[A_Norm],0)),""))</f>
        <v/>
      </c>
      <c r="C257" s="17">
        <f>IF($A257="","",IFERROR(INDEX(tblEslesme[Fark],MATCH($A257,tblEslesme[A_Norm],0)),0))</f>
        <v/>
      </c>
      <c r="D257" s="17">
        <f>IF($A257="","",IFERROR(INDEX(tblKok[KokNeden],MATCH($A257,tblKok[A_Norm],0)),""))</f>
        <v/>
      </c>
      <c r="E257" s="17">
        <f>IF($B257&lt;&gt;"tutar_farki","",IF(ABS($C257)&gt;efd_esikFark,"YUKSEK","NORMAL"))</f>
        <v/>
      </c>
      <c r="F257" s="17">
        <f>IF($B257&lt;&gt;"tutar_farki","","Fatura "&amp;$A257&amp;" için fark "&amp;TEXT($C257,"0.00")&amp;" TL. Dayanak: "&amp;$D257&amp;". İtiraz dosyası üretildi.")</f>
        <v/>
      </c>
      <c r="G257" s="17">
        <f>IF($B257&lt;&gt;"tutar_farki","","Beklemede")</f>
        <v/>
      </c>
    </row>
    <row r="258">
      <c r="A258" s="22">
        <f>IF('KOK_NEDEN'!$A258="","",'KOK_NEDEN'!$A258)</f>
        <v/>
      </c>
      <c r="B258" s="17">
        <f>IF($A258="","",IFERROR(INDEX(tblKok[Kova],MATCH($A258,tblKok[A_Norm],0)),""))</f>
        <v/>
      </c>
      <c r="C258" s="17">
        <f>IF($A258="","",IFERROR(INDEX(tblEslesme[Fark],MATCH($A258,tblEslesme[A_Norm],0)),0))</f>
        <v/>
      </c>
      <c r="D258" s="17">
        <f>IF($A258="","",IFERROR(INDEX(tblKok[KokNeden],MATCH($A258,tblKok[A_Norm],0)),""))</f>
        <v/>
      </c>
      <c r="E258" s="17">
        <f>IF($B258&lt;&gt;"tutar_farki","",IF(ABS($C258)&gt;efd_esikFark,"YUKSEK","NORMAL"))</f>
        <v/>
      </c>
      <c r="F258" s="17">
        <f>IF($B258&lt;&gt;"tutar_farki","","Fatura "&amp;$A258&amp;" için fark "&amp;TEXT($C258,"0.00")&amp;" TL. Dayanak: "&amp;$D258&amp;". İtiraz dosyası üretildi.")</f>
        <v/>
      </c>
      <c r="G258" s="17">
        <f>IF($B258&lt;&gt;"tutar_farki","","Beklemede")</f>
        <v/>
      </c>
    </row>
    <row r="259">
      <c r="A259" s="22">
        <f>IF('KOK_NEDEN'!$A259="","",'KOK_NEDEN'!$A259)</f>
        <v/>
      </c>
      <c r="B259" s="17">
        <f>IF($A259="","",IFERROR(INDEX(tblKok[Kova],MATCH($A259,tblKok[A_Norm],0)),""))</f>
        <v/>
      </c>
      <c r="C259" s="17">
        <f>IF($A259="","",IFERROR(INDEX(tblEslesme[Fark],MATCH($A259,tblEslesme[A_Norm],0)),0))</f>
        <v/>
      </c>
      <c r="D259" s="17">
        <f>IF($A259="","",IFERROR(INDEX(tblKok[KokNeden],MATCH($A259,tblKok[A_Norm],0)),""))</f>
        <v/>
      </c>
      <c r="E259" s="17">
        <f>IF($B259&lt;&gt;"tutar_farki","",IF(ABS($C259)&gt;efd_esikFark,"YUKSEK","NORMAL"))</f>
        <v/>
      </c>
      <c r="F259" s="17">
        <f>IF($B259&lt;&gt;"tutar_farki","","Fatura "&amp;$A259&amp;" için fark "&amp;TEXT($C259,"0.00")&amp;" TL. Dayanak: "&amp;$D259&amp;". İtiraz dosyası üretildi.")</f>
        <v/>
      </c>
      <c r="G259" s="17">
        <f>IF($B259&lt;&gt;"tutar_farki","","Beklemede")</f>
        <v/>
      </c>
    </row>
    <row r="260">
      <c r="A260" s="22">
        <f>IF('KOK_NEDEN'!$A260="","",'KOK_NEDEN'!$A260)</f>
        <v/>
      </c>
      <c r="B260" s="17">
        <f>IF($A260="","",IFERROR(INDEX(tblKok[Kova],MATCH($A260,tblKok[A_Norm],0)),""))</f>
        <v/>
      </c>
      <c r="C260" s="17">
        <f>IF($A260="","",IFERROR(INDEX(tblEslesme[Fark],MATCH($A260,tblEslesme[A_Norm],0)),0))</f>
        <v/>
      </c>
      <c r="D260" s="17">
        <f>IF($A260="","",IFERROR(INDEX(tblKok[KokNeden],MATCH($A260,tblKok[A_Norm],0)),""))</f>
        <v/>
      </c>
      <c r="E260" s="17">
        <f>IF($B260&lt;&gt;"tutar_farki","",IF(ABS($C260)&gt;efd_esikFark,"YUKSEK","NORMAL"))</f>
        <v/>
      </c>
      <c r="F260" s="17">
        <f>IF($B260&lt;&gt;"tutar_farki","","Fatura "&amp;$A260&amp;" için fark "&amp;TEXT($C260,"0.00")&amp;" TL. Dayanak: "&amp;$D260&amp;". İtiraz dosyası üretildi.")</f>
        <v/>
      </c>
      <c r="G260" s="17">
        <f>IF($B260&lt;&gt;"tutar_farki","","Beklemede")</f>
        <v/>
      </c>
    </row>
    <row r="261">
      <c r="A261" s="22">
        <f>IF('KOK_NEDEN'!$A261="","",'KOK_NEDEN'!$A261)</f>
        <v/>
      </c>
      <c r="B261" s="17">
        <f>IF($A261="","",IFERROR(INDEX(tblKok[Kova],MATCH($A261,tblKok[A_Norm],0)),""))</f>
        <v/>
      </c>
      <c r="C261" s="17">
        <f>IF($A261="","",IFERROR(INDEX(tblEslesme[Fark],MATCH($A261,tblEslesme[A_Norm],0)),0))</f>
        <v/>
      </c>
      <c r="D261" s="17">
        <f>IF($A261="","",IFERROR(INDEX(tblKok[KokNeden],MATCH($A261,tblKok[A_Norm],0)),""))</f>
        <v/>
      </c>
      <c r="E261" s="17">
        <f>IF($B261&lt;&gt;"tutar_farki","",IF(ABS($C261)&gt;efd_esikFark,"YUKSEK","NORMAL"))</f>
        <v/>
      </c>
      <c r="F261" s="17">
        <f>IF($B261&lt;&gt;"tutar_farki","","Fatura "&amp;$A261&amp;" için fark "&amp;TEXT($C261,"0.00")&amp;" TL. Dayanak: "&amp;$D261&amp;". İtiraz dosyası üretildi.")</f>
        <v/>
      </c>
      <c r="G261" s="17">
        <f>IF($B261&lt;&gt;"tutar_farki","","Beklemede")</f>
        <v/>
      </c>
    </row>
    <row r="262">
      <c r="A262" s="22">
        <f>IF('KOK_NEDEN'!$A262="","",'KOK_NEDEN'!$A262)</f>
        <v/>
      </c>
      <c r="B262" s="17">
        <f>IF($A262="","",IFERROR(INDEX(tblKok[Kova],MATCH($A262,tblKok[A_Norm],0)),""))</f>
        <v/>
      </c>
      <c r="C262" s="17">
        <f>IF($A262="","",IFERROR(INDEX(tblEslesme[Fark],MATCH($A262,tblEslesme[A_Norm],0)),0))</f>
        <v/>
      </c>
      <c r="D262" s="17">
        <f>IF($A262="","",IFERROR(INDEX(tblKok[KokNeden],MATCH($A262,tblKok[A_Norm],0)),""))</f>
        <v/>
      </c>
      <c r="E262" s="17">
        <f>IF($B262&lt;&gt;"tutar_farki","",IF(ABS($C262)&gt;efd_esikFark,"YUKSEK","NORMAL"))</f>
        <v/>
      </c>
      <c r="F262" s="17">
        <f>IF($B262&lt;&gt;"tutar_farki","","Fatura "&amp;$A262&amp;" için fark "&amp;TEXT($C262,"0.00")&amp;" TL. Dayanak: "&amp;$D262&amp;". İtiraz dosyası üretildi.")</f>
        <v/>
      </c>
      <c r="G262" s="17">
        <f>IF($B262&lt;&gt;"tutar_farki","","Beklemede")</f>
        <v/>
      </c>
    </row>
    <row r="263">
      <c r="A263" s="22">
        <f>IF('KOK_NEDEN'!$A263="","",'KOK_NEDEN'!$A263)</f>
        <v/>
      </c>
      <c r="B263" s="17">
        <f>IF($A263="","",IFERROR(INDEX(tblKok[Kova],MATCH($A263,tblKok[A_Norm],0)),""))</f>
        <v/>
      </c>
      <c r="C263" s="17">
        <f>IF($A263="","",IFERROR(INDEX(tblEslesme[Fark],MATCH($A263,tblEslesme[A_Norm],0)),0))</f>
        <v/>
      </c>
      <c r="D263" s="17">
        <f>IF($A263="","",IFERROR(INDEX(tblKok[KokNeden],MATCH($A263,tblKok[A_Norm],0)),""))</f>
        <v/>
      </c>
      <c r="E263" s="17">
        <f>IF($B263&lt;&gt;"tutar_farki","",IF(ABS($C263)&gt;efd_esikFark,"YUKSEK","NORMAL"))</f>
        <v/>
      </c>
      <c r="F263" s="17">
        <f>IF($B263&lt;&gt;"tutar_farki","","Fatura "&amp;$A263&amp;" için fark "&amp;TEXT($C263,"0.00")&amp;" TL. Dayanak: "&amp;$D263&amp;". İtiraz dosyası üretildi.")</f>
        <v/>
      </c>
      <c r="G263" s="17">
        <f>IF($B263&lt;&gt;"tutar_farki","","Beklemede")</f>
        <v/>
      </c>
    </row>
    <row r="264">
      <c r="A264" s="22">
        <f>IF('KOK_NEDEN'!$A264="","",'KOK_NEDEN'!$A264)</f>
        <v/>
      </c>
      <c r="B264" s="17">
        <f>IF($A264="","",IFERROR(INDEX(tblKok[Kova],MATCH($A264,tblKok[A_Norm],0)),""))</f>
        <v/>
      </c>
      <c r="C264" s="17">
        <f>IF($A264="","",IFERROR(INDEX(tblEslesme[Fark],MATCH($A264,tblEslesme[A_Norm],0)),0))</f>
        <v/>
      </c>
      <c r="D264" s="17">
        <f>IF($A264="","",IFERROR(INDEX(tblKok[KokNeden],MATCH($A264,tblKok[A_Norm],0)),""))</f>
        <v/>
      </c>
      <c r="E264" s="17">
        <f>IF($B264&lt;&gt;"tutar_farki","",IF(ABS($C264)&gt;efd_esikFark,"YUKSEK","NORMAL"))</f>
        <v/>
      </c>
      <c r="F264" s="17">
        <f>IF($B264&lt;&gt;"tutar_farki","","Fatura "&amp;$A264&amp;" için fark "&amp;TEXT($C264,"0.00")&amp;" TL. Dayanak: "&amp;$D264&amp;". İtiraz dosyası üretildi.")</f>
        <v/>
      </c>
      <c r="G264" s="17">
        <f>IF($B264&lt;&gt;"tutar_farki","","Beklemede")</f>
        <v/>
      </c>
    </row>
    <row r="265">
      <c r="A265" s="22">
        <f>IF('KOK_NEDEN'!$A265="","",'KOK_NEDEN'!$A265)</f>
        <v/>
      </c>
      <c r="B265" s="17">
        <f>IF($A265="","",IFERROR(INDEX(tblKok[Kova],MATCH($A265,tblKok[A_Norm],0)),""))</f>
        <v/>
      </c>
      <c r="C265" s="17">
        <f>IF($A265="","",IFERROR(INDEX(tblEslesme[Fark],MATCH($A265,tblEslesme[A_Norm],0)),0))</f>
        <v/>
      </c>
      <c r="D265" s="17">
        <f>IF($A265="","",IFERROR(INDEX(tblKok[KokNeden],MATCH($A265,tblKok[A_Norm],0)),""))</f>
        <v/>
      </c>
      <c r="E265" s="17">
        <f>IF($B265&lt;&gt;"tutar_farki","",IF(ABS($C265)&gt;efd_esikFark,"YUKSEK","NORMAL"))</f>
        <v/>
      </c>
      <c r="F265" s="17">
        <f>IF($B265&lt;&gt;"tutar_farki","","Fatura "&amp;$A265&amp;" için fark "&amp;TEXT($C265,"0.00")&amp;" TL. Dayanak: "&amp;$D265&amp;". İtiraz dosyası üretildi.")</f>
        <v/>
      </c>
      <c r="G265" s="17">
        <f>IF($B265&lt;&gt;"tutar_farki","","Beklemede")</f>
        <v/>
      </c>
    </row>
    <row r="266">
      <c r="A266" s="22">
        <f>IF('KOK_NEDEN'!$A266="","",'KOK_NEDEN'!$A266)</f>
        <v/>
      </c>
      <c r="B266" s="17">
        <f>IF($A266="","",IFERROR(INDEX(tblKok[Kova],MATCH($A266,tblKok[A_Norm],0)),""))</f>
        <v/>
      </c>
      <c r="C266" s="17">
        <f>IF($A266="","",IFERROR(INDEX(tblEslesme[Fark],MATCH($A266,tblEslesme[A_Norm],0)),0))</f>
        <v/>
      </c>
      <c r="D266" s="17">
        <f>IF($A266="","",IFERROR(INDEX(tblKok[KokNeden],MATCH($A266,tblKok[A_Norm],0)),""))</f>
        <v/>
      </c>
      <c r="E266" s="17">
        <f>IF($B266&lt;&gt;"tutar_farki","",IF(ABS($C266)&gt;efd_esikFark,"YUKSEK","NORMAL"))</f>
        <v/>
      </c>
      <c r="F266" s="17">
        <f>IF($B266&lt;&gt;"tutar_farki","","Fatura "&amp;$A266&amp;" için fark "&amp;TEXT($C266,"0.00")&amp;" TL. Dayanak: "&amp;$D266&amp;". İtiraz dosyası üretildi.")</f>
        <v/>
      </c>
      <c r="G266" s="17">
        <f>IF($B266&lt;&gt;"tutar_farki","","Beklemede")</f>
        <v/>
      </c>
    </row>
    <row r="267">
      <c r="A267" s="22">
        <f>IF('KOK_NEDEN'!$A267="","",'KOK_NEDEN'!$A267)</f>
        <v/>
      </c>
      <c r="B267" s="17">
        <f>IF($A267="","",IFERROR(INDEX(tblKok[Kova],MATCH($A267,tblKok[A_Norm],0)),""))</f>
        <v/>
      </c>
      <c r="C267" s="17">
        <f>IF($A267="","",IFERROR(INDEX(tblEslesme[Fark],MATCH($A267,tblEslesme[A_Norm],0)),0))</f>
        <v/>
      </c>
      <c r="D267" s="17">
        <f>IF($A267="","",IFERROR(INDEX(tblKok[KokNeden],MATCH($A267,tblKok[A_Norm],0)),""))</f>
        <v/>
      </c>
      <c r="E267" s="17">
        <f>IF($B267&lt;&gt;"tutar_farki","",IF(ABS($C267)&gt;efd_esikFark,"YUKSEK","NORMAL"))</f>
        <v/>
      </c>
      <c r="F267" s="17">
        <f>IF($B267&lt;&gt;"tutar_farki","","Fatura "&amp;$A267&amp;" için fark "&amp;TEXT($C267,"0.00")&amp;" TL. Dayanak: "&amp;$D267&amp;". İtiraz dosyası üretildi.")</f>
        <v/>
      </c>
      <c r="G267" s="17">
        <f>IF($B267&lt;&gt;"tutar_farki","","Beklemede")</f>
        <v/>
      </c>
    </row>
    <row r="268">
      <c r="A268" s="22">
        <f>IF('KOK_NEDEN'!$A268="","",'KOK_NEDEN'!$A268)</f>
        <v/>
      </c>
      <c r="B268" s="17">
        <f>IF($A268="","",IFERROR(INDEX(tblKok[Kova],MATCH($A268,tblKok[A_Norm],0)),""))</f>
        <v/>
      </c>
      <c r="C268" s="17">
        <f>IF($A268="","",IFERROR(INDEX(tblEslesme[Fark],MATCH($A268,tblEslesme[A_Norm],0)),0))</f>
        <v/>
      </c>
      <c r="D268" s="17">
        <f>IF($A268="","",IFERROR(INDEX(tblKok[KokNeden],MATCH($A268,tblKok[A_Norm],0)),""))</f>
        <v/>
      </c>
      <c r="E268" s="17">
        <f>IF($B268&lt;&gt;"tutar_farki","",IF(ABS($C268)&gt;efd_esikFark,"YUKSEK","NORMAL"))</f>
        <v/>
      </c>
      <c r="F268" s="17">
        <f>IF($B268&lt;&gt;"tutar_farki","","Fatura "&amp;$A268&amp;" için fark "&amp;TEXT($C268,"0.00")&amp;" TL. Dayanak: "&amp;$D268&amp;". İtiraz dosyası üretildi.")</f>
        <v/>
      </c>
      <c r="G268" s="17">
        <f>IF($B268&lt;&gt;"tutar_farki","","Beklemede")</f>
        <v/>
      </c>
    </row>
    <row r="269">
      <c r="A269" s="22">
        <f>IF('KOK_NEDEN'!$A269="","",'KOK_NEDEN'!$A269)</f>
        <v/>
      </c>
      <c r="B269" s="17">
        <f>IF($A269="","",IFERROR(INDEX(tblKok[Kova],MATCH($A269,tblKok[A_Norm],0)),""))</f>
        <v/>
      </c>
      <c r="C269" s="17">
        <f>IF($A269="","",IFERROR(INDEX(tblEslesme[Fark],MATCH($A269,tblEslesme[A_Norm],0)),0))</f>
        <v/>
      </c>
      <c r="D269" s="17">
        <f>IF($A269="","",IFERROR(INDEX(tblKok[KokNeden],MATCH($A269,tblKok[A_Norm],0)),""))</f>
        <v/>
      </c>
      <c r="E269" s="17">
        <f>IF($B269&lt;&gt;"tutar_farki","",IF(ABS($C269)&gt;efd_esikFark,"YUKSEK","NORMAL"))</f>
        <v/>
      </c>
      <c r="F269" s="17">
        <f>IF($B269&lt;&gt;"tutar_farki","","Fatura "&amp;$A269&amp;" için fark "&amp;TEXT($C269,"0.00")&amp;" TL. Dayanak: "&amp;$D269&amp;". İtiraz dosyası üretildi.")</f>
        <v/>
      </c>
      <c r="G269" s="17">
        <f>IF($B269&lt;&gt;"tutar_farki","","Beklemede")</f>
        <v/>
      </c>
    </row>
    <row r="270">
      <c r="A270" s="22">
        <f>IF('KOK_NEDEN'!$A270="","",'KOK_NEDEN'!$A270)</f>
        <v/>
      </c>
      <c r="B270" s="17">
        <f>IF($A270="","",IFERROR(INDEX(tblKok[Kova],MATCH($A270,tblKok[A_Norm],0)),""))</f>
        <v/>
      </c>
      <c r="C270" s="17">
        <f>IF($A270="","",IFERROR(INDEX(tblEslesme[Fark],MATCH($A270,tblEslesme[A_Norm],0)),0))</f>
        <v/>
      </c>
      <c r="D270" s="17">
        <f>IF($A270="","",IFERROR(INDEX(tblKok[KokNeden],MATCH($A270,tblKok[A_Norm],0)),""))</f>
        <v/>
      </c>
      <c r="E270" s="17">
        <f>IF($B270&lt;&gt;"tutar_farki","",IF(ABS($C270)&gt;efd_esikFark,"YUKSEK","NORMAL"))</f>
        <v/>
      </c>
      <c r="F270" s="17">
        <f>IF($B270&lt;&gt;"tutar_farki","","Fatura "&amp;$A270&amp;" için fark "&amp;TEXT($C270,"0.00")&amp;" TL. Dayanak: "&amp;$D270&amp;". İtiraz dosyası üretildi.")</f>
        <v/>
      </c>
      <c r="G270" s="17">
        <f>IF($B270&lt;&gt;"tutar_farki","","Beklemede")</f>
        <v/>
      </c>
    </row>
    <row r="271">
      <c r="A271" s="22">
        <f>IF('KOK_NEDEN'!$A271="","",'KOK_NEDEN'!$A271)</f>
        <v/>
      </c>
      <c r="B271" s="17">
        <f>IF($A271="","",IFERROR(INDEX(tblKok[Kova],MATCH($A271,tblKok[A_Norm],0)),""))</f>
        <v/>
      </c>
      <c r="C271" s="17">
        <f>IF($A271="","",IFERROR(INDEX(tblEslesme[Fark],MATCH($A271,tblEslesme[A_Norm],0)),0))</f>
        <v/>
      </c>
      <c r="D271" s="17">
        <f>IF($A271="","",IFERROR(INDEX(tblKok[KokNeden],MATCH($A271,tblKok[A_Norm],0)),""))</f>
        <v/>
      </c>
      <c r="E271" s="17">
        <f>IF($B271&lt;&gt;"tutar_farki","",IF(ABS($C271)&gt;efd_esikFark,"YUKSEK","NORMAL"))</f>
        <v/>
      </c>
      <c r="F271" s="17">
        <f>IF($B271&lt;&gt;"tutar_farki","","Fatura "&amp;$A271&amp;" için fark "&amp;TEXT($C271,"0.00")&amp;" TL. Dayanak: "&amp;$D271&amp;". İtiraz dosyası üretildi.")</f>
        <v/>
      </c>
      <c r="G271" s="17">
        <f>IF($B271&lt;&gt;"tutar_farki","","Beklemede")</f>
        <v/>
      </c>
    </row>
    <row r="272">
      <c r="A272" s="22">
        <f>IF('KOK_NEDEN'!$A272="","",'KOK_NEDEN'!$A272)</f>
        <v/>
      </c>
      <c r="B272" s="17">
        <f>IF($A272="","",IFERROR(INDEX(tblKok[Kova],MATCH($A272,tblKok[A_Norm],0)),""))</f>
        <v/>
      </c>
      <c r="C272" s="17">
        <f>IF($A272="","",IFERROR(INDEX(tblEslesme[Fark],MATCH($A272,tblEslesme[A_Norm],0)),0))</f>
        <v/>
      </c>
      <c r="D272" s="17">
        <f>IF($A272="","",IFERROR(INDEX(tblKok[KokNeden],MATCH($A272,tblKok[A_Norm],0)),""))</f>
        <v/>
      </c>
      <c r="E272" s="17">
        <f>IF($B272&lt;&gt;"tutar_farki","",IF(ABS($C272)&gt;efd_esikFark,"YUKSEK","NORMAL"))</f>
        <v/>
      </c>
      <c r="F272" s="17">
        <f>IF($B272&lt;&gt;"tutar_farki","","Fatura "&amp;$A272&amp;" için fark "&amp;TEXT($C272,"0.00")&amp;" TL. Dayanak: "&amp;$D272&amp;". İtiraz dosyası üretildi.")</f>
        <v/>
      </c>
      <c r="G272" s="17">
        <f>IF($B272&lt;&gt;"tutar_farki","","Beklemede")</f>
        <v/>
      </c>
    </row>
    <row r="273">
      <c r="A273" s="22">
        <f>IF('KOK_NEDEN'!$A273="","",'KOK_NEDEN'!$A273)</f>
        <v/>
      </c>
      <c r="B273" s="17">
        <f>IF($A273="","",IFERROR(INDEX(tblKok[Kova],MATCH($A273,tblKok[A_Norm],0)),""))</f>
        <v/>
      </c>
      <c r="C273" s="17">
        <f>IF($A273="","",IFERROR(INDEX(tblEslesme[Fark],MATCH($A273,tblEslesme[A_Norm],0)),0))</f>
        <v/>
      </c>
      <c r="D273" s="17">
        <f>IF($A273="","",IFERROR(INDEX(tblKok[KokNeden],MATCH($A273,tblKok[A_Norm],0)),""))</f>
        <v/>
      </c>
      <c r="E273" s="17">
        <f>IF($B273&lt;&gt;"tutar_farki","",IF(ABS($C273)&gt;efd_esikFark,"YUKSEK","NORMAL"))</f>
        <v/>
      </c>
      <c r="F273" s="17">
        <f>IF($B273&lt;&gt;"tutar_farki","","Fatura "&amp;$A273&amp;" için fark "&amp;TEXT($C273,"0.00")&amp;" TL. Dayanak: "&amp;$D273&amp;". İtiraz dosyası üretildi.")</f>
        <v/>
      </c>
      <c r="G273" s="17">
        <f>IF($B273&lt;&gt;"tutar_farki","","Beklemede")</f>
        <v/>
      </c>
    </row>
    <row r="274">
      <c r="A274" s="22">
        <f>IF('KOK_NEDEN'!$A274="","",'KOK_NEDEN'!$A274)</f>
        <v/>
      </c>
      <c r="B274" s="17">
        <f>IF($A274="","",IFERROR(INDEX(tblKok[Kova],MATCH($A274,tblKok[A_Norm],0)),""))</f>
        <v/>
      </c>
      <c r="C274" s="17">
        <f>IF($A274="","",IFERROR(INDEX(tblEslesme[Fark],MATCH($A274,tblEslesme[A_Norm],0)),0))</f>
        <v/>
      </c>
      <c r="D274" s="17">
        <f>IF($A274="","",IFERROR(INDEX(tblKok[KokNeden],MATCH($A274,tblKok[A_Norm],0)),""))</f>
        <v/>
      </c>
      <c r="E274" s="17">
        <f>IF($B274&lt;&gt;"tutar_farki","",IF(ABS($C274)&gt;efd_esikFark,"YUKSEK","NORMAL"))</f>
        <v/>
      </c>
      <c r="F274" s="17">
        <f>IF($B274&lt;&gt;"tutar_farki","","Fatura "&amp;$A274&amp;" için fark "&amp;TEXT($C274,"0.00")&amp;" TL. Dayanak: "&amp;$D274&amp;". İtiraz dosyası üretildi.")</f>
        <v/>
      </c>
      <c r="G274" s="17">
        <f>IF($B274&lt;&gt;"tutar_farki","","Beklemede")</f>
        <v/>
      </c>
    </row>
    <row r="275">
      <c r="A275" s="22">
        <f>IF('KOK_NEDEN'!$A275="","",'KOK_NEDEN'!$A275)</f>
        <v/>
      </c>
      <c r="B275" s="17">
        <f>IF($A275="","",IFERROR(INDEX(tblKok[Kova],MATCH($A275,tblKok[A_Norm],0)),""))</f>
        <v/>
      </c>
      <c r="C275" s="17">
        <f>IF($A275="","",IFERROR(INDEX(tblEslesme[Fark],MATCH($A275,tblEslesme[A_Norm],0)),0))</f>
        <v/>
      </c>
      <c r="D275" s="17">
        <f>IF($A275="","",IFERROR(INDEX(tblKok[KokNeden],MATCH($A275,tblKok[A_Norm],0)),""))</f>
        <v/>
      </c>
      <c r="E275" s="17">
        <f>IF($B275&lt;&gt;"tutar_farki","",IF(ABS($C275)&gt;efd_esikFark,"YUKSEK","NORMAL"))</f>
        <v/>
      </c>
      <c r="F275" s="17">
        <f>IF($B275&lt;&gt;"tutar_farki","","Fatura "&amp;$A275&amp;" için fark "&amp;TEXT($C275,"0.00")&amp;" TL. Dayanak: "&amp;$D275&amp;". İtiraz dosyası üretildi.")</f>
        <v/>
      </c>
      <c r="G275" s="17">
        <f>IF($B275&lt;&gt;"tutar_farki","","Beklemede")</f>
        <v/>
      </c>
    </row>
    <row r="276">
      <c r="A276" s="22">
        <f>IF('KOK_NEDEN'!$A276="","",'KOK_NEDEN'!$A276)</f>
        <v/>
      </c>
      <c r="B276" s="17">
        <f>IF($A276="","",IFERROR(INDEX(tblKok[Kova],MATCH($A276,tblKok[A_Norm],0)),""))</f>
        <v/>
      </c>
      <c r="C276" s="17">
        <f>IF($A276="","",IFERROR(INDEX(tblEslesme[Fark],MATCH($A276,tblEslesme[A_Norm],0)),0))</f>
        <v/>
      </c>
      <c r="D276" s="17">
        <f>IF($A276="","",IFERROR(INDEX(tblKok[KokNeden],MATCH($A276,tblKok[A_Norm],0)),""))</f>
        <v/>
      </c>
      <c r="E276" s="17">
        <f>IF($B276&lt;&gt;"tutar_farki","",IF(ABS($C276)&gt;efd_esikFark,"YUKSEK","NORMAL"))</f>
        <v/>
      </c>
      <c r="F276" s="17">
        <f>IF($B276&lt;&gt;"tutar_farki","","Fatura "&amp;$A276&amp;" için fark "&amp;TEXT($C276,"0.00")&amp;" TL. Dayanak: "&amp;$D276&amp;". İtiraz dosyası üretildi.")</f>
        <v/>
      </c>
      <c r="G276" s="17">
        <f>IF($B276&lt;&gt;"tutar_farki","","Beklemede")</f>
        <v/>
      </c>
    </row>
    <row r="277">
      <c r="A277" s="22">
        <f>IF('KOK_NEDEN'!$A277="","",'KOK_NEDEN'!$A277)</f>
        <v/>
      </c>
      <c r="B277" s="17">
        <f>IF($A277="","",IFERROR(INDEX(tblKok[Kova],MATCH($A277,tblKok[A_Norm],0)),""))</f>
        <v/>
      </c>
      <c r="C277" s="17">
        <f>IF($A277="","",IFERROR(INDEX(tblEslesme[Fark],MATCH($A277,tblEslesme[A_Norm],0)),0))</f>
        <v/>
      </c>
      <c r="D277" s="17">
        <f>IF($A277="","",IFERROR(INDEX(tblKok[KokNeden],MATCH($A277,tblKok[A_Norm],0)),""))</f>
        <v/>
      </c>
      <c r="E277" s="17">
        <f>IF($B277&lt;&gt;"tutar_farki","",IF(ABS($C277)&gt;efd_esikFark,"YUKSEK","NORMAL"))</f>
        <v/>
      </c>
      <c r="F277" s="17">
        <f>IF($B277&lt;&gt;"tutar_farki","","Fatura "&amp;$A277&amp;" için fark "&amp;TEXT($C277,"0.00")&amp;" TL. Dayanak: "&amp;$D277&amp;". İtiraz dosyası üretildi.")</f>
        <v/>
      </c>
      <c r="G277" s="17">
        <f>IF($B277&lt;&gt;"tutar_farki","","Beklemede")</f>
        <v/>
      </c>
    </row>
    <row r="278">
      <c r="A278" s="22">
        <f>IF('KOK_NEDEN'!$A278="","",'KOK_NEDEN'!$A278)</f>
        <v/>
      </c>
      <c r="B278" s="17">
        <f>IF($A278="","",IFERROR(INDEX(tblKok[Kova],MATCH($A278,tblKok[A_Norm],0)),""))</f>
        <v/>
      </c>
      <c r="C278" s="17">
        <f>IF($A278="","",IFERROR(INDEX(tblEslesme[Fark],MATCH($A278,tblEslesme[A_Norm],0)),0))</f>
        <v/>
      </c>
      <c r="D278" s="17">
        <f>IF($A278="","",IFERROR(INDEX(tblKok[KokNeden],MATCH($A278,tblKok[A_Norm],0)),""))</f>
        <v/>
      </c>
      <c r="E278" s="17">
        <f>IF($B278&lt;&gt;"tutar_farki","",IF(ABS($C278)&gt;efd_esikFark,"YUKSEK","NORMAL"))</f>
        <v/>
      </c>
      <c r="F278" s="17">
        <f>IF($B278&lt;&gt;"tutar_farki","","Fatura "&amp;$A278&amp;" için fark "&amp;TEXT($C278,"0.00")&amp;" TL. Dayanak: "&amp;$D278&amp;". İtiraz dosyası üretildi.")</f>
        <v/>
      </c>
      <c r="G278" s="17">
        <f>IF($B278&lt;&gt;"tutar_farki","","Beklemede")</f>
        <v/>
      </c>
    </row>
    <row r="279">
      <c r="A279" s="22">
        <f>IF('KOK_NEDEN'!$A279="","",'KOK_NEDEN'!$A279)</f>
        <v/>
      </c>
      <c r="B279" s="17">
        <f>IF($A279="","",IFERROR(INDEX(tblKok[Kova],MATCH($A279,tblKok[A_Norm],0)),""))</f>
        <v/>
      </c>
      <c r="C279" s="17">
        <f>IF($A279="","",IFERROR(INDEX(tblEslesme[Fark],MATCH($A279,tblEslesme[A_Norm],0)),0))</f>
        <v/>
      </c>
      <c r="D279" s="17">
        <f>IF($A279="","",IFERROR(INDEX(tblKok[KokNeden],MATCH($A279,tblKok[A_Norm],0)),""))</f>
        <v/>
      </c>
      <c r="E279" s="17">
        <f>IF($B279&lt;&gt;"tutar_farki","",IF(ABS($C279)&gt;efd_esikFark,"YUKSEK","NORMAL"))</f>
        <v/>
      </c>
      <c r="F279" s="17">
        <f>IF($B279&lt;&gt;"tutar_farki","","Fatura "&amp;$A279&amp;" için fark "&amp;TEXT($C279,"0.00")&amp;" TL. Dayanak: "&amp;$D279&amp;". İtiraz dosyası üretildi.")</f>
        <v/>
      </c>
      <c r="G279" s="17">
        <f>IF($B279&lt;&gt;"tutar_farki","","Beklemede")</f>
        <v/>
      </c>
    </row>
    <row r="280">
      <c r="A280" s="22">
        <f>IF('KOK_NEDEN'!$A280="","",'KOK_NEDEN'!$A280)</f>
        <v/>
      </c>
      <c r="B280" s="17">
        <f>IF($A280="","",IFERROR(INDEX(tblKok[Kova],MATCH($A280,tblKok[A_Norm],0)),""))</f>
        <v/>
      </c>
      <c r="C280" s="17">
        <f>IF($A280="","",IFERROR(INDEX(tblEslesme[Fark],MATCH($A280,tblEslesme[A_Norm],0)),0))</f>
        <v/>
      </c>
      <c r="D280" s="17">
        <f>IF($A280="","",IFERROR(INDEX(tblKok[KokNeden],MATCH($A280,tblKok[A_Norm],0)),""))</f>
        <v/>
      </c>
      <c r="E280" s="17">
        <f>IF($B280&lt;&gt;"tutar_farki","",IF(ABS($C280)&gt;efd_esikFark,"YUKSEK","NORMAL"))</f>
        <v/>
      </c>
      <c r="F280" s="17">
        <f>IF($B280&lt;&gt;"tutar_farki","","Fatura "&amp;$A280&amp;" için fark "&amp;TEXT($C280,"0.00")&amp;" TL. Dayanak: "&amp;$D280&amp;". İtiraz dosyası üretildi.")</f>
        <v/>
      </c>
      <c r="G280" s="17">
        <f>IF($B280&lt;&gt;"tutar_farki","","Beklemede")</f>
        <v/>
      </c>
    </row>
    <row r="281">
      <c r="A281" s="22">
        <f>IF('KOK_NEDEN'!$A281="","",'KOK_NEDEN'!$A281)</f>
        <v/>
      </c>
      <c r="B281" s="17">
        <f>IF($A281="","",IFERROR(INDEX(tblKok[Kova],MATCH($A281,tblKok[A_Norm],0)),""))</f>
        <v/>
      </c>
      <c r="C281" s="17">
        <f>IF($A281="","",IFERROR(INDEX(tblEslesme[Fark],MATCH($A281,tblEslesme[A_Norm],0)),0))</f>
        <v/>
      </c>
      <c r="D281" s="17">
        <f>IF($A281="","",IFERROR(INDEX(tblKok[KokNeden],MATCH($A281,tblKok[A_Norm],0)),""))</f>
        <v/>
      </c>
      <c r="E281" s="17">
        <f>IF($B281&lt;&gt;"tutar_farki","",IF(ABS($C281)&gt;efd_esikFark,"YUKSEK","NORMAL"))</f>
        <v/>
      </c>
      <c r="F281" s="17">
        <f>IF($B281&lt;&gt;"tutar_farki","","Fatura "&amp;$A281&amp;" için fark "&amp;TEXT($C281,"0.00")&amp;" TL. Dayanak: "&amp;$D281&amp;". İtiraz dosyası üretildi.")</f>
        <v/>
      </c>
      <c r="G281" s="17">
        <f>IF($B281&lt;&gt;"tutar_farki","","Beklemede")</f>
        <v/>
      </c>
    </row>
    <row r="282">
      <c r="A282" s="22">
        <f>IF('KOK_NEDEN'!$A282="","",'KOK_NEDEN'!$A282)</f>
        <v/>
      </c>
      <c r="B282" s="17">
        <f>IF($A282="","",IFERROR(INDEX(tblKok[Kova],MATCH($A282,tblKok[A_Norm],0)),""))</f>
        <v/>
      </c>
      <c r="C282" s="17">
        <f>IF($A282="","",IFERROR(INDEX(tblEslesme[Fark],MATCH($A282,tblEslesme[A_Norm],0)),0))</f>
        <v/>
      </c>
      <c r="D282" s="17">
        <f>IF($A282="","",IFERROR(INDEX(tblKok[KokNeden],MATCH($A282,tblKok[A_Norm],0)),""))</f>
        <v/>
      </c>
      <c r="E282" s="17">
        <f>IF($B282&lt;&gt;"tutar_farki","",IF(ABS($C282)&gt;efd_esikFark,"YUKSEK","NORMAL"))</f>
        <v/>
      </c>
      <c r="F282" s="17">
        <f>IF($B282&lt;&gt;"tutar_farki","","Fatura "&amp;$A282&amp;" için fark "&amp;TEXT($C282,"0.00")&amp;" TL. Dayanak: "&amp;$D282&amp;". İtiraz dosyası üretildi.")</f>
        <v/>
      </c>
      <c r="G282" s="17">
        <f>IF($B282&lt;&gt;"tutar_farki","","Beklemede")</f>
        <v/>
      </c>
    </row>
    <row r="283">
      <c r="A283" s="22">
        <f>IF('KOK_NEDEN'!$A283="","",'KOK_NEDEN'!$A283)</f>
        <v/>
      </c>
      <c r="B283" s="17">
        <f>IF($A283="","",IFERROR(INDEX(tblKok[Kova],MATCH($A283,tblKok[A_Norm],0)),""))</f>
        <v/>
      </c>
      <c r="C283" s="17">
        <f>IF($A283="","",IFERROR(INDEX(tblEslesme[Fark],MATCH($A283,tblEslesme[A_Norm],0)),0))</f>
        <v/>
      </c>
      <c r="D283" s="17">
        <f>IF($A283="","",IFERROR(INDEX(tblKok[KokNeden],MATCH($A283,tblKok[A_Norm],0)),""))</f>
        <v/>
      </c>
      <c r="E283" s="17">
        <f>IF($B283&lt;&gt;"tutar_farki","",IF(ABS($C283)&gt;efd_esikFark,"YUKSEK","NORMAL"))</f>
        <v/>
      </c>
      <c r="F283" s="17">
        <f>IF($B283&lt;&gt;"tutar_farki","","Fatura "&amp;$A283&amp;" için fark "&amp;TEXT($C283,"0.00")&amp;" TL. Dayanak: "&amp;$D283&amp;". İtiraz dosyası üretildi.")</f>
        <v/>
      </c>
      <c r="G283" s="17">
        <f>IF($B283&lt;&gt;"tutar_farki","","Beklemede")</f>
        <v/>
      </c>
    </row>
    <row r="284">
      <c r="A284" s="22">
        <f>IF('KOK_NEDEN'!$A284="","",'KOK_NEDEN'!$A284)</f>
        <v/>
      </c>
      <c r="B284" s="17">
        <f>IF($A284="","",IFERROR(INDEX(tblKok[Kova],MATCH($A284,tblKok[A_Norm],0)),""))</f>
        <v/>
      </c>
      <c r="C284" s="17">
        <f>IF($A284="","",IFERROR(INDEX(tblEslesme[Fark],MATCH($A284,tblEslesme[A_Norm],0)),0))</f>
        <v/>
      </c>
      <c r="D284" s="17">
        <f>IF($A284="","",IFERROR(INDEX(tblKok[KokNeden],MATCH($A284,tblKok[A_Norm],0)),""))</f>
        <v/>
      </c>
      <c r="E284" s="17">
        <f>IF($B284&lt;&gt;"tutar_farki","",IF(ABS($C284)&gt;efd_esikFark,"YUKSEK","NORMAL"))</f>
        <v/>
      </c>
      <c r="F284" s="17">
        <f>IF($B284&lt;&gt;"tutar_farki","","Fatura "&amp;$A284&amp;" için fark "&amp;TEXT($C284,"0.00")&amp;" TL. Dayanak: "&amp;$D284&amp;". İtiraz dosyası üretildi.")</f>
        <v/>
      </c>
      <c r="G284" s="17">
        <f>IF($B284&lt;&gt;"tutar_farki","","Beklemede")</f>
        <v/>
      </c>
    </row>
    <row r="285">
      <c r="A285" s="22">
        <f>IF('KOK_NEDEN'!$A285="","",'KOK_NEDEN'!$A285)</f>
        <v/>
      </c>
      <c r="B285" s="17">
        <f>IF($A285="","",IFERROR(INDEX(tblKok[Kova],MATCH($A285,tblKok[A_Norm],0)),""))</f>
        <v/>
      </c>
      <c r="C285" s="17">
        <f>IF($A285="","",IFERROR(INDEX(tblEslesme[Fark],MATCH($A285,tblEslesme[A_Norm],0)),0))</f>
        <v/>
      </c>
      <c r="D285" s="17">
        <f>IF($A285="","",IFERROR(INDEX(tblKok[KokNeden],MATCH($A285,tblKok[A_Norm],0)),""))</f>
        <v/>
      </c>
      <c r="E285" s="17">
        <f>IF($B285&lt;&gt;"tutar_farki","",IF(ABS($C285)&gt;efd_esikFark,"YUKSEK","NORMAL"))</f>
        <v/>
      </c>
      <c r="F285" s="17">
        <f>IF($B285&lt;&gt;"tutar_farki","","Fatura "&amp;$A285&amp;" için fark "&amp;TEXT($C285,"0.00")&amp;" TL. Dayanak: "&amp;$D285&amp;". İtiraz dosyası üretildi.")</f>
        <v/>
      </c>
      <c r="G285" s="17">
        <f>IF($B285&lt;&gt;"tutar_farki","","Beklemede")</f>
        <v/>
      </c>
    </row>
    <row r="286">
      <c r="A286" s="22">
        <f>IF('KOK_NEDEN'!$A286="","",'KOK_NEDEN'!$A286)</f>
        <v/>
      </c>
      <c r="B286" s="17">
        <f>IF($A286="","",IFERROR(INDEX(tblKok[Kova],MATCH($A286,tblKok[A_Norm],0)),""))</f>
        <v/>
      </c>
      <c r="C286" s="17">
        <f>IF($A286="","",IFERROR(INDEX(tblEslesme[Fark],MATCH($A286,tblEslesme[A_Norm],0)),0))</f>
        <v/>
      </c>
      <c r="D286" s="17">
        <f>IF($A286="","",IFERROR(INDEX(tblKok[KokNeden],MATCH($A286,tblKok[A_Norm],0)),""))</f>
        <v/>
      </c>
      <c r="E286" s="17">
        <f>IF($B286&lt;&gt;"tutar_farki","",IF(ABS($C286)&gt;efd_esikFark,"YUKSEK","NORMAL"))</f>
        <v/>
      </c>
      <c r="F286" s="17">
        <f>IF($B286&lt;&gt;"tutar_farki","","Fatura "&amp;$A286&amp;" için fark "&amp;TEXT($C286,"0.00")&amp;" TL. Dayanak: "&amp;$D286&amp;". İtiraz dosyası üretildi.")</f>
        <v/>
      </c>
      <c r="G286" s="17">
        <f>IF($B286&lt;&gt;"tutar_farki","","Beklemede")</f>
        <v/>
      </c>
    </row>
    <row r="287">
      <c r="A287" s="22">
        <f>IF('KOK_NEDEN'!$A287="","",'KOK_NEDEN'!$A287)</f>
        <v/>
      </c>
      <c r="B287" s="17">
        <f>IF($A287="","",IFERROR(INDEX(tblKok[Kova],MATCH($A287,tblKok[A_Norm],0)),""))</f>
        <v/>
      </c>
      <c r="C287" s="17">
        <f>IF($A287="","",IFERROR(INDEX(tblEslesme[Fark],MATCH($A287,tblEslesme[A_Norm],0)),0))</f>
        <v/>
      </c>
      <c r="D287" s="17">
        <f>IF($A287="","",IFERROR(INDEX(tblKok[KokNeden],MATCH($A287,tblKok[A_Norm],0)),""))</f>
        <v/>
      </c>
      <c r="E287" s="17">
        <f>IF($B287&lt;&gt;"tutar_farki","",IF(ABS($C287)&gt;efd_esikFark,"YUKSEK","NORMAL"))</f>
        <v/>
      </c>
      <c r="F287" s="17">
        <f>IF($B287&lt;&gt;"tutar_farki","","Fatura "&amp;$A287&amp;" için fark "&amp;TEXT($C287,"0.00")&amp;" TL. Dayanak: "&amp;$D287&amp;". İtiraz dosyası üretildi.")</f>
        <v/>
      </c>
      <c r="G287" s="17">
        <f>IF($B287&lt;&gt;"tutar_farki","","Beklemede")</f>
        <v/>
      </c>
    </row>
    <row r="288">
      <c r="A288" s="22">
        <f>IF('KOK_NEDEN'!$A288="","",'KOK_NEDEN'!$A288)</f>
        <v/>
      </c>
      <c r="B288" s="17">
        <f>IF($A288="","",IFERROR(INDEX(tblKok[Kova],MATCH($A288,tblKok[A_Norm],0)),""))</f>
        <v/>
      </c>
      <c r="C288" s="17">
        <f>IF($A288="","",IFERROR(INDEX(tblEslesme[Fark],MATCH($A288,tblEslesme[A_Norm],0)),0))</f>
        <v/>
      </c>
      <c r="D288" s="17">
        <f>IF($A288="","",IFERROR(INDEX(tblKok[KokNeden],MATCH($A288,tblKok[A_Norm],0)),""))</f>
        <v/>
      </c>
      <c r="E288" s="17">
        <f>IF($B288&lt;&gt;"tutar_farki","",IF(ABS($C288)&gt;efd_esikFark,"YUKSEK","NORMAL"))</f>
        <v/>
      </c>
      <c r="F288" s="17">
        <f>IF($B288&lt;&gt;"tutar_farki","","Fatura "&amp;$A288&amp;" için fark "&amp;TEXT($C288,"0.00")&amp;" TL. Dayanak: "&amp;$D288&amp;". İtiraz dosyası üretildi.")</f>
        <v/>
      </c>
      <c r="G288" s="17">
        <f>IF($B288&lt;&gt;"tutar_farki","","Beklemede")</f>
        <v/>
      </c>
    </row>
    <row r="289">
      <c r="A289" s="22">
        <f>IF('KOK_NEDEN'!$A289="","",'KOK_NEDEN'!$A289)</f>
        <v/>
      </c>
      <c r="B289" s="17">
        <f>IF($A289="","",IFERROR(INDEX(tblKok[Kova],MATCH($A289,tblKok[A_Norm],0)),""))</f>
        <v/>
      </c>
      <c r="C289" s="17">
        <f>IF($A289="","",IFERROR(INDEX(tblEslesme[Fark],MATCH($A289,tblEslesme[A_Norm],0)),0))</f>
        <v/>
      </c>
      <c r="D289" s="17">
        <f>IF($A289="","",IFERROR(INDEX(tblKok[KokNeden],MATCH($A289,tblKok[A_Norm],0)),""))</f>
        <v/>
      </c>
      <c r="E289" s="17">
        <f>IF($B289&lt;&gt;"tutar_farki","",IF(ABS($C289)&gt;efd_esikFark,"YUKSEK","NORMAL"))</f>
        <v/>
      </c>
      <c r="F289" s="17">
        <f>IF($B289&lt;&gt;"tutar_farki","","Fatura "&amp;$A289&amp;" için fark "&amp;TEXT($C289,"0.00")&amp;" TL. Dayanak: "&amp;$D289&amp;". İtiraz dosyası üretildi.")</f>
        <v/>
      </c>
      <c r="G289" s="17">
        <f>IF($B289&lt;&gt;"tutar_farki","","Beklemede")</f>
        <v/>
      </c>
    </row>
    <row r="290">
      <c r="A290" s="22">
        <f>IF('KOK_NEDEN'!$A290="","",'KOK_NEDEN'!$A290)</f>
        <v/>
      </c>
      <c r="B290" s="17">
        <f>IF($A290="","",IFERROR(INDEX(tblKok[Kova],MATCH($A290,tblKok[A_Norm],0)),""))</f>
        <v/>
      </c>
      <c r="C290" s="17">
        <f>IF($A290="","",IFERROR(INDEX(tblEslesme[Fark],MATCH($A290,tblEslesme[A_Norm],0)),0))</f>
        <v/>
      </c>
      <c r="D290" s="17">
        <f>IF($A290="","",IFERROR(INDEX(tblKok[KokNeden],MATCH($A290,tblKok[A_Norm],0)),""))</f>
        <v/>
      </c>
      <c r="E290" s="17">
        <f>IF($B290&lt;&gt;"tutar_farki","",IF(ABS($C290)&gt;efd_esikFark,"YUKSEK","NORMAL"))</f>
        <v/>
      </c>
      <c r="F290" s="17">
        <f>IF($B290&lt;&gt;"tutar_farki","","Fatura "&amp;$A290&amp;" için fark "&amp;TEXT($C290,"0.00")&amp;" TL. Dayanak: "&amp;$D290&amp;". İtiraz dosyası üretildi.")</f>
        <v/>
      </c>
      <c r="G290" s="17">
        <f>IF($B290&lt;&gt;"tutar_farki","","Beklemede")</f>
        <v/>
      </c>
    </row>
    <row r="291">
      <c r="A291" s="22">
        <f>IF('KOK_NEDEN'!$A291="","",'KOK_NEDEN'!$A291)</f>
        <v/>
      </c>
      <c r="B291" s="17">
        <f>IF($A291="","",IFERROR(INDEX(tblKok[Kova],MATCH($A291,tblKok[A_Norm],0)),""))</f>
        <v/>
      </c>
      <c r="C291" s="17">
        <f>IF($A291="","",IFERROR(INDEX(tblEslesme[Fark],MATCH($A291,tblEslesme[A_Norm],0)),0))</f>
        <v/>
      </c>
      <c r="D291" s="17">
        <f>IF($A291="","",IFERROR(INDEX(tblKok[KokNeden],MATCH($A291,tblKok[A_Norm],0)),""))</f>
        <v/>
      </c>
      <c r="E291" s="17">
        <f>IF($B291&lt;&gt;"tutar_farki","",IF(ABS($C291)&gt;efd_esikFark,"YUKSEK","NORMAL"))</f>
        <v/>
      </c>
      <c r="F291" s="17">
        <f>IF($B291&lt;&gt;"tutar_farki","","Fatura "&amp;$A291&amp;" için fark "&amp;TEXT($C291,"0.00")&amp;" TL. Dayanak: "&amp;$D291&amp;". İtiraz dosyası üretildi.")</f>
        <v/>
      </c>
      <c r="G291" s="17">
        <f>IF($B291&lt;&gt;"tutar_farki","","Beklemede")</f>
        <v/>
      </c>
    </row>
    <row r="292">
      <c r="A292" s="22">
        <f>IF('KOK_NEDEN'!$A292="","",'KOK_NEDEN'!$A292)</f>
        <v/>
      </c>
      <c r="B292" s="17">
        <f>IF($A292="","",IFERROR(INDEX(tblKok[Kova],MATCH($A292,tblKok[A_Norm],0)),""))</f>
        <v/>
      </c>
      <c r="C292" s="17">
        <f>IF($A292="","",IFERROR(INDEX(tblEslesme[Fark],MATCH($A292,tblEslesme[A_Norm],0)),0))</f>
        <v/>
      </c>
      <c r="D292" s="17">
        <f>IF($A292="","",IFERROR(INDEX(tblKok[KokNeden],MATCH($A292,tblKok[A_Norm],0)),""))</f>
        <v/>
      </c>
      <c r="E292" s="17">
        <f>IF($B292&lt;&gt;"tutar_farki","",IF(ABS($C292)&gt;efd_esikFark,"YUKSEK","NORMAL"))</f>
        <v/>
      </c>
      <c r="F292" s="17">
        <f>IF($B292&lt;&gt;"tutar_farki","","Fatura "&amp;$A292&amp;" için fark "&amp;TEXT($C292,"0.00")&amp;" TL. Dayanak: "&amp;$D292&amp;". İtiraz dosyası üretildi.")</f>
        <v/>
      </c>
      <c r="G292" s="17">
        <f>IF($B292&lt;&gt;"tutar_farki","","Beklemede")</f>
        <v/>
      </c>
    </row>
    <row r="293">
      <c r="A293" s="22">
        <f>IF('KOK_NEDEN'!$A293="","",'KOK_NEDEN'!$A293)</f>
        <v/>
      </c>
      <c r="B293" s="17">
        <f>IF($A293="","",IFERROR(INDEX(tblKok[Kova],MATCH($A293,tblKok[A_Norm],0)),""))</f>
        <v/>
      </c>
      <c r="C293" s="17">
        <f>IF($A293="","",IFERROR(INDEX(tblEslesme[Fark],MATCH($A293,tblEslesme[A_Norm],0)),0))</f>
        <v/>
      </c>
      <c r="D293" s="17">
        <f>IF($A293="","",IFERROR(INDEX(tblKok[KokNeden],MATCH($A293,tblKok[A_Norm],0)),""))</f>
        <v/>
      </c>
      <c r="E293" s="17">
        <f>IF($B293&lt;&gt;"tutar_farki","",IF(ABS($C293)&gt;efd_esikFark,"YUKSEK","NORMAL"))</f>
        <v/>
      </c>
      <c r="F293" s="17">
        <f>IF($B293&lt;&gt;"tutar_farki","","Fatura "&amp;$A293&amp;" için fark "&amp;TEXT($C293,"0.00")&amp;" TL. Dayanak: "&amp;$D293&amp;". İtiraz dosyası üretildi.")</f>
        <v/>
      </c>
      <c r="G293" s="17">
        <f>IF($B293&lt;&gt;"tutar_farki","","Beklemede")</f>
        <v/>
      </c>
    </row>
    <row r="294">
      <c r="A294" s="22">
        <f>IF('KOK_NEDEN'!$A294="","",'KOK_NEDEN'!$A294)</f>
        <v/>
      </c>
      <c r="B294" s="17">
        <f>IF($A294="","",IFERROR(INDEX(tblKok[Kova],MATCH($A294,tblKok[A_Norm],0)),""))</f>
        <v/>
      </c>
      <c r="C294" s="17">
        <f>IF($A294="","",IFERROR(INDEX(tblEslesme[Fark],MATCH($A294,tblEslesme[A_Norm],0)),0))</f>
        <v/>
      </c>
      <c r="D294" s="17">
        <f>IF($A294="","",IFERROR(INDEX(tblKok[KokNeden],MATCH($A294,tblKok[A_Norm],0)),""))</f>
        <v/>
      </c>
      <c r="E294" s="17">
        <f>IF($B294&lt;&gt;"tutar_farki","",IF(ABS($C294)&gt;efd_esikFark,"YUKSEK","NORMAL"))</f>
        <v/>
      </c>
      <c r="F294" s="17">
        <f>IF($B294&lt;&gt;"tutar_farki","","Fatura "&amp;$A294&amp;" için fark "&amp;TEXT($C294,"0.00")&amp;" TL. Dayanak: "&amp;$D294&amp;". İtiraz dosyası üretildi.")</f>
        <v/>
      </c>
      <c r="G294" s="17">
        <f>IF($B294&lt;&gt;"tutar_farki","","Beklemede")</f>
        <v/>
      </c>
    </row>
    <row r="295">
      <c r="A295" s="22">
        <f>IF('KOK_NEDEN'!$A295="","",'KOK_NEDEN'!$A295)</f>
        <v/>
      </c>
      <c r="B295" s="17">
        <f>IF($A295="","",IFERROR(INDEX(tblKok[Kova],MATCH($A295,tblKok[A_Norm],0)),""))</f>
        <v/>
      </c>
      <c r="C295" s="17">
        <f>IF($A295="","",IFERROR(INDEX(tblEslesme[Fark],MATCH($A295,tblEslesme[A_Norm],0)),0))</f>
        <v/>
      </c>
      <c r="D295" s="17">
        <f>IF($A295="","",IFERROR(INDEX(tblKok[KokNeden],MATCH($A295,tblKok[A_Norm],0)),""))</f>
        <v/>
      </c>
      <c r="E295" s="17">
        <f>IF($B295&lt;&gt;"tutar_farki","",IF(ABS($C295)&gt;efd_esikFark,"YUKSEK","NORMAL"))</f>
        <v/>
      </c>
      <c r="F295" s="17">
        <f>IF($B295&lt;&gt;"tutar_farki","","Fatura "&amp;$A295&amp;" için fark "&amp;TEXT($C295,"0.00")&amp;" TL. Dayanak: "&amp;$D295&amp;". İtiraz dosyası üretildi.")</f>
        <v/>
      </c>
      <c r="G295" s="17">
        <f>IF($B295&lt;&gt;"tutar_farki","","Beklemede")</f>
        <v/>
      </c>
    </row>
    <row r="296">
      <c r="A296" s="22">
        <f>IF('KOK_NEDEN'!$A296="","",'KOK_NEDEN'!$A296)</f>
        <v/>
      </c>
      <c r="B296" s="17">
        <f>IF($A296="","",IFERROR(INDEX(tblKok[Kova],MATCH($A296,tblKok[A_Norm],0)),""))</f>
        <v/>
      </c>
      <c r="C296" s="17">
        <f>IF($A296="","",IFERROR(INDEX(tblEslesme[Fark],MATCH($A296,tblEslesme[A_Norm],0)),0))</f>
        <v/>
      </c>
      <c r="D296" s="17">
        <f>IF($A296="","",IFERROR(INDEX(tblKok[KokNeden],MATCH($A296,tblKok[A_Norm],0)),""))</f>
        <v/>
      </c>
      <c r="E296" s="17">
        <f>IF($B296&lt;&gt;"tutar_farki","",IF(ABS($C296)&gt;efd_esikFark,"YUKSEK","NORMAL"))</f>
        <v/>
      </c>
      <c r="F296" s="17">
        <f>IF($B296&lt;&gt;"tutar_farki","","Fatura "&amp;$A296&amp;" için fark "&amp;TEXT($C296,"0.00")&amp;" TL. Dayanak: "&amp;$D296&amp;". İtiraz dosyası üretildi.")</f>
        <v/>
      </c>
      <c r="G296" s="17">
        <f>IF($B296&lt;&gt;"tutar_farki","","Beklemede")</f>
        <v/>
      </c>
    </row>
    <row r="297">
      <c r="A297" s="22">
        <f>IF('KOK_NEDEN'!$A297="","",'KOK_NEDEN'!$A297)</f>
        <v/>
      </c>
      <c r="B297" s="17">
        <f>IF($A297="","",IFERROR(INDEX(tblKok[Kova],MATCH($A297,tblKok[A_Norm],0)),""))</f>
        <v/>
      </c>
      <c r="C297" s="17">
        <f>IF($A297="","",IFERROR(INDEX(tblEslesme[Fark],MATCH($A297,tblEslesme[A_Norm],0)),0))</f>
        <v/>
      </c>
      <c r="D297" s="17">
        <f>IF($A297="","",IFERROR(INDEX(tblKok[KokNeden],MATCH($A297,tblKok[A_Norm],0)),""))</f>
        <v/>
      </c>
      <c r="E297" s="17">
        <f>IF($B297&lt;&gt;"tutar_farki","",IF(ABS($C297)&gt;efd_esikFark,"YUKSEK","NORMAL"))</f>
        <v/>
      </c>
      <c r="F297" s="17">
        <f>IF($B297&lt;&gt;"tutar_farki","","Fatura "&amp;$A297&amp;" için fark "&amp;TEXT($C297,"0.00")&amp;" TL. Dayanak: "&amp;$D297&amp;". İtiraz dosyası üretildi.")</f>
        <v/>
      </c>
      <c r="G297" s="17">
        <f>IF($B297&lt;&gt;"tutar_farki","","Beklemede")</f>
        <v/>
      </c>
    </row>
    <row r="298">
      <c r="A298" s="22">
        <f>IF('KOK_NEDEN'!$A298="","",'KOK_NEDEN'!$A298)</f>
        <v/>
      </c>
      <c r="B298" s="17">
        <f>IF($A298="","",IFERROR(INDEX(tblKok[Kova],MATCH($A298,tblKok[A_Norm],0)),""))</f>
        <v/>
      </c>
      <c r="C298" s="17">
        <f>IF($A298="","",IFERROR(INDEX(tblEslesme[Fark],MATCH($A298,tblEslesme[A_Norm],0)),0))</f>
        <v/>
      </c>
      <c r="D298" s="17">
        <f>IF($A298="","",IFERROR(INDEX(tblKok[KokNeden],MATCH($A298,tblKok[A_Norm],0)),""))</f>
        <v/>
      </c>
      <c r="E298" s="17">
        <f>IF($B298&lt;&gt;"tutar_farki","",IF(ABS($C298)&gt;efd_esikFark,"YUKSEK","NORMAL"))</f>
        <v/>
      </c>
      <c r="F298" s="17">
        <f>IF($B298&lt;&gt;"tutar_farki","","Fatura "&amp;$A298&amp;" için fark "&amp;TEXT($C298,"0.00")&amp;" TL. Dayanak: "&amp;$D298&amp;". İtiraz dosyası üretildi.")</f>
        <v/>
      </c>
      <c r="G298" s="17">
        <f>IF($B298&lt;&gt;"tutar_farki","","Beklemede")</f>
        <v/>
      </c>
    </row>
    <row r="299">
      <c r="A299" s="22">
        <f>IF('KOK_NEDEN'!$A299="","",'KOK_NEDEN'!$A299)</f>
        <v/>
      </c>
      <c r="B299" s="17">
        <f>IF($A299="","",IFERROR(INDEX(tblKok[Kova],MATCH($A299,tblKok[A_Norm],0)),""))</f>
        <v/>
      </c>
      <c r="C299" s="17">
        <f>IF($A299="","",IFERROR(INDEX(tblEslesme[Fark],MATCH($A299,tblEslesme[A_Norm],0)),0))</f>
        <v/>
      </c>
      <c r="D299" s="17">
        <f>IF($A299="","",IFERROR(INDEX(tblKok[KokNeden],MATCH($A299,tblKok[A_Norm],0)),""))</f>
        <v/>
      </c>
      <c r="E299" s="17">
        <f>IF($B299&lt;&gt;"tutar_farki","",IF(ABS($C299)&gt;efd_esikFark,"YUKSEK","NORMAL"))</f>
        <v/>
      </c>
      <c r="F299" s="17">
        <f>IF($B299&lt;&gt;"tutar_farki","","Fatura "&amp;$A299&amp;" için fark "&amp;TEXT($C299,"0.00")&amp;" TL. Dayanak: "&amp;$D299&amp;". İtiraz dosyası üretildi.")</f>
        <v/>
      </c>
      <c r="G299" s="17">
        <f>IF($B299&lt;&gt;"tutar_farki","","Beklemede")</f>
        <v/>
      </c>
    </row>
    <row r="300">
      <c r="A300" s="22">
        <f>IF('KOK_NEDEN'!$A300="","",'KOK_NEDEN'!$A300)</f>
        <v/>
      </c>
      <c r="B300" s="17">
        <f>IF($A300="","",IFERROR(INDEX(tblKok[Kova],MATCH($A300,tblKok[A_Norm],0)),""))</f>
        <v/>
      </c>
      <c r="C300" s="17">
        <f>IF($A300="","",IFERROR(INDEX(tblEslesme[Fark],MATCH($A300,tblEslesme[A_Norm],0)),0))</f>
        <v/>
      </c>
      <c r="D300" s="17">
        <f>IF($A300="","",IFERROR(INDEX(tblKok[KokNeden],MATCH($A300,tblKok[A_Norm],0)),""))</f>
        <v/>
      </c>
      <c r="E300" s="17">
        <f>IF($B300&lt;&gt;"tutar_farki","",IF(ABS($C300)&gt;efd_esikFark,"YUKSEK","NORMAL"))</f>
        <v/>
      </c>
      <c r="F300" s="17">
        <f>IF($B300&lt;&gt;"tutar_farki","","Fatura "&amp;$A300&amp;" için fark "&amp;TEXT($C300,"0.00")&amp;" TL. Dayanak: "&amp;$D300&amp;". İtiraz dosyası üretildi.")</f>
        <v/>
      </c>
      <c r="G300" s="17">
        <f>IF($B300&lt;&gt;"tutar_farki","","Beklemede")</f>
        <v/>
      </c>
    </row>
    <row r="301">
      <c r="A301" s="22">
        <f>IF('KOK_NEDEN'!$A301="","",'KOK_NEDEN'!$A301)</f>
        <v/>
      </c>
      <c r="B301" s="17">
        <f>IF($A301="","",IFERROR(INDEX(tblKok[Kova],MATCH($A301,tblKok[A_Norm],0)),""))</f>
        <v/>
      </c>
      <c r="C301" s="17">
        <f>IF($A301="","",IFERROR(INDEX(tblEslesme[Fark],MATCH($A301,tblEslesme[A_Norm],0)),0))</f>
        <v/>
      </c>
      <c r="D301" s="17">
        <f>IF($A301="","",IFERROR(INDEX(tblKok[KokNeden],MATCH($A301,tblKok[A_Norm],0)),""))</f>
        <v/>
      </c>
      <c r="E301" s="17">
        <f>IF($B301&lt;&gt;"tutar_farki","",IF(ABS($C301)&gt;efd_esikFark,"YUKSEK","NORMAL"))</f>
        <v/>
      </c>
      <c r="F301" s="17">
        <f>IF($B301&lt;&gt;"tutar_farki","","Fatura "&amp;$A301&amp;" için fark "&amp;TEXT($C301,"0.00")&amp;" TL. Dayanak: "&amp;$D301&amp;". İtiraz dosyası üretildi.")</f>
        <v/>
      </c>
      <c r="G301" s="17">
        <f>IF($B301&lt;&gt;"tutar_farki","","Beklemede")</f>
        <v/>
      </c>
    </row>
    <row r="302">
      <c r="A302" s="22">
        <f>IF('KOK_NEDEN'!$A302="","",'KOK_NEDEN'!$A302)</f>
        <v/>
      </c>
      <c r="B302" s="17">
        <f>IF($A302="","",IFERROR(INDEX(tblKok[Kova],MATCH($A302,tblKok[A_Norm],0)),""))</f>
        <v/>
      </c>
      <c r="C302" s="17">
        <f>IF($A302="","",IFERROR(INDEX(tblEslesme[Fark],MATCH($A302,tblEslesme[A_Norm],0)),0))</f>
        <v/>
      </c>
      <c r="D302" s="17">
        <f>IF($A302="","",IFERROR(INDEX(tblKok[KokNeden],MATCH($A302,tblKok[A_Norm],0)),""))</f>
        <v/>
      </c>
      <c r="E302" s="17">
        <f>IF($B302&lt;&gt;"tutar_farki","",IF(ABS($C302)&gt;efd_esikFark,"YUKSEK","NORMAL"))</f>
        <v/>
      </c>
      <c r="F302" s="17">
        <f>IF($B302&lt;&gt;"tutar_farki","","Fatura "&amp;$A302&amp;" için fark "&amp;TEXT($C302,"0.00")&amp;" TL. Dayanak: "&amp;$D302&amp;". İtiraz dosyası üretildi.")</f>
        <v/>
      </c>
      <c r="G302" s="17">
        <f>IF($B302&lt;&gt;"tutar_farki","","Beklemede")</f>
        <v/>
      </c>
    </row>
    <row r="303">
      <c r="A303" s="22">
        <f>IF('KOK_NEDEN'!$A303="","",'KOK_NEDEN'!$A303)</f>
        <v/>
      </c>
      <c r="B303" s="17">
        <f>IF($A303="","",IFERROR(INDEX(tblKok[Kova],MATCH($A303,tblKok[A_Norm],0)),""))</f>
        <v/>
      </c>
      <c r="C303" s="17">
        <f>IF($A303="","",IFERROR(INDEX(tblEslesme[Fark],MATCH($A303,tblEslesme[A_Norm],0)),0))</f>
        <v/>
      </c>
      <c r="D303" s="17">
        <f>IF($A303="","",IFERROR(INDEX(tblKok[KokNeden],MATCH($A303,tblKok[A_Norm],0)),""))</f>
        <v/>
      </c>
      <c r="E303" s="17">
        <f>IF($B303&lt;&gt;"tutar_farki","",IF(ABS($C303)&gt;efd_esikFark,"YUKSEK","NORMAL"))</f>
        <v/>
      </c>
      <c r="F303" s="17">
        <f>IF($B303&lt;&gt;"tutar_farki","","Fatura "&amp;$A303&amp;" için fark "&amp;TEXT($C303,"0.00")&amp;" TL. Dayanak: "&amp;$D303&amp;". İtiraz dosyası üretildi.")</f>
        <v/>
      </c>
      <c r="G303" s="17">
        <f>IF($B303&lt;&gt;"tutar_farki","","Beklemede")</f>
        <v/>
      </c>
    </row>
    <row r="304">
      <c r="A304" s="22">
        <f>IF('KOK_NEDEN'!$A304="","",'KOK_NEDEN'!$A304)</f>
        <v/>
      </c>
      <c r="B304" s="17">
        <f>IF($A304="","",IFERROR(INDEX(tblKok[Kova],MATCH($A304,tblKok[A_Norm],0)),""))</f>
        <v/>
      </c>
      <c r="C304" s="17">
        <f>IF($A304="","",IFERROR(INDEX(tblEslesme[Fark],MATCH($A304,tblEslesme[A_Norm],0)),0))</f>
        <v/>
      </c>
      <c r="D304" s="17">
        <f>IF($A304="","",IFERROR(INDEX(tblKok[KokNeden],MATCH($A304,tblKok[A_Norm],0)),""))</f>
        <v/>
      </c>
      <c r="E304" s="17">
        <f>IF($B304&lt;&gt;"tutar_farki","",IF(ABS($C304)&gt;efd_esikFark,"YUKSEK","NORMAL"))</f>
        <v/>
      </c>
      <c r="F304" s="17">
        <f>IF($B304&lt;&gt;"tutar_farki","","Fatura "&amp;$A304&amp;" için fark "&amp;TEXT($C304,"0.00")&amp;" TL. Dayanak: "&amp;$D304&amp;". İtiraz dosyası üretildi.")</f>
        <v/>
      </c>
      <c r="G304" s="17">
        <f>IF($B304&lt;&gt;"tutar_farki","","Beklemede")</f>
        <v/>
      </c>
    </row>
    <row r="305">
      <c r="A305" s="22">
        <f>IF('KOK_NEDEN'!$A305="","",'KOK_NEDEN'!$A305)</f>
        <v/>
      </c>
      <c r="B305" s="17">
        <f>IF($A305="","",IFERROR(INDEX(tblKok[Kova],MATCH($A305,tblKok[A_Norm],0)),""))</f>
        <v/>
      </c>
      <c r="C305" s="17">
        <f>IF($A305="","",IFERROR(INDEX(tblEslesme[Fark],MATCH($A305,tblEslesme[A_Norm],0)),0))</f>
        <v/>
      </c>
      <c r="D305" s="17">
        <f>IF($A305="","",IFERROR(INDEX(tblKok[KokNeden],MATCH($A305,tblKok[A_Norm],0)),""))</f>
        <v/>
      </c>
      <c r="E305" s="17">
        <f>IF($B305&lt;&gt;"tutar_farki","",IF(ABS($C305)&gt;efd_esikFark,"YUKSEK","NORMAL"))</f>
        <v/>
      </c>
      <c r="F305" s="17">
        <f>IF($B305&lt;&gt;"tutar_farki","","Fatura "&amp;$A305&amp;" için fark "&amp;TEXT($C305,"0.00")&amp;" TL. Dayanak: "&amp;$D305&amp;". İtiraz dosyası üretildi.")</f>
        <v/>
      </c>
      <c r="G305" s="17">
        <f>IF($B305&lt;&gt;"tutar_farki","","Beklemede")</f>
        <v/>
      </c>
    </row>
    <row r="306">
      <c r="A306" s="22">
        <f>IF('KOK_NEDEN'!$A306="","",'KOK_NEDEN'!$A306)</f>
        <v/>
      </c>
      <c r="B306" s="17">
        <f>IF($A306="","",IFERROR(INDEX(tblKok[Kova],MATCH($A306,tblKok[A_Norm],0)),""))</f>
        <v/>
      </c>
      <c r="C306" s="17">
        <f>IF($A306="","",IFERROR(INDEX(tblEslesme[Fark],MATCH($A306,tblEslesme[A_Norm],0)),0))</f>
        <v/>
      </c>
      <c r="D306" s="17">
        <f>IF($A306="","",IFERROR(INDEX(tblKok[KokNeden],MATCH($A306,tblKok[A_Norm],0)),""))</f>
        <v/>
      </c>
      <c r="E306" s="17">
        <f>IF($B306&lt;&gt;"tutar_farki","",IF(ABS($C306)&gt;efd_esikFark,"YUKSEK","NORMAL"))</f>
        <v/>
      </c>
      <c r="F306" s="17">
        <f>IF($B306&lt;&gt;"tutar_farki","","Fatura "&amp;$A306&amp;" için fark "&amp;TEXT($C306,"0.00")&amp;" TL. Dayanak: "&amp;$D306&amp;". İtiraz dosyası üretildi.")</f>
        <v/>
      </c>
      <c r="G306" s="17">
        <f>IF($B306&lt;&gt;"tutar_farki","","Beklemede")</f>
        <v/>
      </c>
    </row>
    <row r="307">
      <c r="A307" s="22">
        <f>IF('KOK_NEDEN'!$A307="","",'KOK_NEDEN'!$A307)</f>
        <v/>
      </c>
      <c r="B307" s="17">
        <f>IF($A307="","",IFERROR(INDEX(tblKok[Kova],MATCH($A307,tblKok[A_Norm],0)),""))</f>
        <v/>
      </c>
      <c r="C307" s="17">
        <f>IF($A307="","",IFERROR(INDEX(tblEslesme[Fark],MATCH($A307,tblEslesme[A_Norm],0)),0))</f>
        <v/>
      </c>
      <c r="D307" s="17">
        <f>IF($A307="","",IFERROR(INDEX(tblKok[KokNeden],MATCH($A307,tblKok[A_Norm],0)),""))</f>
        <v/>
      </c>
      <c r="E307" s="17">
        <f>IF($B307&lt;&gt;"tutar_farki","",IF(ABS($C307)&gt;efd_esikFark,"YUKSEK","NORMAL"))</f>
        <v/>
      </c>
      <c r="F307" s="17">
        <f>IF($B307&lt;&gt;"tutar_farki","","Fatura "&amp;$A307&amp;" için fark "&amp;TEXT($C307,"0.00")&amp;" TL. Dayanak: "&amp;$D307&amp;". İtiraz dosyası üretildi.")</f>
        <v/>
      </c>
      <c r="G307" s="17">
        <f>IF($B307&lt;&gt;"tutar_farki","","Beklemede")</f>
        <v/>
      </c>
    </row>
    <row r="308">
      <c r="A308" s="22">
        <f>IF('KOK_NEDEN'!$A308="","",'KOK_NEDEN'!$A308)</f>
        <v/>
      </c>
      <c r="B308" s="17">
        <f>IF($A308="","",IFERROR(INDEX(tblKok[Kova],MATCH($A308,tblKok[A_Norm],0)),""))</f>
        <v/>
      </c>
      <c r="C308" s="17">
        <f>IF($A308="","",IFERROR(INDEX(tblEslesme[Fark],MATCH($A308,tblEslesme[A_Norm],0)),0))</f>
        <v/>
      </c>
      <c r="D308" s="17">
        <f>IF($A308="","",IFERROR(INDEX(tblKok[KokNeden],MATCH($A308,tblKok[A_Norm],0)),""))</f>
        <v/>
      </c>
      <c r="E308" s="17">
        <f>IF($B308&lt;&gt;"tutar_farki","",IF(ABS($C308)&gt;efd_esikFark,"YUKSEK","NORMAL"))</f>
        <v/>
      </c>
      <c r="F308" s="17">
        <f>IF($B308&lt;&gt;"tutar_farki","","Fatura "&amp;$A308&amp;" için fark "&amp;TEXT($C308,"0.00")&amp;" TL. Dayanak: "&amp;$D308&amp;". İtiraz dosyası üretildi.")</f>
        <v/>
      </c>
      <c r="G308" s="17">
        <f>IF($B308&lt;&gt;"tutar_farki","","Beklemede")</f>
        <v/>
      </c>
    </row>
    <row r="309">
      <c r="A309" s="22">
        <f>IF('KOK_NEDEN'!$A309="","",'KOK_NEDEN'!$A309)</f>
        <v/>
      </c>
      <c r="B309" s="17">
        <f>IF($A309="","",IFERROR(INDEX(tblKok[Kova],MATCH($A309,tblKok[A_Norm],0)),""))</f>
        <v/>
      </c>
      <c r="C309" s="17">
        <f>IF($A309="","",IFERROR(INDEX(tblEslesme[Fark],MATCH($A309,tblEslesme[A_Norm],0)),0))</f>
        <v/>
      </c>
      <c r="D309" s="17">
        <f>IF($A309="","",IFERROR(INDEX(tblKok[KokNeden],MATCH($A309,tblKok[A_Norm],0)),""))</f>
        <v/>
      </c>
      <c r="E309" s="17">
        <f>IF($B309&lt;&gt;"tutar_farki","",IF(ABS($C309)&gt;efd_esikFark,"YUKSEK","NORMAL"))</f>
        <v/>
      </c>
      <c r="F309" s="17">
        <f>IF($B309&lt;&gt;"tutar_farki","","Fatura "&amp;$A309&amp;" için fark "&amp;TEXT($C309,"0.00")&amp;" TL. Dayanak: "&amp;$D309&amp;". İtiraz dosyası üretildi.")</f>
        <v/>
      </c>
      <c r="G309" s="17">
        <f>IF($B309&lt;&gt;"tutar_farki","","Beklemede")</f>
        <v/>
      </c>
    </row>
    <row r="310">
      <c r="A310" s="22">
        <f>IF('KOK_NEDEN'!$A310="","",'KOK_NEDEN'!$A310)</f>
        <v/>
      </c>
      <c r="B310" s="17">
        <f>IF($A310="","",IFERROR(INDEX(tblKok[Kova],MATCH($A310,tblKok[A_Norm],0)),""))</f>
        <v/>
      </c>
      <c r="C310" s="17">
        <f>IF($A310="","",IFERROR(INDEX(tblEslesme[Fark],MATCH($A310,tblEslesme[A_Norm],0)),0))</f>
        <v/>
      </c>
      <c r="D310" s="17">
        <f>IF($A310="","",IFERROR(INDEX(tblKok[KokNeden],MATCH($A310,tblKok[A_Norm],0)),""))</f>
        <v/>
      </c>
      <c r="E310" s="17">
        <f>IF($B310&lt;&gt;"tutar_farki","",IF(ABS($C310)&gt;efd_esikFark,"YUKSEK","NORMAL"))</f>
        <v/>
      </c>
      <c r="F310" s="17">
        <f>IF($B310&lt;&gt;"tutar_farki","","Fatura "&amp;$A310&amp;" için fark "&amp;TEXT($C310,"0.00")&amp;" TL. Dayanak: "&amp;$D310&amp;". İtiraz dosyası üretildi.")</f>
        <v/>
      </c>
      <c r="G310" s="17">
        <f>IF($B310&lt;&gt;"tutar_farki","","Beklemede")</f>
        <v/>
      </c>
    </row>
    <row r="311">
      <c r="A311" s="22">
        <f>IF('KOK_NEDEN'!$A311="","",'KOK_NEDEN'!$A311)</f>
        <v/>
      </c>
      <c r="B311" s="17">
        <f>IF($A311="","",IFERROR(INDEX(tblKok[Kova],MATCH($A311,tblKok[A_Norm],0)),""))</f>
        <v/>
      </c>
      <c r="C311" s="17">
        <f>IF($A311="","",IFERROR(INDEX(tblEslesme[Fark],MATCH($A311,tblEslesme[A_Norm],0)),0))</f>
        <v/>
      </c>
      <c r="D311" s="17">
        <f>IF($A311="","",IFERROR(INDEX(tblKok[KokNeden],MATCH($A311,tblKok[A_Norm],0)),""))</f>
        <v/>
      </c>
      <c r="E311" s="17">
        <f>IF($B311&lt;&gt;"tutar_farki","",IF(ABS($C311)&gt;efd_esikFark,"YUKSEK","NORMAL"))</f>
        <v/>
      </c>
      <c r="F311" s="17">
        <f>IF($B311&lt;&gt;"tutar_farki","","Fatura "&amp;$A311&amp;" için fark "&amp;TEXT($C311,"0.00")&amp;" TL. Dayanak: "&amp;$D311&amp;". İtiraz dosyası üretildi.")</f>
        <v/>
      </c>
      <c r="G311" s="17">
        <f>IF($B311&lt;&gt;"tutar_farki","","Beklemede")</f>
        <v/>
      </c>
    </row>
    <row r="312">
      <c r="A312" s="22">
        <f>IF('KOK_NEDEN'!$A312="","",'KOK_NEDEN'!$A312)</f>
        <v/>
      </c>
      <c r="B312" s="17">
        <f>IF($A312="","",IFERROR(INDEX(tblKok[Kova],MATCH($A312,tblKok[A_Norm],0)),""))</f>
        <v/>
      </c>
      <c r="C312" s="17">
        <f>IF($A312="","",IFERROR(INDEX(tblEslesme[Fark],MATCH($A312,tblEslesme[A_Norm],0)),0))</f>
        <v/>
      </c>
      <c r="D312" s="17">
        <f>IF($A312="","",IFERROR(INDEX(tblKok[KokNeden],MATCH($A312,tblKok[A_Norm],0)),""))</f>
        <v/>
      </c>
      <c r="E312" s="17">
        <f>IF($B312&lt;&gt;"tutar_farki","",IF(ABS($C312)&gt;efd_esikFark,"YUKSEK","NORMAL"))</f>
        <v/>
      </c>
      <c r="F312" s="17">
        <f>IF($B312&lt;&gt;"tutar_farki","","Fatura "&amp;$A312&amp;" için fark "&amp;TEXT($C312,"0.00")&amp;" TL. Dayanak: "&amp;$D312&amp;". İtiraz dosyası üretildi.")</f>
        <v/>
      </c>
      <c r="G312" s="17">
        <f>IF($B312&lt;&gt;"tutar_farki","","Beklemede")</f>
        <v/>
      </c>
    </row>
    <row r="313">
      <c r="A313" s="22">
        <f>IF('KOK_NEDEN'!$A313="","",'KOK_NEDEN'!$A313)</f>
        <v/>
      </c>
      <c r="B313" s="17">
        <f>IF($A313="","",IFERROR(INDEX(tblKok[Kova],MATCH($A313,tblKok[A_Norm],0)),""))</f>
        <v/>
      </c>
      <c r="C313" s="17">
        <f>IF($A313="","",IFERROR(INDEX(tblEslesme[Fark],MATCH($A313,tblEslesme[A_Norm],0)),0))</f>
        <v/>
      </c>
      <c r="D313" s="17">
        <f>IF($A313="","",IFERROR(INDEX(tblKok[KokNeden],MATCH($A313,tblKok[A_Norm],0)),""))</f>
        <v/>
      </c>
      <c r="E313" s="17">
        <f>IF($B313&lt;&gt;"tutar_farki","",IF(ABS($C313)&gt;efd_esikFark,"YUKSEK","NORMAL"))</f>
        <v/>
      </c>
      <c r="F313" s="17">
        <f>IF($B313&lt;&gt;"tutar_farki","","Fatura "&amp;$A313&amp;" için fark "&amp;TEXT($C313,"0.00")&amp;" TL. Dayanak: "&amp;$D313&amp;". İtiraz dosyası üretildi.")</f>
        <v/>
      </c>
      <c r="G313" s="17">
        <f>IF($B313&lt;&gt;"tutar_farki","","Beklemede")</f>
        <v/>
      </c>
    </row>
    <row r="314">
      <c r="A314" s="22">
        <f>IF('KOK_NEDEN'!$A314="","",'KOK_NEDEN'!$A314)</f>
        <v/>
      </c>
      <c r="B314" s="17">
        <f>IF($A314="","",IFERROR(INDEX(tblKok[Kova],MATCH($A314,tblKok[A_Norm],0)),""))</f>
        <v/>
      </c>
      <c r="C314" s="17">
        <f>IF($A314="","",IFERROR(INDEX(tblEslesme[Fark],MATCH($A314,tblEslesme[A_Norm],0)),0))</f>
        <v/>
      </c>
      <c r="D314" s="17">
        <f>IF($A314="","",IFERROR(INDEX(tblKok[KokNeden],MATCH($A314,tblKok[A_Norm],0)),""))</f>
        <v/>
      </c>
      <c r="E314" s="17">
        <f>IF($B314&lt;&gt;"tutar_farki","",IF(ABS($C314)&gt;efd_esikFark,"YUKSEK","NORMAL"))</f>
        <v/>
      </c>
      <c r="F314" s="17">
        <f>IF($B314&lt;&gt;"tutar_farki","","Fatura "&amp;$A314&amp;" için fark "&amp;TEXT($C314,"0.00")&amp;" TL. Dayanak: "&amp;$D314&amp;". İtiraz dosyası üretildi.")</f>
        <v/>
      </c>
      <c r="G314" s="17">
        <f>IF($B314&lt;&gt;"tutar_farki","","Beklemede")</f>
        <v/>
      </c>
    </row>
    <row r="315">
      <c r="A315" s="22">
        <f>IF('KOK_NEDEN'!$A315="","",'KOK_NEDEN'!$A315)</f>
        <v/>
      </c>
      <c r="B315" s="17">
        <f>IF($A315="","",IFERROR(INDEX(tblKok[Kova],MATCH($A315,tblKok[A_Norm],0)),""))</f>
        <v/>
      </c>
      <c r="C315" s="17">
        <f>IF($A315="","",IFERROR(INDEX(tblEslesme[Fark],MATCH($A315,tblEslesme[A_Norm],0)),0))</f>
        <v/>
      </c>
      <c r="D315" s="17">
        <f>IF($A315="","",IFERROR(INDEX(tblKok[KokNeden],MATCH($A315,tblKok[A_Norm],0)),""))</f>
        <v/>
      </c>
      <c r="E315" s="17">
        <f>IF($B315&lt;&gt;"tutar_farki","",IF(ABS($C315)&gt;efd_esikFark,"YUKSEK","NORMAL"))</f>
        <v/>
      </c>
      <c r="F315" s="17">
        <f>IF($B315&lt;&gt;"tutar_farki","","Fatura "&amp;$A315&amp;" için fark "&amp;TEXT($C315,"0.00")&amp;" TL. Dayanak: "&amp;$D315&amp;". İtiraz dosyası üretildi.")</f>
        <v/>
      </c>
      <c r="G315" s="17">
        <f>IF($B315&lt;&gt;"tutar_farki","","Beklemede")</f>
        <v/>
      </c>
    </row>
    <row r="316">
      <c r="A316" s="22">
        <f>IF('KOK_NEDEN'!$A316="","",'KOK_NEDEN'!$A316)</f>
        <v/>
      </c>
      <c r="B316" s="17">
        <f>IF($A316="","",IFERROR(INDEX(tblKok[Kova],MATCH($A316,tblKok[A_Norm],0)),""))</f>
        <v/>
      </c>
      <c r="C316" s="17">
        <f>IF($A316="","",IFERROR(INDEX(tblEslesme[Fark],MATCH($A316,tblEslesme[A_Norm],0)),0))</f>
        <v/>
      </c>
      <c r="D316" s="17">
        <f>IF($A316="","",IFERROR(INDEX(tblKok[KokNeden],MATCH($A316,tblKok[A_Norm],0)),""))</f>
        <v/>
      </c>
      <c r="E316" s="17">
        <f>IF($B316&lt;&gt;"tutar_farki","",IF(ABS($C316)&gt;efd_esikFark,"YUKSEK","NORMAL"))</f>
        <v/>
      </c>
      <c r="F316" s="17">
        <f>IF($B316&lt;&gt;"tutar_farki","","Fatura "&amp;$A316&amp;" için fark "&amp;TEXT($C316,"0.00")&amp;" TL. Dayanak: "&amp;$D316&amp;". İtiraz dosyası üretildi.")</f>
        <v/>
      </c>
      <c r="G316" s="17">
        <f>IF($B316&lt;&gt;"tutar_farki","","Beklemede")</f>
        <v/>
      </c>
    </row>
    <row r="317">
      <c r="A317" s="22">
        <f>IF('KOK_NEDEN'!$A317="","",'KOK_NEDEN'!$A317)</f>
        <v/>
      </c>
      <c r="B317" s="17">
        <f>IF($A317="","",IFERROR(INDEX(tblKok[Kova],MATCH($A317,tblKok[A_Norm],0)),""))</f>
        <v/>
      </c>
      <c r="C317" s="17">
        <f>IF($A317="","",IFERROR(INDEX(tblEslesme[Fark],MATCH($A317,tblEslesme[A_Norm],0)),0))</f>
        <v/>
      </c>
      <c r="D317" s="17">
        <f>IF($A317="","",IFERROR(INDEX(tblKok[KokNeden],MATCH($A317,tblKok[A_Norm],0)),""))</f>
        <v/>
      </c>
      <c r="E317" s="17">
        <f>IF($B317&lt;&gt;"tutar_farki","",IF(ABS($C317)&gt;efd_esikFark,"YUKSEK","NORMAL"))</f>
        <v/>
      </c>
      <c r="F317" s="17">
        <f>IF($B317&lt;&gt;"tutar_farki","","Fatura "&amp;$A317&amp;" için fark "&amp;TEXT($C317,"0.00")&amp;" TL. Dayanak: "&amp;$D317&amp;". İtiraz dosyası üretildi.")</f>
        <v/>
      </c>
      <c r="G317" s="17">
        <f>IF($B317&lt;&gt;"tutar_farki","","Beklemede")</f>
        <v/>
      </c>
    </row>
    <row r="318">
      <c r="A318" s="22">
        <f>IF('KOK_NEDEN'!$A318="","",'KOK_NEDEN'!$A318)</f>
        <v/>
      </c>
      <c r="B318" s="17">
        <f>IF($A318="","",IFERROR(INDEX(tblKok[Kova],MATCH($A318,tblKok[A_Norm],0)),""))</f>
        <v/>
      </c>
      <c r="C318" s="17">
        <f>IF($A318="","",IFERROR(INDEX(tblEslesme[Fark],MATCH($A318,tblEslesme[A_Norm],0)),0))</f>
        <v/>
      </c>
      <c r="D318" s="17">
        <f>IF($A318="","",IFERROR(INDEX(tblKok[KokNeden],MATCH($A318,tblKok[A_Norm],0)),""))</f>
        <v/>
      </c>
      <c r="E318" s="17">
        <f>IF($B318&lt;&gt;"tutar_farki","",IF(ABS($C318)&gt;efd_esikFark,"YUKSEK","NORMAL"))</f>
        <v/>
      </c>
      <c r="F318" s="17">
        <f>IF($B318&lt;&gt;"tutar_farki","","Fatura "&amp;$A318&amp;" için fark "&amp;TEXT($C318,"0.00")&amp;" TL. Dayanak: "&amp;$D318&amp;". İtiraz dosyası üretildi.")</f>
        <v/>
      </c>
      <c r="G318" s="17">
        <f>IF($B318&lt;&gt;"tutar_farki","","Beklemede")</f>
        <v/>
      </c>
    </row>
    <row r="319">
      <c r="A319" s="22">
        <f>IF('KOK_NEDEN'!$A319="","",'KOK_NEDEN'!$A319)</f>
        <v/>
      </c>
      <c r="B319" s="17">
        <f>IF($A319="","",IFERROR(INDEX(tblKok[Kova],MATCH($A319,tblKok[A_Norm],0)),""))</f>
        <v/>
      </c>
      <c r="C319" s="17">
        <f>IF($A319="","",IFERROR(INDEX(tblEslesme[Fark],MATCH($A319,tblEslesme[A_Norm],0)),0))</f>
        <v/>
      </c>
      <c r="D319" s="17">
        <f>IF($A319="","",IFERROR(INDEX(tblKok[KokNeden],MATCH($A319,tblKok[A_Norm],0)),""))</f>
        <v/>
      </c>
      <c r="E319" s="17">
        <f>IF($B319&lt;&gt;"tutar_farki","",IF(ABS($C319)&gt;efd_esikFark,"YUKSEK","NORMAL"))</f>
        <v/>
      </c>
      <c r="F319" s="17">
        <f>IF($B319&lt;&gt;"tutar_farki","","Fatura "&amp;$A319&amp;" için fark "&amp;TEXT($C319,"0.00")&amp;" TL. Dayanak: "&amp;$D319&amp;". İtiraz dosyası üretildi.")</f>
        <v/>
      </c>
      <c r="G319" s="17">
        <f>IF($B319&lt;&gt;"tutar_farki","","Beklemede")</f>
        <v/>
      </c>
    </row>
    <row r="320">
      <c r="A320" s="22">
        <f>IF('KOK_NEDEN'!$A320="","",'KOK_NEDEN'!$A320)</f>
        <v/>
      </c>
      <c r="B320" s="17">
        <f>IF($A320="","",IFERROR(INDEX(tblKok[Kova],MATCH($A320,tblKok[A_Norm],0)),""))</f>
        <v/>
      </c>
      <c r="C320" s="17">
        <f>IF($A320="","",IFERROR(INDEX(tblEslesme[Fark],MATCH($A320,tblEslesme[A_Norm],0)),0))</f>
        <v/>
      </c>
      <c r="D320" s="17">
        <f>IF($A320="","",IFERROR(INDEX(tblKok[KokNeden],MATCH($A320,tblKok[A_Norm],0)),""))</f>
        <v/>
      </c>
      <c r="E320" s="17">
        <f>IF($B320&lt;&gt;"tutar_farki","",IF(ABS($C320)&gt;efd_esikFark,"YUKSEK","NORMAL"))</f>
        <v/>
      </c>
      <c r="F320" s="17">
        <f>IF($B320&lt;&gt;"tutar_farki","","Fatura "&amp;$A320&amp;" için fark "&amp;TEXT($C320,"0.00")&amp;" TL. Dayanak: "&amp;$D320&amp;". İtiraz dosyası üretildi.")</f>
        <v/>
      </c>
      <c r="G320" s="17">
        <f>IF($B320&lt;&gt;"tutar_farki","","Beklemede")</f>
        <v/>
      </c>
    </row>
    <row r="321">
      <c r="A321" s="22">
        <f>IF('KOK_NEDEN'!$A321="","",'KOK_NEDEN'!$A321)</f>
        <v/>
      </c>
      <c r="B321" s="17">
        <f>IF($A321="","",IFERROR(INDEX(tblKok[Kova],MATCH($A321,tblKok[A_Norm],0)),""))</f>
        <v/>
      </c>
      <c r="C321" s="17">
        <f>IF($A321="","",IFERROR(INDEX(tblEslesme[Fark],MATCH($A321,tblEslesme[A_Norm],0)),0))</f>
        <v/>
      </c>
      <c r="D321" s="17">
        <f>IF($A321="","",IFERROR(INDEX(tblKok[KokNeden],MATCH($A321,tblKok[A_Norm],0)),""))</f>
        <v/>
      </c>
      <c r="E321" s="17">
        <f>IF($B321&lt;&gt;"tutar_farki","",IF(ABS($C321)&gt;efd_esikFark,"YUKSEK","NORMAL"))</f>
        <v/>
      </c>
      <c r="F321" s="17">
        <f>IF($B321&lt;&gt;"tutar_farki","","Fatura "&amp;$A321&amp;" için fark "&amp;TEXT($C321,"0.00")&amp;" TL. Dayanak: "&amp;$D321&amp;". İtiraz dosyası üretildi.")</f>
        <v/>
      </c>
      <c r="G321" s="17">
        <f>IF($B321&lt;&gt;"tutar_farki","","Beklemede")</f>
        <v/>
      </c>
    </row>
    <row r="322">
      <c r="A322" s="22">
        <f>IF('KOK_NEDEN'!$A322="","",'KOK_NEDEN'!$A322)</f>
        <v/>
      </c>
      <c r="B322" s="17">
        <f>IF($A322="","",IFERROR(INDEX(tblKok[Kova],MATCH($A322,tblKok[A_Norm],0)),""))</f>
        <v/>
      </c>
      <c r="C322" s="17">
        <f>IF($A322="","",IFERROR(INDEX(tblEslesme[Fark],MATCH($A322,tblEslesme[A_Norm],0)),0))</f>
        <v/>
      </c>
      <c r="D322" s="17">
        <f>IF($A322="","",IFERROR(INDEX(tblKok[KokNeden],MATCH($A322,tblKok[A_Norm],0)),""))</f>
        <v/>
      </c>
      <c r="E322" s="17">
        <f>IF($B322&lt;&gt;"tutar_farki","",IF(ABS($C322)&gt;efd_esikFark,"YUKSEK","NORMAL"))</f>
        <v/>
      </c>
      <c r="F322" s="17">
        <f>IF($B322&lt;&gt;"tutar_farki","","Fatura "&amp;$A322&amp;" için fark "&amp;TEXT($C322,"0.00")&amp;" TL. Dayanak: "&amp;$D322&amp;". İtiraz dosyası üretildi.")</f>
        <v/>
      </c>
      <c r="G322" s="17">
        <f>IF($B322&lt;&gt;"tutar_farki","","Beklemede")</f>
        <v/>
      </c>
    </row>
    <row r="323">
      <c r="A323" s="22">
        <f>IF('KOK_NEDEN'!$A323="","",'KOK_NEDEN'!$A323)</f>
        <v/>
      </c>
      <c r="B323" s="17">
        <f>IF($A323="","",IFERROR(INDEX(tblKok[Kova],MATCH($A323,tblKok[A_Norm],0)),""))</f>
        <v/>
      </c>
      <c r="C323" s="17">
        <f>IF($A323="","",IFERROR(INDEX(tblEslesme[Fark],MATCH($A323,tblEslesme[A_Norm],0)),0))</f>
        <v/>
      </c>
      <c r="D323" s="17">
        <f>IF($A323="","",IFERROR(INDEX(tblKok[KokNeden],MATCH($A323,tblKok[A_Norm],0)),""))</f>
        <v/>
      </c>
      <c r="E323" s="17">
        <f>IF($B323&lt;&gt;"tutar_farki","",IF(ABS($C323)&gt;efd_esikFark,"YUKSEK","NORMAL"))</f>
        <v/>
      </c>
      <c r="F323" s="17">
        <f>IF($B323&lt;&gt;"tutar_farki","","Fatura "&amp;$A323&amp;" için fark "&amp;TEXT($C323,"0.00")&amp;" TL. Dayanak: "&amp;$D323&amp;". İtiraz dosyası üretildi.")</f>
        <v/>
      </c>
      <c r="G323" s="17">
        <f>IF($B323&lt;&gt;"tutar_farki","","Beklemede")</f>
        <v/>
      </c>
    </row>
    <row r="324">
      <c r="A324" s="22">
        <f>IF('KOK_NEDEN'!$A324="","",'KOK_NEDEN'!$A324)</f>
        <v/>
      </c>
      <c r="B324" s="17">
        <f>IF($A324="","",IFERROR(INDEX(tblKok[Kova],MATCH($A324,tblKok[A_Norm],0)),""))</f>
        <v/>
      </c>
      <c r="C324" s="17">
        <f>IF($A324="","",IFERROR(INDEX(tblEslesme[Fark],MATCH($A324,tblEslesme[A_Norm],0)),0))</f>
        <v/>
      </c>
      <c r="D324" s="17">
        <f>IF($A324="","",IFERROR(INDEX(tblKok[KokNeden],MATCH($A324,tblKok[A_Norm],0)),""))</f>
        <v/>
      </c>
      <c r="E324" s="17">
        <f>IF($B324&lt;&gt;"tutar_farki","",IF(ABS($C324)&gt;efd_esikFark,"YUKSEK","NORMAL"))</f>
        <v/>
      </c>
      <c r="F324" s="17">
        <f>IF($B324&lt;&gt;"tutar_farki","","Fatura "&amp;$A324&amp;" için fark "&amp;TEXT($C324,"0.00")&amp;" TL. Dayanak: "&amp;$D324&amp;". İtiraz dosyası üretildi.")</f>
        <v/>
      </c>
      <c r="G324" s="17">
        <f>IF($B324&lt;&gt;"tutar_farki","","Beklemede")</f>
        <v/>
      </c>
    </row>
    <row r="325">
      <c r="A325" s="22">
        <f>IF('KOK_NEDEN'!$A325="","",'KOK_NEDEN'!$A325)</f>
        <v/>
      </c>
      <c r="B325" s="17">
        <f>IF($A325="","",IFERROR(INDEX(tblKok[Kova],MATCH($A325,tblKok[A_Norm],0)),""))</f>
        <v/>
      </c>
      <c r="C325" s="17">
        <f>IF($A325="","",IFERROR(INDEX(tblEslesme[Fark],MATCH($A325,tblEslesme[A_Norm],0)),0))</f>
        <v/>
      </c>
      <c r="D325" s="17">
        <f>IF($A325="","",IFERROR(INDEX(tblKok[KokNeden],MATCH($A325,tblKok[A_Norm],0)),""))</f>
        <v/>
      </c>
      <c r="E325" s="17">
        <f>IF($B325&lt;&gt;"tutar_farki","",IF(ABS($C325)&gt;efd_esikFark,"YUKSEK","NORMAL"))</f>
        <v/>
      </c>
      <c r="F325" s="17">
        <f>IF($B325&lt;&gt;"tutar_farki","","Fatura "&amp;$A325&amp;" için fark "&amp;TEXT($C325,"0.00")&amp;" TL. Dayanak: "&amp;$D325&amp;". İtiraz dosyası üretildi.")</f>
        <v/>
      </c>
      <c r="G325" s="17">
        <f>IF($B325&lt;&gt;"tutar_farki","","Beklemede")</f>
        <v/>
      </c>
    </row>
    <row r="326">
      <c r="A326" s="22">
        <f>IF('KOK_NEDEN'!$A326="","",'KOK_NEDEN'!$A326)</f>
        <v/>
      </c>
      <c r="B326" s="17">
        <f>IF($A326="","",IFERROR(INDEX(tblKok[Kova],MATCH($A326,tblKok[A_Norm],0)),""))</f>
        <v/>
      </c>
      <c r="C326" s="17">
        <f>IF($A326="","",IFERROR(INDEX(tblEslesme[Fark],MATCH($A326,tblEslesme[A_Norm],0)),0))</f>
        <v/>
      </c>
      <c r="D326" s="17">
        <f>IF($A326="","",IFERROR(INDEX(tblKok[KokNeden],MATCH($A326,tblKok[A_Norm],0)),""))</f>
        <v/>
      </c>
      <c r="E326" s="17">
        <f>IF($B326&lt;&gt;"tutar_farki","",IF(ABS($C326)&gt;efd_esikFark,"YUKSEK","NORMAL"))</f>
        <v/>
      </c>
      <c r="F326" s="17">
        <f>IF($B326&lt;&gt;"tutar_farki","","Fatura "&amp;$A326&amp;" için fark "&amp;TEXT($C326,"0.00")&amp;" TL. Dayanak: "&amp;$D326&amp;". İtiraz dosyası üretildi.")</f>
        <v/>
      </c>
      <c r="G326" s="17">
        <f>IF($B326&lt;&gt;"tutar_farki","","Beklemede")</f>
        <v/>
      </c>
    </row>
    <row r="327">
      <c r="A327" s="22">
        <f>IF('KOK_NEDEN'!$A327="","",'KOK_NEDEN'!$A327)</f>
        <v/>
      </c>
      <c r="B327" s="17">
        <f>IF($A327="","",IFERROR(INDEX(tblKok[Kova],MATCH($A327,tblKok[A_Norm],0)),""))</f>
        <v/>
      </c>
      <c r="C327" s="17">
        <f>IF($A327="","",IFERROR(INDEX(tblEslesme[Fark],MATCH($A327,tblEslesme[A_Norm],0)),0))</f>
        <v/>
      </c>
      <c r="D327" s="17">
        <f>IF($A327="","",IFERROR(INDEX(tblKok[KokNeden],MATCH($A327,tblKok[A_Norm],0)),""))</f>
        <v/>
      </c>
      <c r="E327" s="17">
        <f>IF($B327&lt;&gt;"tutar_farki","",IF(ABS($C327)&gt;efd_esikFark,"YUKSEK","NORMAL"))</f>
        <v/>
      </c>
      <c r="F327" s="17">
        <f>IF($B327&lt;&gt;"tutar_farki","","Fatura "&amp;$A327&amp;" için fark "&amp;TEXT($C327,"0.00")&amp;" TL. Dayanak: "&amp;$D327&amp;". İtiraz dosyası üretildi.")</f>
        <v/>
      </c>
      <c r="G327" s="17">
        <f>IF($B327&lt;&gt;"tutar_farki","","Beklemede")</f>
        <v/>
      </c>
    </row>
    <row r="328">
      <c r="A328" s="22">
        <f>IF('KOK_NEDEN'!$A328="","",'KOK_NEDEN'!$A328)</f>
        <v/>
      </c>
      <c r="B328" s="17">
        <f>IF($A328="","",IFERROR(INDEX(tblKok[Kova],MATCH($A328,tblKok[A_Norm],0)),""))</f>
        <v/>
      </c>
      <c r="C328" s="17">
        <f>IF($A328="","",IFERROR(INDEX(tblEslesme[Fark],MATCH($A328,tblEslesme[A_Norm],0)),0))</f>
        <v/>
      </c>
      <c r="D328" s="17">
        <f>IF($A328="","",IFERROR(INDEX(tblKok[KokNeden],MATCH($A328,tblKok[A_Norm],0)),""))</f>
        <v/>
      </c>
      <c r="E328" s="17">
        <f>IF($B328&lt;&gt;"tutar_farki","",IF(ABS($C328)&gt;efd_esikFark,"YUKSEK","NORMAL"))</f>
        <v/>
      </c>
      <c r="F328" s="17">
        <f>IF($B328&lt;&gt;"tutar_farki","","Fatura "&amp;$A328&amp;" için fark "&amp;TEXT($C328,"0.00")&amp;" TL. Dayanak: "&amp;$D328&amp;". İtiraz dosyası üretildi.")</f>
        <v/>
      </c>
      <c r="G328" s="17">
        <f>IF($B328&lt;&gt;"tutar_farki","","Beklemede")</f>
        <v/>
      </c>
    </row>
    <row r="329">
      <c r="A329" s="22">
        <f>IF('KOK_NEDEN'!$A329="","",'KOK_NEDEN'!$A329)</f>
        <v/>
      </c>
      <c r="B329" s="17">
        <f>IF($A329="","",IFERROR(INDEX(tblKok[Kova],MATCH($A329,tblKok[A_Norm],0)),""))</f>
        <v/>
      </c>
      <c r="C329" s="17">
        <f>IF($A329="","",IFERROR(INDEX(tblEslesme[Fark],MATCH($A329,tblEslesme[A_Norm],0)),0))</f>
        <v/>
      </c>
      <c r="D329" s="17">
        <f>IF($A329="","",IFERROR(INDEX(tblKok[KokNeden],MATCH($A329,tblKok[A_Norm],0)),""))</f>
        <v/>
      </c>
      <c r="E329" s="17">
        <f>IF($B329&lt;&gt;"tutar_farki","",IF(ABS($C329)&gt;efd_esikFark,"YUKSEK","NORMAL"))</f>
        <v/>
      </c>
      <c r="F329" s="17">
        <f>IF($B329&lt;&gt;"tutar_farki","","Fatura "&amp;$A329&amp;" için fark "&amp;TEXT($C329,"0.00")&amp;" TL. Dayanak: "&amp;$D329&amp;". İtiraz dosyası üretildi.")</f>
        <v/>
      </c>
      <c r="G329" s="17">
        <f>IF($B329&lt;&gt;"tutar_farki","","Beklemede")</f>
        <v/>
      </c>
    </row>
    <row r="330">
      <c r="A330" s="22">
        <f>IF('KOK_NEDEN'!$A330="","",'KOK_NEDEN'!$A330)</f>
        <v/>
      </c>
      <c r="B330" s="17">
        <f>IF($A330="","",IFERROR(INDEX(tblKok[Kova],MATCH($A330,tblKok[A_Norm],0)),""))</f>
        <v/>
      </c>
      <c r="C330" s="17">
        <f>IF($A330="","",IFERROR(INDEX(tblEslesme[Fark],MATCH($A330,tblEslesme[A_Norm],0)),0))</f>
        <v/>
      </c>
      <c r="D330" s="17">
        <f>IF($A330="","",IFERROR(INDEX(tblKok[KokNeden],MATCH($A330,tblKok[A_Norm],0)),""))</f>
        <v/>
      </c>
      <c r="E330" s="17">
        <f>IF($B330&lt;&gt;"tutar_farki","",IF(ABS($C330)&gt;efd_esikFark,"YUKSEK","NORMAL"))</f>
        <v/>
      </c>
      <c r="F330" s="17">
        <f>IF($B330&lt;&gt;"tutar_farki","","Fatura "&amp;$A330&amp;" için fark "&amp;TEXT($C330,"0.00")&amp;" TL. Dayanak: "&amp;$D330&amp;". İtiraz dosyası üretildi.")</f>
        <v/>
      </c>
      <c r="G330" s="17">
        <f>IF($B330&lt;&gt;"tutar_farki","","Beklemede")</f>
        <v/>
      </c>
    </row>
    <row r="331">
      <c r="A331" s="22">
        <f>IF('KOK_NEDEN'!$A331="","",'KOK_NEDEN'!$A331)</f>
        <v/>
      </c>
      <c r="B331" s="17">
        <f>IF($A331="","",IFERROR(INDEX(tblKok[Kova],MATCH($A331,tblKok[A_Norm],0)),""))</f>
        <v/>
      </c>
      <c r="C331" s="17">
        <f>IF($A331="","",IFERROR(INDEX(tblEslesme[Fark],MATCH($A331,tblEslesme[A_Norm],0)),0))</f>
        <v/>
      </c>
      <c r="D331" s="17">
        <f>IF($A331="","",IFERROR(INDEX(tblKok[KokNeden],MATCH($A331,tblKok[A_Norm],0)),""))</f>
        <v/>
      </c>
      <c r="E331" s="17">
        <f>IF($B331&lt;&gt;"tutar_farki","",IF(ABS($C331)&gt;efd_esikFark,"YUKSEK","NORMAL"))</f>
        <v/>
      </c>
      <c r="F331" s="17">
        <f>IF($B331&lt;&gt;"tutar_farki","","Fatura "&amp;$A331&amp;" için fark "&amp;TEXT($C331,"0.00")&amp;" TL. Dayanak: "&amp;$D331&amp;". İtiraz dosyası üretildi.")</f>
        <v/>
      </c>
      <c r="G331" s="17">
        <f>IF($B331&lt;&gt;"tutar_farki","","Beklemede")</f>
        <v/>
      </c>
    </row>
    <row r="332">
      <c r="A332" s="22">
        <f>IF('KOK_NEDEN'!$A332="","",'KOK_NEDEN'!$A332)</f>
        <v/>
      </c>
      <c r="B332" s="17">
        <f>IF($A332="","",IFERROR(INDEX(tblKok[Kova],MATCH($A332,tblKok[A_Norm],0)),""))</f>
        <v/>
      </c>
      <c r="C332" s="17">
        <f>IF($A332="","",IFERROR(INDEX(tblEslesme[Fark],MATCH($A332,tblEslesme[A_Norm],0)),0))</f>
        <v/>
      </c>
      <c r="D332" s="17">
        <f>IF($A332="","",IFERROR(INDEX(tblKok[KokNeden],MATCH($A332,tblKok[A_Norm],0)),""))</f>
        <v/>
      </c>
      <c r="E332" s="17">
        <f>IF($B332&lt;&gt;"tutar_farki","",IF(ABS($C332)&gt;efd_esikFark,"YUKSEK","NORMAL"))</f>
        <v/>
      </c>
      <c r="F332" s="17">
        <f>IF($B332&lt;&gt;"tutar_farki","","Fatura "&amp;$A332&amp;" için fark "&amp;TEXT($C332,"0.00")&amp;" TL. Dayanak: "&amp;$D332&amp;". İtiraz dosyası üretildi.")</f>
        <v/>
      </c>
      <c r="G332" s="17">
        <f>IF($B332&lt;&gt;"tutar_farki","","Beklemede")</f>
        <v/>
      </c>
    </row>
    <row r="333">
      <c r="A333" s="22">
        <f>IF('KOK_NEDEN'!$A333="","",'KOK_NEDEN'!$A333)</f>
        <v/>
      </c>
      <c r="B333" s="17">
        <f>IF($A333="","",IFERROR(INDEX(tblKok[Kova],MATCH($A333,tblKok[A_Norm],0)),""))</f>
        <v/>
      </c>
      <c r="C333" s="17">
        <f>IF($A333="","",IFERROR(INDEX(tblEslesme[Fark],MATCH($A333,tblEslesme[A_Norm],0)),0))</f>
        <v/>
      </c>
      <c r="D333" s="17">
        <f>IF($A333="","",IFERROR(INDEX(tblKok[KokNeden],MATCH($A333,tblKok[A_Norm],0)),""))</f>
        <v/>
      </c>
      <c r="E333" s="17">
        <f>IF($B333&lt;&gt;"tutar_farki","",IF(ABS($C333)&gt;efd_esikFark,"YUKSEK","NORMAL"))</f>
        <v/>
      </c>
      <c r="F333" s="17">
        <f>IF($B333&lt;&gt;"tutar_farki","","Fatura "&amp;$A333&amp;" için fark "&amp;TEXT($C333,"0.00")&amp;" TL. Dayanak: "&amp;$D333&amp;". İtiraz dosyası üretildi.")</f>
        <v/>
      </c>
      <c r="G333" s="17">
        <f>IF($B333&lt;&gt;"tutar_farki","","Beklemede")</f>
        <v/>
      </c>
    </row>
    <row r="334">
      <c r="A334" s="22">
        <f>IF('KOK_NEDEN'!$A334="","",'KOK_NEDEN'!$A334)</f>
        <v/>
      </c>
      <c r="B334" s="17">
        <f>IF($A334="","",IFERROR(INDEX(tblKok[Kova],MATCH($A334,tblKok[A_Norm],0)),""))</f>
        <v/>
      </c>
      <c r="C334" s="17">
        <f>IF($A334="","",IFERROR(INDEX(tblEslesme[Fark],MATCH($A334,tblEslesme[A_Norm],0)),0))</f>
        <v/>
      </c>
      <c r="D334" s="17">
        <f>IF($A334="","",IFERROR(INDEX(tblKok[KokNeden],MATCH($A334,tblKok[A_Norm],0)),""))</f>
        <v/>
      </c>
      <c r="E334" s="17">
        <f>IF($B334&lt;&gt;"tutar_farki","",IF(ABS($C334)&gt;efd_esikFark,"YUKSEK","NORMAL"))</f>
        <v/>
      </c>
      <c r="F334" s="17">
        <f>IF($B334&lt;&gt;"tutar_farki","","Fatura "&amp;$A334&amp;" için fark "&amp;TEXT($C334,"0.00")&amp;" TL. Dayanak: "&amp;$D334&amp;". İtiraz dosyası üretildi.")</f>
        <v/>
      </c>
      <c r="G334" s="17">
        <f>IF($B334&lt;&gt;"tutar_farki","","Beklemede")</f>
        <v/>
      </c>
    </row>
    <row r="335">
      <c r="A335" s="22">
        <f>IF('KOK_NEDEN'!$A335="","",'KOK_NEDEN'!$A335)</f>
        <v/>
      </c>
      <c r="B335" s="17">
        <f>IF($A335="","",IFERROR(INDEX(tblKok[Kova],MATCH($A335,tblKok[A_Norm],0)),""))</f>
        <v/>
      </c>
      <c r="C335" s="17">
        <f>IF($A335="","",IFERROR(INDEX(tblEslesme[Fark],MATCH($A335,tblEslesme[A_Norm],0)),0))</f>
        <v/>
      </c>
      <c r="D335" s="17">
        <f>IF($A335="","",IFERROR(INDEX(tblKok[KokNeden],MATCH($A335,tblKok[A_Norm],0)),""))</f>
        <v/>
      </c>
      <c r="E335" s="17">
        <f>IF($B335&lt;&gt;"tutar_farki","",IF(ABS($C335)&gt;efd_esikFark,"YUKSEK","NORMAL"))</f>
        <v/>
      </c>
      <c r="F335" s="17">
        <f>IF($B335&lt;&gt;"tutar_farki","","Fatura "&amp;$A335&amp;" için fark "&amp;TEXT($C335,"0.00")&amp;" TL. Dayanak: "&amp;$D335&amp;". İtiraz dosyası üretildi.")</f>
        <v/>
      </c>
      <c r="G335" s="17">
        <f>IF($B335&lt;&gt;"tutar_farki","","Beklemede")</f>
        <v/>
      </c>
    </row>
    <row r="336">
      <c r="A336" s="22">
        <f>IF('KOK_NEDEN'!$A336="","",'KOK_NEDEN'!$A336)</f>
        <v/>
      </c>
      <c r="B336" s="17">
        <f>IF($A336="","",IFERROR(INDEX(tblKok[Kova],MATCH($A336,tblKok[A_Norm],0)),""))</f>
        <v/>
      </c>
      <c r="C336" s="17">
        <f>IF($A336="","",IFERROR(INDEX(tblEslesme[Fark],MATCH($A336,tblEslesme[A_Norm],0)),0))</f>
        <v/>
      </c>
      <c r="D336" s="17">
        <f>IF($A336="","",IFERROR(INDEX(tblKok[KokNeden],MATCH($A336,tblKok[A_Norm],0)),""))</f>
        <v/>
      </c>
      <c r="E336" s="17">
        <f>IF($B336&lt;&gt;"tutar_farki","",IF(ABS($C336)&gt;efd_esikFark,"YUKSEK","NORMAL"))</f>
        <v/>
      </c>
      <c r="F336" s="17">
        <f>IF($B336&lt;&gt;"tutar_farki","","Fatura "&amp;$A336&amp;" için fark "&amp;TEXT($C336,"0.00")&amp;" TL. Dayanak: "&amp;$D336&amp;". İtiraz dosyası üretildi.")</f>
        <v/>
      </c>
      <c r="G336" s="17">
        <f>IF($B336&lt;&gt;"tutar_farki","","Beklemede")</f>
        <v/>
      </c>
    </row>
    <row r="337">
      <c r="A337" s="22">
        <f>IF('KOK_NEDEN'!$A337="","",'KOK_NEDEN'!$A337)</f>
        <v/>
      </c>
      <c r="B337" s="17">
        <f>IF($A337="","",IFERROR(INDEX(tblKok[Kova],MATCH($A337,tblKok[A_Norm],0)),""))</f>
        <v/>
      </c>
      <c r="C337" s="17">
        <f>IF($A337="","",IFERROR(INDEX(tblEslesme[Fark],MATCH($A337,tblEslesme[A_Norm],0)),0))</f>
        <v/>
      </c>
      <c r="D337" s="17">
        <f>IF($A337="","",IFERROR(INDEX(tblKok[KokNeden],MATCH($A337,tblKok[A_Norm],0)),""))</f>
        <v/>
      </c>
      <c r="E337" s="17">
        <f>IF($B337&lt;&gt;"tutar_farki","",IF(ABS($C337)&gt;efd_esikFark,"YUKSEK","NORMAL"))</f>
        <v/>
      </c>
      <c r="F337" s="17">
        <f>IF($B337&lt;&gt;"tutar_farki","","Fatura "&amp;$A337&amp;" için fark "&amp;TEXT($C337,"0.00")&amp;" TL. Dayanak: "&amp;$D337&amp;". İtiraz dosyası üretildi.")</f>
        <v/>
      </c>
      <c r="G337" s="17">
        <f>IF($B337&lt;&gt;"tutar_farki","","Beklemede")</f>
        <v/>
      </c>
    </row>
    <row r="338">
      <c r="A338" s="22">
        <f>IF('KOK_NEDEN'!$A338="","",'KOK_NEDEN'!$A338)</f>
        <v/>
      </c>
      <c r="B338" s="17">
        <f>IF($A338="","",IFERROR(INDEX(tblKok[Kova],MATCH($A338,tblKok[A_Norm],0)),""))</f>
        <v/>
      </c>
      <c r="C338" s="17">
        <f>IF($A338="","",IFERROR(INDEX(tblEslesme[Fark],MATCH($A338,tblEslesme[A_Norm],0)),0))</f>
        <v/>
      </c>
      <c r="D338" s="17">
        <f>IF($A338="","",IFERROR(INDEX(tblKok[KokNeden],MATCH($A338,tblKok[A_Norm],0)),""))</f>
        <v/>
      </c>
      <c r="E338" s="17">
        <f>IF($B338&lt;&gt;"tutar_farki","",IF(ABS($C338)&gt;efd_esikFark,"YUKSEK","NORMAL"))</f>
        <v/>
      </c>
      <c r="F338" s="17">
        <f>IF($B338&lt;&gt;"tutar_farki","","Fatura "&amp;$A338&amp;" için fark "&amp;TEXT($C338,"0.00")&amp;" TL. Dayanak: "&amp;$D338&amp;". İtiraz dosyası üretildi.")</f>
        <v/>
      </c>
      <c r="G338" s="17">
        <f>IF($B338&lt;&gt;"tutar_farki","","Beklemede")</f>
        <v/>
      </c>
    </row>
    <row r="339">
      <c r="A339" s="22">
        <f>IF('KOK_NEDEN'!$A339="","",'KOK_NEDEN'!$A339)</f>
        <v/>
      </c>
      <c r="B339" s="17">
        <f>IF($A339="","",IFERROR(INDEX(tblKok[Kova],MATCH($A339,tblKok[A_Norm],0)),""))</f>
        <v/>
      </c>
      <c r="C339" s="17">
        <f>IF($A339="","",IFERROR(INDEX(tblEslesme[Fark],MATCH($A339,tblEslesme[A_Norm],0)),0))</f>
        <v/>
      </c>
      <c r="D339" s="17">
        <f>IF($A339="","",IFERROR(INDEX(tblKok[KokNeden],MATCH($A339,tblKok[A_Norm],0)),""))</f>
        <v/>
      </c>
      <c r="E339" s="17">
        <f>IF($B339&lt;&gt;"tutar_farki","",IF(ABS($C339)&gt;efd_esikFark,"YUKSEK","NORMAL"))</f>
        <v/>
      </c>
      <c r="F339" s="17">
        <f>IF($B339&lt;&gt;"tutar_farki","","Fatura "&amp;$A339&amp;" için fark "&amp;TEXT($C339,"0.00")&amp;" TL. Dayanak: "&amp;$D339&amp;". İtiraz dosyası üretildi.")</f>
        <v/>
      </c>
      <c r="G339" s="17">
        <f>IF($B339&lt;&gt;"tutar_farki","","Beklemede")</f>
        <v/>
      </c>
    </row>
    <row r="340">
      <c r="A340" s="22">
        <f>IF('KOK_NEDEN'!$A340="","",'KOK_NEDEN'!$A340)</f>
        <v/>
      </c>
      <c r="B340" s="17">
        <f>IF($A340="","",IFERROR(INDEX(tblKok[Kova],MATCH($A340,tblKok[A_Norm],0)),""))</f>
        <v/>
      </c>
      <c r="C340" s="17">
        <f>IF($A340="","",IFERROR(INDEX(tblEslesme[Fark],MATCH($A340,tblEslesme[A_Norm],0)),0))</f>
        <v/>
      </c>
      <c r="D340" s="17">
        <f>IF($A340="","",IFERROR(INDEX(tblKok[KokNeden],MATCH($A340,tblKok[A_Norm],0)),""))</f>
        <v/>
      </c>
      <c r="E340" s="17">
        <f>IF($B340&lt;&gt;"tutar_farki","",IF(ABS($C340)&gt;efd_esikFark,"YUKSEK","NORMAL"))</f>
        <v/>
      </c>
      <c r="F340" s="17">
        <f>IF($B340&lt;&gt;"tutar_farki","","Fatura "&amp;$A340&amp;" için fark "&amp;TEXT($C340,"0.00")&amp;" TL. Dayanak: "&amp;$D340&amp;". İtiraz dosyası üretildi.")</f>
        <v/>
      </c>
      <c r="G340" s="17">
        <f>IF($B340&lt;&gt;"tutar_farki","","Beklemede")</f>
        <v/>
      </c>
    </row>
    <row r="341">
      <c r="A341" s="22">
        <f>IF('KOK_NEDEN'!$A341="","",'KOK_NEDEN'!$A341)</f>
        <v/>
      </c>
      <c r="B341" s="17">
        <f>IF($A341="","",IFERROR(INDEX(tblKok[Kova],MATCH($A341,tblKok[A_Norm],0)),""))</f>
        <v/>
      </c>
      <c r="C341" s="17">
        <f>IF($A341="","",IFERROR(INDEX(tblEslesme[Fark],MATCH($A341,tblEslesme[A_Norm],0)),0))</f>
        <v/>
      </c>
      <c r="D341" s="17">
        <f>IF($A341="","",IFERROR(INDEX(tblKok[KokNeden],MATCH($A341,tblKok[A_Norm],0)),""))</f>
        <v/>
      </c>
      <c r="E341" s="17">
        <f>IF($B341&lt;&gt;"tutar_farki","",IF(ABS($C341)&gt;efd_esikFark,"YUKSEK","NORMAL"))</f>
        <v/>
      </c>
      <c r="F341" s="17">
        <f>IF($B341&lt;&gt;"tutar_farki","","Fatura "&amp;$A341&amp;" için fark "&amp;TEXT($C341,"0.00")&amp;" TL. Dayanak: "&amp;$D341&amp;". İtiraz dosyası üretildi.")</f>
        <v/>
      </c>
      <c r="G341" s="17">
        <f>IF($B341&lt;&gt;"tutar_farki","","Beklemede")</f>
        <v/>
      </c>
    </row>
    <row r="342">
      <c r="A342" s="22">
        <f>IF('KOK_NEDEN'!$A342="","",'KOK_NEDEN'!$A342)</f>
        <v/>
      </c>
      <c r="B342" s="17">
        <f>IF($A342="","",IFERROR(INDEX(tblKok[Kova],MATCH($A342,tblKok[A_Norm],0)),""))</f>
        <v/>
      </c>
      <c r="C342" s="17">
        <f>IF($A342="","",IFERROR(INDEX(tblEslesme[Fark],MATCH($A342,tblEslesme[A_Norm],0)),0))</f>
        <v/>
      </c>
      <c r="D342" s="17">
        <f>IF($A342="","",IFERROR(INDEX(tblKok[KokNeden],MATCH($A342,tblKok[A_Norm],0)),""))</f>
        <v/>
      </c>
      <c r="E342" s="17">
        <f>IF($B342&lt;&gt;"tutar_farki","",IF(ABS($C342)&gt;efd_esikFark,"YUKSEK","NORMAL"))</f>
        <v/>
      </c>
      <c r="F342" s="17">
        <f>IF($B342&lt;&gt;"tutar_farki","","Fatura "&amp;$A342&amp;" için fark "&amp;TEXT($C342,"0.00")&amp;" TL. Dayanak: "&amp;$D342&amp;". İtiraz dosyası üretildi.")</f>
        <v/>
      </c>
      <c r="G342" s="17">
        <f>IF($B342&lt;&gt;"tutar_farki","","Beklemede")</f>
        <v/>
      </c>
    </row>
    <row r="343">
      <c r="A343" s="22">
        <f>IF('KOK_NEDEN'!$A343="","",'KOK_NEDEN'!$A343)</f>
        <v/>
      </c>
      <c r="B343" s="17">
        <f>IF($A343="","",IFERROR(INDEX(tblKok[Kova],MATCH($A343,tblKok[A_Norm],0)),""))</f>
        <v/>
      </c>
      <c r="C343" s="17">
        <f>IF($A343="","",IFERROR(INDEX(tblEslesme[Fark],MATCH($A343,tblEslesme[A_Norm],0)),0))</f>
        <v/>
      </c>
      <c r="D343" s="17">
        <f>IF($A343="","",IFERROR(INDEX(tblKok[KokNeden],MATCH($A343,tblKok[A_Norm],0)),""))</f>
        <v/>
      </c>
      <c r="E343" s="17">
        <f>IF($B343&lt;&gt;"tutar_farki","",IF(ABS($C343)&gt;efd_esikFark,"YUKSEK","NORMAL"))</f>
        <v/>
      </c>
      <c r="F343" s="17">
        <f>IF($B343&lt;&gt;"tutar_farki","","Fatura "&amp;$A343&amp;" için fark "&amp;TEXT($C343,"0.00")&amp;" TL. Dayanak: "&amp;$D343&amp;". İtiraz dosyası üretildi.")</f>
        <v/>
      </c>
      <c r="G343" s="17">
        <f>IF($B343&lt;&gt;"tutar_farki","","Beklemede")</f>
        <v/>
      </c>
    </row>
    <row r="344">
      <c r="A344" s="22">
        <f>IF('KOK_NEDEN'!$A344="","",'KOK_NEDEN'!$A344)</f>
        <v/>
      </c>
      <c r="B344" s="17">
        <f>IF($A344="","",IFERROR(INDEX(tblKok[Kova],MATCH($A344,tblKok[A_Norm],0)),""))</f>
        <v/>
      </c>
      <c r="C344" s="17">
        <f>IF($A344="","",IFERROR(INDEX(tblEslesme[Fark],MATCH($A344,tblEslesme[A_Norm],0)),0))</f>
        <v/>
      </c>
      <c r="D344" s="17">
        <f>IF($A344="","",IFERROR(INDEX(tblKok[KokNeden],MATCH($A344,tblKok[A_Norm],0)),""))</f>
        <v/>
      </c>
      <c r="E344" s="17">
        <f>IF($B344&lt;&gt;"tutar_farki","",IF(ABS($C344)&gt;efd_esikFark,"YUKSEK","NORMAL"))</f>
        <v/>
      </c>
      <c r="F344" s="17">
        <f>IF($B344&lt;&gt;"tutar_farki","","Fatura "&amp;$A344&amp;" için fark "&amp;TEXT($C344,"0.00")&amp;" TL. Dayanak: "&amp;$D344&amp;". İtiraz dosyası üretildi.")</f>
        <v/>
      </c>
      <c r="G344" s="17">
        <f>IF($B344&lt;&gt;"tutar_farki","","Beklemede")</f>
        <v/>
      </c>
    </row>
    <row r="345">
      <c r="A345" s="22">
        <f>IF('KOK_NEDEN'!$A345="","",'KOK_NEDEN'!$A345)</f>
        <v/>
      </c>
      <c r="B345" s="17">
        <f>IF($A345="","",IFERROR(INDEX(tblKok[Kova],MATCH($A345,tblKok[A_Norm],0)),""))</f>
        <v/>
      </c>
      <c r="C345" s="17">
        <f>IF($A345="","",IFERROR(INDEX(tblEslesme[Fark],MATCH($A345,tblEslesme[A_Norm],0)),0))</f>
        <v/>
      </c>
      <c r="D345" s="17">
        <f>IF($A345="","",IFERROR(INDEX(tblKok[KokNeden],MATCH($A345,tblKok[A_Norm],0)),""))</f>
        <v/>
      </c>
      <c r="E345" s="17">
        <f>IF($B345&lt;&gt;"tutar_farki","",IF(ABS($C345)&gt;efd_esikFark,"YUKSEK","NORMAL"))</f>
        <v/>
      </c>
      <c r="F345" s="17">
        <f>IF($B345&lt;&gt;"tutar_farki","","Fatura "&amp;$A345&amp;" için fark "&amp;TEXT($C345,"0.00")&amp;" TL. Dayanak: "&amp;$D345&amp;". İtiraz dosyası üretildi.")</f>
        <v/>
      </c>
      <c r="G345" s="17">
        <f>IF($B345&lt;&gt;"tutar_farki","","Beklemede")</f>
        <v/>
      </c>
    </row>
    <row r="346">
      <c r="A346" s="22">
        <f>IF('KOK_NEDEN'!$A346="","",'KOK_NEDEN'!$A346)</f>
        <v/>
      </c>
      <c r="B346" s="17">
        <f>IF($A346="","",IFERROR(INDEX(tblKok[Kova],MATCH($A346,tblKok[A_Norm],0)),""))</f>
        <v/>
      </c>
      <c r="C346" s="17">
        <f>IF($A346="","",IFERROR(INDEX(tblEslesme[Fark],MATCH($A346,tblEslesme[A_Norm],0)),0))</f>
        <v/>
      </c>
      <c r="D346" s="17">
        <f>IF($A346="","",IFERROR(INDEX(tblKok[KokNeden],MATCH($A346,tblKok[A_Norm],0)),""))</f>
        <v/>
      </c>
      <c r="E346" s="17">
        <f>IF($B346&lt;&gt;"tutar_farki","",IF(ABS($C346)&gt;efd_esikFark,"YUKSEK","NORMAL"))</f>
        <v/>
      </c>
      <c r="F346" s="17">
        <f>IF($B346&lt;&gt;"tutar_farki","","Fatura "&amp;$A346&amp;" için fark "&amp;TEXT($C346,"0.00")&amp;" TL. Dayanak: "&amp;$D346&amp;". İtiraz dosyası üretildi.")</f>
        <v/>
      </c>
      <c r="G346" s="17">
        <f>IF($B346&lt;&gt;"tutar_farki","","Beklemede")</f>
        <v/>
      </c>
    </row>
    <row r="347">
      <c r="A347" s="22">
        <f>IF('KOK_NEDEN'!$A347="","",'KOK_NEDEN'!$A347)</f>
        <v/>
      </c>
      <c r="B347" s="17">
        <f>IF($A347="","",IFERROR(INDEX(tblKok[Kova],MATCH($A347,tblKok[A_Norm],0)),""))</f>
        <v/>
      </c>
      <c r="C347" s="17">
        <f>IF($A347="","",IFERROR(INDEX(tblEslesme[Fark],MATCH($A347,tblEslesme[A_Norm],0)),0))</f>
        <v/>
      </c>
      <c r="D347" s="17">
        <f>IF($A347="","",IFERROR(INDEX(tblKok[KokNeden],MATCH($A347,tblKok[A_Norm],0)),""))</f>
        <v/>
      </c>
      <c r="E347" s="17">
        <f>IF($B347&lt;&gt;"tutar_farki","",IF(ABS($C347)&gt;efd_esikFark,"YUKSEK","NORMAL"))</f>
        <v/>
      </c>
      <c r="F347" s="17">
        <f>IF($B347&lt;&gt;"tutar_farki","","Fatura "&amp;$A347&amp;" için fark "&amp;TEXT($C347,"0.00")&amp;" TL. Dayanak: "&amp;$D347&amp;". İtiraz dosyası üretildi.")</f>
        <v/>
      </c>
      <c r="G347" s="17">
        <f>IF($B347&lt;&gt;"tutar_farki","","Beklemede")</f>
        <v/>
      </c>
    </row>
    <row r="348">
      <c r="A348" s="22">
        <f>IF('KOK_NEDEN'!$A348="","",'KOK_NEDEN'!$A348)</f>
        <v/>
      </c>
      <c r="B348" s="17">
        <f>IF($A348="","",IFERROR(INDEX(tblKok[Kova],MATCH($A348,tblKok[A_Norm],0)),""))</f>
        <v/>
      </c>
      <c r="C348" s="17">
        <f>IF($A348="","",IFERROR(INDEX(tblEslesme[Fark],MATCH($A348,tblEslesme[A_Norm],0)),0))</f>
        <v/>
      </c>
      <c r="D348" s="17">
        <f>IF($A348="","",IFERROR(INDEX(tblKok[KokNeden],MATCH($A348,tblKok[A_Norm],0)),""))</f>
        <v/>
      </c>
      <c r="E348" s="17">
        <f>IF($B348&lt;&gt;"tutar_farki","",IF(ABS($C348)&gt;efd_esikFark,"YUKSEK","NORMAL"))</f>
        <v/>
      </c>
      <c r="F348" s="17">
        <f>IF($B348&lt;&gt;"tutar_farki","","Fatura "&amp;$A348&amp;" için fark "&amp;TEXT($C348,"0.00")&amp;" TL. Dayanak: "&amp;$D348&amp;". İtiraz dosyası üretildi.")</f>
        <v/>
      </c>
      <c r="G348" s="17">
        <f>IF($B348&lt;&gt;"tutar_farki","","Beklemede")</f>
        <v/>
      </c>
    </row>
    <row r="349">
      <c r="A349" s="22">
        <f>IF('KOK_NEDEN'!$A349="","",'KOK_NEDEN'!$A349)</f>
        <v/>
      </c>
      <c r="B349" s="17">
        <f>IF($A349="","",IFERROR(INDEX(tblKok[Kova],MATCH($A349,tblKok[A_Norm],0)),""))</f>
        <v/>
      </c>
      <c r="C349" s="17">
        <f>IF($A349="","",IFERROR(INDEX(tblEslesme[Fark],MATCH($A349,tblEslesme[A_Norm],0)),0))</f>
        <v/>
      </c>
      <c r="D349" s="17">
        <f>IF($A349="","",IFERROR(INDEX(tblKok[KokNeden],MATCH($A349,tblKok[A_Norm],0)),""))</f>
        <v/>
      </c>
      <c r="E349" s="17">
        <f>IF($B349&lt;&gt;"tutar_farki","",IF(ABS($C349)&gt;efd_esikFark,"YUKSEK","NORMAL"))</f>
        <v/>
      </c>
      <c r="F349" s="17">
        <f>IF($B349&lt;&gt;"tutar_farki","","Fatura "&amp;$A349&amp;" için fark "&amp;TEXT($C349,"0.00")&amp;" TL. Dayanak: "&amp;$D349&amp;". İtiraz dosyası üretildi.")</f>
        <v/>
      </c>
      <c r="G349" s="17">
        <f>IF($B349&lt;&gt;"tutar_farki","","Beklemede")</f>
        <v/>
      </c>
    </row>
    <row r="350">
      <c r="A350" s="22">
        <f>IF('KOK_NEDEN'!$A350="","",'KOK_NEDEN'!$A350)</f>
        <v/>
      </c>
      <c r="B350" s="17">
        <f>IF($A350="","",IFERROR(INDEX(tblKok[Kova],MATCH($A350,tblKok[A_Norm],0)),""))</f>
        <v/>
      </c>
      <c r="C350" s="17">
        <f>IF($A350="","",IFERROR(INDEX(tblEslesme[Fark],MATCH($A350,tblEslesme[A_Norm],0)),0))</f>
        <v/>
      </c>
      <c r="D350" s="17">
        <f>IF($A350="","",IFERROR(INDEX(tblKok[KokNeden],MATCH($A350,tblKok[A_Norm],0)),""))</f>
        <v/>
      </c>
      <c r="E350" s="17">
        <f>IF($B350&lt;&gt;"tutar_farki","",IF(ABS($C350)&gt;efd_esikFark,"YUKSEK","NORMAL"))</f>
        <v/>
      </c>
      <c r="F350" s="17">
        <f>IF($B350&lt;&gt;"tutar_farki","","Fatura "&amp;$A350&amp;" için fark "&amp;TEXT($C350,"0.00")&amp;" TL. Dayanak: "&amp;$D350&amp;". İtiraz dosyası üretildi.")</f>
        <v/>
      </c>
      <c r="G350" s="17">
        <f>IF($B350&lt;&gt;"tutar_farki","","Beklemede")</f>
        <v/>
      </c>
    </row>
    <row r="351">
      <c r="A351" s="22">
        <f>IF('KOK_NEDEN'!$A351="","",'KOK_NEDEN'!$A351)</f>
        <v/>
      </c>
      <c r="B351" s="17">
        <f>IF($A351="","",IFERROR(INDEX(tblKok[Kova],MATCH($A351,tblKok[A_Norm],0)),""))</f>
        <v/>
      </c>
      <c r="C351" s="17">
        <f>IF($A351="","",IFERROR(INDEX(tblEslesme[Fark],MATCH($A351,tblEslesme[A_Norm],0)),0))</f>
        <v/>
      </c>
      <c r="D351" s="17">
        <f>IF($A351="","",IFERROR(INDEX(tblKok[KokNeden],MATCH($A351,tblKok[A_Norm],0)),""))</f>
        <v/>
      </c>
      <c r="E351" s="17">
        <f>IF($B351&lt;&gt;"tutar_farki","",IF(ABS($C351)&gt;efd_esikFark,"YUKSEK","NORMAL"))</f>
        <v/>
      </c>
      <c r="F351" s="17">
        <f>IF($B351&lt;&gt;"tutar_farki","","Fatura "&amp;$A351&amp;" için fark "&amp;TEXT($C351,"0.00")&amp;" TL. Dayanak: "&amp;$D351&amp;". İtiraz dosyası üretildi.")</f>
        <v/>
      </c>
      <c r="G351" s="17">
        <f>IF($B351&lt;&gt;"tutar_farki","","Beklemede")</f>
        <v/>
      </c>
    </row>
    <row r="352">
      <c r="A352" s="22">
        <f>IF('KOK_NEDEN'!$A352="","",'KOK_NEDEN'!$A352)</f>
        <v/>
      </c>
      <c r="B352" s="17">
        <f>IF($A352="","",IFERROR(INDEX(tblKok[Kova],MATCH($A352,tblKok[A_Norm],0)),""))</f>
        <v/>
      </c>
      <c r="C352" s="17">
        <f>IF($A352="","",IFERROR(INDEX(tblEslesme[Fark],MATCH($A352,tblEslesme[A_Norm],0)),0))</f>
        <v/>
      </c>
      <c r="D352" s="17">
        <f>IF($A352="","",IFERROR(INDEX(tblKok[KokNeden],MATCH($A352,tblKok[A_Norm],0)),""))</f>
        <v/>
      </c>
      <c r="E352" s="17">
        <f>IF($B352&lt;&gt;"tutar_farki","",IF(ABS($C352)&gt;efd_esikFark,"YUKSEK","NORMAL"))</f>
        <v/>
      </c>
      <c r="F352" s="17">
        <f>IF($B352&lt;&gt;"tutar_farki","","Fatura "&amp;$A352&amp;" için fark "&amp;TEXT($C352,"0.00")&amp;" TL. Dayanak: "&amp;$D352&amp;". İtiraz dosyası üretildi.")</f>
        <v/>
      </c>
      <c r="G352" s="17">
        <f>IF($B352&lt;&gt;"tutar_farki","","Beklemede")</f>
        <v/>
      </c>
    </row>
    <row r="353">
      <c r="A353" s="22">
        <f>IF('KOK_NEDEN'!$A353="","",'KOK_NEDEN'!$A353)</f>
        <v/>
      </c>
      <c r="B353" s="17">
        <f>IF($A353="","",IFERROR(INDEX(tblKok[Kova],MATCH($A353,tblKok[A_Norm],0)),""))</f>
        <v/>
      </c>
      <c r="C353" s="17">
        <f>IF($A353="","",IFERROR(INDEX(tblEslesme[Fark],MATCH($A353,tblEslesme[A_Norm],0)),0))</f>
        <v/>
      </c>
      <c r="D353" s="17">
        <f>IF($A353="","",IFERROR(INDEX(tblKok[KokNeden],MATCH($A353,tblKok[A_Norm],0)),""))</f>
        <v/>
      </c>
      <c r="E353" s="17">
        <f>IF($B353&lt;&gt;"tutar_farki","",IF(ABS($C353)&gt;efd_esikFark,"YUKSEK","NORMAL"))</f>
        <v/>
      </c>
      <c r="F353" s="17">
        <f>IF($B353&lt;&gt;"tutar_farki","","Fatura "&amp;$A353&amp;" için fark "&amp;TEXT($C353,"0.00")&amp;" TL. Dayanak: "&amp;$D353&amp;". İtiraz dosyası üretildi.")</f>
        <v/>
      </c>
      <c r="G353" s="17">
        <f>IF($B353&lt;&gt;"tutar_farki","","Beklemede")</f>
        <v/>
      </c>
    </row>
    <row r="354">
      <c r="A354" s="22">
        <f>IF('KOK_NEDEN'!$A354="","",'KOK_NEDEN'!$A354)</f>
        <v/>
      </c>
      <c r="B354" s="17">
        <f>IF($A354="","",IFERROR(INDEX(tblKok[Kova],MATCH($A354,tblKok[A_Norm],0)),""))</f>
        <v/>
      </c>
      <c r="C354" s="17">
        <f>IF($A354="","",IFERROR(INDEX(tblEslesme[Fark],MATCH($A354,tblEslesme[A_Norm],0)),0))</f>
        <v/>
      </c>
      <c r="D354" s="17">
        <f>IF($A354="","",IFERROR(INDEX(tblKok[KokNeden],MATCH($A354,tblKok[A_Norm],0)),""))</f>
        <v/>
      </c>
      <c r="E354" s="17">
        <f>IF($B354&lt;&gt;"tutar_farki","",IF(ABS($C354)&gt;efd_esikFark,"YUKSEK","NORMAL"))</f>
        <v/>
      </c>
      <c r="F354" s="17">
        <f>IF($B354&lt;&gt;"tutar_farki","","Fatura "&amp;$A354&amp;" için fark "&amp;TEXT($C354,"0.00")&amp;" TL. Dayanak: "&amp;$D354&amp;". İtiraz dosyası üretildi.")</f>
        <v/>
      </c>
      <c r="G354" s="17">
        <f>IF($B354&lt;&gt;"tutar_farki","","Beklemede")</f>
        <v/>
      </c>
    </row>
    <row r="355">
      <c r="A355" s="22">
        <f>IF('KOK_NEDEN'!$A355="","",'KOK_NEDEN'!$A355)</f>
        <v/>
      </c>
      <c r="B355" s="17">
        <f>IF($A355="","",IFERROR(INDEX(tblKok[Kova],MATCH($A355,tblKok[A_Norm],0)),""))</f>
        <v/>
      </c>
      <c r="C355" s="17">
        <f>IF($A355="","",IFERROR(INDEX(tblEslesme[Fark],MATCH($A355,tblEslesme[A_Norm],0)),0))</f>
        <v/>
      </c>
      <c r="D355" s="17">
        <f>IF($A355="","",IFERROR(INDEX(tblKok[KokNeden],MATCH($A355,tblKok[A_Norm],0)),""))</f>
        <v/>
      </c>
      <c r="E355" s="17">
        <f>IF($B355&lt;&gt;"tutar_farki","",IF(ABS($C355)&gt;efd_esikFark,"YUKSEK","NORMAL"))</f>
        <v/>
      </c>
      <c r="F355" s="17">
        <f>IF($B355&lt;&gt;"tutar_farki","","Fatura "&amp;$A355&amp;" için fark "&amp;TEXT($C355,"0.00")&amp;" TL. Dayanak: "&amp;$D355&amp;". İtiraz dosyası üretildi.")</f>
        <v/>
      </c>
      <c r="G355" s="17">
        <f>IF($B355&lt;&gt;"tutar_farki","","Beklemede")</f>
        <v/>
      </c>
    </row>
    <row r="356">
      <c r="A356" s="22">
        <f>IF('KOK_NEDEN'!$A356="","",'KOK_NEDEN'!$A356)</f>
        <v/>
      </c>
      <c r="B356" s="17">
        <f>IF($A356="","",IFERROR(INDEX(tblKok[Kova],MATCH($A356,tblKok[A_Norm],0)),""))</f>
        <v/>
      </c>
      <c r="C356" s="17">
        <f>IF($A356="","",IFERROR(INDEX(tblEslesme[Fark],MATCH($A356,tblEslesme[A_Norm],0)),0))</f>
        <v/>
      </c>
      <c r="D356" s="17">
        <f>IF($A356="","",IFERROR(INDEX(tblKok[KokNeden],MATCH($A356,tblKok[A_Norm],0)),""))</f>
        <v/>
      </c>
      <c r="E356" s="17">
        <f>IF($B356&lt;&gt;"tutar_farki","",IF(ABS($C356)&gt;efd_esikFark,"YUKSEK","NORMAL"))</f>
        <v/>
      </c>
      <c r="F356" s="17">
        <f>IF($B356&lt;&gt;"tutar_farki","","Fatura "&amp;$A356&amp;" için fark "&amp;TEXT($C356,"0.00")&amp;" TL. Dayanak: "&amp;$D356&amp;". İtiraz dosyası üretildi.")</f>
        <v/>
      </c>
      <c r="G356" s="17">
        <f>IF($B356&lt;&gt;"tutar_farki","","Beklemede")</f>
        <v/>
      </c>
    </row>
    <row r="357">
      <c r="A357" s="22">
        <f>IF('KOK_NEDEN'!$A357="","",'KOK_NEDEN'!$A357)</f>
        <v/>
      </c>
      <c r="B357" s="17">
        <f>IF($A357="","",IFERROR(INDEX(tblKok[Kova],MATCH($A357,tblKok[A_Norm],0)),""))</f>
        <v/>
      </c>
      <c r="C357" s="17">
        <f>IF($A357="","",IFERROR(INDEX(tblEslesme[Fark],MATCH($A357,tblEslesme[A_Norm],0)),0))</f>
        <v/>
      </c>
      <c r="D357" s="17">
        <f>IF($A357="","",IFERROR(INDEX(tblKok[KokNeden],MATCH($A357,tblKok[A_Norm],0)),""))</f>
        <v/>
      </c>
      <c r="E357" s="17">
        <f>IF($B357&lt;&gt;"tutar_farki","",IF(ABS($C357)&gt;efd_esikFark,"YUKSEK","NORMAL"))</f>
        <v/>
      </c>
      <c r="F357" s="17">
        <f>IF($B357&lt;&gt;"tutar_farki","","Fatura "&amp;$A357&amp;" için fark "&amp;TEXT($C357,"0.00")&amp;" TL. Dayanak: "&amp;$D357&amp;". İtiraz dosyası üretildi.")</f>
        <v/>
      </c>
      <c r="G357" s="17">
        <f>IF($B357&lt;&gt;"tutar_farki","","Beklemede")</f>
        <v/>
      </c>
    </row>
    <row r="358">
      <c r="A358" s="22">
        <f>IF('KOK_NEDEN'!$A358="","",'KOK_NEDEN'!$A358)</f>
        <v/>
      </c>
      <c r="B358" s="17">
        <f>IF($A358="","",IFERROR(INDEX(tblKok[Kova],MATCH($A358,tblKok[A_Norm],0)),""))</f>
        <v/>
      </c>
      <c r="C358" s="17">
        <f>IF($A358="","",IFERROR(INDEX(tblEslesme[Fark],MATCH($A358,tblEslesme[A_Norm],0)),0))</f>
        <v/>
      </c>
      <c r="D358" s="17">
        <f>IF($A358="","",IFERROR(INDEX(tblKok[KokNeden],MATCH($A358,tblKok[A_Norm],0)),""))</f>
        <v/>
      </c>
      <c r="E358" s="17">
        <f>IF($B358&lt;&gt;"tutar_farki","",IF(ABS($C358)&gt;efd_esikFark,"YUKSEK","NORMAL"))</f>
        <v/>
      </c>
      <c r="F358" s="17">
        <f>IF($B358&lt;&gt;"tutar_farki","","Fatura "&amp;$A358&amp;" için fark "&amp;TEXT($C358,"0.00")&amp;" TL. Dayanak: "&amp;$D358&amp;". İtiraz dosyası üretildi.")</f>
        <v/>
      </c>
      <c r="G358" s="17">
        <f>IF($B358&lt;&gt;"tutar_farki","","Beklemede")</f>
        <v/>
      </c>
    </row>
    <row r="359">
      <c r="A359" s="22">
        <f>IF('KOK_NEDEN'!$A359="","",'KOK_NEDEN'!$A359)</f>
        <v/>
      </c>
      <c r="B359" s="17">
        <f>IF($A359="","",IFERROR(INDEX(tblKok[Kova],MATCH($A359,tblKok[A_Norm],0)),""))</f>
        <v/>
      </c>
      <c r="C359" s="17">
        <f>IF($A359="","",IFERROR(INDEX(tblEslesme[Fark],MATCH($A359,tblEslesme[A_Norm],0)),0))</f>
        <v/>
      </c>
      <c r="D359" s="17">
        <f>IF($A359="","",IFERROR(INDEX(tblKok[KokNeden],MATCH($A359,tblKok[A_Norm],0)),""))</f>
        <v/>
      </c>
      <c r="E359" s="17">
        <f>IF($B359&lt;&gt;"tutar_farki","",IF(ABS($C359)&gt;efd_esikFark,"YUKSEK","NORMAL"))</f>
        <v/>
      </c>
      <c r="F359" s="17">
        <f>IF($B359&lt;&gt;"tutar_farki","","Fatura "&amp;$A359&amp;" için fark "&amp;TEXT($C359,"0.00")&amp;" TL. Dayanak: "&amp;$D359&amp;". İtiraz dosyası üretildi.")</f>
        <v/>
      </c>
      <c r="G359" s="17">
        <f>IF($B359&lt;&gt;"tutar_farki","","Beklemede")</f>
        <v/>
      </c>
    </row>
    <row r="360">
      <c r="A360" s="22">
        <f>IF('KOK_NEDEN'!$A360="","",'KOK_NEDEN'!$A360)</f>
        <v/>
      </c>
      <c r="B360" s="17">
        <f>IF($A360="","",IFERROR(INDEX(tblKok[Kova],MATCH($A360,tblKok[A_Norm],0)),""))</f>
        <v/>
      </c>
      <c r="C360" s="17">
        <f>IF($A360="","",IFERROR(INDEX(tblEslesme[Fark],MATCH($A360,tblEslesme[A_Norm],0)),0))</f>
        <v/>
      </c>
      <c r="D360" s="17">
        <f>IF($A360="","",IFERROR(INDEX(tblKok[KokNeden],MATCH($A360,tblKok[A_Norm],0)),""))</f>
        <v/>
      </c>
      <c r="E360" s="17">
        <f>IF($B360&lt;&gt;"tutar_farki","",IF(ABS($C360)&gt;efd_esikFark,"YUKSEK","NORMAL"))</f>
        <v/>
      </c>
      <c r="F360" s="17">
        <f>IF($B360&lt;&gt;"tutar_farki","","Fatura "&amp;$A360&amp;" için fark "&amp;TEXT($C360,"0.00")&amp;" TL. Dayanak: "&amp;$D360&amp;". İtiraz dosyası üretildi.")</f>
        <v/>
      </c>
      <c r="G360" s="17">
        <f>IF($B360&lt;&gt;"tutar_farki","","Beklemede")</f>
        <v/>
      </c>
    </row>
    <row r="361">
      <c r="A361" s="22">
        <f>IF('KOK_NEDEN'!$A361="","",'KOK_NEDEN'!$A361)</f>
        <v/>
      </c>
      <c r="B361" s="17">
        <f>IF($A361="","",IFERROR(INDEX(tblKok[Kova],MATCH($A361,tblKok[A_Norm],0)),""))</f>
        <v/>
      </c>
      <c r="C361" s="17">
        <f>IF($A361="","",IFERROR(INDEX(tblEslesme[Fark],MATCH($A361,tblEslesme[A_Norm],0)),0))</f>
        <v/>
      </c>
      <c r="D361" s="17">
        <f>IF($A361="","",IFERROR(INDEX(tblKok[KokNeden],MATCH($A361,tblKok[A_Norm],0)),""))</f>
        <v/>
      </c>
      <c r="E361" s="17">
        <f>IF($B361&lt;&gt;"tutar_farki","",IF(ABS($C361)&gt;efd_esikFark,"YUKSEK","NORMAL"))</f>
        <v/>
      </c>
      <c r="F361" s="17">
        <f>IF($B361&lt;&gt;"tutar_farki","","Fatura "&amp;$A361&amp;" için fark "&amp;TEXT($C361,"0.00")&amp;" TL. Dayanak: "&amp;$D361&amp;". İtiraz dosyası üretildi.")</f>
        <v/>
      </c>
      <c r="G361" s="17">
        <f>IF($B361&lt;&gt;"tutar_farki","","Beklemede")</f>
        <v/>
      </c>
    </row>
    <row r="362">
      <c r="A362" s="22">
        <f>IF('KOK_NEDEN'!$A362="","",'KOK_NEDEN'!$A362)</f>
        <v/>
      </c>
      <c r="B362" s="17">
        <f>IF($A362="","",IFERROR(INDEX(tblKok[Kova],MATCH($A362,tblKok[A_Norm],0)),""))</f>
        <v/>
      </c>
      <c r="C362" s="17">
        <f>IF($A362="","",IFERROR(INDEX(tblEslesme[Fark],MATCH($A362,tblEslesme[A_Norm],0)),0))</f>
        <v/>
      </c>
      <c r="D362" s="17">
        <f>IF($A362="","",IFERROR(INDEX(tblKok[KokNeden],MATCH($A362,tblKok[A_Norm],0)),""))</f>
        <v/>
      </c>
      <c r="E362" s="17">
        <f>IF($B362&lt;&gt;"tutar_farki","",IF(ABS($C362)&gt;efd_esikFark,"YUKSEK","NORMAL"))</f>
        <v/>
      </c>
      <c r="F362" s="17">
        <f>IF($B362&lt;&gt;"tutar_farki","","Fatura "&amp;$A362&amp;" için fark "&amp;TEXT($C362,"0.00")&amp;" TL. Dayanak: "&amp;$D362&amp;". İtiraz dosyası üretildi.")</f>
        <v/>
      </c>
      <c r="G362" s="17">
        <f>IF($B362&lt;&gt;"tutar_farki","","Beklemede")</f>
        <v/>
      </c>
    </row>
    <row r="363">
      <c r="A363" s="22">
        <f>IF('KOK_NEDEN'!$A363="","",'KOK_NEDEN'!$A363)</f>
        <v/>
      </c>
      <c r="B363" s="17">
        <f>IF($A363="","",IFERROR(INDEX(tblKok[Kova],MATCH($A363,tblKok[A_Norm],0)),""))</f>
        <v/>
      </c>
      <c r="C363" s="17">
        <f>IF($A363="","",IFERROR(INDEX(tblEslesme[Fark],MATCH($A363,tblEslesme[A_Norm],0)),0))</f>
        <v/>
      </c>
      <c r="D363" s="17">
        <f>IF($A363="","",IFERROR(INDEX(tblKok[KokNeden],MATCH($A363,tblKok[A_Norm],0)),""))</f>
        <v/>
      </c>
      <c r="E363" s="17">
        <f>IF($B363&lt;&gt;"tutar_farki","",IF(ABS($C363)&gt;efd_esikFark,"YUKSEK","NORMAL"))</f>
        <v/>
      </c>
      <c r="F363" s="17">
        <f>IF($B363&lt;&gt;"tutar_farki","","Fatura "&amp;$A363&amp;" için fark "&amp;TEXT($C363,"0.00")&amp;" TL. Dayanak: "&amp;$D363&amp;". İtiraz dosyası üretildi.")</f>
        <v/>
      </c>
      <c r="G363" s="17">
        <f>IF($B363&lt;&gt;"tutar_farki","","Beklemede")</f>
        <v/>
      </c>
    </row>
    <row r="364">
      <c r="A364" s="22">
        <f>IF('KOK_NEDEN'!$A364="","",'KOK_NEDEN'!$A364)</f>
        <v/>
      </c>
      <c r="B364" s="17">
        <f>IF($A364="","",IFERROR(INDEX(tblKok[Kova],MATCH($A364,tblKok[A_Norm],0)),""))</f>
        <v/>
      </c>
      <c r="C364" s="17">
        <f>IF($A364="","",IFERROR(INDEX(tblEslesme[Fark],MATCH($A364,tblEslesme[A_Norm],0)),0))</f>
        <v/>
      </c>
      <c r="D364" s="17">
        <f>IF($A364="","",IFERROR(INDEX(tblKok[KokNeden],MATCH($A364,tblKok[A_Norm],0)),""))</f>
        <v/>
      </c>
      <c r="E364" s="17">
        <f>IF($B364&lt;&gt;"tutar_farki","",IF(ABS($C364)&gt;efd_esikFark,"YUKSEK","NORMAL"))</f>
        <v/>
      </c>
      <c r="F364" s="17">
        <f>IF($B364&lt;&gt;"tutar_farki","","Fatura "&amp;$A364&amp;" için fark "&amp;TEXT($C364,"0.00")&amp;" TL. Dayanak: "&amp;$D364&amp;". İtiraz dosyası üretildi.")</f>
        <v/>
      </c>
      <c r="G364" s="17">
        <f>IF($B364&lt;&gt;"tutar_farki","","Beklemede")</f>
        <v/>
      </c>
    </row>
    <row r="365">
      <c r="A365" s="22">
        <f>IF('KOK_NEDEN'!$A365="","",'KOK_NEDEN'!$A365)</f>
        <v/>
      </c>
      <c r="B365" s="17">
        <f>IF($A365="","",IFERROR(INDEX(tblKok[Kova],MATCH($A365,tblKok[A_Norm],0)),""))</f>
        <v/>
      </c>
      <c r="C365" s="17">
        <f>IF($A365="","",IFERROR(INDEX(tblEslesme[Fark],MATCH($A365,tblEslesme[A_Norm],0)),0))</f>
        <v/>
      </c>
      <c r="D365" s="17">
        <f>IF($A365="","",IFERROR(INDEX(tblKok[KokNeden],MATCH($A365,tblKok[A_Norm],0)),""))</f>
        <v/>
      </c>
      <c r="E365" s="17">
        <f>IF($B365&lt;&gt;"tutar_farki","",IF(ABS($C365)&gt;efd_esikFark,"YUKSEK","NORMAL"))</f>
        <v/>
      </c>
      <c r="F365" s="17">
        <f>IF($B365&lt;&gt;"tutar_farki","","Fatura "&amp;$A365&amp;" için fark "&amp;TEXT($C365,"0.00")&amp;" TL. Dayanak: "&amp;$D365&amp;". İtiraz dosyası üretildi.")</f>
        <v/>
      </c>
      <c r="G365" s="17">
        <f>IF($B365&lt;&gt;"tutar_farki","","Beklemede")</f>
        <v/>
      </c>
    </row>
    <row r="366">
      <c r="A366" s="22">
        <f>IF('KOK_NEDEN'!$A366="","",'KOK_NEDEN'!$A366)</f>
        <v/>
      </c>
      <c r="B366" s="17">
        <f>IF($A366="","",IFERROR(INDEX(tblKok[Kova],MATCH($A366,tblKok[A_Norm],0)),""))</f>
        <v/>
      </c>
      <c r="C366" s="17">
        <f>IF($A366="","",IFERROR(INDEX(tblEslesme[Fark],MATCH($A366,tblEslesme[A_Norm],0)),0))</f>
        <v/>
      </c>
      <c r="D366" s="17">
        <f>IF($A366="","",IFERROR(INDEX(tblKok[KokNeden],MATCH($A366,tblKok[A_Norm],0)),""))</f>
        <v/>
      </c>
      <c r="E366" s="17">
        <f>IF($B366&lt;&gt;"tutar_farki","",IF(ABS($C366)&gt;efd_esikFark,"YUKSEK","NORMAL"))</f>
        <v/>
      </c>
      <c r="F366" s="17">
        <f>IF($B366&lt;&gt;"tutar_farki","","Fatura "&amp;$A366&amp;" için fark "&amp;TEXT($C366,"0.00")&amp;" TL. Dayanak: "&amp;$D366&amp;". İtiraz dosyası üretildi.")</f>
        <v/>
      </c>
      <c r="G366" s="17">
        <f>IF($B366&lt;&gt;"tutar_farki","","Beklemede")</f>
        <v/>
      </c>
    </row>
    <row r="367">
      <c r="A367" s="22">
        <f>IF('KOK_NEDEN'!$A367="","",'KOK_NEDEN'!$A367)</f>
        <v/>
      </c>
      <c r="B367" s="17">
        <f>IF($A367="","",IFERROR(INDEX(tblKok[Kova],MATCH($A367,tblKok[A_Norm],0)),""))</f>
        <v/>
      </c>
      <c r="C367" s="17">
        <f>IF($A367="","",IFERROR(INDEX(tblEslesme[Fark],MATCH($A367,tblEslesme[A_Norm],0)),0))</f>
        <v/>
      </c>
      <c r="D367" s="17">
        <f>IF($A367="","",IFERROR(INDEX(tblKok[KokNeden],MATCH($A367,tblKok[A_Norm],0)),""))</f>
        <v/>
      </c>
      <c r="E367" s="17">
        <f>IF($B367&lt;&gt;"tutar_farki","",IF(ABS($C367)&gt;efd_esikFark,"YUKSEK","NORMAL"))</f>
        <v/>
      </c>
      <c r="F367" s="17">
        <f>IF($B367&lt;&gt;"tutar_farki","","Fatura "&amp;$A367&amp;" için fark "&amp;TEXT($C367,"0.00")&amp;" TL. Dayanak: "&amp;$D367&amp;". İtiraz dosyası üretildi.")</f>
        <v/>
      </c>
      <c r="G367" s="17">
        <f>IF($B367&lt;&gt;"tutar_farki","","Beklemede")</f>
        <v/>
      </c>
    </row>
    <row r="368">
      <c r="A368" s="22">
        <f>IF('KOK_NEDEN'!$A368="","",'KOK_NEDEN'!$A368)</f>
        <v/>
      </c>
      <c r="B368" s="17">
        <f>IF($A368="","",IFERROR(INDEX(tblKok[Kova],MATCH($A368,tblKok[A_Norm],0)),""))</f>
        <v/>
      </c>
      <c r="C368" s="17">
        <f>IF($A368="","",IFERROR(INDEX(tblEslesme[Fark],MATCH($A368,tblEslesme[A_Norm],0)),0))</f>
        <v/>
      </c>
      <c r="D368" s="17">
        <f>IF($A368="","",IFERROR(INDEX(tblKok[KokNeden],MATCH($A368,tblKok[A_Norm],0)),""))</f>
        <v/>
      </c>
      <c r="E368" s="17">
        <f>IF($B368&lt;&gt;"tutar_farki","",IF(ABS($C368)&gt;efd_esikFark,"YUKSEK","NORMAL"))</f>
        <v/>
      </c>
      <c r="F368" s="17">
        <f>IF($B368&lt;&gt;"tutar_farki","","Fatura "&amp;$A368&amp;" için fark "&amp;TEXT($C368,"0.00")&amp;" TL. Dayanak: "&amp;$D368&amp;". İtiraz dosyası üretildi.")</f>
        <v/>
      </c>
      <c r="G368" s="17">
        <f>IF($B368&lt;&gt;"tutar_farki","","Beklemede")</f>
        <v/>
      </c>
    </row>
    <row r="369">
      <c r="A369" s="22">
        <f>IF('KOK_NEDEN'!$A369="","",'KOK_NEDEN'!$A369)</f>
        <v/>
      </c>
      <c r="B369" s="17">
        <f>IF($A369="","",IFERROR(INDEX(tblKok[Kova],MATCH($A369,tblKok[A_Norm],0)),""))</f>
        <v/>
      </c>
      <c r="C369" s="17">
        <f>IF($A369="","",IFERROR(INDEX(tblEslesme[Fark],MATCH($A369,tblEslesme[A_Norm],0)),0))</f>
        <v/>
      </c>
      <c r="D369" s="17">
        <f>IF($A369="","",IFERROR(INDEX(tblKok[KokNeden],MATCH($A369,tblKok[A_Norm],0)),""))</f>
        <v/>
      </c>
      <c r="E369" s="17">
        <f>IF($B369&lt;&gt;"tutar_farki","",IF(ABS($C369)&gt;efd_esikFark,"YUKSEK","NORMAL"))</f>
        <v/>
      </c>
      <c r="F369" s="17">
        <f>IF($B369&lt;&gt;"tutar_farki","","Fatura "&amp;$A369&amp;" için fark "&amp;TEXT($C369,"0.00")&amp;" TL. Dayanak: "&amp;$D369&amp;". İtiraz dosyası üretildi.")</f>
        <v/>
      </c>
      <c r="G369" s="17">
        <f>IF($B369&lt;&gt;"tutar_farki","","Beklemede")</f>
        <v/>
      </c>
    </row>
    <row r="370">
      <c r="A370" s="22">
        <f>IF('KOK_NEDEN'!$A370="","",'KOK_NEDEN'!$A370)</f>
        <v/>
      </c>
      <c r="B370" s="17">
        <f>IF($A370="","",IFERROR(INDEX(tblKok[Kova],MATCH($A370,tblKok[A_Norm],0)),""))</f>
        <v/>
      </c>
      <c r="C370" s="17">
        <f>IF($A370="","",IFERROR(INDEX(tblEslesme[Fark],MATCH($A370,tblEslesme[A_Norm],0)),0))</f>
        <v/>
      </c>
      <c r="D370" s="17">
        <f>IF($A370="","",IFERROR(INDEX(tblKok[KokNeden],MATCH($A370,tblKok[A_Norm],0)),""))</f>
        <v/>
      </c>
      <c r="E370" s="17">
        <f>IF($B370&lt;&gt;"tutar_farki","",IF(ABS($C370)&gt;efd_esikFark,"YUKSEK","NORMAL"))</f>
        <v/>
      </c>
      <c r="F370" s="17">
        <f>IF($B370&lt;&gt;"tutar_farki","","Fatura "&amp;$A370&amp;" için fark "&amp;TEXT($C370,"0.00")&amp;" TL. Dayanak: "&amp;$D370&amp;". İtiraz dosyası üretildi.")</f>
        <v/>
      </c>
      <c r="G370" s="17">
        <f>IF($B370&lt;&gt;"tutar_farki","","Beklemede")</f>
        <v/>
      </c>
    </row>
    <row r="371">
      <c r="A371" s="22">
        <f>IF('KOK_NEDEN'!$A371="","",'KOK_NEDEN'!$A371)</f>
        <v/>
      </c>
      <c r="B371" s="17">
        <f>IF($A371="","",IFERROR(INDEX(tblKok[Kova],MATCH($A371,tblKok[A_Norm],0)),""))</f>
        <v/>
      </c>
      <c r="C371" s="17">
        <f>IF($A371="","",IFERROR(INDEX(tblEslesme[Fark],MATCH($A371,tblEslesme[A_Norm],0)),0))</f>
        <v/>
      </c>
      <c r="D371" s="17">
        <f>IF($A371="","",IFERROR(INDEX(tblKok[KokNeden],MATCH($A371,tblKok[A_Norm],0)),""))</f>
        <v/>
      </c>
      <c r="E371" s="17">
        <f>IF($B371&lt;&gt;"tutar_farki","",IF(ABS($C371)&gt;efd_esikFark,"YUKSEK","NORMAL"))</f>
        <v/>
      </c>
      <c r="F371" s="17">
        <f>IF($B371&lt;&gt;"tutar_farki","","Fatura "&amp;$A371&amp;" için fark "&amp;TEXT($C371,"0.00")&amp;" TL. Dayanak: "&amp;$D371&amp;". İtiraz dosyası üretildi.")</f>
        <v/>
      </c>
      <c r="G371" s="17">
        <f>IF($B371&lt;&gt;"tutar_farki","","Beklemede")</f>
        <v/>
      </c>
    </row>
    <row r="372">
      <c r="A372" s="22">
        <f>IF('KOK_NEDEN'!$A372="","",'KOK_NEDEN'!$A372)</f>
        <v/>
      </c>
      <c r="B372" s="17">
        <f>IF($A372="","",IFERROR(INDEX(tblKok[Kova],MATCH($A372,tblKok[A_Norm],0)),""))</f>
        <v/>
      </c>
      <c r="C372" s="17">
        <f>IF($A372="","",IFERROR(INDEX(tblEslesme[Fark],MATCH($A372,tblEslesme[A_Norm],0)),0))</f>
        <v/>
      </c>
      <c r="D372" s="17">
        <f>IF($A372="","",IFERROR(INDEX(tblKok[KokNeden],MATCH($A372,tblKok[A_Norm],0)),""))</f>
        <v/>
      </c>
      <c r="E372" s="17">
        <f>IF($B372&lt;&gt;"tutar_farki","",IF(ABS($C372)&gt;efd_esikFark,"YUKSEK","NORMAL"))</f>
        <v/>
      </c>
      <c r="F372" s="17">
        <f>IF($B372&lt;&gt;"tutar_farki","","Fatura "&amp;$A372&amp;" için fark "&amp;TEXT($C372,"0.00")&amp;" TL. Dayanak: "&amp;$D372&amp;". İtiraz dosyası üretildi.")</f>
        <v/>
      </c>
      <c r="G372" s="17">
        <f>IF($B372&lt;&gt;"tutar_farki","","Beklemede")</f>
        <v/>
      </c>
    </row>
    <row r="373">
      <c r="A373" s="22">
        <f>IF('KOK_NEDEN'!$A373="","",'KOK_NEDEN'!$A373)</f>
        <v/>
      </c>
      <c r="B373" s="17">
        <f>IF($A373="","",IFERROR(INDEX(tblKok[Kova],MATCH($A373,tblKok[A_Norm],0)),""))</f>
        <v/>
      </c>
      <c r="C373" s="17">
        <f>IF($A373="","",IFERROR(INDEX(tblEslesme[Fark],MATCH($A373,tblEslesme[A_Norm],0)),0))</f>
        <v/>
      </c>
      <c r="D373" s="17">
        <f>IF($A373="","",IFERROR(INDEX(tblKok[KokNeden],MATCH($A373,tblKok[A_Norm],0)),""))</f>
        <v/>
      </c>
      <c r="E373" s="17">
        <f>IF($B373&lt;&gt;"tutar_farki","",IF(ABS($C373)&gt;efd_esikFark,"YUKSEK","NORMAL"))</f>
        <v/>
      </c>
      <c r="F373" s="17">
        <f>IF($B373&lt;&gt;"tutar_farki","","Fatura "&amp;$A373&amp;" için fark "&amp;TEXT($C373,"0.00")&amp;" TL. Dayanak: "&amp;$D373&amp;". İtiraz dosyası üretildi.")</f>
        <v/>
      </c>
      <c r="G373" s="17">
        <f>IF($B373&lt;&gt;"tutar_farki","","Beklemede")</f>
        <v/>
      </c>
    </row>
    <row r="374">
      <c r="A374" s="22">
        <f>IF('KOK_NEDEN'!$A374="","",'KOK_NEDEN'!$A374)</f>
        <v/>
      </c>
      <c r="B374" s="17">
        <f>IF($A374="","",IFERROR(INDEX(tblKok[Kova],MATCH($A374,tblKok[A_Norm],0)),""))</f>
        <v/>
      </c>
      <c r="C374" s="17">
        <f>IF($A374="","",IFERROR(INDEX(tblEslesme[Fark],MATCH($A374,tblEslesme[A_Norm],0)),0))</f>
        <v/>
      </c>
      <c r="D374" s="17">
        <f>IF($A374="","",IFERROR(INDEX(tblKok[KokNeden],MATCH($A374,tblKok[A_Norm],0)),""))</f>
        <v/>
      </c>
      <c r="E374" s="17">
        <f>IF($B374&lt;&gt;"tutar_farki","",IF(ABS($C374)&gt;efd_esikFark,"YUKSEK","NORMAL"))</f>
        <v/>
      </c>
      <c r="F374" s="17">
        <f>IF($B374&lt;&gt;"tutar_farki","","Fatura "&amp;$A374&amp;" için fark "&amp;TEXT($C374,"0.00")&amp;" TL. Dayanak: "&amp;$D374&amp;". İtiraz dosyası üretildi.")</f>
        <v/>
      </c>
      <c r="G374" s="17">
        <f>IF($B374&lt;&gt;"tutar_farki","","Beklemede")</f>
        <v/>
      </c>
    </row>
    <row r="375">
      <c r="A375" s="22">
        <f>IF('KOK_NEDEN'!$A375="","",'KOK_NEDEN'!$A375)</f>
        <v/>
      </c>
      <c r="B375" s="17">
        <f>IF($A375="","",IFERROR(INDEX(tblKok[Kova],MATCH($A375,tblKok[A_Norm],0)),""))</f>
        <v/>
      </c>
      <c r="C375" s="17">
        <f>IF($A375="","",IFERROR(INDEX(tblEslesme[Fark],MATCH($A375,tblEslesme[A_Norm],0)),0))</f>
        <v/>
      </c>
      <c r="D375" s="17">
        <f>IF($A375="","",IFERROR(INDEX(tblKok[KokNeden],MATCH($A375,tblKok[A_Norm],0)),""))</f>
        <v/>
      </c>
      <c r="E375" s="17">
        <f>IF($B375&lt;&gt;"tutar_farki","",IF(ABS($C375)&gt;efd_esikFark,"YUKSEK","NORMAL"))</f>
        <v/>
      </c>
      <c r="F375" s="17">
        <f>IF($B375&lt;&gt;"tutar_farki","","Fatura "&amp;$A375&amp;" için fark "&amp;TEXT($C375,"0.00")&amp;" TL. Dayanak: "&amp;$D375&amp;". İtiraz dosyası üretildi.")</f>
        <v/>
      </c>
      <c r="G375" s="17">
        <f>IF($B375&lt;&gt;"tutar_farki","","Beklemede")</f>
        <v/>
      </c>
    </row>
    <row r="376">
      <c r="A376" s="22">
        <f>IF('KOK_NEDEN'!$A376="","",'KOK_NEDEN'!$A376)</f>
        <v/>
      </c>
      <c r="B376" s="17">
        <f>IF($A376="","",IFERROR(INDEX(tblKok[Kova],MATCH($A376,tblKok[A_Norm],0)),""))</f>
        <v/>
      </c>
      <c r="C376" s="17">
        <f>IF($A376="","",IFERROR(INDEX(tblEslesme[Fark],MATCH($A376,tblEslesme[A_Norm],0)),0))</f>
        <v/>
      </c>
      <c r="D376" s="17">
        <f>IF($A376="","",IFERROR(INDEX(tblKok[KokNeden],MATCH($A376,tblKok[A_Norm],0)),""))</f>
        <v/>
      </c>
      <c r="E376" s="17">
        <f>IF($B376&lt;&gt;"tutar_farki","",IF(ABS($C376)&gt;efd_esikFark,"YUKSEK","NORMAL"))</f>
        <v/>
      </c>
      <c r="F376" s="17">
        <f>IF($B376&lt;&gt;"tutar_farki","","Fatura "&amp;$A376&amp;" için fark "&amp;TEXT($C376,"0.00")&amp;" TL. Dayanak: "&amp;$D376&amp;". İtiraz dosyası üretildi.")</f>
        <v/>
      </c>
      <c r="G376" s="17">
        <f>IF($B376&lt;&gt;"tutar_farki","","Beklemede")</f>
        <v/>
      </c>
    </row>
    <row r="377">
      <c r="A377" s="22">
        <f>IF('KOK_NEDEN'!$A377="","",'KOK_NEDEN'!$A377)</f>
        <v/>
      </c>
      <c r="B377" s="17">
        <f>IF($A377="","",IFERROR(INDEX(tblKok[Kova],MATCH($A377,tblKok[A_Norm],0)),""))</f>
        <v/>
      </c>
      <c r="C377" s="17">
        <f>IF($A377="","",IFERROR(INDEX(tblEslesme[Fark],MATCH($A377,tblEslesme[A_Norm],0)),0))</f>
        <v/>
      </c>
      <c r="D377" s="17">
        <f>IF($A377="","",IFERROR(INDEX(tblKok[KokNeden],MATCH($A377,tblKok[A_Norm],0)),""))</f>
        <v/>
      </c>
      <c r="E377" s="17">
        <f>IF($B377&lt;&gt;"tutar_farki","",IF(ABS($C377)&gt;efd_esikFark,"YUKSEK","NORMAL"))</f>
        <v/>
      </c>
      <c r="F377" s="17">
        <f>IF($B377&lt;&gt;"tutar_farki","","Fatura "&amp;$A377&amp;" için fark "&amp;TEXT($C377,"0.00")&amp;" TL. Dayanak: "&amp;$D377&amp;". İtiraz dosyası üretildi.")</f>
        <v/>
      </c>
      <c r="G377" s="17">
        <f>IF($B377&lt;&gt;"tutar_farki","","Beklemede")</f>
        <v/>
      </c>
    </row>
    <row r="378">
      <c r="A378" s="22">
        <f>IF('KOK_NEDEN'!$A378="","",'KOK_NEDEN'!$A378)</f>
        <v/>
      </c>
      <c r="B378" s="17">
        <f>IF($A378="","",IFERROR(INDEX(tblKok[Kova],MATCH($A378,tblKok[A_Norm],0)),""))</f>
        <v/>
      </c>
      <c r="C378" s="17">
        <f>IF($A378="","",IFERROR(INDEX(tblEslesme[Fark],MATCH($A378,tblEslesme[A_Norm],0)),0))</f>
        <v/>
      </c>
      <c r="D378" s="17">
        <f>IF($A378="","",IFERROR(INDEX(tblKok[KokNeden],MATCH($A378,tblKok[A_Norm],0)),""))</f>
        <v/>
      </c>
      <c r="E378" s="17">
        <f>IF($B378&lt;&gt;"tutar_farki","",IF(ABS($C378)&gt;efd_esikFark,"YUKSEK","NORMAL"))</f>
        <v/>
      </c>
      <c r="F378" s="17">
        <f>IF($B378&lt;&gt;"tutar_farki","","Fatura "&amp;$A378&amp;" için fark "&amp;TEXT($C378,"0.00")&amp;" TL. Dayanak: "&amp;$D378&amp;". İtiraz dosyası üretildi.")</f>
        <v/>
      </c>
      <c r="G378" s="17">
        <f>IF($B378&lt;&gt;"tutar_farki","","Beklemede")</f>
        <v/>
      </c>
    </row>
    <row r="379">
      <c r="A379" s="22">
        <f>IF('KOK_NEDEN'!$A379="","",'KOK_NEDEN'!$A379)</f>
        <v/>
      </c>
      <c r="B379" s="17">
        <f>IF($A379="","",IFERROR(INDEX(tblKok[Kova],MATCH($A379,tblKok[A_Norm],0)),""))</f>
        <v/>
      </c>
      <c r="C379" s="17">
        <f>IF($A379="","",IFERROR(INDEX(tblEslesme[Fark],MATCH($A379,tblEslesme[A_Norm],0)),0))</f>
        <v/>
      </c>
      <c r="D379" s="17">
        <f>IF($A379="","",IFERROR(INDEX(tblKok[KokNeden],MATCH($A379,tblKok[A_Norm],0)),""))</f>
        <v/>
      </c>
      <c r="E379" s="17">
        <f>IF($B379&lt;&gt;"tutar_farki","",IF(ABS($C379)&gt;efd_esikFark,"YUKSEK","NORMAL"))</f>
        <v/>
      </c>
      <c r="F379" s="17">
        <f>IF($B379&lt;&gt;"tutar_farki","","Fatura "&amp;$A379&amp;" için fark "&amp;TEXT($C379,"0.00")&amp;" TL. Dayanak: "&amp;$D379&amp;". İtiraz dosyası üretildi.")</f>
        <v/>
      </c>
      <c r="G379" s="17">
        <f>IF($B379&lt;&gt;"tutar_farki","","Beklemede")</f>
        <v/>
      </c>
    </row>
    <row r="380">
      <c r="A380" s="22">
        <f>IF('KOK_NEDEN'!$A380="","",'KOK_NEDEN'!$A380)</f>
        <v/>
      </c>
      <c r="B380" s="17">
        <f>IF($A380="","",IFERROR(INDEX(tblKok[Kova],MATCH($A380,tblKok[A_Norm],0)),""))</f>
        <v/>
      </c>
      <c r="C380" s="17">
        <f>IF($A380="","",IFERROR(INDEX(tblEslesme[Fark],MATCH($A380,tblEslesme[A_Norm],0)),0))</f>
        <v/>
      </c>
      <c r="D380" s="17">
        <f>IF($A380="","",IFERROR(INDEX(tblKok[KokNeden],MATCH($A380,tblKok[A_Norm],0)),""))</f>
        <v/>
      </c>
      <c r="E380" s="17">
        <f>IF($B380&lt;&gt;"tutar_farki","",IF(ABS($C380)&gt;efd_esikFark,"YUKSEK","NORMAL"))</f>
        <v/>
      </c>
      <c r="F380" s="17">
        <f>IF($B380&lt;&gt;"tutar_farki","","Fatura "&amp;$A380&amp;" için fark "&amp;TEXT($C380,"0.00")&amp;" TL. Dayanak: "&amp;$D380&amp;". İtiraz dosyası üretildi.")</f>
        <v/>
      </c>
      <c r="G380" s="17">
        <f>IF($B380&lt;&gt;"tutar_farki","","Beklemede")</f>
        <v/>
      </c>
    </row>
    <row r="381">
      <c r="A381" s="22">
        <f>IF('KOK_NEDEN'!$A381="","",'KOK_NEDEN'!$A381)</f>
        <v/>
      </c>
      <c r="B381" s="17">
        <f>IF($A381="","",IFERROR(INDEX(tblKok[Kova],MATCH($A381,tblKok[A_Norm],0)),""))</f>
        <v/>
      </c>
      <c r="C381" s="17">
        <f>IF($A381="","",IFERROR(INDEX(tblEslesme[Fark],MATCH($A381,tblEslesme[A_Norm],0)),0))</f>
        <v/>
      </c>
      <c r="D381" s="17">
        <f>IF($A381="","",IFERROR(INDEX(tblKok[KokNeden],MATCH($A381,tblKok[A_Norm],0)),""))</f>
        <v/>
      </c>
      <c r="E381" s="17">
        <f>IF($B381&lt;&gt;"tutar_farki","",IF(ABS($C381)&gt;efd_esikFark,"YUKSEK","NORMAL"))</f>
        <v/>
      </c>
      <c r="F381" s="17">
        <f>IF($B381&lt;&gt;"tutar_farki","","Fatura "&amp;$A381&amp;" için fark "&amp;TEXT($C381,"0.00")&amp;" TL. Dayanak: "&amp;$D381&amp;". İtiraz dosyası üretildi.")</f>
        <v/>
      </c>
      <c r="G381" s="17">
        <f>IF($B381&lt;&gt;"tutar_farki","","Beklemede")</f>
        <v/>
      </c>
    </row>
    <row r="382">
      <c r="A382" s="22">
        <f>IF('KOK_NEDEN'!$A382="","",'KOK_NEDEN'!$A382)</f>
        <v/>
      </c>
      <c r="B382" s="17">
        <f>IF($A382="","",IFERROR(INDEX(tblKok[Kova],MATCH($A382,tblKok[A_Norm],0)),""))</f>
        <v/>
      </c>
      <c r="C382" s="17">
        <f>IF($A382="","",IFERROR(INDEX(tblEslesme[Fark],MATCH($A382,tblEslesme[A_Norm],0)),0))</f>
        <v/>
      </c>
      <c r="D382" s="17">
        <f>IF($A382="","",IFERROR(INDEX(tblKok[KokNeden],MATCH($A382,tblKok[A_Norm],0)),""))</f>
        <v/>
      </c>
      <c r="E382" s="17">
        <f>IF($B382&lt;&gt;"tutar_farki","",IF(ABS($C382)&gt;efd_esikFark,"YUKSEK","NORMAL"))</f>
        <v/>
      </c>
      <c r="F382" s="17">
        <f>IF($B382&lt;&gt;"tutar_farki","","Fatura "&amp;$A382&amp;" için fark "&amp;TEXT($C382,"0.00")&amp;" TL. Dayanak: "&amp;$D382&amp;". İtiraz dosyası üretildi.")</f>
        <v/>
      </c>
      <c r="G382" s="17">
        <f>IF($B382&lt;&gt;"tutar_farki","","Beklemede")</f>
        <v/>
      </c>
    </row>
    <row r="383">
      <c r="A383" s="22">
        <f>IF('KOK_NEDEN'!$A383="","",'KOK_NEDEN'!$A383)</f>
        <v/>
      </c>
      <c r="B383" s="17">
        <f>IF($A383="","",IFERROR(INDEX(tblKok[Kova],MATCH($A383,tblKok[A_Norm],0)),""))</f>
        <v/>
      </c>
      <c r="C383" s="17">
        <f>IF($A383="","",IFERROR(INDEX(tblEslesme[Fark],MATCH($A383,tblEslesme[A_Norm],0)),0))</f>
        <v/>
      </c>
      <c r="D383" s="17">
        <f>IF($A383="","",IFERROR(INDEX(tblKok[KokNeden],MATCH($A383,tblKok[A_Norm],0)),""))</f>
        <v/>
      </c>
      <c r="E383" s="17">
        <f>IF($B383&lt;&gt;"tutar_farki","",IF(ABS($C383)&gt;efd_esikFark,"YUKSEK","NORMAL"))</f>
        <v/>
      </c>
      <c r="F383" s="17">
        <f>IF($B383&lt;&gt;"tutar_farki","","Fatura "&amp;$A383&amp;" için fark "&amp;TEXT($C383,"0.00")&amp;" TL. Dayanak: "&amp;$D383&amp;". İtiraz dosyası üretildi.")</f>
        <v/>
      </c>
      <c r="G383" s="17">
        <f>IF($B383&lt;&gt;"tutar_farki","","Beklemede")</f>
        <v/>
      </c>
    </row>
    <row r="384">
      <c r="A384" s="22">
        <f>IF('KOK_NEDEN'!$A384="","",'KOK_NEDEN'!$A384)</f>
        <v/>
      </c>
      <c r="B384" s="17">
        <f>IF($A384="","",IFERROR(INDEX(tblKok[Kova],MATCH($A384,tblKok[A_Norm],0)),""))</f>
        <v/>
      </c>
      <c r="C384" s="17">
        <f>IF($A384="","",IFERROR(INDEX(tblEslesme[Fark],MATCH($A384,tblEslesme[A_Norm],0)),0))</f>
        <v/>
      </c>
      <c r="D384" s="17">
        <f>IF($A384="","",IFERROR(INDEX(tblKok[KokNeden],MATCH($A384,tblKok[A_Norm],0)),""))</f>
        <v/>
      </c>
      <c r="E384" s="17">
        <f>IF($B384&lt;&gt;"tutar_farki","",IF(ABS($C384)&gt;efd_esikFark,"YUKSEK","NORMAL"))</f>
        <v/>
      </c>
      <c r="F384" s="17">
        <f>IF($B384&lt;&gt;"tutar_farki","","Fatura "&amp;$A384&amp;" için fark "&amp;TEXT($C384,"0.00")&amp;" TL. Dayanak: "&amp;$D384&amp;". İtiraz dosyası üretildi.")</f>
        <v/>
      </c>
      <c r="G384" s="17">
        <f>IF($B384&lt;&gt;"tutar_farki","","Beklemede")</f>
        <v/>
      </c>
    </row>
    <row r="385">
      <c r="A385" s="22">
        <f>IF('KOK_NEDEN'!$A385="","",'KOK_NEDEN'!$A385)</f>
        <v/>
      </c>
      <c r="B385" s="17">
        <f>IF($A385="","",IFERROR(INDEX(tblKok[Kova],MATCH($A385,tblKok[A_Norm],0)),""))</f>
        <v/>
      </c>
      <c r="C385" s="17">
        <f>IF($A385="","",IFERROR(INDEX(tblEslesme[Fark],MATCH($A385,tblEslesme[A_Norm],0)),0))</f>
        <v/>
      </c>
      <c r="D385" s="17">
        <f>IF($A385="","",IFERROR(INDEX(tblKok[KokNeden],MATCH($A385,tblKok[A_Norm],0)),""))</f>
        <v/>
      </c>
      <c r="E385" s="17">
        <f>IF($B385&lt;&gt;"tutar_farki","",IF(ABS($C385)&gt;efd_esikFark,"YUKSEK","NORMAL"))</f>
        <v/>
      </c>
      <c r="F385" s="17">
        <f>IF($B385&lt;&gt;"tutar_farki","","Fatura "&amp;$A385&amp;" için fark "&amp;TEXT($C385,"0.00")&amp;" TL. Dayanak: "&amp;$D385&amp;". İtiraz dosyası üretildi.")</f>
        <v/>
      </c>
      <c r="G385" s="17">
        <f>IF($B385&lt;&gt;"tutar_farki","","Beklemede")</f>
        <v/>
      </c>
    </row>
    <row r="386">
      <c r="A386" s="22">
        <f>IF('KOK_NEDEN'!$A386="","",'KOK_NEDEN'!$A386)</f>
        <v/>
      </c>
      <c r="B386" s="17">
        <f>IF($A386="","",IFERROR(INDEX(tblKok[Kova],MATCH($A386,tblKok[A_Norm],0)),""))</f>
        <v/>
      </c>
      <c r="C386" s="17">
        <f>IF($A386="","",IFERROR(INDEX(tblEslesme[Fark],MATCH($A386,tblEslesme[A_Norm],0)),0))</f>
        <v/>
      </c>
      <c r="D386" s="17">
        <f>IF($A386="","",IFERROR(INDEX(tblKok[KokNeden],MATCH($A386,tblKok[A_Norm],0)),""))</f>
        <v/>
      </c>
      <c r="E386" s="17">
        <f>IF($B386&lt;&gt;"tutar_farki","",IF(ABS($C386)&gt;efd_esikFark,"YUKSEK","NORMAL"))</f>
        <v/>
      </c>
      <c r="F386" s="17">
        <f>IF($B386&lt;&gt;"tutar_farki","","Fatura "&amp;$A386&amp;" için fark "&amp;TEXT($C386,"0.00")&amp;" TL. Dayanak: "&amp;$D386&amp;". İtiraz dosyası üretildi.")</f>
        <v/>
      </c>
      <c r="G386" s="17">
        <f>IF($B386&lt;&gt;"tutar_farki","","Beklemede")</f>
        <v/>
      </c>
    </row>
    <row r="387">
      <c r="A387" s="22">
        <f>IF('KOK_NEDEN'!$A387="","",'KOK_NEDEN'!$A387)</f>
        <v/>
      </c>
      <c r="B387" s="17">
        <f>IF($A387="","",IFERROR(INDEX(tblKok[Kova],MATCH($A387,tblKok[A_Norm],0)),""))</f>
        <v/>
      </c>
      <c r="C387" s="17">
        <f>IF($A387="","",IFERROR(INDEX(tblEslesme[Fark],MATCH($A387,tblEslesme[A_Norm],0)),0))</f>
        <v/>
      </c>
      <c r="D387" s="17">
        <f>IF($A387="","",IFERROR(INDEX(tblKok[KokNeden],MATCH($A387,tblKok[A_Norm],0)),""))</f>
        <v/>
      </c>
      <c r="E387" s="17">
        <f>IF($B387&lt;&gt;"tutar_farki","",IF(ABS($C387)&gt;efd_esikFark,"YUKSEK","NORMAL"))</f>
        <v/>
      </c>
      <c r="F387" s="17">
        <f>IF($B387&lt;&gt;"tutar_farki","","Fatura "&amp;$A387&amp;" için fark "&amp;TEXT($C387,"0.00")&amp;" TL. Dayanak: "&amp;$D387&amp;". İtiraz dosyası üretildi.")</f>
        <v/>
      </c>
      <c r="G387" s="17">
        <f>IF($B387&lt;&gt;"tutar_farki","","Beklemede")</f>
        <v/>
      </c>
    </row>
    <row r="388">
      <c r="A388" s="22">
        <f>IF('KOK_NEDEN'!$A388="","",'KOK_NEDEN'!$A388)</f>
        <v/>
      </c>
      <c r="B388" s="17">
        <f>IF($A388="","",IFERROR(INDEX(tblKok[Kova],MATCH($A388,tblKok[A_Norm],0)),""))</f>
        <v/>
      </c>
      <c r="C388" s="17">
        <f>IF($A388="","",IFERROR(INDEX(tblEslesme[Fark],MATCH($A388,tblEslesme[A_Norm],0)),0))</f>
        <v/>
      </c>
      <c r="D388" s="17">
        <f>IF($A388="","",IFERROR(INDEX(tblKok[KokNeden],MATCH($A388,tblKok[A_Norm],0)),""))</f>
        <v/>
      </c>
      <c r="E388" s="17">
        <f>IF($B388&lt;&gt;"tutar_farki","",IF(ABS($C388)&gt;efd_esikFark,"YUKSEK","NORMAL"))</f>
        <v/>
      </c>
      <c r="F388" s="17">
        <f>IF($B388&lt;&gt;"tutar_farki","","Fatura "&amp;$A388&amp;" için fark "&amp;TEXT($C388,"0.00")&amp;" TL. Dayanak: "&amp;$D388&amp;". İtiraz dosyası üretildi.")</f>
        <v/>
      </c>
      <c r="G388" s="17">
        <f>IF($B388&lt;&gt;"tutar_farki","","Beklemede")</f>
        <v/>
      </c>
    </row>
    <row r="389">
      <c r="A389" s="22">
        <f>IF('KOK_NEDEN'!$A389="","",'KOK_NEDEN'!$A389)</f>
        <v/>
      </c>
      <c r="B389" s="17">
        <f>IF($A389="","",IFERROR(INDEX(tblKok[Kova],MATCH($A389,tblKok[A_Norm],0)),""))</f>
        <v/>
      </c>
      <c r="C389" s="17">
        <f>IF($A389="","",IFERROR(INDEX(tblEslesme[Fark],MATCH($A389,tblEslesme[A_Norm],0)),0))</f>
        <v/>
      </c>
      <c r="D389" s="17">
        <f>IF($A389="","",IFERROR(INDEX(tblKok[KokNeden],MATCH($A389,tblKok[A_Norm],0)),""))</f>
        <v/>
      </c>
      <c r="E389" s="17">
        <f>IF($B389&lt;&gt;"tutar_farki","",IF(ABS($C389)&gt;efd_esikFark,"YUKSEK","NORMAL"))</f>
        <v/>
      </c>
      <c r="F389" s="17">
        <f>IF($B389&lt;&gt;"tutar_farki","","Fatura "&amp;$A389&amp;" için fark "&amp;TEXT($C389,"0.00")&amp;" TL. Dayanak: "&amp;$D389&amp;". İtiraz dosyası üretildi.")</f>
        <v/>
      </c>
      <c r="G389" s="17">
        <f>IF($B389&lt;&gt;"tutar_farki","","Beklemede")</f>
        <v/>
      </c>
    </row>
    <row r="390">
      <c r="A390" s="22">
        <f>IF('KOK_NEDEN'!$A390="","",'KOK_NEDEN'!$A390)</f>
        <v/>
      </c>
      <c r="B390" s="17">
        <f>IF($A390="","",IFERROR(INDEX(tblKok[Kova],MATCH($A390,tblKok[A_Norm],0)),""))</f>
        <v/>
      </c>
      <c r="C390" s="17">
        <f>IF($A390="","",IFERROR(INDEX(tblEslesme[Fark],MATCH($A390,tblEslesme[A_Norm],0)),0))</f>
        <v/>
      </c>
      <c r="D390" s="17">
        <f>IF($A390="","",IFERROR(INDEX(tblKok[KokNeden],MATCH($A390,tblKok[A_Norm],0)),""))</f>
        <v/>
      </c>
      <c r="E390" s="17">
        <f>IF($B390&lt;&gt;"tutar_farki","",IF(ABS($C390)&gt;efd_esikFark,"YUKSEK","NORMAL"))</f>
        <v/>
      </c>
      <c r="F390" s="17">
        <f>IF($B390&lt;&gt;"tutar_farki","","Fatura "&amp;$A390&amp;" için fark "&amp;TEXT($C390,"0.00")&amp;" TL. Dayanak: "&amp;$D390&amp;". İtiraz dosyası üretildi.")</f>
        <v/>
      </c>
      <c r="G390" s="17">
        <f>IF($B390&lt;&gt;"tutar_farki","","Beklemede")</f>
        <v/>
      </c>
    </row>
    <row r="391">
      <c r="A391" s="22">
        <f>IF('KOK_NEDEN'!$A391="","",'KOK_NEDEN'!$A391)</f>
        <v/>
      </c>
      <c r="B391" s="17">
        <f>IF($A391="","",IFERROR(INDEX(tblKok[Kova],MATCH($A391,tblKok[A_Norm],0)),""))</f>
        <v/>
      </c>
      <c r="C391" s="17">
        <f>IF($A391="","",IFERROR(INDEX(tblEslesme[Fark],MATCH($A391,tblEslesme[A_Norm],0)),0))</f>
        <v/>
      </c>
      <c r="D391" s="17">
        <f>IF($A391="","",IFERROR(INDEX(tblKok[KokNeden],MATCH($A391,tblKok[A_Norm],0)),""))</f>
        <v/>
      </c>
      <c r="E391" s="17">
        <f>IF($B391&lt;&gt;"tutar_farki","",IF(ABS($C391)&gt;efd_esikFark,"YUKSEK","NORMAL"))</f>
        <v/>
      </c>
      <c r="F391" s="17">
        <f>IF($B391&lt;&gt;"tutar_farki","","Fatura "&amp;$A391&amp;" için fark "&amp;TEXT($C391,"0.00")&amp;" TL. Dayanak: "&amp;$D391&amp;". İtiraz dosyası üretildi.")</f>
        <v/>
      </c>
      <c r="G391" s="17">
        <f>IF($B391&lt;&gt;"tutar_farki","","Beklemede")</f>
        <v/>
      </c>
    </row>
    <row r="392">
      <c r="A392" s="22">
        <f>IF('KOK_NEDEN'!$A392="","",'KOK_NEDEN'!$A392)</f>
        <v/>
      </c>
      <c r="B392" s="17">
        <f>IF($A392="","",IFERROR(INDEX(tblKok[Kova],MATCH($A392,tblKok[A_Norm],0)),""))</f>
        <v/>
      </c>
      <c r="C392" s="17">
        <f>IF($A392="","",IFERROR(INDEX(tblEslesme[Fark],MATCH($A392,tblEslesme[A_Norm],0)),0))</f>
        <v/>
      </c>
      <c r="D392" s="17">
        <f>IF($A392="","",IFERROR(INDEX(tblKok[KokNeden],MATCH($A392,tblKok[A_Norm],0)),""))</f>
        <v/>
      </c>
      <c r="E392" s="17">
        <f>IF($B392&lt;&gt;"tutar_farki","",IF(ABS($C392)&gt;efd_esikFark,"YUKSEK","NORMAL"))</f>
        <v/>
      </c>
      <c r="F392" s="17">
        <f>IF($B392&lt;&gt;"tutar_farki","","Fatura "&amp;$A392&amp;" için fark "&amp;TEXT($C392,"0.00")&amp;" TL. Dayanak: "&amp;$D392&amp;". İtiraz dosyası üretildi.")</f>
        <v/>
      </c>
      <c r="G392" s="17">
        <f>IF($B392&lt;&gt;"tutar_farki","","Beklemede")</f>
        <v/>
      </c>
    </row>
    <row r="393">
      <c r="A393" s="22">
        <f>IF('KOK_NEDEN'!$A393="","",'KOK_NEDEN'!$A393)</f>
        <v/>
      </c>
      <c r="B393" s="17">
        <f>IF($A393="","",IFERROR(INDEX(tblKok[Kova],MATCH($A393,tblKok[A_Norm],0)),""))</f>
        <v/>
      </c>
      <c r="C393" s="17">
        <f>IF($A393="","",IFERROR(INDEX(tblEslesme[Fark],MATCH($A393,tblEslesme[A_Norm],0)),0))</f>
        <v/>
      </c>
      <c r="D393" s="17">
        <f>IF($A393="","",IFERROR(INDEX(tblKok[KokNeden],MATCH($A393,tblKok[A_Norm],0)),""))</f>
        <v/>
      </c>
      <c r="E393" s="17">
        <f>IF($B393&lt;&gt;"tutar_farki","",IF(ABS($C393)&gt;efd_esikFark,"YUKSEK","NORMAL"))</f>
        <v/>
      </c>
      <c r="F393" s="17">
        <f>IF($B393&lt;&gt;"tutar_farki","","Fatura "&amp;$A393&amp;" için fark "&amp;TEXT($C393,"0.00")&amp;" TL. Dayanak: "&amp;$D393&amp;". İtiraz dosyası üretildi.")</f>
        <v/>
      </c>
      <c r="G393" s="17">
        <f>IF($B393&lt;&gt;"tutar_farki","","Beklemede")</f>
        <v/>
      </c>
    </row>
    <row r="394">
      <c r="A394" s="22">
        <f>IF('KOK_NEDEN'!$A394="","",'KOK_NEDEN'!$A394)</f>
        <v/>
      </c>
      <c r="B394" s="17">
        <f>IF($A394="","",IFERROR(INDEX(tblKok[Kova],MATCH($A394,tblKok[A_Norm],0)),""))</f>
        <v/>
      </c>
      <c r="C394" s="17">
        <f>IF($A394="","",IFERROR(INDEX(tblEslesme[Fark],MATCH($A394,tblEslesme[A_Norm],0)),0))</f>
        <v/>
      </c>
      <c r="D394" s="17">
        <f>IF($A394="","",IFERROR(INDEX(tblKok[KokNeden],MATCH($A394,tblKok[A_Norm],0)),""))</f>
        <v/>
      </c>
      <c r="E394" s="17">
        <f>IF($B394&lt;&gt;"tutar_farki","",IF(ABS($C394)&gt;efd_esikFark,"YUKSEK","NORMAL"))</f>
        <v/>
      </c>
      <c r="F394" s="17">
        <f>IF($B394&lt;&gt;"tutar_farki","","Fatura "&amp;$A394&amp;" için fark "&amp;TEXT($C394,"0.00")&amp;" TL. Dayanak: "&amp;$D394&amp;". İtiraz dosyası üretildi.")</f>
        <v/>
      </c>
      <c r="G394" s="17">
        <f>IF($B394&lt;&gt;"tutar_farki","","Beklemede")</f>
        <v/>
      </c>
    </row>
    <row r="395">
      <c r="A395" s="22">
        <f>IF('KOK_NEDEN'!$A395="","",'KOK_NEDEN'!$A395)</f>
        <v/>
      </c>
      <c r="B395" s="17">
        <f>IF($A395="","",IFERROR(INDEX(tblKok[Kova],MATCH($A395,tblKok[A_Norm],0)),""))</f>
        <v/>
      </c>
      <c r="C395" s="17">
        <f>IF($A395="","",IFERROR(INDEX(tblEslesme[Fark],MATCH($A395,tblEslesme[A_Norm],0)),0))</f>
        <v/>
      </c>
      <c r="D395" s="17">
        <f>IF($A395="","",IFERROR(INDEX(tblKok[KokNeden],MATCH($A395,tblKok[A_Norm],0)),""))</f>
        <v/>
      </c>
      <c r="E395" s="17">
        <f>IF($B395&lt;&gt;"tutar_farki","",IF(ABS($C395)&gt;efd_esikFark,"YUKSEK","NORMAL"))</f>
        <v/>
      </c>
      <c r="F395" s="17">
        <f>IF($B395&lt;&gt;"tutar_farki","","Fatura "&amp;$A395&amp;" için fark "&amp;TEXT($C395,"0.00")&amp;" TL. Dayanak: "&amp;$D395&amp;". İtiraz dosyası üretildi.")</f>
        <v/>
      </c>
      <c r="G395" s="17">
        <f>IF($B395&lt;&gt;"tutar_farki","","Beklemede")</f>
        <v/>
      </c>
    </row>
    <row r="396">
      <c r="A396" s="22">
        <f>IF('KOK_NEDEN'!$A396="","",'KOK_NEDEN'!$A396)</f>
        <v/>
      </c>
      <c r="B396" s="17">
        <f>IF($A396="","",IFERROR(INDEX(tblKok[Kova],MATCH($A396,tblKok[A_Norm],0)),""))</f>
        <v/>
      </c>
      <c r="C396" s="17">
        <f>IF($A396="","",IFERROR(INDEX(tblEslesme[Fark],MATCH($A396,tblEslesme[A_Norm],0)),0))</f>
        <v/>
      </c>
      <c r="D396" s="17">
        <f>IF($A396="","",IFERROR(INDEX(tblKok[KokNeden],MATCH($A396,tblKok[A_Norm],0)),""))</f>
        <v/>
      </c>
      <c r="E396" s="17">
        <f>IF($B396&lt;&gt;"tutar_farki","",IF(ABS($C396)&gt;efd_esikFark,"YUKSEK","NORMAL"))</f>
        <v/>
      </c>
      <c r="F396" s="17">
        <f>IF($B396&lt;&gt;"tutar_farki","","Fatura "&amp;$A396&amp;" için fark "&amp;TEXT($C396,"0.00")&amp;" TL. Dayanak: "&amp;$D396&amp;". İtiraz dosyası üretildi.")</f>
        <v/>
      </c>
      <c r="G396" s="17">
        <f>IF($B396&lt;&gt;"tutar_farki","","Beklemede")</f>
        <v/>
      </c>
    </row>
    <row r="397">
      <c r="A397" s="22">
        <f>IF('KOK_NEDEN'!$A397="","",'KOK_NEDEN'!$A397)</f>
        <v/>
      </c>
      <c r="B397" s="17">
        <f>IF($A397="","",IFERROR(INDEX(tblKok[Kova],MATCH($A397,tblKok[A_Norm],0)),""))</f>
        <v/>
      </c>
      <c r="C397" s="17">
        <f>IF($A397="","",IFERROR(INDEX(tblEslesme[Fark],MATCH($A397,tblEslesme[A_Norm],0)),0))</f>
        <v/>
      </c>
      <c r="D397" s="17">
        <f>IF($A397="","",IFERROR(INDEX(tblKok[KokNeden],MATCH($A397,tblKok[A_Norm],0)),""))</f>
        <v/>
      </c>
      <c r="E397" s="17">
        <f>IF($B397&lt;&gt;"tutar_farki","",IF(ABS($C397)&gt;efd_esikFark,"YUKSEK","NORMAL"))</f>
        <v/>
      </c>
      <c r="F397" s="17">
        <f>IF($B397&lt;&gt;"tutar_farki","","Fatura "&amp;$A397&amp;" için fark "&amp;TEXT($C397,"0.00")&amp;" TL. Dayanak: "&amp;$D397&amp;". İtiraz dosyası üretildi.")</f>
        <v/>
      </c>
      <c r="G397" s="17">
        <f>IF($B397&lt;&gt;"tutar_farki","","Beklemede")</f>
        <v/>
      </c>
    </row>
    <row r="398">
      <c r="A398" s="22">
        <f>IF('KOK_NEDEN'!$A398="","",'KOK_NEDEN'!$A398)</f>
        <v/>
      </c>
      <c r="B398" s="17">
        <f>IF($A398="","",IFERROR(INDEX(tblKok[Kova],MATCH($A398,tblKok[A_Norm],0)),""))</f>
        <v/>
      </c>
      <c r="C398" s="17">
        <f>IF($A398="","",IFERROR(INDEX(tblEslesme[Fark],MATCH($A398,tblEslesme[A_Norm],0)),0))</f>
        <v/>
      </c>
      <c r="D398" s="17">
        <f>IF($A398="","",IFERROR(INDEX(tblKok[KokNeden],MATCH($A398,tblKok[A_Norm],0)),""))</f>
        <v/>
      </c>
      <c r="E398" s="17">
        <f>IF($B398&lt;&gt;"tutar_farki","",IF(ABS($C398)&gt;efd_esikFark,"YUKSEK","NORMAL"))</f>
        <v/>
      </c>
      <c r="F398" s="17">
        <f>IF($B398&lt;&gt;"tutar_farki","","Fatura "&amp;$A398&amp;" için fark "&amp;TEXT($C398,"0.00")&amp;" TL. Dayanak: "&amp;$D398&amp;". İtiraz dosyası üretildi.")</f>
        <v/>
      </c>
      <c r="G398" s="17">
        <f>IF($B398&lt;&gt;"tutar_farki","","Beklemede")</f>
        <v/>
      </c>
    </row>
    <row r="399">
      <c r="A399" s="22">
        <f>IF('KOK_NEDEN'!$A399="","",'KOK_NEDEN'!$A399)</f>
        <v/>
      </c>
      <c r="B399" s="17">
        <f>IF($A399="","",IFERROR(INDEX(tblKok[Kova],MATCH($A399,tblKok[A_Norm],0)),""))</f>
        <v/>
      </c>
      <c r="C399" s="17">
        <f>IF($A399="","",IFERROR(INDEX(tblEslesme[Fark],MATCH($A399,tblEslesme[A_Norm],0)),0))</f>
        <v/>
      </c>
      <c r="D399" s="17">
        <f>IF($A399="","",IFERROR(INDEX(tblKok[KokNeden],MATCH($A399,tblKok[A_Norm],0)),""))</f>
        <v/>
      </c>
      <c r="E399" s="17">
        <f>IF($B399&lt;&gt;"tutar_farki","",IF(ABS($C399)&gt;efd_esikFark,"YUKSEK","NORMAL"))</f>
        <v/>
      </c>
      <c r="F399" s="17">
        <f>IF($B399&lt;&gt;"tutar_farki","","Fatura "&amp;$A399&amp;" için fark "&amp;TEXT($C399,"0.00")&amp;" TL. Dayanak: "&amp;$D399&amp;". İtiraz dosyası üretildi.")</f>
        <v/>
      </c>
      <c r="G399" s="17">
        <f>IF($B399&lt;&gt;"tutar_farki","","Beklemede")</f>
        <v/>
      </c>
    </row>
    <row r="400">
      <c r="A400" s="22">
        <f>IF('KOK_NEDEN'!$A400="","",'KOK_NEDEN'!$A400)</f>
        <v/>
      </c>
      <c r="B400" s="17">
        <f>IF($A400="","",IFERROR(INDEX(tblKok[Kova],MATCH($A400,tblKok[A_Norm],0)),""))</f>
        <v/>
      </c>
      <c r="C400" s="17">
        <f>IF($A400="","",IFERROR(INDEX(tblEslesme[Fark],MATCH($A400,tblEslesme[A_Norm],0)),0))</f>
        <v/>
      </c>
      <c r="D400" s="17">
        <f>IF($A400="","",IFERROR(INDEX(tblKok[KokNeden],MATCH($A400,tblKok[A_Norm],0)),""))</f>
        <v/>
      </c>
      <c r="E400" s="17">
        <f>IF($B400&lt;&gt;"tutar_farki","",IF(ABS($C400)&gt;efd_esikFark,"YUKSEK","NORMAL"))</f>
        <v/>
      </c>
      <c r="F400" s="17">
        <f>IF($B400&lt;&gt;"tutar_farki","","Fatura "&amp;$A400&amp;" için fark "&amp;TEXT($C400,"0.00")&amp;" TL. Dayanak: "&amp;$D400&amp;". İtiraz dosyası üretildi.")</f>
        <v/>
      </c>
      <c r="G400" s="17">
        <f>IF($B400&lt;&gt;"tutar_farki","","Beklemede")</f>
        <v/>
      </c>
    </row>
    <row r="401">
      <c r="A401" s="22">
        <f>IF('KOK_NEDEN'!$A401="","",'KOK_NEDEN'!$A401)</f>
        <v/>
      </c>
      <c r="B401" s="17">
        <f>IF($A401="","",IFERROR(INDEX(tblKok[Kova],MATCH($A401,tblKok[A_Norm],0)),""))</f>
        <v/>
      </c>
      <c r="C401" s="17">
        <f>IF($A401="","",IFERROR(INDEX(tblEslesme[Fark],MATCH($A401,tblEslesme[A_Norm],0)),0))</f>
        <v/>
      </c>
      <c r="D401" s="17">
        <f>IF($A401="","",IFERROR(INDEX(tblKok[KokNeden],MATCH($A401,tblKok[A_Norm],0)),""))</f>
        <v/>
      </c>
      <c r="E401" s="17">
        <f>IF($B401&lt;&gt;"tutar_farki","",IF(ABS($C401)&gt;efd_esikFark,"YUKSEK","NORMAL"))</f>
        <v/>
      </c>
      <c r="F401" s="17">
        <f>IF($B401&lt;&gt;"tutar_farki","","Fatura "&amp;$A401&amp;" için fark "&amp;TEXT($C401,"0.00")&amp;" TL. Dayanak: "&amp;$D401&amp;". İtiraz dosyası üretildi.")</f>
        <v/>
      </c>
      <c r="G401" s="17">
        <f>IF($B401&lt;&gt;"tutar_farki","","Beklemede")</f>
        <v/>
      </c>
    </row>
    <row r="402">
      <c r="A402" s="22">
        <f>IF('KOK_NEDEN'!$A402="","",'KOK_NEDEN'!$A402)</f>
        <v/>
      </c>
      <c r="B402" s="17">
        <f>IF($A402="","",IFERROR(INDEX(tblKok[Kova],MATCH($A402,tblKok[A_Norm],0)),""))</f>
        <v/>
      </c>
      <c r="C402" s="17">
        <f>IF($A402="","",IFERROR(INDEX(tblEslesme[Fark],MATCH($A402,tblEslesme[A_Norm],0)),0))</f>
        <v/>
      </c>
      <c r="D402" s="17">
        <f>IF($A402="","",IFERROR(INDEX(tblKok[KokNeden],MATCH($A402,tblKok[A_Norm],0)),""))</f>
        <v/>
      </c>
      <c r="E402" s="17">
        <f>IF($B402&lt;&gt;"tutar_farki","",IF(ABS($C402)&gt;efd_esikFark,"YUKSEK","NORMAL"))</f>
        <v/>
      </c>
      <c r="F402" s="17">
        <f>IF($B402&lt;&gt;"tutar_farki","","Fatura "&amp;$A402&amp;" için fark "&amp;TEXT($C402,"0.00")&amp;" TL. Dayanak: "&amp;$D402&amp;". İtiraz dosyası üretildi.")</f>
        <v/>
      </c>
      <c r="G402" s="17">
        <f>IF($B402&lt;&gt;"tutar_farki","","Beklemede")</f>
        <v/>
      </c>
    </row>
    <row r="403">
      <c r="A403" s="22">
        <f>IF('KOK_NEDEN'!$A403="","",'KOK_NEDEN'!$A403)</f>
        <v/>
      </c>
      <c r="B403" s="17">
        <f>IF($A403="","",IFERROR(INDEX(tblKok[Kova],MATCH($A403,tblKok[A_Norm],0)),""))</f>
        <v/>
      </c>
      <c r="C403" s="17">
        <f>IF($A403="","",IFERROR(INDEX(tblEslesme[Fark],MATCH($A403,tblEslesme[A_Norm],0)),0))</f>
        <v/>
      </c>
      <c r="D403" s="17">
        <f>IF($A403="","",IFERROR(INDEX(tblKok[KokNeden],MATCH($A403,tblKok[A_Norm],0)),""))</f>
        <v/>
      </c>
      <c r="E403" s="17">
        <f>IF($B403&lt;&gt;"tutar_farki","",IF(ABS($C403)&gt;efd_esikFark,"YUKSEK","NORMAL"))</f>
        <v/>
      </c>
      <c r="F403" s="17">
        <f>IF($B403&lt;&gt;"tutar_farki","","Fatura "&amp;$A403&amp;" için fark "&amp;TEXT($C403,"0.00")&amp;" TL. Dayanak: "&amp;$D403&amp;". İtiraz dosyası üretildi.")</f>
        <v/>
      </c>
      <c r="G403" s="17">
        <f>IF($B403&lt;&gt;"tutar_farki","","Beklemede")</f>
        <v/>
      </c>
    </row>
    <row r="404">
      <c r="A404" s="22">
        <f>IF('KOK_NEDEN'!$A404="","",'KOK_NEDEN'!$A404)</f>
        <v/>
      </c>
      <c r="B404" s="17">
        <f>IF($A404="","",IFERROR(INDEX(tblKok[Kova],MATCH($A404,tblKok[A_Norm],0)),""))</f>
        <v/>
      </c>
      <c r="C404" s="17">
        <f>IF($A404="","",IFERROR(INDEX(tblEslesme[Fark],MATCH($A404,tblEslesme[A_Norm],0)),0))</f>
        <v/>
      </c>
      <c r="D404" s="17">
        <f>IF($A404="","",IFERROR(INDEX(tblKok[KokNeden],MATCH($A404,tblKok[A_Norm],0)),""))</f>
        <v/>
      </c>
      <c r="E404" s="17">
        <f>IF($B404&lt;&gt;"tutar_farki","",IF(ABS($C404)&gt;efd_esikFark,"YUKSEK","NORMAL"))</f>
        <v/>
      </c>
      <c r="F404" s="17">
        <f>IF($B404&lt;&gt;"tutar_farki","","Fatura "&amp;$A404&amp;" için fark "&amp;TEXT($C404,"0.00")&amp;" TL. Dayanak: "&amp;$D404&amp;". İtiraz dosyası üretildi.")</f>
        <v/>
      </c>
      <c r="G404" s="17">
        <f>IF($B404&lt;&gt;"tutar_farki","","Beklemede")</f>
        <v/>
      </c>
    </row>
    <row r="405">
      <c r="A405" s="22">
        <f>IF('KOK_NEDEN'!$A405="","",'KOK_NEDEN'!$A405)</f>
        <v/>
      </c>
      <c r="B405" s="17">
        <f>IF($A405="","",IFERROR(INDEX(tblKok[Kova],MATCH($A405,tblKok[A_Norm],0)),""))</f>
        <v/>
      </c>
      <c r="C405" s="17">
        <f>IF($A405="","",IFERROR(INDEX(tblEslesme[Fark],MATCH($A405,tblEslesme[A_Norm],0)),0))</f>
        <v/>
      </c>
      <c r="D405" s="17">
        <f>IF($A405="","",IFERROR(INDEX(tblKok[KokNeden],MATCH($A405,tblKok[A_Norm],0)),""))</f>
        <v/>
      </c>
      <c r="E405" s="17">
        <f>IF($B405&lt;&gt;"tutar_farki","",IF(ABS($C405)&gt;efd_esikFark,"YUKSEK","NORMAL"))</f>
        <v/>
      </c>
      <c r="F405" s="17">
        <f>IF($B405&lt;&gt;"tutar_farki","","Fatura "&amp;$A405&amp;" için fark "&amp;TEXT($C405,"0.00")&amp;" TL. Dayanak: "&amp;$D405&amp;". İtiraz dosyası üretildi.")</f>
        <v/>
      </c>
      <c r="G405" s="17">
        <f>IF($B405&lt;&gt;"tutar_farki","","Beklemede")</f>
        <v/>
      </c>
    </row>
    <row r="406">
      <c r="A406" s="22">
        <f>IF('KOK_NEDEN'!$A406="","",'KOK_NEDEN'!$A406)</f>
        <v/>
      </c>
      <c r="B406" s="17">
        <f>IF($A406="","",IFERROR(INDEX(tblKok[Kova],MATCH($A406,tblKok[A_Norm],0)),""))</f>
        <v/>
      </c>
      <c r="C406" s="17">
        <f>IF($A406="","",IFERROR(INDEX(tblEslesme[Fark],MATCH($A406,tblEslesme[A_Norm],0)),0))</f>
        <v/>
      </c>
      <c r="D406" s="17">
        <f>IF($A406="","",IFERROR(INDEX(tblKok[KokNeden],MATCH($A406,tblKok[A_Norm],0)),""))</f>
        <v/>
      </c>
      <c r="E406" s="17">
        <f>IF($B406&lt;&gt;"tutar_farki","",IF(ABS($C406)&gt;efd_esikFark,"YUKSEK","NORMAL"))</f>
        <v/>
      </c>
      <c r="F406" s="17">
        <f>IF($B406&lt;&gt;"tutar_farki","","Fatura "&amp;$A406&amp;" için fark "&amp;TEXT($C406,"0.00")&amp;" TL. Dayanak: "&amp;$D406&amp;". İtiraz dosyası üretildi.")</f>
        <v/>
      </c>
      <c r="G406" s="17">
        <f>IF($B406&lt;&gt;"tutar_farki","","Beklemede")</f>
        <v/>
      </c>
    </row>
    <row r="407">
      <c r="A407" s="22">
        <f>IF('KOK_NEDEN'!$A407="","",'KOK_NEDEN'!$A407)</f>
        <v/>
      </c>
      <c r="B407" s="17">
        <f>IF($A407="","",IFERROR(INDEX(tblKok[Kova],MATCH($A407,tblKok[A_Norm],0)),""))</f>
        <v/>
      </c>
      <c r="C407" s="17">
        <f>IF($A407="","",IFERROR(INDEX(tblEslesme[Fark],MATCH($A407,tblEslesme[A_Norm],0)),0))</f>
        <v/>
      </c>
      <c r="D407" s="17">
        <f>IF($A407="","",IFERROR(INDEX(tblKok[KokNeden],MATCH($A407,tblKok[A_Norm],0)),""))</f>
        <v/>
      </c>
      <c r="E407" s="17">
        <f>IF($B407&lt;&gt;"tutar_farki","",IF(ABS($C407)&gt;efd_esikFark,"YUKSEK","NORMAL"))</f>
        <v/>
      </c>
      <c r="F407" s="17">
        <f>IF($B407&lt;&gt;"tutar_farki","","Fatura "&amp;$A407&amp;" için fark "&amp;TEXT($C407,"0.00")&amp;" TL. Dayanak: "&amp;$D407&amp;". İtiraz dosyası üretildi.")</f>
        <v/>
      </c>
      <c r="G407" s="17">
        <f>IF($B407&lt;&gt;"tutar_farki","","Beklemede")</f>
        <v/>
      </c>
    </row>
    <row r="408">
      <c r="A408" s="22">
        <f>IF('KOK_NEDEN'!$A408="","",'KOK_NEDEN'!$A408)</f>
        <v/>
      </c>
      <c r="B408" s="17">
        <f>IF($A408="","",IFERROR(INDEX(tblKok[Kova],MATCH($A408,tblKok[A_Norm],0)),""))</f>
        <v/>
      </c>
      <c r="C408" s="17">
        <f>IF($A408="","",IFERROR(INDEX(tblEslesme[Fark],MATCH($A408,tblEslesme[A_Norm],0)),0))</f>
        <v/>
      </c>
      <c r="D408" s="17">
        <f>IF($A408="","",IFERROR(INDEX(tblKok[KokNeden],MATCH($A408,tblKok[A_Norm],0)),""))</f>
        <v/>
      </c>
      <c r="E408" s="17">
        <f>IF($B408&lt;&gt;"tutar_farki","",IF(ABS($C408)&gt;efd_esikFark,"YUKSEK","NORMAL"))</f>
        <v/>
      </c>
      <c r="F408" s="17">
        <f>IF($B408&lt;&gt;"tutar_farki","","Fatura "&amp;$A408&amp;" için fark "&amp;TEXT($C408,"0.00")&amp;" TL. Dayanak: "&amp;$D408&amp;". İtiraz dosyası üretildi.")</f>
        <v/>
      </c>
      <c r="G408" s="17">
        <f>IF($B408&lt;&gt;"tutar_farki","","Beklemede")</f>
        <v/>
      </c>
    </row>
    <row r="409">
      <c r="A409" s="22">
        <f>IF('KOK_NEDEN'!$A409="","",'KOK_NEDEN'!$A409)</f>
        <v/>
      </c>
      <c r="B409" s="17">
        <f>IF($A409="","",IFERROR(INDEX(tblKok[Kova],MATCH($A409,tblKok[A_Norm],0)),""))</f>
        <v/>
      </c>
      <c r="C409" s="17">
        <f>IF($A409="","",IFERROR(INDEX(tblEslesme[Fark],MATCH($A409,tblEslesme[A_Norm],0)),0))</f>
        <v/>
      </c>
      <c r="D409" s="17">
        <f>IF($A409="","",IFERROR(INDEX(tblKok[KokNeden],MATCH($A409,tblKok[A_Norm],0)),""))</f>
        <v/>
      </c>
      <c r="E409" s="17">
        <f>IF($B409&lt;&gt;"tutar_farki","",IF(ABS($C409)&gt;efd_esikFark,"YUKSEK","NORMAL"))</f>
        <v/>
      </c>
      <c r="F409" s="17">
        <f>IF($B409&lt;&gt;"tutar_farki","","Fatura "&amp;$A409&amp;" için fark "&amp;TEXT($C409,"0.00")&amp;" TL. Dayanak: "&amp;$D409&amp;". İtiraz dosyası üretildi.")</f>
        <v/>
      </c>
      <c r="G409" s="17">
        <f>IF($B409&lt;&gt;"tutar_farki","","Beklemede")</f>
        <v/>
      </c>
    </row>
    <row r="410">
      <c r="A410" s="22">
        <f>IF('KOK_NEDEN'!$A410="","",'KOK_NEDEN'!$A410)</f>
        <v/>
      </c>
      <c r="B410" s="17">
        <f>IF($A410="","",IFERROR(INDEX(tblKok[Kova],MATCH($A410,tblKok[A_Norm],0)),""))</f>
        <v/>
      </c>
      <c r="C410" s="17">
        <f>IF($A410="","",IFERROR(INDEX(tblEslesme[Fark],MATCH($A410,tblEslesme[A_Norm],0)),0))</f>
        <v/>
      </c>
      <c r="D410" s="17">
        <f>IF($A410="","",IFERROR(INDEX(tblKok[KokNeden],MATCH($A410,tblKok[A_Norm],0)),""))</f>
        <v/>
      </c>
      <c r="E410" s="17">
        <f>IF($B410&lt;&gt;"tutar_farki","",IF(ABS($C410)&gt;efd_esikFark,"YUKSEK","NORMAL"))</f>
        <v/>
      </c>
      <c r="F410" s="17">
        <f>IF($B410&lt;&gt;"tutar_farki","","Fatura "&amp;$A410&amp;" için fark "&amp;TEXT($C410,"0.00")&amp;" TL. Dayanak: "&amp;$D410&amp;". İtiraz dosyası üretildi.")</f>
        <v/>
      </c>
      <c r="G410" s="17">
        <f>IF($B410&lt;&gt;"tutar_farki","","Beklemede")</f>
        <v/>
      </c>
    </row>
    <row r="411">
      <c r="A411" s="22">
        <f>IF('KOK_NEDEN'!$A411="","",'KOK_NEDEN'!$A411)</f>
        <v/>
      </c>
      <c r="B411" s="17">
        <f>IF($A411="","",IFERROR(INDEX(tblKok[Kova],MATCH($A411,tblKok[A_Norm],0)),""))</f>
        <v/>
      </c>
      <c r="C411" s="17">
        <f>IF($A411="","",IFERROR(INDEX(tblEslesme[Fark],MATCH($A411,tblEslesme[A_Norm],0)),0))</f>
        <v/>
      </c>
      <c r="D411" s="17">
        <f>IF($A411="","",IFERROR(INDEX(tblKok[KokNeden],MATCH($A411,tblKok[A_Norm],0)),""))</f>
        <v/>
      </c>
      <c r="E411" s="17">
        <f>IF($B411&lt;&gt;"tutar_farki","",IF(ABS($C411)&gt;efd_esikFark,"YUKSEK","NORMAL"))</f>
        <v/>
      </c>
      <c r="F411" s="17">
        <f>IF($B411&lt;&gt;"tutar_farki","","Fatura "&amp;$A411&amp;" için fark "&amp;TEXT($C411,"0.00")&amp;" TL. Dayanak: "&amp;$D411&amp;". İtiraz dosyası üretildi.")</f>
        <v/>
      </c>
      <c r="G411" s="17">
        <f>IF($B411&lt;&gt;"tutar_farki","","Beklemede")</f>
        <v/>
      </c>
    </row>
    <row r="412">
      <c r="A412" s="22">
        <f>IF('KOK_NEDEN'!$A412="","",'KOK_NEDEN'!$A412)</f>
        <v/>
      </c>
      <c r="B412" s="17">
        <f>IF($A412="","",IFERROR(INDEX(tblKok[Kova],MATCH($A412,tblKok[A_Norm],0)),""))</f>
        <v/>
      </c>
      <c r="C412" s="17">
        <f>IF($A412="","",IFERROR(INDEX(tblEslesme[Fark],MATCH($A412,tblEslesme[A_Norm],0)),0))</f>
        <v/>
      </c>
      <c r="D412" s="17">
        <f>IF($A412="","",IFERROR(INDEX(tblKok[KokNeden],MATCH($A412,tblKok[A_Norm],0)),""))</f>
        <v/>
      </c>
      <c r="E412" s="17">
        <f>IF($B412&lt;&gt;"tutar_farki","",IF(ABS($C412)&gt;efd_esikFark,"YUKSEK","NORMAL"))</f>
        <v/>
      </c>
      <c r="F412" s="17">
        <f>IF($B412&lt;&gt;"tutar_farki","","Fatura "&amp;$A412&amp;" için fark "&amp;TEXT($C412,"0.00")&amp;" TL. Dayanak: "&amp;$D412&amp;". İtiraz dosyası üretildi.")</f>
        <v/>
      </c>
      <c r="G412" s="17">
        <f>IF($B412&lt;&gt;"tutar_farki","","Beklemede")</f>
        <v/>
      </c>
    </row>
    <row r="413">
      <c r="A413" s="22">
        <f>IF('KOK_NEDEN'!$A413="","",'KOK_NEDEN'!$A413)</f>
        <v/>
      </c>
      <c r="B413" s="17">
        <f>IF($A413="","",IFERROR(INDEX(tblKok[Kova],MATCH($A413,tblKok[A_Norm],0)),""))</f>
        <v/>
      </c>
      <c r="C413" s="17">
        <f>IF($A413="","",IFERROR(INDEX(tblEslesme[Fark],MATCH($A413,tblEslesme[A_Norm],0)),0))</f>
        <v/>
      </c>
      <c r="D413" s="17">
        <f>IF($A413="","",IFERROR(INDEX(tblKok[KokNeden],MATCH($A413,tblKok[A_Norm],0)),""))</f>
        <v/>
      </c>
      <c r="E413" s="17">
        <f>IF($B413&lt;&gt;"tutar_farki","",IF(ABS($C413)&gt;efd_esikFark,"YUKSEK","NORMAL"))</f>
        <v/>
      </c>
      <c r="F413" s="17">
        <f>IF($B413&lt;&gt;"tutar_farki","","Fatura "&amp;$A413&amp;" için fark "&amp;TEXT($C413,"0.00")&amp;" TL. Dayanak: "&amp;$D413&amp;". İtiraz dosyası üretildi.")</f>
        <v/>
      </c>
      <c r="G413" s="17">
        <f>IF($B413&lt;&gt;"tutar_farki","","Beklemede")</f>
        <v/>
      </c>
    </row>
    <row r="414">
      <c r="A414" s="22">
        <f>IF('KOK_NEDEN'!$A414="","",'KOK_NEDEN'!$A414)</f>
        <v/>
      </c>
      <c r="B414" s="17">
        <f>IF($A414="","",IFERROR(INDEX(tblKok[Kova],MATCH($A414,tblKok[A_Norm],0)),""))</f>
        <v/>
      </c>
      <c r="C414" s="17">
        <f>IF($A414="","",IFERROR(INDEX(tblEslesme[Fark],MATCH($A414,tblEslesme[A_Norm],0)),0))</f>
        <v/>
      </c>
      <c r="D414" s="17">
        <f>IF($A414="","",IFERROR(INDEX(tblKok[KokNeden],MATCH($A414,tblKok[A_Norm],0)),""))</f>
        <v/>
      </c>
      <c r="E414" s="17">
        <f>IF($B414&lt;&gt;"tutar_farki","",IF(ABS($C414)&gt;efd_esikFark,"YUKSEK","NORMAL"))</f>
        <v/>
      </c>
      <c r="F414" s="17">
        <f>IF($B414&lt;&gt;"tutar_farki","","Fatura "&amp;$A414&amp;" için fark "&amp;TEXT($C414,"0.00")&amp;" TL. Dayanak: "&amp;$D414&amp;". İtiraz dosyası üretildi.")</f>
        <v/>
      </c>
      <c r="G414" s="17">
        <f>IF($B414&lt;&gt;"tutar_farki","","Beklemede")</f>
        <v/>
      </c>
    </row>
    <row r="415">
      <c r="A415" s="22">
        <f>IF('KOK_NEDEN'!$A415="","",'KOK_NEDEN'!$A415)</f>
        <v/>
      </c>
      <c r="B415" s="17">
        <f>IF($A415="","",IFERROR(INDEX(tblKok[Kova],MATCH($A415,tblKok[A_Norm],0)),""))</f>
        <v/>
      </c>
      <c r="C415" s="17">
        <f>IF($A415="","",IFERROR(INDEX(tblEslesme[Fark],MATCH($A415,tblEslesme[A_Norm],0)),0))</f>
        <v/>
      </c>
      <c r="D415" s="17">
        <f>IF($A415="","",IFERROR(INDEX(tblKok[KokNeden],MATCH($A415,tblKok[A_Norm],0)),""))</f>
        <v/>
      </c>
      <c r="E415" s="17">
        <f>IF($B415&lt;&gt;"tutar_farki","",IF(ABS($C415)&gt;efd_esikFark,"YUKSEK","NORMAL"))</f>
        <v/>
      </c>
      <c r="F415" s="17">
        <f>IF($B415&lt;&gt;"tutar_farki","","Fatura "&amp;$A415&amp;" için fark "&amp;TEXT($C415,"0.00")&amp;" TL. Dayanak: "&amp;$D415&amp;". İtiraz dosyası üretildi.")</f>
        <v/>
      </c>
      <c r="G415" s="17">
        <f>IF($B415&lt;&gt;"tutar_farki","","Beklemede")</f>
        <v/>
      </c>
    </row>
    <row r="416">
      <c r="A416" s="22">
        <f>IF('KOK_NEDEN'!$A416="","",'KOK_NEDEN'!$A416)</f>
        <v/>
      </c>
      <c r="B416" s="17">
        <f>IF($A416="","",IFERROR(INDEX(tblKok[Kova],MATCH($A416,tblKok[A_Norm],0)),""))</f>
        <v/>
      </c>
      <c r="C416" s="17">
        <f>IF($A416="","",IFERROR(INDEX(tblEslesme[Fark],MATCH($A416,tblEslesme[A_Norm],0)),0))</f>
        <v/>
      </c>
      <c r="D416" s="17">
        <f>IF($A416="","",IFERROR(INDEX(tblKok[KokNeden],MATCH($A416,tblKok[A_Norm],0)),""))</f>
        <v/>
      </c>
      <c r="E416" s="17">
        <f>IF($B416&lt;&gt;"tutar_farki","",IF(ABS($C416)&gt;efd_esikFark,"YUKSEK","NORMAL"))</f>
        <v/>
      </c>
      <c r="F416" s="17">
        <f>IF($B416&lt;&gt;"tutar_farki","","Fatura "&amp;$A416&amp;" için fark "&amp;TEXT($C416,"0.00")&amp;" TL. Dayanak: "&amp;$D416&amp;". İtiraz dosyası üretildi.")</f>
        <v/>
      </c>
      <c r="G416" s="17">
        <f>IF($B416&lt;&gt;"tutar_farki","","Beklemede")</f>
        <v/>
      </c>
    </row>
    <row r="417">
      <c r="A417" s="22">
        <f>IF('KOK_NEDEN'!$A417="","",'KOK_NEDEN'!$A417)</f>
        <v/>
      </c>
      <c r="B417" s="17">
        <f>IF($A417="","",IFERROR(INDEX(tblKok[Kova],MATCH($A417,tblKok[A_Norm],0)),""))</f>
        <v/>
      </c>
      <c r="C417" s="17">
        <f>IF($A417="","",IFERROR(INDEX(tblEslesme[Fark],MATCH($A417,tblEslesme[A_Norm],0)),0))</f>
        <v/>
      </c>
      <c r="D417" s="17">
        <f>IF($A417="","",IFERROR(INDEX(tblKok[KokNeden],MATCH($A417,tblKok[A_Norm],0)),""))</f>
        <v/>
      </c>
      <c r="E417" s="17">
        <f>IF($B417&lt;&gt;"tutar_farki","",IF(ABS($C417)&gt;efd_esikFark,"YUKSEK","NORMAL"))</f>
        <v/>
      </c>
      <c r="F417" s="17">
        <f>IF($B417&lt;&gt;"tutar_farki","","Fatura "&amp;$A417&amp;" için fark "&amp;TEXT($C417,"0.00")&amp;" TL. Dayanak: "&amp;$D417&amp;". İtiraz dosyası üretildi.")</f>
        <v/>
      </c>
      <c r="G417" s="17">
        <f>IF($B417&lt;&gt;"tutar_farki","","Beklemede")</f>
        <v/>
      </c>
    </row>
    <row r="418">
      <c r="A418" s="22">
        <f>IF('KOK_NEDEN'!$A418="","",'KOK_NEDEN'!$A418)</f>
        <v/>
      </c>
      <c r="B418" s="17">
        <f>IF($A418="","",IFERROR(INDEX(tblKok[Kova],MATCH($A418,tblKok[A_Norm],0)),""))</f>
        <v/>
      </c>
      <c r="C418" s="17">
        <f>IF($A418="","",IFERROR(INDEX(tblEslesme[Fark],MATCH($A418,tblEslesme[A_Norm],0)),0))</f>
        <v/>
      </c>
      <c r="D418" s="17">
        <f>IF($A418="","",IFERROR(INDEX(tblKok[KokNeden],MATCH($A418,tblKok[A_Norm],0)),""))</f>
        <v/>
      </c>
      <c r="E418" s="17">
        <f>IF($B418&lt;&gt;"tutar_farki","",IF(ABS($C418)&gt;efd_esikFark,"YUKSEK","NORMAL"))</f>
        <v/>
      </c>
      <c r="F418" s="17">
        <f>IF($B418&lt;&gt;"tutar_farki","","Fatura "&amp;$A418&amp;" için fark "&amp;TEXT($C418,"0.00")&amp;" TL. Dayanak: "&amp;$D418&amp;". İtiraz dosyası üretildi.")</f>
        <v/>
      </c>
      <c r="G418" s="17">
        <f>IF($B418&lt;&gt;"tutar_farki","","Beklemede")</f>
        <v/>
      </c>
    </row>
    <row r="419">
      <c r="A419" s="22">
        <f>IF('KOK_NEDEN'!$A419="","",'KOK_NEDEN'!$A419)</f>
        <v/>
      </c>
      <c r="B419" s="17">
        <f>IF($A419="","",IFERROR(INDEX(tblKok[Kova],MATCH($A419,tblKok[A_Norm],0)),""))</f>
        <v/>
      </c>
      <c r="C419" s="17">
        <f>IF($A419="","",IFERROR(INDEX(tblEslesme[Fark],MATCH($A419,tblEslesme[A_Norm],0)),0))</f>
        <v/>
      </c>
      <c r="D419" s="17">
        <f>IF($A419="","",IFERROR(INDEX(tblKok[KokNeden],MATCH($A419,tblKok[A_Norm],0)),""))</f>
        <v/>
      </c>
      <c r="E419" s="17">
        <f>IF($B419&lt;&gt;"tutar_farki","",IF(ABS($C419)&gt;efd_esikFark,"YUKSEK","NORMAL"))</f>
        <v/>
      </c>
      <c r="F419" s="17">
        <f>IF($B419&lt;&gt;"tutar_farki","","Fatura "&amp;$A419&amp;" için fark "&amp;TEXT($C419,"0.00")&amp;" TL. Dayanak: "&amp;$D419&amp;". İtiraz dosyası üretildi.")</f>
        <v/>
      </c>
      <c r="G419" s="17">
        <f>IF($B419&lt;&gt;"tutar_farki","","Beklemede")</f>
        <v/>
      </c>
    </row>
    <row r="420">
      <c r="A420" s="22">
        <f>IF('KOK_NEDEN'!$A420="","",'KOK_NEDEN'!$A420)</f>
        <v/>
      </c>
      <c r="B420" s="17">
        <f>IF($A420="","",IFERROR(INDEX(tblKok[Kova],MATCH($A420,tblKok[A_Norm],0)),""))</f>
        <v/>
      </c>
      <c r="C420" s="17">
        <f>IF($A420="","",IFERROR(INDEX(tblEslesme[Fark],MATCH($A420,tblEslesme[A_Norm],0)),0))</f>
        <v/>
      </c>
      <c r="D420" s="17">
        <f>IF($A420="","",IFERROR(INDEX(tblKok[KokNeden],MATCH($A420,tblKok[A_Norm],0)),""))</f>
        <v/>
      </c>
      <c r="E420" s="17">
        <f>IF($B420&lt;&gt;"tutar_farki","",IF(ABS($C420)&gt;efd_esikFark,"YUKSEK","NORMAL"))</f>
        <v/>
      </c>
      <c r="F420" s="17">
        <f>IF($B420&lt;&gt;"tutar_farki","","Fatura "&amp;$A420&amp;" için fark "&amp;TEXT($C420,"0.00")&amp;" TL. Dayanak: "&amp;$D420&amp;". İtiraz dosyası üretildi.")</f>
        <v/>
      </c>
      <c r="G420" s="17">
        <f>IF($B420&lt;&gt;"tutar_farki","","Beklemede")</f>
        <v/>
      </c>
    </row>
    <row r="421">
      <c r="A421" s="22">
        <f>IF('KOK_NEDEN'!$A421="","",'KOK_NEDEN'!$A421)</f>
        <v/>
      </c>
      <c r="B421" s="17">
        <f>IF($A421="","",IFERROR(INDEX(tblKok[Kova],MATCH($A421,tblKok[A_Norm],0)),""))</f>
        <v/>
      </c>
      <c r="C421" s="17">
        <f>IF($A421="","",IFERROR(INDEX(tblEslesme[Fark],MATCH($A421,tblEslesme[A_Norm],0)),0))</f>
        <v/>
      </c>
      <c r="D421" s="17">
        <f>IF($A421="","",IFERROR(INDEX(tblKok[KokNeden],MATCH($A421,tblKok[A_Norm],0)),""))</f>
        <v/>
      </c>
      <c r="E421" s="17">
        <f>IF($B421&lt;&gt;"tutar_farki","",IF(ABS($C421)&gt;efd_esikFark,"YUKSEK","NORMAL"))</f>
        <v/>
      </c>
      <c r="F421" s="17">
        <f>IF($B421&lt;&gt;"tutar_farki","","Fatura "&amp;$A421&amp;" için fark "&amp;TEXT($C421,"0.00")&amp;" TL. Dayanak: "&amp;$D421&amp;". İtiraz dosyası üretildi.")</f>
        <v/>
      </c>
      <c r="G421" s="17">
        <f>IF($B421&lt;&gt;"tutar_farki","","Beklemede")</f>
        <v/>
      </c>
    </row>
    <row r="422">
      <c r="A422" s="22">
        <f>IF('KOK_NEDEN'!$A422="","",'KOK_NEDEN'!$A422)</f>
        <v/>
      </c>
      <c r="B422" s="17">
        <f>IF($A422="","",IFERROR(INDEX(tblKok[Kova],MATCH($A422,tblKok[A_Norm],0)),""))</f>
        <v/>
      </c>
      <c r="C422" s="17">
        <f>IF($A422="","",IFERROR(INDEX(tblEslesme[Fark],MATCH($A422,tblEslesme[A_Norm],0)),0))</f>
        <v/>
      </c>
      <c r="D422" s="17">
        <f>IF($A422="","",IFERROR(INDEX(tblKok[KokNeden],MATCH($A422,tblKok[A_Norm],0)),""))</f>
        <v/>
      </c>
      <c r="E422" s="17">
        <f>IF($B422&lt;&gt;"tutar_farki","",IF(ABS($C422)&gt;efd_esikFark,"YUKSEK","NORMAL"))</f>
        <v/>
      </c>
      <c r="F422" s="17">
        <f>IF($B422&lt;&gt;"tutar_farki","","Fatura "&amp;$A422&amp;" için fark "&amp;TEXT($C422,"0.00")&amp;" TL. Dayanak: "&amp;$D422&amp;". İtiraz dosyası üretildi.")</f>
        <v/>
      </c>
      <c r="G422" s="17">
        <f>IF($B422&lt;&gt;"tutar_farki","","Beklemede")</f>
        <v/>
      </c>
    </row>
    <row r="423">
      <c r="A423" s="22">
        <f>IF('KOK_NEDEN'!$A423="","",'KOK_NEDEN'!$A423)</f>
        <v/>
      </c>
      <c r="B423" s="17">
        <f>IF($A423="","",IFERROR(INDEX(tblKok[Kova],MATCH($A423,tblKok[A_Norm],0)),""))</f>
        <v/>
      </c>
      <c r="C423" s="17">
        <f>IF($A423="","",IFERROR(INDEX(tblEslesme[Fark],MATCH($A423,tblEslesme[A_Norm],0)),0))</f>
        <v/>
      </c>
      <c r="D423" s="17">
        <f>IF($A423="","",IFERROR(INDEX(tblKok[KokNeden],MATCH($A423,tblKok[A_Norm],0)),""))</f>
        <v/>
      </c>
      <c r="E423" s="17">
        <f>IF($B423&lt;&gt;"tutar_farki","",IF(ABS($C423)&gt;efd_esikFark,"YUKSEK","NORMAL"))</f>
        <v/>
      </c>
      <c r="F423" s="17">
        <f>IF($B423&lt;&gt;"tutar_farki","","Fatura "&amp;$A423&amp;" için fark "&amp;TEXT($C423,"0.00")&amp;" TL. Dayanak: "&amp;$D423&amp;". İtiraz dosyası üretildi.")</f>
        <v/>
      </c>
      <c r="G423" s="17">
        <f>IF($B423&lt;&gt;"tutar_farki","","Beklemede")</f>
        <v/>
      </c>
    </row>
    <row r="424">
      <c r="A424" s="22">
        <f>IF('KOK_NEDEN'!$A424="","",'KOK_NEDEN'!$A424)</f>
        <v/>
      </c>
      <c r="B424" s="17">
        <f>IF($A424="","",IFERROR(INDEX(tblKok[Kova],MATCH($A424,tblKok[A_Norm],0)),""))</f>
        <v/>
      </c>
      <c r="C424" s="17">
        <f>IF($A424="","",IFERROR(INDEX(tblEslesme[Fark],MATCH($A424,tblEslesme[A_Norm],0)),0))</f>
        <v/>
      </c>
      <c r="D424" s="17">
        <f>IF($A424="","",IFERROR(INDEX(tblKok[KokNeden],MATCH($A424,tblKok[A_Norm],0)),""))</f>
        <v/>
      </c>
      <c r="E424" s="17">
        <f>IF($B424&lt;&gt;"tutar_farki","",IF(ABS($C424)&gt;efd_esikFark,"YUKSEK","NORMAL"))</f>
        <v/>
      </c>
      <c r="F424" s="17">
        <f>IF($B424&lt;&gt;"tutar_farki","","Fatura "&amp;$A424&amp;" için fark "&amp;TEXT($C424,"0.00")&amp;" TL. Dayanak: "&amp;$D424&amp;". İtiraz dosyası üretildi.")</f>
        <v/>
      </c>
      <c r="G424" s="17">
        <f>IF($B424&lt;&gt;"tutar_farki","","Beklemede")</f>
        <v/>
      </c>
    </row>
    <row r="425">
      <c r="A425" s="22">
        <f>IF('KOK_NEDEN'!$A425="","",'KOK_NEDEN'!$A425)</f>
        <v/>
      </c>
      <c r="B425" s="17">
        <f>IF($A425="","",IFERROR(INDEX(tblKok[Kova],MATCH($A425,tblKok[A_Norm],0)),""))</f>
        <v/>
      </c>
      <c r="C425" s="17">
        <f>IF($A425="","",IFERROR(INDEX(tblEslesme[Fark],MATCH($A425,tblEslesme[A_Norm],0)),0))</f>
        <v/>
      </c>
      <c r="D425" s="17">
        <f>IF($A425="","",IFERROR(INDEX(tblKok[KokNeden],MATCH($A425,tblKok[A_Norm],0)),""))</f>
        <v/>
      </c>
      <c r="E425" s="17">
        <f>IF($B425&lt;&gt;"tutar_farki","",IF(ABS($C425)&gt;efd_esikFark,"YUKSEK","NORMAL"))</f>
        <v/>
      </c>
      <c r="F425" s="17">
        <f>IF($B425&lt;&gt;"tutar_farki","","Fatura "&amp;$A425&amp;" için fark "&amp;TEXT($C425,"0.00")&amp;" TL. Dayanak: "&amp;$D425&amp;". İtiraz dosyası üretildi.")</f>
        <v/>
      </c>
      <c r="G425" s="17">
        <f>IF($B425&lt;&gt;"tutar_farki","","Beklemede")</f>
        <v/>
      </c>
    </row>
    <row r="426">
      <c r="A426" s="22">
        <f>IF('KOK_NEDEN'!$A426="","",'KOK_NEDEN'!$A426)</f>
        <v/>
      </c>
      <c r="B426" s="17">
        <f>IF($A426="","",IFERROR(INDEX(tblKok[Kova],MATCH($A426,tblKok[A_Norm],0)),""))</f>
        <v/>
      </c>
      <c r="C426" s="17">
        <f>IF($A426="","",IFERROR(INDEX(tblEslesme[Fark],MATCH($A426,tblEslesme[A_Norm],0)),0))</f>
        <v/>
      </c>
      <c r="D426" s="17">
        <f>IF($A426="","",IFERROR(INDEX(tblKok[KokNeden],MATCH($A426,tblKok[A_Norm],0)),""))</f>
        <v/>
      </c>
      <c r="E426" s="17">
        <f>IF($B426&lt;&gt;"tutar_farki","",IF(ABS($C426)&gt;efd_esikFark,"YUKSEK","NORMAL"))</f>
        <v/>
      </c>
      <c r="F426" s="17">
        <f>IF($B426&lt;&gt;"tutar_farki","","Fatura "&amp;$A426&amp;" için fark "&amp;TEXT($C426,"0.00")&amp;" TL. Dayanak: "&amp;$D426&amp;". İtiraz dosyası üretildi.")</f>
        <v/>
      </c>
      <c r="G426" s="17">
        <f>IF($B426&lt;&gt;"tutar_farki","","Beklemede")</f>
        <v/>
      </c>
    </row>
    <row r="427">
      <c r="A427" s="22">
        <f>IF('KOK_NEDEN'!$A427="","",'KOK_NEDEN'!$A427)</f>
        <v/>
      </c>
      <c r="B427" s="17">
        <f>IF($A427="","",IFERROR(INDEX(tblKok[Kova],MATCH($A427,tblKok[A_Norm],0)),""))</f>
        <v/>
      </c>
      <c r="C427" s="17">
        <f>IF($A427="","",IFERROR(INDEX(tblEslesme[Fark],MATCH($A427,tblEslesme[A_Norm],0)),0))</f>
        <v/>
      </c>
      <c r="D427" s="17">
        <f>IF($A427="","",IFERROR(INDEX(tblKok[KokNeden],MATCH($A427,tblKok[A_Norm],0)),""))</f>
        <v/>
      </c>
      <c r="E427" s="17">
        <f>IF($B427&lt;&gt;"tutar_farki","",IF(ABS($C427)&gt;efd_esikFark,"YUKSEK","NORMAL"))</f>
        <v/>
      </c>
      <c r="F427" s="17">
        <f>IF($B427&lt;&gt;"tutar_farki","","Fatura "&amp;$A427&amp;" için fark "&amp;TEXT($C427,"0.00")&amp;" TL. Dayanak: "&amp;$D427&amp;". İtiraz dosyası üretildi.")</f>
        <v/>
      </c>
      <c r="G427" s="17">
        <f>IF($B427&lt;&gt;"tutar_farki","","Beklemede")</f>
        <v/>
      </c>
    </row>
    <row r="428">
      <c r="A428" s="22">
        <f>IF('KOK_NEDEN'!$A428="","",'KOK_NEDEN'!$A428)</f>
        <v/>
      </c>
      <c r="B428" s="17">
        <f>IF($A428="","",IFERROR(INDEX(tblKok[Kova],MATCH($A428,tblKok[A_Norm],0)),""))</f>
        <v/>
      </c>
      <c r="C428" s="17">
        <f>IF($A428="","",IFERROR(INDEX(tblEslesme[Fark],MATCH($A428,tblEslesme[A_Norm],0)),0))</f>
        <v/>
      </c>
      <c r="D428" s="17">
        <f>IF($A428="","",IFERROR(INDEX(tblKok[KokNeden],MATCH($A428,tblKok[A_Norm],0)),""))</f>
        <v/>
      </c>
      <c r="E428" s="17">
        <f>IF($B428&lt;&gt;"tutar_farki","",IF(ABS($C428)&gt;efd_esikFark,"YUKSEK","NORMAL"))</f>
        <v/>
      </c>
      <c r="F428" s="17">
        <f>IF($B428&lt;&gt;"tutar_farki","","Fatura "&amp;$A428&amp;" için fark "&amp;TEXT($C428,"0.00")&amp;" TL. Dayanak: "&amp;$D428&amp;". İtiraz dosyası üretildi.")</f>
        <v/>
      </c>
      <c r="G428" s="17">
        <f>IF($B428&lt;&gt;"tutar_farki","","Beklemede")</f>
        <v/>
      </c>
    </row>
    <row r="429">
      <c r="A429" s="22">
        <f>IF('KOK_NEDEN'!$A429="","",'KOK_NEDEN'!$A429)</f>
        <v/>
      </c>
      <c r="B429" s="17">
        <f>IF($A429="","",IFERROR(INDEX(tblKok[Kova],MATCH($A429,tblKok[A_Norm],0)),""))</f>
        <v/>
      </c>
      <c r="C429" s="17">
        <f>IF($A429="","",IFERROR(INDEX(tblEslesme[Fark],MATCH($A429,tblEslesme[A_Norm],0)),0))</f>
        <v/>
      </c>
      <c r="D429" s="17">
        <f>IF($A429="","",IFERROR(INDEX(tblKok[KokNeden],MATCH($A429,tblKok[A_Norm],0)),""))</f>
        <v/>
      </c>
      <c r="E429" s="17">
        <f>IF($B429&lt;&gt;"tutar_farki","",IF(ABS($C429)&gt;efd_esikFark,"YUKSEK","NORMAL"))</f>
        <v/>
      </c>
      <c r="F429" s="17">
        <f>IF($B429&lt;&gt;"tutar_farki","","Fatura "&amp;$A429&amp;" için fark "&amp;TEXT($C429,"0.00")&amp;" TL. Dayanak: "&amp;$D429&amp;". İtiraz dosyası üretildi.")</f>
        <v/>
      </c>
      <c r="G429" s="17">
        <f>IF($B429&lt;&gt;"tutar_farki","","Beklemede")</f>
        <v/>
      </c>
    </row>
    <row r="430">
      <c r="A430" s="22">
        <f>IF('KOK_NEDEN'!$A430="","",'KOK_NEDEN'!$A430)</f>
        <v/>
      </c>
      <c r="B430" s="17">
        <f>IF($A430="","",IFERROR(INDEX(tblKok[Kova],MATCH($A430,tblKok[A_Norm],0)),""))</f>
        <v/>
      </c>
      <c r="C430" s="17">
        <f>IF($A430="","",IFERROR(INDEX(tblEslesme[Fark],MATCH($A430,tblEslesme[A_Norm],0)),0))</f>
        <v/>
      </c>
      <c r="D430" s="17">
        <f>IF($A430="","",IFERROR(INDEX(tblKok[KokNeden],MATCH($A430,tblKok[A_Norm],0)),""))</f>
        <v/>
      </c>
      <c r="E430" s="17">
        <f>IF($B430&lt;&gt;"tutar_farki","",IF(ABS($C430)&gt;efd_esikFark,"YUKSEK","NORMAL"))</f>
        <v/>
      </c>
      <c r="F430" s="17">
        <f>IF($B430&lt;&gt;"tutar_farki","","Fatura "&amp;$A430&amp;" için fark "&amp;TEXT($C430,"0.00")&amp;" TL. Dayanak: "&amp;$D430&amp;". İtiraz dosyası üretildi.")</f>
        <v/>
      </c>
      <c r="G430" s="17">
        <f>IF($B430&lt;&gt;"tutar_farki","","Beklemede")</f>
        <v/>
      </c>
    </row>
    <row r="431">
      <c r="A431" s="22">
        <f>IF('KOK_NEDEN'!$A431="","",'KOK_NEDEN'!$A431)</f>
        <v/>
      </c>
      <c r="B431" s="17">
        <f>IF($A431="","",IFERROR(INDEX(tblKok[Kova],MATCH($A431,tblKok[A_Norm],0)),""))</f>
        <v/>
      </c>
      <c r="C431" s="17">
        <f>IF($A431="","",IFERROR(INDEX(tblEslesme[Fark],MATCH($A431,tblEslesme[A_Norm],0)),0))</f>
        <v/>
      </c>
      <c r="D431" s="17">
        <f>IF($A431="","",IFERROR(INDEX(tblKok[KokNeden],MATCH($A431,tblKok[A_Norm],0)),""))</f>
        <v/>
      </c>
      <c r="E431" s="17">
        <f>IF($B431&lt;&gt;"tutar_farki","",IF(ABS($C431)&gt;efd_esikFark,"YUKSEK","NORMAL"))</f>
        <v/>
      </c>
      <c r="F431" s="17">
        <f>IF($B431&lt;&gt;"tutar_farki","","Fatura "&amp;$A431&amp;" için fark "&amp;TEXT($C431,"0.00")&amp;" TL. Dayanak: "&amp;$D431&amp;". İtiraz dosyası üretildi.")</f>
        <v/>
      </c>
      <c r="G431" s="17">
        <f>IF($B431&lt;&gt;"tutar_farki","","Beklemede")</f>
        <v/>
      </c>
    </row>
    <row r="432">
      <c r="A432" s="22">
        <f>IF('KOK_NEDEN'!$A432="","",'KOK_NEDEN'!$A432)</f>
        <v/>
      </c>
      <c r="B432" s="17">
        <f>IF($A432="","",IFERROR(INDEX(tblKok[Kova],MATCH($A432,tblKok[A_Norm],0)),""))</f>
        <v/>
      </c>
      <c r="C432" s="17">
        <f>IF($A432="","",IFERROR(INDEX(tblEslesme[Fark],MATCH($A432,tblEslesme[A_Norm],0)),0))</f>
        <v/>
      </c>
      <c r="D432" s="17">
        <f>IF($A432="","",IFERROR(INDEX(tblKok[KokNeden],MATCH($A432,tblKok[A_Norm],0)),""))</f>
        <v/>
      </c>
      <c r="E432" s="17">
        <f>IF($B432&lt;&gt;"tutar_farki","",IF(ABS($C432)&gt;efd_esikFark,"YUKSEK","NORMAL"))</f>
        <v/>
      </c>
      <c r="F432" s="17">
        <f>IF($B432&lt;&gt;"tutar_farki","","Fatura "&amp;$A432&amp;" için fark "&amp;TEXT($C432,"0.00")&amp;" TL. Dayanak: "&amp;$D432&amp;". İtiraz dosyası üretildi.")</f>
        <v/>
      </c>
      <c r="G432" s="17">
        <f>IF($B432&lt;&gt;"tutar_farki","","Beklemede")</f>
        <v/>
      </c>
    </row>
    <row r="433">
      <c r="A433" s="22">
        <f>IF('KOK_NEDEN'!$A433="","",'KOK_NEDEN'!$A433)</f>
        <v/>
      </c>
      <c r="B433" s="17">
        <f>IF($A433="","",IFERROR(INDEX(tblKok[Kova],MATCH($A433,tblKok[A_Norm],0)),""))</f>
        <v/>
      </c>
      <c r="C433" s="17">
        <f>IF($A433="","",IFERROR(INDEX(tblEslesme[Fark],MATCH($A433,tblEslesme[A_Norm],0)),0))</f>
        <v/>
      </c>
      <c r="D433" s="17">
        <f>IF($A433="","",IFERROR(INDEX(tblKok[KokNeden],MATCH($A433,tblKok[A_Norm],0)),""))</f>
        <v/>
      </c>
      <c r="E433" s="17">
        <f>IF($B433&lt;&gt;"tutar_farki","",IF(ABS($C433)&gt;efd_esikFark,"YUKSEK","NORMAL"))</f>
        <v/>
      </c>
      <c r="F433" s="17">
        <f>IF($B433&lt;&gt;"tutar_farki","","Fatura "&amp;$A433&amp;" için fark "&amp;TEXT($C433,"0.00")&amp;" TL. Dayanak: "&amp;$D433&amp;". İtiraz dosyası üretildi.")</f>
        <v/>
      </c>
      <c r="G433" s="17">
        <f>IF($B433&lt;&gt;"tutar_farki","","Beklemede")</f>
        <v/>
      </c>
    </row>
    <row r="434">
      <c r="A434" s="22">
        <f>IF('KOK_NEDEN'!$A434="","",'KOK_NEDEN'!$A434)</f>
        <v/>
      </c>
      <c r="B434" s="17">
        <f>IF($A434="","",IFERROR(INDEX(tblKok[Kova],MATCH($A434,tblKok[A_Norm],0)),""))</f>
        <v/>
      </c>
      <c r="C434" s="17">
        <f>IF($A434="","",IFERROR(INDEX(tblEslesme[Fark],MATCH($A434,tblEslesme[A_Norm],0)),0))</f>
        <v/>
      </c>
      <c r="D434" s="17">
        <f>IF($A434="","",IFERROR(INDEX(tblKok[KokNeden],MATCH($A434,tblKok[A_Norm],0)),""))</f>
        <v/>
      </c>
      <c r="E434" s="17">
        <f>IF($B434&lt;&gt;"tutar_farki","",IF(ABS($C434)&gt;efd_esikFark,"YUKSEK","NORMAL"))</f>
        <v/>
      </c>
      <c r="F434" s="17">
        <f>IF($B434&lt;&gt;"tutar_farki","","Fatura "&amp;$A434&amp;" için fark "&amp;TEXT($C434,"0.00")&amp;" TL. Dayanak: "&amp;$D434&amp;". İtiraz dosyası üretildi.")</f>
        <v/>
      </c>
      <c r="G434" s="17">
        <f>IF($B434&lt;&gt;"tutar_farki","","Beklemede")</f>
        <v/>
      </c>
    </row>
    <row r="435">
      <c r="A435" s="22">
        <f>IF('KOK_NEDEN'!$A435="","",'KOK_NEDEN'!$A435)</f>
        <v/>
      </c>
      <c r="B435" s="17">
        <f>IF($A435="","",IFERROR(INDEX(tblKok[Kova],MATCH($A435,tblKok[A_Norm],0)),""))</f>
        <v/>
      </c>
      <c r="C435" s="17">
        <f>IF($A435="","",IFERROR(INDEX(tblEslesme[Fark],MATCH($A435,tblEslesme[A_Norm],0)),0))</f>
        <v/>
      </c>
      <c r="D435" s="17">
        <f>IF($A435="","",IFERROR(INDEX(tblKok[KokNeden],MATCH($A435,tblKok[A_Norm],0)),""))</f>
        <v/>
      </c>
      <c r="E435" s="17">
        <f>IF($B435&lt;&gt;"tutar_farki","",IF(ABS($C435)&gt;efd_esikFark,"YUKSEK","NORMAL"))</f>
        <v/>
      </c>
      <c r="F435" s="17">
        <f>IF($B435&lt;&gt;"tutar_farki","","Fatura "&amp;$A435&amp;" için fark "&amp;TEXT($C435,"0.00")&amp;" TL. Dayanak: "&amp;$D435&amp;". İtiraz dosyası üretildi.")</f>
        <v/>
      </c>
      <c r="G435" s="17">
        <f>IF($B435&lt;&gt;"tutar_farki","","Beklemede")</f>
        <v/>
      </c>
    </row>
    <row r="436">
      <c r="A436" s="22">
        <f>IF('KOK_NEDEN'!$A436="","",'KOK_NEDEN'!$A436)</f>
        <v/>
      </c>
      <c r="B436" s="17">
        <f>IF($A436="","",IFERROR(INDEX(tblKok[Kova],MATCH($A436,tblKok[A_Norm],0)),""))</f>
        <v/>
      </c>
      <c r="C436" s="17">
        <f>IF($A436="","",IFERROR(INDEX(tblEslesme[Fark],MATCH($A436,tblEslesme[A_Norm],0)),0))</f>
        <v/>
      </c>
      <c r="D436" s="17">
        <f>IF($A436="","",IFERROR(INDEX(tblKok[KokNeden],MATCH($A436,tblKok[A_Norm],0)),""))</f>
        <v/>
      </c>
      <c r="E436" s="17">
        <f>IF($B436&lt;&gt;"tutar_farki","",IF(ABS($C436)&gt;efd_esikFark,"YUKSEK","NORMAL"))</f>
        <v/>
      </c>
      <c r="F436" s="17">
        <f>IF($B436&lt;&gt;"tutar_farki","","Fatura "&amp;$A436&amp;" için fark "&amp;TEXT($C436,"0.00")&amp;" TL. Dayanak: "&amp;$D436&amp;". İtiraz dosyası üretildi.")</f>
        <v/>
      </c>
      <c r="G436" s="17">
        <f>IF($B436&lt;&gt;"tutar_farki","","Beklemede")</f>
        <v/>
      </c>
    </row>
    <row r="437">
      <c r="A437" s="22">
        <f>IF('KOK_NEDEN'!$A437="","",'KOK_NEDEN'!$A437)</f>
        <v/>
      </c>
      <c r="B437" s="17">
        <f>IF($A437="","",IFERROR(INDEX(tblKok[Kova],MATCH($A437,tblKok[A_Norm],0)),""))</f>
        <v/>
      </c>
      <c r="C437" s="17">
        <f>IF($A437="","",IFERROR(INDEX(tblEslesme[Fark],MATCH($A437,tblEslesme[A_Norm],0)),0))</f>
        <v/>
      </c>
      <c r="D437" s="17">
        <f>IF($A437="","",IFERROR(INDEX(tblKok[KokNeden],MATCH($A437,tblKok[A_Norm],0)),""))</f>
        <v/>
      </c>
      <c r="E437" s="17">
        <f>IF($B437&lt;&gt;"tutar_farki","",IF(ABS($C437)&gt;efd_esikFark,"YUKSEK","NORMAL"))</f>
        <v/>
      </c>
      <c r="F437" s="17">
        <f>IF($B437&lt;&gt;"tutar_farki","","Fatura "&amp;$A437&amp;" için fark "&amp;TEXT($C437,"0.00")&amp;" TL. Dayanak: "&amp;$D437&amp;". İtiraz dosyası üretildi.")</f>
        <v/>
      </c>
      <c r="G437" s="17">
        <f>IF($B437&lt;&gt;"tutar_farki","","Beklemede")</f>
        <v/>
      </c>
    </row>
    <row r="438">
      <c r="A438" s="22">
        <f>IF('KOK_NEDEN'!$A438="","",'KOK_NEDEN'!$A438)</f>
        <v/>
      </c>
      <c r="B438" s="17">
        <f>IF($A438="","",IFERROR(INDEX(tblKok[Kova],MATCH($A438,tblKok[A_Norm],0)),""))</f>
        <v/>
      </c>
      <c r="C438" s="17">
        <f>IF($A438="","",IFERROR(INDEX(tblEslesme[Fark],MATCH($A438,tblEslesme[A_Norm],0)),0))</f>
        <v/>
      </c>
      <c r="D438" s="17">
        <f>IF($A438="","",IFERROR(INDEX(tblKok[KokNeden],MATCH($A438,tblKok[A_Norm],0)),""))</f>
        <v/>
      </c>
      <c r="E438" s="17">
        <f>IF($B438&lt;&gt;"tutar_farki","",IF(ABS($C438)&gt;efd_esikFark,"YUKSEK","NORMAL"))</f>
        <v/>
      </c>
      <c r="F438" s="17">
        <f>IF($B438&lt;&gt;"tutar_farki","","Fatura "&amp;$A438&amp;" için fark "&amp;TEXT($C438,"0.00")&amp;" TL. Dayanak: "&amp;$D438&amp;". İtiraz dosyası üretildi.")</f>
        <v/>
      </c>
      <c r="G438" s="17">
        <f>IF($B438&lt;&gt;"tutar_farki","","Beklemede")</f>
        <v/>
      </c>
    </row>
    <row r="439">
      <c r="A439" s="22">
        <f>IF('KOK_NEDEN'!$A439="","",'KOK_NEDEN'!$A439)</f>
        <v/>
      </c>
      <c r="B439" s="17">
        <f>IF($A439="","",IFERROR(INDEX(tblKok[Kova],MATCH($A439,tblKok[A_Norm],0)),""))</f>
        <v/>
      </c>
      <c r="C439" s="17">
        <f>IF($A439="","",IFERROR(INDEX(tblEslesme[Fark],MATCH($A439,tblEslesme[A_Norm],0)),0))</f>
        <v/>
      </c>
      <c r="D439" s="17">
        <f>IF($A439="","",IFERROR(INDEX(tblKok[KokNeden],MATCH($A439,tblKok[A_Norm],0)),""))</f>
        <v/>
      </c>
      <c r="E439" s="17">
        <f>IF($B439&lt;&gt;"tutar_farki","",IF(ABS($C439)&gt;efd_esikFark,"YUKSEK","NORMAL"))</f>
        <v/>
      </c>
      <c r="F439" s="17">
        <f>IF($B439&lt;&gt;"tutar_farki","","Fatura "&amp;$A439&amp;" için fark "&amp;TEXT($C439,"0.00")&amp;" TL. Dayanak: "&amp;$D439&amp;". İtiraz dosyası üretildi.")</f>
        <v/>
      </c>
      <c r="G439" s="17">
        <f>IF($B439&lt;&gt;"tutar_farki","","Beklemede")</f>
        <v/>
      </c>
    </row>
    <row r="440">
      <c r="A440" s="22">
        <f>IF('KOK_NEDEN'!$A440="","",'KOK_NEDEN'!$A440)</f>
        <v/>
      </c>
      <c r="B440" s="17">
        <f>IF($A440="","",IFERROR(INDEX(tblKok[Kova],MATCH($A440,tblKok[A_Norm],0)),""))</f>
        <v/>
      </c>
      <c r="C440" s="17">
        <f>IF($A440="","",IFERROR(INDEX(tblEslesme[Fark],MATCH($A440,tblEslesme[A_Norm],0)),0))</f>
        <v/>
      </c>
      <c r="D440" s="17">
        <f>IF($A440="","",IFERROR(INDEX(tblKok[KokNeden],MATCH($A440,tblKok[A_Norm],0)),""))</f>
        <v/>
      </c>
      <c r="E440" s="17">
        <f>IF($B440&lt;&gt;"tutar_farki","",IF(ABS($C440)&gt;efd_esikFark,"YUKSEK","NORMAL"))</f>
        <v/>
      </c>
      <c r="F440" s="17">
        <f>IF($B440&lt;&gt;"tutar_farki","","Fatura "&amp;$A440&amp;" için fark "&amp;TEXT($C440,"0.00")&amp;" TL. Dayanak: "&amp;$D440&amp;". İtiraz dosyası üretildi.")</f>
        <v/>
      </c>
      <c r="G440" s="17">
        <f>IF($B440&lt;&gt;"tutar_farki","","Beklemede")</f>
        <v/>
      </c>
    </row>
    <row r="441">
      <c r="A441" s="22">
        <f>IF('KOK_NEDEN'!$A441="","",'KOK_NEDEN'!$A441)</f>
        <v/>
      </c>
      <c r="B441" s="17">
        <f>IF($A441="","",IFERROR(INDEX(tblKok[Kova],MATCH($A441,tblKok[A_Norm],0)),""))</f>
        <v/>
      </c>
      <c r="C441" s="17">
        <f>IF($A441="","",IFERROR(INDEX(tblEslesme[Fark],MATCH($A441,tblEslesme[A_Norm],0)),0))</f>
        <v/>
      </c>
      <c r="D441" s="17">
        <f>IF($A441="","",IFERROR(INDEX(tblKok[KokNeden],MATCH($A441,tblKok[A_Norm],0)),""))</f>
        <v/>
      </c>
      <c r="E441" s="17">
        <f>IF($B441&lt;&gt;"tutar_farki","",IF(ABS($C441)&gt;efd_esikFark,"YUKSEK","NORMAL"))</f>
        <v/>
      </c>
      <c r="F441" s="17">
        <f>IF($B441&lt;&gt;"tutar_farki","","Fatura "&amp;$A441&amp;" için fark "&amp;TEXT($C441,"0.00")&amp;" TL. Dayanak: "&amp;$D441&amp;". İtiraz dosyası üretildi.")</f>
        <v/>
      </c>
      <c r="G441" s="17">
        <f>IF($B441&lt;&gt;"tutar_farki","","Beklemede")</f>
        <v/>
      </c>
    </row>
    <row r="442">
      <c r="A442" s="22">
        <f>IF('KOK_NEDEN'!$A442="","",'KOK_NEDEN'!$A442)</f>
        <v/>
      </c>
      <c r="B442" s="17">
        <f>IF($A442="","",IFERROR(INDEX(tblKok[Kova],MATCH($A442,tblKok[A_Norm],0)),""))</f>
        <v/>
      </c>
      <c r="C442" s="17">
        <f>IF($A442="","",IFERROR(INDEX(tblEslesme[Fark],MATCH($A442,tblEslesme[A_Norm],0)),0))</f>
        <v/>
      </c>
      <c r="D442" s="17">
        <f>IF($A442="","",IFERROR(INDEX(tblKok[KokNeden],MATCH($A442,tblKok[A_Norm],0)),""))</f>
        <v/>
      </c>
      <c r="E442" s="17">
        <f>IF($B442&lt;&gt;"tutar_farki","",IF(ABS($C442)&gt;efd_esikFark,"YUKSEK","NORMAL"))</f>
        <v/>
      </c>
      <c r="F442" s="17">
        <f>IF($B442&lt;&gt;"tutar_farki","","Fatura "&amp;$A442&amp;" için fark "&amp;TEXT($C442,"0.00")&amp;" TL. Dayanak: "&amp;$D442&amp;". İtiraz dosyası üretildi.")</f>
        <v/>
      </c>
      <c r="G442" s="17">
        <f>IF($B442&lt;&gt;"tutar_farki","","Beklemede")</f>
        <v/>
      </c>
    </row>
    <row r="443">
      <c r="A443" s="22">
        <f>IF('KOK_NEDEN'!$A443="","",'KOK_NEDEN'!$A443)</f>
        <v/>
      </c>
      <c r="B443" s="17">
        <f>IF($A443="","",IFERROR(INDEX(tblKok[Kova],MATCH($A443,tblKok[A_Norm],0)),""))</f>
        <v/>
      </c>
      <c r="C443" s="17">
        <f>IF($A443="","",IFERROR(INDEX(tblEslesme[Fark],MATCH($A443,tblEslesme[A_Norm],0)),0))</f>
        <v/>
      </c>
      <c r="D443" s="17">
        <f>IF($A443="","",IFERROR(INDEX(tblKok[KokNeden],MATCH($A443,tblKok[A_Norm],0)),""))</f>
        <v/>
      </c>
      <c r="E443" s="17">
        <f>IF($B443&lt;&gt;"tutar_farki","",IF(ABS($C443)&gt;efd_esikFark,"YUKSEK","NORMAL"))</f>
        <v/>
      </c>
      <c r="F443" s="17">
        <f>IF($B443&lt;&gt;"tutar_farki","","Fatura "&amp;$A443&amp;" için fark "&amp;TEXT($C443,"0.00")&amp;" TL. Dayanak: "&amp;$D443&amp;". İtiraz dosyası üretildi.")</f>
        <v/>
      </c>
      <c r="G443" s="17">
        <f>IF($B443&lt;&gt;"tutar_farki","","Beklemede")</f>
        <v/>
      </c>
    </row>
    <row r="444">
      <c r="A444" s="22">
        <f>IF('KOK_NEDEN'!$A444="","",'KOK_NEDEN'!$A444)</f>
        <v/>
      </c>
      <c r="B444" s="17">
        <f>IF($A444="","",IFERROR(INDEX(tblKok[Kova],MATCH($A444,tblKok[A_Norm],0)),""))</f>
        <v/>
      </c>
      <c r="C444" s="17">
        <f>IF($A444="","",IFERROR(INDEX(tblEslesme[Fark],MATCH($A444,tblEslesme[A_Norm],0)),0))</f>
        <v/>
      </c>
      <c r="D444" s="17">
        <f>IF($A444="","",IFERROR(INDEX(tblKok[KokNeden],MATCH($A444,tblKok[A_Norm],0)),""))</f>
        <v/>
      </c>
      <c r="E444" s="17">
        <f>IF($B444&lt;&gt;"tutar_farki","",IF(ABS($C444)&gt;efd_esikFark,"YUKSEK","NORMAL"))</f>
        <v/>
      </c>
      <c r="F444" s="17">
        <f>IF($B444&lt;&gt;"tutar_farki","","Fatura "&amp;$A444&amp;" için fark "&amp;TEXT($C444,"0.00")&amp;" TL. Dayanak: "&amp;$D444&amp;". İtiraz dosyası üretildi.")</f>
        <v/>
      </c>
      <c r="G444" s="17">
        <f>IF($B444&lt;&gt;"tutar_farki","","Beklemede")</f>
        <v/>
      </c>
    </row>
    <row r="445">
      <c r="A445" s="22">
        <f>IF('KOK_NEDEN'!$A445="","",'KOK_NEDEN'!$A445)</f>
        <v/>
      </c>
      <c r="B445" s="17">
        <f>IF($A445="","",IFERROR(INDEX(tblKok[Kova],MATCH($A445,tblKok[A_Norm],0)),""))</f>
        <v/>
      </c>
      <c r="C445" s="17">
        <f>IF($A445="","",IFERROR(INDEX(tblEslesme[Fark],MATCH($A445,tblEslesme[A_Norm],0)),0))</f>
        <v/>
      </c>
      <c r="D445" s="17">
        <f>IF($A445="","",IFERROR(INDEX(tblKok[KokNeden],MATCH($A445,tblKok[A_Norm],0)),""))</f>
        <v/>
      </c>
      <c r="E445" s="17">
        <f>IF($B445&lt;&gt;"tutar_farki","",IF(ABS($C445)&gt;efd_esikFark,"YUKSEK","NORMAL"))</f>
        <v/>
      </c>
      <c r="F445" s="17">
        <f>IF($B445&lt;&gt;"tutar_farki","","Fatura "&amp;$A445&amp;" için fark "&amp;TEXT($C445,"0.00")&amp;" TL. Dayanak: "&amp;$D445&amp;". İtiraz dosyası üretildi.")</f>
        <v/>
      </c>
      <c r="G445" s="17">
        <f>IF($B445&lt;&gt;"tutar_farki","","Beklemede")</f>
        <v/>
      </c>
    </row>
    <row r="446">
      <c r="A446" s="22">
        <f>IF('KOK_NEDEN'!$A446="","",'KOK_NEDEN'!$A446)</f>
        <v/>
      </c>
      <c r="B446" s="17">
        <f>IF($A446="","",IFERROR(INDEX(tblKok[Kova],MATCH($A446,tblKok[A_Norm],0)),""))</f>
        <v/>
      </c>
      <c r="C446" s="17">
        <f>IF($A446="","",IFERROR(INDEX(tblEslesme[Fark],MATCH($A446,tblEslesme[A_Norm],0)),0))</f>
        <v/>
      </c>
      <c r="D446" s="17">
        <f>IF($A446="","",IFERROR(INDEX(tblKok[KokNeden],MATCH($A446,tblKok[A_Norm],0)),""))</f>
        <v/>
      </c>
      <c r="E446" s="17">
        <f>IF($B446&lt;&gt;"tutar_farki","",IF(ABS($C446)&gt;efd_esikFark,"YUKSEK","NORMAL"))</f>
        <v/>
      </c>
      <c r="F446" s="17">
        <f>IF($B446&lt;&gt;"tutar_farki","","Fatura "&amp;$A446&amp;" için fark "&amp;TEXT($C446,"0.00")&amp;" TL. Dayanak: "&amp;$D446&amp;". İtiraz dosyası üretildi.")</f>
        <v/>
      </c>
      <c r="G446" s="17">
        <f>IF($B446&lt;&gt;"tutar_farki","","Beklemede")</f>
        <v/>
      </c>
    </row>
    <row r="447">
      <c r="A447" s="22">
        <f>IF('KOK_NEDEN'!$A447="","",'KOK_NEDEN'!$A447)</f>
        <v/>
      </c>
      <c r="B447" s="17">
        <f>IF($A447="","",IFERROR(INDEX(tblKok[Kova],MATCH($A447,tblKok[A_Norm],0)),""))</f>
        <v/>
      </c>
      <c r="C447" s="17">
        <f>IF($A447="","",IFERROR(INDEX(tblEslesme[Fark],MATCH($A447,tblEslesme[A_Norm],0)),0))</f>
        <v/>
      </c>
      <c r="D447" s="17">
        <f>IF($A447="","",IFERROR(INDEX(tblKok[KokNeden],MATCH($A447,tblKok[A_Norm],0)),""))</f>
        <v/>
      </c>
      <c r="E447" s="17">
        <f>IF($B447&lt;&gt;"tutar_farki","",IF(ABS($C447)&gt;efd_esikFark,"YUKSEK","NORMAL"))</f>
        <v/>
      </c>
      <c r="F447" s="17">
        <f>IF($B447&lt;&gt;"tutar_farki","","Fatura "&amp;$A447&amp;" için fark "&amp;TEXT($C447,"0.00")&amp;" TL. Dayanak: "&amp;$D447&amp;". İtiraz dosyası üretildi.")</f>
        <v/>
      </c>
      <c r="G447" s="17">
        <f>IF($B447&lt;&gt;"tutar_farki","","Beklemede")</f>
        <v/>
      </c>
    </row>
    <row r="448">
      <c r="A448" s="22">
        <f>IF('KOK_NEDEN'!$A448="","",'KOK_NEDEN'!$A448)</f>
        <v/>
      </c>
      <c r="B448" s="17">
        <f>IF($A448="","",IFERROR(INDEX(tblKok[Kova],MATCH($A448,tblKok[A_Norm],0)),""))</f>
        <v/>
      </c>
      <c r="C448" s="17">
        <f>IF($A448="","",IFERROR(INDEX(tblEslesme[Fark],MATCH($A448,tblEslesme[A_Norm],0)),0))</f>
        <v/>
      </c>
      <c r="D448" s="17">
        <f>IF($A448="","",IFERROR(INDEX(tblKok[KokNeden],MATCH($A448,tblKok[A_Norm],0)),""))</f>
        <v/>
      </c>
      <c r="E448" s="17">
        <f>IF($B448&lt;&gt;"tutar_farki","",IF(ABS($C448)&gt;efd_esikFark,"YUKSEK","NORMAL"))</f>
        <v/>
      </c>
      <c r="F448" s="17">
        <f>IF($B448&lt;&gt;"tutar_farki","","Fatura "&amp;$A448&amp;" için fark "&amp;TEXT($C448,"0.00")&amp;" TL. Dayanak: "&amp;$D448&amp;". İtiraz dosyası üretildi.")</f>
        <v/>
      </c>
      <c r="G448" s="17">
        <f>IF($B448&lt;&gt;"tutar_farki","","Beklemede")</f>
        <v/>
      </c>
    </row>
    <row r="449">
      <c r="A449" s="22">
        <f>IF('KOK_NEDEN'!$A449="","",'KOK_NEDEN'!$A449)</f>
        <v/>
      </c>
      <c r="B449" s="17">
        <f>IF($A449="","",IFERROR(INDEX(tblKok[Kova],MATCH($A449,tblKok[A_Norm],0)),""))</f>
        <v/>
      </c>
      <c r="C449" s="17">
        <f>IF($A449="","",IFERROR(INDEX(tblEslesme[Fark],MATCH($A449,tblEslesme[A_Norm],0)),0))</f>
        <v/>
      </c>
      <c r="D449" s="17">
        <f>IF($A449="","",IFERROR(INDEX(tblKok[KokNeden],MATCH($A449,tblKok[A_Norm],0)),""))</f>
        <v/>
      </c>
      <c r="E449" s="17">
        <f>IF($B449&lt;&gt;"tutar_farki","",IF(ABS($C449)&gt;efd_esikFark,"YUKSEK","NORMAL"))</f>
        <v/>
      </c>
      <c r="F449" s="17">
        <f>IF($B449&lt;&gt;"tutar_farki","","Fatura "&amp;$A449&amp;" için fark "&amp;TEXT($C449,"0.00")&amp;" TL. Dayanak: "&amp;$D449&amp;". İtiraz dosyası üretildi.")</f>
        <v/>
      </c>
      <c r="G449" s="17">
        <f>IF($B449&lt;&gt;"tutar_farki","","Beklemede")</f>
        <v/>
      </c>
    </row>
    <row r="450">
      <c r="A450" s="22">
        <f>IF('KOK_NEDEN'!$A450="","",'KOK_NEDEN'!$A450)</f>
        <v/>
      </c>
      <c r="B450" s="17">
        <f>IF($A450="","",IFERROR(INDEX(tblKok[Kova],MATCH($A450,tblKok[A_Norm],0)),""))</f>
        <v/>
      </c>
      <c r="C450" s="17">
        <f>IF($A450="","",IFERROR(INDEX(tblEslesme[Fark],MATCH($A450,tblEslesme[A_Norm],0)),0))</f>
        <v/>
      </c>
      <c r="D450" s="17">
        <f>IF($A450="","",IFERROR(INDEX(tblKok[KokNeden],MATCH($A450,tblKok[A_Norm],0)),""))</f>
        <v/>
      </c>
      <c r="E450" s="17">
        <f>IF($B450&lt;&gt;"tutar_farki","",IF(ABS($C450)&gt;efd_esikFark,"YUKSEK","NORMAL"))</f>
        <v/>
      </c>
      <c r="F450" s="17">
        <f>IF($B450&lt;&gt;"tutar_farki","","Fatura "&amp;$A450&amp;" için fark "&amp;TEXT($C450,"0.00")&amp;" TL. Dayanak: "&amp;$D450&amp;". İtiraz dosyası üretildi.")</f>
        <v/>
      </c>
      <c r="G450" s="17">
        <f>IF($B450&lt;&gt;"tutar_farki","","Beklemede")</f>
        <v/>
      </c>
    </row>
    <row r="451">
      <c r="A451" s="22">
        <f>IF('KOK_NEDEN'!$A451="","",'KOK_NEDEN'!$A451)</f>
        <v/>
      </c>
      <c r="B451" s="17">
        <f>IF($A451="","",IFERROR(INDEX(tblKok[Kova],MATCH($A451,tblKok[A_Norm],0)),""))</f>
        <v/>
      </c>
      <c r="C451" s="17">
        <f>IF($A451="","",IFERROR(INDEX(tblEslesme[Fark],MATCH($A451,tblEslesme[A_Norm],0)),0))</f>
        <v/>
      </c>
      <c r="D451" s="17">
        <f>IF($A451="","",IFERROR(INDEX(tblKok[KokNeden],MATCH($A451,tblKok[A_Norm],0)),""))</f>
        <v/>
      </c>
      <c r="E451" s="17">
        <f>IF($B451&lt;&gt;"tutar_farki","",IF(ABS($C451)&gt;efd_esikFark,"YUKSEK","NORMAL"))</f>
        <v/>
      </c>
      <c r="F451" s="17">
        <f>IF($B451&lt;&gt;"tutar_farki","","Fatura "&amp;$A451&amp;" için fark "&amp;TEXT($C451,"0.00")&amp;" TL. Dayanak: "&amp;$D451&amp;". İtiraz dosyası üretildi.")</f>
        <v/>
      </c>
      <c r="G451" s="17">
        <f>IF($B451&lt;&gt;"tutar_farki","","Beklemede")</f>
        <v/>
      </c>
    </row>
    <row r="452">
      <c r="A452" s="22">
        <f>IF('KOK_NEDEN'!$A452="","",'KOK_NEDEN'!$A452)</f>
        <v/>
      </c>
      <c r="B452" s="17">
        <f>IF($A452="","",IFERROR(INDEX(tblKok[Kova],MATCH($A452,tblKok[A_Norm],0)),""))</f>
        <v/>
      </c>
      <c r="C452" s="17">
        <f>IF($A452="","",IFERROR(INDEX(tblEslesme[Fark],MATCH($A452,tblEslesme[A_Norm],0)),0))</f>
        <v/>
      </c>
      <c r="D452" s="17">
        <f>IF($A452="","",IFERROR(INDEX(tblKok[KokNeden],MATCH($A452,tblKok[A_Norm],0)),""))</f>
        <v/>
      </c>
      <c r="E452" s="17">
        <f>IF($B452&lt;&gt;"tutar_farki","",IF(ABS($C452)&gt;efd_esikFark,"YUKSEK","NORMAL"))</f>
        <v/>
      </c>
      <c r="F452" s="17">
        <f>IF($B452&lt;&gt;"tutar_farki","","Fatura "&amp;$A452&amp;" için fark "&amp;TEXT($C452,"0.00")&amp;" TL. Dayanak: "&amp;$D452&amp;". İtiraz dosyası üretildi.")</f>
        <v/>
      </c>
      <c r="G452" s="17">
        <f>IF($B452&lt;&gt;"tutar_farki","","Beklemede")</f>
        <v/>
      </c>
    </row>
    <row r="453">
      <c r="A453" s="22">
        <f>IF('KOK_NEDEN'!$A453="","",'KOK_NEDEN'!$A453)</f>
        <v/>
      </c>
      <c r="B453" s="17">
        <f>IF($A453="","",IFERROR(INDEX(tblKok[Kova],MATCH($A453,tblKok[A_Norm],0)),""))</f>
        <v/>
      </c>
      <c r="C453" s="17">
        <f>IF($A453="","",IFERROR(INDEX(tblEslesme[Fark],MATCH($A453,tblEslesme[A_Norm],0)),0))</f>
        <v/>
      </c>
      <c r="D453" s="17">
        <f>IF($A453="","",IFERROR(INDEX(tblKok[KokNeden],MATCH($A453,tblKok[A_Norm],0)),""))</f>
        <v/>
      </c>
      <c r="E453" s="17">
        <f>IF($B453&lt;&gt;"tutar_farki","",IF(ABS($C453)&gt;efd_esikFark,"YUKSEK","NORMAL"))</f>
        <v/>
      </c>
      <c r="F453" s="17">
        <f>IF($B453&lt;&gt;"tutar_farki","","Fatura "&amp;$A453&amp;" için fark "&amp;TEXT($C453,"0.00")&amp;" TL. Dayanak: "&amp;$D453&amp;". İtiraz dosyası üretildi.")</f>
        <v/>
      </c>
      <c r="G453" s="17">
        <f>IF($B453&lt;&gt;"tutar_farki","","Beklemede")</f>
        <v/>
      </c>
    </row>
    <row r="454">
      <c r="A454" s="22">
        <f>IF('KOK_NEDEN'!$A454="","",'KOK_NEDEN'!$A454)</f>
        <v/>
      </c>
      <c r="B454" s="17">
        <f>IF($A454="","",IFERROR(INDEX(tblKok[Kova],MATCH($A454,tblKok[A_Norm],0)),""))</f>
        <v/>
      </c>
      <c r="C454" s="17">
        <f>IF($A454="","",IFERROR(INDEX(tblEslesme[Fark],MATCH($A454,tblEslesme[A_Norm],0)),0))</f>
        <v/>
      </c>
      <c r="D454" s="17">
        <f>IF($A454="","",IFERROR(INDEX(tblKok[KokNeden],MATCH($A454,tblKok[A_Norm],0)),""))</f>
        <v/>
      </c>
      <c r="E454" s="17">
        <f>IF($B454&lt;&gt;"tutar_farki","",IF(ABS($C454)&gt;efd_esikFark,"YUKSEK","NORMAL"))</f>
        <v/>
      </c>
      <c r="F454" s="17">
        <f>IF($B454&lt;&gt;"tutar_farki","","Fatura "&amp;$A454&amp;" için fark "&amp;TEXT($C454,"0.00")&amp;" TL. Dayanak: "&amp;$D454&amp;". İtiraz dosyası üretildi.")</f>
        <v/>
      </c>
      <c r="G454" s="17">
        <f>IF($B454&lt;&gt;"tutar_farki","","Beklemede")</f>
        <v/>
      </c>
    </row>
    <row r="455">
      <c r="A455" s="22">
        <f>IF('KOK_NEDEN'!$A455="","",'KOK_NEDEN'!$A455)</f>
        <v/>
      </c>
      <c r="B455" s="17">
        <f>IF($A455="","",IFERROR(INDEX(tblKok[Kova],MATCH($A455,tblKok[A_Norm],0)),""))</f>
        <v/>
      </c>
      <c r="C455" s="17">
        <f>IF($A455="","",IFERROR(INDEX(tblEslesme[Fark],MATCH($A455,tblEslesme[A_Norm],0)),0))</f>
        <v/>
      </c>
      <c r="D455" s="17">
        <f>IF($A455="","",IFERROR(INDEX(tblKok[KokNeden],MATCH($A455,tblKok[A_Norm],0)),""))</f>
        <v/>
      </c>
      <c r="E455" s="17">
        <f>IF($B455&lt;&gt;"tutar_farki","",IF(ABS($C455)&gt;efd_esikFark,"YUKSEK","NORMAL"))</f>
        <v/>
      </c>
      <c r="F455" s="17">
        <f>IF($B455&lt;&gt;"tutar_farki","","Fatura "&amp;$A455&amp;" için fark "&amp;TEXT($C455,"0.00")&amp;" TL. Dayanak: "&amp;$D455&amp;". İtiraz dosyası üretildi.")</f>
        <v/>
      </c>
      <c r="G455" s="17">
        <f>IF($B455&lt;&gt;"tutar_farki","","Beklemede")</f>
        <v/>
      </c>
    </row>
    <row r="456">
      <c r="A456" s="22">
        <f>IF('KOK_NEDEN'!$A456="","",'KOK_NEDEN'!$A456)</f>
        <v/>
      </c>
      <c r="B456" s="17">
        <f>IF($A456="","",IFERROR(INDEX(tblKok[Kova],MATCH($A456,tblKok[A_Norm],0)),""))</f>
        <v/>
      </c>
      <c r="C456" s="17">
        <f>IF($A456="","",IFERROR(INDEX(tblEslesme[Fark],MATCH($A456,tblEslesme[A_Norm],0)),0))</f>
        <v/>
      </c>
      <c r="D456" s="17">
        <f>IF($A456="","",IFERROR(INDEX(tblKok[KokNeden],MATCH($A456,tblKok[A_Norm],0)),""))</f>
        <v/>
      </c>
      <c r="E456" s="17">
        <f>IF($B456&lt;&gt;"tutar_farki","",IF(ABS($C456)&gt;efd_esikFark,"YUKSEK","NORMAL"))</f>
        <v/>
      </c>
      <c r="F456" s="17">
        <f>IF($B456&lt;&gt;"tutar_farki","","Fatura "&amp;$A456&amp;" için fark "&amp;TEXT($C456,"0.00")&amp;" TL. Dayanak: "&amp;$D456&amp;". İtiraz dosyası üretildi.")</f>
        <v/>
      </c>
      <c r="G456" s="17">
        <f>IF($B456&lt;&gt;"tutar_farki","","Beklemede")</f>
        <v/>
      </c>
    </row>
    <row r="457">
      <c r="A457" s="22">
        <f>IF('KOK_NEDEN'!$A457="","",'KOK_NEDEN'!$A457)</f>
        <v/>
      </c>
      <c r="B457" s="17">
        <f>IF($A457="","",IFERROR(INDEX(tblKok[Kova],MATCH($A457,tblKok[A_Norm],0)),""))</f>
        <v/>
      </c>
      <c r="C457" s="17">
        <f>IF($A457="","",IFERROR(INDEX(tblEslesme[Fark],MATCH($A457,tblEslesme[A_Norm],0)),0))</f>
        <v/>
      </c>
      <c r="D457" s="17">
        <f>IF($A457="","",IFERROR(INDEX(tblKok[KokNeden],MATCH($A457,tblKok[A_Norm],0)),""))</f>
        <v/>
      </c>
      <c r="E457" s="17">
        <f>IF($B457&lt;&gt;"tutar_farki","",IF(ABS($C457)&gt;efd_esikFark,"YUKSEK","NORMAL"))</f>
        <v/>
      </c>
      <c r="F457" s="17">
        <f>IF($B457&lt;&gt;"tutar_farki","","Fatura "&amp;$A457&amp;" için fark "&amp;TEXT($C457,"0.00")&amp;" TL. Dayanak: "&amp;$D457&amp;". İtiraz dosyası üretildi.")</f>
        <v/>
      </c>
      <c r="G457" s="17">
        <f>IF($B457&lt;&gt;"tutar_farki","","Beklemede")</f>
        <v/>
      </c>
    </row>
    <row r="458">
      <c r="A458" s="22">
        <f>IF('KOK_NEDEN'!$A458="","",'KOK_NEDEN'!$A458)</f>
        <v/>
      </c>
      <c r="B458" s="17">
        <f>IF($A458="","",IFERROR(INDEX(tblKok[Kova],MATCH($A458,tblKok[A_Norm],0)),""))</f>
        <v/>
      </c>
      <c r="C458" s="17">
        <f>IF($A458="","",IFERROR(INDEX(tblEslesme[Fark],MATCH($A458,tblEslesme[A_Norm],0)),0))</f>
        <v/>
      </c>
      <c r="D458" s="17">
        <f>IF($A458="","",IFERROR(INDEX(tblKok[KokNeden],MATCH($A458,tblKok[A_Norm],0)),""))</f>
        <v/>
      </c>
      <c r="E458" s="17">
        <f>IF($B458&lt;&gt;"tutar_farki","",IF(ABS($C458)&gt;efd_esikFark,"YUKSEK","NORMAL"))</f>
        <v/>
      </c>
      <c r="F458" s="17">
        <f>IF($B458&lt;&gt;"tutar_farki","","Fatura "&amp;$A458&amp;" için fark "&amp;TEXT($C458,"0.00")&amp;" TL. Dayanak: "&amp;$D458&amp;". İtiraz dosyası üretildi.")</f>
        <v/>
      </c>
      <c r="G458" s="17">
        <f>IF($B458&lt;&gt;"tutar_farki","","Beklemede")</f>
        <v/>
      </c>
    </row>
    <row r="459">
      <c r="A459" s="22">
        <f>IF('KOK_NEDEN'!$A459="","",'KOK_NEDEN'!$A459)</f>
        <v/>
      </c>
      <c r="B459" s="17">
        <f>IF($A459="","",IFERROR(INDEX(tblKok[Kova],MATCH($A459,tblKok[A_Norm],0)),""))</f>
        <v/>
      </c>
      <c r="C459" s="17">
        <f>IF($A459="","",IFERROR(INDEX(tblEslesme[Fark],MATCH($A459,tblEslesme[A_Norm],0)),0))</f>
        <v/>
      </c>
      <c r="D459" s="17">
        <f>IF($A459="","",IFERROR(INDEX(tblKok[KokNeden],MATCH($A459,tblKok[A_Norm],0)),""))</f>
        <v/>
      </c>
      <c r="E459" s="17">
        <f>IF($B459&lt;&gt;"tutar_farki","",IF(ABS($C459)&gt;efd_esikFark,"YUKSEK","NORMAL"))</f>
        <v/>
      </c>
      <c r="F459" s="17">
        <f>IF($B459&lt;&gt;"tutar_farki","","Fatura "&amp;$A459&amp;" için fark "&amp;TEXT($C459,"0.00")&amp;" TL. Dayanak: "&amp;$D459&amp;". İtiraz dosyası üretildi.")</f>
        <v/>
      </c>
      <c r="G459" s="17">
        <f>IF($B459&lt;&gt;"tutar_farki","","Beklemede")</f>
        <v/>
      </c>
    </row>
    <row r="460">
      <c r="A460" s="22">
        <f>IF('KOK_NEDEN'!$A460="","",'KOK_NEDEN'!$A460)</f>
        <v/>
      </c>
      <c r="B460" s="17">
        <f>IF($A460="","",IFERROR(INDEX(tblKok[Kova],MATCH($A460,tblKok[A_Norm],0)),""))</f>
        <v/>
      </c>
      <c r="C460" s="17">
        <f>IF($A460="","",IFERROR(INDEX(tblEslesme[Fark],MATCH($A460,tblEslesme[A_Norm],0)),0))</f>
        <v/>
      </c>
      <c r="D460" s="17">
        <f>IF($A460="","",IFERROR(INDEX(tblKok[KokNeden],MATCH($A460,tblKok[A_Norm],0)),""))</f>
        <v/>
      </c>
      <c r="E460" s="17">
        <f>IF($B460&lt;&gt;"tutar_farki","",IF(ABS($C460)&gt;efd_esikFark,"YUKSEK","NORMAL"))</f>
        <v/>
      </c>
      <c r="F460" s="17">
        <f>IF($B460&lt;&gt;"tutar_farki","","Fatura "&amp;$A460&amp;" için fark "&amp;TEXT($C460,"0.00")&amp;" TL. Dayanak: "&amp;$D460&amp;". İtiraz dosyası üretildi.")</f>
        <v/>
      </c>
      <c r="G460" s="17">
        <f>IF($B460&lt;&gt;"tutar_farki","","Beklemede")</f>
        <v/>
      </c>
    </row>
    <row r="461">
      <c r="A461" s="22">
        <f>IF('KOK_NEDEN'!$A461="","",'KOK_NEDEN'!$A461)</f>
        <v/>
      </c>
      <c r="B461" s="17">
        <f>IF($A461="","",IFERROR(INDEX(tblKok[Kova],MATCH($A461,tblKok[A_Norm],0)),""))</f>
        <v/>
      </c>
      <c r="C461" s="17">
        <f>IF($A461="","",IFERROR(INDEX(tblEslesme[Fark],MATCH($A461,tblEslesme[A_Norm],0)),0))</f>
        <v/>
      </c>
      <c r="D461" s="17">
        <f>IF($A461="","",IFERROR(INDEX(tblKok[KokNeden],MATCH($A461,tblKok[A_Norm],0)),""))</f>
        <v/>
      </c>
      <c r="E461" s="17">
        <f>IF($B461&lt;&gt;"tutar_farki","",IF(ABS($C461)&gt;efd_esikFark,"YUKSEK","NORMAL"))</f>
        <v/>
      </c>
      <c r="F461" s="17">
        <f>IF($B461&lt;&gt;"tutar_farki","","Fatura "&amp;$A461&amp;" için fark "&amp;TEXT($C461,"0.00")&amp;" TL. Dayanak: "&amp;$D461&amp;". İtiraz dosyası üretildi.")</f>
        <v/>
      </c>
      <c r="G461" s="17">
        <f>IF($B461&lt;&gt;"tutar_farki","","Beklemede")</f>
        <v/>
      </c>
    </row>
    <row r="462">
      <c r="A462" s="22">
        <f>IF('KOK_NEDEN'!$A462="","",'KOK_NEDEN'!$A462)</f>
        <v/>
      </c>
      <c r="B462" s="17">
        <f>IF($A462="","",IFERROR(INDEX(tblKok[Kova],MATCH($A462,tblKok[A_Norm],0)),""))</f>
        <v/>
      </c>
      <c r="C462" s="17">
        <f>IF($A462="","",IFERROR(INDEX(tblEslesme[Fark],MATCH($A462,tblEslesme[A_Norm],0)),0))</f>
        <v/>
      </c>
      <c r="D462" s="17">
        <f>IF($A462="","",IFERROR(INDEX(tblKok[KokNeden],MATCH($A462,tblKok[A_Norm],0)),""))</f>
        <v/>
      </c>
      <c r="E462" s="17">
        <f>IF($B462&lt;&gt;"tutar_farki","",IF(ABS($C462)&gt;efd_esikFark,"YUKSEK","NORMAL"))</f>
        <v/>
      </c>
      <c r="F462" s="17">
        <f>IF($B462&lt;&gt;"tutar_farki","","Fatura "&amp;$A462&amp;" için fark "&amp;TEXT($C462,"0.00")&amp;" TL. Dayanak: "&amp;$D462&amp;". İtiraz dosyası üretildi.")</f>
        <v/>
      </c>
      <c r="G462" s="17">
        <f>IF($B462&lt;&gt;"tutar_farki","","Beklemede")</f>
        <v/>
      </c>
    </row>
    <row r="463">
      <c r="A463" s="22">
        <f>IF('KOK_NEDEN'!$A463="","",'KOK_NEDEN'!$A463)</f>
        <v/>
      </c>
      <c r="B463" s="17">
        <f>IF($A463="","",IFERROR(INDEX(tblKok[Kova],MATCH($A463,tblKok[A_Norm],0)),""))</f>
        <v/>
      </c>
      <c r="C463" s="17">
        <f>IF($A463="","",IFERROR(INDEX(tblEslesme[Fark],MATCH($A463,tblEslesme[A_Norm],0)),0))</f>
        <v/>
      </c>
      <c r="D463" s="17">
        <f>IF($A463="","",IFERROR(INDEX(tblKok[KokNeden],MATCH($A463,tblKok[A_Norm],0)),""))</f>
        <v/>
      </c>
      <c r="E463" s="17">
        <f>IF($B463&lt;&gt;"tutar_farki","",IF(ABS($C463)&gt;efd_esikFark,"YUKSEK","NORMAL"))</f>
        <v/>
      </c>
      <c r="F463" s="17">
        <f>IF($B463&lt;&gt;"tutar_farki","","Fatura "&amp;$A463&amp;" için fark "&amp;TEXT($C463,"0.00")&amp;" TL. Dayanak: "&amp;$D463&amp;". İtiraz dosyası üretildi.")</f>
        <v/>
      </c>
      <c r="G463" s="17">
        <f>IF($B463&lt;&gt;"tutar_farki","","Beklemede")</f>
        <v/>
      </c>
    </row>
    <row r="464">
      <c r="A464" s="22">
        <f>IF('KOK_NEDEN'!$A464="","",'KOK_NEDEN'!$A464)</f>
        <v/>
      </c>
      <c r="B464" s="17">
        <f>IF($A464="","",IFERROR(INDEX(tblKok[Kova],MATCH($A464,tblKok[A_Norm],0)),""))</f>
        <v/>
      </c>
      <c r="C464" s="17">
        <f>IF($A464="","",IFERROR(INDEX(tblEslesme[Fark],MATCH($A464,tblEslesme[A_Norm],0)),0))</f>
        <v/>
      </c>
      <c r="D464" s="17">
        <f>IF($A464="","",IFERROR(INDEX(tblKok[KokNeden],MATCH($A464,tblKok[A_Norm],0)),""))</f>
        <v/>
      </c>
      <c r="E464" s="17">
        <f>IF($B464&lt;&gt;"tutar_farki","",IF(ABS($C464)&gt;efd_esikFark,"YUKSEK","NORMAL"))</f>
        <v/>
      </c>
      <c r="F464" s="17">
        <f>IF($B464&lt;&gt;"tutar_farki","","Fatura "&amp;$A464&amp;" için fark "&amp;TEXT($C464,"0.00")&amp;" TL. Dayanak: "&amp;$D464&amp;". İtiraz dosyası üretildi.")</f>
        <v/>
      </c>
      <c r="G464" s="17">
        <f>IF($B464&lt;&gt;"tutar_farki","","Beklemede")</f>
        <v/>
      </c>
    </row>
    <row r="465">
      <c r="A465" s="22">
        <f>IF('KOK_NEDEN'!$A465="","",'KOK_NEDEN'!$A465)</f>
        <v/>
      </c>
      <c r="B465" s="17">
        <f>IF($A465="","",IFERROR(INDEX(tblKok[Kova],MATCH($A465,tblKok[A_Norm],0)),""))</f>
        <v/>
      </c>
      <c r="C465" s="17">
        <f>IF($A465="","",IFERROR(INDEX(tblEslesme[Fark],MATCH($A465,tblEslesme[A_Norm],0)),0))</f>
        <v/>
      </c>
      <c r="D465" s="17">
        <f>IF($A465="","",IFERROR(INDEX(tblKok[KokNeden],MATCH($A465,tblKok[A_Norm],0)),""))</f>
        <v/>
      </c>
      <c r="E465" s="17">
        <f>IF($B465&lt;&gt;"tutar_farki","",IF(ABS($C465)&gt;efd_esikFark,"YUKSEK","NORMAL"))</f>
        <v/>
      </c>
      <c r="F465" s="17">
        <f>IF($B465&lt;&gt;"tutar_farki","","Fatura "&amp;$A465&amp;" için fark "&amp;TEXT($C465,"0.00")&amp;" TL. Dayanak: "&amp;$D465&amp;". İtiraz dosyası üretildi.")</f>
        <v/>
      </c>
      <c r="G465" s="17">
        <f>IF($B465&lt;&gt;"tutar_farki","","Beklemede")</f>
        <v/>
      </c>
    </row>
    <row r="466">
      <c r="A466" s="22">
        <f>IF('KOK_NEDEN'!$A466="","",'KOK_NEDEN'!$A466)</f>
        <v/>
      </c>
      <c r="B466" s="17">
        <f>IF($A466="","",IFERROR(INDEX(tblKok[Kova],MATCH($A466,tblKok[A_Norm],0)),""))</f>
        <v/>
      </c>
      <c r="C466" s="17">
        <f>IF($A466="","",IFERROR(INDEX(tblEslesme[Fark],MATCH($A466,tblEslesme[A_Norm],0)),0))</f>
        <v/>
      </c>
      <c r="D466" s="17">
        <f>IF($A466="","",IFERROR(INDEX(tblKok[KokNeden],MATCH($A466,tblKok[A_Norm],0)),""))</f>
        <v/>
      </c>
      <c r="E466" s="17">
        <f>IF($B466&lt;&gt;"tutar_farki","",IF(ABS($C466)&gt;efd_esikFark,"YUKSEK","NORMAL"))</f>
        <v/>
      </c>
      <c r="F466" s="17">
        <f>IF($B466&lt;&gt;"tutar_farki","","Fatura "&amp;$A466&amp;" için fark "&amp;TEXT($C466,"0.00")&amp;" TL. Dayanak: "&amp;$D466&amp;". İtiraz dosyası üretildi.")</f>
        <v/>
      </c>
      <c r="G466" s="17">
        <f>IF($B466&lt;&gt;"tutar_farki","","Beklemede")</f>
        <v/>
      </c>
    </row>
    <row r="467">
      <c r="A467" s="22">
        <f>IF('KOK_NEDEN'!$A467="","",'KOK_NEDEN'!$A467)</f>
        <v/>
      </c>
      <c r="B467" s="17">
        <f>IF($A467="","",IFERROR(INDEX(tblKok[Kova],MATCH($A467,tblKok[A_Norm],0)),""))</f>
        <v/>
      </c>
      <c r="C467" s="17">
        <f>IF($A467="","",IFERROR(INDEX(tblEslesme[Fark],MATCH($A467,tblEslesme[A_Norm],0)),0))</f>
        <v/>
      </c>
      <c r="D467" s="17">
        <f>IF($A467="","",IFERROR(INDEX(tblKok[KokNeden],MATCH($A467,tblKok[A_Norm],0)),""))</f>
        <v/>
      </c>
      <c r="E467" s="17">
        <f>IF($B467&lt;&gt;"tutar_farki","",IF(ABS($C467)&gt;efd_esikFark,"YUKSEK","NORMAL"))</f>
        <v/>
      </c>
      <c r="F467" s="17">
        <f>IF($B467&lt;&gt;"tutar_farki","","Fatura "&amp;$A467&amp;" için fark "&amp;TEXT($C467,"0.00")&amp;" TL. Dayanak: "&amp;$D467&amp;". İtiraz dosyası üretildi.")</f>
        <v/>
      </c>
      <c r="G467" s="17">
        <f>IF($B467&lt;&gt;"tutar_farki","","Beklemede")</f>
        <v/>
      </c>
    </row>
    <row r="468">
      <c r="A468" s="22">
        <f>IF('KOK_NEDEN'!$A468="","",'KOK_NEDEN'!$A468)</f>
        <v/>
      </c>
      <c r="B468" s="17">
        <f>IF($A468="","",IFERROR(INDEX(tblKok[Kova],MATCH($A468,tblKok[A_Norm],0)),""))</f>
        <v/>
      </c>
      <c r="C468" s="17">
        <f>IF($A468="","",IFERROR(INDEX(tblEslesme[Fark],MATCH($A468,tblEslesme[A_Norm],0)),0))</f>
        <v/>
      </c>
      <c r="D468" s="17">
        <f>IF($A468="","",IFERROR(INDEX(tblKok[KokNeden],MATCH($A468,tblKok[A_Norm],0)),""))</f>
        <v/>
      </c>
      <c r="E468" s="17">
        <f>IF($B468&lt;&gt;"tutar_farki","",IF(ABS($C468)&gt;efd_esikFark,"YUKSEK","NORMAL"))</f>
        <v/>
      </c>
      <c r="F468" s="17">
        <f>IF($B468&lt;&gt;"tutar_farki","","Fatura "&amp;$A468&amp;" için fark "&amp;TEXT($C468,"0.00")&amp;" TL. Dayanak: "&amp;$D468&amp;". İtiraz dosyası üretildi.")</f>
        <v/>
      </c>
      <c r="G468" s="17">
        <f>IF($B468&lt;&gt;"tutar_farki","","Beklemede")</f>
        <v/>
      </c>
    </row>
    <row r="469">
      <c r="A469" s="22">
        <f>IF('KOK_NEDEN'!$A469="","",'KOK_NEDEN'!$A469)</f>
        <v/>
      </c>
      <c r="B469" s="17">
        <f>IF($A469="","",IFERROR(INDEX(tblKok[Kova],MATCH($A469,tblKok[A_Norm],0)),""))</f>
        <v/>
      </c>
      <c r="C469" s="17">
        <f>IF($A469="","",IFERROR(INDEX(tblEslesme[Fark],MATCH($A469,tblEslesme[A_Norm],0)),0))</f>
        <v/>
      </c>
      <c r="D469" s="17">
        <f>IF($A469="","",IFERROR(INDEX(tblKok[KokNeden],MATCH($A469,tblKok[A_Norm],0)),""))</f>
        <v/>
      </c>
      <c r="E469" s="17">
        <f>IF($B469&lt;&gt;"tutar_farki","",IF(ABS($C469)&gt;efd_esikFark,"YUKSEK","NORMAL"))</f>
        <v/>
      </c>
      <c r="F469" s="17">
        <f>IF($B469&lt;&gt;"tutar_farki","","Fatura "&amp;$A469&amp;" için fark "&amp;TEXT($C469,"0.00")&amp;" TL. Dayanak: "&amp;$D469&amp;". İtiraz dosyası üretildi.")</f>
        <v/>
      </c>
      <c r="G469" s="17">
        <f>IF($B469&lt;&gt;"tutar_farki","","Beklemede")</f>
        <v/>
      </c>
    </row>
    <row r="470">
      <c r="A470" s="22">
        <f>IF('KOK_NEDEN'!$A470="","",'KOK_NEDEN'!$A470)</f>
        <v/>
      </c>
      <c r="B470" s="17">
        <f>IF($A470="","",IFERROR(INDEX(tblKok[Kova],MATCH($A470,tblKok[A_Norm],0)),""))</f>
        <v/>
      </c>
      <c r="C470" s="17">
        <f>IF($A470="","",IFERROR(INDEX(tblEslesme[Fark],MATCH($A470,tblEslesme[A_Norm],0)),0))</f>
        <v/>
      </c>
      <c r="D470" s="17">
        <f>IF($A470="","",IFERROR(INDEX(tblKok[KokNeden],MATCH($A470,tblKok[A_Norm],0)),""))</f>
        <v/>
      </c>
      <c r="E470" s="17">
        <f>IF($B470&lt;&gt;"tutar_farki","",IF(ABS($C470)&gt;efd_esikFark,"YUKSEK","NORMAL"))</f>
        <v/>
      </c>
      <c r="F470" s="17">
        <f>IF($B470&lt;&gt;"tutar_farki","","Fatura "&amp;$A470&amp;" için fark "&amp;TEXT($C470,"0.00")&amp;" TL. Dayanak: "&amp;$D470&amp;". İtiraz dosyası üretildi.")</f>
        <v/>
      </c>
      <c r="G470" s="17">
        <f>IF($B470&lt;&gt;"tutar_farki","","Beklemede")</f>
        <v/>
      </c>
    </row>
    <row r="471">
      <c r="A471" s="22">
        <f>IF('KOK_NEDEN'!$A471="","",'KOK_NEDEN'!$A471)</f>
        <v/>
      </c>
      <c r="B471" s="17">
        <f>IF($A471="","",IFERROR(INDEX(tblKok[Kova],MATCH($A471,tblKok[A_Norm],0)),""))</f>
        <v/>
      </c>
      <c r="C471" s="17">
        <f>IF($A471="","",IFERROR(INDEX(tblEslesme[Fark],MATCH($A471,tblEslesme[A_Norm],0)),0))</f>
        <v/>
      </c>
      <c r="D471" s="17">
        <f>IF($A471="","",IFERROR(INDEX(tblKok[KokNeden],MATCH($A471,tblKok[A_Norm],0)),""))</f>
        <v/>
      </c>
      <c r="E471" s="17">
        <f>IF($B471&lt;&gt;"tutar_farki","",IF(ABS($C471)&gt;efd_esikFark,"YUKSEK","NORMAL"))</f>
        <v/>
      </c>
      <c r="F471" s="17">
        <f>IF($B471&lt;&gt;"tutar_farki","","Fatura "&amp;$A471&amp;" için fark "&amp;TEXT($C471,"0.00")&amp;" TL. Dayanak: "&amp;$D471&amp;". İtiraz dosyası üretildi.")</f>
        <v/>
      </c>
      <c r="G471" s="17">
        <f>IF($B471&lt;&gt;"tutar_farki","","Beklemede")</f>
        <v/>
      </c>
    </row>
    <row r="472">
      <c r="A472" s="22">
        <f>IF('KOK_NEDEN'!$A472="","",'KOK_NEDEN'!$A472)</f>
        <v/>
      </c>
      <c r="B472" s="17">
        <f>IF($A472="","",IFERROR(INDEX(tblKok[Kova],MATCH($A472,tblKok[A_Norm],0)),""))</f>
        <v/>
      </c>
      <c r="C472" s="17">
        <f>IF($A472="","",IFERROR(INDEX(tblEslesme[Fark],MATCH($A472,tblEslesme[A_Norm],0)),0))</f>
        <v/>
      </c>
      <c r="D472" s="17">
        <f>IF($A472="","",IFERROR(INDEX(tblKok[KokNeden],MATCH($A472,tblKok[A_Norm],0)),""))</f>
        <v/>
      </c>
      <c r="E472" s="17">
        <f>IF($B472&lt;&gt;"tutar_farki","",IF(ABS($C472)&gt;efd_esikFark,"YUKSEK","NORMAL"))</f>
        <v/>
      </c>
      <c r="F472" s="17">
        <f>IF($B472&lt;&gt;"tutar_farki","","Fatura "&amp;$A472&amp;" için fark "&amp;TEXT($C472,"0.00")&amp;" TL. Dayanak: "&amp;$D472&amp;". İtiraz dosyası üretildi.")</f>
        <v/>
      </c>
      <c r="G472" s="17">
        <f>IF($B472&lt;&gt;"tutar_farki","","Beklemede")</f>
        <v/>
      </c>
    </row>
    <row r="473">
      <c r="A473" s="22">
        <f>IF('KOK_NEDEN'!$A473="","",'KOK_NEDEN'!$A473)</f>
        <v/>
      </c>
      <c r="B473" s="17">
        <f>IF($A473="","",IFERROR(INDEX(tblKok[Kova],MATCH($A473,tblKok[A_Norm],0)),""))</f>
        <v/>
      </c>
      <c r="C473" s="17">
        <f>IF($A473="","",IFERROR(INDEX(tblEslesme[Fark],MATCH($A473,tblEslesme[A_Norm],0)),0))</f>
        <v/>
      </c>
      <c r="D473" s="17">
        <f>IF($A473="","",IFERROR(INDEX(tblKok[KokNeden],MATCH($A473,tblKok[A_Norm],0)),""))</f>
        <v/>
      </c>
      <c r="E473" s="17">
        <f>IF($B473&lt;&gt;"tutar_farki","",IF(ABS($C473)&gt;efd_esikFark,"YUKSEK","NORMAL"))</f>
        <v/>
      </c>
      <c r="F473" s="17">
        <f>IF($B473&lt;&gt;"tutar_farki","","Fatura "&amp;$A473&amp;" için fark "&amp;TEXT($C473,"0.00")&amp;" TL. Dayanak: "&amp;$D473&amp;". İtiraz dosyası üretildi.")</f>
        <v/>
      </c>
      <c r="G473" s="17">
        <f>IF($B473&lt;&gt;"tutar_farki","","Beklemede")</f>
        <v/>
      </c>
    </row>
    <row r="474">
      <c r="A474" s="22">
        <f>IF('KOK_NEDEN'!$A474="","",'KOK_NEDEN'!$A474)</f>
        <v/>
      </c>
      <c r="B474" s="17">
        <f>IF($A474="","",IFERROR(INDEX(tblKok[Kova],MATCH($A474,tblKok[A_Norm],0)),""))</f>
        <v/>
      </c>
      <c r="C474" s="17">
        <f>IF($A474="","",IFERROR(INDEX(tblEslesme[Fark],MATCH($A474,tblEslesme[A_Norm],0)),0))</f>
        <v/>
      </c>
      <c r="D474" s="17">
        <f>IF($A474="","",IFERROR(INDEX(tblKok[KokNeden],MATCH($A474,tblKok[A_Norm],0)),""))</f>
        <v/>
      </c>
      <c r="E474" s="17">
        <f>IF($B474&lt;&gt;"tutar_farki","",IF(ABS($C474)&gt;efd_esikFark,"YUKSEK","NORMAL"))</f>
        <v/>
      </c>
      <c r="F474" s="17">
        <f>IF($B474&lt;&gt;"tutar_farki","","Fatura "&amp;$A474&amp;" için fark "&amp;TEXT($C474,"0.00")&amp;" TL. Dayanak: "&amp;$D474&amp;". İtiraz dosyası üretildi.")</f>
        <v/>
      </c>
      <c r="G474" s="17">
        <f>IF($B474&lt;&gt;"tutar_farki","","Beklemede")</f>
        <v/>
      </c>
    </row>
    <row r="475">
      <c r="A475" s="22">
        <f>IF('KOK_NEDEN'!$A475="","",'KOK_NEDEN'!$A475)</f>
        <v/>
      </c>
      <c r="B475" s="17">
        <f>IF($A475="","",IFERROR(INDEX(tblKok[Kova],MATCH($A475,tblKok[A_Norm],0)),""))</f>
        <v/>
      </c>
      <c r="C475" s="17">
        <f>IF($A475="","",IFERROR(INDEX(tblEslesme[Fark],MATCH($A475,tblEslesme[A_Norm],0)),0))</f>
        <v/>
      </c>
      <c r="D475" s="17">
        <f>IF($A475="","",IFERROR(INDEX(tblKok[KokNeden],MATCH($A475,tblKok[A_Norm],0)),""))</f>
        <v/>
      </c>
      <c r="E475" s="17">
        <f>IF($B475&lt;&gt;"tutar_farki","",IF(ABS($C475)&gt;efd_esikFark,"YUKSEK","NORMAL"))</f>
        <v/>
      </c>
      <c r="F475" s="17">
        <f>IF($B475&lt;&gt;"tutar_farki","","Fatura "&amp;$A475&amp;" için fark "&amp;TEXT($C475,"0.00")&amp;" TL. Dayanak: "&amp;$D475&amp;". İtiraz dosyası üretildi.")</f>
        <v/>
      </c>
      <c r="G475" s="17">
        <f>IF($B475&lt;&gt;"tutar_farki","","Beklemede")</f>
        <v/>
      </c>
    </row>
    <row r="476">
      <c r="A476" s="22">
        <f>IF('KOK_NEDEN'!$A476="","",'KOK_NEDEN'!$A476)</f>
        <v/>
      </c>
      <c r="B476" s="17">
        <f>IF($A476="","",IFERROR(INDEX(tblKok[Kova],MATCH($A476,tblKok[A_Norm],0)),""))</f>
        <v/>
      </c>
      <c r="C476" s="17">
        <f>IF($A476="","",IFERROR(INDEX(tblEslesme[Fark],MATCH($A476,tblEslesme[A_Norm],0)),0))</f>
        <v/>
      </c>
      <c r="D476" s="17">
        <f>IF($A476="","",IFERROR(INDEX(tblKok[KokNeden],MATCH($A476,tblKok[A_Norm],0)),""))</f>
        <v/>
      </c>
      <c r="E476" s="17">
        <f>IF($B476&lt;&gt;"tutar_farki","",IF(ABS($C476)&gt;efd_esikFark,"YUKSEK","NORMAL"))</f>
        <v/>
      </c>
      <c r="F476" s="17">
        <f>IF($B476&lt;&gt;"tutar_farki","","Fatura "&amp;$A476&amp;" için fark "&amp;TEXT($C476,"0.00")&amp;" TL. Dayanak: "&amp;$D476&amp;". İtiraz dosyası üretildi.")</f>
        <v/>
      </c>
      <c r="G476" s="17">
        <f>IF($B476&lt;&gt;"tutar_farki","","Beklemede")</f>
        <v/>
      </c>
    </row>
    <row r="477">
      <c r="A477" s="22">
        <f>IF('KOK_NEDEN'!$A477="","",'KOK_NEDEN'!$A477)</f>
        <v/>
      </c>
      <c r="B477" s="17">
        <f>IF($A477="","",IFERROR(INDEX(tblKok[Kova],MATCH($A477,tblKok[A_Norm],0)),""))</f>
        <v/>
      </c>
      <c r="C477" s="17">
        <f>IF($A477="","",IFERROR(INDEX(tblEslesme[Fark],MATCH($A477,tblEslesme[A_Norm],0)),0))</f>
        <v/>
      </c>
      <c r="D477" s="17">
        <f>IF($A477="","",IFERROR(INDEX(tblKok[KokNeden],MATCH($A477,tblKok[A_Norm],0)),""))</f>
        <v/>
      </c>
      <c r="E477" s="17">
        <f>IF($B477&lt;&gt;"tutar_farki","",IF(ABS($C477)&gt;efd_esikFark,"YUKSEK","NORMAL"))</f>
        <v/>
      </c>
      <c r="F477" s="17">
        <f>IF($B477&lt;&gt;"tutar_farki","","Fatura "&amp;$A477&amp;" için fark "&amp;TEXT($C477,"0.00")&amp;" TL. Dayanak: "&amp;$D477&amp;". İtiraz dosyası üretildi.")</f>
        <v/>
      </c>
      <c r="G477" s="17">
        <f>IF($B477&lt;&gt;"tutar_farki","","Beklemede")</f>
        <v/>
      </c>
    </row>
    <row r="478">
      <c r="A478" s="22">
        <f>IF('KOK_NEDEN'!$A478="","",'KOK_NEDEN'!$A478)</f>
        <v/>
      </c>
      <c r="B478" s="17">
        <f>IF($A478="","",IFERROR(INDEX(tblKok[Kova],MATCH($A478,tblKok[A_Norm],0)),""))</f>
        <v/>
      </c>
      <c r="C478" s="17">
        <f>IF($A478="","",IFERROR(INDEX(tblEslesme[Fark],MATCH($A478,tblEslesme[A_Norm],0)),0))</f>
        <v/>
      </c>
      <c r="D478" s="17">
        <f>IF($A478="","",IFERROR(INDEX(tblKok[KokNeden],MATCH($A478,tblKok[A_Norm],0)),""))</f>
        <v/>
      </c>
      <c r="E478" s="17">
        <f>IF($B478&lt;&gt;"tutar_farki","",IF(ABS($C478)&gt;efd_esikFark,"YUKSEK","NORMAL"))</f>
        <v/>
      </c>
      <c r="F478" s="17">
        <f>IF($B478&lt;&gt;"tutar_farki","","Fatura "&amp;$A478&amp;" için fark "&amp;TEXT($C478,"0.00")&amp;" TL. Dayanak: "&amp;$D478&amp;". İtiraz dosyası üretildi.")</f>
        <v/>
      </c>
      <c r="G478" s="17">
        <f>IF($B478&lt;&gt;"tutar_farki","","Beklemede")</f>
        <v/>
      </c>
    </row>
    <row r="479">
      <c r="A479" s="22">
        <f>IF('KOK_NEDEN'!$A479="","",'KOK_NEDEN'!$A479)</f>
        <v/>
      </c>
      <c r="B479" s="17">
        <f>IF($A479="","",IFERROR(INDEX(tblKok[Kova],MATCH($A479,tblKok[A_Norm],0)),""))</f>
        <v/>
      </c>
      <c r="C479" s="17">
        <f>IF($A479="","",IFERROR(INDEX(tblEslesme[Fark],MATCH($A479,tblEslesme[A_Norm],0)),0))</f>
        <v/>
      </c>
      <c r="D479" s="17">
        <f>IF($A479="","",IFERROR(INDEX(tblKok[KokNeden],MATCH($A479,tblKok[A_Norm],0)),""))</f>
        <v/>
      </c>
      <c r="E479" s="17">
        <f>IF($B479&lt;&gt;"tutar_farki","",IF(ABS($C479)&gt;efd_esikFark,"YUKSEK","NORMAL"))</f>
        <v/>
      </c>
      <c r="F479" s="17">
        <f>IF($B479&lt;&gt;"tutar_farki","","Fatura "&amp;$A479&amp;" için fark "&amp;TEXT($C479,"0.00")&amp;" TL. Dayanak: "&amp;$D479&amp;". İtiraz dosyası üretildi.")</f>
        <v/>
      </c>
      <c r="G479" s="17">
        <f>IF($B479&lt;&gt;"tutar_farki","","Beklemede")</f>
        <v/>
      </c>
    </row>
    <row r="480">
      <c r="A480" s="22">
        <f>IF('KOK_NEDEN'!$A480="","",'KOK_NEDEN'!$A480)</f>
        <v/>
      </c>
      <c r="B480" s="17">
        <f>IF($A480="","",IFERROR(INDEX(tblKok[Kova],MATCH($A480,tblKok[A_Norm],0)),""))</f>
        <v/>
      </c>
      <c r="C480" s="17">
        <f>IF($A480="","",IFERROR(INDEX(tblEslesme[Fark],MATCH($A480,tblEslesme[A_Norm],0)),0))</f>
        <v/>
      </c>
      <c r="D480" s="17">
        <f>IF($A480="","",IFERROR(INDEX(tblKok[KokNeden],MATCH($A480,tblKok[A_Norm],0)),""))</f>
        <v/>
      </c>
      <c r="E480" s="17">
        <f>IF($B480&lt;&gt;"tutar_farki","",IF(ABS($C480)&gt;efd_esikFark,"YUKSEK","NORMAL"))</f>
        <v/>
      </c>
      <c r="F480" s="17">
        <f>IF($B480&lt;&gt;"tutar_farki","","Fatura "&amp;$A480&amp;" için fark "&amp;TEXT($C480,"0.00")&amp;" TL. Dayanak: "&amp;$D480&amp;". İtiraz dosyası üretildi.")</f>
        <v/>
      </c>
      <c r="G480" s="17">
        <f>IF($B480&lt;&gt;"tutar_farki","","Beklemede")</f>
        <v/>
      </c>
    </row>
    <row r="481">
      <c r="A481" s="22">
        <f>IF('KOK_NEDEN'!$A481="","",'KOK_NEDEN'!$A481)</f>
        <v/>
      </c>
      <c r="B481" s="17">
        <f>IF($A481="","",IFERROR(INDEX(tblKok[Kova],MATCH($A481,tblKok[A_Norm],0)),""))</f>
        <v/>
      </c>
      <c r="C481" s="17">
        <f>IF($A481="","",IFERROR(INDEX(tblEslesme[Fark],MATCH($A481,tblEslesme[A_Norm],0)),0))</f>
        <v/>
      </c>
      <c r="D481" s="17">
        <f>IF($A481="","",IFERROR(INDEX(tblKok[KokNeden],MATCH($A481,tblKok[A_Norm],0)),""))</f>
        <v/>
      </c>
      <c r="E481" s="17">
        <f>IF($B481&lt;&gt;"tutar_farki","",IF(ABS($C481)&gt;efd_esikFark,"YUKSEK","NORMAL"))</f>
        <v/>
      </c>
      <c r="F481" s="17">
        <f>IF($B481&lt;&gt;"tutar_farki","","Fatura "&amp;$A481&amp;" için fark "&amp;TEXT($C481,"0.00")&amp;" TL. Dayanak: "&amp;$D481&amp;". İtiraz dosyası üretildi.")</f>
        <v/>
      </c>
      <c r="G481" s="17">
        <f>IF($B481&lt;&gt;"tutar_farki","","Beklemede")</f>
        <v/>
      </c>
    </row>
    <row r="482">
      <c r="A482" s="22">
        <f>IF('KOK_NEDEN'!$A482="","",'KOK_NEDEN'!$A482)</f>
        <v/>
      </c>
      <c r="B482" s="17">
        <f>IF($A482="","",IFERROR(INDEX(tblKok[Kova],MATCH($A482,tblKok[A_Norm],0)),""))</f>
        <v/>
      </c>
      <c r="C482" s="17">
        <f>IF($A482="","",IFERROR(INDEX(tblEslesme[Fark],MATCH($A482,tblEslesme[A_Norm],0)),0))</f>
        <v/>
      </c>
      <c r="D482" s="17">
        <f>IF($A482="","",IFERROR(INDEX(tblKok[KokNeden],MATCH($A482,tblKok[A_Norm],0)),""))</f>
        <v/>
      </c>
      <c r="E482" s="17">
        <f>IF($B482&lt;&gt;"tutar_farki","",IF(ABS($C482)&gt;efd_esikFark,"YUKSEK","NORMAL"))</f>
        <v/>
      </c>
      <c r="F482" s="17">
        <f>IF($B482&lt;&gt;"tutar_farki","","Fatura "&amp;$A482&amp;" için fark "&amp;TEXT($C482,"0.00")&amp;" TL. Dayanak: "&amp;$D482&amp;". İtiraz dosyası üretildi.")</f>
        <v/>
      </c>
      <c r="G482" s="17">
        <f>IF($B482&lt;&gt;"tutar_farki","","Beklemede")</f>
        <v/>
      </c>
    </row>
    <row r="483">
      <c r="A483" s="22">
        <f>IF('KOK_NEDEN'!$A483="","",'KOK_NEDEN'!$A483)</f>
        <v/>
      </c>
      <c r="B483" s="17">
        <f>IF($A483="","",IFERROR(INDEX(tblKok[Kova],MATCH($A483,tblKok[A_Norm],0)),""))</f>
        <v/>
      </c>
      <c r="C483" s="17">
        <f>IF($A483="","",IFERROR(INDEX(tblEslesme[Fark],MATCH($A483,tblEslesme[A_Norm],0)),0))</f>
        <v/>
      </c>
      <c r="D483" s="17">
        <f>IF($A483="","",IFERROR(INDEX(tblKok[KokNeden],MATCH($A483,tblKok[A_Norm],0)),""))</f>
        <v/>
      </c>
      <c r="E483" s="17">
        <f>IF($B483&lt;&gt;"tutar_farki","",IF(ABS($C483)&gt;efd_esikFark,"YUKSEK","NORMAL"))</f>
        <v/>
      </c>
      <c r="F483" s="17">
        <f>IF($B483&lt;&gt;"tutar_farki","","Fatura "&amp;$A483&amp;" için fark "&amp;TEXT($C483,"0.00")&amp;" TL. Dayanak: "&amp;$D483&amp;". İtiraz dosyası üretildi.")</f>
        <v/>
      </c>
      <c r="G483" s="17">
        <f>IF($B483&lt;&gt;"tutar_farki","","Beklemede")</f>
        <v/>
      </c>
    </row>
    <row r="484">
      <c r="A484" s="22">
        <f>IF('KOK_NEDEN'!$A484="","",'KOK_NEDEN'!$A484)</f>
        <v/>
      </c>
      <c r="B484" s="17">
        <f>IF($A484="","",IFERROR(INDEX(tblKok[Kova],MATCH($A484,tblKok[A_Norm],0)),""))</f>
        <v/>
      </c>
      <c r="C484" s="17">
        <f>IF($A484="","",IFERROR(INDEX(tblEslesme[Fark],MATCH($A484,tblEslesme[A_Norm],0)),0))</f>
        <v/>
      </c>
      <c r="D484" s="17">
        <f>IF($A484="","",IFERROR(INDEX(tblKok[KokNeden],MATCH($A484,tblKok[A_Norm],0)),""))</f>
        <v/>
      </c>
      <c r="E484" s="17">
        <f>IF($B484&lt;&gt;"tutar_farki","",IF(ABS($C484)&gt;efd_esikFark,"YUKSEK","NORMAL"))</f>
        <v/>
      </c>
      <c r="F484" s="17">
        <f>IF($B484&lt;&gt;"tutar_farki","","Fatura "&amp;$A484&amp;" için fark "&amp;TEXT($C484,"0.00")&amp;" TL. Dayanak: "&amp;$D484&amp;". İtiraz dosyası üretildi.")</f>
        <v/>
      </c>
      <c r="G484" s="17">
        <f>IF($B484&lt;&gt;"tutar_farki","","Beklemede")</f>
        <v/>
      </c>
    </row>
    <row r="485">
      <c r="A485" s="22">
        <f>IF('KOK_NEDEN'!$A485="","",'KOK_NEDEN'!$A485)</f>
        <v/>
      </c>
      <c r="B485" s="17">
        <f>IF($A485="","",IFERROR(INDEX(tblKok[Kova],MATCH($A485,tblKok[A_Norm],0)),""))</f>
        <v/>
      </c>
      <c r="C485" s="17">
        <f>IF($A485="","",IFERROR(INDEX(tblEslesme[Fark],MATCH($A485,tblEslesme[A_Norm],0)),0))</f>
        <v/>
      </c>
      <c r="D485" s="17">
        <f>IF($A485="","",IFERROR(INDEX(tblKok[KokNeden],MATCH($A485,tblKok[A_Norm],0)),""))</f>
        <v/>
      </c>
      <c r="E485" s="17">
        <f>IF($B485&lt;&gt;"tutar_farki","",IF(ABS($C485)&gt;efd_esikFark,"YUKSEK","NORMAL"))</f>
        <v/>
      </c>
      <c r="F485" s="17">
        <f>IF($B485&lt;&gt;"tutar_farki","","Fatura "&amp;$A485&amp;" için fark "&amp;TEXT($C485,"0.00")&amp;" TL. Dayanak: "&amp;$D485&amp;". İtiraz dosyası üretildi.")</f>
        <v/>
      </c>
      <c r="G485" s="17">
        <f>IF($B485&lt;&gt;"tutar_farki","","Beklemede")</f>
        <v/>
      </c>
    </row>
    <row r="486">
      <c r="A486" s="22">
        <f>IF('KOK_NEDEN'!$A486="","",'KOK_NEDEN'!$A486)</f>
        <v/>
      </c>
      <c r="B486" s="17">
        <f>IF($A486="","",IFERROR(INDEX(tblKok[Kova],MATCH($A486,tblKok[A_Norm],0)),""))</f>
        <v/>
      </c>
      <c r="C486" s="17">
        <f>IF($A486="","",IFERROR(INDEX(tblEslesme[Fark],MATCH($A486,tblEslesme[A_Norm],0)),0))</f>
        <v/>
      </c>
      <c r="D486" s="17">
        <f>IF($A486="","",IFERROR(INDEX(tblKok[KokNeden],MATCH($A486,tblKok[A_Norm],0)),""))</f>
        <v/>
      </c>
      <c r="E486" s="17">
        <f>IF($B486&lt;&gt;"tutar_farki","",IF(ABS($C486)&gt;efd_esikFark,"YUKSEK","NORMAL"))</f>
        <v/>
      </c>
      <c r="F486" s="17">
        <f>IF($B486&lt;&gt;"tutar_farki","","Fatura "&amp;$A486&amp;" için fark "&amp;TEXT($C486,"0.00")&amp;" TL. Dayanak: "&amp;$D486&amp;". İtiraz dosyası üretildi.")</f>
        <v/>
      </c>
      <c r="G486" s="17">
        <f>IF($B486&lt;&gt;"tutar_farki","","Beklemede")</f>
        <v/>
      </c>
    </row>
    <row r="487">
      <c r="A487" s="22">
        <f>IF('KOK_NEDEN'!$A487="","",'KOK_NEDEN'!$A487)</f>
        <v/>
      </c>
      <c r="B487" s="17">
        <f>IF($A487="","",IFERROR(INDEX(tblKok[Kova],MATCH($A487,tblKok[A_Norm],0)),""))</f>
        <v/>
      </c>
      <c r="C487" s="17">
        <f>IF($A487="","",IFERROR(INDEX(tblEslesme[Fark],MATCH($A487,tblEslesme[A_Norm],0)),0))</f>
        <v/>
      </c>
      <c r="D487" s="17">
        <f>IF($A487="","",IFERROR(INDEX(tblKok[KokNeden],MATCH($A487,tblKok[A_Norm],0)),""))</f>
        <v/>
      </c>
      <c r="E487" s="17">
        <f>IF($B487&lt;&gt;"tutar_farki","",IF(ABS($C487)&gt;efd_esikFark,"YUKSEK","NORMAL"))</f>
        <v/>
      </c>
      <c r="F487" s="17">
        <f>IF($B487&lt;&gt;"tutar_farki","","Fatura "&amp;$A487&amp;" için fark "&amp;TEXT($C487,"0.00")&amp;" TL. Dayanak: "&amp;$D487&amp;". İtiraz dosyası üretildi.")</f>
        <v/>
      </c>
      <c r="G487" s="17">
        <f>IF($B487&lt;&gt;"tutar_farki","","Beklemede")</f>
        <v/>
      </c>
    </row>
    <row r="488">
      <c r="A488" s="22">
        <f>IF('KOK_NEDEN'!$A488="","",'KOK_NEDEN'!$A488)</f>
        <v/>
      </c>
      <c r="B488" s="17">
        <f>IF($A488="","",IFERROR(INDEX(tblKok[Kova],MATCH($A488,tblKok[A_Norm],0)),""))</f>
        <v/>
      </c>
      <c r="C488" s="17">
        <f>IF($A488="","",IFERROR(INDEX(tblEslesme[Fark],MATCH($A488,tblEslesme[A_Norm],0)),0))</f>
        <v/>
      </c>
      <c r="D488" s="17">
        <f>IF($A488="","",IFERROR(INDEX(tblKok[KokNeden],MATCH($A488,tblKok[A_Norm],0)),""))</f>
        <v/>
      </c>
      <c r="E488" s="17">
        <f>IF($B488&lt;&gt;"tutar_farki","",IF(ABS($C488)&gt;efd_esikFark,"YUKSEK","NORMAL"))</f>
        <v/>
      </c>
      <c r="F488" s="17">
        <f>IF($B488&lt;&gt;"tutar_farki","","Fatura "&amp;$A488&amp;" için fark "&amp;TEXT($C488,"0.00")&amp;" TL. Dayanak: "&amp;$D488&amp;". İtiraz dosyası üretildi.")</f>
        <v/>
      </c>
      <c r="G488" s="17">
        <f>IF($B488&lt;&gt;"tutar_farki","","Beklemede")</f>
        <v/>
      </c>
    </row>
    <row r="489">
      <c r="A489" s="22">
        <f>IF('KOK_NEDEN'!$A489="","",'KOK_NEDEN'!$A489)</f>
        <v/>
      </c>
      <c r="B489" s="17">
        <f>IF($A489="","",IFERROR(INDEX(tblKok[Kova],MATCH($A489,tblKok[A_Norm],0)),""))</f>
        <v/>
      </c>
      <c r="C489" s="17">
        <f>IF($A489="","",IFERROR(INDEX(tblEslesme[Fark],MATCH($A489,tblEslesme[A_Norm],0)),0))</f>
        <v/>
      </c>
      <c r="D489" s="17">
        <f>IF($A489="","",IFERROR(INDEX(tblKok[KokNeden],MATCH($A489,tblKok[A_Norm],0)),""))</f>
        <v/>
      </c>
      <c r="E489" s="17">
        <f>IF($B489&lt;&gt;"tutar_farki","",IF(ABS($C489)&gt;efd_esikFark,"YUKSEK","NORMAL"))</f>
        <v/>
      </c>
      <c r="F489" s="17">
        <f>IF($B489&lt;&gt;"tutar_farki","","Fatura "&amp;$A489&amp;" için fark "&amp;TEXT($C489,"0.00")&amp;" TL. Dayanak: "&amp;$D489&amp;". İtiraz dosyası üretildi.")</f>
        <v/>
      </c>
      <c r="G489" s="17">
        <f>IF($B489&lt;&gt;"tutar_farki","","Beklemede")</f>
        <v/>
      </c>
    </row>
    <row r="490">
      <c r="A490" s="22">
        <f>IF('KOK_NEDEN'!$A490="","",'KOK_NEDEN'!$A490)</f>
        <v/>
      </c>
      <c r="B490" s="17">
        <f>IF($A490="","",IFERROR(INDEX(tblKok[Kova],MATCH($A490,tblKok[A_Norm],0)),""))</f>
        <v/>
      </c>
      <c r="C490" s="17">
        <f>IF($A490="","",IFERROR(INDEX(tblEslesme[Fark],MATCH($A490,tblEslesme[A_Norm],0)),0))</f>
        <v/>
      </c>
      <c r="D490" s="17">
        <f>IF($A490="","",IFERROR(INDEX(tblKok[KokNeden],MATCH($A490,tblKok[A_Norm],0)),""))</f>
        <v/>
      </c>
      <c r="E490" s="17">
        <f>IF($B490&lt;&gt;"tutar_farki","",IF(ABS($C490)&gt;efd_esikFark,"YUKSEK","NORMAL"))</f>
        <v/>
      </c>
      <c r="F490" s="17">
        <f>IF($B490&lt;&gt;"tutar_farki","","Fatura "&amp;$A490&amp;" için fark "&amp;TEXT($C490,"0.00")&amp;" TL. Dayanak: "&amp;$D490&amp;". İtiraz dosyası üretildi.")</f>
        <v/>
      </c>
      <c r="G490" s="17">
        <f>IF($B490&lt;&gt;"tutar_farki","","Beklemede")</f>
        <v/>
      </c>
    </row>
    <row r="491">
      <c r="A491" s="22">
        <f>IF('KOK_NEDEN'!$A491="","",'KOK_NEDEN'!$A491)</f>
        <v/>
      </c>
      <c r="B491" s="17">
        <f>IF($A491="","",IFERROR(INDEX(tblKok[Kova],MATCH($A491,tblKok[A_Norm],0)),""))</f>
        <v/>
      </c>
      <c r="C491" s="17">
        <f>IF($A491="","",IFERROR(INDEX(tblEslesme[Fark],MATCH($A491,tblEslesme[A_Norm],0)),0))</f>
        <v/>
      </c>
      <c r="D491" s="17">
        <f>IF($A491="","",IFERROR(INDEX(tblKok[KokNeden],MATCH($A491,tblKok[A_Norm],0)),""))</f>
        <v/>
      </c>
      <c r="E491" s="17">
        <f>IF($B491&lt;&gt;"tutar_farki","",IF(ABS($C491)&gt;efd_esikFark,"YUKSEK","NORMAL"))</f>
        <v/>
      </c>
      <c r="F491" s="17">
        <f>IF($B491&lt;&gt;"tutar_farki","","Fatura "&amp;$A491&amp;" için fark "&amp;TEXT($C491,"0.00")&amp;" TL. Dayanak: "&amp;$D491&amp;". İtiraz dosyası üretildi.")</f>
        <v/>
      </c>
      <c r="G491" s="17">
        <f>IF($B491&lt;&gt;"tutar_farki","","Beklemede")</f>
        <v/>
      </c>
    </row>
    <row r="492">
      <c r="A492" s="22">
        <f>IF('KOK_NEDEN'!$A492="","",'KOK_NEDEN'!$A492)</f>
        <v/>
      </c>
      <c r="B492" s="17">
        <f>IF($A492="","",IFERROR(INDEX(tblKok[Kova],MATCH($A492,tblKok[A_Norm],0)),""))</f>
        <v/>
      </c>
      <c r="C492" s="17">
        <f>IF($A492="","",IFERROR(INDEX(tblEslesme[Fark],MATCH($A492,tblEslesme[A_Norm],0)),0))</f>
        <v/>
      </c>
      <c r="D492" s="17">
        <f>IF($A492="","",IFERROR(INDEX(tblKok[KokNeden],MATCH($A492,tblKok[A_Norm],0)),""))</f>
        <v/>
      </c>
      <c r="E492" s="17">
        <f>IF($B492&lt;&gt;"tutar_farki","",IF(ABS($C492)&gt;efd_esikFark,"YUKSEK","NORMAL"))</f>
        <v/>
      </c>
      <c r="F492" s="17">
        <f>IF($B492&lt;&gt;"tutar_farki","","Fatura "&amp;$A492&amp;" için fark "&amp;TEXT($C492,"0.00")&amp;" TL. Dayanak: "&amp;$D492&amp;". İtiraz dosyası üretildi.")</f>
        <v/>
      </c>
      <c r="G492" s="17">
        <f>IF($B492&lt;&gt;"tutar_farki","","Beklemede")</f>
        <v/>
      </c>
    </row>
    <row r="493">
      <c r="A493" s="22">
        <f>IF('KOK_NEDEN'!$A493="","",'KOK_NEDEN'!$A493)</f>
        <v/>
      </c>
      <c r="B493" s="17">
        <f>IF($A493="","",IFERROR(INDEX(tblKok[Kova],MATCH($A493,tblKok[A_Norm],0)),""))</f>
        <v/>
      </c>
      <c r="C493" s="17">
        <f>IF($A493="","",IFERROR(INDEX(tblEslesme[Fark],MATCH($A493,tblEslesme[A_Norm],0)),0))</f>
        <v/>
      </c>
      <c r="D493" s="17">
        <f>IF($A493="","",IFERROR(INDEX(tblKok[KokNeden],MATCH($A493,tblKok[A_Norm],0)),""))</f>
        <v/>
      </c>
      <c r="E493" s="17">
        <f>IF($B493&lt;&gt;"tutar_farki","",IF(ABS($C493)&gt;efd_esikFark,"YUKSEK","NORMAL"))</f>
        <v/>
      </c>
      <c r="F493" s="17">
        <f>IF($B493&lt;&gt;"tutar_farki","","Fatura "&amp;$A493&amp;" için fark "&amp;TEXT($C493,"0.00")&amp;" TL. Dayanak: "&amp;$D493&amp;". İtiraz dosyası üretildi.")</f>
        <v/>
      </c>
      <c r="G493" s="17">
        <f>IF($B493&lt;&gt;"tutar_farki","","Beklemede")</f>
        <v/>
      </c>
    </row>
    <row r="494">
      <c r="A494" s="22">
        <f>IF('KOK_NEDEN'!$A494="","",'KOK_NEDEN'!$A494)</f>
        <v/>
      </c>
      <c r="B494" s="17">
        <f>IF($A494="","",IFERROR(INDEX(tblKok[Kova],MATCH($A494,tblKok[A_Norm],0)),""))</f>
        <v/>
      </c>
      <c r="C494" s="17">
        <f>IF($A494="","",IFERROR(INDEX(tblEslesme[Fark],MATCH($A494,tblEslesme[A_Norm],0)),0))</f>
        <v/>
      </c>
      <c r="D494" s="17">
        <f>IF($A494="","",IFERROR(INDEX(tblKok[KokNeden],MATCH($A494,tblKok[A_Norm],0)),""))</f>
        <v/>
      </c>
      <c r="E494" s="17">
        <f>IF($B494&lt;&gt;"tutar_farki","",IF(ABS($C494)&gt;efd_esikFark,"YUKSEK","NORMAL"))</f>
        <v/>
      </c>
      <c r="F494" s="17">
        <f>IF($B494&lt;&gt;"tutar_farki","","Fatura "&amp;$A494&amp;" için fark "&amp;TEXT($C494,"0.00")&amp;" TL. Dayanak: "&amp;$D494&amp;". İtiraz dosyası üretildi.")</f>
        <v/>
      </c>
      <c r="G494" s="17">
        <f>IF($B494&lt;&gt;"tutar_farki","","Beklemede")</f>
        <v/>
      </c>
    </row>
    <row r="495">
      <c r="A495" s="22">
        <f>IF('KOK_NEDEN'!$A495="","",'KOK_NEDEN'!$A495)</f>
        <v/>
      </c>
      <c r="B495" s="17">
        <f>IF($A495="","",IFERROR(INDEX(tblKok[Kova],MATCH($A495,tblKok[A_Norm],0)),""))</f>
        <v/>
      </c>
      <c r="C495" s="17">
        <f>IF($A495="","",IFERROR(INDEX(tblEslesme[Fark],MATCH($A495,tblEslesme[A_Norm],0)),0))</f>
        <v/>
      </c>
      <c r="D495" s="17">
        <f>IF($A495="","",IFERROR(INDEX(tblKok[KokNeden],MATCH($A495,tblKok[A_Norm],0)),""))</f>
        <v/>
      </c>
      <c r="E495" s="17">
        <f>IF($B495&lt;&gt;"tutar_farki","",IF(ABS($C495)&gt;efd_esikFark,"YUKSEK","NORMAL"))</f>
        <v/>
      </c>
      <c r="F495" s="17">
        <f>IF($B495&lt;&gt;"tutar_farki","","Fatura "&amp;$A495&amp;" için fark "&amp;TEXT($C495,"0.00")&amp;" TL. Dayanak: "&amp;$D495&amp;". İtiraz dosyası üretildi.")</f>
        <v/>
      </c>
      <c r="G495" s="17">
        <f>IF($B495&lt;&gt;"tutar_farki","","Beklemede")</f>
        <v/>
      </c>
    </row>
    <row r="496">
      <c r="A496" s="22">
        <f>IF('KOK_NEDEN'!$A496="","",'KOK_NEDEN'!$A496)</f>
        <v/>
      </c>
      <c r="B496" s="17">
        <f>IF($A496="","",IFERROR(INDEX(tblKok[Kova],MATCH($A496,tblKok[A_Norm],0)),""))</f>
        <v/>
      </c>
      <c r="C496" s="17">
        <f>IF($A496="","",IFERROR(INDEX(tblEslesme[Fark],MATCH($A496,tblEslesme[A_Norm],0)),0))</f>
        <v/>
      </c>
      <c r="D496" s="17">
        <f>IF($A496="","",IFERROR(INDEX(tblKok[KokNeden],MATCH($A496,tblKok[A_Norm],0)),""))</f>
        <v/>
      </c>
      <c r="E496" s="17">
        <f>IF($B496&lt;&gt;"tutar_farki","",IF(ABS($C496)&gt;efd_esikFark,"YUKSEK","NORMAL"))</f>
        <v/>
      </c>
      <c r="F496" s="17">
        <f>IF($B496&lt;&gt;"tutar_farki","","Fatura "&amp;$A496&amp;" için fark "&amp;TEXT($C496,"0.00")&amp;" TL. Dayanak: "&amp;$D496&amp;". İtiraz dosyası üretildi.")</f>
        <v/>
      </c>
      <c r="G496" s="17">
        <f>IF($B496&lt;&gt;"tutar_farki","","Beklemede")</f>
        <v/>
      </c>
    </row>
    <row r="497">
      <c r="A497" s="22">
        <f>IF('KOK_NEDEN'!$A497="","",'KOK_NEDEN'!$A497)</f>
        <v/>
      </c>
      <c r="B497" s="17">
        <f>IF($A497="","",IFERROR(INDEX(tblKok[Kova],MATCH($A497,tblKok[A_Norm],0)),""))</f>
        <v/>
      </c>
      <c r="C497" s="17">
        <f>IF($A497="","",IFERROR(INDEX(tblEslesme[Fark],MATCH($A497,tblEslesme[A_Norm],0)),0))</f>
        <v/>
      </c>
      <c r="D497" s="17">
        <f>IF($A497="","",IFERROR(INDEX(tblKok[KokNeden],MATCH($A497,tblKok[A_Norm],0)),""))</f>
        <v/>
      </c>
      <c r="E497" s="17">
        <f>IF($B497&lt;&gt;"tutar_farki","",IF(ABS($C497)&gt;efd_esikFark,"YUKSEK","NORMAL"))</f>
        <v/>
      </c>
      <c r="F497" s="17">
        <f>IF($B497&lt;&gt;"tutar_farki","","Fatura "&amp;$A497&amp;" için fark "&amp;TEXT($C497,"0.00")&amp;" TL. Dayanak: "&amp;$D497&amp;". İtiraz dosyası üretildi.")</f>
        <v/>
      </c>
      <c r="G497" s="17">
        <f>IF($B497&lt;&gt;"tutar_farki","","Beklemede")</f>
        <v/>
      </c>
    </row>
    <row r="498">
      <c r="A498" s="22">
        <f>IF('KOK_NEDEN'!$A498="","",'KOK_NEDEN'!$A498)</f>
        <v/>
      </c>
      <c r="B498" s="17">
        <f>IF($A498="","",IFERROR(INDEX(tblKok[Kova],MATCH($A498,tblKok[A_Norm],0)),""))</f>
        <v/>
      </c>
      <c r="C498" s="17">
        <f>IF($A498="","",IFERROR(INDEX(tblEslesme[Fark],MATCH($A498,tblEslesme[A_Norm],0)),0))</f>
        <v/>
      </c>
      <c r="D498" s="17">
        <f>IF($A498="","",IFERROR(INDEX(tblKok[KokNeden],MATCH($A498,tblKok[A_Norm],0)),""))</f>
        <v/>
      </c>
      <c r="E498" s="17">
        <f>IF($B498&lt;&gt;"tutar_farki","",IF(ABS($C498)&gt;efd_esikFark,"YUKSEK","NORMAL"))</f>
        <v/>
      </c>
      <c r="F498" s="17">
        <f>IF($B498&lt;&gt;"tutar_farki","","Fatura "&amp;$A498&amp;" için fark "&amp;TEXT($C498,"0.00")&amp;" TL. Dayanak: "&amp;$D498&amp;". İtiraz dosyası üretildi.")</f>
        <v/>
      </c>
      <c r="G498" s="17">
        <f>IF($B498&lt;&gt;"tutar_farki","","Beklemede")</f>
        <v/>
      </c>
    </row>
    <row r="499">
      <c r="A499" s="22">
        <f>IF('KOK_NEDEN'!$A499="","",'KOK_NEDEN'!$A499)</f>
        <v/>
      </c>
      <c r="B499" s="17">
        <f>IF($A499="","",IFERROR(INDEX(tblKok[Kova],MATCH($A499,tblKok[A_Norm],0)),""))</f>
        <v/>
      </c>
      <c r="C499" s="17">
        <f>IF($A499="","",IFERROR(INDEX(tblEslesme[Fark],MATCH($A499,tblEslesme[A_Norm],0)),0))</f>
        <v/>
      </c>
      <c r="D499" s="17">
        <f>IF($A499="","",IFERROR(INDEX(tblKok[KokNeden],MATCH($A499,tblKok[A_Norm],0)),""))</f>
        <v/>
      </c>
      <c r="E499" s="17">
        <f>IF($B499&lt;&gt;"tutar_farki","",IF(ABS($C499)&gt;efd_esikFark,"YUKSEK","NORMAL"))</f>
        <v/>
      </c>
      <c r="F499" s="17">
        <f>IF($B499&lt;&gt;"tutar_farki","","Fatura "&amp;$A499&amp;" için fark "&amp;TEXT($C499,"0.00")&amp;" TL. Dayanak: "&amp;$D499&amp;". İtiraz dosyası üretildi.")</f>
        <v/>
      </c>
      <c r="G499" s="17">
        <f>IF($B499&lt;&gt;"tutar_farki","","Beklemede")</f>
        <v/>
      </c>
    </row>
    <row r="500">
      <c r="A500" s="22">
        <f>IF('KOK_NEDEN'!$A500="","",'KOK_NEDEN'!$A500)</f>
        <v/>
      </c>
      <c r="B500" s="17">
        <f>IF($A500="","",IFERROR(INDEX(tblKok[Kova],MATCH($A500,tblKok[A_Norm],0)),""))</f>
        <v/>
      </c>
      <c r="C500" s="17">
        <f>IF($A500="","",IFERROR(INDEX(tblEslesme[Fark],MATCH($A500,tblEslesme[A_Norm],0)),0))</f>
        <v/>
      </c>
      <c r="D500" s="17">
        <f>IF($A500="","",IFERROR(INDEX(tblKok[KokNeden],MATCH($A500,tblKok[A_Norm],0)),""))</f>
        <v/>
      </c>
      <c r="E500" s="17">
        <f>IF($B500&lt;&gt;"tutar_farki","",IF(ABS($C500)&gt;efd_esikFark,"YUKSEK","NORMAL"))</f>
        <v/>
      </c>
      <c r="F500" s="17">
        <f>IF($B500&lt;&gt;"tutar_farki","","Fatura "&amp;$A500&amp;" için fark "&amp;TEXT($C500,"0.00")&amp;" TL. Dayanak: "&amp;$D500&amp;". İtiraz dosyası üretildi.")</f>
        <v/>
      </c>
      <c r="G500" s="17">
        <f>IF($B500&lt;&gt;"tutar_farki","","Beklemede")</f>
        <v/>
      </c>
    </row>
    <row r="501">
      <c r="A501" s="22">
        <f>IF('KOK_NEDEN'!$A501="","",'KOK_NEDEN'!$A501)</f>
        <v/>
      </c>
      <c r="B501" s="17">
        <f>IF($A501="","",IFERROR(INDEX(tblKok[Kova],MATCH($A501,tblKok[A_Norm],0)),""))</f>
        <v/>
      </c>
      <c r="C501" s="17">
        <f>IF($A501="","",IFERROR(INDEX(tblEslesme[Fark],MATCH($A501,tblEslesme[A_Norm],0)),0))</f>
        <v/>
      </c>
      <c r="D501" s="17">
        <f>IF($A501="","",IFERROR(INDEX(tblKok[KokNeden],MATCH($A501,tblKok[A_Norm],0)),""))</f>
        <v/>
      </c>
      <c r="E501" s="17">
        <f>IF($B501&lt;&gt;"tutar_farki","",IF(ABS($C501)&gt;efd_esikFark,"YUKSEK","NORMAL"))</f>
        <v/>
      </c>
      <c r="F501" s="17">
        <f>IF($B501&lt;&gt;"tutar_farki","","Fatura "&amp;$A501&amp;" için fark "&amp;TEXT($C501,"0.00")&amp;" TL. Dayanak: "&amp;$D501&amp;". İtiraz dosyası üretildi.")</f>
        <v/>
      </c>
      <c r="G501" s="17">
        <f>IF($B501&lt;&gt;"tutar_farki","","Beklemede")</f>
        <v/>
      </c>
    </row>
    <row r="502">
      <c r="A502" s="22">
        <f>IF('KOK_NEDEN'!$A502="","",'KOK_NEDEN'!$A502)</f>
        <v/>
      </c>
      <c r="B502" s="17">
        <f>IF($A502="","",IFERROR(INDEX(tblKok[Kova],MATCH($A502,tblKok[A_Norm],0)),""))</f>
        <v/>
      </c>
      <c r="C502" s="17">
        <f>IF($A502="","",IFERROR(INDEX(tblEslesme[Fark],MATCH($A502,tblEslesme[A_Norm],0)),0))</f>
        <v/>
      </c>
      <c r="D502" s="17">
        <f>IF($A502="","",IFERROR(INDEX(tblKok[KokNeden],MATCH($A502,tblKok[A_Norm],0)),""))</f>
        <v/>
      </c>
      <c r="E502" s="17">
        <f>IF($B502&lt;&gt;"tutar_farki","",IF(ABS($C502)&gt;efd_esikFark,"YUKSEK","NORMAL"))</f>
        <v/>
      </c>
      <c r="F502" s="17">
        <f>IF($B502&lt;&gt;"tutar_farki","","Fatura "&amp;$A502&amp;" için fark "&amp;TEXT($C502,"0.00")&amp;" TL. Dayanak: "&amp;$D502&amp;". İtiraz dosyası üretildi.")</f>
        <v/>
      </c>
      <c r="G502" s="17">
        <f>IF($B502&lt;&gt;"tutar_farki","","Beklemede")</f>
        <v/>
      </c>
    </row>
    <row r="503">
      <c r="A503" s="22">
        <f>IF('KOK_NEDEN'!$A503="","",'KOK_NEDEN'!$A503)</f>
        <v/>
      </c>
      <c r="B503" s="17">
        <f>IF($A503="","",IFERROR(INDEX(tblKok[Kova],MATCH($A503,tblKok[A_Norm],0)),""))</f>
        <v/>
      </c>
      <c r="C503" s="17">
        <f>IF($A503="","",IFERROR(INDEX(tblEslesme[Fark],MATCH($A503,tblEslesme[A_Norm],0)),0))</f>
        <v/>
      </c>
      <c r="D503" s="17">
        <f>IF($A503="","",IFERROR(INDEX(tblKok[KokNeden],MATCH($A503,tblKok[A_Norm],0)),""))</f>
        <v/>
      </c>
      <c r="E503" s="17">
        <f>IF($B503&lt;&gt;"tutar_farki","",IF(ABS($C503)&gt;efd_esikFark,"YUKSEK","NORMAL"))</f>
        <v/>
      </c>
      <c r="F503" s="17">
        <f>IF($B503&lt;&gt;"tutar_farki","","Fatura "&amp;$A503&amp;" için fark "&amp;TEXT($C503,"0.00")&amp;" TL. Dayanak: "&amp;$D503&amp;". İtiraz dosyası üretildi.")</f>
        <v/>
      </c>
      <c r="G503" s="17">
        <f>IF($B503&lt;&gt;"tutar_farki","","Beklemede")</f>
        <v/>
      </c>
    </row>
    <row r="504">
      <c r="A504" s="22">
        <f>IF('KOK_NEDEN'!$A504="","",'KOK_NEDEN'!$A504)</f>
        <v/>
      </c>
      <c r="B504" s="17">
        <f>IF($A504="","",IFERROR(INDEX(tblKok[Kova],MATCH($A504,tblKok[A_Norm],0)),""))</f>
        <v/>
      </c>
      <c r="C504" s="17">
        <f>IF($A504="","",IFERROR(INDEX(tblEslesme[Fark],MATCH($A504,tblEslesme[A_Norm],0)),0))</f>
        <v/>
      </c>
      <c r="D504" s="17">
        <f>IF($A504="","",IFERROR(INDEX(tblKok[KokNeden],MATCH($A504,tblKok[A_Norm],0)),""))</f>
        <v/>
      </c>
      <c r="E504" s="17">
        <f>IF($B504&lt;&gt;"tutar_farki","",IF(ABS($C504)&gt;efd_esikFark,"YUKSEK","NORMAL"))</f>
        <v/>
      </c>
      <c r="F504" s="17">
        <f>IF($B504&lt;&gt;"tutar_farki","","Fatura "&amp;$A504&amp;" için fark "&amp;TEXT($C504,"0.00")&amp;" TL. Dayanak: "&amp;$D504&amp;". İtiraz dosyası üretildi.")</f>
        <v/>
      </c>
      <c r="G504" s="17">
        <f>IF($B504&lt;&gt;"tutar_farki","","Beklemede")</f>
        <v/>
      </c>
    </row>
    <row r="505">
      <c r="A505" s="22">
        <f>IF('KOK_NEDEN'!$A505="","",'KOK_NEDEN'!$A505)</f>
        <v/>
      </c>
      <c r="B505" s="17">
        <f>IF($A505="","",IFERROR(INDEX(tblKok[Kova],MATCH($A505,tblKok[A_Norm],0)),""))</f>
        <v/>
      </c>
      <c r="C505" s="17">
        <f>IF($A505="","",IFERROR(INDEX(tblEslesme[Fark],MATCH($A505,tblEslesme[A_Norm],0)),0))</f>
        <v/>
      </c>
      <c r="D505" s="17">
        <f>IF($A505="","",IFERROR(INDEX(tblKok[KokNeden],MATCH($A505,tblKok[A_Norm],0)),""))</f>
        <v/>
      </c>
      <c r="E505" s="17">
        <f>IF($B505&lt;&gt;"tutar_farki","",IF(ABS($C505)&gt;efd_esikFark,"YUKSEK","NORMAL"))</f>
        <v/>
      </c>
      <c r="F505" s="17">
        <f>IF($B505&lt;&gt;"tutar_farki","","Fatura "&amp;$A505&amp;" için fark "&amp;TEXT($C505,"0.00")&amp;" TL. Dayanak: "&amp;$D505&amp;". İtiraz dosyası üretildi.")</f>
        <v/>
      </c>
      <c r="G505" s="17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5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Elektrik Faturası Doğrulama Motoru</t>
        </is>
      </c>
    </row>
    <row r="2"/>
    <row r="3" ht="22" customHeight="1">
      <c r="A3" s="207" t="inlineStr">
        <is>
          <t>Dönem Elektrik Faturası Mutabakat Kanıtı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5" t="inlineStr">
        <is>
          <t>KARAR</t>
        </is>
      </c>
      <c r="B7" s="36">
        <f>PANO!B4</f>
        <v/>
      </c>
    </row>
    <row r="8"/>
    <row r="9">
      <c r="A9" s="7" t="inlineStr">
        <is>
          <t>Eşleşme Oranı</t>
        </is>
      </c>
      <c r="B9" s="74">
        <f>efd_eslesmeOrani</f>
        <v/>
      </c>
    </row>
    <row r="10">
      <c r="A10" s="7" t="inlineStr">
        <is>
          <t>Fatura Toplam</t>
        </is>
      </c>
      <c r="B10" s="75">
        <f>SUM(tblVeriA[ToplamTutar])</f>
        <v/>
      </c>
    </row>
    <row r="11">
      <c r="A11" s="7" t="inlineStr">
        <is>
          <t>Mutabakat Farkı</t>
        </is>
      </c>
      <c r="B11" s="75">
        <f>efd_mutabakatFarki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35">
        <f>efd_kovaButunluk</f>
        <v/>
      </c>
    </row>
    <row r="16"/>
    <row r="17">
      <c r="A17" s="18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19"/>
    <row r="20">
      <c r="A20" s="18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fatura anahtarlarını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&amp;LElektrik Faturası Doğrulama Motoru | Kanıt&amp;CExcelArşiv&amp;RSayfa &amp;P / &amp;N</oddFooter>
    <evenHeader/>
    <evenFooter>&amp;LElektrik Faturası Doğrulama Motoru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Elektrik Faturası Doğrulama Motoru</t>
        </is>
      </c>
    </row>
    <row r="2"/>
    <row r="3" ht="22" customHeight="1">
      <c r="A3" s="209" t="inlineStr">
        <is>
          <t>Canlı Kontrol Paneli</t>
        </is>
      </c>
    </row>
    <row r="4"/>
    <row r="5">
      <c r="A5" s="7" t="inlineStr">
        <is>
          <t>A satır sayısı</t>
        </is>
      </c>
      <c r="B5" s="39">
        <f>COUNTA(tblVeriA[FaturaNo])</f>
        <v/>
      </c>
    </row>
    <row r="6">
      <c r="A6" s="7" t="inlineStr">
        <is>
          <t>B satır sayısı</t>
        </is>
      </c>
      <c r="B6" s="39">
        <f>COUNTA(tblVeriB[FaturaNo])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A</t>
        </is>
      </c>
      <c r="B17" s="75">
        <f>SUM(tblVeriA[ToplamTutar])</f>
        <v/>
      </c>
    </row>
    <row r="18">
      <c r="A18" s="7" t="inlineStr">
        <is>
          <t>Net B</t>
        </is>
      </c>
      <c r="B18" s="75">
        <f>SUM(tblVeriB[BeklenenTutar])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Elektrik Faturası Doğrulama Motoru</t>
        </is>
      </c>
    </row>
    <row r="2"/>
    <row r="3" ht="22" customHeight="1">
      <c r="A3" s="209" t="inlineStr">
        <is>
          <t>Örnek Senaryo Açıklaması</t>
        </is>
      </c>
    </row>
    <row r="4">
      <c r="A4" s="8" t="inlineStr">
        <is>
          <t>Dosyada 35 satır örnek fatura↔sayaç mutabakatı vardır: eşleşen, tolerans içi, tutar farkı ve eşleşmeyen kovalar kasıtlı üretilmiştir. Kısa/uzun fatura no senaryosu satır 3, 7, 11'dedir. VERI_A ve VERI_B'yi temizleyip kendi faturalarınızı yapıştırın.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4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Elektrik Faturası Doğrulama Motoru</t>
        </is>
      </c>
    </row>
    <row r="2"/>
    <row r="3">
      <c r="A3" s="18" t="inlineStr">
        <is>
          <t>Tarife Grupları</t>
        </is>
      </c>
      <c r="C3" s="18" t="inlineStr">
        <is>
          <t>Durum Listesi</t>
        </is>
      </c>
      <c r="E3" s="18" t="inlineStr">
        <is>
          <t>Kalem Kodları</t>
        </is>
      </c>
      <c r="G3" s="35" t="inlineStr">
        <is>
          <t>EvetHayir</t>
        </is>
      </c>
    </row>
    <row r="4"/>
    <row r="5"/>
    <row r="6">
      <c r="A6" s="41" t="inlineStr">
        <is>
          <t>Tarife</t>
        </is>
      </c>
      <c r="C6" s="41" t="inlineStr">
        <is>
          <t>Durum</t>
        </is>
      </c>
      <c r="E6" s="41" t="inlineStr">
        <is>
          <t>Kalem</t>
        </is>
      </c>
      <c r="G6" s="41" t="inlineStr">
        <is>
          <t>Secim</t>
        </is>
      </c>
    </row>
    <row r="7">
      <c r="A7" s="13" t="inlineStr">
        <is>
          <t>Mesken</t>
        </is>
      </c>
      <c r="C7" s="13" t="inlineStr">
        <is>
          <t>Açık</t>
        </is>
      </c>
      <c r="E7" s="13" t="inlineStr">
        <is>
          <t>AKTIF</t>
        </is>
      </c>
      <c r="G7" s="13" t="inlineStr">
        <is>
          <t>EVET</t>
        </is>
      </c>
    </row>
    <row r="8">
      <c r="A8" s="13" t="inlineStr">
        <is>
          <t>Ticarethane</t>
        </is>
      </c>
      <c r="C8" s="13" t="inlineStr">
        <is>
          <t>Kapalı</t>
        </is>
      </c>
      <c r="E8" s="13" t="inlineStr">
        <is>
          <t>REAKTIF</t>
        </is>
      </c>
      <c r="G8" s="13" t="inlineStr">
        <is>
          <t>HAYIR</t>
        </is>
      </c>
    </row>
    <row r="9">
      <c r="A9" s="13" t="inlineStr">
        <is>
          <t>Sanayi</t>
        </is>
      </c>
      <c r="C9" s="13" t="inlineStr">
        <is>
          <t>İtiraz</t>
        </is>
      </c>
      <c r="E9" s="13" t="inlineStr">
        <is>
          <t>GECE</t>
        </is>
      </c>
    </row>
    <row r="10">
      <c r="A10" s="13" t="inlineStr">
        <is>
          <t>Tarımsal</t>
        </is>
      </c>
      <c r="C10" s="13" t="inlineStr">
        <is>
          <t>Beklemede</t>
        </is>
      </c>
      <c r="E10" s="13" t="inlineStr">
        <is>
          <t>GUNDUZ</t>
        </is>
      </c>
    </row>
    <row r="11">
      <c r="A11" s="13" t="inlineStr">
        <is>
          <t>Diğer</t>
        </is>
      </c>
      <c r="E11" s="13" t="inlineStr">
        <is>
          <t>PUANT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4">
    <dataValidation sqref="A7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7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8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9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0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1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Elektrik Faturası Doğrulama Motoru</t>
        </is>
      </c>
    </row>
    <row r="2"/>
    <row r="3" ht="22" customHeight="1">
      <c r="A3" s="20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efd_ikincilUzunluk</t>
        </is>
      </c>
      <c r="B11" s="15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efd_olcekHedef</t>
        </is>
      </c>
      <c r="B12" s="15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efd_anomaliZ</t>
        </is>
      </c>
      <c r="B13" s="15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efd_dagitimBirim</t>
        </is>
      </c>
      <c r="B16" s="76" t="n">
        <v>0.62</v>
      </c>
      <c r="C16" s="7" t="inlineStr">
        <is>
          <t>TL/kWh</t>
        </is>
      </c>
      <c r="D16" s="7" t="inlineStr">
        <is>
          <t>Dağıtım tarife ort.</t>
        </is>
      </c>
      <c r="E16" s="7" t="inlineStr">
        <is>
          <t>01.01.2026</t>
        </is>
      </c>
      <c r="F16" s="8" t="inlineStr">
        <is>
          <t>Varsayılan dağıtım</t>
        </is>
      </c>
    </row>
    <row r="17">
      <c r="A17" s="7" t="inlineStr">
        <is>
          <t>efd_fiyatModeli</t>
        </is>
      </c>
      <c r="B17" s="13" t="inlineStr">
        <is>
          <t>Tek seferlik alım — abonelik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efd_kvkkBeyani</t>
        </is>
      </c>
      <c r="B18" s="13" t="inlineStr">
        <is>
          <t>Fatura verisi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efd_kalemAyristirma</t>
        </is>
      </c>
      <c r="B19" s="13" t="inlineStr">
        <is>
          <t>Tarife+dağıtım+KDV tek motor</t>
        </is>
      </c>
      <c r="C19" s="7" t="inlineStr">
        <is>
          <t>metin</t>
        </is>
      </c>
      <c r="D19" s="7" t="inlineStr">
        <is>
          <t>Alan bilgisi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efd_kovaButunlukMetin</t>
        </is>
      </c>
      <c r="B20" s="13" t="inlineStr">
        <is>
          <t>Dört kova bütünlüğü denetimli</t>
        </is>
      </c>
      <c r="C20" s="7" t="inlineStr">
        <is>
          <t>metin</t>
        </is>
      </c>
      <c r="D20" s="7" t="inlineStr">
        <is>
          <t>E02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efd_itirazMetni</t>
        </is>
      </c>
      <c r="B21" s="13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efd_normAnahtar</t>
        </is>
      </c>
      <c r="B22" s="13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efd_dosyaSurumu</t>
        </is>
      </c>
      <c r="B24" s="13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efd_firmaUnvan</t>
        </is>
      </c>
      <c r="B25" s="13" t="inlineStr">
        <is>
          <t>Örnek Enerji Tesis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8" t="inlineStr">
        <is>
          <t>Motor Cikti</t>
        </is>
      </c>
      <c r="I26" s="18" t="inlineStr">
        <is>
          <t>Deger</t>
        </is>
      </c>
    </row>
    <row r="27">
      <c r="H27" s="7" t="inlineStr">
        <is>
          <t>efd_mutabakatFarki</t>
        </is>
      </c>
      <c r="I27" s="75">
        <f>IFERROR(SUM(tblVeriA[ToplamTutar])-SUM(tblVeriB[BeklenenTutar]),0)</f>
        <v/>
      </c>
    </row>
    <row r="28">
      <c r="H28" s="7" t="inlineStr">
        <is>
          <t>efd_eslesmeOrani</t>
        </is>
      </c>
      <c r="I28" s="74">
        <f>IF(COUNTA(tblEslesme[A_Norm])=0,0,(COUNTIF(tblEslesme[Kova],"eslesti")+COUNTIF(tblEslesme[Kova],"tolerans_icinde"))/COUNTA(tblEslesme[A_Norm]))</f>
        <v/>
      </c>
    </row>
    <row r="29">
      <c r="H29" s="7" t="inlineStr">
        <is>
          <t>efd_kovaButunluk</t>
        </is>
      </c>
      <c r="I29" s="75">
        <f>ESLESTIRME!C2</f>
        <v/>
      </c>
    </row>
    <row r="30">
      <c r="H30" s="7" t="inlineStr">
        <is>
          <t>efd_kokNedenDagilim</t>
        </is>
      </c>
      <c r="I30" s="75">
        <f>IFERROR(SUMPRODUCT((tblKok[KokNeden]&lt;&gt;"")*1),0)</f>
        <v/>
      </c>
    </row>
    <row r="31">
      <c r="H31" s="7" t="inlineStr">
        <is>
          <t>efd_paretoFark</t>
        </is>
      </c>
      <c r="I31" s="74">
        <f>IFERROR(IF(SUM(tblEslesme[AbsFark])=0,0,MAX(tblEslesme[AbsFark])/SUM(tblEslesme[AbsFark])),0)</f>
        <v/>
      </c>
    </row>
    <row r="32">
      <c r="H32" s="7" t="inlineStr">
        <is>
          <t>efd_anomaliSayisi</t>
        </is>
      </c>
      <c r="I32" s="75">
        <f>COUNTIF(tblEslesme[EsikUstu],1)</f>
        <v/>
      </c>
    </row>
    <row r="33">
      <c r="H33" s="7" t="inlineStr">
        <is>
          <t>efd_tahminAralik</t>
        </is>
      </c>
      <c r="I33" s="75">
        <f>IFERROR(PERCENTILE(tblVeriA[ToplamTutar],efd_yuzdelikOran),0)</f>
        <v/>
      </c>
    </row>
    <row r="34">
      <c r="H34" s="7" t="inlineStr">
        <is>
          <t>efd_tornadoZirve</t>
        </is>
      </c>
      <c r="I34" s="75">
        <f>IFERROR(MAX(PANO!K25:K29),0)</f>
        <v/>
      </c>
    </row>
    <row r="35">
      <c r="H35" s="18" t="inlineStr">
        <is>
          <t>Canli Yorumlar</t>
        </is>
      </c>
    </row>
    <row r="36">
      <c r="H36" s="7" t="inlineStr">
        <is>
          <t>efd_yorumFark</t>
        </is>
      </c>
      <c r="I36" s="8">
        <f>IFERROR(_xlfn.TEXTJOIN(" ",TRUE,"Fark",TEXT(efd_mutabakatFarki,"0.00"),"TL"),"-")</f>
        <v/>
      </c>
    </row>
    <row r="37">
      <c r="H37" s="7" t="inlineStr">
        <is>
          <t>efd_yorumKokNeden</t>
        </is>
      </c>
      <c r="I37" s="8">
        <f>IFERROR(_xlfn.TEXTJOIN(" ",TRUE,"Kok neden sinifi",TEXT(efd_kokNedenDagilim,"0")),"-")</f>
        <v/>
      </c>
    </row>
    <row r="38">
      <c r="H38" s="7" t="inlineStr">
        <is>
          <t>efd_yorumPareto</t>
        </is>
      </c>
      <c r="I38" s="8">
        <f>IFERROR(_xlfn.TEXTJOIN(" ",TRUE,"Pareto",TEXT(efd_paretoFark,"0.0%")),"-")</f>
        <v/>
      </c>
    </row>
    <row r="39">
      <c r="H39" s="7" t="inlineStr">
        <is>
          <t>efd_yorumAnomali</t>
        </is>
      </c>
      <c r="I39" s="8">
        <f>IFERROR(_xlfn.TEXTJOIN(" ",TRUE,"Anomali",TEXT(efd_anomaliSayisi,"0")),"-")</f>
        <v/>
      </c>
    </row>
    <row r="40">
      <c r="H40" s="7" t="inlineStr">
        <is>
          <t>efd_yorumTornado</t>
        </is>
      </c>
      <c r="I40" s="8">
        <f>IFERROR(_xlfn.TEXTJOIN(" ",TRUE,"Tornado",TEXT(efd_tornadoZirve,"0.00")),"-")</f>
        <v/>
      </c>
    </row>
    <row r="41">
      <c r="H41" s="7" t="inlineStr">
        <is>
          <t>efd_yorumTahmin</t>
        </is>
      </c>
      <c r="I41" s="8">
        <f>IFERROR(_xlfn.TEXTJOIN(" ",TRUE,"Tahmin",TEXT(efd_tahminAralik,"0.00")),"-")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8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Elektrik Faturası Doğrulama Motoru</t>
        </is>
      </c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VERI_A: Elektrik faturası kalemlerini sarı hücrelere yapıştırın.</t>
        </is>
      </c>
    </row>
    <row r="6">
      <c r="A6" s="8" t="inlineStr">
        <is>
          <t>2. VERI_B: Sayaç okuma / beklenen tutarları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tarife/dağıtım/KDV/tüketim sınıflandırır.</t>
        </is>
      </c>
    </row>
    <row r="10">
      <c r="A10" s="8" t="inlineStr">
        <is>
          <t>6. AKSIYON: İtiraz metinlerini kopyalayıp dağıtım şirketine iletin.</t>
        </is>
      </c>
    </row>
    <row r="11">
      <c r="A11" s="8" t="inlineStr">
        <is>
          <t>7. KANIT_RAPORU: Dönem dosyasına PDF olarak yazdırın.</t>
        </is>
      </c>
    </row>
    <row r="12"/>
    <row r="13">
      <c r="A13" s="20" t="inlineStr">
        <is>
          <t>Sık yapılan hatalar</t>
        </is>
      </c>
    </row>
    <row r="14">
      <c r="A14" s="7" t="inlineStr">
        <is>
          <t>• Fatura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Beklenen tutara KDV hariç yazıp fatura toplamıyla karşılaştırmak</t>
        </is>
      </c>
    </row>
    <row r="17"/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2026-08-11T17:25:11Z</dcterms:created>
  <dcterms:modified xmlns:dcterms="http://purl.org/dc/terms/" xmlns:xsi="http://www.w3.org/2001/XMLSchema-instance" xsi:type="dcterms:W3CDTF">2026-09-25T21:23:35Z</dcterms:modified>
</cp:coreProperties>
</file>