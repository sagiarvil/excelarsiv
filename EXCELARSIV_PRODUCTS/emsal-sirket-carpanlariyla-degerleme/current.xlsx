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00_BASLANGIC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99_TEKNIK_KAYNAK" sheetId="7" state="visible" r:id="rId7"/>
    <sheet xmlns:r="http://schemas.openxmlformats.org/officeDocument/2006/relationships" name="03_GORSEL_TASARIM" sheetId="8" state="visible" r:id="rId8"/>
    <sheet xmlns:r="http://schemas.openxmlformats.org/officeDocument/2006/relationships" name="04_MUHASEBE_THP" sheetId="9" state="visible" r:id="rId9"/>
    <sheet xmlns:r="http://schemas.openxmlformats.org/officeDocument/2006/relationships" name="05_KARAR_SATIS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 &quot;TL&quot;"/>
    <numFmt numFmtId="165" formatCode="0.0%"/>
    <numFmt numFmtId="166" formatCode="₺#,##0"/>
  </numFmts>
  <fonts count="71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3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4"/>
  </cellStyleXfs>
  <cellXfs count="1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78" t="inlineStr">
        <is>
          <t>EMSAL SIRKET CARPANLARIYLA DEGERLEME — YÖNETİM VE KARAR SİSTEMİ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Yönetici Karar Kokpiti, Otomatik Doğrulama ve Dinamik Hesaplama Sistemi · 2026</t>
        </is>
      </c>
    </row>
    <row r="5">
      <c r="B5" s="82" t="inlineStr">
        <is>
          <t>TOPLAM İŞLEM HACMİ</t>
        </is>
      </c>
      <c r="C5" s="83" t="n"/>
      <c r="D5" s="84" t="inlineStr">
        <is>
          <t>DOĞRULANMIŞ</t>
        </is>
      </c>
      <c r="E5" s="85" t="inlineStr">
        <is>
          <t>RİSKLİ / BEKLEYEN İŞLEM</t>
        </is>
      </c>
      <c r="F5" s="83" t="n"/>
      <c r="G5" s="86" t="inlineStr">
        <is>
          <t>MİNİMUM</t>
        </is>
      </c>
      <c r="H5" s="82" t="inlineStr">
        <is>
          <t>OPERASYONEL NET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92" t="inlineStr">
        <is>
          <t>₺28.450.000</t>
        </is>
      </c>
      <c r="C7" s="83" t="n"/>
      <c r="D7" s="83" t="n"/>
      <c r="E7" s="93" t="inlineStr">
        <is>
          <t>₺940.000</t>
        </is>
      </c>
      <c r="F7" s="83" t="n"/>
      <c r="G7" s="83" t="n"/>
      <c r="H7" s="92" t="inlineStr">
        <is>
          <t>₺8.120.000</t>
        </is>
      </c>
      <c r="I7" s="83" t="n"/>
      <c r="J7" s="83" t="n"/>
      <c r="K7" s="94" t="inlineStr">
        <is>
          <t>98/100</t>
        </is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Konsolide yıllıklandırılmış büyüme</t>
        </is>
      </c>
      <c r="C9" s="83" t="n"/>
      <c r="D9" s="83" t="n"/>
      <c r="E9" s="96" t="inlineStr">
        <is>
          <t>● Tüm riskli kayıtlar kontrol altında</t>
        </is>
      </c>
      <c r="F9" s="83" t="n"/>
      <c r="G9" s="83" t="n"/>
      <c r="H9" s="95" t="inlineStr">
        <is>
          <t>██████████░░░░░ %28.5 NET MARJ</t>
        </is>
      </c>
      <c r="I9" s="83" t="n"/>
      <c r="J9" s="83" t="n"/>
      <c r="K9" s="97" t="inlineStr">
        <is>
          <t>✓ 0 Formül ve Döngüsel Hata</t>
        </is>
      </c>
      <c r="L9" s="83" t="n"/>
      <c r="M9" s="83" t="n"/>
    </row>
    <row r="11">
      <c r="B11" s="76" t="inlineStr">
        <is>
          <t>12 AYLIK NAKİT GİRİŞ / ÇIKIŞ &amp; LİKİDİTE BAŞARIMI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Tahsilat vs. Tedarikçi/Kredi Ödeme Projeksiyonu</t>
        </is>
      </c>
      <c r="H12" s="75" t="inlineStr">
        <is>
          <t>Anlık Hesaplama Sonuçları, Dinamik Formül Çıktıları ve Durum Puanlaması</t>
        </is>
      </c>
    </row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13 haftalık kümülatif bakiye...</t>
        </is>
      </c>
      <c r="I15" s="101" t="inlineStr">
        <is>
          <t>₺8.450.000</t>
        </is>
      </c>
      <c r="J15" s="102" t="inlineStr">
        <is>
          <t>₺425.000</t>
        </is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(eksi) hafta uyarısı</t>
        </is>
      </c>
      <c r="I16" s="101" t="inlineStr">
        <is>
          <t>₺12.200.000</t>
        </is>
      </c>
      <c r="J16" s="102" t="inlineStr">
        <is>
          <t>₺580.400</t>
        </is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Dönem net nakit değişimi</t>
        </is>
      </c>
      <c r="I17" s="101" t="inlineStr">
        <is>
          <t>₺4.850.000</t>
        </is>
      </c>
      <c r="J17" s="102" t="inlineStr">
        <is>
          <t>₺235.200</t>
        </is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13 haftalık kümülatif bakiye...</t>
        </is>
      </c>
      <c r="I18" s="101" t="inlineStr">
        <is>
          <t>₺2.140.000</t>
        </is>
      </c>
      <c r="J18" s="102" t="inlineStr">
        <is>
          <t>₺118.000</t>
        </is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06" t="inlineStr">
        <is>
          <t>₺42.850.000</t>
        </is>
      </c>
      <c r="J19" s="107" t="inlineStr">
        <is>
          <t>₺3.420.000</t>
        </is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OPERASYONEL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Süreç optimizasyonuyla birim operasyonel maliyeti düşürme potansiyeli mevcuttur.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K26" s="11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20" t="inlineStr">
        <is>
          <t>🔍  Kayıt veya hesap ara...</t>
        </is>
      </c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Haftalık nakit girişi tahmini</t>
        </is>
      </c>
      <c r="E6" s="12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Haftalık nakit çıkışı tahmini</t>
        </is>
      </c>
      <c r="E7" s="134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notları</t>
        </is>
      </c>
      <c r="E8" s="12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Haftalık nakit girişi tahmini</t>
        </is>
      </c>
      <c r="E9" s="134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Haftalık nakit girişi tahmini</t>
        </is>
      </c>
      <c r="E10" s="12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Haftalık nakit çıkışı tahmini</t>
        </is>
      </c>
      <c r="E11" s="134" t="n">
        <v>1850000</v>
      </c>
      <c r="F11" s="135" t="n">
        <v>0.2</v>
      </c>
      <c r="G11" s="136">
        <f>E11/(1+F11)</f>
        <v/>
      </c>
      <c r="H11" s="133" t="inlineStr">
        <is>
          <t>Banka Kredi Taksiti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Ödeme takvimi notları</t>
        </is>
      </c>
      <c r="E12" s="127" t="n">
        <v>740000</v>
      </c>
      <c r="F12" s="128" t="n">
        <v>0.2</v>
      </c>
      <c r="G12" s="129">
        <f>E12/(1+F12)</f>
        <v/>
      </c>
      <c r="H12" s="126" t="inlineStr">
        <is>
          <t>Kira &amp; Sabit Gider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Haftalık nakit girişi tahmini</t>
        </is>
      </c>
      <c r="E13" s="134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Haftalık nakit girişi tahmini</t>
        </is>
      </c>
      <c r="E14" s="12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Haftalık nakit çıkışı tahmini</t>
        </is>
      </c>
      <c r="E15" s="134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40" t="inlineStr">
        <is>
          <t>SAYFA TOPLAMI (10 / 1.450 KAYIT)</t>
        </is>
      </c>
      <c r="C17" s="108" t="n"/>
      <c r="D17" s="108" t="n"/>
      <c r="E17" s="141">
        <f>TOPLA(E6:E15)</f>
        <v/>
      </c>
      <c r="F17" s="108" t="n"/>
      <c r="G17" s="108" t="n"/>
      <c r="H17" s="108" t="n"/>
      <c r="I17" s="10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42" t="inlineStr">
        <is>
          <t>EMSAL SIRKET CARPANLARIYLA DEGERLEME — YÖNETİM VE KARAR SİSTEMİ — NİHAİ KARAR VE DEĞERLEME</t>
        </is>
      </c>
    </row>
    <row r="3">
      <c r="B3" s="143" t="inlineStr">
        <is>
          <t>Yönetim Kurulu ve İcra Komitesi için Otomatik Türetilen Finansal Stres Testi Raporu</t>
        </is>
      </c>
    </row>
    <row r="4">
      <c r="B4" s="144" t="inlineStr">
        <is>
          <t>DÖNEM: 2026 Q3 · DENETİM PROTOKOLÜ: ISO/VUK/IFRS UYUMLU · DURUM: ONAYLANDI</t>
        </is>
      </c>
    </row>
    <row r="6">
      <c r="B6" s="145" t="inlineStr">
        <is>
          <t>SENARYO A: KÖTÜMSER (STRES TESTİ -%20)</t>
        </is>
      </c>
      <c r="C6" s="83" t="n"/>
      <c r="D6" s="83" t="n"/>
      <c r="E6" s="83" t="n"/>
      <c r="F6" s="83" t="n"/>
      <c r="H6" s="146" t="inlineStr">
        <is>
          <t>SENARYO B: BAZ MODEL (HEDEFLENEN)</t>
        </is>
      </c>
      <c r="I6" s="83" t="n"/>
      <c r="J6" s="83" t="n"/>
      <c r="K6" s="83" t="n"/>
      <c r="L6" s="83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50" t="inlineStr">
        <is>
          <t>₺4.280.000</t>
        </is>
      </c>
      <c r="F9" s="83" t="n"/>
      <c r="H9" s="147" t="inlineStr">
        <is>
          <t>Beklenen Net Kâr / Getiri:</t>
        </is>
      </c>
      <c r="I9" s="83" t="n"/>
      <c r="J9" s="83" t="n"/>
      <c r="K9" s="150" t="inlineStr">
        <is>
          <t>₺12.450.000</t>
        </is>
      </c>
      <c r="L9" s="83" t="n"/>
    </row>
    <row r="10">
      <c r="B10" s="147" t="inlineStr">
        <is>
          <t>Minimum Nakit Tamponu:</t>
        </is>
      </c>
      <c r="C10" s="83" t="n"/>
      <c r="D10" s="83" t="n"/>
      <c r="E10" s="151" t="inlineStr">
        <is>
          <t>₺1.850.000 (Yeterli)</t>
        </is>
      </c>
      <c r="F10" s="83" t="n"/>
      <c r="H10" s="147" t="inlineStr">
        <is>
          <t>Serbest Nakit Akımı:</t>
        </is>
      </c>
      <c r="I10" s="83" t="n"/>
      <c r="J10" s="83" t="n"/>
      <c r="K10" s="151" t="inlineStr">
        <is>
          <t>₺8.240.000</t>
        </is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51" t="inlineStr">
        <is>
          <t>1.28x (Eşik: 1.10x)</t>
        </is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83" t="n"/>
      <c r="D14" s="83" t="n"/>
      <c r="E14" s="83" t="n"/>
      <c r="F14" s="83" t="n"/>
      <c r="H14" s="153" t="inlineStr">
        <is>
          <t>OPTİMUM İCRA VE PLANLAMA REÇETESİ</t>
        </is>
      </c>
      <c r="I14" s="83" t="n"/>
      <c r="J14" s="83" t="n"/>
      <c r="K14" s="83" t="n"/>
      <c r="L14" s="83" t="n"/>
    </row>
    <row r="15">
      <c r="B15" s="83" t="n"/>
      <c r="C15" s="83" t="n"/>
      <c r="D15" s="83" t="n"/>
      <c r="E15" s="83" t="n"/>
      <c r="F15" s="83" t="n"/>
      <c r="H15" s="83" t="n"/>
      <c r="I15" s="83" t="n"/>
      <c r="J15" s="83" t="n"/>
      <c r="K15" s="83" t="n"/>
      <c r="L15" s="83" t="n"/>
    </row>
    <row r="17">
      <c r="B17" s="63" t="inlineStr">
        <is>
          <t>YÖNETİM KARAR MATRİSİ VE UYGULAMA REÇETESİ</t>
        </is>
      </c>
    </row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Emsal Şirket Çarpanlarıyla Değerleme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Sektördeki emsal şirket çarpanlarına ve kârlılık iskontolarına göre şirketimizin piyasa değeri ve adil hisse fiyatı nedir?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Değerleme Uzmanı, M&amp;A Danışmanı, Şirket Ortağı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Emsal Şirket Çarpanlarıyla Değerleme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Sektördeki emsal şirket çarpanlarına ve kârlılık iskontolarına göre şirketimizin piyasa değeri ve adil hisse fiyatı nedir?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Sektör Medyan EV/EBITDA</t>
        </is>
      </c>
      <c r="D9" s="3" t="inlineStr">
        <is>
          <t>7.8x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Uygulanan Likidite İskontosu</t>
        </is>
      </c>
      <c r="D10" s="3" t="inlineStr">
        <is>
          <t>%15.0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Tahmini Firma Değeri (EV)</t>
        </is>
      </c>
      <c r="D11" s="3" t="inlineStr">
        <is>
          <t>₺ 88.500.000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Adil Hisse Değeri</t>
        </is>
      </c>
      <c r="D12" s="3" t="inlineStr">
        <is>
          <t>₺ 74.200.000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2026-09-25T14:23:30Z</dcterms:modified>
  <cp:lastModifiedBy>barıs bagırlar</cp:lastModifiedBy>
</cp:coreProperties>
</file>