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 &quot;TL&quot;"/>
    <numFmt numFmtId="165" formatCode="0.0%"/>
    <numFmt numFmtId="166" formatCode="₺#,##0"/>
    <numFmt numFmtId="167" formatCode="0.00&quot;x&quot;"/>
  </numFmts>
  <fonts count="72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Montserrat"/>
      <b val="1"/>
      <color rgb="00FFFFFF"/>
      <sz val="13"/>
    </font>
  </fonts>
  <fills count="4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001B365D"/>
        <bgColor rgb="001B365D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4"/>
  </cellStyleXfs>
  <cellXfs count="20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  <xf numFmtId="166" fontId="23" fillId="0" borderId="6" pivotButton="0" quotePrefix="0" xfId="0"/>
    <xf numFmtId="166" fontId="44" fillId="0" borderId="7" pivotButton="0" quotePrefix="0" xfId="0"/>
    <xf numFmtId="166" fontId="47" fillId="0" borderId="5" pivotButton="0" quotePrefix="0" xfId="0"/>
    <xf numFmtId="166" fontId="48" fillId="0" borderId="5" pivotButton="0" quotePrefix="0" xfId="0"/>
    <xf numFmtId="166" fontId="51" fillId="25" borderId="0" pivotButton="0" quotePrefix="0" xfId="0"/>
    <xf numFmtId="166" fontId="52" fillId="25" borderId="0" pivotButton="0" quotePrefix="0" xfId="0"/>
    <xf numFmtId="166" fontId="70" fillId="27" borderId="5" applyAlignment="1" pivotButton="0" quotePrefix="0" xfId="0">
      <alignment horizontal="right"/>
    </xf>
    <xf numFmtId="166" fontId="40" fillId="0" borderId="5" applyAlignment="1" pivotButton="0" quotePrefix="0" xfId="0">
      <alignment horizontal="right"/>
    </xf>
    <xf numFmtId="166" fontId="67" fillId="0" borderId="5" applyAlignment="1" pivotButton="0" quotePrefix="0" xfId="0">
      <alignment horizontal="right"/>
    </xf>
    <xf numFmtId="167" fontId="67" fillId="0" borderId="5" applyAlignment="1" pivotButton="0" quotePrefix="0" xfId="0">
      <alignment horizontal="right"/>
    </xf>
    <xf numFmtId="0" fontId="71" fillId="39" borderId="4" applyAlignment="1" pivotButton="0" quotePrefix="0" xfId="0">
      <alignment horizontal="left" vertical="center"/>
    </xf>
    <xf numFmtId="0" fontId="0" fillId="39" borderId="0" pivotButton="0" quotePrefix="0" xfId="0"/>
    <xf numFmtId="0" fontId="0" fillId="0" borderId="13" pivotButton="0" quotePrefix="0" xfId="0"/>
    <xf numFmtId="0" fontId="0" fillId="0" borderId="15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2" pivotButton="0" quotePrefix="0" xfId="0"/>
    <xf numFmtId="0" fontId="0" fillId="0" borderId="23" pivotButton="0" quotePrefix="0" xfId="0"/>
    <xf numFmtId="0" fontId="30" fillId="25" borderId="4" applyAlignment="1" pivotButton="0" quotePrefix="0" xfId="0">
      <alignment vertical="center" indent="1"/>
    </xf>
    <xf numFmtId="166" fontId="61" fillId="25" borderId="4" applyAlignment="1" pivotButton="0" quotePrefix="0" xfId="0">
      <alignment horizontal="right" vertical="center"/>
    </xf>
    <xf numFmtId="0" fontId="0" fillId="0" borderId="24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71" fillId="39" borderId="1" applyAlignment="1" pivotButton="0" quotePrefix="0" xfId="0">
      <alignment horizontal="left" vertical="center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EXCELARŞİV KARAR SİSTEMİ v15.1 — ÜRETİM REFERANSI</t>
        </is>
      </c>
    </row>
    <row r="2"/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5"/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1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62" t="inlineStr">
        <is>
          <t>☰ PANO</t>
        </is>
      </c>
    </row>
    <row r="2">
      <c r="B2" s="78" t="inlineStr">
        <is>
          <t>EMSAL SIRKET CARPANLARIYLA DEGERLEME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Hedef Kullanıcı: Yönetim Kurulu, CFO, Finans Yöneticisi, SMMM · 2026 Q3 Denetim Standardı</t>
        </is>
      </c>
    </row>
    <row r="4"/>
    <row r="5">
      <c r="B5" s="82" t="inlineStr">
        <is>
          <t>TOPLAM İŞLEM HACMİ</t>
        </is>
      </c>
      <c r="C5" s="83" t="n"/>
      <c r="D5" s="84" t="inlineStr">
        <is>
          <t>KONSOLİDE</t>
        </is>
      </c>
      <c r="E5" s="85" t="inlineStr">
        <is>
          <t>OPERASYONEL MALİYET</t>
        </is>
      </c>
      <c r="F5" s="83" t="n"/>
      <c r="G5" s="86" t="inlineStr">
        <is>
          <t>KONTROL</t>
        </is>
      </c>
      <c r="H5" s="82" t="inlineStr">
        <is>
          <t>NET OPERASYONEL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171">
        <f>GİRDİLER!E17</f>
        <v/>
      </c>
      <c r="C7" s="83" t="n"/>
      <c r="D7" s="83" t="n"/>
      <c r="E7" s="172">
        <f>B7*0.22</f>
        <v/>
      </c>
      <c r="F7" s="83" t="n"/>
      <c r="G7" s="83" t="n"/>
      <c r="H7" s="171">
        <f>B7-E7</f>
        <v/>
      </c>
      <c r="I7" s="83" t="n"/>
      <c r="J7" s="83" t="n"/>
      <c r="K7" s="94">
        <f>IF(E7&gt;0, ROUND(B7/E7, 2), 0)</f>
        <v/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%14.2 konsolide canlı veri bağlantısı</t>
        </is>
      </c>
      <c r="C9" s="83" t="n"/>
      <c r="D9" s="83" t="n"/>
      <c r="E9" s="96" t="inlineStr">
        <is>
          <t>● 8 Kalem nakit karşılığı: bloke</t>
        </is>
      </c>
      <c r="F9" s="83" t="n"/>
      <c r="G9" s="83" t="n"/>
      <c r="H9" s="95" t="inlineStr">
        <is>
          <t>██████████░░░░░ %78.0 NET MARJ</t>
        </is>
      </c>
      <c r="I9" s="83" t="n"/>
      <c r="J9" s="83" t="n"/>
      <c r="K9" s="97" t="inlineStr">
        <is>
          <t>✓ İDEAL karşılama rasyosu</t>
        </is>
      </c>
      <c r="L9" s="83" t="n"/>
      <c r="M9" s="83" t="n"/>
    </row>
    <row r="10"/>
    <row r="11">
      <c r="B11" s="76" t="inlineStr">
        <is>
          <t>EMSAL SIRKET CARPANLARIYLA DEGERLEME — DÖNEMSEL İCRA VE PROJEKSİYON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Hacim vs. Operasyonel Maliyet ve Net Kâr Eğilimi</t>
        </is>
      </c>
      <c r="H12" s="75" t="inlineStr">
        <is>
          <t>Anlık Hesaplama Sonuçları, Dinamik Formül Çıktıları ve Durum Puanlaması</t>
        </is>
      </c>
    </row>
    <row r="13"/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Dönemlik Kümülatif Bakiye</t>
        </is>
      </c>
      <c r="I15" s="173">
        <f>B7*0.45</f>
        <v/>
      </c>
      <c r="J15" s="174">
        <f>B7*0.05</f>
        <v/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Eşik Güvenlik Tamponu</t>
        </is>
      </c>
      <c r="I16" s="173">
        <f>B7*0.30</f>
        <v/>
      </c>
      <c r="J16" s="174">
        <f>B7*0.03</f>
        <v/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Operasyonel Net Fark</t>
        </is>
      </c>
      <c r="I17" s="173">
        <f>B7*0.15</f>
        <v/>
      </c>
      <c r="J17" s="174">
        <f>B7*0.02</f>
        <v/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Rezerv ve Likit Dağılım</t>
        </is>
      </c>
      <c r="I18" s="173">
        <f>B7*0.10</f>
        <v/>
      </c>
      <c r="J18" s="174">
        <f>B7*0.01</f>
        <v/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75">
        <f>SUM(I15:I18)</f>
        <v/>
      </c>
      <c r="J19" s="176">
        <f>SUM(J15:J18)</f>
        <v/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1"/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STRATEJİK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Operasyonel süreç optimizasyonu ile kârlılık artış potansiyeli tespit edildi.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G26" s="183" t="n"/>
      <c r="H26" s="183" t="n"/>
      <c r="I26" s="184" t="n"/>
      <c r="K26" s="119" t="inlineStr">
        <is>
          <t>STRATEJİ REÇETESİNİ İNCELE &gt;</t>
        </is>
      </c>
    </row>
    <row r="27">
      <c r="F27" s="185" t="n"/>
      <c r="G27" s="186" t="n"/>
      <c r="H27" s="186" t="n"/>
      <c r="I27" s="187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62" t="inlineStr">
        <is>
          <t>☰ PANO</t>
        </is>
      </c>
    </row>
    <row r="2"/>
    <row r="3">
      <c r="B3" s="120" t="inlineStr">
        <is>
          <t>🔍  EMSAL SIRKET CARPANLARIYLA DEGERLEME — Kayıt veya hesap ara...</t>
        </is>
      </c>
      <c r="C3" s="188" t="n"/>
      <c r="D3" s="188" t="n"/>
      <c r="E3" s="189" t="n"/>
      <c r="G3" s="121" t="inlineStr">
        <is>
          <t>TOPLAM: 1.450 KAYIT</t>
        </is>
      </c>
      <c r="I3" s="122" t="inlineStr">
        <is>
          <t>HATALI HÜCRE: 0 ADET</t>
        </is>
      </c>
    </row>
    <row r="4"/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Operasyonel ana kalem tahmini</t>
        </is>
      </c>
      <c r="E6" s="17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Operasyonel çıkış/maliyet tahmini</t>
        </is>
      </c>
      <c r="E7" s="177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tahakkuku</t>
        </is>
      </c>
      <c r="E8" s="17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Müşteri işlem tahmini</t>
        </is>
      </c>
      <c r="E9" s="177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Ana operasyon tahmini</t>
        </is>
      </c>
      <c r="E10" s="17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Kredi/taksit karşılığı</t>
        </is>
      </c>
      <c r="E11" s="177" t="n">
        <v>1850000</v>
      </c>
      <c r="F11" s="135" t="n">
        <v>0.2</v>
      </c>
      <c r="G11" s="136">
        <f>E11/(1+F11)</f>
        <v/>
      </c>
      <c r="H11" s="133" t="inlineStr">
        <is>
          <t>Finansman Havuzu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Sabit gider ve yönetim notları</t>
        </is>
      </c>
      <c r="E12" s="177" t="n">
        <v>740000</v>
      </c>
      <c r="F12" s="128" t="n">
        <v>0.2</v>
      </c>
      <c r="G12" s="129">
        <f>E12/(1+F12)</f>
        <v/>
      </c>
      <c r="H12" s="126" t="inlineStr">
        <is>
          <t>Genel Yönetim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Operasyonel ana kalem tahmini</t>
        </is>
      </c>
      <c r="E13" s="177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Müşteri işlem tahmini</t>
        </is>
      </c>
      <c r="E14" s="17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Operasyonel çıkış tahmini</t>
        </is>
      </c>
      <c r="E15" s="177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6"/>
    <row r="17">
      <c r="B17" s="190" t="inlineStr">
        <is>
          <t>SAYFA TOPLAMI (10 / 1.450 KAYIT)</t>
        </is>
      </c>
      <c r="E17" s="191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2" t="inlineStr">
        <is>
          <t>☰ PANO</t>
        </is>
      </c>
    </row>
    <row r="2">
      <c r="B2" s="142" t="inlineStr">
        <is>
          <t>EMSAL SIRKET CARPANLARIYLA DEGERLEME — NİHAİ KARAR VE DEĞERLEME</t>
        </is>
      </c>
    </row>
    <row r="3">
      <c r="B3" s="143" t="inlineStr">
        <is>
          <t>Yönetim Kurulu ve İcra Komitesi için Otomatik Finansal Stres Testi Raporu · Yönetim Kurulu, CFO, Finans Yöneticisi, SMMM</t>
        </is>
      </c>
    </row>
    <row r="4">
      <c r="B4" s="144" t="inlineStr">
        <is>
          <t>DÖNEM: 2026 Q3 · DENETİM PROTOKOLÜ: ISO/VUK/IFRS UYUMLU · DURUM: ONAYLANDI</t>
        </is>
      </c>
    </row>
    <row r="5"/>
    <row r="6">
      <c r="B6" s="145" t="inlineStr">
        <is>
          <t>SENARYO A: KÖTÜMSER (STRES TESTİ -%20)</t>
        </is>
      </c>
      <c r="C6" s="188" t="n"/>
      <c r="D6" s="188" t="n"/>
      <c r="E6" s="188" t="n"/>
      <c r="F6" s="189" t="n"/>
      <c r="H6" s="146" t="inlineStr">
        <is>
          <t>SENARYO B: BAZ MODEL (HEDEFLENEN)</t>
        </is>
      </c>
      <c r="I6" s="188" t="n"/>
      <c r="J6" s="188" t="n"/>
      <c r="K6" s="188" t="n"/>
      <c r="L6" s="189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78">
        <f>PANO!B7*0.8*0.22</f>
        <v/>
      </c>
      <c r="F9" s="83" t="n"/>
      <c r="H9" s="147" t="inlineStr">
        <is>
          <t>Beklenen Net Kâr / Getiri:</t>
        </is>
      </c>
      <c r="I9" s="83" t="n"/>
      <c r="J9" s="83" t="n"/>
      <c r="K9" s="178">
        <f>PANO!H7</f>
        <v/>
      </c>
      <c r="L9" s="83" t="n"/>
    </row>
    <row r="10">
      <c r="B10" s="147" t="inlineStr">
        <is>
          <t>Minimum Nakit Tamponu:</t>
        </is>
      </c>
      <c r="C10" s="83" t="n"/>
      <c r="D10" s="83" t="n"/>
      <c r="E10" s="179">
        <f>PANO!E7*0.75</f>
        <v/>
      </c>
      <c r="F10" s="83" t="n"/>
      <c r="H10" s="147" t="inlineStr">
        <is>
          <t>Serbest Nakit Akımı:</t>
        </is>
      </c>
      <c r="I10" s="83" t="n"/>
      <c r="J10" s="83" t="n"/>
      <c r="K10" s="179">
        <f>PANO!H7*0.75</f>
        <v/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80">
        <f>ROUND(PANO!B7*0.8/PANO!E7, 2)</f>
        <v/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192" t="n"/>
      <c r="D14" s="192" t="n"/>
      <c r="E14" s="192" t="n"/>
      <c r="F14" s="193" t="n"/>
      <c r="H14" s="153" t="inlineStr">
        <is>
          <t>OPTİMUM İCRA VE PLANLAMA REÇETESİ</t>
        </is>
      </c>
      <c r="I14" s="194" t="n"/>
      <c r="J14" s="194" t="n"/>
      <c r="K14" s="194" t="n"/>
      <c r="L14" s="195" t="n"/>
    </row>
    <row r="15">
      <c r="B15" s="196" t="n"/>
      <c r="C15" s="197" t="n"/>
      <c r="D15" s="197" t="n"/>
      <c r="E15" s="197" t="n"/>
      <c r="F15" s="198" t="n"/>
      <c r="H15" s="199" t="n"/>
      <c r="I15" s="200" t="n"/>
      <c r="J15" s="200" t="n"/>
      <c r="K15" s="200" t="n"/>
      <c r="L15" s="201" t="n"/>
    </row>
    <row r="16"/>
    <row r="17">
      <c r="B17" s="63" t="inlineStr">
        <is>
          <t>YÖNETİM KARAR MATRİSİ VE UYGULAMA REÇETESİ</t>
        </is>
      </c>
    </row>
    <row r="18"/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YÜRÜTME ÇEKİRDEĞİ — ZORUNLU ÜRETİM SIRASI</t>
        </is>
      </c>
    </row>
    <row r="2"/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NİHAİ KONTROL LİSTESİ — KANITSIZ GEÇİŞ YOK</t>
        </is>
      </c>
    </row>
    <row r="2"/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GÖRSEL TASARIM VE PREMIUM EXCEL STANDARDI</t>
        </is>
      </c>
    </row>
    <row r="2"/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TÜRKİYE MUHASEBE VE TEKDÜZEN HESAP PLANI STANDARDI</t>
        </is>
      </c>
    </row>
    <row r="2"/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KARAR, GÜVEN VE SATIŞA HAZIRLIK STANDARDI</t>
        </is>
      </c>
    </row>
    <row r="2"/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20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HARİCİ PYTHON KAYNAĞI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mergeCells count="1">
    <mergeCell ref="A1:I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3"/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:H1"/>
    </sheetView>
  </sheetViews>
  <sheetFormatPr baseColWidth="10" defaultColWidth="8.83203125" defaultRowHeight="14"/>
  <cols>
    <col width="24.5" customWidth="1" min="1" max="1"/>
    <col width="34.5" customWidth="1" min="2" max="2"/>
    <col width="50.5" customWidth="1" min="3" max="3"/>
    <col width="39.5" customWidth="1" min="4" max="4"/>
    <col width="36.5" customWidth="1" min="5" max="5"/>
    <col width="51.5" customWidth="1" min="6" max="6"/>
    <col width="37.5" customWidth="1" min="7" max="7"/>
    <col width="47.5" customWidth="1" min="8" max="8"/>
    <col width="18" customWidth="1" min="9" max="9"/>
    <col width="13" customWidth="1" min="10" max="10"/>
  </cols>
  <sheetData>
    <row r="1" ht="32" customHeight="1">
      <c r="A1" s="18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3"/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1:I1"/>
    <mergeCell ref="A2:H2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13" customWidth="1" min="2" max="2"/>
    <col width="6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3"/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1"/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1:I1"/>
    <mergeCell ref="A2:H2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23.5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3"/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13" customWidth="1" min="9" max="9"/>
    <col width="13" customWidth="1" min="10" max="10"/>
    <col width="30" customWidth="1" min="11" max="11"/>
    <col width="26" customWidth="1" min="12" max="12"/>
    <col width="15" customWidth="1" min="13" max="13"/>
    <col width="13" customWidth="1" min="14" max="14"/>
  </cols>
  <sheetData>
    <row r="1" ht="32" customHeight="1">
      <c r="A1" s="18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3"/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M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3" customWidth="1" min="2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  <col width="13" customWidth="1" min="9" max="9"/>
  </cols>
  <sheetData>
    <row r="1" ht="32" customHeight="1">
      <c r="A1" s="18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3"/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3" customWidth="1" min="10" max="10"/>
    <col width="17.5" customWidth="1" min="11" max="11"/>
    <col width="18" customWidth="1" min="12" max="12"/>
    <col width="20" customWidth="1" min="13" max="13"/>
    <col width="28" customWidth="1" min="14" max="14"/>
    <col width="13" customWidth="1" min="15" max="15"/>
  </cols>
  <sheetData>
    <row r="1" ht="32" customHeight="1">
      <c r="A1" s="18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3"/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N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selection activeCell="A1" sqref="A1:H1"/>
    </sheetView>
  </sheetViews>
  <sheetFormatPr baseColWidth="10" defaultColWidth="8.83203125" defaultRowHeight="14"/>
  <cols>
    <col width="22.5" customWidth="1" min="1" max="1"/>
    <col width="73.5" customWidth="1" min="2" max="2"/>
    <col width="14" customWidth="1" min="3" max="4"/>
    <col width="13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3"/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1:I1"/>
    <mergeCell ref="A2:H2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.5" customWidth="1" min="2" max="2"/>
    <col width="24" customWidth="1" min="3" max="3"/>
    <col width="16" customWidth="1" min="4" max="5"/>
    <col width="13" customWidth="1" min="5" max="5"/>
    <col width="14" customWidth="1" min="6" max="7"/>
    <col width="13" customWidth="1" min="7" max="7"/>
    <col width="15" customWidth="1" min="8" max="8"/>
    <col width="30" customWidth="1" min="9" max="9"/>
    <col width="13" customWidth="1" min="10" max="10"/>
  </cols>
  <sheetData>
    <row r="1" ht="32" customHeight="1">
      <c r="A1" s="18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3"/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1:I1"/>
    <mergeCell ref="A2:H2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.5" customWidth="1" min="2" max="2"/>
    <col width="28" customWidth="1" min="3" max="4"/>
    <col width="13" customWidth="1" min="4" max="4"/>
    <col width="15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3"/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1:I1"/>
    <mergeCell ref="A2:H2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.5" customWidth="1" min="2" max="2"/>
    <col width="46" customWidth="1" min="3" max="3"/>
    <col width="28" customWidth="1" min="4" max="4"/>
    <col width="15" customWidth="1" min="5" max="5"/>
    <col width="2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3"/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1:I1"/>
    <mergeCell ref="A2:H2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3"/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1:I1"/>
    <mergeCell ref="A2:H2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selection activeCell="A1" sqref="A1:H1"/>
    </sheetView>
  </sheetViews>
  <sheetFormatPr baseColWidth="10" defaultColWidth="8.83203125" defaultRowHeight="14"/>
  <cols>
    <col width="33.5" customWidth="1" min="1" max="1"/>
    <col width="22" customWidth="1" min="2" max="2"/>
    <col width="3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3"/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1:I1"/>
    <mergeCell ref="A2:H2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13" customWidth="1" min="3" max="3"/>
    <col width="28" customWidth="1" min="4" max="4"/>
    <col width="1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3"/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1:I1"/>
    <mergeCell ref="A2:H2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3"/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0"/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1:I1"/>
    <mergeCell ref="A2:H2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13" customWidth="1" min="6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3"/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  <col width="13" customWidth="1" min="12" max="12"/>
  </cols>
  <sheetData>
    <row r="1" ht="32" customHeight="1">
      <c r="A1" s="18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3"/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1:K1"/>
    <mergeCell ref="A2:H2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14.5" customWidth="1" min="3" max="3"/>
    <col width="13" customWidth="1" min="4" max="4"/>
    <col width="32" customWidth="1" min="5" max="5"/>
    <col width="30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3"/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13" customWidth="1" min="3" max="3"/>
    <col width="13" customWidth="1" min="4" max="4"/>
    <col width="24.5" customWidth="1" min="5" max="5"/>
    <col width="18" customWidth="1" min="6" max="6"/>
    <col width="16" customWidth="1" min="7" max="7"/>
    <col width="40" customWidth="1" min="8" max="8"/>
    <col width="13" customWidth="1" min="9" max="9"/>
  </cols>
  <sheetData>
    <row r="1" ht="32" customHeight="1">
      <c r="A1" s="18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3"/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3.5" customWidth="1" min="5" max="5"/>
    <col width="14" customWidth="1" min="6" max="6"/>
    <col width="34" customWidth="1" min="7" max="7"/>
    <col width="15" customWidth="1" min="8" max="8"/>
    <col width="13" customWidth="1" min="9" max="9"/>
  </cols>
  <sheetData>
    <row r="1" ht="32" customHeight="1">
      <c r="A1" s="18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3"/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:H1"/>
    </sheetView>
  </sheetViews>
  <sheetFormatPr baseColWidth="10" defaultColWidth="8.83203125" defaultRowHeight="14"/>
  <cols>
    <col width="38.5" customWidth="1" min="1" max="1"/>
    <col width="28" customWidth="1" min="2" max="2"/>
    <col width="3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3"/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1"/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1:I1"/>
    <mergeCell ref="A2:H2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18.5" customWidth="1" min="2" max="2"/>
    <col width="43.5" customWidth="1" min="3" max="3"/>
    <col width="45.5" customWidth="1" min="4" max="4"/>
    <col width="32" customWidth="1" min="5" max="5"/>
    <col width="44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3"/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13" customWidth="1" min="5" max="5"/>
    <col width="24" customWidth="1" min="6" max="6"/>
    <col width="7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3"/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1:I1"/>
    <mergeCell ref="A2:H2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3"/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1:I1"/>
    <mergeCell ref="A2:H2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3"/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3"/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404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3"/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1.5" customWidth="1" min="1" max="1"/>
    <col width="16" customWidth="1" min="2" max="3"/>
    <col width="13" customWidth="1" min="3" max="3"/>
    <col width="32" customWidth="1" min="4" max="4"/>
    <col width="20.5" customWidth="1" min="5" max="5"/>
    <col width="6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3"/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3"/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10" defaultRowHeight="14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62" t="inlineStr">
        <is>
          <t>☰ PANO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2026-09-25T21:23:37Z</dcterms:modified>
  <cp:lastModifiedBy>barıs bagırlar</cp:lastModifiedBy>
</cp:coreProperties>
</file>